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Mohammed\Desktop\مهم\s1-5-3-2026\التعليم الابتدائي الحكومي\"/>
    </mc:Choice>
  </mc:AlternateContent>
  <bookViews>
    <workbookView xWindow="0" yWindow="0" windowWidth="16380" windowHeight="8196" tabRatio="500" activeTab="8"/>
  </bookViews>
  <sheets>
    <sheet name="survey" sheetId="2" r:id="rId1"/>
    <sheet name="e_codes" sheetId="1" r:id="rId2"/>
    <sheet name="t1" sheetId="3" r:id="rId3"/>
    <sheet name="t4&amp;t5" sheetId="4" r:id="rId4"/>
    <sheet name="t6&amp;t7" sheetId="5" r:id="rId5"/>
    <sheet name="t8&amp;t9" sheetId="6" r:id="rId6"/>
    <sheet name="t10" sheetId="7" r:id="rId7"/>
    <sheet name="t11" sheetId="8" r:id="rId8"/>
    <sheet name="t12" sheetId="9" r:id="rId9"/>
  </sheets>
  <externalReferences>
    <externalReference r:id="rId10"/>
  </externalReferences>
  <definedNames>
    <definedName name="_xlnm._FilterDatabase" localSheetId="1" hidden="1">e_codes!$A$1:$F$732</definedName>
    <definedName name="_xlnm.Print_Area" localSheetId="2">'t1'!$A$1:$V$13</definedName>
  </definedNames>
  <calcPr calcId="162913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K22" i="8" l="1"/>
  <c r="R21" i="5" l="1"/>
  <c r="B10" i="4" l="1"/>
  <c r="B9" i="4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2" i="1"/>
  <c r="B12" i="3" l="1"/>
  <c r="V284" i="3" l="1"/>
  <c r="T284" i="3"/>
  <c r="S284" i="3"/>
  <c r="R284" i="3"/>
  <c r="Q284" i="3"/>
  <c r="P284" i="3"/>
  <c r="O284" i="3"/>
  <c r="M284" i="3"/>
  <c r="L284" i="3"/>
  <c r="J284" i="3"/>
  <c r="I284" i="3"/>
  <c r="G284" i="3"/>
  <c r="F284" i="3"/>
  <c r="D284" i="3"/>
  <c r="C284" i="3"/>
  <c r="B284" i="3"/>
  <c r="V282" i="3"/>
  <c r="T282" i="3"/>
  <c r="S282" i="3"/>
  <c r="R282" i="3"/>
  <c r="R286" i="3" s="1"/>
  <c r="Q282" i="3"/>
  <c r="Q286" i="3" s="1"/>
  <c r="P282" i="3"/>
  <c r="P286" i="3" s="1"/>
  <c r="O282" i="3"/>
  <c r="M282" i="3"/>
  <c r="M286" i="3" s="1"/>
  <c r="L282" i="3"/>
  <c r="J282" i="3"/>
  <c r="I282" i="3"/>
  <c r="G282" i="3"/>
  <c r="F282" i="3"/>
  <c r="F286" i="3" s="1"/>
  <c r="D282" i="3"/>
  <c r="D286" i="3" s="1"/>
  <c r="C282" i="3"/>
  <c r="C286" i="3" s="1"/>
  <c r="B282" i="3"/>
  <c r="B286" i="3" s="1"/>
  <c r="V267" i="3"/>
  <c r="T267" i="3"/>
  <c r="S267" i="3"/>
  <c r="R267" i="3"/>
  <c r="Q267" i="3"/>
  <c r="P267" i="3"/>
  <c r="O267" i="3"/>
  <c r="M267" i="3"/>
  <c r="L267" i="3"/>
  <c r="J267" i="3"/>
  <c r="I267" i="3"/>
  <c r="G267" i="3"/>
  <c r="F267" i="3"/>
  <c r="D267" i="3"/>
  <c r="C267" i="3"/>
  <c r="B267" i="3"/>
  <c r="V265" i="3"/>
  <c r="T265" i="3"/>
  <c r="T269" i="3" s="1"/>
  <c r="S265" i="3"/>
  <c r="S269" i="3" s="1"/>
  <c r="R265" i="3"/>
  <c r="R269" i="3" s="1"/>
  <c r="Q265" i="3"/>
  <c r="P265" i="3"/>
  <c r="P269" i="3" s="1"/>
  <c r="O265" i="3"/>
  <c r="O269" i="3" s="1"/>
  <c r="M265" i="3"/>
  <c r="L265" i="3"/>
  <c r="J265" i="3"/>
  <c r="I265" i="3"/>
  <c r="I269" i="3" s="1"/>
  <c r="G265" i="3"/>
  <c r="H265" i="3" s="1"/>
  <c r="F265" i="3"/>
  <c r="F269" i="3" s="1"/>
  <c r="D265" i="3"/>
  <c r="C265" i="3"/>
  <c r="B265" i="3"/>
  <c r="V250" i="3"/>
  <c r="T250" i="3"/>
  <c r="S250" i="3"/>
  <c r="R250" i="3"/>
  <c r="Q250" i="3"/>
  <c r="P250" i="3"/>
  <c r="O250" i="3"/>
  <c r="M250" i="3"/>
  <c r="L250" i="3"/>
  <c r="J250" i="3"/>
  <c r="I250" i="3"/>
  <c r="G250" i="3"/>
  <c r="F250" i="3"/>
  <c r="D250" i="3"/>
  <c r="C250" i="3"/>
  <c r="B250" i="3"/>
  <c r="V248" i="3"/>
  <c r="V252" i="3" s="1"/>
  <c r="T248" i="3"/>
  <c r="S248" i="3"/>
  <c r="R248" i="3"/>
  <c r="Q248" i="3"/>
  <c r="Q252" i="3" s="1"/>
  <c r="P248" i="3"/>
  <c r="O248" i="3"/>
  <c r="M248" i="3"/>
  <c r="L248" i="3"/>
  <c r="L252" i="3" s="1"/>
  <c r="J248" i="3"/>
  <c r="J252" i="3" s="1"/>
  <c r="K252" i="3" s="1"/>
  <c r="I248" i="3"/>
  <c r="I252" i="3" s="1"/>
  <c r="G248" i="3"/>
  <c r="G252" i="3" s="1"/>
  <c r="F248" i="3"/>
  <c r="F252" i="3" s="1"/>
  <c r="D248" i="3"/>
  <c r="C248" i="3"/>
  <c r="C252" i="3" s="1"/>
  <c r="B248" i="3"/>
  <c r="B252" i="3" s="1"/>
  <c r="V233" i="3"/>
  <c r="T233" i="3"/>
  <c r="S233" i="3"/>
  <c r="R233" i="3"/>
  <c r="Q233" i="3"/>
  <c r="P233" i="3"/>
  <c r="O233" i="3"/>
  <c r="M233" i="3"/>
  <c r="L233" i="3"/>
  <c r="J233" i="3"/>
  <c r="K233" i="3" s="1"/>
  <c r="I233" i="3"/>
  <c r="G233" i="3"/>
  <c r="F233" i="3"/>
  <c r="D233" i="3"/>
  <c r="C233" i="3"/>
  <c r="B233" i="3"/>
  <c r="V231" i="3"/>
  <c r="T231" i="3"/>
  <c r="S231" i="3"/>
  <c r="S235" i="3" s="1"/>
  <c r="R231" i="3"/>
  <c r="Q231" i="3"/>
  <c r="Q235" i="3" s="1"/>
  <c r="P231" i="3"/>
  <c r="P235" i="3" s="1"/>
  <c r="O231" i="3"/>
  <c r="O235" i="3" s="1"/>
  <c r="M231" i="3"/>
  <c r="L231" i="3"/>
  <c r="L235" i="3" s="1"/>
  <c r="J231" i="3"/>
  <c r="I231" i="3"/>
  <c r="G231" i="3"/>
  <c r="F231" i="3"/>
  <c r="F235" i="3" s="1"/>
  <c r="D231" i="3"/>
  <c r="C231" i="3"/>
  <c r="C235" i="3" s="1"/>
  <c r="B231" i="3"/>
  <c r="V216" i="3"/>
  <c r="T216" i="3"/>
  <c r="S216" i="3"/>
  <c r="R216" i="3"/>
  <c r="Q216" i="3"/>
  <c r="P216" i="3"/>
  <c r="O216" i="3"/>
  <c r="M216" i="3"/>
  <c r="L216" i="3"/>
  <c r="J216" i="3"/>
  <c r="I216" i="3"/>
  <c r="G216" i="3"/>
  <c r="F216" i="3"/>
  <c r="D216" i="3"/>
  <c r="C216" i="3"/>
  <c r="B216" i="3"/>
  <c r="V214" i="3"/>
  <c r="T214" i="3"/>
  <c r="S214" i="3"/>
  <c r="R214" i="3"/>
  <c r="R218" i="3" s="1"/>
  <c r="Q214" i="3"/>
  <c r="Q218" i="3" s="1"/>
  <c r="P214" i="3"/>
  <c r="P218" i="3" s="1"/>
  <c r="O214" i="3"/>
  <c r="M214" i="3"/>
  <c r="L214" i="3"/>
  <c r="L218" i="3" s="1"/>
  <c r="J214" i="3"/>
  <c r="I214" i="3"/>
  <c r="G214" i="3"/>
  <c r="F214" i="3"/>
  <c r="F218" i="3" s="1"/>
  <c r="D214" i="3"/>
  <c r="C214" i="3"/>
  <c r="C218" i="3" s="1"/>
  <c r="B214" i="3"/>
  <c r="B218" i="3" s="1"/>
  <c r="V199" i="3"/>
  <c r="T199" i="3"/>
  <c r="S199" i="3"/>
  <c r="R199" i="3"/>
  <c r="Q199" i="3"/>
  <c r="P199" i="3"/>
  <c r="O199" i="3"/>
  <c r="M199" i="3"/>
  <c r="L199" i="3"/>
  <c r="J199" i="3"/>
  <c r="I199" i="3"/>
  <c r="G199" i="3"/>
  <c r="F199" i="3"/>
  <c r="D199" i="3"/>
  <c r="C199" i="3"/>
  <c r="B199" i="3"/>
  <c r="V197" i="3"/>
  <c r="T197" i="3"/>
  <c r="T201" i="3" s="1"/>
  <c r="S197" i="3"/>
  <c r="S201" i="3" s="1"/>
  <c r="R197" i="3"/>
  <c r="R201" i="3" s="1"/>
  <c r="Q197" i="3"/>
  <c r="P197" i="3"/>
  <c r="P201" i="3" s="1"/>
  <c r="O197" i="3"/>
  <c r="O201" i="3" s="1"/>
  <c r="M197" i="3"/>
  <c r="L197" i="3"/>
  <c r="J197" i="3"/>
  <c r="I197" i="3"/>
  <c r="I201" i="3" s="1"/>
  <c r="G197" i="3"/>
  <c r="F197" i="3"/>
  <c r="F201" i="3" s="1"/>
  <c r="D197" i="3"/>
  <c r="D201" i="3" s="1"/>
  <c r="C197" i="3"/>
  <c r="B197" i="3"/>
  <c r="V182" i="3"/>
  <c r="T182" i="3"/>
  <c r="S182" i="3"/>
  <c r="R182" i="3"/>
  <c r="Q182" i="3"/>
  <c r="P182" i="3"/>
  <c r="O182" i="3"/>
  <c r="M182" i="3"/>
  <c r="L182" i="3"/>
  <c r="J182" i="3"/>
  <c r="K182" i="3" s="1"/>
  <c r="I182" i="3"/>
  <c r="G182" i="3"/>
  <c r="F182" i="3"/>
  <c r="D182" i="3"/>
  <c r="C182" i="3"/>
  <c r="B182" i="3"/>
  <c r="V180" i="3"/>
  <c r="V184" i="3" s="1"/>
  <c r="T180" i="3"/>
  <c r="S180" i="3"/>
  <c r="R180" i="3"/>
  <c r="R184" i="3" s="1"/>
  <c r="Q180" i="3"/>
  <c r="P180" i="3"/>
  <c r="O180" i="3"/>
  <c r="M180" i="3"/>
  <c r="L180" i="3"/>
  <c r="L184" i="3" s="1"/>
  <c r="J180" i="3"/>
  <c r="J184" i="3" s="1"/>
  <c r="I180" i="3"/>
  <c r="I184" i="3" s="1"/>
  <c r="G180" i="3"/>
  <c r="F180" i="3"/>
  <c r="F184" i="3" s="1"/>
  <c r="D180" i="3"/>
  <c r="C180" i="3"/>
  <c r="B180" i="3"/>
  <c r="B184" i="3" s="1"/>
  <c r="V165" i="3"/>
  <c r="T165" i="3"/>
  <c r="S165" i="3"/>
  <c r="R165" i="3"/>
  <c r="Q165" i="3"/>
  <c r="P165" i="3"/>
  <c r="O165" i="3"/>
  <c r="M165" i="3"/>
  <c r="L165" i="3"/>
  <c r="J165" i="3"/>
  <c r="I165" i="3"/>
  <c r="G165" i="3"/>
  <c r="F165" i="3"/>
  <c r="D165" i="3"/>
  <c r="C165" i="3"/>
  <c r="B165" i="3"/>
  <c r="V163" i="3"/>
  <c r="T163" i="3"/>
  <c r="S163" i="3"/>
  <c r="R163" i="3"/>
  <c r="Q163" i="3"/>
  <c r="Q167" i="3" s="1"/>
  <c r="P163" i="3"/>
  <c r="P167" i="3" s="1"/>
  <c r="O163" i="3"/>
  <c r="M163" i="3"/>
  <c r="M167" i="3" s="1"/>
  <c r="L163" i="3"/>
  <c r="L167" i="3" s="1"/>
  <c r="J163" i="3"/>
  <c r="I163" i="3"/>
  <c r="G163" i="3"/>
  <c r="F163" i="3"/>
  <c r="D163" i="3"/>
  <c r="C163" i="3"/>
  <c r="C167" i="3" s="1"/>
  <c r="B163" i="3"/>
  <c r="V148" i="3"/>
  <c r="T148" i="3"/>
  <c r="S148" i="3"/>
  <c r="R148" i="3"/>
  <c r="Q148" i="3"/>
  <c r="P148" i="3"/>
  <c r="O148" i="3"/>
  <c r="M148" i="3"/>
  <c r="L148" i="3"/>
  <c r="J148" i="3"/>
  <c r="I148" i="3"/>
  <c r="G148" i="3"/>
  <c r="F148" i="3"/>
  <c r="H148" i="3" s="1"/>
  <c r="D148" i="3"/>
  <c r="C148" i="3"/>
  <c r="B148" i="3"/>
  <c r="V146" i="3"/>
  <c r="T146" i="3"/>
  <c r="T150" i="3" s="1"/>
  <c r="S146" i="3"/>
  <c r="R146" i="3"/>
  <c r="R150" i="3" s="1"/>
  <c r="Q146" i="3"/>
  <c r="P146" i="3"/>
  <c r="P150" i="3" s="1"/>
  <c r="O146" i="3"/>
  <c r="M146" i="3"/>
  <c r="L146" i="3"/>
  <c r="N146" i="3" s="1"/>
  <c r="J146" i="3"/>
  <c r="I146" i="3"/>
  <c r="G146" i="3"/>
  <c r="F146" i="3"/>
  <c r="F150" i="3" s="1"/>
  <c r="D146" i="3"/>
  <c r="C146" i="3"/>
  <c r="C150" i="3" s="1"/>
  <c r="B146" i="3"/>
  <c r="S133" i="3"/>
  <c r="V131" i="3"/>
  <c r="T131" i="3"/>
  <c r="S131" i="3"/>
  <c r="R131" i="3"/>
  <c r="Q131" i="3"/>
  <c r="P131" i="3"/>
  <c r="O131" i="3"/>
  <c r="M131" i="3"/>
  <c r="L131" i="3"/>
  <c r="J131" i="3"/>
  <c r="I131" i="3"/>
  <c r="G131" i="3"/>
  <c r="F131" i="3"/>
  <c r="D131" i="3"/>
  <c r="C131" i="3"/>
  <c r="B131" i="3"/>
  <c r="V129" i="3"/>
  <c r="T129" i="3"/>
  <c r="S129" i="3"/>
  <c r="R129" i="3"/>
  <c r="R133" i="3" s="1"/>
  <c r="Q129" i="3"/>
  <c r="P129" i="3"/>
  <c r="O129" i="3"/>
  <c r="O133" i="3" s="1"/>
  <c r="M129" i="3"/>
  <c r="M133" i="3" s="1"/>
  <c r="L129" i="3"/>
  <c r="J129" i="3"/>
  <c r="I129" i="3"/>
  <c r="I133" i="3" s="1"/>
  <c r="G129" i="3"/>
  <c r="G133" i="3" s="1"/>
  <c r="F129" i="3"/>
  <c r="D129" i="3"/>
  <c r="C129" i="3"/>
  <c r="C133" i="3" s="1"/>
  <c r="B129" i="3"/>
  <c r="B133" i="3" s="1"/>
  <c r="V115" i="3"/>
  <c r="T115" i="3"/>
  <c r="S115" i="3"/>
  <c r="R115" i="3"/>
  <c r="Q115" i="3"/>
  <c r="P115" i="3"/>
  <c r="O115" i="3"/>
  <c r="M115" i="3"/>
  <c r="L115" i="3"/>
  <c r="J115" i="3"/>
  <c r="I115" i="3"/>
  <c r="G115" i="3"/>
  <c r="F115" i="3"/>
  <c r="D115" i="3"/>
  <c r="C115" i="3"/>
  <c r="B115" i="3"/>
  <c r="V113" i="3"/>
  <c r="T113" i="3"/>
  <c r="S113" i="3"/>
  <c r="R113" i="3"/>
  <c r="Q113" i="3"/>
  <c r="P113" i="3"/>
  <c r="O113" i="3"/>
  <c r="M113" i="3"/>
  <c r="L113" i="3"/>
  <c r="J113" i="3"/>
  <c r="I113" i="3"/>
  <c r="G113" i="3"/>
  <c r="F113" i="3"/>
  <c r="F117" i="3" s="1"/>
  <c r="D113" i="3"/>
  <c r="C113" i="3"/>
  <c r="B113" i="3"/>
  <c r="V98" i="3"/>
  <c r="T98" i="3"/>
  <c r="S98" i="3"/>
  <c r="R98" i="3"/>
  <c r="Q98" i="3"/>
  <c r="P98" i="3"/>
  <c r="O98" i="3"/>
  <c r="M98" i="3"/>
  <c r="L98" i="3"/>
  <c r="J98" i="3"/>
  <c r="I98" i="3"/>
  <c r="G98" i="3"/>
  <c r="F98" i="3"/>
  <c r="D98" i="3"/>
  <c r="C98" i="3"/>
  <c r="B98" i="3"/>
  <c r="V96" i="3"/>
  <c r="T96" i="3"/>
  <c r="S96" i="3"/>
  <c r="R96" i="3"/>
  <c r="Q96" i="3"/>
  <c r="P96" i="3"/>
  <c r="O96" i="3"/>
  <c r="M96" i="3"/>
  <c r="L96" i="3"/>
  <c r="J96" i="3"/>
  <c r="I96" i="3"/>
  <c r="G96" i="3"/>
  <c r="F96" i="3"/>
  <c r="D96" i="3"/>
  <c r="C96" i="3"/>
  <c r="B96" i="3"/>
  <c r="E96" i="3" s="1"/>
  <c r="U81" i="3"/>
  <c r="N81" i="3"/>
  <c r="K81" i="3"/>
  <c r="H81" i="3"/>
  <c r="E81" i="3"/>
  <c r="V79" i="3"/>
  <c r="V83" i="3" s="1"/>
  <c r="T79" i="3"/>
  <c r="T83" i="3" s="1"/>
  <c r="S79" i="3"/>
  <c r="S83" i="3" s="1"/>
  <c r="R79" i="3"/>
  <c r="R83" i="3" s="1"/>
  <c r="Q79" i="3"/>
  <c r="Q83" i="3" s="1"/>
  <c r="P79" i="3"/>
  <c r="P83" i="3" s="1"/>
  <c r="O79" i="3"/>
  <c r="O83" i="3" s="1"/>
  <c r="M79" i="3"/>
  <c r="M83" i="3" s="1"/>
  <c r="L79" i="3"/>
  <c r="L83" i="3" s="1"/>
  <c r="J79" i="3"/>
  <c r="J83" i="3" s="1"/>
  <c r="I79" i="3"/>
  <c r="I83" i="3" s="1"/>
  <c r="G79" i="3"/>
  <c r="G83" i="3" s="1"/>
  <c r="F79" i="3"/>
  <c r="F83" i="3" s="1"/>
  <c r="D79" i="3"/>
  <c r="D83" i="3" s="1"/>
  <c r="C79" i="3"/>
  <c r="C83" i="3" s="1"/>
  <c r="B79" i="3"/>
  <c r="B83" i="3" s="1"/>
  <c r="V64" i="3"/>
  <c r="T64" i="3"/>
  <c r="S64" i="3"/>
  <c r="R64" i="3"/>
  <c r="Q64" i="3"/>
  <c r="P64" i="3"/>
  <c r="O64" i="3"/>
  <c r="M64" i="3"/>
  <c r="L64" i="3"/>
  <c r="J64" i="3"/>
  <c r="I64" i="3"/>
  <c r="G64" i="3"/>
  <c r="F64" i="3"/>
  <c r="D64" i="3"/>
  <c r="C64" i="3"/>
  <c r="B64" i="3"/>
  <c r="V62" i="3"/>
  <c r="T62" i="3"/>
  <c r="T66" i="3" s="1"/>
  <c r="S62" i="3"/>
  <c r="S66" i="3" s="1"/>
  <c r="R62" i="3"/>
  <c r="R66" i="3" s="1"/>
  <c r="Q62" i="3"/>
  <c r="P62" i="3"/>
  <c r="O62" i="3"/>
  <c r="O66" i="3" s="1"/>
  <c r="M62" i="3"/>
  <c r="N62" i="3" s="1"/>
  <c r="L62" i="3"/>
  <c r="J62" i="3"/>
  <c r="I62" i="3"/>
  <c r="G62" i="3"/>
  <c r="G66" i="3" s="1"/>
  <c r="F62" i="3"/>
  <c r="D62" i="3"/>
  <c r="D66" i="3" s="1"/>
  <c r="C62" i="3"/>
  <c r="C66" i="3" s="1"/>
  <c r="B62" i="3"/>
  <c r="B66" i="3" s="1"/>
  <c r="V31" i="3"/>
  <c r="T31" i="3"/>
  <c r="S31" i="3"/>
  <c r="R31" i="3"/>
  <c r="Q31" i="3"/>
  <c r="P31" i="3"/>
  <c r="O31" i="3"/>
  <c r="M31" i="3"/>
  <c r="L31" i="3"/>
  <c r="J31" i="3"/>
  <c r="I31" i="3"/>
  <c r="G31" i="3"/>
  <c r="F31" i="3"/>
  <c r="D31" i="3"/>
  <c r="C31" i="3"/>
  <c r="B31" i="3"/>
  <c r="V29" i="3"/>
  <c r="T29" i="3"/>
  <c r="T33" i="3" s="1"/>
  <c r="S29" i="3"/>
  <c r="R29" i="3"/>
  <c r="R33" i="3" s="1"/>
  <c r="Q29" i="3"/>
  <c r="Q33" i="3" s="1"/>
  <c r="P29" i="3"/>
  <c r="P33" i="3" s="1"/>
  <c r="O29" i="3"/>
  <c r="O33" i="3" s="1"/>
  <c r="M29" i="3"/>
  <c r="L29" i="3"/>
  <c r="J29" i="3"/>
  <c r="J33" i="3" s="1"/>
  <c r="I29" i="3"/>
  <c r="G29" i="3"/>
  <c r="G33" i="3" s="1"/>
  <c r="F29" i="3"/>
  <c r="H29" i="3" s="1"/>
  <c r="D29" i="3"/>
  <c r="C29" i="3"/>
  <c r="B29" i="3"/>
  <c r="B33" i="3" s="1"/>
  <c r="H31" i="3" l="1"/>
  <c r="E265" i="3"/>
  <c r="Q184" i="3"/>
  <c r="E148" i="3"/>
  <c r="K250" i="3"/>
  <c r="E29" i="3"/>
  <c r="E64" i="3"/>
  <c r="G117" i="3"/>
  <c r="K64" i="3"/>
  <c r="O100" i="3"/>
  <c r="N182" i="3"/>
  <c r="H197" i="3"/>
  <c r="H199" i="3"/>
  <c r="U250" i="3"/>
  <c r="K265" i="3"/>
  <c r="G100" i="3"/>
  <c r="H113" i="3"/>
  <c r="R252" i="3"/>
  <c r="K231" i="3"/>
  <c r="H96" i="3"/>
  <c r="B100" i="3"/>
  <c r="L100" i="3"/>
  <c r="Q100" i="3"/>
  <c r="V100" i="3"/>
  <c r="K113" i="3"/>
  <c r="U113" i="3"/>
  <c r="K115" i="3"/>
  <c r="K117" i="3" s="1"/>
  <c r="B167" i="3"/>
  <c r="H165" i="3"/>
  <c r="N165" i="3"/>
  <c r="H180" i="3"/>
  <c r="K197" i="3"/>
  <c r="N250" i="3"/>
  <c r="V269" i="3"/>
  <c r="U282" i="3"/>
  <c r="E284" i="3"/>
  <c r="K31" i="3"/>
  <c r="F66" i="3"/>
  <c r="L66" i="3"/>
  <c r="P66" i="3"/>
  <c r="K96" i="3"/>
  <c r="S100" i="3"/>
  <c r="C100" i="3"/>
  <c r="H98" i="3"/>
  <c r="H100" i="3" s="1"/>
  <c r="R100" i="3"/>
  <c r="H115" i="3"/>
  <c r="V117" i="3"/>
  <c r="I150" i="3"/>
  <c r="K163" i="3"/>
  <c r="C184" i="3"/>
  <c r="V201" i="3"/>
  <c r="U214" i="3"/>
  <c r="U218" i="3" s="1"/>
  <c r="E216" i="3"/>
  <c r="H267" i="3"/>
  <c r="N282" i="3"/>
  <c r="R117" i="3"/>
  <c r="L133" i="3"/>
  <c r="V133" i="3"/>
  <c r="V235" i="3"/>
  <c r="V33" i="3"/>
  <c r="F100" i="3"/>
  <c r="K98" i="3"/>
  <c r="O117" i="3"/>
  <c r="H131" i="3"/>
  <c r="Q150" i="3"/>
  <c r="V150" i="3"/>
  <c r="V167" i="3"/>
  <c r="E197" i="3"/>
  <c r="N231" i="3"/>
  <c r="N233" i="3"/>
  <c r="L286" i="3"/>
  <c r="S33" i="3"/>
  <c r="F33" i="3"/>
  <c r="H64" i="3"/>
  <c r="U64" i="3"/>
  <c r="V66" i="3"/>
  <c r="D100" i="3"/>
  <c r="I100" i="3"/>
  <c r="M100" i="3"/>
  <c r="J100" i="3"/>
  <c r="S117" i="3"/>
  <c r="B150" i="3"/>
  <c r="E163" i="3"/>
  <c r="O167" i="3"/>
  <c r="S167" i="3"/>
  <c r="R167" i="3"/>
  <c r="I167" i="3"/>
  <c r="N199" i="3"/>
  <c r="C201" i="3"/>
  <c r="E231" i="3"/>
  <c r="I235" i="3"/>
  <c r="H248" i="3"/>
  <c r="H250" i="3"/>
  <c r="N267" i="3"/>
  <c r="C269" i="3"/>
  <c r="H282" i="3"/>
  <c r="K284" i="3"/>
  <c r="L150" i="3"/>
  <c r="M33" i="3"/>
  <c r="U31" i="3"/>
  <c r="M66" i="3"/>
  <c r="K79" i="3"/>
  <c r="K83" i="3" s="1"/>
  <c r="U96" i="3"/>
  <c r="E113" i="3"/>
  <c r="D133" i="3"/>
  <c r="E199" i="3"/>
  <c r="G201" i="3"/>
  <c r="N214" i="3"/>
  <c r="U216" i="3"/>
  <c r="V218" i="3"/>
  <c r="T218" i="3"/>
  <c r="U231" i="3"/>
  <c r="E233" i="3"/>
  <c r="M235" i="3"/>
  <c r="E267" i="3"/>
  <c r="E269" i="3" s="1"/>
  <c r="G269" i="3"/>
  <c r="U284" i="3"/>
  <c r="U286" i="3" s="1"/>
  <c r="T286" i="3"/>
  <c r="K100" i="3"/>
  <c r="C33" i="3"/>
  <c r="N31" i="3"/>
  <c r="I66" i="3"/>
  <c r="H79" i="3"/>
  <c r="H83" i="3" s="1"/>
  <c r="N96" i="3"/>
  <c r="P100" i="3"/>
  <c r="T100" i="3"/>
  <c r="C117" i="3"/>
  <c r="L117" i="3"/>
  <c r="Q117" i="3"/>
  <c r="Q133" i="3"/>
  <c r="K131" i="3"/>
  <c r="P133" i="3"/>
  <c r="E146" i="3"/>
  <c r="O150" i="3"/>
  <c r="S150" i="3"/>
  <c r="D150" i="3"/>
  <c r="F167" i="3"/>
  <c r="K180" i="3"/>
  <c r="P184" i="3"/>
  <c r="E182" i="3"/>
  <c r="B201" i="3"/>
  <c r="Q201" i="3"/>
  <c r="K199" i="3"/>
  <c r="U199" i="3"/>
  <c r="E214" i="3"/>
  <c r="E218" i="3" s="1"/>
  <c r="O218" i="3"/>
  <c r="S218" i="3"/>
  <c r="H216" i="3"/>
  <c r="N216" i="3"/>
  <c r="D218" i="3"/>
  <c r="B235" i="3"/>
  <c r="K248" i="3"/>
  <c r="P252" i="3"/>
  <c r="E250" i="3"/>
  <c r="B269" i="3"/>
  <c r="L269" i="3"/>
  <c r="Q269" i="3"/>
  <c r="K267" i="3"/>
  <c r="U267" i="3"/>
  <c r="O286" i="3"/>
  <c r="S286" i="3"/>
  <c r="H284" i="3"/>
  <c r="N284" i="3"/>
  <c r="N286" i="3" s="1"/>
  <c r="L33" i="3"/>
  <c r="N29" i="3"/>
  <c r="N33" i="3" s="1"/>
  <c r="E31" i="3"/>
  <c r="E33" i="3" s="1"/>
  <c r="D33" i="3"/>
  <c r="H33" i="3"/>
  <c r="K62" i="3"/>
  <c r="J66" i="3"/>
  <c r="K66" i="3" s="1"/>
  <c r="U29" i="3"/>
  <c r="U33" i="3" s="1"/>
  <c r="I33" i="3"/>
  <c r="K33" i="3" s="1"/>
  <c r="K29" i="3"/>
  <c r="N64" i="3"/>
  <c r="N66" i="3" s="1"/>
  <c r="Q66" i="3"/>
  <c r="F133" i="3"/>
  <c r="H129" i="3"/>
  <c r="T184" i="3"/>
  <c r="U180" i="3"/>
  <c r="U265" i="3"/>
  <c r="H62" i="3"/>
  <c r="H66" i="3" s="1"/>
  <c r="E79" i="3"/>
  <c r="E83" i="3" s="1"/>
  <c r="U79" i="3"/>
  <c r="U83" i="3" s="1"/>
  <c r="E98" i="3"/>
  <c r="E100" i="3" s="1"/>
  <c r="U98" i="3"/>
  <c r="D117" i="3"/>
  <c r="E115" i="3"/>
  <c r="E117" i="3" s="1"/>
  <c r="I117" i="3"/>
  <c r="M117" i="3"/>
  <c r="B117" i="3"/>
  <c r="J117" i="3"/>
  <c r="U129" i="3"/>
  <c r="N131" i="3"/>
  <c r="U146" i="3"/>
  <c r="U163" i="3"/>
  <c r="E165" i="3"/>
  <c r="E167" i="3" s="1"/>
  <c r="J167" i="3"/>
  <c r="K167" i="3" s="1"/>
  <c r="K165" i="3"/>
  <c r="U182" i="3"/>
  <c r="K184" i="3"/>
  <c r="L201" i="3"/>
  <c r="U197" i="3"/>
  <c r="H214" i="3"/>
  <c r="H218" i="3" s="1"/>
  <c r="M218" i="3"/>
  <c r="K216" i="3"/>
  <c r="G235" i="3"/>
  <c r="H231" i="3"/>
  <c r="U233" i="3"/>
  <c r="U235" i="3" s="1"/>
  <c r="N248" i="3"/>
  <c r="N252" i="3" s="1"/>
  <c r="H269" i="3"/>
  <c r="M269" i="3"/>
  <c r="N265" i="3"/>
  <c r="N269" i="3" s="1"/>
  <c r="I286" i="3"/>
  <c r="H117" i="3"/>
  <c r="J150" i="3"/>
  <c r="K150" i="3" s="1"/>
  <c r="K146" i="3"/>
  <c r="M150" i="3"/>
  <c r="N148" i="3"/>
  <c r="N150" i="3" s="1"/>
  <c r="E62" i="3"/>
  <c r="E66" i="3" s="1"/>
  <c r="U62" i="3"/>
  <c r="U66" i="3" s="1"/>
  <c r="N79" i="3"/>
  <c r="N83" i="3" s="1"/>
  <c r="N98" i="3"/>
  <c r="N113" i="3"/>
  <c r="N129" i="3"/>
  <c r="N133" i="3" s="1"/>
  <c r="E131" i="3"/>
  <c r="H146" i="3"/>
  <c r="H150" i="3" s="1"/>
  <c r="K148" i="3"/>
  <c r="G167" i="3"/>
  <c r="H163" i="3"/>
  <c r="H167" i="3" s="1"/>
  <c r="U165" i="3"/>
  <c r="N180" i="3"/>
  <c r="N184" i="3" s="1"/>
  <c r="G184" i="3"/>
  <c r="H182" i="3"/>
  <c r="H184" i="3" s="1"/>
  <c r="H201" i="3"/>
  <c r="M201" i="3"/>
  <c r="N197" i="3"/>
  <c r="I218" i="3"/>
  <c r="N218" i="3"/>
  <c r="N235" i="3"/>
  <c r="R235" i="3"/>
  <c r="H233" i="3"/>
  <c r="D252" i="3"/>
  <c r="E248" i="3"/>
  <c r="E252" i="3" s="1"/>
  <c r="O252" i="3"/>
  <c r="S252" i="3"/>
  <c r="D269" i="3"/>
  <c r="J286" i="3"/>
  <c r="K286" i="3" s="1"/>
  <c r="K282" i="3"/>
  <c r="V286" i="3"/>
  <c r="P117" i="3"/>
  <c r="T117" i="3"/>
  <c r="U115" i="3"/>
  <c r="U117" i="3" s="1"/>
  <c r="E129" i="3"/>
  <c r="E133" i="3" s="1"/>
  <c r="K129" i="3"/>
  <c r="J133" i="3"/>
  <c r="K133" i="3" s="1"/>
  <c r="T133" i="3"/>
  <c r="U131" i="3"/>
  <c r="U148" i="3"/>
  <c r="D184" i="3"/>
  <c r="E180" i="3"/>
  <c r="O184" i="3"/>
  <c r="S184" i="3"/>
  <c r="J218" i="3"/>
  <c r="K214" i="3"/>
  <c r="J235" i="3"/>
  <c r="K235" i="3" s="1"/>
  <c r="T252" i="3"/>
  <c r="U248" i="3"/>
  <c r="U252" i="3" s="1"/>
  <c r="N115" i="3"/>
  <c r="G150" i="3"/>
  <c r="N163" i="3"/>
  <c r="N167" i="3" s="1"/>
  <c r="D167" i="3"/>
  <c r="T167" i="3"/>
  <c r="M184" i="3"/>
  <c r="J201" i="3"/>
  <c r="K201" i="3" s="1"/>
  <c r="G218" i="3"/>
  <c r="D235" i="3"/>
  <c r="T235" i="3"/>
  <c r="M252" i="3"/>
  <c r="J269" i="3"/>
  <c r="K269" i="3" s="1"/>
  <c r="E282" i="3"/>
  <c r="G286" i="3"/>
  <c r="E286" i="3" l="1"/>
  <c r="U100" i="3"/>
  <c r="E201" i="3"/>
  <c r="H133" i="3"/>
  <c r="E150" i="3"/>
  <c r="H286" i="3"/>
  <c r="H252" i="3"/>
  <c r="U184" i="3"/>
  <c r="N117" i="3"/>
  <c r="N100" i="3"/>
  <c r="U150" i="3"/>
  <c r="E235" i="3"/>
  <c r="U201" i="3"/>
  <c r="E184" i="3"/>
  <c r="N201" i="3"/>
  <c r="U269" i="3"/>
  <c r="U133" i="3"/>
  <c r="H235" i="3"/>
  <c r="U167" i="3"/>
  <c r="K218" i="3"/>
  <c r="K510" i="9" l="1"/>
  <c r="J510" i="9"/>
  <c r="I510" i="9"/>
  <c r="H510" i="9"/>
  <c r="G510" i="9"/>
  <c r="F510" i="9"/>
  <c r="E510" i="9"/>
  <c r="D510" i="9"/>
  <c r="C510" i="9"/>
  <c r="B510" i="9"/>
  <c r="K505" i="9"/>
  <c r="J505" i="9"/>
  <c r="I505" i="9"/>
  <c r="H505" i="9"/>
  <c r="G505" i="9"/>
  <c r="F505" i="9"/>
  <c r="E505" i="9"/>
  <c r="D505" i="9"/>
  <c r="C505" i="9"/>
  <c r="B505" i="9"/>
  <c r="G499" i="9"/>
  <c r="F498" i="9"/>
  <c r="E498" i="9"/>
  <c r="F497" i="9"/>
  <c r="G497" i="9" s="1"/>
  <c r="F496" i="9"/>
  <c r="E496" i="9"/>
  <c r="F495" i="9"/>
  <c r="E495" i="9"/>
  <c r="F494" i="9"/>
  <c r="E494" i="9"/>
  <c r="G494" i="9" s="1"/>
  <c r="K493" i="9"/>
  <c r="F493" i="9"/>
  <c r="E493" i="9"/>
  <c r="K492" i="9"/>
  <c r="F492" i="9"/>
  <c r="E492" i="9"/>
  <c r="F491" i="9"/>
  <c r="F500" i="9" s="1"/>
  <c r="E491" i="9"/>
  <c r="E500" i="9" s="1"/>
  <c r="H487" i="9"/>
  <c r="G487" i="9"/>
  <c r="F487" i="9"/>
  <c r="N486" i="9"/>
  <c r="M486" i="9"/>
  <c r="L486" i="9"/>
  <c r="K486" i="9"/>
  <c r="I486" i="9"/>
  <c r="E486" i="9"/>
  <c r="D486" i="9"/>
  <c r="C486" i="9"/>
  <c r="B486" i="9"/>
  <c r="K478" i="9"/>
  <c r="J478" i="9"/>
  <c r="I478" i="9"/>
  <c r="H478" i="9"/>
  <c r="G478" i="9"/>
  <c r="F478" i="9"/>
  <c r="E478" i="9"/>
  <c r="D478" i="9"/>
  <c r="C478" i="9"/>
  <c r="B478" i="9"/>
  <c r="K473" i="9"/>
  <c r="J473" i="9"/>
  <c r="I473" i="9"/>
  <c r="H473" i="9"/>
  <c r="G473" i="9"/>
  <c r="F473" i="9"/>
  <c r="E473" i="9"/>
  <c r="D473" i="9"/>
  <c r="C473" i="9"/>
  <c r="B473" i="9"/>
  <c r="F466" i="9"/>
  <c r="E466" i="9"/>
  <c r="F465" i="9"/>
  <c r="G465" i="9" s="1"/>
  <c r="F464" i="9"/>
  <c r="E464" i="9"/>
  <c r="F463" i="9"/>
  <c r="E463" i="9"/>
  <c r="F462" i="9"/>
  <c r="E462" i="9"/>
  <c r="G462" i="9" s="1"/>
  <c r="K461" i="9"/>
  <c r="F461" i="9"/>
  <c r="E461" i="9"/>
  <c r="K460" i="9"/>
  <c r="F460" i="9"/>
  <c r="E460" i="9"/>
  <c r="F459" i="9"/>
  <c r="F468" i="9" s="1"/>
  <c r="E459" i="9"/>
  <c r="E468" i="9" s="1"/>
  <c r="H455" i="9"/>
  <c r="G455" i="9"/>
  <c r="F455" i="9"/>
  <c r="N454" i="9"/>
  <c r="M454" i="9"/>
  <c r="L454" i="9"/>
  <c r="K454" i="9"/>
  <c r="I454" i="9"/>
  <c r="E454" i="9"/>
  <c r="D454" i="9"/>
  <c r="C454" i="9"/>
  <c r="B454" i="9"/>
  <c r="K446" i="9"/>
  <c r="J446" i="9"/>
  <c r="I446" i="9"/>
  <c r="H446" i="9"/>
  <c r="G446" i="9"/>
  <c r="F446" i="9"/>
  <c r="E446" i="9"/>
  <c r="D446" i="9"/>
  <c r="C446" i="9"/>
  <c r="B446" i="9"/>
  <c r="K441" i="9"/>
  <c r="J441" i="9"/>
  <c r="I441" i="9"/>
  <c r="H441" i="9"/>
  <c r="G441" i="9"/>
  <c r="F441" i="9"/>
  <c r="E441" i="9"/>
  <c r="D441" i="9"/>
  <c r="C441" i="9"/>
  <c r="B441" i="9"/>
  <c r="G435" i="9"/>
  <c r="F434" i="9"/>
  <c r="E434" i="9"/>
  <c r="F433" i="9"/>
  <c r="G433" i="9" s="1"/>
  <c r="F432" i="9"/>
  <c r="E432" i="9"/>
  <c r="F431" i="9"/>
  <c r="E431" i="9"/>
  <c r="F430" i="9"/>
  <c r="E430" i="9"/>
  <c r="K429" i="9"/>
  <c r="F429" i="9"/>
  <c r="E429" i="9"/>
  <c r="K428" i="9"/>
  <c r="F428" i="9"/>
  <c r="E428" i="9"/>
  <c r="F427" i="9"/>
  <c r="F436" i="9" s="1"/>
  <c r="E427" i="9"/>
  <c r="E436" i="9" s="1"/>
  <c r="H423" i="9"/>
  <c r="G423" i="9"/>
  <c r="F423" i="9"/>
  <c r="N422" i="9"/>
  <c r="M422" i="9"/>
  <c r="L422" i="9"/>
  <c r="K422" i="9"/>
  <c r="I422" i="9"/>
  <c r="E422" i="9"/>
  <c r="D422" i="9"/>
  <c r="C422" i="9"/>
  <c r="B422" i="9"/>
  <c r="K414" i="9"/>
  <c r="J414" i="9"/>
  <c r="I414" i="9"/>
  <c r="H414" i="9"/>
  <c r="G414" i="9"/>
  <c r="F414" i="9"/>
  <c r="E414" i="9"/>
  <c r="D414" i="9"/>
  <c r="C414" i="9"/>
  <c r="B414" i="9"/>
  <c r="K409" i="9"/>
  <c r="J409" i="9"/>
  <c r="I409" i="9"/>
  <c r="H409" i="9"/>
  <c r="G409" i="9"/>
  <c r="F409" i="9"/>
  <c r="E409" i="9"/>
  <c r="D409" i="9"/>
  <c r="C409" i="9"/>
  <c r="B409" i="9"/>
  <c r="G403" i="9"/>
  <c r="F402" i="9"/>
  <c r="E402" i="9"/>
  <c r="F401" i="9"/>
  <c r="G401" i="9" s="1"/>
  <c r="F400" i="9"/>
  <c r="E400" i="9"/>
  <c r="G400" i="9" s="1"/>
  <c r="F399" i="9"/>
  <c r="E399" i="9"/>
  <c r="F398" i="9"/>
  <c r="E398" i="9"/>
  <c r="G398" i="9" s="1"/>
  <c r="K397" i="9"/>
  <c r="F397" i="9"/>
  <c r="E397" i="9"/>
  <c r="K396" i="9"/>
  <c r="F396" i="9"/>
  <c r="E396" i="9"/>
  <c r="F395" i="9"/>
  <c r="F404" i="9" s="1"/>
  <c r="E395" i="9"/>
  <c r="E404" i="9" s="1"/>
  <c r="H391" i="9"/>
  <c r="G391" i="9"/>
  <c r="F391" i="9"/>
  <c r="N390" i="9"/>
  <c r="M390" i="9"/>
  <c r="L390" i="9"/>
  <c r="K390" i="9"/>
  <c r="I390" i="9"/>
  <c r="E390" i="9"/>
  <c r="D390" i="9"/>
  <c r="C390" i="9"/>
  <c r="B390" i="9"/>
  <c r="K382" i="9"/>
  <c r="J382" i="9"/>
  <c r="I382" i="9"/>
  <c r="H382" i="9"/>
  <c r="G382" i="9"/>
  <c r="F382" i="9"/>
  <c r="E382" i="9"/>
  <c r="D382" i="9"/>
  <c r="C382" i="9"/>
  <c r="B382" i="9"/>
  <c r="K377" i="9"/>
  <c r="J377" i="9"/>
  <c r="I377" i="9"/>
  <c r="H377" i="9"/>
  <c r="G377" i="9"/>
  <c r="F377" i="9"/>
  <c r="E377" i="9"/>
  <c r="D377" i="9"/>
  <c r="C377" i="9"/>
  <c r="B377" i="9"/>
  <c r="G371" i="9"/>
  <c r="F370" i="9"/>
  <c r="E370" i="9"/>
  <c r="F369" i="9"/>
  <c r="G369" i="9" s="1"/>
  <c r="F368" i="9"/>
  <c r="E368" i="9"/>
  <c r="F367" i="9"/>
  <c r="E367" i="9"/>
  <c r="F366" i="9"/>
  <c r="E366" i="9"/>
  <c r="K365" i="9"/>
  <c r="F365" i="9"/>
  <c r="E365" i="9"/>
  <c r="K364" i="9"/>
  <c r="F364" i="9"/>
  <c r="E364" i="9"/>
  <c r="F363" i="9"/>
  <c r="F372" i="9" s="1"/>
  <c r="E363" i="9"/>
  <c r="E372" i="9" s="1"/>
  <c r="H359" i="9"/>
  <c r="G359" i="9"/>
  <c r="F359" i="9"/>
  <c r="N358" i="9"/>
  <c r="M358" i="9"/>
  <c r="L358" i="9"/>
  <c r="K358" i="9"/>
  <c r="I358" i="9"/>
  <c r="E358" i="9"/>
  <c r="D358" i="9"/>
  <c r="C358" i="9"/>
  <c r="B358" i="9"/>
  <c r="K350" i="9"/>
  <c r="J350" i="9"/>
  <c r="I350" i="9"/>
  <c r="H350" i="9"/>
  <c r="G350" i="9"/>
  <c r="F350" i="9"/>
  <c r="E350" i="9"/>
  <c r="D350" i="9"/>
  <c r="C350" i="9"/>
  <c r="B350" i="9"/>
  <c r="K345" i="9"/>
  <c r="J345" i="9"/>
  <c r="I345" i="9"/>
  <c r="H345" i="9"/>
  <c r="G345" i="9"/>
  <c r="F345" i="9"/>
  <c r="E345" i="9"/>
  <c r="D345" i="9"/>
  <c r="C345" i="9"/>
  <c r="B345" i="9"/>
  <c r="E340" i="9"/>
  <c r="G340" i="9" s="1"/>
  <c r="G339" i="9"/>
  <c r="F338" i="9"/>
  <c r="E338" i="9"/>
  <c r="F337" i="9"/>
  <c r="G337" i="9" s="1"/>
  <c r="F336" i="9"/>
  <c r="E336" i="9"/>
  <c r="F335" i="9"/>
  <c r="E335" i="9"/>
  <c r="F334" i="9"/>
  <c r="E334" i="9"/>
  <c r="K333" i="9"/>
  <c r="F333" i="9"/>
  <c r="E333" i="9"/>
  <c r="K332" i="9"/>
  <c r="F332" i="9"/>
  <c r="E332" i="9"/>
  <c r="G331" i="9"/>
  <c r="F331" i="9"/>
  <c r="E331" i="9"/>
  <c r="H327" i="9"/>
  <c r="G327" i="9"/>
  <c r="F327" i="9"/>
  <c r="N326" i="9"/>
  <c r="M326" i="9"/>
  <c r="L326" i="9"/>
  <c r="K326" i="9"/>
  <c r="I326" i="9"/>
  <c r="E326" i="9"/>
  <c r="D326" i="9"/>
  <c r="C326" i="9"/>
  <c r="B326" i="9"/>
  <c r="K318" i="9"/>
  <c r="J318" i="9"/>
  <c r="I318" i="9"/>
  <c r="H318" i="9"/>
  <c r="G318" i="9"/>
  <c r="F318" i="9"/>
  <c r="E318" i="9"/>
  <c r="D318" i="9"/>
  <c r="C318" i="9"/>
  <c r="B318" i="9"/>
  <c r="K313" i="9"/>
  <c r="J313" i="9"/>
  <c r="I313" i="9"/>
  <c r="H313" i="9"/>
  <c r="G313" i="9"/>
  <c r="F313" i="9"/>
  <c r="E313" i="9"/>
  <c r="D313" i="9"/>
  <c r="C313" i="9"/>
  <c r="B313" i="9"/>
  <c r="G307" i="9"/>
  <c r="F306" i="9"/>
  <c r="E306" i="9"/>
  <c r="F305" i="9"/>
  <c r="G305" i="9" s="1"/>
  <c r="F304" i="9"/>
  <c r="E304" i="9"/>
  <c r="F303" i="9"/>
  <c r="E303" i="9"/>
  <c r="F302" i="9"/>
  <c r="E302" i="9"/>
  <c r="K301" i="9"/>
  <c r="F301" i="9"/>
  <c r="E301" i="9"/>
  <c r="K300" i="9"/>
  <c r="F300" i="9"/>
  <c r="E300" i="9"/>
  <c r="F299" i="9"/>
  <c r="E299" i="9"/>
  <c r="E308" i="9" s="1"/>
  <c r="H295" i="9"/>
  <c r="G295" i="9"/>
  <c r="F295" i="9"/>
  <c r="N294" i="9"/>
  <c r="M294" i="9"/>
  <c r="L294" i="9"/>
  <c r="K294" i="9"/>
  <c r="I294" i="9"/>
  <c r="E294" i="9"/>
  <c r="D294" i="9"/>
  <c r="C294" i="9"/>
  <c r="B294" i="9"/>
  <c r="K286" i="9"/>
  <c r="J286" i="9"/>
  <c r="I286" i="9"/>
  <c r="H286" i="9"/>
  <c r="G286" i="9"/>
  <c r="F286" i="9"/>
  <c r="E286" i="9"/>
  <c r="D286" i="9"/>
  <c r="C286" i="9"/>
  <c r="B286" i="9"/>
  <c r="K281" i="9"/>
  <c r="J281" i="9"/>
  <c r="I281" i="9"/>
  <c r="H281" i="9"/>
  <c r="G281" i="9"/>
  <c r="F281" i="9"/>
  <c r="E281" i="9"/>
  <c r="D281" i="9"/>
  <c r="C281" i="9"/>
  <c r="B281" i="9"/>
  <c r="G275" i="9"/>
  <c r="F274" i="9"/>
  <c r="E274" i="9"/>
  <c r="F273" i="9"/>
  <c r="G273" i="9" s="1"/>
  <c r="F272" i="9"/>
  <c r="E272" i="9"/>
  <c r="F271" i="9"/>
  <c r="G271" i="9" s="1"/>
  <c r="E271" i="9"/>
  <c r="F270" i="9"/>
  <c r="E270" i="9"/>
  <c r="K269" i="9"/>
  <c r="F269" i="9"/>
  <c r="E269" i="9"/>
  <c r="K268" i="9"/>
  <c r="F268" i="9"/>
  <c r="E268" i="9"/>
  <c r="F267" i="9"/>
  <c r="E267" i="9"/>
  <c r="E276" i="9" s="1"/>
  <c r="H263" i="9"/>
  <c r="G263" i="9"/>
  <c r="F263" i="9"/>
  <c r="N262" i="9"/>
  <c r="M262" i="9"/>
  <c r="L262" i="9"/>
  <c r="K262" i="9"/>
  <c r="I262" i="9"/>
  <c r="E262" i="9"/>
  <c r="D262" i="9"/>
  <c r="C262" i="9"/>
  <c r="B262" i="9"/>
  <c r="K254" i="9"/>
  <c r="J254" i="9"/>
  <c r="I254" i="9"/>
  <c r="H254" i="9"/>
  <c r="G254" i="9"/>
  <c r="F254" i="9"/>
  <c r="E254" i="9"/>
  <c r="D254" i="9"/>
  <c r="L254" i="9" s="1"/>
  <c r="C254" i="9"/>
  <c r="B254" i="9"/>
  <c r="K249" i="9"/>
  <c r="J249" i="9"/>
  <c r="I249" i="9"/>
  <c r="H249" i="9"/>
  <c r="G249" i="9"/>
  <c r="F249" i="9"/>
  <c r="E249" i="9"/>
  <c r="D249" i="9"/>
  <c r="C249" i="9"/>
  <c r="B249" i="9"/>
  <c r="G243" i="9"/>
  <c r="F242" i="9"/>
  <c r="E242" i="9"/>
  <c r="F241" i="9"/>
  <c r="G241" i="9" s="1"/>
  <c r="F240" i="9"/>
  <c r="E240" i="9"/>
  <c r="F239" i="9"/>
  <c r="E239" i="9"/>
  <c r="F238" i="9"/>
  <c r="E238" i="9"/>
  <c r="K237" i="9"/>
  <c r="F237" i="9"/>
  <c r="E237" i="9"/>
  <c r="K236" i="9"/>
  <c r="F236" i="9"/>
  <c r="E236" i="9"/>
  <c r="F235" i="9"/>
  <c r="E235" i="9"/>
  <c r="E244" i="9" s="1"/>
  <c r="H231" i="9"/>
  <c r="G231" i="9"/>
  <c r="F231" i="9"/>
  <c r="N230" i="9"/>
  <c r="M230" i="9"/>
  <c r="L230" i="9"/>
  <c r="K230" i="9"/>
  <c r="I230" i="9"/>
  <c r="E230" i="9"/>
  <c r="D230" i="9"/>
  <c r="C230" i="9"/>
  <c r="B230" i="9"/>
  <c r="K222" i="9"/>
  <c r="J222" i="9"/>
  <c r="I222" i="9"/>
  <c r="H222" i="9"/>
  <c r="G222" i="9"/>
  <c r="F222" i="9"/>
  <c r="E222" i="9"/>
  <c r="D222" i="9"/>
  <c r="C222" i="9"/>
  <c r="B222" i="9"/>
  <c r="K217" i="9"/>
  <c r="J217" i="9"/>
  <c r="I217" i="9"/>
  <c r="H217" i="9"/>
  <c r="G217" i="9"/>
  <c r="F217" i="9"/>
  <c r="E217" i="9"/>
  <c r="D217" i="9"/>
  <c r="C217" i="9"/>
  <c r="B217" i="9"/>
  <c r="G211" i="9"/>
  <c r="F210" i="9"/>
  <c r="E210" i="9"/>
  <c r="F209" i="9"/>
  <c r="G209" i="9" s="1"/>
  <c r="F208" i="9"/>
  <c r="E208" i="9"/>
  <c r="F207" i="9"/>
  <c r="E207" i="9"/>
  <c r="F206" i="9"/>
  <c r="E206" i="9"/>
  <c r="K205" i="9"/>
  <c r="F205" i="9"/>
  <c r="E205" i="9"/>
  <c r="K204" i="9"/>
  <c r="F204" i="9"/>
  <c r="E204" i="9"/>
  <c r="F203" i="9"/>
  <c r="E203" i="9"/>
  <c r="E212" i="9" s="1"/>
  <c r="H199" i="9"/>
  <c r="G199" i="9"/>
  <c r="F199" i="9"/>
  <c r="N198" i="9"/>
  <c r="M198" i="9"/>
  <c r="L198" i="9"/>
  <c r="K198" i="9"/>
  <c r="I198" i="9"/>
  <c r="E198" i="9"/>
  <c r="D198" i="9"/>
  <c r="C198" i="9"/>
  <c r="B198" i="9"/>
  <c r="K191" i="9"/>
  <c r="J191" i="9"/>
  <c r="I191" i="9"/>
  <c r="H191" i="9"/>
  <c r="G191" i="9"/>
  <c r="F191" i="9"/>
  <c r="E191" i="9"/>
  <c r="D191" i="9"/>
  <c r="C191" i="9"/>
  <c r="B191" i="9"/>
  <c r="K186" i="9"/>
  <c r="J186" i="9"/>
  <c r="I186" i="9"/>
  <c r="H186" i="9"/>
  <c r="G186" i="9"/>
  <c r="F186" i="9"/>
  <c r="E186" i="9"/>
  <c r="D186" i="9"/>
  <c r="C186" i="9"/>
  <c r="B186" i="9"/>
  <c r="G180" i="9"/>
  <c r="F179" i="9"/>
  <c r="E179" i="9"/>
  <c r="F178" i="9"/>
  <c r="G178" i="9" s="1"/>
  <c r="F177" i="9"/>
  <c r="E177" i="9"/>
  <c r="F176" i="9"/>
  <c r="E176" i="9"/>
  <c r="F175" i="9"/>
  <c r="E175" i="9"/>
  <c r="K174" i="9"/>
  <c r="F174" i="9"/>
  <c r="E174" i="9"/>
  <c r="K173" i="9"/>
  <c r="F173" i="9"/>
  <c r="E173" i="9"/>
  <c r="F172" i="9"/>
  <c r="E172" i="9"/>
  <c r="E181" i="9" s="1"/>
  <c r="H168" i="9"/>
  <c r="G168" i="9"/>
  <c r="F168" i="9"/>
  <c r="N167" i="9"/>
  <c r="M167" i="9"/>
  <c r="L167" i="9"/>
  <c r="K167" i="9"/>
  <c r="I167" i="9"/>
  <c r="E167" i="9"/>
  <c r="D167" i="9"/>
  <c r="C167" i="9"/>
  <c r="B167" i="9"/>
  <c r="K159" i="9"/>
  <c r="J159" i="9"/>
  <c r="I159" i="9"/>
  <c r="H159" i="9"/>
  <c r="G159" i="9"/>
  <c r="F159" i="9"/>
  <c r="E159" i="9"/>
  <c r="D159" i="9"/>
  <c r="C159" i="9"/>
  <c r="B159" i="9"/>
  <c r="K154" i="9"/>
  <c r="J154" i="9"/>
  <c r="I154" i="9"/>
  <c r="H154" i="9"/>
  <c r="G154" i="9"/>
  <c r="F154" i="9"/>
  <c r="E154" i="9"/>
  <c r="D154" i="9"/>
  <c r="C154" i="9"/>
  <c r="B154" i="9"/>
  <c r="G148" i="9"/>
  <c r="F147" i="9"/>
  <c r="E147" i="9"/>
  <c r="F146" i="9"/>
  <c r="G146" i="9" s="1"/>
  <c r="F145" i="9"/>
  <c r="E145" i="9"/>
  <c r="F144" i="9"/>
  <c r="E144" i="9"/>
  <c r="F143" i="9"/>
  <c r="E143" i="9"/>
  <c r="K142" i="9"/>
  <c r="F142" i="9"/>
  <c r="E142" i="9"/>
  <c r="K141" i="9"/>
  <c r="F141" i="9"/>
  <c r="E141" i="9"/>
  <c r="F140" i="9"/>
  <c r="E140" i="9"/>
  <c r="E149" i="9" s="1"/>
  <c r="H136" i="9"/>
  <c r="G136" i="9"/>
  <c r="F136" i="9"/>
  <c r="N135" i="9"/>
  <c r="M135" i="9"/>
  <c r="L135" i="9"/>
  <c r="K135" i="9"/>
  <c r="I135" i="9"/>
  <c r="E135" i="9"/>
  <c r="D135" i="9"/>
  <c r="C135" i="9"/>
  <c r="B135" i="9"/>
  <c r="K127" i="9"/>
  <c r="J127" i="9"/>
  <c r="I127" i="9"/>
  <c r="H127" i="9"/>
  <c r="G127" i="9"/>
  <c r="F127" i="9"/>
  <c r="E127" i="9"/>
  <c r="D127" i="9"/>
  <c r="C127" i="9"/>
  <c r="B127" i="9"/>
  <c r="K122" i="9"/>
  <c r="J122" i="9"/>
  <c r="I122" i="9"/>
  <c r="H122" i="9"/>
  <c r="G122" i="9"/>
  <c r="F122" i="9"/>
  <c r="E122" i="9"/>
  <c r="D122" i="9"/>
  <c r="C122" i="9"/>
  <c r="B122" i="9"/>
  <c r="F115" i="9"/>
  <c r="E115" i="9"/>
  <c r="F114" i="9"/>
  <c r="G114" i="9" s="1"/>
  <c r="F113" i="9"/>
  <c r="E113" i="9"/>
  <c r="F112" i="9"/>
  <c r="E112" i="9"/>
  <c r="F111" i="9"/>
  <c r="E111" i="9"/>
  <c r="K110" i="9"/>
  <c r="F110" i="9"/>
  <c r="E110" i="9"/>
  <c r="K109" i="9"/>
  <c r="F109" i="9"/>
  <c r="E109" i="9"/>
  <c r="F108" i="9"/>
  <c r="E108" i="9"/>
  <c r="E117" i="9" s="1"/>
  <c r="H104" i="9"/>
  <c r="G104" i="9"/>
  <c r="F104" i="9"/>
  <c r="N103" i="9"/>
  <c r="M103" i="9"/>
  <c r="L103" i="9"/>
  <c r="K103" i="9"/>
  <c r="I103" i="9"/>
  <c r="E103" i="9"/>
  <c r="D103" i="9"/>
  <c r="C103" i="9"/>
  <c r="B103" i="9"/>
  <c r="K95" i="9"/>
  <c r="J95" i="9"/>
  <c r="I95" i="9"/>
  <c r="H95" i="9"/>
  <c r="G95" i="9"/>
  <c r="F95" i="9"/>
  <c r="E95" i="9"/>
  <c r="D95" i="9"/>
  <c r="C95" i="9"/>
  <c r="B95" i="9"/>
  <c r="K90" i="9"/>
  <c r="J90" i="9"/>
  <c r="I90" i="9"/>
  <c r="H90" i="9"/>
  <c r="G90" i="9"/>
  <c r="F90" i="9"/>
  <c r="E90" i="9"/>
  <c r="D90" i="9"/>
  <c r="C90" i="9"/>
  <c r="B90" i="9"/>
  <c r="G84" i="9"/>
  <c r="F83" i="9"/>
  <c r="E83" i="9"/>
  <c r="F82" i="9"/>
  <c r="G82" i="9" s="1"/>
  <c r="F81" i="9"/>
  <c r="E81" i="9"/>
  <c r="G81" i="9" s="1"/>
  <c r="F80" i="9"/>
  <c r="E80" i="9"/>
  <c r="F79" i="9"/>
  <c r="E79" i="9"/>
  <c r="K78" i="9"/>
  <c r="F78" i="9"/>
  <c r="E78" i="9"/>
  <c r="K77" i="9"/>
  <c r="F77" i="9"/>
  <c r="E77" i="9"/>
  <c r="F76" i="9"/>
  <c r="E76" i="9"/>
  <c r="E85" i="9" s="1"/>
  <c r="H72" i="9"/>
  <c r="G72" i="9"/>
  <c r="F72" i="9"/>
  <c r="N71" i="9"/>
  <c r="M71" i="9"/>
  <c r="L71" i="9"/>
  <c r="K71" i="9"/>
  <c r="I71" i="9"/>
  <c r="E71" i="9"/>
  <c r="D71" i="9"/>
  <c r="C71" i="9"/>
  <c r="B71" i="9"/>
  <c r="M63" i="9"/>
  <c r="L63" i="9"/>
  <c r="N63" i="9" s="1"/>
  <c r="K63" i="9"/>
  <c r="J63" i="9"/>
  <c r="I63" i="9"/>
  <c r="H63" i="9"/>
  <c r="G63" i="9"/>
  <c r="F63" i="9"/>
  <c r="E63" i="9"/>
  <c r="D63" i="9"/>
  <c r="C63" i="9"/>
  <c r="B63" i="9"/>
  <c r="K58" i="9"/>
  <c r="J58" i="9"/>
  <c r="I58" i="9"/>
  <c r="H58" i="9"/>
  <c r="G58" i="9"/>
  <c r="F58" i="9"/>
  <c r="E58" i="9"/>
  <c r="D58" i="9"/>
  <c r="C58" i="9"/>
  <c r="B58" i="9"/>
  <c r="G52" i="9"/>
  <c r="F51" i="9"/>
  <c r="E51" i="9"/>
  <c r="F50" i="9"/>
  <c r="G50" i="9" s="1"/>
  <c r="F49" i="9"/>
  <c r="E49" i="9"/>
  <c r="F48" i="9"/>
  <c r="E48" i="9"/>
  <c r="F47" i="9"/>
  <c r="E47" i="9"/>
  <c r="K46" i="9"/>
  <c r="F46" i="9"/>
  <c r="E46" i="9"/>
  <c r="K45" i="9"/>
  <c r="F45" i="9"/>
  <c r="E45" i="9"/>
  <c r="F44" i="9"/>
  <c r="E44" i="9"/>
  <c r="E53" i="9" s="1"/>
  <c r="H40" i="9"/>
  <c r="G40" i="9"/>
  <c r="F40" i="9"/>
  <c r="N39" i="9"/>
  <c r="M39" i="9"/>
  <c r="L39" i="9"/>
  <c r="K39" i="9"/>
  <c r="I39" i="9"/>
  <c r="E39" i="9"/>
  <c r="D39" i="9"/>
  <c r="C39" i="9"/>
  <c r="B39" i="9"/>
  <c r="M31" i="9"/>
  <c r="L31" i="9"/>
  <c r="K31" i="9"/>
  <c r="J31" i="9"/>
  <c r="I31" i="9"/>
  <c r="H31" i="9"/>
  <c r="G31" i="9"/>
  <c r="F31" i="9"/>
  <c r="E31" i="9"/>
  <c r="D31" i="9"/>
  <c r="C31" i="9"/>
  <c r="B31" i="9"/>
  <c r="K26" i="9"/>
  <c r="J26" i="9"/>
  <c r="I26" i="9"/>
  <c r="H26" i="9"/>
  <c r="G26" i="9"/>
  <c r="F26" i="9"/>
  <c r="E26" i="9"/>
  <c r="D26" i="9"/>
  <c r="C26" i="9"/>
  <c r="B26" i="9"/>
  <c r="G20" i="9"/>
  <c r="F19" i="9"/>
  <c r="E19" i="9"/>
  <c r="F18" i="9"/>
  <c r="G18" i="9" s="1"/>
  <c r="F17" i="9"/>
  <c r="E17" i="9"/>
  <c r="F16" i="9"/>
  <c r="E16" i="9"/>
  <c r="G16" i="9" s="1"/>
  <c r="F15" i="9"/>
  <c r="E15" i="9"/>
  <c r="K14" i="9"/>
  <c r="F14" i="9"/>
  <c r="E14" i="9"/>
  <c r="K13" i="9"/>
  <c r="F13" i="9"/>
  <c r="E13" i="9"/>
  <c r="G13" i="9" s="1"/>
  <c r="F12" i="9"/>
  <c r="F21" i="9" s="1"/>
  <c r="E12" i="9"/>
  <c r="E21" i="9" s="1"/>
  <c r="H8" i="9"/>
  <c r="G8" i="9"/>
  <c r="F8" i="9"/>
  <c r="N7" i="9"/>
  <c r="M7" i="9"/>
  <c r="L7" i="9"/>
  <c r="K7" i="9"/>
  <c r="I7" i="9"/>
  <c r="E7" i="9"/>
  <c r="D7" i="9"/>
  <c r="C7" i="9"/>
  <c r="B7" i="9"/>
  <c r="T211" i="8"/>
  <c r="S211" i="8"/>
  <c r="I211" i="8"/>
  <c r="E211" i="8"/>
  <c r="V210" i="8"/>
  <c r="U210" i="8"/>
  <c r="R210" i="8"/>
  <c r="Q210" i="8"/>
  <c r="P210" i="8"/>
  <c r="O210" i="8"/>
  <c r="N210" i="8"/>
  <c r="M210" i="8"/>
  <c r="L210" i="8"/>
  <c r="K210" i="8"/>
  <c r="J210" i="8"/>
  <c r="H210" i="8"/>
  <c r="G210" i="8"/>
  <c r="F210" i="8"/>
  <c r="D210" i="8"/>
  <c r="C210" i="8"/>
  <c r="B210" i="8"/>
  <c r="V209" i="8"/>
  <c r="V211" i="8" s="1"/>
  <c r="U209" i="8"/>
  <c r="R209" i="8"/>
  <c r="Q209" i="8"/>
  <c r="P209" i="8"/>
  <c r="O209" i="8"/>
  <c r="N209" i="8"/>
  <c r="M209" i="8"/>
  <c r="L209" i="8"/>
  <c r="K209" i="8"/>
  <c r="J209" i="8"/>
  <c r="H209" i="8"/>
  <c r="G209" i="8"/>
  <c r="G211" i="8" s="1"/>
  <c r="F209" i="8"/>
  <c r="D209" i="8"/>
  <c r="C209" i="8"/>
  <c r="B209" i="8"/>
  <c r="T198" i="8"/>
  <c r="S198" i="8"/>
  <c r="V197" i="8"/>
  <c r="U197" i="8"/>
  <c r="R197" i="8"/>
  <c r="Q197" i="8"/>
  <c r="P197" i="8"/>
  <c r="O197" i="8"/>
  <c r="N197" i="8"/>
  <c r="M197" i="8"/>
  <c r="L197" i="8"/>
  <c r="K197" i="8"/>
  <c r="J197" i="8"/>
  <c r="I197" i="8"/>
  <c r="H197" i="8"/>
  <c r="G197" i="8"/>
  <c r="F197" i="8"/>
  <c r="E197" i="8"/>
  <c r="D197" i="8"/>
  <c r="C197" i="8"/>
  <c r="B197" i="8"/>
  <c r="V196" i="8"/>
  <c r="U196" i="8"/>
  <c r="R196" i="8"/>
  <c r="Q196" i="8"/>
  <c r="P196" i="8"/>
  <c r="O196" i="8"/>
  <c r="N196" i="8"/>
  <c r="M196" i="8"/>
  <c r="L196" i="8"/>
  <c r="K196" i="8"/>
  <c r="J196" i="8"/>
  <c r="I196" i="8"/>
  <c r="H196" i="8"/>
  <c r="G196" i="8"/>
  <c r="F196" i="8"/>
  <c r="E196" i="8"/>
  <c r="D196" i="8"/>
  <c r="C196" i="8"/>
  <c r="B196" i="8"/>
  <c r="T185" i="8"/>
  <c r="S185" i="8"/>
  <c r="V184" i="8"/>
  <c r="U184" i="8"/>
  <c r="R184" i="8"/>
  <c r="Q184" i="8"/>
  <c r="P184" i="8"/>
  <c r="O184" i="8"/>
  <c r="N184" i="8"/>
  <c r="M184" i="8"/>
  <c r="L184" i="8"/>
  <c r="K184" i="8"/>
  <c r="J184" i="8"/>
  <c r="I184" i="8"/>
  <c r="H184" i="8"/>
  <c r="G184" i="8"/>
  <c r="F184" i="8"/>
  <c r="E184" i="8"/>
  <c r="D184" i="8"/>
  <c r="C184" i="8"/>
  <c r="B184" i="8"/>
  <c r="V183" i="8"/>
  <c r="U183" i="8"/>
  <c r="R183" i="8"/>
  <c r="Q183" i="8"/>
  <c r="P183" i="8"/>
  <c r="O183" i="8"/>
  <c r="N183" i="8"/>
  <c r="M183" i="8"/>
  <c r="L183" i="8"/>
  <c r="K183" i="8"/>
  <c r="J183" i="8"/>
  <c r="I183" i="8"/>
  <c r="H183" i="8"/>
  <c r="G183" i="8"/>
  <c r="F183" i="8"/>
  <c r="E183" i="8"/>
  <c r="D183" i="8"/>
  <c r="C183" i="8"/>
  <c r="B183" i="8"/>
  <c r="T172" i="8"/>
  <c r="S172" i="8"/>
  <c r="E172" i="8"/>
  <c r="V171" i="8"/>
  <c r="U171" i="8"/>
  <c r="R171" i="8"/>
  <c r="Q171" i="8"/>
  <c r="P171" i="8"/>
  <c r="O171" i="8"/>
  <c r="N171" i="8"/>
  <c r="M171" i="8"/>
  <c r="L171" i="8"/>
  <c r="K171" i="8"/>
  <c r="J171" i="8"/>
  <c r="I171" i="8"/>
  <c r="H171" i="8"/>
  <c r="G171" i="8"/>
  <c r="F171" i="8"/>
  <c r="D171" i="8"/>
  <c r="C171" i="8"/>
  <c r="B171" i="8"/>
  <c r="V170" i="8"/>
  <c r="U170" i="8"/>
  <c r="R170" i="8"/>
  <c r="Q170" i="8"/>
  <c r="P170" i="8"/>
  <c r="O170" i="8"/>
  <c r="N170" i="8"/>
  <c r="M170" i="8"/>
  <c r="L170" i="8"/>
  <c r="K170" i="8"/>
  <c r="J170" i="8"/>
  <c r="I170" i="8"/>
  <c r="H170" i="8"/>
  <c r="G170" i="8"/>
  <c r="F170" i="8"/>
  <c r="D170" i="8"/>
  <c r="C170" i="8"/>
  <c r="B170" i="8"/>
  <c r="T159" i="8"/>
  <c r="S159" i="8"/>
  <c r="E159" i="8"/>
  <c r="V158" i="8"/>
  <c r="U158" i="8"/>
  <c r="R158" i="8"/>
  <c r="Q158" i="8"/>
  <c r="P158" i="8"/>
  <c r="O158" i="8"/>
  <c r="N158" i="8"/>
  <c r="M158" i="8"/>
  <c r="L158" i="8"/>
  <c r="K158" i="8"/>
  <c r="J158" i="8"/>
  <c r="I158" i="8"/>
  <c r="H158" i="8"/>
  <c r="G158" i="8"/>
  <c r="F158" i="8"/>
  <c r="D158" i="8"/>
  <c r="C158" i="8"/>
  <c r="B158" i="8"/>
  <c r="V157" i="8"/>
  <c r="U157" i="8"/>
  <c r="R157" i="8"/>
  <c r="Q157" i="8"/>
  <c r="P157" i="8"/>
  <c r="O157" i="8"/>
  <c r="N157" i="8"/>
  <c r="M157" i="8"/>
  <c r="L157" i="8"/>
  <c r="K157" i="8"/>
  <c r="J157" i="8"/>
  <c r="I157" i="8"/>
  <c r="H157" i="8"/>
  <c r="G157" i="8"/>
  <c r="F157" i="8"/>
  <c r="D157" i="8"/>
  <c r="C157" i="8"/>
  <c r="B157" i="8"/>
  <c r="T146" i="8"/>
  <c r="S146" i="8"/>
  <c r="V145" i="8"/>
  <c r="U145" i="8"/>
  <c r="R145" i="8"/>
  <c r="Q145" i="8"/>
  <c r="P145" i="8"/>
  <c r="O145" i="8"/>
  <c r="N145" i="8"/>
  <c r="M145" i="8"/>
  <c r="L145" i="8"/>
  <c r="K145" i="8"/>
  <c r="J145" i="8"/>
  <c r="I145" i="8"/>
  <c r="H145" i="8"/>
  <c r="G145" i="8"/>
  <c r="F145" i="8"/>
  <c r="E145" i="8"/>
  <c r="D145" i="8"/>
  <c r="C145" i="8"/>
  <c r="B145" i="8"/>
  <c r="V144" i="8"/>
  <c r="U144" i="8"/>
  <c r="R144" i="8"/>
  <c r="Q144" i="8"/>
  <c r="P144" i="8"/>
  <c r="O144" i="8"/>
  <c r="N144" i="8"/>
  <c r="M144" i="8"/>
  <c r="L144" i="8"/>
  <c r="K144" i="8"/>
  <c r="J144" i="8"/>
  <c r="I144" i="8"/>
  <c r="H144" i="8"/>
  <c r="G144" i="8"/>
  <c r="F144" i="8"/>
  <c r="E144" i="8"/>
  <c r="D144" i="8"/>
  <c r="C144" i="8"/>
  <c r="B144" i="8"/>
  <c r="T133" i="8"/>
  <c r="S133" i="8"/>
  <c r="R133" i="8"/>
  <c r="E133" i="8"/>
  <c r="V132" i="8"/>
  <c r="U132" i="8"/>
  <c r="Q132" i="8"/>
  <c r="P132" i="8"/>
  <c r="O132" i="8"/>
  <c r="N132" i="8"/>
  <c r="L132" i="8"/>
  <c r="K132" i="8"/>
  <c r="J132" i="8"/>
  <c r="I132" i="8"/>
  <c r="I133" i="8" s="1"/>
  <c r="H132" i="8"/>
  <c r="G132" i="8"/>
  <c r="F132" i="8"/>
  <c r="D132" i="8"/>
  <c r="C132" i="8"/>
  <c r="B132" i="8"/>
  <c r="V131" i="8"/>
  <c r="U131" i="8"/>
  <c r="Q131" i="8"/>
  <c r="P131" i="8"/>
  <c r="O131" i="8"/>
  <c r="O133" i="8" s="1"/>
  <c r="N131" i="8"/>
  <c r="N133" i="8" s="1"/>
  <c r="L131" i="8"/>
  <c r="K131" i="8"/>
  <c r="J131" i="8"/>
  <c r="H131" i="8"/>
  <c r="G131" i="8"/>
  <c r="F131" i="8"/>
  <c r="D131" i="8"/>
  <c r="C131" i="8"/>
  <c r="B131" i="8"/>
  <c r="T121" i="8"/>
  <c r="S121" i="8"/>
  <c r="R121" i="8"/>
  <c r="V120" i="8"/>
  <c r="U120" i="8"/>
  <c r="Q120" i="8"/>
  <c r="P120" i="8"/>
  <c r="O120" i="8"/>
  <c r="L120" i="8"/>
  <c r="K120" i="8"/>
  <c r="J120" i="8"/>
  <c r="I120" i="8"/>
  <c r="H120" i="8"/>
  <c r="G120" i="8"/>
  <c r="F120" i="8"/>
  <c r="D120" i="8"/>
  <c r="C120" i="8"/>
  <c r="B120" i="8"/>
  <c r="V119" i="8"/>
  <c r="U119" i="8"/>
  <c r="Q119" i="8"/>
  <c r="P119" i="8"/>
  <c r="O119" i="8"/>
  <c r="L119" i="8"/>
  <c r="K119" i="8"/>
  <c r="J119" i="8"/>
  <c r="I119" i="8"/>
  <c r="H119" i="8"/>
  <c r="G119" i="8"/>
  <c r="F119" i="8"/>
  <c r="D119" i="8"/>
  <c r="C119" i="8"/>
  <c r="B119" i="8"/>
  <c r="T109" i="8"/>
  <c r="S109" i="8"/>
  <c r="V108" i="8"/>
  <c r="U108" i="8"/>
  <c r="R108" i="8"/>
  <c r="Q108" i="8"/>
  <c r="P108" i="8"/>
  <c r="O108" i="8"/>
  <c r="N108" i="8"/>
  <c r="M108" i="8"/>
  <c r="L108" i="8"/>
  <c r="K108" i="8"/>
  <c r="J108" i="8"/>
  <c r="I108" i="8"/>
  <c r="H108" i="8"/>
  <c r="G108" i="8"/>
  <c r="F108" i="8"/>
  <c r="E108" i="8"/>
  <c r="D108" i="8"/>
  <c r="C108" i="8"/>
  <c r="B108" i="8"/>
  <c r="V107" i="8"/>
  <c r="U107" i="8"/>
  <c r="R107" i="8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T97" i="8"/>
  <c r="V96" i="8"/>
  <c r="U96" i="8"/>
  <c r="S96" i="8"/>
  <c r="R96" i="8"/>
  <c r="Q96" i="8"/>
  <c r="P96" i="8"/>
  <c r="O96" i="8"/>
  <c r="N96" i="8"/>
  <c r="M96" i="8"/>
  <c r="L96" i="8"/>
  <c r="K96" i="8"/>
  <c r="J96" i="8"/>
  <c r="I96" i="8"/>
  <c r="H96" i="8"/>
  <c r="G96" i="8"/>
  <c r="F96" i="8"/>
  <c r="E96" i="8"/>
  <c r="D96" i="8"/>
  <c r="C96" i="8"/>
  <c r="B96" i="8"/>
  <c r="V95" i="8"/>
  <c r="U95" i="8"/>
  <c r="U97" i="8" s="1"/>
  <c r="S95" i="8"/>
  <c r="R95" i="8"/>
  <c r="Q95" i="8"/>
  <c r="P95" i="8"/>
  <c r="O95" i="8"/>
  <c r="N95" i="8"/>
  <c r="M95" i="8"/>
  <c r="L95" i="8"/>
  <c r="K95" i="8"/>
  <c r="J95" i="8"/>
  <c r="I95" i="8"/>
  <c r="H95" i="8"/>
  <c r="G95" i="8"/>
  <c r="F95" i="8"/>
  <c r="E95" i="8"/>
  <c r="D95" i="8"/>
  <c r="C95" i="8"/>
  <c r="B95" i="8"/>
  <c r="T86" i="8"/>
  <c r="S86" i="8"/>
  <c r="R86" i="8"/>
  <c r="N86" i="8"/>
  <c r="M86" i="8"/>
  <c r="E86" i="8"/>
  <c r="V85" i="8"/>
  <c r="U85" i="8"/>
  <c r="Q85" i="8"/>
  <c r="P85" i="8"/>
  <c r="O85" i="8"/>
  <c r="L85" i="8"/>
  <c r="K85" i="8"/>
  <c r="J85" i="8"/>
  <c r="I85" i="8"/>
  <c r="H85" i="8"/>
  <c r="G85" i="8"/>
  <c r="F85" i="8"/>
  <c r="D85" i="8"/>
  <c r="C85" i="8"/>
  <c r="B85" i="8"/>
  <c r="V84" i="8"/>
  <c r="U84" i="8"/>
  <c r="Q84" i="8"/>
  <c r="P84" i="8"/>
  <c r="O84" i="8"/>
  <c r="L84" i="8"/>
  <c r="K84" i="8"/>
  <c r="J84" i="8"/>
  <c r="I84" i="8"/>
  <c r="H84" i="8"/>
  <c r="G84" i="8"/>
  <c r="F84" i="8"/>
  <c r="D84" i="8"/>
  <c r="C84" i="8"/>
  <c r="B84" i="8"/>
  <c r="T74" i="8"/>
  <c r="V73" i="8"/>
  <c r="U73" i="8"/>
  <c r="S73" i="8"/>
  <c r="R73" i="8"/>
  <c r="Q73" i="8"/>
  <c r="P73" i="8"/>
  <c r="O73" i="8"/>
  <c r="N73" i="8"/>
  <c r="M73" i="8"/>
  <c r="L73" i="8"/>
  <c r="K73" i="8"/>
  <c r="J73" i="8"/>
  <c r="I73" i="8"/>
  <c r="H73" i="8"/>
  <c r="G73" i="8"/>
  <c r="F73" i="8"/>
  <c r="E73" i="8"/>
  <c r="D73" i="8"/>
  <c r="C73" i="8"/>
  <c r="B73" i="8"/>
  <c r="V72" i="8"/>
  <c r="U72" i="8"/>
  <c r="S72" i="8"/>
  <c r="R72" i="8"/>
  <c r="Q72" i="8"/>
  <c r="P72" i="8"/>
  <c r="O72" i="8"/>
  <c r="N72" i="8"/>
  <c r="M72" i="8"/>
  <c r="L72" i="8"/>
  <c r="K72" i="8"/>
  <c r="J72" i="8"/>
  <c r="I72" i="8"/>
  <c r="H72" i="8"/>
  <c r="G72" i="8"/>
  <c r="F72" i="8"/>
  <c r="E72" i="8"/>
  <c r="D72" i="8"/>
  <c r="C72" i="8"/>
  <c r="B72" i="8"/>
  <c r="T62" i="8"/>
  <c r="S62" i="8"/>
  <c r="R62" i="8"/>
  <c r="Q62" i="8"/>
  <c r="O62" i="8"/>
  <c r="N62" i="8"/>
  <c r="M62" i="8"/>
  <c r="I62" i="8"/>
  <c r="H62" i="8"/>
  <c r="E62" i="8"/>
  <c r="V61" i="8"/>
  <c r="U61" i="8"/>
  <c r="P61" i="8"/>
  <c r="L61" i="8"/>
  <c r="K61" i="8"/>
  <c r="J61" i="8"/>
  <c r="G61" i="8"/>
  <c r="F61" i="8"/>
  <c r="D61" i="8"/>
  <c r="C61" i="8"/>
  <c r="B61" i="8"/>
  <c r="V60" i="8"/>
  <c r="U60" i="8"/>
  <c r="P60" i="8"/>
  <c r="L60" i="8"/>
  <c r="K60" i="8"/>
  <c r="J60" i="8"/>
  <c r="G60" i="8"/>
  <c r="F60" i="8"/>
  <c r="D60" i="8"/>
  <c r="C60" i="8"/>
  <c r="B60" i="8"/>
  <c r="T50" i="8"/>
  <c r="E50" i="8"/>
  <c r="V49" i="8"/>
  <c r="U49" i="8"/>
  <c r="S49" i="8"/>
  <c r="R49" i="8"/>
  <c r="Q49" i="8"/>
  <c r="P49" i="8"/>
  <c r="O49" i="8"/>
  <c r="N49" i="8"/>
  <c r="M49" i="8"/>
  <c r="L49" i="8"/>
  <c r="K49" i="8"/>
  <c r="J49" i="8"/>
  <c r="I49" i="8"/>
  <c r="H49" i="8"/>
  <c r="G49" i="8"/>
  <c r="F49" i="8"/>
  <c r="D49" i="8"/>
  <c r="C49" i="8"/>
  <c r="B49" i="8"/>
  <c r="V48" i="8"/>
  <c r="U48" i="8"/>
  <c r="S48" i="8"/>
  <c r="R48" i="8"/>
  <c r="Q48" i="8"/>
  <c r="P48" i="8"/>
  <c r="O48" i="8"/>
  <c r="N48" i="8"/>
  <c r="M48" i="8"/>
  <c r="L48" i="8"/>
  <c r="K48" i="8"/>
  <c r="J48" i="8"/>
  <c r="I48" i="8"/>
  <c r="H48" i="8"/>
  <c r="G48" i="8"/>
  <c r="F48" i="8"/>
  <c r="D48" i="8"/>
  <c r="C48" i="8"/>
  <c r="B48" i="8"/>
  <c r="T37" i="8"/>
  <c r="S37" i="8"/>
  <c r="V36" i="8"/>
  <c r="U36" i="8"/>
  <c r="R36" i="8"/>
  <c r="Q36" i="8"/>
  <c r="P36" i="8"/>
  <c r="O36" i="8"/>
  <c r="N36" i="8"/>
  <c r="M36" i="8"/>
  <c r="L36" i="8"/>
  <c r="K36" i="8"/>
  <c r="J36" i="8"/>
  <c r="I36" i="8"/>
  <c r="H36" i="8"/>
  <c r="G36" i="8"/>
  <c r="F36" i="8"/>
  <c r="E36" i="8"/>
  <c r="D36" i="8"/>
  <c r="C36" i="8"/>
  <c r="B36" i="8"/>
  <c r="V35" i="8"/>
  <c r="U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T24" i="8"/>
  <c r="V23" i="8"/>
  <c r="U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B23" i="8"/>
  <c r="V22" i="8"/>
  <c r="U22" i="8"/>
  <c r="S22" i="8"/>
  <c r="R22" i="8"/>
  <c r="Q22" i="8"/>
  <c r="P22" i="8"/>
  <c r="O22" i="8"/>
  <c r="N22" i="8"/>
  <c r="M22" i="8"/>
  <c r="L22" i="8"/>
  <c r="J22" i="8"/>
  <c r="I22" i="8"/>
  <c r="H22" i="8"/>
  <c r="G22" i="8"/>
  <c r="F22" i="8"/>
  <c r="E22" i="8"/>
  <c r="D22" i="8"/>
  <c r="C22" i="8"/>
  <c r="B22" i="8"/>
  <c r="P302" i="7"/>
  <c r="O302" i="7"/>
  <c r="N302" i="7"/>
  <c r="M302" i="7"/>
  <c r="L302" i="7"/>
  <c r="K302" i="7"/>
  <c r="I302" i="7"/>
  <c r="H302" i="7"/>
  <c r="F302" i="7"/>
  <c r="E302" i="7"/>
  <c r="P301" i="7"/>
  <c r="O301" i="7"/>
  <c r="N301" i="7"/>
  <c r="M301" i="7"/>
  <c r="L301" i="7"/>
  <c r="K301" i="7"/>
  <c r="I301" i="7"/>
  <c r="H301" i="7"/>
  <c r="F301" i="7"/>
  <c r="E301" i="7"/>
  <c r="P300" i="7"/>
  <c r="O300" i="7"/>
  <c r="N300" i="7"/>
  <c r="M300" i="7"/>
  <c r="L300" i="7"/>
  <c r="K300" i="7"/>
  <c r="I300" i="7"/>
  <c r="H300" i="7"/>
  <c r="F300" i="7"/>
  <c r="E300" i="7"/>
  <c r="P299" i="7"/>
  <c r="O299" i="7"/>
  <c r="N299" i="7"/>
  <c r="M299" i="7"/>
  <c r="L299" i="7"/>
  <c r="K299" i="7"/>
  <c r="I299" i="7"/>
  <c r="H299" i="7"/>
  <c r="F299" i="7"/>
  <c r="E299" i="7"/>
  <c r="P298" i="7"/>
  <c r="O298" i="7"/>
  <c r="N298" i="7"/>
  <c r="M298" i="7"/>
  <c r="L298" i="7"/>
  <c r="K298" i="7"/>
  <c r="I298" i="7"/>
  <c r="H298" i="7"/>
  <c r="F298" i="7"/>
  <c r="E298" i="7"/>
  <c r="P297" i="7"/>
  <c r="O297" i="7"/>
  <c r="N297" i="7"/>
  <c r="M297" i="7"/>
  <c r="L297" i="7"/>
  <c r="K297" i="7"/>
  <c r="I297" i="7"/>
  <c r="H297" i="7"/>
  <c r="H303" i="7" s="1"/>
  <c r="F297" i="7"/>
  <c r="E297" i="7"/>
  <c r="P284" i="7"/>
  <c r="O284" i="7"/>
  <c r="N284" i="7"/>
  <c r="M284" i="7"/>
  <c r="L284" i="7"/>
  <c r="K284" i="7"/>
  <c r="I284" i="7"/>
  <c r="H284" i="7"/>
  <c r="F284" i="7"/>
  <c r="E284" i="7"/>
  <c r="P283" i="7"/>
  <c r="O283" i="7"/>
  <c r="N283" i="7"/>
  <c r="M283" i="7"/>
  <c r="L283" i="7"/>
  <c r="K283" i="7"/>
  <c r="I283" i="7"/>
  <c r="H283" i="7"/>
  <c r="F283" i="7"/>
  <c r="E283" i="7"/>
  <c r="P282" i="7"/>
  <c r="O282" i="7"/>
  <c r="N282" i="7"/>
  <c r="M282" i="7"/>
  <c r="L282" i="7"/>
  <c r="K282" i="7"/>
  <c r="I282" i="7"/>
  <c r="H282" i="7"/>
  <c r="F282" i="7"/>
  <c r="E282" i="7"/>
  <c r="P281" i="7"/>
  <c r="O281" i="7"/>
  <c r="N281" i="7"/>
  <c r="M281" i="7"/>
  <c r="L281" i="7"/>
  <c r="K281" i="7"/>
  <c r="I281" i="7"/>
  <c r="H281" i="7"/>
  <c r="J281" i="7" s="1"/>
  <c r="F281" i="7"/>
  <c r="E281" i="7"/>
  <c r="G281" i="7" s="1"/>
  <c r="P280" i="7"/>
  <c r="O280" i="7"/>
  <c r="N280" i="7"/>
  <c r="M280" i="7"/>
  <c r="L280" i="7"/>
  <c r="K280" i="7"/>
  <c r="I280" i="7"/>
  <c r="H280" i="7"/>
  <c r="F280" i="7"/>
  <c r="E280" i="7"/>
  <c r="G280" i="7" s="1"/>
  <c r="P279" i="7"/>
  <c r="O279" i="7"/>
  <c r="N279" i="7"/>
  <c r="M279" i="7"/>
  <c r="L279" i="7"/>
  <c r="K279" i="7"/>
  <c r="I279" i="7"/>
  <c r="H279" i="7"/>
  <c r="F279" i="7"/>
  <c r="E279" i="7"/>
  <c r="P266" i="7"/>
  <c r="O266" i="7"/>
  <c r="N266" i="7"/>
  <c r="M266" i="7"/>
  <c r="L266" i="7"/>
  <c r="K266" i="7"/>
  <c r="I266" i="7"/>
  <c r="H266" i="7"/>
  <c r="F266" i="7"/>
  <c r="E266" i="7"/>
  <c r="P265" i="7"/>
  <c r="O265" i="7"/>
  <c r="N265" i="7"/>
  <c r="M265" i="7"/>
  <c r="L265" i="7"/>
  <c r="K265" i="7"/>
  <c r="I265" i="7"/>
  <c r="H265" i="7"/>
  <c r="F265" i="7"/>
  <c r="E265" i="7"/>
  <c r="P264" i="7"/>
  <c r="O264" i="7"/>
  <c r="N264" i="7"/>
  <c r="M264" i="7"/>
  <c r="L264" i="7"/>
  <c r="K264" i="7"/>
  <c r="I264" i="7"/>
  <c r="H264" i="7"/>
  <c r="F264" i="7"/>
  <c r="E264" i="7"/>
  <c r="P263" i="7"/>
  <c r="O263" i="7"/>
  <c r="N263" i="7"/>
  <c r="M263" i="7"/>
  <c r="L263" i="7"/>
  <c r="K263" i="7"/>
  <c r="I263" i="7"/>
  <c r="H263" i="7"/>
  <c r="F263" i="7"/>
  <c r="E263" i="7"/>
  <c r="G263" i="7" s="1"/>
  <c r="P262" i="7"/>
  <c r="O262" i="7"/>
  <c r="N262" i="7"/>
  <c r="M262" i="7"/>
  <c r="L262" i="7"/>
  <c r="K262" i="7"/>
  <c r="I262" i="7"/>
  <c r="H262" i="7"/>
  <c r="F262" i="7"/>
  <c r="E262" i="7"/>
  <c r="P261" i="7"/>
  <c r="O261" i="7"/>
  <c r="N261" i="7"/>
  <c r="M261" i="7"/>
  <c r="L261" i="7"/>
  <c r="K261" i="7"/>
  <c r="I261" i="7"/>
  <c r="H261" i="7"/>
  <c r="F261" i="7"/>
  <c r="E261" i="7"/>
  <c r="P248" i="7"/>
  <c r="O248" i="7"/>
  <c r="N248" i="7"/>
  <c r="M248" i="7"/>
  <c r="L248" i="7"/>
  <c r="K248" i="7"/>
  <c r="I248" i="7"/>
  <c r="H248" i="7"/>
  <c r="F248" i="7"/>
  <c r="E248" i="7"/>
  <c r="G248" i="7" s="1"/>
  <c r="P247" i="7"/>
  <c r="O247" i="7"/>
  <c r="N247" i="7"/>
  <c r="M247" i="7"/>
  <c r="L247" i="7"/>
  <c r="K247" i="7"/>
  <c r="I247" i="7"/>
  <c r="H247" i="7"/>
  <c r="F247" i="7"/>
  <c r="E247" i="7"/>
  <c r="P246" i="7"/>
  <c r="O246" i="7"/>
  <c r="N246" i="7"/>
  <c r="M246" i="7"/>
  <c r="L246" i="7"/>
  <c r="K246" i="7"/>
  <c r="I246" i="7"/>
  <c r="H246" i="7"/>
  <c r="F246" i="7"/>
  <c r="E246" i="7"/>
  <c r="P245" i="7"/>
  <c r="O245" i="7"/>
  <c r="N245" i="7"/>
  <c r="M245" i="7"/>
  <c r="L245" i="7"/>
  <c r="K245" i="7"/>
  <c r="I245" i="7"/>
  <c r="H245" i="7"/>
  <c r="F245" i="7"/>
  <c r="E245" i="7"/>
  <c r="P244" i="7"/>
  <c r="O244" i="7"/>
  <c r="N244" i="7"/>
  <c r="M244" i="7"/>
  <c r="L244" i="7"/>
  <c r="K244" i="7"/>
  <c r="I244" i="7"/>
  <c r="H244" i="7"/>
  <c r="F244" i="7"/>
  <c r="E244" i="7"/>
  <c r="G244" i="7" s="1"/>
  <c r="P243" i="7"/>
  <c r="O243" i="7"/>
  <c r="N243" i="7"/>
  <c r="M243" i="7"/>
  <c r="L243" i="7"/>
  <c r="K243" i="7"/>
  <c r="I243" i="7"/>
  <c r="H243" i="7"/>
  <c r="F243" i="7"/>
  <c r="E243" i="7"/>
  <c r="P230" i="7"/>
  <c r="O230" i="7"/>
  <c r="N230" i="7"/>
  <c r="M230" i="7"/>
  <c r="L230" i="7"/>
  <c r="K230" i="7"/>
  <c r="I230" i="7"/>
  <c r="H230" i="7"/>
  <c r="F230" i="7"/>
  <c r="E230" i="7"/>
  <c r="P229" i="7"/>
  <c r="O229" i="7"/>
  <c r="N229" i="7"/>
  <c r="M229" i="7"/>
  <c r="L229" i="7"/>
  <c r="K229" i="7"/>
  <c r="I229" i="7"/>
  <c r="H229" i="7"/>
  <c r="F229" i="7"/>
  <c r="E229" i="7"/>
  <c r="P228" i="7"/>
  <c r="O228" i="7"/>
  <c r="N228" i="7"/>
  <c r="M228" i="7"/>
  <c r="L228" i="7"/>
  <c r="K228" i="7"/>
  <c r="I228" i="7"/>
  <c r="H228" i="7"/>
  <c r="F228" i="7"/>
  <c r="E228" i="7"/>
  <c r="P227" i="7"/>
  <c r="O227" i="7"/>
  <c r="N227" i="7"/>
  <c r="M227" i="7"/>
  <c r="L227" i="7"/>
  <c r="K227" i="7"/>
  <c r="I227" i="7"/>
  <c r="H227" i="7"/>
  <c r="F227" i="7"/>
  <c r="E227" i="7"/>
  <c r="P226" i="7"/>
  <c r="O226" i="7"/>
  <c r="N226" i="7"/>
  <c r="M226" i="7"/>
  <c r="L226" i="7"/>
  <c r="K226" i="7"/>
  <c r="I226" i="7"/>
  <c r="H226" i="7"/>
  <c r="F226" i="7"/>
  <c r="E226" i="7"/>
  <c r="G226" i="7" s="1"/>
  <c r="P225" i="7"/>
  <c r="O225" i="7"/>
  <c r="N225" i="7"/>
  <c r="M225" i="7"/>
  <c r="L225" i="7"/>
  <c r="K225" i="7"/>
  <c r="I225" i="7"/>
  <c r="H225" i="7"/>
  <c r="F225" i="7"/>
  <c r="E225" i="7"/>
  <c r="P212" i="7"/>
  <c r="O212" i="7"/>
  <c r="N212" i="7"/>
  <c r="M212" i="7"/>
  <c r="L212" i="7"/>
  <c r="K212" i="7"/>
  <c r="I212" i="7"/>
  <c r="H212" i="7"/>
  <c r="F212" i="7"/>
  <c r="E212" i="7"/>
  <c r="P211" i="7"/>
  <c r="O211" i="7"/>
  <c r="N211" i="7"/>
  <c r="M211" i="7"/>
  <c r="L211" i="7"/>
  <c r="K211" i="7"/>
  <c r="I211" i="7"/>
  <c r="H211" i="7"/>
  <c r="J211" i="7" s="1"/>
  <c r="F211" i="7"/>
  <c r="E211" i="7"/>
  <c r="P210" i="7"/>
  <c r="O210" i="7"/>
  <c r="N210" i="7"/>
  <c r="M210" i="7"/>
  <c r="L210" i="7"/>
  <c r="K210" i="7"/>
  <c r="I210" i="7"/>
  <c r="H210" i="7"/>
  <c r="F210" i="7"/>
  <c r="E210" i="7"/>
  <c r="P209" i="7"/>
  <c r="O209" i="7"/>
  <c r="N209" i="7"/>
  <c r="M209" i="7"/>
  <c r="L209" i="7"/>
  <c r="K209" i="7"/>
  <c r="I209" i="7"/>
  <c r="H209" i="7"/>
  <c r="F209" i="7"/>
  <c r="E209" i="7"/>
  <c r="P208" i="7"/>
  <c r="O208" i="7"/>
  <c r="N208" i="7"/>
  <c r="M208" i="7"/>
  <c r="L208" i="7"/>
  <c r="K208" i="7"/>
  <c r="I208" i="7"/>
  <c r="H208" i="7"/>
  <c r="F208" i="7"/>
  <c r="E208" i="7"/>
  <c r="G208" i="7" s="1"/>
  <c r="P207" i="7"/>
  <c r="O207" i="7"/>
  <c r="N207" i="7"/>
  <c r="M207" i="7"/>
  <c r="L207" i="7"/>
  <c r="K207" i="7"/>
  <c r="I207" i="7"/>
  <c r="H207" i="7"/>
  <c r="F207" i="7"/>
  <c r="E207" i="7"/>
  <c r="P194" i="7"/>
  <c r="O194" i="7"/>
  <c r="N194" i="7"/>
  <c r="M194" i="7"/>
  <c r="L194" i="7"/>
  <c r="K194" i="7"/>
  <c r="I194" i="7"/>
  <c r="H194" i="7"/>
  <c r="F194" i="7"/>
  <c r="E194" i="7"/>
  <c r="P193" i="7"/>
  <c r="O193" i="7"/>
  <c r="N193" i="7"/>
  <c r="M193" i="7"/>
  <c r="L193" i="7"/>
  <c r="K193" i="7"/>
  <c r="I193" i="7"/>
  <c r="H193" i="7"/>
  <c r="F193" i="7"/>
  <c r="E193" i="7"/>
  <c r="P192" i="7"/>
  <c r="O192" i="7"/>
  <c r="N192" i="7"/>
  <c r="M192" i="7"/>
  <c r="L192" i="7"/>
  <c r="K192" i="7"/>
  <c r="I192" i="7"/>
  <c r="H192" i="7"/>
  <c r="F192" i="7"/>
  <c r="E192" i="7"/>
  <c r="P191" i="7"/>
  <c r="O191" i="7"/>
  <c r="N191" i="7"/>
  <c r="M191" i="7"/>
  <c r="L191" i="7"/>
  <c r="K191" i="7"/>
  <c r="I191" i="7"/>
  <c r="H191" i="7"/>
  <c r="F191" i="7"/>
  <c r="E191" i="7"/>
  <c r="P190" i="7"/>
  <c r="O190" i="7"/>
  <c r="N190" i="7"/>
  <c r="M190" i="7"/>
  <c r="L190" i="7"/>
  <c r="K190" i="7"/>
  <c r="I190" i="7"/>
  <c r="H190" i="7"/>
  <c r="F190" i="7"/>
  <c r="E190" i="7"/>
  <c r="P189" i="7"/>
  <c r="O189" i="7"/>
  <c r="N189" i="7"/>
  <c r="M189" i="7"/>
  <c r="L189" i="7"/>
  <c r="K189" i="7"/>
  <c r="I189" i="7"/>
  <c r="H189" i="7"/>
  <c r="F189" i="7"/>
  <c r="E189" i="7"/>
  <c r="P176" i="7"/>
  <c r="O176" i="7"/>
  <c r="N176" i="7"/>
  <c r="M176" i="7"/>
  <c r="L176" i="7"/>
  <c r="K176" i="7"/>
  <c r="I176" i="7"/>
  <c r="H176" i="7"/>
  <c r="F176" i="7"/>
  <c r="E176" i="7"/>
  <c r="P175" i="7"/>
  <c r="O175" i="7"/>
  <c r="N175" i="7"/>
  <c r="M175" i="7"/>
  <c r="L175" i="7"/>
  <c r="K175" i="7"/>
  <c r="I175" i="7"/>
  <c r="H175" i="7"/>
  <c r="F175" i="7"/>
  <c r="E175" i="7"/>
  <c r="P174" i="7"/>
  <c r="O174" i="7"/>
  <c r="N174" i="7"/>
  <c r="M174" i="7"/>
  <c r="L174" i="7"/>
  <c r="K174" i="7"/>
  <c r="I174" i="7"/>
  <c r="H174" i="7"/>
  <c r="F174" i="7"/>
  <c r="E174" i="7"/>
  <c r="P173" i="7"/>
  <c r="O173" i="7"/>
  <c r="N173" i="7"/>
  <c r="M173" i="7"/>
  <c r="L173" i="7"/>
  <c r="K173" i="7"/>
  <c r="I173" i="7"/>
  <c r="H173" i="7"/>
  <c r="F173" i="7"/>
  <c r="E173" i="7"/>
  <c r="P172" i="7"/>
  <c r="O172" i="7"/>
  <c r="N172" i="7"/>
  <c r="M172" i="7"/>
  <c r="L172" i="7"/>
  <c r="K172" i="7"/>
  <c r="I172" i="7"/>
  <c r="H172" i="7"/>
  <c r="F172" i="7"/>
  <c r="E172" i="7"/>
  <c r="P171" i="7"/>
  <c r="O171" i="7"/>
  <c r="N171" i="7"/>
  <c r="M171" i="7"/>
  <c r="L171" i="7"/>
  <c r="K171" i="7"/>
  <c r="I171" i="7"/>
  <c r="H171" i="7"/>
  <c r="F171" i="7"/>
  <c r="E171" i="7"/>
  <c r="P158" i="7"/>
  <c r="O158" i="7"/>
  <c r="N158" i="7"/>
  <c r="M158" i="7"/>
  <c r="L158" i="7"/>
  <c r="K158" i="7"/>
  <c r="I158" i="7"/>
  <c r="H158" i="7"/>
  <c r="F158" i="7"/>
  <c r="E158" i="7"/>
  <c r="P157" i="7"/>
  <c r="O157" i="7"/>
  <c r="N157" i="7"/>
  <c r="M157" i="7"/>
  <c r="L157" i="7"/>
  <c r="K157" i="7"/>
  <c r="I157" i="7"/>
  <c r="H157" i="7"/>
  <c r="F157" i="7"/>
  <c r="E157" i="7"/>
  <c r="P156" i="7"/>
  <c r="O156" i="7"/>
  <c r="N156" i="7"/>
  <c r="M156" i="7"/>
  <c r="L156" i="7"/>
  <c r="K156" i="7"/>
  <c r="I156" i="7"/>
  <c r="H156" i="7"/>
  <c r="F156" i="7"/>
  <c r="E156" i="7"/>
  <c r="P155" i="7"/>
  <c r="O155" i="7"/>
  <c r="N155" i="7"/>
  <c r="R155" i="7" s="1"/>
  <c r="M155" i="7"/>
  <c r="L155" i="7"/>
  <c r="K155" i="7"/>
  <c r="I155" i="7"/>
  <c r="J155" i="7" s="1"/>
  <c r="H155" i="7"/>
  <c r="F155" i="7"/>
  <c r="E155" i="7"/>
  <c r="P154" i="7"/>
  <c r="O154" i="7"/>
  <c r="N154" i="7"/>
  <c r="M154" i="7"/>
  <c r="L154" i="7"/>
  <c r="K154" i="7"/>
  <c r="I154" i="7"/>
  <c r="H154" i="7"/>
  <c r="F154" i="7"/>
  <c r="E154" i="7"/>
  <c r="P153" i="7"/>
  <c r="O153" i="7"/>
  <c r="N153" i="7"/>
  <c r="M153" i="7"/>
  <c r="L153" i="7"/>
  <c r="K153" i="7"/>
  <c r="I153" i="7"/>
  <c r="H153" i="7"/>
  <c r="F153" i="7"/>
  <c r="E153" i="7"/>
  <c r="P140" i="7"/>
  <c r="O140" i="7"/>
  <c r="N140" i="7"/>
  <c r="M140" i="7"/>
  <c r="L140" i="7"/>
  <c r="K140" i="7"/>
  <c r="I140" i="7"/>
  <c r="H140" i="7"/>
  <c r="F140" i="7"/>
  <c r="E140" i="7"/>
  <c r="P139" i="7"/>
  <c r="O139" i="7"/>
  <c r="N139" i="7"/>
  <c r="M139" i="7"/>
  <c r="L139" i="7"/>
  <c r="K139" i="7"/>
  <c r="I139" i="7"/>
  <c r="H139" i="7"/>
  <c r="F139" i="7"/>
  <c r="E139" i="7"/>
  <c r="P138" i="7"/>
  <c r="O138" i="7"/>
  <c r="N138" i="7"/>
  <c r="M138" i="7"/>
  <c r="L138" i="7"/>
  <c r="K138" i="7"/>
  <c r="I138" i="7"/>
  <c r="H138" i="7"/>
  <c r="F138" i="7"/>
  <c r="E138" i="7"/>
  <c r="P137" i="7"/>
  <c r="O137" i="7"/>
  <c r="N137" i="7"/>
  <c r="M137" i="7"/>
  <c r="L137" i="7"/>
  <c r="K137" i="7"/>
  <c r="I137" i="7"/>
  <c r="H137" i="7"/>
  <c r="F137" i="7"/>
  <c r="E137" i="7"/>
  <c r="P136" i="7"/>
  <c r="O136" i="7"/>
  <c r="N136" i="7"/>
  <c r="M136" i="7"/>
  <c r="L136" i="7"/>
  <c r="K136" i="7"/>
  <c r="I136" i="7"/>
  <c r="H136" i="7"/>
  <c r="F136" i="7"/>
  <c r="E136" i="7"/>
  <c r="P135" i="7"/>
  <c r="O135" i="7"/>
  <c r="N135" i="7"/>
  <c r="M135" i="7"/>
  <c r="L135" i="7"/>
  <c r="K135" i="7"/>
  <c r="I135" i="7"/>
  <c r="H135" i="7"/>
  <c r="F135" i="7"/>
  <c r="E135" i="7"/>
  <c r="P123" i="7"/>
  <c r="O123" i="7"/>
  <c r="N123" i="7"/>
  <c r="M123" i="7"/>
  <c r="L123" i="7"/>
  <c r="K123" i="7"/>
  <c r="I123" i="7"/>
  <c r="H123" i="7"/>
  <c r="F123" i="7"/>
  <c r="E123" i="7"/>
  <c r="P122" i="7"/>
  <c r="O122" i="7"/>
  <c r="N122" i="7"/>
  <c r="M122" i="7"/>
  <c r="L122" i="7"/>
  <c r="K122" i="7"/>
  <c r="I122" i="7"/>
  <c r="H122" i="7"/>
  <c r="F122" i="7"/>
  <c r="E122" i="7"/>
  <c r="P121" i="7"/>
  <c r="O121" i="7"/>
  <c r="N121" i="7"/>
  <c r="M121" i="7"/>
  <c r="L121" i="7"/>
  <c r="K121" i="7"/>
  <c r="I121" i="7"/>
  <c r="H121" i="7"/>
  <c r="F121" i="7"/>
  <c r="E121" i="7"/>
  <c r="P120" i="7"/>
  <c r="O120" i="7"/>
  <c r="N120" i="7"/>
  <c r="M120" i="7"/>
  <c r="L120" i="7"/>
  <c r="K120" i="7"/>
  <c r="I120" i="7"/>
  <c r="H120" i="7"/>
  <c r="F120" i="7"/>
  <c r="E120" i="7"/>
  <c r="P119" i="7"/>
  <c r="O119" i="7"/>
  <c r="N119" i="7"/>
  <c r="M119" i="7"/>
  <c r="L119" i="7"/>
  <c r="K119" i="7"/>
  <c r="I119" i="7"/>
  <c r="H119" i="7"/>
  <c r="F119" i="7"/>
  <c r="E119" i="7"/>
  <c r="P118" i="7"/>
  <c r="O118" i="7"/>
  <c r="N118" i="7"/>
  <c r="M118" i="7"/>
  <c r="L118" i="7"/>
  <c r="K118" i="7"/>
  <c r="I118" i="7"/>
  <c r="I124" i="7" s="1"/>
  <c r="H118" i="7"/>
  <c r="F118" i="7"/>
  <c r="E118" i="7"/>
  <c r="P105" i="7"/>
  <c r="O105" i="7"/>
  <c r="N105" i="7"/>
  <c r="M105" i="7"/>
  <c r="L105" i="7"/>
  <c r="K105" i="7"/>
  <c r="I105" i="7"/>
  <c r="H105" i="7"/>
  <c r="F105" i="7"/>
  <c r="E105" i="7"/>
  <c r="P104" i="7"/>
  <c r="O104" i="7"/>
  <c r="N104" i="7"/>
  <c r="M104" i="7"/>
  <c r="L104" i="7"/>
  <c r="K104" i="7"/>
  <c r="I104" i="7"/>
  <c r="H104" i="7"/>
  <c r="F104" i="7"/>
  <c r="E104" i="7"/>
  <c r="P103" i="7"/>
  <c r="O103" i="7"/>
  <c r="N103" i="7"/>
  <c r="M103" i="7"/>
  <c r="L103" i="7"/>
  <c r="K103" i="7"/>
  <c r="I103" i="7"/>
  <c r="H103" i="7"/>
  <c r="F103" i="7"/>
  <c r="E103" i="7"/>
  <c r="P102" i="7"/>
  <c r="O102" i="7"/>
  <c r="N102" i="7"/>
  <c r="M102" i="7"/>
  <c r="L102" i="7"/>
  <c r="K102" i="7"/>
  <c r="I102" i="7"/>
  <c r="H102" i="7"/>
  <c r="F102" i="7"/>
  <c r="E102" i="7"/>
  <c r="P101" i="7"/>
  <c r="O101" i="7"/>
  <c r="N101" i="7"/>
  <c r="M101" i="7"/>
  <c r="Q101" i="7" s="1"/>
  <c r="L101" i="7"/>
  <c r="K101" i="7"/>
  <c r="I101" i="7"/>
  <c r="H101" i="7"/>
  <c r="F101" i="7"/>
  <c r="E101" i="7"/>
  <c r="P100" i="7"/>
  <c r="O100" i="7"/>
  <c r="N100" i="7"/>
  <c r="M100" i="7"/>
  <c r="L100" i="7"/>
  <c r="K100" i="7"/>
  <c r="I100" i="7"/>
  <c r="I106" i="7" s="1"/>
  <c r="H100" i="7"/>
  <c r="F100" i="7"/>
  <c r="E100" i="7"/>
  <c r="P87" i="7"/>
  <c r="O87" i="7"/>
  <c r="N87" i="7"/>
  <c r="M87" i="7"/>
  <c r="Q87" i="7" s="1"/>
  <c r="L87" i="7"/>
  <c r="K87" i="7"/>
  <c r="I87" i="7"/>
  <c r="H87" i="7"/>
  <c r="F87" i="7"/>
  <c r="E87" i="7"/>
  <c r="P86" i="7"/>
  <c r="O86" i="7"/>
  <c r="N86" i="7"/>
  <c r="M86" i="7"/>
  <c r="L86" i="7"/>
  <c r="K86" i="7"/>
  <c r="I86" i="7"/>
  <c r="H86" i="7"/>
  <c r="F86" i="7"/>
  <c r="E86" i="7"/>
  <c r="P85" i="7"/>
  <c r="O85" i="7"/>
  <c r="N85" i="7"/>
  <c r="M85" i="7"/>
  <c r="L85" i="7"/>
  <c r="K85" i="7"/>
  <c r="I85" i="7"/>
  <c r="H85" i="7"/>
  <c r="F85" i="7"/>
  <c r="E85" i="7"/>
  <c r="P84" i="7"/>
  <c r="O84" i="7"/>
  <c r="N84" i="7"/>
  <c r="M84" i="7"/>
  <c r="L84" i="7"/>
  <c r="K84" i="7"/>
  <c r="I84" i="7"/>
  <c r="H84" i="7"/>
  <c r="F84" i="7"/>
  <c r="E84" i="7"/>
  <c r="P83" i="7"/>
  <c r="O83" i="7"/>
  <c r="N83" i="7"/>
  <c r="M83" i="7"/>
  <c r="L83" i="7"/>
  <c r="K83" i="7"/>
  <c r="I83" i="7"/>
  <c r="H83" i="7"/>
  <c r="F83" i="7"/>
  <c r="E83" i="7"/>
  <c r="P82" i="7"/>
  <c r="O82" i="7"/>
  <c r="N82" i="7"/>
  <c r="M82" i="7"/>
  <c r="L82" i="7"/>
  <c r="K82" i="7"/>
  <c r="I82" i="7"/>
  <c r="H82" i="7"/>
  <c r="F82" i="7"/>
  <c r="E82" i="7"/>
  <c r="P69" i="7"/>
  <c r="O69" i="7"/>
  <c r="N69" i="7"/>
  <c r="M69" i="7"/>
  <c r="L69" i="7"/>
  <c r="K69" i="7"/>
  <c r="I69" i="7"/>
  <c r="H69" i="7"/>
  <c r="F69" i="7"/>
  <c r="E69" i="7"/>
  <c r="P68" i="7"/>
  <c r="O68" i="7"/>
  <c r="N68" i="7"/>
  <c r="M68" i="7"/>
  <c r="L68" i="7"/>
  <c r="K68" i="7"/>
  <c r="I68" i="7"/>
  <c r="H68" i="7"/>
  <c r="F68" i="7"/>
  <c r="E68" i="7"/>
  <c r="P67" i="7"/>
  <c r="O67" i="7"/>
  <c r="N67" i="7"/>
  <c r="M67" i="7"/>
  <c r="L67" i="7"/>
  <c r="K67" i="7"/>
  <c r="I67" i="7"/>
  <c r="H67" i="7"/>
  <c r="F67" i="7"/>
  <c r="E67" i="7"/>
  <c r="P66" i="7"/>
  <c r="O66" i="7"/>
  <c r="N66" i="7"/>
  <c r="M66" i="7"/>
  <c r="L66" i="7"/>
  <c r="K66" i="7"/>
  <c r="I66" i="7"/>
  <c r="H66" i="7"/>
  <c r="F66" i="7"/>
  <c r="E66" i="7"/>
  <c r="P65" i="7"/>
  <c r="O65" i="7"/>
  <c r="N65" i="7"/>
  <c r="M65" i="7"/>
  <c r="L65" i="7"/>
  <c r="K65" i="7"/>
  <c r="I65" i="7"/>
  <c r="H65" i="7"/>
  <c r="F65" i="7"/>
  <c r="E65" i="7"/>
  <c r="P64" i="7"/>
  <c r="O64" i="7"/>
  <c r="N64" i="7"/>
  <c r="M64" i="7"/>
  <c r="L64" i="7"/>
  <c r="K64" i="7"/>
  <c r="I64" i="7"/>
  <c r="H64" i="7"/>
  <c r="F64" i="7"/>
  <c r="E64" i="7"/>
  <c r="P51" i="7"/>
  <c r="O51" i="7"/>
  <c r="N51" i="7"/>
  <c r="M51" i="7"/>
  <c r="L51" i="7"/>
  <c r="K51" i="7"/>
  <c r="I51" i="7"/>
  <c r="H51" i="7"/>
  <c r="F51" i="7"/>
  <c r="E51" i="7"/>
  <c r="P50" i="7"/>
  <c r="O50" i="7"/>
  <c r="N50" i="7"/>
  <c r="M50" i="7"/>
  <c r="L50" i="7"/>
  <c r="K50" i="7"/>
  <c r="I50" i="7"/>
  <c r="H50" i="7"/>
  <c r="F50" i="7"/>
  <c r="E50" i="7"/>
  <c r="P49" i="7"/>
  <c r="O49" i="7"/>
  <c r="N49" i="7"/>
  <c r="M49" i="7"/>
  <c r="L49" i="7"/>
  <c r="K49" i="7"/>
  <c r="I49" i="7"/>
  <c r="H49" i="7"/>
  <c r="F49" i="7"/>
  <c r="E49" i="7"/>
  <c r="P48" i="7"/>
  <c r="O48" i="7"/>
  <c r="N48" i="7"/>
  <c r="M48" i="7"/>
  <c r="L48" i="7"/>
  <c r="K48" i="7"/>
  <c r="I48" i="7"/>
  <c r="H48" i="7"/>
  <c r="F48" i="7"/>
  <c r="E48" i="7"/>
  <c r="P47" i="7"/>
  <c r="O47" i="7"/>
  <c r="N47" i="7"/>
  <c r="M47" i="7"/>
  <c r="L47" i="7"/>
  <c r="K47" i="7"/>
  <c r="I47" i="7"/>
  <c r="H47" i="7"/>
  <c r="F47" i="7"/>
  <c r="E47" i="7"/>
  <c r="P46" i="7"/>
  <c r="O46" i="7"/>
  <c r="N46" i="7"/>
  <c r="M46" i="7"/>
  <c r="L46" i="7"/>
  <c r="K46" i="7"/>
  <c r="I46" i="7"/>
  <c r="H46" i="7"/>
  <c r="F46" i="7"/>
  <c r="E46" i="7"/>
  <c r="P15" i="7"/>
  <c r="O15" i="7"/>
  <c r="N15" i="7"/>
  <c r="M15" i="7"/>
  <c r="Q15" i="7" s="1"/>
  <c r="L15" i="7"/>
  <c r="K15" i="7"/>
  <c r="I15" i="7"/>
  <c r="H15" i="7"/>
  <c r="F15" i="7"/>
  <c r="E15" i="7"/>
  <c r="P14" i="7"/>
  <c r="O14" i="7"/>
  <c r="N14" i="7"/>
  <c r="M14" i="7"/>
  <c r="L14" i="7"/>
  <c r="K14" i="7"/>
  <c r="I14" i="7"/>
  <c r="H14" i="7"/>
  <c r="F14" i="7"/>
  <c r="E14" i="7"/>
  <c r="P13" i="7"/>
  <c r="O13" i="7"/>
  <c r="N13" i="7"/>
  <c r="M13" i="7"/>
  <c r="L13" i="7"/>
  <c r="K13" i="7"/>
  <c r="I13" i="7"/>
  <c r="H13" i="7"/>
  <c r="F13" i="7"/>
  <c r="E13" i="7"/>
  <c r="P12" i="7"/>
  <c r="O12" i="7"/>
  <c r="N12" i="7"/>
  <c r="M12" i="7"/>
  <c r="L12" i="7"/>
  <c r="K12" i="7"/>
  <c r="I12" i="7"/>
  <c r="H12" i="7"/>
  <c r="F12" i="7"/>
  <c r="E12" i="7"/>
  <c r="P11" i="7"/>
  <c r="O11" i="7"/>
  <c r="N11" i="7"/>
  <c r="M11" i="7"/>
  <c r="L11" i="7"/>
  <c r="K11" i="7"/>
  <c r="I11" i="7"/>
  <c r="H11" i="7"/>
  <c r="F11" i="7"/>
  <c r="E11" i="7"/>
  <c r="P10" i="7"/>
  <c r="O10" i="7"/>
  <c r="N10" i="7"/>
  <c r="M10" i="7"/>
  <c r="L10" i="7"/>
  <c r="K10" i="7"/>
  <c r="I10" i="7"/>
  <c r="H10" i="7"/>
  <c r="F10" i="7"/>
  <c r="E10" i="7"/>
  <c r="K413" i="6"/>
  <c r="J413" i="6"/>
  <c r="I413" i="6"/>
  <c r="K412" i="6"/>
  <c r="J412" i="6"/>
  <c r="I412" i="6"/>
  <c r="K411" i="6"/>
  <c r="J411" i="6"/>
  <c r="I411" i="6"/>
  <c r="K410" i="6"/>
  <c r="J410" i="6"/>
  <c r="I410" i="6"/>
  <c r="K409" i="6"/>
  <c r="J409" i="6"/>
  <c r="I409" i="6"/>
  <c r="K408" i="6"/>
  <c r="J408" i="6"/>
  <c r="I408" i="6"/>
  <c r="G400" i="6"/>
  <c r="F400" i="6"/>
  <c r="E400" i="6"/>
  <c r="D400" i="6"/>
  <c r="C400" i="6"/>
  <c r="H399" i="6"/>
  <c r="K387" i="6"/>
  <c r="J387" i="6"/>
  <c r="I387" i="6"/>
  <c r="K386" i="6"/>
  <c r="J386" i="6"/>
  <c r="I386" i="6"/>
  <c r="K385" i="6"/>
  <c r="J385" i="6"/>
  <c r="I385" i="6"/>
  <c r="K384" i="6"/>
  <c r="J384" i="6"/>
  <c r="I384" i="6"/>
  <c r="K383" i="6"/>
  <c r="J383" i="6"/>
  <c r="I383" i="6"/>
  <c r="K382" i="6"/>
  <c r="J382" i="6"/>
  <c r="I382" i="6"/>
  <c r="G375" i="6"/>
  <c r="F375" i="6"/>
  <c r="E375" i="6"/>
  <c r="D375" i="6"/>
  <c r="C375" i="6"/>
  <c r="H374" i="6"/>
  <c r="K363" i="6"/>
  <c r="J363" i="6"/>
  <c r="I363" i="6"/>
  <c r="K362" i="6"/>
  <c r="J362" i="6"/>
  <c r="I362" i="6"/>
  <c r="K361" i="6"/>
  <c r="J361" i="6"/>
  <c r="I361" i="6"/>
  <c r="K360" i="6"/>
  <c r="J360" i="6"/>
  <c r="I360" i="6"/>
  <c r="K359" i="6"/>
  <c r="J359" i="6"/>
  <c r="I359" i="6"/>
  <c r="K358" i="6"/>
  <c r="J358" i="6"/>
  <c r="I358" i="6"/>
  <c r="G351" i="6"/>
  <c r="F351" i="6"/>
  <c r="E351" i="6"/>
  <c r="D351" i="6"/>
  <c r="C351" i="6"/>
  <c r="H350" i="6"/>
  <c r="K338" i="6"/>
  <c r="J338" i="6"/>
  <c r="I338" i="6"/>
  <c r="K337" i="6"/>
  <c r="J337" i="6"/>
  <c r="I337" i="6"/>
  <c r="K336" i="6"/>
  <c r="J336" i="6"/>
  <c r="I336" i="6"/>
  <c r="K335" i="6"/>
  <c r="J335" i="6"/>
  <c r="I335" i="6"/>
  <c r="K334" i="6"/>
  <c r="J334" i="6"/>
  <c r="I334" i="6"/>
  <c r="K333" i="6"/>
  <c r="J333" i="6"/>
  <c r="I333" i="6"/>
  <c r="G326" i="6"/>
  <c r="F326" i="6"/>
  <c r="E326" i="6"/>
  <c r="D326" i="6"/>
  <c r="C326" i="6"/>
  <c r="H325" i="6"/>
  <c r="K314" i="6"/>
  <c r="J314" i="6"/>
  <c r="I314" i="6"/>
  <c r="K313" i="6"/>
  <c r="J313" i="6"/>
  <c r="I313" i="6"/>
  <c r="K312" i="6"/>
  <c r="J312" i="6"/>
  <c r="I312" i="6"/>
  <c r="K311" i="6"/>
  <c r="J311" i="6"/>
  <c r="I311" i="6"/>
  <c r="K310" i="6"/>
  <c r="J310" i="6"/>
  <c r="I310" i="6"/>
  <c r="K309" i="6"/>
  <c r="J309" i="6"/>
  <c r="I309" i="6"/>
  <c r="G302" i="6"/>
  <c r="F302" i="6"/>
  <c r="E302" i="6"/>
  <c r="D302" i="6"/>
  <c r="C302" i="6"/>
  <c r="H301" i="6"/>
  <c r="K290" i="6"/>
  <c r="J290" i="6"/>
  <c r="I290" i="6"/>
  <c r="K289" i="6"/>
  <c r="J289" i="6"/>
  <c r="I289" i="6"/>
  <c r="K288" i="6"/>
  <c r="J288" i="6"/>
  <c r="I288" i="6"/>
  <c r="K287" i="6"/>
  <c r="J287" i="6"/>
  <c r="I287" i="6"/>
  <c r="K286" i="6"/>
  <c r="J286" i="6"/>
  <c r="I286" i="6"/>
  <c r="K285" i="6"/>
  <c r="J285" i="6"/>
  <c r="I285" i="6"/>
  <c r="G278" i="6"/>
  <c r="F278" i="6"/>
  <c r="E278" i="6"/>
  <c r="D278" i="6"/>
  <c r="C278" i="6"/>
  <c r="H277" i="6"/>
  <c r="K265" i="6"/>
  <c r="J265" i="6"/>
  <c r="I265" i="6"/>
  <c r="K264" i="6"/>
  <c r="J264" i="6"/>
  <c r="I264" i="6"/>
  <c r="K263" i="6"/>
  <c r="J263" i="6"/>
  <c r="I263" i="6"/>
  <c r="K262" i="6"/>
  <c r="J262" i="6"/>
  <c r="I262" i="6"/>
  <c r="K261" i="6"/>
  <c r="J261" i="6"/>
  <c r="I261" i="6"/>
  <c r="K260" i="6"/>
  <c r="J260" i="6"/>
  <c r="I260" i="6"/>
  <c r="G253" i="6"/>
  <c r="F253" i="6"/>
  <c r="E253" i="6"/>
  <c r="D253" i="6"/>
  <c r="C253" i="6"/>
  <c r="H252" i="6"/>
  <c r="K241" i="6"/>
  <c r="J241" i="6"/>
  <c r="I241" i="6"/>
  <c r="K240" i="6"/>
  <c r="J240" i="6"/>
  <c r="I240" i="6"/>
  <c r="K239" i="6"/>
  <c r="J239" i="6"/>
  <c r="I239" i="6"/>
  <c r="K238" i="6"/>
  <c r="J238" i="6"/>
  <c r="I238" i="6"/>
  <c r="K237" i="6"/>
  <c r="J237" i="6"/>
  <c r="I237" i="6"/>
  <c r="K236" i="6"/>
  <c r="J236" i="6"/>
  <c r="I236" i="6"/>
  <c r="G229" i="6"/>
  <c r="F229" i="6"/>
  <c r="E229" i="6"/>
  <c r="D229" i="6"/>
  <c r="C229" i="6"/>
  <c r="H228" i="6"/>
  <c r="K216" i="6"/>
  <c r="J216" i="6"/>
  <c r="I216" i="6"/>
  <c r="K215" i="6"/>
  <c r="J215" i="6"/>
  <c r="I215" i="6"/>
  <c r="K214" i="6"/>
  <c r="J214" i="6"/>
  <c r="I214" i="6"/>
  <c r="K213" i="6"/>
  <c r="J213" i="6"/>
  <c r="I213" i="6"/>
  <c r="K212" i="6"/>
  <c r="J212" i="6"/>
  <c r="I212" i="6"/>
  <c r="K211" i="6"/>
  <c r="J211" i="6"/>
  <c r="I211" i="6"/>
  <c r="G204" i="6"/>
  <c r="F204" i="6"/>
  <c r="E204" i="6"/>
  <c r="D204" i="6"/>
  <c r="C204" i="6"/>
  <c r="H203" i="6"/>
  <c r="K191" i="6"/>
  <c r="J191" i="6"/>
  <c r="I191" i="6"/>
  <c r="K190" i="6"/>
  <c r="J190" i="6"/>
  <c r="I190" i="6"/>
  <c r="K189" i="6"/>
  <c r="J189" i="6"/>
  <c r="I189" i="6"/>
  <c r="K188" i="6"/>
  <c r="J188" i="6"/>
  <c r="I188" i="6"/>
  <c r="K187" i="6"/>
  <c r="J187" i="6"/>
  <c r="I187" i="6"/>
  <c r="K186" i="6"/>
  <c r="J186" i="6"/>
  <c r="I186" i="6"/>
  <c r="G179" i="6"/>
  <c r="F179" i="6"/>
  <c r="E179" i="6"/>
  <c r="D179" i="6"/>
  <c r="C179" i="6"/>
  <c r="H178" i="6"/>
  <c r="K167" i="6"/>
  <c r="J167" i="6"/>
  <c r="I167" i="6"/>
  <c r="K166" i="6"/>
  <c r="J166" i="6"/>
  <c r="I166" i="6"/>
  <c r="K165" i="6"/>
  <c r="J165" i="6"/>
  <c r="I165" i="6"/>
  <c r="K164" i="6"/>
  <c r="J164" i="6"/>
  <c r="I164" i="6"/>
  <c r="K163" i="6"/>
  <c r="J163" i="6"/>
  <c r="I163" i="6"/>
  <c r="K162" i="6"/>
  <c r="J162" i="6"/>
  <c r="I162" i="6"/>
  <c r="G155" i="6"/>
  <c r="F155" i="6"/>
  <c r="E155" i="6"/>
  <c r="D155" i="6"/>
  <c r="C155" i="6"/>
  <c r="H154" i="6"/>
  <c r="K144" i="6"/>
  <c r="J144" i="6"/>
  <c r="I144" i="6"/>
  <c r="K143" i="6"/>
  <c r="J143" i="6"/>
  <c r="I143" i="6"/>
  <c r="K142" i="6"/>
  <c r="J142" i="6"/>
  <c r="I142" i="6"/>
  <c r="K141" i="6"/>
  <c r="J141" i="6"/>
  <c r="I141" i="6"/>
  <c r="K140" i="6"/>
  <c r="J140" i="6"/>
  <c r="I140" i="6"/>
  <c r="K139" i="6"/>
  <c r="J139" i="6"/>
  <c r="I139" i="6"/>
  <c r="G132" i="6"/>
  <c r="F132" i="6"/>
  <c r="E132" i="6"/>
  <c r="D132" i="6"/>
  <c r="C132" i="6"/>
  <c r="H131" i="6"/>
  <c r="K120" i="6"/>
  <c r="J120" i="6"/>
  <c r="I120" i="6"/>
  <c r="K119" i="6"/>
  <c r="J119" i="6"/>
  <c r="I119" i="6"/>
  <c r="K118" i="6"/>
  <c r="J118" i="6"/>
  <c r="I118" i="6"/>
  <c r="K117" i="6"/>
  <c r="J117" i="6"/>
  <c r="I117" i="6"/>
  <c r="K116" i="6"/>
  <c r="J116" i="6"/>
  <c r="I116" i="6"/>
  <c r="K115" i="6"/>
  <c r="J115" i="6"/>
  <c r="I115" i="6"/>
  <c r="G108" i="6"/>
  <c r="F108" i="6"/>
  <c r="E108" i="6"/>
  <c r="D108" i="6"/>
  <c r="C108" i="6"/>
  <c r="H107" i="6"/>
  <c r="K96" i="6"/>
  <c r="J96" i="6"/>
  <c r="I96" i="6"/>
  <c r="K95" i="6"/>
  <c r="J95" i="6"/>
  <c r="I95" i="6"/>
  <c r="K94" i="6"/>
  <c r="J94" i="6"/>
  <c r="I94" i="6"/>
  <c r="K93" i="6"/>
  <c r="J93" i="6"/>
  <c r="I93" i="6"/>
  <c r="K92" i="6"/>
  <c r="J92" i="6"/>
  <c r="I92" i="6"/>
  <c r="K91" i="6"/>
  <c r="J91" i="6"/>
  <c r="I91" i="6"/>
  <c r="G84" i="6"/>
  <c r="F84" i="6"/>
  <c r="E84" i="6"/>
  <c r="D84" i="6"/>
  <c r="C84" i="6"/>
  <c r="H83" i="6"/>
  <c r="K72" i="6"/>
  <c r="J72" i="6"/>
  <c r="I72" i="6"/>
  <c r="K71" i="6"/>
  <c r="J71" i="6"/>
  <c r="I71" i="6"/>
  <c r="K70" i="6"/>
  <c r="J70" i="6"/>
  <c r="I70" i="6"/>
  <c r="K69" i="6"/>
  <c r="J69" i="6"/>
  <c r="I69" i="6"/>
  <c r="K68" i="6"/>
  <c r="J68" i="6"/>
  <c r="I68" i="6"/>
  <c r="K67" i="6"/>
  <c r="J67" i="6"/>
  <c r="I67" i="6"/>
  <c r="G60" i="6"/>
  <c r="F60" i="6"/>
  <c r="E60" i="6"/>
  <c r="D60" i="6"/>
  <c r="C60" i="6"/>
  <c r="H59" i="6"/>
  <c r="K47" i="6"/>
  <c r="J47" i="6"/>
  <c r="I47" i="6"/>
  <c r="K46" i="6"/>
  <c r="J46" i="6"/>
  <c r="I46" i="6"/>
  <c r="K45" i="6"/>
  <c r="J45" i="6"/>
  <c r="I45" i="6"/>
  <c r="K44" i="6"/>
  <c r="J44" i="6"/>
  <c r="I44" i="6"/>
  <c r="K43" i="6"/>
  <c r="J43" i="6"/>
  <c r="I43" i="6"/>
  <c r="K42" i="6"/>
  <c r="J42" i="6"/>
  <c r="I42" i="6"/>
  <c r="G35" i="6"/>
  <c r="F35" i="6"/>
  <c r="E35" i="6"/>
  <c r="D35" i="6"/>
  <c r="C35" i="6"/>
  <c r="H34" i="6"/>
  <c r="K23" i="6"/>
  <c r="J23" i="6"/>
  <c r="I23" i="6"/>
  <c r="K22" i="6"/>
  <c r="J22" i="6"/>
  <c r="I22" i="6"/>
  <c r="K21" i="6"/>
  <c r="J21" i="6"/>
  <c r="I21" i="6"/>
  <c r="K20" i="6"/>
  <c r="J20" i="6"/>
  <c r="I20" i="6"/>
  <c r="K19" i="6"/>
  <c r="J19" i="6"/>
  <c r="I19" i="6"/>
  <c r="K18" i="6"/>
  <c r="J18" i="6"/>
  <c r="I18" i="6"/>
  <c r="G10" i="6"/>
  <c r="F10" i="6"/>
  <c r="E10" i="6"/>
  <c r="D10" i="6"/>
  <c r="C10" i="6"/>
  <c r="H9" i="6"/>
  <c r="R431" i="5"/>
  <c r="P431" i="5"/>
  <c r="N431" i="5"/>
  <c r="L431" i="5"/>
  <c r="J431" i="5"/>
  <c r="F431" i="5"/>
  <c r="D431" i="5"/>
  <c r="B431" i="5"/>
  <c r="V426" i="5"/>
  <c r="U426" i="5"/>
  <c r="T426" i="5"/>
  <c r="S426" i="5"/>
  <c r="Q426" i="5"/>
  <c r="P426" i="5"/>
  <c r="O426" i="5"/>
  <c r="N426" i="5"/>
  <c r="M426" i="5"/>
  <c r="L426" i="5"/>
  <c r="K426" i="5"/>
  <c r="J426" i="5"/>
  <c r="I426" i="5"/>
  <c r="H426" i="5"/>
  <c r="G426" i="5"/>
  <c r="F426" i="5"/>
  <c r="E426" i="5"/>
  <c r="D426" i="5"/>
  <c r="C426" i="5"/>
  <c r="B426" i="5"/>
  <c r="A426" i="5"/>
  <c r="Q416" i="5"/>
  <c r="P416" i="5"/>
  <c r="O416" i="5"/>
  <c r="N416" i="5"/>
  <c r="M416" i="5"/>
  <c r="L416" i="5"/>
  <c r="K416" i="5"/>
  <c r="J416" i="5"/>
  <c r="I416" i="5"/>
  <c r="H416" i="5"/>
  <c r="F416" i="5"/>
  <c r="E416" i="5"/>
  <c r="D416" i="5"/>
  <c r="C416" i="5"/>
  <c r="Q415" i="5"/>
  <c r="P415" i="5"/>
  <c r="O415" i="5"/>
  <c r="N415" i="5"/>
  <c r="M415" i="5"/>
  <c r="L415" i="5"/>
  <c r="K415" i="5"/>
  <c r="J415" i="5"/>
  <c r="I415" i="5"/>
  <c r="H415" i="5"/>
  <c r="F415" i="5"/>
  <c r="E415" i="5"/>
  <c r="D415" i="5"/>
  <c r="C415" i="5"/>
  <c r="R404" i="5"/>
  <c r="P404" i="5"/>
  <c r="N404" i="5"/>
  <c r="L404" i="5"/>
  <c r="J404" i="5"/>
  <c r="F404" i="5"/>
  <c r="D404" i="5"/>
  <c r="B404" i="5"/>
  <c r="V399" i="5"/>
  <c r="U399" i="5"/>
  <c r="T399" i="5"/>
  <c r="S399" i="5"/>
  <c r="Q399" i="5"/>
  <c r="P399" i="5"/>
  <c r="O399" i="5"/>
  <c r="N399" i="5"/>
  <c r="M399" i="5"/>
  <c r="L399" i="5"/>
  <c r="K399" i="5"/>
  <c r="J399" i="5"/>
  <c r="I399" i="5"/>
  <c r="H399" i="5"/>
  <c r="G399" i="5"/>
  <c r="F399" i="5"/>
  <c r="E399" i="5"/>
  <c r="D399" i="5"/>
  <c r="C399" i="5"/>
  <c r="B399" i="5"/>
  <c r="A399" i="5"/>
  <c r="Q389" i="5"/>
  <c r="P389" i="5"/>
  <c r="O389" i="5"/>
  <c r="N389" i="5"/>
  <c r="M389" i="5"/>
  <c r="L389" i="5"/>
  <c r="K389" i="5"/>
  <c r="J389" i="5"/>
  <c r="I389" i="5"/>
  <c r="H389" i="5"/>
  <c r="F389" i="5"/>
  <c r="E389" i="5"/>
  <c r="D389" i="5"/>
  <c r="C389" i="5"/>
  <c r="Q388" i="5"/>
  <c r="P388" i="5"/>
  <c r="O388" i="5"/>
  <c r="N388" i="5"/>
  <c r="M388" i="5"/>
  <c r="L388" i="5"/>
  <c r="K388" i="5"/>
  <c r="J388" i="5"/>
  <c r="I388" i="5"/>
  <c r="H388" i="5"/>
  <c r="F388" i="5"/>
  <c r="E388" i="5"/>
  <c r="D388" i="5"/>
  <c r="C388" i="5"/>
  <c r="R377" i="5"/>
  <c r="P377" i="5"/>
  <c r="N377" i="5"/>
  <c r="L377" i="5"/>
  <c r="J377" i="5"/>
  <c r="F377" i="5"/>
  <c r="D377" i="5"/>
  <c r="B377" i="5"/>
  <c r="V372" i="5"/>
  <c r="U372" i="5"/>
  <c r="T372" i="5"/>
  <c r="S372" i="5"/>
  <c r="Q372" i="5"/>
  <c r="P372" i="5"/>
  <c r="O372" i="5"/>
  <c r="N372" i="5"/>
  <c r="M372" i="5"/>
  <c r="L372" i="5"/>
  <c r="K372" i="5"/>
  <c r="J372" i="5"/>
  <c r="I372" i="5"/>
  <c r="H372" i="5"/>
  <c r="G372" i="5"/>
  <c r="F372" i="5"/>
  <c r="E372" i="5"/>
  <c r="D372" i="5"/>
  <c r="C372" i="5"/>
  <c r="B372" i="5"/>
  <c r="A372" i="5"/>
  <c r="Q362" i="5"/>
  <c r="Q363" i="5" s="1"/>
  <c r="P362" i="5"/>
  <c r="P363" i="5" s="1"/>
  <c r="O362" i="5"/>
  <c r="O363" i="5" s="1"/>
  <c r="N362" i="5"/>
  <c r="N363" i="5" s="1"/>
  <c r="M362" i="5"/>
  <c r="L362" i="5"/>
  <c r="L363" i="5" s="1"/>
  <c r="K362" i="5"/>
  <c r="K363" i="5" s="1"/>
  <c r="J362" i="5"/>
  <c r="J363" i="5" s="1"/>
  <c r="I362" i="5"/>
  <c r="I363" i="5" s="1"/>
  <c r="H362" i="5"/>
  <c r="H363" i="5" s="1"/>
  <c r="F362" i="5"/>
  <c r="E362" i="5"/>
  <c r="E363" i="5" s="1"/>
  <c r="D362" i="5"/>
  <c r="D363" i="5" s="1"/>
  <c r="C362" i="5"/>
  <c r="C363" i="5" s="1"/>
  <c r="R361" i="5"/>
  <c r="Q361" i="5"/>
  <c r="P361" i="5"/>
  <c r="O361" i="5"/>
  <c r="N361" i="5"/>
  <c r="M361" i="5"/>
  <c r="L361" i="5"/>
  <c r="K361" i="5"/>
  <c r="J361" i="5"/>
  <c r="I361" i="5"/>
  <c r="H361" i="5"/>
  <c r="G361" i="5"/>
  <c r="F361" i="5"/>
  <c r="E361" i="5"/>
  <c r="D361" i="5"/>
  <c r="C361" i="5"/>
  <c r="R350" i="5"/>
  <c r="P350" i="5"/>
  <c r="N350" i="5"/>
  <c r="L350" i="5"/>
  <c r="J350" i="5"/>
  <c r="F350" i="5"/>
  <c r="D350" i="5"/>
  <c r="B350" i="5"/>
  <c r="V345" i="5"/>
  <c r="U345" i="5"/>
  <c r="T345" i="5"/>
  <c r="S345" i="5"/>
  <c r="Q345" i="5"/>
  <c r="P345" i="5"/>
  <c r="O345" i="5"/>
  <c r="N345" i="5"/>
  <c r="M345" i="5"/>
  <c r="L345" i="5"/>
  <c r="K345" i="5"/>
  <c r="J345" i="5"/>
  <c r="I345" i="5"/>
  <c r="H345" i="5"/>
  <c r="G345" i="5"/>
  <c r="F345" i="5"/>
  <c r="E345" i="5"/>
  <c r="D345" i="5"/>
  <c r="C345" i="5"/>
  <c r="B345" i="5"/>
  <c r="A345" i="5"/>
  <c r="Q335" i="5"/>
  <c r="P335" i="5"/>
  <c r="O335" i="5"/>
  <c r="N335" i="5"/>
  <c r="M335" i="5"/>
  <c r="L335" i="5"/>
  <c r="K335" i="5"/>
  <c r="J335" i="5"/>
  <c r="I335" i="5"/>
  <c r="H335" i="5"/>
  <c r="F335" i="5"/>
  <c r="E335" i="5"/>
  <c r="D335" i="5"/>
  <c r="C335" i="5"/>
  <c r="Q334" i="5"/>
  <c r="P334" i="5"/>
  <c r="O334" i="5"/>
  <c r="N334" i="5"/>
  <c r="M334" i="5"/>
  <c r="L334" i="5"/>
  <c r="K334" i="5"/>
  <c r="J334" i="5"/>
  <c r="I334" i="5"/>
  <c r="H334" i="5"/>
  <c r="F334" i="5"/>
  <c r="E334" i="5"/>
  <c r="D334" i="5"/>
  <c r="C334" i="5"/>
  <c r="R323" i="5"/>
  <c r="P323" i="5"/>
  <c r="N323" i="5"/>
  <c r="L323" i="5"/>
  <c r="J323" i="5"/>
  <c r="F323" i="5"/>
  <c r="D323" i="5"/>
  <c r="B323" i="5"/>
  <c r="V318" i="5"/>
  <c r="U318" i="5"/>
  <c r="T318" i="5"/>
  <c r="S318" i="5"/>
  <c r="Q318" i="5"/>
  <c r="P318" i="5"/>
  <c r="O318" i="5"/>
  <c r="N318" i="5"/>
  <c r="M318" i="5"/>
  <c r="L318" i="5"/>
  <c r="K318" i="5"/>
  <c r="J318" i="5"/>
  <c r="I318" i="5"/>
  <c r="H318" i="5"/>
  <c r="G318" i="5"/>
  <c r="F318" i="5"/>
  <c r="E318" i="5"/>
  <c r="D318" i="5"/>
  <c r="C318" i="5"/>
  <c r="B318" i="5"/>
  <c r="A318" i="5"/>
  <c r="Q308" i="5"/>
  <c r="P308" i="5"/>
  <c r="O308" i="5"/>
  <c r="N308" i="5"/>
  <c r="M308" i="5"/>
  <c r="L308" i="5"/>
  <c r="K308" i="5"/>
  <c r="J308" i="5"/>
  <c r="I308" i="5"/>
  <c r="H308" i="5"/>
  <c r="F308" i="5"/>
  <c r="E308" i="5"/>
  <c r="D308" i="5"/>
  <c r="C308" i="5"/>
  <c r="Q307" i="5"/>
  <c r="P307" i="5"/>
  <c r="O307" i="5"/>
  <c r="N307" i="5"/>
  <c r="M307" i="5"/>
  <c r="L307" i="5"/>
  <c r="K307" i="5"/>
  <c r="J307" i="5"/>
  <c r="I307" i="5"/>
  <c r="H307" i="5"/>
  <c r="F307" i="5"/>
  <c r="E307" i="5"/>
  <c r="D307" i="5"/>
  <c r="C307" i="5"/>
  <c r="R296" i="5"/>
  <c r="P296" i="5"/>
  <c r="N296" i="5"/>
  <c r="L296" i="5"/>
  <c r="J296" i="5"/>
  <c r="F296" i="5"/>
  <c r="D296" i="5"/>
  <c r="B296" i="5"/>
  <c r="V291" i="5"/>
  <c r="U291" i="5"/>
  <c r="T291" i="5"/>
  <c r="S291" i="5"/>
  <c r="Q291" i="5"/>
  <c r="P291" i="5"/>
  <c r="O291" i="5"/>
  <c r="M291" i="5"/>
  <c r="L291" i="5"/>
  <c r="K291" i="5"/>
  <c r="J291" i="5"/>
  <c r="I291" i="5"/>
  <c r="H291" i="5"/>
  <c r="G291" i="5"/>
  <c r="F291" i="5"/>
  <c r="E291" i="5"/>
  <c r="D291" i="5"/>
  <c r="C291" i="5"/>
  <c r="B291" i="5"/>
  <c r="A291" i="5"/>
  <c r="R282" i="5"/>
  <c r="Q281" i="5"/>
  <c r="P281" i="5"/>
  <c r="O281" i="5"/>
  <c r="N281" i="5"/>
  <c r="M281" i="5"/>
  <c r="L281" i="5"/>
  <c r="K281" i="5"/>
  <c r="J281" i="5"/>
  <c r="I281" i="5"/>
  <c r="H281" i="5"/>
  <c r="F281" i="5"/>
  <c r="E281" i="5"/>
  <c r="D281" i="5"/>
  <c r="C281" i="5"/>
  <c r="Q280" i="5"/>
  <c r="P280" i="5"/>
  <c r="O280" i="5"/>
  <c r="N280" i="5"/>
  <c r="M280" i="5"/>
  <c r="L280" i="5"/>
  <c r="K280" i="5"/>
  <c r="J280" i="5"/>
  <c r="I280" i="5"/>
  <c r="H280" i="5"/>
  <c r="F280" i="5"/>
  <c r="E280" i="5"/>
  <c r="D280" i="5"/>
  <c r="C280" i="5"/>
  <c r="C282" i="5" s="1"/>
  <c r="R269" i="5"/>
  <c r="P269" i="5"/>
  <c r="N269" i="5"/>
  <c r="L269" i="5"/>
  <c r="J269" i="5"/>
  <c r="F269" i="5"/>
  <c r="D269" i="5"/>
  <c r="B269" i="5"/>
  <c r="V264" i="5"/>
  <c r="U264" i="5"/>
  <c r="T264" i="5"/>
  <c r="S264" i="5"/>
  <c r="Q264" i="5"/>
  <c r="P264" i="5"/>
  <c r="O264" i="5"/>
  <c r="N264" i="5"/>
  <c r="L264" i="5"/>
  <c r="K264" i="5"/>
  <c r="J264" i="5"/>
  <c r="I264" i="5"/>
  <c r="H264" i="5"/>
  <c r="G264" i="5"/>
  <c r="F264" i="5"/>
  <c r="E264" i="5"/>
  <c r="D264" i="5"/>
  <c r="C264" i="5"/>
  <c r="B264" i="5"/>
  <c r="A264" i="5"/>
  <c r="R255" i="5"/>
  <c r="Q254" i="5"/>
  <c r="P254" i="5"/>
  <c r="O254" i="5"/>
  <c r="N254" i="5"/>
  <c r="M254" i="5"/>
  <c r="L254" i="5"/>
  <c r="K254" i="5"/>
  <c r="J254" i="5"/>
  <c r="I254" i="5"/>
  <c r="H254" i="5"/>
  <c r="F254" i="5"/>
  <c r="E254" i="5"/>
  <c r="D254" i="5"/>
  <c r="C254" i="5"/>
  <c r="Q253" i="5"/>
  <c r="P253" i="5"/>
  <c r="O253" i="5"/>
  <c r="N253" i="5"/>
  <c r="M253" i="5"/>
  <c r="L253" i="5"/>
  <c r="K253" i="5"/>
  <c r="J253" i="5"/>
  <c r="I253" i="5"/>
  <c r="H253" i="5"/>
  <c r="F253" i="5"/>
  <c r="E253" i="5"/>
  <c r="D253" i="5"/>
  <c r="D255" i="5" s="1"/>
  <c r="C253" i="5"/>
  <c r="R242" i="5"/>
  <c r="P242" i="5"/>
  <c r="N242" i="5"/>
  <c r="L242" i="5"/>
  <c r="J242" i="5"/>
  <c r="F242" i="5"/>
  <c r="D242" i="5"/>
  <c r="B242" i="5"/>
  <c r="V237" i="5"/>
  <c r="U237" i="5"/>
  <c r="T237" i="5"/>
  <c r="S237" i="5"/>
  <c r="Q237" i="5"/>
  <c r="P237" i="5"/>
  <c r="O237" i="5"/>
  <c r="N237" i="5"/>
  <c r="M237" i="5"/>
  <c r="L237" i="5"/>
  <c r="K237" i="5"/>
  <c r="J237" i="5"/>
  <c r="I237" i="5"/>
  <c r="H237" i="5"/>
  <c r="G237" i="5"/>
  <c r="F237" i="5"/>
  <c r="E237" i="5"/>
  <c r="D237" i="5"/>
  <c r="C237" i="5"/>
  <c r="B237" i="5"/>
  <c r="A237" i="5"/>
  <c r="Q227" i="5"/>
  <c r="P227" i="5"/>
  <c r="O227" i="5"/>
  <c r="N227" i="5"/>
  <c r="M227" i="5"/>
  <c r="L227" i="5"/>
  <c r="K227" i="5"/>
  <c r="J227" i="5"/>
  <c r="I227" i="5"/>
  <c r="H227" i="5"/>
  <c r="F227" i="5"/>
  <c r="E227" i="5"/>
  <c r="D227" i="5"/>
  <c r="C227" i="5"/>
  <c r="Q226" i="5"/>
  <c r="P226" i="5"/>
  <c r="O226" i="5"/>
  <c r="N226" i="5"/>
  <c r="M226" i="5"/>
  <c r="L226" i="5"/>
  <c r="K226" i="5"/>
  <c r="J226" i="5"/>
  <c r="I226" i="5"/>
  <c r="H226" i="5"/>
  <c r="F226" i="5"/>
  <c r="E226" i="5"/>
  <c r="D226" i="5"/>
  <c r="C226" i="5"/>
  <c r="R215" i="5"/>
  <c r="P215" i="5"/>
  <c r="N215" i="5"/>
  <c r="L215" i="5"/>
  <c r="J215" i="5"/>
  <c r="F215" i="5"/>
  <c r="D215" i="5"/>
  <c r="B215" i="5"/>
  <c r="V210" i="5"/>
  <c r="U210" i="5"/>
  <c r="T210" i="5"/>
  <c r="S210" i="5"/>
  <c r="Q210" i="5"/>
  <c r="P210" i="5"/>
  <c r="O210" i="5"/>
  <c r="N210" i="5"/>
  <c r="M210" i="5"/>
  <c r="L210" i="5"/>
  <c r="K210" i="5"/>
  <c r="J210" i="5"/>
  <c r="I210" i="5"/>
  <c r="H210" i="5"/>
  <c r="G210" i="5"/>
  <c r="F210" i="5"/>
  <c r="E210" i="5"/>
  <c r="D210" i="5"/>
  <c r="C210" i="5"/>
  <c r="B210" i="5"/>
  <c r="A210" i="5"/>
  <c r="R201" i="5"/>
  <c r="Q200" i="5"/>
  <c r="P200" i="5"/>
  <c r="O200" i="5"/>
  <c r="N200" i="5"/>
  <c r="M200" i="5"/>
  <c r="L200" i="5"/>
  <c r="K200" i="5"/>
  <c r="J200" i="5"/>
  <c r="I200" i="5"/>
  <c r="H200" i="5"/>
  <c r="F200" i="5"/>
  <c r="E200" i="5"/>
  <c r="D200" i="5"/>
  <c r="C200" i="5"/>
  <c r="Q199" i="5"/>
  <c r="P199" i="5"/>
  <c r="O199" i="5"/>
  <c r="N199" i="5"/>
  <c r="M199" i="5"/>
  <c r="L199" i="5"/>
  <c r="K199" i="5"/>
  <c r="J199" i="5"/>
  <c r="I199" i="5"/>
  <c r="H199" i="5"/>
  <c r="H201" i="5" s="1"/>
  <c r="F199" i="5"/>
  <c r="E199" i="5"/>
  <c r="D199" i="5"/>
  <c r="C199" i="5"/>
  <c r="C201" i="5" s="1"/>
  <c r="R188" i="5"/>
  <c r="P188" i="5"/>
  <c r="N188" i="5"/>
  <c r="L188" i="5"/>
  <c r="J188" i="5"/>
  <c r="F188" i="5"/>
  <c r="D188" i="5"/>
  <c r="B188" i="5"/>
  <c r="V183" i="5"/>
  <c r="U183" i="5"/>
  <c r="T183" i="5"/>
  <c r="S183" i="5"/>
  <c r="Q183" i="5"/>
  <c r="P183" i="5"/>
  <c r="O183" i="5"/>
  <c r="M183" i="5"/>
  <c r="L183" i="5"/>
  <c r="K183" i="5"/>
  <c r="J183" i="5"/>
  <c r="I183" i="5"/>
  <c r="H183" i="5"/>
  <c r="G183" i="5"/>
  <c r="F183" i="5"/>
  <c r="E183" i="5"/>
  <c r="D183" i="5"/>
  <c r="C183" i="5"/>
  <c r="B183" i="5"/>
  <c r="A183" i="5"/>
  <c r="R174" i="5"/>
  <c r="Q173" i="5"/>
  <c r="P173" i="5"/>
  <c r="O173" i="5"/>
  <c r="N173" i="5"/>
  <c r="M173" i="5"/>
  <c r="L173" i="5"/>
  <c r="K173" i="5"/>
  <c r="J173" i="5"/>
  <c r="I173" i="5"/>
  <c r="H173" i="5"/>
  <c r="F173" i="5"/>
  <c r="E173" i="5"/>
  <c r="D173" i="5"/>
  <c r="C173" i="5"/>
  <c r="Q172" i="5"/>
  <c r="P172" i="5"/>
  <c r="O172" i="5"/>
  <c r="N172" i="5"/>
  <c r="M172" i="5"/>
  <c r="L172" i="5"/>
  <c r="K172" i="5"/>
  <c r="J172" i="5"/>
  <c r="I172" i="5"/>
  <c r="H172" i="5"/>
  <c r="F172" i="5"/>
  <c r="E172" i="5"/>
  <c r="D172" i="5"/>
  <c r="C172" i="5"/>
  <c r="R160" i="5"/>
  <c r="P160" i="5"/>
  <c r="N160" i="5"/>
  <c r="L160" i="5"/>
  <c r="J160" i="5"/>
  <c r="F160" i="5"/>
  <c r="D160" i="5"/>
  <c r="B160" i="5"/>
  <c r="V155" i="5"/>
  <c r="U155" i="5"/>
  <c r="T155" i="5"/>
  <c r="S155" i="5"/>
  <c r="Q155" i="5"/>
  <c r="P155" i="5"/>
  <c r="O155" i="5"/>
  <c r="M155" i="5"/>
  <c r="L155" i="5"/>
  <c r="K155" i="5"/>
  <c r="J155" i="5"/>
  <c r="I155" i="5"/>
  <c r="H155" i="5"/>
  <c r="G155" i="5"/>
  <c r="F155" i="5"/>
  <c r="E155" i="5"/>
  <c r="D155" i="5"/>
  <c r="C155" i="5"/>
  <c r="B155" i="5"/>
  <c r="A155" i="5"/>
  <c r="R146" i="5"/>
  <c r="Q145" i="5"/>
  <c r="P145" i="5"/>
  <c r="O145" i="5"/>
  <c r="N145" i="5"/>
  <c r="M145" i="5"/>
  <c r="L145" i="5"/>
  <c r="K145" i="5"/>
  <c r="J145" i="5"/>
  <c r="I145" i="5"/>
  <c r="H145" i="5"/>
  <c r="F145" i="5"/>
  <c r="E145" i="5"/>
  <c r="D145" i="5"/>
  <c r="C145" i="5"/>
  <c r="Q144" i="5"/>
  <c r="P144" i="5"/>
  <c r="O144" i="5"/>
  <c r="N144" i="5"/>
  <c r="M144" i="5"/>
  <c r="L144" i="5"/>
  <c r="K144" i="5"/>
  <c r="J144" i="5"/>
  <c r="I144" i="5"/>
  <c r="H144" i="5"/>
  <c r="F144" i="5"/>
  <c r="E144" i="5"/>
  <c r="D144" i="5"/>
  <c r="C144" i="5"/>
  <c r="R133" i="5"/>
  <c r="P133" i="5"/>
  <c r="N133" i="5"/>
  <c r="L133" i="5"/>
  <c r="J133" i="5"/>
  <c r="F133" i="5"/>
  <c r="D133" i="5"/>
  <c r="B133" i="5"/>
  <c r="V128" i="5"/>
  <c r="U128" i="5"/>
  <c r="T128" i="5"/>
  <c r="S128" i="5"/>
  <c r="Q128" i="5"/>
  <c r="P128" i="5"/>
  <c r="O128" i="5"/>
  <c r="M128" i="5"/>
  <c r="L128" i="5"/>
  <c r="K128" i="5"/>
  <c r="J128" i="5"/>
  <c r="I128" i="5"/>
  <c r="H128" i="5"/>
  <c r="G128" i="5"/>
  <c r="F128" i="5"/>
  <c r="E128" i="5"/>
  <c r="D128" i="5"/>
  <c r="C128" i="5"/>
  <c r="B128" i="5"/>
  <c r="A128" i="5"/>
  <c r="R119" i="5"/>
  <c r="Q118" i="5"/>
  <c r="P118" i="5"/>
  <c r="O118" i="5"/>
  <c r="N118" i="5"/>
  <c r="M118" i="5"/>
  <c r="L118" i="5"/>
  <c r="K118" i="5"/>
  <c r="J118" i="5"/>
  <c r="H118" i="5"/>
  <c r="F118" i="5"/>
  <c r="E118" i="5"/>
  <c r="D118" i="5"/>
  <c r="C118" i="5"/>
  <c r="Q117" i="5"/>
  <c r="P117" i="5"/>
  <c r="O117" i="5"/>
  <c r="N117" i="5"/>
  <c r="M117" i="5"/>
  <c r="L117" i="5"/>
  <c r="K117" i="5"/>
  <c r="J117" i="5"/>
  <c r="I117" i="5"/>
  <c r="I119" i="5" s="1"/>
  <c r="H117" i="5"/>
  <c r="F117" i="5"/>
  <c r="E117" i="5"/>
  <c r="D117" i="5"/>
  <c r="C117" i="5"/>
  <c r="R106" i="5"/>
  <c r="P106" i="5"/>
  <c r="N106" i="5"/>
  <c r="L106" i="5"/>
  <c r="J106" i="5"/>
  <c r="F106" i="5"/>
  <c r="D106" i="5"/>
  <c r="B106" i="5"/>
  <c r="V101" i="5"/>
  <c r="U101" i="5"/>
  <c r="T101" i="5"/>
  <c r="S101" i="5"/>
  <c r="Q101" i="5"/>
  <c r="P101" i="5"/>
  <c r="O101" i="5"/>
  <c r="N101" i="5"/>
  <c r="M101" i="5"/>
  <c r="L101" i="5"/>
  <c r="K101" i="5"/>
  <c r="J101" i="5"/>
  <c r="I101" i="5"/>
  <c r="H101" i="5"/>
  <c r="G101" i="5"/>
  <c r="F101" i="5"/>
  <c r="E101" i="5"/>
  <c r="D101" i="5"/>
  <c r="C101" i="5"/>
  <c r="B101" i="5"/>
  <c r="A101" i="5"/>
  <c r="Q91" i="5"/>
  <c r="P91" i="5"/>
  <c r="O91" i="5"/>
  <c r="N91" i="5"/>
  <c r="M91" i="5"/>
  <c r="L91" i="5"/>
  <c r="K91" i="5"/>
  <c r="J91" i="5"/>
  <c r="I91" i="5"/>
  <c r="H91" i="5"/>
  <c r="F91" i="5"/>
  <c r="E91" i="5"/>
  <c r="D91" i="5"/>
  <c r="C91" i="5"/>
  <c r="Q90" i="5"/>
  <c r="P90" i="5"/>
  <c r="O90" i="5"/>
  <c r="N90" i="5"/>
  <c r="M90" i="5"/>
  <c r="L90" i="5"/>
  <c r="K90" i="5"/>
  <c r="J90" i="5"/>
  <c r="I90" i="5"/>
  <c r="H90" i="5"/>
  <c r="F90" i="5"/>
  <c r="E90" i="5"/>
  <c r="D90" i="5"/>
  <c r="C90" i="5"/>
  <c r="R79" i="5"/>
  <c r="P79" i="5"/>
  <c r="N79" i="5"/>
  <c r="L79" i="5"/>
  <c r="J79" i="5"/>
  <c r="F79" i="5"/>
  <c r="D79" i="5"/>
  <c r="B79" i="5"/>
  <c r="V74" i="5"/>
  <c r="U74" i="5"/>
  <c r="T74" i="5"/>
  <c r="S74" i="5"/>
  <c r="Q74" i="5"/>
  <c r="P74" i="5"/>
  <c r="O74" i="5"/>
  <c r="N74" i="5"/>
  <c r="L74" i="5"/>
  <c r="K74" i="5"/>
  <c r="J74" i="5"/>
  <c r="I74" i="5"/>
  <c r="H74" i="5"/>
  <c r="G74" i="5"/>
  <c r="F74" i="5"/>
  <c r="E74" i="5"/>
  <c r="D74" i="5"/>
  <c r="C74" i="5"/>
  <c r="B74" i="5"/>
  <c r="A74" i="5"/>
  <c r="Q64" i="5"/>
  <c r="P64" i="5"/>
  <c r="O64" i="5"/>
  <c r="N64" i="5"/>
  <c r="M64" i="5"/>
  <c r="L64" i="5"/>
  <c r="K64" i="5"/>
  <c r="J64" i="5"/>
  <c r="I64" i="5"/>
  <c r="H64" i="5"/>
  <c r="F64" i="5"/>
  <c r="E64" i="5"/>
  <c r="D64" i="5"/>
  <c r="C64" i="5"/>
  <c r="Q63" i="5"/>
  <c r="P63" i="5"/>
  <c r="O63" i="5"/>
  <c r="N63" i="5"/>
  <c r="M63" i="5"/>
  <c r="L63" i="5"/>
  <c r="K63" i="5"/>
  <c r="J63" i="5"/>
  <c r="I63" i="5"/>
  <c r="H63" i="5"/>
  <c r="F63" i="5"/>
  <c r="E63" i="5"/>
  <c r="D63" i="5"/>
  <c r="C63" i="5"/>
  <c r="R53" i="5"/>
  <c r="P53" i="5"/>
  <c r="N53" i="5"/>
  <c r="L53" i="5"/>
  <c r="J53" i="5"/>
  <c r="F53" i="5"/>
  <c r="D53" i="5"/>
  <c r="B53" i="5"/>
  <c r="V48" i="5"/>
  <c r="U48" i="5"/>
  <c r="T48" i="5"/>
  <c r="S48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C48" i="5"/>
  <c r="B48" i="5"/>
  <c r="A48" i="5"/>
  <c r="Q38" i="5"/>
  <c r="P38" i="5"/>
  <c r="O38" i="5"/>
  <c r="N38" i="5"/>
  <c r="M38" i="5"/>
  <c r="L38" i="5"/>
  <c r="K38" i="5"/>
  <c r="J38" i="5"/>
  <c r="I38" i="5"/>
  <c r="H38" i="5"/>
  <c r="F38" i="5"/>
  <c r="E38" i="5"/>
  <c r="D38" i="5"/>
  <c r="C38" i="5"/>
  <c r="Q37" i="5"/>
  <c r="P37" i="5"/>
  <c r="O37" i="5"/>
  <c r="N37" i="5"/>
  <c r="M37" i="5"/>
  <c r="L37" i="5"/>
  <c r="K37" i="5"/>
  <c r="J37" i="5"/>
  <c r="I37" i="5"/>
  <c r="H37" i="5"/>
  <c r="F37" i="5"/>
  <c r="E37" i="5"/>
  <c r="D37" i="5"/>
  <c r="C37" i="5"/>
  <c r="R26" i="5"/>
  <c r="P26" i="5"/>
  <c r="N26" i="5"/>
  <c r="L26" i="5"/>
  <c r="J26" i="5"/>
  <c r="F26" i="5"/>
  <c r="D26" i="5"/>
  <c r="B26" i="5"/>
  <c r="V21" i="5"/>
  <c r="U21" i="5"/>
  <c r="T21" i="5"/>
  <c r="S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B21" i="5"/>
  <c r="A21" i="5"/>
  <c r="Q11" i="5"/>
  <c r="P11" i="5"/>
  <c r="O11" i="5"/>
  <c r="N11" i="5"/>
  <c r="M11" i="5"/>
  <c r="L11" i="5"/>
  <c r="K11" i="5"/>
  <c r="J11" i="5"/>
  <c r="I11" i="5"/>
  <c r="H11" i="5"/>
  <c r="F11" i="5"/>
  <c r="E11" i="5"/>
  <c r="D11" i="5"/>
  <c r="C11" i="5"/>
  <c r="Q10" i="5"/>
  <c r="P10" i="5"/>
  <c r="O10" i="5"/>
  <c r="N10" i="5"/>
  <c r="M10" i="5"/>
  <c r="L10" i="5"/>
  <c r="K10" i="5"/>
  <c r="J10" i="5"/>
  <c r="I10" i="5"/>
  <c r="H10" i="5"/>
  <c r="F10" i="5"/>
  <c r="E10" i="5"/>
  <c r="D10" i="5"/>
  <c r="C10" i="5"/>
  <c r="M524" i="4"/>
  <c r="O524" i="4" s="1"/>
  <c r="L524" i="4"/>
  <c r="N524" i="4" s="1"/>
  <c r="M523" i="4"/>
  <c r="L523" i="4"/>
  <c r="K523" i="4"/>
  <c r="J523" i="4"/>
  <c r="M522" i="4"/>
  <c r="L522" i="4"/>
  <c r="K522" i="4"/>
  <c r="J522" i="4"/>
  <c r="I522" i="4"/>
  <c r="H522" i="4"/>
  <c r="M521" i="4"/>
  <c r="L521" i="4"/>
  <c r="K521" i="4"/>
  <c r="J521" i="4"/>
  <c r="I521" i="4"/>
  <c r="H521" i="4"/>
  <c r="G521" i="4"/>
  <c r="F521" i="4"/>
  <c r="M520" i="4"/>
  <c r="L520" i="4"/>
  <c r="K520" i="4"/>
  <c r="J520" i="4"/>
  <c r="I520" i="4"/>
  <c r="H520" i="4"/>
  <c r="G520" i="4"/>
  <c r="F520" i="4"/>
  <c r="E520" i="4"/>
  <c r="D520" i="4"/>
  <c r="K519" i="4"/>
  <c r="J519" i="4"/>
  <c r="I519" i="4"/>
  <c r="H519" i="4"/>
  <c r="G519" i="4"/>
  <c r="F519" i="4"/>
  <c r="E519" i="4"/>
  <c r="D519" i="4"/>
  <c r="C519" i="4"/>
  <c r="B519" i="4"/>
  <c r="I518" i="4"/>
  <c r="H518" i="4"/>
  <c r="G518" i="4"/>
  <c r="F518" i="4"/>
  <c r="E518" i="4"/>
  <c r="D518" i="4"/>
  <c r="C518" i="4"/>
  <c r="B518" i="4"/>
  <c r="G517" i="4"/>
  <c r="F517" i="4"/>
  <c r="E517" i="4"/>
  <c r="D517" i="4"/>
  <c r="C517" i="4"/>
  <c r="B517" i="4"/>
  <c r="E516" i="4"/>
  <c r="D516" i="4"/>
  <c r="C516" i="4"/>
  <c r="B516" i="4"/>
  <c r="C515" i="4"/>
  <c r="O515" i="4" s="1"/>
  <c r="B515" i="4"/>
  <c r="N515" i="4" s="1"/>
  <c r="C514" i="4"/>
  <c r="B514" i="4"/>
  <c r="N514" i="4" s="1"/>
  <c r="L505" i="4"/>
  <c r="J505" i="4"/>
  <c r="H505" i="4"/>
  <c r="F505" i="4"/>
  <c r="D505" i="4"/>
  <c r="B505" i="4"/>
  <c r="L504" i="4"/>
  <c r="J504" i="4"/>
  <c r="H504" i="4"/>
  <c r="F504" i="4"/>
  <c r="D504" i="4"/>
  <c r="B504" i="4"/>
  <c r="M493" i="4"/>
  <c r="O493" i="4" s="1"/>
  <c r="L493" i="4"/>
  <c r="N493" i="4" s="1"/>
  <c r="M492" i="4"/>
  <c r="L492" i="4"/>
  <c r="K492" i="4"/>
  <c r="J492" i="4"/>
  <c r="M491" i="4"/>
  <c r="L491" i="4"/>
  <c r="K491" i="4"/>
  <c r="J491" i="4"/>
  <c r="I491" i="4"/>
  <c r="H491" i="4"/>
  <c r="M490" i="4"/>
  <c r="L490" i="4"/>
  <c r="K490" i="4"/>
  <c r="J490" i="4"/>
  <c r="I490" i="4"/>
  <c r="H490" i="4"/>
  <c r="G490" i="4"/>
  <c r="F490" i="4"/>
  <c r="M489" i="4"/>
  <c r="L489" i="4"/>
  <c r="K489" i="4"/>
  <c r="J489" i="4"/>
  <c r="I489" i="4"/>
  <c r="H489" i="4"/>
  <c r="G489" i="4"/>
  <c r="F489" i="4"/>
  <c r="E489" i="4"/>
  <c r="D489" i="4"/>
  <c r="K488" i="4"/>
  <c r="J488" i="4"/>
  <c r="I488" i="4"/>
  <c r="H488" i="4"/>
  <c r="G488" i="4"/>
  <c r="F488" i="4"/>
  <c r="E488" i="4"/>
  <c r="D488" i="4"/>
  <c r="C488" i="4"/>
  <c r="B488" i="4"/>
  <c r="I487" i="4"/>
  <c r="H487" i="4"/>
  <c r="G487" i="4"/>
  <c r="F487" i="4"/>
  <c r="E487" i="4"/>
  <c r="D487" i="4"/>
  <c r="C487" i="4"/>
  <c r="B487" i="4"/>
  <c r="G486" i="4"/>
  <c r="F486" i="4"/>
  <c r="E486" i="4"/>
  <c r="D486" i="4"/>
  <c r="C486" i="4"/>
  <c r="B486" i="4"/>
  <c r="E485" i="4"/>
  <c r="D485" i="4"/>
  <c r="C485" i="4"/>
  <c r="B485" i="4"/>
  <c r="C484" i="4"/>
  <c r="B484" i="4"/>
  <c r="N484" i="4" s="1"/>
  <c r="C483" i="4"/>
  <c r="O483" i="4" s="1"/>
  <c r="B483" i="4"/>
  <c r="N483" i="4" s="1"/>
  <c r="L474" i="4"/>
  <c r="J474" i="4"/>
  <c r="H474" i="4"/>
  <c r="F474" i="4"/>
  <c r="D474" i="4"/>
  <c r="B474" i="4"/>
  <c r="L473" i="4"/>
  <c r="J473" i="4"/>
  <c r="H473" i="4"/>
  <c r="F473" i="4"/>
  <c r="D473" i="4"/>
  <c r="B473" i="4"/>
  <c r="M462" i="4"/>
  <c r="O462" i="4" s="1"/>
  <c r="L462" i="4"/>
  <c r="N462" i="4" s="1"/>
  <c r="M461" i="4"/>
  <c r="L461" i="4"/>
  <c r="K461" i="4"/>
  <c r="J461" i="4"/>
  <c r="M460" i="4"/>
  <c r="L460" i="4"/>
  <c r="K460" i="4"/>
  <c r="J460" i="4"/>
  <c r="I460" i="4"/>
  <c r="H460" i="4"/>
  <c r="M459" i="4"/>
  <c r="L459" i="4"/>
  <c r="K459" i="4"/>
  <c r="J459" i="4"/>
  <c r="I459" i="4"/>
  <c r="H459" i="4"/>
  <c r="G459" i="4"/>
  <c r="F459" i="4"/>
  <c r="M458" i="4"/>
  <c r="L458" i="4"/>
  <c r="K458" i="4"/>
  <c r="J458" i="4"/>
  <c r="I458" i="4"/>
  <c r="H458" i="4"/>
  <c r="G458" i="4"/>
  <c r="F458" i="4"/>
  <c r="E458" i="4"/>
  <c r="D458" i="4"/>
  <c r="K457" i="4"/>
  <c r="J457" i="4"/>
  <c r="I457" i="4"/>
  <c r="H457" i="4"/>
  <c r="G457" i="4"/>
  <c r="F457" i="4"/>
  <c r="E457" i="4"/>
  <c r="D457" i="4"/>
  <c r="C457" i="4"/>
  <c r="B457" i="4"/>
  <c r="I456" i="4"/>
  <c r="H456" i="4"/>
  <c r="G456" i="4"/>
  <c r="F456" i="4"/>
  <c r="E456" i="4"/>
  <c r="D456" i="4"/>
  <c r="C456" i="4"/>
  <c r="B456" i="4"/>
  <c r="G455" i="4"/>
  <c r="F455" i="4"/>
  <c r="E455" i="4"/>
  <c r="D455" i="4"/>
  <c r="C455" i="4"/>
  <c r="B455" i="4"/>
  <c r="E454" i="4"/>
  <c r="D454" i="4"/>
  <c r="C454" i="4"/>
  <c r="B454" i="4"/>
  <c r="C453" i="4"/>
  <c r="O453" i="4" s="1"/>
  <c r="B453" i="4"/>
  <c r="N453" i="4" s="1"/>
  <c r="C452" i="4"/>
  <c r="B452" i="4"/>
  <c r="N452" i="4" s="1"/>
  <c r="L443" i="4"/>
  <c r="J443" i="4"/>
  <c r="H443" i="4"/>
  <c r="F443" i="4"/>
  <c r="D443" i="4"/>
  <c r="B443" i="4"/>
  <c r="L442" i="4"/>
  <c r="J442" i="4"/>
  <c r="H442" i="4"/>
  <c r="F442" i="4"/>
  <c r="D442" i="4"/>
  <c r="B442" i="4"/>
  <c r="M431" i="4"/>
  <c r="O431" i="4" s="1"/>
  <c r="L431" i="4"/>
  <c r="N431" i="4" s="1"/>
  <c r="M430" i="4"/>
  <c r="L430" i="4"/>
  <c r="K430" i="4"/>
  <c r="J430" i="4"/>
  <c r="M429" i="4"/>
  <c r="L429" i="4"/>
  <c r="K429" i="4"/>
  <c r="J429" i="4"/>
  <c r="I429" i="4"/>
  <c r="H429" i="4"/>
  <c r="M428" i="4"/>
  <c r="L428" i="4"/>
  <c r="K428" i="4"/>
  <c r="J428" i="4"/>
  <c r="I428" i="4"/>
  <c r="H428" i="4"/>
  <c r="G428" i="4"/>
  <c r="F428" i="4"/>
  <c r="M427" i="4"/>
  <c r="L427" i="4"/>
  <c r="K427" i="4"/>
  <c r="J427" i="4"/>
  <c r="I427" i="4"/>
  <c r="H427" i="4"/>
  <c r="G427" i="4"/>
  <c r="F427" i="4"/>
  <c r="E427" i="4"/>
  <c r="D427" i="4"/>
  <c r="K426" i="4"/>
  <c r="J426" i="4"/>
  <c r="I426" i="4"/>
  <c r="H426" i="4"/>
  <c r="G426" i="4"/>
  <c r="F426" i="4"/>
  <c r="E426" i="4"/>
  <c r="D426" i="4"/>
  <c r="C426" i="4"/>
  <c r="B426" i="4"/>
  <c r="I425" i="4"/>
  <c r="H425" i="4"/>
  <c r="G425" i="4"/>
  <c r="F425" i="4"/>
  <c r="E425" i="4"/>
  <c r="D425" i="4"/>
  <c r="C425" i="4"/>
  <c r="B425" i="4"/>
  <c r="G424" i="4"/>
  <c r="F424" i="4"/>
  <c r="E424" i="4"/>
  <c r="D424" i="4"/>
  <c r="C424" i="4"/>
  <c r="B424" i="4"/>
  <c r="E423" i="4"/>
  <c r="D423" i="4"/>
  <c r="C423" i="4"/>
  <c r="B423" i="4"/>
  <c r="C422" i="4"/>
  <c r="B422" i="4"/>
  <c r="N422" i="4" s="1"/>
  <c r="C421" i="4"/>
  <c r="O421" i="4" s="1"/>
  <c r="B421" i="4"/>
  <c r="N421" i="4" s="1"/>
  <c r="L412" i="4"/>
  <c r="J412" i="4"/>
  <c r="H412" i="4"/>
  <c r="F412" i="4"/>
  <c r="D412" i="4"/>
  <c r="B412" i="4"/>
  <c r="L411" i="4"/>
  <c r="J411" i="4"/>
  <c r="H411" i="4"/>
  <c r="F411" i="4"/>
  <c r="D411" i="4"/>
  <c r="B411" i="4"/>
  <c r="M400" i="4"/>
  <c r="O400" i="4" s="1"/>
  <c r="L400" i="4"/>
  <c r="N400" i="4" s="1"/>
  <c r="M399" i="4"/>
  <c r="L399" i="4"/>
  <c r="K399" i="4"/>
  <c r="J399" i="4"/>
  <c r="M398" i="4"/>
  <c r="L398" i="4"/>
  <c r="K398" i="4"/>
  <c r="J398" i="4"/>
  <c r="I398" i="4"/>
  <c r="H398" i="4"/>
  <c r="M397" i="4"/>
  <c r="L397" i="4"/>
  <c r="K397" i="4"/>
  <c r="J397" i="4"/>
  <c r="I397" i="4"/>
  <c r="H397" i="4"/>
  <c r="G397" i="4"/>
  <c r="F397" i="4"/>
  <c r="M396" i="4"/>
  <c r="L396" i="4"/>
  <c r="K396" i="4"/>
  <c r="J396" i="4"/>
  <c r="I396" i="4"/>
  <c r="H396" i="4"/>
  <c r="G396" i="4"/>
  <c r="F396" i="4"/>
  <c r="E396" i="4"/>
  <c r="D396" i="4"/>
  <c r="K395" i="4"/>
  <c r="J395" i="4"/>
  <c r="I395" i="4"/>
  <c r="H395" i="4"/>
  <c r="G395" i="4"/>
  <c r="F395" i="4"/>
  <c r="E395" i="4"/>
  <c r="D395" i="4"/>
  <c r="C395" i="4"/>
  <c r="B395" i="4"/>
  <c r="I394" i="4"/>
  <c r="H394" i="4"/>
  <c r="G394" i="4"/>
  <c r="F394" i="4"/>
  <c r="E394" i="4"/>
  <c r="D394" i="4"/>
  <c r="C394" i="4"/>
  <c r="B394" i="4"/>
  <c r="G393" i="4"/>
  <c r="F393" i="4"/>
  <c r="E393" i="4"/>
  <c r="D393" i="4"/>
  <c r="C393" i="4"/>
  <c r="B393" i="4"/>
  <c r="E392" i="4"/>
  <c r="D392" i="4"/>
  <c r="C392" i="4"/>
  <c r="B392" i="4"/>
  <c r="C391" i="4"/>
  <c r="O391" i="4" s="1"/>
  <c r="B391" i="4"/>
  <c r="N391" i="4" s="1"/>
  <c r="C390" i="4"/>
  <c r="B390" i="4"/>
  <c r="N390" i="4" s="1"/>
  <c r="L381" i="4"/>
  <c r="J381" i="4"/>
  <c r="H381" i="4"/>
  <c r="F381" i="4"/>
  <c r="D381" i="4"/>
  <c r="B381" i="4"/>
  <c r="L380" i="4"/>
  <c r="J380" i="4"/>
  <c r="H380" i="4"/>
  <c r="F380" i="4"/>
  <c r="D380" i="4"/>
  <c r="B380" i="4"/>
  <c r="M369" i="4"/>
  <c r="O369" i="4" s="1"/>
  <c r="L369" i="4"/>
  <c r="N369" i="4" s="1"/>
  <c r="M368" i="4"/>
  <c r="L368" i="4"/>
  <c r="K368" i="4"/>
  <c r="J368" i="4"/>
  <c r="M367" i="4"/>
  <c r="L367" i="4"/>
  <c r="K367" i="4"/>
  <c r="J367" i="4"/>
  <c r="I367" i="4"/>
  <c r="H367" i="4"/>
  <c r="M366" i="4"/>
  <c r="L366" i="4"/>
  <c r="K366" i="4"/>
  <c r="J366" i="4"/>
  <c r="I366" i="4"/>
  <c r="H366" i="4"/>
  <c r="G366" i="4"/>
  <c r="F366" i="4"/>
  <c r="M365" i="4"/>
  <c r="L365" i="4"/>
  <c r="K365" i="4"/>
  <c r="J365" i="4"/>
  <c r="I365" i="4"/>
  <c r="H365" i="4"/>
  <c r="G365" i="4"/>
  <c r="F365" i="4"/>
  <c r="E365" i="4"/>
  <c r="D365" i="4"/>
  <c r="P364" i="4"/>
  <c r="O364" i="4"/>
  <c r="N364" i="4"/>
  <c r="K364" i="4"/>
  <c r="J364" i="4"/>
  <c r="I364" i="4"/>
  <c r="H364" i="4"/>
  <c r="G364" i="4"/>
  <c r="F364" i="4"/>
  <c r="E364" i="4"/>
  <c r="D364" i="4"/>
  <c r="C364" i="4"/>
  <c r="B364" i="4"/>
  <c r="I363" i="4"/>
  <c r="H363" i="4"/>
  <c r="G363" i="4"/>
  <c r="F363" i="4"/>
  <c r="E363" i="4"/>
  <c r="D363" i="4"/>
  <c r="C363" i="4"/>
  <c r="B363" i="4"/>
  <c r="G362" i="4"/>
  <c r="F362" i="4"/>
  <c r="E362" i="4"/>
  <c r="D362" i="4"/>
  <c r="C362" i="4"/>
  <c r="B362" i="4"/>
  <c r="E361" i="4"/>
  <c r="D361" i="4"/>
  <c r="C361" i="4"/>
  <c r="B361" i="4"/>
  <c r="P360" i="4"/>
  <c r="O360" i="4"/>
  <c r="N360" i="4"/>
  <c r="C360" i="4"/>
  <c r="B360" i="4"/>
  <c r="C359" i="4"/>
  <c r="O359" i="4" s="1"/>
  <c r="B359" i="4"/>
  <c r="L350" i="4"/>
  <c r="J350" i="4"/>
  <c r="H350" i="4"/>
  <c r="F350" i="4"/>
  <c r="D350" i="4"/>
  <c r="B350" i="4"/>
  <c r="L349" i="4"/>
  <c r="J349" i="4"/>
  <c r="H349" i="4"/>
  <c r="F349" i="4"/>
  <c r="D349" i="4"/>
  <c r="B349" i="4"/>
  <c r="M338" i="4"/>
  <c r="O338" i="4" s="1"/>
  <c r="L338" i="4"/>
  <c r="N338" i="4" s="1"/>
  <c r="M337" i="4"/>
  <c r="L337" i="4"/>
  <c r="K337" i="4"/>
  <c r="J337" i="4"/>
  <c r="M336" i="4"/>
  <c r="L336" i="4"/>
  <c r="K336" i="4"/>
  <c r="J336" i="4"/>
  <c r="I336" i="4"/>
  <c r="H336" i="4"/>
  <c r="M335" i="4"/>
  <c r="L335" i="4"/>
  <c r="K335" i="4"/>
  <c r="J335" i="4"/>
  <c r="I335" i="4"/>
  <c r="H335" i="4"/>
  <c r="G335" i="4"/>
  <c r="F335" i="4"/>
  <c r="M334" i="4"/>
  <c r="L334" i="4"/>
  <c r="K334" i="4"/>
  <c r="J334" i="4"/>
  <c r="I334" i="4"/>
  <c r="H334" i="4"/>
  <c r="G334" i="4"/>
  <c r="F334" i="4"/>
  <c r="E334" i="4"/>
  <c r="D334" i="4"/>
  <c r="K333" i="4"/>
  <c r="J333" i="4"/>
  <c r="I333" i="4"/>
  <c r="H333" i="4"/>
  <c r="G333" i="4"/>
  <c r="F333" i="4"/>
  <c r="E333" i="4"/>
  <c r="D333" i="4"/>
  <c r="C333" i="4"/>
  <c r="B333" i="4"/>
  <c r="I332" i="4"/>
  <c r="H332" i="4"/>
  <c r="G332" i="4"/>
  <c r="F332" i="4"/>
  <c r="E332" i="4"/>
  <c r="D332" i="4"/>
  <c r="C332" i="4"/>
  <c r="B332" i="4"/>
  <c r="G331" i="4"/>
  <c r="F331" i="4"/>
  <c r="E331" i="4"/>
  <c r="D331" i="4"/>
  <c r="C331" i="4"/>
  <c r="B331" i="4"/>
  <c r="E330" i="4"/>
  <c r="D330" i="4"/>
  <c r="C330" i="4"/>
  <c r="B330" i="4"/>
  <c r="C329" i="4"/>
  <c r="O329" i="4" s="1"/>
  <c r="B329" i="4"/>
  <c r="C328" i="4"/>
  <c r="O328" i="4" s="1"/>
  <c r="B328" i="4"/>
  <c r="N328" i="4" s="1"/>
  <c r="L319" i="4"/>
  <c r="J319" i="4"/>
  <c r="H319" i="4"/>
  <c r="F319" i="4"/>
  <c r="D319" i="4"/>
  <c r="B319" i="4"/>
  <c r="L318" i="4"/>
  <c r="J318" i="4"/>
  <c r="H318" i="4"/>
  <c r="F318" i="4"/>
  <c r="D318" i="4"/>
  <c r="B318" i="4"/>
  <c r="M307" i="4"/>
  <c r="O307" i="4" s="1"/>
  <c r="L307" i="4"/>
  <c r="N307" i="4" s="1"/>
  <c r="M306" i="4"/>
  <c r="L306" i="4"/>
  <c r="K306" i="4"/>
  <c r="J306" i="4"/>
  <c r="M305" i="4"/>
  <c r="L305" i="4"/>
  <c r="K305" i="4"/>
  <c r="J305" i="4"/>
  <c r="I305" i="4"/>
  <c r="H305" i="4"/>
  <c r="M304" i="4"/>
  <c r="L304" i="4"/>
  <c r="K304" i="4"/>
  <c r="J304" i="4"/>
  <c r="I304" i="4"/>
  <c r="H304" i="4"/>
  <c r="G304" i="4"/>
  <c r="F304" i="4"/>
  <c r="M303" i="4"/>
  <c r="L303" i="4"/>
  <c r="K303" i="4"/>
  <c r="J303" i="4"/>
  <c r="I303" i="4"/>
  <c r="H303" i="4"/>
  <c r="G303" i="4"/>
  <c r="F303" i="4"/>
  <c r="E303" i="4"/>
  <c r="D303" i="4"/>
  <c r="K302" i="4"/>
  <c r="J302" i="4"/>
  <c r="I302" i="4"/>
  <c r="H302" i="4"/>
  <c r="G302" i="4"/>
  <c r="F302" i="4"/>
  <c r="E302" i="4"/>
  <c r="D302" i="4"/>
  <c r="C302" i="4"/>
  <c r="B302" i="4"/>
  <c r="I301" i="4"/>
  <c r="H301" i="4"/>
  <c r="G301" i="4"/>
  <c r="F301" i="4"/>
  <c r="E301" i="4"/>
  <c r="D301" i="4"/>
  <c r="C301" i="4"/>
  <c r="B301" i="4"/>
  <c r="G300" i="4"/>
  <c r="F300" i="4"/>
  <c r="E300" i="4"/>
  <c r="D300" i="4"/>
  <c r="C300" i="4"/>
  <c r="B300" i="4"/>
  <c r="E299" i="4"/>
  <c r="D299" i="4"/>
  <c r="C299" i="4"/>
  <c r="B299" i="4"/>
  <c r="C298" i="4"/>
  <c r="B298" i="4"/>
  <c r="N298" i="4" s="1"/>
  <c r="C297" i="4"/>
  <c r="O297" i="4" s="1"/>
  <c r="B297" i="4"/>
  <c r="L288" i="4"/>
  <c r="J288" i="4"/>
  <c r="H288" i="4"/>
  <c r="F288" i="4"/>
  <c r="D288" i="4"/>
  <c r="B288" i="4"/>
  <c r="L287" i="4"/>
  <c r="J287" i="4"/>
  <c r="H287" i="4"/>
  <c r="F287" i="4"/>
  <c r="D287" i="4"/>
  <c r="B287" i="4"/>
  <c r="M276" i="4"/>
  <c r="O276" i="4" s="1"/>
  <c r="L276" i="4"/>
  <c r="N276" i="4" s="1"/>
  <c r="M275" i="4"/>
  <c r="L275" i="4"/>
  <c r="K275" i="4"/>
  <c r="J275" i="4"/>
  <c r="M274" i="4"/>
  <c r="L274" i="4"/>
  <c r="K274" i="4"/>
  <c r="J274" i="4"/>
  <c r="I274" i="4"/>
  <c r="H274" i="4"/>
  <c r="M273" i="4"/>
  <c r="L273" i="4"/>
  <c r="K273" i="4"/>
  <c r="J273" i="4"/>
  <c r="I273" i="4"/>
  <c r="H273" i="4"/>
  <c r="G273" i="4"/>
  <c r="F273" i="4"/>
  <c r="M272" i="4"/>
  <c r="L272" i="4"/>
  <c r="K272" i="4"/>
  <c r="J272" i="4"/>
  <c r="I272" i="4"/>
  <c r="H272" i="4"/>
  <c r="G272" i="4"/>
  <c r="F272" i="4"/>
  <c r="E272" i="4"/>
  <c r="D272" i="4"/>
  <c r="K271" i="4"/>
  <c r="J271" i="4"/>
  <c r="I271" i="4"/>
  <c r="H271" i="4"/>
  <c r="G271" i="4"/>
  <c r="F271" i="4"/>
  <c r="E271" i="4"/>
  <c r="D271" i="4"/>
  <c r="C271" i="4"/>
  <c r="B271" i="4"/>
  <c r="I270" i="4"/>
  <c r="H270" i="4"/>
  <c r="G270" i="4"/>
  <c r="F270" i="4"/>
  <c r="E270" i="4"/>
  <c r="D270" i="4"/>
  <c r="C270" i="4"/>
  <c r="B270" i="4"/>
  <c r="G269" i="4"/>
  <c r="F269" i="4"/>
  <c r="E269" i="4"/>
  <c r="D269" i="4"/>
  <c r="C269" i="4"/>
  <c r="B269" i="4"/>
  <c r="E268" i="4"/>
  <c r="D268" i="4"/>
  <c r="C268" i="4"/>
  <c r="B268" i="4"/>
  <c r="C267" i="4"/>
  <c r="O267" i="4" s="1"/>
  <c r="B267" i="4"/>
  <c r="N267" i="4" s="1"/>
  <c r="C266" i="4"/>
  <c r="B266" i="4"/>
  <c r="N266" i="4" s="1"/>
  <c r="L257" i="4"/>
  <c r="J257" i="4"/>
  <c r="H257" i="4"/>
  <c r="F257" i="4"/>
  <c r="D257" i="4"/>
  <c r="B257" i="4"/>
  <c r="L256" i="4"/>
  <c r="J256" i="4"/>
  <c r="H256" i="4"/>
  <c r="F256" i="4"/>
  <c r="D256" i="4"/>
  <c r="B256" i="4"/>
  <c r="M245" i="4"/>
  <c r="O245" i="4" s="1"/>
  <c r="L245" i="4"/>
  <c r="N245" i="4" s="1"/>
  <c r="M244" i="4"/>
  <c r="L244" i="4"/>
  <c r="K244" i="4"/>
  <c r="J244" i="4"/>
  <c r="M243" i="4"/>
  <c r="L243" i="4"/>
  <c r="K243" i="4"/>
  <c r="J243" i="4"/>
  <c r="I243" i="4"/>
  <c r="H243" i="4"/>
  <c r="M242" i="4"/>
  <c r="L242" i="4"/>
  <c r="K242" i="4"/>
  <c r="J242" i="4"/>
  <c r="I242" i="4"/>
  <c r="H242" i="4"/>
  <c r="G242" i="4"/>
  <c r="F242" i="4"/>
  <c r="M241" i="4"/>
  <c r="L241" i="4"/>
  <c r="K241" i="4"/>
  <c r="J241" i="4"/>
  <c r="I241" i="4"/>
  <c r="H241" i="4"/>
  <c r="G241" i="4"/>
  <c r="F241" i="4"/>
  <c r="E241" i="4"/>
  <c r="D241" i="4"/>
  <c r="K240" i="4"/>
  <c r="J240" i="4"/>
  <c r="I240" i="4"/>
  <c r="H240" i="4"/>
  <c r="G240" i="4"/>
  <c r="F240" i="4"/>
  <c r="E240" i="4"/>
  <c r="D240" i="4"/>
  <c r="C240" i="4"/>
  <c r="B240" i="4"/>
  <c r="I239" i="4"/>
  <c r="H239" i="4"/>
  <c r="G239" i="4"/>
  <c r="F239" i="4"/>
  <c r="E239" i="4"/>
  <c r="D239" i="4"/>
  <c r="C239" i="4"/>
  <c r="B239" i="4"/>
  <c r="G238" i="4"/>
  <c r="F238" i="4"/>
  <c r="E238" i="4"/>
  <c r="D238" i="4"/>
  <c r="C238" i="4"/>
  <c r="B238" i="4"/>
  <c r="E237" i="4"/>
  <c r="D237" i="4"/>
  <c r="C237" i="4"/>
  <c r="B237" i="4"/>
  <c r="C236" i="4"/>
  <c r="B236" i="4"/>
  <c r="N236" i="4" s="1"/>
  <c r="C235" i="4"/>
  <c r="O235" i="4" s="1"/>
  <c r="B235" i="4"/>
  <c r="L226" i="4"/>
  <c r="J226" i="4"/>
  <c r="H226" i="4"/>
  <c r="F226" i="4"/>
  <c r="D226" i="4"/>
  <c r="B226" i="4"/>
  <c r="L225" i="4"/>
  <c r="J225" i="4"/>
  <c r="H225" i="4"/>
  <c r="F225" i="4"/>
  <c r="D225" i="4"/>
  <c r="B225" i="4"/>
  <c r="M215" i="4"/>
  <c r="O215" i="4" s="1"/>
  <c r="L215" i="4"/>
  <c r="N215" i="4" s="1"/>
  <c r="M214" i="4"/>
  <c r="L214" i="4"/>
  <c r="K214" i="4"/>
  <c r="J214" i="4"/>
  <c r="M213" i="4"/>
  <c r="L213" i="4"/>
  <c r="K213" i="4"/>
  <c r="J213" i="4"/>
  <c r="I213" i="4"/>
  <c r="H213" i="4"/>
  <c r="M212" i="4"/>
  <c r="L212" i="4"/>
  <c r="K212" i="4"/>
  <c r="J212" i="4"/>
  <c r="I212" i="4"/>
  <c r="H212" i="4"/>
  <c r="G212" i="4"/>
  <c r="F212" i="4"/>
  <c r="M211" i="4"/>
  <c r="L211" i="4"/>
  <c r="K211" i="4"/>
  <c r="J211" i="4"/>
  <c r="I211" i="4"/>
  <c r="H211" i="4"/>
  <c r="G211" i="4"/>
  <c r="F211" i="4"/>
  <c r="E211" i="4"/>
  <c r="D211" i="4"/>
  <c r="K210" i="4"/>
  <c r="J210" i="4"/>
  <c r="I210" i="4"/>
  <c r="H210" i="4"/>
  <c r="G210" i="4"/>
  <c r="F210" i="4"/>
  <c r="E210" i="4"/>
  <c r="D210" i="4"/>
  <c r="C210" i="4"/>
  <c r="B210" i="4"/>
  <c r="I209" i="4"/>
  <c r="H209" i="4"/>
  <c r="G209" i="4"/>
  <c r="F209" i="4"/>
  <c r="E209" i="4"/>
  <c r="D209" i="4"/>
  <c r="C209" i="4"/>
  <c r="B209" i="4"/>
  <c r="G208" i="4"/>
  <c r="F208" i="4"/>
  <c r="E208" i="4"/>
  <c r="D208" i="4"/>
  <c r="C208" i="4"/>
  <c r="B208" i="4"/>
  <c r="E207" i="4"/>
  <c r="D207" i="4"/>
  <c r="C207" i="4"/>
  <c r="B207" i="4"/>
  <c r="C206" i="4"/>
  <c r="O206" i="4" s="1"/>
  <c r="B206" i="4"/>
  <c r="C205" i="4"/>
  <c r="O205" i="4" s="1"/>
  <c r="B205" i="4"/>
  <c r="N205" i="4" s="1"/>
  <c r="L196" i="4"/>
  <c r="J196" i="4"/>
  <c r="H196" i="4"/>
  <c r="F196" i="4"/>
  <c r="D196" i="4"/>
  <c r="B196" i="4"/>
  <c r="L195" i="4"/>
  <c r="J195" i="4"/>
  <c r="H195" i="4"/>
  <c r="F195" i="4"/>
  <c r="D195" i="4"/>
  <c r="B195" i="4"/>
  <c r="M184" i="4"/>
  <c r="O184" i="4" s="1"/>
  <c r="L184" i="4"/>
  <c r="N184" i="4" s="1"/>
  <c r="M183" i="4"/>
  <c r="L183" i="4"/>
  <c r="K183" i="4"/>
  <c r="J183" i="4"/>
  <c r="M182" i="4"/>
  <c r="L182" i="4"/>
  <c r="K182" i="4"/>
  <c r="J182" i="4"/>
  <c r="I182" i="4"/>
  <c r="H182" i="4"/>
  <c r="M181" i="4"/>
  <c r="L181" i="4"/>
  <c r="K181" i="4"/>
  <c r="J181" i="4"/>
  <c r="I181" i="4"/>
  <c r="H181" i="4"/>
  <c r="G181" i="4"/>
  <c r="F181" i="4"/>
  <c r="M180" i="4"/>
  <c r="L180" i="4"/>
  <c r="K180" i="4"/>
  <c r="J180" i="4"/>
  <c r="I180" i="4"/>
  <c r="H180" i="4"/>
  <c r="G180" i="4"/>
  <c r="F180" i="4"/>
  <c r="E180" i="4"/>
  <c r="D180" i="4"/>
  <c r="K179" i="4"/>
  <c r="J179" i="4"/>
  <c r="I179" i="4"/>
  <c r="H179" i="4"/>
  <c r="G179" i="4"/>
  <c r="F179" i="4"/>
  <c r="E179" i="4"/>
  <c r="D179" i="4"/>
  <c r="C179" i="4"/>
  <c r="B179" i="4"/>
  <c r="I178" i="4"/>
  <c r="H178" i="4"/>
  <c r="G178" i="4"/>
  <c r="F178" i="4"/>
  <c r="E178" i="4"/>
  <c r="D178" i="4"/>
  <c r="C178" i="4"/>
  <c r="B178" i="4"/>
  <c r="G177" i="4"/>
  <c r="F177" i="4"/>
  <c r="E177" i="4"/>
  <c r="D177" i="4"/>
  <c r="C177" i="4"/>
  <c r="B177" i="4"/>
  <c r="E176" i="4"/>
  <c r="D176" i="4"/>
  <c r="C176" i="4"/>
  <c r="B176" i="4"/>
  <c r="C175" i="4"/>
  <c r="O175" i="4" s="1"/>
  <c r="B175" i="4"/>
  <c r="N175" i="4" s="1"/>
  <c r="C174" i="4"/>
  <c r="O174" i="4" s="1"/>
  <c r="B174" i="4"/>
  <c r="N174" i="4" s="1"/>
  <c r="L165" i="4"/>
  <c r="J165" i="4"/>
  <c r="H165" i="4"/>
  <c r="F165" i="4"/>
  <c r="D165" i="4"/>
  <c r="B165" i="4"/>
  <c r="L164" i="4"/>
  <c r="J164" i="4"/>
  <c r="H164" i="4"/>
  <c r="F164" i="4"/>
  <c r="D164" i="4"/>
  <c r="B164" i="4"/>
  <c r="M153" i="4"/>
  <c r="O153" i="4" s="1"/>
  <c r="L153" i="4"/>
  <c r="N153" i="4" s="1"/>
  <c r="M152" i="4"/>
  <c r="L152" i="4"/>
  <c r="K152" i="4"/>
  <c r="J152" i="4"/>
  <c r="M151" i="4"/>
  <c r="L151" i="4"/>
  <c r="K151" i="4"/>
  <c r="J151" i="4"/>
  <c r="I151" i="4"/>
  <c r="H151" i="4"/>
  <c r="M150" i="4"/>
  <c r="L150" i="4"/>
  <c r="K150" i="4"/>
  <c r="J150" i="4"/>
  <c r="I150" i="4"/>
  <c r="H150" i="4"/>
  <c r="G150" i="4"/>
  <c r="F150" i="4"/>
  <c r="M149" i="4"/>
  <c r="L149" i="4"/>
  <c r="K149" i="4"/>
  <c r="J149" i="4"/>
  <c r="I149" i="4"/>
  <c r="H149" i="4"/>
  <c r="G149" i="4"/>
  <c r="F149" i="4"/>
  <c r="E149" i="4"/>
  <c r="D149" i="4"/>
  <c r="K148" i="4"/>
  <c r="J148" i="4"/>
  <c r="I148" i="4"/>
  <c r="H148" i="4"/>
  <c r="G148" i="4"/>
  <c r="F148" i="4"/>
  <c r="E148" i="4"/>
  <c r="D148" i="4"/>
  <c r="C148" i="4"/>
  <c r="B148" i="4"/>
  <c r="I147" i="4"/>
  <c r="H147" i="4"/>
  <c r="G147" i="4"/>
  <c r="F147" i="4"/>
  <c r="E147" i="4"/>
  <c r="D147" i="4"/>
  <c r="C147" i="4"/>
  <c r="B147" i="4"/>
  <c r="G146" i="4"/>
  <c r="F146" i="4"/>
  <c r="E146" i="4"/>
  <c r="D146" i="4"/>
  <c r="C146" i="4"/>
  <c r="B146" i="4"/>
  <c r="E145" i="4"/>
  <c r="D145" i="4"/>
  <c r="C145" i="4"/>
  <c r="B145" i="4"/>
  <c r="C144" i="4"/>
  <c r="O144" i="4" s="1"/>
  <c r="B144" i="4"/>
  <c r="C143" i="4"/>
  <c r="B143" i="4"/>
  <c r="N143" i="4" s="1"/>
  <c r="L134" i="4"/>
  <c r="J134" i="4"/>
  <c r="H134" i="4"/>
  <c r="F134" i="4"/>
  <c r="D134" i="4"/>
  <c r="B134" i="4"/>
  <c r="L133" i="4"/>
  <c r="J133" i="4"/>
  <c r="H133" i="4"/>
  <c r="F133" i="4"/>
  <c r="D133" i="4"/>
  <c r="B133" i="4"/>
  <c r="M122" i="4"/>
  <c r="O122" i="4" s="1"/>
  <c r="L122" i="4"/>
  <c r="N122" i="4" s="1"/>
  <c r="M121" i="4"/>
  <c r="L121" i="4"/>
  <c r="K121" i="4"/>
  <c r="J121" i="4"/>
  <c r="M120" i="4"/>
  <c r="L120" i="4"/>
  <c r="K120" i="4"/>
  <c r="J120" i="4"/>
  <c r="I120" i="4"/>
  <c r="H120" i="4"/>
  <c r="M119" i="4"/>
  <c r="L119" i="4"/>
  <c r="K119" i="4"/>
  <c r="J119" i="4"/>
  <c r="I119" i="4"/>
  <c r="H119" i="4"/>
  <c r="G119" i="4"/>
  <c r="F119" i="4"/>
  <c r="M118" i="4"/>
  <c r="L118" i="4"/>
  <c r="K118" i="4"/>
  <c r="J118" i="4"/>
  <c r="I118" i="4"/>
  <c r="H118" i="4"/>
  <c r="G118" i="4"/>
  <c r="F118" i="4"/>
  <c r="E118" i="4"/>
  <c r="D118" i="4"/>
  <c r="K117" i="4"/>
  <c r="J117" i="4"/>
  <c r="I117" i="4"/>
  <c r="H117" i="4"/>
  <c r="G117" i="4"/>
  <c r="F117" i="4"/>
  <c r="E117" i="4"/>
  <c r="D117" i="4"/>
  <c r="C117" i="4"/>
  <c r="B117" i="4"/>
  <c r="I116" i="4"/>
  <c r="H116" i="4"/>
  <c r="G116" i="4"/>
  <c r="F116" i="4"/>
  <c r="E116" i="4"/>
  <c r="D116" i="4"/>
  <c r="C116" i="4"/>
  <c r="B116" i="4"/>
  <c r="G115" i="4"/>
  <c r="F115" i="4"/>
  <c r="E115" i="4"/>
  <c r="D115" i="4"/>
  <c r="C115" i="4"/>
  <c r="B115" i="4"/>
  <c r="E114" i="4"/>
  <c r="D114" i="4"/>
  <c r="C114" i="4"/>
  <c r="B114" i="4"/>
  <c r="C113" i="4"/>
  <c r="B113" i="4"/>
  <c r="N113" i="4" s="1"/>
  <c r="C112" i="4"/>
  <c r="O112" i="4" s="1"/>
  <c r="B112" i="4"/>
  <c r="L103" i="4"/>
  <c r="J103" i="4"/>
  <c r="H103" i="4"/>
  <c r="F103" i="4"/>
  <c r="D103" i="4"/>
  <c r="B103" i="4"/>
  <c r="L102" i="4"/>
  <c r="J102" i="4"/>
  <c r="H102" i="4"/>
  <c r="F102" i="4"/>
  <c r="D102" i="4"/>
  <c r="B102" i="4"/>
  <c r="M91" i="4"/>
  <c r="O91" i="4" s="1"/>
  <c r="L91" i="4"/>
  <c r="N91" i="4" s="1"/>
  <c r="M90" i="4"/>
  <c r="L90" i="4"/>
  <c r="K90" i="4"/>
  <c r="J90" i="4"/>
  <c r="M89" i="4"/>
  <c r="L89" i="4"/>
  <c r="K89" i="4"/>
  <c r="J89" i="4"/>
  <c r="I89" i="4"/>
  <c r="H89" i="4"/>
  <c r="M88" i="4"/>
  <c r="L88" i="4"/>
  <c r="K88" i="4"/>
  <c r="J88" i="4"/>
  <c r="I88" i="4"/>
  <c r="H88" i="4"/>
  <c r="G88" i="4"/>
  <c r="F88" i="4"/>
  <c r="M87" i="4"/>
  <c r="L87" i="4"/>
  <c r="K87" i="4"/>
  <c r="J87" i="4"/>
  <c r="I87" i="4"/>
  <c r="H87" i="4"/>
  <c r="G87" i="4"/>
  <c r="F87" i="4"/>
  <c r="E87" i="4"/>
  <c r="D87" i="4"/>
  <c r="K86" i="4"/>
  <c r="J86" i="4"/>
  <c r="I86" i="4"/>
  <c r="H86" i="4"/>
  <c r="G86" i="4"/>
  <c r="F86" i="4"/>
  <c r="E86" i="4"/>
  <c r="D86" i="4"/>
  <c r="C86" i="4"/>
  <c r="B86" i="4"/>
  <c r="I85" i="4"/>
  <c r="H85" i="4"/>
  <c r="G85" i="4"/>
  <c r="F85" i="4"/>
  <c r="E85" i="4"/>
  <c r="D85" i="4"/>
  <c r="C85" i="4"/>
  <c r="B85" i="4"/>
  <c r="G84" i="4"/>
  <c r="F84" i="4"/>
  <c r="E84" i="4"/>
  <c r="D84" i="4"/>
  <c r="C84" i="4"/>
  <c r="B84" i="4"/>
  <c r="E83" i="4"/>
  <c r="D83" i="4"/>
  <c r="C83" i="4"/>
  <c r="B83" i="4"/>
  <c r="C82" i="4"/>
  <c r="O82" i="4" s="1"/>
  <c r="B82" i="4"/>
  <c r="N82" i="4" s="1"/>
  <c r="C81" i="4"/>
  <c r="B81" i="4"/>
  <c r="N81" i="4" s="1"/>
  <c r="L72" i="4"/>
  <c r="J72" i="4"/>
  <c r="H72" i="4"/>
  <c r="F72" i="4"/>
  <c r="D72" i="4"/>
  <c r="B72" i="4"/>
  <c r="L71" i="4"/>
  <c r="J71" i="4"/>
  <c r="H71" i="4"/>
  <c r="F71" i="4"/>
  <c r="D71" i="4"/>
  <c r="B71" i="4"/>
  <c r="M60" i="4"/>
  <c r="O60" i="4" s="1"/>
  <c r="L60" i="4"/>
  <c r="N60" i="4" s="1"/>
  <c r="M59" i="4"/>
  <c r="L59" i="4"/>
  <c r="K59" i="4"/>
  <c r="J59" i="4"/>
  <c r="M58" i="4"/>
  <c r="L58" i="4"/>
  <c r="K58" i="4"/>
  <c r="J58" i="4"/>
  <c r="I58" i="4"/>
  <c r="H58" i="4"/>
  <c r="M57" i="4"/>
  <c r="L57" i="4"/>
  <c r="K57" i="4"/>
  <c r="J57" i="4"/>
  <c r="I57" i="4"/>
  <c r="H57" i="4"/>
  <c r="G57" i="4"/>
  <c r="F57" i="4"/>
  <c r="M56" i="4"/>
  <c r="L56" i="4"/>
  <c r="K56" i="4"/>
  <c r="J56" i="4"/>
  <c r="I56" i="4"/>
  <c r="H56" i="4"/>
  <c r="G56" i="4"/>
  <c r="F56" i="4"/>
  <c r="E56" i="4"/>
  <c r="D56" i="4"/>
  <c r="K55" i="4"/>
  <c r="J55" i="4"/>
  <c r="I55" i="4"/>
  <c r="H55" i="4"/>
  <c r="G55" i="4"/>
  <c r="F55" i="4"/>
  <c r="E55" i="4"/>
  <c r="D55" i="4"/>
  <c r="C55" i="4"/>
  <c r="B55" i="4"/>
  <c r="I54" i="4"/>
  <c r="H54" i="4"/>
  <c r="G54" i="4"/>
  <c r="F54" i="4"/>
  <c r="E54" i="4"/>
  <c r="D54" i="4"/>
  <c r="C54" i="4"/>
  <c r="B54" i="4"/>
  <c r="G53" i="4"/>
  <c r="F53" i="4"/>
  <c r="E53" i="4"/>
  <c r="D53" i="4"/>
  <c r="C53" i="4"/>
  <c r="B53" i="4"/>
  <c r="E52" i="4"/>
  <c r="D52" i="4"/>
  <c r="C52" i="4"/>
  <c r="B52" i="4"/>
  <c r="C51" i="4"/>
  <c r="B51" i="4"/>
  <c r="N51" i="4" s="1"/>
  <c r="C50" i="4"/>
  <c r="O50" i="4" s="1"/>
  <c r="B50" i="4"/>
  <c r="N50" i="4" s="1"/>
  <c r="L41" i="4"/>
  <c r="J41" i="4"/>
  <c r="H41" i="4"/>
  <c r="F41" i="4"/>
  <c r="D41" i="4"/>
  <c r="B41" i="4"/>
  <c r="L40" i="4"/>
  <c r="J40" i="4"/>
  <c r="H40" i="4"/>
  <c r="F40" i="4"/>
  <c r="D40" i="4"/>
  <c r="B40" i="4"/>
  <c r="M29" i="4"/>
  <c r="O29" i="4" s="1"/>
  <c r="L29" i="4"/>
  <c r="N29" i="4" s="1"/>
  <c r="M28" i="4"/>
  <c r="L28" i="4"/>
  <c r="K28" i="4"/>
  <c r="J28" i="4"/>
  <c r="M27" i="4"/>
  <c r="L27" i="4"/>
  <c r="K27" i="4"/>
  <c r="J27" i="4"/>
  <c r="I27" i="4"/>
  <c r="H27" i="4"/>
  <c r="M26" i="4"/>
  <c r="L26" i="4"/>
  <c r="K26" i="4"/>
  <c r="J26" i="4"/>
  <c r="I26" i="4"/>
  <c r="H26" i="4"/>
  <c r="G26" i="4"/>
  <c r="F26" i="4"/>
  <c r="M25" i="4"/>
  <c r="L25" i="4"/>
  <c r="K25" i="4"/>
  <c r="J25" i="4"/>
  <c r="I25" i="4"/>
  <c r="H25" i="4"/>
  <c r="G25" i="4"/>
  <c r="F25" i="4"/>
  <c r="E25" i="4"/>
  <c r="D25" i="4"/>
  <c r="K24" i="4"/>
  <c r="J24" i="4"/>
  <c r="I24" i="4"/>
  <c r="H24" i="4"/>
  <c r="G24" i="4"/>
  <c r="F24" i="4"/>
  <c r="E24" i="4"/>
  <c r="D24" i="4"/>
  <c r="C24" i="4"/>
  <c r="B24" i="4"/>
  <c r="I23" i="4"/>
  <c r="H23" i="4"/>
  <c r="G23" i="4"/>
  <c r="F23" i="4"/>
  <c r="E23" i="4"/>
  <c r="D23" i="4"/>
  <c r="C23" i="4"/>
  <c r="B23" i="4"/>
  <c r="G22" i="4"/>
  <c r="F22" i="4"/>
  <c r="E22" i="4"/>
  <c r="D22" i="4"/>
  <c r="C22" i="4"/>
  <c r="B22" i="4"/>
  <c r="E21" i="4"/>
  <c r="D21" i="4"/>
  <c r="C21" i="4"/>
  <c r="B21" i="4"/>
  <c r="C20" i="4"/>
  <c r="O20" i="4" s="1"/>
  <c r="B20" i="4"/>
  <c r="C19" i="4"/>
  <c r="B19" i="4"/>
  <c r="N19" i="4" s="1"/>
  <c r="P29" i="4" l="1"/>
  <c r="P369" i="4"/>
  <c r="J87" i="7"/>
  <c r="J103" i="7"/>
  <c r="G118" i="7"/>
  <c r="G155" i="7"/>
  <c r="G51" i="9"/>
  <c r="G274" i="9"/>
  <c r="G496" i="9"/>
  <c r="G189" i="7"/>
  <c r="J192" i="7"/>
  <c r="H121" i="8"/>
  <c r="U121" i="8"/>
  <c r="G396" i="9"/>
  <c r="G399" i="9"/>
  <c r="G176" i="7"/>
  <c r="M286" i="9"/>
  <c r="G464" i="9"/>
  <c r="G498" i="9"/>
  <c r="M510" i="9"/>
  <c r="B30" i="4"/>
  <c r="J30" i="4"/>
  <c r="N56" i="4"/>
  <c r="L61" i="4"/>
  <c r="F73" i="4"/>
  <c r="N85" i="4"/>
  <c r="N86" i="4"/>
  <c r="J92" i="4"/>
  <c r="B104" i="4"/>
  <c r="J104" i="4"/>
  <c r="B123" i="4"/>
  <c r="F123" i="4"/>
  <c r="H123" i="4"/>
  <c r="N118" i="4"/>
  <c r="L123" i="4"/>
  <c r="N207" i="4"/>
  <c r="N209" i="4"/>
  <c r="J216" i="4"/>
  <c r="B246" i="4"/>
  <c r="F308" i="4"/>
  <c r="L308" i="4"/>
  <c r="F320" i="4"/>
  <c r="B339" i="4"/>
  <c r="N332" i="4"/>
  <c r="N333" i="4"/>
  <c r="J339" i="4"/>
  <c r="N368" i="4"/>
  <c r="B382" i="4"/>
  <c r="J382" i="4"/>
  <c r="F413" i="4"/>
  <c r="N423" i="4"/>
  <c r="N425" i="4"/>
  <c r="N426" i="4"/>
  <c r="J432" i="4"/>
  <c r="N430" i="4"/>
  <c r="B444" i="4"/>
  <c r="J444" i="4"/>
  <c r="N486" i="4"/>
  <c r="N487" i="4"/>
  <c r="N488" i="4"/>
  <c r="J494" i="4"/>
  <c r="B506" i="4"/>
  <c r="J506" i="4"/>
  <c r="N516" i="4"/>
  <c r="F525" i="4"/>
  <c r="N520" i="4"/>
  <c r="N523" i="4"/>
  <c r="E12" i="5"/>
  <c r="D39" i="5"/>
  <c r="C65" i="5"/>
  <c r="C92" i="5"/>
  <c r="D201" i="5"/>
  <c r="I201" i="5"/>
  <c r="M201" i="5"/>
  <c r="F228" i="5"/>
  <c r="E255" i="5"/>
  <c r="D282" i="5"/>
  <c r="C309" i="5"/>
  <c r="F336" i="5"/>
  <c r="F390" i="5"/>
  <c r="E417" i="5"/>
  <c r="M191" i="9"/>
  <c r="L318" i="9"/>
  <c r="J12" i="7"/>
  <c r="G49" i="7"/>
  <c r="R192" i="7"/>
  <c r="R226" i="7"/>
  <c r="F249" i="7"/>
  <c r="R246" i="7"/>
  <c r="F267" i="7"/>
  <c r="L267" i="7"/>
  <c r="P267" i="7"/>
  <c r="M26" i="9"/>
  <c r="G78" i="9"/>
  <c r="L159" i="9"/>
  <c r="G175" i="9"/>
  <c r="L222" i="9"/>
  <c r="G240" i="9"/>
  <c r="G306" i="9"/>
  <c r="G80" i="9"/>
  <c r="G111" i="9"/>
  <c r="G147" i="9"/>
  <c r="G204" i="9"/>
  <c r="G210" i="9"/>
  <c r="G370" i="4"/>
  <c r="R49" i="7"/>
  <c r="C37" i="8"/>
  <c r="G37" i="8"/>
  <c r="K37" i="8"/>
  <c r="O37" i="8"/>
  <c r="U37" i="8"/>
  <c r="D50" i="8"/>
  <c r="I50" i="8"/>
  <c r="M50" i="8"/>
  <c r="D62" i="8"/>
  <c r="K62" i="8"/>
  <c r="K121" i="8"/>
  <c r="D133" i="8"/>
  <c r="F133" i="8"/>
  <c r="U159" i="8"/>
  <c r="G19" i="9"/>
  <c r="G140" i="9"/>
  <c r="G176" i="9"/>
  <c r="G179" i="9"/>
  <c r="G239" i="9"/>
  <c r="M254" i="9"/>
  <c r="G338" i="9"/>
  <c r="G207" i="7"/>
  <c r="J208" i="7"/>
  <c r="G209" i="7"/>
  <c r="R262" i="7"/>
  <c r="R266" i="7"/>
  <c r="E37" i="8"/>
  <c r="I37" i="8"/>
  <c r="M37" i="8"/>
  <c r="Q37" i="8"/>
  <c r="G50" i="8"/>
  <c r="K50" i="8"/>
  <c r="G44" i="9"/>
  <c r="G11" i="5"/>
  <c r="L21" i="6"/>
  <c r="L70" i="6"/>
  <c r="L118" i="6"/>
  <c r="L165" i="6"/>
  <c r="L214" i="6"/>
  <c r="L263" i="6"/>
  <c r="L312" i="6"/>
  <c r="J49" i="7"/>
  <c r="G157" i="7"/>
  <c r="V109" i="8"/>
  <c r="O121" i="8"/>
  <c r="H133" i="8"/>
  <c r="G46" i="9"/>
  <c r="G242" i="9"/>
  <c r="G272" i="9"/>
  <c r="G335" i="9"/>
  <c r="K462" i="9"/>
  <c r="L42" i="4"/>
  <c r="G185" i="4"/>
  <c r="D289" i="4"/>
  <c r="O299" i="4"/>
  <c r="H320" i="4"/>
  <c r="O337" i="4"/>
  <c r="D351" i="4"/>
  <c r="L351" i="4"/>
  <c r="N361" i="4"/>
  <c r="N363" i="4"/>
  <c r="O368" i="4"/>
  <c r="M401" i="4"/>
  <c r="H413" i="4"/>
  <c r="C432" i="4"/>
  <c r="O423" i="4"/>
  <c r="K432" i="4"/>
  <c r="O430" i="4"/>
  <c r="D444" i="4"/>
  <c r="L444" i="4"/>
  <c r="C463" i="4"/>
  <c r="O454" i="4"/>
  <c r="G463" i="4"/>
  <c r="I463" i="4"/>
  <c r="M463" i="4"/>
  <c r="H475" i="4"/>
  <c r="K494" i="4"/>
  <c r="D506" i="4"/>
  <c r="L506" i="4"/>
  <c r="C525" i="4"/>
  <c r="O516" i="4"/>
  <c r="G525" i="4"/>
  <c r="I525" i="4"/>
  <c r="F12" i="5"/>
  <c r="D65" i="5"/>
  <c r="J201" i="5"/>
  <c r="N201" i="5"/>
  <c r="C228" i="5"/>
  <c r="F255" i="5"/>
  <c r="E282" i="5"/>
  <c r="D309" i="5"/>
  <c r="C336" i="5"/>
  <c r="H377" i="5"/>
  <c r="C390" i="5"/>
  <c r="F417" i="5"/>
  <c r="H16" i="7"/>
  <c r="Q48" i="7"/>
  <c r="M70" i="7"/>
  <c r="G229" i="7"/>
  <c r="K249" i="7"/>
  <c r="O249" i="7"/>
  <c r="E285" i="7"/>
  <c r="K285" i="7"/>
  <c r="O285" i="7"/>
  <c r="Q280" i="7"/>
  <c r="R281" i="7"/>
  <c r="I303" i="7"/>
  <c r="N303" i="7"/>
  <c r="W84" i="8"/>
  <c r="W95" i="8"/>
  <c r="W96" i="8"/>
  <c r="W158" i="8"/>
  <c r="W170" i="8"/>
  <c r="U172" i="8"/>
  <c r="G45" i="9"/>
  <c r="G141" i="9"/>
  <c r="G144" i="9"/>
  <c r="M159" i="9"/>
  <c r="G207" i="9"/>
  <c r="M222" i="9"/>
  <c r="G303" i="9"/>
  <c r="M318" i="9"/>
  <c r="M446" i="9"/>
  <c r="K195" i="7"/>
  <c r="Q284" i="7"/>
  <c r="G15" i="9"/>
  <c r="G83" i="9"/>
  <c r="G173" i="9"/>
  <c r="L191" i="9"/>
  <c r="G268" i="9"/>
  <c r="G302" i="9"/>
  <c r="G333" i="9"/>
  <c r="M350" i="9"/>
  <c r="M414" i="9"/>
  <c r="G429" i="9"/>
  <c r="G460" i="9"/>
  <c r="G463" i="9"/>
  <c r="G83" i="7"/>
  <c r="G101" i="7"/>
  <c r="J102" i="7"/>
  <c r="J104" i="7"/>
  <c r="J122" i="7"/>
  <c r="Q135" i="7"/>
  <c r="W171" i="8"/>
  <c r="W209" i="8"/>
  <c r="G77" i="9"/>
  <c r="G112" i="9"/>
  <c r="G177" i="9"/>
  <c r="G300" i="9"/>
  <c r="F154" i="4"/>
  <c r="N149" i="4"/>
  <c r="N152" i="4"/>
  <c r="F166" i="4"/>
  <c r="J185" i="4"/>
  <c r="J14" i="7"/>
  <c r="Q50" i="8"/>
  <c r="V50" i="8"/>
  <c r="V62" i="8"/>
  <c r="Q121" i="8"/>
  <c r="C211" i="8"/>
  <c r="W210" i="8"/>
  <c r="G48" i="9"/>
  <c r="K111" i="9"/>
  <c r="G174" i="9"/>
  <c r="D73" i="4"/>
  <c r="L73" i="4"/>
  <c r="C92" i="4"/>
  <c r="O83" i="4"/>
  <c r="G92" i="4"/>
  <c r="I92" i="4"/>
  <c r="H104" i="4"/>
  <c r="K123" i="4"/>
  <c r="I154" i="4"/>
  <c r="L201" i="5"/>
  <c r="P201" i="5"/>
  <c r="E228" i="5"/>
  <c r="G110" i="9"/>
  <c r="G145" i="9"/>
  <c r="G208" i="9"/>
  <c r="G236" i="9"/>
  <c r="G304" i="9"/>
  <c r="G365" i="9"/>
  <c r="J11" i="7"/>
  <c r="R11" i="7"/>
  <c r="G50" i="7"/>
  <c r="J51" i="7"/>
  <c r="J67" i="7"/>
  <c r="R67" i="7"/>
  <c r="R83" i="7"/>
  <c r="R135" i="7"/>
  <c r="Q207" i="7"/>
  <c r="Q211" i="7"/>
  <c r="W36" i="8"/>
  <c r="W49" i="8"/>
  <c r="O50" i="8"/>
  <c r="B62" i="8"/>
  <c r="G14" i="9"/>
  <c r="O27" i="4"/>
  <c r="O52" i="4"/>
  <c r="J120" i="7"/>
  <c r="G121" i="7"/>
  <c r="R121" i="7"/>
  <c r="J139" i="7"/>
  <c r="J158" i="7"/>
  <c r="J174" i="7"/>
  <c r="R174" i="7"/>
  <c r="G191" i="7"/>
  <c r="J227" i="7"/>
  <c r="G228" i="7"/>
  <c r="Q299" i="7"/>
  <c r="W119" i="8"/>
  <c r="W144" i="8"/>
  <c r="W183" i="8"/>
  <c r="U198" i="8"/>
  <c r="M58" i="9"/>
  <c r="G205" i="9"/>
  <c r="G237" i="9"/>
  <c r="L286" i="9"/>
  <c r="N286" i="9" s="1"/>
  <c r="G332" i="9"/>
  <c r="K494" i="9"/>
  <c r="B197" i="4"/>
  <c r="J197" i="4"/>
  <c r="O300" i="4"/>
  <c r="H323" i="5"/>
  <c r="R48" i="7"/>
  <c r="Q121" i="7"/>
  <c r="R154" i="7"/>
  <c r="Q173" i="7"/>
  <c r="J175" i="7"/>
  <c r="Q246" i="7"/>
  <c r="S246" i="7" s="1"/>
  <c r="R301" i="7"/>
  <c r="J133" i="8"/>
  <c r="V133" i="8"/>
  <c r="V185" i="8"/>
  <c r="W197" i="8"/>
  <c r="G108" i="9"/>
  <c r="K398" i="9"/>
  <c r="G427" i="9"/>
  <c r="M478" i="9"/>
  <c r="C154" i="4"/>
  <c r="O145" i="4"/>
  <c r="G154" i="4"/>
  <c r="H166" i="4"/>
  <c r="F277" i="4"/>
  <c r="N299" i="4"/>
  <c r="N300" i="4"/>
  <c r="Q66" i="7"/>
  <c r="G105" i="7"/>
  <c r="J212" i="7"/>
  <c r="J226" i="7"/>
  <c r="G301" i="7"/>
  <c r="W107" i="8"/>
  <c r="U146" i="8"/>
  <c r="W157" i="8"/>
  <c r="G17" i="9"/>
  <c r="G79" i="9"/>
  <c r="G109" i="9"/>
  <c r="G143" i="9"/>
  <c r="G270" i="9"/>
  <c r="K334" i="9"/>
  <c r="G334" i="9"/>
  <c r="G336" i="9"/>
  <c r="G466" i="9"/>
  <c r="F135" i="4"/>
  <c r="N214" i="4"/>
  <c r="H227" i="4"/>
  <c r="C246" i="4"/>
  <c r="O237" i="4"/>
  <c r="O240" i="4"/>
  <c r="O244" i="4"/>
  <c r="C277" i="4"/>
  <c r="O272" i="4"/>
  <c r="Q11" i="7"/>
  <c r="J82" i="7"/>
  <c r="G137" i="7"/>
  <c r="J154" i="7"/>
  <c r="S50" i="8"/>
  <c r="G62" i="8"/>
  <c r="P62" i="8"/>
  <c r="W131" i="8"/>
  <c r="W145" i="8"/>
  <c r="G47" i="9"/>
  <c r="G115" i="9"/>
  <c r="G142" i="9"/>
  <c r="G206" i="9"/>
  <c r="G238" i="9"/>
  <c r="G269" i="9"/>
  <c r="G301" i="9"/>
  <c r="I277" i="4"/>
  <c r="J370" i="4"/>
  <c r="G37" i="5"/>
  <c r="T53" i="5"/>
  <c r="H79" i="5"/>
  <c r="F30" i="4"/>
  <c r="H30" i="4"/>
  <c r="N25" i="4"/>
  <c r="F42" i="4"/>
  <c r="N52" i="4"/>
  <c r="P52" i="4" s="1"/>
  <c r="N53" i="4"/>
  <c r="N54" i="4"/>
  <c r="N55" i="4"/>
  <c r="N59" i="4"/>
  <c r="O90" i="4"/>
  <c r="D104" i="4"/>
  <c r="L104" i="4"/>
  <c r="O114" i="4"/>
  <c r="G123" i="4"/>
  <c r="P122" i="4"/>
  <c r="H135" i="4"/>
  <c r="B154" i="4"/>
  <c r="J154" i="4"/>
  <c r="B166" i="4"/>
  <c r="J166" i="4"/>
  <c r="D197" i="4"/>
  <c r="L197" i="4"/>
  <c r="F216" i="4"/>
  <c r="L216" i="4"/>
  <c r="D227" i="4"/>
  <c r="P245" i="4"/>
  <c r="F258" i="4"/>
  <c r="N268" i="4"/>
  <c r="N270" i="4"/>
  <c r="J277" i="4"/>
  <c r="N306" i="4"/>
  <c r="B320" i="4"/>
  <c r="J320" i="4"/>
  <c r="N330" i="4"/>
  <c r="F339" i="4"/>
  <c r="H339" i="4"/>
  <c r="L339" i="4"/>
  <c r="N394" i="4"/>
  <c r="N395" i="4"/>
  <c r="H432" i="4"/>
  <c r="N454" i="4"/>
  <c r="P454" i="4" s="1"/>
  <c r="N455" i="4"/>
  <c r="N456" i="4"/>
  <c r="N457" i="4"/>
  <c r="J463" i="4"/>
  <c r="N461" i="4"/>
  <c r="B475" i="4"/>
  <c r="J475" i="4"/>
  <c r="P483" i="4"/>
  <c r="F494" i="4"/>
  <c r="H494" i="4"/>
  <c r="N489" i="4"/>
  <c r="L494" i="4"/>
  <c r="F506" i="4"/>
  <c r="J525" i="4"/>
  <c r="C12" i="5"/>
  <c r="F39" i="5"/>
  <c r="E65" i="5"/>
  <c r="E92" i="5"/>
  <c r="J173" i="7"/>
  <c r="R207" i="7"/>
  <c r="K88" i="7"/>
  <c r="P60" i="4"/>
  <c r="O143" i="4"/>
  <c r="P153" i="4"/>
  <c r="H246" i="4"/>
  <c r="G277" i="4"/>
  <c r="G38" i="5"/>
  <c r="O21" i="4"/>
  <c r="I30" i="4"/>
  <c r="H42" i="4"/>
  <c r="K61" i="4"/>
  <c r="B73" i="4"/>
  <c r="J73" i="4"/>
  <c r="F92" i="4"/>
  <c r="F104" i="4"/>
  <c r="N115" i="4"/>
  <c r="N116" i="4"/>
  <c r="N117" i="4"/>
  <c r="J123" i="4"/>
  <c r="B135" i="4"/>
  <c r="J135" i="4"/>
  <c r="E154" i="4"/>
  <c r="K154" i="4"/>
  <c r="D166" i="4"/>
  <c r="L166" i="4"/>
  <c r="F185" i="4"/>
  <c r="H185" i="4"/>
  <c r="L185" i="4"/>
  <c r="N182" i="4"/>
  <c r="N183" i="4"/>
  <c r="B216" i="4"/>
  <c r="G216" i="4"/>
  <c r="M216" i="4"/>
  <c r="O213" i="4"/>
  <c r="O214" i="4"/>
  <c r="P215" i="4"/>
  <c r="F227" i="4"/>
  <c r="N237" i="4"/>
  <c r="N239" i="4"/>
  <c r="N240" i="4"/>
  <c r="J246" i="4"/>
  <c r="O268" i="4"/>
  <c r="P268" i="4" s="1"/>
  <c r="B289" i="4"/>
  <c r="J289" i="4"/>
  <c r="K308" i="4"/>
  <c r="D320" i="4"/>
  <c r="L320" i="4"/>
  <c r="I339" i="4"/>
  <c r="M339" i="4"/>
  <c r="H351" i="4"/>
  <c r="E401" i="4"/>
  <c r="O394" i="4"/>
  <c r="K401" i="4"/>
  <c r="O398" i="4"/>
  <c r="E463" i="4"/>
  <c r="K463" i="4"/>
  <c r="D475" i="4"/>
  <c r="L475" i="4"/>
  <c r="O485" i="4"/>
  <c r="G494" i="4"/>
  <c r="H506" i="4"/>
  <c r="E525" i="4"/>
  <c r="K525" i="4"/>
  <c r="D12" i="5"/>
  <c r="R48" i="5"/>
  <c r="F65" i="5"/>
  <c r="F92" i="5"/>
  <c r="I92" i="5"/>
  <c r="J48" i="7"/>
  <c r="K119" i="5"/>
  <c r="O119" i="5"/>
  <c r="H215" i="5"/>
  <c r="R318" i="5"/>
  <c r="R334" i="5"/>
  <c r="R372" i="5"/>
  <c r="G389" i="5"/>
  <c r="I24" i="6"/>
  <c r="L20" i="6"/>
  <c r="I73" i="6"/>
  <c r="L69" i="6"/>
  <c r="I97" i="6"/>
  <c r="L93" i="6"/>
  <c r="I121" i="6"/>
  <c r="L117" i="6"/>
  <c r="I168" i="6"/>
  <c r="L164" i="6"/>
  <c r="I192" i="6"/>
  <c r="L188" i="6"/>
  <c r="I217" i="6"/>
  <c r="L213" i="6"/>
  <c r="I266" i="6"/>
  <c r="L262" i="6"/>
  <c r="I291" i="6"/>
  <c r="L287" i="6"/>
  <c r="I315" i="6"/>
  <c r="L311" i="6"/>
  <c r="I339" i="6"/>
  <c r="L334" i="6"/>
  <c r="I364" i="6"/>
  <c r="L360" i="6"/>
  <c r="I388" i="6"/>
  <c r="L384" i="6"/>
  <c r="I414" i="6"/>
  <c r="L410" i="6"/>
  <c r="G12" i="7"/>
  <c r="N52" i="7"/>
  <c r="R82" i="7"/>
  <c r="J83" i="7"/>
  <c r="G84" i="7"/>
  <c r="J85" i="7"/>
  <c r="G86" i="7"/>
  <c r="G100" i="7"/>
  <c r="R102" i="7"/>
  <c r="G104" i="7"/>
  <c r="K124" i="7"/>
  <c r="G123" i="7"/>
  <c r="J135" i="7"/>
  <c r="G175" i="7"/>
  <c r="J189" i="7"/>
  <c r="G190" i="7"/>
  <c r="J244" i="7"/>
  <c r="J246" i="7"/>
  <c r="G247" i="7"/>
  <c r="J248" i="7"/>
  <c r="J262" i="7"/>
  <c r="J266" i="7"/>
  <c r="E303" i="7"/>
  <c r="G298" i="7"/>
  <c r="F201" i="5"/>
  <c r="K201" i="5"/>
  <c r="O201" i="5"/>
  <c r="D228" i="5"/>
  <c r="G228" i="5" s="1"/>
  <c r="C255" i="5"/>
  <c r="F282" i="5"/>
  <c r="E309" i="5"/>
  <c r="D336" i="5"/>
  <c r="D390" i="5"/>
  <c r="C417" i="5"/>
  <c r="J24" i="6"/>
  <c r="L19" i="6"/>
  <c r="L23" i="6"/>
  <c r="J73" i="6"/>
  <c r="L68" i="6"/>
  <c r="L72" i="6"/>
  <c r="J121" i="6"/>
  <c r="L116" i="6"/>
  <c r="L120" i="6"/>
  <c r="J168" i="6"/>
  <c r="L163" i="6"/>
  <c r="L167" i="6"/>
  <c r="J217" i="6"/>
  <c r="L212" i="6"/>
  <c r="L216" i="6"/>
  <c r="J266" i="6"/>
  <c r="L261" i="6"/>
  <c r="L265" i="6"/>
  <c r="L310" i="6"/>
  <c r="J13" i="7"/>
  <c r="R14" i="7"/>
  <c r="J15" i="7"/>
  <c r="R15" i="7"/>
  <c r="S15" i="7" s="1"/>
  <c r="K52" i="7"/>
  <c r="O52" i="7"/>
  <c r="M52" i="7"/>
  <c r="J64" i="7"/>
  <c r="R64" i="7"/>
  <c r="G65" i="7"/>
  <c r="J66" i="7"/>
  <c r="G67" i="7"/>
  <c r="J68" i="7"/>
  <c r="G69" i="7"/>
  <c r="Q86" i="7"/>
  <c r="M106" i="7"/>
  <c r="J121" i="7"/>
  <c r="G136" i="7"/>
  <c r="G140" i="7"/>
  <c r="F159" i="7"/>
  <c r="Q158" i="7"/>
  <c r="Q172" i="7"/>
  <c r="G174" i="7"/>
  <c r="J176" i="7"/>
  <c r="J193" i="7"/>
  <c r="G194" i="7"/>
  <c r="R194" i="7"/>
  <c r="I213" i="7"/>
  <c r="N213" i="7"/>
  <c r="G210" i="7"/>
  <c r="Q229" i="7"/>
  <c r="H249" i="7"/>
  <c r="M249" i="7"/>
  <c r="H267" i="7"/>
  <c r="Q265" i="7"/>
  <c r="H285" i="7"/>
  <c r="M285" i="7"/>
  <c r="R282" i="7"/>
  <c r="Q300" i="7"/>
  <c r="H106" i="5"/>
  <c r="M119" i="5"/>
  <c r="H133" i="5"/>
  <c r="G173" i="5"/>
  <c r="R183" i="5"/>
  <c r="G200" i="5"/>
  <c r="R210" i="5"/>
  <c r="R264" i="5"/>
  <c r="H269" i="5"/>
  <c r="G281" i="5"/>
  <c r="R291" i="5"/>
  <c r="F309" i="5"/>
  <c r="E336" i="5"/>
  <c r="G336" i="5" s="1"/>
  <c r="R335" i="5"/>
  <c r="H350" i="5"/>
  <c r="E390" i="5"/>
  <c r="G390" i="5" s="1"/>
  <c r="D417" i="5"/>
  <c r="K24" i="6"/>
  <c r="L22" i="6"/>
  <c r="L42" i="6"/>
  <c r="L46" i="6"/>
  <c r="K73" i="6"/>
  <c r="L71" i="6"/>
  <c r="K121" i="6"/>
  <c r="L119" i="6"/>
  <c r="L139" i="6"/>
  <c r="L143" i="6"/>
  <c r="K168" i="6"/>
  <c r="L168" i="6" s="1"/>
  <c r="L166" i="6"/>
  <c r="K217" i="6"/>
  <c r="L215" i="6"/>
  <c r="L236" i="6"/>
  <c r="L240" i="6"/>
  <c r="K266" i="6"/>
  <c r="L264" i="6"/>
  <c r="K315" i="6"/>
  <c r="Q14" i="7"/>
  <c r="G15" i="7"/>
  <c r="Q51" i="7"/>
  <c r="G64" i="7"/>
  <c r="Q67" i="7"/>
  <c r="G68" i="7"/>
  <c r="N88" i="7"/>
  <c r="J86" i="7"/>
  <c r="R87" i="7"/>
  <c r="N106" i="7"/>
  <c r="G119" i="7"/>
  <c r="G122" i="7"/>
  <c r="J136" i="7"/>
  <c r="J140" i="7"/>
  <c r="O159" i="7"/>
  <c r="G156" i="7"/>
  <c r="Q157" i="7"/>
  <c r="G158" i="7"/>
  <c r="R158" i="7"/>
  <c r="G171" i="7"/>
  <c r="L195" i="7"/>
  <c r="P195" i="7"/>
  <c r="J190" i="7"/>
  <c r="Q208" i="7"/>
  <c r="G225" i="7"/>
  <c r="K231" i="7"/>
  <c r="R228" i="7"/>
  <c r="J229" i="7"/>
  <c r="I249" i="7"/>
  <c r="J247" i="7"/>
  <c r="R247" i="7"/>
  <c r="I267" i="7"/>
  <c r="G262" i="7"/>
  <c r="J263" i="7"/>
  <c r="J265" i="7"/>
  <c r="G266" i="7"/>
  <c r="I285" i="7"/>
  <c r="G282" i="7"/>
  <c r="J283" i="7"/>
  <c r="G284" i="7"/>
  <c r="G297" i="7"/>
  <c r="L303" i="7"/>
  <c r="P303" i="7"/>
  <c r="J300" i="7"/>
  <c r="R300" i="7"/>
  <c r="E24" i="8"/>
  <c r="O86" i="8"/>
  <c r="V86" i="8"/>
  <c r="C97" i="8"/>
  <c r="G97" i="8"/>
  <c r="K97" i="8"/>
  <c r="O97" i="8"/>
  <c r="S97" i="8"/>
  <c r="C109" i="8"/>
  <c r="G109" i="8"/>
  <c r="K109" i="8"/>
  <c r="O109" i="8"/>
  <c r="U109" i="8"/>
  <c r="C121" i="8"/>
  <c r="L121" i="8"/>
  <c r="C133" i="8"/>
  <c r="L133" i="8"/>
  <c r="Q133" i="8"/>
  <c r="C146" i="8"/>
  <c r="G146" i="8"/>
  <c r="K146" i="8"/>
  <c r="O146" i="8"/>
  <c r="H159" i="8"/>
  <c r="L159" i="8"/>
  <c r="P159" i="8"/>
  <c r="V159" i="8"/>
  <c r="D172" i="8"/>
  <c r="I172" i="8"/>
  <c r="M172" i="8"/>
  <c r="Q172" i="8"/>
  <c r="D185" i="8"/>
  <c r="H185" i="8"/>
  <c r="L185" i="8"/>
  <c r="P185" i="8"/>
  <c r="C198" i="8"/>
  <c r="G198" i="8"/>
  <c r="K198" i="8"/>
  <c r="O198" i="8"/>
  <c r="D211" i="8"/>
  <c r="J211" i="8"/>
  <c r="N211" i="8"/>
  <c r="R211" i="8"/>
  <c r="L58" i="9"/>
  <c r="N58" i="9" s="1"/>
  <c r="M90" i="9"/>
  <c r="M127" i="9"/>
  <c r="K143" i="9"/>
  <c r="M186" i="9"/>
  <c r="L217" i="9"/>
  <c r="G267" i="9"/>
  <c r="K270" i="9"/>
  <c r="M313" i="9"/>
  <c r="M345" i="9"/>
  <c r="K366" i="9"/>
  <c r="G366" i="9"/>
  <c r="G368" i="9"/>
  <c r="G370" i="9"/>
  <c r="L377" i="9"/>
  <c r="G428" i="9"/>
  <c r="G431" i="9"/>
  <c r="G436" i="9"/>
  <c r="L446" i="9"/>
  <c r="N446" i="9" s="1"/>
  <c r="G459" i="9"/>
  <c r="G461" i="9"/>
  <c r="G467" i="9" s="1"/>
  <c r="L478" i="9"/>
  <c r="N478" i="9" s="1"/>
  <c r="G491" i="9"/>
  <c r="G493" i="9"/>
  <c r="M505" i="9"/>
  <c r="F86" i="8"/>
  <c r="J86" i="8"/>
  <c r="P86" i="8"/>
  <c r="D97" i="8"/>
  <c r="H97" i="8"/>
  <c r="L97" i="8"/>
  <c r="P97" i="8"/>
  <c r="D109" i="8"/>
  <c r="H109" i="8"/>
  <c r="L109" i="8"/>
  <c r="P109" i="8"/>
  <c r="W120" i="8"/>
  <c r="W121" i="8" s="1"/>
  <c r="V121" i="8"/>
  <c r="U133" i="8"/>
  <c r="H146" i="8"/>
  <c r="L146" i="8"/>
  <c r="P146" i="8"/>
  <c r="V146" i="8"/>
  <c r="D159" i="8"/>
  <c r="I159" i="8"/>
  <c r="M159" i="8"/>
  <c r="Q159" i="8"/>
  <c r="F172" i="8"/>
  <c r="J172" i="8"/>
  <c r="N172" i="8"/>
  <c r="R172" i="8"/>
  <c r="E185" i="8"/>
  <c r="I185" i="8"/>
  <c r="M185" i="8"/>
  <c r="Q185" i="8"/>
  <c r="H198" i="8"/>
  <c r="L198" i="8"/>
  <c r="P198" i="8"/>
  <c r="V198" i="8"/>
  <c r="F211" i="8"/>
  <c r="K211" i="8"/>
  <c r="O211" i="8"/>
  <c r="U211" i="8"/>
  <c r="G12" i="9"/>
  <c r="G21" i="9" s="1"/>
  <c r="K15" i="9"/>
  <c r="G49" i="9"/>
  <c r="L90" i="9"/>
  <c r="L95" i="9"/>
  <c r="G113" i="9"/>
  <c r="G116" i="9" s="1"/>
  <c r="G117" i="9" s="1"/>
  <c r="M154" i="9"/>
  <c r="L186" i="9"/>
  <c r="G235" i="9"/>
  <c r="K238" i="9"/>
  <c r="M281" i="9"/>
  <c r="L313" i="9"/>
  <c r="L350" i="9"/>
  <c r="N350" i="9" s="1"/>
  <c r="G363" i="9"/>
  <c r="M377" i="9"/>
  <c r="M382" i="9"/>
  <c r="G402" i="9"/>
  <c r="L409" i="9"/>
  <c r="G492" i="9"/>
  <c r="G495" i="9"/>
  <c r="G500" i="9"/>
  <c r="L510" i="9"/>
  <c r="J299" i="7"/>
  <c r="J301" i="7"/>
  <c r="G302" i="7"/>
  <c r="W85" i="8"/>
  <c r="W86" i="8" s="1"/>
  <c r="E97" i="8"/>
  <c r="I97" i="8"/>
  <c r="M97" i="8"/>
  <c r="Q97" i="8"/>
  <c r="V97" i="8"/>
  <c r="E109" i="8"/>
  <c r="I109" i="8"/>
  <c r="M109" i="8"/>
  <c r="Q109" i="8"/>
  <c r="F121" i="8"/>
  <c r="J121" i="8"/>
  <c r="P121" i="8"/>
  <c r="E146" i="8"/>
  <c r="I146" i="8"/>
  <c r="M146" i="8"/>
  <c r="Q146" i="8"/>
  <c r="F159" i="8"/>
  <c r="J159" i="8"/>
  <c r="N159" i="8"/>
  <c r="R159" i="8"/>
  <c r="B172" i="8"/>
  <c r="G172" i="8"/>
  <c r="K172" i="8"/>
  <c r="O172" i="8"/>
  <c r="B185" i="8"/>
  <c r="F185" i="8"/>
  <c r="J185" i="8"/>
  <c r="N185" i="8"/>
  <c r="R185" i="8"/>
  <c r="W196" i="8"/>
  <c r="E198" i="8"/>
  <c r="I198" i="8"/>
  <c r="M198" i="8"/>
  <c r="Q198" i="8"/>
  <c r="W211" i="8"/>
  <c r="L211" i="8"/>
  <c r="P211" i="8"/>
  <c r="K47" i="9"/>
  <c r="M95" i="9"/>
  <c r="M122" i="9"/>
  <c r="L154" i="9"/>
  <c r="N154" i="9" s="1"/>
  <c r="G203" i="9"/>
  <c r="K206" i="9"/>
  <c r="M249" i="9"/>
  <c r="L281" i="9"/>
  <c r="G364" i="9"/>
  <c r="G367" i="9"/>
  <c r="L382" i="9"/>
  <c r="G395" i="9"/>
  <c r="G397" i="9"/>
  <c r="M409" i="9"/>
  <c r="K430" i="9"/>
  <c r="G430" i="9"/>
  <c r="G432" i="9"/>
  <c r="G434" i="9"/>
  <c r="L441" i="9"/>
  <c r="L473" i="9"/>
  <c r="C86" i="8"/>
  <c r="H86" i="8"/>
  <c r="L86" i="8"/>
  <c r="U86" i="8"/>
  <c r="F97" i="8"/>
  <c r="J97" i="8"/>
  <c r="N97" i="8"/>
  <c r="R97" i="8"/>
  <c r="B109" i="8"/>
  <c r="F109" i="8"/>
  <c r="J109" i="8"/>
  <c r="N109" i="8"/>
  <c r="R109" i="8"/>
  <c r="B121" i="8"/>
  <c r="G121" i="8"/>
  <c r="B133" i="8"/>
  <c r="G133" i="8"/>
  <c r="K133" i="8"/>
  <c r="P133" i="8"/>
  <c r="B146" i="8"/>
  <c r="F146" i="8"/>
  <c r="J146" i="8"/>
  <c r="N146" i="8"/>
  <c r="R146" i="8"/>
  <c r="B159" i="8"/>
  <c r="G159" i="8"/>
  <c r="K159" i="8"/>
  <c r="O159" i="8"/>
  <c r="W172" i="8"/>
  <c r="H172" i="8"/>
  <c r="L172" i="8"/>
  <c r="P172" i="8"/>
  <c r="V172" i="8"/>
  <c r="C185" i="8"/>
  <c r="G185" i="8"/>
  <c r="K185" i="8"/>
  <c r="O185" i="8"/>
  <c r="U185" i="8"/>
  <c r="B198" i="8"/>
  <c r="F198" i="8"/>
  <c r="J198" i="8"/>
  <c r="N198" i="8"/>
  <c r="R198" i="8"/>
  <c r="H211" i="8"/>
  <c r="M211" i="8"/>
  <c r="Q211" i="8"/>
  <c r="L26" i="9"/>
  <c r="N26" i="9" s="1"/>
  <c r="N31" i="9"/>
  <c r="G76" i="9"/>
  <c r="K79" i="9"/>
  <c r="L122" i="9"/>
  <c r="L127" i="9"/>
  <c r="G172" i="9"/>
  <c r="K175" i="9"/>
  <c r="M217" i="9"/>
  <c r="N217" i="9" s="1"/>
  <c r="L249" i="9"/>
  <c r="G299" i="9"/>
  <c r="K302" i="9"/>
  <c r="L345" i="9"/>
  <c r="N345" i="9" s="1"/>
  <c r="G404" i="9"/>
  <c r="L414" i="9"/>
  <c r="M441" i="9"/>
  <c r="M473" i="9"/>
  <c r="L505" i="9"/>
  <c r="P50" i="4"/>
  <c r="O25" i="4"/>
  <c r="P25" i="4" s="1"/>
  <c r="N27" i="4"/>
  <c r="P27" i="4" s="1"/>
  <c r="N41" i="4"/>
  <c r="O53" i="4"/>
  <c r="I61" i="4"/>
  <c r="N57" i="4"/>
  <c r="N58" i="4"/>
  <c r="N83" i="4"/>
  <c r="D92" i="4"/>
  <c r="H92" i="4"/>
  <c r="N87" i="4"/>
  <c r="C123" i="4"/>
  <c r="E123" i="4"/>
  <c r="O116" i="4"/>
  <c r="O120" i="4"/>
  <c r="O121" i="4"/>
  <c r="D135" i="4"/>
  <c r="L135" i="4"/>
  <c r="N145" i="4"/>
  <c r="N146" i="4"/>
  <c r="N147" i="4"/>
  <c r="N150" i="4"/>
  <c r="N151" i="4"/>
  <c r="N165" i="4"/>
  <c r="C185" i="4"/>
  <c r="N176" i="4"/>
  <c r="N177" i="4"/>
  <c r="N178" i="4"/>
  <c r="N179" i="4"/>
  <c r="N180" i="4"/>
  <c r="N181" i="4"/>
  <c r="N196" i="4"/>
  <c r="H216" i="4"/>
  <c r="N212" i="4"/>
  <c r="N213" i="4"/>
  <c r="O238" i="4"/>
  <c r="O239" i="4"/>
  <c r="P239" i="4" s="1"/>
  <c r="N242" i="4"/>
  <c r="P267" i="4"/>
  <c r="N273" i="4"/>
  <c r="P299" i="4"/>
  <c r="N304" i="4"/>
  <c r="O331" i="4"/>
  <c r="O335" i="4"/>
  <c r="O336" i="4"/>
  <c r="P338" i="4"/>
  <c r="O361" i="4"/>
  <c r="P361" i="4" s="1"/>
  <c r="E370" i="4"/>
  <c r="K370" i="4"/>
  <c r="N365" i="4"/>
  <c r="N367" i="4"/>
  <c r="C401" i="4"/>
  <c r="N392" i="4"/>
  <c r="B401" i="4"/>
  <c r="N393" i="4"/>
  <c r="N399" i="4"/>
  <c r="B413" i="4"/>
  <c r="J413" i="4"/>
  <c r="F432" i="4"/>
  <c r="D432" i="4"/>
  <c r="L432" i="4"/>
  <c r="F444" i="4"/>
  <c r="E494" i="4"/>
  <c r="O487" i="4"/>
  <c r="O491" i="4"/>
  <c r="O492" i="4"/>
  <c r="D525" i="4"/>
  <c r="H525" i="4"/>
  <c r="L525" i="4"/>
  <c r="H12" i="5"/>
  <c r="D30" i="4"/>
  <c r="L30" i="4"/>
  <c r="C61" i="4"/>
  <c r="O56" i="4"/>
  <c r="P56" i="4" s="1"/>
  <c r="M61" i="4"/>
  <c r="P83" i="4"/>
  <c r="O88" i="4"/>
  <c r="O89" i="4"/>
  <c r="N103" i="4"/>
  <c r="N112" i="4"/>
  <c r="P112" i="4" s="1"/>
  <c r="N114" i="4"/>
  <c r="N121" i="4"/>
  <c r="N144" i="4"/>
  <c r="P144" i="4" s="1"/>
  <c r="O147" i="4"/>
  <c r="O151" i="4"/>
  <c r="P151" i="4" s="1"/>
  <c r="O152" i="4"/>
  <c r="E185" i="4"/>
  <c r="O178" i="4"/>
  <c r="P178" i="4" s="1"/>
  <c r="K185" i="4"/>
  <c r="O182" i="4"/>
  <c r="O209" i="4"/>
  <c r="O210" i="4"/>
  <c r="O241" i="4"/>
  <c r="M246" i="4"/>
  <c r="I246" i="4"/>
  <c r="N269" i="4"/>
  <c r="O273" i="4"/>
  <c r="I308" i="4"/>
  <c r="O303" i="4"/>
  <c r="M308" i="4"/>
  <c r="N319" i="4"/>
  <c r="N336" i="4"/>
  <c r="N337" i="4"/>
  <c r="P337" i="4" s="1"/>
  <c r="B351" i="4"/>
  <c r="J351" i="4"/>
  <c r="N350" i="4"/>
  <c r="C370" i="4"/>
  <c r="H370" i="4"/>
  <c r="O365" i="4"/>
  <c r="I370" i="4"/>
  <c r="O366" i="4"/>
  <c r="F382" i="4"/>
  <c r="D401" i="4"/>
  <c r="H401" i="4"/>
  <c r="N396" i="4"/>
  <c r="L401" i="4"/>
  <c r="O399" i="4"/>
  <c r="P399" i="4" s="1"/>
  <c r="D413" i="4"/>
  <c r="G432" i="4"/>
  <c r="O425" i="4"/>
  <c r="I432" i="4"/>
  <c r="O427" i="4"/>
  <c r="M432" i="4"/>
  <c r="H444" i="4"/>
  <c r="N443" i="4"/>
  <c r="O452" i="4"/>
  <c r="F463" i="4"/>
  <c r="D463" i="4"/>
  <c r="H463" i="4"/>
  <c r="N458" i="4"/>
  <c r="L463" i="4"/>
  <c r="F475" i="4"/>
  <c r="N474" i="4"/>
  <c r="O514" i="4"/>
  <c r="N21" i="4"/>
  <c r="P21" i="4" s="1"/>
  <c r="N23" i="4"/>
  <c r="O23" i="4"/>
  <c r="P23" i="4" s="1"/>
  <c r="O26" i="4"/>
  <c r="O28" i="4"/>
  <c r="E61" i="4"/>
  <c r="O54" i="4"/>
  <c r="P54" i="4" s="1"/>
  <c r="P82" i="4"/>
  <c r="N88" i="4"/>
  <c r="N89" i="4"/>
  <c r="P114" i="4"/>
  <c r="I123" i="4"/>
  <c r="O118" i="4"/>
  <c r="P118" i="4" s="1"/>
  <c r="O119" i="4"/>
  <c r="N134" i="4"/>
  <c r="D154" i="4"/>
  <c r="H154" i="4"/>
  <c r="L154" i="4"/>
  <c r="D185" i="4"/>
  <c r="H197" i="4"/>
  <c r="D216" i="4"/>
  <c r="N210" i="4"/>
  <c r="N211" i="4"/>
  <c r="N226" i="4"/>
  <c r="O236" i="4"/>
  <c r="P236" i="4" s="1"/>
  <c r="P237" i="4"/>
  <c r="E246" i="4"/>
  <c r="K246" i="4"/>
  <c r="N243" i="4"/>
  <c r="N244" i="4"/>
  <c r="P244" i="4" s="1"/>
  <c r="B258" i="4"/>
  <c r="N256" i="4"/>
  <c r="N274" i="4"/>
  <c r="N275" i="4"/>
  <c r="H289" i="4"/>
  <c r="C308" i="4"/>
  <c r="N301" i="4"/>
  <c r="N302" i="4"/>
  <c r="N305" i="4"/>
  <c r="O330" i="4"/>
  <c r="O332" i="4"/>
  <c r="P332" i="4" s="1"/>
  <c r="O333" i="4"/>
  <c r="P333" i="4" s="1"/>
  <c r="O334" i="4"/>
  <c r="B370" i="4"/>
  <c r="O363" i="4"/>
  <c r="P363" i="4" s="1"/>
  <c r="N366" i="4"/>
  <c r="O397" i="4"/>
  <c r="N428" i="4"/>
  <c r="N429" i="4"/>
  <c r="B463" i="4"/>
  <c r="I494" i="4"/>
  <c r="O489" i="4"/>
  <c r="O490" i="4"/>
  <c r="N505" i="4"/>
  <c r="N517" i="4"/>
  <c r="N518" i="4"/>
  <c r="N519" i="4"/>
  <c r="N521" i="4"/>
  <c r="N522" i="4"/>
  <c r="J12" i="5"/>
  <c r="N20" i="4"/>
  <c r="P20" i="4" s="1"/>
  <c r="E30" i="4"/>
  <c r="N24" i="4"/>
  <c r="N26" i="4"/>
  <c r="P26" i="4" s="1"/>
  <c r="N28" i="4"/>
  <c r="D42" i="4"/>
  <c r="O55" i="4"/>
  <c r="P55" i="4" s="1"/>
  <c r="O58" i="4"/>
  <c r="O59" i="4"/>
  <c r="P59" i="4" s="1"/>
  <c r="G61" i="4"/>
  <c r="O85" i="4"/>
  <c r="P85" i="4" s="1"/>
  <c r="O87" i="4"/>
  <c r="P87" i="4" s="1"/>
  <c r="N119" i="4"/>
  <c r="N120" i="4"/>
  <c r="P145" i="4"/>
  <c r="O149" i="4"/>
  <c r="P149" i="4" s="1"/>
  <c r="O150" i="4"/>
  <c r="O176" i="4"/>
  <c r="I185" i="4"/>
  <c r="O180" i="4"/>
  <c r="P180" i="4" s="1"/>
  <c r="M185" i="4"/>
  <c r="O183" i="4"/>
  <c r="P184" i="4"/>
  <c r="F197" i="4"/>
  <c r="O207" i="4"/>
  <c r="P207" i="4" s="1"/>
  <c r="O208" i="4"/>
  <c r="O211" i="4"/>
  <c r="O212" i="4"/>
  <c r="P212" i="4" s="1"/>
  <c r="N235" i="4"/>
  <c r="P235" i="4" s="1"/>
  <c r="O243" i="4"/>
  <c r="D277" i="4"/>
  <c r="H277" i="4"/>
  <c r="N272" i="4"/>
  <c r="P272" i="4" s="1"/>
  <c r="O274" i="4"/>
  <c r="P274" i="4" s="1"/>
  <c r="O275" i="4"/>
  <c r="N288" i="4"/>
  <c r="O301" i="4"/>
  <c r="O305" i="4"/>
  <c r="O306" i="4"/>
  <c r="D339" i="4"/>
  <c r="N334" i="4"/>
  <c r="N335" i="4"/>
  <c r="O367" i="4"/>
  <c r="J401" i="4"/>
  <c r="N398" i="4"/>
  <c r="P398" i="4" s="1"/>
  <c r="P400" i="4"/>
  <c r="E432" i="4"/>
  <c r="O429" i="4"/>
  <c r="P453" i="4"/>
  <c r="N459" i="4"/>
  <c r="N460" i="4"/>
  <c r="B494" i="4"/>
  <c r="P515" i="4"/>
  <c r="O459" i="4"/>
  <c r="P459" i="4" s="1"/>
  <c r="P462" i="4"/>
  <c r="N485" i="4"/>
  <c r="O518" i="4"/>
  <c r="O522" i="4"/>
  <c r="O523" i="4"/>
  <c r="P523" i="4" s="1"/>
  <c r="R10" i="5"/>
  <c r="K12" i="5"/>
  <c r="O12" i="5"/>
  <c r="C39" i="5"/>
  <c r="I39" i="5"/>
  <c r="M39" i="5"/>
  <c r="Q39" i="5"/>
  <c r="H53" i="5"/>
  <c r="G64" i="5"/>
  <c r="H65" i="5"/>
  <c r="L65" i="5"/>
  <c r="P65" i="5"/>
  <c r="G90" i="5"/>
  <c r="R90" i="5"/>
  <c r="T106" i="5"/>
  <c r="G117" i="5"/>
  <c r="D119" i="5"/>
  <c r="J119" i="5"/>
  <c r="N119" i="5"/>
  <c r="R128" i="5"/>
  <c r="T133" i="5"/>
  <c r="G144" i="5"/>
  <c r="D146" i="5"/>
  <c r="I146" i="5"/>
  <c r="M146" i="5"/>
  <c r="S145" i="5"/>
  <c r="H160" i="5"/>
  <c r="S172" i="5"/>
  <c r="C174" i="5"/>
  <c r="H174" i="5"/>
  <c r="L174" i="5"/>
  <c r="P174" i="5"/>
  <c r="S199" i="5"/>
  <c r="T215" i="5"/>
  <c r="I228" i="5"/>
  <c r="M228" i="5"/>
  <c r="R227" i="5"/>
  <c r="G254" i="5"/>
  <c r="H255" i="5"/>
  <c r="L255" i="5"/>
  <c r="P255" i="5"/>
  <c r="S280" i="5"/>
  <c r="K282" i="5"/>
  <c r="O282" i="5"/>
  <c r="R307" i="5"/>
  <c r="G308" i="5"/>
  <c r="K309" i="5"/>
  <c r="N309" i="5"/>
  <c r="T323" i="5"/>
  <c r="I336" i="5"/>
  <c r="M336" i="5"/>
  <c r="Q336" i="5"/>
  <c r="R345" i="5"/>
  <c r="T377" i="5"/>
  <c r="I390" i="5"/>
  <c r="M390" i="5"/>
  <c r="R389" i="5"/>
  <c r="R416" i="5"/>
  <c r="L417" i="5"/>
  <c r="P417" i="5"/>
  <c r="L18" i="6"/>
  <c r="J48" i="6"/>
  <c r="L43" i="6"/>
  <c r="L47" i="6"/>
  <c r="L94" i="6"/>
  <c r="L115" i="6"/>
  <c r="J145" i="6"/>
  <c r="L140" i="6"/>
  <c r="L144" i="6"/>
  <c r="L189" i="6"/>
  <c r="L211" i="6"/>
  <c r="J242" i="6"/>
  <c r="L237" i="6"/>
  <c r="L241" i="6"/>
  <c r="L288" i="6"/>
  <c r="L309" i="6"/>
  <c r="L335" i="6"/>
  <c r="L336" i="6"/>
  <c r="L361" i="6"/>
  <c r="L385" i="6"/>
  <c r="L411" i="6"/>
  <c r="G10" i="7"/>
  <c r="L16" i="7"/>
  <c r="P16" i="7"/>
  <c r="G13" i="7"/>
  <c r="R47" i="7"/>
  <c r="Q50" i="7"/>
  <c r="Q65" i="7"/>
  <c r="S67" i="7"/>
  <c r="J69" i="7"/>
  <c r="Q84" i="7"/>
  <c r="Q85" i="7"/>
  <c r="Q102" i="7"/>
  <c r="J118" i="7"/>
  <c r="Q119" i="7"/>
  <c r="M124" i="7"/>
  <c r="J123" i="7"/>
  <c r="E141" i="7"/>
  <c r="J137" i="7"/>
  <c r="G138" i="7"/>
  <c r="R138" i="7"/>
  <c r="Q139" i="7"/>
  <c r="K159" i="7"/>
  <c r="P177" i="7"/>
  <c r="L12" i="5"/>
  <c r="P12" i="5"/>
  <c r="J39" i="5"/>
  <c r="N39" i="5"/>
  <c r="S63" i="5"/>
  <c r="I65" i="5"/>
  <c r="M65" i="5"/>
  <c r="Q65" i="5"/>
  <c r="H92" i="5"/>
  <c r="R101" i="5"/>
  <c r="E119" i="5"/>
  <c r="E146" i="5"/>
  <c r="J146" i="5"/>
  <c r="N146" i="5"/>
  <c r="T160" i="5"/>
  <c r="G172" i="5"/>
  <c r="G174" i="5" s="1"/>
  <c r="D174" i="5"/>
  <c r="I174" i="5"/>
  <c r="M174" i="5"/>
  <c r="Q174" i="5"/>
  <c r="H188" i="5"/>
  <c r="G199" i="5"/>
  <c r="G227" i="5"/>
  <c r="J228" i="5"/>
  <c r="N228" i="5"/>
  <c r="T242" i="5"/>
  <c r="I255" i="5"/>
  <c r="M255" i="5"/>
  <c r="S254" i="5"/>
  <c r="H282" i="5"/>
  <c r="L282" i="5"/>
  <c r="P282" i="5"/>
  <c r="J309" i="5"/>
  <c r="O309" i="5"/>
  <c r="G335" i="5"/>
  <c r="J336" i="5"/>
  <c r="N336" i="5"/>
  <c r="J390" i="5"/>
  <c r="N390" i="5"/>
  <c r="T404" i="5"/>
  <c r="I417" i="5"/>
  <c r="M417" i="5"/>
  <c r="Q417" i="5"/>
  <c r="E106" i="7"/>
  <c r="R103" i="7"/>
  <c r="Q105" i="7"/>
  <c r="R122" i="7"/>
  <c r="Q123" i="7"/>
  <c r="R136" i="7"/>
  <c r="Q137" i="7"/>
  <c r="Q138" i="7"/>
  <c r="R139" i="7"/>
  <c r="R140" i="7"/>
  <c r="Q154" i="7"/>
  <c r="R176" i="7"/>
  <c r="Q190" i="7"/>
  <c r="O456" i="4"/>
  <c r="P456" i="4" s="1"/>
  <c r="O460" i="4"/>
  <c r="O461" i="4"/>
  <c r="C494" i="4"/>
  <c r="N490" i="4"/>
  <c r="P490" i="4" s="1"/>
  <c r="N491" i="4"/>
  <c r="N492" i="4"/>
  <c r="B525" i="4"/>
  <c r="P516" i="4"/>
  <c r="O520" i="4"/>
  <c r="P520" i="4" s="1"/>
  <c r="O521" i="4"/>
  <c r="P524" i="4"/>
  <c r="I12" i="5"/>
  <c r="M12" i="5"/>
  <c r="R11" i="5"/>
  <c r="H26" i="5"/>
  <c r="E39" i="5"/>
  <c r="G39" i="5" s="1"/>
  <c r="S37" i="5"/>
  <c r="K39" i="5"/>
  <c r="S38" i="5"/>
  <c r="J65" i="5"/>
  <c r="N65" i="5"/>
  <c r="R74" i="5"/>
  <c r="T79" i="5"/>
  <c r="G91" i="5"/>
  <c r="S117" i="5"/>
  <c r="F119" i="5"/>
  <c r="L119" i="5"/>
  <c r="P119" i="5"/>
  <c r="S144" i="5"/>
  <c r="G145" i="5"/>
  <c r="K146" i="5"/>
  <c r="O146" i="5"/>
  <c r="E174" i="5"/>
  <c r="J174" i="5"/>
  <c r="N174" i="5"/>
  <c r="T188" i="5"/>
  <c r="S200" i="5"/>
  <c r="R226" i="5"/>
  <c r="K228" i="5"/>
  <c r="O228" i="5"/>
  <c r="R237" i="5"/>
  <c r="H242" i="5"/>
  <c r="J255" i="5"/>
  <c r="N255" i="5"/>
  <c r="T269" i="5"/>
  <c r="I282" i="5"/>
  <c r="M282" i="5"/>
  <c r="S281" i="5"/>
  <c r="S282" i="5" s="1"/>
  <c r="H296" i="5"/>
  <c r="R308" i="5"/>
  <c r="I309" i="5"/>
  <c r="P309" i="5"/>
  <c r="K336" i="5"/>
  <c r="O336" i="5"/>
  <c r="F363" i="5"/>
  <c r="G363" i="5" s="1"/>
  <c r="T350" i="5"/>
  <c r="R388" i="5"/>
  <c r="K390" i="5"/>
  <c r="O390" i="5"/>
  <c r="R399" i="5"/>
  <c r="H404" i="5"/>
  <c r="R415" i="5"/>
  <c r="G416" i="5"/>
  <c r="J417" i="5"/>
  <c r="N417" i="5"/>
  <c r="T431" i="5"/>
  <c r="L45" i="6"/>
  <c r="L67" i="6"/>
  <c r="J97" i="6"/>
  <c r="L92" i="6"/>
  <c r="L96" i="6"/>
  <c r="L142" i="6"/>
  <c r="L162" i="6"/>
  <c r="J192" i="6"/>
  <c r="L187" i="6"/>
  <c r="L191" i="6"/>
  <c r="L239" i="6"/>
  <c r="L260" i="6"/>
  <c r="J291" i="6"/>
  <c r="L286" i="6"/>
  <c r="L290" i="6"/>
  <c r="J315" i="6"/>
  <c r="L314" i="6"/>
  <c r="J339" i="6"/>
  <c r="L338" i="6"/>
  <c r="J364" i="6"/>
  <c r="L359" i="6"/>
  <c r="L363" i="6"/>
  <c r="J388" i="6"/>
  <c r="L383" i="6"/>
  <c r="L387" i="6"/>
  <c r="J414" i="6"/>
  <c r="L409" i="6"/>
  <c r="L413" i="6"/>
  <c r="N16" i="7"/>
  <c r="G11" i="7"/>
  <c r="Q13" i="7"/>
  <c r="G46" i="7"/>
  <c r="L52" i="7"/>
  <c r="G48" i="7"/>
  <c r="J50" i="7"/>
  <c r="G51" i="7"/>
  <c r="G66" i="7"/>
  <c r="Q69" i="7"/>
  <c r="J84" i="7"/>
  <c r="G85" i="7"/>
  <c r="J101" i="7"/>
  <c r="F106" i="7"/>
  <c r="J105" i="7"/>
  <c r="H124" i="7"/>
  <c r="E124" i="7"/>
  <c r="L141" i="7"/>
  <c r="J138" i="7"/>
  <c r="G139" i="7"/>
  <c r="H159" i="7"/>
  <c r="M159" i="7"/>
  <c r="J156" i="7"/>
  <c r="N12" i="5"/>
  <c r="T26" i="5"/>
  <c r="H39" i="5"/>
  <c r="L39" i="5"/>
  <c r="P39" i="5"/>
  <c r="K65" i="5"/>
  <c r="S64" i="5"/>
  <c r="C119" i="5"/>
  <c r="H119" i="5"/>
  <c r="S118" i="5"/>
  <c r="S119" i="5" s="1"/>
  <c r="C146" i="5"/>
  <c r="H146" i="5"/>
  <c r="L146" i="5"/>
  <c r="P146" i="5"/>
  <c r="R155" i="5"/>
  <c r="K174" i="5"/>
  <c r="O174" i="5"/>
  <c r="H228" i="5"/>
  <c r="L228" i="5"/>
  <c r="P228" i="5"/>
  <c r="S253" i="5"/>
  <c r="K255" i="5"/>
  <c r="O255" i="5"/>
  <c r="J282" i="5"/>
  <c r="N282" i="5"/>
  <c r="T296" i="5"/>
  <c r="M309" i="5"/>
  <c r="Q309" i="5"/>
  <c r="L336" i="5"/>
  <c r="P336" i="5"/>
  <c r="R362" i="5"/>
  <c r="R363" i="5" s="1"/>
  <c r="H390" i="5"/>
  <c r="L390" i="5"/>
  <c r="P390" i="5"/>
  <c r="K417" i="5"/>
  <c r="O417" i="5"/>
  <c r="R426" i="5"/>
  <c r="H431" i="5"/>
  <c r="I48" i="6"/>
  <c r="L44" i="6"/>
  <c r="L91" i="6"/>
  <c r="L95" i="6"/>
  <c r="I145" i="6"/>
  <c r="L141" i="6"/>
  <c r="L186" i="6"/>
  <c r="L190" i="6"/>
  <c r="I242" i="6"/>
  <c r="L238" i="6"/>
  <c r="L285" i="6"/>
  <c r="L289" i="6"/>
  <c r="L313" i="6"/>
  <c r="K339" i="6"/>
  <c r="L337" i="6"/>
  <c r="L358" i="6"/>
  <c r="L362" i="6"/>
  <c r="L382" i="6"/>
  <c r="L386" i="6"/>
  <c r="L408" i="6"/>
  <c r="L412" i="6"/>
  <c r="R12" i="7"/>
  <c r="R51" i="7"/>
  <c r="R66" i="7"/>
  <c r="S66" i="7" s="1"/>
  <c r="R68" i="7"/>
  <c r="R85" i="7"/>
  <c r="R120" i="7"/>
  <c r="H141" i="7"/>
  <c r="Q156" i="7"/>
  <c r="Q171" i="7"/>
  <c r="R157" i="7"/>
  <c r="S157" i="7" s="1"/>
  <c r="L177" i="7"/>
  <c r="J172" i="7"/>
  <c r="M195" i="7"/>
  <c r="R191" i="7"/>
  <c r="G193" i="7"/>
  <c r="J194" i="7"/>
  <c r="H213" i="7"/>
  <c r="Q209" i="7"/>
  <c r="R210" i="7"/>
  <c r="G212" i="7"/>
  <c r="F231" i="7"/>
  <c r="G227" i="7"/>
  <c r="J228" i="7"/>
  <c r="Q230" i="7"/>
  <c r="L249" i="7"/>
  <c r="P249" i="7"/>
  <c r="G245" i="7"/>
  <c r="Q248" i="7"/>
  <c r="M267" i="7"/>
  <c r="Q263" i="7"/>
  <c r="J264" i="7"/>
  <c r="Q264" i="7"/>
  <c r="G265" i="7"/>
  <c r="N285" i="7"/>
  <c r="R280" i="7"/>
  <c r="J282" i="7"/>
  <c r="G283" i="7"/>
  <c r="R283" i="7"/>
  <c r="J284" i="7"/>
  <c r="F303" i="7"/>
  <c r="G303" i="7" s="1"/>
  <c r="K303" i="7"/>
  <c r="O303" i="7"/>
  <c r="J298" i="7"/>
  <c r="G299" i="7"/>
  <c r="Q302" i="7"/>
  <c r="W22" i="8"/>
  <c r="W23" i="8"/>
  <c r="F24" i="8"/>
  <c r="J24" i="8"/>
  <c r="N24" i="8"/>
  <c r="R24" i="8"/>
  <c r="D37" i="8"/>
  <c r="H37" i="8"/>
  <c r="L37" i="8"/>
  <c r="P37" i="8"/>
  <c r="V37" i="8"/>
  <c r="F50" i="8"/>
  <c r="J50" i="8"/>
  <c r="N50" i="8"/>
  <c r="R50" i="8"/>
  <c r="F62" i="8"/>
  <c r="L62" i="8"/>
  <c r="D74" i="8"/>
  <c r="H74" i="8"/>
  <c r="L74" i="8"/>
  <c r="P74" i="8"/>
  <c r="U74" i="8"/>
  <c r="D86" i="8"/>
  <c r="I86" i="8"/>
  <c r="G85" i="9"/>
  <c r="G181" i="9"/>
  <c r="N377" i="9"/>
  <c r="R193" i="7"/>
  <c r="R208" i="7"/>
  <c r="R230" i="7"/>
  <c r="R245" i="7"/>
  <c r="Q247" i="7"/>
  <c r="R248" i="7"/>
  <c r="R261" i="7"/>
  <c r="Q262" i="7"/>
  <c r="S262" i="7" s="1"/>
  <c r="R263" i="7"/>
  <c r="Q282" i="7"/>
  <c r="S282" i="7" s="1"/>
  <c r="R299" i="7"/>
  <c r="S299" i="7" s="1"/>
  <c r="R302" i="7"/>
  <c r="C24" i="8"/>
  <c r="G24" i="8"/>
  <c r="E74" i="8"/>
  <c r="I74" i="8"/>
  <c r="M74" i="8"/>
  <c r="Q74" i="8"/>
  <c r="V74" i="8"/>
  <c r="J157" i="7"/>
  <c r="G172" i="7"/>
  <c r="R172" i="7"/>
  <c r="Q176" i="7"/>
  <c r="O195" i="7"/>
  <c r="R190" i="7"/>
  <c r="J191" i="7"/>
  <c r="G192" i="7"/>
  <c r="Q192" i="7"/>
  <c r="S192" i="7" s="1"/>
  <c r="Q193" i="7"/>
  <c r="Q194" i="7"/>
  <c r="S194" i="7" s="1"/>
  <c r="J209" i="7"/>
  <c r="J210" i="7"/>
  <c r="G211" i="7"/>
  <c r="Q226" i="7"/>
  <c r="S226" i="7" s="1"/>
  <c r="Q227" i="7"/>
  <c r="Q228" i="7"/>
  <c r="J230" i="7"/>
  <c r="E249" i="7"/>
  <c r="G249" i="7" s="1"/>
  <c r="J243" i="7"/>
  <c r="N249" i="7"/>
  <c r="Q244" i="7"/>
  <c r="J245" i="7"/>
  <c r="Q245" i="7"/>
  <c r="G246" i="7"/>
  <c r="E267" i="7"/>
  <c r="G267" i="7" s="1"/>
  <c r="K267" i="7"/>
  <c r="O267" i="7"/>
  <c r="G264" i="7"/>
  <c r="F285" i="7"/>
  <c r="L285" i="7"/>
  <c r="P285" i="7"/>
  <c r="J280" i="7"/>
  <c r="Q281" i="7"/>
  <c r="R284" i="7"/>
  <c r="S284" i="7" s="1"/>
  <c r="M303" i="7"/>
  <c r="Q298" i="7"/>
  <c r="G300" i="7"/>
  <c r="S300" i="7"/>
  <c r="Q301" i="7"/>
  <c r="S301" i="7" s="1"/>
  <c r="J302" i="7"/>
  <c r="D24" i="8"/>
  <c r="H24" i="8"/>
  <c r="B37" i="8"/>
  <c r="F37" i="8"/>
  <c r="J37" i="8"/>
  <c r="N37" i="8"/>
  <c r="R37" i="8"/>
  <c r="W48" i="8"/>
  <c r="W50" i="8" s="1"/>
  <c r="C50" i="8"/>
  <c r="H50" i="8"/>
  <c r="L50" i="8"/>
  <c r="P50" i="8"/>
  <c r="U50" i="8"/>
  <c r="W60" i="8"/>
  <c r="C62" i="8"/>
  <c r="J62" i="8"/>
  <c r="U62" i="8"/>
  <c r="W72" i="8"/>
  <c r="B74" i="8"/>
  <c r="F74" i="8"/>
  <c r="J74" i="8"/>
  <c r="N74" i="8"/>
  <c r="R74" i="8"/>
  <c r="G86" i="8"/>
  <c r="K86" i="8"/>
  <c r="Q86" i="8"/>
  <c r="N159" i="9"/>
  <c r="N281" i="9"/>
  <c r="Q210" i="7"/>
  <c r="R211" i="7"/>
  <c r="S211" i="7" s="1"/>
  <c r="R212" i="7"/>
  <c r="R227" i="7"/>
  <c r="R229" i="7"/>
  <c r="S229" i="7" s="1"/>
  <c r="R244" i="7"/>
  <c r="R264" i="7"/>
  <c r="S264" i="7" s="1"/>
  <c r="R265" i="7"/>
  <c r="S265" i="7" s="1"/>
  <c r="Q266" i="7"/>
  <c r="S266" i="7" s="1"/>
  <c r="Q283" i="7"/>
  <c r="R298" i="7"/>
  <c r="C74" i="8"/>
  <c r="G74" i="8"/>
  <c r="K74" i="8"/>
  <c r="O74" i="8"/>
  <c r="S74" i="8"/>
  <c r="G53" i="9"/>
  <c r="N122" i="9"/>
  <c r="N127" i="9"/>
  <c r="G212" i="9"/>
  <c r="N254" i="9"/>
  <c r="G372" i="9"/>
  <c r="N414" i="9"/>
  <c r="N505" i="9"/>
  <c r="N90" i="9"/>
  <c r="G149" i="9"/>
  <c r="N191" i="9"/>
  <c r="N318" i="9"/>
  <c r="N510" i="9"/>
  <c r="F53" i="9"/>
  <c r="F85" i="9"/>
  <c r="F117" i="9"/>
  <c r="F149" i="9"/>
  <c r="F181" i="9"/>
  <c r="F212" i="9"/>
  <c r="F244" i="9"/>
  <c r="G244" i="9" s="1"/>
  <c r="F276" i="9"/>
  <c r="G276" i="9" s="1"/>
  <c r="F308" i="9"/>
  <c r="G308" i="9" s="1"/>
  <c r="W97" i="8"/>
  <c r="K24" i="8"/>
  <c r="O24" i="8"/>
  <c r="S24" i="8"/>
  <c r="B24" i="8"/>
  <c r="L24" i="8"/>
  <c r="P24" i="8"/>
  <c r="U24" i="8"/>
  <c r="W146" i="8"/>
  <c r="W198" i="8"/>
  <c r="I24" i="8"/>
  <c r="M24" i="8"/>
  <c r="Q24" i="8"/>
  <c r="V24" i="8"/>
  <c r="B50" i="8"/>
  <c r="B86" i="8"/>
  <c r="B97" i="8"/>
  <c r="W35" i="8"/>
  <c r="W37" i="8" s="1"/>
  <c r="W61" i="8"/>
  <c r="W73" i="8"/>
  <c r="W108" i="8"/>
  <c r="W109" i="8" s="1"/>
  <c r="C159" i="8"/>
  <c r="C172" i="8"/>
  <c r="W184" i="8"/>
  <c r="W185" i="8" s="1"/>
  <c r="D121" i="8"/>
  <c r="W132" i="8"/>
  <c r="W133" i="8" s="1"/>
  <c r="D146" i="8"/>
  <c r="D198" i="8"/>
  <c r="B211" i="8"/>
  <c r="S11" i="7"/>
  <c r="I16" i="7"/>
  <c r="M16" i="7"/>
  <c r="Q10" i="7"/>
  <c r="K16" i="7"/>
  <c r="O16" i="7"/>
  <c r="P52" i="7"/>
  <c r="R46" i="7"/>
  <c r="I52" i="7"/>
  <c r="J47" i="7"/>
  <c r="E70" i="7"/>
  <c r="J88" i="7"/>
  <c r="Q104" i="7"/>
  <c r="Q120" i="7"/>
  <c r="S121" i="7"/>
  <c r="R137" i="7"/>
  <c r="S137" i="7" s="1"/>
  <c r="P141" i="7"/>
  <c r="N177" i="7"/>
  <c r="R173" i="7"/>
  <c r="S173" i="7" s="1"/>
  <c r="E16" i="7"/>
  <c r="J10" i="7"/>
  <c r="J16" i="7" s="1"/>
  <c r="R10" i="7"/>
  <c r="R13" i="7"/>
  <c r="S13" i="7" s="1"/>
  <c r="G14" i="7"/>
  <c r="F16" i="7"/>
  <c r="H52" i="7"/>
  <c r="J46" i="7"/>
  <c r="E52" i="7"/>
  <c r="G47" i="7"/>
  <c r="Q49" i="7"/>
  <c r="S49" i="7" s="1"/>
  <c r="R50" i="7"/>
  <c r="F52" i="7"/>
  <c r="G52" i="7" s="1"/>
  <c r="I70" i="7"/>
  <c r="F88" i="7"/>
  <c r="G82" i="7"/>
  <c r="O88" i="7"/>
  <c r="Q83" i="7"/>
  <c r="S83" i="7" s="1"/>
  <c r="R84" i="7"/>
  <c r="S84" i="7" s="1"/>
  <c r="H106" i="7"/>
  <c r="J100" i="7"/>
  <c r="G106" i="7"/>
  <c r="O124" i="7"/>
  <c r="Q118" i="7"/>
  <c r="I141" i="7"/>
  <c r="S135" i="7"/>
  <c r="R171" i="7"/>
  <c r="F70" i="7"/>
  <c r="K70" i="7"/>
  <c r="O70" i="7"/>
  <c r="Q64" i="7"/>
  <c r="L70" i="7"/>
  <c r="P70" i="7"/>
  <c r="R65" i="7"/>
  <c r="S65" i="7" s="1"/>
  <c r="H177" i="7"/>
  <c r="Q12" i="7"/>
  <c r="S12" i="7" s="1"/>
  <c r="S14" i="7"/>
  <c r="Q47" i="7"/>
  <c r="S48" i="7"/>
  <c r="S51" i="7"/>
  <c r="H70" i="7"/>
  <c r="J65" i="7"/>
  <c r="Q68" i="7"/>
  <c r="R69" i="7"/>
  <c r="S69" i="7" s="1"/>
  <c r="S85" i="7"/>
  <c r="S87" i="7"/>
  <c r="S102" i="7"/>
  <c r="R105" i="7"/>
  <c r="S105" i="7" s="1"/>
  <c r="R123" i="7"/>
  <c r="E159" i="7"/>
  <c r="G159" i="7" s="1"/>
  <c r="G153" i="7"/>
  <c r="R209" i="7"/>
  <c r="S209" i="7" s="1"/>
  <c r="Q46" i="7"/>
  <c r="N70" i="7"/>
  <c r="G87" i="7"/>
  <c r="G102" i="7"/>
  <c r="R104" i="7"/>
  <c r="L124" i="7"/>
  <c r="P124" i="7"/>
  <c r="R119" i="7"/>
  <c r="N141" i="7"/>
  <c r="L159" i="7"/>
  <c r="P159" i="7"/>
  <c r="Q155" i="7"/>
  <c r="S155" i="7" s="1"/>
  <c r="F177" i="7"/>
  <c r="G173" i="7"/>
  <c r="E195" i="7"/>
  <c r="L213" i="7"/>
  <c r="P213" i="7"/>
  <c r="F213" i="7"/>
  <c r="H88" i="7"/>
  <c r="L88" i="7"/>
  <c r="P88" i="7"/>
  <c r="R86" i="7"/>
  <c r="S86" i="7" s="1"/>
  <c r="K106" i="7"/>
  <c r="O106" i="7"/>
  <c r="Q100" i="7"/>
  <c r="R101" i="7"/>
  <c r="S101" i="7" s="1"/>
  <c r="F141" i="7"/>
  <c r="G135" i="7"/>
  <c r="S138" i="7"/>
  <c r="Q140" i="7"/>
  <c r="S140" i="7" s="1"/>
  <c r="Q153" i="7"/>
  <c r="S154" i="7"/>
  <c r="R156" i="7"/>
  <c r="S156" i="7" s="1"/>
  <c r="S172" i="7"/>
  <c r="Q174" i="7"/>
  <c r="S174" i="7" s="1"/>
  <c r="S207" i="7"/>
  <c r="E88" i="7"/>
  <c r="I88" i="7"/>
  <c r="M88" i="7"/>
  <c r="Q82" i="7"/>
  <c r="L106" i="7"/>
  <c r="P106" i="7"/>
  <c r="R100" i="7"/>
  <c r="G103" i="7"/>
  <c r="Q103" i="7"/>
  <c r="S103" i="7" s="1"/>
  <c r="F124" i="7"/>
  <c r="R118" i="7"/>
  <c r="N124" i="7"/>
  <c r="J119" i="7"/>
  <c r="J124" i="7" s="1"/>
  <c r="G120" i="7"/>
  <c r="Q122" i="7"/>
  <c r="S122" i="7" s="1"/>
  <c r="K141" i="7"/>
  <c r="O141" i="7"/>
  <c r="Q136" i="7"/>
  <c r="I159" i="7"/>
  <c r="J153" i="7"/>
  <c r="J159" i="7" s="1"/>
  <c r="G154" i="7"/>
  <c r="N159" i="7"/>
  <c r="R175" i="7"/>
  <c r="Q191" i="7"/>
  <c r="S208" i="7"/>
  <c r="Q212" i="7"/>
  <c r="O231" i="7"/>
  <c r="Q225" i="7"/>
  <c r="M141" i="7"/>
  <c r="R153" i="7"/>
  <c r="E177" i="7"/>
  <c r="I177" i="7"/>
  <c r="M177" i="7"/>
  <c r="H195" i="7"/>
  <c r="Q189" i="7"/>
  <c r="E213" i="7"/>
  <c r="J207" i="7"/>
  <c r="J213" i="7" s="1"/>
  <c r="L231" i="7"/>
  <c r="P231" i="7"/>
  <c r="S244" i="7"/>
  <c r="J171" i="7"/>
  <c r="J177" i="7" s="1"/>
  <c r="N195" i="7"/>
  <c r="K213" i="7"/>
  <c r="O213" i="7"/>
  <c r="H231" i="7"/>
  <c r="M231" i="7"/>
  <c r="G230" i="7"/>
  <c r="S247" i="7"/>
  <c r="S280" i="7"/>
  <c r="K177" i="7"/>
  <c r="O177" i="7"/>
  <c r="Q175" i="7"/>
  <c r="F195" i="7"/>
  <c r="I195" i="7"/>
  <c r="E231" i="7"/>
  <c r="I231" i="7"/>
  <c r="J225" i="7"/>
  <c r="N231" i="7"/>
  <c r="G285" i="7"/>
  <c r="S281" i="7"/>
  <c r="M213" i="7"/>
  <c r="R225" i="7"/>
  <c r="Q243" i="7"/>
  <c r="N267" i="7"/>
  <c r="G279" i="7"/>
  <c r="J297" i="7"/>
  <c r="R297" i="7"/>
  <c r="R243" i="7"/>
  <c r="Q261" i="7"/>
  <c r="R189" i="7"/>
  <c r="G243" i="7"/>
  <c r="J261" i="7"/>
  <c r="Q279" i="7"/>
  <c r="Q285" i="7" s="1"/>
  <c r="G261" i="7"/>
  <c r="J279" i="7"/>
  <c r="J285" i="7" s="1"/>
  <c r="R279" i="7"/>
  <c r="Q297" i="7"/>
  <c r="Q303" i="7" s="1"/>
  <c r="K48" i="6"/>
  <c r="K97" i="6"/>
  <c r="L97" i="6" s="1"/>
  <c r="K145" i="6"/>
  <c r="L145" i="6" s="1"/>
  <c r="K192" i="6"/>
  <c r="K242" i="6"/>
  <c r="L242" i="6" s="1"/>
  <c r="K291" i="6"/>
  <c r="L291" i="6" s="1"/>
  <c r="K388" i="6"/>
  <c r="L388" i="6" s="1"/>
  <c r="L333" i="6"/>
  <c r="K364" i="6"/>
  <c r="K414" i="6"/>
  <c r="S65" i="5"/>
  <c r="G12" i="5"/>
  <c r="S39" i="5"/>
  <c r="M92" i="5"/>
  <c r="Q92" i="5"/>
  <c r="R228" i="5"/>
  <c r="G255" i="5"/>
  <c r="Q12" i="5"/>
  <c r="J92" i="5"/>
  <c r="N92" i="5"/>
  <c r="R91" i="5"/>
  <c r="S255" i="5"/>
  <c r="G282" i="5"/>
  <c r="G10" i="5"/>
  <c r="O39" i="5"/>
  <c r="G63" i="5"/>
  <c r="O65" i="5"/>
  <c r="L92" i="5"/>
  <c r="P92" i="5"/>
  <c r="D92" i="5"/>
  <c r="G92" i="5" s="1"/>
  <c r="K92" i="5"/>
  <c r="O92" i="5"/>
  <c r="G309" i="5"/>
  <c r="G118" i="5"/>
  <c r="G119" i="5" s="1"/>
  <c r="G226" i="5"/>
  <c r="G253" i="5"/>
  <c r="G280" i="5"/>
  <c r="G307" i="5"/>
  <c r="G334" i="5"/>
  <c r="G362" i="5"/>
  <c r="G388" i="5"/>
  <c r="G415" i="5"/>
  <c r="Q119" i="5"/>
  <c r="Q146" i="5"/>
  <c r="E201" i="5"/>
  <c r="Q201" i="5"/>
  <c r="H309" i="5"/>
  <c r="L309" i="5"/>
  <c r="H336" i="5"/>
  <c r="H417" i="5"/>
  <c r="F146" i="5"/>
  <c r="S173" i="5"/>
  <c r="S174" i="5" s="1"/>
  <c r="F174" i="5"/>
  <c r="Q228" i="5"/>
  <c r="Q255" i="5"/>
  <c r="Q282" i="5"/>
  <c r="M363" i="5"/>
  <c r="Q390" i="5"/>
  <c r="C30" i="4"/>
  <c r="O57" i="4"/>
  <c r="P57" i="4" s="1"/>
  <c r="O19" i="4"/>
  <c r="N22" i="4"/>
  <c r="N30" i="4" s="1"/>
  <c r="K30" i="4"/>
  <c r="M30" i="4"/>
  <c r="B42" i="4"/>
  <c r="J42" i="4"/>
  <c r="B61" i="4"/>
  <c r="O51" i="4"/>
  <c r="H61" i="4"/>
  <c r="J61" i="4"/>
  <c r="N72" i="4"/>
  <c r="O81" i="4"/>
  <c r="E92" i="4"/>
  <c r="N84" i="4"/>
  <c r="K92" i="4"/>
  <c r="M92" i="4"/>
  <c r="L92" i="4"/>
  <c r="P147" i="4"/>
  <c r="P152" i="4"/>
  <c r="N166" i="4"/>
  <c r="N185" i="4"/>
  <c r="P175" i="4"/>
  <c r="P182" i="4"/>
  <c r="P209" i="4"/>
  <c r="P210" i="4"/>
  <c r="P213" i="4"/>
  <c r="P273" i="4"/>
  <c r="N9" i="4"/>
  <c r="F61" i="4"/>
  <c r="N10" i="4"/>
  <c r="N40" i="4"/>
  <c r="B92" i="4"/>
  <c r="N90" i="4"/>
  <c r="P91" i="4"/>
  <c r="P119" i="4"/>
  <c r="P174" i="4"/>
  <c r="N61" i="4"/>
  <c r="N71" i="4"/>
  <c r="G30" i="4"/>
  <c r="D61" i="4"/>
  <c r="H73" i="4"/>
  <c r="N73" i="4" s="1"/>
  <c r="P116" i="4"/>
  <c r="N135" i="4"/>
  <c r="P205" i="4"/>
  <c r="O84" i="4"/>
  <c r="O86" i="4"/>
  <c r="P86" i="4" s="1"/>
  <c r="N102" i="4"/>
  <c r="D123" i="4"/>
  <c r="M154" i="4"/>
  <c r="B185" i="4"/>
  <c r="C216" i="4"/>
  <c r="N225" i="4"/>
  <c r="F246" i="4"/>
  <c r="D246" i="4"/>
  <c r="L246" i="4"/>
  <c r="O242" i="4"/>
  <c r="P242" i="4" s="1"/>
  <c r="G246" i="4"/>
  <c r="H258" i="4"/>
  <c r="J258" i="4"/>
  <c r="O266" i="4"/>
  <c r="E277" i="4"/>
  <c r="K277" i="4"/>
  <c r="M277" i="4"/>
  <c r="B277" i="4"/>
  <c r="B308" i="4"/>
  <c r="E308" i="4"/>
  <c r="O302" i="4"/>
  <c r="P307" i="4"/>
  <c r="P365" i="4"/>
  <c r="M123" i="4"/>
  <c r="N148" i="4"/>
  <c r="O177" i="4"/>
  <c r="P177" i="4" s="1"/>
  <c r="O179" i="4"/>
  <c r="O181" i="4"/>
  <c r="P181" i="4" s="1"/>
  <c r="N195" i="4"/>
  <c r="N257" i="4"/>
  <c r="N271" i="4"/>
  <c r="L277" i="4"/>
  <c r="N287" i="4"/>
  <c r="D308" i="4"/>
  <c r="O22" i="4"/>
  <c r="O24" i="4"/>
  <c r="P24" i="4" s="1"/>
  <c r="P143" i="4"/>
  <c r="O146" i="4"/>
  <c r="P146" i="4" s="1"/>
  <c r="O148" i="4"/>
  <c r="N164" i="4"/>
  <c r="K216" i="4"/>
  <c r="E216" i="4"/>
  <c r="I216" i="4"/>
  <c r="L227" i="4"/>
  <c r="N241" i="4"/>
  <c r="P241" i="4" s="1"/>
  <c r="D258" i="4"/>
  <c r="L258" i="4"/>
  <c r="O270" i="4"/>
  <c r="P270" i="4" s="1"/>
  <c r="F289" i="4"/>
  <c r="N297" i="4"/>
  <c r="P297" i="4" s="1"/>
  <c r="O298" i="4"/>
  <c r="P298" i="4" s="1"/>
  <c r="G308" i="4"/>
  <c r="H308" i="4"/>
  <c r="J308" i="4"/>
  <c r="P306" i="4"/>
  <c r="N320" i="4"/>
  <c r="P328" i="4"/>
  <c r="P367" i="4"/>
  <c r="P391" i="4"/>
  <c r="O113" i="4"/>
  <c r="O115" i="4"/>
  <c r="P115" i="4" s="1"/>
  <c r="O117" i="4"/>
  <c r="P117" i="4" s="1"/>
  <c r="N133" i="4"/>
  <c r="N206" i="4"/>
  <c r="P206" i="4" s="1"/>
  <c r="N208" i="4"/>
  <c r="P208" i="4" s="1"/>
  <c r="B227" i="4"/>
  <c r="J227" i="4"/>
  <c r="P240" i="4"/>
  <c r="P276" i="4"/>
  <c r="L289" i="4"/>
  <c r="P300" i="4"/>
  <c r="N303" i="4"/>
  <c r="P303" i="4" s="1"/>
  <c r="C339" i="4"/>
  <c r="F370" i="4"/>
  <c r="D382" i="4"/>
  <c r="L382" i="4"/>
  <c r="O392" i="4"/>
  <c r="I401" i="4"/>
  <c r="O396" i="4"/>
  <c r="P396" i="4" s="1"/>
  <c r="L413" i="4"/>
  <c r="N411" i="4"/>
  <c r="P421" i="4"/>
  <c r="P425" i="4"/>
  <c r="P431" i="4"/>
  <c r="P487" i="4"/>
  <c r="P491" i="4"/>
  <c r="P492" i="4"/>
  <c r="O304" i="4"/>
  <c r="P304" i="4" s="1"/>
  <c r="N318" i="4"/>
  <c r="M370" i="4"/>
  <c r="N380" i="4"/>
  <c r="N397" i="4"/>
  <c r="N401" i="4" s="1"/>
  <c r="F401" i="4"/>
  <c r="N412" i="4"/>
  <c r="N238" i="4"/>
  <c r="O269" i="4"/>
  <c r="P269" i="4" s="1"/>
  <c r="O271" i="4"/>
  <c r="G339" i="4"/>
  <c r="K339" i="4"/>
  <c r="E339" i="4"/>
  <c r="N349" i="4"/>
  <c r="O362" i="4"/>
  <c r="D370" i="4"/>
  <c r="L370" i="4"/>
  <c r="H382" i="4"/>
  <c r="G401" i="4"/>
  <c r="P423" i="4"/>
  <c r="P429" i="4"/>
  <c r="P430" i="4"/>
  <c r="N444" i="4"/>
  <c r="P489" i="4"/>
  <c r="P493" i="4"/>
  <c r="N329" i="4"/>
  <c r="N331" i="4"/>
  <c r="P331" i="4" s="1"/>
  <c r="F351" i="4"/>
  <c r="N359" i="4"/>
  <c r="P368" i="4"/>
  <c r="N381" i="4"/>
  <c r="O390" i="4"/>
  <c r="N475" i="4"/>
  <c r="N424" i="4"/>
  <c r="B432" i="4"/>
  <c r="P452" i="4"/>
  <c r="O455" i="4"/>
  <c r="O457" i="4"/>
  <c r="P457" i="4" s="1"/>
  <c r="N473" i="4"/>
  <c r="D494" i="4"/>
  <c r="M525" i="4"/>
  <c r="O422" i="4"/>
  <c r="P422" i="4" s="1"/>
  <c r="O424" i="4"/>
  <c r="O426" i="4"/>
  <c r="P426" i="4" s="1"/>
  <c r="N427" i="4"/>
  <c r="P427" i="4" s="1"/>
  <c r="O428" i="4"/>
  <c r="P428" i="4" s="1"/>
  <c r="N442" i="4"/>
  <c r="O458" i="4"/>
  <c r="P458" i="4" s="1"/>
  <c r="M494" i="4"/>
  <c r="N362" i="4"/>
  <c r="O393" i="4"/>
  <c r="P393" i="4" s="1"/>
  <c r="O395" i="4"/>
  <c r="P395" i="4" s="1"/>
  <c r="P514" i="4"/>
  <c r="O517" i="4"/>
  <c r="P517" i="4" s="1"/>
  <c r="O519" i="4"/>
  <c r="P519" i="4" s="1"/>
  <c r="O484" i="4"/>
  <c r="O486" i="4"/>
  <c r="P486" i="4" s="1"/>
  <c r="O488" i="4"/>
  <c r="P488" i="4" s="1"/>
  <c r="N504" i="4"/>
  <c r="P522" i="4" l="1"/>
  <c r="P176" i="4"/>
  <c r="P214" i="4"/>
  <c r="S210" i="7"/>
  <c r="P150" i="4"/>
  <c r="N222" i="9"/>
  <c r="S302" i="7"/>
  <c r="W74" i="8"/>
  <c r="N382" i="9"/>
  <c r="G417" i="5"/>
  <c r="Q267" i="7"/>
  <c r="S68" i="7"/>
  <c r="J195" i="7"/>
  <c r="P28" i="4"/>
  <c r="N104" i="4"/>
  <c r="S298" i="7"/>
  <c r="S139" i="7"/>
  <c r="N473" i="9"/>
  <c r="N441" i="9"/>
  <c r="G468" i="9"/>
  <c r="N42" i="4"/>
  <c r="O339" i="4"/>
  <c r="P271" i="4"/>
  <c r="J52" i="7"/>
  <c r="S248" i="7"/>
  <c r="W24" i="8"/>
  <c r="L339" i="6"/>
  <c r="R141" i="7"/>
  <c r="R390" i="5"/>
  <c r="N494" i="4"/>
  <c r="L121" i="6"/>
  <c r="L414" i="6"/>
  <c r="L315" i="6"/>
  <c r="L266" i="6"/>
  <c r="L73" i="6"/>
  <c r="P485" i="4"/>
  <c r="S245" i="7"/>
  <c r="P305" i="4"/>
  <c r="N123" i="4"/>
  <c r="N249" i="9"/>
  <c r="N409" i="9"/>
  <c r="N313" i="9"/>
  <c r="N186" i="9"/>
  <c r="R336" i="5"/>
  <c r="N92" i="4"/>
  <c r="R267" i="7"/>
  <c r="S230" i="7"/>
  <c r="J141" i="7"/>
  <c r="S146" i="5"/>
  <c r="N95" i="9"/>
  <c r="G65" i="5"/>
  <c r="N506" i="4"/>
  <c r="P394" i="4"/>
  <c r="N197" i="4"/>
  <c r="P90" i="4"/>
  <c r="N246" i="4"/>
  <c r="P392" i="4"/>
  <c r="P238" i="4"/>
  <c r="J267" i="7"/>
  <c r="S158" i="7"/>
  <c r="N154" i="4"/>
  <c r="G201" i="5"/>
  <c r="R92" i="5"/>
  <c r="Q231" i="7"/>
  <c r="Q88" i="7"/>
  <c r="R213" i="7"/>
  <c r="P455" i="4"/>
  <c r="O370" i="4"/>
  <c r="N413" i="4"/>
  <c r="P148" i="4"/>
  <c r="P302" i="4"/>
  <c r="N11" i="4"/>
  <c r="L364" i="6"/>
  <c r="L48" i="6"/>
  <c r="Q249" i="7"/>
  <c r="Q195" i="7"/>
  <c r="S104" i="7"/>
  <c r="Q52" i="7"/>
  <c r="J70" i="7"/>
  <c r="S47" i="7"/>
  <c r="J106" i="7"/>
  <c r="S120" i="7"/>
  <c r="W62" i="8"/>
  <c r="S193" i="7"/>
  <c r="S190" i="7"/>
  <c r="R309" i="5"/>
  <c r="G146" i="5"/>
  <c r="R12" i="5"/>
  <c r="P521" i="4"/>
  <c r="P461" i="4"/>
  <c r="P211" i="4"/>
  <c r="P216" i="4" s="1"/>
  <c r="P88" i="4"/>
  <c r="P53" i="4"/>
  <c r="L217" i="6"/>
  <c r="L24" i="6"/>
  <c r="N289" i="4"/>
  <c r="J231" i="7"/>
  <c r="S191" i="7"/>
  <c r="N351" i="4"/>
  <c r="N277" i="4"/>
  <c r="P179" i="4"/>
  <c r="O216" i="4"/>
  <c r="L192" i="6"/>
  <c r="J303" i="7"/>
  <c r="G231" i="7"/>
  <c r="S136" i="7"/>
  <c r="G124" i="7"/>
  <c r="G141" i="7"/>
  <c r="S119" i="7"/>
  <c r="S123" i="7"/>
  <c r="Q124" i="7"/>
  <c r="S50" i="7"/>
  <c r="W159" i="8"/>
  <c r="S283" i="7"/>
  <c r="S228" i="7"/>
  <c r="S263" i="7"/>
  <c r="S201" i="5"/>
  <c r="P183" i="4"/>
  <c r="N525" i="4"/>
  <c r="P330" i="4"/>
  <c r="N463" i="4"/>
  <c r="N432" i="4"/>
  <c r="P154" i="4"/>
  <c r="P397" i="4"/>
  <c r="Q213" i="7"/>
  <c r="Q159" i="7"/>
  <c r="G88" i="7"/>
  <c r="G16" i="7"/>
  <c r="J249" i="7"/>
  <c r="S227" i="7"/>
  <c r="S176" i="7"/>
  <c r="R417" i="5"/>
  <c r="P518" i="4"/>
  <c r="P525" i="4" s="1"/>
  <c r="P301" i="4"/>
  <c r="P89" i="4"/>
  <c r="P121" i="4"/>
  <c r="O154" i="4"/>
  <c r="S212" i="7"/>
  <c r="S213" i="7" s="1"/>
  <c r="P460" i="4"/>
  <c r="P334" i="4"/>
  <c r="P366" i="4"/>
  <c r="P120" i="4"/>
  <c r="P58" i="4"/>
  <c r="P246" i="4"/>
  <c r="P275" i="4"/>
  <c r="P336" i="4"/>
  <c r="P243" i="4"/>
  <c r="P335" i="4"/>
  <c r="R106" i="7"/>
  <c r="S100" i="7"/>
  <c r="S106" i="7" s="1"/>
  <c r="R303" i="7"/>
  <c r="S297" i="7"/>
  <c r="S303" i="7" s="1"/>
  <c r="G195" i="7"/>
  <c r="R159" i="7"/>
  <c r="S153" i="7"/>
  <c r="S175" i="7"/>
  <c r="Q106" i="7"/>
  <c r="G177" i="7"/>
  <c r="S82" i="7"/>
  <c r="S88" i="7" s="1"/>
  <c r="S171" i="7"/>
  <c r="R177" i="7"/>
  <c r="Q141" i="7"/>
  <c r="Q16" i="7"/>
  <c r="R285" i="7"/>
  <c r="S279" i="7"/>
  <c r="R249" i="7"/>
  <c r="S243" i="7"/>
  <c r="G213" i="7"/>
  <c r="R195" i="7"/>
  <c r="S189" i="7"/>
  <c r="R231" i="7"/>
  <c r="S225" i="7"/>
  <c r="S231" i="7" s="1"/>
  <c r="S261" i="7"/>
  <c r="Q177" i="7"/>
  <c r="R88" i="7"/>
  <c r="G70" i="7"/>
  <c r="R70" i="7"/>
  <c r="R124" i="7"/>
  <c r="S118" i="7"/>
  <c r="S124" i="7" s="1"/>
  <c r="Q70" i="7"/>
  <c r="S64" i="7"/>
  <c r="S70" i="7" s="1"/>
  <c r="S10" i="7"/>
  <c r="S16" i="7" s="1"/>
  <c r="R16" i="7"/>
  <c r="S46" i="7"/>
  <c r="R52" i="7"/>
  <c r="O494" i="4"/>
  <c r="P484" i="4"/>
  <c r="P494" i="4" s="1"/>
  <c r="O432" i="4"/>
  <c r="N370" i="4"/>
  <c r="O525" i="4"/>
  <c r="P359" i="4"/>
  <c r="O123" i="4"/>
  <c r="P113" i="4"/>
  <c r="N258" i="4"/>
  <c r="O246" i="4"/>
  <c r="O30" i="4"/>
  <c r="P19" i="4"/>
  <c r="O463" i="4"/>
  <c r="N339" i="4"/>
  <c r="N227" i="4"/>
  <c r="P424" i="4"/>
  <c r="P432" i="4" s="1"/>
  <c r="O401" i="4"/>
  <c r="P390" i="4"/>
  <c r="P401" i="4" s="1"/>
  <c r="P362" i="4"/>
  <c r="N382" i="4"/>
  <c r="P308" i="4"/>
  <c r="N308" i="4"/>
  <c r="P22" i="4"/>
  <c r="P329" i="4"/>
  <c r="O277" i="4"/>
  <c r="P266" i="4"/>
  <c r="P84" i="4"/>
  <c r="N216" i="4"/>
  <c r="P185" i="4"/>
  <c r="O92" i="4"/>
  <c r="P81" i="4"/>
  <c r="P51" i="4"/>
  <c r="P61" i="4" s="1"/>
  <c r="O61" i="4"/>
  <c r="O185" i="4"/>
  <c r="O308" i="4"/>
  <c r="S249" i="7" l="1"/>
  <c r="S141" i="7"/>
  <c r="P92" i="4"/>
  <c r="S52" i="7"/>
  <c r="S159" i="7"/>
  <c r="P277" i="4"/>
  <c r="S285" i="7"/>
  <c r="P463" i="4"/>
  <c r="P123" i="4"/>
  <c r="S195" i="7"/>
  <c r="S267" i="7"/>
  <c r="P339" i="4"/>
  <c r="S177" i="7"/>
  <c r="P30" i="4"/>
  <c r="P370" i="4"/>
</calcChain>
</file>

<file path=xl/sharedStrings.xml><?xml version="1.0" encoding="utf-8"?>
<sst xmlns="http://schemas.openxmlformats.org/spreadsheetml/2006/main" count="9834" uniqueCount="1502">
  <si>
    <t>code_key</t>
  </si>
  <si>
    <t>الحيدرية</t>
  </si>
  <si>
    <t>الانصاف</t>
  </si>
  <si>
    <t>الرحمة</t>
  </si>
  <si>
    <t>النجف</t>
  </si>
  <si>
    <t>مركز النجف</t>
  </si>
  <si>
    <t>التصنيف</t>
  </si>
  <si>
    <t>رقم المدرسة الاحصائي</t>
  </si>
  <si>
    <t>بيئة المدرسة</t>
  </si>
  <si>
    <t>اسم المدرسة</t>
  </si>
  <si>
    <t>القضاء</t>
  </si>
  <si>
    <t>الناحية</t>
  </si>
  <si>
    <t>القرية</t>
  </si>
  <si>
    <t>الحي</t>
  </si>
  <si>
    <t>المحلة</t>
  </si>
  <si>
    <t>الزقاق</t>
  </si>
  <si>
    <t>سنة التأسيس</t>
  </si>
  <si>
    <t>هل المدرسة فتح جديد</t>
  </si>
  <si>
    <t>رقم الهاتف</t>
  </si>
  <si>
    <t>عائدية البناية</t>
  </si>
  <si>
    <t>رقم المبنى</t>
  </si>
  <si>
    <t>جنس المدرسة</t>
  </si>
  <si>
    <t>دوام المدرسة</t>
  </si>
  <si>
    <t>استقلالية المدرسة</t>
  </si>
  <si>
    <t>اسم المدرسة الاصلية</t>
  </si>
  <si>
    <t>الرقم الاحصائي للمدرسة الاصلية</t>
  </si>
  <si>
    <t>هل المدرسة</t>
  </si>
  <si>
    <t>_uuid</t>
  </si>
  <si>
    <t>حضر</t>
  </si>
  <si>
    <t>الرسل الابتدائية للبنات</t>
  </si>
  <si>
    <t>0</t>
  </si>
  <si>
    <t>2024</t>
  </si>
  <si>
    <t>لا</t>
  </si>
  <si>
    <t>07810483096</t>
  </si>
  <si>
    <t>حكومية</t>
  </si>
  <si>
    <t>بنات</t>
  </si>
  <si>
    <t>صباحاً</t>
  </si>
  <si>
    <t>اصلية</t>
  </si>
  <si>
    <t>مزدوجة مع نفسها ومع اخرى</t>
  </si>
  <si>
    <t>انوار الصحراء</t>
  </si>
  <si>
    <t>2006</t>
  </si>
  <si>
    <t>07827749457</t>
  </si>
  <si>
    <t>مختلط</t>
  </si>
  <si>
    <t>مزدوجة مع اخرى</t>
  </si>
  <si>
    <t>المثنى</t>
  </si>
  <si>
    <t>1973</t>
  </si>
  <si>
    <t>07813817009</t>
  </si>
  <si>
    <t xml:space="preserve">القضاء </t>
  </si>
  <si>
    <t xml:space="preserve">الناحية </t>
  </si>
  <si>
    <t>بنون</t>
  </si>
  <si>
    <t xml:space="preserve">اسم المدرسة </t>
  </si>
  <si>
    <t>5 سنوات</t>
  </si>
  <si>
    <t>6 سنوات</t>
  </si>
  <si>
    <t>7 سنوات</t>
  </si>
  <si>
    <t>8 سنوات</t>
  </si>
  <si>
    <t>9 سنوات</t>
  </si>
  <si>
    <t>10 سنوات</t>
  </si>
  <si>
    <t>المجموع الكلي</t>
  </si>
  <si>
    <t>المجموع</t>
  </si>
  <si>
    <t>13956a09-34ec-4af7-a61d-7e54ff2b3942</t>
  </si>
  <si>
    <t>04432313-680c-4850-8091-166b6c26b98e</t>
  </si>
  <si>
    <t>edeb681b-2027-4812-b8a8-64b8fe3974c1</t>
  </si>
  <si>
    <t>المديرية العامة للتربية في محافظة النجف الاشرف</t>
  </si>
  <si>
    <t>خلاصة محافظة النجف الاشرف</t>
  </si>
  <si>
    <t>قسم التخطيط التربوي</t>
  </si>
  <si>
    <t>التعليم الابتدائي</t>
  </si>
  <si>
    <t>جدول رقم (( 1 ))</t>
  </si>
  <si>
    <t>التعليم الابتدائي للعام الدراسي2025/2024</t>
  </si>
  <si>
    <t>عدد المدارس والتلامذة الموجودين والمقبولين الجدد وعدد اعضاء الهيئة التعليمية واستقلالية المدرسة ( الصباحي والمسائي )</t>
  </si>
  <si>
    <t>الموقع البيئي</t>
  </si>
  <si>
    <t>عدد المدارس</t>
  </si>
  <si>
    <t>عدد التلامذة الموجودين</t>
  </si>
  <si>
    <t>عدد اعضاء الهيئة التعليمية</t>
  </si>
  <si>
    <t>عدد المدارس حسب الاستقلالية</t>
  </si>
  <si>
    <t>عدد المدارس حسب الدوام</t>
  </si>
  <si>
    <t>مدارس الفتح الجديد</t>
  </si>
  <si>
    <t xml:space="preserve">بنون </t>
  </si>
  <si>
    <t xml:space="preserve">مختلطة </t>
  </si>
  <si>
    <t>ذكور</t>
  </si>
  <si>
    <t>اناث</t>
  </si>
  <si>
    <t>ضيف</t>
  </si>
  <si>
    <t>ظهرا</t>
  </si>
  <si>
    <t>صباحا وظهرا</t>
  </si>
  <si>
    <t>مساءاً</t>
  </si>
  <si>
    <t>حضـــر</t>
  </si>
  <si>
    <t>ريـــــف</t>
  </si>
  <si>
    <t>ناحية الحيدرية</t>
  </si>
  <si>
    <t>ناحية الشبكة</t>
  </si>
  <si>
    <t>ناحية بانيقيا ( النور )</t>
  </si>
  <si>
    <t>قضاء الكوفة</t>
  </si>
  <si>
    <t>مركز الكوفة</t>
  </si>
  <si>
    <t>ناحية العباسية</t>
  </si>
  <si>
    <t>ناحية الحرية</t>
  </si>
  <si>
    <t>قضاء المناذرة</t>
  </si>
  <si>
    <t>مركز المناذرة</t>
  </si>
  <si>
    <t>ناحية الحيرة</t>
  </si>
  <si>
    <t>قضاء المشخاب</t>
  </si>
  <si>
    <t>مركز المشخاب</t>
  </si>
  <si>
    <t>ناحية القادسية</t>
  </si>
  <si>
    <t>جدول رقم ((4))</t>
  </si>
  <si>
    <t>التعليم الابتدائي للعام الدراسي2024 / 2025</t>
  </si>
  <si>
    <t>عدد التلامذة الجدد حسب العمر والجنس</t>
  </si>
  <si>
    <t xml:space="preserve">عمر 5 </t>
  </si>
  <si>
    <t xml:space="preserve">عمر6 </t>
  </si>
  <si>
    <t xml:space="preserve">عمر 7 </t>
  </si>
  <si>
    <t xml:space="preserve">عمر 8 </t>
  </si>
  <si>
    <t>عمر 9</t>
  </si>
  <si>
    <t xml:space="preserve">عمر 10  </t>
  </si>
  <si>
    <t xml:space="preserve">بنــــــــون </t>
  </si>
  <si>
    <t xml:space="preserve">بنــــــــات </t>
  </si>
  <si>
    <t>المجمــــــــوع</t>
  </si>
  <si>
    <t>`</t>
  </si>
  <si>
    <t xml:space="preserve"> ((   5  )) جدول رقم  </t>
  </si>
  <si>
    <t>عدد التلامذة المسجلين حسب الصف والعمروالجنس</t>
  </si>
  <si>
    <t xml:space="preserve"> الأول </t>
  </si>
  <si>
    <t xml:space="preserve"> الثاني </t>
  </si>
  <si>
    <t xml:space="preserve">الثالث </t>
  </si>
  <si>
    <t xml:space="preserve">الرابع </t>
  </si>
  <si>
    <t xml:space="preserve">الخامس </t>
  </si>
  <si>
    <t xml:space="preserve">السادس </t>
  </si>
  <si>
    <t xml:space="preserve"> المجموع </t>
  </si>
  <si>
    <t xml:space="preserve">بنات </t>
  </si>
  <si>
    <t xml:space="preserve">المجموع </t>
  </si>
  <si>
    <t>عمر 5</t>
  </si>
  <si>
    <t>عمر6</t>
  </si>
  <si>
    <t>عمر 7</t>
  </si>
  <si>
    <t>عمر 8</t>
  </si>
  <si>
    <t>عمر 10</t>
  </si>
  <si>
    <t>عمر 11</t>
  </si>
  <si>
    <t>عمر 12</t>
  </si>
  <si>
    <t>عمر 13</t>
  </si>
  <si>
    <t>عمر14</t>
  </si>
  <si>
    <t xml:space="preserve">عمر 15 فأكثر </t>
  </si>
  <si>
    <t>قضاء النجف</t>
  </si>
  <si>
    <t>*</t>
  </si>
  <si>
    <t>جدول رقم ((5))</t>
  </si>
  <si>
    <t>التعليم الابتدائي للعام الدراسي2025 / 2024</t>
  </si>
  <si>
    <t>ناحية الرضوية</t>
  </si>
  <si>
    <t xml:space="preserve">بنــون </t>
  </si>
  <si>
    <t xml:space="preserve">بنــات </t>
  </si>
  <si>
    <t>المجمــوع</t>
  </si>
  <si>
    <t xml:space="preserve">جدول رقم ( 5 ) </t>
  </si>
  <si>
    <t xml:space="preserve"> </t>
  </si>
  <si>
    <t>جدول رقم (( 6 ))</t>
  </si>
  <si>
    <t>عدد الهيئات التعليمية حسب العنوان الوظيفي والشهادة</t>
  </si>
  <si>
    <t>الجنس</t>
  </si>
  <si>
    <t xml:space="preserve">الهيئة التعليمية حسب العنوان الوظيفي </t>
  </si>
  <si>
    <t>الهيئة التعليمية حسب  العنوان والشهادة</t>
  </si>
  <si>
    <t>دورات تربوية</t>
  </si>
  <si>
    <t>دبلوم تعليمي لمعاهد المعلمين والمعاهد المركزية</t>
  </si>
  <si>
    <t>دبلوم عام</t>
  </si>
  <si>
    <t>دبلوم فنون جميلة</t>
  </si>
  <si>
    <t xml:space="preserve">جامعية </t>
  </si>
  <si>
    <t>دراسات عليا</t>
  </si>
  <si>
    <t>اخــرى</t>
  </si>
  <si>
    <t xml:space="preserve">مدير </t>
  </si>
  <si>
    <t xml:space="preserve">معاون </t>
  </si>
  <si>
    <t>معلم</t>
  </si>
  <si>
    <t>مرشد</t>
  </si>
  <si>
    <t>تربوية تعليمية</t>
  </si>
  <si>
    <t xml:space="preserve">غير تربوية </t>
  </si>
  <si>
    <t>دبلوم عالي</t>
  </si>
  <si>
    <t>ماجستير</t>
  </si>
  <si>
    <t>دكتوراه</t>
  </si>
  <si>
    <t>ذكــــــور</t>
  </si>
  <si>
    <t>انــــــــاث</t>
  </si>
  <si>
    <t>جدول رقم (( 7 ))</t>
  </si>
  <si>
    <t>عدد الابنية المدرسية وعدد المكتبات</t>
  </si>
  <si>
    <t xml:space="preserve">      عدد الابنية حسب العائدية </t>
  </si>
  <si>
    <t>عدد الابنية التي تشغلها</t>
  </si>
  <si>
    <t xml:space="preserve">   عدد الابنية حسب الحالة العمرانية </t>
  </si>
  <si>
    <t>عدد الابنية حسب نوع البناء</t>
  </si>
  <si>
    <t xml:space="preserve"> عدد الابنية حسب مادة البناء</t>
  </si>
  <si>
    <t>المجموع الكلي للابنية</t>
  </si>
  <si>
    <t>عدد الابنية حسب نوع الخدمات</t>
  </si>
  <si>
    <t xml:space="preserve"> حكومية </t>
  </si>
  <si>
    <t>مستاجرة</t>
  </si>
  <si>
    <t xml:space="preserve">مدرسة واحدة </t>
  </si>
  <si>
    <t xml:space="preserve">مدرستان </t>
  </si>
  <si>
    <t>ثلاث مدارس فاكثر</t>
  </si>
  <si>
    <t>صالحة</t>
  </si>
  <si>
    <t xml:space="preserve">بحاجة الى ترميم </t>
  </si>
  <si>
    <t>غير صالحة</t>
  </si>
  <si>
    <t>مدرسي</t>
  </si>
  <si>
    <t>غير مدرسي</t>
  </si>
  <si>
    <t>طابوق او حجر</t>
  </si>
  <si>
    <t>بناء جاهز</t>
  </si>
  <si>
    <t>طين او صريفة</t>
  </si>
  <si>
    <t>هياكل حديدية</t>
  </si>
  <si>
    <t>كرفان</t>
  </si>
  <si>
    <t>اخرى</t>
  </si>
  <si>
    <t>عدد الابنية التي تتوفر فيها مرافق صحية</t>
  </si>
  <si>
    <t>عدد الابنية التي يصلها ماء صالح للشرب</t>
  </si>
  <si>
    <t>عدد الابنية المزودة بخدمة مجاري</t>
  </si>
  <si>
    <t>عدد الابنية التي تحتوي سياج مدرسي</t>
  </si>
  <si>
    <t xml:space="preserve">عائدة للتربية </t>
  </si>
  <si>
    <t xml:space="preserve"> لجهات اخرى</t>
  </si>
  <si>
    <t>عدد الابنية المدرسية حسب عدد الطوابق وعدد الصفوف للعام المدرسي2024-2025</t>
  </si>
  <si>
    <t xml:space="preserve">عدد الابنية حسب عدد الطوابق </t>
  </si>
  <si>
    <t>عدد الابنية حسب عدد الصفوف</t>
  </si>
  <si>
    <t>طابق واحد</t>
  </si>
  <si>
    <t>طابقين</t>
  </si>
  <si>
    <t>ثلاثة طوابق</t>
  </si>
  <si>
    <t>6 صف</t>
  </si>
  <si>
    <t xml:space="preserve">9 صف </t>
  </si>
  <si>
    <t xml:space="preserve">12 صف </t>
  </si>
  <si>
    <t xml:space="preserve">18 صف </t>
  </si>
  <si>
    <t>24 صف</t>
  </si>
  <si>
    <t>التعليم الابتدائي للعام الدراسي2024/2025</t>
  </si>
  <si>
    <t xml:space="preserve">تربوية </t>
  </si>
  <si>
    <t xml:space="preserve">ثلاث مدارس </t>
  </si>
  <si>
    <t>طين اوصريفة</t>
  </si>
  <si>
    <t>عدد الابنية التي تحتوي سياج</t>
  </si>
  <si>
    <t>معهد عام</t>
  </si>
  <si>
    <t xml:space="preserve">معاهد الفنون </t>
  </si>
  <si>
    <t xml:space="preserve">الجنس </t>
  </si>
  <si>
    <t>جدول رقم ( 8 )</t>
  </si>
  <si>
    <t>عدد المكتبات والمختبرات للعام الدراسي 2024-2025</t>
  </si>
  <si>
    <t>المكتبات المدرسية</t>
  </si>
  <si>
    <t>المختبرات المدرسية</t>
  </si>
  <si>
    <t>هل توجد مختبرات</t>
  </si>
  <si>
    <t>المختبرات العلمية</t>
  </si>
  <si>
    <t>مختبر اللغة</t>
  </si>
  <si>
    <t>مختبر الحاسوب</t>
  </si>
  <si>
    <t>عدد المكتبات</t>
  </si>
  <si>
    <t>عدد الكتب</t>
  </si>
  <si>
    <t>نعم</t>
  </si>
  <si>
    <t>كلا</t>
  </si>
  <si>
    <t>العلوم</t>
  </si>
  <si>
    <t>الفيزياء</t>
  </si>
  <si>
    <t>الكيمياء</t>
  </si>
  <si>
    <t>الاحياء</t>
  </si>
  <si>
    <t>مجمع المختبرات</t>
  </si>
  <si>
    <t xml:space="preserve">نعم </t>
  </si>
  <si>
    <t>جدول رقم (( 9 ))</t>
  </si>
  <si>
    <t>عدد الشعب للعام الدراسي2024 /2025 حسب الجنس والصف</t>
  </si>
  <si>
    <t>عدد الشعب حسب الصف والجنس</t>
  </si>
  <si>
    <t>مختلطة</t>
  </si>
  <si>
    <t>الاول</t>
  </si>
  <si>
    <t>الثاني</t>
  </si>
  <si>
    <t>الثالث</t>
  </si>
  <si>
    <t>الرابع</t>
  </si>
  <si>
    <t>الخامس</t>
  </si>
  <si>
    <t>السادس</t>
  </si>
  <si>
    <t>عدد المكتبات والمختبرات للعام الدراسي 2025-2025</t>
  </si>
  <si>
    <t>عدد الشعب للعام الدراسي2025 -2024 حسب الجنس والصف</t>
  </si>
  <si>
    <t>عدد الشعب للعام الدراسي2024 -2024 حسب الجنس والصف</t>
  </si>
  <si>
    <t>جدول رقم (( 10 ))</t>
  </si>
  <si>
    <t>عدد التلامذة الناجحين والتلامذة الراسبين للعام الدراسي2023 /2024 حسب الجنس والصف</t>
  </si>
  <si>
    <t xml:space="preserve">      الصف</t>
  </si>
  <si>
    <t>عدد التلامذة التاركون حسب الصف والجنس للعام الدراسي 2025/2024</t>
  </si>
  <si>
    <t>عدد التلامذة الناجحين للعام الدراسي2024/2023حسب الصف والجنس</t>
  </si>
  <si>
    <t>عدد التلامذة الراسبين حسب اسباب الرسوب والصف والجنس للعام الدراسي2024/2023</t>
  </si>
  <si>
    <t>بنين</t>
  </si>
  <si>
    <t>الفشل في الامتحان</t>
  </si>
  <si>
    <t>تجاوز ايام الغياب</t>
  </si>
  <si>
    <t xml:space="preserve">أسباب أخرى </t>
  </si>
  <si>
    <t>عدد التلامذة الناجحين والتلامذة الراسبين للعام الدراسي2024 -2024 حسب الجنس والصف</t>
  </si>
  <si>
    <t>عدد التلامذة التاركون حسب الصف والجنس للعام الدراسي2024/2025</t>
  </si>
  <si>
    <t xml:space="preserve">  الصف</t>
  </si>
  <si>
    <t xml:space="preserve">    الصف</t>
  </si>
  <si>
    <t>جدول رقم (( 11 ))</t>
  </si>
  <si>
    <t>عدد اعضاء الهئية التعليمية حسب التخصص والجنس</t>
  </si>
  <si>
    <t>التربية الاسلامية</t>
  </si>
  <si>
    <t>اللغة العربية</t>
  </si>
  <si>
    <t>اللغة الانكليزية</t>
  </si>
  <si>
    <t>اللغة الكردية</t>
  </si>
  <si>
    <t>الرياضيات</t>
  </si>
  <si>
    <t>علوم/علوم حياة</t>
  </si>
  <si>
    <t>كيمياء</t>
  </si>
  <si>
    <t>فيزياء</t>
  </si>
  <si>
    <t>اجتماعيات</t>
  </si>
  <si>
    <t>تاريخ</t>
  </si>
  <si>
    <t>جغرافية</t>
  </si>
  <si>
    <t>اقتصاد منزلي</t>
  </si>
  <si>
    <t>التربية خاصة</t>
  </si>
  <si>
    <t>تربية علم النفس</t>
  </si>
  <si>
    <t>التربية الرياضية</t>
  </si>
  <si>
    <t>التربية الفنية</t>
  </si>
  <si>
    <t>حاسوب</t>
  </si>
  <si>
    <t>اللغة التركمانية</t>
  </si>
  <si>
    <t>اللغة السريانية</t>
  </si>
  <si>
    <t>عام</t>
  </si>
  <si>
    <t xml:space="preserve">خلاصة قضاء النجف </t>
  </si>
  <si>
    <t>خلاصة مركز النجف</t>
  </si>
  <si>
    <t xml:space="preserve">عام </t>
  </si>
  <si>
    <t>خلاصة ناحية الحيدرية</t>
  </si>
  <si>
    <t>تربية خاصة</t>
  </si>
  <si>
    <t>خلاصة ناحية الشبكة</t>
  </si>
  <si>
    <t>خلاصة ناحية الرضوية</t>
  </si>
  <si>
    <t>خلاصة ناحية بانيقيا ( النور )</t>
  </si>
  <si>
    <t>خلاصة قضاء الكوفة</t>
  </si>
  <si>
    <t>خلاصة مركز الكوفة</t>
  </si>
  <si>
    <t>خلاصة ناحية العباسية</t>
  </si>
  <si>
    <t>خلاصة ناحية الحرية</t>
  </si>
  <si>
    <t>خلاصة قضاء المناذرة</t>
  </si>
  <si>
    <t>خلاصة مركز المناذرة</t>
  </si>
  <si>
    <t>خلاصة ناحية الحيرة</t>
  </si>
  <si>
    <t>خلاصة مركز المشخاب</t>
  </si>
  <si>
    <t>خلاصة قضاء المشخاب</t>
  </si>
  <si>
    <t>خلاصة ناحية القادسية</t>
  </si>
  <si>
    <t>جدول رقم (( 12 ))</t>
  </si>
  <si>
    <t xml:space="preserve">التعليم الابتدائي للعام الدراسي 2024 /2025 </t>
  </si>
  <si>
    <t xml:space="preserve">عدد المدارس المشمولة : </t>
  </si>
  <si>
    <t xml:space="preserve">هل المدرسة : </t>
  </si>
  <si>
    <t>الارشاد التربوي</t>
  </si>
  <si>
    <t>تدريس الحاسوب</t>
  </si>
  <si>
    <t>خدمة الانترنت</t>
  </si>
  <si>
    <t>تدريس اللغات الاجنبية عدا اللغة الانكليزية</t>
  </si>
  <si>
    <t>تدريس اللغات المحلية</t>
  </si>
  <si>
    <t>التغذية المدرسية</t>
  </si>
  <si>
    <t>غيرمزدوجة</t>
  </si>
  <si>
    <t>مزدوجة على نفسها</t>
  </si>
  <si>
    <t>الكردي</t>
  </si>
  <si>
    <t>التركماني</t>
  </si>
  <si>
    <t>السرياني</t>
  </si>
  <si>
    <t xml:space="preserve">عدد اعضاء الهيئة التعليمية حسب الحالة الوظيفية : </t>
  </si>
  <si>
    <t>عدد اعضاء الهيئة التعليمية المشاركين في الدورات التدريبية للعام السابق :</t>
  </si>
  <si>
    <t xml:space="preserve">الحالة الوظيفية </t>
  </si>
  <si>
    <t>داخل قوة العمل</t>
  </si>
  <si>
    <t>عددالمعلمين</t>
  </si>
  <si>
    <t>خارج قوة العمل</t>
  </si>
  <si>
    <t>بعثة او زمالة دراسية</t>
  </si>
  <si>
    <t>اجازة دراسية</t>
  </si>
  <si>
    <t>اجازة مصاحبة</t>
  </si>
  <si>
    <t>اجازة بدون راتب</t>
  </si>
  <si>
    <t>اجازة مرضية طويلة</t>
  </si>
  <si>
    <t>اجازة امومة</t>
  </si>
  <si>
    <t>تنسيب الى جهات اخرى</t>
  </si>
  <si>
    <t>5-4سنوات</t>
  </si>
  <si>
    <t xml:space="preserve">عدد اعضاء الهيئة التعليمية حسب سنوات الخدمة : </t>
  </si>
  <si>
    <t xml:space="preserve">خمس سنوات -  فأقل </t>
  </si>
  <si>
    <t xml:space="preserve"> 6ـ 10   </t>
  </si>
  <si>
    <t xml:space="preserve">11ـ15 </t>
  </si>
  <si>
    <t>16-20</t>
  </si>
  <si>
    <t>21اكثر</t>
  </si>
  <si>
    <t xml:space="preserve">عدد اعضاء الهيئة التعليمية حسب سنوات العمر : </t>
  </si>
  <si>
    <t>اقل من 30</t>
  </si>
  <si>
    <t xml:space="preserve"> 30ـ 39   </t>
  </si>
  <si>
    <t xml:space="preserve">40ـ49 </t>
  </si>
  <si>
    <t>50ـ 59</t>
  </si>
  <si>
    <t>60ـ فأكثر</t>
  </si>
  <si>
    <t xml:space="preserve">خلاصة مركز النجف </t>
  </si>
  <si>
    <t xml:space="preserve">خلاصة ناحية الشبكة </t>
  </si>
  <si>
    <t>59ـ فأكثر</t>
  </si>
  <si>
    <t>6059ـ فأكثر</t>
  </si>
  <si>
    <t>=F339+F316</t>
  </si>
  <si>
    <t>11 سنوات</t>
  </si>
  <si>
    <t>12 سنوات</t>
  </si>
  <si>
    <t xml:space="preserve">عدد التلامذة المقبولين ( الجدد ) </t>
  </si>
  <si>
    <t>في الصف الاول</t>
  </si>
  <si>
    <t>ملاحظة : لايوجد في محافظتنا مدارس ابتدائية مسائية .</t>
  </si>
  <si>
    <t xml:space="preserve">       المديرية العامة للتربية في محافظة النجف الاشرف</t>
  </si>
  <si>
    <t xml:space="preserve">قضاء النجف </t>
  </si>
  <si>
    <t>ناحية الرضوبة</t>
  </si>
  <si>
    <t xml:space="preserve">       التعليم الابتدائي</t>
  </si>
  <si>
    <t>ت</t>
  </si>
  <si>
    <t>الحي او المحلة</t>
  </si>
  <si>
    <t>المركز</t>
  </si>
  <si>
    <t>الغفاري</t>
  </si>
  <si>
    <t>الجديدة الثانية</t>
  </si>
  <si>
    <t>الجديدة الاولى</t>
  </si>
  <si>
    <t>النضــال</t>
  </si>
  <si>
    <t>التهــذيب</t>
  </si>
  <si>
    <t>الجديدة الرابعة</t>
  </si>
  <si>
    <t>مالك الاشتر</t>
  </si>
  <si>
    <t>حليف القرآن</t>
  </si>
  <si>
    <t>اصحاب الكساء</t>
  </si>
  <si>
    <t>الجديدة الثالثة</t>
  </si>
  <si>
    <t>السدير الأساسية</t>
  </si>
  <si>
    <t>الاميــــر</t>
  </si>
  <si>
    <t>التيسير</t>
  </si>
  <si>
    <t>الكرامة</t>
  </si>
  <si>
    <t>العاصفة</t>
  </si>
  <si>
    <t>الاسكان</t>
  </si>
  <si>
    <t>دعبل الخزاعي</t>
  </si>
  <si>
    <t>المعلمين</t>
  </si>
  <si>
    <t>دمشق الأساسية</t>
  </si>
  <si>
    <t>الحسين</t>
  </si>
  <si>
    <t>الصادق</t>
  </si>
  <si>
    <t>الجولان</t>
  </si>
  <si>
    <t>الشهيد وهاب الطلقاني(الاجيال سابقا)</t>
  </si>
  <si>
    <t>بغداد الأساسية</t>
  </si>
  <si>
    <t>الامام المهدي</t>
  </si>
  <si>
    <t>الصفاء</t>
  </si>
  <si>
    <t>الغــري</t>
  </si>
  <si>
    <t>الانصار</t>
  </si>
  <si>
    <t>الأقــدام</t>
  </si>
  <si>
    <t>الامام الهادي الأساسية</t>
  </si>
  <si>
    <t>الامير</t>
  </si>
  <si>
    <t>عــــدن</t>
  </si>
  <si>
    <t>الشرطة</t>
  </si>
  <si>
    <t>مصطفى جواد</t>
  </si>
  <si>
    <t>الانتصار</t>
  </si>
  <si>
    <t>الوثبــــة</t>
  </si>
  <si>
    <t>الشريف الرضي</t>
  </si>
  <si>
    <t>الزهراء</t>
  </si>
  <si>
    <t>المعرفة</t>
  </si>
  <si>
    <t>الشعب</t>
  </si>
  <si>
    <t>العروبة</t>
  </si>
  <si>
    <t>الصافي النجفي</t>
  </si>
  <si>
    <t>الحوراء زينب</t>
  </si>
  <si>
    <t>بدر الكبرى</t>
  </si>
  <si>
    <t>الغري</t>
  </si>
  <si>
    <t>أم قصر</t>
  </si>
  <si>
    <t>الزينبية</t>
  </si>
  <si>
    <t xml:space="preserve">سكينـــة </t>
  </si>
  <si>
    <t>المشراق</t>
  </si>
  <si>
    <t>رام الله</t>
  </si>
  <si>
    <t>الحويش</t>
  </si>
  <si>
    <t>الفضيلة</t>
  </si>
  <si>
    <t>السعد</t>
  </si>
  <si>
    <t>النهضة</t>
  </si>
  <si>
    <t>الوطـــن</t>
  </si>
  <si>
    <t>الفردوس</t>
  </si>
  <si>
    <t>السنابل</t>
  </si>
  <si>
    <t>فتـــــح</t>
  </si>
  <si>
    <t>العفـــة</t>
  </si>
  <si>
    <t>النخيل</t>
  </si>
  <si>
    <t>بلقيس الأساسية</t>
  </si>
  <si>
    <t>الحنانة</t>
  </si>
  <si>
    <t>الافراح</t>
  </si>
  <si>
    <t>الفراقـــد</t>
  </si>
  <si>
    <t>المقاصد</t>
  </si>
  <si>
    <t>دجـلـــة</t>
  </si>
  <si>
    <t>مصطفى جمال الدين</t>
  </si>
  <si>
    <t>الغدير</t>
  </si>
  <si>
    <t>بــردى</t>
  </si>
  <si>
    <t>البيارق</t>
  </si>
  <si>
    <t>الابداع</t>
  </si>
  <si>
    <t>الامــاني</t>
  </si>
  <si>
    <t>نهج البلاغة</t>
  </si>
  <si>
    <t>النــــور</t>
  </si>
  <si>
    <t>الفرقان</t>
  </si>
  <si>
    <t>الشيماء</t>
  </si>
  <si>
    <t>الشعراء</t>
  </si>
  <si>
    <t>الرسالة</t>
  </si>
  <si>
    <t>القاهـــرة</t>
  </si>
  <si>
    <t>الطائف</t>
  </si>
  <si>
    <t>التراث العربي</t>
  </si>
  <si>
    <t>تبــــوك</t>
  </si>
  <si>
    <t>المكاسب</t>
  </si>
  <si>
    <t>صفيـــن</t>
  </si>
  <si>
    <t>العدالة</t>
  </si>
  <si>
    <t>التضحية</t>
  </si>
  <si>
    <t>الوفاء</t>
  </si>
  <si>
    <t>حبيب بن مظاهر الاسدي</t>
  </si>
  <si>
    <t>اليرموك</t>
  </si>
  <si>
    <t>فتى الاسلام</t>
  </si>
  <si>
    <t>قوس الوفاء</t>
  </si>
  <si>
    <t>المسعودي</t>
  </si>
  <si>
    <t>المهندسين</t>
  </si>
  <si>
    <t>حيفـــا</t>
  </si>
  <si>
    <t>الجمعية</t>
  </si>
  <si>
    <t>الحر الرياحي</t>
  </si>
  <si>
    <t>المكرمة</t>
  </si>
  <si>
    <t>ابي الفضل العباس</t>
  </si>
  <si>
    <t>الميلاد</t>
  </si>
  <si>
    <t>المجـــد</t>
  </si>
  <si>
    <t>الاشتراكي</t>
  </si>
  <si>
    <t>السهل الاخضر</t>
  </si>
  <si>
    <t>النصر</t>
  </si>
  <si>
    <t>العصمة</t>
  </si>
  <si>
    <t>الطبرسي</t>
  </si>
  <si>
    <t>القادسية</t>
  </si>
  <si>
    <t>الابرار</t>
  </si>
  <si>
    <t>المهاجرين</t>
  </si>
  <si>
    <t>6كانون</t>
  </si>
  <si>
    <t>الحوراء</t>
  </si>
  <si>
    <t>البيعة الكبرى</t>
  </si>
  <si>
    <t>الغـــدير</t>
  </si>
  <si>
    <t>صـــور</t>
  </si>
  <si>
    <t>المعهد الفني</t>
  </si>
  <si>
    <t>البــراق</t>
  </si>
  <si>
    <t xml:space="preserve">الخيرات </t>
  </si>
  <si>
    <t>الرازي</t>
  </si>
  <si>
    <t>الارتقاء</t>
  </si>
  <si>
    <t>التضامن</t>
  </si>
  <si>
    <t>المولد النبوي</t>
  </si>
  <si>
    <t>العراق الحر</t>
  </si>
  <si>
    <t>الهلال الخصيب</t>
  </si>
  <si>
    <t>الهجـرة</t>
  </si>
  <si>
    <t>الفــــداء</t>
  </si>
  <si>
    <t>السراج المنير</t>
  </si>
  <si>
    <t>سعيد بن جبير</t>
  </si>
  <si>
    <t>فـــــدك</t>
  </si>
  <si>
    <t>الفتـــوة</t>
  </si>
  <si>
    <t>الشموخ</t>
  </si>
  <si>
    <t>المرتضى</t>
  </si>
  <si>
    <t>الربـــاب</t>
  </si>
  <si>
    <t>ذو الفقار</t>
  </si>
  <si>
    <t>البتـــــول</t>
  </si>
  <si>
    <t>زمـــــزم</t>
  </si>
  <si>
    <t>التوحيـــد</t>
  </si>
  <si>
    <t>الجامعة</t>
  </si>
  <si>
    <t>عبد المطلب</t>
  </si>
  <si>
    <t>الاسوة الحسنة</t>
  </si>
  <si>
    <t>نسيبة الانصارية</t>
  </si>
  <si>
    <t>الجنـــان</t>
  </si>
  <si>
    <t>ابراهيم الخليل</t>
  </si>
  <si>
    <t>عبد الله بن رواحة</t>
  </si>
  <si>
    <t>ذات السلاسل</t>
  </si>
  <si>
    <t>الحق المبين</t>
  </si>
  <si>
    <t>الشـــرف</t>
  </si>
  <si>
    <t xml:space="preserve">الامام الرضا </t>
  </si>
  <si>
    <t>اليعقوبي</t>
  </si>
  <si>
    <t>الدوحــة</t>
  </si>
  <si>
    <t>الرفــــاه</t>
  </si>
  <si>
    <t>حجر بن عدي</t>
  </si>
  <si>
    <t>جعفر بن ابي طالب</t>
  </si>
  <si>
    <t>مصعب بن عمير</t>
  </si>
  <si>
    <t>السلف الصالح</t>
  </si>
  <si>
    <t>الوعد الحق</t>
  </si>
  <si>
    <t>موسى بن نصير</t>
  </si>
  <si>
    <t>قبــــاء</t>
  </si>
  <si>
    <t>بلاط الشهداء</t>
  </si>
  <si>
    <t>ام القرى</t>
  </si>
  <si>
    <t>النهرين</t>
  </si>
  <si>
    <t>علي الاكبر</t>
  </si>
  <si>
    <t xml:space="preserve">الامام زين العابدين </t>
  </si>
  <si>
    <t xml:space="preserve">الامام المنتظر </t>
  </si>
  <si>
    <t xml:space="preserve">الامام الباقر </t>
  </si>
  <si>
    <t>القاســم</t>
  </si>
  <si>
    <t>جابر الانصاري</t>
  </si>
  <si>
    <t>الكـــوثر</t>
  </si>
  <si>
    <t>الطوسي</t>
  </si>
  <si>
    <t>البيـــان</t>
  </si>
  <si>
    <t>سبـــــأ</t>
  </si>
  <si>
    <t>الاضواء</t>
  </si>
  <si>
    <t>الشــــام</t>
  </si>
  <si>
    <t>الروضتين</t>
  </si>
  <si>
    <t>الاسكندرية</t>
  </si>
  <si>
    <t>الرياض</t>
  </si>
  <si>
    <t>الاوليـــاء</t>
  </si>
  <si>
    <t>الصفــوة</t>
  </si>
  <si>
    <t>الوفــــاق</t>
  </si>
  <si>
    <t>المحبـــة</t>
  </si>
  <si>
    <t>كربلاء</t>
  </si>
  <si>
    <t>المنذرية</t>
  </si>
  <si>
    <t>محمد رضا الشبيبي</t>
  </si>
  <si>
    <t>الشرقـــي</t>
  </si>
  <si>
    <t>الجامعــة</t>
  </si>
  <si>
    <t>الحي الجامعي</t>
  </si>
  <si>
    <t>طه الرسول</t>
  </si>
  <si>
    <t>السابقـــون</t>
  </si>
  <si>
    <t>السلام</t>
  </si>
  <si>
    <t>الشهيد مهدي الحكيم</t>
  </si>
  <si>
    <t>خاتم الأنبياء</t>
  </si>
  <si>
    <t>المستجار</t>
  </si>
  <si>
    <t>الذكوات</t>
  </si>
  <si>
    <t>الشهيد مؤمل الصدر</t>
  </si>
  <si>
    <t>البلد الأمين</t>
  </si>
  <si>
    <t>الفرات</t>
  </si>
  <si>
    <t>الولاية</t>
  </si>
  <si>
    <t>الهندية</t>
  </si>
  <si>
    <t>ناشئة الليل</t>
  </si>
  <si>
    <t>الشهيد جواد شبر</t>
  </si>
  <si>
    <t>خير البرية</t>
  </si>
  <si>
    <t>الدعاء المستجاب</t>
  </si>
  <si>
    <t>المباهلـــة</t>
  </si>
  <si>
    <t>مشروع البحراني</t>
  </si>
  <si>
    <t>عبود غفلة</t>
  </si>
  <si>
    <t>ابو طالب</t>
  </si>
  <si>
    <t>عدنان زوين</t>
  </si>
  <si>
    <t>القدس</t>
  </si>
  <si>
    <t>الأطـــايب</t>
  </si>
  <si>
    <t>المغفــــرة</t>
  </si>
  <si>
    <t>الاعتمـــاد</t>
  </si>
  <si>
    <t>الحور العين</t>
  </si>
  <si>
    <t>الصحـــوة</t>
  </si>
  <si>
    <t>الابتهـــاج</t>
  </si>
  <si>
    <t>اسود الرافدين</t>
  </si>
  <si>
    <t>حــــــواء</t>
  </si>
  <si>
    <t>الحواريون</t>
  </si>
  <si>
    <t>القائـــــم</t>
  </si>
  <si>
    <t>عبد الله بن عباس</t>
  </si>
  <si>
    <t>ارض الانبياء</t>
  </si>
  <si>
    <t>البشير</t>
  </si>
  <si>
    <t>الروافد</t>
  </si>
  <si>
    <t>ورقة بن نوفل</t>
  </si>
  <si>
    <t>ال ابراهيم</t>
  </si>
  <si>
    <t>الصديقة الطاهرة</t>
  </si>
  <si>
    <t>الشريعة</t>
  </si>
  <si>
    <t>ال ياسين</t>
  </si>
  <si>
    <t>ال عمران</t>
  </si>
  <si>
    <t>الفاضلات</t>
  </si>
  <si>
    <t>العهد</t>
  </si>
  <si>
    <t>التقوى</t>
  </si>
  <si>
    <t>البينات</t>
  </si>
  <si>
    <t>كفيلة الايتام</t>
  </si>
  <si>
    <t>ال يعقوب</t>
  </si>
  <si>
    <t>المولى المقدس</t>
  </si>
  <si>
    <t>الصافات</t>
  </si>
  <si>
    <t>ابي طالب</t>
  </si>
  <si>
    <t>اسيا بنت مزاحم</t>
  </si>
  <si>
    <t>الشهيد محمد علي نصار</t>
  </si>
  <si>
    <t>دار المقامة</t>
  </si>
  <si>
    <t>محمد جواد مغنية</t>
  </si>
  <si>
    <t>الخصال الحميدة</t>
  </si>
  <si>
    <t>سيف الحق</t>
  </si>
  <si>
    <t>الرسل</t>
  </si>
  <si>
    <t>الذاريات</t>
  </si>
  <si>
    <t>الميلاد / شمال الحولي</t>
  </si>
  <si>
    <t>الشهيد نزهان الجبوري</t>
  </si>
  <si>
    <t>التفوق</t>
  </si>
  <si>
    <t>الكعبة المشرفة</t>
  </si>
  <si>
    <t>المرسلات</t>
  </si>
  <si>
    <t>الشهيد حسن شحاته</t>
  </si>
  <si>
    <t>التسنيم</t>
  </si>
  <si>
    <t>النداء</t>
  </si>
  <si>
    <t>مجمع السلام</t>
  </si>
  <si>
    <t>ثغر العراق</t>
  </si>
  <si>
    <t>المآثر</t>
  </si>
  <si>
    <t>التشريق</t>
  </si>
  <si>
    <t>البشرى</t>
  </si>
  <si>
    <t>يوم التروية</t>
  </si>
  <si>
    <t>الودق</t>
  </si>
  <si>
    <t>المزمل</t>
  </si>
  <si>
    <t>المعارج</t>
  </si>
  <si>
    <t xml:space="preserve"> النجف</t>
  </si>
  <si>
    <t>الشهيد فيصل الزاملي</t>
  </si>
  <si>
    <t>الريحان</t>
  </si>
  <si>
    <t>جرف النصر</t>
  </si>
  <si>
    <t xml:space="preserve">الاديب كاظم شكر </t>
  </si>
  <si>
    <t>العاديات</t>
  </si>
  <si>
    <t>الريان</t>
  </si>
  <si>
    <t>الافاضة</t>
  </si>
  <si>
    <t>قرب المطحنة</t>
  </si>
  <si>
    <t xml:space="preserve">بشائر الخير </t>
  </si>
  <si>
    <t>النسمات</t>
  </si>
  <si>
    <t xml:space="preserve">ال طه </t>
  </si>
  <si>
    <t>بيت النبوة</t>
  </si>
  <si>
    <t>الشهداء</t>
  </si>
  <si>
    <t>صاحب الحوض</t>
  </si>
  <si>
    <t>ملائكة الرحمة</t>
  </si>
  <si>
    <t>الموصل الحرة</t>
  </si>
  <si>
    <t>المشعر الحرام</t>
  </si>
  <si>
    <t>بحار الانوار</t>
  </si>
  <si>
    <t>الشهيد ابو تحسين الصالحي</t>
  </si>
  <si>
    <t xml:space="preserve">عطاء النجف للبنين </t>
  </si>
  <si>
    <t>قرية الغدير</t>
  </si>
  <si>
    <t xml:space="preserve">عطاء النجف للبنات </t>
  </si>
  <si>
    <t>عطر الجنة</t>
  </si>
  <si>
    <t xml:space="preserve">الميسم </t>
  </si>
  <si>
    <t>الشهيد كريم الخاقاني</t>
  </si>
  <si>
    <t>الرحاب</t>
  </si>
  <si>
    <t>قنبر</t>
  </si>
  <si>
    <t>مجمع قنبر السكني</t>
  </si>
  <si>
    <t>فاطمة الصغرى</t>
  </si>
  <si>
    <t>الشهيد عبدالرضا الفياض الاساسية</t>
  </si>
  <si>
    <t>مجمع بيتي السكني</t>
  </si>
  <si>
    <t>الشهيد جعفر المظفر الاساسية</t>
  </si>
  <si>
    <t>النجوى</t>
  </si>
  <si>
    <t>العوالي</t>
  </si>
  <si>
    <t>الياسمين</t>
  </si>
  <si>
    <t>الاوسمة</t>
  </si>
  <si>
    <t>فيض الكوثر</t>
  </si>
  <si>
    <t>الجمان</t>
  </si>
  <si>
    <t>المرام</t>
  </si>
  <si>
    <t>العهد الزاهر</t>
  </si>
  <si>
    <t>مجمع القدس</t>
  </si>
  <si>
    <t>جنائن بابل</t>
  </si>
  <si>
    <t>العشق الحسيني</t>
  </si>
  <si>
    <t>البعد الرابع</t>
  </si>
  <si>
    <t>قرية الغدير2</t>
  </si>
  <si>
    <t>ازهار الربيع</t>
  </si>
  <si>
    <t>حماة الوطن</t>
  </si>
  <si>
    <t>حي اليرموك</t>
  </si>
  <si>
    <t>البواسل</t>
  </si>
  <si>
    <t>الجود</t>
  </si>
  <si>
    <t>الكرم</t>
  </si>
  <si>
    <t>النداء عمود 54</t>
  </si>
  <si>
    <t>بيعة الغدير</t>
  </si>
  <si>
    <t>المسلة</t>
  </si>
  <si>
    <t>قرية الغدير1</t>
  </si>
  <si>
    <t>الاخوة</t>
  </si>
  <si>
    <t>مجمع الاميرات</t>
  </si>
  <si>
    <t>الود</t>
  </si>
  <si>
    <t>التفاؤل</t>
  </si>
  <si>
    <t>الوقار</t>
  </si>
  <si>
    <t>العنبر</t>
  </si>
  <si>
    <t>النداء عمود31</t>
  </si>
  <si>
    <t>المسك</t>
  </si>
  <si>
    <t>موطني</t>
  </si>
  <si>
    <t xml:space="preserve">الرايات </t>
  </si>
  <si>
    <t>مجمع السلام السكني</t>
  </si>
  <si>
    <t>المناسك</t>
  </si>
  <si>
    <t>التهجد</t>
  </si>
  <si>
    <t>ارض طيبة</t>
  </si>
  <si>
    <t>مجمع طيبة السكني</t>
  </si>
  <si>
    <t>الرونق</t>
  </si>
  <si>
    <t>الفرح/2 النموذجية المختلطة</t>
  </si>
  <si>
    <t>الفرح / 1 النموذجية للينات</t>
  </si>
  <si>
    <t>الفرح / 1 النموذجية المختلطة</t>
  </si>
  <si>
    <t>الفرح /2 النموذجية للبنات</t>
  </si>
  <si>
    <t>الرفعة</t>
  </si>
  <si>
    <t>عبدالزهرة عنوز</t>
  </si>
  <si>
    <t>زهور الغد الاساسية (قرض)</t>
  </si>
  <si>
    <t>مجمع السلطان</t>
  </si>
  <si>
    <t xml:space="preserve"> تراث النجف الاساسية</t>
  </si>
  <si>
    <t xml:space="preserve">مجمع السلطان </t>
  </si>
  <si>
    <t>الشهيد ثائر الهلالي</t>
  </si>
  <si>
    <t>ثمرة العلم</t>
  </si>
  <si>
    <t>زهور السوسن</t>
  </si>
  <si>
    <t>الكاظمي</t>
  </si>
  <si>
    <t>الاصمعي</t>
  </si>
  <si>
    <t>المنيثر</t>
  </si>
  <si>
    <t>غرناطــة</t>
  </si>
  <si>
    <t>المزوكة</t>
  </si>
  <si>
    <t>الفجر الجديد</t>
  </si>
  <si>
    <t>الاجدع الشمالي</t>
  </si>
  <si>
    <t>الشموس</t>
  </si>
  <si>
    <t>الأنـــوار</t>
  </si>
  <si>
    <t>ام الرجي</t>
  </si>
  <si>
    <t>الجيل الجديد</t>
  </si>
  <si>
    <t>الشمطونية</t>
  </si>
  <si>
    <t>المعـــالي</t>
  </si>
  <si>
    <t>القسطل</t>
  </si>
  <si>
    <t>طريق ياحسين/عمود 173</t>
  </si>
  <si>
    <t>محمد تقي الخوئي</t>
  </si>
  <si>
    <t>المزارع</t>
  </si>
  <si>
    <t>الحبــوبي</t>
  </si>
  <si>
    <t>القاسم</t>
  </si>
  <si>
    <t>النجـــوم</t>
  </si>
  <si>
    <t xml:space="preserve">مريم العذراء </t>
  </si>
  <si>
    <t>الحسن المجتبى</t>
  </si>
  <si>
    <t>سيد الشهداء</t>
  </si>
  <si>
    <t>إقـــــرأ</t>
  </si>
  <si>
    <t>ال شمخي</t>
  </si>
  <si>
    <t>جنوب مفرق الكفل</t>
  </si>
  <si>
    <t>شهداء جسر الائمة</t>
  </si>
  <si>
    <t>مفرق الكفل</t>
  </si>
  <si>
    <t>العراق الجديد</t>
  </si>
  <si>
    <t>بوري</t>
  </si>
  <si>
    <t>أيــــوب</t>
  </si>
  <si>
    <t>الغاضرية</t>
  </si>
  <si>
    <t>عابس الشاكري</t>
  </si>
  <si>
    <t>المدثر</t>
  </si>
  <si>
    <t>الوسمية</t>
  </si>
  <si>
    <t>الشهيد مصطفى الصدر</t>
  </si>
  <si>
    <t>دار العلم</t>
  </si>
  <si>
    <t>الهادي</t>
  </si>
  <si>
    <t>مكارم الاخلاق</t>
  </si>
  <si>
    <t>المجر</t>
  </si>
  <si>
    <t>الليث الابيض</t>
  </si>
  <si>
    <t>القسيم</t>
  </si>
  <si>
    <t>فاطمة الكبرى</t>
  </si>
  <si>
    <t>كرماء العرب</t>
  </si>
  <si>
    <t>درة الشام</t>
  </si>
  <si>
    <t xml:space="preserve">زينة الحياة </t>
  </si>
  <si>
    <t>الشيطة / البو فريحة</t>
  </si>
  <si>
    <t>حاتم الطائي</t>
  </si>
  <si>
    <t>بني زيد</t>
  </si>
  <si>
    <t>ذو الكفل</t>
  </si>
  <si>
    <t>ابي الاحرار</t>
  </si>
  <si>
    <t>الحقول الوسطى</t>
  </si>
  <si>
    <t>الاعراف</t>
  </si>
  <si>
    <t>تلعفر</t>
  </si>
  <si>
    <t>طريق ياحسين/عمود 451</t>
  </si>
  <si>
    <t>امرلي</t>
  </si>
  <si>
    <t>طريق ياحسين/عمود 341</t>
  </si>
  <si>
    <t>النبي يونس (ع)</t>
  </si>
  <si>
    <t>طريق ياحسين/عمود 301</t>
  </si>
  <si>
    <t>المن والسلوى</t>
  </si>
  <si>
    <t>طريق ياحسين/عمود 201</t>
  </si>
  <si>
    <t>المرتجى</t>
  </si>
  <si>
    <t>البو عليش</t>
  </si>
  <si>
    <t>سنجار</t>
  </si>
  <si>
    <t>العين</t>
  </si>
  <si>
    <t>طريق ياحسين/عمود 252</t>
  </si>
  <si>
    <t>احفاد حاتم الطائي</t>
  </si>
  <si>
    <t>قرب عمود 399</t>
  </si>
  <si>
    <t xml:space="preserve">البوادي </t>
  </si>
  <si>
    <t>الاجدع الشمالي عمود648</t>
  </si>
  <si>
    <t>النسور</t>
  </si>
  <si>
    <t>البراءة</t>
  </si>
  <si>
    <t xml:space="preserve">الامير </t>
  </si>
  <si>
    <t>رسول الرحمة</t>
  </si>
  <si>
    <t>مصفى النجف عمود 408</t>
  </si>
  <si>
    <t>الشبكة</t>
  </si>
  <si>
    <t xml:space="preserve">الشبكة </t>
  </si>
  <si>
    <t>الرضوية</t>
  </si>
  <si>
    <t>صيـــدا الاساسية</t>
  </si>
  <si>
    <t>بحر النجف</t>
  </si>
  <si>
    <t>الرحبة</t>
  </si>
  <si>
    <t>عبد القادر الحسيني</t>
  </si>
  <si>
    <t>البطولة</t>
  </si>
  <si>
    <t>المعراج</t>
  </si>
  <si>
    <t>الاطهار</t>
  </si>
  <si>
    <t>الوتر</t>
  </si>
  <si>
    <t>الشجاعة</t>
  </si>
  <si>
    <t>الشهيدة امية جبارة</t>
  </si>
  <si>
    <t>ام وهب</t>
  </si>
  <si>
    <t>الصادقين</t>
  </si>
  <si>
    <t>شهداء الرضوية</t>
  </si>
  <si>
    <t>الوئام</t>
  </si>
  <si>
    <t>الكتاب</t>
  </si>
  <si>
    <t xml:space="preserve">نور العلم </t>
  </si>
  <si>
    <t>شمس الشموس</t>
  </si>
  <si>
    <t>الام العراقية</t>
  </si>
  <si>
    <t>نبع الكوثر</t>
  </si>
  <si>
    <t xml:space="preserve">راية الحسين ع </t>
  </si>
  <si>
    <t>شمس الحق</t>
  </si>
  <si>
    <t>بانيقيا</t>
  </si>
  <si>
    <t>الرهيمـة</t>
  </si>
  <si>
    <t>قرية الرهيمة</t>
  </si>
  <si>
    <t xml:space="preserve">التسامح </t>
  </si>
  <si>
    <t>قرية مظلوم</t>
  </si>
  <si>
    <t>العزية</t>
  </si>
  <si>
    <t>منطقة العزية</t>
  </si>
  <si>
    <t>الشهيد حامد شبر</t>
  </si>
  <si>
    <t xml:space="preserve">مدينة الرسول </t>
  </si>
  <si>
    <t xml:space="preserve">العلياء </t>
  </si>
  <si>
    <t xml:space="preserve">الشهيد مثنى الكلابي </t>
  </si>
  <si>
    <t>الكوفة</t>
  </si>
  <si>
    <t>ابن حيان</t>
  </si>
  <si>
    <t>السراي</t>
  </si>
  <si>
    <t>الكوفة العقيلية</t>
  </si>
  <si>
    <t>الكريشات</t>
  </si>
  <si>
    <t>المختارية</t>
  </si>
  <si>
    <t>السهيليــة</t>
  </si>
  <si>
    <t>السهيلية</t>
  </si>
  <si>
    <t>الكميــت</t>
  </si>
  <si>
    <t>البو حداري</t>
  </si>
  <si>
    <t>الكميليــة</t>
  </si>
  <si>
    <t>علوة الفحل</t>
  </si>
  <si>
    <t>بلال الحبشي</t>
  </si>
  <si>
    <t>كندة</t>
  </si>
  <si>
    <t>عمار بن ياسر</t>
  </si>
  <si>
    <t>البو ماضي</t>
  </si>
  <si>
    <t>المتنبــي</t>
  </si>
  <si>
    <t>ال عيسى</t>
  </si>
  <si>
    <t>المقداد</t>
  </si>
  <si>
    <t>البو نعمان</t>
  </si>
  <si>
    <t>المصطفى الأساسية</t>
  </si>
  <si>
    <t>الصحابة</t>
  </si>
  <si>
    <t>الجمهورية</t>
  </si>
  <si>
    <t>كنــــدة</t>
  </si>
  <si>
    <t>الرافدين</t>
  </si>
  <si>
    <t>الشهيد الصباغ</t>
  </si>
  <si>
    <t>ميثم التمار</t>
  </si>
  <si>
    <t>الضفاف</t>
  </si>
  <si>
    <t>قرية الزركة</t>
  </si>
  <si>
    <t>مسلم بن عقيل</t>
  </si>
  <si>
    <t>الفاطمية</t>
  </si>
  <si>
    <t>الحكمة</t>
  </si>
  <si>
    <t>الكريشات الشمالية</t>
  </si>
  <si>
    <t>ال البيت</t>
  </si>
  <si>
    <t>ذات النطاقين</t>
  </si>
  <si>
    <t>البويب</t>
  </si>
  <si>
    <t>اور</t>
  </si>
  <si>
    <t>السجود</t>
  </si>
  <si>
    <t>السويس</t>
  </si>
  <si>
    <t>الرشادية الثانية</t>
  </si>
  <si>
    <t>خديجة</t>
  </si>
  <si>
    <t>الاسكندرونة</t>
  </si>
  <si>
    <t>الانعــام</t>
  </si>
  <si>
    <t>سينـــاء</t>
  </si>
  <si>
    <t>الزرفات</t>
  </si>
  <si>
    <t>تل الزعتر</t>
  </si>
  <si>
    <t>المناهل</t>
  </si>
  <si>
    <t>ام سلمة</t>
  </si>
  <si>
    <t>نابلـــس</t>
  </si>
  <si>
    <t>المثنـــى</t>
  </si>
  <si>
    <t>الحواتم</t>
  </si>
  <si>
    <t xml:space="preserve">ميســــان </t>
  </si>
  <si>
    <t>ميسان</t>
  </si>
  <si>
    <t>السيـــاب</t>
  </si>
  <si>
    <t>العسكري</t>
  </si>
  <si>
    <t>المزدلفة</t>
  </si>
  <si>
    <t>الاخلاص</t>
  </si>
  <si>
    <t>عرفـــات</t>
  </si>
  <si>
    <t>الصفا والمروة</t>
  </si>
  <si>
    <t>البيت العتيق</t>
  </si>
  <si>
    <t>مكة المكرمة</t>
  </si>
  <si>
    <t>المؤمنات</t>
  </si>
  <si>
    <t>بنت الهدى</t>
  </si>
  <si>
    <t>الكورنيش</t>
  </si>
  <si>
    <t>النعيـــم</t>
  </si>
  <si>
    <t>السبطين</t>
  </si>
  <si>
    <t>رشيد الهجري</t>
  </si>
  <si>
    <t>البقيـــع</t>
  </si>
  <si>
    <t>المهـــدي</t>
  </si>
  <si>
    <t>العروة الوثقى</t>
  </si>
  <si>
    <t>الطالبيـــة</t>
  </si>
  <si>
    <t>طوعة المرادية</t>
  </si>
  <si>
    <t>الامام موسى بن جعفر</t>
  </si>
  <si>
    <t>العباس بن عبد المطلب</t>
  </si>
  <si>
    <t>طيبـــة</t>
  </si>
  <si>
    <t>جنات النعيم</t>
  </si>
  <si>
    <t xml:space="preserve">الجديدة </t>
  </si>
  <si>
    <t>بطل خيبر</t>
  </si>
  <si>
    <t>ابن بطوطة</t>
  </si>
  <si>
    <t>الرقــــة</t>
  </si>
  <si>
    <t>مسلم بن عوسجة</t>
  </si>
  <si>
    <t>الفرقدين</t>
  </si>
  <si>
    <t>الفـــواطم</t>
  </si>
  <si>
    <t>المتقيـــن</t>
  </si>
  <si>
    <t>الاسماء الحسنى</t>
  </si>
  <si>
    <t>سلسبيل</t>
  </si>
  <si>
    <t>الميامين</t>
  </si>
  <si>
    <t>النبأ العظيم</t>
  </si>
  <si>
    <t>العلـــوية</t>
  </si>
  <si>
    <t>العباس بن علي</t>
  </si>
  <si>
    <t>الطـــف</t>
  </si>
  <si>
    <t>الانشراح</t>
  </si>
  <si>
    <t>عبد الصاحب دخيل</t>
  </si>
  <si>
    <t>براثــــا</t>
  </si>
  <si>
    <t>سفينة النجاة</t>
  </si>
  <si>
    <t>اللؤلؤ المنثور</t>
  </si>
  <si>
    <t>البهـــاء</t>
  </si>
  <si>
    <t>الطـــور</t>
  </si>
  <si>
    <t>الشهيد عارف البصري</t>
  </si>
  <si>
    <t>شيبة الحمد</t>
  </si>
  <si>
    <t>الوارثين</t>
  </si>
  <si>
    <t>البيـــداء</t>
  </si>
  <si>
    <t>رايات الحق</t>
  </si>
  <si>
    <t>المؤاخاة</t>
  </si>
  <si>
    <t>الحواتم / ام منينه</t>
  </si>
  <si>
    <t>خد العذراء</t>
  </si>
  <si>
    <t>الشهيد شاكر الكفائي</t>
  </si>
  <si>
    <t xml:space="preserve"> ميسان</t>
  </si>
  <si>
    <t>مصباح الهداية</t>
  </si>
  <si>
    <t>الذكر الحكيم</t>
  </si>
  <si>
    <t xml:space="preserve">الصدر الثالث </t>
  </si>
  <si>
    <t>سيد ابراهيم الغمر</t>
  </si>
  <si>
    <t>الميزان</t>
  </si>
  <si>
    <t>الشهيد طالب عبيد الحدراوي</t>
  </si>
  <si>
    <t>انوار الامين</t>
  </si>
  <si>
    <t>الشهيد صلاح محمد رضا شربة</t>
  </si>
  <si>
    <t>المتنبي</t>
  </si>
  <si>
    <t>حسين عبود الحسن</t>
  </si>
  <si>
    <t>الشهيد عبد الهادي عبود الجبوري</t>
  </si>
  <si>
    <t>الربوة</t>
  </si>
  <si>
    <t>الوارقة</t>
  </si>
  <si>
    <t>سمير العلاق</t>
  </si>
  <si>
    <t>الحجرات</t>
  </si>
  <si>
    <t>منة المنان</t>
  </si>
  <si>
    <t xml:space="preserve">عبدالكريم عبدالامير الفحام </t>
  </si>
  <si>
    <t>الشهيد مهدي غني الكوفي</t>
  </si>
  <si>
    <t>هاني بن عروة</t>
  </si>
  <si>
    <t>البراكية</t>
  </si>
  <si>
    <t>الاهرام</t>
  </si>
  <si>
    <t>نور الزهراء</t>
  </si>
  <si>
    <t>طرابلس</t>
  </si>
  <si>
    <t>البراكية الجنوبية</t>
  </si>
  <si>
    <t>الازدهار</t>
  </si>
  <si>
    <t>بطلة كربلاء</t>
  </si>
  <si>
    <t>الشهيد علي الرماحي</t>
  </si>
  <si>
    <t>سيد الوصيين</t>
  </si>
  <si>
    <t>حامل اللواء</t>
  </si>
  <si>
    <t>زيد بن صوحان</t>
  </si>
  <si>
    <t>راعي الاصلاح</t>
  </si>
  <si>
    <t>الرؤية</t>
  </si>
  <si>
    <t>الهاشميات</t>
  </si>
  <si>
    <t>الصفوة الطاهرة</t>
  </si>
  <si>
    <t xml:space="preserve">النقاء </t>
  </si>
  <si>
    <t>العباسية</t>
  </si>
  <si>
    <t>الفارابي</t>
  </si>
  <si>
    <t>طبر سيد جواد</t>
  </si>
  <si>
    <t>الاحسان</t>
  </si>
  <si>
    <t>ابو غرب</t>
  </si>
  <si>
    <t>الخلـــود</t>
  </si>
  <si>
    <t>الاعمى</t>
  </si>
  <si>
    <t>الافنـــان</t>
  </si>
  <si>
    <t>النفاخ</t>
  </si>
  <si>
    <t>الجوادين</t>
  </si>
  <si>
    <t>الوهابي</t>
  </si>
  <si>
    <t>المعـــري</t>
  </si>
  <si>
    <t>ال بدير</t>
  </si>
  <si>
    <t>الادريسي</t>
  </si>
  <si>
    <t xml:space="preserve">الشرمان </t>
  </si>
  <si>
    <t>اســـوان</t>
  </si>
  <si>
    <t>البو عزيب</t>
  </si>
  <si>
    <t>البحتري</t>
  </si>
  <si>
    <t>الحيدري</t>
  </si>
  <si>
    <t>النيـــل</t>
  </si>
  <si>
    <t>ابو ضباع</t>
  </si>
  <si>
    <t>امير المؤمنين</t>
  </si>
  <si>
    <t>جزار ال دهيم</t>
  </si>
  <si>
    <t>ابن ماجد</t>
  </si>
  <si>
    <t>بور سعيد</t>
  </si>
  <si>
    <t>العـــدل</t>
  </si>
  <si>
    <t>العدل</t>
  </si>
  <si>
    <t>الرصافي</t>
  </si>
  <si>
    <t>الحيـــاة</t>
  </si>
  <si>
    <t>ابو سمسم</t>
  </si>
  <si>
    <t>المقاتل العربي</t>
  </si>
  <si>
    <t>العريان</t>
  </si>
  <si>
    <t>بابــــل</t>
  </si>
  <si>
    <t>الجفيرة</t>
  </si>
  <si>
    <t>المكارم</t>
  </si>
  <si>
    <t>القزونية ج</t>
  </si>
  <si>
    <t>اسامــة بن زيد</t>
  </si>
  <si>
    <t>جبسة ابو غرب</t>
  </si>
  <si>
    <t>اجنادين</t>
  </si>
  <si>
    <t>الفراهيدي</t>
  </si>
  <si>
    <t>الاندلس</t>
  </si>
  <si>
    <t>الصمود</t>
  </si>
  <si>
    <t>الطابو</t>
  </si>
  <si>
    <t>القيروان</t>
  </si>
  <si>
    <t>الشرمان</t>
  </si>
  <si>
    <t xml:space="preserve">الايثـــار </t>
  </si>
  <si>
    <t>زنوبيا</t>
  </si>
  <si>
    <t>ابو جوارير</t>
  </si>
  <si>
    <t>شط العرب</t>
  </si>
  <si>
    <t>ال علي</t>
  </si>
  <si>
    <t>الرارنجية</t>
  </si>
  <si>
    <t>القزوينية ش</t>
  </si>
  <si>
    <t>الزوراء</t>
  </si>
  <si>
    <t>ال مواش</t>
  </si>
  <si>
    <t>المفاخــر</t>
  </si>
  <si>
    <t>المشاعل</t>
  </si>
  <si>
    <t>ذات الصواري</t>
  </si>
  <si>
    <t>ظفـــار</t>
  </si>
  <si>
    <t>الهطروجية</t>
  </si>
  <si>
    <t>زرقاء اليمامة</t>
  </si>
  <si>
    <t>العلويين</t>
  </si>
  <si>
    <t xml:space="preserve">الرسالة </t>
  </si>
  <si>
    <t xml:space="preserve">زينب بنت علي </t>
  </si>
  <si>
    <t>الرحمن</t>
  </si>
  <si>
    <t xml:space="preserve">المركز </t>
  </si>
  <si>
    <t>شهيد المحراب</t>
  </si>
  <si>
    <t>الرائـــد</t>
  </si>
  <si>
    <t>محمد بن الحسن المثنى</t>
  </si>
  <si>
    <t>العنب الشمالي</t>
  </si>
  <si>
    <t>زهير بن القين</t>
  </si>
  <si>
    <t>الخاشعين</t>
  </si>
  <si>
    <t>الدر المكنون</t>
  </si>
  <si>
    <t>الزقورة</t>
  </si>
  <si>
    <t>الشهيد عبد الزهرة السلامي</t>
  </si>
  <si>
    <t>الفتحي</t>
  </si>
  <si>
    <t>الطيبات</t>
  </si>
  <si>
    <t>الفائزين</t>
  </si>
  <si>
    <t>الشريمة</t>
  </si>
  <si>
    <t>ريحانة المصطفى</t>
  </si>
  <si>
    <t>ال علي/الصحاوي</t>
  </si>
  <si>
    <t>الزاهدين</t>
  </si>
  <si>
    <t>شهداء العباسية</t>
  </si>
  <si>
    <t>نهر الفتحي</t>
  </si>
  <si>
    <t>السيدة حكيمة</t>
  </si>
  <si>
    <t>بشائر النصر</t>
  </si>
  <si>
    <t>الاصائل</t>
  </si>
  <si>
    <t>الفسائل</t>
  </si>
  <si>
    <t>ال شيخ مشهد</t>
  </si>
  <si>
    <t>الانهار</t>
  </si>
  <si>
    <t>وردة الصباح</t>
  </si>
  <si>
    <t>زهير مراد الاسدي</t>
  </si>
  <si>
    <t>غافر الأساسية</t>
  </si>
  <si>
    <t>عربيات السادة</t>
  </si>
  <si>
    <t xml:space="preserve">المهيار </t>
  </si>
  <si>
    <t>الحرية</t>
  </si>
  <si>
    <t>ابن خلدون</t>
  </si>
  <si>
    <t>الاصلاح(الشماخية )</t>
  </si>
  <si>
    <t>ابو حلان</t>
  </si>
  <si>
    <t>الغزالي</t>
  </si>
  <si>
    <t>الجماهير</t>
  </si>
  <si>
    <t>المجاتيم</t>
  </si>
  <si>
    <t>القنيطرة</t>
  </si>
  <si>
    <t>الخماسي</t>
  </si>
  <si>
    <t>لبنان العربي</t>
  </si>
  <si>
    <t>ابن سينا</t>
  </si>
  <si>
    <t>الحمام</t>
  </si>
  <si>
    <t>امنة بنت وهب</t>
  </si>
  <si>
    <t>قرطبة</t>
  </si>
  <si>
    <t>البو عارضي</t>
  </si>
  <si>
    <t>الغافقي</t>
  </si>
  <si>
    <t>السريدات</t>
  </si>
  <si>
    <t>المستقبل</t>
  </si>
  <si>
    <t>التيل</t>
  </si>
  <si>
    <t>الشعـلة</t>
  </si>
  <si>
    <t>الخاجية</t>
  </si>
  <si>
    <t>ابن رشد</t>
  </si>
  <si>
    <t>ام المؤمنين</t>
  </si>
  <si>
    <t>البصـرة</t>
  </si>
  <si>
    <t>الحــرية</t>
  </si>
  <si>
    <t>البشائر</t>
  </si>
  <si>
    <t>الناصرية</t>
  </si>
  <si>
    <t>جنة المعلى</t>
  </si>
  <si>
    <t>العقيــدة</t>
  </si>
  <si>
    <t>العيون والمعافاة</t>
  </si>
  <si>
    <t>الشهيد محسن كريم الطفيلي</t>
  </si>
  <si>
    <t>الشيخ حاتم حسن الشمخي</t>
  </si>
  <si>
    <t>البزل والتيل</t>
  </si>
  <si>
    <t xml:space="preserve">المناذرة </t>
  </si>
  <si>
    <t>الرسول</t>
  </si>
  <si>
    <t>الزوية</t>
  </si>
  <si>
    <t>الهدى</t>
  </si>
  <si>
    <t>الاوقاف</t>
  </si>
  <si>
    <t>رفح</t>
  </si>
  <si>
    <t>الحضر</t>
  </si>
  <si>
    <t>الجمهوري</t>
  </si>
  <si>
    <t>ابن زيدون</t>
  </si>
  <si>
    <t>الهاشميين</t>
  </si>
  <si>
    <t>الضياء</t>
  </si>
  <si>
    <t>المواهب</t>
  </si>
  <si>
    <t>المحجرة</t>
  </si>
  <si>
    <t>ام كلثوم بنت الحسين</t>
  </si>
  <si>
    <t>محمد رضا المظفر</t>
  </si>
  <si>
    <t>اركان الكعبة</t>
  </si>
  <si>
    <t>المشرق العربي</t>
  </si>
  <si>
    <t>الغسق</t>
  </si>
  <si>
    <t>ابو صخير</t>
  </si>
  <si>
    <t>المطاط</t>
  </si>
  <si>
    <t>الجوهرة</t>
  </si>
  <si>
    <t>باب الحوائج</t>
  </si>
  <si>
    <t>البصائر</t>
  </si>
  <si>
    <t>الديار المقدسة</t>
  </si>
  <si>
    <t>الحشد الشعبي</t>
  </si>
  <si>
    <t>الدرة البيضاء</t>
  </si>
  <si>
    <t>المسار</t>
  </si>
  <si>
    <t>لواء العلم الابتدائية</t>
  </si>
  <si>
    <t>البلدية</t>
  </si>
  <si>
    <t>الغفران الابتدائية</t>
  </si>
  <si>
    <t>البراء</t>
  </si>
  <si>
    <t>الحيرة</t>
  </si>
  <si>
    <t>الكويت</t>
  </si>
  <si>
    <t>وادي العقيق</t>
  </si>
  <si>
    <t>الدسم</t>
  </si>
  <si>
    <t>التسبيح</t>
  </si>
  <si>
    <t>المحاجير</t>
  </si>
  <si>
    <t>النعمان</t>
  </si>
  <si>
    <t>المراشدة</t>
  </si>
  <si>
    <t>الجواهري</t>
  </si>
  <si>
    <t>الصنين</t>
  </si>
  <si>
    <t>السلوك القويم</t>
  </si>
  <si>
    <t>المبزل الشرقي</t>
  </si>
  <si>
    <t>ابطال الجولان</t>
  </si>
  <si>
    <t>المحاجير الشرقية</t>
  </si>
  <si>
    <t>التصميم</t>
  </si>
  <si>
    <t>ال شاهر</t>
  </si>
  <si>
    <t>المغرب العربي</t>
  </si>
  <si>
    <t>الثواير</t>
  </si>
  <si>
    <t>تونس</t>
  </si>
  <si>
    <t>ال زجري</t>
  </si>
  <si>
    <t>النهوض</t>
  </si>
  <si>
    <t>مالحة الحاج كاظم</t>
  </si>
  <si>
    <t>عمر المختار</t>
  </si>
  <si>
    <t>الغزالات</t>
  </si>
  <si>
    <t>الشمائل</t>
  </si>
  <si>
    <t>الخالصة</t>
  </si>
  <si>
    <t>سعدى</t>
  </si>
  <si>
    <t>احد</t>
  </si>
  <si>
    <t>الثبات</t>
  </si>
  <si>
    <t>العطاء</t>
  </si>
  <si>
    <t>القرنة</t>
  </si>
  <si>
    <t>المحمدية</t>
  </si>
  <si>
    <t>غار حراء</t>
  </si>
  <si>
    <t xml:space="preserve"> النعمان</t>
  </si>
  <si>
    <t>جزيرة العرب</t>
  </si>
  <si>
    <t>الخضراء</t>
  </si>
  <si>
    <t>الميثاق</t>
  </si>
  <si>
    <t>مراكش</t>
  </si>
  <si>
    <t>السجاد</t>
  </si>
  <si>
    <t>احمد الوائلي</t>
  </si>
  <si>
    <t>البركات</t>
  </si>
  <si>
    <t>الشهيد صاحب العامري</t>
  </si>
  <si>
    <t>القران الناطق</t>
  </si>
  <si>
    <t>ريحانة الرسول</t>
  </si>
  <si>
    <t>الشهيد نمير الفتلاوي</t>
  </si>
  <si>
    <t>الثلث</t>
  </si>
  <si>
    <t>الاعتدال</t>
  </si>
  <si>
    <t>التبيان</t>
  </si>
  <si>
    <t>حي الكويت</t>
  </si>
  <si>
    <t>ال محمد (ص)</t>
  </si>
  <si>
    <t xml:space="preserve">الممهدون </t>
  </si>
  <si>
    <t>المبدعات</t>
  </si>
  <si>
    <t>اشور</t>
  </si>
  <si>
    <t>شلال</t>
  </si>
  <si>
    <t>الوجدان</t>
  </si>
  <si>
    <t>ام عردة</t>
  </si>
  <si>
    <t>العزة</t>
  </si>
  <si>
    <t>العصري</t>
  </si>
  <si>
    <t>1400564</t>
  </si>
  <si>
    <t>الحديبية</t>
  </si>
  <si>
    <t>ابو واوية</t>
  </si>
  <si>
    <t>الخورنق</t>
  </si>
  <si>
    <t>رمل الثواير</t>
  </si>
  <si>
    <t>النجاح</t>
  </si>
  <si>
    <t>هور فريق</t>
  </si>
  <si>
    <t>التأخي</t>
  </si>
  <si>
    <t>الهارمية</t>
  </si>
  <si>
    <t>السعادة</t>
  </si>
  <si>
    <t>المالحة</t>
  </si>
  <si>
    <t>ثورة العشرين</t>
  </si>
  <si>
    <t>راك الحصوة</t>
  </si>
  <si>
    <t>الخمائل</t>
  </si>
  <si>
    <t>طبر سيد نور</t>
  </si>
  <si>
    <t>النبوغ</t>
  </si>
  <si>
    <t>الجفلاوية</t>
  </si>
  <si>
    <t>الشهيد راهي عبدالواحد</t>
  </si>
  <si>
    <t>النهروان</t>
  </si>
  <si>
    <t>ال فرعون</t>
  </si>
  <si>
    <t>جنين</t>
  </si>
  <si>
    <t>ابريهي</t>
  </si>
  <si>
    <t>الفضائل</t>
  </si>
  <si>
    <t>شويلة مزهر</t>
  </si>
  <si>
    <t>ابن الهيثم</t>
  </si>
  <si>
    <t>الجباية</t>
  </si>
  <si>
    <t>ابي تمام</t>
  </si>
  <si>
    <t>الدبينية</t>
  </si>
  <si>
    <t>المجهيلة الغربية</t>
  </si>
  <si>
    <t>ابي فراس</t>
  </si>
  <si>
    <t>ام ليرة</t>
  </si>
  <si>
    <t>الذهب</t>
  </si>
  <si>
    <t>ابو ذهب</t>
  </si>
  <si>
    <t>الحجاز</t>
  </si>
  <si>
    <t>الكسائي</t>
  </si>
  <si>
    <t>العزامية</t>
  </si>
  <si>
    <t>بيروت</t>
  </si>
  <si>
    <t>ابو صفصافة</t>
  </si>
  <si>
    <t>المدينة</t>
  </si>
  <si>
    <t>العظامية</t>
  </si>
  <si>
    <t>العرفان</t>
  </si>
  <si>
    <t>الكليبي</t>
  </si>
  <si>
    <t>القبس</t>
  </si>
  <si>
    <t>الاسراء</t>
  </si>
  <si>
    <t>حليمة السعدية</t>
  </si>
  <si>
    <t>الهناء</t>
  </si>
  <si>
    <t>البو خريف</t>
  </si>
  <si>
    <t>السرور</t>
  </si>
  <si>
    <t>الجعباوي</t>
  </si>
  <si>
    <t>نجد</t>
  </si>
  <si>
    <t>الدلكة</t>
  </si>
  <si>
    <t>سامراء</t>
  </si>
  <si>
    <t>الناصرة</t>
  </si>
  <si>
    <t>النشىء الجديد</t>
  </si>
  <si>
    <t>العدنانية</t>
  </si>
  <si>
    <t>طبر مهدي</t>
  </si>
  <si>
    <t>زيد بن حارثة</t>
  </si>
  <si>
    <t>ابن الاثير</t>
  </si>
  <si>
    <t>الامجاد</t>
  </si>
  <si>
    <t>المنار</t>
  </si>
  <si>
    <t>فاطمة الزهراء</t>
  </si>
  <si>
    <t>ام البنين</t>
  </si>
  <si>
    <t>نينوى</t>
  </si>
  <si>
    <t>الزهاوي</t>
  </si>
  <si>
    <t>قرية الحسن</t>
  </si>
  <si>
    <t>محمد الدرة</t>
  </si>
  <si>
    <t>الفاروق</t>
  </si>
  <si>
    <t>العضامية</t>
  </si>
  <si>
    <t>الامل</t>
  </si>
  <si>
    <t>حسان بن ثابت</t>
  </si>
  <si>
    <t>الخندق</t>
  </si>
  <si>
    <t>الامام الجواد</t>
  </si>
  <si>
    <t>الفيحاء</t>
  </si>
  <si>
    <t>السؤدد</t>
  </si>
  <si>
    <t>الاخاء</t>
  </si>
  <si>
    <t>الرميلة</t>
  </si>
  <si>
    <t>جنة العسكريين</t>
  </si>
  <si>
    <t>السوارية</t>
  </si>
  <si>
    <t>الصراط المستقيم</t>
  </si>
  <si>
    <t>شمس الولاية</t>
  </si>
  <si>
    <t>النجم الثاقب</t>
  </si>
  <si>
    <t>شريفة بنت الحسن ع</t>
  </si>
  <si>
    <t>النبي البشير ع</t>
  </si>
  <si>
    <t>الشرش</t>
  </si>
  <si>
    <t>ناجي المحنه</t>
  </si>
  <si>
    <t>الاكرام</t>
  </si>
  <si>
    <t xml:space="preserve">السجدة </t>
  </si>
  <si>
    <t>الورود الابتدائية</t>
  </si>
  <si>
    <t>الجهاد الكفائي</t>
  </si>
  <si>
    <t>ام خشم</t>
  </si>
  <si>
    <t>تاج الدين</t>
  </si>
  <si>
    <t>الشورى</t>
  </si>
  <si>
    <t>سوق شعلان</t>
  </si>
  <si>
    <t>الياسرية</t>
  </si>
  <si>
    <t>التوبي</t>
  </si>
  <si>
    <t>البلاغة</t>
  </si>
  <si>
    <t>الطرمة</t>
  </si>
  <si>
    <t>حطين</t>
  </si>
  <si>
    <t>ام البط الغربية</t>
  </si>
  <si>
    <t>ابو بلام</t>
  </si>
  <si>
    <t>النسر العربي</t>
  </si>
  <si>
    <t>ام بردية الشرقية</t>
  </si>
  <si>
    <t>الثقلين</t>
  </si>
  <si>
    <t>ام تولة</t>
  </si>
  <si>
    <t>الجهاد</t>
  </si>
  <si>
    <t>ام بزونة الشرقية</t>
  </si>
  <si>
    <t>القادسية الابتدائية</t>
  </si>
  <si>
    <t>الامام العسكري</t>
  </si>
  <si>
    <t>طوك الغزالات</t>
  </si>
  <si>
    <t>يافا</t>
  </si>
  <si>
    <t>الدار البيضاء</t>
  </si>
  <si>
    <t>ام انعاج</t>
  </si>
  <si>
    <t>غزة</t>
  </si>
  <si>
    <t>الاحيمر</t>
  </si>
  <si>
    <t>ليلة القدر</t>
  </si>
  <si>
    <t>جزرة العبودة</t>
  </si>
  <si>
    <t>دير ياسين</t>
  </si>
  <si>
    <t>العاصية</t>
  </si>
  <si>
    <t>الانفال</t>
  </si>
  <si>
    <t>الثوار</t>
  </si>
  <si>
    <t>عمورية</t>
  </si>
  <si>
    <t>الشويلة ج</t>
  </si>
  <si>
    <t>العودة</t>
  </si>
  <si>
    <t>العزيمة</t>
  </si>
  <si>
    <t>طبر عمار</t>
  </si>
  <si>
    <t>العامل</t>
  </si>
  <si>
    <t>البطحاء</t>
  </si>
  <si>
    <t>الغزالية</t>
  </si>
  <si>
    <t>الثقافة</t>
  </si>
  <si>
    <t>الحكيم</t>
  </si>
  <si>
    <t>العريش</t>
  </si>
  <si>
    <t>المرانة</t>
  </si>
  <si>
    <t>التعاون</t>
  </si>
  <si>
    <t>1400476</t>
  </si>
  <si>
    <t>فاطمة بنت اسد</t>
  </si>
  <si>
    <t>قريش</t>
  </si>
  <si>
    <t>الرملة</t>
  </si>
  <si>
    <t>الاقصى</t>
  </si>
  <si>
    <t>زيد بن علي</t>
  </si>
  <si>
    <t>الافاق</t>
  </si>
  <si>
    <t>السنبلة</t>
  </si>
  <si>
    <t>الدعارية</t>
  </si>
  <si>
    <t>شجرة النبوة</t>
  </si>
  <si>
    <t>العرايا</t>
  </si>
  <si>
    <t>الامام الموعود</t>
  </si>
  <si>
    <t>الشويلة - الغدير</t>
  </si>
  <si>
    <t>الحضارة</t>
  </si>
  <si>
    <t>صناع الغد</t>
  </si>
  <si>
    <t>الامال الابتدائية</t>
  </si>
  <si>
    <t>غصن الزيتون</t>
  </si>
  <si>
    <t>الصادق الامين</t>
  </si>
  <si>
    <t>المكير</t>
  </si>
  <si>
    <t>عدد التلامذة المستجدين في الصف الأول الابتدائي</t>
  </si>
  <si>
    <t>عدد التلامذة المسجلين في الصف الاول الابتدائي</t>
  </si>
  <si>
    <t>عدد التلامذة المسجلين في الصف الثاني الابتدائي</t>
  </si>
  <si>
    <t>عدد التلامذة المسجلين في الصف الثالث الابتدائي</t>
  </si>
  <si>
    <t>عدد التلامذة المسجلين في الصف الرابع الابتدائي</t>
  </si>
  <si>
    <t>13 سنوات</t>
  </si>
  <si>
    <t>عدد التلامذة المسجلين في الصف الخامس الابتدائي</t>
  </si>
  <si>
    <t>14 سنوات</t>
  </si>
  <si>
    <t>عدد التلامذة المسجلين في الصف السادس الابتدائي</t>
  </si>
  <si>
    <t>15 سنوات</t>
  </si>
  <si>
    <t>الصف الاول</t>
  </si>
  <si>
    <t>الصف الثاني</t>
  </si>
  <si>
    <t>الصف الثالث</t>
  </si>
  <si>
    <t>الصف الرابع</t>
  </si>
  <si>
    <t>الصف الخامس</t>
  </si>
  <si>
    <t>الصف السادس</t>
  </si>
  <si>
    <t>عدد التلامذة التاركين</t>
  </si>
  <si>
    <t>عدد التلامذة الناجحون</t>
  </si>
  <si>
    <t>التلامذة الراسبين بسبب الفشل بالامتحان</t>
  </si>
  <si>
    <t>التلامذة الراسبين بسبب تجاوز أيام الغياب</t>
  </si>
  <si>
    <t>التلامذة الراسبين لاسباب أخرى</t>
  </si>
  <si>
    <t>مجموع التلامذة الراسبين لكل الاسباب</t>
  </si>
  <si>
    <t>أعضاء الهيئة التعليمية حسب العنوان الوظيفي</t>
  </si>
  <si>
    <t>مدير</t>
  </si>
  <si>
    <t>معاون</t>
  </si>
  <si>
    <t>مدرس</t>
  </si>
  <si>
    <t>الموظفون الاداريون والخدميون حسب العنوان الوظيفي</t>
  </si>
  <si>
    <t>موظف ادراي</t>
  </si>
  <si>
    <t>محاسب</t>
  </si>
  <si>
    <t>كاتب</t>
  </si>
  <si>
    <t>مساعد مختبر</t>
  </si>
  <si>
    <t>امين مكتبة</t>
  </si>
  <si>
    <t>موظف خدمات</t>
  </si>
  <si>
    <t>حارس</t>
  </si>
  <si>
    <t>سائق</t>
  </si>
  <si>
    <t>فلاح</t>
  </si>
  <si>
    <t>عدد أعضاء الهيئة التدريسية حسب الجنسية</t>
  </si>
  <si>
    <t>عراقية</t>
  </si>
  <si>
    <t>عربية</t>
  </si>
  <si>
    <t>اجنبية</t>
  </si>
  <si>
    <t>عدد أعضاء الهيئة التدريسية حسب الحالة الوظيفية</t>
  </si>
  <si>
    <t>إجازة دراسية</t>
  </si>
  <si>
    <t>إجازة مصاحبة</t>
  </si>
  <si>
    <t>إجازة مرضية طويلة</t>
  </si>
  <si>
    <t>إجازة امومة</t>
  </si>
  <si>
    <t>منسب الى جهات اخرى</t>
  </si>
  <si>
    <t>اجازة (4-5) سنوات</t>
  </si>
  <si>
    <t>عدد أعضاء الهيئة التدريسية حسب الحالة الاجتماعية</t>
  </si>
  <si>
    <t>اعزب</t>
  </si>
  <si>
    <t>متزوج</t>
  </si>
  <si>
    <t>ارمل</t>
  </si>
  <si>
    <t>مطلق</t>
  </si>
  <si>
    <t>عدد أعضاء الهيئة التدريسية حسب سنوات الخدمة</t>
  </si>
  <si>
    <t>5 سنوات او اقل</t>
  </si>
  <si>
    <t>من 6 الى 10</t>
  </si>
  <si>
    <t>من 11 الى 15</t>
  </si>
  <si>
    <t>16 فاكثر</t>
  </si>
  <si>
    <t>عدد أعضاء الهيئة التدريسية حسب العمر</t>
  </si>
  <si>
    <t>من 30 الى 39</t>
  </si>
  <si>
    <t>من 40 الى 49</t>
  </si>
  <si>
    <t>من 50 الى 59</t>
  </si>
  <si>
    <t>60 فاكثر</t>
  </si>
  <si>
    <t>عدد أعضاء الهيئة التدريسية المشاركين في الدورات التدريبية للعام السابق</t>
  </si>
  <si>
    <t>عدد أعضاء الهيئة التدريسية حسب الشهادة والتخصص والجنس</t>
  </si>
  <si>
    <t>التربية الإسلامية</t>
  </si>
  <si>
    <t>دبلوم تعليمي</t>
  </si>
  <si>
    <t>بكالوريوس تعليمي</t>
  </si>
  <si>
    <t>بكالوريوس عام</t>
  </si>
  <si>
    <t>اللعة العربية</t>
  </si>
  <si>
    <t>رياضيات</t>
  </si>
  <si>
    <t>علوم وعلوم الحياة</t>
  </si>
  <si>
    <t>علم النفس</t>
  </si>
  <si>
    <t>تربية الفنية</t>
  </si>
  <si>
    <t>تربية رياضية</t>
  </si>
  <si>
    <t>7| عدد التلامذة المسجلين من غير العراقيين</t>
  </si>
  <si>
    <t>هل المدرسة مشمولة بـــ :</t>
  </si>
  <si>
    <t>تدريس اللغات الأجنبية</t>
  </si>
  <si>
    <t>ما هي اللغة الأجنبية</t>
  </si>
  <si>
    <t>اللغات المحلية</t>
  </si>
  <si>
    <t>نوع البناء</t>
  </si>
  <si>
    <t>سنة البناء</t>
  </si>
  <si>
    <t>رقم القطعة</t>
  </si>
  <si>
    <t>رقم المقاطعة</t>
  </si>
  <si>
    <t>هل توجد مساحة للتوسيع؟</t>
  </si>
  <si>
    <t>عدد طوابق البناية</t>
  </si>
  <si>
    <t>هل المدرسة بحاجة الى صفوف إضافية</t>
  </si>
  <si>
    <t>عدد الصفوف الإضافية</t>
  </si>
  <si>
    <t>سعة المدرسة</t>
  </si>
  <si>
    <t>عدد الغرف بالبناية / صفوف</t>
  </si>
  <si>
    <t>عدد الغرف بالبناية / أخرى</t>
  </si>
  <si>
    <t>مادة البناء</t>
  </si>
  <si>
    <t>هل تتوفر في المدرسة مرافق صحية</t>
  </si>
  <si>
    <t>صالحة / غير صالحة</t>
  </si>
  <si>
    <t>كافية / غير كافية</t>
  </si>
  <si>
    <t>هل ترتبط البناية بشبكة الماء الصالح للشرب؟</t>
  </si>
  <si>
    <t>مصدرالماء الصالح للشرب</t>
  </si>
  <si>
    <t>هل المدرسة مزودة بخدمة المجاري؟</t>
  </si>
  <si>
    <t>ما نوع خدمه المجاري</t>
  </si>
  <si>
    <t>هل هناك سياج حول البناية؟</t>
  </si>
  <si>
    <t>نوع السياج</t>
  </si>
  <si>
    <t>حالة السياج</t>
  </si>
  <si>
    <t>هل توجد ساحة رياضية في المدرسة؟</t>
  </si>
  <si>
    <t>هل توجد حديقة مدرسية؟</t>
  </si>
  <si>
    <t>هل توجد قاعة أنشطة مستقلة؟</t>
  </si>
  <si>
    <t>نوعها</t>
  </si>
  <si>
    <t>هل البناية تشغلها</t>
  </si>
  <si>
    <t>الحالة العمرانية</t>
  </si>
  <si>
    <t>عدد الرحلات ذات المقعدين</t>
  </si>
  <si>
    <t>عدد الرحلات ذات المقعد الواحد</t>
  </si>
  <si>
    <t>عدد لوحات الكتابة (السبورات)</t>
  </si>
  <si>
    <t>عدد الحاسبات الالكترونية (كمبيوتر)</t>
  </si>
  <si>
    <t>عدد الطابعات</t>
  </si>
  <si>
    <t>عدد الماسح الضوئي (سكنر)</t>
  </si>
  <si>
    <t>هل توجد مكتبة</t>
  </si>
  <si>
    <t>المسؤول عن المكتبة</t>
  </si>
  <si>
    <t>نوعية المكتبة</t>
  </si>
  <si>
    <t>عدد الكتب والمجلات في المكتبة</t>
  </si>
  <si>
    <t>عدد المجلات او القصص</t>
  </si>
  <si>
    <t>هل يوجد مختبر</t>
  </si>
  <si>
    <t>اسم المدير</t>
  </si>
  <si>
    <t>اقرب نقطة دالة</t>
  </si>
  <si>
    <t>اسم المدرسة الضيف</t>
  </si>
  <si>
    <t>_id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</si>
  <si>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</si>
  <si>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</si>
  <si>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</si>
  <si>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</si>
  <si>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</si>
  <si>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</si>
  <si>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</si>
  <si>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meta/rootUuid</t>
  </si>
  <si>
    <t>_index</t>
  </si>
  <si>
    <t>ابتدائي حكومي</t>
  </si>
  <si>
    <t>1900</t>
  </si>
  <si>
    <t>18 صف</t>
  </si>
  <si>
    <t>طابوق او حجر او بلوك</t>
  </si>
  <si>
    <t>كافية</t>
  </si>
  <si>
    <t>بلدية</t>
  </si>
  <si>
    <t>صهاريج</t>
  </si>
  <si>
    <t>بناء</t>
  </si>
  <si>
    <t>جيد</t>
  </si>
  <si>
    <t>مدرستان</t>
  </si>
  <si>
    <t>حكومية تابعة لجهات أخرى</t>
  </si>
  <si>
    <t>معلم غير متفرغ</t>
  </si>
  <si>
    <t>غرفة</t>
  </si>
  <si>
    <t>ركزان جبار صياح</t>
  </si>
  <si>
    <t>submitted_via_web</t>
  </si>
  <si>
    <t>vVzzfX65n7BFB4zHT6BDkS</t>
  </si>
  <si>
    <t>uuid:352469fb-42b1-41d8-a2ac-16c50030b28b</t>
  </si>
  <si>
    <t>2005</t>
  </si>
  <si>
    <t>9 صف</t>
  </si>
  <si>
    <t>بئر عميق</t>
  </si>
  <si>
    <t>اسلاك</t>
  </si>
  <si>
    <t>ثلاث مدارس فأكثر</t>
  </si>
  <si>
    <t>حكومية تابعة لوزارة التربية</t>
  </si>
  <si>
    <t>بحاجة الى ترميم</t>
  </si>
  <si>
    <t>علي عبدالرضا حياوي</t>
  </si>
  <si>
    <t>vFhJwvyD6D9zebJz27xgr3</t>
  </si>
  <si>
    <t>uuid:a30b9470-9b89-4747-ab73-55dc7db27359</t>
  </si>
  <si>
    <t>طابق</t>
  </si>
  <si>
    <t>12 صف</t>
  </si>
  <si>
    <t>شبكة مجاري</t>
  </si>
  <si>
    <t>مدرسة واحدة</t>
  </si>
  <si>
    <t>خزانة</t>
  </si>
  <si>
    <t>زينب جعفر جواد</t>
  </si>
  <si>
    <t>uuid:a1bd8c75-e3b3-485c-8bc5-02d13c0efdf1</t>
  </si>
  <si>
    <t>2001</t>
  </si>
  <si>
    <t>07865146950</t>
  </si>
  <si>
    <t>ظهراً</t>
  </si>
  <si>
    <t>النضال الابتدائية</t>
  </si>
  <si>
    <t>محمد عبد الزهرة إبراهيم</t>
  </si>
  <si>
    <t>جديدة 2 المنطقة القديمة</t>
  </si>
  <si>
    <t>b03c7708-7671-423e-af65-73bb19a7b322</t>
  </si>
  <si>
    <t>v6nmEQkamJVjF9JCqSwLhn</t>
  </si>
  <si>
    <t>uuid:b03c7708-7671-423e-af65-73bb19a7b322</t>
  </si>
  <si>
    <t>الذكور</t>
  </si>
  <si>
    <t>الاناث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</si>
</sst>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2">
    <font>
      <sz val="10"/>
      <name val="Noto Sans Arabic UI"/>
      <family val="2"/>
      <charset val="1"/>
    </font>
    <font>
      <sz val="11"/>
      <color theme="1"/>
      <name val="Calibri"/>
      <family val="2"/>
      <charset val="178"/>
    </font>
    <font>
      <b/>
      <sz val="10"/>
      <color theme="1"/>
      <name val="Noto Sans Arabic UI"/>
      <family val="2"/>
      <charset val="1"/>
    </font>
    <font>
      <b/>
      <sz val="10"/>
      <color theme="0"/>
      <name val="Arial"/>
      <family val="2"/>
      <charset val="1"/>
    </font>
    <font>
      <b/>
      <sz val="10"/>
      <color theme="0"/>
      <name val="Noto Sans Arabic UI"/>
      <family val="2"/>
      <charset val="1"/>
    </font>
    <font>
      <b/>
      <sz val="16"/>
      <name val="Arial"/>
      <family val="2"/>
    </font>
    <font>
      <b/>
      <sz val="16"/>
      <color theme="1"/>
      <name val="Arial"/>
      <family val="2"/>
    </font>
    <font>
      <b/>
      <sz val="16"/>
      <color rgb="FF000000"/>
      <name val="Arial"/>
      <family val="2"/>
    </font>
    <font>
      <b/>
      <sz val="18"/>
      <name val="Arial"/>
      <family val="2"/>
    </font>
    <font>
      <b/>
      <sz val="18"/>
      <color theme="1"/>
      <name val="Arial"/>
      <family val="2"/>
    </font>
    <font>
      <sz val="18"/>
      <color theme="1"/>
      <name val="DejaVu Sans"/>
      <family val="2"/>
      <charset val="178"/>
      <scheme val="minor"/>
    </font>
    <font>
      <b/>
      <sz val="14"/>
      <name val="Arial"/>
      <family val="2"/>
    </font>
    <font>
      <sz val="18"/>
      <color rgb="FFFF0000"/>
      <name val="DejaVu Sans"/>
      <family val="2"/>
      <charset val="178"/>
      <scheme val="minor"/>
    </font>
    <font>
      <sz val="18"/>
      <name val="Arial"/>
      <family val="2"/>
    </font>
    <font>
      <b/>
      <sz val="18"/>
      <name val="Arabic Transparent"/>
      <charset val="178"/>
    </font>
    <font>
      <b/>
      <sz val="18"/>
      <color theme="1"/>
      <name val="Arabic Transparent"/>
      <charset val="178"/>
    </font>
    <font>
      <sz val="18"/>
      <name val="Arabic Transparent"/>
      <charset val="178"/>
    </font>
    <font>
      <b/>
      <sz val="18"/>
      <color theme="1"/>
      <name val="DejaVu Sans"/>
      <family val="2"/>
      <scheme val="minor"/>
    </font>
    <font>
      <b/>
      <sz val="11"/>
      <name val="Arial"/>
      <family val="2"/>
    </font>
    <font>
      <b/>
      <sz val="10"/>
      <color theme="0"/>
      <name val="SF Sultan"/>
    </font>
    <font>
      <b/>
      <sz val="10"/>
      <color theme="1"/>
      <name val="SF Sultan"/>
    </font>
    <font>
      <sz val="10"/>
      <color theme="1"/>
      <name val="SF Sultan"/>
    </font>
  </fonts>
  <fills count="22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64">
    <border>
      <left/>
      <right/>
      <top/>
      <bottom/>
      <diagonal/>
    </border>
    <border>
      <left style="thick">
        <color auto="1"/>
      </left>
      <right style="double">
        <color auto="1"/>
      </right>
      <top style="thick">
        <color auto="1"/>
      </top>
      <bottom/>
      <diagonal/>
    </border>
    <border>
      <left style="double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double">
        <color auto="1"/>
      </right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thick">
        <color auto="1"/>
      </top>
      <bottom/>
      <diagonal/>
    </border>
    <border>
      <left style="thick">
        <color auto="1"/>
      </left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ck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 style="thick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ck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ck">
        <color auto="1"/>
      </right>
      <top/>
      <bottom style="double">
        <color auto="1"/>
      </bottom>
      <diagonal/>
    </border>
    <border>
      <left style="thick">
        <color auto="1"/>
      </left>
      <right style="double">
        <color auto="1"/>
      </right>
      <top style="double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ck">
        <color auto="1"/>
      </bottom>
      <diagonal/>
    </border>
    <border>
      <left style="double">
        <color auto="1"/>
      </left>
      <right style="thick">
        <color auto="1"/>
      </right>
      <top style="double">
        <color auto="1"/>
      </top>
      <bottom style="thick">
        <color auto="1"/>
      </bottom>
      <diagonal/>
    </border>
    <border>
      <left style="double">
        <color auto="1"/>
      </left>
      <right/>
      <top style="double">
        <color auto="1"/>
      </top>
      <bottom style="thick">
        <color auto="1"/>
      </bottom>
      <diagonal/>
    </border>
    <border>
      <left style="double">
        <color auto="1"/>
      </left>
      <right style="thick">
        <color auto="1"/>
      </right>
      <top style="thick">
        <color auto="1"/>
      </top>
      <bottom/>
      <diagonal/>
    </border>
    <border>
      <left style="double">
        <color auto="1"/>
      </left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 style="double">
        <color auto="1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thick">
        <color auto="1"/>
      </right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thick">
        <color auto="1"/>
      </bottom>
      <diagonal/>
    </border>
    <border>
      <left/>
      <right/>
      <top style="double">
        <color auto="1"/>
      </top>
      <bottom style="thick">
        <color auto="1"/>
      </bottom>
      <diagonal/>
    </border>
    <border>
      <left/>
      <right style="thick">
        <color auto="1"/>
      </right>
      <top style="double">
        <color auto="1"/>
      </top>
      <bottom style="thick">
        <color auto="1"/>
      </bottom>
      <diagonal/>
    </border>
    <border diagonalUp="1">
      <left style="thick">
        <color auto="1"/>
      </left>
      <right style="double">
        <color auto="1"/>
      </right>
      <top style="thick">
        <color auto="1"/>
      </top>
      <bottom/>
      <diagonal style="double">
        <color indexed="57"/>
      </diagonal>
    </border>
    <border>
      <left style="double">
        <color auto="1"/>
      </left>
      <right/>
      <top style="thick">
        <color auto="1"/>
      </top>
      <bottom style="double">
        <color auto="1"/>
      </bottom>
      <diagonal/>
    </border>
    <border>
      <left/>
      <right style="double">
        <color auto="1"/>
      </right>
      <top style="thick">
        <color auto="1"/>
      </top>
      <bottom style="double">
        <color auto="1"/>
      </bottom>
      <diagonal/>
    </border>
    <border>
      <left/>
      <right/>
      <top style="thick">
        <color auto="1"/>
      </top>
      <bottom style="double">
        <color auto="1"/>
      </bottom>
      <diagonal/>
    </border>
    <border>
      <left/>
      <right style="thick">
        <color auto="1"/>
      </right>
      <top style="thick">
        <color auto="1"/>
      </top>
      <bottom style="double">
        <color auto="1"/>
      </bottom>
      <diagonal/>
    </border>
    <border diagonalUp="1">
      <left style="thick">
        <color auto="1"/>
      </left>
      <right style="double">
        <color auto="1"/>
      </right>
      <top/>
      <bottom style="double">
        <color auto="1"/>
      </bottom>
      <diagonal style="double">
        <color indexed="57"/>
      </diagonal>
    </border>
    <border>
      <left style="double">
        <color auto="1"/>
      </left>
      <right style="thick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 style="thick">
        <color auto="1"/>
      </left>
      <right style="double">
        <color auto="1"/>
      </right>
      <top style="thick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thick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double">
        <color auto="1"/>
      </bottom>
      <diagonal/>
    </border>
    <border>
      <left style="thick">
        <color auto="1"/>
      </left>
      <right/>
      <top style="double">
        <color auto="1"/>
      </top>
      <bottom style="double">
        <color auto="1"/>
      </bottom>
      <diagonal/>
    </border>
    <border>
      <left style="thick">
        <color indexed="64"/>
      </left>
      <right/>
      <top style="double">
        <color indexed="64"/>
      </top>
      <bottom style="thick">
        <color indexed="64"/>
      </bottom>
      <diagonal/>
    </border>
    <border>
      <left/>
      <right style="thick">
        <color auto="1"/>
      </right>
      <top/>
      <bottom/>
      <diagonal/>
    </border>
    <border>
      <left style="double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 diagonalUp="1">
      <left style="thick">
        <color auto="1"/>
      </left>
      <right style="double">
        <color auto="1"/>
      </right>
      <top style="thick">
        <color auto="1"/>
      </top>
      <bottom style="double">
        <color auto="1"/>
      </bottom>
      <diagonal style="double">
        <color indexed="57"/>
      </diagonal>
    </border>
    <border diagonalUp="1">
      <left style="thick">
        <color auto="1"/>
      </left>
      <right style="double">
        <color auto="1"/>
      </right>
      <top style="double">
        <color auto="1"/>
      </top>
      <bottom style="double">
        <color auto="1"/>
      </bottom>
      <diagonal style="double">
        <color indexed="57"/>
      </diagonal>
    </border>
    <border>
      <left/>
      <right style="thin">
        <color indexed="64"/>
      </right>
      <top style="thick">
        <color auto="1"/>
      </top>
      <bottom/>
      <diagonal/>
    </border>
    <border>
      <left style="thin">
        <color indexed="64"/>
      </left>
      <right style="thick">
        <color auto="1"/>
      </right>
      <top style="thick">
        <color auto="1"/>
      </top>
      <bottom/>
      <diagonal/>
    </border>
    <border>
      <left/>
      <right style="thin">
        <color indexed="64"/>
      </right>
      <top/>
      <bottom style="double">
        <color auto="1"/>
      </bottom>
      <diagonal/>
    </border>
    <border>
      <left style="thin">
        <color indexed="64"/>
      </left>
      <right style="thick">
        <color auto="1"/>
      </right>
      <top/>
      <bottom/>
      <diagonal/>
    </border>
    <border>
      <left style="thin">
        <color indexed="64"/>
      </left>
      <right style="thick">
        <color auto="1"/>
      </right>
      <top/>
      <bottom style="double">
        <color auto="1"/>
      </bottom>
      <diagonal/>
    </border>
    <border>
      <left style="thick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ck">
        <color auto="1"/>
      </right>
      <top style="thin">
        <color auto="1"/>
      </top>
      <bottom/>
      <diagonal/>
    </border>
    <border>
      <left style="double">
        <color auto="1"/>
      </left>
      <right style="thick">
        <color auto="1"/>
      </right>
      <top/>
      <bottom style="thin">
        <color auto="1"/>
      </bottom>
      <diagonal/>
    </border>
    <border>
      <left style="double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2">
    <xf numFmtId="0" fontId="0" fillId="0" borderId="0"/>
    <xf numFmtId="0" fontId="1" fillId="0" borderId="0"/>
  </cellStyleXfs>
  <cellXfs count="331">
    <xf numFmtId="0" fontId="0" fillId="0" borderId="0" xfId="0"/>
    <xf numFmtId="0" fontId="5" fillId="0" borderId="0" xfId="0" applyFont="1" applyFill="1"/>
    <xf numFmtId="0" fontId="5" fillId="0" borderId="0" xfId="0" applyFont="1" applyFill="1" applyAlignment="1"/>
    <xf numFmtId="0" fontId="6" fillId="0" borderId="0" xfId="0" applyFont="1" applyFill="1"/>
    <xf numFmtId="0" fontId="5" fillId="0" borderId="1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/>
    </xf>
    <xf numFmtId="0" fontId="5" fillId="0" borderId="13" xfId="0" applyFont="1" applyFill="1" applyBorder="1" applyAlignment="1">
      <alignment horizontal="center" vertical="center"/>
    </xf>
    <xf numFmtId="0" fontId="5" fillId="0" borderId="0" xfId="0" applyFont="1" applyFill="1" applyBorder="1"/>
    <xf numFmtId="0" fontId="7" fillId="0" borderId="0" xfId="0" applyFont="1" applyFill="1" applyBorder="1" applyAlignment="1">
      <alignment horizontal="center" readingOrder="1"/>
    </xf>
    <xf numFmtId="0" fontId="5" fillId="0" borderId="39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/>
    </xf>
    <xf numFmtId="0" fontId="8" fillId="0" borderId="18" xfId="0" applyFont="1" applyFill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 wrapText="1"/>
    </xf>
    <xf numFmtId="0" fontId="8" fillId="0" borderId="19" xfId="0" applyFont="1" applyFill="1" applyBorder="1" applyAlignment="1">
      <alignment horizontal="center" vertical="center"/>
    </xf>
    <xf numFmtId="0" fontId="8" fillId="0" borderId="21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/>
    </xf>
    <xf numFmtId="0" fontId="8" fillId="0" borderId="35" xfId="0" applyFont="1" applyFill="1" applyBorder="1" applyAlignment="1">
      <alignment vertical="center"/>
    </xf>
    <xf numFmtId="0" fontId="8" fillId="0" borderId="34" xfId="0" applyFont="1" applyFill="1" applyBorder="1" applyAlignment="1">
      <alignment vertical="center"/>
    </xf>
    <xf numFmtId="0" fontId="8" fillId="0" borderId="36" xfId="0" applyFont="1" applyFill="1" applyBorder="1" applyAlignment="1">
      <alignment vertical="center"/>
    </xf>
    <xf numFmtId="0" fontId="8" fillId="0" borderId="19" xfId="0" applyFont="1" applyFill="1" applyBorder="1" applyAlignment="1">
      <alignment horizontal="center" vertical="center" wrapText="1"/>
    </xf>
    <xf numFmtId="0" fontId="8" fillId="0" borderId="0" xfId="0" applyFont="1" applyFill="1"/>
    <xf numFmtId="0" fontId="8" fillId="0" borderId="0" xfId="0" applyFont="1" applyFill="1" applyAlignment="1"/>
    <xf numFmtId="0" fontId="9" fillId="0" borderId="0" xfId="0" applyFont="1" applyFill="1"/>
    <xf numFmtId="0" fontId="8" fillId="0" borderId="0" xfId="0" applyFont="1" applyFill="1" applyAlignment="1">
      <alignment horizontal="center" vertical="center"/>
    </xf>
    <xf numFmtId="0" fontId="8" fillId="0" borderId="12" xfId="0" applyFont="1" applyFill="1" applyBorder="1" applyAlignment="1">
      <alignment horizontal="center" vertical="center"/>
    </xf>
    <xf numFmtId="0" fontId="8" fillId="0" borderId="20" xfId="0" applyFont="1" applyFill="1" applyBorder="1" applyAlignment="1">
      <alignment horizontal="center" vertical="center"/>
    </xf>
    <xf numFmtId="0" fontId="9" fillId="0" borderId="0" xfId="0" applyFont="1" applyFill="1" applyAlignment="1">
      <alignment vertical="top"/>
    </xf>
    <xf numFmtId="0" fontId="8" fillId="0" borderId="0" xfId="0" applyFont="1" applyFill="1" applyBorder="1" applyAlignment="1">
      <alignment horizontal="center" vertical="center" readingOrder="2"/>
    </xf>
    <xf numFmtId="0" fontId="8" fillId="0" borderId="39" xfId="0" applyFont="1" applyFill="1" applyBorder="1" applyAlignment="1">
      <alignment horizontal="center" vertical="center"/>
    </xf>
    <xf numFmtId="0" fontId="10" fillId="0" borderId="0" xfId="0" applyFont="1" applyFill="1"/>
    <xf numFmtId="0" fontId="8" fillId="0" borderId="19" xfId="0" applyFont="1" applyFill="1" applyBorder="1" applyAlignment="1">
      <alignment horizontal="center"/>
    </xf>
    <xf numFmtId="0" fontId="8" fillId="0" borderId="20" xfId="0" applyFont="1" applyFill="1" applyBorder="1" applyAlignment="1">
      <alignment horizontal="center"/>
    </xf>
    <xf numFmtId="0" fontId="8" fillId="0" borderId="0" xfId="0" applyFont="1" applyFill="1" applyAlignment="1">
      <alignment vertical="top"/>
    </xf>
    <xf numFmtId="0" fontId="12" fillId="0" borderId="0" xfId="0" applyFont="1" applyFill="1"/>
    <xf numFmtId="0" fontId="8" fillId="0" borderId="19" xfId="0" applyFont="1" applyFill="1" applyBorder="1" applyAlignment="1">
      <alignment vertical="center"/>
    </xf>
    <xf numFmtId="0" fontId="13" fillId="0" borderId="0" xfId="0" applyFont="1" applyFill="1"/>
    <xf numFmtId="0" fontId="14" fillId="0" borderId="0" xfId="0" applyFont="1" applyFill="1" applyAlignment="1"/>
    <xf numFmtId="0" fontId="14" fillId="0" borderId="0" xfId="0" applyFont="1" applyFill="1"/>
    <xf numFmtId="0" fontId="14" fillId="0" borderId="0" xfId="0" applyFont="1" applyFill="1" applyAlignment="1">
      <alignment horizontal="center"/>
    </xf>
    <xf numFmtId="0" fontId="14" fillId="0" borderId="0" xfId="0" applyFont="1" applyFill="1" applyAlignment="1">
      <alignment horizontal="center" vertical="center"/>
    </xf>
    <xf numFmtId="0" fontId="15" fillId="0" borderId="0" xfId="0" applyFont="1" applyFill="1"/>
    <xf numFmtId="0" fontId="14" fillId="0" borderId="11" xfId="0" applyFont="1" applyFill="1" applyBorder="1" applyAlignment="1">
      <alignment horizontal="center" vertical="center"/>
    </xf>
    <xf numFmtId="0" fontId="14" fillId="0" borderId="39" xfId="0" applyFont="1" applyFill="1" applyBorder="1" applyAlignment="1">
      <alignment horizontal="center" vertical="center"/>
    </xf>
    <xf numFmtId="0" fontId="14" fillId="0" borderId="1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14" fillId="0" borderId="19" xfId="0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/>
    </xf>
    <xf numFmtId="0" fontId="8" fillId="0" borderId="10" xfId="0" applyFont="1" applyFill="1" applyBorder="1" applyAlignment="1">
      <alignment horizontal="center" vertical="center"/>
    </xf>
    <xf numFmtId="0" fontId="8" fillId="0" borderId="27" xfId="0" applyFont="1" applyFill="1" applyBorder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8" fillId="0" borderId="30" xfId="0" applyFont="1" applyFill="1" applyBorder="1" applyAlignment="1">
      <alignment horizontal="center" vertical="center"/>
    </xf>
    <xf numFmtId="0" fontId="13" fillId="0" borderId="0" xfId="0" applyFont="1" applyFill="1" applyAlignment="1">
      <alignment horizontal="center"/>
    </xf>
    <xf numFmtId="0" fontId="8" fillId="0" borderId="10" xfId="0" applyFont="1" applyFill="1" applyBorder="1" applyAlignment="1">
      <alignment horizontal="right"/>
    </xf>
    <xf numFmtId="0" fontId="16" fillId="0" borderId="0" xfId="0" applyFont="1" applyFill="1"/>
    <xf numFmtId="0" fontId="14" fillId="0" borderId="0" xfId="0" applyNumberFormat="1" applyFont="1" applyFill="1" applyAlignment="1">
      <alignment horizontal="center"/>
    </xf>
    <xf numFmtId="0" fontId="14" fillId="0" borderId="1" xfId="0" applyFont="1" applyFill="1" applyBorder="1" applyAlignment="1">
      <alignment horizontal="center" vertical="center"/>
    </xf>
    <xf numFmtId="0" fontId="14" fillId="0" borderId="6" xfId="0" applyFont="1" applyFill="1" applyBorder="1" applyAlignment="1">
      <alignment horizontal="center" vertical="center"/>
    </xf>
    <xf numFmtId="0" fontId="14" fillId="0" borderId="10" xfId="0" applyFont="1" applyFill="1" applyBorder="1" applyAlignment="1">
      <alignment horizontal="center" vertical="center"/>
    </xf>
    <xf numFmtId="0" fontId="14" fillId="0" borderId="27" xfId="0" applyFont="1" applyFill="1" applyBorder="1" applyAlignment="1">
      <alignment horizontal="center" vertical="center"/>
    </xf>
    <xf numFmtId="0" fontId="14" fillId="0" borderId="30" xfId="0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7" fillId="0" borderId="11" xfId="0" applyFont="1" applyFill="1" applyBorder="1" applyAlignment="1">
      <alignment horizontal="center" vertical="center"/>
    </xf>
    <xf numFmtId="0" fontId="17" fillId="0" borderId="0" xfId="0" applyFont="1" applyFill="1"/>
    <xf numFmtId="0" fontId="17" fillId="0" borderId="45" xfId="0" applyFont="1" applyFill="1" applyBorder="1" applyAlignment="1">
      <alignment horizontal="center" vertical="center" textRotation="90"/>
    </xf>
    <xf numFmtId="0" fontId="17" fillId="0" borderId="5" xfId="0" applyFont="1" applyFill="1" applyBorder="1" applyAlignment="1">
      <alignment horizontal="center" vertical="center" textRotation="90"/>
    </xf>
    <xf numFmtId="0" fontId="17" fillId="0" borderId="22" xfId="0" applyFont="1" applyFill="1" applyBorder="1" applyAlignment="1">
      <alignment horizontal="center" vertical="center" textRotation="90"/>
    </xf>
    <xf numFmtId="0" fontId="17" fillId="0" borderId="13" xfId="0" applyFont="1" applyFill="1" applyBorder="1" applyAlignment="1">
      <alignment horizontal="center" vertical="center"/>
    </xf>
    <xf numFmtId="0" fontId="17" fillId="0" borderId="39" xfId="0" applyFont="1" applyFill="1" applyBorder="1" applyAlignment="1">
      <alignment horizontal="center" vertical="center"/>
    </xf>
    <xf numFmtId="0" fontId="17" fillId="0" borderId="18" xfId="0" applyFont="1" applyFill="1" applyBorder="1" applyAlignment="1">
      <alignment horizontal="center" vertical="center"/>
    </xf>
    <xf numFmtId="0" fontId="17" fillId="0" borderId="19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15" fillId="0" borderId="45" xfId="0" applyFont="1" applyFill="1" applyBorder="1" applyAlignment="1">
      <alignment horizontal="center" vertical="center" textRotation="90"/>
    </xf>
    <xf numFmtId="0" fontId="15" fillId="0" borderId="5" xfId="0" applyFont="1" applyFill="1" applyBorder="1" applyAlignment="1">
      <alignment horizontal="center" vertical="center" textRotation="90"/>
    </xf>
    <xf numFmtId="0" fontId="15" fillId="0" borderId="22" xfId="0" applyFont="1" applyFill="1" applyBorder="1" applyAlignment="1">
      <alignment horizontal="center" vertical="center" textRotation="90"/>
    </xf>
    <xf numFmtId="0" fontId="15" fillId="0" borderId="18" xfId="0" applyFont="1" applyFill="1" applyBorder="1" applyAlignment="1">
      <alignment horizontal="center" vertical="center"/>
    </xf>
    <xf numFmtId="0" fontId="15" fillId="0" borderId="19" xfId="0" applyFont="1" applyFill="1" applyBorder="1" applyAlignment="1">
      <alignment horizontal="center" vertical="center"/>
    </xf>
    <xf numFmtId="0" fontId="15" fillId="0" borderId="20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0" fontId="18" fillId="0" borderId="11" xfId="0" applyFont="1" applyFill="1" applyBorder="1" applyAlignment="1">
      <alignment horizontal="center" vertical="center" wrapText="1"/>
    </xf>
    <xf numFmtId="49" fontId="18" fillId="0" borderId="11" xfId="0" applyNumberFormat="1" applyFont="1" applyFill="1" applyBorder="1" applyAlignment="1">
      <alignment horizontal="center" vertical="center" wrapText="1"/>
    </xf>
    <xf numFmtId="0" fontId="11" fillId="0" borderId="0" xfId="0" applyFont="1" applyFill="1" applyAlignment="1"/>
    <xf numFmtId="0" fontId="0" fillId="0" borderId="0" xfId="0" applyFill="1"/>
    <xf numFmtId="0" fontId="10" fillId="0" borderId="0" xfId="0" applyFont="1" applyFill="1" applyAlignment="1">
      <alignment vertical="top"/>
    </xf>
    <xf numFmtId="0" fontId="5" fillId="0" borderId="12" xfId="0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Fill="1" applyBorder="1"/>
    <xf numFmtId="0" fontId="5" fillId="0" borderId="11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/>
    <xf numFmtId="0" fontId="5" fillId="0" borderId="63" xfId="0" applyFont="1" applyFill="1" applyBorder="1" applyAlignment="1">
      <alignment horizontal="center" vertical="center"/>
    </xf>
    <xf numFmtId="0" fontId="0" fillId="0" borderId="0" xfId="0" applyFill="1" applyAlignment="1">
      <alignment horizontal="right"/>
    </xf>
    <xf numFmtId="0" fontId="0" fillId="0" borderId="0" xfId="0" applyAlignment="1" applyProtection="1">
      <alignment horizontal="right" vertical="center"/>
    </xf>
    <xf numFmtId="0" fontId="3" fillId="2" borderId="0" xfId="0" applyFont="1" applyFill="1" applyBorder="1" applyAlignment="1" applyProtection="1">
      <alignment horizontal="center" vertical="center" readingOrder="2"/>
    </xf>
    <xf numFmtId="0" fontId="4" fillId="2" borderId="0" xfId="0" applyFont="1" applyFill="1" applyBorder="1" applyAlignment="1" applyProtection="1">
      <alignment horizontal="center" readingOrder="2"/>
    </xf>
    <xf numFmtId="0" fontId="2" fillId="0" borderId="0" xfId="0" applyFont="1" applyFill="1" applyBorder="1" applyAlignment="1" applyProtection="1">
      <alignment horizontal="center" readingOrder="2"/>
    </xf>
    <xf numFmtId="0" fontId="19" fillId="2" borderId="0" xfId="0" applyFont="1" applyFill="1" applyBorder="1" applyAlignment="1">
      <alignment horizontal="right" vertical="top" readingOrder="2"/>
    </xf>
    <xf numFmtId="0" fontId="19" fillId="3" borderId="0" xfId="0" applyFont="1" applyFill="1" applyBorder="1" applyAlignment="1">
      <alignment horizontal="right" vertical="top" readingOrder="2"/>
    </xf>
    <xf numFmtId="0" fontId="19" fillId="4" borderId="0" xfId="0" applyFont="1" applyFill="1" applyBorder="1" applyAlignment="1">
      <alignment horizontal="right" vertical="top" readingOrder="2"/>
    </xf>
    <xf numFmtId="0" fontId="20" fillId="9" borderId="0" xfId="0" applyFont="1" applyFill="1" applyBorder="1" applyAlignment="1">
      <alignment horizontal="right" vertical="top" readingOrder="2"/>
    </xf>
    <xf numFmtId="0" fontId="20" fillId="5" borderId="0" xfId="0" applyFont="1" applyFill="1" applyBorder="1" applyAlignment="1">
      <alignment horizontal="right" vertical="top" readingOrder="2"/>
    </xf>
    <xf numFmtId="0" fontId="20" fillId="10" borderId="0" xfId="0" applyFont="1" applyFill="1" applyBorder="1" applyAlignment="1">
      <alignment horizontal="right" vertical="top" readingOrder="2"/>
    </xf>
    <xf numFmtId="0" fontId="20" fillId="6" borderId="0" xfId="0" applyFont="1" applyFill="1" applyBorder="1" applyAlignment="1">
      <alignment horizontal="right" vertical="top" readingOrder="2"/>
    </xf>
    <xf numFmtId="0" fontId="20" fillId="7" borderId="0" xfId="0" applyFont="1" applyFill="1" applyBorder="1" applyAlignment="1">
      <alignment horizontal="right" vertical="top" readingOrder="2"/>
    </xf>
    <xf numFmtId="0" fontId="19" fillId="8" borderId="0" xfId="0" applyFont="1" applyFill="1" applyBorder="1" applyAlignment="1">
      <alignment horizontal="right" vertical="top" readingOrder="2"/>
    </xf>
    <xf numFmtId="0" fontId="19" fillId="11" borderId="0" xfId="0" applyFont="1" applyFill="1" applyBorder="1" applyAlignment="1">
      <alignment horizontal="right" vertical="top" readingOrder="2"/>
    </xf>
    <xf numFmtId="0" fontId="19" fillId="12" borderId="0" xfId="0" applyFont="1" applyFill="1" applyBorder="1" applyAlignment="1">
      <alignment horizontal="right" vertical="top" readingOrder="2"/>
    </xf>
    <xf numFmtId="0" fontId="19" fillId="9" borderId="0" xfId="0" applyFont="1" applyFill="1" applyBorder="1" applyAlignment="1">
      <alignment horizontal="right" vertical="top" readingOrder="2"/>
    </xf>
    <xf numFmtId="0" fontId="19" fillId="5" borderId="0" xfId="0" applyFont="1" applyFill="1" applyBorder="1" applyAlignment="1">
      <alignment horizontal="right" vertical="top" readingOrder="2"/>
    </xf>
    <xf numFmtId="0" fontId="20" fillId="0" borderId="0" xfId="0" applyFont="1" applyBorder="1" applyAlignment="1">
      <alignment horizontal="right" vertical="top" readingOrder="2"/>
    </xf>
    <xf numFmtId="0" fontId="21" fillId="0" borderId="0" xfId="0" applyFont="1" applyBorder="1" applyAlignment="1">
      <alignment horizontal="right"/>
    </xf>
    <xf numFmtId="164" fontId="21" fillId="0" borderId="0" xfId="0" applyNumberFormat="1" applyFont="1" applyBorder="1" applyAlignment="1">
      <alignment horizontal="right"/>
    </xf>
    <xf numFmtId="0" fontId="4" fillId="2" borderId="0" xfId="0" applyFont="1" applyFill="1" applyBorder="1" applyAlignment="1" applyProtection="1">
      <alignment vertical="center" readingOrder="2"/>
    </xf>
    <xf numFmtId="0" fontId="0" fillId="0" borderId="0" xfId="0" applyFill="1" applyAlignment="1">
      <alignment vertical="center"/>
    </xf>
    <xf numFmtId="0" fontId="19" fillId="13" borderId="0" xfId="0" applyFont="1" applyFill="1" applyBorder="1" applyAlignment="1">
      <alignment horizontal="right" vertical="top" readingOrder="2"/>
    </xf>
    <xf numFmtId="0" fontId="19" fillId="14" borderId="0" xfId="0" applyFont="1" applyFill="1" applyBorder="1" applyAlignment="1">
      <alignment horizontal="right" vertical="top" readingOrder="2"/>
    </xf>
    <xf numFmtId="0" fontId="19" fillId="15" borderId="0" xfId="0" applyFont="1" applyFill="1" applyBorder="1" applyAlignment="1">
      <alignment horizontal="right" vertical="top" readingOrder="2"/>
    </xf>
    <xf numFmtId="0" fontId="20" fillId="16" borderId="0" xfId="0" applyFont="1" applyFill="1" applyBorder="1" applyAlignment="1">
      <alignment horizontal="right" vertical="top" readingOrder="2"/>
    </xf>
    <xf numFmtId="0" fontId="20" fillId="17" borderId="0" xfId="0" applyFont="1" applyFill="1" applyBorder="1" applyAlignment="1">
      <alignment horizontal="right" vertical="top" readingOrder="2"/>
    </xf>
    <xf numFmtId="0" fontId="19" fillId="19" borderId="0" xfId="0" applyFont="1" applyFill="1" applyBorder="1" applyAlignment="1">
      <alignment horizontal="right" vertical="top" readingOrder="2"/>
    </xf>
    <xf numFmtId="0" fontId="19" fillId="18" borderId="0" xfId="0" applyFont="1" applyFill="1" applyBorder="1" applyAlignment="1">
      <alignment horizontal="right" vertical="top" readingOrder="2"/>
    </xf>
    <xf numFmtId="0" fontId="19" fillId="21" borderId="0" xfId="0" applyFont="1" applyFill="1" applyBorder="1" applyAlignment="1">
      <alignment horizontal="right" vertical="top" readingOrder="2"/>
    </xf>
    <xf numFmtId="0" fontId="19" fillId="20" borderId="0" xfId="0" applyFont="1" applyFill="1" applyBorder="1" applyAlignment="1">
      <alignment horizontal="right" vertical="top" readingOrder="2"/>
    </xf>
    <xf numFmtId="0" fontId="5" fillId="0" borderId="56" xfId="0" applyFont="1" applyFill="1" applyBorder="1" applyAlignment="1">
      <alignment horizontal="center" vertical="center" textRotation="90" wrapText="1"/>
    </xf>
    <xf numFmtId="0" fontId="5" fillId="0" borderId="58" xfId="0" applyFont="1" applyFill="1" applyBorder="1" applyAlignment="1">
      <alignment horizontal="center" vertical="center" textRotation="90" wrapText="1"/>
    </xf>
    <xf numFmtId="0" fontId="5" fillId="0" borderId="59" xfId="0" applyFont="1" applyFill="1" applyBorder="1" applyAlignment="1">
      <alignment horizontal="center" vertical="center" textRotation="90" wrapText="1"/>
    </xf>
    <xf numFmtId="0" fontId="5" fillId="0" borderId="7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/>
    </xf>
    <xf numFmtId="0" fontId="5" fillId="0" borderId="5" xfId="0" applyFont="1" applyFill="1" applyBorder="1" applyAlignment="1">
      <alignment horizontal="center" vertical="center"/>
    </xf>
    <xf numFmtId="0" fontId="5" fillId="0" borderId="55" xfId="0" applyFont="1" applyFill="1" applyBorder="1" applyAlignment="1">
      <alignment horizontal="center" vertical="center"/>
    </xf>
    <xf numFmtId="0" fontId="5" fillId="0" borderId="57" xfId="0" applyFont="1" applyFill="1" applyBorder="1" applyAlignment="1">
      <alignment horizontal="center" vertical="center"/>
    </xf>
    <xf numFmtId="0" fontId="5" fillId="0" borderId="60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6" fillId="0" borderId="3" xfId="0" applyFont="1" applyFill="1" applyBorder="1"/>
    <xf numFmtId="0" fontId="6" fillId="0" borderId="4" xfId="0" applyFont="1" applyFill="1" applyBorder="1"/>
    <xf numFmtId="0" fontId="6" fillId="0" borderId="7" xfId="0" applyFont="1" applyFill="1" applyBorder="1"/>
    <xf numFmtId="0" fontId="6" fillId="0" borderId="8" xfId="0" applyFont="1" applyFill="1" applyBorder="1"/>
    <xf numFmtId="0" fontId="6" fillId="0" borderId="9" xfId="0" applyFont="1" applyFill="1" applyBorder="1"/>
    <xf numFmtId="0" fontId="5" fillId="0" borderId="3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1" fontId="5" fillId="0" borderId="11" xfId="0" applyNumberFormat="1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5" fillId="0" borderId="61" xfId="0" applyFont="1" applyFill="1" applyBorder="1" applyAlignment="1">
      <alignment horizontal="center" vertical="center"/>
    </xf>
    <xf numFmtId="0" fontId="5" fillId="0" borderId="62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 wrapText="1"/>
    </xf>
    <xf numFmtId="0" fontId="5" fillId="0" borderId="23" xfId="0" applyFont="1" applyFill="1" applyBorder="1" applyAlignment="1">
      <alignment horizontal="center" vertical="center" wrapText="1"/>
    </xf>
    <xf numFmtId="0" fontId="5" fillId="0" borderId="17" xfId="0" applyFont="1" applyFill="1" applyBorder="1" applyAlignment="1">
      <alignment horizontal="center" vertical="center" wrapText="1"/>
    </xf>
    <xf numFmtId="1" fontId="5" fillId="0" borderId="15" xfId="0" applyNumberFormat="1" applyFont="1" applyFill="1" applyBorder="1" applyAlignment="1">
      <alignment horizontal="center" vertical="center"/>
    </xf>
    <xf numFmtId="0" fontId="5" fillId="0" borderId="40" xfId="0" applyFont="1" applyFill="1" applyBorder="1" applyAlignment="1">
      <alignment horizontal="center" vertical="center"/>
    </xf>
    <xf numFmtId="0" fontId="5" fillId="0" borderId="41" xfId="0" applyFont="1" applyFill="1" applyBorder="1" applyAlignment="1">
      <alignment horizontal="center" vertical="center"/>
    </xf>
    <xf numFmtId="0" fontId="5" fillId="0" borderId="44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34" xfId="0" applyFont="1" applyFill="1" applyBorder="1" applyAlignment="1">
      <alignment horizontal="center" vertical="center"/>
    </xf>
    <xf numFmtId="0" fontId="5" fillId="0" borderId="36" xfId="0" applyFont="1" applyFill="1" applyBorder="1" applyAlignment="1">
      <alignment horizontal="center" vertical="center"/>
    </xf>
    <xf numFmtId="0" fontId="5" fillId="0" borderId="37" xfId="0" applyFont="1" applyFill="1" applyBorder="1" applyAlignment="1">
      <alignment horizontal="center" vertical="center"/>
    </xf>
    <xf numFmtId="0" fontId="5" fillId="0" borderId="42" xfId="0" applyFont="1" applyFill="1" applyBorder="1" applyAlignment="1">
      <alignment horizontal="center" vertical="center"/>
    </xf>
    <xf numFmtId="0" fontId="5" fillId="0" borderId="43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readingOrder="1"/>
    </xf>
    <xf numFmtId="0" fontId="7" fillId="0" borderId="0" xfId="0" applyFont="1" applyFill="1" applyBorder="1" applyAlignment="1">
      <alignment horizontal="center" readingOrder="1"/>
    </xf>
    <xf numFmtId="0" fontId="5" fillId="0" borderId="33" xfId="0" applyFont="1" applyFill="1" applyBorder="1" applyAlignment="1">
      <alignment horizontal="center" vertical="center" wrapText="1"/>
    </xf>
    <xf numFmtId="0" fontId="5" fillId="0" borderId="38" xfId="0" applyFont="1" applyFill="1" applyBorder="1" applyAlignment="1">
      <alignment horizontal="center" vertical="center" wrapText="1"/>
    </xf>
    <xf numFmtId="0" fontId="5" fillId="0" borderId="35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2" xfId="0" applyFont="1" applyFill="1" applyBorder="1" applyAlignment="1">
      <alignment horizontal="center" vertical="center"/>
    </xf>
    <xf numFmtId="0" fontId="7" fillId="0" borderId="24" xfId="0" applyFont="1" applyFill="1" applyBorder="1" applyAlignment="1">
      <alignment horizontal="center" readingOrder="1"/>
    </xf>
    <xf numFmtId="0" fontId="5" fillId="0" borderId="1" xfId="0" applyFont="1" applyFill="1" applyBorder="1" applyAlignment="1">
      <alignment horizontal="center"/>
    </xf>
    <xf numFmtId="0" fontId="5" fillId="0" borderId="10" xfId="0" applyFont="1" applyFill="1" applyBorder="1" applyAlignment="1">
      <alignment horizont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8" fillId="0" borderId="21" xfId="0" applyFont="1" applyFill="1" applyBorder="1" applyAlignment="1">
      <alignment horizontal="center" vertical="center" readingOrder="2"/>
    </xf>
    <xf numFmtId="0" fontId="8" fillId="0" borderId="30" xfId="0" applyFont="1" applyFill="1" applyBorder="1" applyAlignment="1">
      <alignment horizontal="center" vertical="center" readingOrder="2"/>
    </xf>
    <xf numFmtId="0" fontId="8" fillId="0" borderId="32" xfId="0" applyFont="1" applyFill="1" applyBorder="1" applyAlignment="1">
      <alignment horizontal="center" vertical="center" readingOrder="2"/>
    </xf>
    <xf numFmtId="0" fontId="8" fillId="0" borderId="12" xfId="0" applyFont="1" applyFill="1" applyBorder="1" applyAlignment="1">
      <alignment horizontal="center" vertical="center" readingOrder="2"/>
    </xf>
    <xf numFmtId="0" fontId="8" fillId="0" borderId="27" xfId="0" applyFont="1" applyFill="1" applyBorder="1" applyAlignment="1">
      <alignment horizontal="center" vertical="center" readingOrder="2"/>
    </xf>
    <xf numFmtId="0" fontId="8" fillId="0" borderId="29" xfId="0" applyFont="1" applyFill="1" applyBorder="1" applyAlignment="1">
      <alignment horizontal="center" vertical="center" readingOrder="2"/>
    </xf>
    <xf numFmtId="0" fontId="8" fillId="0" borderId="50" xfId="0" applyFont="1" applyFill="1" applyBorder="1" applyAlignment="1">
      <alignment horizontal="center" vertical="center" readingOrder="2"/>
    </xf>
    <xf numFmtId="0" fontId="8" fillId="0" borderId="49" xfId="0" applyFont="1" applyFill="1" applyBorder="1" applyAlignment="1">
      <alignment horizontal="center" vertical="center" readingOrder="2"/>
    </xf>
    <xf numFmtId="0" fontId="8" fillId="0" borderId="14" xfId="0" applyFont="1" applyFill="1" applyBorder="1" applyAlignment="1">
      <alignment horizontal="center" vertical="center" textRotation="90" wrapText="1"/>
    </xf>
    <xf numFmtId="0" fontId="8" fillId="0" borderId="16" xfId="0" applyFont="1" applyFill="1" applyBorder="1" applyAlignment="1">
      <alignment horizontal="center" vertical="center" textRotation="90" wrapText="1"/>
    </xf>
    <xf numFmtId="0" fontId="8" fillId="0" borderId="15" xfId="0" applyFont="1" applyFill="1" applyBorder="1" applyAlignment="1">
      <alignment horizontal="center" vertical="center" textRotation="90" wrapText="1"/>
    </xf>
    <xf numFmtId="0" fontId="8" fillId="0" borderId="17" xfId="0" applyFont="1" applyFill="1" applyBorder="1" applyAlignment="1">
      <alignment horizontal="center" vertical="center" textRotation="90" wrapText="1"/>
    </xf>
    <xf numFmtId="0" fontId="8" fillId="0" borderId="48" xfId="0" applyFont="1" applyFill="1" applyBorder="1" applyAlignment="1">
      <alignment horizontal="center" vertical="center" readingOrder="2"/>
    </xf>
    <xf numFmtId="0" fontId="8" fillId="0" borderId="36" xfId="0" applyFont="1" applyFill="1" applyBorder="1" applyAlignment="1">
      <alignment horizontal="center" vertical="center" readingOrder="2"/>
    </xf>
    <xf numFmtId="0" fontId="8" fillId="0" borderId="35" xfId="0" applyFont="1" applyFill="1" applyBorder="1" applyAlignment="1">
      <alignment horizontal="center" vertical="center" readingOrder="2"/>
    </xf>
    <xf numFmtId="0" fontId="8" fillId="0" borderId="34" xfId="0" applyFont="1" applyFill="1" applyBorder="1" applyAlignment="1">
      <alignment horizontal="center" vertical="center" readingOrder="2"/>
    </xf>
    <xf numFmtId="0" fontId="8" fillId="0" borderId="37" xfId="0" applyFont="1" applyFill="1" applyBorder="1" applyAlignment="1">
      <alignment horizontal="center" vertical="center" readingOrder="2"/>
    </xf>
    <xf numFmtId="0" fontId="8" fillId="0" borderId="11" xfId="0" applyFont="1" applyFill="1" applyBorder="1" applyAlignment="1">
      <alignment horizontal="center" vertical="center" textRotation="90" wrapText="1"/>
    </xf>
    <xf numFmtId="0" fontId="8" fillId="0" borderId="14" xfId="0" applyFont="1" applyFill="1" applyBorder="1" applyAlignment="1">
      <alignment horizontal="center" vertical="center" textRotation="90"/>
    </xf>
    <xf numFmtId="0" fontId="8" fillId="0" borderId="16" xfId="0" applyFont="1" applyFill="1" applyBorder="1" applyAlignment="1">
      <alignment horizontal="center" vertical="center" textRotation="90"/>
    </xf>
    <xf numFmtId="0" fontId="8" fillId="0" borderId="34" xfId="0" applyFont="1" applyFill="1" applyBorder="1" applyAlignment="1">
      <alignment horizontal="center" vertical="center" wrapText="1"/>
    </xf>
    <xf numFmtId="0" fontId="8" fillId="0" borderId="36" xfId="0" applyFont="1" applyFill="1" applyBorder="1" applyAlignment="1">
      <alignment horizontal="center" vertical="center" wrapText="1"/>
    </xf>
    <xf numFmtId="0" fontId="8" fillId="0" borderId="37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 textRotation="90"/>
    </xf>
    <xf numFmtId="0" fontId="8" fillId="0" borderId="19" xfId="0" applyFont="1" applyFill="1" applyBorder="1" applyAlignment="1">
      <alignment horizontal="center" vertical="center"/>
    </xf>
    <xf numFmtId="0" fontId="8" fillId="0" borderId="20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/>
    </xf>
    <xf numFmtId="0" fontId="8" fillId="0" borderId="45" xfId="0" applyFont="1" applyFill="1" applyBorder="1" applyAlignment="1">
      <alignment horizontal="center" vertical="center"/>
    </xf>
    <xf numFmtId="0" fontId="8" fillId="0" borderId="46" xfId="0" applyFont="1" applyFill="1" applyBorder="1" applyAlignment="1">
      <alignment horizontal="center" vertical="center"/>
    </xf>
    <xf numFmtId="0" fontId="8" fillId="0" borderId="34" xfId="0" applyFont="1" applyFill="1" applyBorder="1" applyAlignment="1">
      <alignment horizontal="center" vertical="center"/>
    </xf>
    <xf numFmtId="0" fontId="8" fillId="0" borderId="36" xfId="0" applyFont="1" applyFill="1" applyBorder="1" applyAlignment="1">
      <alignment horizontal="center" vertical="center"/>
    </xf>
    <xf numFmtId="0" fontId="8" fillId="0" borderId="35" xfId="0" applyFont="1" applyFill="1" applyBorder="1" applyAlignment="1">
      <alignment horizontal="center" vertical="center"/>
    </xf>
    <xf numFmtId="0" fontId="8" fillId="0" borderId="35" xfId="0" applyFont="1" applyFill="1" applyBorder="1" applyAlignment="1">
      <alignment horizontal="center" vertical="center" wrapText="1"/>
    </xf>
    <xf numFmtId="0" fontId="8" fillId="0" borderId="46" xfId="0" applyFont="1" applyFill="1" applyBorder="1" applyAlignment="1">
      <alignment horizontal="center" vertical="center" wrapText="1"/>
    </xf>
    <xf numFmtId="0" fontId="8" fillId="0" borderId="46" xfId="0" applyFont="1" applyFill="1" applyBorder="1" applyAlignment="1">
      <alignment horizontal="center" vertical="center" textRotation="90" wrapText="1"/>
    </xf>
    <xf numFmtId="0" fontId="8" fillId="0" borderId="14" xfId="0" applyFont="1" applyFill="1" applyBorder="1" applyAlignment="1">
      <alignment horizontal="center" vertical="center" wrapText="1"/>
    </xf>
    <xf numFmtId="0" fontId="8" fillId="0" borderId="16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/>
    </xf>
    <xf numFmtId="0" fontId="8" fillId="0" borderId="16" xfId="0" applyFont="1" applyFill="1" applyBorder="1" applyAlignment="1">
      <alignment horizontal="center" vertical="center"/>
    </xf>
    <xf numFmtId="0" fontId="8" fillId="0" borderId="39" xfId="0" applyFont="1" applyFill="1" applyBorder="1" applyAlignment="1">
      <alignment horizontal="center" vertical="center"/>
    </xf>
    <xf numFmtId="0" fontId="8" fillId="0" borderId="45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 wrapText="1"/>
    </xf>
    <xf numFmtId="0" fontId="8" fillId="0" borderId="52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textRotation="90" wrapText="1"/>
    </xf>
    <xf numFmtId="0" fontId="8" fillId="0" borderId="47" xfId="0" applyFont="1" applyFill="1" applyBorder="1" applyAlignment="1">
      <alignment horizontal="center" vertical="center" textRotation="90" wrapText="1"/>
    </xf>
    <xf numFmtId="0" fontId="8" fillId="0" borderId="2" xfId="0" applyFont="1" applyFill="1" applyBorder="1" applyAlignment="1">
      <alignment horizontal="center" vertical="center"/>
    </xf>
    <xf numFmtId="0" fontId="8" fillId="0" borderId="25" xfId="0" applyFont="1" applyFill="1" applyBorder="1" applyAlignment="1">
      <alignment horizontal="center" vertical="center"/>
    </xf>
    <xf numFmtId="0" fontId="8" fillId="0" borderId="44" xfId="0" applyFont="1" applyFill="1" applyBorder="1" applyAlignment="1">
      <alignment horizontal="center" vertical="center"/>
    </xf>
    <xf numFmtId="0" fontId="8" fillId="0" borderId="51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26" xfId="0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/>
    </xf>
    <xf numFmtId="0" fontId="8" fillId="0" borderId="27" xfId="0" applyFont="1" applyFill="1" applyBorder="1" applyAlignment="1">
      <alignment horizontal="center" vertical="center"/>
    </xf>
    <xf numFmtId="0" fontId="8" fillId="0" borderId="37" xfId="0" applyFont="1" applyFill="1" applyBorder="1" applyAlignment="1">
      <alignment horizontal="center" vertical="center"/>
    </xf>
    <xf numFmtId="0" fontId="8" fillId="0" borderId="22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/>
    </xf>
    <xf numFmtId="0" fontId="8" fillId="0" borderId="17" xfId="0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top" wrapText="1"/>
    </xf>
    <xf numFmtId="0" fontId="8" fillId="0" borderId="16" xfId="0" applyFont="1" applyFill="1" applyBorder="1" applyAlignment="1">
      <alignment horizontal="center" vertical="top" wrapText="1"/>
    </xf>
    <xf numFmtId="0" fontId="8" fillId="0" borderId="14" xfId="0" applyFont="1" applyFill="1" applyBorder="1" applyAlignment="1">
      <alignment horizontal="center" vertical="center" textRotation="90" wrapText="1" shrinkToFit="1"/>
    </xf>
    <xf numFmtId="0" fontId="8" fillId="0" borderId="16" xfId="0" applyFont="1" applyFill="1" applyBorder="1" applyAlignment="1">
      <alignment horizontal="center" vertical="center" textRotation="90" wrapText="1" shrinkToFit="1"/>
    </xf>
    <xf numFmtId="0" fontId="8" fillId="0" borderId="15" xfId="0" applyFont="1" applyFill="1" applyBorder="1" applyAlignment="1">
      <alignment horizontal="center" vertical="center" textRotation="90" wrapText="1" shrinkToFit="1"/>
    </xf>
    <xf numFmtId="0" fontId="8" fillId="0" borderId="17" xfId="0" applyFont="1" applyFill="1" applyBorder="1" applyAlignment="1">
      <alignment horizontal="center" vertical="center" textRotation="90" wrapText="1" shrinkToFit="1"/>
    </xf>
    <xf numFmtId="0" fontId="8" fillId="0" borderId="49" xfId="0" applyFont="1" applyFill="1" applyBorder="1" applyAlignment="1">
      <alignment horizontal="center" vertical="center"/>
    </xf>
    <xf numFmtId="0" fontId="8" fillId="0" borderId="21" xfId="0" applyFont="1" applyFill="1" applyBorder="1" applyAlignment="1">
      <alignment horizontal="center" vertical="center"/>
    </xf>
    <xf numFmtId="0" fontId="8" fillId="0" borderId="32" xfId="0" applyFont="1" applyFill="1" applyBorder="1" applyAlignment="1">
      <alignment horizontal="center" vertical="center"/>
    </xf>
    <xf numFmtId="0" fontId="8" fillId="0" borderId="48" xfId="0" applyFont="1" applyFill="1" applyBorder="1" applyAlignment="1">
      <alignment horizontal="center" vertical="center"/>
    </xf>
    <xf numFmtId="0" fontId="8" fillId="0" borderId="28" xfId="0" applyFont="1" applyFill="1" applyBorder="1" applyAlignment="1">
      <alignment horizontal="center" vertical="center"/>
    </xf>
    <xf numFmtId="0" fontId="8" fillId="0" borderId="29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0" borderId="53" xfId="0" applyFont="1" applyFill="1" applyBorder="1" applyAlignment="1">
      <alignment horizontal="center" vertical="center"/>
    </xf>
    <xf numFmtId="0" fontId="8" fillId="0" borderId="54" xfId="0" applyFont="1" applyFill="1" applyBorder="1" applyAlignment="1">
      <alignment horizontal="center" vertical="center"/>
    </xf>
    <xf numFmtId="0" fontId="8" fillId="0" borderId="39" xfId="0" applyFont="1" applyFill="1" applyBorder="1" applyAlignment="1">
      <alignment horizontal="center" vertical="center" wrapText="1"/>
    </xf>
    <xf numFmtId="0" fontId="8" fillId="0" borderId="46" xfId="0" applyFont="1" applyFill="1" applyBorder="1" applyAlignment="1">
      <alignment horizontal="center"/>
    </xf>
    <xf numFmtId="0" fontId="8" fillId="0" borderId="52" xfId="0" applyFont="1" applyFill="1" applyBorder="1" applyAlignment="1">
      <alignment horizontal="center"/>
    </xf>
    <xf numFmtId="0" fontId="11" fillId="0" borderId="11" xfId="0" applyFont="1" applyFill="1" applyBorder="1" applyAlignment="1">
      <alignment horizontal="center"/>
    </xf>
    <xf numFmtId="0" fontId="8" fillId="0" borderId="11" xfId="0" applyFont="1" applyFill="1" applyBorder="1" applyAlignment="1">
      <alignment horizontal="center"/>
    </xf>
    <xf numFmtId="0" fontId="14" fillId="0" borderId="53" xfId="0" applyFont="1" applyFill="1" applyBorder="1" applyAlignment="1">
      <alignment horizontal="center" vertical="center"/>
    </xf>
    <xf numFmtId="0" fontId="14" fillId="0" borderId="54" xfId="0" applyFont="1" applyFill="1" applyBorder="1" applyAlignment="1">
      <alignment horizontal="center" vertical="center"/>
    </xf>
    <xf numFmtId="0" fontId="14" fillId="0" borderId="46" xfId="0" applyFont="1" applyFill="1" applyBorder="1" applyAlignment="1">
      <alignment horizontal="center" vertical="center"/>
    </xf>
    <xf numFmtId="0" fontId="14" fillId="0" borderId="52" xfId="0" applyFont="1" applyFill="1" applyBorder="1" applyAlignment="1">
      <alignment horizontal="center" vertical="center"/>
    </xf>
    <xf numFmtId="0" fontId="8" fillId="0" borderId="0" xfId="0" applyNumberFormat="1" applyFont="1" applyFill="1" applyAlignment="1">
      <alignment horizontal="center"/>
    </xf>
    <xf numFmtId="0" fontId="14" fillId="0" borderId="0" xfId="0" applyFont="1" applyFill="1" applyAlignment="1">
      <alignment horizontal="center"/>
    </xf>
    <xf numFmtId="0" fontId="13" fillId="0" borderId="33" xfId="0" applyFont="1" applyFill="1" applyBorder="1" applyAlignment="1">
      <alignment horizontal="center" vertical="center"/>
    </xf>
    <xf numFmtId="0" fontId="13" fillId="0" borderId="38" xfId="0" applyFont="1" applyFill="1" applyBorder="1" applyAlignment="1">
      <alignment horizontal="center" vertical="center"/>
    </xf>
    <xf numFmtId="0" fontId="13" fillId="0" borderId="53" xfId="0" applyFont="1" applyFill="1" applyBorder="1" applyAlignment="1">
      <alignment horizontal="center" vertical="center"/>
    </xf>
    <xf numFmtId="0" fontId="13" fillId="0" borderId="54" xfId="0" applyFont="1" applyFill="1" applyBorder="1" applyAlignment="1">
      <alignment horizontal="center" vertical="center"/>
    </xf>
    <xf numFmtId="0" fontId="8" fillId="0" borderId="34" xfId="0" applyNumberFormat="1" applyFont="1" applyFill="1" applyBorder="1" applyAlignment="1">
      <alignment horizontal="center" vertical="center" wrapText="1"/>
    </xf>
    <xf numFmtId="0" fontId="8" fillId="0" borderId="46" xfId="0" applyNumberFormat="1" applyFont="1" applyFill="1" applyBorder="1" applyAlignment="1">
      <alignment horizontal="center" vertical="center"/>
    </xf>
    <xf numFmtId="0" fontId="8" fillId="0" borderId="48" xfId="0" applyNumberFormat="1" applyFont="1" applyFill="1" applyBorder="1" applyAlignment="1">
      <alignment horizontal="center" vertical="center" wrapText="1"/>
    </xf>
    <xf numFmtId="0" fontId="14" fillId="0" borderId="11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28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34" xfId="0" applyFont="1" applyFill="1" applyBorder="1" applyAlignment="1">
      <alignment horizontal="center" vertical="center" wrapText="1"/>
    </xf>
    <xf numFmtId="0" fontId="14" fillId="0" borderId="36" xfId="0" applyFont="1" applyFill="1" applyBorder="1" applyAlignment="1">
      <alignment horizontal="center" vertical="center" wrapText="1"/>
    </xf>
    <xf numFmtId="0" fontId="14" fillId="0" borderId="35" xfId="0" applyFont="1" applyFill="1" applyBorder="1" applyAlignment="1">
      <alignment horizontal="center" vertical="center" wrapText="1"/>
    </xf>
    <xf numFmtId="0" fontId="14" fillId="0" borderId="34" xfId="0" applyNumberFormat="1" applyFont="1" applyFill="1" applyBorder="1" applyAlignment="1">
      <alignment horizontal="center" vertical="center" wrapText="1"/>
    </xf>
    <xf numFmtId="0" fontId="14" fillId="0" borderId="34" xfId="0" applyNumberFormat="1" applyFont="1" applyFill="1" applyBorder="1" applyAlignment="1">
      <alignment horizontal="center" vertical="center"/>
    </xf>
    <xf numFmtId="0" fontId="14" fillId="0" borderId="36" xfId="0" applyNumberFormat="1" applyFont="1" applyFill="1" applyBorder="1" applyAlignment="1">
      <alignment horizontal="center" vertical="center"/>
    </xf>
    <xf numFmtId="0" fontId="14" fillId="0" borderId="37" xfId="0" applyNumberFormat="1" applyFont="1" applyFill="1" applyBorder="1" applyAlignment="1">
      <alignment horizontal="center" vertical="center"/>
    </xf>
    <xf numFmtId="0" fontId="8" fillId="0" borderId="36" xfId="0" applyNumberFormat="1" applyFont="1" applyFill="1" applyBorder="1" applyAlignment="1">
      <alignment horizontal="center" vertical="center" wrapText="1"/>
    </xf>
    <xf numFmtId="0" fontId="8" fillId="0" borderId="35" xfId="0" applyNumberFormat="1" applyFont="1" applyFill="1" applyBorder="1" applyAlignment="1">
      <alignment horizontal="center" vertical="center" wrapText="1"/>
    </xf>
    <xf numFmtId="0" fontId="8" fillId="0" borderId="34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horizontal="right" vertical="center"/>
    </xf>
    <xf numFmtId="0" fontId="18" fillId="0" borderId="12" xfId="0" applyFont="1" applyFill="1" applyBorder="1" applyAlignment="1">
      <alignment horizontal="center" vertical="center" wrapText="1"/>
    </xf>
    <xf numFmtId="0" fontId="18" fillId="0" borderId="27" xfId="0" applyFont="1" applyFill="1" applyBorder="1" applyAlignment="1">
      <alignment horizontal="center" vertical="center" wrapText="1"/>
    </xf>
    <xf numFmtId="49" fontId="18" fillId="0" borderId="12" xfId="0" applyNumberFormat="1" applyFont="1" applyFill="1" applyBorder="1" applyAlignment="1">
      <alignment horizontal="center" vertical="center" wrapText="1"/>
    </xf>
    <xf numFmtId="49" fontId="18" fillId="0" borderId="27" xfId="0" applyNumberFormat="1" applyFont="1" applyFill="1" applyBorder="1" applyAlignment="1">
      <alignment horizontal="center" vertical="center" wrapText="1"/>
    </xf>
    <xf numFmtId="0" fontId="18" fillId="0" borderId="28" xfId="0" applyFont="1" applyFill="1" applyBorder="1" applyAlignment="1">
      <alignment horizontal="center" vertical="center" wrapText="1"/>
    </xf>
    <xf numFmtId="0" fontId="18" fillId="0" borderId="14" xfId="0" applyFont="1" applyFill="1" applyBorder="1" applyAlignment="1">
      <alignment horizontal="center" vertical="center" wrapText="1"/>
    </xf>
    <xf numFmtId="0" fontId="18" fillId="0" borderId="47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11" fillId="0" borderId="14" xfId="0" applyFont="1" applyFill="1" applyBorder="1" applyAlignment="1">
      <alignment horizontal="center" vertical="center" wrapText="1"/>
    </xf>
    <xf numFmtId="0" fontId="11" fillId="0" borderId="16" xfId="0" applyFont="1" applyFill="1" applyBorder="1" applyAlignment="1">
      <alignment horizontal="center" vertical="center" wrapText="1"/>
    </xf>
  </cellXfs>
  <cellStyles count="2">
    <cellStyle name="Normal" xfId="0" builtinId="0"/>
    <cellStyle name="Normal 4" xfId="1"/>
  </cellStyles>
  <dxfs count="1">
    <dxf>
      <fill>
        <patternFill>
          <bgColor rgb="FF92D05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55308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28576</xdr:colOff>
      <xdr:row>6</xdr:row>
      <xdr:rowOff>19047</xdr:rowOff>
    </xdr:from>
    <xdr:to>
      <xdr:col>0</xdr:col>
      <xdr:colOff>2164773</xdr:colOff>
      <xdr:row>7</xdr:row>
      <xdr:rowOff>398317</xdr:rowOff>
    </xdr:to>
    <xdr:sp macro="" textlink="">
      <xdr:nvSpPr>
        <xdr:cNvPr id="2" name="Lin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ShapeType="1"/>
        </xdr:cNvSpPr>
      </xdr:nvSpPr>
      <xdr:spPr bwMode="auto">
        <a:xfrm flipV="1">
          <a:off x="9970555947" y="1946907"/>
          <a:ext cx="955097" cy="684070"/>
        </a:xfrm>
        <a:prstGeom prst="line">
          <a:avLst/>
        </a:prstGeom>
        <a:noFill/>
        <a:ln w="38100" cmpd="dbl">
          <a:solidFill>
            <a:srgbClr val="333333"/>
          </a:solidFill>
          <a:round/>
          <a:headEnd/>
          <a:tailEnd/>
        </a:ln>
      </xdr:spPr>
    </xdr:sp>
    <xdr:clientData/>
  </xdr:twoCellAnchor>
  <xdr:twoCellAnchor>
    <xdr:from>
      <xdr:col>0</xdr:col>
      <xdr:colOff>308277</xdr:colOff>
      <xdr:row>6</xdr:row>
      <xdr:rowOff>19050</xdr:rowOff>
    </xdr:from>
    <xdr:to>
      <xdr:col>1</xdr:col>
      <xdr:colOff>132823</xdr:colOff>
      <xdr:row>7</xdr:row>
      <xdr:rowOff>85725</xdr:rowOff>
    </xdr:to>
    <xdr:sp macro="" textlink="">
      <xdr:nvSpPr>
        <xdr:cNvPr id="3" name="Rectangle 8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>
          <a:spLocks noChangeArrowheads="1"/>
        </xdr:cNvSpPr>
      </xdr:nvSpPr>
      <xdr:spPr bwMode="auto">
        <a:xfrm>
          <a:off x="9970423817" y="1946910"/>
          <a:ext cx="807526" cy="4171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ctr" rtl="0">
            <a:defRPr sz="1000"/>
          </a:pPr>
          <a:r>
            <a:rPr lang="ar-IQ" sz="1600" b="1" i="0" strike="noStrike">
              <a:solidFill>
                <a:srgbClr val="000000"/>
              </a:solidFill>
              <a:latin typeface="Arial"/>
              <a:cs typeface="Arial"/>
            </a:rPr>
            <a:t>العمر</a:t>
          </a:r>
        </a:p>
      </xdr:txBody>
    </xdr:sp>
    <xdr:clientData/>
  </xdr:twoCellAnchor>
  <xdr:twoCellAnchor>
    <xdr:from>
      <xdr:col>0</xdr:col>
      <xdr:colOff>36423</xdr:colOff>
      <xdr:row>6</xdr:row>
      <xdr:rowOff>259443</xdr:rowOff>
    </xdr:from>
    <xdr:to>
      <xdr:col>0</xdr:col>
      <xdr:colOff>607923</xdr:colOff>
      <xdr:row>8</xdr:row>
      <xdr:rowOff>168840</xdr:rowOff>
    </xdr:to>
    <xdr:sp macro="" textlink="">
      <xdr:nvSpPr>
        <xdr:cNvPr id="4" name="Rectangle 9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>
          <a:spLocks noChangeArrowheads="1"/>
        </xdr:cNvSpPr>
      </xdr:nvSpPr>
      <xdr:spPr bwMode="auto">
        <a:xfrm>
          <a:off x="9970931697" y="2187303"/>
          <a:ext cx="571500" cy="610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1" i="0" strike="noStrike">
              <a:solidFill>
                <a:srgbClr val="000000"/>
              </a:solidFill>
              <a:latin typeface="Arial"/>
              <a:cs typeface="Arial"/>
            </a:rPr>
            <a:t>الجنس</a:t>
          </a:r>
        </a:p>
      </xdr:txBody>
    </xdr:sp>
    <xdr:clientData/>
  </xdr:twoCellAnchor>
  <xdr:twoCellAnchor>
    <xdr:from>
      <xdr:col>0</xdr:col>
      <xdr:colOff>462797</xdr:colOff>
      <xdr:row>16</xdr:row>
      <xdr:rowOff>38967</xdr:rowOff>
    </xdr:from>
    <xdr:to>
      <xdr:col>1</xdr:col>
      <xdr:colOff>272665</xdr:colOff>
      <xdr:row>17</xdr:row>
      <xdr:rowOff>21647</xdr:rowOff>
    </xdr:to>
    <xdr:sp macro="" textlink="">
      <xdr:nvSpPr>
        <xdr:cNvPr id="5" name="Rectangle 10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>
          <a:spLocks noChangeArrowheads="1"/>
        </xdr:cNvSpPr>
      </xdr:nvSpPr>
      <xdr:spPr bwMode="auto">
        <a:xfrm>
          <a:off x="9970283975" y="5052927"/>
          <a:ext cx="792848" cy="333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400" b="1" i="0" strike="noStrike">
              <a:solidFill>
                <a:srgbClr val="000000"/>
              </a:solidFill>
              <a:latin typeface="Arial"/>
              <a:cs typeface="Arial"/>
            </a:rPr>
            <a:t>الصف</a:t>
          </a:r>
        </a:p>
      </xdr:txBody>
    </xdr:sp>
    <xdr:clientData/>
  </xdr:twoCellAnchor>
  <xdr:twoCellAnchor>
    <xdr:from>
      <xdr:col>0</xdr:col>
      <xdr:colOff>7821</xdr:colOff>
      <xdr:row>17</xdr:row>
      <xdr:rowOff>36160</xdr:rowOff>
    </xdr:from>
    <xdr:to>
      <xdr:col>0</xdr:col>
      <xdr:colOff>560270</xdr:colOff>
      <xdr:row>18</xdr:row>
      <xdr:rowOff>24904</xdr:rowOff>
    </xdr:to>
    <xdr:sp macro="" textlink="">
      <xdr:nvSpPr>
        <xdr:cNvPr id="6" name="Rectangle 11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>
          <a:spLocks noChangeArrowheads="1"/>
        </xdr:cNvSpPr>
      </xdr:nvSpPr>
      <xdr:spPr bwMode="auto">
        <a:xfrm>
          <a:off x="9970979350" y="5400640"/>
          <a:ext cx="552449" cy="3392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400" b="1" i="0" strike="noStrike">
              <a:solidFill>
                <a:srgbClr val="000000"/>
              </a:solidFill>
              <a:latin typeface="Arial"/>
              <a:cs typeface="Arial"/>
            </a:rPr>
            <a:t>الجنس</a:t>
          </a:r>
        </a:p>
      </xdr:txBody>
    </xdr:sp>
    <xdr:clientData/>
  </xdr:twoCellAnchor>
  <xdr:twoCellAnchor>
    <xdr:from>
      <xdr:col>0</xdr:col>
      <xdr:colOff>219075</xdr:colOff>
      <xdr:row>36</xdr:row>
      <xdr:rowOff>427262</xdr:rowOff>
    </xdr:from>
    <xdr:to>
      <xdr:col>0</xdr:col>
      <xdr:colOff>1698625</xdr:colOff>
      <xdr:row>38</xdr:row>
      <xdr:rowOff>322034</xdr:rowOff>
    </xdr:to>
    <xdr:sp macro="" textlink="">
      <xdr:nvSpPr>
        <xdr:cNvPr id="7" name="Line 5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>
          <a:spLocks noChangeShapeType="1"/>
        </xdr:cNvSpPr>
      </xdr:nvSpPr>
      <xdr:spPr bwMode="auto">
        <a:xfrm flipV="1">
          <a:off x="9970557275" y="12238262"/>
          <a:ext cx="763270" cy="672012"/>
        </a:xfrm>
        <a:prstGeom prst="line">
          <a:avLst/>
        </a:prstGeom>
        <a:noFill/>
        <a:ln w="38100" cmpd="dbl">
          <a:solidFill>
            <a:srgbClr val="333333"/>
          </a:solidFill>
          <a:round/>
          <a:headEnd/>
          <a:tailEnd/>
        </a:ln>
      </xdr:spPr>
    </xdr:sp>
    <xdr:clientData/>
  </xdr:twoCellAnchor>
  <xdr:twoCellAnchor>
    <xdr:from>
      <xdr:col>0</xdr:col>
      <xdr:colOff>552450</xdr:colOff>
      <xdr:row>37</xdr:row>
      <xdr:rowOff>31750</xdr:rowOff>
    </xdr:from>
    <xdr:to>
      <xdr:col>1</xdr:col>
      <xdr:colOff>19050</xdr:colOff>
      <xdr:row>38</xdr:row>
      <xdr:rowOff>85725</xdr:rowOff>
    </xdr:to>
    <xdr:sp macro="" textlink="">
      <xdr:nvSpPr>
        <xdr:cNvPr id="8" name="Rectangle 8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>
          <a:spLocks noChangeArrowheads="1"/>
        </xdr:cNvSpPr>
      </xdr:nvSpPr>
      <xdr:spPr bwMode="auto">
        <a:xfrm>
          <a:off x="9970537590" y="12269470"/>
          <a:ext cx="449580" cy="404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1" i="0" strike="noStrike">
              <a:solidFill>
                <a:srgbClr val="000000"/>
              </a:solidFill>
              <a:latin typeface="Arial"/>
              <a:cs typeface="Arial"/>
            </a:rPr>
            <a:t>العمر</a:t>
          </a:r>
        </a:p>
      </xdr:txBody>
    </xdr:sp>
    <xdr:clientData/>
  </xdr:twoCellAnchor>
  <xdr:twoCellAnchor>
    <xdr:from>
      <xdr:col>0</xdr:col>
      <xdr:colOff>47625</xdr:colOff>
      <xdr:row>37</xdr:row>
      <xdr:rowOff>285750</xdr:rowOff>
    </xdr:from>
    <xdr:to>
      <xdr:col>0</xdr:col>
      <xdr:colOff>781050</xdr:colOff>
      <xdr:row>39</xdr:row>
      <xdr:rowOff>104775</xdr:rowOff>
    </xdr:to>
    <xdr:sp macro="" textlink="">
      <xdr:nvSpPr>
        <xdr:cNvPr id="9" name="Rectangle 9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>
          <a:spLocks noChangeArrowheads="1"/>
        </xdr:cNvSpPr>
      </xdr:nvSpPr>
      <xdr:spPr bwMode="auto">
        <a:xfrm>
          <a:off x="9970758570" y="12523470"/>
          <a:ext cx="733425" cy="5200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1" i="0" strike="noStrike">
              <a:solidFill>
                <a:srgbClr val="000000"/>
              </a:solidFill>
              <a:latin typeface="Arial"/>
              <a:cs typeface="Arial"/>
            </a:rPr>
            <a:t>الجنس</a:t>
          </a:r>
        </a:p>
      </xdr:txBody>
    </xdr:sp>
    <xdr:clientData/>
  </xdr:twoCellAnchor>
  <xdr:twoCellAnchor>
    <xdr:from>
      <xdr:col>0</xdr:col>
      <xdr:colOff>549493</xdr:colOff>
      <xdr:row>47</xdr:row>
      <xdr:rowOff>120102</xdr:rowOff>
    </xdr:from>
    <xdr:to>
      <xdr:col>1</xdr:col>
      <xdr:colOff>256715</xdr:colOff>
      <xdr:row>48</xdr:row>
      <xdr:rowOff>34635</xdr:rowOff>
    </xdr:to>
    <xdr:sp macro="" textlink="">
      <xdr:nvSpPr>
        <xdr:cNvPr id="10" name="Rectangle 10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>
          <a:spLocks noChangeArrowheads="1"/>
        </xdr:cNvSpPr>
      </xdr:nvSpPr>
      <xdr:spPr bwMode="auto">
        <a:xfrm>
          <a:off x="9970299925" y="15695382"/>
          <a:ext cx="690202" cy="26505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1" i="0" strike="noStrike">
              <a:solidFill>
                <a:srgbClr val="000000"/>
              </a:solidFill>
              <a:latin typeface="Arial"/>
              <a:cs typeface="Arial"/>
            </a:rPr>
            <a:t>الصف</a:t>
          </a:r>
        </a:p>
      </xdr:txBody>
    </xdr:sp>
    <xdr:clientData/>
  </xdr:twoCellAnchor>
  <xdr:twoCellAnchor>
    <xdr:from>
      <xdr:col>0</xdr:col>
      <xdr:colOff>69273</xdr:colOff>
      <xdr:row>48</xdr:row>
      <xdr:rowOff>45889</xdr:rowOff>
    </xdr:from>
    <xdr:to>
      <xdr:col>0</xdr:col>
      <xdr:colOff>802697</xdr:colOff>
      <xdr:row>49</xdr:row>
      <xdr:rowOff>34633</xdr:rowOff>
    </xdr:to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>
          <a:spLocks noChangeArrowheads="1"/>
        </xdr:cNvSpPr>
      </xdr:nvSpPr>
      <xdr:spPr bwMode="auto">
        <a:xfrm>
          <a:off x="9970736923" y="15971689"/>
          <a:ext cx="733424" cy="3392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1" i="0" strike="noStrike">
              <a:solidFill>
                <a:srgbClr val="000000"/>
              </a:solidFill>
              <a:latin typeface="Arial"/>
              <a:cs typeface="Arial"/>
            </a:rPr>
            <a:t>الجنس</a:t>
          </a:r>
        </a:p>
      </xdr:txBody>
    </xdr:sp>
    <xdr:clientData/>
  </xdr:twoCellAnchor>
  <xdr:twoCellAnchor>
    <xdr:from>
      <xdr:col>0</xdr:col>
      <xdr:colOff>28575</xdr:colOff>
      <xdr:row>68</xdr:row>
      <xdr:rowOff>19048</xdr:rowOff>
    </xdr:from>
    <xdr:to>
      <xdr:col>0</xdr:col>
      <xdr:colOff>1766455</xdr:colOff>
      <xdr:row>69</xdr:row>
      <xdr:rowOff>640772</xdr:rowOff>
    </xdr:to>
    <xdr:sp macro="" textlink="">
      <xdr:nvSpPr>
        <xdr:cNvPr id="12" name="Line 5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>
          <a:spLocks noChangeShapeType="1"/>
        </xdr:cNvSpPr>
      </xdr:nvSpPr>
      <xdr:spPr bwMode="auto">
        <a:xfrm flipV="1">
          <a:off x="9970558025" y="22955248"/>
          <a:ext cx="953020" cy="682684"/>
        </a:xfrm>
        <a:prstGeom prst="line">
          <a:avLst/>
        </a:prstGeom>
        <a:noFill/>
        <a:ln w="38100" cmpd="dbl">
          <a:solidFill>
            <a:srgbClr val="333333"/>
          </a:solidFill>
          <a:round/>
          <a:headEnd/>
          <a:tailEnd/>
        </a:ln>
      </xdr:spPr>
    </xdr:sp>
    <xdr:clientData/>
  </xdr:twoCellAnchor>
  <xdr:twoCellAnchor>
    <xdr:from>
      <xdr:col>0</xdr:col>
      <xdr:colOff>450474</xdr:colOff>
      <xdr:row>68</xdr:row>
      <xdr:rowOff>19050</xdr:rowOff>
    </xdr:from>
    <xdr:to>
      <xdr:col>1</xdr:col>
      <xdr:colOff>536156</xdr:colOff>
      <xdr:row>69</xdr:row>
      <xdr:rowOff>85725</xdr:rowOff>
    </xdr:to>
    <xdr:sp macro="" textlink="">
      <xdr:nvSpPr>
        <xdr:cNvPr id="13" name="Rectangle 8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>
          <a:spLocks noChangeArrowheads="1"/>
        </xdr:cNvSpPr>
      </xdr:nvSpPr>
      <xdr:spPr bwMode="auto">
        <a:xfrm>
          <a:off x="9970020484" y="22955250"/>
          <a:ext cx="1068662" cy="4171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1" i="0" strike="noStrike">
              <a:solidFill>
                <a:srgbClr val="000000"/>
              </a:solidFill>
              <a:latin typeface="Arial"/>
              <a:cs typeface="Arial"/>
            </a:rPr>
            <a:t>العمر</a:t>
          </a:r>
        </a:p>
      </xdr:txBody>
    </xdr:sp>
    <xdr:clientData/>
  </xdr:twoCellAnchor>
  <xdr:twoCellAnchor>
    <xdr:from>
      <xdr:col>0</xdr:col>
      <xdr:colOff>47625</xdr:colOff>
      <xdr:row>68</xdr:row>
      <xdr:rowOff>614792</xdr:rowOff>
    </xdr:from>
    <xdr:to>
      <xdr:col>0</xdr:col>
      <xdr:colOff>781050</xdr:colOff>
      <xdr:row>70</xdr:row>
      <xdr:rowOff>433817</xdr:rowOff>
    </xdr:to>
    <xdr:sp macro="" textlink="">
      <xdr:nvSpPr>
        <xdr:cNvPr id="14" name="Rectangle 9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>
          <a:spLocks noChangeArrowheads="1"/>
        </xdr:cNvSpPr>
      </xdr:nvSpPr>
      <xdr:spPr bwMode="auto">
        <a:xfrm>
          <a:off x="9970758570" y="23284292"/>
          <a:ext cx="733425" cy="7029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400" b="1" i="0" strike="noStrike">
              <a:solidFill>
                <a:srgbClr val="000000"/>
              </a:solidFill>
              <a:latin typeface="Arial"/>
              <a:cs typeface="Arial"/>
            </a:rPr>
            <a:t>الجنس</a:t>
          </a:r>
        </a:p>
      </xdr:txBody>
    </xdr:sp>
    <xdr:clientData/>
  </xdr:twoCellAnchor>
  <xdr:twoCellAnchor>
    <xdr:from>
      <xdr:col>0</xdr:col>
      <xdr:colOff>416143</xdr:colOff>
      <xdr:row>78</xdr:row>
      <xdr:rowOff>62952</xdr:rowOff>
    </xdr:from>
    <xdr:to>
      <xdr:col>1</xdr:col>
      <xdr:colOff>123365</xdr:colOff>
      <xdr:row>79</xdr:row>
      <xdr:rowOff>95250</xdr:rowOff>
    </xdr:to>
    <xdr:sp macro="" textlink="">
      <xdr:nvSpPr>
        <xdr:cNvPr id="15" name="Rectangle 10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>
          <a:spLocks noChangeArrowheads="1"/>
        </xdr:cNvSpPr>
      </xdr:nvSpPr>
      <xdr:spPr bwMode="auto">
        <a:xfrm>
          <a:off x="9970433275" y="26504352"/>
          <a:ext cx="690202" cy="3828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1" i="0" strike="noStrike">
              <a:solidFill>
                <a:srgbClr val="000000"/>
              </a:solidFill>
              <a:latin typeface="Arial"/>
              <a:cs typeface="Arial"/>
            </a:rPr>
            <a:t>الصف</a:t>
          </a:r>
        </a:p>
      </xdr:txBody>
    </xdr:sp>
    <xdr:clientData/>
  </xdr:twoCellAnchor>
  <xdr:twoCellAnchor>
    <xdr:from>
      <xdr:col>0</xdr:col>
      <xdr:colOff>69273</xdr:colOff>
      <xdr:row>79</xdr:row>
      <xdr:rowOff>45889</xdr:rowOff>
    </xdr:from>
    <xdr:to>
      <xdr:col>0</xdr:col>
      <xdr:colOff>802697</xdr:colOff>
      <xdr:row>80</xdr:row>
      <xdr:rowOff>34633</xdr:rowOff>
    </xdr:to>
    <xdr:sp macro="" textlink="">
      <xdr:nvSpPr>
        <xdr:cNvPr id="16" name="Rectangle 11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>
          <a:spLocks noChangeArrowheads="1"/>
        </xdr:cNvSpPr>
      </xdr:nvSpPr>
      <xdr:spPr bwMode="auto">
        <a:xfrm>
          <a:off x="9970736923" y="26837809"/>
          <a:ext cx="733424" cy="3392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1" i="0" strike="noStrike">
              <a:solidFill>
                <a:srgbClr val="000000"/>
              </a:solidFill>
              <a:latin typeface="Arial"/>
              <a:cs typeface="Arial"/>
            </a:rPr>
            <a:t>الجنس</a:t>
          </a:r>
        </a:p>
      </xdr:txBody>
    </xdr:sp>
    <xdr:clientData/>
  </xdr:twoCellAnchor>
  <xdr:twoCellAnchor>
    <xdr:from>
      <xdr:col>0</xdr:col>
      <xdr:colOff>66675</xdr:colOff>
      <xdr:row>98</xdr:row>
      <xdr:rowOff>342897</xdr:rowOff>
    </xdr:from>
    <xdr:to>
      <xdr:col>1</xdr:col>
      <xdr:colOff>38100</xdr:colOff>
      <xdr:row>100</xdr:row>
      <xdr:rowOff>323849</xdr:rowOff>
    </xdr:to>
    <xdr:sp macro="" textlink="">
      <xdr:nvSpPr>
        <xdr:cNvPr id="17" name="Line 5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>
          <a:spLocks noChangeShapeType="1"/>
        </xdr:cNvSpPr>
      </xdr:nvSpPr>
      <xdr:spPr bwMode="auto">
        <a:xfrm flipV="1">
          <a:off x="9970518540" y="33794697"/>
          <a:ext cx="954405" cy="681992"/>
        </a:xfrm>
        <a:prstGeom prst="line">
          <a:avLst/>
        </a:prstGeom>
        <a:noFill/>
        <a:ln w="38100" cmpd="dbl">
          <a:solidFill>
            <a:srgbClr val="333333"/>
          </a:solidFill>
          <a:round/>
          <a:headEnd/>
          <a:tailEnd/>
        </a:ln>
      </xdr:spPr>
    </xdr:sp>
    <xdr:clientData/>
  </xdr:twoCellAnchor>
  <xdr:twoCellAnchor>
    <xdr:from>
      <xdr:col>0</xdr:col>
      <xdr:colOff>466725</xdr:colOff>
      <xdr:row>99</xdr:row>
      <xdr:rowOff>3175</xdr:rowOff>
    </xdr:from>
    <xdr:to>
      <xdr:col>1</xdr:col>
      <xdr:colOff>142876</xdr:colOff>
      <xdr:row>100</xdr:row>
      <xdr:rowOff>60325</xdr:rowOff>
    </xdr:to>
    <xdr:sp macro="" textlink="">
      <xdr:nvSpPr>
        <xdr:cNvPr id="18" name="Rectangle 8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>
          <a:spLocks noChangeArrowheads="1"/>
        </xdr:cNvSpPr>
      </xdr:nvSpPr>
      <xdr:spPr bwMode="auto">
        <a:xfrm>
          <a:off x="9970413764" y="33805495"/>
          <a:ext cx="659131" cy="4076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1" i="0" strike="noStrike">
              <a:solidFill>
                <a:srgbClr val="000000"/>
              </a:solidFill>
              <a:latin typeface="Arial"/>
              <a:cs typeface="Arial"/>
            </a:rPr>
            <a:t>العمر</a:t>
          </a:r>
        </a:p>
      </xdr:txBody>
    </xdr:sp>
    <xdr:clientData/>
  </xdr:twoCellAnchor>
  <xdr:twoCellAnchor>
    <xdr:from>
      <xdr:col>0</xdr:col>
      <xdr:colOff>47625</xdr:colOff>
      <xdr:row>100</xdr:row>
      <xdr:rowOff>34925</xdr:rowOff>
    </xdr:from>
    <xdr:to>
      <xdr:col>1</xdr:col>
      <xdr:colOff>0</xdr:colOff>
      <xdr:row>100</xdr:row>
      <xdr:rowOff>333375</xdr:rowOff>
    </xdr:to>
    <xdr:sp macro="" textlink="">
      <xdr:nvSpPr>
        <xdr:cNvPr id="19" name="Rectangle 9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>
          <a:spLocks noChangeArrowheads="1"/>
        </xdr:cNvSpPr>
      </xdr:nvSpPr>
      <xdr:spPr bwMode="auto">
        <a:xfrm>
          <a:off x="9970556640" y="34187765"/>
          <a:ext cx="935355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400" b="0" i="0" strike="noStrike">
              <a:solidFill>
                <a:srgbClr val="000000"/>
              </a:solidFill>
              <a:latin typeface="Arial"/>
              <a:cs typeface="Arial"/>
            </a:rPr>
            <a:t>الجنس</a:t>
          </a:r>
        </a:p>
      </xdr:txBody>
    </xdr:sp>
    <xdr:clientData/>
  </xdr:twoCellAnchor>
  <xdr:twoCellAnchor>
    <xdr:from>
      <xdr:col>0</xdr:col>
      <xdr:colOff>549493</xdr:colOff>
      <xdr:row>109</xdr:row>
      <xdr:rowOff>120102</xdr:rowOff>
    </xdr:from>
    <xdr:to>
      <xdr:col>1</xdr:col>
      <xdr:colOff>256715</xdr:colOff>
      <xdr:row>110</xdr:row>
      <xdr:rowOff>34635</xdr:rowOff>
    </xdr:to>
    <xdr:sp macro="" textlink="">
      <xdr:nvSpPr>
        <xdr:cNvPr id="20" name="Rectangle 10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>
          <a:spLocks noChangeArrowheads="1"/>
        </xdr:cNvSpPr>
      </xdr:nvSpPr>
      <xdr:spPr bwMode="auto">
        <a:xfrm>
          <a:off x="9970299925" y="37427622"/>
          <a:ext cx="690202" cy="26505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1" i="0" strike="noStrike">
              <a:solidFill>
                <a:srgbClr val="000000"/>
              </a:solidFill>
              <a:latin typeface="Arial"/>
              <a:cs typeface="Arial"/>
            </a:rPr>
            <a:t>الصف</a:t>
          </a:r>
        </a:p>
      </xdr:txBody>
    </xdr:sp>
    <xdr:clientData/>
  </xdr:twoCellAnchor>
  <xdr:twoCellAnchor>
    <xdr:from>
      <xdr:col>0</xdr:col>
      <xdr:colOff>69273</xdr:colOff>
      <xdr:row>110</xdr:row>
      <xdr:rowOff>45889</xdr:rowOff>
    </xdr:from>
    <xdr:to>
      <xdr:col>0</xdr:col>
      <xdr:colOff>802697</xdr:colOff>
      <xdr:row>111</xdr:row>
      <xdr:rowOff>34633</xdr:rowOff>
    </xdr:to>
    <xdr:sp macro="" textlink="">
      <xdr:nvSpPr>
        <xdr:cNvPr id="21" name="Rectangle 11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>
          <a:spLocks noChangeArrowheads="1"/>
        </xdr:cNvSpPr>
      </xdr:nvSpPr>
      <xdr:spPr bwMode="auto">
        <a:xfrm>
          <a:off x="9970736923" y="37703929"/>
          <a:ext cx="733424" cy="3392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1" i="0" strike="noStrike">
              <a:solidFill>
                <a:srgbClr val="000000"/>
              </a:solidFill>
              <a:latin typeface="Arial"/>
              <a:cs typeface="Arial"/>
            </a:rPr>
            <a:t>الجنس</a:t>
          </a:r>
        </a:p>
      </xdr:txBody>
    </xdr:sp>
    <xdr:clientData/>
  </xdr:twoCellAnchor>
  <xdr:twoCellAnchor>
    <xdr:from>
      <xdr:col>0</xdr:col>
      <xdr:colOff>28575</xdr:colOff>
      <xdr:row>130</xdr:row>
      <xdr:rowOff>19048</xdr:rowOff>
    </xdr:from>
    <xdr:to>
      <xdr:col>0</xdr:col>
      <xdr:colOff>1651000</xdr:colOff>
      <xdr:row>131</xdr:row>
      <xdr:rowOff>761999</xdr:rowOff>
    </xdr:to>
    <xdr:sp macro="" textlink="">
      <xdr:nvSpPr>
        <xdr:cNvPr id="22" name="Line 5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 noChangeShapeType="1"/>
        </xdr:cNvSpPr>
      </xdr:nvSpPr>
      <xdr:spPr bwMode="auto">
        <a:xfrm flipV="1">
          <a:off x="9970559180" y="44687488"/>
          <a:ext cx="951865" cy="681991"/>
        </a:xfrm>
        <a:prstGeom prst="line">
          <a:avLst/>
        </a:prstGeom>
        <a:noFill/>
        <a:ln w="38100" cmpd="dbl">
          <a:solidFill>
            <a:srgbClr val="333333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131</xdr:row>
      <xdr:rowOff>206375</xdr:rowOff>
    </xdr:from>
    <xdr:to>
      <xdr:col>0</xdr:col>
      <xdr:colOff>781050</xdr:colOff>
      <xdr:row>132</xdr:row>
      <xdr:rowOff>47625</xdr:rowOff>
    </xdr:to>
    <xdr:sp macro="" textlink="">
      <xdr:nvSpPr>
        <xdr:cNvPr id="23" name="Rectangle 9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>
          <a:spLocks noChangeArrowheads="1"/>
        </xdr:cNvSpPr>
      </xdr:nvSpPr>
      <xdr:spPr bwMode="auto">
        <a:xfrm>
          <a:off x="9970758570" y="45225335"/>
          <a:ext cx="733425" cy="191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2400" b="0" i="0" strike="noStrike">
              <a:solidFill>
                <a:srgbClr val="000000"/>
              </a:solidFill>
              <a:latin typeface="Arial"/>
              <a:cs typeface="Arial"/>
            </a:rPr>
            <a:t>الجنس</a:t>
          </a:r>
        </a:p>
      </xdr:txBody>
    </xdr:sp>
    <xdr:clientData/>
  </xdr:twoCellAnchor>
  <xdr:twoCellAnchor>
    <xdr:from>
      <xdr:col>0</xdr:col>
      <xdr:colOff>549493</xdr:colOff>
      <xdr:row>140</xdr:row>
      <xdr:rowOff>120102</xdr:rowOff>
    </xdr:from>
    <xdr:to>
      <xdr:col>1</xdr:col>
      <xdr:colOff>256715</xdr:colOff>
      <xdr:row>141</xdr:row>
      <xdr:rowOff>34635</xdr:rowOff>
    </xdr:to>
    <xdr:sp macro="" textlink="">
      <xdr:nvSpPr>
        <xdr:cNvPr id="24" name="Rectangle 10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>
          <a:spLocks noChangeArrowheads="1"/>
        </xdr:cNvSpPr>
      </xdr:nvSpPr>
      <xdr:spPr bwMode="auto">
        <a:xfrm>
          <a:off x="9970299925" y="48293742"/>
          <a:ext cx="690202" cy="26505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1" i="0" strike="noStrike">
              <a:solidFill>
                <a:srgbClr val="000000"/>
              </a:solidFill>
              <a:latin typeface="Arial"/>
              <a:cs typeface="Arial"/>
            </a:rPr>
            <a:t>الصف</a:t>
          </a:r>
        </a:p>
      </xdr:txBody>
    </xdr:sp>
    <xdr:clientData/>
  </xdr:twoCellAnchor>
  <xdr:twoCellAnchor>
    <xdr:from>
      <xdr:col>0</xdr:col>
      <xdr:colOff>69273</xdr:colOff>
      <xdr:row>141</xdr:row>
      <xdr:rowOff>45889</xdr:rowOff>
    </xdr:from>
    <xdr:to>
      <xdr:col>0</xdr:col>
      <xdr:colOff>802697</xdr:colOff>
      <xdr:row>142</xdr:row>
      <xdr:rowOff>34633</xdr:rowOff>
    </xdr:to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>
          <a:spLocks noChangeArrowheads="1"/>
        </xdr:cNvSpPr>
      </xdr:nvSpPr>
      <xdr:spPr bwMode="auto">
        <a:xfrm>
          <a:off x="9970736923" y="48570049"/>
          <a:ext cx="733424" cy="3392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1" i="0" strike="noStrike">
              <a:solidFill>
                <a:srgbClr val="000000"/>
              </a:solidFill>
              <a:latin typeface="Arial"/>
              <a:cs typeface="Arial"/>
            </a:rPr>
            <a:t>الجنس</a:t>
          </a:r>
        </a:p>
      </xdr:txBody>
    </xdr:sp>
    <xdr:clientData/>
  </xdr:twoCellAnchor>
  <xdr:twoCellAnchor>
    <xdr:from>
      <xdr:col>0</xdr:col>
      <xdr:colOff>450474</xdr:colOff>
      <xdr:row>130</xdr:row>
      <xdr:rowOff>19050</xdr:rowOff>
    </xdr:from>
    <xdr:to>
      <xdr:col>1</xdr:col>
      <xdr:colOff>536156</xdr:colOff>
      <xdr:row>131</xdr:row>
      <xdr:rowOff>85725</xdr:rowOff>
    </xdr:to>
    <xdr:sp macro="" textlink="">
      <xdr:nvSpPr>
        <xdr:cNvPr id="26" name="Rectangle 8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>
          <a:spLocks noChangeArrowheads="1"/>
        </xdr:cNvSpPr>
      </xdr:nvSpPr>
      <xdr:spPr bwMode="auto">
        <a:xfrm>
          <a:off x="9970020484" y="44687490"/>
          <a:ext cx="1068662" cy="4171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0" i="0" strike="noStrike">
              <a:solidFill>
                <a:srgbClr val="000000"/>
              </a:solidFill>
              <a:latin typeface="Arial"/>
              <a:cs typeface="Arial"/>
            </a:rPr>
            <a:t>العمر</a:t>
          </a:r>
        </a:p>
      </xdr:txBody>
    </xdr:sp>
    <xdr:clientData/>
  </xdr:twoCellAnchor>
  <xdr:twoCellAnchor>
    <xdr:from>
      <xdr:col>0</xdr:col>
      <xdr:colOff>47625</xdr:colOff>
      <xdr:row>130</xdr:row>
      <xdr:rowOff>285750</xdr:rowOff>
    </xdr:from>
    <xdr:to>
      <xdr:col>0</xdr:col>
      <xdr:colOff>781050</xdr:colOff>
      <xdr:row>132</xdr:row>
      <xdr:rowOff>104775</xdr:rowOff>
    </xdr:to>
    <xdr:sp macro="" textlink="">
      <xdr:nvSpPr>
        <xdr:cNvPr id="27" name="Rectangle 9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>
          <a:spLocks noChangeArrowheads="1"/>
        </xdr:cNvSpPr>
      </xdr:nvSpPr>
      <xdr:spPr bwMode="auto">
        <a:xfrm>
          <a:off x="9970758570" y="44954190"/>
          <a:ext cx="733425" cy="5200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0" i="0" strike="noStrike">
              <a:solidFill>
                <a:srgbClr val="000000"/>
              </a:solidFill>
              <a:latin typeface="Arial"/>
              <a:cs typeface="Arial"/>
            </a:rPr>
            <a:t>الجنس</a:t>
          </a:r>
        </a:p>
      </xdr:txBody>
    </xdr:sp>
    <xdr:clientData/>
  </xdr:twoCellAnchor>
  <xdr:twoCellAnchor>
    <xdr:from>
      <xdr:col>0</xdr:col>
      <xdr:colOff>549493</xdr:colOff>
      <xdr:row>140</xdr:row>
      <xdr:rowOff>120102</xdr:rowOff>
    </xdr:from>
    <xdr:to>
      <xdr:col>1</xdr:col>
      <xdr:colOff>256715</xdr:colOff>
      <xdr:row>141</xdr:row>
      <xdr:rowOff>34635</xdr:rowOff>
    </xdr:to>
    <xdr:sp macro="" textlink="">
      <xdr:nvSpPr>
        <xdr:cNvPr id="28" name="Rectangle 10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>
          <a:spLocks noChangeArrowheads="1"/>
        </xdr:cNvSpPr>
      </xdr:nvSpPr>
      <xdr:spPr bwMode="auto">
        <a:xfrm>
          <a:off x="9970299925" y="48293742"/>
          <a:ext cx="690202" cy="26505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1" i="0" strike="noStrike">
              <a:solidFill>
                <a:srgbClr val="000000"/>
              </a:solidFill>
              <a:latin typeface="Arial"/>
              <a:cs typeface="Arial"/>
            </a:rPr>
            <a:t>الصف</a:t>
          </a:r>
        </a:p>
      </xdr:txBody>
    </xdr:sp>
    <xdr:clientData/>
  </xdr:twoCellAnchor>
  <xdr:twoCellAnchor>
    <xdr:from>
      <xdr:col>0</xdr:col>
      <xdr:colOff>69273</xdr:colOff>
      <xdr:row>141</xdr:row>
      <xdr:rowOff>45889</xdr:rowOff>
    </xdr:from>
    <xdr:to>
      <xdr:col>0</xdr:col>
      <xdr:colOff>802697</xdr:colOff>
      <xdr:row>142</xdr:row>
      <xdr:rowOff>34633</xdr:rowOff>
    </xdr:to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>
          <a:spLocks noChangeArrowheads="1"/>
        </xdr:cNvSpPr>
      </xdr:nvSpPr>
      <xdr:spPr bwMode="auto">
        <a:xfrm>
          <a:off x="9970736923" y="48570049"/>
          <a:ext cx="733424" cy="3392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1" i="0" strike="noStrike">
              <a:solidFill>
                <a:srgbClr val="000000"/>
              </a:solidFill>
              <a:latin typeface="Arial"/>
              <a:cs typeface="Arial"/>
            </a:rPr>
            <a:t>الجنس</a:t>
          </a:r>
        </a:p>
      </xdr:txBody>
    </xdr:sp>
    <xdr:clientData/>
  </xdr:twoCellAnchor>
  <xdr:twoCellAnchor>
    <xdr:from>
      <xdr:col>0</xdr:col>
      <xdr:colOff>28575</xdr:colOff>
      <xdr:row>222</xdr:row>
      <xdr:rowOff>19049</xdr:rowOff>
    </xdr:from>
    <xdr:to>
      <xdr:col>0</xdr:col>
      <xdr:colOff>1108363</xdr:colOff>
      <xdr:row>223</xdr:row>
      <xdr:rowOff>363681</xdr:rowOff>
    </xdr:to>
    <xdr:sp macro="" textlink="">
      <xdr:nvSpPr>
        <xdr:cNvPr id="30" name="Line 5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>
          <a:spLocks noChangeShapeType="1"/>
        </xdr:cNvSpPr>
      </xdr:nvSpPr>
      <xdr:spPr bwMode="auto">
        <a:xfrm flipV="1">
          <a:off x="9970553177" y="76935329"/>
          <a:ext cx="957868" cy="679912"/>
        </a:xfrm>
        <a:prstGeom prst="line">
          <a:avLst/>
        </a:prstGeom>
        <a:noFill/>
        <a:ln w="38100" cmpd="dbl">
          <a:solidFill>
            <a:srgbClr val="333333"/>
          </a:solidFill>
          <a:round/>
          <a:headEnd/>
          <a:tailEnd/>
        </a:ln>
      </xdr:spPr>
    </xdr:sp>
    <xdr:clientData/>
  </xdr:twoCellAnchor>
  <xdr:twoCellAnchor>
    <xdr:from>
      <xdr:col>0</xdr:col>
      <xdr:colOff>450474</xdr:colOff>
      <xdr:row>222</xdr:row>
      <xdr:rowOff>19050</xdr:rowOff>
    </xdr:from>
    <xdr:to>
      <xdr:col>1</xdr:col>
      <xdr:colOff>536156</xdr:colOff>
      <xdr:row>223</xdr:row>
      <xdr:rowOff>85725</xdr:rowOff>
    </xdr:to>
    <xdr:sp macro="" textlink="">
      <xdr:nvSpPr>
        <xdr:cNvPr id="31" name="Rectangle 8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>
          <a:spLocks noChangeArrowheads="1"/>
        </xdr:cNvSpPr>
      </xdr:nvSpPr>
      <xdr:spPr bwMode="auto">
        <a:xfrm>
          <a:off x="9970020484" y="76935330"/>
          <a:ext cx="1068662" cy="4171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0" i="0" strike="noStrike">
              <a:solidFill>
                <a:srgbClr val="000000"/>
              </a:solidFill>
              <a:latin typeface="Arial"/>
              <a:cs typeface="Arial"/>
            </a:rPr>
            <a:t>العمر</a:t>
          </a:r>
        </a:p>
      </xdr:txBody>
    </xdr:sp>
    <xdr:clientData/>
  </xdr:twoCellAnchor>
  <xdr:twoCellAnchor>
    <xdr:from>
      <xdr:col>0</xdr:col>
      <xdr:colOff>47625</xdr:colOff>
      <xdr:row>222</xdr:row>
      <xdr:rowOff>285750</xdr:rowOff>
    </xdr:from>
    <xdr:to>
      <xdr:col>0</xdr:col>
      <xdr:colOff>781050</xdr:colOff>
      <xdr:row>224</xdr:row>
      <xdr:rowOff>104775</xdr:rowOff>
    </xdr:to>
    <xdr:sp macro="" textlink="">
      <xdr:nvSpPr>
        <xdr:cNvPr id="32" name="Rectangle 9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>
          <a:spLocks noChangeArrowheads="1"/>
        </xdr:cNvSpPr>
      </xdr:nvSpPr>
      <xdr:spPr bwMode="auto">
        <a:xfrm>
          <a:off x="9970758570" y="77202030"/>
          <a:ext cx="733425" cy="5200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0" i="0" strike="noStrike">
              <a:solidFill>
                <a:srgbClr val="000000"/>
              </a:solidFill>
              <a:latin typeface="Arial"/>
              <a:cs typeface="Arial"/>
            </a:rPr>
            <a:t>الجنس</a:t>
          </a:r>
        </a:p>
      </xdr:txBody>
    </xdr:sp>
    <xdr:clientData/>
  </xdr:twoCellAnchor>
  <xdr:twoCellAnchor>
    <xdr:from>
      <xdr:col>0</xdr:col>
      <xdr:colOff>493726</xdr:colOff>
      <xdr:row>232</xdr:row>
      <xdr:rowOff>49806</xdr:rowOff>
    </xdr:from>
    <xdr:to>
      <xdr:col>1</xdr:col>
      <xdr:colOff>85725</xdr:colOff>
      <xdr:row>233</xdr:row>
      <xdr:rowOff>104774</xdr:rowOff>
    </xdr:to>
    <xdr:sp macro="" textlink="">
      <xdr:nvSpPr>
        <xdr:cNvPr id="33" name="Rectangle 10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>
          <a:spLocks noChangeArrowheads="1"/>
        </xdr:cNvSpPr>
      </xdr:nvSpPr>
      <xdr:spPr bwMode="auto">
        <a:xfrm>
          <a:off x="9970470915" y="80471286"/>
          <a:ext cx="574979" cy="4054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1" i="0" strike="noStrike">
              <a:solidFill>
                <a:srgbClr val="000000"/>
              </a:solidFill>
              <a:latin typeface="Arial"/>
              <a:cs typeface="Arial"/>
            </a:rPr>
            <a:t>الصف</a:t>
          </a:r>
        </a:p>
      </xdr:txBody>
    </xdr:sp>
    <xdr:clientData/>
  </xdr:twoCellAnchor>
  <xdr:twoCellAnchor>
    <xdr:from>
      <xdr:col>0</xdr:col>
      <xdr:colOff>116899</xdr:colOff>
      <xdr:row>233</xdr:row>
      <xdr:rowOff>17314</xdr:rowOff>
    </xdr:from>
    <xdr:to>
      <xdr:col>0</xdr:col>
      <xdr:colOff>676276</xdr:colOff>
      <xdr:row>234</xdr:row>
      <xdr:rowOff>6058</xdr:rowOff>
    </xdr:to>
    <xdr:sp macro="" textlink="">
      <xdr:nvSpPr>
        <xdr:cNvPr id="34" name="Rectangle 11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>
          <a:spLocks noChangeArrowheads="1"/>
        </xdr:cNvSpPr>
      </xdr:nvSpPr>
      <xdr:spPr bwMode="auto">
        <a:xfrm>
          <a:off x="9970863344" y="80789314"/>
          <a:ext cx="559377" cy="3392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400" b="1" i="0" strike="noStrike">
              <a:solidFill>
                <a:srgbClr val="000000"/>
              </a:solidFill>
              <a:latin typeface="Arial"/>
              <a:cs typeface="Arial"/>
            </a:rPr>
            <a:t>الجنس</a:t>
          </a:r>
        </a:p>
      </xdr:txBody>
    </xdr:sp>
    <xdr:clientData/>
  </xdr:twoCellAnchor>
  <xdr:twoCellAnchor>
    <xdr:from>
      <xdr:col>0</xdr:col>
      <xdr:colOff>28575</xdr:colOff>
      <xdr:row>253</xdr:row>
      <xdr:rowOff>19049</xdr:rowOff>
    </xdr:from>
    <xdr:to>
      <xdr:col>0</xdr:col>
      <xdr:colOff>1108363</xdr:colOff>
      <xdr:row>254</xdr:row>
      <xdr:rowOff>363681</xdr:rowOff>
    </xdr:to>
    <xdr:sp macro="" textlink="">
      <xdr:nvSpPr>
        <xdr:cNvPr id="35" name="Line 5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>
          <a:spLocks noChangeShapeType="1"/>
        </xdr:cNvSpPr>
      </xdr:nvSpPr>
      <xdr:spPr bwMode="auto">
        <a:xfrm flipV="1">
          <a:off x="9970553177" y="87801449"/>
          <a:ext cx="957868" cy="679912"/>
        </a:xfrm>
        <a:prstGeom prst="line">
          <a:avLst/>
        </a:prstGeom>
        <a:noFill/>
        <a:ln w="38100" cmpd="dbl">
          <a:solidFill>
            <a:srgbClr val="333333"/>
          </a:solidFill>
          <a:round/>
          <a:headEnd/>
          <a:tailEnd/>
        </a:ln>
      </xdr:spPr>
    </xdr:sp>
    <xdr:clientData/>
  </xdr:twoCellAnchor>
  <xdr:twoCellAnchor>
    <xdr:from>
      <xdr:col>0</xdr:col>
      <xdr:colOff>69273</xdr:colOff>
      <xdr:row>264</xdr:row>
      <xdr:rowOff>45889</xdr:rowOff>
    </xdr:from>
    <xdr:to>
      <xdr:col>0</xdr:col>
      <xdr:colOff>802697</xdr:colOff>
      <xdr:row>265</xdr:row>
      <xdr:rowOff>34633</xdr:rowOff>
    </xdr:to>
    <xdr:sp macro="" textlink="">
      <xdr:nvSpPr>
        <xdr:cNvPr id="36" name="Rectangle 11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>
          <a:spLocks noChangeArrowheads="1"/>
        </xdr:cNvSpPr>
      </xdr:nvSpPr>
      <xdr:spPr bwMode="auto">
        <a:xfrm>
          <a:off x="9970736923" y="91684009"/>
          <a:ext cx="733424" cy="3392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1" i="0" strike="noStrike">
              <a:solidFill>
                <a:srgbClr val="000000"/>
              </a:solidFill>
              <a:latin typeface="Arial"/>
              <a:cs typeface="Arial"/>
            </a:rPr>
            <a:t>الجنس</a:t>
          </a:r>
        </a:p>
      </xdr:txBody>
    </xdr:sp>
    <xdr:clientData/>
  </xdr:twoCellAnchor>
  <xdr:twoCellAnchor>
    <xdr:from>
      <xdr:col>0</xdr:col>
      <xdr:colOff>28575</xdr:colOff>
      <xdr:row>253</xdr:row>
      <xdr:rowOff>19049</xdr:rowOff>
    </xdr:from>
    <xdr:to>
      <xdr:col>0</xdr:col>
      <xdr:colOff>1108363</xdr:colOff>
      <xdr:row>254</xdr:row>
      <xdr:rowOff>363681</xdr:rowOff>
    </xdr:to>
    <xdr:sp macro="" textlink="">
      <xdr:nvSpPr>
        <xdr:cNvPr id="37" name="Line 5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>
          <a:spLocks noChangeShapeType="1"/>
        </xdr:cNvSpPr>
      </xdr:nvSpPr>
      <xdr:spPr bwMode="auto">
        <a:xfrm flipV="1">
          <a:off x="9970553177" y="87801449"/>
          <a:ext cx="957868" cy="679912"/>
        </a:xfrm>
        <a:prstGeom prst="line">
          <a:avLst/>
        </a:prstGeom>
        <a:noFill/>
        <a:ln w="38100" cmpd="dbl">
          <a:solidFill>
            <a:srgbClr val="333333"/>
          </a:solidFill>
          <a:round/>
          <a:headEnd/>
          <a:tailEnd/>
        </a:ln>
      </xdr:spPr>
    </xdr:sp>
    <xdr:clientData/>
  </xdr:twoCellAnchor>
  <xdr:twoCellAnchor>
    <xdr:from>
      <xdr:col>0</xdr:col>
      <xdr:colOff>578378</xdr:colOff>
      <xdr:row>253</xdr:row>
      <xdr:rowOff>69394</xdr:rowOff>
    </xdr:from>
    <xdr:to>
      <xdr:col>1</xdr:col>
      <xdr:colOff>204103</xdr:colOff>
      <xdr:row>254</xdr:row>
      <xdr:rowOff>232680</xdr:rowOff>
    </xdr:to>
    <xdr:sp macro="" textlink="">
      <xdr:nvSpPr>
        <xdr:cNvPr id="38" name="Rectangle 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>
          <a:spLocks noChangeArrowheads="1"/>
        </xdr:cNvSpPr>
      </xdr:nvSpPr>
      <xdr:spPr bwMode="auto">
        <a:xfrm>
          <a:off x="9970352537" y="87851794"/>
          <a:ext cx="608705" cy="5138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800" b="1" i="0" strike="noStrike">
              <a:solidFill>
                <a:srgbClr val="000000"/>
              </a:solidFill>
              <a:latin typeface="Arial"/>
              <a:cs typeface="Arial"/>
            </a:rPr>
            <a:t>العمر</a:t>
          </a:r>
        </a:p>
      </xdr:txBody>
    </xdr:sp>
    <xdr:clientData/>
  </xdr:twoCellAnchor>
  <xdr:twoCellAnchor>
    <xdr:from>
      <xdr:col>0</xdr:col>
      <xdr:colOff>6804</xdr:colOff>
      <xdr:row>254</xdr:row>
      <xdr:rowOff>68034</xdr:rowOff>
    </xdr:from>
    <xdr:to>
      <xdr:col>0</xdr:col>
      <xdr:colOff>740229</xdr:colOff>
      <xdr:row>255</xdr:row>
      <xdr:rowOff>240845</xdr:rowOff>
    </xdr:to>
    <xdr:sp macro="" textlink="">
      <xdr:nvSpPr>
        <xdr:cNvPr id="39" name="Rectangle 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>
          <a:spLocks noChangeArrowheads="1"/>
        </xdr:cNvSpPr>
      </xdr:nvSpPr>
      <xdr:spPr bwMode="auto">
        <a:xfrm>
          <a:off x="9970799391" y="88200954"/>
          <a:ext cx="733425" cy="5233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1" i="0" strike="noStrike">
              <a:solidFill>
                <a:srgbClr val="000000"/>
              </a:solidFill>
              <a:latin typeface="Arial"/>
              <a:cs typeface="Arial"/>
            </a:rPr>
            <a:t>الجنس</a:t>
          </a:r>
        </a:p>
      </xdr:txBody>
    </xdr:sp>
    <xdr:clientData/>
  </xdr:twoCellAnchor>
  <xdr:twoCellAnchor>
    <xdr:from>
      <xdr:col>0</xdr:col>
      <xdr:colOff>492340</xdr:colOff>
      <xdr:row>263</xdr:row>
      <xdr:rowOff>16327</xdr:rowOff>
    </xdr:from>
    <xdr:to>
      <xdr:col>1</xdr:col>
      <xdr:colOff>371472</xdr:colOff>
      <xdr:row>264</xdr:row>
      <xdr:rowOff>217713</xdr:rowOff>
    </xdr:to>
    <xdr:sp macro="" textlink="">
      <xdr:nvSpPr>
        <xdr:cNvPr id="40" name="Rectangle 1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>
          <a:spLocks noChangeArrowheads="1"/>
        </xdr:cNvSpPr>
      </xdr:nvSpPr>
      <xdr:spPr bwMode="auto">
        <a:xfrm>
          <a:off x="9970185168" y="91303927"/>
          <a:ext cx="862112" cy="5519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1" i="0" strike="noStrike">
              <a:solidFill>
                <a:srgbClr val="000000"/>
              </a:solidFill>
              <a:latin typeface="Arial"/>
              <a:cs typeface="Arial"/>
            </a:rPr>
            <a:t>الصف</a:t>
          </a:r>
        </a:p>
      </xdr:txBody>
    </xdr:sp>
    <xdr:clientData/>
  </xdr:twoCellAnchor>
  <xdr:twoCellAnchor>
    <xdr:from>
      <xdr:col>0</xdr:col>
      <xdr:colOff>69273</xdr:colOff>
      <xdr:row>264</xdr:row>
      <xdr:rowOff>45889</xdr:rowOff>
    </xdr:from>
    <xdr:to>
      <xdr:col>0</xdr:col>
      <xdr:colOff>802697</xdr:colOff>
      <xdr:row>265</xdr:row>
      <xdr:rowOff>34633</xdr:rowOff>
    </xdr:to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>
          <a:spLocks noChangeArrowheads="1"/>
        </xdr:cNvSpPr>
      </xdr:nvSpPr>
      <xdr:spPr bwMode="auto">
        <a:xfrm>
          <a:off x="9970736923" y="91684009"/>
          <a:ext cx="733424" cy="3392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1" i="0" strike="noStrike">
              <a:solidFill>
                <a:srgbClr val="000000"/>
              </a:solidFill>
              <a:latin typeface="Arial"/>
              <a:cs typeface="Arial"/>
            </a:rPr>
            <a:t>الجنس</a:t>
          </a:r>
        </a:p>
      </xdr:txBody>
    </xdr:sp>
    <xdr:clientData/>
  </xdr:twoCellAnchor>
  <xdr:twoCellAnchor>
    <xdr:from>
      <xdr:col>0</xdr:col>
      <xdr:colOff>28575</xdr:colOff>
      <xdr:row>284</xdr:row>
      <xdr:rowOff>19049</xdr:rowOff>
    </xdr:from>
    <xdr:to>
      <xdr:col>0</xdr:col>
      <xdr:colOff>1108363</xdr:colOff>
      <xdr:row>285</xdr:row>
      <xdr:rowOff>363681</xdr:rowOff>
    </xdr:to>
    <xdr:sp macro="" textlink="">
      <xdr:nvSpPr>
        <xdr:cNvPr id="42" name="Line 5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>
          <a:spLocks noChangeShapeType="1"/>
        </xdr:cNvSpPr>
      </xdr:nvSpPr>
      <xdr:spPr bwMode="auto">
        <a:xfrm flipV="1">
          <a:off x="9970553177" y="98667569"/>
          <a:ext cx="957868" cy="679912"/>
        </a:xfrm>
        <a:prstGeom prst="line">
          <a:avLst/>
        </a:prstGeom>
        <a:noFill/>
        <a:ln w="38100" cmpd="dbl">
          <a:solidFill>
            <a:srgbClr val="333333"/>
          </a:solidFill>
          <a:round/>
          <a:headEnd/>
          <a:tailEnd/>
        </a:ln>
      </xdr:spPr>
    </xdr:sp>
    <xdr:clientData/>
  </xdr:twoCellAnchor>
  <xdr:twoCellAnchor>
    <xdr:from>
      <xdr:col>0</xdr:col>
      <xdr:colOff>450474</xdr:colOff>
      <xdr:row>284</xdr:row>
      <xdr:rowOff>19050</xdr:rowOff>
    </xdr:from>
    <xdr:to>
      <xdr:col>1</xdr:col>
      <xdr:colOff>536156</xdr:colOff>
      <xdr:row>285</xdr:row>
      <xdr:rowOff>85725</xdr:rowOff>
    </xdr:to>
    <xdr:sp macro="" textlink="">
      <xdr:nvSpPr>
        <xdr:cNvPr id="43" name="Rectangle 8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>
          <a:spLocks noChangeArrowheads="1"/>
        </xdr:cNvSpPr>
      </xdr:nvSpPr>
      <xdr:spPr bwMode="auto">
        <a:xfrm>
          <a:off x="9970020484" y="98667570"/>
          <a:ext cx="1068662" cy="4171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0" i="0" strike="noStrike">
              <a:solidFill>
                <a:srgbClr val="000000"/>
              </a:solidFill>
              <a:latin typeface="Arial"/>
              <a:cs typeface="Arial"/>
            </a:rPr>
            <a:t>العمر</a:t>
          </a:r>
        </a:p>
      </xdr:txBody>
    </xdr:sp>
    <xdr:clientData/>
  </xdr:twoCellAnchor>
  <xdr:twoCellAnchor>
    <xdr:from>
      <xdr:col>0</xdr:col>
      <xdr:colOff>47625</xdr:colOff>
      <xdr:row>284</xdr:row>
      <xdr:rowOff>285750</xdr:rowOff>
    </xdr:from>
    <xdr:to>
      <xdr:col>0</xdr:col>
      <xdr:colOff>781050</xdr:colOff>
      <xdr:row>286</xdr:row>
      <xdr:rowOff>104775</xdr:rowOff>
    </xdr:to>
    <xdr:sp macro="" textlink="">
      <xdr:nvSpPr>
        <xdr:cNvPr id="44" name="Rectangle 9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>
          <a:spLocks noChangeArrowheads="1"/>
        </xdr:cNvSpPr>
      </xdr:nvSpPr>
      <xdr:spPr bwMode="auto">
        <a:xfrm>
          <a:off x="9970758570" y="98934270"/>
          <a:ext cx="733425" cy="5200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0" i="0" strike="noStrike">
              <a:solidFill>
                <a:srgbClr val="000000"/>
              </a:solidFill>
              <a:latin typeface="Arial"/>
              <a:cs typeface="Arial"/>
            </a:rPr>
            <a:t>الجنس</a:t>
          </a:r>
        </a:p>
      </xdr:txBody>
    </xdr:sp>
    <xdr:clientData/>
  </xdr:twoCellAnchor>
  <xdr:twoCellAnchor>
    <xdr:from>
      <xdr:col>0</xdr:col>
      <xdr:colOff>454243</xdr:colOff>
      <xdr:row>294</xdr:row>
      <xdr:rowOff>34376</xdr:rowOff>
    </xdr:from>
    <xdr:to>
      <xdr:col>1</xdr:col>
      <xdr:colOff>161465</xdr:colOff>
      <xdr:row>295</xdr:row>
      <xdr:rowOff>66674</xdr:rowOff>
    </xdr:to>
    <xdr:sp macro="" textlink="">
      <xdr:nvSpPr>
        <xdr:cNvPr id="45" name="Rectangle 10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>
          <a:spLocks noChangeArrowheads="1"/>
        </xdr:cNvSpPr>
      </xdr:nvSpPr>
      <xdr:spPr bwMode="auto">
        <a:xfrm>
          <a:off x="9970395175" y="102188096"/>
          <a:ext cx="690202" cy="3828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1" i="0" strike="noStrike">
              <a:solidFill>
                <a:srgbClr val="000000"/>
              </a:solidFill>
              <a:latin typeface="Arial"/>
              <a:cs typeface="Arial"/>
            </a:rPr>
            <a:t>الصف</a:t>
          </a:r>
        </a:p>
      </xdr:txBody>
    </xdr:sp>
    <xdr:clientData/>
  </xdr:twoCellAnchor>
  <xdr:twoCellAnchor>
    <xdr:from>
      <xdr:col>0</xdr:col>
      <xdr:colOff>69273</xdr:colOff>
      <xdr:row>294</xdr:row>
      <xdr:rowOff>255439</xdr:rowOff>
    </xdr:from>
    <xdr:to>
      <xdr:col>0</xdr:col>
      <xdr:colOff>802697</xdr:colOff>
      <xdr:row>295</xdr:row>
      <xdr:rowOff>244183</xdr:rowOff>
    </xdr:to>
    <xdr:sp macro="" textlink="">
      <xdr:nvSpPr>
        <xdr:cNvPr id="46" name="Rectangle 11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SpPr>
          <a:spLocks noChangeArrowheads="1"/>
        </xdr:cNvSpPr>
      </xdr:nvSpPr>
      <xdr:spPr bwMode="auto">
        <a:xfrm>
          <a:off x="9970736923" y="102409159"/>
          <a:ext cx="733424" cy="3392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1" i="0" strike="noStrike">
              <a:solidFill>
                <a:srgbClr val="000000"/>
              </a:solidFill>
              <a:latin typeface="Arial"/>
              <a:cs typeface="Arial"/>
            </a:rPr>
            <a:t>الجنس</a:t>
          </a:r>
        </a:p>
      </xdr:txBody>
    </xdr:sp>
    <xdr:clientData/>
  </xdr:twoCellAnchor>
  <xdr:twoCellAnchor>
    <xdr:from>
      <xdr:col>0</xdr:col>
      <xdr:colOff>28575</xdr:colOff>
      <xdr:row>284</xdr:row>
      <xdr:rowOff>19049</xdr:rowOff>
    </xdr:from>
    <xdr:to>
      <xdr:col>0</xdr:col>
      <xdr:colOff>1108363</xdr:colOff>
      <xdr:row>285</xdr:row>
      <xdr:rowOff>363681</xdr:rowOff>
    </xdr:to>
    <xdr:sp macro="" textlink="">
      <xdr:nvSpPr>
        <xdr:cNvPr id="47" name="Line 5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>
          <a:spLocks noChangeShapeType="1"/>
        </xdr:cNvSpPr>
      </xdr:nvSpPr>
      <xdr:spPr bwMode="auto">
        <a:xfrm flipV="1">
          <a:off x="9970553177" y="98667569"/>
          <a:ext cx="957868" cy="679912"/>
        </a:xfrm>
        <a:prstGeom prst="line">
          <a:avLst/>
        </a:prstGeom>
        <a:noFill/>
        <a:ln w="38100" cmpd="dbl">
          <a:solidFill>
            <a:srgbClr val="333333"/>
          </a:solidFill>
          <a:round/>
          <a:headEnd/>
          <a:tailEnd/>
        </a:ln>
      </xdr:spPr>
    </xdr:sp>
    <xdr:clientData/>
  </xdr:twoCellAnchor>
  <xdr:twoCellAnchor>
    <xdr:from>
      <xdr:col>0</xdr:col>
      <xdr:colOff>450474</xdr:colOff>
      <xdr:row>284</xdr:row>
      <xdr:rowOff>19050</xdr:rowOff>
    </xdr:from>
    <xdr:to>
      <xdr:col>1</xdr:col>
      <xdr:colOff>536156</xdr:colOff>
      <xdr:row>285</xdr:row>
      <xdr:rowOff>85725</xdr:rowOff>
    </xdr:to>
    <xdr:sp macro="" textlink="">
      <xdr:nvSpPr>
        <xdr:cNvPr id="48" name="Rectangle 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>
          <a:spLocks noChangeArrowheads="1"/>
        </xdr:cNvSpPr>
      </xdr:nvSpPr>
      <xdr:spPr bwMode="auto">
        <a:xfrm>
          <a:off x="9970020484" y="98667570"/>
          <a:ext cx="1068662" cy="4171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0" i="0" strike="noStrike">
              <a:solidFill>
                <a:srgbClr val="000000"/>
              </a:solidFill>
              <a:latin typeface="Arial"/>
              <a:cs typeface="Arial"/>
            </a:rPr>
            <a:t>العمر</a:t>
          </a:r>
        </a:p>
      </xdr:txBody>
    </xdr:sp>
    <xdr:clientData/>
  </xdr:twoCellAnchor>
  <xdr:twoCellAnchor>
    <xdr:from>
      <xdr:col>0</xdr:col>
      <xdr:colOff>47625</xdr:colOff>
      <xdr:row>284</xdr:row>
      <xdr:rowOff>285750</xdr:rowOff>
    </xdr:from>
    <xdr:to>
      <xdr:col>0</xdr:col>
      <xdr:colOff>781050</xdr:colOff>
      <xdr:row>286</xdr:row>
      <xdr:rowOff>104775</xdr:rowOff>
    </xdr:to>
    <xdr:sp macro="" textlink="">
      <xdr:nvSpPr>
        <xdr:cNvPr id="49" name="Rectangle 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>
          <a:spLocks noChangeArrowheads="1"/>
        </xdr:cNvSpPr>
      </xdr:nvSpPr>
      <xdr:spPr bwMode="auto">
        <a:xfrm>
          <a:off x="9970758570" y="98934270"/>
          <a:ext cx="733425" cy="5200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0" i="0" strike="noStrike">
              <a:solidFill>
                <a:srgbClr val="000000"/>
              </a:solidFill>
              <a:latin typeface="Arial"/>
              <a:cs typeface="Arial"/>
            </a:rPr>
            <a:t>الجنس</a:t>
          </a:r>
        </a:p>
      </xdr:txBody>
    </xdr:sp>
    <xdr:clientData/>
  </xdr:twoCellAnchor>
  <xdr:twoCellAnchor>
    <xdr:from>
      <xdr:col>0</xdr:col>
      <xdr:colOff>28575</xdr:colOff>
      <xdr:row>315</xdr:row>
      <xdr:rowOff>19049</xdr:rowOff>
    </xdr:from>
    <xdr:to>
      <xdr:col>0</xdr:col>
      <xdr:colOff>1108363</xdr:colOff>
      <xdr:row>316</xdr:row>
      <xdr:rowOff>363681</xdr:rowOff>
    </xdr:to>
    <xdr:sp macro="" textlink="">
      <xdr:nvSpPr>
        <xdr:cNvPr id="50" name="Line 5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SpPr>
          <a:spLocks noChangeShapeType="1"/>
        </xdr:cNvSpPr>
      </xdr:nvSpPr>
      <xdr:spPr bwMode="auto">
        <a:xfrm flipV="1">
          <a:off x="9970553177" y="109533689"/>
          <a:ext cx="957868" cy="679912"/>
        </a:xfrm>
        <a:prstGeom prst="line">
          <a:avLst/>
        </a:prstGeom>
        <a:noFill/>
        <a:ln w="38100" cmpd="dbl">
          <a:solidFill>
            <a:srgbClr val="333333"/>
          </a:solidFill>
          <a:round/>
          <a:headEnd/>
          <a:tailEnd/>
        </a:ln>
      </xdr:spPr>
    </xdr:sp>
    <xdr:clientData/>
  </xdr:twoCellAnchor>
  <xdr:twoCellAnchor>
    <xdr:from>
      <xdr:col>0</xdr:col>
      <xdr:colOff>450474</xdr:colOff>
      <xdr:row>315</xdr:row>
      <xdr:rowOff>19050</xdr:rowOff>
    </xdr:from>
    <xdr:to>
      <xdr:col>1</xdr:col>
      <xdr:colOff>536156</xdr:colOff>
      <xdr:row>316</xdr:row>
      <xdr:rowOff>85725</xdr:rowOff>
    </xdr:to>
    <xdr:sp macro="" textlink="">
      <xdr:nvSpPr>
        <xdr:cNvPr id="51" name="Rectangle 8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SpPr>
          <a:spLocks noChangeArrowheads="1"/>
        </xdr:cNvSpPr>
      </xdr:nvSpPr>
      <xdr:spPr bwMode="auto">
        <a:xfrm>
          <a:off x="9970020484" y="109533690"/>
          <a:ext cx="1068662" cy="4171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0" i="0" strike="noStrike">
              <a:solidFill>
                <a:srgbClr val="000000"/>
              </a:solidFill>
              <a:latin typeface="Arial"/>
              <a:cs typeface="Arial"/>
            </a:rPr>
            <a:t>العمر</a:t>
          </a:r>
        </a:p>
      </xdr:txBody>
    </xdr:sp>
    <xdr:clientData/>
  </xdr:twoCellAnchor>
  <xdr:twoCellAnchor>
    <xdr:from>
      <xdr:col>0</xdr:col>
      <xdr:colOff>47625</xdr:colOff>
      <xdr:row>315</xdr:row>
      <xdr:rowOff>285750</xdr:rowOff>
    </xdr:from>
    <xdr:to>
      <xdr:col>0</xdr:col>
      <xdr:colOff>781050</xdr:colOff>
      <xdr:row>317</xdr:row>
      <xdr:rowOff>104775</xdr:rowOff>
    </xdr:to>
    <xdr:sp macro="" textlink="">
      <xdr:nvSpPr>
        <xdr:cNvPr id="52" name="Rectangle 9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>
          <a:spLocks noChangeArrowheads="1"/>
        </xdr:cNvSpPr>
      </xdr:nvSpPr>
      <xdr:spPr bwMode="auto">
        <a:xfrm>
          <a:off x="9970758570" y="109800390"/>
          <a:ext cx="733425" cy="5200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0" i="0" strike="noStrike">
              <a:solidFill>
                <a:srgbClr val="000000"/>
              </a:solidFill>
              <a:latin typeface="Arial"/>
              <a:cs typeface="Arial"/>
            </a:rPr>
            <a:t>الجنس</a:t>
          </a:r>
        </a:p>
      </xdr:txBody>
    </xdr:sp>
    <xdr:clientData/>
  </xdr:twoCellAnchor>
  <xdr:twoCellAnchor>
    <xdr:from>
      <xdr:col>0</xdr:col>
      <xdr:colOff>454243</xdr:colOff>
      <xdr:row>325</xdr:row>
      <xdr:rowOff>15327</xdr:rowOff>
    </xdr:from>
    <xdr:to>
      <xdr:col>1</xdr:col>
      <xdr:colOff>161465</xdr:colOff>
      <xdr:row>326</xdr:row>
      <xdr:rowOff>19050</xdr:rowOff>
    </xdr:to>
    <xdr:sp macro="" textlink="">
      <xdr:nvSpPr>
        <xdr:cNvPr id="53" name="Rectangle 10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>
          <a:spLocks noChangeArrowheads="1"/>
        </xdr:cNvSpPr>
      </xdr:nvSpPr>
      <xdr:spPr bwMode="auto">
        <a:xfrm>
          <a:off x="9970395175" y="113035167"/>
          <a:ext cx="690202" cy="3542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1" i="0" strike="noStrike">
              <a:solidFill>
                <a:srgbClr val="000000"/>
              </a:solidFill>
              <a:latin typeface="Arial"/>
              <a:cs typeface="Arial"/>
            </a:rPr>
            <a:t>الصف</a:t>
          </a:r>
        </a:p>
      </xdr:txBody>
    </xdr:sp>
    <xdr:clientData/>
  </xdr:twoCellAnchor>
  <xdr:twoCellAnchor>
    <xdr:from>
      <xdr:col>0</xdr:col>
      <xdr:colOff>69273</xdr:colOff>
      <xdr:row>326</xdr:row>
      <xdr:rowOff>7789</xdr:rowOff>
    </xdr:from>
    <xdr:to>
      <xdr:col>0</xdr:col>
      <xdr:colOff>802697</xdr:colOff>
      <xdr:row>326</xdr:row>
      <xdr:rowOff>272758</xdr:rowOff>
    </xdr:to>
    <xdr:sp macro="" textlink="">
      <xdr:nvSpPr>
        <xdr:cNvPr id="54" name="Rectangle 11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SpPr>
          <a:spLocks noChangeArrowheads="1"/>
        </xdr:cNvSpPr>
      </xdr:nvSpPr>
      <xdr:spPr bwMode="auto">
        <a:xfrm>
          <a:off x="9970736923" y="113378149"/>
          <a:ext cx="733424" cy="2649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1" i="0" strike="noStrike">
              <a:solidFill>
                <a:srgbClr val="000000"/>
              </a:solidFill>
              <a:latin typeface="Arial"/>
              <a:cs typeface="Arial"/>
            </a:rPr>
            <a:t>الجنس</a:t>
          </a:r>
        </a:p>
      </xdr:txBody>
    </xdr:sp>
    <xdr:clientData/>
  </xdr:twoCellAnchor>
  <xdr:twoCellAnchor>
    <xdr:from>
      <xdr:col>0</xdr:col>
      <xdr:colOff>28575</xdr:colOff>
      <xdr:row>315</xdr:row>
      <xdr:rowOff>19049</xdr:rowOff>
    </xdr:from>
    <xdr:to>
      <xdr:col>0</xdr:col>
      <xdr:colOff>1108363</xdr:colOff>
      <xdr:row>316</xdr:row>
      <xdr:rowOff>363681</xdr:rowOff>
    </xdr:to>
    <xdr:sp macro="" textlink="">
      <xdr:nvSpPr>
        <xdr:cNvPr id="55" name="Line 5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SpPr>
          <a:spLocks noChangeShapeType="1"/>
        </xdr:cNvSpPr>
      </xdr:nvSpPr>
      <xdr:spPr bwMode="auto">
        <a:xfrm flipV="1">
          <a:off x="9970553177" y="109533689"/>
          <a:ext cx="957868" cy="679912"/>
        </a:xfrm>
        <a:prstGeom prst="line">
          <a:avLst/>
        </a:prstGeom>
        <a:noFill/>
        <a:ln w="38100" cmpd="dbl">
          <a:solidFill>
            <a:srgbClr val="333333"/>
          </a:solidFill>
          <a:round/>
          <a:headEnd/>
          <a:tailEnd/>
        </a:ln>
      </xdr:spPr>
    </xdr:sp>
    <xdr:clientData/>
  </xdr:twoCellAnchor>
  <xdr:twoCellAnchor>
    <xdr:from>
      <xdr:col>0</xdr:col>
      <xdr:colOff>450474</xdr:colOff>
      <xdr:row>315</xdr:row>
      <xdr:rowOff>19050</xdr:rowOff>
    </xdr:from>
    <xdr:to>
      <xdr:col>0</xdr:col>
      <xdr:colOff>971550</xdr:colOff>
      <xdr:row>316</xdr:row>
      <xdr:rowOff>85725</xdr:rowOff>
    </xdr:to>
    <xdr:sp macro="" textlink="">
      <xdr:nvSpPr>
        <xdr:cNvPr id="56" name="Rectangle 8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SpPr>
          <a:spLocks noChangeArrowheads="1"/>
        </xdr:cNvSpPr>
      </xdr:nvSpPr>
      <xdr:spPr bwMode="auto">
        <a:xfrm>
          <a:off x="9970568070" y="109533690"/>
          <a:ext cx="521076" cy="4171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0" i="0" strike="noStrike">
              <a:solidFill>
                <a:srgbClr val="000000"/>
              </a:solidFill>
              <a:latin typeface="Arial"/>
              <a:cs typeface="Arial"/>
            </a:rPr>
            <a:t>العمر</a:t>
          </a:r>
        </a:p>
      </xdr:txBody>
    </xdr:sp>
    <xdr:clientData/>
  </xdr:twoCellAnchor>
  <xdr:twoCellAnchor>
    <xdr:from>
      <xdr:col>0</xdr:col>
      <xdr:colOff>28575</xdr:colOff>
      <xdr:row>346</xdr:row>
      <xdr:rowOff>19049</xdr:rowOff>
    </xdr:from>
    <xdr:to>
      <xdr:col>0</xdr:col>
      <xdr:colOff>1108363</xdr:colOff>
      <xdr:row>347</xdr:row>
      <xdr:rowOff>363681</xdr:rowOff>
    </xdr:to>
    <xdr:sp macro="" textlink="">
      <xdr:nvSpPr>
        <xdr:cNvPr id="57" name="Line 5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>
          <a:spLocks noChangeShapeType="1"/>
        </xdr:cNvSpPr>
      </xdr:nvSpPr>
      <xdr:spPr bwMode="auto">
        <a:xfrm flipV="1">
          <a:off x="9970553177" y="120399809"/>
          <a:ext cx="957868" cy="679912"/>
        </a:xfrm>
        <a:prstGeom prst="line">
          <a:avLst/>
        </a:prstGeom>
        <a:noFill/>
        <a:ln w="38100" cmpd="dbl">
          <a:solidFill>
            <a:srgbClr val="333333"/>
          </a:solidFill>
          <a:round/>
          <a:headEnd/>
          <a:tailEnd/>
        </a:ln>
      </xdr:spPr>
    </xdr:sp>
    <xdr:clientData/>
  </xdr:twoCellAnchor>
  <xdr:twoCellAnchor>
    <xdr:from>
      <xdr:col>0</xdr:col>
      <xdr:colOff>450474</xdr:colOff>
      <xdr:row>346</xdr:row>
      <xdr:rowOff>19050</xdr:rowOff>
    </xdr:from>
    <xdr:to>
      <xdr:col>1</xdr:col>
      <xdr:colOff>536156</xdr:colOff>
      <xdr:row>347</xdr:row>
      <xdr:rowOff>85725</xdr:rowOff>
    </xdr:to>
    <xdr:sp macro="" textlink="">
      <xdr:nvSpPr>
        <xdr:cNvPr id="58" name="Rectangle 8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SpPr>
          <a:spLocks noChangeArrowheads="1"/>
        </xdr:cNvSpPr>
      </xdr:nvSpPr>
      <xdr:spPr bwMode="auto">
        <a:xfrm>
          <a:off x="9970020484" y="120399810"/>
          <a:ext cx="1068662" cy="4171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0" i="0" strike="noStrike">
              <a:solidFill>
                <a:srgbClr val="000000"/>
              </a:solidFill>
              <a:latin typeface="Arial"/>
              <a:cs typeface="Arial"/>
            </a:rPr>
            <a:t>العمر</a:t>
          </a:r>
        </a:p>
      </xdr:txBody>
    </xdr:sp>
    <xdr:clientData/>
  </xdr:twoCellAnchor>
  <xdr:twoCellAnchor>
    <xdr:from>
      <xdr:col>0</xdr:col>
      <xdr:colOff>47625</xdr:colOff>
      <xdr:row>346</xdr:row>
      <xdr:rowOff>285750</xdr:rowOff>
    </xdr:from>
    <xdr:to>
      <xdr:col>0</xdr:col>
      <xdr:colOff>781050</xdr:colOff>
      <xdr:row>348</xdr:row>
      <xdr:rowOff>104775</xdr:rowOff>
    </xdr:to>
    <xdr:sp macro="" textlink="">
      <xdr:nvSpPr>
        <xdr:cNvPr id="59" name="Rectangle 9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SpPr>
          <a:spLocks noChangeArrowheads="1"/>
        </xdr:cNvSpPr>
      </xdr:nvSpPr>
      <xdr:spPr bwMode="auto">
        <a:xfrm>
          <a:off x="9970758570" y="120666510"/>
          <a:ext cx="733425" cy="5200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0" i="0" strike="noStrike">
              <a:solidFill>
                <a:srgbClr val="000000"/>
              </a:solidFill>
              <a:latin typeface="Arial"/>
              <a:cs typeface="Arial"/>
            </a:rPr>
            <a:t>الجنس</a:t>
          </a:r>
        </a:p>
      </xdr:txBody>
    </xdr:sp>
    <xdr:clientData/>
  </xdr:twoCellAnchor>
  <xdr:twoCellAnchor>
    <xdr:from>
      <xdr:col>0</xdr:col>
      <xdr:colOff>482818</xdr:colOff>
      <xdr:row>356</xdr:row>
      <xdr:rowOff>91527</xdr:rowOff>
    </xdr:from>
    <xdr:to>
      <xdr:col>1</xdr:col>
      <xdr:colOff>190040</xdr:colOff>
      <xdr:row>357</xdr:row>
      <xdr:rowOff>95250</xdr:rowOff>
    </xdr:to>
    <xdr:sp macro="" textlink="">
      <xdr:nvSpPr>
        <xdr:cNvPr id="60" name="Rectangle 10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SpPr>
          <a:spLocks noChangeArrowheads="1"/>
        </xdr:cNvSpPr>
      </xdr:nvSpPr>
      <xdr:spPr bwMode="auto">
        <a:xfrm>
          <a:off x="9970366600" y="123977487"/>
          <a:ext cx="690202" cy="3542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1" i="0" strike="noStrike">
              <a:solidFill>
                <a:srgbClr val="000000"/>
              </a:solidFill>
              <a:latin typeface="Arial"/>
              <a:cs typeface="Arial"/>
            </a:rPr>
            <a:t>الصف</a:t>
          </a:r>
        </a:p>
      </xdr:txBody>
    </xdr:sp>
    <xdr:clientData/>
  </xdr:twoCellAnchor>
  <xdr:twoCellAnchor>
    <xdr:from>
      <xdr:col>0</xdr:col>
      <xdr:colOff>40698</xdr:colOff>
      <xdr:row>356</xdr:row>
      <xdr:rowOff>245914</xdr:rowOff>
    </xdr:from>
    <xdr:to>
      <xdr:col>0</xdr:col>
      <xdr:colOff>774122</xdr:colOff>
      <xdr:row>357</xdr:row>
      <xdr:rowOff>234658</xdr:rowOff>
    </xdr:to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SpPr>
          <a:spLocks noChangeArrowheads="1"/>
        </xdr:cNvSpPr>
      </xdr:nvSpPr>
      <xdr:spPr bwMode="auto">
        <a:xfrm>
          <a:off x="9970765498" y="124131874"/>
          <a:ext cx="733424" cy="3392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1" i="0" strike="noStrike">
              <a:solidFill>
                <a:srgbClr val="000000"/>
              </a:solidFill>
              <a:latin typeface="Arial"/>
              <a:cs typeface="Arial"/>
            </a:rPr>
            <a:t>الجنس</a:t>
          </a:r>
        </a:p>
      </xdr:txBody>
    </xdr:sp>
    <xdr:clientData/>
  </xdr:twoCellAnchor>
  <xdr:twoCellAnchor>
    <xdr:from>
      <xdr:col>0</xdr:col>
      <xdr:colOff>28575</xdr:colOff>
      <xdr:row>377</xdr:row>
      <xdr:rowOff>19048</xdr:rowOff>
    </xdr:from>
    <xdr:to>
      <xdr:col>1</xdr:col>
      <xdr:colOff>0</xdr:colOff>
      <xdr:row>379</xdr:row>
      <xdr:rowOff>31749</xdr:rowOff>
    </xdr:to>
    <xdr:sp macro="" textlink="">
      <xdr:nvSpPr>
        <xdr:cNvPr id="62" name="Line 5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SpPr>
          <a:spLocks noChangeShapeType="1"/>
        </xdr:cNvSpPr>
      </xdr:nvSpPr>
      <xdr:spPr bwMode="auto">
        <a:xfrm flipV="1">
          <a:off x="9970556640" y="131265928"/>
          <a:ext cx="954405" cy="713741"/>
        </a:xfrm>
        <a:prstGeom prst="line">
          <a:avLst/>
        </a:prstGeom>
        <a:noFill/>
        <a:ln w="38100" cmpd="dbl">
          <a:solidFill>
            <a:srgbClr val="333333"/>
          </a:solidFill>
          <a:round/>
          <a:headEnd/>
          <a:tailEnd/>
        </a:ln>
      </xdr:spPr>
    </xdr:sp>
    <xdr:clientData/>
  </xdr:twoCellAnchor>
  <xdr:twoCellAnchor>
    <xdr:from>
      <xdr:col>0</xdr:col>
      <xdr:colOff>450474</xdr:colOff>
      <xdr:row>377</xdr:row>
      <xdr:rowOff>19050</xdr:rowOff>
    </xdr:from>
    <xdr:to>
      <xdr:col>1</xdr:col>
      <xdr:colOff>536156</xdr:colOff>
      <xdr:row>378</xdr:row>
      <xdr:rowOff>85725</xdr:rowOff>
    </xdr:to>
    <xdr:sp macro="" textlink="">
      <xdr:nvSpPr>
        <xdr:cNvPr id="63" name="Rectangle 8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SpPr>
          <a:spLocks noChangeArrowheads="1"/>
        </xdr:cNvSpPr>
      </xdr:nvSpPr>
      <xdr:spPr bwMode="auto">
        <a:xfrm>
          <a:off x="9970020484" y="131265930"/>
          <a:ext cx="1068662" cy="4171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0" i="0" strike="noStrike">
              <a:solidFill>
                <a:srgbClr val="000000"/>
              </a:solidFill>
              <a:latin typeface="Arial"/>
              <a:cs typeface="Arial"/>
            </a:rPr>
            <a:t>العمر</a:t>
          </a:r>
        </a:p>
      </xdr:txBody>
    </xdr:sp>
    <xdr:clientData/>
  </xdr:twoCellAnchor>
  <xdr:twoCellAnchor>
    <xdr:from>
      <xdr:col>0</xdr:col>
      <xdr:colOff>47625</xdr:colOff>
      <xdr:row>377</xdr:row>
      <xdr:rowOff>285750</xdr:rowOff>
    </xdr:from>
    <xdr:to>
      <xdr:col>0</xdr:col>
      <xdr:colOff>781050</xdr:colOff>
      <xdr:row>379</xdr:row>
      <xdr:rowOff>104775</xdr:rowOff>
    </xdr:to>
    <xdr:sp macro="" textlink="">
      <xdr:nvSpPr>
        <xdr:cNvPr id="64" name="Rectangle 9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SpPr>
          <a:spLocks noChangeArrowheads="1"/>
        </xdr:cNvSpPr>
      </xdr:nvSpPr>
      <xdr:spPr bwMode="auto">
        <a:xfrm>
          <a:off x="9970758570" y="131532630"/>
          <a:ext cx="733425" cy="5200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0" i="0" strike="noStrike">
              <a:solidFill>
                <a:srgbClr val="000000"/>
              </a:solidFill>
              <a:latin typeface="Arial"/>
              <a:cs typeface="Arial"/>
            </a:rPr>
            <a:t>الجنس</a:t>
          </a:r>
        </a:p>
      </xdr:txBody>
    </xdr:sp>
    <xdr:clientData/>
  </xdr:twoCellAnchor>
  <xdr:twoCellAnchor>
    <xdr:from>
      <xdr:col>0</xdr:col>
      <xdr:colOff>473293</xdr:colOff>
      <xdr:row>387</xdr:row>
      <xdr:rowOff>34377</xdr:rowOff>
    </xdr:from>
    <xdr:to>
      <xdr:col>1</xdr:col>
      <xdr:colOff>180515</xdr:colOff>
      <xdr:row>388</xdr:row>
      <xdr:rowOff>19050</xdr:rowOff>
    </xdr:to>
    <xdr:sp macro="" textlink="">
      <xdr:nvSpPr>
        <xdr:cNvPr id="65" name="Rectangle 10"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SpPr>
          <a:spLocks noChangeArrowheads="1"/>
        </xdr:cNvSpPr>
      </xdr:nvSpPr>
      <xdr:spPr bwMode="auto">
        <a:xfrm>
          <a:off x="9970376125" y="134786457"/>
          <a:ext cx="690202" cy="33519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1" i="0" strike="noStrike">
              <a:solidFill>
                <a:srgbClr val="000000"/>
              </a:solidFill>
              <a:latin typeface="Arial"/>
              <a:cs typeface="Arial"/>
            </a:rPr>
            <a:t>الصف</a:t>
          </a:r>
        </a:p>
      </xdr:txBody>
    </xdr:sp>
    <xdr:clientData/>
  </xdr:twoCellAnchor>
  <xdr:twoCellAnchor>
    <xdr:from>
      <xdr:col>0</xdr:col>
      <xdr:colOff>50223</xdr:colOff>
      <xdr:row>387</xdr:row>
      <xdr:rowOff>217339</xdr:rowOff>
    </xdr:from>
    <xdr:to>
      <xdr:col>0</xdr:col>
      <xdr:colOff>783647</xdr:colOff>
      <xdr:row>388</xdr:row>
      <xdr:rowOff>206083</xdr:rowOff>
    </xdr:to>
    <xdr:sp macro="" textlink="">
      <xdr:nvSpPr>
        <xdr:cNvPr id="66" name="Rectangle 11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SpPr>
          <a:spLocks noChangeArrowheads="1"/>
        </xdr:cNvSpPr>
      </xdr:nvSpPr>
      <xdr:spPr bwMode="auto">
        <a:xfrm>
          <a:off x="9970755973" y="134969419"/>
          <a:ext cx="733424" cy="3392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1" i="0" strike="noStrike">
              <a:solidFill>
                <a:srgbClr val="000000"/>
              </a:solidFill>
              <a:latin typeface="Arial"/>
              <a:cs typeface="Arial"/>
            </a:rPr>
            <a:t>الجنس</a:t>
          </a:r>
        </a:p>
      </xdr:txBody>
    </xdr:sp>
    <xdr:clientData/>
  </xdr:twoCellAnchor>
  <xdr:twoCellAnchor>
    <xdr:from>
      <xdr:col>0</xdr:col>
      <xdr:colOff>28575</xdr:colOff>
      <xdr:row>408</xdr:row>
      <xdr:rowOff>19049</xdr:rowOff>
    </xdr:from>
    <xdr:to>
      <xdr:col>0</xdr:col>
      <xdr:colOff>1108363</xdr:colOff>
      <xdr:row>409</xdr:row>
      <xdr:rowOff>363681</xdr:rowOff>
    </xdr:to>
    <xdr:sp macro="" textlink="">
      <xdr:nvSpPr>
        <xdr:cNvPr id="67" name="Line 5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SpPr>
          <a:spLocks noChangeShapeType="1"/>
        </xdr:cNvSpPr>
      </xdr:nvSpPr>
      <xdr:spPr bwMode="auto">
        <a:xfrm flipV="1">
          <a:off x="9970553177" y="142132049"/>
          <a:ext cx="957868" cy="679912"/>
        </a:xfrm>
        <a:prstGeom prst="line">
          <a:avLst/>
        </a:prstGeom>
        <a:noFill/>
        <a:ln w="38100" cmpd="dbl">
          <a:solidFill>
            <a:srgbClr val="333333"/>
          </a:solidFill>
          <a:round/>
          <a:headEnd/>
          <a:tailEnd/>
        </a:ln>
      </xdr:spPr>
    </xdr:sp>
    <xdr:clientData/>
  </xdr:twoCellAnchor>
  <xdr:twoCellAnchor>
    <xdr:from>
      <xdr:col>0</xdr:col>
      <xdr:colOff>450474</xdr:colOff>
      <xdr:row>408</xdr:row>
      <xdr:rowOff>19050</xdr:rowOff>
    </xdr:from>
    <xdr:to>
      <xdr:col>1</xdr:col>
      <xdr:colOff>536156</xdr:colOff>
      <xdr:row>409</xdr:row>
      <xdr:rowOff>85725</xdr:rowOff>
    </xdr:to>
    <xdr:sp macro="" textlink="">
      <xdr:nvSpPr>
        <xdr:cNvPr id="68" name="Rectangle 8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SpPr>
          <a:spLocks noChangeArrowheads="1"/>
        </xdr:cNvSpPr>
      </xdr:nvSpPr>
      <xdr:spPr bwMode="auto">
        <a:xfrm>
          <a:off x="9970020484" y="142132050"/>
          <a:ext cx="1068662" cy="4171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endParaRPr lang="ar-IQ" sz="16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47625</xdr:colOff>
      <xdr:row>408</xdr:row>
      <xdr:rowOff>285750</xdr:rowOff>
    </xdr:from>
    <xdr:to>
      <xdr:col>0</xdr:col>
      <xdr:colOff>781050</xdr:colOff>
      <xdr:row>410</xdr:row>
      <xdr:rowOff>104775</xdr:rowOff>
    </xdr:to>
    <xdr:sp macro="" textlink="">
      <xdr:nvSpPr>
        <xdr:cNvPr id="69" name="Rectangle 9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SpPr>
          <a:spLocks noChangeArrowheads="1"/>
        </xdr:cNvSpPr>
      </xdr:nvSpPr>
      <xdr:spPr bwMode="auto">
        <a:xfrm>
          <a:off x="9970758570" y="142398750"/>
          <a:ext cx="733425" cy="5200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0" i="0" strike="noStrike">
              <a:solidFill>
                <a:srgbClr val="000000"/>
              </a:solidFill>
              <a:latin typeface="Arial"/>
              <a:cs typeface="Arial"/>
            </a:rPr>
            <a:t>الجنس</a:t>
          </a:r>
        </a:p>
      </xdr:txBody>
    </xdr:sp>
    <xdr:clientData/>
  </xdr:twoCellAnchor>
  <xdr:twoCellAnchor>
    <xdr:from>
      <xdr:col>0</xdr:col>
      <xdr:colOff>473293</xdr:colOff>
      <xdr:row>418</xdr:row>
      <xdr:rowOff>82001</xdr:rowOff>
    </xdr:from>
    <xdr:to>
      <xdr:col>1</xdr:col>
      <xdr:colOff>180515</xdr:colOff>
      <xdr:row>419</xdr:row>
      <xdr:rowOff>114299</xdr:rowOff>
    </xdr:to>
    <xdr:sp macro="" textlink="">
      <xdr:nvSpPr>
        <xdr:cNvPr id="70" name="Rectangle 10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SpPr>
          <a:spLocks noChangeArrowheads="1"/>
        </xdr:cNvSpPr>
      </xdr:nvSpPr>
      <xdr:spPr bwMode="auto">
        <a:xfrm>
          <a:off x="9970376125" y="145700201"/>
          <a:ext cx="690202" cy="3828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1" i="0" strike="noStrike">
              <a:solidFill>
                <a:srgbClr val="000000"/>
              </a:solidFill>
              <a:latin typeface="Arial"/>
              <a:cs typeface="Arial"/>
            </a:rPr>
            <a:t>الصف</a:t>
          </a:r>
        </a:p>
      </xdr:txBody>
    </xdr:sp>
    <xdr:clientData/>
  </xdr:twoCellAnchor>
  <xdr:twoCellAnchor>
    <xdr:from>
      <xdr:col>0</xdr:col>
      <xdr:colOff>69273</xdr:colOff>
      <xdr:row>419</xdr:row>
      <xdr:rowOff>7789</xdr:rowOff>
    </xdr:from>
    <xdr:to>
      <xdr:col>0</xdr:col>
      <xdr:colOff>802697</xdr:colOff>
      <xdr:row>419</xdr:row>
      <xdr:rowOff>272758</xdr:rowOff>
    </xdr:to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SpPr>
          <a:spLocks noChangeArrowheads="1"/>
        </xdr:cNvSpPr>
      </xdr:nvSpPr>
      <xdr:spPr bwMode="auto">
        <a:xfrm>
          <a:off x="9970736923" y="145976509"/>
          <a:ext cx="733424" cy="2649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1" i="0" strike="noStrike">
              <a:solidFill>
                <a:srgbClr val="000000"/>
              </a:solidFill>
              <a:latin typeface="Arial"/>
              <a:cs typeface="Arial"/>
            </a:rPr>
            <a:t>الجنس</a:t>
          </a:r>
        </a:p>
      </xdr:txBody>
    </xdr:sp>
    <xdr:clientData/>
  </xdr:twoCellAnchor>
  <xdr:twoCellAnchor>
    <xdr:from>
      <xdr:col>0</xdr:col>
      <xdr:colOff>28575</xdr:colOff>
      <xdr:row>408</xdr:row>
      <xdr:rowOff>19049</xdr:rowOff>
    </xdr:from>
    <xdr:to>
      <xdr:col>0</xdr:col>
      <xdr:colOff>1108363</xdr:colOff>
      <xdr:row>409</xdr:row>
      <xdr:rowOff>363681</xdr:rowOff>
    </xdr:to>
    <xdr:sp macro="" textlink="">
      <xdr:nvSpPr>
        <xdr:cNvPr id="72" name="Line 5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SpPr>
          <a:spLocks noChangeShapeType="1"/>
        </xdr:cNvSpPr>
      </xdr:nvSpPr>
      <xdr:spPr bwMode="auto">
        <a:xfrm flipV="1">
          <a:off x="9970553177" y="142132049"/>
          <a:ext cx="957868" cy="679912"/>
        </a:xfrm>
        <a:prstGeom prst="line">
          <a:avLst/>
        </a:prstGeom>
        <a:noFill/>
        <a:ln w="38100" cmpd="dbl">
          <a:solidFill>
            <a:srgbClr val="333333"/>
          </a:solidFill>
          <a:round/>
          <a:headEnd/>
          <a:tailEnd/>
        </a:ln>
      </xdr:spPr>
    </xdr:sp>
    <xdr:clientData/>
  </xdr:twoCellAnchor>
  <xdr:twoCellAnchor>
    <xdr:from>
      <xdr:col>0</xdr:col>
      <xdr:colOff>285244</xdr:colOff>
      <xdr:row>408</xdr:row>
      <xdr:rowOff>19050</xdr:rowOff>
    </xdr:from>
    <xdr:to>
      <xdr:col>1</xdr:col>
      <xdr:colOff>370926</xdr:colOff>
      <xdr:row>409</xdr:row>
      <xdr:rowOff>85725</xdr:rowOff>
    </xdr:to>
    <xdr:sp macro="" textlink="">
      <xdr:nvSpPr>
        <xdr:cNvPr id="73" name="Rectangle 8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SpPr>
          <a:spLocks noChangeArrowheads="1"/>
        </xdr:cNvSpPr>
      </xdr:nvSpPr>
      <xdr:spPr bwMode="auto">
        <a:xfrm>
          <a:off x="9970185714" y="142132050"/>
          <a:ext cx="1068662" cy="4171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0" i="0" strike="noStrike">
              <a:solidFill>
                <a:srgbClr val="000000"/>
              </a:solidFill>
              <a:latin typeface="Arial"/>
              <a:cs typeface="Arial"/>
            </a:rPr>
            <a:t>العمر</a:t>
          </a:r>
        </a:p>
      </xdr:txBody>
    </xdr:sp>
    <xdr:clientData/>
  </xdr:twoCellAnchor>
  <xdr:twoCellAnchor>
    <xdr:from>
      <xdr:col>0</xdr:col>
      <xdr:colOff>47625</xdr:colOff>
      <xdr:row>408</xdr:row>
      <xdr:rowOff>285750</xdr:rowOff>
    </xdr:from>
    <xdr:to>
      <xdr:col>0</xdr:col>
      <xdr:colOff>781050</xdr:colOff>
      <xdr:row>410</xdr:row>
      <xdr:rowOff>104775</xdr:rowOff>
    </xdr:to>
    <xdr:sp macro="" textlink="">
      <xdr:nvSpPr>
        <xdr:cNvPr id="74" name="Rectangle 9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SpPr>
          <a:spLocks noChangeArrowheads="1"/>
        </xdr:cNvSpPr>
      </xdr:nvSpPr>
      <xdr:spPr bwMode="auto">
        <a:xfrm>
          <a:off x="9970758570" y="142398750"/>
          <a:ext cx="733425" cy="5200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0" i="0" strike="noStrike">
              <a:solidFill>
                <a:srgbClr val="000000"/>
              </a:solidFill>
              <a:latin typeface="Arial"/>
              <a:cs typeface="Arial"/>
            </a:rPr>
            <a:t>الجنس</a:t>
          </a:r>
        </a:p>
      </xdr:txBody>
    </xdr:sp>
    <xdr:clientData/>
  </xdr:twoCellAnchor>
  <xdr:twoCellAnchor>
    <xdr:from>
      <xdr:col>0</xdr:col>
      <xdr:colOff>28575</xdr:colOff>
      <xdr:row>439</xdr:row>
      <xdr:rowOff>19049</xdr:rowOff>
    </xdr:from>
    <xdr:to>
      <xdr:col>0</xdr:col>
      <xdr:colOff>1108363</xdr:colOff>
      <xdr:row>440</xdr:row>
      <xdr:rowOff>363681</xdr:rowOff>
    </xdr:to>
    <xdr:sp macro="" textlink="">
      <xdr:nvSpPr>
        <xdr:cNvPr id="75" name="Line 5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SpPr>
          <a:spLocks noChangeShapeType="1"/>
        </xdr:cNvSpPr>
      </xdr:nvSpPr>
      <xdr:spPr bwMode="auto">
        <a:xfrm flipV="1">
          <a:off x="9970553177" y="152998169"/>
          <a:ext cx="957868" cy="679912"/>
        </a:xfrm>
        <a:prstGeom prst="line">
          <a:avLst/>
        </a:prstGeom>
        <a:noFill/>
        <a:ln w="38100" cmpd="dbl">
          <a:solidFill>
            <a:srgbClr val="333333"/>
          </a:solidFill>
          <a:round/>
          <a:headEnd/>
          <a:tailEnd/>
        </a:ln>
      </xdr:spPr>
    </xdr:sp>
    <xdr:clientData/>
  </xdr:twoCellAnchor>
  <xdr:twoCellAnchor>
    <xdr:from>
      <xdr:col>0</xdr:col>
      <xdr:colOff>450474</xdr:colOff>
      <xdr:row>439</xdr:row>
      <xdr:rowOff>19050</xdr:rowOff>
    </xdr:from>
    <xdr:to>
      <xdr:col>1</xdr:col>
      <xdr:colOff>536156</xdr:colOff>
      <xdr:row>440</xdr:row>
      <xdr:rowOff>85725</xdr:rowOff>
    </xdr:to>
    <xdr:sp macro="" textlink="">
      <xdr:nvSpPr>
        <xdr:cNvPr id="76" name="Rectangle 8"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SpPr>
          <a:spLocks noChangeArrowheads="1"/>
        </xdr:cNvSpPr>
      </xdr:nvSpPr>
      <xdr:spPr bwMode="auto">
        <a:xfrm>
          <a:off x="9970020484" y="152998170"/>
          <a:ext cx="1068662" cy="4171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0" i="0" strike="noStrike">
              <a:solidFill>
                <a:srgbClr val="000000"/>
              </a:solidFill>
              <a:latin typeface="Arial"/>
              <a:cs typeface="Arial"/>
            </a:rPr>
            <a:t>العمر</a:t>
          </a:r>
        </a:p>
      </xdr:txBody>
    </xdr:sp>
    <xdr:clientData/>
  </xdr:twoCellAnchor>
  <xdr:twoCellAnchor>
    <xdr:from>
      <xdr:col>0</xdr:col>
      <xdr:colOff>47625</xdr:colOff>
      <xdr:row>439</xdr:row>
      <xdr:rowOff>285750</xdr:rowOff>
    </xdr:from>
    <xdr:to>
      <xdr:col>0</xdr:col>
      <xdr:colOff>781050</xdr:colOff>
      <xdr:row>441</xdr:row>
      <xdr:rowOff>104775</xdr:rowOff>
    </xdr:to>
    <xdr:sp macro="" textlink="">
      <xdr:nvSpPr>
        <xdr:cNvPr id="77" name="Rectangle 9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SpPr>
          <a:spLocks noChangeArrowheads="1"/>
        </xdr:cNvSpPr>
      </xdr:nvSpPr>
      <xdr:spPr bwMode="auto">
        <a:xfrm>
          <a:off x="9970758570" y="153264870"/>
          <a:ext cx="733425" cy="5200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0" i="0" strike="noStrike">
              <a:solidFill>
                <a:srgbClr val="000000"/>
              </a:solidFill>
              <a:latin typeface="Arial"/>
              <a:cs typeface="Arial"/>
            </a:rPr>
            <a:t>الجنس</a:t>
          </a:r>
        </a:p>
      </xdr:txBody>
    </xdr:sp>
    <xdr:clientData/>
  </xdr:twoCellAnchor>
  <xdr:twoCellAnchor>
    <xdr:from>
      <xdr:col>0</xdr:col>
      <xdr:colOff>572117</xdr:colOff>
      <xdr:row>449</xdr:row>
      <xdr:rowOff>82002</xdr:rowOff>
    </xdr:from>
    <xdr:to>
      <xdr:col>0</xdr:col>
      <xdr:colOff>1061642</xdr:colOff>
      <xdr:row>450</xdr:row>
      <xdr:rowOff>104775</xdr:rowOff>
    </xdr:to>
    <xdr:sp macro="" textlink="">
      <xdr:nvSpPr>
        <xdr:cNvPr id="78" name="Rectangle 10">
          <a:extLst>
            <a:ext uri="{FF2B5EF4-FFF2-40B4-BE49-F238E27FC236}">
              <a16:creationId xmlns:a16="http://schemas.microsoft.com/office/drawing/2014/main" id="{00000000-0008-0000-0400-000056000000}"/>
            </a:ext>
          </a:extLst>
        </xdr:cNvPr>
        <xdr:cNvSpPr>
          <a:spLocks noChangeArrowheads="1"/>
        </xdr:cNvSpPr>
      </xdr:nvSpPr>
      <xdr:spPr bwMode="auto">
        <a:xfrm>
          <a:off x="9970554178" y="156566322"/>
          <a:ext cx="413325" cy="37329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1" i="0" strike="noStrike">
              <a:solidFill>
                <a:srgbClr val="000000"/>
              </a:solidFill>
              <a:latin typeface="Arial"/>
              <a:cs typeface="Arial"/>
            </a:rPr>
            <a:t>الصف</a:t>
          </a:r>
        </a:p>
      </xdr:txBody>
    </xdr:sp>
    <xdr:clientData/>
  </xdr:twoCellAnchor>
  <xdr:twoCellAnchor>
    <xdr:from>
      <xdr:col>0</xdr:col>
      <xdr:colOff>89117</xdr:colOff>
      <xdr:row>449</xdr:row>
      <xdr:rowOff>274489</xdr:rowOff>
    </xdr:from>
    <xdr:to>
      <xdr:col>0</xdr:col>
      <xdr:colOff>605235</xdr:colOff>
      <xdr:row>450</xdr:row>
      <xdr:rowOff>263233</xdr:rowOff>
    </xdr:to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00000000-0008-0000-0400-000057000000}"/>
            </a:ext>
          </a:extLst>
        </xdr:cNvPr>
        <xdr:cNvSpPr>
          <a:spLocks noChangeArrowheads="1"/>
        </xdr:cNvSpPr>
      </xdr:nvSpPr>
      <xdr:spPr bwMode="auto">
        <a:xfrm>
          <a:off x="9970934385" y="156758809"/>
          <a:ext cx="516118" cy="3392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1" i="0" strike="noStrike">
              <a:solidFill>
                <a:srgbClr val="000000"/>
              </a:solidFill>
              <a:latin typeface="Arial"/>
              <a:cs typeface="Arial"/>
            </a:rPr>
            <a:t>الجنس</a:t>
          </a:r>
        </a:p>
      </xdr:txBody>
    </xdr:sp>
    <xdr:clientData/>
  </xdr:twoCellAnchor>
  <xdr:twoCellAnchor>
    <xdr:from>
      <xdr:col>0</xdr:col>
      <xdr:colOff>28575</xdr:colOff>
      <xdr:row>439</xdr:row>
      <xdr:rowOff>19049</xdr:rowOff>
    </xdr:from>
    <xdr:to>
      <xdr:col>0</xdr:col>
      <xdr:colOff>1108363</xdr:colOff>
      <xdr:row>440</xdr:row>
      <xdr:rowOff>363681</xdr:rowOff>
    </xdr:to>
    <xdr:sp macro="" textlink="">
      <xdr:nvSpPr>
        <xdr:cNvPr id="80" name="Line 5">
          <a:extLst>
            <a:ext uri="{FF2B5EF4-FFF2-40B4-BE49-F238E27FC236}">
              <a16:creationId xmlns:a16="http://schemas.microsoft.com/office/drawing/2014/main" id="{00000000-0008-0000-0400-000058000000}"/>
            </a:ext>
          </a:extLst>
        </xdr:cNvPr>
        <xdr:cNvSpPr>
          <a:spLocks noChangeShapeType="1"/>
        </xdr:cNvSpPr>
      </xdr:nvSpPr>
      <xdr:spPr bwMode="auto">
        <a:xfrm flipV="1">
          <a:off x="9970553177" y="152998169"/>
          <a:ext cx="957868" cy="679912"/>
        </a:xfrm>
        <a:prstGeom prst="line">
          <a:avLst/>
        </a:prstGeom>
        <a:noFill/>
        <a:ln w="38100" cmpd="dbl">
          <a:solidFill>
            <a:srgbClr val="333333"/>
          </a:solidFill>
          <a:round/>
          <a:headEnd/>
          <a:tailEnd/>
        </a:ln>
      </xdr:spPr>
    </xdr:sp>
    <xdr:clientData/>
  </xdr:twoCellAnchor>
  <xdr:twoCellAnchor>
    <xdr:from>
      <xdr:col>0</xdr:col>
      <xdr:colOff>450474</xdr:colOff>
      <xdr:row>439</xdr:row>
      <xdr:rowOff>19050</xdr:rowOff>
    </xdr:from>
    <xdr:to>
      <xdr:col>1</xdr:col>
      <xdr:colOff>536156</xdr:colOff>
      <xdr:row>440</xdr:row>
      <xdr:rowOff>85725</xdr:rowOff>
    </xdr:to>
    <xdr:sp macro="" textlink="">
      <xdr:nvSpPr>
        <xdr:cNvPr id="81" name="Rectangle 8">
          <a:extLst>
            <a:ext uri="{FF2B5EF4-FFF2-40B4-BE49-F238E27FC236}">
              <a16:creationId xmlns:a16="http://schemas.microsoft.com/office/drawing/2014/main" id="{00000000-0008-0000-0400-000059000000}"/>
            </a:ext>
          </a:extLst>
        </xdr:cNvPr>
        <xdr:cNvSpPr>
          <a:spLocks noChangeArrowheads="1"/>
        </xdr:cNvSpPr>
      </xdr:nvSpPr>
      <xdr:spPr bwMode="auto">
        <a:xfrm>
          <a:off x="9970020484" y="152998170"/>
          <a:ext cx="1068662" cy="4171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0" i="0" strike="noStrike">
              <a:solidFill>
                <a:srgbClr val="000000"/>
              </a:solidFill>
              <a:latin typeface="Arial"/>
              <a:cs typeface="Arial"/>
            </a:rPr>
            <a:t>العمر</a:t>
          </a:r>
        </a:p>
      </xdr:txBody>
    </xdr:sp>
    <xdr:clientData/>
  </xdr:twoCellAnchor>
  <xdr:twoCellAnchor>
    <xdr:from>
      <xdr:col>0</xdr:col>
      <xdr:colOff>47625</xdr:colOff>
      <xdr:row>439</xdr:row>
      <xdr:rowOff>285750</xdr:rowOff>
    </xdr:from>
    <xdr:to>
      <xdr:col>0</xdr:col>
      <xdr:colOff>781050</xdr:colOff>
      <xdr:row>441</xdr:row>
      <xdr:rowOff>104775</xdr:rowOff>
    </xdr:to>
    <xdr:sp macro="" textlink="">
      <xdr:nvSpPr>
        <xdr:cNvPr id="82" name="Rectangle 9">
          <a:extLst>
            <a:ext uri="{FF2B5EF4-FFF2-40B4-BE49-F238E27FC236}">
              <a16:creationId xmlns:a16="http://schemas.microsoft.com/office/drawing/2014/main" id="{00000000-0008-0000-0400-00005A000000}"/>
            </a:ext>
          </a:extLst>
        </xdr:cNvPr>
        <xdr:cNvSpPr>
          <a:spLocks noChangeArrowheads="1"/>
        </xdr:cNvSpPr>
      </xdr:nvSpPr>
      <xdr:spPr bwMode="auto">
        <a:xfrm>
          <a:off x="9970758570" y="153264870"/>
          <a:ext cx="733425" cy="5200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0" i="0" strike="noStrike">
              <a:solidFill>
                <a:srgbClr val="000000"/>
              </a:solidFill>
              <a:latin typeface="Arial"/>
              <a:cs typeface="Arial"/>
            </a:rPr>
            <a:t>الجنس</a:t>
          </a:r>
        </a:p>
      </xdr:txBody>
    </xdr:sp>
    <xdr:clientData/>
  </xdr:twoCellAnchor>
  <xdr:twoCellAnchor>
    <xdr:from>
      <xdr:col>0</xdr:col>
      <xdr:colOff>28575</xdr:colOff>
      <xdr:row>470</xdr:row>
      <xdr:rowOff>19049</xdr:rowOff>
    </xdr:from>
    <xdr:to>
      <xdr:col>0</xdr:col>
      <xdr:colOff>1108363</xdr:colOff>
      <xdr:row>471</xdr:row>
      <xdr:rowOff>363681</xdr:rowOff>
    </xdr:to>
    <xdr:sp macro="" textlink="">
      <xdr:nvSpPr>
        <xdr:cNvPr id="83" name="Line 5">
          <a:extLst>
            <a:ext uri="{FF2B5EF4-FFF2-40B4-BE49-F238E27FC236}">
              <a16:creationId xmlns:a16="http://schemas.microsoft.com/office/drawing/2014/main" id="{00000000-0008-0000-0400-00005D000000}"/>
            </a:ext>
          </a:extLst>
        </xdr:cNvPr>
        <xdr:cNvSpPr>
          <a:spLocks noChangeShapeType="1"/>
        </xdr:cNvSpPr>
      </xdr:nvSpPr>
      <xdr:spPr bwMode="auto">
        <a:xfrm flipV="1">
          <a:off x="9970553177" y="163864289"/>
          <a:ext cx="957868" cy="679912"/>
        </a:xfrm>
        <a:prstGeom prst="line">
          <a:avLst/>
        </a:prstGeom>
        <a:noFill/>
        <a:ln w="38100" cmpd="dbl">
          <a:solidFill>
            <a:srgbClr val="333333"/>
          </a:solidFill>
          <a:round/>
          <a:headEnd/>
          <a:tailEnd/>
        </a:ln>
      </xdr:spPr>
    </xdr:sp>
    <xdr:clientData/>
  </xdr:twoCellAnchor>
  <xdr:twoCellAnchor>
    <xdr:from>
      <xdr:col>0</xdr:col>
      <xdr:colOff>450474</xdr:colOff>
      <xdr:row>470</xdr:row>
      <xdr:rowOff>19050</xdr:rowOff>
    </xdr:from>
    <xdr:to>
      <xdr:col>1</xdr:col>
      <xdr:colOff>536156</xdr:colOff>
      <xdr:row>471</xdr:row>
      <xdr:rowOff>85725</xdr:rowOff>
    </xdr:to>
    <xdr:sp macro="" textlink="">
      <xdr:nvSpPr>
        <xdr:cNvPr id="84" name="Rectangle 8">
          <a:extLst>
            <a:ext uri="{FF2B5EF4-FFF2-40B4-BE49-F238E27FC236}">
              <a16:creationId xmlns:a16="http://schemas.microsoft.com/office/drawing/2014/main" id="{00000000-0008-0000-0400-00005E000000}"/>
            </a:ext>
          </a:extLst>
        </xdr:cNvPr>
        <xdr:cNvSpPr>
          <a:spLocks noChangeArrowheads="1"/>
        </xdr:cNvSpPr>
      </xdr:nvSpPr>
      <xdr:spPr bwMode="auto">
        <a:xfrm>
          <a:off x="9970020484" y="163864290"/>
          <a:ext cx="1068662" cy="4171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0" i="0" strike="noStrike">
              <a:solidFill>
                <a:srgbClr val="000000"/>
              </a:solidFill>
              <a:latin typeface="Arial"/>
              <a:cs typeface="Arial"/>
            </a:rPr>
            <a:t>العمر</a:t>
          </a:r>
        </a:p>
      </xdr:txBody>
    </xdr:sp>
    <xdr:clientData/>
  </xdr:twoCellAnchor>
  <xdr:twoCellAnchor>
    <xdr:from>
      <xdr:col>0</xdr:col>
      <xdr:colOff>47625</xdr:colOff>
      <xdr:row>470</xdr:row>
      <xdr:rowOff>285750</xdr:rowOff>
    </xdr:from>
    <xdr:to>
      <xdr:col>0</xdr:col>
      <xdr:colOff>781050</xdr:colOff>
      <xdr:row>472</xdr:row>
      <xdr:rowOff>104775</xdr:rowOff>
    </xdr:to>
    <xdr:sp macro="" textlink="">
      <xdr:nvSpPr>
        <xdr:cNvPr id="85" name="Rectangle 9">
          <a:extLst>
            <a:ext uri="{FF2B5EF4-FFF2-40B4-BE49-F238E27FC236}">
              <a16:creationId xmlns:a16="http://schemas.microsoft.com/office/drawing/2014/main" id="{00000000-0008-0000-0400-00005F000000}"/>
            </a:ext>
          </a:extLst>
        </xdr:cNvPr>
        <xdr:cNvSpPr>
          <a:spLocks noChangeArrowheads="1"/>
        </xdr:cNvSpPr>
      </xdr:nvSpPr>
      <xdr:spPr bwMode="auto">
        <a:xfrm>
          <a:off x="9970758570" y="164130990"/>
          <a:ext cx="733425" cy="5200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0" i="0" strike="noStrike">
              <a:solidFill>
                <a:srgbClr val="000000"/>
              </a:solidFill>
              <a:latin typeface="Arial"/>
              <a:cs typeface="Arial"/>
            </a:rPr>
            <a:t>الجنس</a:t>
          </a:r>
        </a:p>
      </xdr:txBody>
    </xdr:sp>
    <xdr:clientData/>
  </xdr:twoCellAnchor>
  <xdr:twoCellAnchor>
    <xdr:from>
      <xdr:col>0</xdr:col>
      <xdr:colOff>492343</xdr:colOff>
      <xdr:row>480</xdr:row>
      <xdr:rowOff>72476</xdr:rowOff>
    </xdr:from>
    <xdr:to>
      <xdr:col>1</xdr:col>
      <xdr:colOff>199565</xdr:colOff>
      <xdr:row>481</xdr:row>
      <xdr:rowOff>104774</xdr:rowOff>
    </xdr:to>
    <xdr:sp macro="" textlink="">
      <xdr:nvSpPr>
        <xdr:cNvPr id="86" name="Rectangle 10">
          <a:extLst>
            <a:ext uri="{FF2B5EF4-FFF2-40B4-BE49-F238E27FC236}">
              <a16:creationId xmlns:a16="http://schemas.microsoft.com/office/drawing/2014/main" id="{00000000-0008-0000-0400-000060000000}"/>
            </a:ext>
          </a:extLst>
        </xdr:cNvPr>
        <xdr:cNvSpPr>
          <a:spLocks noChangeArrowheads="1"/>
        </xdr:cNvSpPr>
      </xdr:nvSpPr>
      <xdr:spPr bwMode="auto">
        <a:xfrm>
          <a:off x="9970357075" y="167422916"/>
          <a:ext cx="690202" cy="3828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1" i="0" strike="noStrike">
              <a:solidFill>
                <a:srgbClr val="000000"/>
              </a:solidFill>
              <a:latin typeface="Arial"/>
              <a:cs typeface="Arial"/>
            </a:rPr>
            <a:t>الصف</a:t>
          </a:r>
        </a:p>
      </xdr:txBody>
    </xdr:sp>
    <xdr:clientData/>
  </xdr:twoCellAnchor>
  <xdr:twoCellAnchor>
    <xdr:from>
      <xdr:col>0</xdr:col>
      <xdr:colOff>69273</xdr:colOff>
      <xdr:row>480</xdr:row>
      <xdr:rowOff>264964</xdr:rowOff>
    </xdr:from>
    <xdr:to>
      <xdr:col>0</xdr:col>
      <xdr:colOff>802697</xdr:colOff>
      <xdr:row>481</xdr:row>
      <xdr:rowOff>253708</xdr:rowOff>
    </xdr:to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00000000-0008-0000-0400-000061000000}"/>
            </a:ext>
          </a:extLst>
        </xdr:cNvPr>
        <xdr:cNvSpPr>
          <a:spLocks noChangeArrowheads="1"/>
        </xdr:cNvSpPr>
      </xdr:nvSpPr>
      <xdr:spPr bwMode="auto">
        <a:xfrm>
          <a:off x="9970736923" y="167615404"/>
          <a:ext cx="733424" cy="3392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1" i="0" strike="noStrike">
              <a:solidFill>
                <a:srgbClr val="000000"/>
              </a:solidFill>
              <a:latin typeface="Arial"/>
              <a:cs typeface="Arial"/>
            </a:rPr>
            <a:t>الجنس</a:t>
          </a:r>
        </a:p>
      </xdr:txBody>
    </xdr:sp>
    <xdr:clientData/>
  </xdr:twoCellAnchor>
  <xdr:twoCellAnchor>
    <xdr:from>
      <xdr:col>0</xdr:col>
      <xdr:colOff>28575</xdr:colOff>
      <xdr:row>470</xdr:row>
      <xdr:rowOff>19049</xdr:rowOff>
    </xdr:from>
    <xdr:to>
      <xdr:col>0</xdr:col>
      <xdr:colOff>1108363</xdr:colOff>
      <xdr:row>471</xdr:row>
      <xdr:rowOff>363681</xdr:rowOff>
    </xdr:to>
    <xdr:sp macro="" textlink="">
      <xdr:nvSpPr>
        <xdr:cNvPr id="88" name="Line 5">
          <a:extLst>
            <a:ext uri="{FF2B5EF4-FFF2-40B4-BE49-F238E27FC236}">
              <a16:creationId xmlns:a16="http://schemas.microsoft.com/office/drawing/2014/main" id="{00000000-0008-0000-0400-000062000000}"/>
            </a:ext>
          </a:extLst>
        </xdr:cNvPr>
        <xdr:cNvSpPr>
          <a:spLocks noChangeShapeType="1"/>
        </xdr:cNvSpPr>
      </xdr:nvSpPr>
      <xdr:spPr bwMode="auto">
        <a:xfrm flipV="1">
          <a:off x="9970553177" y="163864289"/>
          <a:ext cx="957868" cy="679912"/>
        </a:xfrm>
        <a:prstGeom prst="line">
          <a:avLst/>
        </a:prstGeom>
        <a:noFill/>
        <a:ln w="38100" cmpd="dbl">
          <a:solidFill>
            <a:srgbClr val="333333"/>
          </a:solidFill>
          <a:round/>
          <a:headEnd/>
          <a:tailEnd/>
        </a:ln>
      </xdr:spPr>
    </xdr:sp>
    <xdr:clientData/>
  </xdr:twoCellAnchor>
  <xdr:twoCellAnchor>
    <xdr:from>
      <xdr:col>0</xdr:col>
      <xdr:colOff>450474</xdr:colOff>
      <xdr:row>470</xdr:row>
      <xdr:rowOff>19050</xdr:rowOff>
    </xdr:from>
    <xdr:to>
      <xdr:col>1</xdr:col>
      <xdr:colOff>536156</xdr:colOff>
      <xdr:row>471</xdr:row>
      <xdr:rowOff>85725</xdr:rowOff>
    </xdr:to>
    <xdr:sp macro="" textlink="">
      <xdr:nvSpPr>
        <xdr:cNvPr id="89" name="Rectangle 8">
          <a:extLst>
            <a:ext uri="{FF2B5EF4-FFF2-40B4-BE49-F238E27FC236}">
              <a16:creationId xmlns:a16="http://schemas.microsoft.com/office/drawing/2014/main" id="{00000000-0008-0000-0400-000063000000}"/>
            </a:ext>
          </a:extLst>
        </xdr:cNvPr>
        <xdr:cNvSpPr>
          <a:spLocks noChangeArrowheads="1"/>
        </xdr:cNvSpPr>
      </xdr:nvSpPr>
      <xdr:spPr bwMode="auto">
        <a:xfrm>
          <a:off x="9970020484" y="163864290"/>
          <a:ext cx="1068662" cy="4171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0" i="0" strike="noStrike">
              <a:solidFill>
                <a:srgbClr val="000000"/>
              </a:solidFill>
              <a:latin typeface="Arial"/>
              <a:cs typeface="Arial"/>
            </a:rPr>
            <a:t>العمر</a:t>
          </a:r>
        </a:p>
      </xdr:txBody>
    </xdr:sp>
    <xdr:clientData/>
  </xdr:twoCellAnchor>
  <xdr:twoCellAnchor>
    <xdr:from>
      <xdr:col>0</xdr:col>
      <xdr:colOff>47625</xdr:colOff>
      <xdr:row>470</xdr:row>
      <xdr:rowOff>285750</xdr:rowOff>
    </xdr:from>
    <xdr:to>
      <xdr:col>0</xdr:col>
      <xdr:colOff>781050</xdr:colOff>
      <xdr:row>472</xdr:row>
      <xdr:rowOff>104775</xdr:rowOff>
    </xdr:to>
    <xdr:sp macro="" textlink="">
      <xdr:nvSpPr>
        <xdr:cNvPr id="90" name="Rectangle 9">
          <a:extLst>
            <a:ext uri="{FF2B5EF4-FFF2-40B4-BE49-F238E27FC236}">
              <a16:creationId xmlns:a16="http://schemas.microsoft.com/office/drawing/2014/main" id="{00000000-0008-0000-0400-000064000000}"/>
            </a:ext>
          </a:extLst>
        </xdr:cNvPr>
        <xdr:cNvSpPr>
          <a:spLocks noChangeArrowheads="1"/>
        </xdr:cNvSpPr>
      </xdr:nvSpPr>
      <xdr:spPr bwMode="auto">
        <a:xfrm>
          <a:off x="9970758570" y="164130990"/>
          <a:ext cx="733425" cy="5200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0" i="0" strike="noStrike">
              <a:solidFill>
                <a:srgbClr val="000000"/>
              </a:solidFill>
              <a:latin typeface="Arial"/>
              <a:cs typeface="Arial"/>
            </a:rPr>
            <a:t>الجنس</a:t>
          </a:r>
        </a:p>
      </xdr:txBody>
    </xdr:sp>
    <xdr:clientData/>
  </xdr:twoCellAnchor>
  <xdr:twoCellAnchor>
    <xdr:from>
      <xdr:col>0</xdr:col>
      <xdr:colOff>28575</xdr:colOff>
      <xdr:row>501</xdr:row>
      <xdr:rowOff>19049</xdr:rowOff>
    </xdr:from>
    <xdr:to>
      <xdr:col>0</xdr:col>
      <xdr:colOff>1108363</xdr:colOff>
      <xdr:row>502</xdr:row>
      <xdr:rowOff>363681</xdr:rowOff>
    </xdr:to>
    <xdr:sp macro="" textlink="">
      <xdr:nvSpPr>
        <xdr:cNvPr id="91" name="Line 5">
          <a:extLst>
            <a:ext uri="{FF2B5EF4-FFF2-40B4-BE49-F238E27FC236}">
              <a16:creationId xmlns:a16="http://schemas.microsoft.com/office/drawing/2014/main" id="{00000000-0008-0000-0400-000067000000}"/>
            </a:ext>
          </a:extLst>
        </xdr:cNvPr>
        <xdr:cNvSpPr>
          <a:spLocks noChangeShapeType="1"/>
        </xdr:cNvSpPr>
      </xdr:nvSpPr>
      <xdr:spPr bwMode="auto">
        <a:xfrm flipV="1">
          <a:off x="9970553177" y="174730409"/>
          <a:ext cx="957868" cy="679912"/>
        </a:xfrm>
        <a:prstGeom prst="line">
          <a:avLst/>
        </a:prstGeom>
        <a:noFill/>
        <a:ln w="38100" cmpd="dbl">
          <a:solidFill>
            <a:srgbClr val="333333"/>
          </a:solidFill>
          <a:round/>
          <a:headEnd/>
          <a:tailEnd/>
        </a:ln>
      </xdr:spPr>
    </xdr:sp>
    <xdr:clientData/>
  </xdr:twoCellAnchor>
  <xdr:twoCellAnchor>
    <xdr:from>
      <xdr:col>0</xdr:col>
      <xdr:colOff>450474</xdr:colOff>
      <xdr:row>501</xdr:row>
      <xdr:rowOff>19050</xdr:rowOff>
    </xdr:from>
    <xdr:to>
      <xdr:col>1</xdr:col>
      <xdr:colOff>536156</xdr:colOff>
      <xdr:row>502</xdr:row>
      <xdr:rowOff>85725</xdr:rowOff>
    </xdr:to>
    <xdr:sp macro="" textlink="">
      <xdr:nvSpPr>
        <xdr:cNvPr id="92" name="Rectangle 8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SpPr>
          <a:spLocks noChangeArrowheads="1"/>
        </xdr:cNvSpPr>
      </xdr:nvSpPr>
      <xdr:spPr bwMode="auto">
        <a:xfrm>
          <a:off x="9970020484" y="174730410"/>
          <a:ext cx="1068662" cy="4171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0" i="0" strike="noStrike">
              <a:solidFill>
                <a:srgbClr val="000000"/>
              </a:solidFill>
              <a:latin typeface="Arial"/>
              <a:cs typeface="Arial"/>
            </a:rPr>
            <a:t>العمر</a:t>
          </a:r>
        </a:p>
      </xdr:txBody>
    </xdr:sp>
    <xdr:clientData/>
  </xdr:twoCellAnchor>
  <xdr:twoCellAnchor>
    <xdr:from>
      <xdr:col>0</xdr:col>
      <xdr:colOff>47625</xdr:colOff>
      <xdr:row>501</xdr:row>
      <xdr:rowOff>285750</xdr:rowOff>
    </xdr:from>
    <xdr:to>
      <xdr:col>0</xdr:col>
      <xdr:colOff>781050</xdr:colOff>
      <xdr:row>503</xdr:row>
      <xdr:rowOff>104775</xdr:rowOff>
    </xdr:to>
    <xdr:sp macro="" textlink="">
      <xdr:nvSpPr>
        <xdr:cNvPr id="93" name="Rectangle 9">
          <a:extLst>
            <a:ext uri="{FF2B5EF4-FFF2-40B4-BE49-F238E27FC236}">
              <a16:creationId xmlns:a16="http://schemas.microsoft.com/office/drawing/2014/main" id="{00000000-0008-0000-0400-000069000000}"/>
            </a:ext>
          </a:extLst>
        </xdr:cNvPr>
        <xdr:cNvSpPr>
          <a:spLocks noChangeArrowheads="1"/>
        </xdr:cNvSpPr>
      </xdr:nvSpPr>
      <xdr:spPr bwMode="auto">
        <a:xfrm>
          <a:off x="9970758570" y="174997110"/>
          <a:ext cx="733425" cy="5200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0" i="0" strike="noStrike">
              <a:solidFill>
                <a:srgbClr val="000000"/>
              </a:solidFill>
              <a:latin typeface="Arial"/>
              <a:cs typeface="Arial"/>
            </a:rPr>
            <a:t>الجنس</a:t>
          </a:r>
        </a:p>
      </xdr:txBody>
    </xdr:sp>
    <xdr:clientData/>
  </xdr:twoCellAnchor>
  <xdr:twoCellAnchor>
    <xdr:from>
      <xdr:col>0</xdr:col>
      <xdr:colOff>482818</xdr:colOff>
      <xdr:row>511</xdr:row>
      <xdr:rowOff>62952</xdr:rowOff>
    </xdr:from>
    <xdr:to>
      <xdr:col>1</xdr:col>
      <xdr:colOff>190040</xdr:colOff>
      <xdr:row>512</xdr:row>
      <xdr:rowOff>66675</xdr:rowOff>
    </xdr:to>
    <xdr:sp macro="" textlink="">
      <xdr:nvSpPr>
        <xdr:cNvPr id="94" name="Rectangle 10">
          <a:extLst>
            <a:ext uri="{FF2B5EF4-FFF2-40B4-BE49-F238E27FC236}">
              <a16:creationId xmlns:a16="http://schemas.microsoft.com/office/drawing/2014/main" id="{00000000-0008-0000-0400-00006A000000}"/>
            </a:ext>
          </a:extLst>
        </xdr:cNvPr>
        <xdr:cNvSpPr>
          <a:spLocks noChangeArrowheads="1"/>
        </xdr:cNvSpPr>
      </xdr:nvSpPr>
      <xdr:spPr bwMode="auto">
        <a:xfrm>
          <a:off x="9970366600" y="178279512"/>
          <a:ext cx="690202" cy="3542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1" i="0" strike="noStrike">
              <a:solidFill>
                <a:srgbClr val="000000"/>
              </a:solidFill>
              <a:latin typeface="Arial"/>
              <a:cs typeface="Arial"/>
            </a:rPr>
            <a:t>الصف</a:t>
          </a:r>
        </a:p>
      </xdr:txBody>
    </xdr:sp>
    <xdr:clientData/>
  </xdr:twoCellAnchor>
  <xdr:twoCellAnchor>
    <xdr:from>
      <xdr:col>0</xdr:col>
      <xdr:colOff>69273</xdr:colOff>
      <xdr:row>511</xdr:row>
      <xdr:rowOff>274489</xdr:rowOff>
    </xdr:from>
    <xdr:to>
      <xdr:col>0</xdr:col>
      <xdr:colOff>802697</xdr:colOff>
      <xdr:row>512</xdr:row>
      <xdr:rowOff>263233</xdr:rowOff>
    </xdr:to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00000000-0008-0000-0400-00006B000000}"/>
            </a:ext>
          </a:extLst>
        </xdr:cNvPr>
        <xdr:cNvSpPr>
          <a:spLocks noChangeArrowheads="1"/>
        </xdr:cNvSpPr>
      </xdr:nvSpPr>
      <xdr:spPr bwMode="auto">
        <a:xfrm>
          <a:off x="9970736923" y="178491049"/>
          <a:ext cx="733424" cy="3392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1" i="0" strike="noStrike">
              <a:solidFill>
                <a:srgbClr val="000000"/>
              </a:solidFill>
              <a:latin typeface="Arial"/>
              <a:cs typeface="Arial"/>
            </a:rPr>
            <a:t>الجنس</a:t>
          </a:r>
        </a:p>
      </xdr:txBody>
    </xdr:sp>
    <xdr:clientData/>
  </xdr:twoCellAnchor>
  <xdr:twoCellAnchor>
    <xdr:from>
      <xdr:col>0</xdr:col>
      <xdr:colOff>28575</xdr:colOff>
      <xdr:row>501</xdr:row>
      <xdr:rowOff>19049</xdr:rowOff>
    </xdr:from>
    <xdr:to>
      <xdr:col>0</xdr:col>
      <xdr:colOff>1108363</xdr:colOff>
      <xdr:row>502</xdr:row>
      <xdr:rowOff>363681</xdr:rowOff>
    </xdr:to>
    <xdr:sp macro="" textlink="">
      <xdr:nvSpPr>
        <xdr:cNvPr id="96" name="Line 5">
          <a:extLst>
            <a:ext uri="{FF2B5EF4-FFF2-40B4-BE49-F238E27FC236}">
              <a16:creationId xmlns:a16="http://schemas.microsoft.com/office/drawing/2014/main" id="{00000000-0008-0000-0400-00006C000000}"/>
            </a:ext>
          </a:extLst>
        </xdr:cNvPr>
        <xdr:cNvSpPr>
          <a:spLocks noChangeShapeType="1"/>
        </xdr:cNvSpPr>
      </xdr:nvSpPr>
      <xdr:spPr bwMode="auto">
        <a:xfrm flipV="1">
          <a:off x="9970553177" y="174730409"/>
          <a:ext cx="957868" cy="679912"/>
        </a:xfrm>
        <a:prstGeom prst="line">
          <a:avLst/>
        </a:prstGeom>
        <a:noFill/>
        <a:ln w="38100" cmpd="dbl">
          <a:solidFill>
            <a:srgbClr val="333333"/>
          </a:solidFill>
          <a:round/>
          <a:headEnd/>
          <a:tailEnd/>
        </a:ln>
      </xdr:spPr>
    </xdr:sp>
    <xdr:clientData/>
  </xdr:twoCellAnchor>
  <xdr:twoCellAnchor>
    <xdr:from>
      <xdr:col>0</xdr:col>
      <xdr:colOff>450474</xdr:colOff>
      <xdr:row>501</xdr:row>
      <xdr:rowOff>19050</xdr:rowOff>
    </xdr:from>
    <xdr:to>
      <xdr:col>1</xdr:col>
      <xdr:colOff>536156</xdr:colOff>
      <xdr:row>502</xdr:row>
      <xdr:rowOff>85725</xdr:rowOff>
    </xdr:to>
    <xdr:sp macro="" textlink="">
      <xdr:nvSpPr>
        <xdr:cNvPr id="97" name="Rectangle 8">
          <a:extLst>
            <a:ext uri="{FF2B5EF4-FFF2-40B4-BE49-F238E27FC236}">
              <a16:creationId xmlns:a16="http://schemas.microsoft.com/office/drawing/2014/main" id="{00000000-0008-0000-0400-00006D000000}"/>
            </a:ext>
          </a:extLst>
        </xdr:cNvPr>
        <xdr:cNvSpPr>
          <a:spLocks noChangeArrowheads="1"/>
        </xdr:cNvSpPr>
      </xdr:nvSpPr>
      <xdr:spPr bwMode="auto">
        <a:xfrm>
          <a:off x="9970020484" y="174730410"/>
          <a:ext cx="1068662" cy="4171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0" i="0" strike="noStrike">
              <a:solidFill>
                <a:srgbClr val="000000"/>
              </a:solidFill>
              <a:latin typeface="Arial"/>
              <a:cs typeface="Arial"/>
            </a:rPr>
            <a:t>العمر</a:t>
          </a:r>
        </a:p>
      </xdr:txBody>
    </xdr:sp>
    <xdr:clientData/>
  </xdr:twoCellAnchor>
  <xdr:twoCellAnchor>
    <xdr:from>
      <xdr:col>0</xdr:col>
      <xdr:colOff>47625</xdr:colOff>
      <xdr:row>501</xdr:row>
      <xdr:rowOff>285750</xdr:rowOff>
    </xdr:from>
    <xdr:to>
      <xdr:col>0</xdr:col>
      <xdr:colOff>781050</xdr:colOff>
      <xdr:row>503</xdr:row>
      <xdr:rowOff>104775</xdr:rowOff>
    </xdr:to>
    <xdr:sp macro="" textlink="">
      <xdr:nvSpPr>
        <xdr:cNvPr id="98" name="Rectangle 9">
          <a:extLst>
            <a:ext uri="{FF2B5EF4-FFF2-40B4-BE49-F238E27FC236}">
              <a16:creationId xmlns:a16="http://schemas.microsoft.com/office/drawing/2014/main" id="{00000000-0008-0000-0400-00006E000000}"/>
            </a:ext>
          </a:extLst>
        </xdr:cNvPr>
        <xdr:cNvSpPr>
          <a:spLocks noChangeArrowheads="1"/>
        </xdr:cNvSpPr>
      </xdr:nvSpPr>
      <xdr:spPr bwMode="auto">
        <a:xfrm>
          <a:off x="9970758570" y="174997110"/>
          <a:ext cx="733425" cy="5200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0" i="0" strike="noStrike">
              <a:solidFill>
                <a:srgbClr val="000000"/>
              </a:solidFill>
              <a:latin typeface="Arial"/>
              <a:cs typeface="Arial"/>
            </a:rPr>
            <a:t>الجنس</a:t>
          </a:r>
        </a:p>
      </xdr:txBody>
    </xdr:sp>
    <xdr:clientData/>
  </xdr:twoCellAnchor>
  <xdr:twoCellAnchor>
    <xdr:from>
      <xdr:col>0</xdr:col>
      <xdr:colOff>28575</xdr:colOff>
      <xdr:row>161</xdr:row>
      <xdr:rowOff>19048</xdr:rowOff>
    </xdr:from>
    <xdr:to>
      <xdr:col>0</xdr:col>
      <xdr:colOff>1651000</xdr:colOff>
      <xdr:row>162</xdr:row>
      <xdr:rowOff>761999</xdr:rowOff>
    </xdr:to>
    <xdr:sp macro="" textlink="">
      <xdr:nvSpPr>
        <xdr:cNvPr id="99" name="Line 5">
          <a:extLst>
            <a:ext uri="{FF2B5EF4-FFF2-40B4-BE49-F238E27FC236}">
              <a16:creationId xmlns:a16="http://schemas.microsoft.com/office/drawing/2014/main" id="{00000000-0008-0000-0400-000065000000}"/>
            </a:ext>
          </a:extLst>
        </xdr:cNvPr>
        <xdr:cNvSpPr>
          <a:spLocks noChangeShapeType="1"/>
        </xdr:cNvSpPr>
      </xdr:nvSpPr>
      <xdr:spPr bwMode="auto">
        <a:xfrm flipV="1">
          <a:off x="9970559180" y="55553608"/>
          <a:ext cx="951865" cy="681991"/>
        </a:xfrm>
        <a:prstGeom prst="line">
          <a:avLst/>
        </a:prstGeom>
        <a:noFill/>
        <a:ln w="38100" cmpd="dbl">
          <a:solidFill>
            <a:srgbClr val="333333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162</xdr:row>
      <xdr:rowOff>206375</xdr:rowOff>
    </xdr:from>
    <xdr:to>
      <xdr:col>0</xdr:col>
      <xdr:colOff>781050</xdr:colOff>
      <xdr:row>163</xdr:row>
      <xdr:rowOff>47625</xdr:rowOff>
    </xdr:to>
    <xdr:sp macro="" textlink="">
      <xdr:nvSpPr>
        <xdr:cNvPr id="100" name="Rectangle 9">
          <a:extLst>
            <a:ext uri="{FF2B5EF4-FFF2-40B4-BE49-F238E27FC236}">
              <a16:creationId xmlns:a16="http://schemas.microsoft.com/office/drawing/2014/main" id="{00000000-0008-0000-0400-000066000000}"/>
            </a:ext>
          </a:extLst>
        </xdr:cNvPr>
        <xdr:cNvSpPr>
          <a:spLocks noChangeArrowheads="1"/>
        </xdr:cNvSpPr>
      </xdr:nvSpPr>
      <xdr:spPr bwMode="auto">
        <a:xfrm>
          <a:off x="9970758570" y="56091455"/>
          <a:ext cx="733425" cy="191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2400" b="0" i="0" strike="noStrike">
              <a:solidFill>
                <a:srgbClr val="000000"/>
              </a:solidFill>
              <a:latin typeface="Arial"/>
              <a:cs typeface="Arial"/>
            </a:rPr>
            <a:t>الجنس</a:t>
          </a:r>
        </a:p>
      </xdr:txBody>
    </xdr:sp>
    <xdr:clientData/>
  </xdr:twoCellAnchor>
  <xdr:twoCellAnchor>
    <xdr:from>
      <xdr:col>0</xdr:col>
      <xdr:colOff>549493</xdr:colOff>
      <xdr:row>171</xdr:row>
      <xdr:rowOff>120102</xdr:rowOff>
    </xdr:from>
    <xdr:to>
      <xdr:col>1</xdr:col>
      <xdr:colOff>256715</xdr:colOff>
      <xdr:row>172</xdr:row>
      <xdr:rowOff>34635</xdr:rowOff>
    </xdr:to>
    <xdr:sp macro="" textlink="">
      <xdr:nvSpPr>
        <xdr:cNvPr id="101" name="Rectangle 10">
          <a:extLst>
            <a:ext uri="{FF2B5EF4-FFF2-40B4-BE49-F238E27FC236}">
              <a16:creationId xmlns:a16="http://schemas.microsoft.com/office/drawing/2014/main" id="{00000000-0008-0000-0400-00006F000000}"/>
            </a:ext>
          </a:extLst>
        </xdr:cNvPr>
        <xdr:cNvSpPr>
          <a:spLocks noChangeArrowheads="1"/>
        </xdr:cNvSpPr>
      </xdr:nvSpPr>
      <xdr:spPr bwMode="auto">
        <a:xfrm>
          <a:off x="9970299925" y="59159862"/>
          <a:ext cx="690202" cy="26505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1" i="0" strike="noStrike">
              <a:solidFill>
                <a:srgbClr val="000000"/>
              </a:solidFill>
              <a:latin typeface="Arial"/>
              <a:cs typeface="Arial"/>
            </a:rPr>
            <a:t>الصف</a:t>
          </a:r>
        </a:p>
      </xdr:txBody>
    </xdr:sp>
    <xdr:clientData/>
  </xdr:twoCellAnchor>
  <xdr:twoCellAnchor>
    <xdr:from>
      <xdr:col>0</xdr:col>
      <xdr:colOff>69273</xdr:colOff>
      <xdr:row>172</xdr:row>
      <xdr:rowOff>45889</xdr:rowOff>
    </xdr:from>
    <xdr:to>
      <xdr:col>0</xdr:col>
      <xdr:colOff>802697</xdr:colOff>
      <xdr:row>173</xdr:row>
      <xdr:rowOff>34633</xdr:rowOff>
    </xdr:to>
    <xdr:sp macro="" textlink="">
      <xdr:nvSpPr>
        <xdr:cNvPr id="102" name="Rectangle 11">
          <a:extLst>
            <a:ext uri="{FF2B5EF4-FFF2-40B4-BE49-F238E27FC236}">
              <a16:creationId xmlns:a16="http://schemas.microsoft.com/office/drawing/2014/main" id="{00000000-0008-0000-0400-000070000000}"/>
            </a:ext>
          </a:extLst>
        </xdr:cNvPr>
        <xdr:cNvSpPr>
          <a:spLocks noChangeArrowheads="1"/>
        </xdr:cNvSpPr>
      </xdr:nvSpPr>
      <xdr:spPr bwMode="auto">
        <a:xfrm>
          <a:off x="9970736923" y="59436169"/>
          <a:ext cx="733424" cy="3392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1" i="0" strike="noStrike">
              <a:solidFill>
                <a:srgbClr val="000000"/>
              </a:solidFill>
              <a:latin typeface="Arial"/>
              <a:cs typeface="Arial"/>
            </a:rPr>
            <a:t>الجنس</a:t>
          </a:r>
        </a:p>
      </xdr:txBody>
    </xdr:sp>
    <xdr:clientData/>
  </xdr:twoCellAnchor>
  <xdr:twoCellAnchor>
    <xdr:from>
      <xdr:col>0</xdr:col>
      <xdr:colOff>450474</xdr:colOff>
      <xdr:row>161</xdr:row>
      <xdr:rowOff>19050</xdr:rowOff>
    </xdr:from>
    <xdr:to>
      <xdr:col>1</xdr:col>
      <xdr:colOff>536156</xdr:colOff>
      <xdr:row>162</xdr:row>
      <xdr:rowOff>85725</xdr:rowOff>
    </xdr:to>
    <xdr:sp macro="" textlink="">
      <xdr:nvSpPr>
        <xdr:cNvPr id="103" name="Rectangle 8">
          <a:extLst>
            <a:ext uri="{FF2B5EF4-FFF2-40B4-BE49-F238E27FC236}">
              <a16:creationId xmlns:a16="http://schemas.microsoft.com/office/drawing/2014/main" id="{00000000-0008-0000-0400-000071000000}"/>
            </a:ext>
          </a:extLst>
        </xdr:cNvPr>
        <xdr:cNvSpPr>
          <a:spLocks noChangeArrowheads="1"/>
        </xdr:cNvSpPr>
      </xdr:nvSpPr>
      <xdr:spPr bwMode="auto">
        <a:xfrm>
          <a:off x="9970020484" y="55553610"/>
          <a:ext cx="1068662" cy="4171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0" i="0" strike="noStrike">
              <a:solidFill>
                <a:srgbClr val="000000"/>
              </a:solidFill>
              <a:latin typeface="Arial"/>
              <a:cs typeface="Arial"/>
            </a:rPr>
            <a:t>العمر</a:t>
          </a:r>
        </a:p>
      </xdr:txBody>
    </xdr:sp>
    <xdr:clientData/>
  </xdr:twoCellAnchor>
  <xdr:twoCellAnchor>
    <xdr:from>
      <xdr:col>0</xdr:col>
      <xdr:colOff>47625</xdr:colOff>
      <xdr:row>161</xdr:row>
      <xdr:rowOff>285750</xdr:rowOff>
    </xdr:from>
    <xdr:to>
      <xdr:col>0</xdr:col>
      <xdr:colOff>781050</xdr:colOff>
      <xdr:row>163</xdr:row>
      <xdr:rowOff>104775</xdr:rowOff>
    </xdr:to>
    <xdr:sp macro="" textlink="">
      <xdr:nvSpPr>
        <xdr:cNvPr id="104" name="Rectangle 9">
          <a:extLst>
            <a:ext uri="{FF2B5EF4-FFF2-40B4-BE49-F238E27FC236}">
              <a16:creationId xmlns:a16="http://schemas.microsoft.com/office/drawing/2014/main" id="{00000000-0008-0000-0400-000072000000}"/>
            </a:ext>
          </a:extLst>
        </xdr:cNvPr>
        <xdr:cNvSpPr>
          <a:spLocks noChangeArrowheads="1"/>
        </xdr:cNvSpPr>
      </xdr:nvSpPr>
      <xdr:spPr bwMode="auto">
        <a:xfrm>
          <a:off x="9970758570" y="55820310"/>
          <a:ext cx="733425" cy="5200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0" i="0" strike="noStrike">
              <a:solidFill>
                <a:srgbClr val="000000"/>
              </a:solidFill>
              <a:latin typeface="Arial"/>
              <a:cs typeface="Arial"/>
            </a:rPr>
            <a:t>الجنس</a:t>
          </a:r>
        </a:p>
      </xdr:txBody>
    </xdr:sp>
    <xdr:clientData/>
  </xdr:twoCellAnchor>
  <xdr:twoCellAnchor>
    <xdr:from>
      <xdr:col>0</xdr:col>
      <xdr:colOff>549493</xdr:colOff>
      <xdr:row>171</xdr:row>
      <xdr:rowOff>120102</xdr:rowOff>
    </xdr:from>
    <xdr:to>
      <xdr:col>1</xdr:col>
      <xdr:colOff>256715</xdr:colOff>
      <xdr:row>172</xdr:row>
      <xdr:rowOff>34635</xdr:rowOff>
    </xdr:to>
    <xdr:sp macro="" textlink="">
      <xdr:nvSpPr>
        <xdr:cNvPr id="105" name="Rectangle 10">
          <a:extLst>
            <a:ext uri="{FF2B5EF4-FFF2-40B4-BE49-F238E27FC236}">
              <a16:creationId xmlns:a16="http://schemas.microsoft.com/office/drawing/2014/main" id="{00000000-0008-0000-0400-000073000000}"/>
            </a:ext>
          </a:extLst>
        </xdr:cNvPr>
        <xdr:cNvSpPr>
          <a:spLocks noChangeArrowheads="1"/>
        </xdr:cNvSpPr>
      </xdr:nvSpPr>
      <xdr:spPr bwMode="auto">
        <a:xfrm>
          <a:off x="9970299925" y="59159862"/>
          <a:ext cx="690202" cy="26505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1" i="0" strike="noStrike">
              <a:solidFill>
                <a:srgbClr val="000000"/>
              </a:solidFill>
              <a:latin typeface="Arial"/>
              <a:cs typeface="Arial"/>
            </a:rPr>
            <a:t>الصف</a:t>
          </a:r>
        </a:p>
      </xdr:txBody>
    </xdr:sp>
    <xdr:clientData/>
  </xdr:twoCellAnchor>
  <xdr:twoCellAnchor>
    <xdr:from>
      <xdr:col>0</xdr:col>
      <xdr:colOff>69273</xdr:colOff>
      <xdr:row>172</xdr:row>
      <xdr:rowOff>45889</xdr:rowOff>
    </xdr:from>
    <xdr:to>
      <xdr:col>0</xdr:col>
      <xdr:colOff>802697</xdr:colOff>
      <xdr:row>173</xdr:row>
      <xdr:rowOff>34633</xdr:rowOff>
    </xdr:to>
    <xdr:sp macro="" textlink="">
      <xdr:nvSpPr>
        <xdr:cNvPr id="106" name="Rectangle 11">
          <a:extLst>
            <a:ext uri="{FF2B5EF4-FFF2-40B4-BE49-F238E27FC236}">
              <a16:creationId xmlns:a16="http://schemas.microsoft.com/office/drawing/2014/main" id="{00000000-0008-0000-0400-000074000000}"/>
            </a:ext>
          </a:extLst>
        </xdr:cNvPr>
        <xdr:cNvSpPr>
          <a:spLocks noChangeArrowheads="1"/>
        </xdr:cNvSpPr>
      </xdr:nvSpPr>
      <xdr:spPr bwMode="auto">
        <a:xfrm>
          <a:off x="9970736923" y="59436169"/>
          <a:ext cx="733424" cy="3392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1" i="0" strike="noStrike">
              <a:solidFill>
                <a:srgbClr val="000000"/>
              </a:solidFill>
              <a:latin typeface="Arial"/>
              <a:cs typeface="Arial"/>
            </a:rPr>
            <a:t>الجنس</a:t>
          </a:r>
        </a:p>
      </xdr:txBody>
    </xdr:sp>
    <xdr:clientData/>
  </xdr:twoCellAnchor>
  <xdr:twoCellAnchor>
    <xdr:from>
      <xdr:col>0</xdr:col>
      <xdr:colOff>28575</xdr:colOff>
      <xdr:row>192</xdr:row>
      <xdr:rowOff>19048</xdr:rowOff>
    </xdr:from>
    <xdr:to>
      <xdr:col>0</xdr:col>
      <xdr:colOff>1651000</xdr:colOff>
      <xdr:row>193</xdr:row>
      <xdr:rowOff>761999</xdr:rowOff>
    </xdr:to>
    <xdr:sp macro="" textlink="">
      <xdr:nvSpPr>
        <xdr:cNvPr id="107" name="Line 5">
          <a:extLst>
            <a:ext uri="{FF2B5EF4-FFF2-40B4-BE49-F238E27FC236}">
              <a16:creationId xmlns:a16="http://schemas.microsoft.com/office/drawing/2014/main" id="{00000000-0008-0000-0400-000075000000}"/>
            </a:ext>
          </a:extLst>
        </xdr:cNvPr>
        <xdr:cNvSpPr>
          <a:spLocks noChangeShapeType="1"/>
        </xdr:cNvSpPr>
      </xdr:nvSpPr>
      <xdr:spPr bwMode="auto">
        <a:xfrm flipV="1">
          <a:off x="9970559180" y="66419728"/>
          <a:ext cx="951865" cy="681991"/>
        </a:xfrm>
        <a:prstGeom prst="line">
          <a:avLst/>
        </a:prstGeom>
        <a:noFill/>
        <a:ln w="38100" cmpd="dbl">
          <a:solidFill>
            <a:srgbClr val="333333"/>
          </a:solidFill>
          <a:round/>
          <a:headEnd/>
          <a:tailEnd/>
        </a:ln>
      </xdr:spPr>
    </xdr:sp>
    <xdr:clientData/>
  </xdr:twoCellAnchor>
  <xdr:twoCellAnchor>
    <xdr:from>
      <xdr:col>0</xdr:col>
      <xdr:colOff>549493</xdr:colOff>
      <xdr:row>202</xdr:row>
      <xdr:rowOff>120102</xdr:rowOff>
    </xdr:from>
    <xdr:to>
      <xdr:col>1</xdr:col>
      <xdr:colOff>256715</xdr:colOff>
      <xdr:row>203</xdr:row>
      <xdr:rowOff>34635</xdr:rowOff>
    </xdr:to>
    <xdr:sp macro="" textlink="">
      <xdr:nvSpPr>
        <xdr:cNvPr id="108" name="Rectangle 10">
          <a:extLst>
            <a:ext uri="{FF2B5EF4-FFF2-40B4-BE49-F238E27FC236}">
              <a16:creationId xmlns:a16="http://schemas.microsoft.com/office/drawing/2014/main" id="{00000000-0008-0000-0400-000077000000}"/>
            </a:ext>
          </a:extLst>
        </xdr:cNvPr>
        <xdr:cNvSpPr>
          <a:spLocks noChangeArrowheads="1"/>
        </xdr:cNvSpPr>
      </xdr:nvSpPr>
      <xdr:spPr bwMode="auto">
        <a:xfrm>
          <a:off x="9970299925" y="70025982"/>
          <a:ext cx="690202" cy="26505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1" i="0" strike="noStrike">
              <a:solidFill>
                <a:srgbClr val="000000"/>
              </a:solidFill>
              <a:latin typeface="Arial"/>
              <a:cs typeface="Arial"/>
            </a:rPr>
            <a:t>الصف</a:t>
          </a:r>
        </a:p>
      </xdr:txBody>
    </xdr:sp>
    <xdr:clientData/>
  </xdr:twoCellAnchor>
  <xdr:twoCellAnchor>
    <xdr:from>
      <xdr:col>0</xdr:col>
      <xdr:colOff>69273</xdr:colOff>
      <xdr:row>203</xdr:row>
      <xdr:rowOff>45889</xdr:rowOff>
    </xdr:from>
    <xdr:to>
      <xdr:col>0</xdr:col>
      <xdr:colOff>802697</xdr:colOff>
      <xdr:row>204</xdr:row>
      <xdr:rowOff>34633</xdr:rowOff>
    </xdr:to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00000000-0008-0000-0400-000078000000}"/>
            </a:ext>
          </a:extLst>
        </xdr:cNvPr>
        <xdr:cNvSpPr>
          <a:spLocks noChangeArrowheads="1"/>
        </xdr:cNvSpPr>
      </xdr:nvSpPr>
      <xdr:spPr bwMode="auto">
        <a:xfrm>
          <a:off x="9970736923" y="70302289"/>
          <a:ext cx="733424" cy="3392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1" i="0" strike="noStrike">
              <a:solidFill>
                <a:srgbClr val="000000"/>
              </a:solidFill>
              <a:latin typeface="Arial"/>
              <a:cs typeface="Arial"/>
            </a:rPr>
            <a:t>الجنس</a:t>
          </a:r>
        </a:p>
      </xdr:txBody>
    </xdr:sp>
    <xdr:clientData/>
  </xdr:twoCellAnchor>
  <xdr:twoCellAnchor>
    <xdr:from>
      <xdr:col>0</xdr:col>
      <xdr:colOff>450474</xdr:colOff>
      <xdr:row>192</xdr:row>
      <xdr:rowOff>19050</xdr:rowOff>
    </xdr:from>
    <xdr:to>
      <xdr:col>1</xdr:col>
      <xdr:colOff>536156</xdr:colOff>
      <xdr:row>193</xdr:row>
      <xdr:rowOff>85725</xdr:rowOff>
    </xdr:to>
    <xdr:sp macro="" textlink="">
      <xdr:nvSpPr>
        <xdr:cNvPr id="110" name="Rectangle 8">
          <a:extLst>
            <a:ext uri="{FF2B5EF4-FFF2-40B4-BE49-F238E27FC236}">
              <a16:creationId xmlns:a16="http://schemas.microsoft.com/office/drawing/2014/main" id="{00000000-0008-0000-0400-000079000000}"/>
            </a:ext>
          </a:extLst>
        </xdr:cNvPr>
        <xdr:cNvSpPr>
          <a:spLocks noChangeArrowheads="1"/>
        </xdr:cNvSpPr>
      </xdr:nvSpPr>
      <xdr:spPr bwMode="auto">
        <a:xfrm>
          <a:off x="9970020484" y="66419730"/>
          <a:ext cx="1068662" cy="4171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0" i="0" strike="noStrike">
              <a:solidFill>
                <a:srgbClr val="000000"/>
              </a:solidFill>
              <a:latin typeface="Arial"/>
              <a:cs typeface="Arial"/>
            </a:rPr>
            <a:t>العمر</a:t>
          </a:r>
        </a:p>
      </xdr:txBody>
    </xdr:sp>
    <xdr:clientData/>
  </xdr:twoCellAnchor>
  <xdr:twoCellAnchor>
    <xdr:from>
      <xdr:col>0</xdr:col>
      <xdr:colOff>47625</xdr:colOff>
      <xdr:row>192</xdr:row>
      <xdr:rowOff>285750</xdr:rowOff>
    </xdr:from>
    <xdr:to>
      <xdr:col>0</xdr:col>
      <xdr:colOff>781050</xdr:colOff>
      <xdr:row>194</xdr:row>
      <xdr:rowOff>104775</xdr:rowOff>
    </xdr:to>
    <xdr:sp macro="" textlink="">
      <xdr:nvSpPr>
        <xdr:cNvPr id="111" name="Rectangle 9">
          <a:extLst>
            <a:ext uri="{FF2B5EF4-FFF2-40B4-BE49-F238E27FC236}">
              <a16:creationId xmlns:a16="http://schemas.microsoft.com/office/drawing/2014/main" id="{00000000-0008-0000-0400-00007A000000}"/>
            </a:ext>
          </a:extLst>
        </xdr:cNvPr>
        <xdr:cNvSpPr>
          <a:spLocks noChangeArrowheads="1"/>
        </xdr:cNvSpPr>
      </xdr:nvSpPr>
      <xdr:spPr bwMode="auto">
        <a:xfrm>
          <a:off x="9970758570" y="66686430"/>
          <a:ext cx="733425" cy="5200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0" i="0" strike="noStrike">
              <a:solidFill>
                <a:srgbClr val="000000"/>
              </a:solidFill>
              <a:latin typeface="Arial"/>
              <a:cs typeface="Arial"/>
            </a:rPr>
            <a:t>الجنس</a:t>
          </a:r>
        </a:p>
      </xdr:txBody>
    </xdr:sp>
    <xdr:clientData/>
  </xdr:twoCellAnchor>
  <xdr:twoCellAnchor>
    <xdr:from>
      <xdr:col>0</xdr:col>
      <xdr:colOff>549493</xdr:colOff>
      <xdr:row>202</xdr:row>
      <xdr:rowOff>120102</xdr:rowOff>
    </xdr:from>
    <xdr:to>
      <xdr:col>1</xdr:col>
      <xdr:colOff>256715</xdr:colOff>
      <xdr:row>203</xdr:row>
      <xdr:rowOff>34635</xdr:rowOff>
    </xdr:to>
    <xdr:sp macro="" textlink="">
      <xdr:nvSpPr>
        <xdr:cNvPr id="112" name="Rectangle 10">
          <a:extLst>
            <a:ext uri="{FF2B5EF4-FFF2-40B4-BE49-F238E27FC236}">
              <a16:creationId xmlns:a16="http://schemas.microsoft.com/office/drawing/2014/main" id="{00000000-0008-0000-0400-00007B000000}"/>
            </a:ext>
          </a:extLst>
        </xdr:cNvPr>
        <xdr:cNvSpPr>
          <a:spLocks noChangeArrowheads="1"/>
        </xdr:cNvSpPr>
      </xdr:nvSpPr>
      <xdr:spPr bwMode="auto">
        <a:xfrm>
          <a:off x="9970299925" y="70025982"/>
          <a:ext cx="690202" cy="26505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1" i="0" strike="noStrike">
              <a:solidFill>
                <a:srgbClr val="000000"/>
              </a:solidFill>
              <a:latin typeface="Arial"/>
              <a:cs typeface="Arial"/>
            </a:rPr>
            <a:t>الصف</a:t>
          </a:r>
        </a:p>
      </xdr:txBody>
    </xdr:sp>
    <xdr:clientData/>
  </xdr:twoCellAnchor>
  <xdr:twoCellAnchor>
    <xdr:from>
      <xdr:col>0</xdr:col>
      <xdr:colOff>69273</xdr:colOff>
      <xdr:row>203</xdr:row>
      <xdr:rowOff>45889</xdr:rowOff>
    </xdr:from>
    <xdr:to>
      <xdr:col>0</xdr:col>
      <xdr:colOff>802697</xdr:colOff>
      <xdr:row>204</xdr:row>
      <xdr:rowOff>34633</xdr:rowOff>
    </xdr:to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00000000-0008-0000-0400-00007C000000}"/>
            </a:ext>
          </a:extLst>
        </xdr:cNvPr>
        <xdr:cNvSpPr>
          <a:spLocks noChangeArrowheads="1"/>
        </xdr:cNvSpPr>
      </xdr:nvSpPr>
      <xdr:spPr bwMode="auto">
        <a:xfrm>
          <a:off x="9970736923" y="70302289"/>
          <a:ext cx="733424" cy="3392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1" i="0" strike="noStrike">
              <a:solidFill>
                <a:srgbClr val="000000"/>
              </a:solidFill>
              <a:latin typeface="Arial"/>
              <a:cs typeface="Arial"/>
            </a:rPr>
            <a:t>الجنس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234042</xdr:colOff>
      <xdr:row>15</xdr:row>
      <xdr:rowOff>17482</xdr:rowOff>
    </xdr:from>
    <xdr:to>
      <xdr:col>8</xdr:col>
      <xdr:colOff>95250</xdr:colOff>
      <xdr:row>16</xdr:row>
      <xdr:rowOff>28575</xdr:rowOff>
    </xdr:to>
    <xdr:sp macro="" textlink="">
      <xdr:nvSpPr>
        <xdr:cNvPr id="2" name="مربع نص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10110585570" y="4619962"/>
          <a:ext cx="737508" cy="5063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1" anchor="t"/>
        <a:lstStyle/>
        <a:p>
          <a:pPr algn="r" rtl="1"/>
          <a:r>
            <a:rPr lang="ar-SA" sz="1400" b="1"/>
            <a:t>الجنس</a:t>
          </a:r>
          <a:endParaRPr lang="ar-IQ" sz="1000" b="1"/>
        </a:p>
      </xdr:txBody>
    </xdr:sp>
    <xdr:clientData/>
  </xdr:twoCellAnchor>
  <xdr:twoCellAnchor>
    <xdr:from>
      <xdr:col>6</xdr:col>
      <xdr:colOff>638175</xdr:colOff>
      <xdr:row>16</xdr:row>
      <xdr:rowOff>23311</xdr:rowOff>
    </xdr:from>
    <xdr:to>
      <xdr:col>7</xdr:col>
      <xdr:colOff>488991</xdr:colOff>
      <xdr:row>17</xdr:row>
      <xdr:rowOff>57149</xdr:rowOff>
    </xdr:to>
    <xdr:sp macro="" textlink="">
      <xdr:nvSpPr>
        <xdr:cNvPr id="3" name="مربع نص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10111068129" y="5121091"/>
          <a:ext cx="490896" cy="5291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1" anchor="ctr"/>
        <a:lstStyle/>
        <a:p>
          <a:pPr algn="l" rtl="1"/>
          <a:r>
            <a:rPr lang="ar-SA" sz="1400" b="1"/>
            <a:t>الصف</a:t>
          </a:r>
          <a:endParaRPr lang="ar-IQ" sz="2000" b="1"/>
        </a:p>
      </xdr:txBody>
    </xdr:sp>
    <xdr:clientData/>
  </xdr:twoCellAnchor>
  <xdr:twoCellAnchor>
    <xdr:from>
      <xdr:col>7</xdr:col>
      <xdr:colOff>276890</xdr:colOff>
      <xdr:row>63</xdr:row>
      <xdr:rowOff>241753</xdr:rowOff>
    </xdr:from>
    <xdr:to>
      <xdr:col>8</xdr:col>
      <xdr:colOff>285749</xdr:colOff>
      <xdr:row>65</xdr:row>
      <xdr:rowOff>38100</xdr:rowOff>
    </xdr:to>
    <xdr:sp macro="" textlink="">
      <xdr:nvSpPr>
        <xdr:cNvPr id="6" name="مربع نص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10110395071" y="22987453"/>
          <a:ext cx="885159" cy="5659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1" anchor="t"/>
        <a:lstStyle/>
        <a:p>
          <a:pPr algn="r" rtl="1"/>
          <a:r>
            <a:rPr lang="ar-SA" sz="1400" b="1"/>
            <a:t>الجنس</a:t>
          </a:r>
          <a:endParaRPr lang="ar-IQ" sz="4800" b="1"/>
        </a:p>
      </xdr:txBody>
    </xdr:sp>
    <xdr:clientData/>
  </xdr:twoCellAnchor>
  <xdr:twoCellAnchor>
    <xdr:from>
      <xdr:col>6</xdr:col>
      <xdr:colOff>866777</xdr:colOff>
      <xdr:row>65</xdr:row>
      <xdr:rowOff>14287</xdr:rowOff>
    </xdr:from>
    <xdr:to>
      <xdr:col>7</xdr:col>
      <xdr:colOff>676275</xdr:colOff>
      <xdr:row>65</xdr:row>
      <xdr:rowOff>266701</xdr:rowOff>
    </xdr:to>
    <xdr:sp macro="" textlink="">
      <xdr:nvSpPr>
        <xdr:cNvPr id="7" name="مربع نص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/>
      </xdr:nvSpPr>
      <xdr:spPr>
        <a:xfrm>
          <a:off x="10110880845" y="23529607"/>
          <a:ext cx="678178" cy="2524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1" anchor="t"/>
        <a:lstStyle/>
        <a:p>
          <a:pPr algn="r" rtl="1"/>
          <a:r>
            <a:rPr lang="ar-SA" sz="1600" b="1"/>
            <a:t>الصف</a:t>
          </a:r>
          <a:endParaRPr lang="ar-IQ" sz="6000" b="1"/>
        </a:p>
      </xdr:txBody>
    </xdr:sp>
    <xdr:clientData/>
  </xdr:twoCellAnchor>
  <xdr:twoCellAnchor>
    <xdr:from>
      <xdr:col>7</xdr:col>
      <xdr:colOff>169452</xdr:colOff>
      <xdr:row>87</xdr:row>
      <xdr:rowOff>244928</xdr:rowOff>
    </xdr:from>
    <xdr:to>
      <xdr:col>8</xdr:col>
      <xdr:colOff>172809</xdr:colOff>
      <xdr:row>89</xdr:row>
      <xdr:rowOff>19050</xdr:rowOff>
    </xdr:to>
    <xdr:sp macro="" textlink="">
      <xdr:nvSpPr>
        <xdr:cNvPr id="8" name="مربع نص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/>
      </xdr:nvSpPr>
      <xdr:spPr>
        <a:xfrm>
          <a:off x="10110508011" y="31768868"/>
          <a:ext cx="879657" cy="5056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1" anchor="t"/>
        <a:lstStyle/>
        <a:p>
          <a:pPr algn="r" rtl="1"/>
          <a:r>
            <a:rPr lang="ar-SA" sz="1400" b="1"/>
            <a:t>الجنس</a:t>
          </a:r>
          <a:endParaRPr lang="ar-IQ" sz="1400" b="1"/>
        </a:p>
      </xdr:txBody>
    </xdr:sp>
    <xdr:clientData/>
  </xdr:twoCellAnchor>
  <xdr:twoCellAnchor>
    <xdr:from>
      <xdr:col>7</xdr:col>
      <xdr:colOff>23615</xdr:colOff>
      <xdr:row>89</xdr:row>
      <xdr:rowOff>101024</xdr:rowOff>
    </xdr:from>
    <xdr:to>
      <xdr:col>7</xdr:col>
      <xdr:colOff>661988</xdr:colOff>
      <xdr:row>90</xdr:row>
      <xdr:rowOff>116954</xdr:rowOff>
    </xdr:to>
    <xdr:sp macro="" textlink="">
      <xdr:nvSpPr>
        <xdr:cNvPr id="9" name="مربع نص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/>
      </xdr:nvSpPr>
      <xdr:spPr>
        <a:xfrm>
          <a:off x="10110895132" y="32356484"/>
          <a:ext cx="638373" cy="442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1" anchor="t"/>
        <a:lstStyle/>
        <a:p>
          <a:pPr algn="r" rtl="1"/>
          <a:r>
            <a:rPr lang="ar-SA" sz="1600" b="1"/>
            <a:t>الصف</a:t>
          </a:r>
          <a:endParaRPr lang="ar-IQ" sz="1600" b="1"/>
        </a:p>
      </xdr:txBody>
    </xdr:sp>
    <xdr:clientData/>
  </xdr:twoCellAnchor>
  <xdr:twoCellAnchor>
    <xdr:from>
      <xdr:col>7</xdr:col>
      <xdr:colOff>266067</xdr:colOff>
      <xdr:row>112</xdr:row>
      <xdr:rowOff>3628</xdr:rowOff>
    </xdr:from>
    <xdr:to>
      <xdr:col>8</xdr:col>
      <xdr:colOff>247650</xdr:colOff>
      <xdr:row>113</xdr:row>
      <xdr:rowOff>0</xdr:rowOff>
    </xdr:to>
    <xdr:sp macro="" textlink="">
      <xdr:nvSpPr>
        <xdr:cNvPr id="10" name="مربع نص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10110433170" y="40884928"/>
          <a:ext cx="857883" cy="4002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1" anchor="t"/>
        <a:lstStyle/>
        <a:p>
          <a:pPr algn="r" rtl="1"/>
          <a:r>
            <a:rPr lang="ar-SA" sz="1600" b="1"/>
            <a:t>الجنس</a:t>
          </a:r>
          <a:endParaRPr lang="ar-IQ" sz="1600" b="1"/>
        </a:p>
      </xdr:txBody>
    </xdr:sp>
    <xdr:clientData/>
  </xdr:twoCellAnchor>
  <xdr:twoCellAnchor>
    <xdr:from>
      <xdr:col>7</xdr:col>
      <xdr:colOff>18254</xdr:colOff>
      <xdr:row>113</xdr:row>
      <xdr:rowOff>64760</xdr:rowOff>
    </xdr:from>
    <xdr:to>
      <xdr:col>7</xdr:col>
      <xdr:colOff>671511</xdr:colOff>
      <xdr:row>114</xdr:row>
      <xdr:rowOff>59528</xdr:rowOff>
    </xdr:to>
    <xdr:sp macro="" textlink="">
      <xdr:nvSpPr>
        <xdr:cNvPr id="11" name="مربع نص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 txBox="1"/>
      </xdr:nvSpPr>
      <xdr:spPr>
        <a:xfrm>
          <a:off x="10110885609" y="41349920"/>
          <a:ext cx="653257" cy="5357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1" anchor="t"/>
        <a:lstStyle/>
        <a:p>
          <a:pPr algn="r" rtl="1"/>
          <a:r>
            <a:rPr lang="ar-SA" sz="1600" b="1"/>
            <a:t>الصف</a:t>
          </a:r>
          <a:endParaRPr lang="ar-IQ" sz="1600" b="1"/>
        </a:p>
      </xdr:txBody>
    </xdr:sp>
    <xdr:clientData/>
  </xdr:twoCellAnchor>
  <xdr:twoCellAnchor>
    <xdr:from>
      <xdr:col>8</xdr:col>
      <xdr:colOff>238126</xdr:colOff>
      <xdr:row>182</xdr:row>
      <xdr:rowOff>241753</xdr:rowOff>
    </xdr:from>
    <xdr:to>
      <xdr:col>9</xdr:col>
      <xdr:colOff>288925</xdr:colOff>
      <xdr:row>184</xdr:row>
      <xdr:rowOff>47624</xdr:rowOff>
    </xdr:to>
    <xdr:sp macro="" textlink="">
      <xdr:nvSpPr>
        <xdr:cNvPr id="12" name="مربع نص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 txBox="1"/>
      </xdr:nvSpPr>
      <xdr:spPr>
        <a:xfrm>
          <a:off x="10109226035" y="68600773"/>
          <a:ext cx="1216659" cy="5069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1" anchor="t"/>
        <a:lstStyle/>
        <a:p>
          <a:pPr algn="r" rtl="1"/>
          <a:r>
            <a:rPr lang="ar-SA" sz="1600" b="1"/>
            <a:t>الجنس</a:t>
          </a:r>
          <a:endParaRPr lang="ar-IQ" sz="1600" b="1"/>
        </a:p>
      </xdr:txBody>
    </xdr:sp>
    <xdr:clientData/>
  </xdr:twoCellAnchor>
  <xdr:twoCellAnchor>
    <xdr:from>
      <xdr:col>6</xdr:col>
      <xdr:colOff>818167</xdr:colOff>
      <xdr:row>184</xdr:row>
      <xdr:rowOff>23485</xdr:rowOff>
    </xdr:from>
    <xdr:to>
      <xdr:col>7</xdr:col>
      <xdr:colOff>619125</xdr:colOff>
      <xdr:row>185</xdr:row>
      <xdr:rowOff>0</xdr:rowOff>
    </xdr:to>
    <xdr:sp macro="" textlink="">
      <xdr:nvSpPr>
        <xdr:cNvPr id="13" name="مربع نص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 txBox="1"/>
      </xdr:nvSpPr>
      <xdr:spPr>
        <a:xfrm>
          <a:off x="10110937995" y="69083545"/>
          <a:ext cx="616298" cy="5937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1" anchor="t"/>
        <a:lstStyle/>
        <a:p>
          <a:pPr algn="r" rtl="1"/>
          <a:r>
            <a:rPr lang="ar-SA" sz="1600" b="1"/>
            <a:t>الصف</a:t>
          </a:r>
          <a:endParaRPr lang="ar-IQ" sz="1600" b="1"/>
        </a:p>
      </xdr:txBody>
    </xdr:sp>
    <xdr:clientData/>
  </xdr:twoCellAnchor>
  <xdr:twoCellAnchor>
    <xdr:from>
      <xdr:col>8</xdr:col>
      <xdr:colOff>222250</xdr:colOff>
      <xdr:row>207</xdr:row>
      <xdr:rowOff>222251</xdr:rowOff>
    </xdr:from>
    <xdr:to>
      <xdr:col>9</xdr:col>
      <xdr:colOff>174625</xdr:colOff>
      <xdr:row>208</xdr:row>
      <xdr:rowOff>203201</xdr:rowOff>
    </xdr:to>
    <xdr:sp macro="" textlink="">
      <xdr:nvSpPr>
        <xdr:cNvPr id="14" name="مربع نص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 txBox="1"/>
      </xdr:nvSpPr>
      <xdr:spPr>
        <a:xfrm>
          <a:off x="10109340335" y="78807311"/>
          <a:ext cx="111823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1" anchor="t"/>
        <a:lstStyle/>
        <a:p>
          <a:pPr algn="r" rtl="1"/>
          <a:r>
            <a:rPr lang="ar-SA" sz="1600" b="1"/>
            <a:t>الجنس</a:t>
          </a:r>
          <a:endParaRPr lang="ar-IQ" sz="1600" b="1"/>
        </a:p>
      </xdr:txBody>
    </xdr:sp>
    <xdr:clientData/>
  </xdr:twoCellAnchor>
  <xdr:twoCellAnchor>
    <xdr:from>
      <xdr:col>7</xdr:col>
      <xdr:colOff>26795</xdr:colOff>
      <xdr:row>209</xdr:row>
      <xdr:rowOff>96832</xdr:rowOff>
    </xdr:from>
    <xdr:to>
      <xdr:col>7</xdr:col>
      <xdr:colOff>773906</xdr:colOff>
      <xdr:row>210</xdr:row>
      <xdr:rowOff>95249</xdr:rowOff>
    </xdr:to>
    <xdr:sp macro="" textlink="">
      <xdr:nvSpPr>
        <xdr:cNvPr id="15" name="مربع نص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 txBox="1"/>
      </xdr:nvSpPr>
      <xdr:spPr>
        <a:xfrm>
          <a:off x="10110783214" y="79642012"/>
          <a:ext cx="747111" cy="6537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1" anchor="t"/>
        <a:lstStyle/>
        <a:p>
          <a:pPr algn="r" rtl="1"/>
          <a:r>
            <a:rPr lang="ar-SA" sz="1800" b="1"/>
            <a:t>الصف</a:t>
          </a:r>
          <a:endParaRPr lang="ar-IQ" sz="1800" b="1"/>
        </a:p>
      </xdr:txBody>
    </xdr:sp>
    <xdr:clientData/>
  </xdr:twoCellAnchor>
  <xdr:twoCellAnchor>
    <xdr:from>
      <xdr:col>8</xdr:col>
      <xdr:colOff>278767</xdr:colOff>
      <xdr:row>232</xdr:row>
      <xdr:rowOff>257629</xdr:rowOff>
    </xdr:from>
    <xdr:to>
      <xdr:col>9</xdr:col>
      <xdr:colOff>101690</xdr:colOff>
      <xdr:row>234</xdr:row>
      <xdr:rowOff>57150</xdr:rowOff>
    </xdr:to>
    <xdr:sp macro="" textlink="">
      <xdr:nvSpPr>
        <xdr:cNvPr id="16" name="مربع نص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 txBox="1"/>
      </xdr:nvSpPr>
      <xdr:spPr>
        <a:xfrm>
          <a:off x="10109413270" y="89663089"/>
          <a:ext cx="988783" cy="7367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1" anchor="t"/>
        <a:lstStyle/>
        <a:p>
          <a:pPr algn="r" rtl="1"/>
          <a:r>
            <a:rPr lang="ar-SA" sz="1600" b="1"/>
            <a:t>الجنس</a:t>
          </a:r>
          <a:endParaRPr lang="ar-IQ" sz="1800" b="1"/>
        </a:p>
      </xdr:txBody>
    </xdr:sp>
    <xdr:clientData/>
  </xdr:twoCellAnchor>
  <xdr:twoCellAnchor>
    <xdr:from>
      <xdr:col>6</xdr:col>
      <xdr:colOff>814993</xdr:colOff>
      <xdr:row>234</xdr:row>
      <xdr:rowOff>108414</xdr:rowOff>
    </xdr:from>
    <xdr:to>
      <xdr:col>7</xdr:col>
      <xdr:colOff>647701</xdr:colOff>
      <xdr:row>235</xdr:row>
      <xdr:rowOff>71432</xdr:rowOff>
    </xdr:to>
    <xdr:sp macro="" textlink="">
      <xdr:nvSpPr>
        <xdr:cNvPr id="17" name="مربع نص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 txBox="1"/>
      </xdr:nvSpPr>
      <xdr:spPr>
        <a:xfrm>
          <a:off x="10110909419" y="90451134"/>
          <a:ext cx="648048" cy="6183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1" anchor="t"/>
        <a:lstStyle/>
        <a:p>
          <a:pPr algn="r" rtl="1"/>
          <a:r>
            <a:rPr lang="ar-SA" sz="1600" b="1"/>
            <a:t>الصف</a:t>
          </a:r>
          <a:endParaRPr lang="ar-IQ" sz="1600" b="1"/>
        </a:p>
      </xdr:txBody>
    </xdr:sp>
    <xdr:clientData/>
  </xdr:twoCellAnchor>
  <xdr:twoCellAnchor>
    <xdr:from>
      <xdr:col>7</xdr:col>
      <xdr:colOff>72831</xdr:colOff>
      <xdr:row>258</xdr:row>
      <xdr:rowOff>95713</xdr:rowOff>
    </xdr:from>
    <xdr:to>
      <xdr:col>7</xdr:col>
      <xdr:colOff>666750</xdr:colOff>
      <xdr:row>259</xdr:row>
      <xdr:rowOff>66668</xdr:rowOff>
    </xdr:to>
    <xdr:sp macro="" textlink="">
      <xdr:nvSpPr>
        <xdr:cNvPr id="18" name="مربع نص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 txBox="1"/>
      </xdr:nvSpPr>
      <xdr:spPr>
        <a:xfrm>
          <a:off x="10110890370" y="101014993"/>
          <a:ext cx="593919" cy="710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1" anchor="t"/>
        <a:lstStyle/>
        <a:p>
          <a:pPr algn="r" rtl="1"/>
          <a:r>
            <a:rPr lang="ar-SA" sz="1600" b="1"/>
            <a:t>الصف</a:t>
          </a:r>
          <a:endParaRPr lang="ar-IQ" sz="1600" b="1"/>
        </a:p>
      </xdr:txBody>
    </xdr:sp>
    <xdr:clientData/>
  </xdr:twoCellAnchor>
  <xdr:twoCellAnchor>
    <xdr:from>
      <xdr:col>8</xdr:col>
      <xdr:colOff>257175</xdr:colOff>
      <xdr:row>256</xdr:row>
      <xdr:rowOff>232228</xdr:rowOff>
    </xdr:from>
    <xdr:to>
      <xdr:col>9</xdr:col>
      <xdr:colOff>95339</xdr:colOff>
      <xdr:row>258</xdr:row>
      <xdr:rowOff>28574</xdr:rowOff>
    </xdr:to>
    <xdr:sp macro="" textlink="">
      <xdr:nvSpPr>
        <xdr:cNvPr id="19" name="مربع نص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10109419621" y="100107568"/>
          <a:ext cx="1004024" cy="8402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1" anchor="t"/>
        <a:lstStyle/>
        <a:p>
          <a:pPr algn="r" rtl="1"/>
          <a:r>
            <a:rPr lang="ar-SA" sz="1600" b="1"/>
            <a:t>الجنس</a:t>
          </a:r>
          <a:endParaRPr lang="ar-IQ" sz="1600" b="1"/>
        </a:p>
      </xdr:txBody>
    </xdr:sp>
    <xdr:clientData/>
  </xdr:twoCellAnchor>
  <xdr:twoCellAnchor>
    <xdr:from>
      <xdr:col>7</xdr:col>
      <xdr:colOff>316051</xdr:colOff>
      <xdr:row>282</xdr:row>
      <xdr:rowOff>144118</xdr:rowOff>
    </xdr:from>
    <xdr:to>
      <xdr:col>8</xdr:col>
      <xdr:colOff>247629</xdr:colOff>
      <xdr:row>283</xdr:row>
      <xdr:rowOff>250028</xdr:rowOff>
    </xdr:to>
    <xdr:sp macro="" textlink="">
      <xdr:nvSpPr>
        <xdr:cNvPr id="20" name="مربع نص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 txBox="1"/>
      </xdr:nvSpPr>
      <xdr:spPr>
        <a:xfrm>
          <a:off x="10110433191" y="111060838"/>
          <a:ext cx="807878" cy="8755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1" anchor="t"/>
        <a:lstStyle/>
        <a:p>
          <a:pPr algn="r" rtl="1"/>
          <a:r>
            <a:rPr lang="ar-SA" sz="1400" b="1"/>
            <a:t>الجنس</a:t>
          </a:r>
          <a:endParaRPr lang="ar-IQ" sz="1400" b="1"/>
        </a:p>
      </xdr:txBody>
    </xdr:sp>
    <xdr:clientData/>
  </xdr:twoCellAnchor>
  <xdr:twoCellAnchor>
    <xdr:from>
      <xdr:col>7</xdr:col>
      <xdr:colOff>19048</xdr:colOff>
      <xdr:row>283</xdr:row>
      <xdr:rowOff>105238</xdr:rowOff>
    </xdr:from>
    <xdr:to>
      <xdr:col>7</xdr:col>
      <xdr:colOff>671511</xdr:colOff>
      <xdr:row>283</xdr:row>
      <xdr:rowOff>428625</xdr:rowOff>
    </xdr:to>
    <xdr:sp macro="" textlink="">
      <xdr:nvSpPr>
        <xdr:cNvPr id="21" name="مربع نص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 txBox="1"/>
      </xdr:nvSpPr>
      <xdr:spPr>
        <a:xfrm>
          <a:off x="10110885609" y="111791578"/>
          <a:ext cx="652463" cy="3233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1" anchor="t"/>
        <a:lstStyle/>
        <a:p>
          <a:pPr algn="r" rtl="1"/>
          <a:r>
            <a:rPr lang="ar-SA" sz="1400" b="1"/>
            <a:t>الصف</a:t>
          </a:r>
          <a:endParaRPr lang="ar-IQ" sz="1400" b="1"/>
        </a:p>
      </xdr:txBody>
    </xdr:sp>
    <xdr:clientData/>
  </xdr:twoCellAnchor>
  <xdr:twoCellAnchor>
    <xdr:from>
      <xdr:col>7</xdr:col>
      <xdr:colOff>247017</xdr:colOff>
      <xdr:row>306</xdr:row>
      <xdr:rowOff>13153</xdr:rowOff>
    </xdr:from>
    <xdr:to>
      <xdr:col>8</xdr:col>
      <xdr:colOff>266700</xdr:colOff>
      <xdr:row>306</xdr:row>
      <xdr:rowOff>276224</xdr:rowOff>
    </xdr:to>
    <xdr:sp macro="" textlink="">
      <xdr:nvSpPr>
        <xdr:cNvPr id="22" name="مربع نص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 txBox="1"/>
      </xdr:nvSpPr>
      <xdr:spPr>
        <a:xfrm>
          <a:off x="10110414120" y="121422613"/>
          <a:ext cx="895983" cy="2630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1" anchor="t"/>
        <a:lstStyle/>
        <a:p>
          <a:pPr algn="r" rtl="1"/>
          <a:r>
            <a:rPr lang="ar-SA" sz="1400" b="1"/>
            <a:t>الجنس</a:t>
          </a:r>
          <a:endParaRPr lang="ar-IQ" sz="1400" b="1"/>
        </a:p>
      </xdr:txBody>
    </xdr:sp>
    <xdr:clientData/>
  </xdr:twoCellAnchor>
  <xdr:twoCellAnchor>
    <xdr:from>
      <xdr:col>6</xdr:col>
      <xdr:colOff>811813</xdr:colOff>
      <xdr:row>307</xdr:row>
      <xdr:rowOff>118731</xdr:rowOff>
    </xdr:from>
    <xdr:to>
      <xdr:col>7</xdr:col>
      <xdr:colOff>815712</xdr:colOff>
      <xdr:row>308</xdr:row>
      <xdr:rowOff>23805</xdr:rowOff>
    </xdr:to>
    <xdr:sp macro="" textlink="">
      <xdr:nvSpPr>
        <xdr:cNvPr id="23" name="مربع نص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 txBox="1"/>
      </xdr:nvSpPr>
      <xdr:spPr>
        <a:xfrm>
          <a:off x="10110741408" y="122023491"/>
          <a:ext cx="819239" cy="4003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1" anchor="t"/>
        <a:lstStyle/>
        <a:p>
          <a:pPr algn="r" rtl="1"/>
          <a:r>
            <a:rPr lang="ar-SA" sz="1600" b="1"/>
            <a:t>الصف</a:t>
          </a:r>
          <a:endParaRPr lang="ar-IQ" sz="1600" b="1"/>
        </a:p>
      </xdr:txBody>
    </xdr:sp>
    <xdr:clientData/>
  </xdr:twoCellAnchor>
  <xdr:twoCellAnchor>
    <xdr:from>
      <xdr:col>7</xdr:col>
      <xdr:colOff>8541</xdr:colOff>
      <xdr:row>331</xdr:row>
      <xdr:rowOff>97303</xdr:rowOff>
    </xdr:from>
    <xdr:to>
      <xdr:col>7</xdr:col>
      <xdr:colOff>703002</xdr:colOff>
      <xdr:row>331</xdr:row>
      <xdr:rowOff>452432</xdr:rowOff>
    </xdr:to>
    <xdr:sp macro="" textlink="">
      <xdr:nvSpPr>
        <xdr:cNvPr id="24" name="مربع نص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 txBox="1"/>
      </xdr:nvSpPr>
      <xdr:spPr>
        <a:xfrm>
          <a:off x="10110854118" y="131016523"/>
          <a:ext cx="694461" cy="3551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1" anchor="t"/>
        <a:lstStyle/>
        <a:p>
          <a:pPr algn="r" rtl="1"/>
          <a:r>
            <a:rPr lang="ar-SA" sz="1600" b="1"/>
            <a:t>الصف</a:t>
          </a:r>
          <a:endParaRPr lang="ar-IQ" sz="1600" b="1"/>
        </a:p>
      </xdr:txBody>
    </xdr:sp>
    <xdr:clientData/>
  </xdr:twoCellAnchor>
  <xdr:twoCellAnchor>
    <xdr:from>
      <xdr:col>7</xdr:col>
      <xdr:colOff>350994</xdr:colOff>
      <xdr:row>330</xdr:row>
      <xdr:rowOff>189475</xdr:rowOff>
    </xdr:from>
    <xdr:to>
      <xdr:col>8</xdr:col>
      <xdr:colOff>226199</xdr:colOff>
      <xdr:row>331</xdr:row>
      <xdr:rowOff>202402</xdr:rowOff>
    </xdr:to>
    <xdr:sp macro="" textlink="">
      <xdr:nvSpPr>
        <xdr:cNvPr id="25" name="مربع نص 24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 txBox="1"/>
      </xdr:nvSpPr>
      <xdr:spPr>
        <a:xfrm>
          <a:off x="10110454621" y="130651495"/>
          <a:ext cx="751505" cy="4701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1" anchor="t"/>
        <a:lstStyle/>
        <a:p>
          <a:pPr algn="r" rtl="1"/>
          <a:r>
            <a:rPr lang="ar-SA" sz="1400" b="1"/>
            <a:t>الجنس</a:t>
          </a:r>
          <a:endParaRPr lang="ar-IQ" sz="1400" b="1"/>
        </a:p>
      </xdr:txBody>
    </xdr:sp>
    <xdr:clientData/>
  </xdr:twoCellAnchor>
  <xdr:twoCellAnchor>
    <xdr:from>
      <xdr:col>7</xdr:col>
      <xdr:colOff>196218</xdr:colOff>
      <xdr:row>355</xdr:row>
      <xdr:rowOff>3629</xdr:rowOff>
    </xdr:from>
    <xdr:to>
      <xdr:col>8</xdr:col>
      <xdr:colOff>142875</xdr:colOff>
      <xdr:row>356</xdr:row>
      <xdr:rowOff>9525</xdr:rowOff>
    </xdr:to>
    <xdr:sp macro="" textlink="">
      <xdr:nvSpPr>
        <xdr:cNvPr id="26" name="مربع نص 26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 txBox="1"/>
      </xdr:nvSpPr>
      <xdr:spPr>
        <a:xfrm>
          <a:off x="10110537945" y="140112569"/>
          <a:ext cx="822957" cy="5164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1" anchor="t"/>
        <a:lstStyle/>
        <a:p>
          <a:pPr algn="r" rtl="1"/>
          <a:r>
            <a:rPr lang="ar-SA" sz="1400" b="1"/>
            <a:t>الجنس</a:t>
          </a:r>
          <a:endParaRPr lang="ar-IQ" sz="1400" b="1"/>
        </a:p>
      </xdr:txBody>
    </xdr:sp>
    <xdr:clientData/>
  </xdr:twoCellAnchor>
  <xdr:twoCellAnchor>
    <xdr:from>
      <xdr:col>7</xdr:col>
      <xdr:colOff>6156</xdr:colOff>
      <xdr:row>356</xdr:row>
      <xdr:rowOff>206047</xdr:rowOff>
    </xdr:from>
    <xdr:to>
      <xdr:col>7</xdr:col>
      <xdr:colOff>831587</xdr:colOff>
      <xdr:row>356</xdr:row>
      <xdr:rowOff>440526</xdr:rowOff>
    </xdr:to>
    <xdr:sp macro="" textlink="">
      <xdr:nvSpPr>
        <xdr:cNvPr id="27" name="مربع نص 27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 txBox="1"/>
      </xdr:nvSpPr>
      <xdr:spPr>
        <a:xfrm>
          <a:off x="10110725533" y="140825527"/>
          <a:ext cx="825431" cy="2344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1" anchor="t"/>
        <a:lstStyle/>
        <a:p>
          <a:pPr algn="r" rtl="1"/>
          <a:r>
            <a:rPr lang="ar-SA" sz="1600" b="1"/>
            <a:t>الصف</a:t>
          </a:r>
          <a:endParaRPr lang="ar-IQ" sz="1600" b="1"/>
        </a:p>
      </xdr:txBody>
    </xdr:sp>
    <xdr:clientData/>
  </xdr:twoCellAnchor>
  <xdr:twoCellAnchor>
    <xdr:from>
      <xdr:col>7</xdr:col>
      <xdr:colOff>367646</xdr:colOff>
      <xdr:row>379</xdr:row>
      <xdr:rowOff>239368</xdr:rowOff>
    </xdr:from>
    <xdr:to>
      <xdr:col>8</xdr:col>
      <xdr:colOff>359548</xdr:colOff>
      <xdr:row>379</xdr:row>
      <xdr:rowOff>440526</xdr:rowOff>
    </xdr:to>
    <xdr:sp macro="" textlink="">
      <xdr:nvSpPr>
        <xdr:cNvPr id="28" name="مربع نص 30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SpPr txBox="1"/>
      </xdr:nvSpPr>
      <xdr:spPr>
        <a:xfrm>
          <a:off x="10110321272" y="149538028"/>
          <a:ext cx="868202" cy="2011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1" anchor="t"/>
        <a:lstStyle/>
        <a:p>
          <a:pPr algn="r" rtl="1"/>
          <a:r>
            <a:rPr lang="ar-SA" sz="1400" b="1"/>
            <a:t>الجنس</a:t>
          </a:r>
          <a:endParaRPr lang="ar-IQ" sz="1400" b="1"/>
        </a:p>
      </xdr:txBody>
    </xdr:sp>
    <xdr:clientData/>
  </xdr:twoCellAnchor>
  <xdr:twoCellAnchor>
    <xdr:from>
      <xdr:col>7</xdr:col>
      <xdr:colOff>8537</xdr:colOff>
      <xdr:row>380</xdr:row>
      <xdr:rowOff>191756</xdr:rowOff>
    </xdr:from>
    <xdr:to>
      <xdr:col>7</xdr:col>
      <xdr:colOff>833968</xdr:colOff>
      <xdr:row>381</xdr:row>
      <xdr:rowOff>119054</xdr:rowOff>
    </xdr:to>
    <xdr:sp macro="" textlink="">
      <xdr:nvSpPr>
        <xdr:cNvPr id="29" name="مربع نص 31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SpPr txBox="1"/>
      </xdr:nvSpPr>
      <xdr:spPr>
        <a:xfrm>
          <a:off x="10110723152" y="149962856"/>
          <a:ext cx="825431" cy="399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1" anchor="t"/>
        <a:lstStyle/>
        <a:p>
          <a:pPr algn="r" rtl="1"/>
          <a:r>
            <a:rPr lang="ar-SA" sz="1400" b="1"/>
            <a:t>الصف</a:t>
          </a:r>
          <a:endParaRPr lang="ar-IQ" sz="1400" b="1"/>
        </a:p>
      </xdr:txBody>
    </xdr:sp>
    <xdr:clientData/>
  </xdr:twoCellAnchor>
  <xdr:twoCellAnchor>
    <xdr:from>
      <xdr:col>7</xdr:col>
      <xdr:colOff>263665</xdr:colOff>
      <xdr:row>405</xdr:row>
      <xdr:rowOff>220318</xdr:rowOff>
    </xdr:from>
    <xdr:to>
      <xdr:col>8</xdr:col>
      <xdr:colOff>195243</xdr:colOff>
      <xdr:row>405</xdr:row>
      <xdr:rowOff>478626</xdr:rowOff>
    </xdr:to>
    <xdr:sp macro="" textlink="">
      <xdr:nvSpPr>
        <xdr:cNvPr id="30" name="مربع نص 32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SpPr txBox="1"/>
      </xdr:nvSpPr>
      <xdr:spPr>
        <a:xfrm>
          <a:off x="10110485577" y="159577378"/>
          <a:ext cx="807878" cy="2583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1" anchor="t"/>
        <a:lstStyle/>
        <a:p>
          <a:pPr algn="r" rtl="1"/>
          <a:r>
            <a:rPr lang="ar-SA" sz="1400" b="1"/>
            <a:t>الجنس</a:t>
          </a:r>
          <a:endParaRPr lang="ar-IQ" sz="1400" b="1"/>
        </a:p>
      </xdr:txBody>
    </xdr:sp>
    <xdr:clientData/>
  </xdr:twoCellAnchor>
  <xdr:twoCellAnchor>
    <xdr:from>
      <xdr:col>7</xdr:col>
      <xdr:colOff>50605</xdr:colOff>
      <xdr:row>406</xdr:row>
      <xdr:rowOff>194930</xdr:rowOff>
    </xdr:from>
    <xdr:to>
      <xdr:col>7</xdr:col>
      <xdr:colOff>876036</xdr:colOff>
      <xdr:row>407</xdr:row>
      <xdr:rowOff>159535</xdr:rowOff>
    </xdr:to>
    <xdr:sp macro="" textlink="">
      <xdr:nvSpPr>
        <xdr:cNvPr id="31" name="مربع نص 33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SpPr txBox="1"/>
      </xdr:nvSpPr>
      <xdr:spPr>
        <a:xfrm>
          <a:off x="10110681084" y="160062530"/>
          <a:ext cx="825431" cy="4751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1" anchor="t"/>
        <a:lstStyle/>
        <a:p>
          <a:pPr algn="r" rtl="1"/>
          <a:r>
            <a:rPr lang="ar-SA" sz="1400" b="1"/>
            <a:t>الصف</a:t>
          </a:r>
          <a:endParaRPr lang="ar-IQ" sz="1400" b="1"/>
        </a:p>
      </xdr:txBody>
    </xdr:sp>
    <xdr:clientData/>
  </xdr:twoCellAnchor>
  <xdr:twoCellAnchor>
    <xdr:from>
      <xdr:col>7</xdr:col>
      <xdr:colOff>266067</xdr:colOff>
      <xdr:row>136</xdr:row>
      <xdr:rowOff>3628</xdr:rowOff>
    </xdr:from>
    <xdr:to>
      <xdr:col>8</xdr:col>
      <xdr:colOff>247650</xdr:colOff>
      <xdr:row>137</xdr:row>
      <xdr:rowOff>0</xdr:rowOff>
    </xdr:to>
    <xdr:sp macro="" textlink="">
      <xdr:nvSpPr>
        <xdr:cNvPr id="32" name="مربع نص 36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SpPr txBox="1"/>
      </xdr:nvSpPr>
      <xdr:spPr>
        <a:xfrm>
          <a:off x="10110433170" y="50242288"/>
          <a:ext cx="857883" cy="4002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1" anchor="t"/>
        <a:lstStyle/>
        <a:p>
          <a:pPr algn="r" rtl="1"/>
          <a:r>
            <a:rPr lang="ar-SA" sz="1600" b="1"/>
            <a:t>الجنس</a:t>
          </a:r>
          <a:endParaRPr lang="ar-IQ" sz="1600" b="1"/>
        </a:p>
      </xdr:txBody>
    </xdr:sp>
    <xdr:clientData/>
  </xdr:twoCellAnchor>
  <xdr:twoCellAnchor>
    <xdr:from>
      <xdr:col>7</xdr:col>
      <xdr:colOff>18254</xdr:colOff>
      <xdr:row>137</xdr:row>
      <xdr:rowOff>64760</xdr:rowOff>
    </xdr:from>
    <xdr:to>
      <xdr:col>7</xdr:col>
      <xdr:colOff>671511</xdr:colOff>
      <xdr:row>138</xdr:row>
      <xdr:rowOff>59528</xdr:rowOff>
    </xdr:to>
    <xdr:sp macro="" textlink="">
      <xdr:nvSpPr>
        <xdr:cNvPr id="33" name="مربع نص 37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SpPr txBox="1"/>
      </xdr:nvSpPr>
      <xdr:spPr>
        <a:xfrm>
          <a:off x="10110885609" y="50707280"/>
          <a:ext cx="653257" cy="5357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1" anchor="t"/>
        <a:lstStyle/>
        <a:p>
          <a:pPr algn="r" rtl="1"/>
          <a:r>
            <a:rPr lang="ar-SA" sz="1600" b="1"/>
            <a:t>الصف</a:t>
          </a:r>
          <a:endParaRPr lang="ar-IQ" sz="1600" b="1"/>
        </a:p>
      </xdr:txBody>
    </xdr:sp>
    <xdr:clientData/>
  </xdr:twoCellAnchor>
  <xdr:twoCellAnchor>
    <xdr:from>
      <xdr:col>7</xdr:col>
      <xdr:colOff>266067</xdr:colOff>
      <xdr:row>159</xdr:row>
      <xdr:rowOff>3628</xdr:rowOff>
    </xdr:from>
    <xdr:to>
      <xdr:col>8</xdr:col>
      <xdr:colOff>247650</xdr:colOff>
      <xdr:row>160</xdr:row>
      <xdr:rowOff>0</xdr:rowOff>
    </xdr:to>
    <xdr:sp macro="" textlink="">
      <xdr:nvSpPr>
        <xdr:cNvPr id="34" name="مربع نص 34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SpPr txBox="1"/>
      </xdr:nvSpPr>
      <xdr:spPr>
        <a:xfrm>
          <a:off x="10110433170" y="59294848"/>
          <a:ext cx="857883" cy="4002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1" anchor="t"/>
        <a:lstStyle/>
        <a:p>
          <a:pPr algn="r" rtl="1"/>
          <a:r>
            <a:rPr lang="ar-SA" sz="1600" b="1"/>
            <a:t>الجنس</a:t>
          </a:r>
          <a:endParaRPr lang="ar-IQ" sz="1600" b="1"/>
        </a:p>
      </xdr:txBody>
    </xdr:sp>
    <xdr:clientData/>
  </xdr:twoCellAnchor>
  <xdr:twoCellAnchor>
    <xdr:from>
      <xdr:col>7</xdr:col>
      <xdr:colOff>18254</xdr:colOff>
      <xdr:row>160</xdr:row>
      <xdr:rowOff>64760</xdr:rowOff>
    </xdr:from>
    <xdr:to>
      <xdr:col>7</xdr:col>
      <xdr:colOff>671511</xdr:colOff>
      <xdr:row>161</xdr:row>
      <xdr:rowOff>59528</xdr:rowOff>
    </xdr:to>
    <xdr:sp macro="" textlink="">
      <xdr:nvSpPr>
        <xdr:cNvPr id="35" name="مربع نص 35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SpPr txBox="1"/>
      </xdr:nvSpPr>
      <xdr:spPr>
        <a:xfrm>
          <a:off x="10110885609" y="59759840"/>
          <a:ext cx="653257" cy="5357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1" anchor="t"/>
        <a:lstStyle/>
        <a:p>
          <a:pPr algn="r" rtl="1"/>
          <a:r>
            <a:rPr lang="ar-SA" sz="1600" b="1"/>
            <a:t>الصف</a:t>
          </a:r>
          <a:endParaRPr lang="ar-IQ" sz="16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31944</xdr:colOff>
      <xdr:row>6</xdr:row>
      <xdr:rowOff>20727</xdr:rowOff>
    </xdr:from>
    <xdr:to>
      <xdr:col>3</xdr:col>
      <xdr:colOff>1158875</xdr:colOff>
      <xdr:row>9</xdr:row>
      <xdr:rowOff>15874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>
          <a:spLocks noChangeShapeType="1"/>
        </xdr:cNvSpPr>
      </xdr:nvSpPr>
      <xdr:spPr bwMode="auto">
        <a:xfrm flipV="1">
          <a:off x="10112608045" y="1940967"/>
          <a:ext cx="1020251" cy="1938247"/>
        </a:xfrm>
        <a:prstGeom prst="line">
          <a:avLst/>
        </a:prstGeom>
        <a:noFill/>
        <a:ln w="38100" cmpd="dbl">
          <a:solidFill>
            <a:srgbClr val="008080"/>
          </a:solidFill>
          <a:round/>
          <a:headEnd/>
          <a:tailEnd/>
        </a:ln>
      </xdr:spPr>
    </xdr:sp>
    <xdr:clientData/>
  </xdr:twoCellAnchor>
  <xdr:twoCellAnchor>
    <xdr:from>
      <xdr:col>3</xdr:col>
      <xdr:colOff>31945</xdr:colOff>
      <xdr:row>42</xdr:row>
      <xdr:rowOff>20730</xdr:rowOff>
    </xdr:from>
    <xdr:to>
      <xdr:col>3</xdr:col>
      <xdr:colOff>1485900</xdr:colOff>
      <xdr:row>45</xdr:row>
      <xdr:rowOff>38099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>
          <a:spLocks noChangeShapeType="1"/>
        </xdr:cNvSpPr>
      </xdr:nvSpPr>
      <xdr:spPr bwMode="auto">
        <a:xfrm flipV="1">
          <a:off x="10112608680" y="20510910"/>
          <a:ext cx="1019615" cy="2288129"/>
        </a:xfrm>
        <a:prstGeom prst="line">
          <a:avLst/>
        </a:prstGeom>
        <a:noFill/>
        <a:ln w="38100" cmpd="dbl">
          <a:solidFill>
            <a:srgbClr val="008080"/>
          </a:solidFill>
          <a:round/>
          <a:headEnd/>
          <a:tailEnd/>
        </a:ln>
      </xdr:spPr>
    </xdr:sp>
    <xdr:clientData/>
  </xdr:twoCellAnchor>
  <xdr:twoCellAnchor>
    <xdr:from>
      <xdr:col>3</xdr:col>
      <xdr:colOff>31945</xdr:colOff>
      <xdr:row>60</xdr:row>
      <xdr:rowOff>20730</xdr:rowOff>
    </xdr:from>
    <xdr:to>
      <xdr:col>4</xdr:col>
      <xdr:colOff>0</xdr:colOff>
      <xdr:row>62</xdr:row>
      <xdr:rowOff>800099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>
          <a:spLocks noChangeShapeType="1"/>
        </xdr:cNvSpPr>
      </xdr:nvSpPr>
      <xdr:spPr bwMode="auto">
        <a:xfrm flipV="1">
          <a:off x="10112608680" y="30645510"/>
          <a:ext cx="1019615" cy="2356709"/>
        </a:xfrm>
        <a:prstGeom prst="line">
          <a:avLst/>
        </a:prstGeom>
        <a:noFill/>
        <a:ln w="38100" cmpd="dbl">
          <a:solidFill>
            <a:srgbClr val="008080"/>
          </a:solidFill>
          <a:round/>
          <a:headEnd/>
          <a:tailEnd/>
        </a:ln>
      </xdr:spPr>
    </xdr:sp>
    <xdr:clientData/>
  </xdr:twoCellAnchor>
  <xdr:twoCellAnchor>
    <xdr:from>
      <xdr:col>3</xdr:col>
      <xdr:colOff>31944</xdr:colOff>
      <xdr:row>78</xdr:row>
      <xdr:rowOff>20730</xdr:rowOff>
    </xdr:from>
    <xdr:to>
      <xdr:col>3</xdr:col>
      <xdr:colOff>1000125</xdr:colOff>
      <xdr:row>81</xdr:row>
      <xdr:rowOff>15874</xdr:rowOff>
    </xdr:to>
    <xdr:sp macro="" textlink="">
      <xdr:nvSpPr>
        <xdr:cNvPr id="6" name="Line 4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>
          <a:spLocks noChangeShapeType="1"/>
        </xdr:cNvSpPr>
      </xdr:nvSpPr>
      <xdr:spPr bwMode="auto">
        <a:xfrm flipV="1">
          <a:off x="10112660115" y="40589610"/>
          <a:ext cx="968181" cy="2372584"/>
        </a:xfrm>
        <a:prstGeom prst="line">
          <a:avLst/>
        </a:prstGeom>
        <a:noFill/>
        <a:ln w="38100" cmpd="dbl">
          <a:solidFill>
            <a:srgbClr val="008080"/>
          </a:solidFill>
          <a:round/>
          <a:headEnd/>
          <a:tailEnd/>
        </a:ln>
      </xdr:spPr>
    </xdr:sp>
    <xdr:clientData/>
  </xdr:twoCellAnchor>
  <xdr:twoCellAnchor>
    <xdr:from>
      <xdr:col>3</xdr:col>
      <xdr:colOff>31944</xdr:colOff>
      <xdr:row>131</xdr:row>
      <xdr:rowOff>20729</xdr:rowOff>
    </xdr:from>
    <xdr:to>
      <xdr:col>3</xdr:col>
      <xdr:colOff>1158875</xdr:colOff>
      <xdr:row>133</xdr:row>
      <xdr:rowOff>523874</xdr:rowOff>
    </xdr:to>
    <xdr:sp macro="" textlink="">
      <xdr:nvSpPr>
        <xdr:cNvPr id="7" name="Line 4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>
          <a:spLocks noChangeShapeType="1"/>
        </xdr:cNvSpPr>
      </xdr:nvSpPr>
      <xdr:spPr bwMode="auto">
        <a:xfrm flipV="1">
          <a:off x="10112608045" y="67678709"/>
          <a:ext cx="1020251" cy="2126205"/>
        </a:xfrm>
        <a:prstGeom prst="line">
          <a:avLst/>
        </a:prstGeom>
        <a:noFill/>
        <a:ln w="38100" cmpd="dbl">
          <a:solidFill>
            <a:srgbClr val="008080"/>
          </a:solidFill>
          <a:round/>
          <a:headEnd/>
          <a:tailEnd/>
        </a:ln>
      </xdr:spPr>
    </xdr:sp>
    <xdr:clientData/>
  </xdr:twoCellAnchor>
  <xdr:twoCellAnchor>
    <xdr:from>
      <xdr:col>3</xdr:col>
      <xdr:colOff>31944</xdr:colOff>
      <xdr:row>149</xdr:row>
      <xdr:rowOff>20729</xdr:rowOff>
    </xdr:from>
    <xdr:to>
      <xdr:col>3</xdr:col>
      <xdr:colOff>1031874</xdr:colOff>
      <xdr:row>151</xdr:row>
      <xdr:rowOff>746124</xdr:rowOff>
    </xdr:to>
    <xdr:sp macro="" textlink="">
      <xdr:nvSpPr>
        <xdr:cNvPr id="8" name="Line 4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>
          <a:spLocks noChangeShapeType="1"/>
        </xdr:cNvSpPr>
      </xdr:nvSpPr>
      <xdr:spPr bwMode="auto">
        <a:xfrm flipV="1">
          <a:off x="10112628366" y="77759969"/>
          <a:ext cx="999930" cy="1997935"/>
        </a:xfrm>
        <a:prstGeom prst="line">
          <a:avLst/>
        </a:prstGeom>
        <a:noFill/>
        <a:ln w="38100" cmpd="dbl">
          <a:solidFill>
            <a:srgbClr val="008080"/>
          </a:solidFill>
          <a:round/>
          <a:headEnd/>
          <a:tailEnd/>
        </a:ln>
      </xdr:spPr>
    </xdr:sp>
    <xdr:clientData/>
  </xdr:twoCellAnchor>
  <xdr:twoCellAnchor>
    <xdr:from>
      <xdr:col>3</xdr:col>
      <xdr:colOff>31944</xdr:colOff>
      <xdr:row>167</xdr:row>
      <xdr:rowOff>20730</xdr:rowOff>
    </xdr:from>
    <xdr:to>
      <xdr:col>3</xdr:col>
      <xdr:colOff>984250</xdr:colOff>
      <xdr:row>169</xdr:row>
      <xdr:rowOff>587375</xdr:rowOff>
    </xdr:to>
    <xdr:sp macro="" textlink="">
      <xdr:nvSpPr>
        <xdr:cNvPr id="9" name="Line 4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>
          <a:spLocks noChangeShapeType="1"/>
        </xdr:cNvSpPr>
      </xdr:nvSpPr>
      <xdr:spPr bwMode="auto">
        <a:xfrm flipV="1">
          <a:off x="10112675990" y="87879330"/>
          <a:ext cx="952306" cy="2060165"/>
        </a:xfrm>
        <a:prstGeom prst="line">
          <a:avLst/>
        </a:prstGeom>
        <a:noFill/>
        <a:ln w="38100" cmpd="dbl">
          <a:solidFill>
            <a:srgbClr val="008080"/>
          </a:solidFill>
          <a:round/>
          <a:headEnd/>
          <a:tailEnd/>
        </a:ln>
      </xdr:spPr>
    </xdr:sp>
    <xdr:clientData/>
  </xdr:twoCellAnchor>
  <xdr:twoCellAnchor>
    <xdr:from>
      <xdr:col>3</xdr:col>
      <xdr:colOff>31944</xdr:colOff>
      <xdr:row>185</xdr:row>
      <xdr:rowOff>20729</xdr:rowOff>
    </xdr:from>
    <xdr:to>
      <xdr:col>3</xdr:col>
      <xdr:colOff>1000125</xdr:colOff>
      <xdr:row>187</xdr:row>
      <xdr:rowOff>793749</xdr:rowOff>
    </xdr:to>
    <xdr:sp macro="" textlink="">
      <xdr:nvSpPr>
        <xdr:cNvPr id="10" name="Line 4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>
          <a:spLocks noChangeShapeType="1"/>
        </xdr:cNvSpPr>
      </xdr:nvSpPr>
      <xdr:spPr bwMode="auto">
        <a:xfrm flipV="1">
          <a:off x="10112660115" y="97770089"/>
          <a:ext cx="968181" cy="2159860"/>
        </a:xfrm>
        <a:prstGeom prst="line">
          <a:avLst/>
        </a:prstGeom>
        <a:noFill/>
        <a:ln w="38100" cmpd="dbl">
          <a:solidFill>
            <a:srgbClr val="008080"/>
          </a:solidFill>
          <a:round/>
          <a:headEnd/>
          <a:tailEnd/>
        </a:ln>
      </xdr:spPr>
    </xdr:sp>
    <xdr:clientData/>
  </xdr:twoCellAnchor>
  <xdr:twoCellAnchor>
    <xdr:from>
      <xdr:col>3</xdr:col>
      <xdr:colOff>31945</xdr:colOff>
      <xdr:row>203</xdr:row>
      <xdr:rowOff>20729</xdr:rowOff>
    </xdr:from>
    <xdr:to>
      <xdr:col>3</xdr:col>
      <xdr:colOff>1317625</xdr:colOff>
      <xdr:row>205</xdr:row>
      <xdr:rowOff>587374</xdr:rowOff>
    </xdr:to>
    <xdr:sp macro="" textlink="">
      <xdr:nvSpPr>
        <xdr:cNvPr id="11" name="Line 4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>
          <a:spLocks noChangeShapeType="1"/>
        </xdr:cNvSpPr>
      </xdr:nvSpPr>
      <xdr:spPr bwMode="auto">
        <a:xfrm flipV="1">
          <a:off x="10112609315" y="107135069"/>
          <a:ext cx="1018980" cy="2060165"/>
        </a:xfrm>
        <a:prstGeom prst="line">
          <a:avLst/>
        </a:prstGeom>
        <a:noFill/>
        <a:ln w="38100" cmpd="dbl">
          <a:solidFill>
            <a:srgbClr val="008080"/>
          </a:solidFill>
          <a:round/>
          <a:headEnd/>
          <a:tailEnd/>
        </a:ln>
      </xdr:spPr>
    </xdr:sp>
    <xdr:clientData/>
  </xdr:twoCellAnchor>
  <xdr:twoCellAnchor>
    <xdr:from>
      <xdr:col>3</xdr:col>
      <xdr:colOff>31944</xdr:colOff>
      <xdr:row>221</xdr:row>
      <xdr:rowOff>20730</xdr:rowOff>
    </xdr:from>
    <xdr:to>
      <xdr:col>3</xdr:col>
      <xdr:colOff>1206500</xdr:colOff>
      <xdr:row>223</xdr:row>
      <xdr:rowOff>539750</xdr:rowOff>
    </xdr:to>
    <xdr:sp macro="" textlink="">
      <xdr:nvSpPr>
        <xdr:cNvPr id="12" name="Line 4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>
          <a:spLocks noChangeShapeType="1"/>
        </xdr:cNvSpPr>
      </xdr:nvSpPr>
      <xdr:spPr bwMode="auto">
        <a:xfrm flipV="1">
          <a:off x="10112606140" y="117063930"/>
          <a:ext cx="1022156" cy="1928720"/>
        </a:xfrm>
        <a:prstGeom prst="line">
          <a:avLst/>
        </a:prstGeom>
        <a:noFill/>
        <a:ln w="38100" cmpd="dbl">
          <a:solidFill>
            <a:srgbClr val="008080"/>
          </a:solidFill>
          <a:round/>
          <a:headEnd/>
          <a:tailEnd/>
        </a:ln>
      </xdr:spPr>
    </xdr:sp>
    <xdr:clientData/>
  </xdr:twoCellAnchor>
  <xdr:twoCellAnchor>
    <xdr:from>
      <xdr:col>3</xdr:col>
      <xdr:colOff>16069</xdr:colOff>
      <xdr:row>239</xdr:row>
      <xdr:rowOff>20730</xdr:rowOff>
    </xdr:from>
    <xdr:to>
      <xdr:col>3</xdr:col>
      <xdr:colOff>984249</xdr:colOff>
      <xdr:row>241</xdr:row>
      <xdr:rowOff>507999</xdr:rowOff>
    </xdr:to>
    <xdr:sp macro="" textlink="">
      <xdr:nvSpPr>
        <xdr:cNvPr id="13" name="Line 4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>
          <a:spLocks noChangeShapeType="1"/>
        </xdr:cNvSpPr>
      </xdr:nvSpPr>
      <xdr:spPr bwMode="auto">
        <a:xfrm flipV="1">
          <a:off x="10112675991" y="126329850"/>
          <a:ext cx="968180" cy="1912209"/>
        </a:xfrm>
        <a:prstGeom prst="line">
          <a:avLst/>
        </a:prstGeom>
        <a:noFill/>
        <a:ln w="38100" cmpd="dbl">
          <a:solidFill>
            <a:srgbClr val="008080"/>
          </a:solidFill>
          <a:round/>
          <a:headEnd/>
          <a:tailEnd/>
        </a:ln>
      </xdr:spPr>
    </xdr:sp>
    <xdr:clientData/>
  </xdr:twoCellAnchor>
  <xdr:twoCellAnchor>
    <xdr:from>
      <xdr:col>3</xdr:col>
      <xdr:colOff>31945</xdr:colOff>
      <xdr:row>257</xdr:row>
      <xdr:rowOff>20730</xdr:rowOff>
    </xdr:from>
    <xdr:to>
      <xdr:col>3</xdr:col>
      <xdr:colOff>1000126</xdr:colOff>
      <xdr:row>259</xdr:row>
      <xdr:rowOff>793750</xdr:rowOff>
    </xdr:to>
    <xdr:sp macro="" textlink="">
      <xdr:nvSpPr>
        <xdr:cNvPr id="14" name="Line 4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>
          <a:spLocks noChangeShapeType="1"/>
        </xdr:cNvSpPr>
      </xdr:nvSpPr>
      <xdr:spPr bwMode="auto">
        <a:xfrm flipV="1">
          <a:off x="10112660114" y="135809130"/>
          <a:ext cx="968181" cy="2144620"/>
        </a:xfrm>
        <a:prstGeom prst="line">
          <a:avLst/>
        </a:prstGeom>
        <a:noFill/>
        <a:ln w="38100" cmpd="dbl">
          <a:solidFill>
            <a:srgbClr val="008080"/>
          </a:solidFill>
          <a:round/>
          <a:headEnd/>
          <a:tailEnd/>
        </a:ln>
      </xdr:spPr>
    </xdr:sp>
    <xdr:clientData/>
  </xdr:twoCellAnchor>
  <xdr:twoCellAnchor>
    <xdr:from>
      <xdr:col>3</xdr:col>
      <xdr:colOff>31945</xdr:colOff>
      <xdr:row>275</xdr:row>
      <xdr:rowOff>20730</xdr:rowOff>
    </xdr:from>
    <xdr:to>
      <xdr:col>3</xdr:col>
      <xdr:colOff>1000126</xdr:colOff>
      <xdr:row>277</xdr:row>
      <xdr:rowOff>793750</xdr:rowOff>
    </xdr:to>
    <xdr:sp macro="" textlink="">
      <xdr:nvSpPr>
        <xdr:cNvPr id="15" name="Line 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>
          <a:spLocks noChangeShapeType="1"/>
        </xdr:cNvSpPr>
      </xdr:nvSpPr>
      <xdr:spPr bwMode="auto">
        <a:xfrm flipV="1">
          <a:off x="10112660114" y="145501770"/>
          <a:ext cx="968181" cy="2228440"/>
        </a:xfrm>
        <a:prstGeom prst="line">
          <a:avLst/>
        </a:prstGeom>
        <a:noFill/>
        <a:ln w="38100" cmpd="dbl">
          <a:solidFill>
            <a:srgbClr val="008080"/>
          </a:solidFill>
          <a:round/>
          <a:headEnd/>
          <a:tailEnd/>
        </a:ln>
      </xdr:spPr>
    </xdr:sp>
    <xdr:clientData/>
  </xdr:twoCellAnchor>
  <xdr:twoCellAnchor>
    <xdr:from>
      <xdr:col>3</xdr:col>
      <xdr:colOff>31945</xdr:colOff>
      <xdr:row>293</xdr:row>
      <xdr:rowOff>20730</xdr:rowOff>
    </xdr:from>
    <xdr:to>
      <xdr:col>3</xdr:col>
      <xdr:colOff>1254125</xdr:colOff>
      <xdr:row>295</xdr:row>
      <xdr:rowOff>809625</xdr:rowOff>
    </xdr:to>
    <xdr:sp macro="" textlink="">
      <xdr:nvSpPr>
        <xdr:cNvPr id="16" name="Line 4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>
          <a:spLocks noChangeShapeType="1"/>
        </xdr:cNvSpPr>
      </xdr:nvSpPr>
      <xdr:spPr bwMode="auto">
        <a:xfrm flipV="1">
          <a:off x="10112611855" y="155651610"/>
          <a:ext cx="1016440" cy="2190975"/>
        </a:xfrm>
        <a:prstGeom prst="line">
          <a:avLst/>
        </a:prstGeom>
        <a:noFill/>
        <a:ln w="38100" cmpd="dbl">
          <a:solidFill>
            <a:srgbClr val="008080"/>
          </a:solidFill>
          <a:round/>
          <a:headEnd/>
          <a:tailEnd/>
        </a:ln>
      </xdr:spPr>
    </xdr:sp>
    <xdr:clientData/>
  </xdr:twoCellAnchor>
  <xdr:twoCellAnchor>
    <xdr:from>
      <xdr:col>3</xdr:col>
      <xdr:colOff>31944</xdr:colOff>
      <xdr:row>96</xdr:row>
      <xdr:rowOff>20730</xdr:rowOff>
    </xdr:from>
    <xdr:to>
      <xdr:col>3</xdr:col>
      <xdr:colOff>1000125</xdr:colOff>
      <xdr:row>99</xdr:row>
      <xdr:rowOff>15874</xdr:rowOff>
    </xdr:to>
    <xdr:sp macro="" textlink="">
      <xdr:nvSpPr>
        <xdr:cNvPr id="17" name="Line 4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>
          <a:spLocks noChangeShapeType="1"/>
        </xdr:cNvSpPr>
      </xdr:nvSpPr>
      <xdr:spPr bwMode="auto">
        <a:xfrm flipV="1">
          <a:off x="10112660115" y="49680270"/>
          <a:ext cx="968181" cy="2372584"/>
        </a:xfrm>
        <a:prstGeom prst="line">
          <a:avLst/>
        </a:prstGeom>
        <a:noFill/>
        <a:ln w="38100" cmpd="dbl">
          <a:solidFill>
            <a:srgbClr val="008080"/>
          </a:solidFill>
          <a:round/>
          <a:headEnd/>
          <a:tailEnd/>
        </a:ln>
      </xdr:spPr>
    </xdr:sp>
    <xdr:clientData/>
  </xdr:twoCellAnchor>
  <xdr:twoCellAnchor>
    <xdr:from>
      <xdr:col>3</xdr:col>
      <xdr:colOff>31944</xdr:colOff>
      <xdr:row>114</xdr:row>
      <xdr:rowOff>20730</xdr:rowOff>
    </xdr:from>
    <xdr:to>
      <xdr:col>3</xdr:col>
      <xdr:colOff>1000125</xdr:colOff>
      <xdr:row>117</xdr:row>
      <xdr:rowOff>15874</xdr:rowOff>
    </xdr:to>
    <xdr:sp macro="" textlink="">
      <xdr:nvSpPr>
        <xdr:cNvPr id="18" name="Line 4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>
          <a:spLocks noChangeShapeType="1"/>
        </xdr:cNvSpPr>
      </xdr:nvSpPr>
      <xdr:spPr bwMode="auto">
        <a:xfrm flipV="1">
          <a:off x="10112660115" y="58770930"/>
          <a:ext cx="968181" cy="2372584"/>
        </a:xfrm>
        <a:prstGeom prst="line">
          <a:avLst/>
        </a:prstGeom>
        <a:noFill/>
        <a:ln w="38100" cmpd="dbl">
          <a:solidFill>
            <a:srgbClr val="00808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hammed/Desktop/New%20folder/&#8207;&#8207;&#8207;&#8207;&#1575;&#1604;&#1575;&#1581;&#1589;&#1575;&#1569;%20&#1575;&#1604;&#1587;&#1606;&#1608;&#1610;%20%202026-2025/&#1575;&#1604;&#1575;&#1576;&#1578;&#1583;&#1575;&#1574;&#1610;%20&#1575;&#1604;&#1603;&#1604;&#1610;%202026-2025/&#1575;&#1604;&#1575;&#1576;&#1578;&#1583;&#1575;&#1574;&#1610;%20&#1575;&#1604;&#1581;&#1603;&#1608;&#1605;&#1610;%20202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التعليم الابتدائي"/>
      <sheetName val="الحضر"/>
      <sheetName val="الريف"/>
      <sheetName val="ج 1"/>
      <sheetName val="ج 4 و 5"/>
      <sheetName val="ج 6 و 7 "/>
      <sheetName val="ج 8-9"/>
      <sheetName val="ج (10)"/>
      <sheetName val="ج11"/>
      <sheetName val="ج 12"/>
      <sheetName val="ورقة1"/>
    </sheetNames>
    <sheetDataSet>
      <sheetData sheetId="0" refreshError="1">
        <row r="295">
          <cell r="S295">
            <v>41</v>
          </cell>
          <cell r="T295">
            <v>1</v>
          </cell>
          <cell r="U295">
            <v>245</v>
          </cell>
          <cell r="V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0</v>
          </cell>
          <cell r="CA295">
            <v>0</v>
          </cell>
          <cell r="CE295">
            <v>0</v>
          </cell>
          <cell r="CF295">
            <v>0</v>
          </cell>
          <cell r="CG295">
            <v>0</v>
          </cell>
          <cell r="CH295">
            <v>0</v>
          </cell>
          <cell r="CI295">
            <v>0</v>
          </cell>
          <cell r="CJ295">
            <v>0</v>
          </cell>
          <cell r="CK295">
            <v>0</v>
          </cell>
          <cell r="CL295">
            <v>0</v>
          </cell>
          <cell r="CM295">
            <v>0</v>
          </cell>
          <cell r="CN295">
            <v>0</v>
          </cell>
          <cell r="CR295">
            <v>0</v>
          </cell>
          <cell r="CS295">
            <v>0</v>
          </cell>
          <cell r="CT295">
            <v>0</v>
          </cell>
          <cell r="CU295">
            <v>0</v>
          </cell>
          <cell r="CV295">
            <v>0</v>
          </cell>
          <cell r="CW295">
            <v>0</v>
          </cell>
          <cell r="CX295">
            <v>0</v>
          </cell>
          <cell r="CY295">
            <v>0</v>
          </cell>
          <cell r="CZ295">
            <v>0</v>
          </cell>
          <cell r="DA295">
            <v>0</v>
          </cell>
          <cell r="DE295">
            <v>0</v>
          </cell>
          <cell r="DF295">
            <v>0</v>
          </cell>
          <cell r="DG295">
            <v>0</v>
          </cell>
          <cell r="DH295">
            <v>0</v>
          </cell>
          <cell r="DI295">
            <v>0</v>
          </cell>
          <cell r="DJ295">
            <v>0</v>
          </cell>
          <cell r="DK295">
            <v>0</v>
          </cell>
          <cell r="DL295">
            <v>0</v>
          </cell>
          <cell r="DM295">
            <v>0</v>
          </cell>
          <cell r="EM295">
            <v>0</v>
          </cell>
          <cell r="EQ295">
            <v>0</v>
          </cell>
          <cell r="ER295">
            <v>0</v>
          </cell>
          <cell r="ES295">
            <v>0</v>
          </cell>
          <cell r="ET295">
            <v>0</v>
          </cell>
          <cell r="EU295">
            <v>0</v>
          </cell>
          <cell r="EV295">
            <v>0</v>
          </cell>
          <cell r="EW295">
            <v>0</v>
          </cell>
          <cell r="EX295">
            <v>0</v>
          </cell>
          <cell r="EY295">
            <v>0</v>
          </cell>
          <cell r="EZ295">
            <v>0</v>
          </cell>
          <cell r="FA295">
            <v>0</v>
          </cell>
          <cell r="FB295">
            <v>0</v>
          </cell>
          <cell r="FC295">
            <v>0</v>
          </cell>
          <cell r="FD295">
            <v>0</v>
          </cell>
          <cell r="FE295">
            <v>0</v>
          </cell>
          <cell r="FF295">
            <v>0</v>
          </cell>
          <cell r="FG295">
            <v>0</v>
          </cell>
          <cell r="FH295">
            <v>0</v>
          </cell>
          <cell r="FM295">
            <v>0</v>
          </cell>
          <cell r="FN295">
            <v>0</v>
          </cell>
          <cell r="FO295">
            <v>0</v>
          </cell>
          <cell r="FP295">
            <v>0</v>
          </cell>
          <cell r="FQ295">
            <v>0</v>
          </cell>
          <cell r="FR295">
            <v>0</v>
          </cell>
          <cell r="FS295">
            <v>0</v>
          </cell>
          <cell r="FT295">
            <v>0</v>
          </cell>
          <cell r="FU295">
            <v>0</v>
          </cell>
          <cell r="FV295">
            <v>0</v>
          </cell>
          <cell r="FW295">
            <v>0</v>
          </cell>
          <cell r="FX295">
            <v>0</v>
          </cell>
          <cell r="GB295">
            <v>0</v>
          </cell>
          <cell r="GC295">
            <v>0</v>
          </cell>
          <cell r="GD295">
            <v>0</v>
          </cell>
          <cell r="GE295">
            <v>0</v>
          </cell>
          <cell r="GF295">
            <v>0</v>
          </cell>
          <cell r="GG295">
            <v>0</v>
          </cell>
          <cell r="GH295">
            <v>0</v>
          </cell>
          <cell r="GI295">
            <v>0</v>
          </cell>
          <cell r="GJ295">
            <v>0</v>
          </cell>
          <cell r="GK295">
            <v>0</v>
          </cell>
          <cell r="GL295">
            <v>0</v>
          </cell>
          <cell r="GM295">
            <v>0</v>
          </cell>
          <cell r="GQ295">
            <v>0</v>
          </cell>
          <cell r="GR295">
            <v>0</v>
          </cell>
          <cell r="GS295">
            <v>0</v>
          </cell>
          <cell r="GT295">
            <v>0</v>
          </cell>
          <cell r="GU295">
            <v>0</v>
          </cell>
          <cell r="GV295">
            <v>0</v>
          </cell>
          <cell r="GW295">
            <v>0</v>
          </cell>
          <cell r="GX295">
            <v>0</v>
          </cell>
          <cell r="GY295">
            <v>0</v>
          </cell>
          <cell r="GZ295">
            <v>0</v>
          </cell>
          <cell r="HA295">
            <v>0</v>
          </cell>
          <cell r="HB295">
            <v>0</v>
          </cell>
          <cell r="HF295">
            <v>0</v>
          </cell>
          <cell r="HG295">
            <v>0</v>
          </cell>
          <cell r="HH295">
            <v>0</v>
          </cell>
          <cell r="HI295">
            <v>0</v>
          </cell>
          <cell r="HJ295">
            <v>0</v>
          </cell>
          <cell r="HK295">
            <v>0</v>
          </cell>
          <cell r="HL295">
            <v>0</v>
          </cell>
          <cell r="HM295">
            <v>0</v>
          </cell>
          <cell r="HN295">
            <v>0</v>
          </cell>
          <cell r="HO295">
            <v>0</v>
          </cell>
          <cell r="HP295">
            <v>0</v>
          </cell>
          <cell r="HQ295">
            <v>0</v>
          </cell>
          <cell r="HU295">
            <v>0</v>
          </cell>
          <cell r="HV295">
            <v>0</v>
          </cell>
          <cell r="HW295">
            <v>0</v>
          </cell>
          <cell r="HX295">
            <v>0</v>
          </cell>
          <cell r="HY295">
            <v>0</v>
          </cell>
          <cell r="HZ295">
            <v>0</v>
          </cell>
          <cell r="IA295">
            <v>0</v>
          </cell>
          <cell r="IB295">
            <v>0</v>
          </cell>
          <cell r="IC295">
            <v>0</v>
          </cell>
          <cell r="ID295">
            <v>0</v>
          </cell>
          <cell r="IE295">
            <v>0</v>
          </cell>
          <cell r="IF295">
            <v>0</v>
          </cell>
          <cell r="IY295">
            <v>139</v>
          </cell>
          <cell r="IZ295">
            <v>144</v>
          </cell>
          <cell r="JA295">
            <v>0</v>
          </cell>
          <cell r="JB295">
            <v>0</v>
          </cell>
          <cell r="JC295">
            <v>0</v>
          </cell>
          <cell r="JD295">
            <v>0</v>
          </cell>
          <cell r="JE295">
            <v>0</v>
          </cell>
          <cell r="JF295">
            <v>0</v>
          </cell>
          <cell r="KI295">
            <v>0</v>
          </cell>
          <cell r="KJ295">
            <v>0</v>
          </cell>
          <cell r="KK295">
            <v>0</v>
          </cell>
          <cell r="KL295">
            <v>0</v>
          </cell>
          <cell r="KM295">
            <v>0</v>
          </cell>
          <cell r="KN295">
            <v>0</v>
          </cell>
          <cell r="KO295">
            <v>0</v>
          </cell>
          <cell r="KP295">
            <v>0</v>
          </cell>
          <cell r="KQ295">
            <v>0</v>
          </cell>
          <cell r="KR295">
            <v>0</v>
          </cell>
          <cell r="KS295">
            <v>0</v>
          </cell>
          <cell r="KT295">
            <v>0</v>
          </cell>
          <cell r="KU295">
            <v>0</v>
          </cell>
          <cell r="KV295">
            <v>0</v>
          </cell>
          <cell r="KW295">
            <v>0</v>
          </cell>
          <cell r="LW295">
            <v>0</v>
          </cell>
          <cell r="LX295">
            <v>0</v>
          </cell>
          <cell r="MT295">
            <v>0</v>
          </cell>
          <cell r="MU295">
            <v>0</v>
          </cell>
          <cell r="NQ295">
            <v>0</v>
          </cell>
          <cell r="NR295">
            <v>0</v>
          </cell>
          <cell r="ON295">
            <v>0</v>
          </cell>
          <cell r="OO295">
            <v>0</v>
          </cell>
          <cell r="PK295">
            <v>0</v>
          </cell>
          <cell r="PL295">
            <v>0</v>
          </cell>
          <cell r="QH295">
            <v>0</v>
          </cell>
          <cell r="QI295">
            <v>0</v>
          </cell>
          <cell r="RE295">
            <v>0</v>
          </cell>
          <cell r="RF295">
            <v>0</v>
          </cell>
          <cell r="SB295">
            <v>0</v>
          </cell>
          <cell r="SC295">
            <v>0</v>
          </cell>
          <cell r="SY295">
            <v>0</v>
          </cell>
          <cell r="SZ295">
            <v>0</v>
          </cell>
          <cell r="TV295">
            <v>0</v>
          </cell>
          <cell r="TW295">
            <v>0</v>
          </cell>
          <cell r="US295">
            <v>0</v>
          </cell>
          <cell r="UT295">
            <v>0</v>
          </cell>
          <cell r="VP295">
            <v>0</v>
          </cell>
          <cell r="VQ295">
            <v>0</v>
          </cell>
          <cell r="WM295">
            <v>0</v>
          </cell>
          <cell r="WN295">
            <v>0</v>
          </cell>
          <cell r="XJ295">
            <v>0</v>
          </cell>
          <cell r="XK295">
            <v>0</v>
          </cell>
          <cell r="YG295">
            <v>0</v>
          </cell>
          <cell r="YH295">
            <v>0</v>
          </cell>
          <cell r="ZD295">
            <v>0</v>
          </cell>
          <cell r="ZE295">
            <v>0</v>
          </cell>
          <cell r="AAA295">
            <v>0</v>
          </cell>
          <cell r="AAB295">
            <v>0</v>
          </cell>
          <cell r="ACR295">
            <v>0</v>
          </cell>
          <cell r="ACS295">
            <v>0</v>
          </cell>
          <cell r="ADO295">
            <v>0</v>
          </cell>
          <cell r="ADP295">
            <v>0</v>
          </cell>
          <cell r="ADR295">
            <v>0</v>
          </cell>
          <cell r="ADS295">
            <v>0</v>
          </cell>
          <cell r="ADT295">
            <v>0</v>
          </cell>
          <cell r="ADU295">
            <v>0</v>
          </cell>
          <cell r="ADV295">
            <v>0</v>
          </cell>
          <cell r="ADW295">
            <v>0</v>
          </cell>
          <cell r="ADX295">
            <v>0</v>
          </cell>
          <cell r="ADY295">
            <v>0</v>
          </cell>
          <cell r="ADZ295">
            <v>0</v>
          </cell>
          <cell r="AEA295">
            <v>0</v>
          </cell>
          <cell r="AEB295">
            <v>0</v>
          </cell>
          <cell r="AEC295">
            <v>0</v>
          </cell>
          <cell r="AED295">
            <v>0</v>
          </cell>
          <cell r="AEE295">
            <v>0</v>
          </cell>
          <cell r="AEF295">
            <v>0</v>
          </cell>
          <cell r="AEG295">
            <v>0</v>
          </cell>
          <cell r="AEH295">
            <v>0</v>
          </cell>
          <cell r="AEI295">
            <v>0</v>
          </cell>
          <cell r="AEJ295">
            <v>0</v>
          </cell>
          <cell r="AEK295">
            <v>0</v>
          </cell>
          <cell r="AEO295">
            <v>0</v>
          </cell>
          <cell r="AEP295">
            <v>0</v>
          </cell>
          <cell r="AEQ295">
            <v>0</v>
          </cell>
          <cell r="AER295">
            <v>0</v>
          </cell>
          <cell r="AES295">
            <v>0</v>
          </cell>
          <cell r="AET295">
            <v>0</v>
          </cell>
          <cell r="AEW295">
            <v>0</v>
          </cell>
          <cell r="AEX295">
            <v>0</v>
          </cell>
          <cell r="AEY295">
            <v>0</v>
          </cell>
          <cell r="AEZ295">
            <v>0</v>
          </cell>
          <cell r="AFB295">
            <v>0</v>
          </cell>
          <cell r="AFC295">
            <v>0</v>
          </cell>
          <cell r="AFD295">
            <v>0</v>
          </cell>
          <cell r="AFE295">
            <v>0</v>
          </cell>
          <cell r="AFF295">
            <v>0</v>
          </cell>
          <cell r="AFG295">
            <v>0</v>
          </cell>
          <cell r="AFH295">
            <v>0</v>
          </cell>
          <cell r="AFI295">
            <v>0</v>
          </cell>
          <cell r="AFJ295">
            <v>0</v>
          </cell>
          <cell r="AFK295">
            <v>0</v>
          </cell>
          <cell r="AGC295">
            <v>0</v>
          </cell>
          <cell r="AGD295">
            <v>0</v>
          </cell>
          <cell r="AGI295">
            <v>85</v>
          </cell>
          <cell r="AGK295">
            <v>0</v>
          </cell>
          <cell r="AGM295">
            <v>0</v>
          </cell>
          <cell r="AGO295">
            <v>0</v>
          </cell>
          <cell r="AGQ295">
            <v>0</v>
          </cell>
          <cell r="AGV295">
            <v>0</v>
          </cell>
          <cell r="AGW295">
            <v>0</v>
          </cell>
          <cell r="AGX295">
            <v>0</v>
          </cell>
          <cell r="AIS295">
            <v>166</v>
          </cell>
          <cell r="AIT295">
            <v>0</v>
          </cell>
          <cell r="AIZ295">
            <v>38</v>
          </cell>
          <cell r="AJA295">
            <v>123</v>
          </cell>
          <cell r="AJB295">
            <v>5</v>
          </cell>
          <cell r="AJF295">
            <v>0</v>
          </cell>
          <cell r="AJG295">
            <v>8</v>
          </cell>
          <cell r="AJH295">
            <v>76</v>
          </cell>
          <cell r="AJI295">
            <v>58</v>
          </cell>
          <cell r="AJJ295">
            <v>24</v>
          </cell>
          <cell r="AJN295">
            <v>158</v>
          </cell>
          <cell r="AJP295">
            <v>0</v>
          </cell>
          <cell r="AJQ295">
            <v>0</v>
          </cell>
          <cell r="AJS295">
            <v>2</v>
          </cell>
          <cell r="AJT295">
            <v>0</v>
          </cell>
          <cell r="AJU295">
            <v>166</v>
          </cell>
          <cell r="AKA295">
            <v>166</v>
          </cell>
          <cell r="AKH295">
            <v>166</v>
          </cell>
          <cell r="AKL295">
            <v>166</v>
          </cell>
          <cell r="ALE295">
            <v>47</v>
          </cell>
          <cell r="ALF295">
            <v>113</v>
          </cell>
          <cell r="ALG295">
            <v>6</v>
          </cell>
          <cell r="ALH295">
            <v>1</v>
          </cell>
          <cell r="ALI295">
            <v>165</v>
          </cell>
          <cell r="ALJ295">
            <v>0</v>
          </cell>
          <cell r="ALK295">
            <v>84</v>
          </cell>
          <cell r="ALL295">
            <v>77</v>
          </cell>
          <cell r="ALM295">
            <v>4</v>
          </cell>
          <cell r="ALZ295">
            <v>203</v>
          </cell>
          <cell r="AMA295">
            <v>80</v>
          </cell>
          <cell r="AMM295">
            <v>76295</v>
          </cell>
          <cell r="AMN295">
            <v>68</v>
          </cell>
          <cell r="AMO295">
            <v>214</v>
          </cell>
        </row>
        <row r="344">
          <cell r="S344">
            <v>22</v>
          </cell>
          <cell r="T344">
            <v>0</v>
          </cell>
          <cell r="U344">
            <v>26</v>
          </cell>
          <cell r="V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>
            <v>0</v>
          </cell>
          <cell r="BE344">
            <v>0</v>
          </cell>
          <cell r="BF344">
            <v>0</v>
          </cell>
          <cell r="BG344">
            <v>0</v>
          </cell>
          <cell r="BH344">
            <v>0</v>
          </cell>
          <cell r="BI344">
            <v>0</v>
          </cell>
          <cell r="BJ344">
            <v>0</v>
          </cell>
          <cell r="BK344">
            <v>0</v>
          </cell>
          <cell r="BL344">
            <v>0</v>
          </cell>
          <cell r="BM344">
            <v>0</v>
          </cell>
          <cell r="BN344">
            <v>0</v>
          </cell>
          <cell r="BR344">
            <v>0</v>
          </cell>
          <cell r="BS344">
            <v>0</v>
          </cell>
          <cell r="BT344">
            <v>0</v>
          </cell>
          <cell r="BU344">
            <v>0</v>
          </cell>
          <cell r="BV344">
            <v>0</v>
          </cell>
          <cell r="BW344">
            <v>0</v>
          </cell>
          <cell r="BX344">
            <v>0</v>
          </cell>
          <cell r="BY344">
            <v>0</v>
          </cell>
          <cell r="BZ344">
            <v>0</v>
          </cell>
          <cell r="CA344">
            <v>0</v>
          </cell>
          <cell r="CE344">
            <v>0</v>
          </cell>
          <cell r="CF344">
            <v>0</v>
          </cell>
          <cell r="CG344">
            <v>0</v>
          </cell>
          <cell r="CH344">
            <v>0</v>
          </cell>
          <cell r="CI344">
            <v>0</v>
          </cell>
          <cell r="CJ344">
            <v>0</v>
          </cell>
          <cell r="CK344">
            <v>0</v>
          </cell>
          <cell r="CL344">
            <v>0</v>
          </cell>
          <cell r="CM344">
            <v>0</v>
          </cell>
          <cell r="CN344">
            <v>0</v>
          </cell>
          <cell r="CR344">
            <v>0</v>
          </cell>
          <cell r="CS344">
            <v>0</v>
          </cell>
          <cell r="CT344">
            <v>0</v>
          </cell>
          <cell r="CU344">
            <v>0</v>
          </cell>
          <cell r="CV344">
            <v>0</v>
          </cell>
          <cell r="CW344">
            <v>0</v>
          </cell>
          <cell r="CX344">
            <v>0</v>
          </cell>
          <cell r="CY344">
            <v>0</v>
          </cell>
          <cell r="CZ344">
            <v>0</v>
          </cell>
          <cell r="DA344">
            <v>0</v>
          </cell>
          <cell r="DE344">
            <v>0</v>
          </cell>
          <cell r="DF344">
            <v>0</v>
          </cell>
          <cell r="DG344">
            <v>0</v>
          </cell>
          <cell r="DH344">
            <v>0</v>
          </cell>
          <cell r="DI344">
            <v>0</v>
          </cell>
          <cell r="DJ344">
            <v>0</v>
          </cell>
          <cell r="DK344">
            <v>0</v>
          </cell>
          <cell r="DL344">
            <v>0</v>
          </cell>
          <cell r="DM344">
            <v>0</v>
          </cell>
          <cell r="DN344">
            <v>0</v>
          </cell>
          <cell r="EQ344">
            <v>0</v>
          </cell>
          <cell r="ER344">
            <v>0</v>
          </cell>
          <cell r="ES344">
            <v>0</v>
          </cell>
          <cell r="ET344">
            <v>0</v>
          </cell>
          <cell r="EU344">
            <v>0</v>
          </cell>
          <cell r="EV344">
            <v>0</v>
          </cell>
          <cell r="EW344">
            <v>0</v>
          </cell>
          <cell r="EX344">
            <v>0</v>
          </cell>
          <cell r="EY344">
            <v>0</v>
          </cell>
          <cell r="EZ344">
            <v>0</v>
          </cell>
          <cell r="FA344">
            <v>0</v>
          </cell>
          <cell r="FB344">
            <v>0</v>
          </cell>
          <cell r="FC344">
            <v>0</v>
          </cell>
          <cell r="FD344">
            <v>0</v>
          </cell>
          <cell r="FE344">
            <v>0</v>
          </cell>
          <cell r="FF344">
            <v>0</v>
          </cell>
          <cell r="FG344">
            <v>0</v>
          </cell>
          <cell r="FH344">
            <v>0</v>
          </cell>
          <cell r="FM344">
            <v>0</v>
          </cell>
          <cell r="FN344">
            <v>0</v>
          </cell>
          <cell r="FO344">
            <v>0</v>
          </cell>
          <cell r="FP344">
            <v>0</v>
          </cell>
          <cell r="FQ344">
            <v>0</v>
          </cell>
          <cell r="FR344">
            <v>0</v>
          </cell>
          <cell r="FS344">
            <v>0</v>
          </cell>
          <cell r="FT344">
            <v>0</v>
          </cell>
          <cell r="FU344">
            <v>0</v>
          </cell>
          <cell r="FV344">
            <v>0</v>
          </cell>
          <cell r="FW344">
            <v>0</v>
          </cell>
          <cell r="FX344">
            <v>0</v>
          </cell>
          <cell r="GB344">
            <v>0</v>
          </cell>
          <cell r="GC344">
            <v>0</v>
          </cell>
          <cell r="GD344">
            <v>0</v>
          </cell>
          <cell r="GE344">
            <v>0</v>
          </cell>
          <cell r="GF344">
            <v>0</v>
          </cell>
          <cell r="GG344">
            <v>0</v>
          </cell>
          <cell r="GH344">
            <v>0</v>
          </cell>
          <cell r="GI344">
            <v>0</v>
          </cell>
          <cell r="GJ344">
            <v>0</v>
          </cell>
          <cell r="GK344">
            <v>0</v>
          </cell>
          <cell r="GL344">
            <v>0</v>
          </cell>
          <cell r="GM344">
            <v>0</v>
          </cell>
          <cell r="GQ344">
            <v>0</v>
          </cell>
          <cell r="GR344">
            <v>0</v>
          </cell>
          <cell r="GS344">
            <v>0</v>
          </cell>
          <cell r="GT344">
            <v>0</v>
          </cell>
          <cell r="GU344">
            <v>0</v>
          </cell>
          <cell r="GV344">
            <v>0</v>
          </cell>
          <cell r="GW344">
            <v>0</v>
          </cell>
          <cell r="GX344">
            <v>0</v>
          </cell>
          <cell r="GY344">
            <v>0</v>
          </cell>
          <cell r="GZ344">
            <v>0</v>
          </cell>
          <cell r="HA344">
            <v>0</v>
          </cell>
          <cell r="HB344">
            <v>0</v>
          </cell>
          <cell r="HF344">
            <v>0</v>
          </cell>
          <cell r="HG344">
            <v>0</v>
          </cell>
          <cell r="HH344">
            <v>0</v>
          </cell>
          <cell r="HI344">
            <v>0</v>
          </cell>
          <cell r="HJ344">
            <v>0</v>
          </cell>
          <cell r="HK344">
            <v>0</v>
          </cell>
          <cell r="HL344">
            <v>0</v>
          </cell>
          <cell r="HM344">
            <v>0</v>
          </cell>
          <cell r="HN344">
            <v>0</v>
          </cell>
          <cell r="HO344">
            <v>0</v>
          </cell>
          <cell r="HP344">
            <v>0</v>
          </cell>
          <cell r="HQ344">
            <v>0</v>
          </cell>
          <cell r="HU344">
            <v>0</v>
          </cell>
          <cell r="HV344">
            <v>0</v>
          </cell>
          <cell r="HW344">
            <v>0</v>
          </cell>
          <cell r="HX344">
            <v>0</v>
          </cell>
          <cell r="HY344">
            <v>0</v>
          </cell>
          <cell r="HZ344">
            <v>0</v>
          </cell>
          <cell r="IA344">
            <v>0</v>
          </cell>
          <cell r="IB344">
            <v>0</v>
          </cell>
          <cell r="IC344">
            <v>0</v>
          </cell>
          <cell r="ID344">
            <v>0</v>
          </cell>
          <cell r="IE344">
            <v>0</v>
          </cell>
          <cell r="IF344">
            <v>0</v>
          </cell>
          <cell r="IY344">
            <v>38</v>
          </cell>
          <cell r="IZ344">
            <v>10</v>
          </cell>
          <cell r="JA344">
            <v>0</v>
          </cell>
          <cell r="JB344">
            <v>0</v>
          </cell>
          <cell r="JC344">
            <v>0</v>
          </cell>
          <cell r="JD344">
            <v>0</v>
          </cell>
          <cell r="JE344">
            <v>0</v>
          </cell>
          <cell r="JF344">
            <v>0</v>
          </cell>
          <cell r="KI344">
            <v>0</v>
          </cell>
          <cell r="KJ344">
            <v>0</v>
          </cell>
          <cell r="KK344">
            <v>0</v>
          </cell>
          <cell r="KL344">
            <v>0</v>
          </cell>
          <cell r="KM344">
            <v>0</v>
          </cell>
          <cell r="KN344">
            <v>0</v>
          </cell>
          <cell r="KO344">
            <v>0</v>
          </cell>
          <cell r="KP344">
            <v>0</v>
          </cell>
          <cell r="KQ344">
            <v>0</v>
          </cell>
          <cell r="KR344">
            <v>0</v>
          </cell>
          <cell r="KS344">
            <v>0</v>
          </cell>
          <cell r="KT344">
            <v>0</v>
          </cell>
          <cell r="KU344">
            <v>0</v>
          </cell>
          <cell r="KV344">
            <v>0</v>
          </cell>
          <cell r="KW344">
            <v>0</v>
          </cell>
          <cell r="LW344">
            <v>0</v>
          </cell>
          <cell r="LX344">
            <v>0</v>
          </cell>
          <cell r="MT344">
            <v>0</v>
          </cell>
          <cell r="MU344">
            <v>0</v>
          </cell>
          <cell r="NQ344">
            <v>0</v>
          </cell>
          <cell r="NR344">
            <v>0</v>
          </cell>
          <cell r="PK344">
            <v>0</v>
          </cell>
          <cell r="PL344">
            <v>0</v>
          </cell>
          <cell r="QH344">
            <v>0</v>
          </cell>
          <cell r="QI344">
            <v>0</v>
          </cell>
          <cell r="RE344">
            <v>0</v>
          </cell>
          <cell r="RF344">
            <v>0</v>
          </cell>
          <cell r="SB344">
            <v>0</v>
          </cell>
          <cell r="SC344">
            <v>0</v>
          </cell>
          <cell r="SY344">
            <v>0</v>
          </cell>
          <cell r="SZ344">
            <v>0</v>
          </cell>
          <cell r="TV344">
            <v>0</v>
          </cell>
          <cell r="TW344">
            <v>0</v>
          </cell>
          <cell r="US344">
            <v>0</v>
          </cell>
          <cell r="UT344">
            <v>0</v>
          </cell>
          <cell r="VP344">
            <v>0</v>
          </cell>
          <cell r="VQ344">
            <v>0</v>
          </cell>
          <cell r="WM344">
            <v>0</v>
          </cell>
          <cell r="WN344">
            <v>0</v>
          </cell>
          <cell r="XJ344">
            <v>0</v>
          </cell>
          <cell r="XK344">
            <v>0</v>
          </cell>
          <cell r="YG344">
            <v>0</v>
          </cell>
          <cell r="YH344">
            <v>0</v>
          </cell>
          <cell r="ZD344">
            <v>0</v>
          </cell>
          <cell r="ZE344">
            <v>0</v>
          </cell>
          <cell r="AAA344">
            <v>0</v>
          </cell>
          <cell r="AAB344">
            <v>0</v>
          </cell>
          <cell r="AAX344">
            <v>0</v>
          </cell>
          <cell r="AAY344">
            <v>0</v>
          </cell>
          <cell r="ACR344">
            <v>0</v>
          </cell>
          <cell r="ACS344">
            <v>0</v>
          </cell>
          <cell r="ADO344">
            <v>0</v>
          </cell>
          <cell r="ADP344">
            <v>0</v>
          </cell>
          <cell r="ADR344">
            <v>0</v>
          </cell>
          <cell r="ADS344">
            <v>0</v>
          </cell>
          <cell r="ADT344">
            <v>0</v>
          </cell>
          <cell r="ADU344">
            <v>0</v>
          </cell>
          <cell r="ADV344">
            <v>0</v>
          </cell>
          <cell r="ADW344">
            <v>0</v>
          </cell>
          <cell r="ADX344">
            <v>0</v>
          </cell>
          <cell r="ADY344">
            <v>0</v>
          </cell>
          <cell r="ADZ344">
            <v>0</v>
          </cell>
          <cell r="AEA344">
            <v>0</v>
          </cell>
          <cell r="AEB344">
            <v>0</v>
          </cell>
          <cell r="AEC344">
            <v>0</v>
          </cell>
          <cell r="AED344">
            <v>0</v>
          </cell>
          <cell r="AEE344">
            <v>0</v>
          </cell>
          <cell r="AEF344">
            <v>0</v>
          </cell>
          <cell r="AEG344">
            <v>0</v>
          </cell>
          <cell r="AEH344">
            <v>0</v>
          </cell>
          <cell r="AEI344">
            <v>0</v>
          </cell>
          <cell r="AEJ344">
            <v>0</v>
          </cell>
          <cell r="AEK344">
            <v>0</v>
          </cell>
          <cell r="AEO344">
            <v>0</v>
          </cell>
          <cell r="AEP344">
            <v>0</v>
          </cell>
          <cell r="AEQ344">
            <v>0</v>
          </cell>
          <cell r="AER344">
            <v>0</v>
          </cell>
          <cell r="AES344">
            <v>0</v>
          </cell>
          <cell r="AET344">
            <v>0</v>
          </cell>
          <cell r="AEW344">
            <v>0</v>
          </cell>
          <cell r="AEX344">
            <v>0</v>
          </cell>
          <cell r="AEY344">
            <v>0</v>
          </cell>
          <cell r="AEZ344">
            <v>0</v>
          </cell>
          <cell r="AFB344">
            <v>0</v>
          </cell>
          <cell r="AFC344">
            <v>0</v>
          </cell>
          <cell r="AFD344">
            <v>0</v>
          </cell>
          <cell r="AFE344">
            <v>0</v>
          </cell>
          <cell r="AFF344">
            <v>0</v>
          </cell>
          <cell r="AFG344">
            <v>0</v>
          </cell>
          <cell r="AFH344">
            <v>0</v>
          </cell>
          <cell r="AFI344">
            <v>0</v>
          </cell>
          <cell r="AFJ344">
            <v>0</v>
          </cell>
          <cell r="AFK344">
            <v>0</v>
          </cell>
          <cell r="AGC344">
            <v>0</v>
          </cell>
          <cell r="AGD344">
            <v>0</v>
          </cell>
          <cell r="AGI344">
            <v>6</v>
          </cell>
          <cell r="AGK344">
            <v>0</v>
          </cell>
          <cell r="AGM344">
            <v>0</v>
          </cell>
          <cell r="AGO344">
            <v>0</v>
          </cell>
          <cell r="AGQ344">
            <v>0</v>
          </cell>
          <cell r="AGV344">
            <v>0</v>
          </cell>
          <cell r="AGW344">
            <v>0</v>
          </cell>
          <cell r="AGX344">
            <v>0</v>
          </cell>
          <cell r="AIS344">
            <v>36</v>
          </cell>
          <cell r="AIT344">
            <v>0</v>
          </cell>
          <cell r="AIZ344">
            <v>24</v>
          </cell>
          <cell r="AJA344">
            <v>12</v>
          </cell>
          <cell r="AJB344">
            <v>0</v>
          </cell>
          <cell r="AJF344">
            <v>8</v>
          </cell>
          <cell r="AJG344">
            <v>5</v>
          </cell>
          <cell r="AJH344">
            <v>18</v>
          </cell>
          <cell r="AJI344">
            <v>5</v>
          </cell>
          <cell r="AJJ344">
            <v>0</v>
          </cell>
          <cell r="AJN344">
            <v>27</v>
          </cell>
          <cell r="AJP344">
            <v>0</v>
          </cell>
          <cell r="AJQ344">
            <v>0</v>
          </cell>
          <cell r="AJR344">
            <v>0</v>
          </cell>
          <cell r="AJS344">
            <v>9</v>
          </cell>
          <cell r="AJT344">
            <v>0</v>
          </cell>
          <cell r="AJU344">
            <v>36</v>
          </cell>
          <cell r="AKA344">
            <v>36</v>
          </cell>
          <cell r="AKH344">
            <v>36</v>
          </cell>
          <cell r="AKL344">
            <v>35</v>
          </cell>
          <cell r="ALE344">
            <v>22</v>
          </cell>
          <cell r="ALF344">
            <v>12</v>
          </cell>
          <cell r="ALG344">
            <v>2</v>
          </cell>
          <cell r="ALH344">
            <v>0</v>
          </cell>
          <cell r="ALI344">
            <v>36</v>
          </cell>
          <cell r="ALJ344">
            <v>0</v>
          </cell>
          <cell r="ALK344">
            <v>14</v>
          </cell>
          <cell r="ALL344">
            <v>18</v>
          </cell>
          <cell r="ALM344">
            <v>4</v>
          </cell>
          <cell r="ALZ344">
            <v>27</v>
          </cell>
          <cell r="AMA344">
            <v>21</v>
          </cell>
          <cell r="AMM344">
            <v>6982</v>
          </cell>
          <cell r="AMN344">
            <v>5</v>
          </cell>
          <cell r="AMO344">
            <v>43</v>
          </cell>
        </row>
        <row r="346">
          <cell r="S346">
            <v>1</v>
          </cell>
          <cell r="T346">
            <v>0</v>
          </cell>
          <cell r="U346">
            <v>0</v>
          </cell>
          <cell r="V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0</v>
          </cell>
          <cell r="AZ346">
            <v>0</v>
          </cell>
          <cell r="BA346">
            <v>0</v>
          </cell>
          <cell r="BE346">
            <v>0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J346">
            <v>0</v>
          </cell>
          <cell r="BK346">
            <v>0</v>
          </cell>
          <cell r="BL346">
            <v>0</v>
          </cell>
          <cell r="BM346">
            <v>0</v>
          </cell>
          <cell r="BN346">
            <v>0</v>
          </cell>
          <cell r="BR346">
            <v>0</v>
          </cell>
          <cell r="BS346">
            <v>0</v>
          </cell>
          <cell r="BT346">
            <v>0</v>
          </cell>
          <cell r="BU346">
            <v>0</v>
          </cell>
          <cell r="BV346">
            <v>0</v>
          </cell>
          <cell r="BW346">
            <v>0</v>
          </cell>
          <cell r="BX346">
            <v>0</v>
          </cell>
          <cell r="BY346">
            <v>0</v>
          </cell>
          <cell r="BZ346">
            <v>0</v>
          </cell>
          <cell r="CA346">
            <v>0</v>
          </cell>
          <cell r="CE346">
            <v>0</v>
          </cell>
          <cell r="CF346">
            <v>0</v>
          </cell>
          <cell r="CG346">
            <v>0</v>
          </cell>
          <cell r="CH346">
            <v>0</v>
          </cell>
          <cell r="CI346">
            <v>0</v>
          </cell>
          <cell r="CJ346">
            <v>0</v>
          </cell>
          <cell r="CK346">
            <v>0</v>
          </cell>
          <cell r="CL346">
            <v>0</v>
          </cell>
          <cell r="CM346">
            <v>0</v>
          </cell>
          <cell r="CN346">
            <v>0</v>
          </cell>
          <cell r="CR346">
            <v>0</v>
          </cell>
          <cell r="CS346">
            <v>0</v>
          </cell>
          <cell r="CT346">
            <v>0</v>
          </cell>
          <cell r="CU346">
            <v>0</v>
          </cell>
          <cell r="CV346">
            <v>0</v>
          </cell>
          <cell r="CW346">
            <v>0</v>
          </cell>
          <cell r="CX346">
            <v>0</v>
          </cell>
          <cell r="CY346">
            <v>0</v>
          </cell>
          <cell r="CZ346">
            <v>0</v>
          </cell>
          <cell r="DA346">
            <v>0</v>
          </cell>
          <cell r="DE346">
            <v>0</v>
          </cell>
          <cell r="DF346">
            <v>0</v>
          </cell>
          <cell r="DG346">
            <v>0</v>
          </cell>
          <cell r="DH346">
            <v>0</v>
          </cell>
          <cell r="DI346">
            <v>0</v>
          </cell>
          <cell r="DJ346">
            <v>0</v>
          </cell>
          <cell r="DK346">
            <v>0</v>
          </cell>
          <cell r="DL346">
            <v>0</v>
          </cell>
          <cell r="DM346">
            <v>0</v>
          </cell>
          <cell r="DN346">
            <v>0</v>
          </cell>
          <cell r="EQ346">
            <v>0</v>
          </cell>
          <cell r="ER346">
            <v>0</v>
          </cell>
          <cell r="ES346">
            <v>0</v>
          </cell>
          <cell r="ET346">
            <v>0</v>
          </cell>
          <cell r="EU346">
            <v>0</v>
          </cell>
          <cell r="EV346">
            <v>0</v>
          </cell>
          <cell r="EW346">
            <v>0</v>
          </cell>
          <cell r="EX346">
            <v>0</v>
          </cell>
          <cell r="EY346">
            <v>0</v>
          </cell>
          <cell r="EZ346">
            <v>0</v>
          </cell>
          <cell r="FA346">
            <v>0</v>
          </cell>
          <cell r="FB346">
            <v>0</v>
          </cell>
          <cell r="FC346">
            <v>0</v>
          </cell>
          <cell r="FD346">
            <v>0</v>
          </cell>
          <cell r="FE346">
            <v>0</v>
          </cell>
          <cell r="FF346">
            <v>0</v>
          </cell>
          <cell r="FG346">
            <v>0</v>
          </cell>
          <cell r="FH346">
            <v>0</v>
          </cell>
          <cell r="FM346">
            <v>0</v>
          </cell>
          <cell r="FN346">
            <v>0</v>
          </cell>
          <cell r="FO346">
            <v>0</v>
          </cell>
          <cell r="FP346">
            <v>0</v>
          </cell>
          <cell r="FQ346">
            <v>0</v>
          </cell>
          <cell r="FR346">
            <v>0</v>
          </cell>
          <cell r="FS346">
            <v>0</v>
          </cell>
          <cell r="FT346">
            <v>0</v>
          </cell>
          <cell r="FU346">
            <v>0</v>
          </cell>
          <cell r="FV346">
            <v>0</v>
          </cell>
          <cell r="FW346">
            <v>0</v>
          </cell>
          <cell r="FX346">
            <v>0</v>
          </cell>
          <cell r="GB346">
            <v>0</v>
          </cell>
          <cell r="GC346">
            <v>0</v>
          </cell>
          <cell r="GD346">
            <v>0</v>
          </cell>
          <cell r="GE346">
            <v>0</v>
          </cell>
          <cell r="GF346">
            <v>0</v>
          </cell>
          <cell r="GG346">
            <v>0</v>
          </cell>
          <cell r="GH346">
            <v>0</v>
          </cell>
          <cell r="GI346">
            <v>0</v>
          </cell>
          <cell r="GJ346">
            <v>0</v>
          </cell>
          <cell r="GK346">
            <v>0</v>
          </cell>
          <cell r="GL346">
            <v>0</v>
          </cell>
          <cell r="GM346">
            <v>0</v>
          </cell>
          <cell r="GQ346">
            <v>0</v>
          </cell>
          <cell r="GR346">
            <v>0</v>
          </cell>
          <cell r="GS346">
            <v>0</v>
          </cell>
          <cell r="GT346">
            <v>0</v>
          </cell>
          <cell r="GU346">
            <v>0</v>
          </cell>
          <cell r="GV346">
            <v>0</v>
          </cell>
          <cell r="GW346">
            <v>0</v>
          </cell>
          <cell r="GX346">
            <v>0</v>
          </cell>
          <cell r="GY346">
            <v>0</v>
          </cell>
          <cell r="GZ346">
            <v>0</v>
          </cell>
          <cell r="HA346">
            <v>0</v>
          </cell>
          <cell r="HB346">
            <v>0</v>
          </cell>
          <cell r="HF346">
            <v>0</v>
          </cell>
          <cell r="HG346">
            <v>0</v>
          </cell>
          <cell r="HH346">
            <v>0</v>
          </cell>
          <cell r="HI346">
            <v>0</v>
          </cell>
          <cell r="HJ346">
            <v>0</v>
          </cell>
          <cell r="HK346">
            <v>0</v>
          </cell>
          <cell r="HL346">
            <v>0</v>
          </cell>
          <cell r="HM346">
            <v>0</v>
          </cell>
          <cell r="HN346">
            <v>0</v>
          </cell>
          <cell r="HO346">
            <v>0</v>
          </cell>
          <cell r="HP346">
            <v>0</v>
          </cell>
          <cell r="HQ346">
            <v>0</v>
          </cell>
          <cell r="HU346">
            <v>0</v>
          </cell>
          <cell r="HV346">
            <v>0</v>
          </cell>
          <cell r="HW346">
            <v>0</v>
          </cell>
          <cell r="HX346">
            <v>0</v>
          </cell>
          <cell r="HY346">
            <v>0</v>
          </cell>
          <cell r="HZ346">
            <v>0</v>
          </cell>
          <cell r="IA346">
            <v>0</v>
          </cell>
          <cell r="IB346">
            <v>0</v>
          </cell>
          <cell r="IC346">
            <v>0</v>
          </cell>
          <cell r="ID346">
            <v>0</v>
          </cell>
          <cell r="IE346">
            <v>0</v>
          </cell>
          <cell r="IF346">
            <v>0</v>
          </cell>
          <cell r="IY346">
            <v>1</v>
          </cell>
          <cell r="IZ346">
            <v>0</v>
          </cell>
          <cell r="JA346">
            <v>0</v>
          </cell>
          <cell r="JB346">
            <v>0</v>
          </cell>
          <cell r="JC346">
            <v>0</v>
          </cell>
          <cell r="JD346">
            <v>0</v>
          </cell>
          <cell r="JE346">
            <v>0</v>
          </cell>
          <cell r="JF346">
            <v>0</v>
          </cell>
          <cell r="KI346">
            <v>0</v>
          </cell>
          <cell r="KJ346">
            <v>0</v>
          </cell>
          <cell r="KK346">
            <v>0</v>
          </cell>
          <cell r="KL346">
            <v>0</v>
          </cell>
          <cell r="KM346">
            <v>0</v>
          </cell>
          <cell r="KN346">
            <v>0</v>
          </cell>
          <cell r="KO346">
            <v>0</v>
          </cell>
          <cell r="KP346">
            <v>0</v>
          </cell>
          <cell r="KQ346">
            <v>0</v>
          </cell>
          <cell r="KR346">
            <v>0</v>
          </cell>
          <cell r="KS346">
            <v>0</v>
          </cell>
          <cell r="KT346">
            <v>0</v>
          </cell>
          <cell r="KU346">
            <v>0</v>
          </cell>
          <cell r="KV346">
            <v>0</v>
          </cell>
          <cell r="KW346">
            <v>0</v>
          </cell>
          <cell r="LW346">
            <v>0</v>
          </cell>
          <cell r="LX346">
            <v>0</v>
          </cell>
          <cell r="MT346">
            <v>0</v>
          </cell>
          <cell r="MU346">
            <v>0</v>
          </cell>
          <cell r="NQ346">
            <v>0</v>
          </cell>
          <cell r="NR346">
            <v>0</v>
          </cell>
          <cell r="PK346">
            <v>0</v>
          </cell>
          <cell r="PL346">
            <v>0</v>
          </cell>
          <cell r="QH346">
            <v>0</v>
          </cell>
          <cell r="QI346">
            <v>0</v>
          </cell>
          <cell r="SB346">
            <v>0</v>
          </cell>
          <cell r="SC346">
            <v>0</v>
          </cell>
          <cell r="SY346">
            <v>0</v>
          </cell>
          <cell r="SZ346">
            <v>0</v>
          </cell>
          <cell r="TV346">
            <v>0</v>
          </cell>
          <cell r="TW346">
            <v>0</v>
          </cell>
          <cell r="US346">
            <v>0</v>
          </cell>
          <cell r="UT346">
            <v>0</v>
          </cell>
          <cell r="ZD346">
            <v>0</v>
          </cell>
          <cell r="ZE346">
            <v>0</v>
          </cell>
          <cell r="ACR346">
            <v>0</v>
          </cell>
          <cell r="ACS346">
            <v>0</v>
          </cell>
          <cell r="ADO346">
            <v>0</v>
          </cell>
          <cell r="ADP346">
            <v>0</v>
          </cell>
          <cell r="ADR346">
            <v>0</v>
          </cell>
          <cell r="ADS346">
            <v>0</v>
          </cell>
          <cell r="ADT346">
            <v>0</v>
          </cell>
          <cell r="ADV346">
            <v>0</v>
          </cell>
          <cell r="ADW346">
            <v>0</v>
          </cell>
          <cell r="ADX346">
            <v>0</v>
          </cell>
          <cell r="ADY346">
            <v>0</v>
          </cell>
          <cell r="ADZ346">
            <v>0</v>
          </cell>
          <cell r="AEA346">
            <v>0</v>
          </cell>
          <cell r="AEB346">
            <v>0</v>
          </cell>
          <cell r="AEC346">
            <v>0</v>
          </cell>
          <cell r="AED346">
            <v>0</v>
          </cell>
          <cell r="AEE346">
            <v>0</v>
          </cell>
          <cell r="AEF346">
            <v>0</v>
          </cell>
          <cell r="AEG346">
            <v>0</v>
          </cell>
          <cell r="AEH346">
            <v>0</v>
          </cell>
          <cell r="AEI346">
            <v>0</v>
          </cell>
          <cell r="AEJ346">
            <v>0</v>
          </cell>
          <cell r="AEK346">
            <v>0</v>
          </cell>
          <cell r="AEO346">
            <v>0</v>
          </cell>
          <cell r="AEP346">
            <v>0</v>
          </cell>
          <cell r="AEQ346">
            <v>0</v>
          </cell>
          <cell r="AER346">
            <v>0</v>
          </cell>
          <cell r="AES346">
            <v>0</v>
          </cell>
          <cell r="AET346">
            <v>0</v>
          </cell>
          <cell r="AEW346">
            <v>0</v>
          </cell>
          <cell r="AEX346">
            <v>0</v>
          </cell>
          <cell r="AEY346">
            <v>0</v>
          </cell>
          <cell r="AEZ346">
            <v>0</v>
          </cell>
          <cell r="AFB346">
            <v>0</v>
          </cell>
          <cell r="AFC346">
            <v>0</v>
          </cell>
          <cell r="AFD346">
            <v>0</v>
          </cell>
          <cell r="AFE346">
            <v>0</v>
          </cell>
          <cell r="AFF346">
            <v>0</v>
          </cell>
          <cell r="AFG346">
            <v>0</v>
          </cell>
          <cell r="AFH346">
            <v>0</v>
          </cell>
          <cell r="AFI346">
            <v>0</v>
          </cell>
          <cell r="AFJ346">
            <v>0</v>
          </cell>
          <cell r="AFK346">
            <v>0</v>
          </cell>
          <cell r="AGC346">
            <v>0</v>
          </cell>
          <cell r="AGD346">
            <v>0</v>
          </cell>
          <cell r="AGI346">
            <v>0</v>
          </cell>
          <cell r="AGK346">
            <v>0</v>
          </cell>
          <cell r="AGM346">
            <v>0</v>
          </cell>
          <cell r="AGO346">
            <v>0</v>
          </cell>
          <cell r="AGQ346">
            <v>0</v>
          </cell>
          <cell r="AGV346">
            <v>0</v>
          </cell>
          <cell r="AGW346">
            <v>0</v>
          </cell>
          <cell r="AGX346">
            <v>0</v>
          </cell>
          <cell r="AIS346">
            <v>1</v>
          </cell>
          <cell r="AIT346">
            <v>0</v>
          </cell>
          <cell r="AIZ346">
            <v>1</v>
          </cell>
          <cell r="AJA346">
            <v>0</v>
          </cell>
          <cell r="AJB346">
            <v>0</v>
          </cell>
          <cell r="AJF346">
            <v>0</v>
          </cell>
          <cell r="AJG346">
            <v>1</v>
          </cell>
          <cell r="AJH346">
            <v>0</v>
          </cell>
          <cell r="AJI346">
            <v>0</v>
          </cell>
          <cell r="AJJ346">
            <v>0</v>
          </cell>
          <cell r="AJN346">
            <v>1</v>
          </cell>
          <cell r="AJP346">
            <v>0</v>
          </cell>
          <cell r="AJQ346">
            <v>0</v>
          </cell>
          <cell r="AJR346">
            <v>0</v>
          </cell>
          <cell r="AJT346">
            <v>0</v>
          </cell>
          <cell r="AJU346">
            <v>1</v>
          </cell>
          <cell r="AKA346">
            <v>1</v>
          </cell>
          <cell r="AKH346">
            <v>1</v>
          </cell>
          <cell r="AKL346">
            <v>1</v>
          </cell>
          <cell r="ALE346">
            <v>1</v>
          </cell>
          <cell r="ALF346">
            <v>0</v>
          </cell>
          <cell r="ALG346">
            <v>0</v>
          </cell>
          <cell r="ALH346">
            <v>0</v>
          </cell>
          <cell r="ALI346">
            <v>1</v>
          </cell>
          <cell r="ALJ346">
            <v>0</v>
          </cell>
          <cell r="ALK346">
            <v>1</v>
          </cell>
          <cell r="ALL346">
            <v>0</v>
          </cell>
          <cell r="ALM346">
            <v>0</v>
          </cell>
          <cell r="ALZ346">
            <v>0</v>
          </cell>
          <cell r="AMA346">
            <v>1</v>
          </cell>
          <cell r="AMM346">
            <v>0</v>
          </cell>
          <cell r="AMN346">
            <v>0</v>
          </cell>
          <cell r="AMO346">
            <v>1</v>
          </cell>
        </row>
        <row r="368">
          <cell r="S368">
            <v>2</v>
          </cell>
          <cell r="T368">
            <v>0</v>
          </cell>
          <cell r="U368">
            <v>19</v>
          </cell>
          <cell r="V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  <cell r="BX368">
            <v>0</v>
          </cell>
          <cell r="BY368">
            <v>0</v>
          </cell>
          <cell r="BZ368">
            <v>0</v>
          </cell>
          <cell r="CA368">
            <v>0</v>
          </cell>
          <cell r="CE368">
            <v>0</v>
          </cell>
          <cell r="CF368">
            <v>0</v>
          </cell>
          <cell r="CG368">
            <v>0</v>
          </cell>
          <cell r="CH368">
            <v>0</v>
          </cell>
          <cell r="CI368">
            <v>0</v>
          </cell>
          <cell r="CJ368">
            <v>0</v>
          </cell>
          <cell r="CK368">
            <v>0</v>
          </cell>
          <cell r="CL368">
            <v>0</v>
          </cell>
          <cell r="CM368">
            <v>0</v>
          </cell>
          <cell r="CN368">
            <v>0</v>
          </cell>
          <cell r="CR368">
            <v>0</v>
          </cell>
          <cell r="CS368">
            <v>0</v>
          </cell>
          <cell r="CT368">
            <v>0</v>
          </cell>
          <cell r="CU368">
            <v>0</v>
          </cell>
          <cell r="CV368">
            <v>0</v>
          </cell>
          <cell r="CW368">
            <v>0</v>
          </cell>
          <cell r="CX368">
            <v>0</v>
          </cell>
          <cell r="CY368">
            <v>0</v>
          </cell>
          <cell r="CZ368">
            <v>0</v>
          </cell>
          <cell r="DA368">
            <v>0</v>
          </cell>
          <cell r="DE368">
            <v>0</v>
          </cell>
          <cell r="DF368">
            <v>0</v>
          </cell>
          <cell r="DG368">
            <v>0</v>
          </cell>
          <cell r="DH368">
            <v>0</v>
          </cell>
          <cell r="DI368">
            <v>0</v>
          </cell>
          <cell r="DJ368">
            <v>0</v>
          </cell>
          <cell r="DK368">
            <v>0</v>
          </cell>
          <cell r="DL368">
            <v>0</v>
          </cell>
          <cell r="DM368">
            <v>0</v>
          </cell>
          <cell r="DN368">
            <v>0</v>
          </cell>
          <cell r="EQ368">
            <v>0</v>
          </cell>
          <cell r="ER368">
            <v>0</v>
          </cell>
          <cell r="ES368">
            <v>0</v>
          </cell>
          <cell r="ET368">
            <v>0</v>
          </cell>
          <cell r="EU368">
            <v>0</v>
          </cell>
          <cell r="EV368">
            <v>0</v>
          </cell>
          <cell r="EW368">
            <v>0</v>
          </cell>
          <cell r="EX368">
            <v>0</v>
          </cell>
          <cell r="EY368">
            <v>0</v>
          </cell>
          <cell r="EZ368">
            <v>0</v>
          </cell>
          <cell r="FA368">
            <v>0</v>
          </cell>
          <cell r="FB368">
            <v>0</v>
          </cell>
          <cell r="FC368">
            <v>0</v>
          </cell>
          <cell r="FD368">
            <v>0</v>
          </cell>
          <cell r="FE368">
            <v>0</v>
          </cell>
          <cell r="FF368">
            <v>0</v>
          </cell>
          <cell r="FG368">
            <v>0</v>
          </cell>
          <cell r="FH368">
            <v>0</v>
          </cell>
          <cell r="FM368">
            <v>0</v>
          </cell>
          <cell r="FN368">
            <v>0</v>
          </cell>
          <cell r="FO368">
            <v>0</v>
          </cell>
          <cell r="FP368">
            <v>0</v>
          </cell>
          <cell r="FQ368">
            <v>0</v>
          </cell>
          <cell r="FR368">
            <v>0</v>
          </cell>
          <cell r="FS368">
            <v>0</v>
          </cell>
          <cell r="FT368">
            <v>0</v>
          </cell>
          <cell r="FU368">
            <v>0</v>
          </cell>
          <cell r="FV368">
            <v>0</v>
          </cell>
          <cell r="FW368">
            <v>0</v>
          </cell>
          <cell r="FX368">
            <v>0</v>
          </cell>
          <cell r="GB368">
            <v>0</v>
          </cell>
          <cell r="GC368">
            <v>0</v>
          </cell>
          <cell r="GD368">
            <v>0</v>
          </cell>
          <cell r="GE368">
            <v>0</v>
          </cell>
          <cell r="GF368">
            <v>0</v>
          </cell>
          <cell r="GG368">
            <v>0</v>
          </cell>
          <cell r="GH368">
            <v>0</v>
          </cell>
          <cell r="GI368">
            <v>0</v>
          </cell>
          <cell r="GJ368">
            <v>0</v>
          </cell>
          <cell r="GK368">
            <v>0</v>
          </cell>
          <cell r="GL368">
            <v>0</v>
          </cell>
          <cell r="GM368">
            <v>0</v>
          </cell>
          <cell r="GQ368">
            <v>0</v>
          </cell>
          <cell r="GR368">
            <v>0</v>
          </cell>
          <cell r="GS368">
            <v>0</v>
          </cell>
          <cell r="GT368">
            <v>0</v>
          </cell>
          <cell r="GU368">
            <v>0</v>
          </cell>
          <cell r="GV368">
            <v>0</v>
          </cell>
          <cell r="GW368">
            <v>0</v>
          </cell>
          <cell r="GX368">
            <v>0</v>
          </cell>
          <cell r="GY368">
            <v>0</v>
          </cell>
          <cell r="GZ368">
            <v>0</v>
          </cell>
          <cell r="HA368">
            <v>0</v>
          </cell>
          <cell r="HB368">
            <v>0</v>
          </cell>
          <cell r="HF368">
            <v>0</v>
          </cell>
          <cell r="HG368">
            <v>0</v>
          </cell>
          <cell r="HH368">
            <v>0</v>
          </cell>
          <cell r="HI368">
            <v>0</v>
          </cell>
          <cell r="HJ368">
            <v>0</v>
          </cell>
          <cell r="HK368">
            <v>0</v>
          </cell>
          <cell r="HL368">
            <v>0</v>
          </cell>
          <cell r="HM368">
            <v>0</v>
          </cell>
          <cell r="HN368">
            <v>0</v>
          </cell>
          <cell r="HO368">
            <v>0</v>
          </cell>
          <cell r="HP368">
            <v>0</v>
          </cell>
          <cell r="HQ368">
            <v>0</v>
          </cell>
          <cell r="HU368">
            <v>0</v>
          </cell>
          <cell r="HV368">
            <v>0</v>
          </cell>
          <cell r="HW368">
            <v>0</v>
          </cell>
          <cell r="HX368">
            <v>0</v>
          </cell>
          <cell r="HY368">
            <v>0</v>
          </cell>
          <cell r="HZ368">
            <v>0</v>
          </cell>
          <cell r="IA368">
            <v>0</v>
          </cell>
          <cell r="IB368">
            <v>0</v>
          </cell>
          <cell r="IC368">
            <v>0</v>
          </cell>
          <cell r="ID368">
            <v>0</v>
          </cell>
          <cell r="IE368">
            <v>0</v>
          </cell>
          <cell r="IF368">
            <v>0</v>
          </cell>
          <cell r="IY368">
            <v>13</v>
          </cell>
          <cell r="IZ368">
            <v>7</v>
          </cell>
          <cell r="JA368">
            <v>0</v>
          </cell>
          <cell r="JB368">
            <v>0</v>
          </cell>
          <cell r="JC368">
            <v>0</v>
          </cell>
          <cell r="JD368">
            <v>0</v>
          </cell>
          <cell r="JE368">
            <v>0</v>
          </cell>
          <cell r="JF368">
            <v>0</v>
          </cell>
          <cell r="KI368">
            <v>0</v>
          </cell>
          <cell r="KJ368">
            <v>0</v>
          </cell>
          <cell r="KK368">
            <v>0</v>
          </cell>
          <cell r="KL368">
            <v>0</v>
          </cell>
          <cell r="KM368">
            <v>0</v>
          </cell>
          <cell r="KN368">
            <v>0</v>
          </cell>
          <cell r="KO368">
            <v>0</v>
          </cell>
          <cell r="KP368">
            <v>0</v>
          </cell>
          <cell r="KQ368">
            <v>0</v>
          </cell>
          <cell r="KR368">
            <v>0</v>
          </cell>
          <cell r="KS368">
            <v>0</v>
          </cell>
          <cell r="KT368">
            <v>0</v>
          </cell>
          <cell r="KU368">
            <v>0</v>
          </cell>
          <cell r="KV368">
            <v>0</v>
          </cell>
          <cell r="KW368">
            <v>0</v>
          </cell>
          <cell r="LW368">
            <v>0</v>
          </cell>
          <cell r="LX368">
            <v>0</v>
          </cell>
          <cell r="MT368">
            <v>0</v>
          </cell>
          <cell r="MU368">
            <v>0</v>
          </cell>
          <cell r="NQ368">
            <v>0</v>
          </cell>
          <cell r="NR368">
            <v>0</v>
          </cell>
          <cell r="ON368">
            <v>0</v>
          </cell>
          <cell r="OO368">
            <v>0</v>
          </cell>
          <cell r="PK368">
            <v>0</v>
          </cell>
          <cell r="PL368">
            <v>0</v>
          </cell>
          <cell r="QH368">
            <v>0</v>
          </cell>
          <cell r="QI368">
            <v>0</v>
          </cell>
          <cell r="RE368">
            <v>0</v>
          </cell>
          <cell r="RF368">
            <v>0</v>
          </cell>
          <cell r="SB368">
            <v>0</v>
          </cell>
          <cell r="SC368">
            <v>0</v>
          </cell>
          <cell r="SY368">
            <v>0</v>
          </cell>
          <cell r="SZ368">
            <v>0</v>
          </cell>
          <cell r="TV368">
            <v>0</v>
          </cell>
          <cell r="TW368">
            <v>0</v>
          </cell>
          <cell r="US368">
            <v>0</v>
          </cell>
          <cell r="UT368">
            <v>0</v>
          </cell>
          <cell r="VP368">
            <v>0</v>
          </cell>
          <cell r="VQ368">
            <v>0</v>
          </cell>
          <cell r="WM368">
            <v>0</v>
          </cell>
          <cell r="WN368">
            <v>0</v>
          </cell>
          <cell r="XJ368">
            <v>0</v>
          </cell>
          <cell r="XK368">
            <v>0</v>
          </cell>
          <cell r="YG368">
            <v>0</v>
          </cell>
          <cell r="YH368">
            <v>0</v>
          </cell>
          <cell r="ZD368">
            <v>0</v>
          </cell>
          <cell r="ZE368">
            <v>0</v>
          </cell>
          <cell r="AAA368">
            <v>0</v>
          </cell>
          <cell r="AAB368">
            <v>0</v>
          </cell>
          <cell r="AAX368">
            <v>0</v>
          </cell>
          <cell r="AAY368">
            <v>0</v>
          </cell>
          <cell r="ACR368">
            <v>0</v>
          </cell>
          <cell r="ACS368">
            <v>0</v>
          </cell>
          <cell r="ADO368">
            <v>0</v>
          </cell>
          <cell r="ADP368">
            <v>0</v>
          </cell>
          <cell r="ADR368">
            <v>0</v>
          </cell>
          <cell r="ADS368">
            <v>0</v>
          </cell>
          <cell r="ADT368">
            <v>0</v>
          </cell>
          <cell r="ADU368">
            <v>0</v>
          </cell>
          <cell r="ADV368">
            <v>0</v>
          </cell>
          <cell r="ADW368">
            <v>0</v>
          </cell>
          <cell r="ADX368">
            <v>0</v>
          </cell>
          <cell r="ADY368">
            <v>0</v>
          </cell>
          <cell r="ADZ368">
            <v>0</v>
          </cell>
          <cell r="AEA368">
            <v>0</v>
          </cell>
          <cell r="AEB368">
            <v>0</v>
          </cell>
          <cell r="AEC368">
            <v>0</v>
          </cell>
          <cell r="AED368">
            <v>0</v>
          </cell>
          <cell r="AEE368">
            <v>0</v>
          </cell>
          <cell r="AEF368">
            <v>0</v>
          </cell>
          <cell r="AEG368">
            <v>0</v>
          </cell>
          <cell r="AEH368">
            <v>0</v>
          </cell>
          <cell r="AEI368">
            <v>0</v>
          </cell>
          <cell r="AEJ368">
            <v>0</v>
          </cell>
          <cell r="AEK368">
            <v>0</v>
          </cell>
          <cell r="AEO368">
            <v>0</v>
          </cell>
          <cell r="AEP368">
            <v>0</v>
          </cell>
          <cell r="AEQ368">
            <v>0</v>
          </cell>
          <cell r="AER368">
            <v>0</v>
          </cell>
          <cell r="AES368">
            <v>0</v>
          </cell>
          <cell r="AET368">
            <v>0</v>
          </cell>
          <cell r="AEW368">
            <v>0</v>
          </cell>
          <cell r="AEX368">
            <v>0</v>
          </cell>
          <cell r="AEY368">
            <v>0</v>
          </cell>
          <cell r="AEZ368">
            <v>0</v>
          </cell>
          <cell r="AFB368">
            <v>0</v>
          </cell>
          <cell r="AFC368">
            <v>0</v>
          </cell>
          <cell r="AFD368">
            <v>0</v>
          </cell>
          <cell r="AFE368">
            <v>0</v>
          </cell>
          <cell r="AFF368">
            <v>0</v>
          </cell>
          <cell r="AFG368">
            <v>0</v>
          </cell>
          <cell r="AFH368">
            <v>0</v>
          </cell>
          <cell r="AFI368">
            <v>0</v>
          </cell>
          <cell r="AFJ368">
            <v>0</v>
          </cell>
          <cell r="AFK368">
            <v>0</v>
          </cell>
          <cell r="AGC368">
            <v>0</v>
          </cell>
          <cell r="AGD368">
            <v>0</v>
          </cell>
          <cell r="AGI368">
            <v>7</v>
          </cell>
          <cell r="AGK368">
            <v>0</v>
          </cell>
          <cell r="AGM368">
            <v>0</v>
          </cell>
          <cell r="AGO368">
            <v>0</v>
          </cell>
          <cell r="AGQ368">
            <v>0</v>
          </cell>
          <cell r="AGV368">
            <v>0</v>
          </cell>
          <cell r="AGW368">
            <v>0</v>
          </cell>
          <cell r="AGX368">
            <v>0</v>
          </cell>
          <cell r="AIS368">
            <v>12</v>
          </cell>
          <cell r="AIT368">
            <v>0</v>
          </cell>
          <cell r="AIZ368">
            <v>8</v>
          </cell>
          <cell r="AJA368">
            <v>4</v>
          </cell>
          <cell r="AJB368">
            <v>0</v>
          </cell>
          <cell r="AJF368">
            <v>2</v>
          </cell>
          <cell r="AJG368">
            <v>0</v>
          </cell>
          <cell r="AJH368">
            <v>7</v>
          </cell>
          <cell r="AJI368">
            <v>3</v>
          </cell>
          <cell r="AJJ368">
            <v>0</v>
          </cell>
          <cell r="AJN368">
            <v>8</v>
          </cell>
          <cell r="AJP368">
            <v>0</v>
          </cell>
          <cell r="AJQ368">
            <v>0</v>
          </cell>
          <cell r="AJR368">
            <v>0</v>
          </cell>
          <cell r="AJT368">
            <v>0</v>
          </cell>
          <cell r="AJU368">
            <v>12</v>
          </cell>
          <cell r="AKA368">
            <v>12</v>
          </cell>
          <cell r="AKH368">
            <v>12</v>
          </cell>
          <cell r="AKL368">
            <v>12</v>
          </cell>
          <cell r="ALE368">
            <v>2</v>
          </cell>
          <cell r="ALF368">
            <v>8</v>
          </cell>
          <cell r="ALG368">
            <v>2</v>
          </cell>
          <cell r="ALH368">
            <v>0</v>
          </cell>
          <cell r="ALI368">
            <v>12</v>
          </cell>
          <cell r="ALJ368">
            <v>0</v>
          </cell>
          <cell r="ALK368">
            <v>6</v>
          </cell>
          <cell r="ALL368">
            <v>4</v>
          </cell>
          <cell r="ALM368">
            <v>2</v>
          </cell>
          <cell r="ALZ368">
            <v>7</v>
          </cell>
          <cell r="AMA368">
            <v>13</v>
          </cell>
          <cell r="AMM368">
            <v>1714</v>
          </cell>
          <cell r="AMN368">
            <v>1</v>
          </cell>
          <cell r="AMO368">
            <v>19</v>
          </cell>
        </row>
        <row r="376"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  <cell r="BY376">
            <v>0</v>
          </cell>
          <cell r="BZ376">
            <v>0</v>
          </cell>
          <cell r="CA376">
            <v>0</v>
          </cell>
          <cell r="CE376">
            <v>0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0</v>
          </cell>
          <cell r="CK376">
            <v>0</v>
          </cell>
          <cell r="CL376">
            <v>0</v>
          </cell>
          <cell r="CM376">
            <v>0</v>
          </cell>
          <cell r="CN376">
            <v>0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  <cell r="CV376">
            <v>0</v>
          </cell>
          <cell r="CW376">
            <v>0</v>
          </cell>
          <cell r="CX376">
            <v>0</v>
          </cell>
          <cell r="CY376">
            <v>0</v>
          </cell>
          <cell r="CZ376">
            <v>0</v>
          </cell>
          <cell r="DA376">
            <v>0</v>
          </cell>
          <cell r="DE376">
            <v>0</v>
          </cell>
          <cell r="DF376">
            <v>0</v>
          </cell>
          <cell r="DG376">
            <v>0</v>
          </cell>
          <cell r="DH376">
            <v>0</v>
          </cell>
          <cell r="DI376">
            <v>0</v>
          </cell>
          <cell r="DJ376">
            <v>0</v>
          </cell>
          <cell r="DK376">
            <v>0</v>
          </cell>
          <cell r="DL376">
            <v>0</v>
          </cell>
          <cell r="DM376">
            <v>0</v>
          </cell>
          <cell r="DN376">
            <v>0</v>
          </cell>
          <cell r="EQ376">
            <v>0</v>
          </cell>
          <cell r="ER376">
            <v>0</v>
          </cell>
          <cell r="ES376">
            <v>0</v>
          </cell>
          <cell r="ET376">
            <v>0</v>
          </cell>
          <cell r="EU376">
            <v>0</v>
          </cell>
          <cell r="EV376">
            <v>0</v>
          </cell>
          <cell r="EW376">
            <v>0</v>
          </cell>
          <cell r="EX376">
            <v>0</v>
          </cell>
          <cell r="EY376">
            <v>0</v>
          </cell>
          <cell r="EZ376">
            <v>0</v>
          </cell>
          <cell r="FA376">
            <v>0</v>
          </cell>
          <cell r="FB376">
            <v>0</v>
          </cell>
          <cell r="FC376">
            <v>0</v>
          </cell>
          <cell r="FD376">
            <v>0</v>
          </cell>
          <cell r="FE376">
            <v>0</v>
          </cell>
          <cell r="FF376">
            <v>0</v>
          </cell>
          <cell r="FG376">
            <v>0</v>
          </cell>
          <cell r="FH376">
            <v>0</v>
          </cell>
          <cell r="FM376">
            <v>0</v>
          </cell>
          <cell r="FN376">
            <v>0</v>
          </cell>
          <cell r="FO376">
            <v>0</v>
          </cell>
          <cell r="FP376">
            <v>0</v>
          </cell>
          <cell r="FQ376">
            <v>0</v>
          </cell>
          <cell r="FR376">
            <v>0</v>
          </cell>
          <cell r="FS376">
            <v>0</v>
          </cell>
          <cell r="FT376">
            <v>0</v>
          </cell>
          <cell r="FU376">
            <v>0</v>
          </cell>
          <cell r="FV376">
            <v>0</v>
          </cell>
          <cell r="FW376">
            <v>0</v>
          </cell>
          <cell r="FX376">
            <v>0</v>
          </cell>
          <cell r="GB376">
            <v>0</v>
          </cell>
          <cell r="GC376">
            <v>0</v>
          </cell>
          <cell r="GD376">
            <v>0</v>
          </cell>
          <cell r="GE376">
            <v>0</v>
          </cell>
          <cell r="GF376">
            <v>0</v>
          </cell>
          <cell r="GG376">
            <v>0</v>
          </cell>
          <cell r="GH376">
            <v>0</v>
          </cell>
          <cell r="GI376">
            <v>0</v>
          </cell>
          <cell r="GJ376">
            <v>0</v>
          </cell>
          <cell r="GK376">
            <v>0</v>
          </cell>
          <cell r="GL376">
            <v>0</v>
          </cell>
          <cell r="GM376">
            <v>0</v>
          </cell>
          <cell r="GQ376">
            <v>0</v>
          </cell>
          <cell r="GR376">
            <v>0</v>
          </cell>
          <cell r="GS376">
            <v>0</v>
          </cell>
          <cell r="GT376">
            <v>0</v>
          </cell>
          <cell r="GU376">
            <v>0</v>
          </cell>
          <cell r="GV376">
            <v>0</v>
          </cell>
          <cell r="GW376">
            <v>0</v>
          </cell>
          <cell r="GX376">
            <v>0</v>
          </cell>
          <cell r="GY376">
            <v>0</v>
          </cell>
          <cell r="GZ376">
            <v>0</v>
          </cell>
          <cell r="HA376">
            <v>0</v>
          </cell>
          <cell r="HB376">
            <v>0</v>
          </cell>
          <cell r="HF376">
            <v>0</v>
          </cell>
          <cell r="HG376">
            <v>0</v>
          </cell>
          <cell r="HH376">
            <v>0</v>
          </cell>
          <cell r="HI376">
            <v>0</v>
          </cell>
          <cell r="HJ376">
            <v>0</v>
          </cell>
          <cell r="HK376">
            <v>0</v>
          </cell>
          <cell r="HL376">
            <v>0</v>
          </cell>
          <cell r="HM376">
            <v>0</v>
          </cell>
          <cell r="HN376">
            <v>0</v>
          </cell>
          <cell r="HO376">
            <v>0</v>
          </cell>
          <cell r="HP376">
            <v>0</v>
          </cell>
          <cell r="HQ376">
            <v>0</v>
          </cell>
          <cell r="HU376">
            <v>0</v>
          </cell>
          <cell r="HV376">
            <v>0</v>
          </cell>
          <cell r="HW376">
            <v>0</v>
          </cell>
          <cell r="HX376">
            <v>0</v>
          </cell>
          <cell r="HY376">
            <v>0</v>
          </cell>
          <cell r="HZ376">
            <v>0</v>
          </cell>
          <cell r="IA376">
            <v>0</v>
          </cell>
          <cell r="IB376">
            <v>0</v>
          </cell>
          <cell r="IC376">
            <v>0</v>
          </cell>
          <cell r="ID376">
            <v>0</v>
          </cell>
          <cell r="IE376">
            <v>0</v>
          </cell>
          <cell r="IF376">
            <v>0</v>
          </cell>
          <cell r="IY376">
            <v>7</v>
          </cell>
          <cell r="IZ376">
            <v>0</v>
          </cell>
          <cell r="JA376">
            <v>0</v>
          </cell>
          <cell r="JB376">
            <v>0</v>
          </cell>
          <cell r="JC376">
            <v>0</v>
          </cell>
          <cell r="JD376">
            <v>0</v>
          </cell>
          <cell r="JE376">
            <v>0</v>
          </cell>
          <cell r="JF376">
            <v>0</v>
          </cell>
          <cell r="LW376">
            <v>0</v>
          </cell>
          <cell r="LX376">
            <v>0</v>
          </cell>
          <cell r="MT376">
            <v>0</v>
          </cell>
          <cell r="MU376">
            <v>0</v>
          </cell>
          <cell r="NQ376">
            <v>0</v>
          </cell>
          <cell r="NR376">
            <v>0</v>
          </cell>
          <cell r="PK376">
            <v>0</v>
          </cell>
          <cell r="PL376">
            <v>0</v>
          </cell>
          <cell r="QH376">
            <v>0</v>
          </cell>
          <cell r="QI376">
            <v>0</v>
          </cell>
          <cell r="RE376">
            <v>0</v>
          </cell>
          <cell r="RF376">
            <v>0</v>
          </cell>
          <cell r="SB376">
            <v>0</v>
          </cell>
          <cell r="SC376">
            <v>0</v>
          </cell>
          <cell r="SY376">
            <v>0</v>
          </cell>
          <cell r="SZ376">
            <v>0</v>
          </cell>
          <cell r="TV376">
            <v>0</v>
          </cell>
          <cell r="TW376">
            <v>0</v>
          </cell>
          <cell r="US376">
            <v>0</v>
          </cell>
          <cell r="UT376">
            <v>0</v>
          </cell>
          <cell r="XJ376">
            <v>0</v>
          </cell>
          <cell r="XK376">
            <v>0</v>
          </cell>
          <cell r="YG376">
            <v>0</v>
          </cell>
          <cell r="YH376">
            <v>0</v>
          </cell>
          <cell r="ZD376">
            <v>0</v>
          </cell>
          <cell r="ZE376">
            <v>0</v>
          </cell>
          <cell r="ACR376">
            <v>0</v>
          </cell>
          <cell r="ACS376">
            <v>0</v>
          </cell>
          <cell r="ADO376">
            <v>0</v>
          </cell>
          <cell r="ADP376">
            <v>0</v>
          </cell>
          <cell r="ADR376">
            <v>0</v>
          </cell>
          <cell r="ADS376">
            <v>0</v>
          </cell>
          <cell r="ADT376">
            <v>0</v>
          </cell>
          <cell r="ADU376">
            <v>0</v>
          </cell>
          <cell r="ADV376">
            <v>0</v>
          </cell>
          <cell r="ADW376">
            <v>0</v>
          </cell>
          <cell r="ADX376">
            <v>0</v>
          </cell>
          <cell r="ADY376">
            <v>0</v>
          </cell>
          <cell r="ADZ376">
            <v>0</v>
          </cell>
          <cell r="AEA376">
            <v>0</v>
          </cell>
          <cell r="AEB376">
            <v>0</v>
          </cell>
          <cell r="AEC376">
            <v>0</v>
          </cell>
          <cell r="AED376">
            <v>0</v>
          </cell>
          <cell r="AEE376">
            <v>0</v>
          </cell>
          <cell r="AEF376">
            <v>0</v>
          </cell>
          <cell r="AEG376">
            <v>0</v>
          </cell>
          <cell r="AEH376">
            <v>0</v>
          </cell>
          <cell r="AEI376">
            <v>0</v>
          </cell>
          <cell r="AEJ376">
            <v>0</v>
          </cell>
          <cell r="AEK376">
            <v>0</v>
          </cell>
          <cell r="AIS376">
            <v>7</v>
          </cell>
          <cell r="AIT376">
            <v>0</v>
          </cell>
          <cell r="AIZ376">
            <v>3</v>
          </cell>
          <cell r="AJA376">
            <v>2</v>
          </cell>
          <cell r="AJB376">
            <v>2</v>
          </cell>
          <cell r="AJF376">
            <v>2</v>
          </cell>
          <cell r="AJG376">
            <v>1</v>
          </cell>
          <cell r="AJH376">
            <v>2</v>
          </cell>
          <cell r="AJI376">
            <v>2</v>
          </cell>
          <cell r="AJJ376">
            <v>0</v>
          </cell>
          <cell r="AJN376">
            <v>7</v>
          </cell>
          <cell r="AJP376">
            <v>0</v>
          </cell>
          <cell r="AJQ376">
            <v>0</v>
          </cell>
          <cell r="AJR376">
            <v>0</v>
          </cell>
          <cell r="AJT376">
            <v>0</v>
          </cell>
          <cell r="AJU376">
            <v>7</v>
          </cell>
          <cell r="AKA376">
            <v>7</v>
          </cell>
          <cell r="AKH376">
            <v>7</v>
          </cell>
          <cell r="AKL376">
            <v>7</v>
          </cell>
          <cell r="ALE376">
            <v>6</v>
          </cell>
          <cell r="ALF376">
            <v>1</v>
          </cell>
          <cell r="ALG376">
            <v>0</v>
          </cell>
          <cell r="ALH376">
            <v>0</v>
          </cell>
          <cell r="ALI376">
            <v>7</v>
          </cell>
          <cell r="ALJ376">
            <v>0</v>
          </cell>
          <cell r="ALK376">
            <v>5</v>
          </cell>
          <cell r="ALL376">
            <v>3</v>
          </cell>
          <cell r="ALM376">
            <v>0</v>
          </cell>
          <cell r="ALZ376">
            <v>5</v>
          </cell>
          <cell r="AMA376">
            <v>2</v>
          </cell>
          <cell r="AMM376">
            <v>926</v>
          </cell>
          <cell r="AMN376">
            <v>0</v>
          </cell>
          <cell r="AMO376">
            <v>7</v>
          </cell>
        </row>
        <row r="377">
          <cell r="S377">
            <v>72</v>
          </cell>
          <cell r="T377">
            <v>1</v>
          </cell>
          <cell r="U377">
            <v>291</v>
          </cell>
          <cell r="V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  <cell r="BX377">
            <v>0</v>
          </cell>
          <cell r="BY377">
            <v>0</v>
          </cell>
          <cell r="BZ377">
            <v>0</v>
          </cell>
          <cell r="CA377">
            <v>0</v>
          </cell>
          <cell r="CE377">
            <v>0</v>
          </cell>
          <cell r="CF377">
            <v>0</v>
          </cell>
          <cell r="CG377">
            <v>0</v>
          </cell>
          <cell r="CH377">
            <v>0</v>
          </cell>
          <cell r="CI377">
            <v>0</v>
          </cell>
          <cell r="CJ377">
            <v>0</v>
          </cell>
          <cell r="CK377">
            <v>0</v>
          </cell>
          <cell r="CL377">
            <v>0</v>
          </cell>
          <cell r="CM377">
            <v>0</v>
          </cell>
          <cell r="CN377">
            <v>0</v>
          </cell>
          <cell r="CR377">
            <v>0</v>
          </cell>
          <cell r="CS377">
            <v>0</v>
          </cell>
          <cell r="CT377">
            <v>0</v>
          </cell>
          <cell r="CU377">
            <v>0</v>
          </cell>
          <cell r="CV377">
            <v>0</v>
          </cell>
          <cell r="CW377">
            <v>0</v>
          </cell>
          <cell r="CX377">
            <v>0</v>
          </cell>
          <cell r="CY377">
            <v>0</v>
          </cell>
          <cell r="CZ377">
            <v>0</v>
          </cell>
          <cell r="DA377">
            <v>0</v>
          </cell>
          <cell r="DE377">
            <v>0</v>
          </cell>
          <cell r="DF377">
            <v>0</v>
          </cell>
          <cell r="DG377">
            <v>0</v>
          </cell>
          <cell r="DH377">
            <v>0</v>
          </cell>
          <cell r="DI377">
            <v>0</v>
          </cell>
          <cell r="DJ377">
            <v>0</v>
          </cell>
          <cell r="DK377">
            <v>0</v>
          </cell>
          <cell r="DL377">
            <v>0</v>
          </cell>
          <cell r="DM377">
            <v>0</v>
          </cell>
          <cell r="EM377">
            <v>0</v>
          </cell>
          <cell r="EQ377">
            <v>0</v>
          </cell>
          <cell r="ER377">
            <v>0</v>
          </cell>
          <cell r="ES377">
            <v>0</v>
          </cell>
          <cell r="ET377">
            <v>0</v>
          </cell>
          <cell r="EU377">
            <v>0</v>
          </cell>
          <cell r="EV377">
            <v>0</v>
          </cell>
          <cell r="EW377">
            <v>0</v>
          </cell>
          <cell r="EX377">
            <v>0</v>
          </cell>
          <cell r="EY377">
            <v>0</v>
          </cell>
          <cell r="EZ377">
            <v>0</v>
          </cell>
          <cell r="FA377">
            <v>0</v>
          </cell>
          <cell r="FB377">
            <v>0</v>
          </cell>
          <cell r="FC377">
            <v>0</v>
          </cell>
          <cell r="FD377">
            <v>0</v>
          </cell>
          <cell r="FE377">
            <v>0</v>
          </cell>
          <cell r="FF377">
            <v>0</v>
          </cell>
          <cell r="FG377">
            <v>0</v>
          </cell>
          <cell r="FH377">
            <v>0</v>
          </cell>
          <cell r="IY377">
            <v>198</v>
          </cell>
          <cell r="IZ377">
            <v>161</v>
          </cell>
          <cell r="JA377">
            <v>0</v>
          </cell>
          <cell r="JB377">
            <v>0</v>
          </cell>
          <cell r="JC377">
            <v>0</v>
          </cell>
          <cell r="JD377">
            <v>0</v>
          </cell>
          <cell r="JE377">
            <v>0</v>
          </cell>
          <cell r="JF377">
            <v>0</v>
          </cell>
          <cell r="KI377">
            <v>0</v>
          </cell>
          <cell r="KJ377">
            <v>0</v>
          </cell>
          <cell r="KK377">
            <v>0</v>
          </cell>
          <cell r="KL377">
            <v>0</v>
          </cell>
          <cell r="KM377">
            <v>0</v>
          </cell>
          <cell r="KN377">
            <v>0</v>
          </cell>
          <cell r="KO377">
            <v>0</v>
          </cell>
          <cell r="KP377">
            <v>0</v>
          </cell>
          <cell r="KQ377">
            <v>0</v>
          </cell>
          <cell r="KR377">
            <v>0</v>
          </cell>
          <cell r="KS377">
            <v>0</v>
          </cell>
          <cell r="KT377">
            <v>0</v>
          </cell>
          <cell r="KU377">
            <v>0</v>
          </cell>
          <cell r="KV377">
            <v>0</v>
          </cell>
          <cell r="KW377">
            <v>0</v>
          </cell>
          <cell r="LW377">
            <v>0</v>
          </cell>
          <cell r="LX377">
            <v>0</v>
          </cell>
          <cell r="MT377">
            <v>0</v>
          </cell>
          <cell r="MU377">
            <v>0</v>
          </cell>
          <cell r="NQ377">
            <v>0</v>
          </cell>
          <cell r="NR377">
            <v>0</v>
          </cell>
          <cell r="ON377">
            <v>0</v>
          </cell>
          <cell r="OO377">
            <v>0</v>
          </cell>
          <cell r="PK377">
            <v>0</v>
          </cell>
          <cell r="PL377">
            <v>0</v>
          </cell>
          <cell r="QH377">
            <v>0</v>
          </cell>
          <cell r="QI377">
            <v>0</v>
          </cell>
          <cell r="RE377">
            <v>0</v>
          </cell>
          <cell r="RF377">
            <v>0</v>
          </cell>
          <cell r="SB377">
            <v>0</v>
          </cell>
          <cell r="SC377">
            <v>0</v>
          </cell>
          <cell r="SY377">
            <v>0</v>
          </cell>
          <cell r="SZ377">
            <v>0</v>
          </cell>
          <cell r="TV377">
            <v>0</v>
          </cell>
          <cell r="TW377">
            <v>0</v>
          </cell>
          <cell r="US377">
            <v>0</v>
          </cell>
          <cell r="UT377">
            <v>0</v>
          </cell>
          <cell r="VP377">
            <v>0</v>
          </cell>
          <cell r="VQ377">
            <v>0</v>
          </cell>
          <cell r="WM377">
            <v>0</v>
          </cell>
          <cell r="WN377">
            <v>0</v>
          </cell>
          <cell r="XJ377">
            <v>0</v>
          </cell>
          <cell r="XK377">
            <v>0</v>
          </cell>
          <cell r="YG377">
            <v>0</v>
          </cell>
          <cell r="YH377">
            <v>0</v>
          </cell>
          <cell r="ZD377">
            <v>0</v>
          </cell>
          <cell r="ZE377">
            <v>0</v>
          </cell>
          <cell r="AAA377">
            <v>0</v>
          </cell>
          <cell r="AAB377">
            <v>0</v>
          </cell>
          <cell r="AAX377">
            <v>0</v>
          </cell>
          <cell r="AAY377">
            <v>0</v>
          </cell>
          <cell r="ACR377">
            <v>0</v>
          </cell>
          <cell r="ACS377">
            <v>0</v>
          </cell>
          <cell r="ADO377">
            <v>0</v>
          </cell>
          <cell r="ADP377">
            <v>0</v>
          </cell>
          <cell r="ADR377">
            <v>0</v>
          </cell>
          <cell r="ADS377">
            <v>0</v>
          </cell>
          <cell r="ADT377">
            <v>0</v>
          </cell>
          <cell r="ADU377">
            <v>0</v>
          </cell>
          <cell r="ADV377">
            <v>0</v>
          </cell>
          <cell r="ADW377">
            <v>0</v>
          </cell>
          <cell r="ADX377">
            <v>0</v>
          </cell>
          <cell r="ADY377">
            <v>0</v>
          </cell>
          <cell r="ADZ377">
            <v>0</v>
          </cell>
          <cell r="AEA377">
            <v>0</v>
          </cell>
          <cell r="AEB377">
            <v>0</v>
          </cell>
          <cell r="AEC377">
            <v>0</v>
          </cell>
          <cell r="AED377">
            <v>0</v>
          </cell>
          <cell r="AEE377">
            <v>0</v>
          </cell>
          <cell r="AEF377">
            <v>0</v>
          </cell>
          <cell r="AEG377">
            <v>0</v>
          </cell>
          <cell r="AEH377">
            <v>0</v>
          </cell>
          <cell r="AEI377">
            <v>0</v>
          </cell>
          <cell r="AEJ377">
            <v>0</v>
          </cell>
          <cell r="AEK377">
            <v>0</v>
          </cell>
          <cell r="AEO377">
            <v>0</v>
          </cell>
          <cell r="AEP377">
            <v>0</v>
          </cell>
          <cell r="AEQ377">
            <v>0</v>
          </cell>
          <cell r="AER377">
            <v>0</v>
          </cell>
          <cell r="AES377">
            <v>0</v>
          </cell>
          <cell r="AET377">
            <v>0</v>
          </cell>
          <cell r="AEW377">
            <v>0</v>
          </cell>
          <cell r="AEX377">
            <v>0</v>
          </cell>
          <cell r="AEY377">
            <v>0</v>
          </cell>
          <cell r="AEZ377">
            <v>0</v>
          </cell>
          <cell r="AFB377">
            <v>0</v>
          </cell>
          <cell r="AFC377">
            <v>0</v>
          </cell>
          <cell r="AFD377">
            <v>0</v>
          </cell>
          <cell r="AFE377">
            <v>0</v>
          </cell>
          <cell r="AFF377">
            <v>0</v>
          </cell>
          <cell r="AFG377">
            <v>0</v>
          </cell>
          <cell r="AFH377">
            <v>0</v>
          </cell>
          <cell r="AFI377">
            <v>0</v>
          </cell>
          <cell r="AFJ377">
            <v>0</v>
          </cell>
          <cell r="AFK377">
            <v>0</v>
          </cell>
          <cell r="AFL377">
            <v>0</v>
          </cell>
          <cell r="AFM377">
            <v>0</v>
          </cell>
          <cell r="AGC377">
            <v>0</v>
          </cell>
          <cell r="AGD377">
            <v>0</v>
          </cell>
          <cell r="AGI377">
            <v>98</v>
          </cell>
          <cell r="AGK377">
            <v>0</v>
          </cell>
          <cell r="AGM377">
            <v>0</v>
          </cell>
          <cell r="AGO377">
            <v>0</v>
          </cell>
          <cell r="AGQ377">
            <v>0</v>
          </cell>
          <cell r="AGV377">
            <v>0</v>
          </cell>
          <cell r="AGW377">
            <v>0</v>
          </cell>
          <cell r="AGX377">
            <v>0</v>
          </cell>
          <cell r="AIS377">
            <v>222</v>
          </cell>
          <cell r="AIT377">
            <v>0</v>
          </cell>
          <cell r="AIZ377">
            <v>74</v>
          </cell>
          <cell r="AJA377">
            <v>141</v>
          </cell>
          <cell r="AJB377">
            <v>7</v>
          </cell>
          <cell r="AJF377">
            <v>12</v>
          </cell>
          <cell r="AJG377">
            <v>15</v>
          </cell>
          <cell r="AJH377">
            <v>103</v>
          </cell>
          <cell r="AJI377">
            <v>68</v>
          </cell>
          <cell r="AJJ377">
            <v>24</v>
          </cell>
          <cell r="AJN377">
            <v>201</v>
          </cell>
          <cell r="AJP377">
            <v>0</v>
          </cell>
          <cell r="AJQ377">
            <v>0</v>
          </cell>
          <cell r="AJR377">
            <v>6</v>
          </cell>
          <cell r="AJS377">
            <v>15</v>
          </cell>
          <cell r="AJT377">
            <v>0</v>
          </cell>
          <cell r="AJU377">
            <v>222</v>
          </cell>
          <cell r="AKA377">
            <v>222</v>
          </cell>
          <cell r="AKH377">
            <v>222</v>
          </cell>
          <cell r="AKL377">
            <v>221</v>
          </cell>
          <cell r="ALE377">
            <v>78</v>
          </cell>
          <cell r="ALF377">
            <v>134</v>
          </cell>
          <cell r="ALG377">
            <v>10</v>
          </cell>
          <cell r="ALH377">
            <v>1</v>
          </cell>
          <cell r="ALI377">
            <v>221</v>
          </cell>
          <cell r="ALJ377">
            <v>0</v>
          </cell>
          <cell r="ALK377">
            <v>110</v>
          </cell>
          <cell r="ALL377">
            <v>102</v>
          </cell>
          <cell r="ALM377">
            <v>10</v>
          </cell>
          <cell r="ALZ377">
            <v>242</v>
          </cell>
          <cell r="AMA377">
            <v>117</v>
          </cell>
          <cell r="AMM377">
            <v>85917</v>
          </cell>
          <cell r="AMN377">
            <v>74</v>
          </cell>
          <cell r="AMO377">
            <v>284</v>
          </cell>
        </row>
        <row r="480">
          <cell r="S480">
            <v>5</v>
          </cell>
          <cell r="T480">
            <v>0</v>
          </cell>
          <cell r="U480">
            <v>97</v>
          </cell>
          <cell r="V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E480">
            <v>0</v>
          </cell>
          <cell r="BF480">
            <v>0</v>
          </cell>
          <cell r="BG480">
            <v>0</v>
          </cell>
          <cell r="BH480">
            <v>0</v>
          </cell>
          <cell r="BI480">
            <v>0</v>
          </cell>
          <cell r="BJ480">
            <v>0</v>
          </cell>
          <cell r="BK480">
            <v>0</v>
          </cell>
          <cell r="BL480">
            <v>0</v>
          </cell>
          <cell r="BM480">
            <v>0</v>
          </cell>
          <cell r="BN480">
            <v>0</v>
          </cell>
          <cell r="BR480">
            <v>0</v>
          </cell>
          <cell r="BS480">
            <v>0</v>
          </cell>
          <cell r="BT480">
            <v>0</v>
          </cell>
          <cell r="BU480">
            <v>0</v>
          </cell>
          <cell r="BV480">
            <v>0</v>
          </cell>
          <cell r="BW480">
            <v>0</v>
          </cell>
          <cell r="BX480">
            <v>0</v>
          </cell>
          <cell r="BY480">
            <v>0</v>
          </cell>
          <cell r="BZ480">
            <v>0</v>
          </cell>
          <cell r="CA480">
            <v>0</v>
          </cell>
          <cell r="CE480">
            <v>0</v>
          </cell>
          <cell r="CF480">
            <v>0</v>
          </cell>
          <cell r="CG480">
            <v>0</v>
          </cell>
          <cell r="CH480">
            <v>0</v>
          </cell>
          <cell r="CI480">
            <v>0</v>
          </cell>
          <cell r="CJ480">
            <v>0</v>
          </cell>
          <cell r="CK480">
            <v>0</v>
          </cell>
          <cell r="CL480">
            <v>0</v>
          </cell>
          <cell r="CM480">
            <v>0</v>
          </cell>
          <cell r="CN480">
            <v>0</v>
          </cell>
          <cell r="CR480">
            <v>0</v>
          </cell>
          <cell r="CS480">
            <v>0</v>
          </cell>
          <cell r="CT480">
            <v>0</v>
          </cell>
          <cell r="CU480">
            <v>0</v>
          </cell>
          <cell r="CV480">
            <v>0</v>
          </cell>
          <cell r="CW480">
            <v>0</v>
          </cell>
          <cell r="CX480">
            <v>0</v>
          </cell>
          <cell r="CY480">
            <v>0</v>
          </cell>
          <cell r="CZ480">
            <v>0</v>
          </cell>
          <cell r="DA480">
            <v>0</v>
          </cell>
          <cell r="DE480">
            <v>0</v>
          </cell>
          <cell r="DF480">
            <v>0</v>
          </cell>
          <cell r="DG480">
            <v>0</v>
          </cell>
          <cell r="DH480">
            <v>0</v>
          </cell>
          <cell r="DI480">
            <v>0</v>
          </cell>
          <cell r="DJ480">
            <v>0</v>
          </cell>
          <cell r="DK480">
            <v>0</v>
          </cell>
          <cell r="DL480">
            <v>0</v>
          </cell>
          <cell r="DM480">
            <v>0</v>
          </cell>
          <cell r="DN480">
            <v>0</v>
          </cell>
          <cell r="EQ480">
            <v>0</v>
          </cell>
          <cell r="ER480">
            <v>0</v>
          </cell>
          <cell r="ES480">
            <v>0</v>
          </cell>
          <cell r="ET480">
            <v>0</v>
          </cell>
          <cell r="EU480">
            <v>0</v>
          </cell>
          <cell r="EV480">
            <v>0</v>
          </cell>
          <cell r="EW480">
            <v>0</v>
          </cell>
          <cell r="EX480">
            <v>0</v>
          </cell>
          <cell r="EY480">
            <v>0</v>
          </cell>
          <cell r="EZ480">
            <v>0</v>
          </cell>
          <cell r="FA480">
            <v>0</v>
          </cell>
          <cell r="FB480">
            <v>0</v>
          </cell>
          <cell r="FC480">
            <v>0</v>
          </cell>
          <cell r="FD480">
            <v>0</v>
          </cell>
          <cell r="FE480">
            <v>0</v>
          </cell>
          <cell r="FF480">
            <v>0</v>
          </cell>
          <cell r="FG480">
            <v>0</v>
          </cell>
          <cell r="FH480">
            <v>0</v>
          </cell>
          <cell r="FM480">
            <v>0</v>
          </cell>
          <cell r="FN480">
            <v>0</v>
          </cell>
          <cell r="FO480">
            <v>0</v>
          </cell>
          <cell r="FP480">
            <v>0</v>
          </cell>
          <cell r="FQ480">
            <v>0</v>
          </cell>
          <cell r="FR480">
            <v>0</v>
          </cell>
          <cell r="FS480">
            <v>0</v>
          </cell>
          <cell r="FT480">
            <v>0</v>
          </cell>
          <cell r="FU480">
            <v>0</v>
          </cell>
          <cell r="FV480">
            <v>0</v>
          </cell>
          <cell r="FW480">
            <v>0</v>
          </cell>
          <cell r="FX480">
            <v>0</v>
          </cell>
          <cell r="GB480">
            <v>0</v>
          </cell>
          <cell r="GC480">
            <v>0</v>
          </cell>
          <cell r="GD480">
            <v>0</v>
          </cell>
          <cell r="GE480">
            <v>0</v>
          </cell>
          <cell r="GF480">
            <v>0</v>
          </cell>
          <cell r="GG480">
            <v>0</v>
          </cell>
          <cell r="GH480">
            <v>0</v>
          </cell>
          <cell r="GI480">
            <v>0</v>
          </cell>
          <cell r="GJ480">
            <v>0</v>
          </cell>
          <cell r="GK480">
            <v>0</v>
          </cell>
          <cell r="GL480">
            <v>0</v>
          </cell>
          <cell r="GM480">
            <v>0</v>
          </cell>
          <cell r="GQ480">
            <v>0</v>
          </cell>
          <cell r="GR480">
            <v>0</v>
          </cell>
          <cell r="GS480">
            <v>0</v>
          </cell>
          <cell r="GT480">
            <v>0</v>
          </cell>
          <cell r="GU480">
            <v>0</v>
          </cell>
          <cell r="GV480">
            <v>0</v>
          </cell>
          <cell r="GW480">
            <v>0</v>
          </cell>
          <cell r="GX480">
            <v>0</v>
          </cell>
          <cell r="GY480">
            <v>0</v>
          </cell>
          <cell r="GZ480">
            <v>0</v>
          </cell>
          <cell r="HA480">
            <v>0</v>
          </cell>
          <cell r="HB480">
            <v>0</v>
          </cell>
          <cell r="HF480">
            <v>0</v>
          </cell>
          <cell r="HG480">
            <v>0</v>
          </cell>
          <cell r="HH480">
            <v>0</v>
          </cell>
          <cell r="HI480">
            <v>0</v>
          </cell>
          <cell r="HJ480">
            <v>0</v>
          </cell>
          <cell r="HK480">
            <v>0</v>
          </cell>
          <cell r="HL480">
            <v>0</v>
          </cell>
          <cell r="HM480">
            <v>0</v>
          </cell>
          <cell r="HN480">
            <v>0</v>
          </cell>
          <cell r="HO480">
            <v>0</v>
          </cell>
          <cell r="HP480">
            <v>0</v>
          </cell>
          <cell r="HQ480">
            <v>0</v>
          </cell>
          <cell r="HU480">
            <v>0</v>
          </cell>
          <cell r="HV480">
            <v>0</v>
          </cell>
          <cell r="HW480">
            <v>0</v>
          </cell>
          <cell r="HX480">
            <v>0</v>
          </cell>
          <cell r="HY480">
            <v>0</v>
          </cell>
          <cell r="HZ480">
            <v>0</v>
          </cell>
          <cell r="IA480">
            <v>0</v>
          </cell>
          <cell r="IB480">
            <v>0</v>
          </cell>
          <cell r="IC480">
            <v>0</v>
          </cell>
          <cell r="ID480">
            <v>0</v>
          </cell>
          <cell r="IE480">
            <v>0</v>
          </cell>
          <cell r="IF480">
            <v>0</v>
          </cell>
          <cell r="IY480">
            <v>54</v>
          </cell>
          <cell r="IZ480">
            <v>48</v>
          </cell>
          <cell r="JA480">
            <v>0</v>
          </cell>
          <cell r="JB480">
            <v>0</v>
          </cell>
          <cell r="JC480">
            <v>0</v>
          </cell>
          <cell r="JD480">
            <v>0</v>
          </cell>
          <cell r="JE480">
            <v>0</v>
          </cell>
          <cell r="JF480">
            <v>0</v>
          </cell>
          <cell r="KI480">
            <v>0</v>
          </cell>
          <cell r="KJ480">
            <v>0</v>
          </cell>
          <cell r="KK480">
            <v>0</v>
          </cell>
          <cell r="KL480">
            <v>0</v>
          </cell>
          <cell r="KM480">
            <v>0</v>
          </cell>
          <cell r="KN480">
            <v>0</v>
          </cell>
          <cell r="KO480">
            <v>0</v>
          </cell>
          <cell r="KP480">
            <v>0</v>
          </cell>
          <cell r="KQ480">
            <v>0</v>
          </cell>
          <cell r="KR480">
            <v>0</v>
          </cell>
          <cell r="KS480">
            <v>0</v>
          </cell>
          <cell r="KT480">
            <v>0</v>
          </cell>
          <cell r="KU480">
            <v>0</v>
          </cell>
          <cell r="KV480">
            <v>0</v>
          </cell>
          <cell r="KW480">
            <v>0</v>
          </cell>
          <cell r="LW480">
            <v>0</v>
          </cell>
          <cell r="LX480">
            <v>0</v>
          </cell>
          <cell r="MT480">
            <v>0</v>
          </cell>
          <cell r="MU480">
            <v>0</v>
          </cell>
          <cell r="NQ480">
            <v>0</v>
          </cell>
          <cell r="NR480">
            <v>0</v>
          </cell>
          <cell r="ON480">
            <v>0</v>
          </cell>
          <cell r="OO480">
            <v>0</v>
          </cell>
          <cell r="PK480">
            <v>0</v>
          </cell>
          <cell r="PL480">
            <v>0</v>
          </cell>
          <cell r="QH480">
            <v>0</v>
          </cell>
          <cell r="QI480">
            <v>0</v>
          </cell>
          <cell r="RE480">
            <v>0</v>
          </cell>
          <cell r="RF480">
            <v>0</v>
          </cell>
          <cell r="SB480">
            <v>0</v>
          </cell>
          <cell r="SC480">
            <v>0</v>
          </cell>
          <cell r="SY480">
            <v>0</v>
          </cell>
          <cell r="SZ480">
            <v>0</v>
          </cell>
          <cell r="TV480">
            <v>0</v>
          </cell>
          <cell r="TW480">
            <v>0</v>
          </cell>
          <cell r="US480">
            <v>0</v>
          </cell>
          <cell r="UT480">
            <v>0</v>
          </cell>
          <cell r="VP480">
            <v>0</v>
          </cell>
          <cell r="VQ480">
            <v>0</v>
          </cell>
          <cell r="WM480">
            <v>0</v>
          </cell>
          <cell r="WN480">
            <v>0</v>
          </cell>
          <cell r="XJ480">
            <v>0</v>
          </cell>
          <cell r="XK480">
            <v>0</v>
          </cell>
          <cell r="YG480">
            <v>0</v>
          </cell>
          <cell r="YH480">
            <v>0</v>
          </cell>
          <cell r="ZD480">
            <v>0</v>
          </cell>
          <cell r="ZE480">
            <v>0</v>
          </cell>
          <cell r="AAA480">
            <v>0</v>
          </cell>
          <cell r="AAB480">
            <v>0</v>
          </cell>
          <cell r="ACR480">
            <v>0</v>
          </cell>
          <cell r="ACS480">
            <v>0</v>
          </cell>
          <cell r="ADO480">
            <v>0</v>
          </cell>
          <cell r="ADP480">
            <v>0</v>
          </cell>
          <cell r="ADR480">
            <v>0</v>
          </cell>
          <cell r="ADS480">
            <v>0</v>
          </cell>
          <cell r="ADT480">
            <v>0</v>
          </cell>
          <cell r="ADU480">
            <v>0</v>
          </cell>
          <cell r="ADV480">
            <v>0</v>
          </cell>
          <cell r="ADW480">
            <v>0</v>
          </cell>
          <cell r="ADX480">
            <v>0</v>
          </cell>
          <cell r="ADY480">
            <v>0</v>
          </cell>
          <cell r="ADZ480">
            <v>0</v>
          </cell>
          <cell r="AEA480">
            <v>0</v>
          </cell>
          <cell r="AEB480">
            <v>0</v>
          </cell>
          <cell r="AEC480">
            <v>0</v>
          </cell>
          <cell r="AED480">
            <v>0</v>
          </cell>
          <cell r="AEE480">
            <v>0</v>
          </cell>
          <cell r="AEF480">
            <v>0</v>
          </cell>
          <cell r="AEG480">
            <v>0</v>
          </cell>
          <cell r="AEH480">
            <v>0</v>
          </cell>
          <cell r="AEI480">
            <v>0</v>
          </cell>
          <cell r="AEJ480">
            <v>0</v>
          </cell>
          <cell r="AEK480">
            <v>0</v>
          </cell>
          <cell r="AEO480">
            <v>0</v>
          </cell>
          <cell r="AEP480">
            <v>0</v>
          </cell>
          <cell r="AEQ480">
            <v>0</v>
          </cell>
          <cell r="AER480">
            <v>0</v>
          </cell>
          <cell r="AES480">
            <v>0</v>
          </cell>
          <cell r="AET480">
            <v>0</v>
          </cell>
          <cell r="AEW480">
            <v>0</v>
          </cell>
          <cell r="AEX480">
            <v>0</v>
          </cell>
          <cell r="AEY480">
            <v>0</v>
          </cell>
          <cell r="AEZ480">
            <v>0</v>
          </cell>
          <cell r="AFB480">
            <v>0</v>
          </cell>
          <cell r="AFC480">
            <v>0</v>
          </cell>
          <cell r="AFD480">
            <v>0</v>
          </cell>
          <cell r="AFE480">
            <v>0</v>
          </cell>
          <cell r="AFF480">
            <v>0</v>
          </cell>
          <cell r="AFG480">
            <v>0</v>
          </cell>
          <cell r="AFH480">
            <v>0</v>
          </cell>
          <cell r="AFI480">
            <v>0</v>
          </cell>
          <cell r="AFJ480">
            <v>0</v>
          </cell>
          <cell r="AFK480">
            <v>0</v>
          </cell>
          <cell r="AGC480">
            <v>0</v>
          </cell>
          <cell r="AGD480">
            <v>0</v>
          </cell>
          <cell r="AGI480">
            <v>34</v>
          </cell>
          <cell r="AGK480">
            <v>0</v>
          </cell>
          <cell r="AGM480">
            <v>0</v>
          </cell>
          <cell r="AGO480">
            <v>0</v>
          </cell>
          <cell r="AGQ480">
            <v>0</v>
          </cell>
          <cell r="AGV480">
            <v>0</v>
          </cell>
          <cell r="AGW480">
            <v>0</v>
          </cell>
          <cell r="AGX480">
            <v>0</v>
          </cell>
          <cell r="AIS480">
            <v>55</v>
          </cell>
          <cell r="AIT480">
            <v>0</v>
          </cell>
          <cell r="AIZ480">
            <v>20</v>
          </cell>
          <cell r="AJA480">
            <v>35</v>
          </cell>
          <cell r="AJB480">
            <v>0</v>
          </cell>
          <cell r="AJF480">
            <v>0</v>
          </cell>
          <cell r="AJG480">
            <v>1</v>
          </cell>
          <cell r="AJH480">
            <v>39</v>
          </cell>
          <cell r="AJI480">
            <v>11</v>
          </cell>
          <cell r="AJJ480">
            <v>4</v>
          </cell>
          <cell r="AJN480">
            <v>53</v>
          </cell>
          <cell r="AJP480">
            <v>0</v>
          </cell>
          <cell r="AJQ480">
            <v>0</v>
          </cell>
          <cell r="AJR480">
            <v>0</v>
          </cell>
          <cell r="AJS480">
            <v>2</v>
          </cell>
          <cell r="AJT480">
            <v>0</v>
          </cell>
          <cell r="AJU480">
            <v>55</v>
          </cell>
          <cell r="AKA480">
            <v>54</v>
          </cell>
          <cell r="AKH480">
            <v>55</v>
          </cell>
          <cell r="AKL480">
            <v>55</v>
          </cell>
          <cell r="ALE480">
            <v>5</v>
          </cell>
          <cell r="ALF480">
            <v>49</v>
          </cell>
          <cell r="ALG480">
            <v>1</v>
          </cell>
          <cell r="ALH480">
            <v>0</v>
          </cell>
          <cell r="ALI480">
            <v>55</v>
          </cell>
          <cell r="ALJ480">
            <v>0</v>
          </cell>
          <cell r="ALK480">
            <v>21</v>
          </cell>
          <cell r="ALL480">
            <v>31</v>
          </cell>
          <cell r="ALM480">
            <v>3</v>
          </cell>
          <cell r="ALZ480">
            <v>80</v>
          </cell>
          <cell r="AMA480">
            <v>22</v>
          </cell>
          <cell r="AMM480">
            <v>34550</v>
          </cell>
          <cell r="AMN480">
            <v>20</v>
          </cell>
          <cell r="AMO480">
            <v>82</v>
          </cell>
        </row>
        <row r="558">
          <cell r="S558">
            <v>28</v>
          </cell>
          <cell r="T558">
            <v>0</v>
          </cell>
          <cell r="U558">
            <v>33</v>
          </cell>
          <cell r="V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0</v>
          </cell>
          <cell r="AP558">
            <v>0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0</v>
          </cell>
          <cell r="AY558">
            <v>0</v>
          </cell>
          <cell r="AZ558">
            <v>0</v>
          </cell>
          <cell r="BA558">
            <v>0</v>
          </cell>
          <cell r="BE558">
            <v>0</v>
          </cell>
          <cell r="BF558">
            <v>0</v>
          </cell>
          <cell r="BG558">
            <v>0</v>
          </cell>
          <cell r="BH558">
            <v>0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  <cell r="BM558">
            <v>0</v>
          </cell>
          <cell r="BN558">
            <v>0</v>
          </cell>
          <cell r="BR558">
            <v>0</v>
          </cell>
          <cell r="BS558">
            <v>0</v>
          </cell>
          <cell r="BT558">
            <v>0</v>
          </cell>
          <cell r="BU558">
            <v>0</v>
          </cell>
          <cell r="BV558">
            <v>0</v>
          </cell>
          <cell r="BW558">
            <v>0</v>
          </cell>
          <cell r="BX558">
            <v>0</v>
          </cell>
          <cell r="BY558">
            <v>0</v>
          </cell>
          <cell r="BZ558">
            <v>0</v>
          </cell>
          <cell r="CA558">
            <v>0</v>
          </cell>
          <cell r="CE558">
            <v>0</v>
          </cell>
          <cell r="CF558">
            <v>0</v>
          </cell>
          <cell r="CG558">
            <v>0</v>
          </cell>
          <cell r="CH558">
            <v>0</v>
          </cell>
          <cell r="CI558">
            <v>0</v>
          </cell>
          <cell r="CJ558">
            <v>0</v>
          </cell>
          <cell r="CK558">
            <v>0</v>
          </cell>
          <cell r="CL558">
            <v>0</v>
          </cell>
          <cell r="CM558">
            <v>0</v>
          </cell>
          <cell r="CN558">
            <v>0</v>
          </cell>
          <cell r="CR558">
            <v>0</v>
          </cell>
          <cell r="CS558">
            <v>0</v>
          </cell>
          <cell r="CT558">
            <v>0</v>
          </cell>
          <cell r="CU558">
            <v>0</v>
          </cell>
          <cell r="CV558">
            <v>0</v>
          </cell>
          <cell r="CW558">
            <v>0</v>
          </cell>
          <cell r="CX558">
            <v>0</v>
          </cell>
          <cell r="CY558">
            <v>0</v>
          </cell>
          <cell r="CZ558">
            <v>0</v>
          </cell>
          <cell r="DA558">
            <v>0</v>
          </cell>
          <cell r="DE558">
            <v>0</v>
          </cell>
          <cell r="DF558">
            <v>0</v>
          </cell>
          <cell r="DG558">
            <v>0</v>
          </cell>
          <cell r="DH558">
            <v>0</v>
          </cell>
          <cell r="DI558">
            <v>0</v>
          </cell>
          <cell r="DJ558">
            <v>0</v>
          </cell>
          <cell r="DK558">
            <v>0</v>
          </cell>
          <cell r="DL558">
            <v>0</v>
          </cell>
          <cell r="DM558">
            <v>0</v>
          </cell>
          <cell r="DN558">
            <v>0</v>
          </cell>
          <cell r="EQ558">
            <v>0</v>
          </cell>
          <cell r="ER558">
            <v>0</v>
          </cell>
          <cell r="ES558">
            <v>0</v>
          </cell>
          <cell r="ET558">
            <v>0</v>
          </cell>
          <cell r="EU558">
            <v>0</v>
          </cell>
          <cell r="EV558">
            <v>0</v>
          </cell>
          <cell r="EW558">
            <v>0</v>
          </cell>
          <cell r="EX558">
            <v>0</v>
          </cell>
          <cell r="EY558">
            <v>0</v>
          </cell>
          <cell r="EZ558">
            <v>0</v>
          </cell>
          <cell r="FA558">
            <v>0</v>
          </cell>
          <cell r="FB558">
            <v>0</v>
          </cell>
          <cell r="FC558">
            <v>0</v>
          </cell>
          <cell r="FD558">
            <v>0</v>
          </cell>
          <cell r="FE558">
            <v>0</v>
          </cell>
          <cell r="FF558">
            <v>0</v>
          </cell>
          <cell r="FG558">
            <v>0</v>
          </cell>
          <cell r="FH558">
            <v>0</v>
          </cell>
          <cell r="FM558">
            <v>0</v>
          </cell>
          <cell r="FN558">
            <v>0</v>
          </cell>
          <cell r="FO558">
            <v>0</v>
          </cell>
          <cell r="FP558">
            <v>0</v>
          </cell>
          <cell r="FQ558">
            <v>0</v>
          </cell>
          <cell r="FR558">
            <v>0</v>
          </cell>
          <cell r="FS558">
            <v>0</v>
          </cell>
          <cell r="FT558">
            <v>0</v>
          </cell>
          <cell r="FU558">
            <v>0</v>
          </cell>
          <cell r="FV558">
            <v>0</v>
          </cell>
          <cell r="FW558">
            <v>0</v>
          </cell>
          <cell r="FX558">
            <v>0</v>
          </cell>
          <cell r="GB558">
            <v>0</v>
          </cell>
          <cell r="GC558">
            <v>0</v>
          </cell>
          <cell r="GD558">
            <v>0</v>
          </cell>
          <cell r="GE558">
            <v>0</v>
          </cell>
          <cell r="GF558">
            <v>0</v>
          </cell>
          <cell r="GG558">
            <v>0</v>
          </cell>
          <cell r="GH558">
            <v>0</v>
          </cell>
          <cell r="GI558">
            <v>0</v>
          </cell>
          <cell r="GJ558">
            <v>0</v>
          </cell>
          <cell r="GK558">
            <v>0</v>
          </cell>
          <cell r="GL558">
            <v>0</v>
          </cell>
          <cell r="GM558">
            <v>0</v>
          </cell>
          <cell r="GQ558">
            <v>0</v>
          </cell>
          <cell r="GR558">
            <v>0</v>
          </cell>
          <cell r="GS558">
            <v>0</v>
          </cell>
          <cell r="GT558">
            <v>0</v>
          </cell>
          <cell r="GU558">
            <v>0</v>
          </cell>
          <cell r="GV558">
            <v>0</v>
          </cell>
          <cell r="GW558">
            <v>0</v>
          </cell>
          <cell r="GX558">
            <v>0</v>
          </cell>
          <cell r="GY558">
            <v>0</v>
          </cell>
          <cell r="GZ558">
            <v>0</v>
          </cell>
          <cell r="HA558">
            <v>0</v>
          </cell>
          <cell r="HB558">
            <v>0</v>
          </cell>
          <cell r="HF558">
            <v>0</v>
          </cell>
          <cell r="HG558">
            <v>0</v>
          </cell>
          <cell r="HH558">
            <v>0</v>
          </cell>
          <cell r="HI558">
            <v>0</v>
          </cell>
          <cell r="HJ558">
            <v>0</v>
          </cell>
          <cell r="HK558">
            <v>0</v>
          </cell>
          <cell r="HL558">
            <v>0</v>
          </cell>
          <cell r="HM558">
            <v>0</v>
          </cell>
          <cell r="HN558">
            <v>0</v>
          </cell>
          <cell r="HO558">
            <v>0</v>
          </cell>
          <cell r="HP558">
            <v>0</v>
          </cell>
          <cell r="HQ558">
            <v>0</v>
          </cell>
          <cell r="HU558">
            <v>0</v>
          </cell>
          <cell r="HV558">
            <v>0</v>
          </cell>
          <cell r="HW558">
            <v>0</v>
          </cell>
          <cell r="HX558">
            <v>0</v>
          </cell>
          <cell r="HY558">
            <v>0</v>
          </cell>
          <cell r="HZ558">
            <v>0</v>
          </cell>
          <cell r="IA558">
            <v>0</v>
          </cell>
          <cell r="IB558">
            <v>0</v>
          </cell>
          <cell r="IC558">
            <v>0</v>
          </cell>
          <cell r="ID558">
            <v>0</v>
          </cell>
          <cell r="IE558">
            <v>0</v>
          </cell>
          <cell r="IF558">
            <v>0</v>
          </cell>
          <cell r="IY558">
            <v>45</v>
          </cell>
          <cell r="IZ558">
            <v>16</v>
          </cell>
          <cell r="JA558">
            <v>0</v>
          </cell>
          <cell r="JB558">
            <v>0</v>
          </cell>
          <cell r="JC558">
            <v>0</v>
          </cell>
          <cell r="JD558">
            <v>0</v>
          </cell>
          <cell r="JE558">
            <v>0</v>
          </cell>
          <cell r="JF558">
            <v>0</v>
          </cell>
          <cell r="KI558">
            <v>0</v>
          </cell>
          <cell r="KJ558">
            <v>0</v>
          </cell>
          <cell r="KK558">
            <v>0</v>
          </cell>
          <cell r="KL558">
            <v>0</v>
          </cell>
          <cell r="KM558">
            <v>0</v>
          </cell>
          <cell r="KN558">
            <v>0</v>
          </cell>
          <cell r="KO558">
            <v>0</v>
          </cell>
          <cell r="KP558">
            <v>0</v>
          </cell>
          <cell r="KQ558">
            <v>0</v>
          </cell>
          <cell r="KR558">
            <v>0</v>
          </cell>
          <cell r="KS558">
            <v>0</v>
          </cell>
          <cell r="KT558">
            <v>0</v>
          </cell>
          <cell r="KU558">
            <v>0</v>
          </cell>
          <cell r="KV558">
            <v>0</v>
          </cell>
          <cell r="KW558">
            <v>0</v>
          </cell>
          <cell r="LW558">
            <v>0</v>
          </cell>
          <cell r="LX558">
            <v>0</v>
          </cell>
          <cell r="MT558">
            <v>0</v>
          </cell>
          <cell r="MU558">
            <v>0</v>
          </cell>
          <cell r="NQ558">
            <v>0</v>
          </cell>
          <cell r="NR558">
            <v>0</v>
          </cell>
          <cell r="PK558">
            <v>0</v>
          </cell>
          <cell r="PL558">
            <v>0</v>
          </cell>
          <cell r="QH558">
            <v>0</v>
          </cell>
          <cell r="QI558">
            <v>0</v>
          </cell>
          <cell r="RE558">
            <v>0</v>
          </cell>
          <cell r="RF558">
            <v>0</v>
          </cell>
          <cell r="SB558">
            <v>0</v>
          </cell>
          <cell r="SC558">
            <v>0</v>
          </cell>
          <cell r="SY558">
            <v>0</v>
          </cell>
          <cell r="SZ558">
            <v>0</v>
          </cell>
          <cell r="TV558">
            <v>0</v>
          </cell>
          <cell r="TW558">
            <v>0</v>
          </cell>
          <cell r="US558">
            <v>0</v>
          </cell>
          <cell r="UT558">
            <v>0</v>
          </cell>
          <cell r="XJ558">
            <v>0</v>
          </cell>
          <cell r="XK558">
            <v>0</v>
          </cell>
          <cell r="YG558">
            <v>0</v>
          </cell>
          <cell r="YH558">
            <v>0</v>
          </cell>
          <cell r="ZD558">
            <v>0</v>
          </cell>
          <cell r="ZE558">
            <v>0</v>
          </cell>
          <cell r="ACR558">
            <v>0</v>
          </cell>
          <cell r="ACS558">
            <v>0</v>
          </cell>
          <cell r="ADO558">
            <v>0</v>
          </cell>
          <cell r="ADP558">
            <v>0</v>
          </cell>
          <cell r="ADR558">
            <v>0</v>
          </cell>
          <cell r="ADS558">
            <v>0</v>
          </cell>
          <cell r="ADT558">
            <v>0</v>
          </cell>
          <cell r="ADU558">
            <v>0</v>
          </cell>
          <cell r="ADV558">
            <v>0</v>
          </cell>
          <cell r="ADW558">
            <v>0</v>
          </cell>
          <cell r="ADX558">
            <v>0</v>
          </cell>
          <cell r="ADY558">
            <v>0</v>
          </cell>
          <cell r="ADZ558">
            <v>0</v>
          </cell>
          <cell r="AEA558">
            <v>0</v>
          </cell>
          <cell r="AEB558">
            <v>0</v>
          </cell>
          <cell r="AEC558">
            <v>0</v>
          </cell>
          <cell r="AED558">
            <v>0</v>
          </cell>
          <cell r="AEE558">
            <v>0</v>
          </cell>
          <cell r="AEF558">
            <v>0</v>
          </cell>
          <cell r="AEG558">
            <v>0</v>
          </cell>
          <cell r="AEH558">
            <v>0</v>
          </cell>
          <cell r="AEI558">
            <v>0</v>
          </cell>
          <cell r="AEJ558">
            <v>0</v>
          </cell>
          <cell r="AEK558">
            <v>0</v>
          </cell>
          <cell r="AEO558">
            <v>0</v>
          </cell>
          <cell r="AEP558">
            <v>0</v>
          </cell>
          <cell r="AEQ558">
            <v>0</v>
          </cell>
          <cell r="AER558">
            <v>0</v>
          </cell>
          <cell r="AES558">
            <v>0</v>
          </cell>
          <cell r="AET558">
            <v>0</v>
          </cell>
          <cell r="AEW558">
            <v>0</v>
          </cell>
          <cell r="AEX558">
            <v>0</v>
          </cell>
          <cell r="AEY558">
            <v>0</v>
          </cell>
          <cell r="AEZ558">
            <v>0</v>
          </cell>
          <cell r="AFB558">
            <v>0</v>
          </cell>
          <cell r="AFC558">
            <v>0</v>
          </cell>
          <cell r="AFD558">
            <v>0</v>
          </cell>
          <cell r="AFE558">
            <v>0</v>
          </cell>
          <cell r="AFF558">
            <v>0</v>
          </cell>
          <cell r="AFG558">
            <v>0</v>
          </cell>
          <cell r="AFH558">
            <v>0</v>
          </cell>
          <cell r="AFI558">
            <v>0</v>
          </cell>
          <cell r="AFJ558">
            <v>0</v>
          </cell>
          <cell r="AFK558">
            <v>0</v>
          </cell>
          <cell r="AGC558">
            <v>0</v>
          </cell>
          <cell r="AGD558">
            <v>0</v>
          </cell>
          <cell r="AGI558">
            <v>26</v>
          </cell>
          <cell r="AGK558">
            <v>0</v>
          </cell>
          <cell r="AGM558">
            <v>0</v>
          </cell>
          <cell r="AGO558">
            <v>0</v>
          </cell>
          <cell r="AGQ558">
            <v>0</v>
          </cell>
          <cell r="AGV558">
            <v>0</v>
          </cell>
          <cell r="AGW558">
            <v>0</v>
          </cell>
          <cell r="AGX558">
            <v>0</v>
          </cell>
          <cell r="AIS558">
            <v>50</v>
          </cell>
          <cell r="AIT558">
            <v>0</v>
          </cell>
          <cell r="AIZ558">
            <v>34</v>
          </cell>
          <cell r="AJA558">
            <v>16</v>
          </cell>
          <cell r="AJB558">
            <v>0</v>
          </cell>
          <cell r="AJF558">
            <v>11</v>
          </cell>
          <cell r="AJG558">
            <v>13</v>
          </cell>
          <cell r="AJH558">
            <v>21</v>
          </cell>
          <cell r="AJI558">
            <v>5</v>
          </cell>
          <cell r="AJJ558">
            <v>0</v>
          </cell>
          <cell r="AJN558">
            <v>46</v>
          </cell>
          <cell r="AJQ558">
            <v>0</v>
          </cell>
          <cell r="AJR558">
            <v>0</v>
          </cell>
          <cell r="AJS558">
            <v>4</v>
          </cell>
          <cell r="AJT558">
            <v>0</v>
          </cell>
          <cell r="AJU558">
            <v>50</v>
          </cell>
          <cell r="AKA558">
            <v>50</v>
          </cell>
          <cell r="AKH558">
            <v>50</v>
          </cell>
          <cell r="AKL558">
            <v>49</v>
          </cell>
          <cell r="ALE558">
            <v>28</v>
          </cell>
          <cell r="ALF558">
            <v>22</v>
          </cell>
          <cell r="ALG558">
            <v>0</v>
          </cell>
          <cell r="ALH558">
            <v>0</v>
          </cell>
          <cell r="ALI558">
            <v>50</v>
          </cell>
          <cell r="ALJ558">
            <v>0</v>
          </cell>
          <cell r="ALK558">
            <v>17</v>
          </cell>
          <cell r="ALL558">
            <v>30</v>
          </cell>
          <cell r="ALM558">
            <v>3</v>
          </cell>
          <cell r="ALZ558">
            <v>50</v>
          </cell>
          <cell r="AMA558">
            <v>11</v>
          </cell>
          <cell r="AMM558">
            <v>13955</v>
          </cell>
          <cell r="AMN558">
            <v>7</v>
          </cell>
          <cell r="AMO558">
            <v>54</v>
          </cell>
        </row>
        <row r="580">
          <cell r="S580">
            <v>15</v>
          </cell>
          <cell r="T580">
            <v>0</v>
          </cell>
          <cell r="U580">
            <v>6</v>
          </cell>
          <cell r="V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0</v>
          </cell>
          <cell r="AP580">
            <v>0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0</v>
          </cell>
          <cell r="AZ580">
            <v>0</v>
          </cell>
          <cell r="BA580">
            <v>0</v>
          </cell>
          <cell r="BE580">
            <v>0</v>
          </cell>
          <cell r="BF580">
            <v>0</v>
          </cell>
          <cell r="BG580">
            <v>0</v>
          </cell>
          <cell r="BH580">
            <v>0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  <cell r="BM580">
            <v>0</v>
          </cell>
          <cell r="BN580">
            <v>0</v>
          </cell>
          <cell r="BR580">
            <v>0</v>
          </cell>
          <cell r="BS580">
            <v>0</v>
          </cell>
          <cell r="BT580">
            <v>0</v>
          </cell>
          <cell r="BU580">
            <v>0</v>
          </cell>
          <cell r="BV580">
            <v>0</v>
          </cell>
          <cell r="BW580">
            <v>0</v>
          </cell>
          <cell r="BX580">
            <v>0</v>
          </cell>
          <cell r="BY580">
            <v>0</v>
          </cell>
          <cell r="BZ580">
            <v>0</v>
          </cell>
          <cell r="CA580">
            <v>0</v>
          </cell>
          <cell r="CE580">
            <v>0</v>
          </cell>
          <cell r="CF580">
            <v>0</v>
          </cell>
          <cell r="CG580">
            <v>0</v>
          </cell>
          <cell r="CH580">
            <v>0</v>
          </cell>
          <cell r="CI580">
            <v>0</v>
          </cell>
          <cell r="CJ580">
            <v>0</v>
          </cell>
          <cell r="CK580">
            <v>0</v>
          </cell>
          <cell r="CL580">
            <v>0</v>
          </cell>
          <cell r="CM580">
            <v>0</v>
          </cell>
          <cell r="CN580">
            <v>0</v>
          </cell>
          <cell r="CR580">
            <v>0</v>
          </cell>
          <cell r="CS580">
            <v>0</v>
          </cell>
          <cell r="CT580">
            <v>0</v>
          </cell>
          <cell r="CU580">
            <v>0</v>
          </cell>
          <cell r="CV580">
            <v>0</v>
          </cell>
          <cell r="CW580">
            <v>0</v>
          </cell>
          <cell r="CX580">
            <v>0</v>
          </cell>
          <cell r="CY580">
            <v>0</v>
          </cell>
          <cell r="CZ580">
            <v>0</v>
          </cell>
          <cell r="DA580">
            <v>0</v>
          </cell>
          <cell r="DE580">
            <v>0</v>
          </cell>
          <cell r="DF580">
            <v>0</v>
          </cell>
          <cell r="DG580">
            <v>0</v>
          </cell>
          <cell r="DH580">
            <v>0</v>
          </cell>
          <cell r="DI580">
            <v>0</v>
          </cell>
          <cell r="DJ580">
            <v>0</v>
          </cell>
          <cell r="DK580">
            <v>0</v>
          </cell>
          <cell r="DL580">
            <v>0</v>
          </cell>
          <cell r="DM580">
            <v>0</v>
          </cell>
          <cell r="DN580">
            <v>0</v>
          </cell>
          <cell r="EQ580">
            <v>0</v>
          </cell>
          <cell r="ER580">
            <v>0</v>
          </cell>
          <cell r="ES580">
            <v>0</v>
          </cell>
          <cell r="ET580">
            <v>0</v>
          </cell>
          <cell r="EU580">
            <v>0</v>
          </cell>
          <cell r="EV580">
            <v>0</v>
          </cell>
          <cell r="EW580">
            <v>0</v>
          </cell>
          <cell r="EX580">
            <v>0</v>
          </cell>
          <cell r="EY580">
            <v>0</v>
          </cell>
          <cell r="EZ580">
            <v>0</v>
          </cell>
          <cell r="FA580">
            <v>0</v>
          </cell>
          <cell r="FB580">
            <v>0</v>
          </cell>
          <cell r="FC580">
            <v>0</v>
          </cell>
          <cell r="FD580">
            <v>0</v>
          </cell>
          <cell r="FE580">
            <v>0</v>
          </cell>
          <cell r="FF580">
            <v>0</v>
          </cell>
          <cell r="FG580">
            <v>0</v>
          </cell>
          <cell r="FH580">
            <v>0</v>
          </cell>
          <cell r="FM580">
            <v>0</v>
          </cell>
          <cell r="FN580">
            <v>0</v>
          </cell>
          <cell r="FO580">
            <v>0</v>
          </cell>
          <cell r="FP580">
            <v>0</v>
          </cell>
          <cell r="FQ580">
            <v>0</v>
          </cell>
          <cell r="FR580">
            <v>0</v>
          </cell>
          <cell r="FS580">
            <v>0</v>
          </cell>
          <cell r="FT580">
            <v>0</v>
          </cell>
          <cell r="FU580">
            <v>0</v>
          </cell>
          <cell r="FV580">
            <v>0</v>
          </cell>
          <cell r="FW580">
            <v>0</v>
          </cell>
          <cell r="FX580">
            <v>0</v>
          </cell>
          <cell r="GB580">
            <v>0</v>
          </cell>
          <cell r="GC580">
            <v>0</v>
          </cell>
          <cell r="GD580">
            <v>0</v>
          </cell>
          <cell r="GE580">
            <v>0</v>
          </cell>
          <cell r="GF580">
            <v>0</v>
          </cell>
          <cell r="GG580">
            <v>0</v>
          </cell>
          <cell r="GH580">
            <v>0</v>
          </cell>
          <cell r="GI580">
            <v>0</v>
          </cell>
          <cell r="GJ580">
            <v>0</v>
          </cell>
          <cell r="GK580">
            <v>0</v>
          </cell>
          <cell r="GL580">
            <v>0</v>
          </cell>
          <cell r="GM580">
            <v>0</v>
          </cell>
          <cell r="GQ580">
            <v>0</v>
          </cell>
          <cell r="GR580">
            <v>0</v>
          </cell>
          <cell r="GS580">
            <v>0</v>
          </cell>
          <cell r="GT580">
            <v>0</v>
          </cell>
          <cell r="GU580">
            <v>0</v>
          </cell>
          <cell r="GV580">
            <v>0</v>
          </cell>
          <cell r="GW580">
            <v>0</v>
          </cell>
          <cell r="GX580">
            <v>0</v>
          </cell>
          <cell r="GY580">
            <v>0</v>
          </cell>
          <cell r="GZ580">
            <v>0</v>
          </cell>
          <cell r="HA580">
            <v>0</v>
          </cell>
          <cell r="HB580">
            <v>0</v>
          </cell>
          <cell r="HF580">
            <v>0</v>
          </cell>
          <cell r="HG580">
            <v>0</v>
          </cell>
          <cell r="HH580">
            <v>0</v>
          </cell>
          <cell r="HI580">
            <v>0</v>
          </cell>
          <cell r="HJ580">
            <v>0</v>
          </cell>
          <cell r="HK580">
            <v>0</v>
          </cell>
          <cell r="HL580">
            <v>0</v>
          </cell>
          <cell r="HM580">
            <v>0</v>
          </cell>
          <cell r="HN580">
            <v>0</v>
          </cell>
          <cell r="HO580">
            <v>0</v>
          </cell>
          <cell r="HP580">
            <v>0</v>
          </cell>
          <cell r="HQ580">
            <v>0</v>
          </cell>
          <cell r="HU580">
            <v>0</v>
          </cell>
          <cell r="HV580">
            <v>0</v>
          </cell>
          <cell r="HW580">
            <v>0</v>
          </cell>
          <cell r="HX580">
            <v>0</v>
          </cell>
          <cell r="HY580">
            <v>0</v>
          </cell>
          <cell r="HZ580">
            <v>0</v>
          </cell>
          <cell r="IA580">
            <v>0</v>
          </cell>
          <cell r="IB580">
            <v>0</v>
          </cell>
          <cell r="IC580">
            <v>0</v>
          </cell>
          <cell r="ID580">
            <v>0</v>
          </cell>
          <cell r="IE580">
            <v>0</v>
          </cell>
          <cell r="IF580">
            <v>0</v>
          </cell>
          <cell r="IY580">
            <v>17</v>
          </cell>
          <cell r="IZ580">
            <v>4</v>
          </cell>
          <cell r="JA580">
            <v>0</v>
          </cell>
          <cell r="JB580">
            <v>0</v>
          </cell>
          <cell r="JC580">
            <v>0</v>
          </cell>
          <cell r="JD580">
            <v>0</v>
          </cell>
          <cell r="JE580">
            <v>0</v>
          </cell>
          <cell r="JF580">
            <v>0</v>
          </cell>
          <cell r="KI580">
            <v>0</v>
          </cell>
          <cell r="KJ580">
            <v>0</v>
          </cell>
          <cell r="KK580">
            <v>0</v>
          </cell>
          <cell r="KL580">
            <v>0</v>
          </cell>
          <cell r="KM580">
            <v>0</v>
          </cell>
          <cell r="KN580">
            <v>0</v>
          </cell>
          <cell r="KO580">
            <v>0</v>
          </cell>
          <cell r="KP580">
            <v>0</v>
          </cell>
          <cell r="KQ580">
            <v>0</v>
          </cell>
          <cell r="KR580">
            <v>0</v>
          </cell>
          <cell r="KS580">
            <v>0</v>
          </cell>
          <cell r="KT580">
            <v>0</v>
          </cell>
          <cell r="KU580">
            <v>0</v>
          </cell>
          <cell r="KV580">
            <v>0</v>
          </cell>
          <cell r="KW580">
            <v>0</v>
          </cell>
          <cell r="LW580">
            <v>0</v>
          </cell>
          <cell r="LX580">
            <v>0</v>
          </cell>
          <cell r="MT580">
            <v>0</v>
          </cell>
          <cell r="MU580">
            <v>0</v>
          </cell>
          <cell r="NQ580">
            <v>0</v>
          </cell>
          <cell r="NR580">
            <v>0</v>
          </cell>
          <cell r="PK580">
            <v>0</v>
          </cell>
          <cell r="PL580">
            <v>0</v>
          </cell>
          <cell r="QH580">
            <v>0</v>
          </cell>
          <cell r="QI580">
            <v>0</v>
          </cell>
          <cell r="RE580">
            <v>0</v>
          </cell>
          <cell r="RF580">
            <v>0</v>
          </cell>
          <cell r="SC580">
            <v>0</v>
          </cell>
          <cell r="SY580">
            <v>0</v>
          </cell>
          <cell r="SZ580">
            <v>0</v>
          </cell>
          <cell r="TV580">
            <v>0</v>
          </cell>
          <cell r="TW580">
            <v>0</v>
          </cell>
          <cell r="US580">
            <v>0</v>
          </cell>
          <cell r="UT580">
            <v>0</v>
          </cell>
          <cell r="WM580">
            <v>0</v>
          </cell>
          <cell r="WN580">
            <v>0</v>
          </cell>
          <cell r="XJ580">
            <v>0</v>
          </cell>
          <cell r="XK580">
            <v>0</v>
          </cell>
          <cell r="YG580">
            <v>0</v>
          </cell>
          <cell r="YH580">
            <v>0</v>
          </cell>
          <cell r="ZD580">
            <v>0</v>
          </cell>
          <cell r="ZE580">
            <v>0</v>
          </cell>
          <cell r="ACR580">
            <v>0</v>
          </cell>
          <cell r="ACS580">
            <v>0</v>
          </cell>
          <cell r="ADO580">
            <v>0</v>
          </cell>
          <cell r="ADP580">
            <v>0</v>
          </cell>
          <cell r="ADR580">
            <v>0</v>
          </cell>
          <cell r="ADS580">
            <v>0</v>
          </cell>
          <cell r="ADT580">
            <v>0</v>
          </cell>
          <cell r="ADU580">
            <v>0</v>
          </cell>
          <cell r="ADV580">
            <v>0</v>
          </cell>
          <cell r="ADW580">
            <v>0</v>
          </cell>
          <cell r="ADX580">
            <v>0</v>
          </cell>
          <cell r="ADY580">
            <v>0</v>
          </cell>
          <cell r="ADZ580">
            <v>0</v>
          </cell>
          <cell r="AEA580">
            <v>0</v>
          </cell>
          <cell r="AEB580">
            <v>0</v>
          </cell>
          <cell r="AEC580">
            <v>0</v>
          </cell>
          <cell r="AED580">
            <v>0</v>
          </cell>
          <cell r="AEE580">
            <v>0</v>
          </cell>
          <cell r="AEF580">
            <v>0</v>
          </cell>
          <cell r="AEG580">
            <v>0</v>
          </cell>
          <cell r="AEH580">
            <v>0</v>
          </cell>
          <cell r="AEI580">
            <v>0</v>
          </cell>
          <cell r="AEJ580">
            <v>0</v>
          </cell>
          <cell r="AEK580">
            <v>0</v>
          </cell>
          <cell r="AEO580">
            <v>0</v>
          </cell>
          <cell r="AEP580">
            <v>0</v>
          </cell>
          <cell r="AEQ580">
            <v>0</v>
          </cell>
          <cell r="AER580">
            <v>0</v>
          </cell>
          <cell r="AES580">
            <v>0</v>
          </cell>
          <cell r="AET580">
            <v>0</v>
          </cell>
          <cell r="AEW580">
            <v>0</v>
          </cell>
          <cell r="AEX580">
            <v>0</v>
          </cell>
          <cell r="AEY580">
            <v>0</v>
          </cell>
          <cell r="AEZ580">
            <v>0</v>
          </cell>
          <cell r="AFB580">
            <v>0</v>
          </cell>
          <cell r="AFC580">
            <v>0</v>
          </cell>
          <cell r="AFD580">
            <v>0</v>
          </cell>
          <cell r="AFE580">
            <v>0</v>
          </cell>
          <cell r="AFF580">
            <v>0</v>
          </cell>
          <cell r="AFG580">
            <v>0</v>
          </cell>
          <cell r="AFH580">
            <v>0</v>
          </cell>
          <cell r="AFI580">
            <v>0</v>
          </cell>
          <cell r="AFJ580">
            <v>0</v>
          </cell>
          <cell r="AFK580">
            <v>0</v>
          </cell>
          <cell r="AGC580">
            <v>0</v>
          </cell>
          <cell r="AGD580">
            <v>0</v>
          </cell>
          <cell r="AGI580">
            <v>6</v>
          </cell>
          <cell r="AGK580">
            <v>0</v>
          </cell>
          <cell r="AGM580">
            <v>0</v>
          </cell>
          <cell r="AGO580">
            <v>0</v>
          </cell>
          <cell r="AGQ580">
            <v>0</v>
          </cell>
          <cell r="AGV580">
            <v>0</v>
          </cell>
          <cell r="AGW580">
            <v>0</v>
          </cell>
          <cell r="AGX580">
            <v>0</v>
          </cell>
          <cell r="AIS580">
            <v>19</v>
          </cell>
          <cell r="AIT580">
            <v>0</v>
          </cell>
          <cell r="AIZ580">
            <v>13</v>
          </cell>
          <cell r="AJA580">
            <v>6</v>
          </cell>
          <cell r="AJB580">
            <v>0</v>
          </cell>
          <cell r="AJF580">
            <v>3</v>
          </cell>
          <cell r="AJG580">
            <v>7</v>
          </cell>
          <cell r="AJH580">
            <v>8</v>
          </cell>
          <cell r="AJI580">
            <v>1</v>
          </cell>
          <cell r="AJJ580">
            <v>0</v>
          </cell>
          <cell r="AJN580">
            <v>19</v>
          </cell>
          <cell r="AJP580">
            <v>0</v>
          </cell>
          <cell r="AJQ580">
            <v>0</v>
          </cell>
          <cell r="AJS580">
            <v>0</v>
          </cell>
          <cell r="AJT580">
            <v>0</v>
          </cell>
          <cell r="AJU580">
            <v>19</v>
          </cell>
          <cell r="AKA580">
            <v>19</v>
          </cell>
          <cell r="AKH580">
            <v>19</v>
          </cell>
          <cell r="AKL580">
            <v>19</v>
          </cell>
          <cell r="ALE580">
            <v>15</v>
          </cell>
          <cell r="ALF580">
            <v>4</v>
          </cell>
          <cell r="ALG580">
            <v>0</v>
          </cell>
          <cell r="ALH580">
            <v>0</v>
          </cell>
          <cell r="ALI580">
            <v>19</v>
          </cell>
          <cell r="ALJ580">
            <v>0</v>
          </cell>
          <cell r="ALK580">
            <v>8</v>
          </cell>
          <cell r="ALL580">
            <v>10</v>
          </cell>
          <cell r="ALM580">
            <v>1</v>
          </cell>
          <cell r="ALZ580">
            <v>15</v>
          </cell>
          <cell r="AMA580">
            <v>6</v>
          </cell>
          <cell r="AMM580">
            <v>2229</v>
          </cell>
          <cell r="AMN580">
            <v>3</v>
          </cell>
          <cell r="AMO580">
            <v>18</v>
          </cell>
        </row>
        <row r="581">
          <cell r="S581">
            <v>49</v>
          </cell>
          <cell r="T581">
            <v>0</v>
          </cell>
          <cell r="U581">
            <v>150</v>
          </cell>
          <cell r="V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  <cell r="BA581">
            <v>0</v>
          </cell>
          <cell r="BE581">
            <v>0</v>
          </cell>
          <cell r="BF581">
            <v>0</v>
          </cell>
          <cell r="BG581">
            <v>0</v>
          </cell>
          <cell r="BH581">
            <v>0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  <cell r="BM581">
            <v>0</v>
          </cell>
          <cell r="BN581">
            <v>0</v>
          </cell>
          <cell r="BR581">
            <v>0</v>
          </cell>
          <cell r="BS581">
            <v>0</v>
          </cell>
          <cell r="BT581">
            <v>0</v>
          </cell>
          <cell r="BU581">
            <v>0</v>
          </cell>
          <cell r="BV581">
            <v>0</v>
          </cell>
          <cell r="BW581">
            <v>0</v>
          </cell>
          <cell r="BX581">
            <v>0</v>
          </cell>
          <cell r="BY581">
            <v>0</v>
          </cell>
          <cell r="BZ581">
            <v>0</v>
          </cell>
          <cell r="CA581">
            <v>0</v>
          </cell>
          <cell r="CE581">
            <v>0</v>
          </cell>
          <cell r="CF581">
            <v>0</v>
          </cell>
          <cell r="CG581">
            <v>0</v>
          </cell>
          <cell r="CH581">
            <v>0</v>
          </cell>
          <cell r="CI581">
            <v>0</v>
          </cell>
          <cell r="CJ581">
            <v>0</v>
          </cell>
          <cell r="CK581">
            <v>0</v>
          </cell>
          <cell r="CL581">
            <v>0</v>
          </cell>
          <cell r="CM581">
            <v>0</v>
          </cell>
          <cell r="CN581">
            <v>0</v>
          </cell>
          <cell r="CR581">
            <v>0</v>
          </cell>
          <cell r="CS581">
            <v>0</v>
          </cell>
          <cell r="CT581">
            <v>0</v>
          </cell>
          <cell r="CU581">
            <v>0</v>
          </cell>
          <cell r="CV581">
            <v>0</v>
          </cell>
          <cell r="CW581">
            <v>0</v>
          </cell>
          <cell r="CX581">
            <v>0</v>
          </cell>
          <cell r="CY581">
            <v>0</v>
          </cell>
          <cell r="CZ581">
            <v>0</v>
          </cell>
          <cell r="DA581">
            <v>0</v>
          </cell>
          <cell r="DE581">
            <v>0</v>
          </cell>
          <cell r="DF581">
            <v>0</v>
          </cell>
          <cell r="DG581">
            <v>0</v>
          </cell>
          <cell r="DH581">
            <v>0</v>
          </cell>
          <cell r="DI581">
            <v>0</v>
          </cell>
          <cell r="DJ581">
            <v>0</v>
          </cell>
          <cell r="DK581">
            <v>0</v>
          </cell>
          <cell r="DL581">
            <v>0</v>
          </cell>
          <cell r="DM581">
            <v>0</v>
          </cell>
          <cell r="DN581">
            <v>0</v>
          </cell>
          <cell r="EQ581">
            <v>0</v>
          </cell>
          <cell r="ER581">
            <v>0</v>
          </cell>
          <cell r="ES581">
            <v>0</v>
          </cell>
          <cell r="ET581">
            <v>0</v>
          </cell>
          <cell r="EU581">
            <v>0</v>
          </cell>
          <cell r="EV581">
            <v>0</v>
          </cell>
          <cell r="EW581">
            <v>0</v>
          </cell>
          <cell r="EX581">
            <v>0</v>
          </cell>
          <cell r="EY581">
            <v>0</v>
          </cell>
          <cell r="EZ581">
            <v>0</v>
          </cell>
          <cell r="FA581">
            <v>0</v>
          </cell>
          <cell r="FB581">
            <v>0</v>
          </cell>
          <cell r="FC581">
            <v>0</v>
          </cell>
          <cell r="FD581">
            <v>0</v>
          </cell>
          <cell r="FE581">
            <v>0</v>
          </cell>
          <cell r="FF581">
            <v>0</v>
          </cell>
          <cell r="FG581">
            <v>0</v>
          </cell>
          <cell r="FH581">
            <v>0</v>
          </cell>
          <cell r="FM581">
            <v>0</v>
          </cell>
          <cell r="FN581">
            <v>0</v>
          </cell>
          <cell r="FO581">
            <v>0</v>
          </cell>
          <cell r="FP581">
            <v>0</v>
          </cell>
          <cell r="FQ581">
            <v>0</v>
          </cell>
          <cell r="FR581">
            <v>0</v>
          </cell>
          <cell r="FS581">
            <v>0</v>
          </cell>
          <cell r="FT581">
            <v>0</v>
          </cell>
          <cell r="FU581">
            <v>0</v>
          </cell>
          <cell r="FV581">
            <v>0</v>
          </cell>
          <cell r="FW581">
            <v>0</v>
          </cell>
          <cell r="FX581">
            <v>0</v>
          </cell>
          <cell r="GB581">
            <v>0</v>
          </cell>
          <cell r="GC581">
            <v>0</v>
          </cell>
          <cell r="GD581">
            <v>0</v>
          </cell>
          <cell r="GE581">
            <v>0</v>
          </cell>
          <cell r="GF581">
            <v>0</v>
          </cell>
          <cell r="GG581">
            <v>0</v>
          </cell>
          <cell r="GH581">
            <v>0</v>
          </cell>
          <cell r="GI581">
            <v>0</v>
          </cell>
          <cell r="GJ581">
            <v>0</v>
          </cell>
          <cell r="GK581">
            <v>0</v>
          </cell>
          <cell r="GL581">
            <v>0</v>
          </cell>
          <cell r="GM581">
            <v>0</v>
          </cell>
          <cell r="GQ581">
            <v>0</v>
          </cell>
          <cell r="GR581">
            <v>0</v>
          </cell>
          <cell r="GS581">
            <v>0</v>
          </cell>
          <cell r="GT581">
            <v>0</v>
          </cell>
          <cell r="GU581">
            <v>0</v>
          </cell>
          <cell r="GV581">
            <v>0</v>
          </cell>
          <cell r="GW581">
            <v>0</v>
          </cell>
          <cell r="GX581">
            <v>0</v>
          </cell>
          <cell r="GY581">
            <v>0</v>
          </cell>
          <cell r="GZ581">
            <v>0</v>
          </cell>
          <cell r="HA581">
            <v>0</v>
          </cell>
          <cell r="HB581">
            <v>0</v>
          </cell>
          <cell r="HF581">
            <v>0</v>
          </cell>
          <cell r="HG581">
            <v>0</v>
          </cell>
          <cell r="HH581">
            <v>0</v>
          </cell>
          <cell r="HI581">
            <v>0</v>
          </cell>
          <cell r="HJ581">
            <v>0</v>
          </cell>
          <cell r="HK581">
            <v>0</v>
          </cell>
          <cell r="HL581">
            <v>0</v>
          </cell>
          <cell r="HM581">
            <v>0</v>
          </cell>
          <cell r="HN581">
            <v>0</v>
          </cell>
          <cell r="HO581">
            <v>0</v>
          </cell>
          <cell r="HP581">
            <v>0</v>
          </cell>
          <cell r="HQ581">
            <v>0</v>
          </cell>
          <cell r="HU581">
            <v>0</v>
          </cell>
          <cell r="HV581">
            <v>0</v>
          </cell>
          <cell r="HW581">
            <v>0</v>
          </cell>
          <cell r="HX581">
            <v>0</v>
          </cell>
          <cell r="HY581">
            <v>0</v>
          </cell>
          <cell r="HZ581">
            <v>0</v>
          </cell>
          <cell r="IA581">
            <v>0</v>
          </cell>
          <cell r="IB581">
            <v>0</v>
          </cell>
          <cell r="IC581">
            <v>0</v>
          </cell>
          <cell r="ID581">
            <v>0</v>
          </cell>
          <cell r="IE581">
            <v>0</v>
          </cell>
          <cell r="IF581">
            <v>0</v>
          </cell>
          <cell r="KI581">
            <v>0</v>
          </cell>
          <cell r="KJ581">
            <v>0</v>
          </cell>
          <cell r="KK581">
            <v>0</v>
          </cell>
          <cell r="KL581">
            <v>0</v>
          </cell>
          <cell r="KM581">
            <v>0</v>
          </cell>
          <cell r="KN581">
            <v>0</v>
          </cell>
          <cell r="KO581">
            <v>0</v>
          </cell>
          <cell r="KP581">
            <v>0</v>
          </cell>
          <cell r="KQ581">
            <v>0</v>
          </cell>
          <cell r="KR581">
            <v>0</v>
          </cell>
          <cell r="KS581">
            <v>0</v>
          </cell>
          <cell r="KT581">
            <v>0</v>
          </cell>
          <cell r="KU581">
            <v>0</v>
          </cell>
          <cell r="KV581">
            <v>0</v>
          </cell>
          <cell r="KW581">
            <v>0</v>
          </cell>
          <cell r="LW581">
            <v>0</v>
          </cell>
          <cell r="LX581">
            <v>0</v>
          </cell>
          <cell r="MT581">
            <v>0</v>
          </cell>
          <cell r="MU581">
            <v>0</v>
          </cell>
          <cell r="NQ581">
            <v>0</v>
          </cell>
          <cell r="NR581">
            <v>0</v>
          </cell>
          <cell r="ON581">
            <v>0</v>
          </cell>
          <cell r="OO581">
            <v>0</v>
          </cell>
          <cell r="PK581">
            <v>0</v>
          </cell>
          <cell r="PL581">
            <v>0</v>
          </cell>
          <cell r="QH581">
            <v>0</v>
          </cell>
          <cell r="QI581">
            <v>0</v>
          </cell>
          <cell r="RE581">
            <v>0</v>
          </cell>
          <cell r="RF581">
            <v>0</v>
          </cell>
          <cell r="SB581">
            <v>0</v>
          </cell>
          <cell r="SC581">
            <v>0</v>
          </cell>
          <cell r="SY581">
            <v>0</v>
          </cell>
          <cell r="SZ581">
            <v>0</v>
          </cell>
          <cell r="TV581">
            <v>0</v>
          </cell>
          <cell r="TW581">
            <v>0</v>
          </cell>
          <cell r="US581">
            <v>0</v>
          </cell>
          <cell r="UT581">
            <v>0</v>
          </cell>
          <cell r="VP581">
            <v>0</v>
          </cell>
          <cell r="VQ581">
            <v>0</v>
          </cell>
          <cell r="WM581">
            <v>0</v>
          </cell>
          <cell r="WN581">
            <v>0</v>
          </cell>
          <cell r="XJ581">
            <v>0</v>
          </cell>
          <cell r="XK581">
            <v>0</v>
          </cell>
          <cell r="YG581">
            <v>0</v>
          </cell>
          <cell r="YH581">
            <v>0</v>
          </cell>
          <cell r="ZD581">
            <v>0</v>
          </cell>
          <cell r="ZE581">
            <v>0</v>
          </cell>
          <cell r="AAA581">
            <v>0</v>
          </cell>
          <cell r="AAB581">
            <v>0</v>
          </cell>
          <cell r="AAX581">
            <v>0</v>
          </cell>
          <cell r="AAY581">
            <v>0</v>
          </cell>
          <cell r="ACR581">
            <v>0</v>
          </cell>
          <cell r="ACS581">
            <v>0</v>
          </cell>
          <cell r="ADO581">
            <v>0</v>
          </cell>
          <cell r="ADP581">
            <v>0</v>
          </cell>
          <cell r="AEO581">
            <v>0</v>
          </cell>
          <cell r="AEP581">
            <v>0</v>
          </cell>
          <cell r="AEQ581">
            <v>0</v>
          </cell>
          <cell r="AER581">
            <v>0</v>
          </cell>
          <cell r="AES581">
            <v>0</v>
          </cell>
          <cell r="AET581">
            <v>0</v>
          </cell>
          <cell r="AEW581">
            <v>0</v>
          </cell>
          <cell r="AEX581">
            <v>0</v>
          </cell>
          <cell r="AEY581">
            <v>0</v>
          </cell>
          <cell r="AEZ581">
            <v>0</v>
          </cell>
          <cell r="AFB581">
            <v>0</v>
          </cell>
          <cell r="AFC581">
            <v>0</v>
          </cell>
          <cell r="AFD581">
            <v>0</v>
          </cell>
          <cell r="AFE581">
            <v>0</v>
          </cell>
          <cell r="AFF581">
            <v>0</v>
          </cell>
          <cell r="AFG581">
            <v>0</v>
          </cell>
          <cell r="AFH581">
            <v>0</v>
          </cell>
          <cell r="AFI581">
            <v>0</v>
          </cell>
          <cell r="AFJ581">
            <v>0</v>
          </cell>
          <cell r="AFK581">
            <v>0</v>
          </cell>
          <cell r="AGC581">
            <v>0</v>
          </cell>
          <cell r="AGD581">
            <v>0</v>
          </cell>
          <cell r="AGI581">
            <v>69</v>
          </cell>
          <cell r="AGK581">
            <v>0</v>
          </cell>
          <cell r="AGM581">
            <v>0</v>
          </cell>
          <cell r="AGO581">
            <v>0</v>
          </cell>
          <cell r="AGQ581">
            <v>0</v>
          </cell>
          <cell r="AGV581">
            <v>0</v>
          </cell>
          <cell r="AGW581">
            <v>0</v>
          </cell>
          <cell r="AGX581">
            <v>0</v>
          </cell>
          <cell r="ALZ581">
            <v>153</v>
          </cell>
          <cell r="AMA581">
            <v>46</v>
          </cell>
          <cell r="AMM581">
            <v>55955</v>
          </cell>
          <cell r="AMN581">
            <v>31</v>
          </cell>
          <cell r="AMO581">
            <v>168</v>
          </cell>
        </row>
        <row r="607">
          <cell r="S607">
            <v>0</v>
          </cell>
          <cell r="T607">
            <v>0</v>
          </cell>
          <cell r="U607">
            <v>25</v>
          </cell>
          <cell r="V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0</v>
          </cell>
          <cell r="AK607">
            <v>0</v>
          </cell>
          <cell r="AL607">
            <v>0</v>
          </cell>
          <cell r="AP607">
            <v>0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  <cell r="BA607">
            <v>0</v>
          </cell>
          <cell r="BE607">
            <v>0</v>
          </cell>
          <cell r="BF607">
            <v>0</v>
          </cell>
          <cell r="BG607">
            <v>0</v>
          </cell>
          <cell r="BH607">
            <v>0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  <cell r="BM607">
            <v>0</v>
          </cell>
          <cell r="BN607">
            <v>0</v>
          </cell>
          <cell r="BR607">
            <v>0</v>
          </cell>
          <cell r="BS607">
            <v>0</v>
          </cell>
          <cell r="BT607">
            <v>0</v>
          </cell>
          <cell r="BU607">
            <v>0</v>
          </cell>
          <cell r="BV607">
            <v>0</v>
          </cell>
          <cell r="BW607">
            <v>0</v>
          </cell>
          <cell r="BX607">
            <v>0</v>
          </cell>
          <cell r="BY607">
            <v>0</v>
          </cell>
          <cell r="BZ607">
            <v>0</v>
          </cell>
          <cell r="CA607">
            <v>0</v>
          </cell>
          <cell r="CE607">
            <v>0</v>
          </cell>
          <cell r="CF607">
            <v>0</v>
          </cell>
          <cell r="CG607">
            <v>0</v>
          </cell>
          <cell r="CH607">
            <v>0</v>
          </cell>
          <cell r="CI607">
            <v>0</v>
          </cell>
          <cell r="CJ607">
            <v>0</v>
          </cell>
          <cell r="CK607">
            <v>0</v>
          </cell>
          <cell r="CL607">
            <v>0</v>
          </cell>
          <cell r="CM607">
            <v>0</v>
          </cell>
          <cell r="CN607">
            <v>0</v>
          </cell>
          <cell r="CR607">
            <v>0</v>
          </cell>
          <cell r="CS607">
            <v>0</v>
          </cell>
          <cell r="CT607">
            <v>0</v>
          </cell>
          <cell r="CU607">
            <v>0</v>
          </cell>
          <cell r="CV607">
            <v>0</v>
          </cell>
          <cell r="CW607">
            <v>0</v>
          </cell>
          <cell r="CX607">
            <v>0</v>
          </cell>
          <cell r="CY607">
            <v>0</v>
          </cell>
          <cell r="CZ607">
            <v>0</v>
          </cell>
          <cell r="DA607">
            <v>0</v>
          </cell>
          <cell r="DE607">
            <v>0</v>
          </cell>
          <cell r="DF607">
            <v>0</v>
          </cell>
          <cell r="DG607">
            <v>0</v>
          </cell>
          <cell r="DH607">
            <v>0</v>
          </cell>
          <cell r="DI607">
            <v>0</v>
          </cell>
          <cell r="DJ607">
            <v>0</v>
          </cell>
          <cell r="DK607">
            <v>0</v>
          </cell>
          <cell r="DL607">
            <v>0</v>
          </cell>
          <cell r="DM607">
            <v>0</v>
          </cell>
          <cell r="DN607">
            <v>0</v>
          </cell>
          <cell r="EQ607">
            <v>0</v>
          </cell>
          <cell r="ER607">
            <v>0</v>
          </cell>
          <cell r="ES607">
            <v>0</v>
          </cell>
          <cell r="ET607">
            <v>0</v>
          </cell>
          <cell r="EU607">
            <v>0</v>
          </cell>
          <cell r="EV607">
            <v>0</v>
          </cell>
          <cell r="EW607">
            <v>0</v>
          </cell>
          <cell r="EX607">
            <v>0</v>
          </cell>
          <cell r="EY607">
            <v>0</v>
          </cell>
          <cell r="EZ607">
            <v>0</v>
          </cell>
          <cell r="FA607">
            <v>0</v>
          </cell>
          <cell r="FB607">
            <v>0</v>
          </cell>
          <cell r="FC607">
            <v>0</v>
          </cell>
          <cell r="FD607">
            <v>0</v>
          </cell>
          <cell r="FE607">
            <v>0</v>
          </cell>
          <cell r="FF607">
            <v>0</v>
          </cell>
          <cell r="FG607">
            <v>0</v>
          </cell>
          <cell r="FH607">
            <v>0</v>
          </cell>
          <cell r="FM607">
            <v>0</v>
          </cell>
          <cell r="FN607">
            <v>0</v>
          </cell>
          <cell r="FO607">
            <v>0</v>
          </cell>
          <cell r="FP607">
            <v>0</v>
          </cell>
          <cell r="FQ607">
            <v>0</v>
          </cell>
          <cell r="FR607">
            <v>0</v>
          </cell>
          <cell r="FS607">
            <v>0</v>
          </cell>
          <cell r="FT607">
            <v>0</v>
          </cell>
          <cell r="FU607">
            <v>0</v>
          </cell>
          <cell r="FV607">
            <v>0</v>
          </cell>
          <cell r="FW607">
            <v>0</v>
          </cell>
          <cell r="FX607">
            <v>0</v>
          </cell>
          <cell r="GB607">
            <v>0</v>
          </cell>
          <cell r="GC607">
            <v>0</v>
          </cell>
          <cell r="GD607">
            <v>0</v>
          </cell>
          <cell r="GE607">
            <v>0</v>
          </cell>
          <cell r="GF607">
            <v>0</v>
          </cell>
          <cell r="GG607">
            <v>0</v>
          </cell>
          <cell r="GH607">
            <v>0</v>
          </cell>
          <cell r="GI607">
            <v>0</v>
          </cell>
          <cell r="GJ607">
            <v>0</v>
          </cell>
          <cell r="GK607">
            <v>0</v>
          </cell>
          <cell r="GL607">
            <v>0</v>
          </cell>
          <cell r="GM607">
            <v>0</v>
          </cell>
          <cell r="GQ607">
            <v>0</v>
          </cell>
          <cell r="GR607">
            <v>0</v>
          </cell>
          <cell r="GS607">
            <v>0</v>
          </cell>
          <cell r="GT607">
            <v>0</v>
          </cell>
          <cell r="GU607">
            <v>0</v>
          </cell>
          <cell r="GV607">
            <v>0</v>
          </cell>
          <cell r="GW607">
            <v>0</v>
          </cell>
          <cell r="GX607">
            <v>0</v>
          </cell>
          <cell r="GY607">
            <v>0</v>
          </cell>
          <cell r="GZ607">
            <v>0</v>
          </cell>
          <cell r="HA607">
            <v>0</v>
          </cell>
          <cell r="HB607">
            <v>0</v>
          </cell>
          <cell r="HF607">
            <v>0</v>
          </cell>
          <cell r="HG607">
            <v>0</v>
          </cell>
          <cell r="HH607">
            <v>0</v>
          </cell>
          <cell r="HI607">
            <v>0</v>
          </cell>
          <cell r="HJ607">
            <v>0</v>
          </cell>
          <cell r="HK607">
            <v>0</v>
          </cell>
          <cell r="HL607">
            <v>0</v>
          </cell>
          <cell r="HM607">
            <v>0</v>
          </cell>
          <cell r="HN607">
            <v>0</v>
          </cell>
          <cell r="HO607">
            <v>0</v>
          </cell>
          <cell r="HP607">
            <v>0</v>
          </cell>
          <cell r="HQ607">
            <v>0</v>
          </cell>
          <cell r="HU607">
            <v>0</v>
          </cell>
          <cell r="HV607">
            <v>0</v>
          </cell>
          <cell r="HW607">
            <v>0</v>
          </cell>
          <cell r="HX607">
            <v>0</v>
          </cell>
          <cell r="HY607">
            <v>0</v>
          </cell>
          <cell r="HZ607">
            <v>0</v>
          </cell>
          <cell r="IA607">
            <v>0</v>
          </cell>
          <cell r="IB607">
            <v>0</v>
          </cell>
          <cell r="IC607">
            <v>0</v>
          </cell>
          <cell r="ID607">
            <v>0</v>
          </cell>
          <cell r="IE607">
            <v>0</v>
          </cell>
          <cell r="IF607">
            <v>0</v>
          </cell>
          <cell r="IY607">
            <v>12</v>
          </cell>
          <cell r="IZ607">
            <v>13</v>
          </cell>
          <cell r="JA607">
            <v>0</v>
          </cell>
          <cell r="JB607">
            <v>0</v>
          </cell>
          <cell r="JC607">
            <v>0</v>
          </cell>
          <cell r="JD607">
            <v>0</v>
          </cell>
          <cell r="JE607">
            <v>0</v>
          </cell>
          <cell r="JF607">
            <v>0</v>
          </cell>
          <cell r="KI607">
            <v>0</v>
          </cell>
          <cell r="KJ607">
            <v>0</v>
          </cell>
          <cell r="KK607">
            <v>0</v>
          </cell>
          <cell r="KL607">
            <v>0</v>
          </cell>
          <cell r="KM607">
            <v>0</v>
          </cell>
          <cell r="KN607">
            <v>0</v>
          </cell>
          <cell r="KO607">
            <v>0</v>
          </cell>
          <cell r="KP607">
            <v>0</v>
          </cell>
          <cell r="KQ607">
            <v>0</v>
          </cell>
          <cell r="KR607">
            <v>0</v>
          </cell>
          <cell r="KS607">
            <v>0</v>
          </cell>
          <cell r="KT607">
            <v>0</v>
          </cell>
          <cell r="KU607">
            <v>0</v>
          </cell>
          <cell r="KV607">
            <v>0</v>
          </cell>
          <cell r="KW607">
            <v>0</v>
          </cell>
          <cell r="LW607">
            <v>0</v>
          </cell>
          <cell r="LX607">
            <v>0</v>
          </cell>
          <cell r="MT607">
            <v>0</v>
          </cell>
          <cell r="MU607">
            <v>0</v>
          </cell>
          <cell r="NQ607">
            <v>0</v>
          </cell>
          <cell r="NR607">
            <v>0</v>
          </cell>
          <cell r="PK607">
            <v>0</v>
          </cell>
          <cell r="PL607">
            <v>0</v>
          </cell>
          <cell r="QH607">
            <v>0</v>
          </cell>
          <cell r="QI607">
            <v>0</v>
          </cell>
          <cell r="RE607">
            <v>0</v>
          </cell>
          <cell r="RF607">
            <v>0</v>
          </cell>
          <cell r="SB607">
            <v>0</v>
          </cell>
          <cell r="SC607">
            <v>0</v>
          </cell>
          <cell r="SY607">
            <v>0</v>
          </cell>
          <cell r="SZ607">
            <v>0</v>
          </cell>
          <cell r="TV607">
            <v>0</v>
          </cell>
          <cell r="TW607">
            <v>0</v>
          </cell>
          <cell r="US607">
            <v>0</v>
          </cell>
          <cell r="UT607">
            <v>0</v>
          </cell>
          <cell r="VP607">
            <v>0</v>
          </cell>
          <cell r="VQ607">
            <v>0</v>
          </cell>
          <cell r="WM607">
            <v>0</v>
          </cell>
          <cell r="WN607">
            <v>0</v>
          </cell>
          <cell r="XJ607">
            <v>0</v>
          </cell>
          <cell r="XK607">
            <v>0</v>
          </cell>
          <cell r="YG607">
            <v>0</v>
          </cell>
          <cell r="YH607">
            <v>0</v>
          </cell>
          <cell r="ZD607">
            <v>0</v>
          </cell>
          <cell r="ZE607">
            <v>0</v>
          </cell>
          <cell r="AAA607">
            <v>0</v>
          </cell>
          <cell r="AAB607">
            <v>0</v>
          </cell>
          <cell r="ACR607">
            <v>0</v>
          </cell>
          <cell r="ACS607">
            <v>0</v>
          </cell>
          <cell r="ADO607">
            <v>0</v>
          </cell>
          <cell r="ADP607">
            <v>0</v>
          </cell>
          <cell r="ADR607">
            <v>0</v>
          </cell>
          <cell r="ADS607">
            <v>0</v>
          </cell>
          <cell r="ADT607">
            <v>0</v>
          </cell>
          <cell r="ADU607">
            <v>0</v>
          </cell>
          <cell r="ADV607">
            <v>0</v>
          </cell>
          <cell r="ADW607">
            <v>0</v>
          </cell>
          <cell r="ADX607">
            <v>0</v>
          </cell>
          <cell r="ADY607">
            <v>0</v>
          </cell>
          <cell r="ADZ607">
            <v>0</v>
          </cell>
          <cell r="AEA607">
            <v>0</v>
          </cell>
          <cell r="AEB607">
            <v>0</v>
          </cell>
          <cell r="AEC607">
            <v>0</v>
          </cell>
          <cell r="AED607">
            <v>0</v>
          </cell>
          <cell r="AEE607">
            <v>0</v>
          </cell>
          <cell r="AEF607">
            <v>0</v>
          </cell>
          <cell r="AEG607">
            <v>0</v>
          </cell>
          <cell r="AEH607">
            <v>0</v>
          </cell>
          <cell r="AEI607">
            <v>0</v>
          </cell>
          <cell r="AEJ607">
            <v>0</v>
          </cell>
          <cell r="AEK607">
            <v>0</v>
          </cell>
          <cell r="AEO607">
            <v>0</v>
          </cell>
          <cell r="AEP607">
            <v>0</v>
          </cell>
          <cell r="AEQ607">
            <v>0</v>
          </cell>
          <cell r="AER607">
            <v>0</v>
          </cell>
          <cell r="AES607">
            <v>0</v>
          </cell>
          <cell r="AET607">
            <v>0</v>
          </cell>
          <cell r="AEW607">
            <v>0</v>
          </cell>
          <cell r="AEX607">
            <v>0</v>
          </cell>
          <cell r="AEY607">
            <v>0</v>
          </cell>
          <cell r="AEZ607">
            <v>0</v>
          </cell>
          <cell r="AFB607">
            <v>0</v>
          </cell>
          <cell r="AFC607">
            <v>0</v>
          </cell>
          <cell r="AFD607">
            <v>0</v>
          </cell>
          <cell r="AFE607">
            <v>0</v>
          </cell>
          <cell r="AFF607">
            <v>0</v>
          </cell>
          <cell r="AFG607">
            <v>0</v>
          </cell>
          <cell r="AFH607">
            <v>0</v>
          </cell>
          <cell r="AFI607">
            <v>0</v>
          </cell>
          <cell r="AFJ607">
            <v>0</v>
          </cell>
          <cell r="AFK607">
            <v>0</v>
          </cell>
          <cell r="AGC607">
            <v>0</v>
          </cell>
          <cell r="AGD607">
            <v>0</v>
          </cell>
          <cell r="AGI607">
            <v>18</v>
          </cell>
          <cell r="AGK607">
            <v>25</v>
          </cell>
          <cell r="AGM607">
            <v>0</v>
          </cell>
          <cell r="AGO607">
            <v>0</v>
          </cell>
          <cell r="AGQ607">
            <v>0</v>
          </cell>
          <cell r="AGU607">
            <v>0</v>
          </cell>
          <cell r="AGV607">
            <v>0</v>
          </cell>
          <cell r="AGW607">
            <v>0</v>
          </cell>
          <cell r="AGX607">
            <v>0</v>
          </cell>
          <cell r="AIS607">
            <v>14</v>
          </cell>
          <cell r="AIT607">
            <v>0</v>
          </cell>
          <cell r="AIZ607">
            <v>4</v>
          </cell>
          <cell r="AJA607">
            <v>9</v>
          </cell>
          <cell r="AJB607">
            <v>1</v>
          </cell>
          <cell r="AJF607">
            <v>0</v>
          </cell>
          <cell r="AJG607">
            <v>2</v>
          </cell>
          <cell r="AJH607">
            <v>6</v>
          </cell>
          <cell r="AJI607">
            <v>5</v>
          </cell>
          <cell r="AJJ607">
            <v>1</v>
          </cell>
          <cell r="AJN607">
            <v>14</v>
          </cell>
          <cell r="AJP607">
            <v>0</v>
          </cell>
          <cell r="AJQ607">
            <v>0</v>
          </cell>
          <cell r="AJR607">
            <v>0</v>
          </cell>
          <cell r="AJS607">
            <v>0</v>
          </cell>
          <cell r="AJT607">
            <v>0</v>
          </cell>
          <cell r="AJU607">
            <v>14</v>
          </cell>
          <cell r="AKA607">
            <v>14</v>
          </cell>
          <cell r="AKH607">
            <v>14</v>
          </cell>
          <cell r="AKL607">
            <v>14</v>
          </cell>
          <cell r="ALE607">
            <v>1</v>
          </cell>
          <cell r="ALF607">
            <v>13</v>
          </cell>
          <cell r="ALG607">
            <v>0</v>
          </cell>
          <cell r="ALI607">
            <v>14</v>
          </cell>
          <cell r="ALK607">
            <v>7</v>
          </cell>
          <cell r="ALL607">
            <v>7</v>
          </cell>
          <cell r="ALM607">
            <v>0</v>
          </cell>
          <cell r="ALZ607">
            <v>17</v>
          </cell>
          <cell r="AMA607">
            <v>8</v>
          </cell>
          <cell r="AMM607">
            <v>3634</v>
          </cell>
          <cell r="AMN607">
            <v>9</v>
          </cell>
          <cell r="AMO607">
            <v>16</v>
          </cell>
        </row>
        <row r="643">
          <cell r="S643">
            <v>10</v>
          </cell>
          <cell r="T643">
            <v>0</v>
          </cell>
          <cell r="U643">
            <v>25</v>
          </cell>
          <cell r="V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0</v>
          </cell>
          <cell r="AX643">
            <v>0</v>
          </cell>
          <cell r="AY643">
            <v>0</v>
          </cell>
          <cell r="AZ643">
            <v>0</v>
          </cell>
          <cell r="BA643">
            <v>0</v>
          </cell>
          <cell r="BE643">
            <v>0</v>
          </cell>
          <cell r="BF643">
            <v>0</v>
          </cell>
          <cell r="BG643">
            <v>0</v>
          </cell>
          <cell r="BH643">
            <v>0</v>
          </cell>
          <cell r="BI643">
            <v>0</v>
          </cell>
          <cell r="BJ643">
            <v>0</v>
          </cell>
          <cell r="BK643">
            <v>0</v>
          </cell>
          <cell r="BL643">
            <v>0</v>
          </cell>
          <cell r="BM643">
            <v>0</v>
          </cell>
          <cell r="BN643">
            <v>0</v>
          </cell>
          <cell r="BR643">
            <v>0</v>
          </cell>
          <cell r="BS643">
            <v>0</v>
          </cell>
          <cell r="BT643">
            <v>0</v>
          </cell>
          <cell r="BU643">
            <v>0</v>
          </cell>
          <cell r="BV643">
            <v>0</v>
          </cell>
          <cell r="BW643">
            <v>0</v>
          </cell>
          <cell r="BX643">
            <v>0</v>
          </cell>
          <cell r="BY643">
            <v>0</v>
          </cell>
          <cell r="BZ643">
            <v>0</v>
          </cell>
          <cell r="CA643">
            <v>0</v>
          </cell>
          <cell r="CE643">
            <v>0</v>
          </cell>
          <cell r="CF643">
            <v>0</v>
          </cell>
          <cell r="CG643">
            <v>0</v>
          </cell>
          <cell r="CH643">
            <v>0</v>
          </cell>
          <cell r="CI643">
            <v>0</v>
          </cell>
          <cell r="CJ643">
            <v>0</v>
          </cell>
          <cell r="CK643">
            <v>0</v>
          </cell>
          <cell r="CL643">
            <v>0</v>
          </cell>
          <cell r="CM643">
            <v>0</v>
          </cell>
          <cell r="CN643">
            <v>0</v>
          </cell>
          <cell r="CR643">
            <v>0</v>
          </cell>
          <cell r="CS643">
            <v>0</v>
          </cell>
          <cell r="CT643">
            <v>0</v>
          </cell>
          <cell r="CU643">
            <v>0</v>
          </cell>
          <cell r="CV643">
            <v>0</v>
          </cell>
          <cell r="CW643">
            <v>0</v>
          </cell>
          <cell r="CX643">
            <v>0</v>
          </cell>
          <cell r="CY643">
            <v>0</v>
          </cell>
          <cell r="CZ643">
            <v>0</v>
          </cell>
          <cell r="DA643">
            <v>0</v>
          </cell>
          <cell r="DE643">
            <v>0</v>
          </cell>
          <cell r="DF643">
            <v>0</v>
          </cell>
          <cell r="DG643">
            <v>0</v>
          </cell>
          <cell r="DH643">
            <v>0</v>
          </cell>
          <cell r="DI643">
            <v>0</v>
          </cell>
          <cell r="DJ643">
            <v>0</v>
          </cell>
          <cell r="DK643">
            <v>0</v>
          </cell>
          <cell r="DL643">
            <v>0</v>
          </cell>
          <cell r="DM643">
            <v>0</v>
          </cell>
          <cell r="DN643">
            <v>0</v>
          </cell>
          <cell r="EQ643">
            <v>0</v>
          </cell>
          <cell r="ER643">
            <v>0</v>
          </cell>
          <cell r="ES643">
            <v>0</v>
          </cell>
          <cell r="ET643">
            <v>0</v>
          </cell>
          <cell r="EU643">
            <v>0</v>
          </cell>
          <cell r="EV643">
            <v>0</v>
          </cell>
          <cell r="EW643">
            <v>0</v>
          </cell>
          <cell r="EX643">
            <v>0</v>
          </cell>
          <cell r="EY643">
            <v>0</v>
          </cell>
          <cell r="EZ643">
            <v>0</v>
          </cell>
          <cell r="FA643">
            <v>0</v>
          </cell>
          <cell r="FB643">
            <v>0</v>
          </cell>
          <cell r="FC643">
            <v>0</v>
          </cell>
          <cell r="FD643">
            <v>0</v>
          </cell>
          <cell r="FE643">
            <v>0</v>
          </cell>
          <cell r="FF643">
            <v>0</v>
          </cell>
          <cell r="FG643">
            <v>0</v>
          </cell>
          <cell r="FH643">
            <v>0</v>
          </cell>
          <cell r="FM643">
            <v>0</v>
          </cell>
          <cell r="FN643">
            <v>0</v>
          </cell>
          <cell r="FO643">
            <v>0</v>
          </cell>
          <cell r="FP643">
            <v>0</v>
          </cell>
          <cell r="FQ643">
            <v>0</v>
          </cell>
          <cell r="FR643">
            <v>0</v>
          </cell>
          <cell r="FS643">
            <v>0</v>
          </cell>
          <cell r="FT643">
            <v>0</v>
          </cell>
          <cell r="FU643">
            <v>0</v>
          </cell>
          <cell r="FV643">
            <v>0</v>
          </cell>
          <cell r="FW643">
            <v>0</v>
          </cell>
          <cell r="FX643">
            <v>0</v>
          </cell>
          <cell r="GB643">
            <v>0</v>
          </cell>
          <cell r="GC643">
            <v>0</v>
          </cell>
          <cell r="GD643">
            <v>0</v>
          </cell>
          <cell r="GE643">
            <v>0</v>
          </cell>
          <cell r="GF643">
            <v>0</v>
          </cell>
          <cell r="GG643">
            <v>0</v>
          </cell>
          <cell r="GH643">
            <v>0</v>
          </cell>
          <cell r="GI643">
            <v>0</v>
          </cell>
          <cell r="GJ643">
            <v>0</v>
          </cell>
          <cell r="GK643">
            <v>0</v>
          </cell>
          <cell r="GL643">
            <v>0</v>
          </cell>
          <cell r="GM643">
            <v>0</v>
          </cell>
          <cell r="GQ643">
            <v>0</v>
          </cell>
          <cell r="GR643">
            <v>0</v>
          </cell>
          <cell r="GS643">
            <v>0</v>
          </cell>
          <cell r="GT643">
            <v>0</v>
          </cell>
          <cell r="GU643">
            <v>0</v>
          </cell>
          <cell r="GV643">
            <v>0</v>
          </cell>
          <cell r="GW643">
            <v>0</v>
          </cell>
          <cell r="GX643">
            <v>0</v>
          </cell>
          <cell r="GY643">
            <v>0</v>
          </cell>
          <cell r="GZ643">
            <v>0</v>
          </cell>
          <cell r="HA643">
            <v>0</v>
          </cell>
          <cell r="HB643">
            <v>0</v>
          </cell>
          <cell r="HF643">
            <v>0</v>
          </cell>
          <cell r="HG643">
            <v>0</v>
          </cell>
          <cell r="HH643">
            <v>0</v>
          </cell>
          <cell r="HI643">
            <v>0</v>
          </cell>
          <cell r="HJ643">
            <v>0</v>
          </cell>
          <cell r="HK643">
            <v>0</v>
          </cell>
          <cell r="HL643">
            <v>0</v>
          </cell>
          <cell r="HM643">
            <v>0</v>
          </cell>
          <cell r="HN643">
            <v>0</v>
          </cell>
          <cell r="HO643">
            <v>0</v>
          </cell>
          <cell r="HP643">
            <v>0</v>
          </cell>
          <cell r="HQ643">
            <v>0</v>
          </cell>
          <cell r="HU643">
            <v>0</v>
          </cell>
          <cell r="HV643">
            <v>0</v>
          </cell>
          <cell r="HW643">
            <v>0</v>
          </cell>
          <cell r="HX643">
            <v>0</v>
          </cell>
          <cell r="HY643">
            <v>0</v>
          </cell>
          <cell r="HZ643">
            <v>0</v>
          </cell>
          <cell r="IA643">
            <v>0</v>
          </cell>
          <cell r="IB643">
            <v>0</v>
          </cell>
          <cell r="IC643">
            <v>0</v>
          </cell>
          <cell r="ID643">
            <v>0</v>
          </cell>
          <cell r="IE643">
            <v>0</v>
          </cell>
          <cell r="IF643">
            <v>0</v>
          </cell>
          <cell r="IY643">
            <v>21</v>
          </cell>
          <cell r="IZ643">
            <v>13</v>
          </cell>
          <cell r="JA643">
            <v>0</v>
          </cell>
          <cell r="JB643">
            <v>0</v>
          </cell>
          <cell r="JC643">
            <v>0</v>
          </cell>
          <cell r="JD643">
            <v>0</v>
          </cell>
          <cell r="JE643">
            <v>0</v>
          </cell>
          <cell r="JF643">
            <v>0</v>
          </cell>
          <cell r="KI643">
            <v>0</v>
          </cell>
          <cell r="KJ643">
            <v>0</v>
          </cell>
          <cell r="KK643">
            <v>0</v>
          </cell>
          <cell r="KL643">
            <v>0</v>
          </cell>
          <cell r="KM643">
            <v>0</v>
          </cell>
          <cell r="KN643">
            <v>0</v>
          </cell>
          <cell r="KO643">
            <v>0</v>
          </cell>
          <cell r="KP643">
            <v>0</v>
          </cell>
          <cell r="KQ643">
            <v>0</v>
          </cell>
          <cell r="KR643">
            <v>0</v>
          </cell>
          <cell r="KS643">
            <v>0</v>
          </cell>
          <cell r="KT643">
            <v>0</v>
          </cell>
          <cell r="KU643">
            <v>0</v>
          </cell>
          <cell r="KV643">
            <v>0</v>
          </cell>
          <cell r="KW643">
            <v>0</v>
          </cell>
          <cell r="LW643">
            <v>0</v>
          </cell>
          <cell r="LX643">
            <v>0</v>
          </cell>
          <cell r="MT643">
            <v>0</v>
          </cell>
          <cell r="MU643">
            <v>1</v>
          </cell>
          <cell r="NQ643">
            <v>0</v>
          </cell>
          <cell r="NR643">
            <v>0</v>
          </cell>
          <cell r="PK643">
            <v>0</v>
          </cell>
          <cell r="PL643">
            <v>0</v>
          </cell>
          <cell r="QH643">
            <v>0</v>
          </cell>
          <cell r="QI643">
            <v>0</v>
          </cell>
          <cell r="RE643">
            <v>0</v>
          </cell>
          <cell r="RF643">
            <v>0</v>
          </cell>
          <cell r="SB643">
            <v>0</v>
          </cell>
          <cell r="SC643">
            <v>0</v>
          </cell>
          <cell r="SY643">
            <v>0</v>
          </cell>
          <cell r="SZ643">
            <v>0</v>
          </cell>
          <cell r="TV643">
            <v>0</v>
          </cell>
          <cell r="TW643">
            <v>0</v>
          </cell>
          <cell r="US643">
            <v>0</v>
          </cell>
          <cell r="UT643">
            <v>0</v>
          </cell>
          <cell r="VP643">
            <v>0</v>
          </cell>
          <cell r="VQ643">
            <v>0</v>
          </cell>
          <cell r="WM643">
            <v>0</v>
          </cell>
          <cell r="WN643">
            <v>0</v>
          </cell>
          <cell r="XJ643">
            <v>0</v>
          </cell>
          <cell r="XK643">
            <v>0</v>
          </cell>
          <cell r="YG643">
            <v>0</v>
          </cell>
          <cell r="YH643">
            <v>0</v>
          </cell>
          <cell r="ZD643">
            <v>0</v>
          </cell>
          <cell r="ZE643">
            <v>0</v>
          </cell>
          <cell r="AAA643">
            <v>0</v>
          </cell>
          <cell r="AAB643">
            <v>0</v>
          </cell>
          <cell r="ACR643">
            <v>0</v>
          </cell>
          <cell r="ACS643">
            <v>0</v>
          </cell>
          <cell r="ADO643">
            <v>0</v>
          </cell>
          <cell r="ADP643">
            <v>0</v>
          </cell>
          <cell r="ADR643">
            <v>0</v>
          </cell>
          <cell r="ADS643">
            <v>0</v>
          </cell>
          <cell r="ADT643">
            <v>0</v>
          </cell>
          <cell r="ADU643">
            <v>0</v>
          </cell>
          <cell r="ADV643">
            <v>0</v>
          </cell>
          <cell r="ADW643">
            <v>0</v>
          </cell>
          <cell r="ADX643">
            <v>0</v>
          </cell>
          <cell r="ADY643">
            <v>0</v>
          </cell>
          <cell r="ADZ643">
            <v>0</v>
          </cell>
          <cell r="AEA643">
            <v>0</v>
          </cell>
          <cell r="AEB643">
            <v>0</v>
          </cell>
          <cell r="AEC643">
            <v>0</v>
          </cell>
          <cell r="AED643">
            <v>0</v>
          </cell>
          <cell r="AEE643">
            <v>0</v>
          </cell>
          <cell r="AEF643">
            <v>0</v>
          </cell>
          <cell r="AEG643">
            <v>0</v>
          </cell>
          <cell r="AEH643">
            <v>0</v>
          </cell>
          <cell r="AEI643">
            <v>0</v>
          </cell>
          <cell r="AEJ643">
            <v>0</v>
          </cell>
          <cell r="AEK643">
            <v>1</v>
          </cell>
          <cell r="AEO643">
            <v>0</v>
          </cell>
          <cell r="AEP643">
            <v>0</v>
          </cell>
          <cell r="AEQ643">
            <v>0</v>
          </cell>
          <cell r="AER643">
            <v>0</v>
          </cell>
          <cell r="AES643">
            <v>0</v>
          </cell>
          <cell r="AET643">
            <v>0</v>
          </cell>
          <cell r="AEW643">
            <v>0</v>
          </cell>
          <cell r="AEX643">
            <v>0</v>
          </cell>
          <cell r="AEY643">
            <v>0</v>
          </cell>
          <cell r="AEZ643">
            <v>0</v>
          </cell>
          <cell r="AFB643">
            <v>0</v>
          </cell>
          <cell r="AFC643">
            <v>0</v>
          </cell>
          <cell r="AFD643">
            <v>0</v>
          </cell>
          <cell r="AFE643">
            <v>0</v>
          </cell>
          <cell r="AFF643">
            <v>0</v>
          </cell>
          <cell r="AFG643">
            <v>0</v>
          </cell>
          <cell r="AFH643">
            <v>0</v>
          </cell>
          <cell r="AFI643">
            <v>0</v>
          </cell>
          <cell r="AFJ643">
            <v>0</v>
          </cell>
          <cell r="AFK643">
            <v>0</v>
          </cell>
          <cell r="AGC643">
            <v>0</v>
          </cell>
          <cell r="AGD643">
            <v>0</v>
          </cell>
          <cell r="AGI643">
            <v>10</v>
          </cell>
          <cell r="AGK643">
            <v>0</v>
          </cell>
          <cell r="AGM643">
            <v>0</v>
          </cell>
          <cell r="AGO643">
            <v>0</v>
          </cell>
          <cell r="AGQ643">
            <v>0</v>
          </cell>
          <cell r="AGV643">
            <v>0</v>
          </cell>
          <cell r="AGW643">
            <v>0</v>
          </cell>
          <cell r="AGX643">
            <v>0</v>
          </cell>
          <cell r="AIS643">
            <v>23</v>
          </cell>
          <cell r="AIT643">
            <v>0</v>
          </cell>
          <cell r="AIZ643">
            <v>9</v>
          </cell>
          <cell r="AJA643">
            <v>12</v>
          </cell>
          <cell r="AJB643">
            <v>2</v>
          </cell>
          <cell r="AJF643">
            <v>4</v>
          </cell>
          <cell r="AJG643">
            <v>3</v>
          </cell>
          <cell r="AJH643">
            <v>14</v>
          </cell>
          <cell r="AJI643">
            <v>2</v>
          </cell>
          <cell r="AJJ643">
            <v>0</v>
          </cell>
          <cell r="AJN643">
            <v>19</v>
          </cell>
          <cell r="AJP643">
            <v>0</v>
          </cell>
          <cell r="AJQ643">
            <v>2</v>
          </cell>
          <cell r="AJR643">
            <v>0</v>
          </cell>
          <cell r="AJS643">
            <v>2</v>
          </cell>
          <cell r="AJT643">
            <v>0</v>
          </cell>
          <cell r="AJU643">
            <v>23</v>
          </cell>
          <cell r="AKA643">
            <v>23</v>
          </cell>
          <cell r="AKH643">
            <v>23</v>
          </cell>
          <cell r="AKL643">
            <v>23</v>
          </cell>
          <cell r="ALE643">
            <v>10</v>
          </cell>
          <cell r="ALF643">
            <v>13</v>
          </cell>
          <cell r="ALG643">
            <v>0</v>
          </cell>
          <cell r="ALH643">
            <v>0</v>
          </cell>
          <cell r="ALI643">
            <v>23</v>
          </cell>
          <cell r="ALJ643">
            <v>0</v>
          </cell>
          <cell r="ALK643">
            <v>14</v>
          </cell>
          <cell r="ALL643">
            <v>7</v>
          </cell>
          <cell r="ALM643">
            <v>2</v>
          </cell>
          <cell r="ALZ643">
            <v>24</v>
          </cell>
          <cell r="AMA643">
            <v>10</v>
          </cell>
        </row>
        <row r="644">
          <cell r="S644">
            <v>10</v>
          </cell>
          <cell r="T644">
            <v>0</v>
          </cell>
          <cell r="U644">
            <v>50</v>
          </cell>
          <cell r="V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0</v>
          </cell>
          <cell r="AX644">
            <v>0</v>
          </cell>
          <cell r="AY644">
            <v>0</v>
          </cell>
          <cell r="AZ644">
            <v>0</v>
          </cell>
          <cell r="BA644">
            <v>0</v>
          </cell>
          <cell r="BE644">
            <v>0</v>
          </cell>
          <cell r="BF644">
            <v>0</v>
          </cell>
          <cell r="BG644">
            <v>0</v>
          </cell>
          <cell r="BH644">
            <v>0</v>
          </cell>
          <cell r="BI644">
            <v>0</v>
          </cell>
          <cell r="BJ644">
            <v>0</v>
          </cell>
          <cell r="BK644">
            <v>0</v>
          </cell>
          <cell r="BL644">
            <v>0</v>
          </cell>
          <cell r="BM644">
            <v>0</v>
          </cell>
          <cell r="BN644">
            <v>0</v>
          </cell>
          <cell r="BR644">
            <v>0</v>
          </cell>
          <cell r="BS644">
            <v>0</v>
          </cell>
          <cell r="BT644">
            <v>0</v>
          </cell>
          <cell r="BU644">
            <v>0</v>
          </cell>
          <cell r="BV644">
            <v>0</v>
          </cell>
          <cell r="BW644">
            <v>0</v>
          </cell>
          <cell r="BX644">
            <v>0</v>
          </cell>
          <cell r="BY644">
            <v>0</v>
          </cell>
          <cell r="BZ644">
            <v>0</v>
          </cell>
          <cell r="CA644">
            <v>0</v>
          </cell>
          <cell r="CE644">
            <v>0</v>
          </cell>
          <cell r="CF644">
            <v>0</v>
          </cell>
          <cell r="CG644">
            <v>0</v>
          </cell>
          <cell r="CH644">
            <v>0</v>
          </cell>
          <cell r="CI644">
            <v>0</v>
          </cell>
          <cell r="CJ644">
            <v>0</v>
          </cell>
          <cell r="CK644">
            <v>0</v>
          </cell>
          <cell r="CL644">
            <v>0</v>
          </cell>
          <cell r="CM644">
            <v>0</v>
          </cell>
          <cell r="CN644">
            <v>0</v>
          </cell>
          <cell r="CR644">
            <v>0</v>
          </cell>
          <cell r="CS644">
            <v>0</v>
          </cell>
          <cell r="CT644">
            <v>0</v>
          </cell>
          <cell r="CU644">
            <v>0</v>
          </cell>
          <cell r="CV644">
            <v>0</v>
          </cell>
          <cell r="CW644">
            <v>0</v>
          </cell>
          <cell r="CX644">
            <v>0</v>
          </cell>
          <cell r="CY644">
            <v>0</v>
          </cell>
          <cell r="CZ644">
            <v>0</v>
          </cell>
          <cell r="DA644">
            <v>0</v>
          </cell>
          <cell r="DE644">
            <v>0</v>
          </cell>
          <cell r="DF644">
            <v>0</v>
          </cell>
          <cell r="DG644">
            <v>0</v>
          </cell>
          <cell r="DH644">
            <v>0</v>
          </cell>
          <cell r="DI644">
            <v>0</v>
          </cell>
          <cell r="DJ644">
            <v>0</v>
          </cell>
          <cell r="DK644">
            <v>0</v>
          </cell>
          <cell r="DL644">
            <v>0</v>
          </cell>
          <cell r="DM644">
            <v>0</v>
          </cell>
          <cell r="DN644">
            <v>0</v>
          </cell>
          <cell r="EQ644">
            <v>0</v>
          </cell>
          <cell r="ER644">
            <v>0</v>
          </cell>
          <cell r="ES644">
            <v>0</v>
          </cell>
          <cell r="ET644">
            <v>0</v>
          </cell>
          <cell r="EU644">
            <v>0</v>
          </cell>
          <cell r="EV644">
            <v>0</v>
          </cell>
          <cell r="EW644">
            <v>0</v>
          </cell>
          <cell r="EX644">
            <v>0</v>
          </cell>
          <cell r="EY644">
            <v>0</v>
          </cell>
          <cell r="EZ644">
            <v>0</v>
          </cell>
          <cell r="FA644">
            <v>0</v>
          </cell>
          <cell r="FB644">
            <v>0</v>
          </cell>
          <cell r="FC644">
            <v>0</v>
          </cell>
          <cell r="FD644">
            <v>0</v>
          </cell>
          <cell r="FE644">
            <v>0</v>
          </cell>
          <cell r="FF644">
            <v>0</v>
          </cell>
          <cell r="FG644">
            <v>0</v>
          </cell>
          <cell r="FH644">
            <v>0</v>
          </cell>
          <cell r="FM644">
            <v>0</v>
          </cell>
          <cell r="FN644">
            <v>0</v>
          </cell>
          <cell r="FO644">
            <v>0</v>
          </cell>
          <cell r="FP644">
            <v>0</v>
          </cell>
          <cell r="FQ644">
            <v>0</v>
          </cell>
          <cell r="FR644">
            <v>0</v>
          </cell>
          <cell r="FS644">
            <v>0</v>
          </cell>
          <cell r="FT644">
            <v>0</v>
          </cell>
          <cell r="FU644">
            <v>0</v>
          </cell>
          <cell r="FV644">
            <v>0</v>
          </cell>
          <cell r="FW644">
            <v>0</v>
          </cell>
          <cell r="FX644">
            <v>0</v>
          </cell>
          <cell r="GB644">
            <v>0</v>
          </cell>
          <cell r="GC644">
            <v>0</v>
          </cell>
          <cell r="GD644">
            <v>0</v>
          </cell>
          <cell r="GE644">
            <v>0</v>
          </cell>
          <cell r="GF644">
            <v>0</v>
          </cell>
          <cell r="GG644">
            <v>0</v>
          </cell>
          <cell r="GH644">
            <v>0</v>
          </cell>
          <cell r="GI644">
            <v>0</v>
          </cell>
          <cell r="GJ644">
            <v>0</v>
          </cell>
          <cell r="GK644">
            <v>0</v>
          </cell>
          <cell r="GL644">
            <v>0</v>
          </cell>
          <cell r="GM644">
            <v>0</v>
          </cell>
          <cell r="GQ644">
            <v>0</v>
          </cell>
          <cell r="GR644">
            <v>0</v>
          </cell>
          <cell r="GS644">
            <v>0</v>
          </cell>
          <cell r="GT644">
            <v>0</v>
          </cell>
          <cell r="GU644">
            <v>0</v>
          </cell>
          <cell r="GV644">
            <v>0</v>
          </cell>
          <cell r="GW644">
            <v>0</v>
          </cell>
          <cell r="GX644">
            <v>0</v>
          </cell>
          <cell r="GY644">
            <v>0</v>
          </cell>
          <cell r="GZ644">
            <v>0</v>
          </cell>
          <cell r="HA644">
            <v>0</v>
          </cell>
          <cell r="HB644">
            <v>0</v>
          </cell>
          <cell r="HF644">
            <v>0</v>
          </cell>
          <cell r="HG644">
            <v>0</v>
          </cell>
          <cell r="HH644">
            <v>0</v>
          </cell>
          <cell r="HI644">
            <v>0</v>
          </cell>
          <cell r="HJ644">
            <v>0</v>
          </cell>
          <cell r="HK644">
            <v>0</v>
          </cell>
          <cell r="HL644">
            <v>0</v>
          </cell>
          <cell r="HM644">
            <v>0</v>
          </cell>
          <cell r="HN644">
            <v>0</v>
          </cell>
          <cell r="HO644">
            <v>0</v>
          </cell>
          <cell r="HP644">
            <v>0</v>
          </cell>
          <cell r="HQ644">
            <v>0</v>
          </cell>
          <cell r="HU644">
            <v>0</v>
          </cell>
          <cell r="HV644">
            <v>0</v>
          </cell>
          <cell r="HW644">
            <v>0</v>
          </cell>
          <cell r="HX644">
            <v>0</v>
          </cell>
          <cell r="HY644">
            <v>0</v>
          </cell>
          <cell r="HZ644">
            <v>0</v>
          </cell>
          <cell r="IA644">
            <v>0</v>
          </cell>
          <cell r="IB644">
            <v>0</v>
          </cell>
          <cell r="IC644">
            <v>0</v>
          </cell>
          <cell r="ID644">
            <v>0</v>
          </cell>
          <cell r="IE644">
            <v>0</v>
          </cell>
          <cell r="IF644">
            <v>0</v>
          </cell>
          <cell r="IY644">
            <v>33</v>
          </cell>
          <cell r="IZ644">
            <v>26</v>
          </cell>
          <cell r="JA644">
            <v>0</v>
          </cell>
          <cell r="JB644">
            <v>0</v>
          </cell>
          <cell r="JC644">
            <v>0</v>
          </cell>
          <cell r="JD644">
            <v>0</v>
          </cell>
          <cell r="JE644">
            <v>0</v>
          </cell>
          <cell r="JF644">
            <v>0</v>
          </cell>
          <cell r="KI644">
            <v>0</v>
          </cell>
          <cell r="KJ644">
            <v>0</v>
          </cell>
          <cell r="KK644">
            <v>0</v>
          </cell>
          <cell r="KL644">
            <v>0</v>
          </cell>
          <cell r="KM644">
            <v>0</v>
          </cell>
          <cell r="KN644">
            <v>0</v>
          </cell>
          <cell r="KO644">
            <v>0</v>
          </cell>
          <cell r="KP644">
            <v>0</v>
          </cell>
          <cell r="KQ644">
            <v>0</v>
          </cell>
          <cell r="KR644">
            <v>0</v>
          </cell>
          <cell r="KS644">
            <v>0</v>
          </cell>
          <cell r="KT644">
            <v>0</v>
          </cell>
          <cell r="KU644">
            <v>0</v>
          </cell>
          <cell r="KV644">
            <v>0</v>
          </cell>
          <cell r="KW644">
            <v>0</v>
          </cell>
          <cell r="LW644">
            <v>0</v>
          </cell>
          <cell r="LX644">
            <v>0</v>
          </cell>
          <cell r="MT644">
            <v>0</v>
          </cell>
          <cell r="MU644">
            <v>1</v>
          </cell>
          <cell r="NQ644">
            <v>0</v>
          </cell>
          <cell r="NR644">
            <v>0</v>
          </cell>
          <cell r="ON644">
            <v>0</v>
          </cell>
          <cell r="OO644">
            <v>0</v>
          </cell>
          <cell r="PK644">
            <v>0</v>
          </cell>
          <cell r="PL644">
            <v>0</v>
          </cell>
          <cell r="QH644">
            <v>0</v>
          </cell>
          <cell r="QI644">
            <v>0</v>
          </cell>
          <cell r="RE644">
            <v>0</v>
          </cell>
          <cell r="RF644">
            <v>0</v>
          </cell>
          <cell r="SB644">
            <v>0</v>
          </cell>
          <cell r="SC644">
            <v>0</v>
          </cell>
          <cell r="SY644">
            <v>0</v>
          </cell>
          <cell r="SZ644">
            <v>0</v>
          </cell>
          <cell r="TV644">
            <v>0</v>
          </cell>
          <cell r="TW644">
            <v>0</v>
          </cell>
          <cell r="US644">
            <v>0</v>
          </cell>
          <cell r="UT644">
            <v>0</v>
          </cell>
          <cell r="VP644">
            <v>0</v>
          </cell>
          <cell r="VQ644">
            <v>0</v>
          </cell>
          <cell r="WM644">
            <v>0</v>
          </cell>
          <cell r="WN644">
            <v>0</v>
          </cell>
          <cell r="XJ644">
            <v>0</v>
          </cell>
          <cell r="XK644">
            <v>0</v>
          </cell>
          <cell r="YG644">
            <v>0</v>
          </cell>
          <cell r="YH644">
            <v>0</v>
          </cell>
          <cell r="ZD644">
            <v>0</v>
          </cell>
          <cell r="ZE644">
            <v>0</v>
          </cell>
          <cell r="AAA644">
            <v>0</v>
          </cell>
          <cell r="AAB644">
            <v>0</v>
          </cell>
          <cell r="ACR644">
            <v>0</v>
          </cell>
          <cell r="ACS644">
            <v>0</v>
          </cell>
          <cell r="ADO644">
            <v>0</v>
          </cell>
          <cell r="ADP644">
            <v>0</v>
          </cell>
          <cell r="ADR644">
            <v>0</v>
          </cell>
          <cell r="ADS644">
            <v>0</v>
          </cell>
          <cell r="ADT644">
            <v>0</v>
          </cell>
          <cell r="ADU644">
            <v>0</v>
          </cell>
          <cell r="ADV644">
            <v>0</v>
          </cell>
          <cell r="ADW644">
            <v>0</v>
          </cell>
          <cell r="ADX644">
            <v>0</v>
          </cell>
          <cell r="ADY644">
            <v>0</v>
          </cell>
          <cell r="ADZ644">
            <v>0</v>
          </cell>
          <cell r="AEA644">
            <v>0</v>
          </cell>
          <cell r="AEB644">
            <v>0</v>
          </cell>
          <cell r="AEC644">
            <v>0</v>
          </cell>
          <cell r="AED644">
            <v>0</v>
          </cell>
          <cell r="AEE644">
            <v>0</v>
          </cell>
          <cell r="AEF644">
            <v>0</v>
          </cell>
          <cell r="AEG644">
            <v>0</v>
          </cell>
          <cell r="AEH644">
            <v>0</v>
          </cell>
          <cell r="AEI644">
            <v>0</v>
          </cell>
          <cell r="AEJ644">
            <v>0</v>
          </cell>
          <cell r="AEK644">
            <v>1</v>
          </cell>
          <cell r="AEO644">
            <v>0</v>
          </cell>
          <cell r="AEP644">
            <v>0</v>
          </cell>
          <cell r="AEQ644">
            <v>0</v>
          </cell>
          <cell r="AER644">
            <v>0</v>
          </cell>
          <cell r="AES644">
            <v>0</v>
          </cell>
          <cell r="AET644">
            <v>0</v>
          </cell>
          <cell r="AEW644">
            <v>0</v>
          </cell>
          <cell r="AEX644">
            <v>0</v>
          </cell>
          <cell r="AEY644">
            <v>0</v>
          </cell>
          <cell r="AEZ644">
            <v>0</v>
          </cell>
          <cell r="AFB644">
            <v>0</v>
          </cell>
          <cell r="AFC644">
            <v>0</v>
          </cell>
          <cell r="AFD644">
            <v>0</v>
          </cell>
          <cell r="AFE644">
            <v>0</v>
          </cell>
          <cell r="AFF644">
            <v>0</v>
          </cell>
          <cell r="AFG644">
            <v>0</v>
          </cell>
          <cell r="AFH644">
            <v>0</v>
          </cell>
          <cell r="AFI644">
            <v>0</v>
          </cell>
          <cell r="AFJ644">
            <v>0</v>
          </cell>
          <cell r="AFK644">
            <v>0</v>
          </cell>
          <cell r="AGC644">
            <v>0</v>
          </cell>
          <cell r="AGD644">
            <v>0</v>
          </cell>
          <cell r="AGI644">
            <v>28</v>
          </cell>
          <cell r="AGK644">
            <v>25</v>
          </cell>
          <cell r="AGM644">
            <v>0</v>
          </cell>
          <cell r="AGO644">
            <v>0</v>
          </cell>
          <cell r="AGQ644">
            <v>0</v>
          </cell>
          <cell r="AGV644">
            <v>0</v>
          </cell>
          <cell r="AGW644">
            <v>0</v>
          </cell>
          <cell r="AGX644">
            <v>0</v>
          </cell>
          <cell r="AIS644">
            <v>37</v>
          </cell>
          <cell r="AIT644">
            <v>0</v>
          </cell>
          <cell r="AIZ644">
            <v>13</v>
          </cell>
          <cell r="AJA644">
            <v>21</v>
          </cell>
          <cell r="AJB644">
            <v>3</v>
          </cell>
          <cell r="AJF644">
            <v>4</v>
          </cell>
          <cell r="AJG644">
            <v>5</v>
          </cell>
          <cell r="AJH644">
            <v>20</v>
          </cell>
          <cell r="AJI644">
            <v>7</v>
          </cell>
          <cell r="AJJ644">
            <v>1</v>
          </cell>
          <cell r="AJN644">
            <v>33</v>
          </cell>
          <cell r="AJQ644">
            <v>2</v>
          </cell>
          <cell r="AJR644">
            <v>0</v>
          </cell>
          <cell r="AJS644">
            <v>2</v>
          </cell>
          <cell r="AJT644">
            <v>0</v>
          </cell>
          <cell r="AJU644">
            <v>37</v>
          </cell>
          <cell r="AKA644">
            <v>37</v>
          </cell>
          <cell r="AKH644">
            <v>37</v>
          </cell>
          <cell r="AKL644">
            <v>37</v>
          </cell>
          <cell r="ALE644">
            <v>11</v>
          </cell>
          <cell r="ALF644">
            <v>26</v>
          </cell>
          <cell r="ALG644">
            <v>0</v>
          </cell>
          <cell r="ALH644">
            <v>0</v>
          </cell>
          <cell r="ALI644">
            <v>37</v>
          </cell>
          <cell r="ALJ644">
            <v>0</v>
          </cell>
          <cell r="ALK644">
            <v>21</v>
          </cell>
          <cell r="ALL644">
            <v>14</v>
          </cell>
          <cell r="ALM644">
            <v>2</v>
          </cell>
          <cell r="ALZ644">
            <v>41</v>
          </cell>
          <cell r="AMA644">
            <v>18</v>
          </cell>
          <cell r="AMM644">
            <v>9790</v>
          </cell>
          <cell r="AMN644">
            <v>17</v>
          </cell>
          <cell r="AMO644">
            <v>41</v>
          </cell>
        </row>
        <row r="711">
          <cell r="S711">
            <v>13</v>
          </cell>
          <cell r="T711">
            <v>0</v>
          </cell>
          <cell r="U711">
            <v>53</v>
          </cell>
          <cell r="V711">
            <v>0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>
            <v>0</v>
          </cell>
          <cell r="AK711">
            <v>0</v>
          </cell>
          <cell r="AL711">
            <v>0</v>
          </cell>
          <cell r="AP711">
            <v>0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  <cell r="AU711">
            <v>0</v>
          </cell>
          <cell r="AV711">
            <v>0</v>
          </cell>
          <cell r="AW711">
            <v>0</v>
          </cell>
          <cell r="AX711">
            <v>0</v>
          </cell>
          <cell r="AY711">
            <v>0</v>
          </cell>
          <cell r="AZ711">
            <v>0</v>
          </cell>
          <cell r="BA711">
            <v>0</v>
          </cell>
          <cell r="BE711">
            <v>0</v>
          </cell>
          <cell r="BF711">
            <v>0</v>
          </cell>
          <cell r="BG711">
            <v>0</v>
          </cell>
          <cell r="BH711">
            <v>0</v>
          </cell>
          <cell r="BI711">
            <v>0</v>
          </cell>
          <cell r="BJ711">
            <v>0</v>
          </cell>
          <cell r="BK711">
            <v>0</v>
          </cell>
          <cell r="BL711">
            <v>0</v>
          </cell>
          <cell r="BM711">
            <v>0</v>
          </cell>
          <cell r="BN711">
            <v>0</v>
          </cell>
          <cell r="BR711">
            <v>0</v>
          </cell>
          <cell r="BS711">
            <v>0</v>
          </cell>
          <cell r="BT711">
            <v>0</v>
          </cell>
          <cell r="BU711">
            <v>0</v>
          </cell>
          <cell r="BV711">
            <v>0</v>
          </cell>
          <cell r="BW711">
            <v>0</v>
          </cell>
          <cell r="BX711">
            <v>0</v>
          </cell>
          <cell r="BY711">
            <v>0</v>
          </cell>
          <cell r="BZ711">
            <v>0</v>
          </cell>
          <cell r="CA711">
            <v>0</v>
          </cell>
          <cell r="CE711">
            <v>0</v>
          </cell>
          <cell r="CF711">
            <v>0</v>
          </cell>
          <cell r="CG711">
            <v>0</v>
          </cell>
          <cell r="CH711">
            <v>0</v>
          </cell>
          <cell r="CI711">
            <v>0</v>
          </cell>
          <cell r="CJ711">
            <v>0</v>
          </cell>
          <cell r="CK711">
            <v>0</v>
          </cell>
          <cell r="CL711">
            <v>0</v>
          </cell>
          <cell r="CM711">
            <v>0</v>
          </cell>
          <cell r="CN711">
            <v>0</v>
          </cell>
          <cell r="CR711">
            <v>0</v>
          </cell>
          <cell r="CS711">
            <v>0</v>
          </cell>
          <cell r="CT711">
            <v>0</v>
          </cell>
          <cell r="CU711">
            <v>0</v>
          </cell>
          <cell r="CV711">
            <v>0</v>
          </cell>
          <cell r="CW711">
            <v>0</v>
          </cell>
          <cell r="CX711">
            <v>0</v>
          </cell>
          <cell r="CY711">
            <v>0</v>
          </cell>
          <cell r="CZ711">
            <v>0</v>
          </cell>
          <cell r="DA711">
            <v>0</v>
          </cell>
          <cell r="DE711">
            <v>0</v>
          </cell>
          <cell r="DF711">
            <v>0</v>
          </cell>
          <cell r="DG711">
            <v>0</v>
          </cell>
          <cell r="DH711">
            <v>0</v>
          </cell>
          <cell r="DI711">
            <v>0</v>
          </cell>
          <cell r="DJ711">
            <v>0</v>
          </cell>
          <cell r="DK711">
            <v>0</v>
          </cell>
          <cell r="DL711">
            <v>0</v>
          </cell>
          <cell r="DM711">
            <v>0</v>
          </cell>
          <cell r="DN711">
            <v>0</v>
          </cell>
          <cell r="EQ711">
            <v>0</v>
          </cell>
          <cell r="ER711">
            <v>0</v>
          </cell>
          <cell r="ES711">
            <v>0</v>
          </cell>
          <cell r="ET711">
            <v>0</v>
          </cell>
          <cell r="EU711">
            <v>0</v>
          </cell>
          <cell r="EV711">
            <v>0</v>
          </cell>
          <cell r="EW711">
            <v>0</v>
          </cell>
          <cell r="EX711">
            <v>0</v>
          </cell>
          <cell r="EY711">
            <v>0</v>
          </cell>
          <cell r="EZ711">
            <v>0</v>
          </cell>
          <cell r="FA711">
            <v>0</v>
          </cell>
          <cell r="FB711">
            <v>0</v>
          </cell>
          <cell r="FC711">
            <v>0</v>
          </cell>
          <cell r="FD711">
            <v>0</v>
          </cell>
          <cell r="FE711">
            <v>0</v>
          </cell>
          <cell r="FF711">
            <v>0</v>
          </cell>
          <cell r="FG711">
            <v>0</v>
          </cell>
          <cell r="FH711">
            <v>0</v>
          </cell>
          <cell r="FM711">
            <v>0</v>
          </cell>
          <cell r="FN711">
            <v>0</v>
          </cell>
          <cell r="FO711">
            <v>0</v>
          </cell>
          <cell r="FP711">
            <v>0</v>
          </cell>
          <cell r="FQ711">
            <v>0</v>
          </cell>
          <cell r="FR711">
            <v>0</v>
          </cell>
          <cell r="FS711">
            <v>0</v>
          </cell>
          <cell r="FT711">
            <v>0</v>
          </cell>
          <cell r="FU711">
            <v>0</v>
          </cell>
          <cell r="FV711">
            <v>0</v>
          </cell>
          <cell r="FW711">
            <v>0</v>
          </cell>
          <cell r="FX711">
            <v>0</v>
          </cell>
          <cell r="GB711">
            <v>0</v>
          </cell>
          <cell r="GC711">
            <v>0</v>
          </cell>
          <cell r="GD711">
            <v>0</v>
          </cell>
          <cell r="GE711">
            <v>0</v>
          </cell>
          <cell r="GF711">
            <v>0</v>
          </cell>
          <cell r="GG711">
            <v>0</v>
          </cell>
          <cell r="GH711">
            <v>0</v>
          </cell>
          <cell r="GI711">
            <v>0</v>
          </cell>
          <cell r="GJ711">
            <v>0</v>
          </cell>
          <cell r="GK711">
            <v>0</v>
          </cell>
          <cell r="GL711">
            <v>0</v>
          </cell>
          <cell r="GM711">
            <v>0</v>
          </cell>
          <cell r="GQ711">
            <v>0</v>
          </cell>
          <cell r="GR711">
            <v>0</v>
          </cell>
          <cell r="GS711">
            <v>0</v>
          </cell>
          <cell r="GT711">
            <v>0</v>
          </cell>
          <cell r="GU711">
            <v>0</v>
          </cell>
          <cell r="GV711">
            <v>0</v>
          </cell>
          <cell r="GW711">
            <v>0</v>
          </cell>
          <cell r="GX711">
            <v>0</v>
          </cell>
          <cell r="GY711">
            <v>0</v>
          </cell>
          <cell r="GZ711">
            <v>0</v>
          </cell>
          <cell r="HA711">
            <v>0</v>
          </cell>
          <cell r="HB711">
            <v>0</v>
          </cell>
          <cell r="HF711">
            <v>0</v>
          </cell>
          <cell r="HG711">
            <v>0</v>
          </cell>
          <cell r="HH711">
            <v>0</v>
          </cell>
          <cell r="HI711">
            <v>0</v>
          </cell>
          <cell r="HJ711">
            <v>0</v>
          </cell>
          <cell r="HK711">
            <v>0</v>
          </cell>
          <cell r="HL711">
            <v>0</v>
          </cell>
          <cell r="HM711">
            <v>0</v>
          </cell>
          <cell r="HN711">
            <v>0</v>
          </cell>
          <cell r="HO711">
            <v>0</v>
          </cell>
          <cell r="HP711">
            <v>0</v>
          </cell>
          <cell r="HQ711">
            <v>0</v>
          </cell>
          <cell r="HU711">
            <v>0</v>
          </cell>
          <cell r="HV711">
            <v>0</v>
          </cell>
          <cell r="HW711">
            <v>0</v>
          </cell>
          <cell r="HX711">
            <v>0</v>
          </cell>
          <cell r="HY711">
            <v>0</v>
          </cell>
          <cell r="HZ711">
            <v>0</v>
          </cell>
          <cell r="IA711">
            <v>0</v>
          </cell>
          <cell r="IB711">
            <v>0</v>
          </cell>
          <cell r="IC711">
            <v>0</v>
          </cell>
          <cell r="ID711">
            <v>0</v>
          </cell>
          <cell r="IE711">
            <v>0</v>
          </cell>
          <cell r="IF711">
            <v>0</v>
          </cell>
          <cell r="IY711">
            <v>42</v>
          </cell>
          <cell r="IZ711">
            <v>24</v>
          </cell>
          <cell r="JA711">
            <v>0</v>
          </cell>
          <cell r="JB711">
            <v>0</v>
          </cell>
          <cell r="JC711">
            <v>0</v>
          </cell>
          <cell r="JD711">
            <v>0</v>
          </cell>
          <cell r="JE711">
            <v>0</v>
          </cell>
          <cell r="JF711">
            <v>0</v>
          </cell>
          <cell r="KI711">
            <v>0</v>
          </cell>
          <cell r="KJ711">
            <v>0</v>
          </cell>
          <cell r="KK711">
            <v>0</v>
          </cell>
          <cell r="KL711">
            <v>0</v>
          </cell>
          <cell r="KM711">
            <v>0</v>
          </cell>
          <cell r="KN711">
            <v>0</v>
          </cell>
          <cell r="KO711">
            <v>0</v>
          </cell>
          <cell r="KP711">
            <v>0</v>
          </cell>
          <cell r="KQ711">
            <v>0</v>
          </cell>
          <cell r="KR711">
            <v>0</v>
          </cell>
          <cell r="KS711">
            <v>0</v>
          </cell>
          <cell r="KT711">
            <v>0</v>
          </cell>
          <cell r="KU711">
            <v>0</v>
          </cell>
          <cell r="KV711">
            <v>0</v>
          </cell>
          <cell r="KW711">
            <v>0</v>
          </cell>
          <cell r="LW711">
            <v>0</v>
          </cell>
          <cell r="LX711">
            <v>0</v>
          </cell>
          <cell r="MT711">
            <v>0</v>
          </cell>
          <cell r="MU711">
            <v>0</v>
          </cell>
          <cell r="NQ711">
            <v>0</v>
          </cell>
          <cell r="NR711">
            <v>0</v>
          </cell>
          <cell r="ON711">
            <v>0</v>
          </cell>
          <cell r="OO711">
            <v>0</v>
          </cell>
          <cell r="PK711">
            <v>0</v>
          </cell>
          <cell r="PL711">
            <v>0</v>
          </cell>
          <cell r="QH711">
            <v>0</v>
          </cell>
          <cell r="QI711">
            <v>0</v>
          </cell>
          <cell r="RE711">
            <v>0</v>
          </cell>
          <cell r="RF711">
            <v>0</v>
          </cell>
          <cell r="SB711">
            <v>0</v>
          </cell>
          <cell r="SC711">
            <v>0</v>
          </cell>
          <cell r="SY711">
            <v>0</v>
          </cell>
          <cell r="SZ711">
            <v>0</v>
          </cell>
          <cell r="TV711">
            <v>0</v>
          </cell>
          <cell r="TW711">
            <v>0</v>
          </cell>
          <cell r="US711">
            <v>0</v>
          </cell>
          <cell r="UT711">
            <v>0</v>
          </cell>
          <cell r="VP711">
            <v>0</v>
          </cell>
          <cell r="VQ711">
            <v>0</v>
          </cell>
          <cell r="WM711">
            <v>0</v>
          </cell>
          <cell r="WN711">
            <v>0</v>
          </cell>
          <cell r="XJ711">
            <v>1</v>
          </cell>
          <cell r="XK711">
            <v>0</v>
          </cell>
          <cell r="YG711">
            <v>0</v>
          </cell>
          <cell r="YH711">
            <v>0</v>
          </cell>
          <cell r="ZD711">
            <v>0</v>
          </cell>
          <cell r="ZE711">
            <v>0</v>
          </cell>
          <cell r="AAA711">
            <v>0</v>
          </cell>
          <cell r="AAB711">
            <v>0</v>
          </cell>
          <cell r="ACR711">
            <v>0</v>
          </cell>
          <cell r="ACS711">
            <v>0</v>
          </cell>
          <cell r="ADO711">
            <v>0</v>
          </cell>
          <cell r="ADP711">
            <v>0</v>
          </cell>
          <cell r="ADR711">
            <v>0</v>
          </cell>
          <cell r="ADS711">
            <v>0</v>
          </cell>
          <cell r="ADT711">
            <v>0</v>
          </cell>
          <cell r="ADU711">
            <v>0</v>
          </cell>
          <cell r="ADV711">
            <v>0</v>
          </cell>
          <cell r="ADW711">
            <v>0</v>
          </cell>
          <cell r="ADX711">
            <v>0</v>
          </cell>
          <cell r="ADY711">
            <v>0</v>
          </cell>
          <cell r="ADZ711">
            <v>0</v>
          </cell>
          <cell r="AEA711">
            <v>0</v>
          </cell>
          <cell r="AEB711">
            <v>0</v>
          </cell>
          <cell r="AEC711">
            <v>0</v>
          </cell>
          <cell r="AED711">
            <v>0</v>
          </cell>
          <cell r="AEE711">
            <v>0</v>
          </cell>
          <cell r="AEF711">
            <v>0</v>
          </cell>
          <cell r="AEG711">
            <v>0</v>
          </cell>
          <cell r="AEH711">
            <v>0</v>
          </cell>
          <cell r="AEI711">
            <v>0</v>
          </cell>
          <cell r="AEJ711">
            <v>1</v>
          </cell>
          <cell r="AEK711">
            <v>0</v>
          </cell>
          <cell r="AEO711">
            <v>0</v>
          </cell>
          <cell r="AEP711">
            <v>0</v>
          </cell>
          <cell r="AEQ711">
            <v>0</v>
          </cell>
          <cell r="AER711">
            <v>0</v>
          </cell>
          <cell r="AES711">
            <v>0</v>
          </cell>
          <cell r="AET711">
            <v>0</v>
          </cell>
          <cell r="AEW711">
            <v>0</v>
          </cell>
          <cell r="AEX711">
            <v>0</v>
          </cell>
          <cell r="AEY711">
            <v>0</v>
          </cell>
          <cell r="AEZ711">
            <v>0</v>
          </cell>
          <cell r="AFB711">
            <v>0</v>
          </cell>
          <cell r="AFC711">
            <v>0</v>
          </cell>
          <cell r="AFD711">
            <v>0</v>
          </cell>
          <cell r="AFE711">
            <v>0</v>
          </cell>
          <cell r="AFF711">
            <v>0</v>
          </cell>
          <cell r="AFG711">
            <v>0</v>
          </cell>
          <cell r="AFH711">
            <v>0</v>
          </cell>
          <cell r="AFI711">
            <v>0</v>
          </cell>
          <cell r="AFJ711">
            <v>0</v>
          </cell>
          <cell r="AFK711">
            <v>0</v>
          </cell>
          <cell r="AGC711">
            <v>0</v>
          </cell>
          <cell r="AGD711">
            <v>0</v>
          </cell>
          <cell r="AGI711">
            <v>33</v>
          </cell>
          <cell r="AGK711">
            <v>0</v>
          </cell>
          <cell r="AGM711">
            <v>0</v>
          </cell>
          <cell r="AGO711">
            <v>0</v>
          </cell>
          <cell r="AGQ711">
            <v>0</v>
          </cell>
          <cell r="AGV711">
            <v>0</v>
          </cell>
          <cell r="AGW711">
            <v>0</v>
          </cell>
          <cell r="AGX711">
            <v>0</v>
          </cell>
          <cell r="AIS711">
            <v>42</v>
          </cell>
          <cell r="AIT711">
            <v>0</v>
          </cell>
          <cell r="AIZ711">
            <v>15</v>
          </cell>
          <cell r="AJA711">
            <v>26</v>
          </cell>
          <cell r="AJB711">
            <v>1</v>
          </cell>
          <cell r="AJF711">
            <v>8</v>
          </cell>
          <cell r="AJG711">
            <v>6</v>
          </cell>
          <cell r="AJH711">
            <v>22</v>
          </cell>
          <cell r="AJI711">
            <v>5</v>
          </cell>
          <cell r="AJJ711">
            <v>1</v>
          </cell>
          <cell r="AJN711">
            <v>40</v>
          </cell>
          <cell r="AJP711">
            <v>0</v>
          </cell>
          <cell r="AJQ711">
            <v>2</v>
          </cell>
          <cell r="AJR711">
            <v>0</v>
          </cell>
          <cell r="AJS711">
            <v>0</v>
          </cell>
          <cell r="AJT711">
            <v>0</v>
          </cell>
          <cell r="AJU711">
            <v>42</v>
          </cell>
          <cell r="AKA711">
            <v>42</v>
          </cell>
          <cell r="AKH711">
            <v>42</v>
          </cell>
          <cell r="AKL711">
            <v>42</v>
          </cell>
          <cell r="ALE711">
            <v>13</v>
          </cell>
          <cell r="ALF711">
            <v>27</v>
          </cell>
          <cell r="ALG711">
            <v>2</v>
          </cell>
          <cell r="ALH711">
            <v>0</v>
          </cell>
          <cell r="ALI711">
            <v>42</v>
          </cell>
          <cell r="ALJ711">
            <v>0</v>
          </cell>
          <cell r="ALK711">
            <v>25</v>
          </cell>
          <cell r="ALL711">
            <v>12</v>
          </cell>
          <cell r="ALM711">
            <v>5</v>
          </cell>
          <cell r="ALZ711">
            <v>55</v>
          </cell>
          <cell r="AMA711">
            <v>10</v>
          </cell>
          <cell r="AMM711">
            <v>13178</v>
          </cell>
          <cell r="AMN711">
            <v>9</v>
          </cell>
          <cell r="AMO711">
            <v>57</v>
          </cell>
        </row>
        <row r="752">
          <cell r="S752">
            <v>21</v>
          </cell>
          <cell r="T752">
            <v>0</v>
          </cell>
          <cell r="U752">
            <v>19</v>
          </cell>
          <cell r="V752">
            <v>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>
            <v>0</v>
          </cell>
          <cell r="AK752">
            <v>0</v>
          </cell>
          <cell r="AL752">
            <v>0</v>
          </cell>
          <cell r="AP752">
            <v>0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  <cell r="BA752">
            <v>0</v>
          </cell>
          <cell r="BE752">
            <v>0</v>
          </cell>
          <cell r="BF752">
            <v>0</v>
          </cell>
          <cell r="BG752">
            <v>0</v>
          </cell>
          <cell r="BH752">
            <v>0</v>
          </cell>
          <cell r="BI752">
            <v>0</v>
          </cell>
          <cell r="BJ752">
            <v>0</v>
          </cell>
          <cell r="BK752">
            <v>0</v>
          </cell>
          <cell r="BL752">
            <v>0</v>
          </cell>
          <cell r="BM752">
            <v>0</v>
          </cell>
          <cell r="BN752">
            <v>0</v>
          </cell>
          <cell r="BR752">
            <v>0</v>
          </cell>
          <cell r="BS752">
            <v>0</v>
          </cell>
          <cell r="BT752">
            <v>0</v>
          </cell>
          <cell r="BU752">
            <v>0</v>
          </cell>
          <cell r="BV752">
            <v>0</v>
          </cell>
          <cell r="BW752">
            <v>0</v>
          </cell>
          <cell r="BX752">
            <v>0</v>
          </cell>
          <cell r="BY752">
            <v>0</v>
          </cell>
          <cell r="BZ752">
            <v>0</v>
          </cell>
          <cell r="CA752">
            <v>0</v>
          </cell>
          <cell r="CE752">
            <v>0</v>
          </cell>
          <cell r="CF752">
            <v>0</v>
          </cell>
          <cell r="CG752">
            <v>0</v>
          </cell>
          <cell r="CH752">
            <v>0</v>
          </cell>
          <cell r="CI752">
            <v>0</v>
          </cell>
          <cell r="CJ752">
            <v>0</v>
          </cell>
          <cell r="CK752">
            <v>0</v>
          </cell>
          <cell r="CL752">
            <v>0</v>
          </cell>
          <cell r="CM752">
            <v>0</v>
          </cell>
          <cell r="CN752">
            <v>0</v>
          </cell>
          <cell r="CR752">
            <v>0</v>
          </cell>
          <cell r="CS752">
            <v>0</v>
          </cell>
          <cell r="CT752">
            <v>0</v>
          </cell>
          <cell r="CU752">
            <v>0</v>
          </cell>
          <cell r="CV752">
            <v>0</v>
          </cell>
          <cell r="CW752">
            <v>0</v>
          </cell>
          <cell r="CX752">
            <v>0</v>
          </cell>
          <cell r="CY752">
            <v>0</v>
          </cell>
          <cell r="CZ752">
            <v>0</v>
          </cell>
          <cell r="DA752">
            <v>0</v>
          </cell>
          <cell r="DE752">
            <v>0</v>
          </cell>
          <cell r="DF752">
            <v>0</v>
          </cell>
          <cell r="DG752">
            <v>0</v>
          </cell>
          <cell r="DH752">
            <v>0</v>
          </cell>
          <cell r="DI752">
            <v>0</v>
          </cell>
          <cell r="DJ752">
            <v>0</v>
          </cell>
          <cell r="DK752">
            <v>0</v>
          </cell>
          <cell r="DL752">
            <v>0</v>
          </cell>
          <cell r="DM752">
            <v>0</v>
          </cell>
          <cell r="DN752">
            <v>0</v>
          </cell>
          <cell r="EQ752">
            <v>0</v>
          </cell>
          <cell r="ER752">
            <v>0</v>
          </cell>
          <cell r="ES752">
            <v>0</v>
          </cell>
          <cell r="ET752">
            <v>0</v>
          </cell>
          <cell r="EU752">
            <v>0</v>
          </cell>
          <cell r="EV752">
            <v>0</v>
          </cell>
          <cell r="EW752">
            <v>0</v>
          </cell>
          <cell r="EX752">
            <v>0</v>
          </cell>
          <cell r="EY752">
            <v>0</v>
          </cell>
          <cell r="EZ752">
            <v>0</v>
          </cell>
          <cell r="FA752">
            <v>0</v>
          </cell>
          <cell r="FB752">
            <v>0</v>
          </cell>
          <cell r="FC752">
            <v>0</v>
          </cell>
          <cell r="FD752">
            <v>0</v>
          </cell>
          <cell r="FE752">
            <v>0</v>
          </cell>
          <cell r="FF752">
            <v>0</v>
          </cell>
          <cell r="FG752">
            <v>0</v>
          </cell>
          <cell r="FH752">
            <v>0</v>
          </cell>
          <cell r="FM752">
            <v>0</v>
          </cell>
          <cell r="FN752">
            <v>0</v>
          </cell>
          <cell r="FO752">
            <v>0</v>
          </cell>
          <cell r="FP752">
            <v>0</v>
          </cell>
          <cell r="FQ752">
            <v>0</v>
          </cell>
          <cell r="FR752">
            <v>0</v>
          </cell>
          <cell r="FS752">
            <v>0</v>
          </cell>
          <cell r="FT752">
            <v>0</v>
          </cell>
          <cell r="FU752">
            <v>0</v>
          </cell>
          <cell r="FV752">
            <v>0</v>
          </cell>
          <cell r="FW752">
            <v>0</v>
          </cell>
          <cell r="FX752">
            <v>0</v>
          </cell>
          <cell r="GB752">
            <v>0</v>
          </cell>
          <cell r="GC752">
            <v>0</v>
          </cell>
          <cell r="GD752">
            <v>0</v>
          </cell>
          <cell r="GE752">
            <v>0</v>
          </cell>
          <cell r="GF752">
            <v>0</v>
          </cell>
          <cell r="GG752">
            <v>0</v>
          </cell>
          <cell r="GH752">
            <v>0</v>
          </cell>
          <cell r="GI752">
            <v>0</v>
          </cell>
          <cell r="GJ752">
            <v>0</v>
          </cell>
          <cell r="GK752">
            <v>0</v>
          </cell>
          <cell r="GL752">
            <v>0</v>
          </cell>
          <cell r="GM752">
            <v>0</v>
          </cell>
          <cell r="GQ752">
            <v>0</v>
          </cell>
          <cell r="GR752">
            <v>0</v>
          </cell>
          <cell r="GS752">
            <v>0</v>
          </cell>
          <cell r="GT752">
            <v>0</v>
          </cell>
          <cell r="GU752">
            <v>0</v>
          </cell>
          <cell r="GV752">
            <v>0</v>
          </cell>
          <cell r="GW752">
            <v>0</v>
          </cell>
          <cell r="GX752">
            <v>0</v>
          </cell>
          <cell r="GY752">
            <v>0</v>
          </cell>
          <cell r="GZ752">
            <v>0</v>
          </cell>
          <cell r="HA752">
            <v>0</v>
          </cell>
          <cell r="HB752">
            <v>0</v>
          </cell>
          <cell r="HF752">
            <v>0</v>
          </cell>
          <cell r="HG752">
            <v>0</v>
          </cell>
          <cell r="HH752">
            <v>0</v>
          </cell>
          <cell r="HI752">
            <v>0</v>
          </cell>
          <cell r="HJ752">
            <v>0</v>
          </cell>
          <cell r="HK752">
            <v>0</v>
          </cell>
          <cell r="HL752">
            <v>0</v>
          </cell>
          <cell r="HM752">
            <v>0</v>
          </cell>
          <cell r="HN752">
            <v>0</v>
          </cell>
          <cell r="HO752">
            <v>0</v>
          </cell>
          <cell r="HP752">
            <v>0</v>
          </cell>
          <cell r="HQ752">
            <v>0</v>
          </cell>
          <cell r="HU752">
            <v>0</v>
          </cell>
          <cell r="HV752">
            <v>0</v>
          </cell>
          <cell r="HW752">
            <v>0</v>
          </cell>
          <cell r="HX752">
            <v>0</v>
          </cell>
          <cell r="HY752">
            <v>0</v>
          </cell>
          <cell r="HZ752">
            <v>0</v>
          </cell>
          <cell r="IA752">
            <v>0</v>
          </cell>
          <cell r="IB752">
            <v>0</v>
          </cell>
          <cell r="IC752">
            <v>0</v>
          </cell>
          <cell r="ID752">
            <v>0</v>
          </cell>
          <cell r="IE752">
            <v>0</v>
          </cell>
          <cell r="IF752">
            <v>0</v>
          </cell>
          <cell r="IY752">
            <v>30</v>
          </cell>
          <cell r="IZ752">
            <v>10</v>
          </cell>
          <cell r="JA752">
            <v>0</v>
          </cell>
          <cell r="JB752">
            <v>0</v>
          </cell>
          <cell r="JC752">
            <v>0</v>
          </cell>
          <cell r="JD752">
            <v>0</v>
          </cell>
          <cell r="JE752">
            <v>0</v>
          </cell>
          <cell r="JF752">
            <v>0</v>
          </cell>
          <cell r="KI752">
            <v>0</v>
          </cell>
          <cell r="KJ752">
            <v>0</v>
          </cell>
          <cell r="KK752">
            <v>0</v>
          </cell>
          <cell r="KL752">
            <v>0</v>
          </cell>
          <cell r="KM752">
            <v>0</v>
          </cell>
          <cell r="KN752">
            <v>0</v>
          </cell>
          <cell r="KO752">
            <v>0</v>
          </cell>
          <cell r="KP752">
            <v>0</v>
          </cell>
          <cell r="KQ752">
            <v>0</v>
          </cell>
          <cell r="KR752">
            <v>0</v>
          </cell>
          <cell r="KS752">
            <v>0</v>
          </cell>
          <cell r="KT752">
            <v>0</v>
          </cell>
          <cell r="KU752">
            <v>0</v>
          </cell>
          <cell r="KV752">
            <v>0</v>
          </cell>
          <cell r="KW752">
            <v>0</v>
          </cell>
          <cell r="LW752">
            <v>0</v>
          </cell>
          <cell r="LX752">
            <v>0</v>
          </cell>
          <cell r="MT752">
            <v>0</v>
          </cell>
          <cell r="MU752">
            <v>0</v>
          </cell>
          <cell r="NQ752">
            <v>0</v>
          </cell>
          <cell r="NR752">
            <v>0</v>
          </cell>
          <cell r="PK752">
            <v>0</v>
          </cell>
          <cell r="PL752">
            <v>0</v>
          </cell>
          <cell r="QH752">
            <v>0</v>
          </cell>
          <cell r="QI752">
            <v>0</v>
          </cell>
          <cell r="RE752">
            <v>0</v>
          </cell>
          <cell r="RF752">
            <v>0</v>
          </cell>
          <cell r="SY752">
            <v>0</v>
          </cell>
          <cell r="SZ752">
            <v>0</v>
          </cell>
          <cell r="TV752">
            <v>0</v>
          </cell>
          <cell r="TW752">
            <v>0</v>
          </cell>
          <cell r="US752">
            <v>0</v>
          </cell>
          <cell r="UT752">
            <v>0</v>
          </cell>
          <cell r="VP752">
            <v>0</v>
          </cell>
          <cell r="VQ752">
            <v>0</v>
          </cell>
          <cell r="WM752">
            <v>0</v>
          </cell>
          <cell r="WN752">
            <v>0</v>
          </cell>
          <cell r="XJ752">
            <v>0</v>
          </cell>
          <cell r="XK752">
            <v>0</v>
          </cell>
          <cell r="YG752">
            <v>0</v>
          </cell>
          <cell r="YH752">
            <v>0</v>
          </cell>
          <cell r="ZD752">
            <v>0</v>
          </cell>
          <cell r="ZE752">
            <v>0</v>
          </cell>
          <cell r="AAA752">
            <v>0</v>
          </cell>
          <cell r="AAB752">
            <v>0</v>
          </cell>
          <cell r="ACR752">
            <v>0</v>
          </cell>
          <cell r="ACS752">
            <v>0</v>
          </cell>
          <cell r="ADO752">
            <v>0</v>
          </cell>
          <cell r="ADP752">
            <v>0</v>
          </cell>
          <cell r="ADR752">
            <v>0</v>
          </cell>
          <cell r="ADS752">
            <v>0</v>
          </cell>
          <cell r="ADT752">
            <v>0</v>
          </cell>
          <cell r="ADU752">
            <v>0</v>
          </cell>
          <cell r="ADV752">
            <v>0</v>
          </cell>
          <cell r="ADW752">
            <v>0</v>
          </cell>
          <cell r="ADX752">
            <v>0</v>
          </cell>
          <cell r="ADY752">
            <v>0</v>
          </cell>
          <cell r="ADZ752">
            <v>0</v>
          </cell>
          <cell r="AEA752">
            <v>0</v>
          </cell>
          <cell r="AEB752">
            <v>0</v>
          </cell>
          <cell r="AEC752">
            <v>0</v>
          </cell>
          <cell r="AED752">
            <v>0</v>
          </cell>
          <cell r="AEE752">
            <v>0</v>
          </cell>
          <cell r="AEF752">
            <v>0</v>
          </cell>
          <cell r="AEG752">
            <v>0</v>
          </cell>
          <cell r="AEH752">
            <v>0</v>
          </cell>
          <cell r="AEI752">
            <v>0</v>
          </cell>
          <cell r="AEJ752">
            <v>0</v>
          </cell>
          <cell r="AEK752">
            <v>0</v>
          </cell>
          <cell r="AEO752">
            <v>0</v>
          </cell>
          <cell r="AEP752">
            <v>0</v>
          </cell>
          <cell r="AEQ752">
            <v>0</v>
          </cell>
          <cell r="AER752">
            <v>0</v>
          </cell>
          <cell r="AES752">
            <v>0</v>
          </cell>
          <cell r="AET752">
            <v>0</v>
          </cell>
          <cell r="AEW752">
            <v>0</v>
          </cell>
          <cell r="AEX752">
            <v>0</v>
          </cell>
          <cell r="AEY752">
            <v>0</v>
          </cell>
          <cell r="AEZ752">
            <v>0</v>
          </cell>
          <cell r="AFB752">
            <v>0</v>
          </cell>
          <cell r="AFC752">
            <v>0</v>
          </cell>
          <cell r="AFD752">
            <v>0</v>
          </cell>
          <cell r="AFE752">
            <v>0</v>
          </cell>
          <cell r="AFF752">
            <v>0</v>
          </cell>
          <cell r="AFG752">
            <v>0</v>
          </cell>
          <cell r="AFH752">
            <v>0</v>
          </cell>
          <cell r="AFI752">
            <v>0</v>
          </cell>
          <cell r="AFJ752">
            <v>0</v>
          </cell>
          <cell r="AFK752">
            <v>0</v>
          </cell>
          <cell r="AGC752">
            <v>0</v>
          </cell>
          <cell r="AGD752">
            <v>0</v>
          </cell>
          <cell r="AGI752">
            <v>14</v>
          </cell>
          <cell r="AGK752">
            <v>0</v>
          </cell>
          <cell r="AGM752">
            <v>0</v>
          </cell>
          <cell r="AGO752">
            <v>0</v>
          </cell>
          <cell r="AGQ752">
            <v>0</v>
          </cell>
          <cell r="AGV752">
            <v>0</v>
          </cell>
          <cell r="AGW752">
            <v>0</v>
          </cell>
          <cell r="AGX752">
            <v>0</v>
          </cell>
          <cell r="AIS752">
            <v>33</v>
          </cell>
          <cell r="AIT752">
            <v>0</v>
          </cell>
          <cell r="AIZ752">
            <v>18</v>
          </cell>
          <cell r="AJA752">
            <v>15</v>
          </cell>
          <cell r="AJB752">
            <v>0</v>
          </cell>
          <cell r="AJF752">
            <v>8</v>
          </cell>
          <cell r="AJG752">
            <v>3</v>
          </cell>
          <cell r="AJH752">
            <v>20</v>
          </cell>
          <cell r="AJI752">
            <v>1</v>
          </cell>
          <cell r="AJJ752">
            <v>1</v>
          </cell>
          <cell r="AJN752">
            <v>29</v>
          </cell>
          <cell r="AJP752">
            <v>0</v>
          </cell>
          <cell r="AJQ752">
            <v>0</v>
          </cell>
          <cell r="AJR752">
            <v>0</v>
          </cell>
          <cell r="AJS752">
            <v>4</v>
          </cell>
          <cell r="AJT752">
            <v>0</v>
          </cell>
          <cell r="AJU752">
            <v>33</v>
          </cell>
          <cell r="AKA752">
            <v>33</v>
          </cell>
          <cell r="AKH752">
            <v>33</v>
          </cell>
          <cell r="AKL752">
            <v>33</v>
          </cell>
          <cell r="ALE752">
            <v>21</v>
          </cell>
          <cell r="ALF752">
            <v>12</v>
          </cell>
          <cell r="ALG752">
            <v>0</v>
          </cell>
          <cell r="ALH752">
            <v>0</v>
          </cell>
          <cell r="ALI752">
            <v>33</v>
          </cell>
          <cell r="ALJ752">
            <v>0</v>
          </cell>
          <cell r="ALK752">
            <v>12</v>
          </cell>
          <cell r="ALL752">
            <v>14</v>
          </cell>
          <cell r="ALM752">
            <v>7</v>
          </cell>
          <cell r="ALZ752">
            <v>33</v>
          </cell>
          <cell r="AMA752">
            <v>7</v>
          </cell>
          <cell r="AMM752">
            <v>10295</v>
          </cell>
          <cell r="AMN752">
            <v>1</v>
          </cell>
          <cell r="AMO752">
            <v>39</v>
          </cell>
        </row>
        <row r="753">
          <cell r="S753">
            <v>34</v>
          </cell>
          <cell r="T753">
            <v>0</v>
          </cell>
          <cell r="U753">
            <v>72</v>
          </cell>
          <cell r="V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P753">
            <v>0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0</v>
          </cell>
          <cell r="BA753">
            <v>0</v>
          </cell>
          <cell r="BE753">
            <v>0</v>
          </cell>
          <cell r="BF753">
            <v>0</v>
          </cell>
          <cell r="BG753">
            <v>0</v>
          </cell>
          <cell r="BH753">
            <v>0</v>
          </cell>
          <cell r="BI753">
            <v>0</v>
          </cell>
          <cell r="BJ753">
            <v>0</v>
          </cell>
          <cell r="BK753">
            <v>0</v>
          </cell>
          <cell r="BL753">
            <v>0</v>
          </cell>
          <cell r="BM753">
            <v>0</v>
          </cell>
          <cell r="BN753">
            <v>0</v>
          </cell>
          <cell r="BR753">
            <v>0</v>
          </cell>
          <cell r="BS753">
            <v>0</v>
          </cell>
          <cell r="BT753">
            <v>0</v>
          </cell>
          <cell r="BU753">
            <v>0</v>
          </cell>
          <cell r="BV753">
            <v>0</v>
          </cell>
          <cell r="BW753">
            <v>0</v>
          </cell>
          <cell r="BX753">
            <v>0</v>
          </cell>
          <cell r="BY753">
            <v>0</v>
          </cell>
          <cell r="BZ753">
            <v>0</v>
          </cell>
          <cell r="CA753">
            <v>0</v>
          </cell>
          <cell r="CE753">
            <v>0</v>
          </cell>
          <cell r="CF753">
            <v>0</v>
          </cell>
          <cell r="CG753">
            <v>0</v>
          </cell>
          <cell r="CH753">
            <v>0</v>
          </cell>
          <cell r="CI753">
            <v>0</v>
          </cell>
          <cell r="CJ753">
            <v>0</v>
          </cell>
          <cell r="CK753">
            <v>0</v>
          </cell>
          <cell r="CL753">
            <v>0</v>
          </cell>
          <cell r="CM753">
            <v>0</v>
          </cell>
          <cell r="CN753">
            <v>0</v>
          </cell>
          <cell r="CR753">
            <v>0</v>
          </cell>
          <cell r="CS753">
            <v>0</v>
          </cell>
          <cell r="CT753">
            <v>0</v>
          </cell>
          <cell r="CU753">
            <v>0</v>
          </cell>
          <cell r="CV753">
            <v>0</v>
          </cell>
          <cell r="CW753">
            <v>0</v>
          </cell>
          <cell r="CX753">
            <v>0</v>
          </cell>
          <cell r="CY753">
            <v>0</v>
          </cell>
          <cell r="CZ753">
            <v>0</v>
          </cell>
          <cell r="DA753">
            <v>0</v>
          </cell>
          <cell r="DE753">
            <v>0</v>
          </cell>
          <cell r="DF753">
            <v>0</v>
          </cell>
          <cell r="DG753">
            <v>0</v>
          </cell>
          <cell r="DH753">
            <v>0</v>
          </cell>
          <cell r="DI753">
            <v>0</v>
          </cell>
          <cell r="DJ753">
            <v>0</v>
          </cell>
          <cell r="DK753">
            <v>0</v>
          </cell>
          <cell r="DL753">
            <v>0</v>
          </cell>
          <cell r="DM753">
            <v>0</v>
          </cell>
          <cell r="DN753">
            <v>0</v>
          </cell>
          <cell r="EQ753">
            <v>0</v>
          </cell>
          <cell r="ER753">
            <v>0</v>
          </cell>
          <cell r="ES753">
            <v>0</v>
          </cell>
          <cell r="ET753">
            <v>0</v>
          </cell>
          <cell r="EU753">
            <v>0</v>
          </cell>
          <cell r="EV753">
            <v>0</v>
          </cell>
          <cell r="EW753">
            <v>0</v>
          </cell>
          <cell r="EX753">
            <v>0</v>
          </cell>
          <cell r="EY753">
            <v>0</v>
          </cell>
          <cell r="EZ753">
            <v>0</v>
          </cell>
          <cell r="FA753">
            <v>0</v>
          </cell>
          <cell r="FB753">
            <v>0</v>
          </cell>
          <cell r="FC753">
            <v>0</v>
          </cell>
          <cell r="FD753">
            <v>0</v>
          </cell>
          <cell r="FE753">
            <v>0</v>
          </cell>
          <cell r="FF753">
            <v>0</v>
          </cell>
          <cell r="FG753">
            <v>0</v>
          </cell>
          <cell r="FH753">
            <v>0</v>
          </cell>
          <cell r="FM753">
            <v>0</v>
          </cell>
          <cell r="FN753">
            <v>0</v>
          </cell>
          <cell r="FO753">
            <v>0</v>
          </cell>
          <cell r="FP753">
            <v>0</v>
          </cell>
          <cell r="FQ753">
            <v>0</v>
          </cell>
          <cell r="FR753">
            <v>0</v>
          </cell>
          <cell r="FS753">
            <v>0</v>
          </cell>
          <cell r="FT753">
            <v>0</v>
          </cell>
          <cell r="FU753">
            <v>0</v>
          </cell>
          <cell r="FV753">
            <v>0</v>
          </cell>
          <cell r="FW753">
            <v>0</v>
          </cell>
          <cell r="FX753">
            <v>0</v>
          </cell>
          <cell r="GB753">
            <v>0</v>
          </cell>
          <cell r="GC753">
            <v>0</v>
          </cell>
          <cell r="GD753">
            <v>0</v>
          </cell>
          <cell r="GE753">
            <v>0</v>
          </cell>
          <cell r="GF753">
            <v>0</v>
          </cell>
          <cell r="GG753">
            <v>0</v>
          </cell>
          <cell r="GH753">
            <v>0</v>
          </cell>
          <cell r="GI753">
            <v>0</v>
          </cell>
          <cell r="GJ753">
            <v>0</v>
          </cell>
          <cell r="GK753">
            <v>0</v>
          </cell>
          <cell r="GL753">
            <v>0</v>
          </cell>
          <cell r="GM753">
            <v>0</v>
          </cell>
          <cell r="GQ753">
            <v>0</v>
          </cell>
          <cell r="GR753">
            <v>0</v>
          </cell>
          <cell r="GS753">
            <v>0</v>
          </cell>
          <cell r="GT753">
            <v>0</v>
          </cell>
          <cell r="GU753">
            <v>0</v>
          </cell>
          <cell r="GV753">
            <v>0</v>
          </cell>
          <cell r="GW753">
            <v>0</v>
          </cell>
          <cell r="GX753">
            <v>0</v>
          </cell>
          <cell r="GY753">
            <v>0</v>
          </cell>
          <cell r="GZ753">
            <v>0</v>
          </cell>
          <cell r="HA753">
            <v>0</v>
          </cell>
          <cell r="HB753">
            <v>0</v>
          </cell>
          <cell r="HF753">
            <v>0</v>
          </cell>
          <cell r="HG753">
            <v>0</v>
          </cell>
          <cell r="HH753">
            <v>0</v>
          </cell>
          <cell r="HI753">
            <v>0</v>
          </cell>
          <cell r="HJ753">
            <v>0</v>
          </cell>
          <cell r="HK753">
            <v>0</v>
          </cell>
          <cell r="HL753">
            <v>0</v>
          </cell>
          <cell r="HM753">
            <v>0</v>
          </cell>
          <cell r="HN753">
            <v>0</v>
          </cell>
          <cell r="HO753">
            <v>0</v>
          </cell>
          <cell r="HP753">
            <v>0</v>
          </cell>
          <cell r="HQ753">
            <v>0</v>
          </cell>
          <cell r="HU753">
            <v>0</v>
          </cell>
          <cell r="HV753">
            <v>0</v>
          </cell>
          <cell r="HW753">
            <v>0</v>
          </cell>
          <cell r="HX753">
            <v>0</v>
          </cell>
          <cell r="HY753">
            <v>0</v>
          </cell>
          <cell r="HZ753">
            <v>0</v>
          </cell>
          <cell r="IA753">
            <v>0</v>
          </cell>
          <cell r="IB753">
            <v>0</v>
          </cell>
          <cell r="IC753">
            <v>0</v>
          </cell>
          <cell r="ID753">
            <v>0</v>
          </cell>
          <cell r="IE753">
            <v>0</v>
          </cell>
          <cell r="IF753">
            <v>0</v>
          </cell>
          <cell r="IY753">
            <v>72</v>
          </cell>
          <cell r="IZ753">
            <v>34</v>
          </cell>
          <cell r="JA753">
            <v>0</v>
          </cell>
          <cell r="JB753">
            <v>0</v>
          </cell>
          <cell r="JC753">
            <v>0</v>
          </cell>
          <cell r="JD753">
            <v>0</v>
          </cell>
          <cell r="JE753">
            <v>0</v>
          </cell>
          <cell r="JF753">
            <v>0</v>
          </cell>
          <cell r="KI753">
            <v>0</v>
          </cell>
          <cell r="KJ753">
            <v>0</v>
          </cell>
          <cell r="KK753">
            <v>0</v>
          </cell>
          <cell r="KL753">
            <v>0</v>
          </cell>
          <cell r="KM753">
            <v>0</v>
          </cell>
          <cell r="KN753">
            <v>0</v>
          </cell>
          <cell r="KO753">
            <v>0</v>
          </cell>
          <cell r="KP753">
            <v>0</v>
          </cell>
          <cell r="KQ753">
            <v>0</v>
          </cell>
          <cell r="KR753">
            <v>0</v>
          </cell>
          <cell r="KS753">
            <v>0</v>
          </cell>
          <cell r="KT753">
            <v>0</v>
          </cell>
          <cell r="KU753">
            <v>0</v>
          </cell>
          <cell r="KV753">
            <v>0</v>
          </cell>
          <cell r="KW753">
            <v>0</v>
          </cell>
          <cell r="LW753">
            <v>0</v>
          </cell>
          <cell r="LX753">
            <v>0</v>
          </cell>
          <cell r="MT753">
            <v>0</v>
          </cell>
          <cell r="MU753">
            <v>0</v>
          </cell>
          <cell r="NQ753">
            <v>0</v>
          </cell>
          <cell r="NR753">
            <v>0</v>
          </cell>
          <cell r="ON753">
            <v>0</v>
          </cell>
          <cell r="OO753">
            <v>0</v>
          </cell>
          <cell r="PK753">
            <v>0</v>
          </cell>
          <cell r="PL753">
            <v>0</v>
          </cell>
          <cell r="QH753">
            <v>0</v>
          </cell>
          <cell r="QI753">
            <v>0</v>
          </cell>
          <cell r="RE753">
            <v>0</v>
          </cell>
          <cell r="RF753">
            <v>0</v>
          </cell>
          <cell r="SB753">
            <v>0</v>
          </cell>
          <cell r="SC753">
            <v>0</v>
          </cell>
          <cell r="SY753">
            <v>0</v>
          </cell>
          <cell r="SZ753">
            <v>0</v>
          </cell>
          <cell r="TV753">
            <v>0</v>
          </cell>
          <cell r="TW753">
            <v>0</v>
          </cell>
          <cell r="US753">
            <v>0</v>
          </cell>
          <cell r="UT753">
            <v>0</v>
          </cell>
          <cell r="VP753">
            <v>0</v>
          </cell>
          <cell r="VQ753">
            <v>0</v>
          </cell>
          <cell r="WM753">
            <v>0</v>
          </cell>
          <cell r="WN753">
            <v>0</v>
          </cell>
          <cell r="XJ753">
            <v>1</v>
          </cell>
          <cell r="XK753">
            <v>0</v>
          </cell>
          <cell r="YG753">
            <v>0</v>
          </cell>
          <cell r="YH753">
            <v>0</v>
          </cell>
          <cell r="ZD753">
            <v>0</v>
          </cell>
          <cell r="ZE753">
            <v>0</v>
          </cell>
          <cell r="AAA753">
            <v>0</v>
          </cell>
          <cell r="AAB753">
            <v>0</v>
          </cell>
          <cell r="ACR753">
            <v>0</v>
          </cell>
          <cell r="ACS753">
            <v>0</v>
          </cell>
          <cell r="ADO753">
            <v>0</v>
          </cell>
          <cell r="ADP753">
            <v>0</v>
          </cell>
          <cell r="ADR753">
            <v>0</v>
          </cell>
          <cell r="ADS753">
            <v>0</v>
          </cell>
          <cell r="ADT753">
            <v>0</v>
          </cell>
          <cell r="ADU753">
            <v>0</v>
          </cell>
          <cell r="ADV753">
            <v>0</v>
          </cell>
          <cell r="ADW753">
            <v>0</v>
          </cell>
          <cell r="ADX753">
            <v>0</v>
          </cell>
          <cell r="ADY753">
            <v>0</v>
          </cell>
          <cell r="ADZ753">
            <v>0</v>
          </cell>
          <cell r="AEA753">
            <v>0</v>
          </cell>
          <cell r="AEB753">
            <v>0</v>
          </cell>
          <cell r="AEC753">
            <v>0</v>
          </cell>
          <cell r="AED753">
            <v>0</v>
          </cell>
          <cell r="AEE753">
            <v>0</v>
          </cell>
          <cell r="AEF753">
            <v>0</v>
          </cell>
          <cell r="AEG753">
            <v>0</v>
          </cell>
          <cell r="AEH753">
            <v>0</v>
          </cell>
          <cell r="AEI753">
            <v>0</v>
          </cell>
          <cell r="AEJ753">
            <v>1</v>
          </cell>
          <cell r="AEK753">
            <v>0</v>
          </cell>
          <cell r="AEO753">
            <v>0</v>
          </cell>
          <cell r="AEP753">
            <v>0</v>
          </cell>
          <cell r="AEQ753">
            <v>0</v>
          </cell>
          <cell r="AER753">
            <v>0</v>
          </cell>
          <cell r="AES753">
            <v>0</v>
          </cell>
          <cell r="AET753">
            <v>0</v>
          </cell>
          <cell r="AEW753">
            <v>0</v>
          </cell>
          <cell r="AEX753">
            <v>0</v>
          </cell>
          <cell r="AEY753">
            <v>0</v>
          </cell>
          <cell r="AEZ753">
            <v>0</v>
          </cell>
          <cell r="AFB753">
            <v>0</v>
          </cell>
          <cell r="AFC753">
            <v>0</v>
          </cell>
          <cell r="AFD753">
            <v>0</v>
          </cell>
          <cell r="AFE753">
            <v>0</v>
          </cell>
          <cell r="AFF753">
            <v>0</v>
          </cell>
          <cell r="AFG753">
            <v>0</v>
          </cell>
          <cell r="AFH753">
            <v>0</v>
          </cell>
          <cell r="AFI753">
            <v>0</v>
          </cell>
          <cell r="AFJ753">
            <v>0</v>
          </cell>
          <cell r="AFK753">
            <v>0</v>
          </cell>
          <cell r="AGC753">
            <v>0</v>
          </cell>
          <cell r="AGD753">
            <v>0</v>
          </cell>
          <cell r="AGI753">
            <v>47</v>
          </cell>
          <cell r="AGK753">
            <v>0</v>
          </cell>
          <cell r="AGM753">
            <v>0</v>
          </cell>
          <cell r="AGO753">
            <v>0</v>
          </cell>
          <cell r="AGQ753">
            <v>0</v>
          </cell>
          <cell r="AGV753">
            <v>0</v>
          </cell>
          <cell r="AGW753">
            <v>0</v>
          </cell>
          <cell r="AGX753">
            <v>0</v>
          </cell>
          <cell r="AIS753">
            <v>75</v>
          </cell>
          <cell r="AIT753">
            <v>0</v>
          </cell>
          <cell r="AIZ753">
            <v>33</v>
          </cell>
          <cell r="AJA753">
            <v>41</v>
          </cell>
          <cell r="AJB753">
            <v>1</v>
          </cell>
          <cell r="AJF753">
            <v>16</v>
          </cell>
          <cell r="AJG753">
            <v>9</v>
          </cell>
          <cell r="AJH753">
            <v>42</v>
          </cell>
          <cell r="AJI753">
            <v>6</v>
          </cell>
          <cell r="AJJ753">
            <v>2</v>
          </cell>
          <cell r="AJN753">
            <v>69</v>
          </cell>
          <cell r="AJP753">
            <v>0</v>
          </cell>
          <cell r="AJQ753">
            <v>2</v>
          </cell>
          <cell r="AJR753">
            <v>0</v>
          </cell>
          <cell r="AJS753">
            <v>4</v>
          </cell>
          <cell r="AJT753">
            <v>0</v>
          </cell>
          <cell r="AJU753">
            <v>75</v>
          </cell>
          <cell r="AKA753">
            <v>75</v>
          </cell>
          <cell r="AKH753">
            <v>75</v>
          </cell>
          <cell r="AKL753">
            <v>75</v>
          </cell>
          <cell r="ALE753">
            <v>34</v>
          </cell>
          <cell r="ALF753">
            <v>39</v>
          </cell>
          <cell r="ALG753">
            <v>2</v>
          </cell>
          <cell r="ALH753">
            <v>0</v>
          </cell>
          <cell r="ALI753">
            <v>75</v>
          </cell>
          <cell r="ALJ753">
            <v>0</v>
          </cell>
          <cell r="ALK753">
            <v>37</v>
          </cell>
          <cell r="ALL753">
            <v>26</v>
          </cell>
          <cell r="ALM753">
            <v>12</v>
          </cell>
          <cell r="ALZ753">
            <v>88</v>
          </cell>
          <cell r="AMA753">
            <v>17</v>
          </cell>
          <cell r="AMM753">
            <v>23473</v>
          </cell>
          <cell r="AMN753">
            <v>10</v>
          </cell>
          <cell r="AMO753">
            <v>96</v>
          </cell>
        </row>
        <row r="754">
          <cell r="S754">
            <v>165</v>
          </cell>
          <cell r="T754">
            <v>1</v>
          </cell>
          <cell r="U754">
            <v>563</v>
          </cell>
          <cell r="V754">
            <v>0</v>
          </cell>
          <cell r="AP754">
            <v>0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  <cell r="AU754">
            <v>0</v>
          </cell>
          <cell r="AV754">
            <v>0</v>
          </cell>
          <cell r="AW754">
            <v>0</v>
          </cell>
          <cell r="AX754">
            <v>0</v>
          </cell>
          <cell r="AY754">
            <v>0</v>
          </cell>
          <cell r="AZ754">
            <v>0</v>
          </cell>
          <cell r="BA754">
            <v>0</v>
          </cell>
          <cell r="BE754">
            <v>0</v>
          </cell>
          <cell r="BF754">
            <v>0</v>
          </cell>
          <cell r="BG754">
            <v>0</v>
          </cell>
          <cell r="BH754">
            <v>0</v>
          </cell>
          <cell r="BI754">
            <v>0</v>
          </cell>
          <cell r="BJ754">
            <v>0</v>
          </cell>
          <cell r="BK754">
            <v>0</v>
          </cell>
          <cell r="BL754">
            <v>0</v>
          </cell>
          <cell r="BM754">
            <v>0</v>
          </cell>
          <cell r="BN754">
            <v>0</v>
          </cell>
          <cell r="BR754">
            <v>0</v>
          </cell>
          <cell r="BS754">
            <v>0</v>
          </cell>
          <cell r="BT754">
            <v>0</v>
          </cell>
          <cell r="BU754">
            <v>0</v>
          </cell>
          <cell r="BV754">
            <v>0</v>
          </cell>
          <cell r="BW754">
            <v>0</v>
          </cell>
          <cell r="BX754">
            <v>0</v>
          </cell>
          <cell r="BY754">
            <v>0</v>
          </cell>
          <cell r="BZ754">
            <v>0</v>
          </cell>
          <cell r="CA754">
            <v>0</v>
          </cell>
          <cell r="CE754">
            <v>0</v>
          </cell>
          <cell r="CF754">
            <v>0</v>
          </cell>
          <cell r="CG754">
            <v>0</v>
          </cell>
          <cell r="CH754">
            <v>0</v>
          </cell>
          <cell r="CI754">
            <v>0</v>
          </cell>
          <cell r="CJ754">
            <v>0</v>
          </cell>
          <cell r="CK754">
            <v>0</v>
          </cell>
          <cell r="CL754">
            <v>0</v>
          </cell>
          <cell r="CM754">
            <v>0</v>
          </cell>
          <cell r="CN754">
            <v>0</v>
          </cell>
          <cell r="CR754">
            <v>0</v>
          </cell>
          <cell r="CS754">
            <v>0</v>
          </cell>
          <cell r="CT754">
            <v>0</v>
          </cell>
          <cell r="CU754">
            <v>0</v>
          </cell>
          <cell r="CV754">
            <v>0</v>
          </cell>
          <cell r="CW754">
            <v>0</v>
          </cell>
          <cell r="CX754">
            <v>0</v>
          </cell>
          <cell r="CY754">
            <v>0</v>
          </cell>
          <cell r="CZ754">
            <v>0</v>
          </cell>
          <cell r="DA754">
            <v>0</v>
          </cell>
          <cell r="DE754">
            <v>0</v>
          </cell>
          <cell r="DF754">
            <v>0</v>
          </cell>
          <cell r="DG754">
            <v>0</v>
          </cell>
          <cell r="DH754">
            <v>0</v>
          </cell>
          <cell r="DI754">
            <v>0</v>
          </cell>
          <cell r="DJ754">
            <v>0</v>
          </cell>
          <cell r="DK754">
            <v>0</v>
          </cell>
          <cell r="DL754">
            <v>0</v>
          </cell>
          <cell r="DM754">
            <v>0</v>
          </cell>
          <cell r="DN754">
            <v>0</v>
          </cell>
          <cell r="EQ754">
            <v>0</v>
          </cell>
          <cell r="ER754">
            <v>0</v>
          </cell>
          <cell r="ES754">
            <v>0</v>
          </cell>
          <cell r="ET754">
            <v>0</v>
          </cell>
          <cell r="EU754">
            <v>0</v>
          </cell>
          <cell r="EV754">
            <v>0</v>
          </cell>
          <cell r="EW754">
            <v>0</v>
          </cell>
          <cell r="EX754">
            <v>0</v>
          </cell>
          <cell r="EY754">
            <v>0</v>
          </cell>
          <cell r="EZ754">
            <v>0</v>
          </cell>
          <cell r="FA754">
            <v>0</v>
          </cell>
          <cell r="FB754">
            <v>0</v>
          </cell>
          <cell r="FC754">
            <v>0</v>
          </cell>
          <cell r="FD754">
            <v>0</v>
          </cell>
          <cell r="FE754">
            <v>0</v>
          </cell>
          <cell r="FF754">
            <v>0</v>
          </cell>
          <cell r="FG754">
            <v>0</v>
          </cell>
          <cell r="FH754">
            <v>0</v>
          </cell>
          <cell r="FM754">
            <v>0</v>
          </cell>
          <cell r="FN754">
            <v>0</v>
          </cell>
          <cell r="FO754">
            <v>0</v>
          </cell>
          <cell r="FP754">
            <v>0</v>
          </cell>
          <cell r="FQ754">
            <v>0</v>
          </cell>
          <cell r="FR754">
            <v>0</v>
          </cell>
          <cell r="FS754">
            <v>0</v>
          </cell>
          <cell r="FT754">
            <v>0</v>
          </cell>
          <cell r="FU754">
            <v>0</v>
          </cell>
          <cell r="FV754">
            <v>0</v>
          </cell>
          <cell r="FW754">
            <v>0</v>
          </cell>
          <cell r="FX754">
            <v>0</v>
          </cell>
          <cell r="GB754">
            <v>0</v>
          </cell>
          <cell r="GC754">
            <v>0</v>
          </cell>
          <cell r="GD754">
            <v>0</v>
          </cell>
          <cell r="GE754">
            <v>0</v>
          </cell>
          <cell r="GF754">
            <v>0</v>
          </cell>
          <cell r="GG754">
            <v>0</v>
          </cell>
          <cell r="GH754">
            <v>0</v>
          </cell>
          <cell r="GI754">
            <v>0</v>
          </cell>
          <cell r="GJ754">
            <v>0</v>
          </cell>
          <cell r="GK754">
            <v>0</v>
          </cell>
          <cell r="GL754">
            <v>0</v>
          </cell>
          <cell r="GM754">
            <v>0</v>
          </cell>
          <cell r="GQ754">
            <v>0</v>
          </cell>
          <cell r="GR754">
            <v>0</v>
          </cell>
          <cell r="GS754">
            <v>0</v>
          </cell>
          <cell r="GT754">
            <v>0</v>
          </cell>
          <cell r="GU754">
            <v>0</v>
          </cell>
          <cell r="GV754">
            <v>0</v>
          </cell>
          <cell r="GW754">
            <v>0</v>
          </cell>
          <cell r="GX754">
            <v>0</v>
          </cell>
          <cell r="GY754">
            <v>0</v>
          </cell>
          <cell r="GZ754">
            <v>0</v>
          </cell>
          <cell r="HA754">
            <v>0</v>
          </cell>
          <cell r="HB754">
            <v>0</v>
          </cell>
          <cell r="HF754">
            <v>0</v>
          </cell>
          <cell r="HG754">
            <v>0</v>
          </cell>
          <cell r="HH754">
            <v>0</v>
          </cell>
          <cell r="HI754">
            <v>0</v>
          </cell>
          <cell r="HJ754">
            <v>0</v>
          </cell>
          <cell r="HK754">
            <v>0</v>
          </cell>
          <cell r="HL754">
            <v>0</v>
          </cell>
          <cell r="HM754">
            <v>0</v>
          </cell>
          <cell r="HN754">
            <v>0</v>
          </cell>
          <cell r="HO754">
            <v>0</v>
          </cell>
          <cell r="HP754">
            <v>0</v>
          </cell>
          <cell r="HQ754">
            <v>0</v>
          </cell>
          <cell r="HU754">
            <v>0</v>
          </cell>
          <cell r="HV754">
            <v>0</v>
          </cell>
          <cell r="HW754">
            <v>0</v>
          </cell>
          <cell r="HX754">
            <v>0</v>
          </cell>
          <cell r="HY754">
            <v>0</v>
          </cell>
          <cell r="HZ754">
            <v>0</v>
          </cell>
          <cell r="IA754">
            <v>0</v>
          </cell>
          <cell r="IB754">
            <v>0</v>
          </cell>
          <cell r="IC754">
            <v>0</v>
          </cell>
          <cell r="ID754">
            <v>0</v>
          </cell>
          <cell r="IE754">
            <v>0</v>
          </cell>
          <cell r="IF754">
            <v>0</v>
          </cell>
          <cell r="IY754">
            <v>428</v>
          </cell>
          <cell r="IZ754">
            <v>295</v>
          </cell>
          <cell r="JA754">
            <v>0</v>
          </cell>
          <cell r="JB754">
            <v>0</v>
          </cell>
          <cell r="JC754">
            <v>0</v>
          </cell>
          <cell r="JD754">
            <v>0</v>
          </cell>
          <cell r="JE754">
            <v>0</v>
          </cell>
          <cell r="JF754">
            <v>0</v>
          </cell>
          <cell r="KI754">
            <v>0</v>
          </cell>
          <cell r="KJ754">
            <v>0</v>
          </cell>
          <cell r="KK754">
            <v>0</v>
          </cell>
          <cell r="KL754">
            <v>0</v>
          </cell>
          <cell r="KM754">
            <v>0</v>
          </cell>
          <cell r="KN754">
            <v>0</v>
          </cell>
          <cell r="KO754">
            <v>0</v>
          </cell>
          <cell r="KP754">
            <v>0</v>
          </cell>
          <cell r="KQ754">
            <v>0</v>
          </cell>
          <cell r="KR754">
            <v>0</v>
          </cell>
          <cell r="KS754">
            <v>0</v>
          </cell>
          <cell r="KT754">
            <v>0</v>
          </cell>
          <cell r="KU754">
            <v>0</v>
          </cell>
          <cell r="KV754">
            <v>0</v>
          </cell>
          <cell r="KW754">
            <v>0</v>
          </cell>
          <cell r="ADR754">
            <v>0</v>
          </cell>
          <cell r="ADS754">
            <v>0</v>
          </cell>
          <cell r="ADT754">
            <v>0</v>
          </cell>
          <cell r="ADU754">
            <v>0</v>
          </cell>
          <cell r="ADV754">
            <v>0</v>
          </cell>
          <cell r="ADW754">
            <v>0</v>
          </cell>
          <cell r="ADX754">
            <v>0</v>
          </cell>
          <cell r="ADY754">
            <v>0</v>
          </cell>
          <cell r="ADZ754">
            <v>0</v>
          </cell>
          <cell r="AEA754">
            <v>0</v>
          </cell>
          <cell r="AEB754">
            <v>0</v>
          </cell>
          <cell r="AEC754">
            <v>0</v>
          </cell>
          <cell r="AED754">
            <v>0</v>
          </cell>
          <cell r="AEE754">
            <v>0</v>
          </cell>
          <cell r="AEF754">
            <v>0</v>
          </cell>
          <cell r="AEG754">
            <v>0</v>
          </cell>
          <cell r="AEH754">
            <v>0</v>
          </cell>
          <cell r="AEI754">
            <v>0</v>
          </cell>
          <cell r="AEJ754">
            <v>1</v>
          </cell>
          <cell r="AEK754">
            <v>1</v>
          </cell>
          <cell r="AEO754">
            <v>0</v>
          </cell>
          <cell r="AEP754">
            <v>0</v>
          </cell>
          <cell r="AEQ754">
            <v>0</v>
          </cell>
          <cell r="AER754">
            <v>0</v>
          </cell>
          <cell r="AES754">
            <v>0</v>
          </cell>
          <cell r="AET754">
            <v>0</v>
          </cell>
          <cell r="AEW754">
            <v>0</v>
          </cell>
          <cell r="AEX754">
            <v>0</v>
          </cell>
          <cell r="AEY754">
            <v>0</v>
          </cell>
          <cell r="AEZ754">
            <v>0</v>
          </cell>
          <cell r="AFB754">
            <v>0</v>
          </cell>
          <cell r="AFC754">
            <v>0</v>
          </cell>
          <cell r="AFD754">
            <v>0</v>
          </cell>
          <cell r="AFE754">
            <v>0</v>
          </cell>
          <cell r="AFF754">
            <v>0</v>
          </cell>
          <cell r="AFG754">
            <v>0</v>
          </cell>
          <cell r="AFH754">
            <v>0</v>
          </cell>
          <cell r="AFI754">
            <v>0</v>
          </cell>
          <cell r="AFJ754">
            <v>0</v>
          </cell>
          <cell r="AFK754">
            <v>0</v>
          </cell>
          <cell r="AFL754">
            <v>0</v>
          </cell>
          <cell r="AFM754">
            <v>0</v>
          </cell>
          <cell r="AGC754">
            <v>0</v>
          </cell>
          <cell r="AGD754">
            <v>0</v>
          </cell>
          <cell r="AGI754">
            <v>242</v>
          </cell>
          <cell r="AGK754">
            <v>25</v>
          </cell>
          <cell r="AGM754">
            <v>0</v>
          </cell>
          <cell r="AGO754">
            <v>0</v>
          </cell>
          <cell r="AGQ754">
            <v>0</v>
          </cell>
          <cell r="AGV754">
            <v>0</v>
          </cell>
          <cell r="AGW754">
            <v>0</v>
          </cell>
          <cell r="AGX754">
            <v>0</v>
          </cell>
          <cell r="AIS754">
            <v>467</v>
          </cell>
          <cell r="AIT754">
            <v>0</v>
          </cell>
          <cell r="AIZ754">
            <v>193</v>
          </cell>
          <cell r="AJA754">
            <v>263</v>
          </cell>
          <cell r="AJB754">
            <v>11</v>
          </cell>
          <cell r="AJF754">
            <v>46</v>
          </cell>
          <cell r="AJG754">
            <v>51</v>
          </cell>
          <cell r="AJH754">
            <v>239</v>
          </cell>
          <cell r="AJI754">
            <v>100</v>
          </cell>
          <cell r="AJJ754">
            <v>31</v>
          </cell>
          <cell r="AJN754">
            <v>427</v>
          </cell>
          <cell r="AJP754">
            <v>0</v>
          </cell>
          <cell r="AJQ754">
            <v>4</v>
          </cell>
          <cell r="AJR754">
            <v>7</v>
          </cell>
          <cell r="AJS754">
            <v>29</v>
          </cell>
          <cell r="AJT754">
            <v>0</v>
          </cell>
          <cell r="AJU754">
            <v>467</v>
          </cell>
          <cell r="AKA754">
            <v>466</v>
          </cell>
          <cell r="AKH754">
            <v>467</v>
          </cell>
          <cell r="AKL754">
            <v>465</v>
          </cell>
          <cell r="ALE754">
            <v>172</v>
          </cell>
          <cell r="ALF754">
            <v>282</v>
          </cell>
          <cell r="ALG754">
            <v>13</v>
          </cell>
          <cell r="ALH754">
            <v>1</v>
          </cell>
          <cell r="ALI754">
            <v>466</v>
          </cell>
          <cell r="ALJ754">
            <v>0</v>
          </cell>
          <cell r="ALK754">
            <v>216</v>
          </cell>
          <cell r="ALL754">
            <v>219</v>
          </cell>
          <cell r="ALM754">
            <v>32</v>
          </cell>
          <cell r="ALZ754">
            <v>524</v>
          </cell>
          <cell r="AMA754">
            <v>198</v>
          </cell>
          <cell r="AMM754">
            <v>175057</v>
          </cell>
          <cell r="AMN754">
            <v>132</v>
          </cell>
          <cell r="AMO754">
            <v>589</v>
          </cell>
        </row>
      </sheetData>
      <sheetData sheetId="1" refreshError="1">
        <row r="285">
          <cell r="G285">
            <v>0</v>
          </cell>
        </row>
        <row r="303">
          <cell r="G303">
            <v>0</v>
          </cell>
          <cell r="H303">
            <v>0</v>
          </cell>
          <cell r="I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W303">
            <v>0</v>
          </cell>
          <cell r="AM303">
            <v>0</v>
          </cell>
          <cell r="AN303">
            <v>0</v>
          </cell>
          <cell r="EN303">
            <v>0</v>
          </cell>
          <cell r="EO303">
            <v>0</v>
          </cell>
          <cell r="JG303">
            <v>0</v>
          </cell>
          <cell r="JH303">
            <v>0</v>
          </cell>
        </row>
        <row r="305">
          <cell r="G305">
            <v>0</v>
          </cell>
          <cell r="H305">
            <v>0</v>
          </cell>
          <cell r="I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W305">
            <v>0</v>
          </cell>
          <cell r="AM305">
            <v>0</v>
          </cell>
          <cell r="AN305">
            <v>0</v>
          </cell>
          <cell r="EN305">
            <v>0</v>
          </cell>
          <cell r="EO305">
            <v>0</v>
          </cell>
          <cell r="JG305">
            <v>0</v>
          </cell>
          <cell r="JH305">
            <v>0</v>
          </cell>
        </row>
        <row r="323">
          <cell r="G323">
            <v>0</v>
          </cell>
          <cell r="H323">
            <v>0</v>
          </cell>
          <cell r="I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W323">
            <v>0</v>
          </cell>
          <cell r="AM323">
            <v>0</v>
          </cell>
          <cell r="AN323">
            <v>0</v>
          </cell>
          <cell r="EN323">
            <v>0</v>
          </cell>
          <cell r="EO323">
            <v>0</v>
          </cell>
          <cell r="JG323">
            <v>0</v>
          </cell>
          <cell r="JH323">
            <v>0</v>
          </cell>
        </row>
        <row r="328">
          <cell r="G328">
            <v>0</v>
          </cell>
          <cell r="H328">
            <v>0</v>
          </cell>
          <cell r="I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W328">
            <v>0</v>
          </cell>
          <cell r="AM328">
            <v>0</v>
          </cell>
          <cell r="AN328">
            <v>0</v>
          </cell>
          <cell r="EN328">
            <v>0</v>
          </cell>
          <cell r="EO328">
            <v>0</v>
          </cell>
          <cell r="JG328">
            <v>0</v>
          </cell>
          <cell r="JH328">
            <v>0</v>
          </cell>
        </row>
        <row r="329">
          <cell r="G329">
            <v>0</v>
          </cell>
          <cell r="H329">
            <v>0</v>
          </cell>
          <cell r="I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W329">
            <v>0</v>
          </cell>
          <cell r="AM329">
            <v>0</v>
          </cell>
          <cell r="AN329">
            <v>0</v>
          </cell>
          <cell r="EN329">
            <v>0</v>
          </cell>
          <cell r="EO329">
            <v>0</v>
          </cell>
          <cell r="JG329">
            <v>0</v>
          </cell>
          <cell r="JH329">
            <v>0</v>
          </cell>
        </row>
        <row r="407">
          <cell r="G407">
            <v>0</v>
          </cell>
          <cell r="H407">
            <v>0</v>
          </cell>
          <cell r="I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W407">
            <v>0</v>
          </cell>
          <cell r="AM407">
            <v>0</v>
          </cell>
          <cell r="AN407">
            <v>0</v>
          </cell>
          <cell r="EN407">
            <v>0</v>
          </cell>
          <cell r="EO407">
            <v>0</v>
          </cell>
          <cell r="JG407">
            <v>0</v>
          </cell>
          <cell r="JH407">
            <v>0</v>
          </cell>
        </row>
        <row r="420">
          <cell r="G420">
            <v>0</v>
          </cell>
          <cell r="H420">
            <v>0</v>
          </cell>
          <cell r="I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W420">
            <v>0</v>
          </cell>
          <cell r="AM420">
            <v>0</v>
          </cell>
          <cell r="AN420">
            <v>0</v>
          </cell>
          <cell r="EN420">
            <v>0</v>
          </cell>
          <cell r="EO420">
            <v>0</v>
          </cell>
          <cell r="JG420">
            <v>0</v>
          </cell>
          <cell r="JH420">
            <v>0</v>
          </cell>
        </row>
        <row r="430">
          <cell r="G430">
            <v>0</v>
          </cell>
          <cell r="H430">
            <v>0</v>
          </cell>
          <cell r="I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W430">
            <v>0</v>
          </cell>
          <cell r="AM430">
            <v>0</v>
          </cell>
          <cell r="AN430">
            <v>0</v>
          </cell>
          <cell r="EN430">
            <v>0</v>
          </cell>
          <cell r="EO430">
            <v>0</v>
          </cell>
          <cell r="JG430">
            <v>0</v>
          </cell>
          <cell r="JH430">
            <v>0</v>
          </cell>
        </row>
        <row r="431">
          <cell r="G431">
            <v>0</v>
          </cell>
          <cell r="H431">
            <v>0</v>
          </cell>
          <cell r="I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W431">
            <v>0</v>
          </cell>
          <cell r="AM431">
            <v>0</v>
          </cell>
          <cell r="AN431">
            <v>0</v>
          </cell>
          <cell r="EN431">
            <v>0</v>
          </cell>
          <cell r="EO431">
            <v>0</v>
          </cell>
          <cell r="JG431">
            <v>0</v>
          </cell>
          <cell r="JH431">
            <v>0</v>
          </cell>
        </row>
        <row r="458">
          <cell r="G458">
            <v>0</v>
          </cell>
          <cell r="H458">
            <v>0</v>
          </cell>
          <cell r="I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W458">
            <v>0</v>
          </cell>
          <cell r="AM458">
            <v>0</v>
          </cell>
          <cell r="AN458">
            <v>0</v>
          </cell>
          <cell r="EN458">
            <v>0</v>
          </cell>
          <cell r="EO458">
            <v>0</v>
          </cell>
          <cell r="JG458">
            <v>0</v>
          </cell>
          <cell r="JH458">
            <v>0</v>
          </cell>
        </row>
        <row r="475">
          <cell r="G475">
            <v>0</v>
          </cell>
          <cell r="H475">
            <v>0</v>
          </cell>
          <cell r="I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W475">
            <v>0</v>
          </cell>
          <cell r="AM475">
            <v>0</v>
          </cell>
          <cell r="AN475">
            <v>0</v>
          </cell>
          <cell r="EN475">
            <v>0</v>
          </cell>
          <cell r="EO475">
            <v>0</v>
          </cell>
          <cell r="JG475">
            <v>0</v>
          </cell>
          <cell r="JH475">
            <v>0</v>
          </cell>
        </row>
        <row r="476">
          <cell r="G476">
            <v>0</v>
          </cell>
          <cell r="H476">
            <v>0</v>
          </cell>
          <cell r="I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W476">
            <v>0</v>
          </cell>
          <cell r="AM476">
            <v>0</v>
          </cell>
          <cell r="AN476">
            <v>0</v>
          </cell>
          <cell r="EN476">
            <v>0</v>
          </cell>
          <cell r="EO476">
            <v>0</v>
          </cell>
          <cell r="JG476">
            <v>0</v>
          </cell>
          <cell r="JH476">
            <v>0</v>
          </cell>
        </row>
        <row r="491">
          <cell r="G491">
            <v>0</v>
          </cell>
          <cell r="H491">
            <v>0</v>
          </cell>
          <cell r="I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W491">
            <v>0</v>
          </cell>
          <cell r="AM491">
            <v>0</v>
          </cell>
          <cell r="AN491">
            <v>0</v>
          </cell>
          <cell r="EN491">
            <v>0</v>
          </cell>
          <cell r="EO491">
            <v>0</v>
          </cell>
          <cell r="JG491">
            <v>0</v>
          </cell>
          <cell r="JH491">
            <v>0</v>
          </cell>
        </row>
        <row r="501">
          <cell r="G501">
            <v>0</v>
          </cell>
          <cell r="H501">
            <v>0</v>
          </cell>
          <cell r="I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W501">
            <v>0</v>
          </cell>
          <cell r="AM501">
            <v>0</v>
          </cell>
          <cell r="AN501">
            <v>0</v>
          </cell>
          <cell r="EN501">
            <v>0</v>
          </cell>
          <cell r="EO501">
            <v>0</v>
          </cell>
          <cell r="JG501">
            <v>0</v>
          </cell>
          <cell r="JH501">
            <v>0</v>
          </cell>
        </row>
        <row r="502">
          <cell r="G502">
            <v>0</v>
          </cell>
          <cell r="H502">
            <v>0</v>
          </cell>
          <cell r="I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W502">
            <v>0</v>
          </cell>
          <cell r="AM502">
            <v>0</v>
          </cell>
          <cell r="AN502">
            <v>0</v>
          </cell>
          <cell r="EN502">
            <v>0</v>
          </cell>
          <cell r="EO502">
            <v>0</v>
          </cell>
          <cell r="JG502">
            <v>0</v>
          </cell>
          <cell r="JH502">
            <v>0</v>
          </cell>
        </row>
      </sheetData>
      <sheetData sheetId="2" refreshError="1">
        <row r="15">
          <cell r="G15">
            <v>0</v>
          </cell>
        </row>
        <row r="56">
          <cell r="G56">
            <v>0</v>
          </cell>
          <cell r="H56">
            <v>0</v>
          </cell>
          <cell r="I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W56">
            <v>0</v>
          </cell>
          <cell r="AM56">
            <v>0</v>
          </cell>
          <cell r="AN56">
            <v>0</v>
          </cell>
          <cell r="EN56">
            <v>0</v>
          </cell>
          <cell r="EO56">
            <v>0</v>
          </cell>
          <cell r="JG56">
            <v>0</v>
          </cell>
          <cell r="JH56">
            <v>0</v>
          </cell>
        </row>
        <row r="65">
          <cell r="G65">
            <v>0</v>
          </cell>
          <cell r="H65">
            <v>0</v>
          </cell>
          <cell r="I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W65">
            <v>0</v>
          </cell>
          <cell r="AM65">
            <v>0</v>
          </cell>
          <cell r="AN65">
            <v>0</v>
          </cell>
          <cell r="EN65">
            <v>0</v>
          </cell>
          <cell r="EO65">
            <v>0</v>
          </cell>
          <cell r="JG65">
            <v>0</v>
          </cell>
          <cell r="JH65">
            <v>0</v>
          </cell>
        </row>
        <row r="72">
          <cell r="G72">
            <v>0</v>
          </cell>
          <cell r="H72">
            <v>0</v>
          </cell>
          <cell r="I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W72">
            <v>0</v>
          </cell>
          <cell r="AM72">
            <v>0</v>
          </cell>
          <cell r="AN72">
            <v>0</v>
          </cell>
          <cell r="EN72">
            <v>0</v>
          </cell>
          <cell r="EO72">
            <v>0</v>
          </cell>
          <cell r="JG72">
            <v>0</v>
          </cell>
          <cell r="JH72">
            <v>0</v>
          </cell>
        </row>
        <row r="73">
          <cell r="G73">
            <v>0</v>
          </cell>
          <cell r="H73">
            <v>0</v>
          </cell>
          <cell r="I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W73">
            <v>0</v>
          </cell>
          <cell r="AM73">
            <v>0</v>
          </cell>
          <cell r="AN73">
            <v>0</v>
          </cell>
          <cell r="EN73">
            <v>0</v>
          </cell>
          <cell r="EO73">
            <v>0</v>
          </cell>
          <cell r="JG73">
            <v>0</v>
          </cell>
          <cell r="JH73">
            <v>0</v>
          </cell>
        </row>
        <row r="102">
          <cell r="G102">
            <v>0</v>
          </cell>
          <cell r="H102">
            <v>0</v>
          </cell>
          <cell r="I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W102">
            <v>0</v>
          </cell>
          <cell r="AM102">
            <v>0</v>
          </cell>
          <cell r="AN102">
            <v>0</v>
          </cell>
          <cell r="EN102">
            <v>0</v>
          </cell>
          <cell r="EO102">
            <v>0</v>
          </cell>
          <cell r="JG102">
            <v>0</v>
          </cell>
          <cell r="JH102">
            <v>0</v>
          </cell>
        </row>
        <row r="173">
          <cell r="G173">
            <v>0</v>
          </cell>
          <cell r="H173">
            <v>0</v>
          </cell>
          <cell r="I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W173">
            <v>0</v>
          </cell>
          <cell r="AM173">
            <v>0</v>
          </cell>
          <cell r="AN173">
            <v>0</v>
          </cell>
          <cell r="EN173">
            <v>0</v>
          </cell>
          <cell r="EO173">
            <v>0</v>
          </cell>
          <cell r="JG173">
            <v>0</v>
          </cell>
          <cell r="JH173">
            <v>0</v>
          </cell>
        </row>
        <row r="188">
          <cell r="G188">
            <v>0</v>
          </cell>
          <cell r="H188">
            <v>0</v>
          </cell>
          <cell r="I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W188">
            <v>0</v>
          </cell>
          <cell r="AM188">
            <v>0</v>
          </cell>
          <cell r="AN188">
            <v>0</v>
          </cell>
          <cell r="EN188">
            <v>0</v>
          </cell>
          <cell r="EO188">
            <v>0</v>
          </cell>
          <cell r="JG188">
            <v>0</v>
          </cell>
          <cell r="JH188">
            <v>0</v>
          </cell>
        </row>
        <row r="189">
          <cell r="G189">
            <v>0</v>
          </cell>
          <cell r="H189">
            <v>0</v>
          </cell>
          <cell r="I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W189">
            <v>0</v>
          </cell>
          <cell r="AM189">
            <v>0</v>
          </cell>
          <cell r="AN189">
            <v>0</v>
          </cell>
          <cell r="EN189">
            <v>0</v>
          </cell>
          <cell r="EO189">
            <v>0</v>
          </cell>
          <cell r="JG189">
            <v>0</v>
          </cell>
          <cell r="JH189">
            <v>0</v>
          </cell>
        </row>
        <row r="192">
          <cell r="G192">
            <v>0</v>
          </cell>
          <cell r="H192">
            <v>0</v>
          </cell>
          <cell r="I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W192">
            <v>0</v>
          </cell>
          <cell r="AM192">
            <v>0</v>
          </cell>
          <cell r="AN192">
            <v>0</v>
          </cell>
          <cell r="EN192">
            <v>0</v>
          </cell>
          <cell r="EO192">
            <v>0</v>
          </cell>
          <cell r="JG192">
            <v>0</v>
          </cell>
          <cell r="JH192">
            <v>0</v>
          </cell>
        </row>
        <row r="216">
          <cell r="G216">
            <v>0</v>
          </cell>
          <cell r="H216">
            <v>0</v>
          </cell>
          <cell r="I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W216">
            <v>0</v>
          </cell>
          <cell r="AM216">
            <v>0</v>
          </cell>
          <cell r="AN216">
            <v>0</v>
          </cell>
          <cell r="EN216">
            <v>0</v>
          </cell>
          <cell r="EO216">
            <v>0</v>
          </cell>
          <cell r="JG216">
            <v>0</v>
          </cell>
          <cell r="JH216">
            <v>0</v>
          </cell>
        </row>
        <row r="217">
          <cell r="G217">
            <v>0</v>
          </cell>
          <cell r="H217">
            <v>0</v>
          </cell>
          <cell r="I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W217">
            <v>0</v>
          </cell>
          <cell r="AM217">
            <v>0</v>
          </cell>
          <cell r="AN217">
            <v>0</v>
          </cell>
          <cell r="EN217">
            <v>0</v>
          </cell>
          <cell r="EO217">
            <v>0</v>
          </cell>
          <cell r="JG217">
            <v>0</v>
          </cell>
          <cell r="JH217">
            <v>0</v>
          </cell>
        </row>
        <row r="274">
          <cell r="G274">
            <v>0</v>
          </cell>
          <cell r="H274">
            <v>0</v>
          </cell>
          <cell r="I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W274">
            <v>0</v>
          </cell>
          <cell r="AM274">
            <v>0</v>
          </cell>
          <cell r="AN274">
            <v>0</v>
          </cell>
          <cell r="EN274">
            <v>0</v>
          </cell>
          <cell r="EO274">
            <v>0</v>
          </cell>
          <cell r="JG274">
            <v>0</v>
          </cell>
          <cell r="JH274">
            <v>0</v>
          </cell>
        </row>
        <row r="309">
          <cell r="G309">
            <v>0</v>
          </cell>
          <cell r="H309">
            <v>0</v>
          </cell>
          <cell r="I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W309">
            <v>0</v>
          </cell>
          <cell r="AM309">
            <v>0</v>
          </cell>
          <cell r="AN309">
            <v>0</v>
          </cell>
          <cell r="EN309">
            <v>0</v>
          </cell>
          <cell r="EO309">
            <v>0</v>
          </cell>
          <cell r="JG309">
            <v>0</v>
          </cell>
          <cell r="JH309">
            <v>0</v>
          </cell>
        </row>
        <row r="310">
          <cell r="G310">
            <v>0</v>
          </cell>
          <cell r="H310">
            <v>0</v>
          </cell>
          <cell r="I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W310">
            <v>0</v>
          </cell>
          <cell r="AM310">
            <v>0</v>
          </cell>
          <cell r="AN310">
            <v>0</v>
          </cell>
          <cell r="EN310">
            <v>0</v>
          </cell>
          <cell r="EO310">
            <v>0</v>
          </cell>
          <cell r="JG310">
            <v>0</v>
          </cell>
          <cell r="JH310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U5"/>
  <sheetViews>
    <sheetView rightToLeft="1" topLeftCell="XC1" zoomScaleNormal="100" workbookViewId="0">
      <selection activeCell="XP10" sqref="XP10"/>
    </sheetView>
  </sheetViews>
  <sheetFormatPr defaultRowHeight="21"/>
  <cols>
    <col min="1" max="1" width="16.33203125" style="121" bestFit="1" customWidth="1"/>
    <col min="2" max="2" width="12.5546875" style="121" bestFit="1" customWidth="1"/>
    <col min="3" max="3" width="9.33203125" style="121" bestFit="1" customWidth="1"/>
    <col min="4" max="4" width="17.5546875" style="121" bestFit="1" customWidth="1"/>
    <col min="5" max="5" width="6" style="121" bestFit="1" customWidth="1"/>
    <col min="6" max="6" width="10.5546875" style="121" bestFit="1" customWidth="1"/>
    <col min="7" max="7" width="5.6640625" style="121" bestFit="1" customWidth="1"/>
    <col min="8" max="8" width="11.88671875" style="121" bestFit="1" customWidth="1"/>
    <col min="9" max="9" width="5" style="121" bestFit="1" customWidth="1"/>
    <col min="10" max="10" width="5.44140625" style="121" bestFit="1" customWidth="1"/>
    <col min="11" max="11" width="10.109375" style="121" bestFit="1" customWidth="1"/>
    <col min="12" max="12" width="16.5546875" style="121" bestFit="1" customWidth="1"/>
    <col min="13" max="13" width="12" style="121" bestFit="1" customWidth="1"/>
    <col min="14" max="14" width="11.109375" style="121" bestFit="1" customWidth="1"/>
    <col min="15" max="15" width="7" style="121" bestFit="1" customWidth="1"/>
    <col min="16" max="16" width="10.21875" style="121" bestFit="1" customWidth="1"/>
    <col min="17" max="17" width="9.5546875" style="121" bestFit="1" customWidth="1"/>
    <col min="18" max="18" width="13.6640625" style="121" bestFit="1" customWidth="1"/>
    <col min="19" max="19" width="15.109375" style="121" bestFit="1" customWidth="1"/>
    <col min="20" max="20" width="24.5546875" style="121" bestFit="1" customWidth="1"/>
    <col min="21" max="21" width="20.88671875" style="121" bestFit="1" customWidth="1"/>
    <col min="22" max="22" width="35.88671875" style="121" bestFit="1" customWidth="1"/>
    <col min="23" max="23" width="6.88671875" style="121" bestFit="1" customWidth="1"/>
    <col min="24" max="24" width="4.109375" style="121" bestFit="1" customWidth="1"/>
    <col min="25" max="25" width="4.21875" style="121" bestFit="1" customWidth="1"/>
    <col min="26" max="26" width="7" style="121" bestFit="1" customWidth="1"/>
    <col min="27" max="27" width="4.109375" style="121" bestFit="1" customWidth="1"/>
    <col min="28" max="28" width="4.21875" style="121" bestFit="1" customWidth="1"/>
    <col min="29" max="29" width="6.88671875" style="121" bestFit="1" customWidth="1"/>
    <col min="30" max="30" width="4.109375" style="121" bestFit="1" customWidth="1"/>
    <col min="31" max="31" width="4.21875" style="121" bestFit="1" customWidth="1"/>
    <col min="32" max="32" width="6.88671875" style="121" bestFit="1" customWidth="1"/>
    <col min="33" max="33" width="4.109375" style="121" bestFit="1" customWidth="1"/>
    <col min="34" max="34" width="4.21875" style="121" bestFit="1" customWidth="1"/>
    <col min="35" max="35" width="6.88671875" style="121" bestFit="1" customWidth="1"/>
    <col min="36" max="36" width="4.109375" style="121" bestFit="1" customWidth="1"/>
    <col min="37" max="37" width="4.21875" style="121" bestFit="1" customWidth="1"/>
    <col min="38" max="38" width="7.5546875" style="121" bestFit="1" customWidth="1"/>
    <col min="39" max="39" width="4.109375" style="121" bestFit="1" customWidth="1"/>
    <col min="40" max="40" width="4.21875" style="121" bestFit="1" customWidth="1"/>
    <col min="41" max="41" width="11.44140625" style="121" bestFit="1" customWidth="1"/>
    <col min="42" max="42" width="4.109375" style="121" bestFit="1" customWidth="1"/>
    <col min="43" max="43" width="4.21875" style="121" bestFit="1" customWidth="1"/>
    <col min="44" max="44" width="6.109375" style="121" bestFit="1" customWidth="1"/>
    <col min="45" max="45" width="34.44140625" style="121" bestFit="1" customWidth="1"/>
    <col min="46" max="46" width="6.88671875" style="121" bestFit="1" customWidth="1"/>
    <col min="47" max="47" width="4.109375" style="121" bestFit="1" customWidth="1"/>
    <col min="48" max="48" width="4.21875" style="121" bestFit="1" customWidth="1"/>
    <col min="49" max="49" width="7" style="121" bestFit="1" customWidth="1"/>
    <col min="50" max="50" width="4.109375" style="121" bestFit="1" customWidth="1"/>
    <col min="51" max="51" width="4.21875" style="121" bestFit="1" customWidth="1"/>
    <col min="52" max="52" width="6.88671875" style="121" bestFit="1" customWidth="1"/>
    <col min="53" max="53" width="4.109375" style="121" bestFit="1" customWidth="1"/>
    <col min="54" max="54" width="4.21875" style="121" bestFit="1" customWidth="1"/>
    <col min="55" max="55" width="6.88671875" style="121" bestFit="1" customWidth="1"/>
    <col min="56" max="56" width="4.109375" style="121" bestFit="1" customWidth="1"/>
    <col min="57" max="57" width="4.21875" style="121" bestFit="1" customWidth="1"/>
    <col min="58" max="58" width="6.88671875" style="121" bestFit="1" customWidth="1"/>
    <col min="59" max="59" width="4.109375" style="121" bestFit="1" customWidth="1"/>
    <col min="60" max="60" width="4.21875" style="121" bestFit="1" customWidth="1"/>
    <col min="61" max="61" width="7.5546875" style="121" bestFit="1" customWidth="1"/>
    <col min="62" max="62" width="4.109375" style="121" bestFit="1" customWidth="1"/>
    <col min="63" max="63" width="4.21875" style="121" bestFit="1" customWidth="1"/>
    <col min="64" max="64" width="6.109375" style="121" bestFit="1" customWidth="1"/>
    <col min="65" max="65" width="4.109375" style="121" bestFit="1" customWidth="1"/>
    <col min="66" max="66" width="4.21875" style="121" bestFit="1" customWidth="1"/>
    <col min="67" max="67" width="6.109375" style="121" bestFit="1" customWidth="1"/>
    <col min="68" max="68" width="34.88671875" style="121" bestFit="1" customWidth="1"/>
    <col min="69" max="69" width="6.88671875" style="121" bestFit="1" customWidth="1"/>
    <col min="70" max="70" width="4.109375" style="121" bestFit="1" customWidth="1"/>
    <col min="71" max="71" width="4.21875" style="121" bestFit="1" customWidth="1"/>
    <col min="72" max="72" width="6.88671875" style="121" bestFit="1" customWidth="1"/>
    <col min="73" max="73" width="4.109375" style="121" bestFit="1" customWidth="1"/>
    <col min="74" max="74" width="4.21875" style="121" bestFit="1" customWidth="1"/>
    <col min="75" max="75" width="6.88671875" style="121" bestFit="1" customWidth="1"/>
    <col min="76" max="76" width="4.109375" style="121" bestFit="1" customWidth="1"/>
    <col min="77" max="77" width="4.21875" style="121" bestFit="1" customWidth="1"/>
    <col min="78" max="78" width="7.5546875" style="121" bestFit="1" customWidth="1"/>
    <col min="79" max="79" width="4.109375" style="121" bestFit="1" customWidth="1"/>
    <col min="80" max="80" width="4.21875" style="121" bestFit="1" customWidth="1"/>
    <col min="81" max="81" width="7.6640625" style="121" bestFit="1" customWidth="1"/>
    <col min="82" max="82" width="4.109375" style="121" bestFit="1" customWidth="1"/>
    <col min="83" max="83" width="4.21875" style="121" bestFit="1" customWidth="1"/>
    <col min="84" max="84" width="6.109375" style="121" bestFit="1" customWidth="1"/>
    <col min="85" max="85" width="4.109375" style="121" bestFit="1" customWidth="1"/>
    <col min="86" max="86" width="4.21875" style="121" bestFit="1" customWidth="1"/>
    <col min="87" max="87" width="6.109375" style="121" bestFit="1" customWidth="1"/>
    <col min="88" max="88" width="35.109375" style="121" bestFit="1" customWidth="1"/>
    <col min="89" max="89" width="6.88671875" style="121" bestFit="1" customWidth="1"/>
    <col min="90" max="90" width="4.109375" style="121" bestFit="1" customWidth="1"/>
    <col min="91" max="91" width="4.21875" style="121" bestFit="1" customWidth="1"/>
    <col min="92" max="92" width="6.88671875" style="121" bestFit="1" customWidth="1"/>
    <col min="93" max="93" width="4.109375" style="121" bestFit="1" customWidth="1"/>
    <col min="94" max="94" width="4.21875" style="121" bestFit="1" customWidth="1"/>
    <col min="95" max="95" width="7.5546875" style="121" bestFit="1" customWidth="1"/>
    <col min="96" max="96" width="4.109375" style="121" bestFit="1" customWidth="1"/>
    <col min="97" max="97" width="4.21875" style="121" bestFit="1" customWidth="1"/>
    <col min="98" max="98" width="7.6640625" style="121" bestFit="1" customWidth="1"/>
    <col min="99" max="99" width="4.109375" style="121" bestFit="1" customWidth="1"/>
    <col min="100" max="100" width="4.21875" style="121" bestFit="1" customWidth="1"/>
    <col min="101" max="101" width="7.6640625" style="121" bestFit="1" customWidth="1"/>
    <col min="102" max="102" width="4.109375" style="121" bestFit="1" customWidth="1"/>
    <col min="103" max="103" width="4.21875" style="121" bestFit="1" customWidth="1"/>
    <col min="104" max="104" width="6.109375" style="121" bestFit="1" customWidth="1"/>
    <col min="105" max="105" width="4.109375" style="121" bestFit="1" customWidth="1"/>
    <col min="106" max="106" width="4.21875" style="121" bestFit="1" customWidth="1"/>
    <col min="107" max="107" width="6.109375" style="121" bestFit="1" customWidth="1"/>
    <col min="108" max="108" width="34.6640625" style="121" bestFit="1" customWidth="1"/>
    <col min="109" max="109" width="6.88671875" style="121" bestFit="1" customWidth="1"/>
    <col min="110" max="110" width="4.109375" style="121" bestFit="1" customWidth="1"/>
    <col min="111" max="111" width="4.21875" style="121" bestFit="1" customWidth="1"/>
    <col min="112" max="112" width="7.5546875" style="121" bestFit="1" customWidth="1"/>
    <col min="113" max="113" width="4.109375" style="121" bestFit="1" customWidth="1"/>
    <col min="114" max="114" width="4.21875" style="121" bestFit="1" customWidth="1"/>
    <col min="115" max="115" width="7.6640625" style="121" bestFit="1" customWidth="1"/>
    <col min="116" max="116" width="4.109375" style="121" bestFit="1" customWidth="1"/>
    <col min="117" max="117" width="4.21875" style="121" bestFit="1" customWidth="1"/>
    <col min="118" max="118" width="7.6640625" style="121" bestFit="1" customWidth="1"/>
    <col min="119" max="119" width="4.109375" style="121" bestFit="1" customWidth="1"/>
    <col min="120" max="120" width="4.21875" style="121" bestFit="1" customWidth="1"/>
    <col min="121" max="121" width="7.77734375" style="121" bestFit="1" customWidth="1"/>
    <col min="122" max="122" width="4.109375" style="121" bestFit="1" customWidth="1"/>
    <col min="123" max="123" width="4.21875" style="121" bestFit="1" customWidth="1"/>
    <col min="124" max="124" width="6.109375" style="121" bestFit="1" customWidth="1"/>
    <col min="125" max="125" width="4.109375" style="121" bestFit="1" customWidth="1"/>
    <col min="126" max="126" width="4.21875" style="121" bestFit="1" customWidth="1"/>
    <col min="127" max="127" width="6.109375" style="121" bestFit="1" customWidth="1"/>
    <col min="128" max="128" width="36.33203125" style="121" bestFit="1" customWidth="1"/>
    <col min="129" max="129" width="7.5546875" style="121" bestFit="1" customWidth="1"/>
    <col min="130" max="130" width="4.109375" style="121" bestFit="1" customWidth="1"/>
    <col min="131" max="131" width="4.21875" style="121" bestFit="1" customWidth="1"/>
    <col min="132" max="132" width="7.6640625" style="121" bestFit="1" customWidth="1"/>
    <col min="133" max="133" width="4.109375" style="121" bestFit="1" customWidth="1"/>
    <col min="134" max="134" width="4.21875" style="121" bestFit="1" customWidth="1"/>
    <col min="135" max="135" width="7.6640625" style="121" bestFit="1" customWidth="1"/>
    <col min="136" max="136" width="4.109375" style="121" bestFit="1" customWidth="1"/>
    <col min="137" max="137" width="4.21875" style="121" bestFit="1" customWidth="1"/>
    <col min="138" max="138" width="7.77734375" style="121" bestFit="1" customWidth="1"/>
    <col min="139" max="139" width="4.109375" style="121" bestFit="1" customWidth="1"/>
    <col min="140" max="140" width="4.21875" style="121" bestFit="1" customWidth="1"/>
    <col min="141" max="141" width="7.6640625" style="121" bestFit="1" customWidth="1"/>
    <col min="142" max="142" width="4.109375" style="121" bestFit="1" customWidth="1"/>
    <col min="143" max="143" width="4.21875" style="121" bestFit="1" customWidth="1"/>
    <col min="144" max="144" width="6.109375" style="121" bestFit="1" customWidth="1"/>
    <col min="145" max="145" width="4.109375" style="121" bestFit="1" customWidth="1"/>
    <col min="146" max="146" width="4.21875" style="121" bestFit="1" customWidth="1"/>
    <col min="147" max="147" width="6.109375" style="121" bestFit="1" customWidth="1"/>
    <col min="148" max="148" width="36.33203125" style="121" bestFit="1" customWidth="1"/>
    <col min="149" max="149" width="7.6640625" style="121" bestFit="1" customWidth="1"/>
    <col min="150" max="150" width="4.109375" style="121" bestFit="1" customWidth="1"/>
    <col min="151" max="151" width="4.21875" style="121" bestFit="1" customWidth="1"/>
    <col min="152" max="152" width="7.6640625" style="121" bestFit="1" customWidth="1"/>
    <col min="153" max="153" width="4.109375" style="121" bestFit="1" customWidth="1"/>
    <col min="154" max="154" width="4.21875" style="121" bestFit="1" customWidth="1"/>
    <col min="155" max="155" width="7.77734375" style="121" bestFit="1" customWidth="1"/>
    <col min="156" max="156" width="4.109375" style="121" bestFit="1" customWidth="1"/>
    <col min="157" max="157" width="4.21875" style="121" bestFit="1" customWidth="1"/>
    <col min="158" max="158" width="7.6640625" style="121" bestFit="1" customWidth="1"/>
    <col min="159" max="159" width="4.109375" style="121" bestFit="1" customWidth="1"/>
    <col min="160" max="160" width="4.21875" style="121" bestFit="1" customWidth="1"/>
    <col min="161" max="161" width="7.77734375" style="121" bestFit="1" customWidth="1"/>
    <col min="162" max="162" width="4.109375" style="121" bestFit="1" customWidth="1"/>
    <col min="163" max="163" width="4.21875" style="121" bestFit="1" customWidth="1"/>
    <col min="164" max="164" width="6.109375" style="121" bestFit="1" customWidth="1"/>
    <col min="165" max="165" width="4.109375" style="121" bestFit="1" customWidth="1"/>
    <col min="166" max="166" width="4.21875" style="121" bestFit="1" customWidth="1"/>
    <col min="167" max="167" width="6.109375" style="121" bestFit="1" customWidth="1"/>
    <col min="168" max="168" width="24.33203125" style="121" bestFit="1" customWidth="1"/>
    <col min="169" max="169" width="9.21875" style="121" bestFit="1" customWidth="1"/>
    <col min="170" max="170" width="4.109375" style="121" bestFit="1" customWidth="1"/>
    <col min="171" max="171" width="4.21875" style="121" bestFit="1" customWidth="1"/>
    <col min="172" max="172" width="6.109375" style="121" bestFit="1" customWidth="1"/>
    <col min="173" max="173" width="9.6640625" style="121" bestFit="1" customWidth="1"/>
    <col min="174" max="174" width="4.109375" style="121" bestFit="1" customWidth="1"/>
    <col min="175" max="175" width="4.21875" style="121" bestFit="1" customWidth="1"/>
    <col min="176" max="176" width="6.109375" style="121" bestFit="1" customWidth="1"/>
    <col min="177" max="177" width="9.88671875" style="121" bestFit="1" customWidth="1"/>
    <col min="178" max="178" width="4.109375" style="121" bestFit="1" customWidth="1"/>
    <col min="179" max="179" width="4.21875" style="121" bestFit="1" customWidth="1"/>
    <col min="180" max="180" width="6.109375" style="121" bestFit="1" customWidth="1"/>
    <col min="181" max="181" width="9.44140625" style="121" bestFit="1" customWidth="1"/>
    <col min="182" max="182" width="4.109375" style="121" bestFit="1" customWidth="1"/>
    <col min="183" max="183" width="4.21875" style="121" bestFit="1" customWidth="1"/>
    <col min="184" max="184" width="6.109375" style="121" bestFit="1" customWidth="1"/>
    <col min="185" max="185" width="11.109375" style="121" bestFit="1" customWidth="1"/>
    <col min="186" max="186" width="4.109375" style="121" bestFit="1" customWidth="1"/>
    <col min="187" max="187" width="4.21875" style="121" bestFit="1" customWidth="1"/>
    <col min="188" max="188" width="6.109375" style="121" bestFit="1" customWidth="1"/>
    <col min="189" max="189" width="11.109375" style="121" bestFit="1" customWidth="1"/>
    <col min="190" max="190" width="4.109375" style="121" bestFit="1" customWidth="1"/>
    <col min="191" max="191" width="4.21875" style="121" bestFit="1" customWidth="1"/>
    <col min="192" max="193" width="6.109375" style="121" bestFit="1" customWidth="1"/>
    <col min="194" max="194" width="4.109375" style="121" bestFit="1" customWidth="1"/>
    <col min="195" max="195" width="4.21875" style="121" bestFit="1" customWidth="1"/>
    <col min="196" max="197" width="6.109375" style="121" bestFit="1" customWidth="1"/>
    <col min="198" max="198" width="17.5546875" style="121" bestFit="1" customWidth="1"/>
    <col min="199" max="199" width="4.6640625" style="121" bestFit="1" customWidth="1"/>
    <col min="200" max="200" width="4.109375" style="121" bestFit="1" customWidth="1"/>
    <col min="201" max="201" width="4.21875" style="121" bestFit="1" customWidth="1"/>
    <col min="202" max="202" width="5.109375" style="121" bestFit="1" customWidth="1"/>
    <col min="203" max="203" width="4.109375" style="121" bestFit="1" customWidth="1"/>
    <col min="204" max="204" width="4.21875" style="121" bestFit="1" customWidth="1"/>
    <col min="205" max="205" width="5.33203125" style="121" bestFit="1" customWidth="1"/>
    <col min="206" max="206" width="4.109375" style="121" bestFit="1" customWidth="1"/>
    <col min="207" max="207" width="4.21875" style="121" bestFit="1" customWidth="1"/>
    <col min="208" max="208" width="4.88671875" style="121" bestFit="1" customWidth="1"/>
    <col min="209" max="209" width="4.109375" style="121" bestFit="1" customWidth="1"/>
    <col min="210" max="210" width="4.21875" style="121" bestFit="1" customWidth="1"/>
    <col min="211" max="211" width="6.5546875" style="121" bestFit="1" customWidth="1"/>
    <col min="212" max="212" width="4.109375" style="121" bestFit="1" customWidth="1"/>
    <col min="213" max="213" width="4.21875" style="121" bestFit="1" customWidth="1"/>
    <col min="214" max="214" width="6.5546875" style="121" bestFit="1" customWidth="1"/>
    <col min="215" max="215" width="4.109375" style="121" bestFit="1" customWidth="1"/>
    <col min="216" max="216" width="4.21875" style="121" bestFit="1" customWidth="1"/>
    <col min="217" max="217" width="6.109375" style="121" bestFit="1" customWidth="1"/>
    <col min="218" max="218" width="4.109375" style="121" bestFit="1" customWidth="1"/>
    <col min="219" max="219" width="4.21875" style="121" bestFit="1" customWidth="1"/>
    <col min="220" max="220" width="6.109375" style="121" bestFit="1" customWidth="1"/>
    <col min="221" max="221" width="17.44140625" style="121" bestFit="1" customWidth="1"/>
    <col min="222" max="222" width="4.6640625" style="121" bestFit="1" customWidth="1"/>
    <col min="223" max="223" width="4.109375" style="121" bestFit="1" customWidth="1"/>
    <col min="224" max="224" width="4.21875" style="121" bestFit="1" customWidth="1"/>
    <col min="225" max="225" width="5.109375" style="121" bestFit="1" customWidth="1"/>
    <col min="226" max="226" width="4.109375" style="121" bestFit="1" customWidth="1"/>
    <col min="227" max="227" width="4.21875" style="121" bestFit="1" customWidth="1"/>
    <col min="228" max="228" width="5.33203125" style="121" bestFit="1" customWidth="1"/>
    <col min="229" max="229" width="4.109375" style="121" bestFit="1" customWidth="1"/>
    <col min="230" max="230" width="4.21875" style="121" bestFit="1" customWidth="1"/>
    <col min="231" max="231" width="4.88671875" style="121" bestFit="1" customWidth="1"/>
    <col min="232" max="232" width="4.109375" style="121" bestFit="1" customWidth="1"/>
    <col min="233" max="233" width="4.21875" style="121" bestFit="1" customWidth="1"/>
    <col min="234" max="234" width="6.5546875" style="121" bestFit="1" customWidth="1"/>
    <col min="235" max="235" width="4.109375" style="121" bestFit="1" customWidth="1"/>
    <col min="236" max="236" width="4.21875" style="121" bestFit="1" customWidth="1"/>
    <col min="237" max="237" width="6.5546875" style="121" bestFit="1" customWidth="1"/>
    <col min="238" max="238" width="4.109375" style="121" bestFit="1" customWidth="1"/>
    <col min="239" max="239" width="4.21875" style="121" bestFit="1" customWidth="1"/>
    <col min="240" max="240" width="6.109375" style="121" bestFit="1" customWidth="1"/>
    <col min="241" max="241" width="4.109375" style="121" bestFit="1" customWidth="1"/>
    <col min="242" max="242" width="4.21875" style="121" bestFit="1" customWidth="1"/>
    <col min="243" max="243" width="6.109375" style="121" bestFit="1" customWidth="1"/>
    <col min="244" max="244" width="30.109375" style="121" bestFit="1" customWidth="1"/>
    <col min="245" max="245" width="4.6640625" style="121" bestFit="1" customWidth="1"/>
    <col min="246" max="246" width="4.109375" style="121" bestFit="1" customWidth="1"/>
    <col min="247" max="247" width="4.21875" style="121" bestFit="1" customWidth="1"/>
    <col min="248" max="248" width="5.109375" style="121" bestFit="1" customWidth="1"/>
    <col min="249" max="249" width="4.109375" style="121" bestFit="1" customWidth="1"/>
    <col min="250" max="250" width="4.21875" style="121" bestFit="1" customWidth="1"/>
    <col min="251" max="251" width="5.33203125" style="121" bestFit="1" customWidth="1"/>
    <col min="252" max="252" width="4.109375" style="121" bestFit="1" customWidth="1"/>
    <col min="253" max="253" width="4.21875" style="121" bestFit="1" customWidth="1"/>
    <col min="254" max="254" width="4.88671875" style="121" bestFit="1" customWidth="1"/>
    <col min="255" max="255" width="4.109375" style="121" bestFit="1" customWidth="1"/>
    <col min="256" max="256" width="4.21875" style="121" bestFit="1" customWidth="1"/>
    <col min="257" max="257" width="6.5546875" style="121" bestFit="1" customWidth="1"/>
    <col min="258" max="258" width="4.109375" style="121" bestFit="1" customWidth="1"/>
    <col min="259" max="259" width="4.21875" style="121" bestFit="1" customWidth="1"/>
    <col min="260" max="260" width="6.5546875" style="121" bestFit="1" customWidth="1"/>
    <col min="261" max="261" width="4.109375" style="121" bestFit="1" customWidth="1"/>
    <col min="262" max="262" width="4.21875" style="121" bestFit="1" customWidth="1"/>
    <col min="263" max="263" width="6.109375" style="121" bestFit="1" customWidth="1"/>
    <col min="264" max="264" width="4.109375" style="121" bestFit="1" customWidth="1"/>
    <col min="265" max="265" width="4.21875" style="121" bestFit="1" customWidth="1"/>
    <col min="266" max="266" width="6.109375" style="121" bestFit="1" customWidth="1"/>
    <col min="267" max="267" width="30.33203125" style="121" bestFit="1" customWidth="1"/>
    <col min="268" max="268" width="4.6640625" style="121" bestFit="1" customWidth="1"/>
    <col min="269" max="269" width="4.109375" style="121" bestFit="1" customWidth="1"/>
    <col min="270" max="270" width="4.21875" style="121" bestFit="1" customWidth="1"/>
    <col min="271" max="271" width="5.109375" style="121" bestFit="1" customWidth="1"/>
    <col min="272" max="272" width="4.109375" style="121" bestFit="1" customWidth="1"/>
    <col min="273" max="273" width="4.21875" style="121" bestFit="1" customWidth="1"/>
    <col min="274" max="274" width="5.33203125" style="121" bestFit="1" customWidth="1"/>
    <col min="275" max="275" width="4.109375" style="121" bestFit="1" customWidth="1"/>
    <col min="276" max="276" width="4.21875" style="121" bestFit="1" customWidth="1"/>
    <col min="277" max="277" width="4.88671875" style="121" bestFit="1" customWidth="1"/>
    <col min="278" max="278" width="4.109375" style="121" bestFit="1" customWidth="1"/>
    <col min="279" max="279" width="4.21875" style="121" bestFit="1" customWidth="1"/>
    <col min="280" max="280" width="6.5546875" style="121" bestFit="1" customWidth="1"/>
    <col min="281" max="281" width="4.109375" style="121" bestFit="1" customWidth="1"/>
    <col min="282" max="282" width="4.21875" style="121" bestFit="1" customWidth="1"/>
    <col min="283" max="283" width="6.5546875" style="121" bestFit="1" customWidth="1"/>
    <col min="284" max="284" width="4.109375" style="121" bestFit="1" customWidth="1"/>
    <col min="285" max="285" width="4.21875" style="121" bestFit="1" customWidth="1"/>
    <col min="286" max="286" width="6.109375" style="121" bestFit="1" customWidth="1"/>
    <col min="287" max="287" width="4.109375" style="121" bestFit="1" customWidth="1"/>
    <col min="288" max="288" width="4.21875" style="121" bestFit="1" customWidth="1"/>
    <col min="289" max="289" width="6.109375" style="121" bestFit="1" customWidth="1"/>
    <col min="290" max="290" width="23" style="121" bestFit="1" customWidth="1"/>
    <col min="291" max="291" width="4.6640625" style="121" bestFit="1" customWidth="1"/>
    <col min="292" max="292" width="4.109375" style="121" bestFit="1" customWidth="1"/>
    <col min="293" max="293" width="4.21875" style="121" bestFit="1" customWidth="1"/>
    <col min="294" max="294" width="5.109375" style="121" bestFit="1" customWidth="1"/>
    <col min="295" max="295" width="4.109375" style="121" bestFit="1" customWidth="1"/>
    <col min="296" max="296" width="4.21875" style="121" bestFit="1" customWidth="1"/>
    <col min="297" max="297" width="5.33203125" style="121" bestFit="1" customWidth="1"/>
    <col min="298" max="298" width="4.109375" style="121" bestFit="1" customWidth="1"/>
    <col min="299" max="299" width="4.21875" style="121" bestFit="1" customWidth="1"/>
    <col min="300" max="300" width="4.88671875" style="121" bestFit="1" customWidth="1"/>
    <col min="301" max="301" width="4.109375" style="121" bestFit="1" customWidth="1"/>
    <col min="302" max="302" width="4.21875" style="121" bestFit="1" customWidth="1"/>
    <col min="303" max="303" width="6.5546875" style="121" bestFit="1" customWidth="1"/>
    <col min="304" max="304" width="4.109375" style="121" bestFit="1" customWidth="1"/>
    <col min="305" max="305" width="4.21875" style="121" bestFit="1" customWidth="1"/>
    <col min="306" max="306" width="6.5546875" style="121" bestFit="1" customWidth="1"/>
    <col min="307" max="307" width="4.109375" style="121" bestFit="1" customWidth="1"/>
    <col min="308" max="308" width="4.21875" style="121" bestFit="1" customWidth="1"/>
    <col min="309" max="309" width="6.109375" style="121" bestFit="1" customWidth="1"/>
    <col min="310" max="310" width="4.109375" style="121" bestFit="1" customWidth="1"/>
    <col min="311" max="311" width="4.21875" style="121" bestFit="1" customWidth="1"/>
    <col min="312" max="312" width="6.109375" style="121" bestFit="1" customWidth="1"/>
    <col min="313" max="313" width="29" style="121" bestFit="1" customWidth="1"/>
    <col min="314" max="314" width="4.6640625" style="121" bestFit="1" customWidth="1"/>
    <col min="315" max="315" width="4.109375" style="121" bestFit="1" customWidth="1"/>
    <col min="316" max="316" width="4.21875" style="121" bestFit="1" customWidth="1"/>
    <col min="317" max="317" width="5.109375" style="121" bestFit="1" customWidth="1"/>
    <col min="318" max="318" width="4.109375" style="121" bestFit="1" customWidth="1"/>
    <col min="319" max="319" width="4.21875" style="121" bestFit="1" customWidth="1"/>
    <col min="320" max="320" width="5.33203125" style="121" bestFit="1" customWidth="1"/>
    <col min="321" max="321" width="4.109375" style="121" bestFit="1" customWidth="1"/>
    <col min="322" max="322" width="4.21875" style="121" bestFit="1" customWidth="1"/>
    <col min="323" max="323" width="4.88671875" style="121" bestFit="1" customWidth="1"/>
    <col min="324" max="324" width="4.109375" style="121" bestFit="1" customWidth="1"/>
    <col min="325" max="325" width="4.21875" style="121" bestFit="1" customWidth="1"/>
    <col min="326" max="326" width="6.5546875" style="121" bestFit="1" customWidth="1"/>
    <col min="327" max="327" width="4.109375" style="121" bestFit="1" customWidth="1"/>
    <col min="328" max="328" width="4.21875" style="121" bestFit="1" customWidth="1"/>
    <col min="329" max="329" width="6.5546875" style="121" bestFit="1" customWidth="1"/>
    <col min="330" max="330" width="4.109375" style="121" bestFit="1" customWidth="1"/>
    <col min="331" max="331" width="4.21875" style="121" bestFit="1" customWidth="1"/>
    <col min="332" max="332" width="6.109375" style="121" bestFit="1" customWidth="1"/>
    <col min="333" max="333" width="4.109375" style="121" bestFit="1" customWidth="1"/>
    <col min="334" max="334" width="4.21875" style="121" bestFit="1" customWidth="1"/>
    <col min="335" max="335" width="6.109375" style="121" bestFit="1" customWidth="1"/>
    <col min="336" max="336" width="33.44140625" style="121" bestFit="1" customWidth="1"/>
    <col min="337" max="337" width="4.6640625" style="121" bestFit="1" customWidth="1"/>
    <col min="338" max="338" width="5.44140625" style="121" bestFit="1" customWidth="1"/>
    <col min="339" max="339" width="4" style="121" bestFit="1" customWidth="1"/>
    <col min="340" max="340" width="5.21875" style="121" bestFit="1" customWidth="1"/>
    <col min="341" max="341" width="5.44140625" style="121" bestFit="1" customWidth="1"/>
    <col min="342" max="342" width="4" style="121" bestFit="1" customWidth="1"/>
    <col min="343" max="343" width="5.5546875" style="121" bestFit="1" customWidth="1"/>
    <col min="344" max="344" width="5.44140625" style="121" bestFit="1" customWidth="1"/>
    <col min="345" max="345" width="4" style="121" bestFit="1" customWidth="1"/>
    <col min="346" max="346" width="5.109375" style="121" bestFit="1" customWidth="1"/>
    <col min="347" max="347" width="5.44140625" style="121" bestFit="1" customWidth="1"/>
    <col min="348" max="348" width="4" style="121" bestFit="1" customWidth="1"/>
    <col min="349" max="349" width="6.109375" style="121" bestFit="1" customWidth="1"/>
    <col min="350" max="350" width="5.44140625" style="121" bestFit="1" customWidth="1"/>
    <col min="351" max="351" width="4" style="121" bestFit="1" customWidth="1"/>
    <col min="352" max="352" width="6.109375" style="121" bestFit="1" customWidth="1"/>
    <col min="353" max="353" width="38.33203125" style="121" bestFit="1" customWidth="1"/>
    <col min="354" max="354" width="9.6640625" style="121" bestFit="1" customWidth="1"/>
    <col min="355" max="355" width="5.44140625" style="121" bestFit="1" customWidth="1"/>
    <col min="356" max="356" width="4" style="121" bestFit="1" customWidth="1"/>
    <col min="357" max="357" width="6.44140625" style="121" bestFit="1" customWidth="1"/>
    <col min="358" max="358" width="5.44140625" style="121" bestFit="1" customWidth="1"/>
    <col min="359" max="359" width="4" style="121" bestFit="1" customWidth="1"/>
    <col min="360" max="360" width="5.77734375" style="121" bestFit="1" customWidth="1"/>
    <col min="361" max="361" width="5.44140625" style="121" bestFit="1" customWidth="1"/>
    <col min="362" max="362" width="4" style="121" bestFit="1" customWidth="1"/>
    <col min="363" max="363" width="10.44140625" style="121" bestFit="1" customWidth="1"/>
    <col min="364" max="364" width="5.44140625" style="121" bestFit="1" customWidth="1"/>
    <col min="365" max="365" width="4" style="121" bestFit="1" customWidth="1"/>
    <col min="366" max="366" width="9.6640625" style="121" bestFit="1" customWidth="1"/>
    <col min="367" max="367" width="5.44140625" style="121" bestFit="1" customWidth="1"/>
    <col min="368" max="368" width="4" style="121" bestFit="1" customWidth="1"/>
    <col min="369" max="369" width="11.109375" style="121" bestFit="1" customWidth="1"/>
    <col min="370" max="370" width="5.44140625" style="121" bestFit="1" customWidth="1"/>
    <col min="371" max="371" width="4" style="121" bestFit="1" customWidth="1"/>
    <col min="372" max="372" width="5.33203125" style="121" bestFit="1" customWidth="1"/>
    <col min="373" max="373" width="5.44140625" style="121" bestFit="1" customWidth="1"/>
    <col min="374" max="374" width="4" style="121" bestFit="1" customWidth="1"/>
    <col min="375" max="375" width="4.44140625" style="121" bestFit="1" customWidth="1"/>
    <col min="376" max="376" width="5.44140625" style="121" bestFit="1" customWidth="1"/>
    <col min="377" max="377" width="4" style="121" bestFit="1" customWidth="1"/>
    <col min="378" max="378" width="4.33203125" style="121" bestFit="1" customWidth="1"/>
    <col min="379" max="379" width="5.44140625" style="121" bestFit="1" customWidth="1"/>
    <col min="380" max="380" width="4" style="121" bestFit="1" customWidth="1"/>
    <col min="381" max="381" width="6.109375" style="121" bestFit="1" customWidth="1"/>
    <col min="382" max="382" width="5.44140625" style="121" bestFit="1" customWidth="1"/>
    <col min="383" max="383" width="4" style="121" bestFit="1" customWidth="1"/>
    <col min="384" max="384" width="6.109375" style="121" bestFit="1" customWidth="1"/>
    <col min="385" max="385" width="32.33203125" style="121" bestFit="1" customWidth="1"/>
    <col min="386" max="386" width="5.88671875" style="121" bestFit="1" customWidth="1"/>
    <col min="387" max="387" width="5.44140625" style="121" bestFit="1" customWidth="1"/>
    <col min="388" max="388" width="4" style="121" bestFit="1" customWidth="1"/>
    <col min="389" max="389" width="5.21875" style="121" bestFit="1" customWidth="1"/>
    <col min="390" max="390" width="5.44140625" style="121" bestFit="1" customWidth="1"/>
    <col min="391" max="391" width="4" style="121" bestFit="1" customWidth="1"/>
    <col min="392" max="392" width="5.5546875" style="121" bestFit="1" customWidth="1"/>
    <col min="393" max="393" width="5.44140625" style="121" bestFit="1" customWidth="1"/>
    <col min="394" max="394" width="4" style="121" bestFit="1" customWidth="1"/>
    <col min="395" max="395" width="6.109375" style="121" bestFit="1" customWidth="1"/>
    <col min="396" max="396" width="5.44140625" style="121" bestFit="1" customWidth="1"/>
    <col min="397" max="397" width="4" style="121" bestFit="1" customWidth="1"/>
    <col min="398" max="398" width="6.109375" style="121" bestFit="1" customWidth="1"/>
    <col min="399" max="399" width="37.77734375" style="121" bestFit="1" customWidth="1"/>
    <col min="400" max="400" width="12.109375" style="121" bestFit="1" customWidth="1"/>
    <col min="401" max="401" width="5.44140625" style="121" bestFit="1" customWidth="1"/>
    <col min="402" max="402" width="4" style="121" bestFit="1" customWidth="1"/>
    <col min="403" max="403" width="15.33203125" style="121" bestFit="1" customWidth="1"/>
    <col min="404" max="404" width="5.44140625" style="121" bestFit="1" customWidth="1"/>
    <col min="405" max="405" width="4" style="121" bestFit="1" customWidth="1"/>
    <col min="406" max="406" width="10.109375" style="121" bestFit="1" customWidth="1"/>
    <col min="407" max="407" width="5.44140625" style="121" bestFit="1" customWidth="1"/>
    <col min="408" max="408" width="4" style="121" bestFit="1" customWidth="1"/>
    <col min="409" max="409" width="11" style="121" bestFit="1" customWidth="1"/>
    <col min="410" max="410" width="5.44140625" style="121" bestFit="1" customWidth="1"/>
    <col min="411" max="411" width="4" style="121" bestFit="1" customWidth="1"/>
    <col min="412" max="412" width="12.44140625" style="121" bestFit="1" customWidth="1"/>
    <col min="413" max="413" width="5.44140625" style="121" bestFit="1" customWidth="1"/>
    <col min="414" max="414" width="4" style="121" bestFit="1" customWidth="1"/>
    <col min="415" max="415" width="15" style="121" bestFit="1" customWidth="1"/>
    <col min="416" max="416" width="5.44140625" style="121" bestFit="1" customWidth="1"/>
    <col min="417" max="417" width="4" style="121" bestFit="1" customWidth="1"/>
    <col min="418" max="418" width="9.109375" style="121" bestFit="1" customWidth="1"/>
    <col min="419" max="419" width="5.44140625" style="121" bestFit="1" customWidth="1"/>
    <col min="420" max="420" width="4" style="121" bestFit="1" customWidth="1"/>
    <col min="421" max="421" width="16.5546875" style="121" bestFit="1" customWidth="1"/>
    <col min="422" max="422" width="5.44140625" style="121" bestFit="1" customWidth="1"/>
    <col min="423" max="423" width="4" style="121" bestFit="1" customWidth="1"/>
    <col min="424" max="424" width="14.44140625" style="121" bestFit="1" customWidth="1"/>
    <col min="425" max="425" width="5.44140625" style="121" bestFit="1" customWidth="1"/>
    <col min="426" max="426" width="4" style="121" bestFit="1" customWidth="1"/>
    <col min="427" max="427" width="6.109375" style="121" bestFit="1" customWidth="1"/>
    <col min="428" max="428" width="5.44140625" style="121" bestFit="1" customWidth="1"/>
    <col min="429" max="429" width="4" style="121" bestFit="1" customWidth="1"/>
    <col min="430" max="430" width="6.109375" style="121" bestFit="1" customWidth="1"/>
    <col min="431" max="431" width="39.33203125" style="121" bestFit="1" customWidth="1"/>
    <col min="432" max="432" width="4.88671875" style="121" bestFit="1" customWidth="1"/>
    <col min="433" max="433" width="5.44140625" style="121" bestFit="1" customWidth="1"/>
    <col min="434" max="434" width="4" style="121" bestFit="1" customWidth="1"/>
    <col min="435" max="435" width="5.109375" style="121" bestFit="1" customWidth="1"/>
    <col min="436" max="436" width="5.44140625" style="121" bestFit="1" customWidth="1"/>
    <col min="437" max="437" width="4" style="121" bestFit="1" customWidth="1"/>
    <col min="438" max="438" width="4.44140625" style="121" bestFit="1" customWidth="1"/>
    <col min="439" max="439" width="5.44140625" style="121" bestFit="1" customWidth="1"/>
    <col min="440" max="440" width="4" style="121" bestFit="1" customWidth="1"/>
    <col min="441" max="441" width="5.109375" style="121" bestFit="1" customWidth="1"/>
    <col min="442" max="442" width="5.44140625" style="121" bestFit="1" customWidth="1"/>
    <col min="443" max="443" width="4" style="121" bestFit="1" customWidth="1"/>
    <col min="444" max="444" width="6.109375" style="121" bestFit="1" customWidth="1"/>
    <col min="445" max="445" width="5.44140625" style="121" bestFit="1" customWidth="1"/>
    <col min="446" max="446" width="4" style="121" bestFit="1" customWidth="1"/>
    <col min="447" max="447" width="6.109375" style="121" bestFit="1" customWidth="1"/>
    <col min="448" max="448" width="36.77734375" style="121" bestFit="1" customWidth="1"/>
    <col min="449" max="449" width="11.33203125" style="121" bestFit="1" customWidth="1"/>
    <col min="450" max="450" width="5.44140625" style="121" bestFit="1" customWidth="1"/>
    <col min="451" max="451" width="4" style="121" bestFit="1" customWidth="1"/>
    <col min="452" max="452" width="9.109375" style="121" bestFit="1" customWidth="1"/>
    <col min="453" max="453" width="5.44140625" style="121" bestFit="1" customWidth="1"/>
    <col min="454" max="454" width="4" style="121" bestFit="1" customWidth="1"/>
    <col min="455" max="455" width="10" style="121" bestFit="1" customWidth="1"/>
    <col min="456" max="456" width="5.44140625" style="121" bestFit="1" customWidth="1"/>
    <col min="457" max="457" width="4" style="121" bestFit="1" customWidth="1"/>
    <col min="458" max="458" width="8" style="121" bestFit="1" customWidth="1"/>
    <col min="459" max="459" width="5.44140625" style="121" bestFit="1" customWidth="1"/>
    <col min="460" max="460" width="4" style="121" bestFit="1" customWidth="1"/>
    <col min="461" max="461" width="6.109375" style="121" bestFit="1" customWidth="1"/>
    <col min="462" max="462" width="5.44140625" style="121" bestFit="1" customWidth="1"/>
    <col min="463" max="463" width="4" style="121" bestFit="1" customWidth="1"/>
    <col min="464" max="464" width="6.109375" style="121" bestFit="1" customWidth="1"/>
    <col min="465" max="465" width="30.33203125" style="121" bestFit="1" customWidth="1"/>
    <col min="466" max="466" width="8.109375" style="121" bestFit="1" customWidth="1"/>
    <col min="467" max="467" width="5.44140625" style="121" bestFit="1" customWidth="1"/>
    <col min="468" max="468" width="4" style="121" bestFit="1" customWidth="1"/>
    <col min="469" max="469" width="10.109375" style="121" bestFit="1" customWidth="1"/>
    <col min="470" max="470" width="5.44140625" style="121" bestFit="1" customWidth="1"/>
    <col min="471" max="471" width="4" style="121" bestFit="1" customWidth="1"/>
    <col min="472" max="472" width="9.88671875" style="121" bestFit="1" customWidth="1"/>
    <col min="473" max="473" width="5.44140625" style="121" bestFit="1" customWidth="1"/>
    <col min="474" max="474" width="4" style="121" bestFit="1" customWidth="1"/>
    <col min="475" max="475" width="10.109375" style="121" bestFit="1" customWidth="1"/>
    <col min="476" max="476" width="5.44140625" style="121" bestFit="1" customWidth="1"/>
    <col min="477" max="477" width="4" style="121" bestFit="1" customWidth="1"/>
    <col min="478" max="478" width="7.88671875" style="121" bestFit="1" customWidth="1"/>
    <col min="479" max="479" width="5.44140625" style="121" bestFit="1" customWidth="1"/>
    <col min="480" max="480" width="4" style="121" bestFit="1" customWidth="1"/>
    <col min="481" max="481" width="6.109375" style="121" bestFit="1" customWidth="1"/>
    <col min="482" max="482" width="5.44140625" style="121" bestFit="1" customWidth="1"/>
    <col min="483" max="483" width="4" style="121" bestFit="1" customWidth="1"/>
    <col min="484" max="484" width="6.109375" style="121" bestFit="1" customWidth="1"/>
    <col min="485" max="485" width="53.6640625" style="121" bestFit="1" customWidth="1"/>
    <col min="486" max="486" width="5.44140625" style="121" bestFit="1" customWidth="1"/>
    <col min="487" max="487" width="4" style="121" bestFit="1" customWidth="1"/>
    <col min="488" max="488" width="6.109375" style="121" bestFit="1" customWidth="1"/>
    <col min="489" max="489" width="46" style="121" bestFit="1" customWidth="1"/>
    <col min="490" max="490" width="12.77734375" style="121" bestFit="1" customWidth="1"/>
    <col min="491" max="491" width="6.6640625" style="121" bestFit="1" customWidth="1"/>
    <col min="492" max="492" width="5.21875" style="121" bestFit="1" customWidth="1"/>
    <col min="493" max="493" width="6.109375" style="121" bestFit="1" customWidth="1"/>
    <col min="494" max="494" width="9.88671875" style="121" bestFit="1" customWidth="1"/>
    <col min="495" max="495" width="6.6640625" style="121" bestFit="1" customWidth="1"/>
    <col min="496" max="496" width="5.21875" style="121" bestFit="1" customWidth="1"/>
    <col min="497" max="497" width="6.109375" style="121" bestFit="1" customWidth="1"/>
    <col min="498" max="498" width="13.21875" style="121" bestFit="1" customWidth="1"/>
    <col min="499" max="499" width="6.6640625" style="121" bestFit="1" customWidth="1"/>
    <col min="500" max="500" width="5.21875" style="121" bestFit="1" customWidth="1"/>
    <col min="501" max="501" width="6.109375" style="121" bestFit="1" customWidth="1"/>
    <col min="502" max="502" width="11.6640625" style="121" bestFit="1" customWidth="1"/>
    <col min="503" max="503" width="6.6640625" style="121" bestFit="1" customWidth="1"/>
    <col min="504" max="504" width="5.21875" style="121" bestFit="1" customWidth="1"/>
    <col min="505" max="505" width="6.109375" style="121" bestFit="1" customWidth="1"/>
    <col min="506" max="506" width="7.33203125" style="121" bestFit="1" customWidth="1"/>
    <col min="507" max="507" width="6.6640625" style="121" bestFit="1" customWidth="1"/>
    <col min="508" max="508" width="5.21875" style="121" bestFit="1" customWidth="1"/>
    <col min="509" max="509" width="6.109375" style="121" bestFit="1" customWidth="1"/>
    <col min="510" max="510" width="13.6640625" style="121" bestFit="1" customWidth="1"/>
    <col min="511" max="511" width="6.6640625" style="121" bestFit="1" customWidth="1"/>
    <col min="512" max="512" width="5.21875" style="121" bestFit="1" customWidth="1"/>
    <col min="513" max="513" width="6.109375" style="121" bestFit="1" customWidth="1"/>
    <col min="514" max="515" width="6.6640625" style="121" bestFit="1" customWidth="1"/>
    <col min="516" max="516" width="5.21875" style="121" bestFit="1" customWidth="1"/>
    <col min="517" max="517" width="6.109375" style="121" bestFit="1" customWidth="1"/>
    <col min="518" max="518" width="5.21875" style="121" bestFit="1" customWidth="1"/>
    <col min="519" max="519" width="6.6640625" style="121" bestFit="1" customWidth="1"/>
    <col min="520" max="520" width="5.21875" style="121" bestFit="1" customWidth="1"/>
    <col min="521" max="521" width="6.109375" style="121" bestFit="1" customWidth="1"/>
    <col min="522" max="522" width="8.6640625" style="121" bestFit="1" customWidth="1"/>
    <col min="523" max="523" width="6.6640625" style="121" bestFit="1" customWidth="1"/>
    <col min="524" max="524" width="5.21875" style="121" bestFit="1" customWidth="1"/>
    <col min="525" max="525" width="6.109375" style="121" bestFit="1" customWidth="1"/>
    <col min="526" max="526" width="5" style="121" bestFit="1" customWidth="1"/>
    <col min="527" max="527" width="6.6640625" style="121" bestFit="1" customWidth="1"/>
    <col min="528" max="528" width="5.21875" style="121" bestFit="1" customWidth="1"/>
    <col min="529" max="529" width="6.109375" style="121" bestFit="1" customWidth="1"/>
    <col min="530" max="530" width="7" style="121" bestFit="1" customWidth="1"/>
    <col min="531" max="531" width="6.6640625" style="121" bestFit="1" customWidth="1"/>
    <col min="532" max="532" width="5.21875" style="121" bestFit="1" customWidth="1"/>
    <col min="533" max="533" width="6.109375" style="121" bestFit="1" customWidth="1"/>
    <col min="534" max="534" width="10.44140625" style="121" bestFit="1" customWidth="1"/>
    <col min="535" max="535" width="6.6640625" style="121" bestFit="1" customWidth="1"/>
    <col min="536" max="536" width="5.21875" style="121" bestFit="1" customWidth="1"/>
    <col min="537" max="537" width="6.109375" style="121" bestFit="1" customWidth="1"/>
    <col min="538" max="538" width="9.33203125" style="121" bestFit="1" customWidth="1"/>
    <col min="539" max="539" width="6.6640625" style="121" bestFit="1" customWidth="1"/>
    <col min="540" max="540" width="5.21875" style="121" bestFit="1" customWidth="1"/>
    <col min="541" max="541" width="6.109375" style="121" bestFit="1" customWidth="1"/>
    <col min="542" max="542" width="8.6640625" style="121" bestFit="1" customWidth="1"/>
    <col min="543" max="543" width="6.6640625" style="121" bestFit="1" customWidth="1"/>
    <col min="544" max="544" width="5.21875" style="121" bestFit="1" customWidth="1"/>
    <col min="545" max="545" width="6.109375" style="121" bestFit="1" customWidth="1"/>
    <col min="546" max="546" width="9.44140625" style="121" bestFit="1" customWidth="1"/>
    <col min="547" max="547" width="6.6640625" style="121" bestFit="1" customWidth="1"/>
    <col min="548" max="548" width="5.21875" style="121" bestFit="1" customWidth="1"/>
    <col min="549" max="549" width="6.109375" style="121" bestFit="1" customWidth="1"/>
    <col min="550" max="550" width="10.44140625" style="121" bestFit="1" customWidth="1"/>
    <col min="551" max="551" width="6.6640625" style="121" bestFit="1" customWidth="1"/>
    <col min="552" max="552" width="5.21875" style="121" bestFit="1" customWidth="1"/>
    <col min="553" max="553" width="6.109375" style="121" bestFit="1" customWidth="1"/>
    <col min="554" max="554" width="6.21875" style="121" bestFit="1" customWidth="1"/>
    <col min="555" max="555" width="6.6640625" style="121" bestFit="1" customWidth="1"/>
    <col min="556" max="556" width="5.21875" style="121" bestFit="1" customWidth="1"/>
    <col min="557" max="557" width="6.109375" style="121" bestFit="1" customWidth="1"/>
    <col min="558" max="558" width="13.21875" style="121" bestFit="1" customWidth="1"/>
    <col min="559" max="559" width="6.6640625" style="121" bestFit="1" customWidth="1"/>
    <col min="560" max="560" width="5.21875" style="121" bestFit="1" customWidth="1"/>
    <col min="561" max="561" width="6.109375" style="121" bestFit="1" customWidth="1"/>
    <col min="562" max="562" width="11.77734375" style="121" bestFit="1" customWidth="1"/>
    <col min="563" max="563" width="6.6640625" style="121" bestFit="1" customWidth="1"/>
    <col min="564" max="564" width="5.21875" style="121" bestFit="1" customWidth="1"/>
    <col min="565" max="565" width="6.109375" style="121" bestFit="1" customWidth="1"/>
    <col min="566" max="566" width="3.5546875" style="121" bestFit="1" customWidth="1"/>
    <col min="567" max="567" width="6.6640625" style="121" bestFit="1" customWidth="1"/>
    <col min="568" max="568" width="5.21875" style="121" bestFit="1" customWidth="1"/>
    <col min="569" max="569" width="6.109375" style="121" bestFit="1" customWidth="1"/>
    <col min="570" max="570" width="4.77734375" style="121" bestFit="1" customWidth="1"/>
    <col min="571" max="571" width="6.6640625" style="121" bestFit="1" customWidth="1"/>
    <col min="572" max="572" width="5.21875" style="121" bestFit="1" customWidth="1"/>
    <col min="573" max="574" width="6.109375" style="121" bestFit="1" customWidth="1"/>
    <col min="575" max="575" width="5.44140625" style="121" bestFit="1" customWidth="1"/>
    <col min="576" max="576" width="10.33203125" style="121" bestFit="1" customWidth="1"/>
    <col min="577" max="577" width="10.21875" style="121" bestFit="1" customWidth="1"/>
    <col min="578" max="578" width="13.44140625" style="121" bestFit="1" customWidth="1"/>
    <col min="579" max="579" width="7.6640625" style="121" bestFit="1" customWidth="1"/>
    <col min="580" max="580" width="15.21875" style="121" bestFit="1" customWidth="1"/>
    <col min="581" max="581" width="12.5546875" style="121" bestFit="1" customWidth="1"/>
    <col min="582" max="582" width="8.5546875" style="121" bestFit="1" customWidth="1"/>
    <col min="583" max="583" width="7" style="121" bestFit="1" customWidth="1"/>
    <col min="584" max="584" width="7.33203125" style="121" bestFit="1" customWidth="1"/>
    <col min="585" max="585" width="4.77734375" style="121" bestFit="1" customWidth="1"/>
    <col min="586" max="586" width="6.109375" style="121" bestFit="1" customWidth="1"/>
    <col min="587" max="587" width="4" style="121" bestFit="1" customWidth="1"/>
    <col min="588" max="588" width="10.33203125" style="121" bestFit="1" customWidth="1"/>
    <col min="589" max="589" width="10.21875" style="121" bestFit="1" customWidth="1"/>
    <col min="590" max="590" width="13.44140625" style="121" bestFit="1" customWidth="1"/>
    <col min="591" max="591" width="7.6640625" style="121" bestFit="1" customWidth="1"/>
    <col min="592" max="592" width="15.21875" style="121" bestFit="1" customWidth="1"/>
    <col min="593" max="593" width="12.5546875" style="121" bestFit="1" customWidth="1"/>
    <col min="594" max="594" width="8.5546875" style="121" bestFit="1" customWidth="1"/>
    <col min="595" max="595" width="7" style="121" bestFit="1" customWidth="1"/>
    <col min="596" max="596" width="7.33203125" style="121" bestFit="1" customWidth="1"/>
    <col min="597" max="597" width="4.77734375" style="121" bestFit="1" customWidth="1"/>
    <col min="598" max="599" width="6.109375" style="121" bestFit="1" customWidth="1"/>
    <col min="600" max="600" width="10.33203125" style="121" bestFit="1" customWidth="1"/>
    <col min="601" max="601" width="10.21875" style="121" bestFit="1" customWidth="1"/>
    <col min="602" max="602" width="13.44140625" style="121" bestFit="1" customWidth="1"/>
    <col min="603" max="603" width="7.6640625" style="121" bestFit="1" customWidth="1"/>
    <col min="604" max="604" width="15.21875" style="121" bestFit="1" customWidth="1"/>
    <col min="605" max="605" width="12.5546875" style="121" bestFit="1" customWidth="1"/>
    <col min="606" max="606" width="8.5546875" style="121" bestFit="1" customWidth="1"/>
    <col min="607" max="607" width="7" style="121" bestFit="1" customWidth="1"/>
    <col min="608" max="608" width="7.33203125" style="121" bestFit="1" customWidth="1"/>
    <col min="609" max="609" width="4.77734375" style="121" bestFit="1" customWidth="1"/>
    <col min="610" max="610" width="6.109375" style="121" bestFit="1" customWidth="1"/>
    <col min="611" max="611" width="31.109375" style="121" bestFit="1" customWidth="1"/>
    <col min="612" max="612" width="4.6640625" style="121" bestFit="1" customWidth="1"/>
    <col min="613" max="613" width="4.109375" style="121" bestFit="1" customWidth="1"/>
    <col min="614" max="614" width="4.21875" style="121" bestFit="1" customWidth="1"/>
    <col min="615" max="615" width="5.109375" style="121" bestFit="1" customWidth="1"/>
    <col min="616" max="616" width="4.109375" style="121" bestFit="1" customWidth="1"/>
    <col min="617" max="617" width="4.21875" style="121" bestFit="1" customWidth="1"/>
    <col min="618" max="618" width="5.33203125" style="121" bestFit="1" customWidth="1"/>
    <col min="619" max="619" width="4.109375" style="121" bestFit="1" customWidth="1"/>
    <col min="620" max="620" width="4.21875" style="121" bestFit="1" customWidth="1"/>
    <col min="621" max="621" width="4.88671875" style="121" bestFit="1" customWidth="1"/>
    <col min="622" max="622" width="4.109375" style="121" bestFit="1" customWidth="1"/>
    <col min="623" max="623" width="4.21875" style="121" bestFit="1" customWidth="1"/>
    <col min="624" max="624" width="6.5546875" style="121" bestFit="1" customWidth="1"/>
    <col min="625" max="625" width="4.109375" style="121" bestFit="1" customWidth="1"/>
    <col min="626" max="626" width="4.21875" style="121" bestFit="1" customWidth="1"/>
    <col min="627" max="627" width="6.5546875" style="121" bestFit="1" customWidth="1"/>
    <col min="628" max="628" width="4.109375" style="121" bestFit="1" customWidth="1"/>
    <col min="629" max="629" width="4.21875" style="121" bestFit="1" customWidth="1"/>
    <col min="630" max="630" width="6.109375" style="121" bestFit="1" customWidth="1"/>
    <col min="631" max="631" width="4.109375" style="121" bestFit="1" customWidth="1"/>
    <col min="632" max="632" width="4.21875" style="121" bestFit="1" customWidth="1"/>
    <col min="633" max="633" width="6.109375" style="121" bestFit="1" customWidth="1"/>
    <col min="634" max="634" width="18.5546875" style="121" bestFit="1" customWidth="1"/>
    <col min="635" max="635" width="11.33203125" style="121" bestFit="1" customWidth="1"/>
    <col min="636" max="636" width="12.77734375" style="121" bestFit="1" customWidth="1"/>
    <col min="637" max="637" width="11.109375" style="121" bestFit="1" customWidth="1"/>
    <col min="638" max="638" width="12.77734375" style="121" bestFit="1" customWidth="1"/>
    <col min="639" max="639" width="17.5546875" style="121" bestFit="1" customWidth="1"/>
    <col min="640" max="640" width="15.21875" style="121" bestFit="1" customWidth="1"/>
    <col min="641" max="641" width="10.6640625" style="121" bestFit="1" customWidth="1"/>
    <col min="642" max="642" width="7.33203125" style="121" bestFit="1" customWidth="1"/>
    <col min="643" max="643" width="7.88671875" style="121" bestFit="1" customWidth="1"/>
    <col min="644" max="644" width="9.21875" style="121" bestFit="1" customWidth="1"/>
    <col min="645" max="645" width="9.6640625" style="121" bestFit="1" customWidth="1"/>
    <col min="646" max="646" width="19.6640625" style="121" bestFit="1" customWidth="1"/>
    <col min="647" max="647" width="13.6640625" style="121" bestFit="1" customWidth="1"/>
    <col min="648" max="648" width="27" style="121" bestFit="1" customWidth="1"/>
    <col min="649" max="649" width="16.77734375" style="121" bestFit="1" customWidth="1"/>
    <col min="650" max="650" width="9.6640625" style="121" bestFit="1" customWidth="1"/>
    <col min="651" max="651" width="20.5546875" style="121" bestFit="1" customWidth="1"/>
    <col min="652" max="652" width="19.77734375" style="121" bestFit="1" customWidth="1"/>
    <col min="653" max="653" width="6.109375" style="121" bestFit="1" customWidth="1"/>
    <col min="654" max="654" width="16.109375" style="121" bestFit="1" customWidth="1"/>
    <col min="655" max="655" width="24.44140625" style="121" bestFit="1" customWidth="1"/>
    <col min="656" max="656" width="14.88671875" style="121" bestFit="1" customWidth="1"/>
    <col min="657" max="657" width="15.33203125" style="121" bestFit="1" customWidth="1"/>
    <col min="658" max="658" width="33.88671875" style="121" bestFit="1" customWidth="1"/>
    <col min="659" max="659" width="18.44140625" style="121" bestFit="1" customWidth="1"/>
    <col min="660" max="660" width="24.88671875" style="121" bestFit="1" customWidth="1"/>
    <col min="661" max="661" width="15.109375" style="121" bestFit="1" customWidth="1"/>
    <col min="662" max="662" width="20.88671875" style="121" bestFit="1" customWidth="1"/>
    <col min="663" max="663" width="8.33203125" style="121" bestFit="1" customWidth="1"/>
    <col min="664" max="664" width="9.33203125" style="121" bestFit="1" customWidth="1"/>
    <col min="665" max="665" width="26.21875" style="121" bestFit="1" customWidth="1"/>
    <col min="666" max="666" width="19.88671875" style="121" bestFit="1" customWidth="1"/>
    <col min="667" max="667" width="23.33203125" style="121" bestFit="1" customWidth="1"/>
    <col min="668" max="668" width="4.88671875" style="121" bestFit="1" customWidth="1"/>
    <col min="669" max="669" width="14.88671875" style="121" bestFit="1" customWidth="1"/>
    <col min="670" max="670" width="21.33203125" style="121" bestFit="1" customWidth="1"/>
    <col min="671" max="671" width="12.5546875" style="121" bestFit="1" customWidth="1"/>
    <col min="672" max="672" width="20.21875" style="121" bestFit="1" customWidth="1"/>
    <col min="673" max="673" width="5.77734375" style="121" bestFit="1" customWidth="1"/>
    <col min="674" max="674" width="8.5546875" style="121" bestFit="1" customWidth="1"/>
    <col min="675" max="675" width="23.21875" style="121" bestFit="1" customWidth="1"/>
    <col min="676" max="676" width="5.77734375" style="121" bestFit="1" customWidth="1"/>
    <col min="677" max="677" width="8.5546875" style="121" bestFit="1" customWidth="1"/>
    <col min="678" max="678" width="23.88671875" style="121" bestFit="1" customWidth="1"/>
    <col min="679" max="679" width="5.77734375" style="121" bestFit="1" customWidth="1"/>
    <col min="680" max="680" width="8.5546875" style="121" bestFit="1" customWidth="1"/>
    <col min="681" max="681" width="29.109375" style="121" bestFit="1" customWidth="1"/>
    <col min="682" max="682" width="5.77734375" style="121" bestFit="1" customWidth="1"/>
    <col min="683" max="683" width="8.5546875" style="121" bestFit="1" customWidth="1"/>
    <col min="684" max="684" width="10.88671875" style="121" bestFit="1" customWidth="1"/>
    <col min="685" max="685" width="5.77734375" style="121" bestFit="1" customWidth="1"/>
    <col min="686" max="686" width="8.5546875" style="121" bestFit="1" customWidth="1"/>
    <col min="687" max="687" width="21.109375" style="121" bestFit="1" customWidth="1"/>
    <col min="688" max="688" width="5.77734375" style="121" bestFit="1" customWidth="1"/>
    <col min="689" max="689" width="8.5546875" style="121" bestFit="1" customWidth="1"/>
    <col min="690" max="690" width="13.21875" style="121" bestFit="1" customWidth="1"/>
    <col min="691" max="691" width="14.88671875" style="121" bestFit="1" customWidth="1"/>
    <col min="692" max="692" width="11" style="121" bestFit="1" customWidth="1"/>
    <col min="693" max="693" width="24.21875" style="121" bestFit="1" customWidth="1"/>
    <col min="694" max="694" width="9.6640625" style="121" bestFit="1" customWidth="1"/>
    <col min="695" max="695" width="17.5546875" style="121" bestFit="1" customWidth="1"/>
    <col min="696" max="696" width="6.109375" style="121" bestFit="1" customWidth="1"/>
    <col min="697" max="697" width="12" style="121" bestFit="1" customWidth="1"/>
    <col min="698" max="698" width="18.88671875" style="121" bestFit="1" customWidth="1"/>
    <col min="699" max="699" width="19.21875" style="121" bestFit="1" customWidth="1"/>
    <col min="700" max="700" width="14.6640625" style="121" bestFit="1" customWidth="1"/>
    <col min="701" max="701" width="10" style="121" bestFit="1" customWidth="1"/>
    <col min="702" max="702" width="41.5546875" style="121" bestFit="1" customWidth="1"/>
    <col min="703" max="703" width="23.5546875" style="121" bestFit="1" customWidth="1"/>
    <col min="704" max="704" width="23.33203125" style="121" bestFit="1" customWidth="1"/>
    <col min="705" max="705" width="9.109375" style="121" bestFit="1" customWidth="1"/>
    <col min="706" max="706" width="23.44140625" style="121" bestFit="1" customWidth="1"/>
    <col min="707" max="707" width="18.88671875" style="121" bestFit="1" customWidth="1"/>
    <col min="708" max="708" width="35.6640625" style="121" bestFit="1" customWidth="1"/>
    <col min="709" max="709" width="7.44140625" style="121" bestFit="1" customWidth="1"/>
    <col min="710" max="710" width="48.21875" style="121" bestFit="1" customWidth="1"/>
    <col min="711" max="711" width="9" style="121" bestFit="1" customWidth="1"/>
    <col min="712" max="712" width="9.6640625" style="121" bestFit="1" customWidth="1"/>
    <col min="713" max="713" width="17.6640625" style="121" bestFit="1" customWidth="1"/>
    <col min="714" max="714" width="18.88671875" style="121" bestFit="1" customWidth="1"/>
    <col min="715" max="715" width="20.21875" style="121" bestFit="1" customWidth="1"/>
    <col min="716" max="716" width="18.33203125" style="121" bestFit="1" customWidth="1"/>
    <col min="717" max="717" width="19.44140625" style="121" bestFit="1" customWidth="1"/>
    <col min="718" max="718" width="15.88671875" style="121" bestFit="1" customWidth="1"/>
    <col min="719" max="719" width="18.6640625" style="121" bestFit="1" customWidth="1"/>
    <col min="720" max="720" width="9.6640625" style="121" bestFit="1" customWidth="1"/>
    <col min="721" max="721" width="18" style="121" bestFit="1" customWidth="1"/>
    <col min="722" max="722" width="26.21875" style="121" bestFit="1" customWidth="1"/>
    <col min="723" max="723" width="10.88671875" style="121" bestFit="1" customWidth="1"/>
    <col min="724" max="724" width="19.21875" style="121" bestFit="1" customWidth="1"/>
    <col min="725" max="725" width="27.44140625" style="121" bestFit="1" customWidth="1"/>
    <col min="726" max="726" width="12.21875" style="121" bestFit="1" customWidth="1"/>
    <col min="727" max="727" width="20.5546875" style="121" bestFit="1" customWidth="1"/>
    <col min="728" max="728" width="28.77734375" style="121" bestFit="1" customWidth="1"/>
    <col min="729" max="729" width="10.33203125" style="121" bestFit="1" customWidth="1"/>
    <col min="730" max="730" width="18.6640625" style="121" bestFit="1" customWidth="1"/>
    <col min="731" max="731" width="26.88671875" style="121" bestFit="1" customWidth="1"/>
    <col min="732" max="732" width="11.44140625" style="121" bestFit="1" customWidth="1"/>
    <col min="733" max="733" width="19.77734375" style="121" bestFit="1" customWidth="1"/>
    <col min="734" max="734" width="28" style="121" bestFit="1" customWidth="1"/>
    <col min="735" max="735" width="9.109375" style="121" bestFit="1" customWidth="1"/>
    <col min="736" max="736" width="17.44140625" style="121" bestFit="1" customWidth="1"/>
    <col min="737" max="737" width="25.6640625" style="121" bestFit="1" customWidth="1"/>
    <col min="738" max="738" width="10.6640625" style="121" bestFit="1" customWidth="1"/>
    <col min="739" max="739" width="19" style="121" bestFit="1" customWidth="1"/>
    <col min="740" max="740" width="27.21875" style="121" bestFit="1" customWidth="1"/>
    <col min="741" max="741" width="14.109375" style="121" bestFit="1" customWidth="1"/>
    <col min="742" max="742" width="18.88671875" style="121" bestFit="1" customWidth="1"/>
    <col min="743" max="743" width="19.21875" style="121" bestFit="1" customWidth="1"/>
    <col min="744" max="744" width="14.6640625" style="121" bestFit="1" customWidth="1"/>
    <col min="745" max="745" width="10" style="121" bestFit="1" customWidth="1"/>
    <col min="746" max="746" width="41.5546875" style="121" bestFit="1" customWidth="1"/>
    <col min="747" max="747" width="23.5546875" style="121" bestFit="1" customWidth="1"/>
    <col min="748" max="748" width="23.33203125" style="121" bestFit="1" customWidth="1"/>
    <col min="749" max="749" width="9.109375" style="121" bestFit="1" customWidth="1"/>
    <col min="750" max="750" width="23.44140625" style="121" bestFit="1" customWidth="1"/>
    <col min="751" max="751" width="18.88671875" style="121" bestFit="1" customWidth="1"/>
    <col min="752" max="752" width="35.6640625" style="121" bestFit="1" customWidth="1"/>
    <col min="753" max="753" width="7.44140625" style="121" bestFit="1" customWidth="1"/>
    <col min="754" max="754" width="48.21875" style="121" bestFit="1" customWidth="1"/>
    <col min="755" max="755" width="9" style="121" bestFit="1" customWidth="1"/>
    <col min="756" max="756" width="13.44140625" style="121" bestFit="1" customWidth="1"/>
    <col min="757" max="757" width="7.6640625" style="121" bestFit="1" customWidth="1"/>
    <col min="758" max="758" width="15.21875" style="121" bestFit="1" customWidth="1"/>
    <col min="759" max="759" width="12.5546875" style="121" bestFit="1" customWidth="1"/>
    <col min="760" max="760" width="8.5546875" style="121" bestFit="1" customWidth="1"/>
    <col min="761" max="761" width="7" style="121" bestFit="1" customWidth="1"/>
    <col min="762" max="762" width="7.33203125" style="121" bestFit="1" customWidth="1"/>
    <col min="763" max="763" width="4.77734375" style="121" bestFit="1" customWidth="1"/>
    <col min="764" max="764" width="6.109375" style="121" bestFit="1" customWidth="1"/>
    <col min="765" max="765" width="5.44140625" style="121" bestFit="1" customWidth="1"/>
    <col min="766" max="767" width="10.33203125" style="121" bestFit="1" customWidth="1"/>
    <col min="768" max="769" width="10.21875" style="121" bestFit="1" customWidth="1"/>
    <col min="770" max="771" width="13.44140625" style="121" bestFit="1" customWidth="1"/>
    <col min="772" max="773" width="7.6640625" style="121" bestFit="1" customWidth="1"/>
    <col min="774" max="775" width="15.21875" style="121" bestFit="1" customWidth="1"/>
    <col min="776" max="777" width="12.5546875" style="121" bestFit="1" customWidth="1"/>
    <col min="778" max="779" width="8.5546875" style="121" bestFit="1" customWidth="1"/>
    <col min="780" max="781" width="7" style="121" bestFit="1" customWidth="1"/>
    <col min="782" max="783" width="7.33203125" style="121" bestFit="1" customWidth="1"/>
    <col min="784" max="785" width="4.77734375" style="121" bestFit="1" customWidth="1"/>
    <col min="786" max="787" width="6.109375" style="121" bestFit="1" customWidth="1"/>
    <col min="788" max="788" width="4" style="121" bestFit="1" customWidth="1"/>
    <col min="789" max="790" width="10.33203125" style="121" bestFit="1" customWidth="1"/>
    <col min="791" max="792" width="10.21875" style="121" bestFit="1" customWidth="1"/>
    <col min="793" max="794" width="13.44140625" style="121" bestFit="1" customWidth="1"/>
    <col min="795" max="796" width="7.6640625" style="121" bestFit="1" customWidth="1"/>
    <col min="797" max="798" width="15.21875" style="121" bestFit="1" customWidth="1"/>
    <col min="799" max="800" width="12.5546875" style="121" bestFit="1" customWidth="1"/>
    <col min="801" max="802" width="8.5546875" style="121" bestFit="1" customWidth="1"/>
    <col min="803" max="804" width="7" style="121" bestFit="1" customWidth="1"/>
    <col min="805" max="806" width="7.33203125" style="121" bestFit="1" customWidth="1"/>
    <col min="807" max="808" width="4.77734375" style="121" bestFit="1" customWidth="1"/>
    <col min="809" max="811" width="6.109375" style="121" bestFit="1" customWidth="1"/>
    <col min="812" max="813" width="10.33203125" style="121" bestFit="1" customWidth="1"/>
    <col min="814" max="815" width="10.21875" style="121" bestFit="1" customWidth="1"/>
    <col min="816" max="817" width="13.44140625" style="121" bestFit="1" customWidth="1"/>
    <col min="818" max="819" width="7.6640625" style="121" bestFit="1" customWidth="1"/>
    <col min="820" max="821" width="15.21875" style="121" bestFit="1" customWidth="1"/>
    <col min="822" max="823" width="12.5546875" style="121" bestFit="1" customWidth="1"/>
    <col min="824" max="825" width="8.5546875" style="121" bestFit="1" customWidth="1"/>
    <col min="826" max="827" width="7" style="121" bestFit="1" customWidth="1"/>
    <col min="828" max="829" width="7.33203125" style="121" bestFit="1" customWidth="1"/>
    <col min="830" max="831" width="4.77734375" style="121" bestFit="1" customWidth="1"/>
    <col min="832" max="833" width="6.109375" style="121" bestFit="1" customWidth="1"/>
    <col min="834" max="834" width="8.6640625" style="121" bestFit="1" customWidth="1"/>
    <col min="835" max="835" width="5.6640625" style="121" bestFit="1" customWidth="1"/>
    <col min="836" max="836" width="10.33203125" style="121" bestFit="1" customWidth="1"/>
    <col min="837" max="837" width="10.21875" style="121" bestFit="1" customWidth="1"/>
    <col min="838" max="838" width="13.44140625" style="121" bestFit="1" customWidth="1"/>
    <col min="839" max="839" width="7.6640625" style="121" bestFit="1" customWidth="1"/>
    <col min="840" max="840" width="15.21875" style="121" bestFit="1" customWidth="1"/>
    <col min="841" max="841" width="12.5546875" style="121" bestFit="1" customWidth="1"/>
    <col min="842" max="842" width="8.5546875" style="121" bestFit="1" customWidth="1"/>
    <col min="843" max="843" width="7" style="121" bestFit="1" customWidth="1"/>
    <col min="844" max="844" width="7.33203125" style="121" bestFit="1" customWidth="1"/>
    <col min="845" max="845" width="4.77734375" style="121" bestFit="1" customWidth="1"/>
    <col min="846" max="846" width="6.109375" style="121" bestFit="1" customWidth="1"/>
    <col min="847" max="847" width="5.44140625" style="121" bestFit="1" customWidth="1"/>
    <col min="848" max="849" width="10.33203125" style="121" bestFit="1" customWidth="1"/>
    <col min="850" max="851" width="10.21875" style="121" bestFit="1" customWidth="1"/>
    <col min="852" max="853" width="13.44140625" style="121" bestFit="1" customWidth="1"/>
    <col min="854" max="855" width="7.6640625" style="121" bestFit="1" customWidth="1"/>
    <col min="856" max="857" width="15.21875" style="121" bestFit="1" customWidth="1"/>
    <col min="858" max="859" width="12.5546875" style="121" bestFit="1" customWidth="1"/>
    <col min="860" max="861" width="8.5546875" style="121" bestFit="1" customWidth="1"/>
    <col min="862" max="863" width="7" style="121" bestFit="1" customWidth="1"/>
    <col min="864" max="865" width="7.33203125" style="121" bestFit="1" customWidth="1"/>
    <col min="866" max="867" width="4.77734375" style="121" bestFit="1" customWidth="1"/>
    <col min="868" max="869" width="6.109375" style="121" bestFit="1" customWidth="1"/>
    <col min="870" max="870" width="4" style="121" bestFit="1" customWidth="1"/>
    <col min="871" max="872" width="10.33203125" style="121" bestFit="1" customWidth="1"/>
    <col min="873" max="874" width="10.21875" style="121" bestFit="1" customWidth="1"/>
    <col min="875" max="876" width="13.44140625" style="121" bestFit="1" customWidth="1"/>
    <col min="877" max="878" width="7.6640625" style="121" bestFit="1" customWidth="1"/>
    <col min="879" max="880" width="15.21875" style="121" bestFit="1" customWidth="1"/>
    <col min="881" max="882" width="12.5546875" style="121" bestFit="1" customWidth="1"/>
    <col min="883" max="884" width="8.5546875" style="121" bestFit="1" customWidth="1"/>
    <col min="885" max="886" width="7" style="121" bestFit="1" customWidth="1"/>
    <col min="887" max="888" width="7.33203125" style="121" bestFit="1" customWidth="1"/>
    <col min="889" max="890" width="4.77734375" style="121" bestFit="1" customWidth="1"/>
    <col min="891" max="893" width="6.109375" style="121" bestFit="1" customWidth="1"/>
    <col min="894" max="895" width="10.33203125" style="121" bestFit="1" customWidth="1"/>
    <col min="896" max="897" width="10.21875" style="121" bestFit="1" customWidth="1"/>
    <col min="898" max="899" width="13.44140625" style="121" bestFit="1" customWidth="1"/>
    <col min="900" max="901" width="7.6640625" style="121" bestFit="1" customWidth="1"/>
    <col min="902" max="903" width="15.21875" style="121" bestFit="1" customWidth="1"/>
    <col min="904" max="905" width="12.5546875" style="121" bestFit="1" customWidth="1"/>
    <col min="906" max="907" width="8.5546875" style="121" bestFit="1" customWidth="1"/>
    <col min="908" max="909" width="7" style="121" bestFit="1" customWidth="1"/>
    <col min="910" max="911" width="7.33203125" style="121" bestFit="1" customWidth="1"/>
    <col min="912" max="913" width="4.77734375" style="121" bestFit="1" customWidth="1"/>
    <col min="914" max="915" width="6.109375" style="121" bestFit="1" customWidth="1"/>
    <col min="916" max="916" width="5" style="121" bestFit="1" customWidth="1"/>
    <col min="917" max="917" width="5.6640625" style="121" bestFit="1" customWidth="1"/>
    <col min="918" max="918" width="10.33203125" style="121" bestFit="1" customWidth="1"/>
    <col min="919" max="919" width="10.21875" style="121" bestFit="1" customWidth="1"/>
    <col min="920" max="920" width="13.44140625" style="121" bestFit="1" customWidth="1"/>
    <col min="921" max="921" width="7.6640625" style="121" bestFit="1" customWidth="1"/>
    <col min="922" max="922" width="15.21875" style="121" bestFit="1" customWidth="1"/>
    <col min="923" max="923" width="12.5546875" style="121" bestFit="1" customWidth="1"/>
    <col min="924" max="924" width="8.5546875" style="121" bestFit="1" customWidth="1"/>
    <col min="925" max="925" width="7" style="121" bestFit="1" customWidth="1"/>
    <col min="926" max="926" width="7.33203125" style="121" bestFit="1" customWidth="1"/>
    <col min="927" max="927" width="4.77734375" style="121" bestFit="1" customWidth="1"/>
    <col min="928" max="928" width="6.109375" style="121" bestFit="1" customWidth="1"/>
    <col min="929" max="929" width="5.44140625" style="121" bestFit="1" customWidth="1"/>
    <col min="930" max="931" width="10.33203125" style="121" bestFit="1" customWidth="1"/>
    <col min="932" max="933" width="10.21875" style="121" bestFit="1" customWidth="1"/>
    <col min="934" max="935" width="13.44140625" style="121" bestFit="1" customWidth="1"/>
    <col min="936" max="937" width="7.6640625" style="121" bestFit="1" customWidth="1"/>
    <col min="938" max="939" width="15.21875" style="121" bestFit="1" customWidth="1"/>
    <col min="940" max="941" width="12.5546875" style="121" bestFit="1" customWidth="1"/>
    <col min="942" max="943" width="8.5546875" style="121" bestFit="1" customWidth="1"/>
    <col min="944" max="945" width="7" style="121" bestFit="1" customWidth="1"/>
    <col min="946" max="947" width="7.33203125" style="121" bestFit="1" customWidth="1"/>
    <col min="948" max="949" width="4.77734375" style="121" bestFit="1" customWidth="1"/>
    <col min="950" max="951" width="6.109375" style="121" bestFit="1" customWidth="1"/>
    <col min="952" max="952" width="4" style="121" bestFit="1" customWidth="1"/>
    <col min="953" max="954" width="10.33203125" style="121" bestFit="1" customWidth="1"/>
    <col min="955" max="956" width="10.21875" style="121" bestFit="1" customWidth="1"/>
    <col min="957" max="958" width="13.44140625" style="121" bestFit="1" customWidth="1"/>
    <col min="959" max="960" width="7.6640625" style="121" bestFit="1" customWidth="1"/>
    <col min="961" max="962" width="15.21875" style="121" bestFit="1" customWidth="1"/>
    <col min="963" max="964" width="12.5546875" style="121" bestFit="1" customWidth="1"/>
    <col min="965" max="966" width="8.5546875" style="121" bestFit="1" customWidth="1"/>
    <col min="967" max="968" width="7" style="121" bestFit="1" customWidth="1"/>
    <col min="969" max="970" width="7.33203125" style="121" bestFit="1" customWidth="1"/>
    <col min="971" max="972" width="4.77734375" style="121" bestFit="1" customWidth="1"/>
    <col min="973" max="975" width="6.109375" style="121" bestFit="1" customWidth="1"/>
    <col min="976" max="977" width="10.33203125" style="121" bestFit="1" customWidth="1"/>
    <col min="978" max="979" width="10.21875" style="121" bestFit="1" customWidth="1"/>
    <col min="980" max="981" width="13.44140625" style="121" bestFit="1" customWidth="1"/>
    <col min="982" max="983" width="7.6640625" style="121" bestFit="1" customWidth="1"/>
    <col min="984" max="985" width="15.21875" style="121" bestFit="1" customWidth="1"/>
    <col min="986" max="987" width="12.5546875" style="121" bestFit="1" customWidth="1"/>
    <col min="988" max="989" width="8.5546875" style="121" bestFit="1" customWidth="1"/>
    <col min="990" max="991" width="7" style="121" bestFit="1" customWidth="1"/>
    <col min="992" max="993" width="7.33203125" style="121" bestFit="1" customWidth="1"/>
    <col min="994" max="995" width="4.77734375" style="121" bestFit="1" customWidth="1"/>
    <col min="996" max="997" width="6.109375" style="121" bestFit="1" customWidth="1"/>
    <col min="998" max="998" width="7" style="121" bestFit="1" customWidth="1"/>
    <col min="999" max="999" width="5.6640625" style="121" bestFit="1" customWidth="1"/>
    <col min="1000" max="1000" width="10.33203125" style="121" bestFit="1" customWidth="1"/>
    <col min="1001" max="1001" width="10.21875" style="121" bestFit="1" customWidth="1"/>
    <col min="1002" max="1002" width="13.44140625" style="121" bestFit="1" customWidth="1"/>
    <col min="1003" max="1003" width="7.6640625" style="121" bestFit="1" customWidth="1"/>
    <col min="1004" max="1004" width="15.21875" style="121" bestFit="1" customWidth="1"/>
    <col min="1005" max="1005" width="12.5546875" style="121" bestFit="1" customWidth="1"/>
    <col min="1006" max="1006" width="8.5546875" style="121" bestFit="1" customWidth="1"/>
    <col min="1007" max="1007" width="7" style="121" bestFit="1" customWidth="1"/>
    <col min="1008" max="1008" width="7.33203125" style="121" bestFit="1" customWidth="1"/>
    <col min="1009" max="1009" width="4.77734375" style="121" bestFit="1" customWidth="1"/>
    <col min="1010" max="1010" width="6.109375" style="121" bestFit="1" customWidth="1"/>
    <col min="1011" max="1011" width="5.44140625" style="121" bestFit="1" customWidth="1"/>
    <col min="1012" max="1013" width="10.33203125" style="121" bestFit="1" customWidth="1"/>
    <col min="1014" max="1015" width="10.21875" style="121" bestFit="1" customWidth="1"/>
    <col min="1016" max="1017" width="13.44140625" style="121" bestFit="1" customWidth="1"/>
    <col min="1018" max="1019" width="7.6640625" style="121" bestFit="1" customWidth="1"/>
    <col min="1020" max="1021" width="15.21875" style="121" bestFit="1" customWidth="1"/>
    <col min="1022" max="1023" width="12.5546875" style="121" bestFit="1" customWidth="1"/>
    <col min="1024" max="1025" width="8.5546875" style="121" bestFit="1" customWidth="1"/>
    <col min="1026" max="1027" width="7" style="121" bestFit="1" customWidth="1"/>
    <col min="1028" max="1029" width="7.33203125" style="121" bestFit="1" customWidth="1"/>
    <col min="1030" max="1031" width="4.77734375" style="121" bestFit="1" customWidth="1"/>
    <col min="1032" max="1033" width="6.109375" style="121" bestFit="1" customWidth="1"/>
    <col min="1034" max="1034" width="4" style="121" bestFit="1" customWidth="1"/>
    <col min="1035" max="1036" width="10.33203125" style="121" bestFit="1" customWidth="1"/>
    <col min="1037" max="1038" width="10.21875" style="121" bestFit="1" customWidth="1"/>
    <col min="1039" max="1040" width="13.44140625" style="121" bestFit="1" customWidth="1"/>
    <col min="1041" max="1042" width="7.6640625" style="121" bestFit="1" customWidth="1"/>
    <col min="1043" max="1044" width="15.21875" style="121" bestFit="1" customWidth="1"/>
    <col min="1045" max="1046" width="12.5546875" style="121" bestFit="1" customWidth="1"/>
    <col min="1047" max="1048" width="8.5546875" style="121" bestFit="1" customWidth="1"/>
    <col min="1049" max="1050" width="7" style="121" bestFit="1" customWidth="1"/>
    <col min="1051" max="1052" width="7.33203125" style="121" bestFit="1" customWidth="1"/>
    <col min="1053" max="1054" width="4.77734375" style="121" bestFit="1" customWidth="1"/>
    <col min="1055" max="1057" width="6.109375" style="121" bestFit="1" customWidth="1"/>
    <col min="1058" max="1059" width="10.33203125" style="121" bestFit="1" customWidth="1"/>
    <col min="1060" max="1061" width="10.21875" style="121" bestFit="1" customWidth="1"/>
    <col min="1062" max="1063" width="13.44140625" style="121" bestFit="1" customWidth="1"/>
    <col min="1064" max="1065" width="7.6640625" style="121" bestFit="1" customWidth="1"/>
    <col min="1066" max="1067" width="15.21875" style="121" bestFit="1" customWidth="1"/>
    <col min="1068" max="1069" width="12.5546875" style="121" bestFit="1" customWidth="1"/>
    <col min="1070" max="1071" width="8.5546875" style="121" bestFit="1" customWidth="1"/>
    <col min="1072" max="1073" width="7" style="121" bestFit="1" customWidth="1"/>
    <col min="1074" max="1075" width="7.33203125" style="121" bestFit="1" customWidth="1"/>
    <col min="1076" max="1077" width="4.77734375" style="121" bestFit="1" customWidth="1"/>
    <col min="1078" max="1079" width="6.109375" style="121" bestFit="1" customWidth="1"/>
    <col min="1080" max="1080" width="10.44140625" style="121" bestFit="1" customWidth="1"/>
    <col min="1081" max="1081" width="5.6640625" style="121" bestFit="1" customWidth="1"/>
    <col min="1082" max="1082" width="10.33203125" style="121" bestFit="1" customWidth="1"/>
    <col min="1083" max="1083" width="10.21875" style="121" bestFit="1" customWidth="1"/>
    <col min="1084" max="1084" width="13.44140625" style="121" bestFit="1" customWidth="1"/>
    <col min="1085" max="1085" width="7.6640625" style="121" bestFit="1" customWidth="1"/>
    <col min="1086" max="1086" width="15.21875" style="121" bestFit="1" customWidth="1"/>
    <col min="1087" max="1087" width="12.5546875" style="121" bestFit="1" customWidth="1"/>
    <col min="1088" max="1088" width="8.5546875" style="121" bestFit="1" customWidth="1"/>
    <col min="1089" max="1089" width="7" style="121" bestFit="1" customWidth="1"/>
    <col min="1090" max="1090" width="7.33203125" style="121" bestFit="1" customWidth="1"/>
    <col min="1091" max="1091" width="4.77734375" style="121" bestFit="1" customWidth="1"/>
    <col min="1092" max="1092" width="6.109375" style="121" bestFit="1" customWidth="1"/>
    <col min="1093" max="1093" width="5.44140625" style="121" bestFit="1" customWidth="1"/>
    <col min="1094" max="1095" width="10.33203125" style="121" bestFit="1" customWidth="1"/>
    <col min="1096" max="1097" width="10.21875" style="121" bestFit="1" customWidth="1"/>
    <col min="1098" max="1099" width="13.44140625" style="121" bestFit="1" customWidth="1"/>
    <col min="1100" max="1101" width="7.6640625" style="121" bestFit="1" customWidth="1"/>
    <col min="1102" max="1103" width="15.21875" style="121" bestFit="1" customWidth="1"/>
    <col min="1104" max="1105" width="12.5546875" style="121" bestFit="1" customWidth="1"/>
    <col min="1106" max="1107" width="8.5546875" style="121" bestFit="1" customWidth="1"/>
    <col min="1108" max="1109" width="7" style="121" bestFit="1" customWidth="1"/>
    <col min="1110" max="1111" width="7.33203125" style="121" bestFit="1" customWidth="1"/>
    <col min="1112" max="1113" width="4.77734375" style="121" bestFit="1" customWidth="1"/>
    <col min="1114" max="1115" width="6.109375" style="121" bestFit="1" customWidth="1"/>
    <col min="1116" max="1116" width="4" style="121" bestFit="1" customWidth="1"/>
    <col min="1117" max="1118" width="10.33203125" style="121" bestFit="1" customWidth="1"/>
    <col min="1119" max="1120" width="10.21875" style="121" bestFit="1" customWidth="1"/>
    <col min="1121" max="1122" width="13.44140625" style="121" bestFit="1" customWidth="1"/>
    <col min="1123" max="1124" width="7.6640625" style="121" bestFit="1" customWidth="1"/>
    <col min="1125" max="1126" width="15.21875" style="121" bestFit="1" customWidth="1"/>
    <col min="1127" max="1128" width="12.5546875" style="121" bestFit="1" customWidth="1"/>
    <col min="1129" max="1130" width="8.5546875" style="121" bestFit="1" customWidth="1"/>
    <col min="1131" max="1132" width="7" style="121" bestFit="1" customWidth="1"/>
    <col min="1133" max="1134" width="7.33203125" style="121" bestFit="1" customWidth="1"/>
    <col min="1135" max="1136" width="4.77734375" style="121" bestFit="1" customWidth="1"/>
    <col min="1137" max="1139" width="6.109375" style="121" bestFit="1" customWidth="1"/>
    <col min="1140" max="1141" width="10.33203125" style="121" bestFit="1" customWidth="1"/>
    <col min="1142" max="1143" width="10.21875" style="121" bestFit="1" customWidth="1"/>
    <col min="1144" max="1145" width="13.44140625" style="121" bestFit="1" customWidth="1"/>
    <col min="1146" max="1147" width="7.6640625" style="121" bestFit="1" customWidth="1"/>
    <col min="1148" max="1149" width="15.21875" style="121" bestFit="1" customWidth="1"/>
    <col min="1150" max="1151" width="12.5546875" style="121" bestFit="1" customWidth="1"/>
    <col min="1152" max="1153" width="8.5546875" style="121" bestFit="1" customWidth="1"/>
    <col min="1154" max="1155" width="7" style="121" bestFit="1" customWidth="1"/>
    <col min="1156" max="1157" width="7.33203125" style="121" bestFit="1" customWidth="1"/>
    <col min="1158" max="1159" width="4.77734375" style="121" bestFit="1" customWidth="1"/>
    <col min="1160" max="1161" width="6.109375" style="121" bestFit="1" customWidth="1"/>
    <col min="1162" max="1162" width="9.33203125" style="121" bestFit="1" customWidth="1"/>
    <col min="1163" max="1163" width="5.6640625" style="121" bestFit="1" customWidth="1"/>
    <col min="1164" max="1164" width="10.33203125" style="121" bestFit="1" customWidth="1"/>
    <col min="1165" max="1165" width="10.21875" style="121" bestFit="1" customWidth="1"/>
    <col min="1166" max="1166" width="13.44140625" style="121" bestFit="1" customWidth="1"/>
    <col min="1167" max="1167" width="7.6640625" style="121" bestFit="1" customWidth="1"/>
    <col min="1168" max="1168" width="15.21875" style="121" bestFit="1" customWidth="1"/>
    <col min="1169" max="1169" width="12.5546875" style="121" bestFit="1" customWidth="1"/>
    <col min="1170" max="1170" width="8.5546875" style="121" bestFit="1" customWidth="1"/>
    <col min="1171" max="1171" width="7" style="121" bestFit="1" customWidth="1"/>
    <col min="1172" max="1172" width="7.33203125" style="121" bestFit="1" customWidth="1"/>
    <col min="1173" max="1173" width="4.77734375" style="121" bestFit="1" customWidth="1"/>
    <col min="1174" max="1174" width="6.109375" style="121" bestFit="1" customWidth="1"/>
    <col min="1175" max="1175" width="5.44140625" style="121" bestFit="1" customWidth="1"/>
    <col min="1176" max="1177" width="10.33203125" style="121" bestFit="1" customWidth="1"/>
    <col min="1178" max="1179" width="10.21875" style="121" bestFit="1" customWidth="1"/>
    <col min="1180" max="1181" width="13.44140625" style="121" bestFit="1" customWidth="1"/>
    <col min="1182" max="1183" width="7.6640625" style="121" bestFit="1" customWidth="1"/>
    <col min="1184" max="1185" width="15.21875" style="121" bestFit="1" customWidth="1"/>
    <col min="1186" max="1187" width="12.5546875" style="121" bestFit="1" customWidth="1"/>
    <col min="1188" max="1189" width="8.5546875" style="121" bestFit="1" customWidth="1"/>
    <col min="1190" max="1191" width="7" style="121" bestFit="1" customWidth="1"/>
    <col min="1192" max="1193" width="7.33203125" style="121" bestFit="1" customWidth="1"/>
    <col min="1194" max="1195" width="4.77734375" style="121" bestFit="1" customWidth="1"/>
    <col min="1196" max="1197" width="6.109375" style="121" bestFit="1" customWidth="1"/>
    <col min="1198" max="1198" width="4" style="121" bestFit="1" customWidth="1"/>
    <col min="1199" max="1200" width="10.33203125" style="121" bestFit="1" customWidth="1"/>
    <col min="1201" max="1202" width="10.21875" style="121" bestFit="1" customWidth="1"/>
    <col min="1203" max="1204" width="13.44140625" style="121" bestFit="1" customWidth="1"/>
    <col min="1205" max="1206" width="7.6640625" style="121" bestFit="1" customWidth="1"/>
    <col min="1207" max="1208" width="15.21875" style="121" bestFit="1" customWidth="1"/>
    <col min="1209" max="1210" width="12.5546875" style="121" bestFit="1" customWidth="1"/>
    <col min="1211" max="1212" width="8.5546875" style="121" bestFit="1" customWidth="1"/>
    <col min="1213" max="1214" width="7" style="121" bestFit="1" customWidth="1"/>
    <col min="1215" max="1216" width="7.33203125" style="121" bestFit="1" customWidth="1"/>
    <col min="1217" max="1218" width="4.77734375" style="121" bestFit="1" customWidth="1"/>
    <col min="1219" max="1221" width="6.109375" style="121" bestFit="1" customWidth="1"/>
    <col min="1222" max="1223" width="10.33203125" style="121" bestFit="1" customWidth="1"/>
    <col min="1224" max="1225" width="10.21875" style="121" bestFit="1" customWidth="1"/>
    <col min="1226" max="1227" width="13.44140625" style="121" bestFit="1" customWidth="1"/>
    <col min="1228" max="1229" width="7.6640625" style="121" bestFit="1" customWidth="1"/>
    <col min="1230" max="1231" width="15.21875" style="121" bestFit="1" customWidth="1"/>
    <col min="1232" max="1233" width="12.5546875" style="121" bestFit="1" customWidth="1"/>
    <col min="1234" max="1235" width="8.5546875" style="121" bestFit="1" customWidth="1"/>
    <col min="1236" max="1237" width="7" style="121" bestFit="1" customWidth="1"/>
    <col min="1238" max="1239" width="7.33203125" style="121" bestFit="1" customWidth="1"/>
    <col min="1240" max="1241" width="4.77734375" style="121" bestFit="1" customWidth="1"/>
    <col min="1242" max="1243" width="6.109375" style="121" bestFit="1" customWidth="1"/>
    <col min="1244" max="1244" width="8.6640625" style="121" bestFit="1" customWidth="1"/>
    <col min="1245" max="1245" width="5.6640625" style="121" bestFit="1" customWidth="1"/>
    <col min="1246" max="1246" width="10.33203125" style="121" bestFit="1" customWidth="1"/>
    <col min="1247" max="1247" width="10.21875" style="121" bestFit="1" customWidth="1"/>
    <col min="1248" max="1248" width="13.44140625" style="121" bestFit="1" customWidth="1"/>
    <col min="1249" max="1249" width="7.6640625" style="121" bestFit="1" customWidth="1"/>
    <col min="1250" max="1250" width="15.21875" style="121" bestFit="1" customWidth="1"/>
    <col min="1251" max="1251" width="12.5546875" style="121" bestFit="1" customWidth="1"/>
    <col min="1252" max="1252" width="8.5546875" style="121" bestFit="1" customWidth="1"/>
    <col min="1253" max="1253" width="7" style="121" bestFit="1" customWidth="1"/>
    <col min="1254" max="1254" width="7.33203125" style="121" bestFit="1" customWidth="1"/>
    <col min="1255" max="1255" width="4.77734375" style="121" bestFit="1" customWidth="1"/>
    <col min="1256" max="1256" width="6.109375" style="121" bestFit="1" customWidth="1"/>
    <col min="1257" max="1257" width="5.44140625" style="121" bestFit="1" customWidth="1"/>
    <col min="1258" max="1259" width="10.33203125" style="121" bestFit="1" customWidth="1"/>
    <col min="1260" max="1261" width="10.21875" style="121" bestFit="1" customWidth="1"/>
    <col min="1262" max="1263" width="13.44140625" style="121" bestFit="1" customWidth="1"/>
    <col min="1264" max="1265" width="7.6640625" style="121" bestFit="1" customWidth="1"/>
    <col min="1266" max="1267" width="15.21875" style="121" bestFit="1" customWidth="1"/>
    <col min="1268" max="1269" width="12.5546875" style="121" bestFit="1" customWidth="1"/>
    <col min="1270" max="1271" width="8.5546875" style="121" bestFit="1" customWidth="1"/>
    <col min="1272" max="1273" width="7" style="121" bestFit="1" customWidth="1"/>
    <col min="1274" max="1275" width="7.33203125" style="121" bestFit="1" customWidth="1"/>
    <col min="1276" max="1277" width="4.77734375" style="121" bestFit="1" customWidth="1"/>
    <col min="1278" max="1279" width="6.109375" style="121" bestFit="1" customWidth="1"/>
    <col min="1280" max="1280" width="4" style="121" bestFit="1" customWidth="1"/>
    <col min="1281" max="1282" width="10.33203125" style="121" bestFit="1" customWidth="1"/>
    <col min="1283" max="1284" width="10.21875" style="121" bestFit="1" customWidth="1"/>
    <col min="1285" max="1286" width="13.44140625" style="121" bestFit="1" customWidth="1"/>
    <col min="1287" max="1288" width="7.6640625" style="121" bestFit="1" customWidth="1"/>
    <col min="1289" max="1290" width="15.21875" style="121" bestFit="1" customWidth="1"/>
    <col min="1291" max="1292" width="12.5546875" style="121" bestFit="1" customWidth="1"/>
    <col min="1293" max="1294" width="8.5546875" style="121" bestFit="1" customWidth="1"/>
    <col min="1295" max="1296" width="7" style="121" bestFit="1" customWidth="1"/>
    <col min="1297" max="1298" width="7.33203125" style="121" bestFit="1" customWidth="1"/>
    <col min="1299" max="1300" width="4.77734375" style="121" bestFit="1" customWidth="1"/>
    <col min="1301" max="1303" width="6.109375" style="121" bestFit="1" customWidth="1"/>
    <col min="1304" max="1305" width="10.33203125" style="121" bestFit="1" customWidth="1"/>
    <col min="1306" max="1307" width="10.21875" style="121" bestFit="1" customWidth="1"/>
    <col min="1308" max="1309" width="13.44140625" style="121" bestFit="1" customWidth="1"/>
    <col min="1310" max="1311" width="7.6640625" style="121" bestFit="1" customWidth="1"/>
    <col min="1312" max="1313" width="15.21875" style="121" bestFit="1" customWidth="1"/>
    <col min="1314" max="1315" width="12.5546875" style="121" bestFit="1" customWidth="1"/>
    <col min="1316" max="1317" width="8.5546875" style="121" bestFit="1" customWidth="1"/>
    <col min="1318" max="1319" width="7" style="121" bestFit="1" customWidth="1"/>
    <col min="1320" max="1321" width="7.33203125" style="121" bestFit="1" customWidth="1"/>
    <col min="1322" max="1323" width="4.77734375" style="121" bestFit="1" customWidth="1"/>
    <col min="1324" max="1325" width="6.109375" style="121" bestFit="1" customWidth="1"/>
    <col min="1326" max="1326" width="9.44140625" style="121" bestFit="1" customWidth="1"/>
    <col min="1327" max="1327" width="5.6640625" style="121" bestFit="1" customWidth="1"/>
    <col min="1328" max="1328" width="10.33203125" style="121" bestFit="1" customWidth="1"/>
    <col min="1329" max="1329" width="10.21875" style="121" bestFit="1" customWidth="1"/>
    <col min="1330" max="1330" width="13.44140625" style="121" bestFit="1" customWidth="1"/>
    <col min="1331" max="1331" width="7.6640625" style="121" bestFit="1" customWidth="1"/>
    <col min="1332" max="1332" width="15.21875" style="121" bestFit="1" customWidth="1"/>
    <col min="1333" max="1333" width="12.5546875" style="121" bestFit="1" customWidth="1"/>
    <col min="1334" max="1334" width="8.5546875" style="121" bestFit="1" customWidth="1"/>
    <col min="1335" max="1335" width="7" style="121" bestFit="1" customWidth="1"/>
    <col min="1336" max="1336" width="7.33203125" style="121" bestFit="1" customWidth="1"/>
    <col min="1337" max="1337" width="4.77734375" style="121" bestFit="1" customWidth="1"/>
    <col min="1338" max="1338" width="6.109375" style="121" bestFit="1" customWidth="1"/>
    <col min="1339" max="1339" width="5.44140625" style="121" bestFit="1" customWidth="1"/>
    <col min="1340" max="1341" width="10.33203125" style="121" bestFit="1" customWidth="1"/>
    <col min="1342" max="1343" width="10.21875" style="121" bestFit="1" customWidth="1"/>
    <col min="1344" max="1345" width="13.44140625" style="121" bestFit="1" customWidth="1"/>
    <col min="1346" max="1347" width="7.6640625" style="121" bestFit="1" customWidth="1"/>
    <col min="1348" max="1349" width="15.21875" style="121" bestFit="1" customWidth="1"/>
    <col min="1350" max="1351" width="12.5546875" style="121" bestFit="1" customWidth="1"/>
    <col min="1352" max="1353" width="8.5546875" style="121" bestFit="1" customWidth="1"/>
    <col min="1354" max="1355" width="7" style="121" bestFit="1" customWidth="1"/>
    <col min="1356" max="1357" width="7.33203125" style="121" bestFit="1" customWidth="1"/>
    <col min="1358" max="1359" width="4.77734375" style="121" bestFit="1" customWidth="1"/>
    <col min="1360" max="1361" width="6.109375" style="121" bestFit="1" customWidth="1"/>
    <col min="1362" max="1362" width="4" style="121" bestFit="1" customWidth="1"/>
    <col min="1363" max="1364" width="10.33203125" style="121" bestFit="1" customWidth="1"/>
    <col min="1365" max="1366" width="10.21875" style="121" bestFit="1" customWidth="1"/>
    <col min="1367" max="1368" width="13.44140625" style="121" bestFit="1" customWidth="1"/>
    <col min="1369" max="1370" width="7.6640625" style="121" bestFit="1" customWidth="1"/>
    <col min="1371" max="1372" width="15.21875" style="121" bestFit="1" customWidth="1"/>
    <col min="1373" max="1374" width="12.5546875" style="121" bestFit="1" customWidth="1"/>
    <col min="1375" max="1376" width="8.5546875" style="121" bestFit="1" customWidth="1"/>
    <col min="1377" max="1378" width="7" style="121" bestFit="1" customWidth="1"/>
    <col min="1379" max="1380" width="7.33203125" style="121" bestFit="1" customWidth="1"/>
    <col min="1381" max="1382" width="4.77734375" style="121" bestFit="1" customWidth="1"/>
    <col min="1383" max="1385" width="6.109375" style="121" bestFit="1" customWidth="1"/>
    <col min="1386" max="1387" width="10.33203125" style="121" bestFit="1" customWidth="1"/>
    <col min="1388" max="1389" width="10.21875" style="121" bestFit="1" customWidth="1"/>
    <col min="1390" max="1391" width="13.44140625" style="121" bestFit="1" customWidth="1"/>
    <col min="1392" max="1393" width="7.6640625" style="121" bestFit="1" customWidth="1"/>
    <col min="1394" max="1395" width="15.21875" style="121" bestFit="1" customWidth="1"/>
    <col min="1396" max="1397" width="12.5546875" style="121" bestFit="1" customWidth="1"/>
    <col min="1398" max="1399" width="8.5546875" style="121" bestFit="1" customWidth="1"/>
    <col min="1400" max="1401" width="7" style="121" bestFit="1" customWidth="1"/>
    <col min="1402" max="1403" width="7.33203125" style="121" bestFit="1" customWidth="1"/>
    <col min="1404" max="1405" width="4.77734375" style="121" bestFit="1" customWidth="1"/>
    <col min="1406" max="1407" width="6.109375" style="121" bestFit="1" customWidth="1"/>
    <col min="1408" max="1408" width="10.44140625" style="121" bestFit="1" customWidth="1"/>
    <col min="1409" max="1409" width="5.6640625" style="121" bestFit="1" customWidth="1"/>
    <col min="1410" max="1410" width="10.33203125" style="121" bestFit="1" customWidth="1"/>
    <col min="1411" max="1411" width="10.21875" style="121" bestFit="1" customWidth="1"/>
    <col min="1412" max="1412" width="13.44140625" style="121" bestFit="1" customWidth="1"/>
    <col min="1413" max="1413" width="7.6640625" style="121" bestFit="1" customWidth="1"/>
    <col min="1414" max="1414" width="15.21875" style="121" bestFit="1" customWidth="1"/>
    <col min="1415" max="1415" width="12.5546875" style="121" bestFit="1" customWidth="1"/>
    <col min="1416" max="1416" width="8.5546875" style="121" bestFit="1" customWidth="1"/>
    <col min="1417" max="1417" width="7" style="121" bestFit="1" customWidth="1"/>
    <col min="1418" max="1418" width="7.33203125" style="121" bestFit="1" customWidth="1"/>
    <col min="1419" max="1419" width="4.77734375" style="121" bestFit="1" customWidth="1"/>
    <col min="1420" max="1420" width="6.109375" style="121" bestFit="1" customWidth="1"/>
    <col min="1421" max="1421" width="5.44140625" style="121" bestFit="1" customWidth="1"/>
    <col min="1422" max="1423" width="10.33203125" style="121" bestFit="1" customWidth="1"/>
    <col min="1424" max="1425" width="10.21875" style="121" bestFit="1" customWidth="1"/>
    <col min="1426" max="1427" width="13.44140625" style="121" bestFit="1" customWidth="1"/>
    <col min="1428" max="1429" width="7.6640625" style="121" bestFit="1" customWidth="1"/>
    <col min="1430" max="1431" width="15.21875" style="121" bestFit="1" customWidth="1"/>
    <col min="1432" max="1433" width="12.5546875" style="121" bestFit="1" customWidth="1"/>
    <col min="1434" max="1435" width="8.5546875" style="121" bestFit="1" customWidth="1"/>
    <col min="1436" max="1437" width="7" style="121" bestFit="1" customWidth="1"/>
    <col min="1438" max="1439" width="7.33203125" style="121" bestFit="1" customWidth="1"/>
    <col min="1440" max="1441" width="4.77734375" style="121" bestFit="1" customWidth="1"/>
    <col min="1442" max="1443" width="6.109375" style="121" bestFit="1" customWidth="1"/>
    <col min="1444" max="1444" width="4" style="121" bestFit="1" customWidth="1"/>
    <col min="1445" max="1446" width="10.33203125" style="121" bestFit="1" customWidth="1"/>
    <col min="1447" max="1448" width="10.21875" style="121" bestFit="1" customWidth="1"/>
    <col min="1449" max="1450" width="13.44140625" style="121" bestFit="1" customWidth="1"/>
    <col min="1451" max="1452" width="7.6640625" style="121" bestFit="1" customWidth="1"/>
    <col min="1453" max="1454" width="15.21875" style="121" bestFit="1" customWidth="1"/>
    <col min="1455" max="1456" width="12.5546875" style="121" bestFit="1" customWidth="1"/>
    <col min="1457" max="1458" width="8.5546875" style="121" bestFit="1" customWidth="1"/>
    <col min="1459" max="1460" width="7" style="121" bestFit="1" customWidth="1"/>
    <col min="1461" max="1462" width="7.33203125" style="121" bestFit="1" customWidth="1"/>
    <col min="1463" max="1464" width="4.77734375" style="121" bestFit="1" customWidth="1"/>
    <col min="1465" max="1467" width="6.109375" style="121" bestFit="1" customWidth="1"/>
    <col min="1468" max="1469" width="10.33203125" style="121" bestFit="1" customWidth="1"/>
    <col min="1470" max="1471" width="10.21875" style="121" bestFit="1" customWidth="1"/>
    <col min="1472" max="1473" width="13.44140625" style="121" bestFit="1" customWidth="1"/>
    <col min="1474" max="1475" width="7.6640625" style="121" bestFit="1" customWidth="1"/>
    <col min="1476" max="1477" width="15.21875" style="121" bestFit="1" customWidth="1"/>
    <col min="1478" max="1479" width="12.5546875" style="121" bestFit="1" customWidth="1"/>
    <col min="1480" max="1481" width="8.5546875" style="121" bestFit="1" customWidth="1"/>
    <col min="1482" max="1483" width="7" style="121" bestFit="1" customWidth="1"/>
    <col min="1484" max="1485" width="7.33203125" style="121" bestFit="1" customWidth="1"/>
    <col min="1486" max="1487" width="4.77734375" style="121" bestFit="1" customWidth="1"/>
    <col min="1488" max="1489" width="6.109375" style="121" bestFit="1" customWidth="1"/>
    <col min="1490" max="1490" width="6.21875" style="121" bestFit="1" customWidth="1"/>
    <col min="1491" max="1491" width="5.6640625" style="121" bestFit="1" customWidth="1"/>
    <col min="1492" max="1492" width="10.33203125" style="121" bestFit="1" customWidth="1"/>
    <col min="1493" max="1493" width="10.21875" style="121" bestFit="1" customWidth="1"/>
    <col min="1494" max="1494" width="13.44140625" style="121" bestFit="1" customWidth="1"/>
    <col min="1495" max="1495" width="7.6640625" style="121" bestFit="1" customWidth="1"/>
    <col min="1496" max="1496" width="15.21875" style="121" bestFit="1" customWidth="1"/>
    <col min="1497" max="1497" width="12.5546875" style="121" bestFit="1" customWidth="1"/>
    <col min="1498" max="1498" width="8.5546875" style="121" bestFit="1" customWidth="1"/>
    <col min="1499" max="1499" width="7" style="121" bestFit="1" customWidth="1"/>
    <col min="1500" max="1500" width="7.33203125" style="121" bestFit="1" customWidth="1"/>
    <col min="1501" max="1501" width="4.77734375" style="121" bestFit="1" customWidth="1"/>
    <col min="1502" max="1502" width="6.109375" style="121" bestFit="1" customWidth="1"/>
    <col min="1503" max="1503" width="5.44140625" style="121" bestFit="1" customWidth="1"/>
    <col min="1504" max="1505" width="10.33203125" style="121" bestFit="1" customWidth="1"/>
    <col min="1506" max="1507" width="10.21875" style="121" bestFit="1" customWidth="1"/>
    <col min="1508" max="1509" width="13.44140625" style="121" bestFit="1" customWidth="1"/>
    <col min="1510" max="1511" width="7.6640625" style="121" bestFit="1" customWidth="1"/>
    <col min="1512" max="1513" width="15.21875" style="121" bestFit="1" customWidth="1"/>
    <col min="1514" max="1515" width="12.5546875" style="121" bestFit="1" customWidth="1"/>
    <col min="1516" max="1517" width="8.5546875" style="121" bestFit="1" customWidth="1"/>
    <col min="1518" max="1519" width="7" style="121" bestFit="1" customWidth="1"/>
    <col min="1520" max="1521" width="7.33203125" style="121" bestFit="1" customWidth="1"/>
    <col min="1522" max="1523" width="4.77734375" style="121" bestFit="1" customWidth="1"/>
    <col min="1524" max="1525" width="6.109375" style="121" bestFit="1" customWidth="1"/>
    <col min="1526" max="1526" width="4" style="121" bestFit="1" customWidth="1"/>
    <col min="1527" max="1528" width="10.33203125" style="121" bestFit="1" customWidth="1"/>
    <col min="1529" max="1530" width="10.21875" style="121" bestFit="1" customWidth="1"/>
    <col min="1531" max="1532" width="13.44140625" style="121" bestFit="1" customWidth="1"/>
    <col min="1533" max="1534" width="7.6640625" style="121" bestFit="1" customWidth="1"/>
    <col min="1535" max="1536" width="15.21875" style="121" bestFit="1" customWidth="1"/>
    <col min="1537" max="1538" width="12.5546875" style="121" bestFit="1" customWidth="1"/>
    <col min="1539" max="1540" width="8.5546875" style="121" bestFit="1" customWidth="1"/>
    <col min="1541" max="1542" width="7" style="121" bestFit="1" customWidth="1"/>
    <col min="1543" max="1544" width="7.33203125" style="121" bestFit="1" customWidth="1"/>
    <col min="1545" max="1546" width="4.77734375" style="121" bestFit="1" customWidth="1"/>
    <col min="1547" max="1549" width="6.109375" style="121" bestFit="1" customWidth="1"/>
    <col min="1550" max="1551" width="10.33203125" style="121" bestFit="1" customWidth="1"/>
    <col min="1552" max="1553" width="10.21875" style="121" bestFit="1" customWidth="1"/>
    <col min="1554" max="1555" width="13.44140625" style="121" bestFit="1" customWidth="1"/>
    <col min="1556" max="1557" width="7.6640625" style="121" bestFit="1" customWidth="1"/>
    <col min="1558" max="1559" width="15.21875" style="121" bestFit="1" customWidth="1"/>
    <col min="1560" max="1561" width="12.5546875" style="121" bestFit="1" customWidth="1"/>
    <col min="1562" max="1563" width="8.5546875" style="121" bestFit="1" customWidth="1"/>
    <col min="1564" max="1565" width="7" style="121" bestFit="1" customWidth="1"/>
    <col min="1566" max="1567" width="7.33203125" style="121" bestFit="1" customWidth="1"/>
    <col min="1568" max="1569" width="4.77734375" style="121" bestFit="1" customWidth="1"/>
    <col min="1570" max="1571" width="6.109375" style="121" bestFit="1" customWidth="1"/>
    <col min="1572" max="1572" width="13.21875" style="121" bestFit="1" customWidth="1"/>
    <col min="1573" max="1573" width="5.6640625" style="121" bestFit="1" customWidth="1"/>
    <col min="1574" max="1574" width="10.33203125" style="121" bestFit="1" customWidth="1"/>
    <col min="1575" max="1575" width="10.21875" style="121" bestFit="1" customWidth="1"/>
    <col min="1576" max="1576" width="13.44140625" style="121" bestFit="1" customWidth="1"/>
    <col min="1577" max="1577" width="7.6640625" style="121" bestFit="1" customWidth="1"/>
    <col min="1578" max="1578" width="15.21875" style="121" bestFit="1" customWidth="1"/>
    <col min="1579" max="1579" width="12.5546875" style="121" bestFit="1" customWidth="1"/>
    <col min="1580" max="1580" width="8.5546875" style="121" bestFit="1" customWidth="1"/>
    <col min="1581" max="1581" width="7" style="121" bestFit="1" customWidth="1"/>
    <col min="1582" max="1582" width="7.33203125" style="121" bestFit="1" customWidth="1"/>
    <col min="1583" max="1583" width="4.77734375" style="121" bestFit="1" customWidth="1"/>
    <col min="1584" max="1584" width="6.109375" style="121" bestFit="1" customWidth="1"/>
    <col min="1585" max="1585" width="5.44140625" style="121" bestFit="1" customWidth="1"/>
    <col min="1586" max="1587" width="10.33203125" style="121" bestFit="1" customWidth="1"/>
    <col min="1588" max="1589" width="10.21875" style="121" bestFit="1" customWidth="1"/>
    <col min="1590" max="1591" width="13.44140625" style="121" bestFit="1" customWidth="1"/>
    <col min="1592" max="1593" width="7.6640625" style="121" bestFit="1" customWidth="1"/>
    <col min="1594" max="1595" width="15.21875" style="121" bestFit="1" customWidth="1"/>
    <col min="1596" max="1597" width="12.5546875" style="121" bestFit="1" customWidth="1"/>
    <col min="1598" max="1599" width="8.5546875" style="121" bestFit="1" customWidth="1"/>
    <col min="1600" max="1601" width="7" style="121" bestFit="1" customWidth="1"/>
    <col min="1602" max="1603" width="7.33203125" style="121" bestFit="1" customWidth="1"/>
    <col min="1604" max="1605" width="4.77734375" style="121" bestFit="1" customWidth="1"/>
    <col min="1606" max="1607" width="6.109375" style="121" bestFit="1" customWidth="1"/>
    <col min="1608" max="1608" width="4" style="121" bestFit="1" customWidth="1"/>
    <col min="1609" max="1610" width="10.33203125" style="121" bestFit="1" customWidth="1"/>
    <col min="1611" max="1612" width="10.21875" style="121" bestFit="1" customWidth="1"/>
    <col min="1613" max="1614" width="13.44140625" style="121" bestFit="1" customWidth="1"/>
    <col min="1615" max="1616" width="7.6640625" style="121" bestFit="1" customWidth="1"/>
    <col min="1617" max="1618" width="15.21875" style="121" bestFit="1" customWidth="1"/>
    <col min="1619" max="1620" width="12.5546875" style="121" bestFit="1" customWidth="1"/>
    <col min="1621" max="1622" width="8.5546875" style="121" bestFit="1" customWidth="1"/>
    <col min="1623" max="1624" width="7" style="121" bestFit="1" customWidth="1"/>
    <col min="1625" max="1626" width="7.33203125" style="121" bestFit="1" customWidth="1"/>
    <col min="1627" max="1628" width="4.77734375" style="121" bestFit="1" customWidth="1"/>
    <col min="1629" max="1631" width="6.109375" style="121" bestFit="1" customWidth="1"/>
    <col min="1632" max="1633" width="10.33203125" style="121" bestFit="1" customWidth="1"/>
    <col min="1634" max="1635" width="10.21875" style="121" bestFit="1" customWidth="1"/>
    <col min="1636" max="1637" width="13.44140625" style="121" bestFit="1" customWidth="1"/>
    <col min="1638" max="1639" width="7.6640625" style="121" bestFit="1" customWidth="1"/>
    <col min="1640" max="1641" width="15.21875" style="121" bestFit="1" customWidth="1"/>
    <col min="1642" max="1643" width="12.5546875" style="121" bestFit="1" customWidth="1"/>
    <col min="1644" max="1645" width="8.5546875" style="121" bestFit="1" customWidth="1"/>
    <col min="1646" max="1647" width="7" style="121" bestFit="1" customWidth="1"/>
    <col min="1648" max="1649" width="7.33203125" style="121" bestFit="1" customWidth="1"/>
    <col min="1650" max="1651" width="4.77734375" style="121" bestFit="1" customWidth="1"/>
    <col min="1652" max="1653" width="6.109375" style="121" bestFit="1" customWidth="1"/>
    <col min="1654" max="1654" width="11.77734375" style="121" bestFit="1" customWidth="1"/>
    <col min="1655" max="1655" width="5.6640625" style="121" bestFit="1" customWidth="1"/>
    <col min="1656" max="1656" width="10.33203125" style="121" bestFit="1" customWidth="1"/>
    <col min="1657" max="1657" width="10.21875" style="121" bestFit="1" customWidth="1"/>
    <col min="1658" max="1658" width="13.44140625" style="121" bestFit="1" customWidth="1"/>
    <col min="1659" max="1659" width="7.6640625" style="121" bestFit="1" customWidth="1"/>
    <col min="1660" max="1660" width="15.21875" style="121" bestFit="1" customWidth="1"/>
    <col min="1661" max="1661" width="12.5546875" style="121" bestFit="1" customWidth="1"/>
    <col min="1662" max="1662" width="8.5546875" style="121" bestFit="1" customWidth="1"/>
    <col min="1663" max="1663" width="7" style="121" bestFit="1" customWidth="1"/>
    <col min="1664" max="1664" width="7.33203125" style="121" bestFit="1" customWidth="1"/>
    <col min="1665" max="1665" width="4.77734375" style="121" bestFit="1" customWidth="1"/>
    <col min="1666" max="1666" width="6.109375" style="121" bestFit="1" customWidth="1"/>
    <col min="1667" max="1667" width="5.44140625" style="121" bestFit="1" customWidth="1"/>
    <col min="1668" max="1669" width="10.33203125" style="121" bestFit="1" customWidth="1"/>
    <col min="1670" max="1671" width="10.21875" style="121" bestFit="1" customWidth="1"/>
    <col min="1672" max="1673" width="13.44140625" style="121" bestFit="1" customWidth="1"/>
    <col min="1674" max="1675" width="7.6640625" style="121" bestFit="1" customWidth="1"/>
    <col min="1676" max="1677" width="15.21875" style="121" bestFit="1" customWidth="1"/>
    <col min="1678" max="1679" width="12.5546875" style="121" bestFit="1" customWidth="1"/>
    <col min="1680" max="1681" width="8.5546875" style="121" bestFit="1" customWidth="1"/>
    <col min="1682" max="1683" width="7" style="121" bestFit="1" customWidth="1"/>
    <col min="1684" max="1685" width="7.33203125" style="121" bestFit="1" customWidth="1"/>
    <col min="1686" max="1687" width="4.77734375" style="121" bestFit="1" customWidth="1"/>
    <col min="1688" max="1689" width="6.109375" style="121" bestFit="1" customWidth="1"/>
    <col min="1690" max="1690" width="4" style="121" bestFit="1" customWidth="1"/>
    <col min="1691" max="1692" width="10.33203125" style="121" bestFit="1" customWidth="1"/>
    <col min="1693" max="1694" width="10.21875" style="121" bestFit="1" customWidth="1"/>
    <col min="1695" max="1696" width="13.44140625" style="121" bestFit="1" customWidth="1"/>
    <col min="1697" max="1698" width="7.6640625" style="121" bestFit="1" customWidth="1"/>
    <col min="1699" max="1700" width="15.21875" style="121" bestFit="1" customWidth="1"/>
    <col min="1701" max="1702" width="12.5546875" style="121" bestFit="1" customWidth="1"/>
    <col min="1703" max="1704" width="8.5546875" style="121" bestFit="1" customWidth="1"/>
    <col min="1705" max="1706" width="7" style="121" bestFit="1" customWidth="1"/>
    <col min="1707" max="1708" width="7.33203125" style="121" bestFit="1" customWidth="1"/>
    <col min="1709" max="1710" width="4.77734375" style="121" bestFit="1" customWidth="1"/>
    <col min="1711" max="1713" width="6.109375" style="121" bestFit="1" customWidth="1"/>
    <col min="1714" max="1715" width="10.33203125" style="121" bestFit="1" customWidth="1"/>
    <col min="1716" max="1717" width="10.21875" style="121" bestFit="1" customWidth="1"/>
    <col min="1718" max="1719" width="13.44140625" style="121" bestFit="1" customWidth="1"/>
    <col min="1720" max="1721" width="7.6640625" style="121" bestFit="1" customWidth="1"/>
    <col min="1722" max="1723" width="15.21875" style="121" bestFit="1" customWidth="1"/>
    <col min="1724" max="1725" width="12.5546875" style="121" bestFit="1" customWidth="1"/>
    <col min="1726" max="1727" width="8.5546875" style="121" bestFit="1" customWidth="1"/>
    <col min="1728" max="1729" width="7" style="121" bestFit="1" customWidth="1"/>
    <col min="1730" max="1731" width="7.33203125" style="121" bestFit="1" customWidth="1"/>
    <col min="1732" max="1733" width="4.77734375" style="121" bestFit="1" customWidth="1"/>
    <col min="1734" max="1735" width="6.109375" style="121" bestFit="1" customWidth="1"/>
    <col min="1736" max="1736" width="3.5546875" style="121" bestFit="1" customWidth="1"/>
    <col min="1737" max="1737" width="5.6640625" style="121" bestFit="1" customWidth="1"/>
    <col min="1738" max="1738" width="10.33203125" style="121" bestFit="1" customWidth="1"/>
    <col min="1739" max="1739" width="10.21875" style="121" bestFit="1" customWidth="1"/>
    <col min="1740" max="1740" width="13.44140625" style="121" bestFit="1" customWidth="1"/>
    <col min="1741" max="1741" width="7.6640625" style="121" bestFit="1" customWidth="1"/>
    <col min="1742" max="1742" width="15.21875" style="121" bestFit="1" customWidth="1"/>
    <col min="1743" max="1743" width="12.5546875" style="121" bestFit="1" customWidth="1"/>
    <col min="1744" max="1744" width="8.5546875" style="121" bestFit="1" customWidth="1"/>
    <col min="1745" max="1745" width="7" style="121" bestFit="1" customWidth="1"/>
    <col min="1746" max="1746" width="7.33203125" style="121" bestFit="1" customWidth="1"/>
    <col min="1747" max="1747" width="4.77734375" style="121" bestFit="1" customWidth="1"/>
    <col min="1748" max="1748" width="6.109375" style="121" bestFit="1" customWidth="1"/>
    <col min="1749" max="1749" width="5.44140625" style="121" bestFit="1" customWidth="1"/>
    <col min="1750" max="1751" width="10.33203125" style="121" bestFit="1" customWidth="1"/>
    <col min="1752" max="1753" width="10.21875" style="121" bestFit="1" customWidth="1"/>
    <col min="1754" max="1755" width="13.44140625" style="121" bestFit="1" customWidth="1"/>
    <col min="1756" max="1757" width="7.6640625" style="121" bestFit="1" customWidth="1"/>
    <col min="1758" max="1759" width="15.21875" style="121" bestFit="1" customWidth="1"/>
    <col min="1760" max="1761" width="12.5546875" style="121" bestFit="1" customWidth="1"/>
    <col min="1762" max="1763" width="8.5546875" style="121" bestFit="1" customWidth="1"/>
    <col min="1764" max="1765" width="7" style="121" bestFit="1" customWidth="1"/>
    <col min="1766" max="1767" width="7.33203125" style="121" bestFit="1" customWidth="1"/>
    <col min="1768" max="1769" width="4.77734375" style="121" bestFit="1" customWidth="1"/>
    <col min="1770" max="1771" width="6.109375" style="121" bestFit="1" customWidth="1"/>
    <col min="1772" max="1772" width="4" style="121" bestFit="1" customWidth="1"/>
    <col min="1773" max="1774" width="10.33203125" style="121" bestFit="1" customWidth="1"/>
    <col min="1775" max="1776" width="10.21875" style="121" bestFit="1" customWidth="1"/>
    <col min="1777" max="1778" width="13.44140625" style="121" bestFit="1" customWidth="1"/>
    <col min="1779" max="1780" width="7.6640625" style="121" bestFit="1" customWidth="1"/>
    <col min="1781" max="1782" width="15.21875" style="121" bestFit="1" customWidth="1"/>
    <col min="1783" max="1784" width="12.5546875" style="121" bestFit="1" customWidth="1"/>
    <col min="1785" max="1786" width="8.5546875" style="121" bestFit="1" customWidth="1"/>
    <col min="1787" max="1788" width="7" style="121" bestFit="1" customWidth="1"/>
    <col min="1789" max="1790" width="7.33203125" style="121" bestFit="1" customWidth="1"/>
    <col min="1791" max="1792" width="4.77734375" style="121" bestFit="1" customWidth="1"/>
    <col min="1793" max="1795" width="6.109375" style="121" bestFit="1" customWidth="1"/>
    <col min="1796" max="1797" width="10.33203125" style="121" bestFit="1" customWidth="1"/>
    <col min="1798" max="1799" width="10.21875" style="121" bestFit="1" customWidth="1"/>
    <col min="1800" max="1801" width="13.44140625" style="121" bestFit="1" customWidth="1"/>
    <col min="1802" max="1803" width="7.6640625" style="121" bestFit="1" customWidth="1"/>
    <col min="1804" max="1805" width="15.21875" style="121" bestFit="1" customWidth="1"/>
    <col min="1806" max="1807" width="12.5546875" style="121" bestFit="1" customWidth="1"/>
    <col min="1808" max="1809" width="8.5546875" style="121" bestFit="1" customWidth="1"/>
    <col min="1810" max="1811" width="7" style="121" bestFit="1" customWidth="1"/>
    <col min="1812" max="1813" width="7.33203125" style="121" bestFit="1" customWidth="1"/>
    <col min="1814" max="1815" width="4.77734375" style="121" bestFit="1" customWidth="1"/>
    <col min="1816" max="1817" width="6.109375" style="121" bestFit="1" customWidth="1"/>
    <col min="1818" max="1818" width="4.77734375" style="121" bestFit="1" customWidth="1"/>
    <col min="1819" max="1819" width="5.6640625" style="121" bestFit="1" customWidth="1"/>
    <col min="1820" max="1820" width="10.33203125" style="121" bestFit="1" customWidth="1"/>
    <col min="1821" max="1821" width="10.21875" style="121" bestFit="1" customWidth="1"/>
    <col min="1822" max="1822" width="13.44140625" style="121" bestFit="1" customWidth="1"/>
    <col min="1823" max="1823" width="7.6640625" style="121" bestFit="1" customWidth="1"/>
    <col min="1824" max="1824" width="15.21875" style="121" bestFit="1" customWidth="1"/>
    <col min="1825" max="1825" width="12.5546875" style="121" bestFit="1" customWidth="1"/>
    <col min="1826" max="1826" width="8.5546875" style="121" bestFit="1" customWidth="1"/>
    <col min="1827" max="1827" width="7" style="121" bestFit="1" customWidth="1"/>
    <col min="1828" max="1828" width="7.33203125" style="121" bestFit="1" customWidth="1"/>
    <col min="1829" max="1829" width="4.77734375" style="121" bestFit="1" customWidth="1"/>
    <col min="1830" max="1830" width="6.109375" style="121" bestFit="1" customWidth="1"/>
    <col min="1831" max="1831" width="5.44140625" style="121" bestFit="1" customWidth="1"/>
    <col min="1832" max="1833" width="10.33203125" style="121" bestFit="1" customWidth="1"/>
    <col min="1834" max="1835" width="10.21875" style="121" bestFit="1" customWidth="1"/>
    <col min="1836" max="1837" width="13.44140625" style="121" bestFit="1" customWidth="1"/>
    <col min="1838" max="1839" width="7.6640625" style="121" bestFit="1" customWidth="1"/>
    <col min="1840" max="1841" width="15.21875" style="121" bestFit="1" customWidth="1"/>
    <col min="1842" max="1843" width="12.5546875" style="121" bestFit="1" customWidth="1"/>
    <col min="1844" max="1845" width="8.5546875" style="121" bestFit="1" customWidth="1"/>
    <col min="1846" max="1847" width="7" style="121" bestFit="1" customWidth="1"/>
    <col min="1848" max="1849" width="7.33203125" style="121" bestFit="1" customWidth="1"/>
    <col min="1850" max="1851" width="4.77734375" style="121" bestFit="1" customWidth="1"/>
    <col min="1852" max="1853" width="6.109375" style="121" bestFit="1" customWidth="1"/>
    <col min="1854" max="1854" width="4" style="121" bestFit="1" customWidth="1"/>
    <col min="1855" max="1856" width="10.33203125" style="121" bestFit="1" customWidth="1"/>
    <col min="1857" max="1858" width="10.21875" style="121" bestFit="1" customWidth="1"/>
    <col min="1859" max="1860" width="13.44140625" style="121" bestFit="1" customWidth="1"/>
    <col min="1861" max="1862" width="7.6640625" style="121" bestFit="1" customWidth="1"/>
    <col min="1863" max="1864" width="15.21875" style="121" bestFit="1" customWidth="1"/>
    <col min="1865" max="1866" width="12.5546875" style="121" bestFit="1" customWidth="1"/>
    <col min="1867" max="1868" width="8.5546875" style="121" bestFit="1" customWidth="1"/>
    <col min="1869" max="1870" width="7" style="121" bestFit="1" customWidth="1"/>
    <col min="1871" max="1872" width="7.33203125" style="121" bestFit="1" customWidth="1"/>
    <col min="1873" max="1874" width="4.77734375" style="121" bestFit="1" customWidth="1"/>
    <col min="1875" max="1877" width="6.109375" style="121" bestFit="1" customWidth="1"/>
    <col min="1878" max="1879" width="10.33203125" style="121" bestFit="1" customWidth="1"/>
    <col min="1880" max="1881" width="10.21875" style="121" bestFit="1" customWidth="1"/>
    <col min="1882" max="1883" width="13.44140625" style="121" bestFit="1" customWidth="1"/>
    <col min="1884" max="1885" width="7.6640625" style="121" bestFit="1" customWidth="1"/>
    <col min="1886" max="1887" width="15.21875" style="121" bestFit="1" customWidth="1"/>
    <col min="1888" max="1889" width="12.5546875" style="121" bestFit="1" customWidth="1"/>
    <col min="1890" max="1891" width="8.5546875" style="121" bestFit="1" customWidth="1"/>
    <col min="1892" max="1893" width="7" style="121" bestFit="1" customWidth="1"/>
    <col min="1894" max="1895" width="7.33203125" style="121" bestFit="1" customWidth="1"/>
    <col min="1896" max="1897" width="4.77734375" style="121" bestFit="1" customWidth="1"/>
    <col min="1898" max="1900" width="6.109375" style="121" bestFit="1" customWidth="1"/>
    <col min="1901" max="1901" width="5.6640625" style="121" bestFit="1" customWidth="1"/>
    <col min="1902" max="1902" width="10.33203125" style="121" bestFit="1" customWidth="1"/>
    <col min="1903" max="1903" width="10.21875" style="121" bestFit="1" customWidth="1"/>
    <col min="1904" max="1904" width="13.44140625" style="121" bestFit="1" customWidth="1"/>
    <col min="1905" max="1905" width="7.6640625" style="121" bestFit="1" customWidth="1"/>
    <col min="1906" max="1906" width="15.21875" style="121" bestFit="1" customWidth="1"/>
    <col min="1907" max="1907" width="12.5546875" style="121" bestFit="1" customWidth="1"/>
    <col min="1908" max="1908" width="8.5546875" style="121" bestFit="1" customWidth="1"/>
    <col min="1909" max="1909" width="7" style="121" bestFit="1" customWidth="1"/>
    <col min="1910" max="1910" width="7.33203125" style="121" bestFit="1" customWidth="1"/>
    <col min="1911" max="1911" width="4.77734375" style="121" bestFit="1" customWidth="1"/>
    <col min="1912" max="1912" width="6.109375" style="121" bestFit="1" customWidth="1"/>
    <col min="1913" max="1913" width="5.44140625" style="121" bestFit="1" customWidth="1"/>
    <col min="1914" max="1915" width="10.33203125" style="121" bestFit="1" customWidth="1"/>
    <col min="1916" max="1917" width="10.21875" style="121" bestFit="1" customWidth="1"/>
    <col min="1918" max="1919" width="13.44140625" style="121" bestFit="1" customWidth="1"/>
    <col min="1920" max="1921" width="7.6640625" style="121" bestFit="1" customWidth="1"/>
    <col min="1922" max="1923" width="15.21875" style="121" bestFit="1" customWidth="1"/>
    <col min="1924" max="1925" width="12.5546875" style="121" bestFit="1" customWidth="1"/>
    <col min="1926" max="1927" width="8.5546875" style="121" bestFit="1" customWidth="1"/>
    <col min="1928" max="1929" width="7" style="121" bestFit="1" customWidth="1"/>
    <col min="1930" max="1931" width="7.33203125" style="121" bestFit="1" customWidth="1"/>
    <col min="1932" max="1933" width="4.77734375" style="121" bestFit="1" customWidth="1"/>
    <col min="1934" max="1935" width="6.109375" style="121" bestFit="1" customWidth="1"/>
    <col min="1936" max="1936" width="4" style="121" bestFit="1" customWidth="1"/>
    <col min="1937" max="1938" width="10.33203125" style="121" bestFit="1" customWidth="1"/>
    <col min="1939" max="1940" width="10.21875" style="121" bestFit="1" customWidth="1"/>
    <col min="1941" max="1942" width="13.44140625" style="121" bestFit="1" customWidth="1"/>
    <col min="1943" max="1944" width="7.6640625" style="121" bestFit="1" customWidth="1"/>
    <col min="1945" max="1946" width="15.21875" style="121" bestFit="1" customWidth="1"/>
    <col min="1947" max="1948" width="12.5546875" style="121" bestFit="1" customWidth="1"/>
    <col min="1949" max="1950" width="8.5546875" style="121" bestFit="1" customWidth="1"/>
    <col min="1951" max="1952" width="7" style="121" bestFit="1" customWidth="1"/>
    <col min="1953" max="1954" width="7.33203125" style="121" bestFit="1" customWidth="1"/>
    <col min="1955" max="1956" width="4.77734375" style="121" bestFit="1" customWidth="1"/>
    <col min="1957" max="1959" width="6.109375" style="121" bestFit="1" customWidth="1"/>
    <col min="1960" max="1961" width="10.33203125" style="121" bestFit="1" customWidth="1"/>
    <col min="1962" max="1963" width="10.21875" style="121" bestFit="1" customWidth="1"/>
    <col min="1964" max="1965" width="13.44140625" style="121" bestFit="1" customWidth="1"/>
    <col min="1966" max="1967" width="7.6640625" style="121" bestFit="1" customWidth="1"/>
    <col min="1968" max="1969" width="15.21875" style="121" bestFit="1" customWidth="1"/>
    <col min="1970" max="1971" width="12.5546875" style="121" bestFit="1" customWidth="1"/>
    <col min="1972" max="1973" width="8.5546875" style="121" bestFit="1" customWidth="1"/>
    <col min="1974" max="1975" width="7" style="121" bestFit="1" customWidth="1"/>
    <col min="1976" max="1977" width="7.33203125" style="121" bestFit="1" customWidth="1"/>
    <col min="1978" max="1979" width="4.77734375" style="121" bestFit="1" customWidth="1"/>
    <col min="1980" max="1981" width="6.109375" style="121" bestFit="1" customWidth="1"/>
    <col min="1982" max="1982" width="31.109375" style="121" bestFit="1" customWidth="1"/>
    <col min="1983" max="1983" width="6.6640625" style="121" bestFit="1" customWidth="1"/>
    <col min="1984" max="1984" width="4.109375" style="121" bestFit="1" customWidth="1"/>
    <col min="1985" max="1985" width="4.21875" style="121" bestFit="1" customWidth="1"/>
    <col min="1986" max="1986" width="6.109375" style="121" bestFit="1" customWidth="1"/>
    <col min="1987" max="1987" width="4.6640625" style="121" bestFit="1" customWidth="1"/>
    <col min="1988" max="1988" width="4.109375" style="121" bestFit="1" customWidth="1"/>
    <col min="1989" max="1989" width="4.21875" style="121" bestFit="1" customWidth="1"/>
    <col min="1990" max="1990" width="6.109375" style="121" bestFit="1" customWidth="1"/>
    <col min="1991" max="1991" width="5.109375" style="121" bestFit="1" customWidth="1"/>
    <col min="1992" max="1992" width="4.109375" style="121" bestFit="1" customWidth="1"/>
    <col min="1993" max="1993" width="4.21875" style="121" bestFit="1" customWidth="1"/>
    <col min="1994" max="1994" width="6.109375" style="121" bestFit="1" customWidth="1"/>
    <col min="1995" max="1995" width="5.33203125" style="121" bestFit="1" customWidth="1"/>
    <col min="1996" max="1996" width="4.109375" style="121" bestFit="1" customWidth="1"/>
    <col min="1997" max="1997" width="4.21875" style="121" bestFit="1" customWidth="1"/>
    <col min="1998" max="1998" width="6.109375" style="121" bestFit="1" customWidth="1"/>
    <col min="1999" max="1999" width="4.88671875" style="121" bestFit="1" customWidth="1"/>
    <col min="2000" max="2000" width="4.109375" style="121" bestFit="1" customWidth="1"/>
    <col min="2001" max="2001" width="4.21875" style="121" bestFit="1" customWidth="1"/>
    <col min="2002" max="2002" width="6.109375" style="121" bestFit="1" customWidth="1"/>
    <col min="2003" max="2003" width="6.5546875" style="121" bestFit="1" customWidth="1"/>
    <col min="2004" max="2004" width="4.109375" style="121" bestFit="1" customWidth="1"/>
    <col min="2005" max="2005" width="4.21875" style="121" bestFit="1" customWidth="1"/>
    <col min="2006" max="2006" width="6.109375" style="121" bestFit="1" customWidth="1"/>
    <col min="2007" max="2007" width="6.5546875" style="121" bestFit="1" customWidth="1"/>
    <col min="2008" max="2008" width="4.109375" style="121" bestFit="1" customWidth="1"/>
    <col min="2009" max="2009" width="4.21875" style="121" bestFit="1" customWidth="1"/>
    <col min="2010" max="2011" width="6.109375" style="121" bestFit="1" customWidth="1"/>
    <col min="2012" max="2012" width="4.109375" style="121" bestFit="1" customWidth="1"/>
    <col min="2013" max="2013" width="4.21875" style="121" bestFit="1" customWidth="1"/>
    <col min="2014" max="2014" width="6.109375" style="121" bestFit="1" customWidth="1"/>
    <col min="2015" max="2015" width="18.5546875" style="121" bestFit="1" customWidth="1"/>
    <col min="2016" max="2016" width="11.33203125" style="121" bestFit="1" customWidth="1"/>
    <col min="2017" max="2017" width="12.77734375" style="121" bestFit="1" customWidth="1"/>
    <col min="2018" max="2018" width="11.109375" style="121" bestFit="1" customWidth="1"/>
    <col min="2019" max="2019" width="12.77734375" style="121" bestFit="1" customWidth="1"/>
    <col min="2020" max="2020" width="17.5546875" style="121" bestFit="1" customWidth="1"/>
    <col min="2021" max="2021" width="15.21875" style="121" bestFit="1" customWidth="1"/>
    <col min="2022" max="2022" width="10.6640625" style="121" bestFit="1" customWidth="1"/>
    <col min="2023" max="2023" width="26.33203125" style="121" bestFit="1" customWidth="1"/>
    <col min="2024" max="2024" width="7.33203125" style="121" bestFit="1" customWidth="1"/>
    <col min="2025" max="2025" width="7.88671875" style="121" bestFit="1" customWidth="1"/>
    <col min="2026" max="2026" width="9.21875" style="121" bestFit="1" customWidth="1"/>
    <col min="2027" max="2027" width="9.6640625" style="121" bestFit="1" customWidth="1"/>
    <col min="2028" max="2028" width="19.6640625" style="121" bestFit="1" customWidth="1"/>
    <col min="2029" max="2029" width="13.6640625" style="121" bestFit="1" customWidth="1"/>
    <col min="2030" max="2030" width="27" style="121" bestFit="1" customWidth="1"/>
    <col min="2031" max="2031" width="16.77734375" style="121" bestFit="1" customWidth="1"/>
    <col min="2032" max="2032" width="9.6640625" style="121" bestFit="1" customWidth="1"/>
    <col min="2033" max="2033" width="20.5546875" style="121" bestFit="1" customWidth="1"/>
    <col min="2034" max="2034" width="19.77734375" style="121" bestFit="1" customWidth="1"/>
    <col min="2035" max="2035" width="6.109375" style="121" bestFit="1" customWidth="1"/>
    <col min="2036" max="2036" width="16.109375" style="121" bestFit="1" customWidth="1"/>
    <col min="2037" max="2037" width="24.44140625" style="121" bestFit="1" customWidth="1"/>
    <col min="2038" max="2038" width="14.88671875" style="121" bestFit="1" customWidth="1"/>
    <col min="2039" max="2039" width="15.33203125" style="121" bestFit="1" customWidth="1"/>
    <col min="2040" max="2040" width="33.88671875" style="121" bestFit="1" customWidth="1"/>
    <col min="2041" max="2041" width="18.44140625" style="121" bestFit="1" customWidth="1"/>
    <col min="2042" max="2042" width="24.88671875" style="121" bestFit="1" customWidth="1"/>
    <col min="2043" max="2043" width="15.109375" style="121" bestFit="1" customWidth="1"/>
    <col min="2044" max="2044" width="20.88671875" style="121" bestFit="1" customWidth="1"/>
    <col min="2045" max="2045" width="8.33203125" style="121" bestFit="1" customWidth="1"/>
    <col min="2046" max="2046" width="9.33203125" style="121" bestFit="1" customWidth="1"/>
    <col min="2047" max="2047" width="26.21875" style="121" bestFit="1" customWidth="1"/>
    <col min="2048" max="2048" width="19.88671875" style="121" bestFit="1" customWidth="1"/>
    <col min="2049" max="2049" width="23.33203125" style="121" bestFit="1" customWidth="1"/>
    <col min="2050" max="2050" width="4.88671875" style="121" bestFit="1" customWidth="1"/>
    <col min="2051" max="2051" width="14.88671875" style="121" bestFit="1" customWidth="1"/>
    <col min="2052" max="2052" width="21.33203125" style="121" bestFit="1" customWidth="1"/>
    <col min="2053" max="2053" width="12.5546875" style="121" bestFit="1" customWidth="1"/>
    <col min="2054" max="2054" width="21.44140625" style="121" bestFit="1" customWidth="1"/>
    <col min="2055" max="2055" width="20.21875" style="121" bestFit="1" customWidth="1"/>
    <col min="2056" max="2056" width="5.77734375" style="121" bestFit="1" customWidth="1"/>
    <col min="2057" max="2057" width="8.5546875" style="121" bestFit="1" customWidth="1"/>
    <col min="2058" max="2058" width="23.21875" style="121" bestFit="1" customWidth="1"/>
    <col min="2059" max="2059" width="5.77734375" style="121" bestFit="1" customWidth="1"/>
    <col min="2060" max="2060" width="8.5546875" style="121" bestFit="1" customWidth="1"/>
    <col min="2061" max="2061" width="23.88671875" style="121" bestFit="1" customWidth="1"/>
    <col min="2062" max="2062" width="5.77734375" style="121" bestFit="1" customWidth="1"/>
    <col min="2063" max="2063" width="8.5546875" style="121" bestFit="1" customWidth="1"/>
    <col min="2064" max="2064" width="29.109375" style="121" bestFit="1" customWidth="1"/>
    <col min="2065" max="2065" width="5.77734375" style="121" bestFit="1" customWidth="1"/>
    <col min="2066" max="2066" width="8.5546875" style="121" bestFit="1" customWidth="1"/>
    <col min="2067" max="2067" width="10.88671875" style="121" bestFit="1" customWidth="1"/>
    <col min="2068" max="2068" width="5.77734375" style="121" bestFit="1" customWidth="1"/>
    <col min="2069" max="2069" width="8.5546875" style="121" bestFit="1" customWidth="1"/>
    <col min="2070" max="2070" width="21.109375" style="121" bestFit="1" customWidth="1"/>
    <col min="2071" max="2071" width="5.77734375" style="121" bestFit="1" customWidth="1"/>
    <col min="2072" max="2072" width="8.5546875" style="121" bestFit="1" customWidth="1"/>
    <col min="2073" max="2073" width="16.109375" style="121" bestFit="1" customWidth="1"/>
    <col min="2074" max="2074" width="13.21875" style="121" bestFit="1" customWidth="1"/>
    <col min="2075" max="2075" width="14.88671875" style="121" bestFit="1" customWidth="1"/>
    <col min="2076" max="2076" width="11" style="121" bestFit="1" customWidth="1"/>
    <col min="2077" max="2077" width="24.21875" style="121" bestFit="1" customWidth="1"/>
    <col min="2078" max="2078" width="9.6640625" style="121" bestFit="1" customWidth="1"/>
    <col min="2079" max="2079" width="17.5546875" style="121" bestFit="1" customWidth="1"/>
    <col min="2080" max="2080" width="6.109375" style="121" bestFit="1" customWidth="1"/>
    <col min="2081" max="2081" width="22.33203125" style="121" bestFit="1" customWidth="1"/>
    <col min="2082" max="2082" width="12" style="121" bestFit="1" customWidth="1"/>
    <col min="2083" max="2083" width="9.6640625" style="121" bestFit="1" customWidth="1"/>
    <col min="2084" max="2084" width="17.6640625" style="121" bestFit="1" customWidth="1"/>
    <col min="2085" max="2085" width="18.88671875" style="121" bestFit="1" customWidth="1"/>
    <col min="2086" max="2086" width="20.21875" style="121" bestFit="1" customWidth="1"/>
    <col min="2087" max="2087" width="18.33203125" style="121" bestFit="1" customWidth="1"/>
    <col min="2088" max="2088" width="19.44140625" style="121" bestFit="1" customWidth="1"/>
    <col min="2089" max="2089" width="15.88671875" style="121" bestFit="1" customWidth="1"/>
    <col min="2090" max="2090" width="18.6640625" style="121" bestFit="1" customWidth="1"/>
    <col min="2091" max="2091" width="9.6640625" style="121" bestFit="1" customWidth="1"/>
    <col min="2092" max="2092" width="18" style="121" bestFit="1" customWidth="1"/>
    <col min="2093" max="2093" width="26.21875" style="121" bestFit="1" customWidth="1"/>
    <col min="2094" max="2094" width="10.88671875" style="121" bestFit="1" customWidth="1"/>
    <col min="2095" max="2095" width="19.21875" style="121" bestFit="1" customWidth="1"/>
    <col min="2096" max="2096" width="27.44140625" style="121" bestFit="1" customWidth="1"/>
    <col min="2097" max="2097" width="12.21875" style="121" bestFit="1" customWidth="1"/>
    <col min="2098" max="2098" width="20.5546875" style="121" bestFit="1" customWidth="1"/>
    <col min="2099" max="2099" width="28.77734375" style="121" bestFit="1" customWidth="1"/>
    <col min="2100" max="2100" width="10.33203125" style="121" bestFit="1" customWidth="1"/>
    <col min="2101" max="2101" width="18.6640625" style="121" bestFit="1" customWidth="1"/>
    <col min="2102" max="2102" width="26.88671875" style="121" bestFit="1" customWidth="1"/>
    <col min="2103" max="2103" width="11.44140625" style="121" bestFit="1" customWidth="1"/>
    <col min="2104" max="2104" width="19.77734375" style="121" bestFit="1" customWidth="1"/>
    <col min="2105" max="2105" width="28" style="121" bestFit="1" customWidth="1"/>
    <col min="2106" max="2106" width="9.109375" style="121" bestFit="1" customWidth="1"/>
    <col min="2107" max="2107" width="17.44140625" style="121" bestFit="1" customWidth="1"/>
    <col min="2108" max="2108" width="25.6640625" style="121" bestFit="1" customWidth="1"/>
    <col min="2109" max="2109" width="10.6640625" style="121" bestFit="1" customWidth="1"/>
    <col min="2110" max="2110" width="19" style="121" bestFit="1" customWidth="1"/>
    <col min="2111" max="2111" width="27.21875" style="121" bestFit="1" customWidth="1"/>
    <col min="2112" max="2112" width="14.109375" style="121" bestFit="1" customWidth="1"/>
    <col min="2113" max="2113" width="18.88671875" style="121" bestFit="1" customWidth="1"/>
    <col min="2114" max="2114" width="19.21875" style="121" bestFit="1" customWidth="1"/>
    <col min="2115" max="2115" width="14.6640625" style="121" bestFit="1" customWidth="1"/>
    <col min="2116" max="2116" width="10" style="121" bestFit="1" customWidth="1"/>
    <col min="2117" max="2117" width="41.5546875" style="121" bestFit="1" customWidth="1"/>
    <col min="2118" max="2118" width="23.5546875" style="121" bestFit="1" customWidth="1"/>
    <col min="2119" max="2119" width="23.33203125" style="121" bestFit="1" customWidth="1"/>
    <col min="2120" max="2120" width="9.109375" style="121" bestFit="1" customWidth="1"/>
    <col min="2121" max="2121" width="23.44140625" style="121" bestFit="1" customWidth="1"/>
    <col min="2122" max="2122" width="18.88671875" style="121" bestFit="1" customWidth="1"/>
    <col min="2123" max="2123" width="35.6640625" style="121" bestFit="1" customWidth="1"/>
    <col min="2124" max="2124" width="7.44140625" style="121" bestFit="1" customWidth="1"/>
    <col min="2125" max="2125" width="48.21875" style="121" bestFit="1" customWidth="1"/>
    <col min="2126" max="2126" width="9" style="121" bestFit="1" customWidth="1"/>
    <col min="2127" max="2127" width="12.5546875" style="121" bestFit="1" customWidth="1"/>
    <col min="2128" max="2129" width="8.5546875" style="121" bestFit="1" customWidth="1"/>
    <col min="2130" max="2131" width="7" style="121" bestFit="1" customWidth="1"/>
    <col min="2132" max="2133" width="7.33203125" style="121" bestFit="1" customWidth="1"/>
    <col min="2134" max="2135" width="4.77734375" style="121" bestFit="1" customWidth="1"/>
    <col min="2136" max="2137" width="6.109375" style="121" bestFit="1" customWidth="1"/>
    <col min="2138" max="2138" width="31.109375" style="121" bestFit="1" customWidth="1"/>
    <col min="2139" max="2139" width="6.6640625" style="121" bestFit="1" customWidth="1"/>
    <col min="2140" max="2140" width="4.109375" style="121" bestFit="1" customWidth="1"/>
    <col min="2141" max="2141" width="4.21875" style="121" bestFit="1" customWidth="1"/>
    <col min="2142" max="2142" width="6.109375" style="121" bestFit="1" customWidth="1"/>
    <col min="2143" max="2143" width="4.6640625" style="121" bestFit="1" customWidth="1"/>
    <col min="2144" max="2144" width="4.109375" style="121" bestFit="1" customWidth="1"/>
    <col min="2145" max="2145" width="4.21875" style="121" bestFit="1" customWidth="1"/>
    <col min="2146" max="2146" width="6.109375" style="121" bestFit="1" customWidth="1"/>
    <col min="2147" max="2147" width="5.109375" style="121" bestFit="1" customWidth="1"/>
    <col min="2148" max="2148" width="4.109375" style="121" bestFit="1" customWidth="1"/>
    <col min="2149" max="2149" width="4.21875" style="121" bestFit="1" customWidth="1"/>
    <col min="2150" max="2150" width="6.109375" style="121" bestFit="1" customWidth="1"/>
    <col min="2151" max="2151" width="5.33203125" style="121" bestFit="1" customWidth="1"/>
    <col min="2152" max="2152" width="4.109375" style="121" bestFit="1" customWidth="1"/>
    <col min="2153" max="2153" width="4.21875" style="121" bestFit="1" customWidth="1"/>
    <col min="2154" max="2154" width="6.109375" style="121" bestFit="1" customWidth="1"/>
    <col min="2155" max="2155" width="4.88671875" style="121" bestFit="1" customWidth="1"/>
    <col min="2156" max="2156" width="4.109375" style="121" bestFit="1" customWidth="1"/>
    <col min="2157" max="2157" width="4.21875" style="121" bestFit="1" customWidth="1"/>
    <col min="2158" max="2158" width="6.109375" style="121" bestFit="1" customWidth="1"/>
    <col min="2159" max="2159" width="6.5546875" style="121" bestFit="1" customWidth="1"/>
    <col min="2160" max="2160" width="4.109375" style="121" bestFit="1" customWidth="1"/>
    <col min="2161" max="2161" width="4.21875" style="121" bestFit="1" customWidth="1"/>
    <col min="2162" max="2162" width="6.109375" style="121" bestFit="1" customWidth="1"/>
    <col min="2163" max="2163" width="6.5546875" style="121" bestFit="1" customWidth="1"/>
    <col min="2164" max="2164" width="4.109375" style="121" bestFit="1" customWidth="1"/>
    <col min="2165" max="2165" width="4.21875" style="121" bestFit="1" customWidth="1"/>
    <col min="2166" max="2167" width="6.109375" style="121" bestFit="1" customWidth="1"/>
    <col min="2168" max="2168" width="4.109375" style="121" bestFit="1" customWidth="1"/>
    <col min="2169" max="2169" width="4.21875" style="121" bestFit="1" customWidth="1"/>
    <col min="2170" max="2170" width="6.109375" style="121" bestFit="1" customWidth="1"/>
    <col min="2171" max="2171" width="18.5546875" style="121" bestFit="1" customWidth="1"/>
    <col min="2172" max="2172" width="11.33203125" style="121" bestFit="1" customWidth="1"/>
    <col min="2173" max="2173" width="12.77734375" style="121" bestFit="1" customWidth="1"/>
    <col min="2174" max="2174" width="11.109375" style="121" bestFit="1" customWidth="1"/>
    <col min="2175" max="2175" width="12.77734375" style="121" bestFit="1" customWidth="1"/>
    <col min="2176" max="2176" width="17.5546875" style="121" bestFit="1" customWidth="1"/>
    <col min="2177" max="2177" width="15.21875" style="121" bestFit="1" customWidth="1"/>
    <col min="2178" max="2178" width="10.6640625" style="121" bestFit="1" customWidth="1"/>
    <col min="2179" max="2179" width="26.33203125" style="121" bestFit="1" customWidth="1"/>
    <col min="2180" max="2180" width="7.33203125" style="121" bestFit="1" customWidth="1"/>
    <col min="2181" max="2181" width="7.88671875" style="121" bestFit="1" customWidth="1"/>
    <col min="2182" max="2182" width="9.21875" style="121" bestFit="1" customWidth="1"/>
    <col min="2183" max="2183" width="9.6640625" style="121" bestFit="1" customWidth="1"/>
    <col min="2184" max="2184" width="19.6640625" style="121" bestFit="1" customWidth="1"/>
    <col min="2185" max="2185" width="13.6640625" style="121" bestFit="1" customWidth="1"/>
    <col min="2186" max="2186" width="27" style="121" bestFit="1" customWidth="1"/>
    <col min="2187" max="2187" width="16.77734375" style="121" bestFit="1" customWidth="1"/>
    <col min="2188" max="2188" width="9.6640625" style="121" bestFit="1" customWidth="1"/>
    <col min="2189" max="2189" width="20.5546875" style="121" bestFit="1" customWidth="1"/>
    <col min="2190" max="2190" width="19.77734375" style="121" bestFit="1" customWidth="1"/>
    <col min="2191" max="2191" width="6.109375" style="121" bestFit="1" customWidth="1"/>
    <col min="2192" max="2192" width="16.109375" style="121" bestFit="1" customWidth="1"/>
    <col min="2193" max="2193" width="24.44140625" style="121" bestFit="1" customWidth="1"/>
    <col min="2194" max="2194" width="14.88671875" style="121" bestFit="1" customWidth="1"/>
    <col min="2195" max="2195" width="15.33203125" style="121" bestFit="1" customWidth="1"/>
    <col min="2196" max="2196" width="33.88671875" style="121" bestFit="1" customWidth="1"/>
    <col min="2197" max="2197" width="18.44140625" style="121" bestFit="1" customWidth="1"/>
    <col min="2198" max="2198" width="24.88671875" style="121" bestFit="1" customWidth="1"/>
    <col min="2199" max="2199" width="15.109375" style="121" bestFit="1" customWidth="1"/>
    <col min="2200" max="2200" width="20.88671875" style="121" bestFit="1" customWidth="1"/>
    <col min="2201" max="2201" width="8.33203125" style="121" bestFit="1" customWidth="1"/>
    <col min="2202" max="2202" width="9.33203125" style="121" bestFit="1" customWidth="1"/>
    <col min="2203" max="2203" width="26.21875" style="121" bestFit="1" customWidth="1"/>
    <col min="2204" max="2204" width="19.88671875" style="121" bestFit="1" customWidth="1"/>
    <col min="2205" max="2205" width="23.33203125" style="121" bestFit="1" customWidth="1"/>
    <col min="2206" max="2206" width="4.88671875" style="121" bestFit="1" customWidth="1"/>
    <col min="2207" max="2207" width="14.88671875" style="121" bestFit="1" customWidth="1"/>
    <col min="2208" max="2208" width="21.33203125" style="121" bestFit="1" customWidth="1"/>
    <col min="2209" max="2209" width="12.5546875" style="121" bestFit="1" customWidth="1"/>
    <col min="2210" max="2210" width="21.44140625" style="121" bestFit="1" customWidth="1"/>
    <col min="2211" max="2211" width="20.21875" style="121" bestFit="1" customWidth="1"/>
    <col min="2212" max="2212" width="5.77734375" style="121" bestFit="1" customWidth="1"/>
    <col min="2213" max="2213" width="8.5546875" style="121" bestFit="1" customWidth="1"/>
    <col min="2214" max="2214" width="23.21875" style="121" bestFit="1" customWidth="1"/>
    <col min="2215" max="2215" width="5.77734375" style="121" bestFit="1" customWidth="1"/>
    <col min="2216" max="2216" width="8.5546875" style="121" bestFit="1" customWidth="1"/>
    <col min="2217" max="2217" width="23.88671875" style="121" bestFit="1" customWidth="1"/>
    <col min="2218" max="2218" width="5.77734375" style="121" bestFit="1" customWidth="1"/>
    <col min="2219" max="2219" width="8.5546875" style="121" bestFit="1" customWidth="1"/>
    <col min="2220" max="2220" width="29.109375" style="121" bestFit="1" customWidth="1"/>
    <col min="2221" max="2221" width="5.77734375" style="121" bestFit="1" customWidth="1"/>
    <col min="2222" max="2222" width="8.5546875" style="121" bestFit="1" customWidth="1"/>
    <col min="2223" max="2223" width="10.88671875" style="121" bestFit="1" customWidth="1"/>
    <col min="2224" max="2224" width="5.77734375" style="121" bestFit="1" customWidth="1"/>
    <col min="2225" max="2225" width="8.5546875" style="121" bestFit="1" customWidth="1"/>
    <col min="2226" max="2226" width="21.109375" style="121" bestFit="1" customWidth="1"/>
    <col min="2227" max="2227" width="5.77734375" style="121" bestFit="1" customWidth="1"/>
    <col min="2228" max="2228" width="8.5546875" style="121" bestFit="1" customWidth="1"/>
    <col min="2229" max="2229" width="16.109375" style="121" bestFit="1" customWidth="1"/>
    <col min="2230" max="2230" width="13.21875" style="121" bestFit="1" customWidth="1"/>
    <col min="2231" max="2231" width="14.88671875" style="121" bestFit="1" customWidth="1"/>
    <col min="2232" max="2232" width="11" style="121" bestFit="1" customWidth="1"/>
    <col min="2233" max="2233" width="24.21875" style="121" bestFit="1" customWidth="1"/>
    <col min="2234" max="2234" width="9.6640625" style="121" bestFit="1" customWidth="1"/>
    <col min="2235" max="2235" width="17.5546875" style="121" bestFit="1" customWidth="1"/>
    <col min="2236" max="2236" width="6.109375" style="121" bestFit="1" customWidth="1"/>
    <col min="2237" max="2237" width="22.33203125" style="121" bestFit="1" customWidth="1"/>
    <col min="2238" max="2238" width="12" style="121" bestFit="1" customWidth="1"/>
    <col min="2239" max="2239" width="9.6640625" style="121" bestFit="1" customWidth="1"/>
    <col min="2240" max="2240" width="17.6640625" style="121" bestFit="1" customWidth="1"/>
    <col min="2241" max="2241" width="18.88671875" style="121" bestFit="1" customWidth="1"/>
    <col min="2242" max="2242" width="20.21875" style="121" bestFit="1" customWidth="1"/>
    <col min="2243" max="2243" width="18.33203125" style="121" bestFit="1" customWidth="1"/>
    <col min="2244" max="2244" width="19.44140625" style="121" bestFit="1" customWidth="1"/>
    <col min="2245" max="2245" width="15.88671875" style="121" bestFit="1" customWidth="1"/>
    <col min="2246" max="2246" width="18.6640625" style="121" bestFit="1" customWidth="1"/>
    <col min="2247" max="2247" width="9.6640625" style="121" bestFit="1" customWidth="1"/>
    <col min="2248" max="2248" width="18" style="121" bestFit="1" customWidth="1"/>
    <col min="2249" max="2249" width="26.21875" style="121" bestFit="1" customWidth="1"/>
    <col min="2250" max="2250" width="10.88671875" style="121" bestFit="1" customWidth="1"/>
    <col min="2251" max="2251" width="19.21875" style="121" bestFit="1" customWidth="1"/>
    <col min="2252" max="2252" width="27.44140625" style="121" bestFit="1" customWidth="1"/>
    <col min="2253" max="2253" width="12.21875" style="121" bestFit="1" customWidth="1"/>
    <col min="2254" max="2254" width="20.5546875" style="121" bestFit="1" customWidth="1"/>
    <col min="2255" max="2255" width="28.77734375" style="121" bestFit="1" customWidth="1"/>
    <col min="2256" max="2256" width="10.33203125" style="121" bestFit="1" customWidth="1"/>
    <col min="2257" max="2257" width="18.6640625" style="121" bestFit="1" customWidth="1"/>
    <col min="2258" max="2258" width="26.88671875" style="121" bestFit="1" customWidth="1"/>
    <col min="2259" max="2259" width="11.44140625" style="121" bestFit="1" customWidth="1"/>
    <col min="2260" max="2260" width="19.77734375" style="121" bestFit="1" customWidth="1"/>
    <col min="2261" max="2261" width="28" style="121" bestFit="1" customWidth="1"/>
    <col min="2262" max="2262" width="9.109375" style="121" bestFit="1" customWidth="1"/>
    <col min="2263" max="2263" width="17.44140625" style="121" bestFit="1" customWidth="1"/>
    <col min="2264" max="2264" width="25.6640625" style="121" bestFit="1" customWidth="1"/>
    <col min="2265" max="2265" width="10.6640625" style="121" bestFit="1" customWidth="1"/>
    <col min="2266" max="2266" width="19" style="121" bestFit="1" customWidth="1"/>
    <col min="2267" max="2267" width="27.21875" style="121" bestFit="1" customWidth="1"/>
    <col min="2268" max="2268" width="14.109375" style="121" bestFit="1" customWidth="1"/>
    <col min="2269" max="2269" width="18.88671875" style="121" bestFit="1" customWidth="1"/>
    <col min="2270" max="2270" width="19.21875" style="121" bestFit="1" customWidth="1"/>
    <col min="2271" max="2271" width="14.6640625" style="121" bestFit="1" customWidth="1"/>
    <col min="2272" max="2272" width="10" style="121" bestFit="1" customWidth="1"/>
    <col min="2273" max="2273" width="41.5546875" style="121" bestFit="1" customWidth="1"/>
    <col min="2274" max="2274" width="23.5546875" style="121" bestFit="1" customWidth="1"/>
    <col min="2275" max="2275" width="23.33203125" style="121" bestFit="1" customWidth="1"/>
    <col min="2276" max="2276" width="9.109375" style="121" bestFit="1" customWidth="1"/>
    <col min="2277" max="2277" width="23.44140625" style="121" bestFit="1" customWidth="1"/>
    <col min="2278" max="2278" width="18.88671875" style="121" bestFit="1" customWidth="1"/>
    <col min="2279" max="2279" width="35.6640625" style="121" bestFit="1" customWidth="1"/>
    <col min="2280" max="2280" width="7.44140625" style="121" bestFit="1" customWidth="1"/>
    <col min="2281" max="2281" width="48.21875" style="121" bestFit="1" customWidth="1"/>
    <col min="2282" max="2282" width="9" style="121" bestFit="1" customWidth="1"/>
    <col min="2283" max="2283" width="23.33203125" style="121" bestFit="1" customWidth="1"/>
    <col min="2284" max="2284" width="4.88671875" style="121" bestFit="1" customWidth="1"/>
    <col min="2285" max="2285" width="14.88671875" style="121" bestFit="1" customWidth="1"/>
    <col min="2286" max="2286" width="21.33203125" style="121" bestFit="1" customWidth="1"/>
    <col min="2287" max="2287" width="12.5546875" style="121" bestFit="1" customWidth="1"/>
    <col min="2288" max="2288" width="21.44140625" style="121" bestFit="1" customWidth="1"/>
    <col min="2289" max="2289" width="20.21875" style="121" bestFit="1" customWidth="1"/>
    <col min="2290" max="2290" width="5.77734375" style="121" bestFit="1" customWidth="1"/>
    <col min="2291" max="2291" width="8.5546875" style="121" bestFit="1" customWidth="1"/>
    <col min="2292" max="2292" width="23.21875" style="121" bestFit="1" customWidth="1"/>
    <col min="2293" max="2293" width="5.77734375" style="121" bestFit="1" customWidth="1"/>
    <col min="2294" max="2294" width="8.5546875" style="121" bestFit="1" customWidth="1"/>
    <col min="2295" max="2295" width="23.88671875" style="121" bestFit="1" customWidth="1"/>
    <col min="2296" max="2296" width="5.77734375" style="121" bestFit="1" customWidth="1"/>
    <col min="2297" max="2297" width="8.5546875" style="121" bestFit="1" customWidth="1"/>
    <col min="2298" max="2298" width="29.109375" style="121" bestFit="1" customWidth="1"/>
    <col min="2299" max="2299" width="5.77734375" style="121" bestFit="1" customWidth="1"/>
    <col min="2300" max="2300" width="8.5546875" style="121" bestFit="1" customWidth="1"/>
    <col min="2301" max="2301" width="10.88671875" style="121" bestFit="1" customWidth="1"/>
    <col min="2302" max="2302" width="5.77734375" style="121" bestFit="1" customWidth="1"/>
    <col min="2303" max="2303" width="8.5546875" style="121" bestFit="1" customWidth="1"/>
    <col min="2304" max="2304" width="21.109375" style="121" bestFit="1" customWidth="1"/>
    <col min="2305" max="2305" width="5.77734375" style="121" bestFit="1" customWidth="1"/>
    <col min="2306" max="2306" width="8.5546875" style="121" bestFit="1" customWidth="1"/>
    <col min="2307" max="2307" width="16.109375" style="121" bestFit="1" customWidth="1"/>
    <col min="2308" max="2308" width="13.21875" style="121" bestFit="1" customWidth="1"/>
    <col min="2309" max="2309" width="14.88671875" style="121" bestFit="1" customWidth="1"/>
    <col min="2310" max="2310" width="11" style="121" bestFit="1" customWidth="1"/>
    <col min="2311" max="2311" width="24.21875" style="121" bestFit="1" customWidth="1"/>
    <col min="2312" max="2312" width="9.6640625" style="121" bestFit="1" customWidth="1"/>
    <col min="2313" max="2313" width="17.5546875" style="121" bestFit="1" customWidth="1"/>
    <col min="2314" max="2314" width="6.109375" style="121" bestFit="1" customWidth="1"/>
    <col min="2315" max="2315" width="22.33203125" style="121" bestFit="1" customWidth="1"/>
    <col min="2316" max="2316" width="12" style="121" bestFit="1" customWidth="1"/>
    <col min="2317" max="2317" width="9.6640625" style="121" bestFit="1" customWidth="1"/>
    <col min="2318" max="2318" width="17.6640625" style="121" bestFit="1" customWidth="1"/>
    <col min="2319" max="2319" width="18.88671875" style="121" bestFit="1" customWidth="1"/>
    <col min="2320" max="2320" width="20.21875" style="121" bestFit="1" customWidth="1"/>
    <col min="2321" max="2321" width="18.33203125" style="121" bestFit="1" customWidth="1"/>
    <col min="2322" max="2322" width="19.44140625" style="121" bestFit="1" customWidth="1"/>
    <col min="2323" max="2323" width="15.88671875" style="121" bestFit="1" customWidth="1"/>
    <col min="2324" max="2324" width="18.6640625" style="121" bestFit="1" customWidth="1"/>
    <col min="2325" max="2325" width="9.6640625" style="121" bestFit="1" customWidth="1"/>
    <col min="2326" max="2326" width="18" style="121" bestFit="1" customWidth="1"/>
    <col min="2327" max="2327" width="26.21875" style="121" bestFit="1" customWidth="1"/>
    <col min="2328" max="2328" width="10.88671875" style="121" bestFit="1" customWidth="1"/>
    <col min="2329" max="2329" width="19.21875" style="121" bestFit="1" customWidth="1"/>
    <col min="2330" max="2330" width="27.44140625" style="121" bestFit="1" customWidth="1"/>
    <col min="2331" max="2331" width="12.21875" style="121" bestFit="1" customWidth="1"/>
    <col min="2332" max="2332" width="20.5546875" style="121" bestFit="1" customWidth="1"/>
    <col min="2333" max="2333" width="28.77734375" style="121" bestFit="1" customWidth="1"/>
    <col min="2334" max="2334" width="10.33203125" style="121" bestFit="1" customWidth="1"/>
    <col min="2335" max="2335" width="18.6640625" style="121" bestFit="1" customWidth="1"/>
    <col min="2336" max="2336" width="26.88671875" style="121" bestFit="1" customWidth="1"/>
    <col min="2337" max="2337" width="11.44140625" style="121" bestFit="1" customWidth="1"/>
    <col min="2338" max="2338" width="19.77734375" style="121" bestFit="1" customWidth="1"/>
    <col min="2339" max="2339" width="28" style="121" bestFit="1" customWidth="1"/>
    <col min="2340" max="2340" width="9.109375" style="121" bestFit="1" customWidth="1"/>
    <col min="2341" max="2341" width="17.44140625" style="121" bestFit="1" customWidth="1"/>
    <col min="2342" max="2342" width="25.6640625" style="121" bestFit="1" customWidth="1"/>
    <col min="2343" max="2343" width="10.6640625" style="121" bestFit="1" customWidth="1"/>
    <col min="2344" max="2344" width="19" style="121" bestFit="1" customWidth="1"/>
    <col min="2345" max="2345" width="27.21875" style="121" bestFit="1" customWidth="1"/>
    <col min="2346" max="2346" width="14.109375" style="121" bestFit="1" customWidth="1"/>
    <col min="2347" max="2347" width="18.88671875" style="121" bestFit="1" customWidth="1"/>
    <col min="2348" max="2348" width="19.21875" style="121" bestFit="1" customWidth="1"/>
    <col min="2349" max="2349" width="14.6640625" style="121" bestFit="1" customWidth="1"/>
    <col min="2350" max="2350" width="10" style="121" bestFit="1" customWidth="1"/>
    <col min="2351" max="2351" width="41.5546875" style="121" bestFit="1" customWidth="1"/>
    <col min="2352" max="2352" width="23.5546875" style="121" bestFit="1" customWidth="1"/>
    <col min="2353" max="2353" width="23.33203125" style="121" bestFit="1" customWidth="1"/>
    <col min="2354" max="2354" width="9.109375" style="121" bestFit="1" customWidth="1"/>
    <col min="2355" max="2355" width="23.44140625" style="121" bestFit="1" customWidth="1"/>
    <col min="2356" max="2356" width="18.88671875" style="121" bestFit="1" customWidth="1"/>
    <col min="2357" max="2357" width="35.6640625" style="121" bestFit="1" customWidth="1"/>
    <col min="2358" max="2358" width="7.44140625" style="121" bestFit="1" customWidth="1"/>
    <col min="2359" max="2359" width="48.21875" style="121" bestFit="1" customWidth="1"/>
    <col min="2360" max="2360" width="9" style="121" bestFit="1" customWidth="1"/>
    <col min="2361" max="2361" width="28.88671875" style="121" customWidth="1"/>
    <col min="2362" max="2362" width="12" style="121" bestFit="1" customWidth="1"/>
    <col min="2363" max="2363" width="9.6640625" style="121" bestFit="1" customWidth="1"/>
    <col min="2364" max="2364" width="17.6640625" style="121" bestFit="1" customWidth="1"/>
    <col min="2365" max="2365" width="18.88671875" style="121" bestFit="1" customWidth="1"/>
    <col min="2366" max="2366" width="20.21875" style="121" bestFit="1" customWidth="1"/>
    <col min="2367" max="2367" width="18.33203125" style="121" bestFit="1" customWidth="1"/>
    <col min="2368" max="2368" width="19.44140625" style="121" bestFit="1" customWidth="1"/>
    <col min="2369" max="2369" width="15.88671875" style="121" bestFit="1" customWidth="1"/>
    <col min="2370" max="2370" width="18.6640625" style="121" bestFit="1" customWidth="1"/>
    <col min="2371" max="2371" width="9.6640625" style="121" bestFit="1" customWidth="1"/>
    <col min="2372" max="2372" width="18" style="121" bestFit="1" customWidth="1"/>
    <col min="2373" max="2373" width="26.21875" style="121" bestFit="1" customWidth="1"/>
    <col min="2374" max="2374" width="10.88671875" style="121" bestFit="1" customWidth="1"/>
    <col min="2375" max="2375" width="19.21875" style="121" bestFit="1" customWidth="1"/>
    <col min="2376" max="2376" width="27.44140625" style="121" bestFit="1" customWidth="1"/>
    <col min="2377" max="2377" width="12.21875" style="121" bestFit="1" customWidth="1"/>
    <col min="2378" max="2378" width="20.5546875" style="121" bestFit="1" customWidth="1"/>
    <col min="2379" max="2379" width="28.77734375" style="121" bestFit="1" customWidth="1"/>
    <col min="2380" max="2380" width="10.33203125" style="121" bestFit="1" customWidth="1"/>
    <col min="2381" max="2381" width="18.6640625" style="121" bestFit="1" customWidth="1"/>
    <col min="2382" max="2382" width="26.88671875" style="121" bestFit="1" customWidth="1"/>
    <col min="2383" max="2383" width="11.44140625" style="121" bestFit="1" customWidth="1"/>
    <col min="2384" max="2384" width="19.77734375" style="121" bestFit="1" customWidth="1"/>
    <col min="2385" max="2385" width="28" style="121" bestFit="1" customWidth="1"/>
    <col min="2386" max="2386" width="9.109375" style="121" bestFit="1" customWidth="1"/>
    <col min="2387" max="2387" width="17.44140625" style="121" bestFit="1" customWidth="1"/>
    <col min="2388" max="2388" width="25.6640625" style="121" bestFit="1" customWidth="1"/>
    <col min="2389" max="2389" width="10.6640625" style="121" bestFit="1" customWidth="1"/>
    <col min="2390" max="2390" width="19" style="121" bestFit="1" customWidth="1"/>
    <col min="2391" max="2391" width="27.21875" style="121" bestFit="1" customWidth="1"/>
    <col min="2392" max="2392" width="14.109375" style="121" bestFit="1" customWidth="1"/>
    <col min="2393" max="2393" width="18.88671875" style="121" bestFit="1" customWidth="1"/>
    <col min="2394" max="2394" width="19.21875" style="121" bestFit="1" customWidth="1"/>
    <col min="2395" max="2395" width="17.77734375" style="121" customWidth="1"/>
    <col min="2396" max="2396" width="10" style="121" bestFit="1" customWidth="1"/>
    <col min="2397" max="2397" width="41.5546875" style="121" bestFit="1" customWidth="1"/>
    <col min="2398" max="2398" width="23.5546875" style="121" bestFit="1" customWidth="1"/>
    <col min="2399" max="2399" width="23.33203125" style="121" bestFit="1" customWidth="1"/>
    <col min="2400" max="2400" width="9.109375" style="121" bestFit="1" customWidth="1"/>
    <col min="2401" max="2401" width="23.44140625" style="121" bestFit="1" customWidth="1"/>
    <col min="2402" max="2402" width="18.88671875" style="121" bestFit="1" customWidth="1"/>
    <col min="2403" max="2403" width="35.6640625" style="121" bestFit="1" customWidth="1"/>
    <col min="2404" max="2404" width="7.44140625" style="121" bestFit="1" customWidth="1"/>
    <col min="2405" max="2405" width="48.21875" style="121" bestFit="1" customWidth="1"/>
    <col min="2406" max="2406" width="9" style="121" bestFit="1" customWidth="1"/>
    <col min="2407" max="2407" width="29.109375" style="121" bestFit="1" customWidth="1"/>
    <col min="2408" max="2408" width="5.77734375" style="121" bestFit="1" customWidth="1"/>
    <col min="2409" max="2409" width="8.5546875" style="121" bestFit="1" customWidth="1"/>
    <col min="2410" max="2410" width="10.88671875" style="121" bestFit="1" customWidth="1"/>
    <col min="2411" max="2411" width="5.77734375" style="121" bestFit="1" customWidth="1"/>
    <col min="2412" max="2412" width="8.5546875" style="121" bestFit="1" customWidth="1"/>
    <col min="2413" max="2413" width="21.109375" style="121" bestFit="1" customWidth="1"/>
    <col min="2414" max="2414" width="5.77734375" style="121" bestFit="1" customWidth="1"/>
    <col min="2415" max="2415" width="8.5546875" style="121" bestFit="1" customWidth="1"/>
    <col min="2416" max="2416" width="16.109375" style="121" bestFit="1" customWidth="1"/>
    <col min="2417" max="2417" width="13.21875" style="121" bestFit="1" customWidth="1"/>
    <col min="2418" max="2418" width="14.88671875" style="121" bestFit="1" customWidth="1"/>
    <col min="2419" max="2419" width="11" style="121" bestFit="1" customWidth="1"/>
    <col min="2420" max="2420" width="24.21875" style="121" bestFit="1" customWidth="1"/>
    <col min="2421" max="2421" width="9.6640625" style="121" bestFit="1" customWidth="1"/>
    <col min="2422" max="2422" width="17.5546875" style="121" bestFit="1" customWidth="1"/>
    <col min="2423" max="2423" width="6.109375" style="121" bestFit="1" customWidth="1"/>
    <col min="2424" max="2424" width="22.33203125" style="121" bestFit="1" customWidth="1"/>
    <col min="2425" max="2425" width="12" style="121" bestFit="1" customWidth="1"/>
    <col min="2426" max="2426" width="9.6640625" style="121" bestFit="1" customWidth="1"/>
    <col min="2427" max="2427" width="17.6640625" style="121" bestFit="1" customWidth="1"/>
    <col min="2428" max="2428" width="18.88671875" style="121" bestFit="1" customWidth="1"/>
    <col min="2429" max="2429" width="20.21875" style="121" bestFit="1" customWidth="1"/>
    <col min="2430" max="2430" width="18.33203125" style="121" bestFit="1" customWidth="1"/>
    <col min="2431" max="2431" width="19.44140625" style="121" bestFit="1" customWidth="1"/>
    <col min="2432" max="2432" width="15.88671875" style="121" bestFit="1" customWidth="1"/>
    <col min="2433" max="2433" width="18.6640625" style="121" bestFit="1" customWidth="1"/>
    <col min="2434" max="2434" width="9.6640625" style="121" bestFit="1" customWidth="1"/>
    <col min="2435" max="2435" width="18" style="121" bestFit="1" customWidth="1"/>
    <col min="2436" max="2436" width="26.21875" style="121" bestFit="1" customWidth="1"/>
    <col min="2437" max="2437" width="10.88671875" style="121" bestFit="1" customWidth="1"/>
    <col min="2438" max="2438" width="19.21875" style="121" bestFit="1" customWidth="1"/>
    <col min="2439" max="2439" width="27.44140625" style="121" bestFit="1" customWidth="1"/>
    <col min="2440" max="2440" width="12.21875" style="121" bestFit="1" customWidth="1"/>
    <col min="2441" max="2441" width="20.5546875" style="121" bestFit="1" customWidth="1"/>
    <col min="2442" max="2442" width="28.77734375" style="121" bestFit="1" customWidth="1"/>
    <col min="2443" max="2443" width="10.33203125" style="121" bestFit="1" customWidth="1"/>
    <col min="2444" max="2444" width="18.6640625" style="121" bestFit="1" customWidth="1"/>
    <col min="2445" max="2445" width="26.88671875" style="121" bestFit="1" customWidth="1"/>
    <col min="2446" max="2446" width="11.44140625" style="121" bestFit="1" customWidth="1"/>
    <col min="2447" max="2447" width="19.77734375" style="121" bestFit="1" customWidth="1"/>
    <col min="2448" max="2448" width="28" style="121" bestFit="1" customWidth="1"/>
    <col min="2449" max="2449" width="9.109375" style="121" bestFit="1" customWidth="1"/>
    <col min="2450" max="2450" width="17.44140625" style="121" bestFit="1" customWidth="1"/>
    <col min="2451" max="2451" width="25.6640625" style="121" bestFit="1" customWidth="1"/>
    <col min="2452" max="2452" width="10.6640625" style="121" bestFit="1" customWidth="1"/>
    <col min="2453" max="2453" width="19" style="121" bestFit="1" customWidth="1"/>
    <col min="2454" max="2454" width="27.21875" style="121" bestFit="1" customWidth="1"/>
    <col min="2455" max="2455" width="14.109375" style="121" bestFit="1" customWidth="1"/>
    <col min="2456" max="2456" width="18.88671875" style="121" bestFit="1" customWidth="1"/>
    <col min="2457" max="2457" width="19.21875" style="121" bestFit="1" customWidth="1"/>
    <col min="2458" max="2458" width="14.6640625" style="121" bestFit="1" customWidth="1"/>
    <col min="2459" max="2459" width="10" style="121" bestFit="1" customWidth="1"/>
    <col min="2460" max="2460" width="41.5546875" style="121" bestFit="1" customWidth="1"/>
    <col min="2461" max="2461" width="23.5546875" style="121" bestFit="1" customWidth="1"/>
    <col min="2462" max="2462" width="23.33203125" style="121" bestFit="1" customWidth="1"/>
    <col min="2463" max="2463" width="9.109375" style="121" bestFit="1" customWidth="1"/>
    <col min="2464" max="2464" width="23.44140625" style="121" bestFit="1" customWidth="1"/>
    <col min="2465" max="2465" width="18.88671875" style="121" bestFit="1" customWidth="1"/>
    <col min="2466" max="2466" width="35.6640625" style="121" bestFit="1" customWidth="1"/>
    <col min="2467" max="2467" width="7.44140625" style="121" bestFit="1" customWidth="1"/>
    <col min="2468" max="2468" width="48.21875" style="121" bestFit="1" customWidth="1"/>
    <col min="2469" max="2469" width="9" style="121" bestFit="1" customWidth="1"/>
    <col min="2470" max="2470" width="10.6640625" style="121" bestFit="1" customWidth="1"/>
    <col min="2471" max="2471" width="19" style="121" bestFit="1" customWidth="1"/>
    <col min="2472" max="2472" width="27.21875" style="121" bestFit="1" customWidth="1"/>
    <col min="2473" max="2473" width="14.109375" style="121" bestFit="1" customWidth="1"/>
    <col min="2474" max="2474" width="18.88671875" style="121" bestFit="1" customWidth="1"/>
    <col min="2475" max="2475" width="19.21875" style="121" bestFit="1" customWidth="1"/>
    <col min="2476" max="2476" width="14.6640625" style="121" bestFit="1" customWidth="1"/>
    <col min="2477" max="2477" width="10" style="121" bestFit="1" customWidth="1"/>
    <col min="2478" max="2478" width="41.5546875" style="121" bestFit="1" customWidth="1"/>
    <col min="2479" max="2479" width="23.5546875" style="121" bestFit="1" customWidth="1"/>
    <col min="2480" max="2480" width="23.33203125" style="121" bestFit="1" customWidth="1"/>
    <col min="2481" max="2481" width="9.109375" style="121" bestFit="1" customWidth="1"/>
    <col min="2482" max="2482" width="23.44140625" style="121" bestFit="1" customWidth="1"/>
    <col min="2483" max="2483" width="18.88671875" style="121" bestFit="1" customWidth="1"/>
    <col min="2484" max="2484" width="35.6640625" style="121" bestFit="1" customWidth="1"/>
    <col min="2485" max="2485" width="7.44140625" style="121" bestFit="1" customWidth="1"/>
    <col min="2486" max="2486" width="48.21875" style="121" bestFit="1" customWidth="1"/>
    <col min="2487" max="2487" width="9" style="121" bestFit="1" customWidth="1"/>
    <col min="2488" max="2488" width="18.33203125" style="121" bestFit="1" customWidth="1"/>
    <col min="2489" max="2489" width="19.44140625" style="121" bestFit="1" customWidth="1"/>
    <col min="2490" max="2490" width="15.88671875" style="121" bestFit="1" customWidth="1"/>
    <col min="2491" max="2491" width="18.6640625" style="121" bestFit="1" customWidth="1"/>
    <col min="2492" max="2492" width="9.6640625" style="121" bestFit="1" customWidth="1"/>
    <col min="2493" max="2493" width="18" style="121" bestFit="1" customWidth="1"/>
    <col min="2494" max="2494" width="26.21875" style="121" bestFit="1" customWidth="1"/>
    <col min="2495" max="2495" width="10.88671875" style="121" bestFit="1" customWidth="1"/>
    <col min="2496" max="2496" width="19.21875" style="121" bestFit="1" customWidth="1"/>
    <col min="2497" max="2497" width="27.44140625" style="121" bestFit="1" customWidth="1"/>
    <col min="2498" max="2498" width="12.21875" style="121" bestFit="1" customWidth="1"/>
    <col min="2499" max="2499" width="20.5546875" style="121" bestFit="1" customWidth="1"/>
    <col min="2500" max="2500" width="28.77734375" style="121" bestFit="1" customWidth="1"/>
    <col min="2501" max="2501" width="10.33203125" style="121" bestFit="1" customWidth="1"/>
    <col min="2502" max="2502" width="18.6640625" style="121" bestFit="1" customWidth="1"/>
    <col min="2503" max="2503" width="26.88671875" style="121" bestFit="1" customWidth="1"/>
    <col min="2504" max="2504" width="11.44140625" style="121" bestFit="1" customWidth="1"/>
    <col min="2505" max="2505" width="19.77734375" style="121" bestFit="1" customWidth="1"/>
    <col min="2506" max="2506" width="28" style="121" bestFit="1" customWidth="1"/>
    <col min="2507" max="2507" width="9.109375" style="121" bestFit="1" customWidth="1"/>
    <col min="2508" max="2508" width="17.44140625" style="121" bestFit="1" customWidth="1"/>
    <col min="2509" max="2509" width="25.6640625" style="121" bestFit="1" customWidth="1"/>
    <col min="2510" max="2510" width="10.6640625" style="121" bestFit="1" customWidth="1"/>
    <col min="2511" max="2511" width="19" style="121" bestFit="1" customWidth="1"/>
    <col min="2512" max="2512" width="27.21875" style="121" bestFit="1" customWidth="1"/>
    <col min="2513" max="2513" width="14.109375" style="121" bestFit="1" customWidth="1"/>
    <col min="2514" max="2514" width="18.88671875" style="121" bestFit="1" customWidth="1"/>
    <col min="2515" max="2515" width="19.21875" style="121" bestFit="1" customWidth="1"/>
    <col min="2516" max="2516" width="14.6640625" style="121" bestFit="1" customWidth="1"/>
    <col min="2517" max="2517" width="10" style="121" bestFit="1" customWidth="1"/>
    <col min="2518" max="2518" width="41.5546875" style="121" bestFit="1" customWidth="1"/>
    <col min="2519" max="2519" width="23.5546875" style="121" bestFit="1" customWidth="1"/>
    <col min="2520" max="2520" width="23.33203125" style="121" bestFit="1" customWidth="1"/>
    <col min="2521" max="2521" width="9.109375" style="121" bestFit="1" customWidth="1"/>
    <col min="2522" max="2522" width="23.44140625" style="121" bestFit="1" customWidth="1"/>
    <col min="2523" max="2523" width="18.88671875" style="121" bestFit="1" customWidth="1"/>
    <col min="2524" max="2524" width="35.6640625" style="121" bestFit="1" customWidth="1"/>
    <col min="2525" max="2525" width="7.44140625" style="121" bestFit="1" customWidth="1"/>
    <col min="2526" max="2526" width="48.21875" style="121" bestFit="1" customWidth="1"/>
    <col min="2527" max="2527" width="9" style="121" bestFit="1" customWidth="1"/>
    <col min="2528" max="2528" width="17.5546875" style="121" bestFit="1" customWidth="1"/>
    <col min="2529" max="2529" width="6.109375" style="121" bestFit="1" customWidth="1"/>
    <col min="2530" max="2530" width="22.33203125" style="121" bestFit="1" customWidth="1"/>
    <col min="2531" max="2531" width="12" style="121" bestFit="1" customWidth="1"/>
    <col min="2532" max="2532" width="9.6640625" style="121" bestFit="1" customWidth="1"/>
    <col min="2533" max="2533" width="17.6640625" style="121" bestFit="1" customWidth="1"/>
    <col min="2534" max="2534" width="18.88671875" style="121" bestFit="1" customWidth="1"/>
    <col min="2535" max="2535" width="20.21875" style="121" bestFit="1" customWidth="1"/>
    <col min="2536" max="2536" width="18.33203125" style="121" bestFit="1" customWidth="1"/>
    <col min="2537" max="2537" width="19.44140625" style="121" bestFit="1" customWidth="1"/>
    <col min="2538" max="2538" width="15.88671875" style="121" bestFit="1" customWidth="1"/>
    <col min="2539" max="2539" width="18.6640625" style="121" bestFit="1" customWidth="1"/>
    <col min="2540" max="2540" width="9.6640625" style="121" bestFit="1" customWidth="1"/>
    <col min="2541" max="2541" width="18" style="121" bestFit="1" customWidth="1"/>
    <col min="2542" max="2542" width="26.21875" style="121" bestFit="1" customWidth="1"/>
    <col min="2543" max="2543" width="10.88671875" style="121" bestFit="1" customWidth="1"/>
    <col min="2544" max="2544" width="19.21875" style="121" bestFit="1" customWidth="1"/>
    <col min="2545" max="2545" width="27.44140625" style="121" bestFit="1" customWidth="1"/>
    <col min="2546" max="2546" width="12.21875" style="121" bestFit="1" customWidth="1"/>
    <col min="2547" max="2547" width="20.5546875" style="121" bestFit="1" customWidth="1"/>
    <col min="2548" max="2548" width="28.77734375" style="121" bestFit="1" customWidth="1"/>
    <col min="2549" max="2549" width="10.33203125" style="121" bestFit="1" customWidth="1"/>
    <col min="2550" max="2550" width="18.6640625" style="121" bestFit="1" customWidth="1"/>
    <col min="2551" max="2551" width="26.88671875" style="121" bestFit="1" customWidth="1"/>
    <col min="2552" max="2552" width="11.44140625" style="121" bestFit="1" customWidth="1"/>
    <col min="2553" max="2553" width="19.77734375" style="121" bestFit="1" customWidth="1"/>
    <col min="2554" max="2554" width="28" style="121" bestFit="1" customWidth="1"/>
    <col min="2555" max="2555" width="9.109375" style="121" bestFit="1" customWidth="1"/>
    <col min="2556" max="2556" width="17.44140625" style="121" bestFit="1" customWidth="1"/>
    <col min="2557" max="2557" width="25.6640625" style="121" bestFit="1" customWidth="1"/>
    <col min="2558" max="2558" width="10.6640625" style="121" bestFit="1" customWidth="1"/>
    <col min="2559" max="2559" width="19" style="121" bestFit="1" customWidth="1"/>
    <col min="2560" max="2560" width="27.21875" style="121" bestFit="1" customWidth="1"/>
    <col min="2561" max="2561" width="14.109375" style="121" bestFit="1" customWidth="1"/>
    <col min="2562" max="2562" width="16.109375" style="121" bestFit="1" customWidth="1"/>
    <col min="2563" max="2563" width="12.109375" style="121" bestFit="1" customWidth="1"/>
    <col min="2564" max="2564" width="14.6640625" style="121" bestFit="1" customWidth="1"/>
    <col min="2565" max="2565" width="10" style="121" bestFit="1" customWidth="1"/>
    <col min="2566" max="2566" width="41.5546875" style="121" bestFit="1" customWidth="1"/>
    <col min="2567" max="2567" width="23.5546875" style="121" bestFit="1" customWidth="1"/>
    <col min="2568" max="2568" width="23.33203125" style="121" bestFit="1" customWidth="1"/>
    <col min="2569" max="2569" width="9.109375" style="121" bestFit="1" customWidth="1"/>
    <col min="2570" max="2570" width="23.44140625" style="121" bestFit="1" customWidth="1"/>
    <col min="2571" max="2571" width="18.88671875" style="121" bestFit="1" customWidth="1"/>
    <col min="2572" max="2572" width="32.77734375" style="121" bestFit="1" customWidth="1"/>
    <col min="2573" max="2573" width="7.44140625" style="121" bestFit="1" customWidth="1"/>
    <col min="2574" max="2574" width="48.21875" style="121" bestFit="1" customWidth="1"/>
    <col min="2575" max="2575" width="9" style="121" bestFit="1" customWidth="1"/>
    <col min="2576" max="2576" width="23.5546875" style="121" bestFit="1" customWidth="1"/>
    <col min="2577" max="2577" width="23.33203125" style="121" bestFit="1" customWidth="1"/>
    <col min="2578" max="2578" width="9.109375" style="121" bestFit="1" customWidth="1"/>
    <col min="2579" max="2579" width="23.44140625" style="121" bestFit="1" customWidth="1"/>
    <col min="2580" max="2580" width="18.88671875" style="121" bestFit="1" customWidth="1"/>
    <col min="2581" max="2581" width="32.77734375" style="121" bestFit="1" customWidth="1"/>
    <col min="2582" max="2582" width="7.44140625" style="121" bestFit="1" customWidth="1"/>
    <col min="2583" max="2583" width="48.21875" style="121" bestFit="1" customWidth="1"/>
    <col min="2584" max="2584" width="9" style="121" bestFit="1" customWidth="1"/>
    <col min="2585" max="2585" width="16.33203125" style="121" bestFit="1" customWidth="1"/>
    <col min="2586" max="2586" width="16.5546875" style="121" bestFit="1" customWidth="1"/>
    <col min="2587" max="2587" width="6.6640625" style="121" bestFit="1" customWidth="1"/>
    <col min="2588" max="2588" width="17" style="121" bestFit="1" customWidth="1"/>
    <col min="2589" max="2589" width="13.77734375" style="121" bestFit="1" customWidth="1"/>
    <col min="2590" max="2590" width="22.6640625" style="121" bestFit="1" customWidth="1"/>
    <col min="2591" max="2591" width="5.44140625" style="121" bestFit="1" customWidth="1"/>
    <col min="2592" max="2592" width="40.33203125" style="121" bestFit="1" customWidth="1"/>
    <col min="2593" max="2593" width="6.5546875" style="121" bestFit="1" customWidth="1"/>
    <col min="2594" max="2594" width="36.109375" style="121" bestFit="1" customWidth="1"/>
    <col min="2595" max="2595" width="15.6640625" style="121" bestFit="1" customWidth="1"/>
    <col min="2596" max="2596" width="16" style="121" bestFit="1" customWidth="1"/>
    <col min="2597" max="2597" width="6.5546875" style="121" bestFit="1" customWidth="1"/>
    <col min="2598" max="2598" width="17" style="121" bestFit="1" customWidth="1"/>
    <col min="2599" max="2599" width="13.109375" style="121" bestFit="1" customWidth="1"/>
    <col min="2600" max="2600" width="22.6640625" style="121" bestFit="1" customWidth="1"/>
    <col min="2601" max="2601" width="5.33203125" style="121" bestFit="1" customWidth="1"/>
    <col min="2602" max="2602" width="40.33203125" style="121" bestFit="1" customWidth="1"/>
    <col min="2603" max="2603" width="6.33203125" style="121" bestFit="1" customWidth="1"/>
    <col min="2604" max="16384" width="8.88671875" style="121"/>
  </cols>
  <sheetData>
    <row r="1" spans="1:711 2595:2595" s="120" customFormat="1">
      <c r="A1" s="107" t="s">
        <v>7</v>
      </c>
      <c r="B1" s="108" t="s">
        <v>6</v>
      </c>
      <c r="C1" s="109" t="s">
        <v>8</v>
      </c>
      <c r="D1" s="110" t="s">
        <v>9</v>
      </c>
      <c r="E1" s="111" t="s">
        <v>10</v>
      </c>
      <c r="F1" s="112" t="s">
        <v>11</v>
      </c>
      <c r="G1" s="113" t="s">
        <v>12</v>
      </c>
      <c r="H1" s="114" t="s">
        <v>13</v>
      </c>
      <c r="I1" s="115" t="s">
        <v>14</v>
      </c>
      <c r="J1" s="116" t="s">
        <v>15</v>
      </c>
      <c r="K1" s="107" t="s">
        <v>16</v>
      </c>
      <c r="L1" s="108" t="s">
        <v>17</v>
      </c>
      <c r="M1" s="109" t="s">
        <v>18</v>
      </c>
      <c r="N1" s="110" t="s">
        <v>19</v>
      </c>
      <c r="O1" s="111" t="s">
        <v>20</v>
      </c>
      <c r="P1" s="112" t="s">
        <v>21</v>
      </c>
      <c r="Q1" s="113" t="s">
        <v>22</v>
      </c>
      <c r="R1" s="114" t="s">
        <v>23</v>
      </c>
      <c r="S1" s="115" t="s">
        <v>24</v>
      </c>
      <c r="T1" s="116" t="s">
        <v>25</v>
      </c>
      <c r="U1" s="117" t="s">
        <v>26</v>
      </c>
      <c r="V1" s="107" t="s">
        <v>1325</v>
      </c>
      <c r="W1" s="107" t="s">
        <v>51</v>
      </c>
      <c r="X1" s="107" t="s">
        <v>49</v>
      </c>
      <c r="Y1" s="107" t="s">
        <v>35</v>
      </c>
      <c r="Z1" s="107" t="s">
        <v>52</v>
      </c>
      <c r="AA1" s="107" t="s">
        <v>49</v>
      </c>
      <c r="AB1" s="107" t="s">
        <v>35</v>
      </c>
      <c r="AC1" s="107" t="s">
        <v>53</v>
      </c>
      <c r="AD1" s="107" t="s">
        <v>49</v>
      </c>
      <c r="AE1" s="107" t="s">
        <v>35</v>
      </c>
      <c r="AF1" s="107" t="s">
        <v>54</v>
      </c>
      <c r="AG1" s="107" t="s">
        <v>49</v>
      </c>
      <c r="AH1" s="107" t="s">
        <v>35</v>
      </c>
      <c r="AI1" s="107" t="s">
        <v>55</v>
      </c>
      <c r="AJ1" s="107" t="s">
        <v>49</v>
      </c>
      <c r="AK1" s="107" t="s">
        <v>35</v>
      </c>
      <c r="AL1" s="107" t="s">
        <v>56</v>
      </c>
      <c r="AM1" s="107" t="s">
        <v>49</v>
      </c>
      <c r="AN1" s="107" t="s">
        <v>35</v>
      </c>
      <c r="AO1" s="107" t="s">
        <v>57</v>
      </c>
      <c r="AP1" s="107" t="s">
        <v>49</v>
      </c>
      <c r="AQ1" s="107" t="s">
        <v>35</v>
      </c>
      <c r="AR1" s="107" t="s">
        <v>58</v>
      </c>
      <c r="AS1" s="108" t="s">
        <v>1326</v>
      </c>
      <c r="AT1" s="108" t="s">
        <v>51</v>
      </c>
      <c r="AU1" s="108" t="s">
        <v>49</v>
      </c>
      <c r="AV1" s="108" t="s">
        <v>35</v>
      </c>
      <c r="AW1" s="108" t="s">
        <v>52</v>
      </c>
      <c r="AX1" s="108" t="s">
        <v>49</v>
      </c>
      <c r="AY1" s="108" t="s">
        <v>35</v>
      </c>
      <c r="AZ1" s="108" t="s">
        <v>53</v>
      </c>
      <c r="BA1" s="108" t="s">
        <v>49</v>
      </c>
      <c r="BB1" s="108" t="s">
        <v>35</v>
      </c>
      <c r="BC1" s="108" t="s">
        <v>54</v>
      </c>
      <c r="BD1" s="108" t="s">
        <v>49</v>
      </c>
      <c r="BE1" s="108" t="s">
        <v>35</v>
      </c>
      <c r="BF1" s="108" t="s">
        <v>55</v>
      </c>
      <c r="BG1" s="108" t="s">
        <v>49</v>
      </c>
      <c r="BH1" s="108" t="s">
        <v>35</v>
      </c>
      <c r="BI1" s="108" t="s">
        <v>56</v>
      </c>
      <c r="BJ1" s="108" t="s">
        <v>49</v>
      </c>
      <c r="BK1" s="108" t="s">
        <v>35</v>
      </c>
      <c r="BL1" s="108" t="s">
        <v>58</v>
      </c>
      <c r="BM1" s="108" t="s">
        <v>49</v>
      </c>
      <c r="BN1" s="108" t="s">
        <v>35</v>
      </c>
      <c r="BO1" s="108" t="s">
        <v>58</v>
      </c>
      <c r="BP1" s="109" t="s">
        <v>1327</v>
      </c>
      <c r="BQ1" s="109" t="s">
        <v>53</v>
      </c>
      <c r="BR1" s="109" t="s">
        <v>49</v>
      </c>
      <c r="BS1" s="109" t="s">
        <v>35</v>
      </c>
      <c r="BT1" s="109" t="s">
        <v>54</v>
      </c>
      <c r="BU1" s="109" t="s">
        <v>49</v>
      </c>
      <c r="BV1" s="109" t="s">
        <v>35</v>
      </c>
      <c r="BW1" s="109" t="s">
        <v>55</v>
      </c>
      <c r="BX1" s="109" t="s">
        <v>49</v>
      </c>
      <c r="BY1" s="109" t="s">
        <v>35</v>
      </c>
      <c r="BZ1" s="109" t="s">
        <v>56</v>
      </c>
      <c r="CA1" s="109" t="s">
        <v>49</v>
      </c>
      <c r="CB1" s="109" t="s">
        <v>35</v>
      </c>
      <c r="CC1" s="109" t="s">
        <v>347</v>
      </c>
      <c r="CD1" s="109" t="s">
        <v>49</v>
      </c>
      <c r="CE1" s="109" t="s">
        <v>35</v>
      </c>
      <c r="CF1" s="109" t="s">
        <v>58</v>
      </c>
      <c r="CG1" s="109" t="s">
        <v>49</v>
      </c>
      <c r="CH1" s="109" t="s">
        <v>35</v>
      </c>
      <c r="CI1" s="109" t="s">
        <v>58</v>
      </c>
      <c r="CJ1" s="118" t="s">
        <v>1328</v>
      </c>
      <c r="CK1" s="118" t="s">
        <v>54</v>
      </c>
      <c r="CL1" s="118" t="s">
        <v>49</v>
      </c>
      <c r="CM1" s="118" t="s">
        <v>35</v>
      </c>
      <c r="CN1" s="118" t="s">
        <v>55</v>
      </c>
      <c r="CO1" s="118" t="s">
        <v>49</v>
      </c>
      <c r="CP1" s="118" t="s">
        <v>35</v>
      </c>
      <c r="CQ1" s="118" t="s">
        <v>56</v>
      </c>
      <c r="CR1" s="118" t="s">
        <v>49</v>
      </c>
      <c r="CS1" s="118" t="s">
        <v>35</v>
      </c>
      <c r="CT1" s="118" t="s">
        <v>347</v>
      </c>
      <c r="CU1" s="118" t="s">
        <v>49</v>
      </c>
      <c r="CV1" s="118" t="s">
        <v>35</v>
      </c>
      <c r="CW1" s="118" t="s">
        <v>348</v>
      </c>
      <c r="CX1" s="118" t="s">
        <v>49</v>
      </c>
      <c r="CY1" s="118" t="s">
        <v>35</v>
      </c>
      <c r="CZ1" s="118" t="s">
        <v>58</v>
      </c>
      <c r="DA1" s="118" t="s">
        <v>49</v>
      </c>
      <c r="DB1" s="118" t="s">
        <v>35</v>
      </c>
      <c r="DC1" s="118" t="s">
        <v>58</v>
      </c>
      <c r="DD1" s="119" t="s">
        <v>1329</v>
      </c>
      <c r="DE1" s="119" t="s">
        <v>55</v>
      </c>
      <c r="DF1" s="119" t="s">
        <v>49</v>
      </c>
      <c r="DG1" s="119" t="s">
        <v>35</v>
      </c>
      <c r="DH1" s="119" t="s">
        <v>56</v>
      </c>
      <c r="DI1" s="119" t="s">
        <v>49</v>
      </c>
      <c r="DJ1" s="119" t="s">
        <v>35</v>
      </c>
      <c r="DK1" s="119" t="s">
        <v>347</v>
      </c>
      <c r="DL1" s="119" t="s">
        <v>49</v>
      </c>
      <c r="DM1" s="119" t="s">
        <v>35</v>
      </c>
      <c r="DN1" s="119" t="s">
        <v>348</v>
      </c>
      <c r="DO1" s="119" t="s">
        <v>49</v>
      </c>
      <c r="DP1" s="119" t="s">
        <v>35</v>
      </c>
      <c r="DQ1" s="119" t="s">
        <v>1330</v>
      </c>
      <c r="DR1" s="119" t="s">
        <v>49</v>
      </c>
      <c r="DS1" s="119" t="s">
        <v>35</v>
      </c>
      <c r="DT1" s="119" t="s">
        <v>58</v>
      </c>
      <c r="DU1" s="119" t="s">
        <v>49</v>
      </c>
      <c r="DV1" s="119" t="s">
        <v>35</v>
      </c>
      <c r="DW1" s="119" t="s">
        <v>58</v>
      </c>
      <c r="DX1" s="112" t="s">
        <v>1331</v>
      </c>
      <c r="DY1" s="112" t="s">
        <v>56</v>
      </c>
      <c r="DZ1" s="112" t="s">
        <v>49</v>
      </c>
      <c r="EA1" s="112" t="s">
        <v>35</v>
      </c>
      <c r="EB1" s="112" t="s">
        <v>347</v>
      </c>
      <c r="EC1" s="112" t="s">
        <v>49</v>
      </c>
      <c r="ED1" s="112" t="s">
        <v>35</v>
      </c>
      <c r="EE1" s="112" t="s">
        <v>348</v>
      </c>
      <c r="EF1" s="112" t="s">
        <v>49</v>
      </c>
      <c r="EG1" s="112" t="s">
        <v>35</v>
      </c>
      <c r="EH1" s="112" t="s">
        <v>1330</v>
      </c>
      <c r="EI1" s="112" t="s">
        <v>49</v>
      </c>
      <c r="EJ1" s="112" t="s">
        <v>35</v>
      </c>
      <c r="EK1" s="112" t="s">
        <v>1332</v>
      </c>
      <c r="EL1" s="112" t="s">
        <v>49</v>
      </c>
      <c r="EM1" s="112" t="s">
        <v>35</v>
      </c>
      <c r="EN1" s="112" t="s">
        <v>58</v>
      </c>
      <c r="EO1" s="112" t="s">
        <v>49</v>
      </c>
      <c r="EP1" s="112" t="s">
        <v>35</v>
      </c>
      <c r="EQ1" s="112" t="s">
        <v>58</v>
      </c>
      <c r="ER1" s="114" t="s">
        <v>1333</v>
      </c>
      <c r="ES1" s="114" t="s">
        <v>347</v>
      </c>
      <c r="ET1" s="114" t="s">
        <v>49</v>
      </c>
      <c r="EU1" s="114" t="s">
        <v>35</v>
      </c>
      <c r="EV1" s="114" t="s">
        <v>348</v>
      </c>
      <c r="EW1" s="114" t="s">
        <v>49</v>
      </c>
      <c r="EX1" s="114" t="s">
        <v>35</v>
      </c>
      <c r="EY1" s="114" t="s">
        <v>1330</v>
      </c>
      <c r="EZ1" s="114" t="s">
        <v>49</v>
      </c>
      <c r="FA1" s="114" t="s">
        <v>35</v>
      </c>
      <c r="FB1" s="114" t="s">
        <v>1332</v>
      </c>
      <c r="FC1" s="114" t="s">
        <v>49</v>
      </c>
      <c r="FD1" s="114" t="s">
        <v>35</v>
      </c>
      <c r="FE1" s="114" t="s">
        <v>1334</v>
      </c>
      <c r="FF1" s="114" t="s">
        <v>49</v>
      </c>
      <c r="FG1" s="114" t="s">
        <v>35</v>
      </c>
      <c r="FH1" s="114" t="s">
        <v>58</v>
      </c>
      <c r="FI1" s="114" t="s">
        <v>49</v>
      </c>
      <c r="FJ1" s="114" t="s">
        <v>35</v>
      </c>
      <c r="FK1" s="114" t="s">
        <v>58</v>
      </c>
      <c r="FL1" s="115" t="s">
        <v>236</v>
      </c>
      <c r="FM1" s="115" t="s">
        <v>1335</v>
      </c>
      <c r="FN1" s="115" t="s">
        <v>49</v>
      </c>
      <c r="FO1" s="115" t="s">
        <v>35</v>
      </c>
      <c r="FP1" s="115" t="s">
        <v>42</v>
      </c>
      <c r="FQ1" s="115" t="s">
        <v>1336</v>
      </c>
      <c r="FR1" s="115" t="s">
        <v>49</v>
      </c>
      <c r="FS1" s="115" t="s">
        <v>35</v>
      </c>
      <c r="FT1" s="115" t="s">
        <v>42</v>
      </c>
      <c r="FU1" s="115" t="s">
        <v>1337</v>
      </c>
      <c r="FV1" s="115" t="s">
        <v>49</v>
      </c>
      <c r="FW1" s="115" t="s">
        <v>35</v>
      </c>
      <c r="FX1" s="115" t="s">
        <v>42</v>
      </c>
      <c r="FY1" s="115" t="s">
        <v>1338</v>
      </c>
      <c r="FZ1" s="115" t="s">
        <v>49</v>
      </c>
      <c r="GA1" s="115" t="s">
        <v>35</v>
      </c>
      <c r="GB1" s="115" t="s">
        <v>42</v>
      </c>
      <c r="GC1" s="115" t="s">
        <v>1339</v>
      </c>
      <c r="GD1" s="115" t="s">
        <v>49</v>
      </c>
      <c r="GE1" s="115" t="s">
        <v>35</v>
      </c>
      <c r="GF1" s="115" t="s">
        <v>42</v>
      </c>
      <c r="GG1" s="115" t="s">
        <v>1340</v>
      </c>
      <c r="GH1" s="115" t="s">
        <v>49</v>
      </c>
      <c r="GI1" s="115" t="s">
        <v>35</v>
      </c>
      <c r="GJ1" s="115" t="s">
        <v>42</v>
      </c>
      <c r="GK1" s="115" t="s">
        <v>58</v>
      </c>
      <c r="GL1" s="115" t="s">
        <v>49</v>
      </c>
      <c r="GM1" s="115" t="s">
        <v>35</v>
      </c>
      <c r="GN1" s="115" t="s">
        <v>42</v>
      </c>
      <c r="GO1" s="115" t="s">
        <v>58</v>
      </c>
      <c r="GP1" s="107" t="s">
        <v>1341</v>
      </c>
      <c r="GQ1" s="107" t="s">
        <v>238</v>
      </c>
      <c r="GR1" s="107" t="s">
        <v>49</v>
      </c>
      <c r="GS1" s="107" t="s">
        <v>35</v>
      </c>
      <c r="GT1" s="107" t="s">
        <v>239</v>
      </c>
      <c r="GU1" s="107" t="s">
        <v>49</v>
      </c>
      <c r="GV1" s="107" t="s">
        <v>35</v>
      </c>
      <c r="GW1" s="107" t="s">
        <v>240</v>
      </c>
      <c r="GX1" s="107" t="s">
        <v>49</v>
      </c>
      <c r="GY1" s="107" t="s">
        <v>35</v>
      </c>
      <c r="GZ1" s="107" t="s">
        <v>241</v>
      </c>
      <c r="HA1" s="107" t="s">
        <v>49</v>
      </c>
      <c r="HB1" s="107" t="s">
        <v>35</v>
      </c>
      <c r="HC1" s="107" t="s">
        <v>242</v>
      </c>
      <c r="HD1" s="107" t="s">
        <v>49</v>
      </c>
      <c r="HE1" s="107" t="s">
        <v>35</v>
      </c>
      <c r="HF1" s="107" t="s">
        <v>243</v>
      </c>
      <c r="HG1" s="107" t="s">
        <v>49</v>
      </c>
      <c r="HH1" s="107" t="s">
        <v>35</v>
      </c>
      <c r="HI1" s="107" t="s">
        <v>58</v>
      </c>
      <c r="HJ1" s="107" t="s">
        <v>49</v>
      </c>
      <c r="HK1" s="107" t="s">
        <v>35</v>
      </c>
      <c r="HL1" s="107" t="s">
        <v>58</v>
      </c>
      <c r="HM1" s="109" t="s">
        <v>1342</v>
      </c>
      <c r="HN1" s="109" t="s">
        <v>238</v>
      </c>
      <c r="HO1" s="109" t="s">
        <v>49</v>
      </c>
      <c r="HP1" s="109" t="s">
        <v>35</v>
      </c>
      <c r="HQ1" s="109" t="s">
        <v>239</v>
      </c>
      <c r="HR1" s="109" t="s">
        <v>49</v>
      </c>
      <c r="HS1" s="109" t="s">
        <v>35</v>
      </c>
      <c r="HT1" s="109" t="s">
        <v>240</v>
      </c>
      <c r="HU1" s="109" t="s">
        <v>49</v>
      </c>
      <c r="HV1" s="109" t="s">
        <v>35</v>
      </c>
      <c r="HW1" s="109" t="s">
        <v>241</v>
      </c>
      <c r="HX1" s="109" t="s">
        <v>49</v>
      </c>
      <c r="HY1" s="109" t="s">
        <v>35</v>
      </c>
      <c r="HZ1" s="109" t="s">
        <v>242</v>
      </c>
      <c r="IA1" s="109" t="s">
        <v>49</v>
      </c>
      <c r="IB1" s="109" t="s">
        <v>35</v>
      </c>
      <c r="IC1" s="109" t="s">
        <v>243</v>
      </c>
      <c r="ID1" s="109" t="s">
        <v>49</v>
      </c>
      <c r="IE1" s="109" t="s">
        <v>35</v>
      </c>
      <c r="IF1" s="109" t="s">
        <v>58</v>
      </c>
      <c r="IG1" s="109" t="s">
        <v>49</v>
      </c>
      <c r="IH1" s="109" t="s">
        <v>35</v>
      </c>
      <c r="II1" s="109" t="s">
        <v>58</v>
      </c>
      <c r="IJ1" s="112" t="s">
        <v>1343</v>
      </c>
      <c r="IK1" s="112" t="s">
        <v>238</v>
      </c>
      <c r="IL1" s="112" t="s">
        <v>49</v>
      </c>
      <c r="IM1" s="112" t="s">
        <v>35</v>
      </c>
      <c r="IN1" s="112" t="s">
        <v>239</v>
      </c>
      <c r="IO1" s="112" t="s">
        <v>49</v>
      </c>
      <c r="IP1" s="112" t="s">
        <v>35</v>
      </c>
      <c r="IQ1" s="112" t="s">
        <v>240</v>
      </c>
      <c r="IR1" s="112" t="s">
        <v>49</v>
      </c>
      <c r="IS1" s="112" t="s">
        <v>35</v>
      </c>
      <c r="IT1" s="112" t="s">
        <v>241</v>
      </c>
      <c r="IU1" s="112" t="s">
        <v>49</v>
      </c>
      <c r="IV1" s="112" t="s">
        <v>35</v>
      </c>
      <c r="IW1" s="112" t="s">
        <v>242</v>
      </c>
      <c r="IX1" s="112" t="s">
        <v>49</v>
      </c>
      <c r="IY1" s="112" t="s">
        <v>35</v>
      </c>
      <c r="IZ1" s="112" t="s">
        <v>243</v>
      </c>
      <c r="JA1" s="112" t="s">
        <v>49</v>
      </c>
      <c r="JB1" s="112" t="s">
        <v>35</v>
      </c>
      <c r="JC1" s="112" t="s">
        <v>58</v>
      </c>
      <c r="JD1" s="112" t="s">
        <v>49</v>
      </c>
      <c r="JE1" s="112" t="s">
        <v>35</v>
      </c>
      <c r="JF1" s="112" t="s">
        <v>58</v>
      </c>
      <c r="JG1" s="115" t="s">
        <v>1344</v>
      </c>
      <c r="JH1" s="115" t="s">
        <v>238</v>
      </c>
      <c r="JI1" s="115" t="s">
        <v>49</v>
      </c>
      <c r="JJ1" s="115" t="s">
        <v>35</v>
      </c>
      <c r="JK1" s="115" t="s">
        <v>239</v>
      </c>
      <c r="JL1" s="115" t="s">
        <v>49</v>
      </c>
      <c r="JM1" s="115" t="s">
        <v>35</v>
      </c>
      <c r="JN1" s="115" t="s">
        <v>240</v>
      </c>
      <c r="JO1" s="115" t="s">
        <v>49</v>
      </c>
      <c r="JP1" s="115" t="s">
        <v>35</v>
      </c>
      <c r="JQ1" s="115" t="s">
        <v>241</v>
      </c>
      <c r="JR1" s="115" t="s">
        <v>49</v>
      </c>
      <c r="JS1" s="115" t="s">
        <v>35</v>
      </c>
      <c r="JT1" s="115" t="s">
        <v>242</v>
      </c>
      <c r="JU1" s="115" t="s">
        <v>49</v>
      </c>
      <c r="JV1" s="115" t="s">
        <v>35</v>
      </c>
      <c r="JW1" s="115" t="s">
        <v>243</v>
      </c>
      <c r="JX1" s="115" t="s">
        <v>49</v>
      </c>
      <c r="JY1" s="115" t="s">
        <v>35</v>
      </c>
      <c r="JZ1" s="115" t="s">
        <v>58</v>
      </c>
      <c r="KA1" s="115" t="s">
        <v>49</v>
      </c>
      <c r="KB1" s="115" t="s">
        <v>35</v>
      </c>
      <c r="KC1" s="115" t="s">
        <v>58</v>
      </c>
      <c r="KD1" s="109" t="s">
        <v>1345</v>
      </c>
      <c r="KE1" s="109" t="s">
        <v>238</v>
      </c>
      <c r="KF1" s="109" t="s">
        <v>49</v>
      </c>
      <c r="KG1" s="109" t="s">
        <v>35</v>
      </c>
      <c r="KH1" s="109" t="s">
        <v>239</v>
      </c>
      <c r="KI1" s="109" t="s">
        <v>49</v>
      </c>
      <c r="KJ1" s="109" t="s">
        <v>35</v>
      </c>
      <c r="KK1" s="109" t="s">
        <v>240</v>
      </c>
      <c r="KL1" s="109" t="s">
        <v>49</v>
      </c>
      <c r="KM1" s="109" t="s">
        <v>35</v>
      </c>
      <c r="KN1" s="109" t="s">
        <v>241</v>
      </c>
      <c r="KO1" s="109" t="s">
        <v>49</v>
      </c>
      <c r="KP1" s="109" t="s">
        <v>35</v>
      </c>
      <c r="KQ1" s="109" t="s">
        <v>242</v>
      </c>
      <c r="KR1" s="109" t="s">
        <v>49</v>
      </c>
      <c r="KS1" s="109" t="s">
        <v>35</v>
      </c>
      <c r="KT1" s="109" t="s">
        <v>243</v>
      </c>
      <c r="KU1" s="109" t="s">
        <v>49</v>
      </c>
      <c r="KV1" s="109" t="s">
        <v>35</v>
      </c>
      <c r="KW1" s="109" t="s">
        <v>58</v>
      </c>
      <c r="KX1" s="109" t="s">
        <v>49</v>
      </c>
      <c r="KY1" s="109" t="s">
        <v>35</v>
      </c>
      <c r="KZ1" s="109" t="s">
        <v>58</v>
      </c>
      <c r="LA1" s="116" t="s">
        <v>1346</v>
      </c>
      <c r="LB1" s="116" t="s">
        <v>238</v>
      </c>
      <c r="LC1" s="116" t="s">
        <v>49</v>
      </c>
      <c r="LD1" s="116" t="s">
        <v>35</v>
      </c>
      <c r="LE1" s="116" t="s">
        <v>239</v>
      </c>
      <c r="LF1" s="116" t="s">
        <v>49</v>
      </c>
      <c r="LG1" s="116" t="s">
        <v>35</v>
      </c>
      <c r="LH1" s="116" t="s">
        <v>240</v>
      </c>
      <c r="LI1" s="116" t="s">
        <v>49</v>
      </c>
      <c r="LJ1" s="116" t="s">
        <v>35</v>
      </c>
      <c r="LK1" s="116" t="s">
        <v>241</v>
      </c>
      <c r="LL1" s="116" t="s">
        <v>49</v>
      </c>
      <c r="LM1" s="116" t="s">
        <v>35</v>
      </c>
      <c r="LN1" s="116" t="s">
        <v>242</v>
      </c>
      <c r="LO1" s="116" t="s">
        <v>49</v>
      </c>
      <c r="LP1" s="116" t="s">
        <v>35</v>
      </c>
      <c r="LQ1" s="116" t="s">
        <v>243</v>
      </c>
      <c r="LR1" s="116" t="s">
        <v>49</v>
      </c>
      <c r="LS1" s="116" t="s">
        <v>35</v>
      </c>
      <c r="LT1" s="116" t="s">
        <v>58</v>
      </c>
      <c r="LU1" s="116" t="s">
        <v>49</v>
      </c>
      <c r="LV1" s="116" t="s">
        <v>35</v>
      </c>
      <c r="LW1" s="116" t="s">
        <v>58</v>
      </c>
      <c r="LX1" s="107" t="s">
        <v>1347</v>
      </c>
      <c r="LY1" s="107" t="s">
        <v>1348</v>
      </c>
      <c r="LZ1" s="107" t="s">
        <v>78</v>
      </c>
      <c r="MA1" s="107" t="s">
        <v>79</v>
      </c>
      <c r="MB1" s="107" t="s">
        <v>1349</v>
      </c>
      <c r="MC1" s="107" t="s">
        <v>78</v>
      </c>
      <c r="MD1" s="107" t="s">
        <v>79</v>
      </c>
      <c r="ME1" s="107" t="s">
        <v>1350</v>
      </c>
      <c r="MF1" s="107" t="s">
        <v>78</v>
      </c>
      <c r="MG1" s="107" t="s">
        <v>79</v>
      </c>
      <c r="MH1" s="107" t="s">
        <v>158</v>
      </c>
      <c r="MI1" s="107" t="s">
        <v>78</v>
      </c>
      <c r="MJ1" s="107" t="s">
        <v>79</v>
      </c>
      <c r="MK1" s="107" t="s">
        <v>58</v>
      </c>
      <c r="ML1" s="107" t="s">
        <v>78</v>
      </c>
      <c r="MM1" s="107" t="s">
        <v>79</v>
      </c>
      <c r="MN1" s="107" t="s">
        <v>58</v>
      </c>
      <c r="MO1" s="109" t="s">
        <v>1351</v>
      </c>
      <c r="MP1" s="109" t="s">
        <v>1352</v>
      </c>
      <c r="MQ1" s="109" t="s">
        <v>78</v>
      </c>
      <c r="MR1" s="109" t="s">
        <v>79</v>
      </c>
      <c r="MS1" s="109" t="s">
        <v>1353</v>
      </c>
      <c r="MT1" s="109" t="s">
        <v>78</v>
      </c>
      <c r="MU1" s="109" t="s">
        <v>79</v>
      </c>
      <c r="MV1" s="109" t="s">
        <v>1354</v>
      </c>
      <c r="MW1" s="109" t="s">
        <v>78</v>
      </c>
      <c r="MX1" s="109" t="s">
        <v>79</v>
      </c>
      <c r="MY1" s="109" t="s">
        <v>1355</v>
      </c>
      <c r="MZ1" s="109" t="s">
        <v>78</v>
      </c>
      <c r="NA1" s="109" t="s">
        <v>79</v>
      </c>
      <c r="NB1" s="109" t="s">
        <v>1356</v>
      </c>
      <c r="NC1" s="109" t="s">
        <v>78</v>
      </c>
      <c r="ND1" s="109" t="s">
        <v>79</v>
      </c>
      <c r="NE1" s="109" t="s">
        <v>1357</v>
      </c>
      <c r="NF1" s="109" t="s">
        <v>78</v>
      </c>
      <c r="NG1" s="109" t="s">
        <v>79</v>
      </c>
      <c r="NH1" s="109" t="s">
        <v>1358</v>
      </c>
      <c r="NI1" s="109" t="s">
        <v>78</v>
      </c>
      <c r="NJ1" s="109" t="s">
        <v>79</v>
      </c>
      <c r="NK1" s="109" t="s">
        <v>1359</v>
      </c>
      <c r="NL1" s="109" t="s">
        <v>78</v>
      </c>
      <c r="NM1" s="109" t="s">
        <v>79</v>
      </c>
      <c r="NN1" s="109" t="s">
        <v>1360</v>
      </c>
      <c r="NO1" s="109" t="s">
        <v>78</v>
      </c>
      <c r="NP1" s="109" t="s">
        <v>79</v>
      </c>
      <c r="NQ1" s="109" t="s">
        <v>58</v>
      </c>
      <c r="NR1" s="109" t="s">
        <v>78</v>
      </c>
      <c r="NS1" s="109" t="s">
        <v>79</v>
      </c>
      <c r="NT1" s="109" t="s">
        <v>58</v>
      </c>
      <c r="NU1" s="114" t="s">
        <v>1361</v>
      </c>
      <c r="NV1" s="114" t="s">
        <v>1362</v>
      </c>
      <c r="NW1" s="114" t="s">
        <v>78</v>
      </c>
      <c r="NX1" s="114" t="s">
        <v>79</v>
      </c>
      <c r="NY1" s="114" t="s">
        <v>1363</v>
      </c>
      <c r="NZ1" s="114" t="s">
        <v>78</v>
      </c>
      <c r="OA1" s="114" t="s">
        <v>79</v>
      </c>
      <c r="OB1" s="114" t="s">
        <v>1364</v>
      </c>
      <c r="OC1" s="114" t="s">
        <v>78</v>
      </c>
      <c r="OD1" s="114" t="s">
        <v>79</v>
      </c>
      <c r="OE1" s="114" t="s">
        <v>58</v>
      </c>
      <c r="OF1" s="114" t="s">
        <v>78</v>
      </c>
      <c r="OG1" s="114" t="s">
        <v>79</v>
      </c>
      <c r="OH1" s="114" t="s">
        <v>58</v>
      </c>
      <c r="OI1" s="108" t="s">
        <v>1365</v>
      </c>
      <c r="OJ1" s="108" t="s">
        <v>319</v>
      </c>
      <c r="OK1" s="108" t="s">
        <v>78</v>
      </c>
      <c r="OL1" s="108" t="s">
        <v>79</v>
      </c>
      <c r="OM1" s="108" t="s">
        <v>322</v>
      </c>
      <c r="ON1" s="108" t="s">
        <v>78</v>
      </c>
      <c r="OO1" s="108" t="s">
        <v>79</v>
      </c>
      <c r="OP1" s="108" t="s">
        <v>1366</v>
      </c>
      <c r="OQ1" s="108" t="s">
        <v>78</v>
      </c>
      <c r="OR1" s="108" t="s">
        <v>79</v>
      </c>
      <c r="OS1" s="108" t="s">
        <v>1367</v>
      </c>
      <c r="OT1" s="108" t="s">
        <v>78</v>
      </c>
      <c r="OU1" s="108" t="s">
        <v>79</v>
      </c>
      <c r="OV1" s="108" t="s">
        <v>325</v>
      </c>
      <c r="OW1" s="108" t="s">
        <v>78</v>
      </c>
      <c r="OX1" s="108" t="s">
        <v>79</v>
      </c>
      <c r="OY1" s="108" t="s">
        <v>1368</v>
      </c>
      <c r="OZ1" s="108" t="s">
        <v>78</v>
      </c>
      <c r="PA1" s="108" t="s">
        <v>79</v>
      </c>
      <c r="PB1" s="108" t="s">
        <v>1369</v>
      </c>
      <c r="PC1" s="108" t="s">
        <v>78</v>
      </c>
      <c r="PD1" s="108" t="s">
        <v>79</v>
      </c>
      <c r="PE1" s="108" t="s">
        <v>1370</v>
      </c>
      <c r="PF1" s="108" t="s">
        <v>78</v>
      </c>
      <c r="PG1" s="108" t="s">
        <v>79</v>
      </c>
      <c r="PH1" s="108" t="s">
        <v>1371</v>
      </c>
      <c r="PI1" s="108" t="s">
        <v>78</v>
      </c>
      <c r="PJ1" s="108" t="s">
        <v>79</v>
      </c>
      <c r="PK1" s="108" t="s">
        <v>58</v>
      </c>
      <c r="PL1" s="108" t="s">
        <v>78</v>
      </c>
      <c r="PM1" s="108" t="s">
        <v>79</v>
      </c>
      <c r="PN1" s="108" t="s">
        <v>58</v>
      </c>
      <c r="PO1" s="119" t="s">
        <v>1372</v>
      </c>
      <c r="PP1" s="119" t="s">
        <v>1373</v>
      </c>
      <c r="PQ1" s="119" t="s">
        <v>78</v>
      </c>
      <c r="PR1" s="119" t="s">
        <v>79</v>
      </c>
      <c r="PS1" s="119" t="s">
        <v>1374</v>
      </c>
      <c r="PT1" s="119" t="s">
        <v>78</v>
      </c>
      <c r="PU1" s="119" t="s">
        <v>79</v>
      </c>
      <c r="PV1" s="119" t="s">
        <v>1375</v>
      </c>
      <c r="PW1" s="119" t="s">
        <v>78</v>
      </c>
      <c r="PX1" s="119" t="s">
        <v>79</v>
      </c>
      <c r="PY1" s="119" t="s">
        <v>1376</v>
      </c>
      <c r="PZ1" s="119" t="s">
        <v>78</v>
      </c>
      <c r="QA1" s="119" t="s">
        <v>79</v>
      </c>
      <c r="QB1" s="119" t="s">
        <v>58</v>
      </c>
      <c r="QC1" s="119" t="s">
        <v>78</v>
      </c>
      <c r="QD1" s="119" t="s">
        <v>79</v>
      </c>
      <c r="QE1" s="119" t="s">
        <v>58</v>
      </c>
      <c r="QF1" s="113" t="s">
        <v>1377</v>
      </c>
      <c r="QG1" s="113" t="s">
        <v>1378</v>
      </c>
      <c r="QH1" s="113" t="s">
        <v>78</v>
      </c>
      <c r="QI1" s="113" t="s">
        <v>79</v>
      </c>
      <c r="QJ1" s="113" t="s">
        <v>1379</v>
      </c>
      <c r="QK1" s="113" t="s">
        <v>78</v>
      </c>
      <c r="QL1" s="113" t="s">
        <v>79</v>
      </c>
      <c r="QM1" s="113" t="s">
        <v>1380</v>
      </c>
      <c r="QN1" s="113" t="s">
        <v>78</v>
      </c>
      <c r="QO1" s="113" t="s">
        <v>79</v>
      </c>
      <c r="QP1" s="113" t="s">
        <v>1381</v>
      </c>
      <c r="QQ1" s="113" t="s">
        <v>78</v>
      </c>
      <c r="QR1" s="113" t="s">
        <v>79</v>
      </c>
      <c r="QS1" s="113" t="s">
        <v>58</v>
      </c>
      <c r="QT1" s="113" t="s">
        <v>78</v>
      </c>
      <c r="QU1" s="113" t="s">
        <v>79</v>
      </c>
      <c r="QV1" s="113" t="s">
        <v>58</v>
      </c>
      <c r="QW1" s="115" t="s">
        <v>1382</v>
      </c>
      <c r="QX1" s="115" t="s">
        <v>337</v>
      </c>
      <c r="QY1" s="115" t="s">
        <v>78</v>
      </c>
      <c r="QZ1" s="115" t="s">
        <v>79</v>
      </c>
      <c r="RA1" s="115" t="s">
        <v>1383</v>
      </c>
      <c r="RB1" s="115" t="s">
        <v>78</v>
      </c>
      <c r="RC1" s="115" t="s">
        <v>79</v>
      </c>
      <c r="RD1" s="115" t="s">
        <v>1384</v>
      </c>
      <c r="RE1" s="115" t="s">
        <v>78</v>
      </c>
      <c r="RF1" s="115" t="s">
        <v>79</v>
      </c>
      <c r="RG1" s="115" t="s">
        <v>1385</v>
      </c>
      <c r="RH1" s="115" t="s">
        <v>78</v>
      </c>
      <c r="RI1" s="115" t="s">
        <v>79</v>
      </c>
      <c r="RJ1" s="115" t="s">
        <v>1386</v>
      </c>
      <c r="RK1" s="115" t="s">
        <v>78</v>
      </c>
      <c r="RL1" s="115" t="s">
        <v>79</v>
      </c>
      <c r="RM1" s="115" t="s">
        <v>58</v>
      </c>
      <c r="RN1" s="115" t="s">
        <v>78</v>
      </c>
      <c r="RO1" s="115" t="s">
        <v>79</v>
      </c>
      <c r="RP1" s="115" t="s">
        <v>58</v>
      </c>
      <c r="RQ1" s="119" t="s">
        <v>1387</v>
      </c>
      <c r="RR1" s="119" t="s">
        <v>78</v>
      </c>
      <c r="RS1" s="119" t="s">
        <v>79</v>
      </c>
      <c r="RT1" s="119" t="s">
        <v>58</v>
      </c>
      <c r="RU1" s="116" t="s">
        <v>1388</v>
      </c>
      <c r="RV1" s="107" t="s">
        <v>1389</v>
      </c>
      <c r="RW1" s="107" t="s">
        <v>1500</v>
      </c>
      <c r="RX1" s="107" t="s">
        <v>1501</v>
      </c>
      <c r="RY1" s="107" t="s">
        <v>58</v>
      </c>
      <c r="RZ1" s="108" t="s">
        <v>1393</v>
      </c>
      <c r="SA1" s="108" t="s">
        <v>1500</v>
      </c>
      <c r="SB1" s="108" t="s">
        <v>1501</v>
      </c>
      <c r="SC1" s="108" t="s">
        <v>58</v>
      </c>
      <c r="SD1" s="109" t="s">
        <v>265</v>
      </c>
      <c r="SE1" s="109" t="s">
        <v>1500</v>
      </c>
      <c r="SF1" s="109" t="s">
        <v>1501</v>
      </c>
      <c r="SG1" s="109" t="s">
        <v>58</v>
      </c>
      <c r="SH1" s="118" t="s">
        <v>266</v>
      </c>
      <c r="SI1" s="118" t="s">
        <v>1500</v>
      </c>
      <c r="SJ1" s="118" t="s">
        <v>1501</v>
      </c>
      <c r="SK1" s="118" t="s">
        <v>58</v>
      </c>
      <c r="SL1" s="114" t="s">
        <v>1394</v>
      </c>
      <c r="SM1" s="114" t="s">
        <v>1500</v>
      </c>
      <c r="SN1" s="114" t="s">
        <v>1501</v>
      </c>
      <c r="SO1" s="114" t="s">
        <v>58</v>
      </c>
      <c r="SP1" s="112" t="s">
        <v>1395</v>
      </c>
      <c r="SQ1" s="112" t="s">
        <v>1500</v>
      </c>
      <c r="SR1" s="112" t="s">
        <v>1501</v>
      </c>
      <c r="SS1" s="112" t="s">
        <v>58</v>
      </c>
      <c r="ST1" s="109" t="s">
        <v>269</v>
      </c>
      <c r="SU1" s="109" t="s">
        <v>1500</v>
      </c>
      <c r="SV1" s="109" t="s">
        <v>1501</v>
      </c>
      <c r="SW1" s="109" t="s">
        <v>58</v>
      </c>
      <c r="SX1" s="108" t="s">
        <v>270</v>
      </c>
      <c r="SY1" s="108" t="s">
        <v>1500</v>
      </c>
      <c r="SZ1" s="108" t="s">
        <v>1501</v>
      </c>
      <c r="TA1" s="108" t="s">
        <v>58</v>
      </c>
      <c r="TB1" s="125" t="s">
        <v>271</v>
      </c>
      <c r="TC1" s="125" t="s">
        <v>1500</v>
      </c>
      <c r="TD1" s="125" t="s">
        <v>1501</v>
      </c>
      <c r="TE1" s="125" t="s">
        <v>58</v>
      </c>
      <c r="TF1" s="126" t="s">
        <v>272</v>
      </c>
      <c r="TG1" s="126" t="s">
        <v>1500</v>
      </c>
      <c r="TH1" s="126" t="s">
        <v>1501</v>
      </c>
      <c r="TI1" s="126" t="s">
        <v>58</v>
      </c>
      <c r="TJ1" s="127" t="s">
        <v>273</v>
      </c>
      <c r="TK1" s="127" t="s">
        <v>1500</v>
      </c>
      <c r="TL1" s="127" t="s">
        <v>1501</v>
      </c>
      <c r="TM1" s="127" t="s">
        <v>58</v>
      </c>
      <c r="TN1" s="128" t="s">
        <v>274</v>
      </c>
      <c r="TO1" s="128" t="s">
        <v>1500</v>
      </c>
      <c r="TP1" s="128" t="s">
        <v>1501</v>
      </c>
      <c r="TQ1" s="128" t="s">
        <v>58</v>
      </c>
      <c r="TR1" s="129" t="s">
        <v>287</v>
      </c>
      <c r="TS1" s="129" t="s">
        <v>1500</v>
      </c>
      <c r="TT1" s="129" t="s">
        <v>1501</v>
      </c>
      <c r="TU1" s="129" t="s">
        <v>58</v>
      </c>
      <c r="TV1" s="127" t="s">
        <v>1396</v>
      </c>
      <c r="TW1" s="127" t="s">
        <v>1500</v>
      </c>
      <c r="TX1" s="127" t="s">
        <v>1501</v>
      </c>
      <c r="TY1" s="127" t="s">
        <v>58</v>
      </c>
      <c r="TZ1" s="125" t="s">
        <v>1397</v>
      </c>
      <c r="UA1" s="125" t="s">
        <v>1500</v>
      </c>
      <c r="UB1" s="125" t="s">
        <v>1501</v>
      </c>
      <c r="UC1" s="125" t="s">
        <v>58</v>
      </c>
      <c r="UD1" s="131" t="s">
        <v>1398</v>
      </c>
      <c r="UE1" s="131" t="s">
        <v>1500</v>
      </c>
      <c r="UF1" s="131" t="s">
        <v>1501</v>
      </c>
      <c r="UG1" s="131" t="s">
        <v>58</v>
      </c>
      <c r="UH1" s="132" t="s">
        <v>279</v>
      </c>
      <c r="UI1" s="132" t="s">
        <v>1500</v>
      </c>
      <c r="UJ1" s="132" t="s">
        <v>1501</v>
      </c>
      <c r="UK1" s="132" t="s">
        <v>58</v>
      </c>
      <c r="UL1" s="128" t="s">
        <v>280</v>
      </c>
      <c r="UM1" s="128" t="s">
        <v>1500</v>
      </c>
      <c r="UN1" s="128" t="s">
        <v>1501</v>
      </c>
      <c r="UO1" s="128" t="s">
        <v>58</v>
      </c>
      <c r="UP1" s="107" t="s">
        <v>281</v>
      </c>
      <c r="UQ1" s="107" t="s">
        <v>1500</v>
      </c>
      <c r="UR1" s="107" t="s">
        <v>1501</v>
      </c>
      <c r="US1" s="107" t="s">
        <v>58</v>
      </c>
      <c r="UT1" s="115" t="s">
        <v>282</v>
      </c>
      <c r="UU1" s="115" t="s">
        <v>1500</v>
      </c>
      <c r="UV1" s="115" t="s">
        <v>1501</v>
      </c>
      <c r="UW1" s="115" t="s">
        <v>58</v>
      </c>
      <c r="UX1" s="119" t="s">
        <v>190</v>
      </c>
      <c r="UY1" s="119" t="s">
        <v>1500</v>
      </c>
      <c r="UZ1" s="119" t="s">
        <v>1501</v>
      </c>
      <c r="VA1" s="119" t="s">
        <v>58</v>
      </c>
      <c r="VB1" s="125" t="s">
        <v>58</v>
      </c>
      <c r="VC1" s="125" t="s">
        <v>78</v>
      </c>
      <c r="VD1" s="125" t="s">
        <v>148</v>
      </c>
      <c r="VE1" s="125" t="s">
        <v>1390</v>
      </c>
      <c r="VF1" s="125" t="s">
        <v>151</v>
      </c>
      <c r="VG1" s="125" t="s">
        <v>150</v>
      </c>
      <c r="VH1" s="125" t="s">
        <v>1391</v>
      </c>
      <c r="VI1" s="125" t="s">
        <v>1392</v>
      </c>
      <c r="VJ1" s="125" t="s">
        <v>161</v>
      </c>
      <c r="VK1" s="125" t="s">
        <v>162</v>
      </c>
      <c r="VL1" s="125" t="s">
        <v>163</v>
      </c>
      <c r="VM1" s="125" t="s">
        <v>190</v>
      </c>
      <c r="VN1" s="125" t="s">
        <v>58</v>
      </c>
      <c r="VO1" s="130" t="s">
        <v>79</v>
      </c>
      <c r="VP1" s="130" t="s">
        <v>148</v>
      </c>
      <c r="VQ1" s="130" t="s">
        <v>1390</v>
      </c>
      <c r="VR1" s="130" t="s">
        <v>151</v>
      </c>
      <c r="VS1" s="130" t="s">
        <v>150</v>
      </c>
      <c r="VT1" s="130" t="s">
        <v>1391</v>
      </c>
      <c r="VU1" s="130" t="s">
        <v>1392</v>
      </c>
      <c r="VV1" s="130" t="s">
        <v>161</v>
      </c>
      <c r="VW1" s="130" t="s">
        <v>162</v>
      </c>
      <c r="VX1" s="130" t="s">
        <v>163</v>
      </c>
      <c r="VY1" s="130" t="s">
        <v>190</v>
      </c>
      <c r="VZ1" s="130" t="s">
        <v>58</v>
      </c>
      <c r="WA1" s="127" t="s">
        <v>58</v>
      </c>
      <c r="WB1" s="127" t="s">
        <v>148</v>
      </c>
      <c r="WC1" s="127" t="s">
        <v>1390</v>
      </c>
      <c r="WD1" s="127" t="s">
        <v>151</v>
      </c>
      <c r="WE1" s="127" t="s">
        <v>150</v>
      </c>
      <c r="WF1" s="127" t="s">
        <v>1391</v>
      </c>
      <c r="WG1" s="127" t="s">
        <v>1392</v>
      </c>
      <c r="WH1" s="127" t="s">
        <v>161</v>
      </c>
      <c r="WI1" s="127" t="s">
        <v>162</v>
      </c>
      <c r="WJ1" s="127" t="s">
        <v>163</v>
      </c>
      <c r="WK1" s="127" t="s">
        <v>190</v>
      </c>
      <c r="WL1" s="127" t="s">
        <v>58</v>
      </c>
      <c r="WM1" s="116" t="s">
        <v>1399</v>
      </c>
      <c r="WN1" s="116" t="s">
        <v>238</v>
      </c>
      <c r="WO1" s="116" t="s">
        <v>49</v>
      </c>
      <c r="WP1" s="116" t="s">
        <v>35</v>
      </c>
      <c r="WQ1" s="116" t="s">
        <v>239</v>
      </c>
      <c r="WR1" s="116" t="s">
        <v>49</v>
      </c>
      <c r="WS1" s="116" t="s">
        <v>35</v>
      </c>
      <c r="WT1" s="116" t="s">
        <v>240</v>
      </c>
      <c r="WU1" s="116" t="s">
        <v>49</v>
      </c>
      <c r="WV1" s="116" t="s">
        <v>35</v>
      </c>
      <c r="WW1" s="116" t="s">
        <v>241</v>
      </c>
      <c r="WX1" s="116" t="s">
        <v>49</v>
      </c>
      <c r="WY1" s="116" t="s">
        <v>35</v>
      </c>
      <c r="WZ1" s="116" t="s">
        <v>242</v>
      </c>
      <c r="XA1" s="116" t="s">
        <v>49</v>
      </c>
      <c r="XB1" s="116" t="s">
        <v>35</v>
      </c>
      <c r="XC1" s="116" t="s">
        <v>243</v>
      </c>
      <c r="XD1" s="116" t="s">
        <v>49</v>
      </c>
      <c r="XE1" s="116" t="s">
        <v>35</v>
      </c>
      <c r="XF1" s="116" t="s">
        <v>58</v>
      </c>
      <c r="XG1" s="116" t="s">
        <v>49</v>
      </c>
      <c r="XH1" s="116" t="s">
        <v>35</v>
      </c>
      <c r="XI1" s="116" t="s">
        <v>58</v>
      </c>
      <c r="XJ1" s="107" t="s">
        <v>1400</v>
      </c>
      <c r="XK1" s="107" t="s">
        <v>305</v>
      </c>
      <c r="XL1" s="107" t="s">
        <v>310</v>
      </c>
      <c r="XM1" s="107" t="s">
        <v>307</v>
      </c>
      <c r="XN1" s="107" t="s">
        <v>306</v>
      </c>
      <c r="XO1" s="107" t="s">
        <v>1401</v>
      </c>
      <c r="XP1" s="107" t="s">
        <v>1402</v>
      </c>
      <c r="XQ1" s="107" t="s">
        <v>1403</v>
      </c>
      <c r="XR1" s="133" t="s">
        <v>1404</v>
      </c>
      <c r="XS1" s="133" t="s">
        <v>1405</v>
      </c>
      <c r="XT1" s="133" t="s">
        <v>1406</v>
      </c>
      <c r="XU1" s="133" t="s">
        <v>1407</v>
      </c>
      <c r="XV1" s="133" t="s">
        <v>1408</v>
      </c>
      <c r="XW1" s="133" t="s">
        <v>1409</v>
      </c>
      <c r="XX1" s="133" t="s">
        <v>1410</v>
      </c>
      <c r="XY1" s="133" t="s">
        <v>1411</v>
      </c>
      <c r="XZ1" s="133" t="s">
        <v>1412</v>
      </c>
      <c r="YA1" s="133" t="s">
        <v>1413</v>
      </c>
      <c r="YB1" s="133" t="s">
        <v>1414</v>
      </c>
      <c r="YC1" s="133" t="s">
        <v>58</v>
      </c>
      <c r="YD1" s="133" t="s">
        <v>1415</v>
      </c>
      <c r="YE1" s="133" t="s">
        <v>1416</v>
      </c>
      <c r="YF1" s="133" t="s">
        <v>1417</v>
      </c>
      <c r="YG1" s="133" t="s">
        <v>1418</v>
      </c>
      <c r="YH1" s="133" t="s">
        <v>1419</v>
      </c>
      <c r="YI1" s="133" t="s">
        <v>1420</v>
      </c>
      <c r="YJ1" s="133" t="s">
        <v>1421</v>
      </c>
      <c r="YK1" s="133" t="s">
        <v>1422</v>
      </c>
      <c r="YL1" s="133" t="s">
        <v>1423</v>
      </c>
      <c r="YM1" s="133" t="s">
        <v>1424</v>
      </c>
      <c r="YN1" s="133" t="s">
        <v>1425</v>
      </c>
      <c r="YO1" s="133" t="s">
        <v>1426</v>
      </c>
      <c r="YP1" s="133" t="s">
        <v>1427</v>
      </c>
      <c r="YQ1" s="133" t="s">
        <v>1428</v>
      </c>
      <c r="YR1" s="133" t="s">
        <v>1429</v>
      </c>
      <c r="YS1" s="133" t="s">
        <v>1430</v>
      </c>
      <c r="YT1" s="133" t="s">
        <v>19</v>
      </c>
      <c r="YU1" s="133" t="s">
        <v>1431</v>
      </c>
      <c r="YV1" s="127" t="s">
        <v>1432</v>
      </c>
      <c r="YW1" s="127" t="s">
        <v>180</v>
      </c>
      <c r="YX1" s="127" t="s">
        <v>182</v>
      </c>
      <c r="YY1" s="127" t="s">
        <v>1433</v>
      </c>
      <c r="YZ1" s="127" t="s">
        <v>180</v>
      </c>
      <c r="ZA1" s="127" t="s">
        <v>182</v>
      </c>
      <c r="ZB1" s="127" t="s">
        <v>1434</v>
      </c>
      <c r="ZC1" s="127" t="s">
        <v>180</v>
      </c>
      <c r="ZD1" s="127" t="s">
        <v>182</v>
      </c>
      <c r="ZE1" s="127" t="s">
        <v>1435</v>
      </c>
      <c r="ZF1" s="127" t="s">
        <v>180</v>
      </c>
      <c r="ZG1" s="127" t="s">
        <v>182</v>
      </c>
      <c r="ZH1" s="127" t="s">
        <v>1436</v>
      </c>
      <c r="ZI1" s="127" t="s">
        <v>180</v>
      </c>
      <c r="ZJ1" s="127" t="s">
        <v>182</v>
      </c>
      <c r="ZK1" s="127" t="s">
        <v>1437</v>
      </c>
      <c r="ZL1" s="127" t="s">
        <v>180</v>
      </c>
      <c r="ZM1" s="127" t="s">
        <v>182</v>
      </c>
      <c r="ZN1" s="126" t="s">
        <v>1438</v>
      </c>
      <c r="ZO1" s="126" t="s">
        <v>1439</v>
      </c>
      <c r="ZP1" s="126" t="s">
        <v>1440</v>
      </c>
      <c r="ZQ1" s="126" t="s">
        <v>1441</v>
      </c>
      <c r="ZR1" s="126" t="s">
        <v>225</v>
      </c>
      <c r="ZS1" s="126" t="s">
        <v>1442</v>
      </c>
      <c r="ZT1" s="126" t="s">
        <v>58</v>
      </c>
      <c r="ZU1" s="125" t="s">
        <v>1443</v>
      </c>
      <c r="ZV1" s="114" t="s">
        <v>1444</v>
      </c>
      <c r="ZW1" s="114" t="s">
        <v>1445</v>
      </c>
      <c r="ZX1" s="114" t="s">
        <v>1446</v>
      </c>
      <c r="ZY1" s="120" t="s">
        <v>1447</v>
      </c>
      <c r="ZZ1" s="120" t="s">
        <v>27</v>
      </c>
      <c r="AAA1" s="120" t="s">
        <v>1448</v>
      </c>
      <c r="AAB1" s="120" t="s">
        <v>1449</v>
      </c>
      <c r="AAC1" s="120" t="s">
        <v>1450</v>
      </c>
      <c r="AAD1" s="120" t="s">
        <v>1451</v>
      </c>
      <c r="AAE1" s="120" t="s">
        <v>1452</v>
      </c>
      <c r="AAF1" s="120" t="s">
        <v>1453</v>
      </c>
      <c r="AAG1" s="120" t="s">
        <v>1454</v>
      </c>
      <c r="AAH1" s="120" t="s">
        <v>1455</v>
      </c>
      <c r="AAI1" s="120" t="s">
        <v>1456</v>
      </c>
    </row>
    <row r="2" spans="1:711 2595:2595">
      <c r="A2" s="121">
        <v>1400955</v>
      </c>
      <c r="B2" s="121" t="s">
        <v>1457</v>
      </c>
      <c r="C2" s="121" t="s">
        <v>28</v>
      </c>
      <c r="D2" s="121" t="s">
        <v>29</v>
      </c>
      <c r="E2" s="121" t="s">
        <v>4</v>
      </c>
      <c r="F2" s="121" t="s">
        <v>5</v>
      </c>
      <c r="G2" s="121" t="s">
        <v>30</v>
      </c>
      <c r="H2" s="121" t="s">
        <v>3</v>
      </c>
      <c r="I2" s="121" t="s">
        <v>30</v>
      </c>
      <c r="J2" s="121" t="s">
        <v>30</v>
      </c>
      <c r="K2" s="121" t="s">
        <v>31</v>
      </c>
      <c r="L2" s="121" t="s">
        <v>32</v>
      </c>
      <c r="M2" s="121" t="s">
        <v>33</v>
      </c>
      <c r="N2" s="121" t="s">
        <v>34</v>
      </c>
      <c r="O2" s="121" t="s">
        <v>30</v>
      </c>
      <c r="P2" s="121" t="s">
        <v>35</v>
      </c>
      <c r="Q2" s="121" t="s">
        <v>36</v>
      </c>
      <c r="R2" s="121" t="s">
        <v>37</v>
      </c>
      <c r="U2" s="121" t="s">
        <v>38</v>
      </c>
      <c r="Y2" s="121">
        <v>0</v>
      </c>
      <c r="AB2" s="121">
        <v>64</v>
      </c>
      <c r="AE2" s="121">
        <v>39</v>
      </c>
      <c r="AH2" s="121">
        <v>12</v>
      </c>
      <c r="AK2" s="121">
        <v>5</v>
      </c>
      <c r="AN2" s="121">
        <v>5</v>
      </c>
      <c r="AQ2" s="121">
        <v>125</v>
      </c>
      <c r="AR2" s="121">
        <v>125</v>
      </c>
      <c r="AV2" s="121">
        <v>0</v>
      </c>
      <c r="AY2" s="121">
        <v>64</v>
      </c>
      <c r="BB2" s="121">
        <v>39</v>
      </c>
      <c r="BE2" s="121">
        <v>12</v>
      </c>
      <c r="BH2" s="121">
        <v>5</v>
      </c>
      <c r="BK2" s="121">
        <v>5</v>
      </c>
      <c r="BN2" s="121">
        <v>125</v>
      </c>
      <c r="BO2" s="121">
        <v>125</v>
      </c>
      <c r="BS2" s="121">
        <v>68</v>
      </c>
      <c r="BV2" s="121">
        <v>33</v>
      </c>
      <c r="BY2" s="121">
        <v>15</v>
      </c>
      <c r="CB2" s="121">
        <v>7</v>
      </c>
      <c r="CE2" s="121">
        <v>9</v>
      </c>
      <c r="CH2" s="121">
        <v>132</v>
      </c>
      <c r="CI2" s="121">
        <v>132</v>
      </c>
      <c r="CM2" s="121">
        <v>76</v>
      </c>
      <c r="CP2" s="121">
        <v>46</v>
      </c>
      <c r="CS2" s="121">
        <v>20</v>
      </c>
      <c r="CV2" s="121">
        <v>10</v>
      </c>
      <c r="CY2" s="121">
        <v>10</v>
      </c>
      <c r="DB2" s="121">
        <v>162</v>
      </c>
      <c r="DC2" s="121">
        <v>162</v>
      </c>
      <c r="DG2" s="121">
        <v>66</v>
      </c>
      <c r="DJ2" s="121">
        <v>56</v>
      </c>
      <c r="DM2" s="121">
        <v>13</v>
      </c>
      <c r="DP2" s="121">
        <v>11</v>
      </c>
      <c r="DS2" s="121">
        <v>10</v>
      </c>
      <c r="DV2" s="121">
        <v>156</v>
      </c>
      <c r="DW2" s="121">
        <v>156</v>
      </c>
      <c r="EA2" s="121">
        <v>64</v>
      </c>
      <c r="ED2" s="121">
        <v>55</v>
      </c>
      <c r="EG2" s="121">
        <v>20</v>
      </c>
      <c r="EJ2" s="121">
        <v>11</v>
      </c>
      <c r="EM2" s="121">
        <v>10</v>
      </c>
      <c r="EP2" s="121">
        <v>160</v>
      </c>
      <c r="EQ2" s="121">
        <v>160</v>
      </c>
      <c r="EU2" s="121">
        <v>29</v>
      </c>
      <c r="EX2" s="121">
        <v>20</v>
      </c>
      <c r="FA2" s="121">
        <v>15</v>
      </c>
      <c r="FD2" s="121">
        <v>5</v>
      </c>
      <c r="FG2" s="121">
        <v>10</v>
      </c>
      <c r="FJ2" s="121">
        <v>79</v>
      </c>
      <c r="FK2" s="121">
        <v>79</v>
      </c>
      <c r="FO2" s="121">
        <v>3</v>
      </c>
      <c r="FS2" s="121">
        <v>3</v>
      </c>
      <c r="FW2" s="121">
        <v>3</v>
      </c>
      <c r="GA2" s="121">
        <v>3</v>
      </c>
      <c r="GE2" s="121">
        <v>3</v>
      </c>
      <c r="GI2" s="121">
        <v>3</v>
      </c>
      <c r="GM2" s="121">
        <v>18</v>
      </c>
      <c r="GO2" s="121">
        <v>18</v>
      </c>
      <c r="GS2" s="121">
        <v>6</v>
      </c>
      <c r="GV2" s="121">
        <v>9</v>
      </c>
      <c r="GY2" s="121">
        <v>8</v>
      </c>
      <c r="HB2" s="121">
        <v>17</v>
      </c>
      <c r="HE2" s="121">
        <v>15</v>
      </c>
      <c r="HH2" s="121">
        <v>10</v>
      </c>
      <c r="HK2" s="121">
        <v>65</v>
      </c>
      <c r="HL2" s="121">
        <v>65</v>
      </c>
      <c r="HP2" s="121">
        <v>92</v>
      </c>
      <c r="HS2" s="121">
        <v>91</v>
      </c>
      <c r="HV2" s="121">
        <v>121</v>
      </c>
      <c r="HY2" s="121">
        <v>89</v>
      </c>
      <c r="IB2" s="121">
        <v>42</v>
      </c>
      <c r="IE2" s="121">
        <v>57</v>
      </c>
      <c r="IH2" s="121">
        <v>492</v>
      </c>
      <c r="II2" s="121">
        <v>492</v>
      </c>
      <c r="IM2" s="121">
        <v>9</v>
      </c>
      <c r="IP2" s="121">
        <v>7</v>
      </c>
      <c r="IS2" s="121">
        <v>0</v>
      </c>
      <c r="IV2" s="121">
        <v>14</v>
      </c>
      <c r="IY2" s="121">
        <v>38</v>
      </c>
      <c r="JB2" s="121">
        <v>6</v>
      </c>
      <c r="JE2" s="121">
        <v>74</v>
      </c>
      <c r="JF2" s="121">
        <v>74</v>
      </c>
      <c r="JJ2" s="121">
        <v>3</v>
      </c>
      <c r="JM2" s="121">
        <v>2</v>
      </c>
      <c r="JP2" s="121">
        <v>0</v>
      </c>
      <c r="JS2" s="121">
        <v>0</v>
      </c>
      <c r="JV2" s="121">
        <v>18</v>
      </c>
      <c r="JY2" s="121">
        <v>13</v>
      </c>
      <c r="KB2" s="121">
        <v>36</v>
      </c>
      <c r="KC2" s="121">
        <v>36</v>
      </c>
      <c r="KG2" s="121">
        <v>0</v>
      </c>
      <c r="KJ2" s="121">
        <v>0</v>
      </c>
      <c r="KM2" s="121">
        <v>0</v>
      </c>
      <c r="KP2" s="121">
        <v>0</v>
      </c>
      <c r="KS2" s="121">
        <v>0</v>
      </c>
      <c r="KV2" s="121">
        <v>0</v>
      </c>
      <c r="KY2" s="121">
        <v>0</v>
      </c>
      <c r="KZ2" s="121">
        <v>0</v>
      </c>
      <c r="LD2" s="121">
        <v>12</v>
      </c>
      <c r="LG2" s="121">
        <v>9</v>
      </c>
      <c r="LJ2" s="121">
        <v>0</v>
      </c>
      <c r="LM2" s="121">
        <v>14</v>
      </c>
      <c r="LP2" s="121">
        <v>56</v>
      </c>
      <c r="LS2" s="121">
        <v>19</v>
      </c>
      <c r="LV2" s="121">
        <v>110</v>
      </c>
      <c r="LW2" s="121">
        <v>110</v>
      </c>
      <c r="MA2" s="121">
        <v>1</v>
      </c>
      <c r="MD2" s="121">
        <v>2</v>
      </c>
      <c r="MG2" s="121">
        <v>15</v>
      </c>
      <c r="ML2" s="121">
        <v>0</v>
      </c>
      <c r="MM2" s="121">
        <v>18</v>
      </c>
      <c r="MN2" s="121">
        <v>18</v>
      </c>
      <c r="ND2" s="121">
        <v>1</v>
      </c>
      <c r="NF2" s="121">
        <v>1</v>
      </c>
      <c r="NG2" s="121">
        <v>1</v>
      </c>
      <c r="NR2" s="121">
        <v>1</v>
      </c>
      <c r="NS2" s="121">
        <v>2</v>
      </c>
      <c r="NT2" s="121">
        <v>3</v>
      </c>
      <c r="NW2" s="121">
        <v>0</v>
      </c>
      <c r="NX2" s="121">
        <v>18</v>
      </c>
      <c r="OF2" s="121">
        <v>0</v>
      </c>
      <c r="OG2" s="121">
        <v>18</v>
      </c>
      <c r="OH2" s="121">
        <v>18</v>
      </c>
      <c r="OL2" s="121">
        <v>12</v>
      </c>
      <c r="PA2" s="121">
        <v>4</v>
      </c>
      <c r="PJ2" s="121">
        <v>2</v>
      </c>
      <c r="PL2" s="121">
        <v>0</v>
      </c>
      <c r="PM2" s="121">
        <v>18</v>
      </c>
      <c r="PN2" s="121">
        <v>18</v>
      </c>
      <c r="PU2" s="121">
        <v>17</v>
      </c>
      <c r="PX2" s="121">
        <v>1</v>
      </c>
      <c r="QC2" s="121">
        <v>0</v>
      </c>
      <c r="QD2" s="121">
        <v>18</v>
      </c>
      <c r="QE2" s="121">
        <v>18</v>
      </c>
      <c r="QL2" s="121">
        <v>5</v>
      </c>
      <c r="QO2" s="121">
        <v>5</v>
      </c>
      <c r="QR2" s="121">
        <v>8</v>
      </c>
      <c r="QT2" s="121">
        <v>0</v>
      </c>
      <c r="QU2" s="121">
        <v>18</v>
      </c>
      <c r="QV2" s="121">
        <v>18</v>
      </c>
      <c r="RC2" s="121">
        <v>4</v>
      </c>
      <c r="RF2" s="121">
        <v>11</v>
      </c>
      <c r="RI2" s="121">
        <v>3</v>
      </c>
      <c r="RN2" s="121">
        <v>0</v>
      </c>
      <c r="RO2" s="121">
        <v>18</v>
      </c>
      <c r="RP2" s="121">
        <v>18</v>
      </c>
      <c r="RR2" s="121">
        <v>0</v>
      </c>
      <c r="RS2" s="121">
        <v>0</v>
      </c>
      <c r="RT2" s="121">
        <v>0</v>
      </c>
      <c r="RX2" s="121">
        <v>2</v>
      </c>
      <c r="RY2" s="121">
        <v>2</v>
      </c>
      <c r="SB2" s="121">
        <v>3</v>
      </c>
      <c r="SC2" s="121">
        <v>3</v>
      </c>
      <c r="SF2" s="121">
        <v>2</v>
      </c>
      <c r="SG2" s="121">
        <v>2</v>
      </c>
      <c r="SJ2" s="121">
        <v>0</v>
      </c>
      <c r="SK2" s="121">
        <v>0</v>
      </c>
      <c r="SN2" s="121">
        <v>4</v>
      </c>
      <c r="SO2" s="121">
        <v>4</v>
      </c>
      <c r="SR2" s="121">
        <v>0</v>
      </c>
      <c r="SS2" s="121">
        <v>0</v>
      </c>
      <c r="SV2" s="121">
        <v>0</v>
      </c>
      <c r="SW2" s="121">
        <v>0</v>
      </c>
      <c r="SZ2" s="121">
        <v>1</v>
      </c>
      <c r="TA2" s="121">
        <v>1</v>
      </c>
      <c r="TD2" s="121">
        <v>0</v>
      </c>
      <c r="TE2" s="121">
        <v>0</v>
      </c>
      <c r="TH2" s="121">
        <v>1</v>
      </c>
      <c r="TI2" s="121">
        <v>1</v>
      </c>
      <c r="TL2" s="121">
        <v>0</v>
      </c>
      <c r="TM2" s="121">
        <v>0</v>
      </c>
      <c r="TP2" s="121">
        <v>0</v>
      </c>
      <c r="TQ2" s="121">
        <v>0</v>
      </c>
      <c r="TT2" s="121">
        <v>0</v>
      </c>
      <c r="TU2" s="121">
        <v>0</v>
      </c>
      <c r="TX2" s="121">
        <v>1</v>
      </c>
      <c r="TY2" s="121">
        <v>1</v>
      </c>
      <c r="UB2" s="121">
        <v>1</v>
      </c>
      <c r="UC2" s="121">
        <v>1</v>
      </c>
      <c r="UF2" s="121">
        <v>3</v>
      </c>
      <c r="UG2" s="121">
        <v>3</v>
      </c>
      <c r="UJ2" s="121">
        <v>0</v>
      </c>
      <c r="UK2" s="121">
        <v>0</v>
      </c>
      <c r="UN2" s="121">
        <v>0</v>
      </c>
      <c r="UO2" s="121">
        <v>0</v>
      </c>
      <c r="UR2" s="121">
        <v>0</v>
      </c>
      <c r="US2" s="121">
        <v>0</v>
      </c>
      <c r="UV2" s="121">
        <v>0</v>
      </c>
      <c r="UW2" s="121">
        <v>0</v>
      </c>
      <c r="UZ2" s="121">
        <v>0</v>
      </c>
      <c r="VA2" s="121">
        <v>0</v>
      </c>
      <c r="VP2" s="121">
        <v>0</v>
      </c>
      <c r="VQ2" s="121">
        <v>10</v>
      </c>
      <c r="VR2" s="121">
        <v>0</v>
      </c>
      <c r="VS2" s="121">
        <v>2</v>
      </c>
      <c r="VT2" s="121">
        <v>5</v>
      </c>
      <c r="VU2" s="121">
        <v>0</v>
      </c>
      <c r="VV2" s="121">
        <v>0</v>
      </c>
      <c r="VW2" s="121">
        <v>1</v>
      </c>
      <c r="VX2" s="121">
        <v>0</v>
      </c>
      <c r="VY2" s="121">
        <v>0</v>
      </c>
      <c r="VZ2" s="121">
        <v>18</v>
      </c>
      <c r="WB2" s="121">
        <v>0</v>
      </c>
      <c r="WC2" s="121">
        <v>10</v>
      </c>
      <c r="WD2" s="121">
        <v>0</v>
      </c>
      <c r="WE2" s="121">
        <v>2</v>
      </c>
      <c r="WF2" s="121">
        <v>5</v>
      </c>
      <c r="WG2" s="121">
        <v>0</v>
      </c>
      <c r="WH2" s="121">
        <v>0</v>
      </c>
      <c r="WI2" s="121">
        <v>1</v>
      </c>
      <c r="WJ2" s="121">
        <v>0</v>
      </c>
      <c r="WK2" s="121">
        <v>0</v>
      </c>
      <c r="WL2" s="121">
        <v>18</v>
      </c>
      <c r="WP2" s="121">
        <v>1</v>
      </c>
      <c r="WS2" s="121">
        <v>1</v>
      </c>
      <c r="WV2" s="121">
        <v>0</v>
      </c>
      <c r="WY2" s="121">
        <v>0</v>
      </c>
      <c r="XB2" s="121">
        <v>0</v>
      </c>
      <c r="XE2" s="121">
        <v>0</v>
      </c>
      <c r="XH2" s="121">
        <v>0</v>
      </c>
      <c r="XK2" s="121" t="s">
        <v>226</v>
      </c>
      <c r="XL2" s="121" t="s">
        <v>227</v>
      </c>
      <c r="XM2" s="121" t="s">
        <v>227</v>
      </c>
      <c r="XN2" s="121" t="s">
        <v>227</v>
      </c>
      <c r="XO2" s="121" t="s">
        <v>227</v>
      </c>
      <c r="XR2" s="121" t="s">
        <v>183</v>
      </c>
      <c r="XS2" s="121" t="s">
        <v>1458</v>
      </c>
      <c r="XT2" s="121" t="s">
        <v>30</v>
      </c>
      <c r="XU2" s="121" t="s">
        <v>30</v>
      </c>
      <c r="XV2" s="121" t="s">
        <v>226</v>
      </c>
      <c r="XW2" s="121" t="s">
        <v>201</v>
      </c>
      <c r="XX2" s="121" t="s">
        <v>226</v>
      </c>
      <c r="XY2" s="121">
        <v>6</v>
      </c>
      <c r="XZ2" s="121" t="s">
        <v>1459</v>
      </c>
      <c r="YA2" s="121">
        <v>18</v>
      </c>
      <c r="YB2" s="121">
        <v>6</v>
      </c>
      <c r="YC2" s="121">
        <v>24</v>
      </c>
      <c r="YD2" s="121" t="s">
        <v>1460</v>
      </c>
      <c r="YE2" s="121" t="s">
        <v>226</v>
      </c>
      <c r="YF2" s="121" t="s">
        <v>180</v>
      </c>
      <c r="YG2" s="121" t="s">
        <v>1461</v>
      </c>
      <c r="YH2" s="121" t="s">
        <v>226</v>
      </c>
      <c r="YI2" s="121" t="s">
        <v>1462</v>
      </c>
      <c r="YJ2" s="121" t="s">
        <v>226</v>
      </c>
      <c r="YK2" s="121" t="s">
        <v>1463</v>
      </c>
      <c r="YL2" s="121" t="s">
        <v>226</v>
      </c>
      <c r="YM2" s="121" t="s">
        <v>1464</v>
      </c>
      <c r="YN2" s="121" t="s">
        <v>1465</v>
      </c>
      <c r="YO2" s="121" t="s">
        <v>227</v>
      </c>
      <c r="YP2" s="121" t="s">
        <v>226</v>
      </c>
      <c r="YQ2" s="121" t="s">
        <v>227</v>
      </c>
      <c r="YS2" s="121" t="s">
        <v>1466</v>
      </c>
      <c r="YT2" s="121" t="s">
        <v>1467</v>
      </c>
      <c r="YU2" s="121" t="s">
        <v>180</v>
      </c>
      <c r="YW2" s="121">
        <v>75</v>
      </c>
      <c r="YX2" s="121">
        <v>85</v>
      </c>
      <c r="YZ2" s="121">
        <v>0</v>
      </c>
      <c r="ZA2" s="121">
        <v>0</v>
      </c>
      <c r="ZC2" s="121">
        <v>13</v>
      </c>
      <c r="ZD2" s="121">
        <v>11</v>
      </c>
      <c r="ZF2" s="121">
        <v>1</v>
      </c>
      <c r="ZG2" s="121">
        <v>2</v>
      </c>
      <c r="ZI2" s="121">
        <v>1</v>
      </c>
      <c r="ZJ2" s="121">
        <v>2</v>
      </c>
      <c r="ZL2" s="121">
        <v>0</v>
      </c>
      <c r="ZM2" s="121">
        <v>0</v>
      </c>
      <c r="ZN2" s="121" t="s">
        <v>226</v>
      </c>
      <c r="ZO2" s="121" t="s">
        <v>1468</v>
      </c>
      <c r="ZP2" s="121" t="s">
        <v>1469</v>
      </c>
      <c r="ZR2" s="121">
        <v>200</v>
      </c>
      <c r="ZS2" s="121">
        <v>50</v>
      </c>
      <c r="ZT2" s="121">
        <v>250</v>
      </c>
      <c r="ZU2" s="121" t="s">
        <v>226</v>
      </c>
      <c r="ZV2" s="121" t="s">
        <v>1470</v>
      </c>
      <c r="ZW2" s="121" t="s">
        <v>30</v>
      </c>
      <c r="ZX2" s="121" t="s">
        <v>30</v>
      </c>
      <c r="ZY2" s="121">
        <v>753718442</v>
      </c>
      <c r="ZZ2" s="121" t="s">
        <v>59</v>
      </c>
      <c r="AAA2" s="121">
        <v>46085.382534722223</v>
      </c>
      <c r="AAD2" s="121" t="s">
        <v>1471</v>
      </c>
      <c r="AAF2" s="121" t="s">
        <v>1472</v>
      </c>
      <c r="AAH2" s="121" t="s">
        <v>1473</v>
      </c>
      <c r="AAI2" s="121">
        <v>1</v>
      </c>
      <c r="CUU2" s="122"/>
    </row>
    <row r="3" spans="1:711 2595:2595">
      <c r="A3" s="121">
        <v>1400507</v>
      </c>
      <c r="B3" s="121" t="s">
        <v>1457</v>
      </c>
      <c r="C3" s="121" t="s">
        <v>28</v>
      </c>
      <c r="D3" s="121" t="s">
        <v>39</v>
      </c>
      <c r="E3" s="121" t="s">
        <v>4</v>
      </c>
      <c r="F3" s="121" t="s">
        <v>1</v>
      </c>
      <c r="G3" s="121" t="s">
        <v>30</v>
      </c>
      <c r="H3" s="121" t="s">
        <v>30</v>
      </c>
      <c r="I3" s="121" t="s">
        <v>30</v>
      </c>
      <c r="J3" s="121" t="s">
        <v>30</v>
      </c>
      <c r="K3" s="121" t="s">
        <v>40</v>
      </c>
      <c r="L3" s="121" t="s">
        <v>32</v>
      </c>
      <c r="M3" s="121" t="s">
        <v>41</v>
      </c>
      <c r="N3" s="121" t="s">
        <v>34</v>
      </c>
      <c r="O3" s="121" t="s">
        <v>30</v>
      </c>
      <c r="P3" s="121" t="s">
        <v>42</v>
      </c>
      <c r="Q3" s="121" t="s">
        <v>36</v>
      </c>
      <c r="R3" s="121" t="s">
        <v>37</v>
      </c>
      <c r="U3" s="121" t="s">
        <v>43</v>
      </c>
      <c r="X3" s="121">
        <v>1</v>
      </c>
      <c r="Y3" s="121">
        <v>0</v>
      </c>
      <c r="AA3" s="121">
        <v>26</v>
      </c>
      <c r="AB3" s="121">
        <v>23</v>
      </c>
      <c r="AD3" s="121">
        <v>11</v>
      </c>
      <c r="AE3" s="121">
        <v>10</v>
      </c>
      <c r="AG3" s="121">
        <v>3</v>
      </c>
      <c r="AH3" s="121">
        <v>4</v>
      </c>
      <c r="AJ3" s="121">
        <v>1</v>
      </c>
      <c r="AK3" s="121">
        <v>1</v>
      </c>
      <c r="AM3" s="121">
        <v>0</v>
      </c>
      <c r="AN3" s="121">
        <v>0</v>
      </c>
      <c r="AP3" s="121">
        <v>42</v>
      </c>
      <c r="AQ3" s="121">
        <v>38</v>
      </c>
      <c r="AR3" s="121">
        <v>80</v>
      </c>
      <c r="AU3" s="121">
        <v>1</v>
      </c>
      <c r="AV3" s="121">
        <v>0</v>
      </c>
      <c r="AX3" s="121">
        <v>26</v>
      </c>
      <c r="AY3" s="121">
        <v>23</v>
      </c>
      <c r="BA3" s="121">
        <v>17</v>
      </c>
      <c r="BB3" s="121">
        <v>15</v>
      </c>
      <c r="BD3" s="121">
        <v>5</v>
      </c>
      <c r="BE3" s="121">
        <v>6</v>
      </c>
      <c r="BG3" s="121">
        <v>6</v>
      </c>
      <c r="BH3" s="121">
        <v>2</v>
      </c>
      <c r="BJ3" s="121">
        <v>0</v>
      </c>
      <c r="BK3" s="121">
        <v>0</v>
      </c>
      <c r="BM3" s="121">
        <v>55</v>
      </c>
      <c r="BN3" s="121">
        <v>46</v>
      </c>
      <c r="BO3" s="121">
        <v>101</v>
      </c>
      <c r="BR3" s="121">
        <v>16</v>
      </c>
      <c r="BS3" s="121">
        <v>16</v>
      </c>
      <c r="BU3" s="121">
        <v>14</v>
      </c>
      <c r="BV3" s="121">
        <v>10</v>
      </c>
      <c r="BX3" s="121">
        <v>17</v>
      </c>
      <c r="BY3" s="121">
        <v>6</v>
      </c>
      <c r="CA3" s="121">
        <v>2</v>
      </c>
      <c r="CB3" s="121">
        <v>1</v>
      </c>
      <c r="CD3" s="121">
        <v>5</v>
      </c>
      <c r="CE3" s="121">
        <v>1</v>
      </c>
      <c r="CG3" s="121">
        <v>54</v>
      </c>
      <c r="CH3" s="121">
        <v>34</v>
      </c>
      <c r="CI3" s="121">
        <v>88</v>
      </c>
      <c r="CL3" s="121">
        <v>21</v>
      </c>
      <c r="CM3" s="121">
        <v>18</v>
      </c>
      <c r="CO3" s="121">
        <v>9</v>
      </c>
      <c r="CP3" s="121">
        <v>12</v>
      </c>
      <c r="CR3" s="121">
        <v>9</v>
      </c>
      <c r="CS3" s="121">
        <v>2</v>
      </c>
      <c r="CU3" s="121">
        <v>6</v>
      </c>
      <c r="CV3" s="121">
        <v>8</v>
      </c>
      <c r="CX3" s="121">
        <v>1</v>
      </c>
      <c r="CY3" s="121">
        <v>1</v>
      </c>
      <c r="DA3" s="121">
        <v>46</v>
      </c>
      <c r="DB3" s="121">
        <v>41</v>
      </c>
      <c r="DC3" s="121">
        <v>87</v>
      </c>
      <c r="DF3" s="121">
        <v>14</v>
      </c>
      <c r="DG3" s="121">
        <v>15</v>
      </c>
      <c r="DI3" s="121">
        <v>13</v>
      </c>
      <c r="DJ3" s="121">
        <v>8</v>
      </c>
      <c r="DL3" s="121">
        <v>20</v>
      </c>
      <c r="DM3" s="121">
        <v>12</v>
      </c>
      <c r="DO3" s="121">
        <v>9</v>
      </c>
      <c r="DP3" s="121">
        <v>7</v>
      </c>
      <c r="DR3" s="121">
        <v>7</v>
      </c>
      <c r="DS3" s="121">
        <v>7</v>
      </c>
      <c r="DU3" s="121">
        <v>63</v>
      </c>
      <c r="DV3" s="121">
        <v>49</v>
      </c>
      <c r="DW3" s="121">
        <v>112</v>
      </c>
      <c r="DZ3" s="121">
        <v>11</v>
      </c>
      <c r="EA3" s="121">
        <v>8</v>
      </c>
      <c r="EC3" s="121">
        <v>8</v>
      </c>
      <c r="ED3" s="121">
        <v>7</v>
      </c>
      <c r="EF3" s="121">
        <v>9</v>
      </c>
      <c r="EG3" s="121">
        <v>1</v>
      </c>
      <c r="EI3" s="121">
        <v>3</v>
      </c>
      <c r="EJ3" s="121">
        <v>5</v>
      </c>
      <c r="EL3" s="121">
        <v>4</v>
      </c>
      <c r="EM3" s="121">
        <v>2</v>
      </c>
      <c r="EO3" s="121">
        <v>35</v>
      </c>
      <c r="EP3" s="121">
        <v>23</v>
      </c>
      <c r="EQ3" s="121">
        <v>58</v>
      </c>
      <c r="ET3" s="121">
        <v>9</v>
      </c>
      <c r="EU3" s="121">
        <v>10</v>
      </c>
      <c r="EW3" s="121">
        <v>10</v>
      </c>
      <c r="EX3" s="121">
        <v>6</v>
      </c>
      <c r="EZ3" s="121">
        <v>6</v>
      </c>
      <c r="FA3" s="121">
        <v>9</v>
      </c>
      <c r="FC3" s="121">
        <v>2</v>
      </c>
      <c r="FD3" s="121">
        <v>2</v>
      </c>
      <c r="FF3" s="121">
        <v>2</v>
      </c>
      <c r="FG3" s="121">
        <v>1</v>
      </c>
      <c r="FI3" s="121">
        <v>29</v>
      </c>
      <c r="FJ3" s="121">
        <v>28</v>
      </c>
      <c r="FK3" s="121">
        <v>57</v>
      </c>
      <c r="FN3" s="121">
        <v>0</v>
      </c>
      <c r="FO3" s="121">
        <v>0</v>
      </c>
      <c r="FP3" s="121">
        <v>2</v>
      </c>
      <c r="FR3" s="121">
        <v>1</v>
      </c>
      <c r="FS3" s="121">
        <v>1</v>
      </c>
      <c r="FT3" s="121">
        <v>0</v>
      </c>
      <c r="FV3" s="121">
        <v>1</v>
      </c>
      <c r="FW3" s="121">
        <v>1</v>
      </c>
      <c r="FX3" s="121">
        <v>0</v>
      </c>
      <c r="FZ3" s="121">
        <v>1</v>
      </c>
      <c r="GA3" s="121">
        <v>1</v>
      </c>
      <c r="GB3" s="121">
        <v>0</v>
      </c>
      <c r="GD3" s="121">
        <v>0</v>
      </c>
      <c r="GE3" s="121">
        <v>0</v>
      </c>
      <c r="GF3" s="121">
        <v>1</v>
      </c>
      <c r="GH3" s="121">
        <v>0</v>
      </c>
      <c r="GI3" s="121">
        <v>0</v>
      </c>
      <c r="GJ3" s="121">
        <v>1</v>
      </c>
      <c r="GL3" s="121">
        <v>3</v>
      </c>
      <c r="GM3" s="121">
        <v>3</v>
      </c>
      <c r="GN3" s="121">
        <v>4</v>
      </c>
      <c r="GO3" s="121">
        <v>10</v>
      </c>
      <c r="GR3" s="121">
        <v>0</v>
      </c>
      <c r="GS3" s="121">
        <v>0</v>
      </c>
      <c r="GU3" s="121">
        <v>0</v>
      </c>
      <c r="GV3" s="121">
        <v>0</v>
      </c>
      <c r="GX3" s="121">
        <v>0</v>
      </c>
      <c r="GY3" s="121">
        <v>0</v>
      </c>
      <c r="HA3" s="121">
        <v>0</v>
      </c>
      <c r="HB3" s="121">
        <v>0</v>
      </c>
      <c r="HD3" s="121">
        <v>0</v>
      </c>
      <c r="HE3" s="121">
        <v>0</v>
      </c>
      <c r="HG3" s="121">
        <v>0</v>
      </c>
      <c r="HH3" s="121">
        <v>0</v>
      </c>
      <c r="HJ3" s="121">
        <v>0</v>
      </c>
      <c r="HK3" s="121">
        <v>0</v>
      </c>
      <c r="HL3" s="121">
        <v>0</v>
      </c>
      <c r="HO3" s="121">
        <v>39</v>
      </c>
      <c r="HP3" s="121">
        <v>29</v>
      </c>
      <c r="HR3" s="121">
        <v>36</v>
      </c>
      <c r="HS3" s="121">
        <v>35</v>
      </c>
      <c r="HU3" s="121">
        <v>41</v>
      </c>
      <c r="HV3" s="121">
        <v>36</v>
      </c>
      <c r="HX3" s="121">
        <v>25</v>
      </c>
      <c r="HY3" s="121">
        <v>15</v>
      </c>
      <c r="IA3" s="121">
        <v>26</v>
      </c>
      <c r="IB3" s="121">
        <v>24</v>
      </c>
      <c r="ID3" s="121">
        <v>19</v>
      </c>
      <c r="IE3" s="121">
        <v>16</v>
      </c>
      <c r="IG3" s="121">
        <v>186</v>
      </c>
      <c r="IH3" s="121">
        <v>155</v>
      </c>
      <c r="II3" s="121">
        <v>341</v>
      </c>
      <c r="IL3" s="121">
        <v>7</v>
      </c>
      <c r="IM3" s="121">
        <v>10</v>
      </c>
      <c r="IO3" s="121">
        <v>13</v>
      </c>
      <c r="IP3" s="121">
        <v>6</v>
      </c>
      <c r="IR3" s="121">
        <v>10</v>
      </c>
      <c r="IS3" s="121">
        <v>7</v>
      </c>
      <c r="IU3" s="121">
        <v>26</v>
      </c>
      <c r="IV3" s="121">
        <v>14</v>
      </c>
      <c r="IX3" s="121">
        <v>11</v>
      </c>
      <c r="IY3" s="121">
        <v>8</v>
      </c>
      <c r="JA3" s="121">
        <v>5</v>
      </c>
      <c r="JB3" s="121">
        <v>1</v>
      </c>
      <c r="JD3" s="121">
        <v>72</v>
      </c>
      <c r="JE3" s="121">
        <v>46</v>
      </c>
      <c r="JF3" s="121">
        <v>118</v>
      </c>
      <c r="JI3" s="121">
        <v>9</v>
      </c>
      <c r="JJ3" s="121">
        <v>2</v>
      </c>
      <c r="JL3" s="121">
        <v>2</v>
      </c>
      <c r="JM3" s="121">
        <v>1</v>
      </c>
      <c r="JO3" s="121">
        <v>2</v>
      </c>
      <c r="JP3" s="121">
        <v>1</v>
      </c>
      <c r="JR3" s="121">
        <v>6</v>
      </c>
      <c r="JS3" s="121">
        <v>3</v>
      </c>
      <c r="JU3" s="121">
        <v>5</v>
      </c>
      <c r="JV3" s="121">
        <v>1</v>
      </c>
      <c r="JX3" s="121">
        <v>2</v>
      </c>
      <c r="JY3" s="121">
        <v>3</v>
      </c>
      <c r="KA3" s="121">
        <v>26</v>
      </c>
      <c r="KB3" s="121">
        <v>11</v>
      </c>
      <c r="KC3" s="121">
        <v>37</v>
      </c>
      <c r="KF3" s="121">
        <v>0</v>
      </c>
      <c r="KG3" s="121">
        <v>0</v>
      </c>
      <c r="KI3" s="121">
        <v>0</v>
      </c>
      <c r="KJ3" s="121">
        <v>0</v>
      </c>
      <c r="KL3" s="121">
        <v>0</v>
      </c>
      <c r="KM3" s="121">
        <v>0</v>
      </c>
      <c r="KO3" s="121">
        <v>0</v>
      </c>
      <c r="KP3" s="121">
        <v>0</v>
      </c>
      <c r="KR3" s="121">
        <v>0</v>
      </c>
      <c r="KS3" s="121">
        <v>0</v>
      </c>
      <c r="KU3" s="121">
        <v>0</v>
      </c>
      <c r="KV3" s="121">
        <v>0</v>
      </c>
      <c r="KX3" s="121">
        <v>0</v>
      </c>
      <c r="KY3" s="121">
        <v>0</v>
      </c>
      <c r="KZ3" s="121">
        <v>0</v>
      </c>
      <c r="LC3" s="121">
        <v>16</v>
      </c>
      <c r="LD3" s="121">
        <v>12</v>
      </c>
      <c r="LF3" s="121">
        <v>15</v>
      </c>
      <c r="LG3" s="121">
        <v>7</v>
      </c>
      <c r="LI3" s="121">
        <v>12</v>
      </c>
      <c r="LJ3" s="121">
        <v>8</v>
      </c>
      <c r="LL3" s="121">
        <v>32</v>
      </c>
      <c r="LM3" s="121">
        <v>17</v>
      </c>
      <c r="LO3" s="121">
        <v>16</v>
      </c>
      <c r="LP3" s="121">
        <v>9</v>
      </c>
      <c r="LR3" s="121">
        <v>7</v>
      </c>
      <c r="LS3" s="121">
        <v>4</v>
      </c>
      <c r="LU3" s="121">
        <v>98</v>
      </c>
      <c r="LV3" s="121">
        <v>57</v>
      </c>
      <c r="LW3" s="121">
        <v>155</v>
      </c>
      <c r="LZ3" s="121">
        <v>1</v>
      </c>
      <c r="MC3" s="121">
        <v>2</v>
      </c>
      <c r="MF3" s="121">
        <v>26</v>
      </c>
      <c r="MG3" s="121">
        <v>46</v>
      </c>
      <c r="ML3" s="121">
        <v>29</v>
      </c>
      <c r="MM3" s="121">
        <v>46</v>
      </c>
      <c r="MN3" s="121">
        <v>75</v>
      </c>
      <c r="NF3" s="121">
        <v>1</v>
      </c>
      <c r="NG3" s="121">
        <v>1</v>
      </c>
      <c r="NI3" s="121">
        <v>1</v>
      </c>
      <c r="NR3" s="121">
        <v>2</v>
      </c>
      <c r="NS3" s="121">
        <v>1</v>
      </c>
      <c r="NT3" s="121">
        <v>3</v>
      </c>
      <c r="NW3" s="121">
        <v>29</v>
      </c>
      <c r="NX3" s="121">
        <v>46</v>
      </c>
      <c r="OF3" s="121">
        <v>29</v>
      </c>
      <c r="OG3" s="121">
        <v>46</v>
      </c>
      <c r="OH3" s="121">
        <v>75</v>
      </c>
      <c r="OK3" s="121">
        <v>27</v>
      </c>
      <c r="OL3" s="121">
        <v>41</v>
      </c>
      <c r="OQ3" s="121">
        <v>1</v>
      </c>
      <c r="OR3" s="121">
        <v>2</v>
      </c>
      <c r="OT3" s="121">
        <v>1</v>
      </c>
      <c r="PD3" s="121">
        <v>2</v>
      </c>
      <c r="PJ3" s="121">
        <v>1</v>
      </c>
      <c r="PL3" s="121">
        <v>29</v>
      </c>
      <c r="PM3" s="121">
        <v>46</v>
      </c>
      <c r="PN3" s="121">
        <v>75</v>
      </c>
      <c r="PQ3" s="121">
        <v>2</v>
      </c>
      <c r="PR3" s="121">
        <v>4</v>
      </c>
      <c r="PT3" s="121">
        <v>27</v>
      </c>
      <c r="PU3" s="121">
        <v>41</v>
      </c>
      <c r="QA3" s="121">
        <v>1</v>
      </c>
      <c r="QC3" s="121">
        <v>29</v>
      </c>
      <c r="QD3" s="121">
        <v>46</v>
      </c>
      <c r="QE3" s="121">
        <v>75</v>
      </c>
      <c r="QH3" s="121">
        <v>16</v>
      </c>
      <c r="QI3" s="121">
        <v>41</v>
      </c>
      <c r="QK3" s="121">
        <v>10</v>
      </c>
      <c r="QL3" s="121">
        <v>3</v>
      </c>
      <c r="QN3" s="121">
        <v>3</v>
      </c>
      <c r="QO3" s="121">
        <v>2</v>
      </c>
      <c r="QT3" s="121">
        <v>29</v>
      </c>
      <c r="QU3" s="121">
        <v>46</v>
      </c>
      <c r="QV3" s="121">
        <v>75</v>
      </c>
      <c r="QY3" s="121">
        <v>3</v>
      </c>
      <c r="QZ3" s="121">
        <v>2</v>
      </c>
      <c r="RB3" s="121">
        <v>22</v>
      </c>
      <c r="RC3" s="121">
        <v>34</v>
      </c>
      <c r="RE3" s="121">
        <v>3</v>
      </c>
      <c r="RF3" s="121">
        <v>8</v>
      </c>
      <c r="RH3" s="121">
        <v>1</v>
      </c>
      <c r="RI3" s="121">
        <v>2</v>
      </c>
      <c r="RN3" s="121">
        <v>29</v>
      </c>
      <c r="RO3" s="121">
        <v>46</v>
      </c>
      <c r="RP3" s="121">
        <v>75</v>
      </c>
      <c r="RR3" s="121">
        <v>4</v>
      </c>
      <c r="RS3" s="121">
        <v>2</v>
      </c>
      <c r="RT3" s="121">
        <v>6</v>
      </c>
      <c r="RW3" s="121">
        <v>5</v>
      </c>
      <c r="RX3" s="121">
        <v>7</v>
      </c>
      <c r="RY3" s="121">
        <v>12</v>
      </c>
      <c r="SA3" s="121">
        <v>9</v>
      </c>
      <c r="SB3" s="121">
        <v>12</v>
      </c>
      <c r="SC3" s="121">
        <v>21</v>
      </c>
      <c r="SE3" s="121">
        <v>2</v>
      </c>
      <c r="SF3" s="121">
        <v>6</v>
      </c>
      <c r="SG3" s="121">
        <v>8</v>
      </c>
      <c r="SI3" s="121">
        <v>0</v>
      </c>
      <c r="SJ3" s="121">
        <v>0</v>
      </c>
      <c r="SK3" s="121">
        <v>0</v>
      </c>
      <c r="SM3" s="121">
        <v>2</v>
      </c>
      <c r="SN3" s="121">
        <v>13</v>
      </c>
      <c r="SO3" s="121">
        <v>15</v>
      </c>
      <c r="SQ3" s="121">
        <v>0</v>
      </c>
      <c r="SR3" s="121">
        <v>1</v>
      </c>
      <c r="SS3" s="121">
        <v>1</v>
      </c>
      <c r="SU3" s="121">
        <v>0</v>
      </c>
      <c r="SV3" s="121">
        <v>0</v>
      </c>
      <c r="SW3" s="121">
        <v>0</v>
      </c>
      <c r="SY3" s="121">
        <v>2</v>
      </c>
      <c r="SZ3" s="121">
        <v>0</v>
      </c>
      <c r="TA3" s="121">
        <v>2</v>
      </c>
      <c r="TC3" s="121">
        <v>0</v>
      </c>
      <c r="TD3" s="121">
        <v>0</v>
      </c>
      <c r="TE3" s="121">
        <v>0</v>
      </c>
      <c r="TG3" s="121">
        <v>1</v>
      </c>
      <c r="TH3" s="121">
        <v>0</v>
      </c>
      <c r="TI3" s="121">
        <v>1</v>
      </c>
      <c r="TK3" s="121">
        <v>0</v>
      </c>
      <c r="TL3" s="121">
        <v>5</v>
      </c>
      <c r="TM3" s="121">
        <v>5</v>
      </c>
      <c r="TO3" s="121">
        <v>0</v>
      </c>
      <c r="TP3" s="121">
        <v>0</v>
      </c>
      <c r="TQ3" s="121">
        <v>0</v>
      </c>
      <c r="TS3" s="121">
        <v>0</v>
      </c>
      <c r="TT3" s="121">
        <v>0</v>
      </c>
      <c r="TU3" s="121">
        <v>0</v>
      </c>
      <c r="TW3" s="121">
        <v>0</v>
      </c>
      <c r="TX3" s="121">
        <v>0</v>
      </c>
      <c r="TY3" s="121">
        <v>0</v>
      </c>
      <c r="UA3" s="121">
        <v>5</v>
      </c>
      <c r="UB3" s="121">
        <v>0</v>
      </c>
      <c r="UC3" s="121">
        <v>5</v>
      </c>
      <c r="UE3" s="121">
        <v>2</v>
      </c>
      <c r="UF3" s="121">
        <v>1</v>
      </c>
      <c r="UG3" s="121">
        <v>3</v>
      </c>
      <c r="UI3" s="121">
        <v>0</v>
      </c>
      <c r="UJ3" s="121">
        <v>0</v>
      </c>
      <c r="UK3" s="121">
        <v>0</v>
      </c>
      <c r="UM3" s="121">
        <v>0</v>
      </c>
      <c r="UN3" s="121">
        <v>0</v>
      </c>
      <c r="UO3" s="121">
        <v>0</v>
      </c>
      <c r="UQ3" s="121">
        <v>0</v>
      </c>
      <c r="UR3" s="121">
        <v>0</v>
      </c>
      <c r="US3" s="121">
        <v>0</v>
      </c>
      <c r="UU3" s="121">
        <v>0</v>
      </c>
      <c r="UV3" s="121">
        <v>0</v>
      </c>
      <c r="UW3" s="121">
        <v>0</v>
      </c>
      <c r="UY3" s="121">
        <v>1</v>
      </c>
      <c r="UZ3" s="121">
        <v>1</v>
      </c>
      <c r="VA3" s="121">
        <v>2</v>
      </c>
      <c r="VD3" s="121">
        <v>0</v>
      </c>
      <c r="VE3" s="121">
        <v>12</v>
      </c>
      <c r="VF3" s="121">
        <v>0</v>
      </c>
      <c r="VG3" s="121">
        <v>0</v>
      </c>
      <c r="VH3" s="121">
        <v>16</v>
      </c>
      <c r="VI3" s="121">
        <v>1</v>
      </c>
      <c r="VJ3" s="121">
        <v>0</v>
      </c>
      <c r="VK3" s="121">
        <v>0</v>
      </c>
      <c r="VL3" s="121">
        <v>0</v>
      </c>
      <c r="VM3" s="121">
        <v>0</v>
      </c>
      <c r="VN3" s="121">
        <v>29</v>
      </c>
      <c r="VP3" s="121">
        <v>0</v>
      </c>
      <c r="VQ3" s="121">
        <v>21</v>
      </c>
      <c r="VR3" s="121">
        <v>0</v>
      </c>
      <c r="VS3" s="121">
        <v>0</v>
      </c>
      <c r="VT3" s="121">
        <v>20</v>
      </c>
      <c r="VU3" s="121">
        <v>3</v>
      </c>
      <c r="VV3" s="121">
        <v>0</v>
      </c>
      <c r="VW3" s="121">
        <v>1</v>
      </c>
      <c r="VX3" s="121">
        <v>1</v>
      </c>
      <c r="VY3" s="121">
        <v>0</v>
      </c>
      <c r="VZ3" s="121">
        <v>46</v>
      </c>
      <c r="WB3" s="121">
        <v>0</v>
      </c>
      <c r="WC3" s="121">
        <v>33</v>
      </c>
      <c r="WD3" s="121">
        <v>0</v>
      </c>
      <c r="WE3" s="121">
        <v>0</v>
      </c>
      <c r="WF3" s="121">
        <v>36</v>
      </c>
      <c r="WG3" s="121">
        <v>4</v>
      </c>
      <c r="WH3" s="121">
        <v>0</v>
      </c>
      <c r="WI3" s="121">
        <v>1</v>
      </c>
      <c r="WJ3" s="121">
        <v>1</v>
      </c>
      <c r="WK3" s="121">
        <v>0</v>
      </c>
      <c r="WL3" s="121">
        <v>75</v>
      </c>
      <c r="WO3" s="121">
        <v>0</v>
      </c>
      <c r="WP3" s="121">
        <v>0</v>
      </c>
      <c r="WR3" s="121">
        <v>0</v>
      </c>
      <c r="WS3" s="121">
        <v>0</v>
      </c>
      <c r="WU3" s="121">
        <v>0</v>
      </c>
      <c r="WV3" s="121">
        <v>0</v>
      </c>
      <c r="WX3" s="121">
        <v>0</v>
      </c>
      <c r="WY3" s="121">
        <v>0</v>
      </c>
      <c r="XA3" s="121">
        <v>0</v>
      </c>
      <c r="XB3" s="121">
        <v>0</v>
      </c>
      <c r="XD3" s="121">
        <v>0</v>
      </c>
      <c r="XE3" s="121">
        <v>0</v>
      </c>
      <c r="XG3" s="121">
        <v>0</v>
      </c>
      <c r="XH3" s="121">
        <v>0</v>
      </c>
      <c r="XI3" s="121">
        <v>0</v>
      </c>
      <c r="XK3" s="121" t="s">
        <v>227</v>
      </c>
      <c r="XL3" s="121" t="s">
        <v>227</v>
      </c>
      <c r="XM3" s="121" t="s">
        <v>227</v>
      </c>
      <c r="XN3" s="121" t="s">
        <v>227</v>
      </c>
      <c r="XO3" s="121" t="s">
        <v>227</v>
      </c>
      <c r="XR3" s="121" t="s">
        <v>183</v>
      </c>
      <c r="XS3" s="121" t="s">
        <v>1474</v>
      </c>
      <c r="XT3" s="121" t="s">
        <v>30</v>
      </c>
      <c r="XU3" s="121" t="s">
        <v>30</v>
      </c>
      <c r="XV3" s="121" t="s">
        <v>226</v>
      </c>
      <c r="XW3" s="121" t="s">
        <v>201</v>
      </c>
      <c r="XX3" s="121" t="s">
        <v>227</v>
      </c>
      <c r="XZ3" s="121" t="s">
        <v>1475</v>
      </c>
      <c r="YA3" s="121">
        <v>9</v>
      </c>
      <c r="YB3" s="121">
        <v>6</v>
      </c>
      <c r="YC3" s="121">
        <v>15</v>
      </c>
      <c r="YD3" s="121" t="s">
        <v>1460</v>
      </c>
      <c r="YE3" s="121" t="s">
        <v>226</v>
      </c>
      <c r="YF3" s="121" t="s">
        <v>180</v>
      </c>
      <c r="YG3" s="121" t="s">
        <v>1461</v>
      </c>
      <c r="YH3" s="121" t="s">
        <v>226</v>
      </c>
      <c r="YI3" s="121" t="s">
        <v>1476</v>
      </c>
      <c r="YJ3" s="121" t="s">
        <v>226</v>
      </c>
      <c r="YK3" s="121" t="s">
        <v>1463</v>
      </c>
      <c r="YL3" s="121" t="s">
        <v>226</v>
      </c>
      <c r="YM3" s="121" t="s">
        <v>1477</v>
      </c>
      <c r="YN3" s="121" t="s">
        <v>1465</v>
      </c>
      <c r="YO3" s="121" t="s">
        <v>227</v>
      </c>
      <c r="YP3" s="121" t="s">
        <v>227</v>
      </c>
      <c r="YQ3" s="121" t="s">
        <v>227</v>
      </c>
      <c r="YS3" s="121" t="s">
        <v>1478</v>
      </c>
      <c r="YT3" s="121" t="s">
        <v>1479</v>
      </c>
      <c r="YU3" s="121" t="s">
        <v>1480</v>
      </c>
      <c r="YW3" s="121">
        <v>221</v>
      </c>
      <c r="YX3" s="121">
        <v>21</v>
      </c>
      <c r="YZ3" s="121">
        <v>0</v>
      </c>
      <c r="ZA3" s="121">
        <v>50</v>
      </c>
      <c r="ZC3" s="121">
        <v>16</v>
      </c>
      <c r="ZD3" s="121">
        <v>35</v>
      </c>
      <c r="ZF3" s="121">
        <v>0</v>
      </c>
      <c r="ZG3" s="121">
        <v>2</v>
      </c>
      <c r="ZI3" s="121">
        <v>0</v>
      </c>
      <c r="ZJ3" s="121">
        <v>1</v>
      </c>
      <c r="ZL3" s="121">
        <v>0</v>
      </c>
      <c r="ZM3" s="121">
        <v>2</v>
      </c>
      <c r="ZN3" s="121" t="s">
        <v>227</v>
      </c>
      <c r="ZU3" s="121" t="s">
        <v>227</v>
      </c>
      <c r="ZV3" s="121" t="s">
        <v>1481</v>
      </c>
      <c r="ZW3" s="121" t="s">
        <v>30</v>
      </c>
      <c r="ZX3" s="121" t="s">
        <v>30</v>
      </c>
      <c r="ZY3" s="121">
        <v>753990291</v>
      </c>
      <c r="ZZ3" s="121" t="s">
        <v>60</v>
      </c>
      <c r="AAA3" s="121">
        <v>46086.231979166667</v>
      </c>
      <c r="AAD3" s="121" t="s">
        <v>1471</v>
      </c>
      <c r="AAF3" s="121" t="s">
        <v>1482</v>
      </c>
      <c r="AAH3" s="121" t="s">
        <v>1483</v>
      </c>
      <c r="AAI3" s="121">
        <v>2</v>
      </c>
      <c r="CUU3" s="122"/>
    </row>
    <row r="4" spans="1:711 2595:2595">
      <c r="A4" s="121">
        <v>1400231</v>
      </c>
      <c r="B4" s="121" t="s">
        <v>1457</v>
      </c>
      <c r="C4" s="121" t="s">
        <v>28</v>
      </c>
      <c r="D4" s="121" t="s">
        <v>2</v>
      </c>
      <c r="E4" s="121" t="s">
        <v>4</v>
      </c>
      <c r="F4" s="121" t="s">
        <v>5</v>
      </c>
      <c r="G4" s="121" t="s">
        <v>30</v>
      </c>
      <c r="H4" s="121" t="s">
        <v>44</v>
      </c>
      <c r="I4" s="121" t="s">
        <v>30</v>
      </c>
      <c r="J4" s="121" t="s">
        <v>30</v>
      </c>
      <c r="K4" s="121" t="s">
        <v>45</v>
      </c>
      <c r="L4" s="121" t="s">
        <v>32</v>
      </c>
      <c r="M4" s="121" t="s">
        <v>46</v>
      </c>
      <c r="N4" s="121" t="s">
        <v>34</v>
      </c>
      <c r="O4" s="121" t="s">
        <v>30</v>
      </c>
      <c r="P4" s="121" t="s">
        <v>35</v>
      </c>
      <c r="Q4" s="121" t="s">
        <v>36</v>
      </c>
      <c r="R4" s="121" t="s">
        <v>37</v>
      </c>
      <c r="U4" s="121" t="s">
        <v>43</v>
      </c>
      <c r="Y4" s="121">
        <v>0</v>
      </c>
      <c r="AB4" s="121">
        <v>52</v>
      </c>
      <c r="AE4" s="121">
        <v>0</v>
      </c>
      <c r="AH4" s="121">
        <v>0</v>
      </c>
      <c r="AK4" s="121">
        <v>0</v>
      </c>
      <c r="AN4" s="121">
        <v>0</v>
      </c>
      <c r="AQ4" s="121">
        <v>52</v>
      </c>
      <c r="AR4" s="121">
        <v>52</v>
      </c>
      <c r="AV4" s="121">
        <v>0</v>
      </c>
      <c r="AY4" s="121">
        <v>52</v>
      </c>
      <c r="BB4" s="121">
        <v>2</v>
      </c>
      <c r="BE4" s="121">
        <v>0</v>
      </c>
      <c r="BH4" s="121">
        <v>0</v>
      </c>
      <c r="BK4" s="121">
        <v>0</v>
      </c>
      <c r="BN4" s="121">
        <v>54</v>
      </c>
      <c r="BO4" s="121">
        <v>54</v>
      </c>
      <c r="BS4" s="121">
        <v>46</v>
      </c>
      <c r="BV4" s="121">
        <v>0</v>
      </c>
      <c r="BY4" s="121">
        <v>0</v>
      </c>
      <c r="CB4" s="121">
        <v>0</v>
      </c>
      <c r="CE4" s="121">
        <v>0</v>
      </c>
      <c r="CH4" s="121">
        <v>46</v>
      </c>
      <c r="CI4" s="121">
        <v>46</v>
      </c>
      <c r="CM4" s="121">
        <v>48</v>
      </c>
      <c r="CP4" s="121">
        <v>0</v>
      </c>
      <c r="CS4" s="121">
        <v>0</v>
      </c>
      <c r="CV4" s="121">
        <v>0</v>
      </c>
      <c r="CY4" s="121">
        <v>0</v>
      </c>
      <c r="DB4" s="121">
        <v>48</v>
      </c>
      <c r="DC4" s="121">
        <v>48</v>
      </c>
      <c r="DG4" s="121">
        <v>62</v>
      </c>
      <c r="DJ4" s="121">
        <v>0</v>
      </c>
      <c r="DM4" s="121">
        <v>0</v>
      </c>
      <c r="DP4" s="121">
        <v>0</v>
      </c>
      <c r="DS4" s="121">
        <v>0</v>
      </c>
      <c r="DV4" s="121">
        <v>62</v>
      </c>
      <c r="DW4" s="121">
        <v>62</v>
      </c>
      <c r="EA4" s="121">
        <v>54</v>
      </c>
      <c r="ED4" s="121">
        <v>0</v>
      </c>
      <c r="EG4" s="121">
        <v>0</v>
      </c>
      <c r="EJ4" s="121">
        <v>0</v>
      </c>
      <c r="EM4" s="121">
        <v>0</v>
      </c>
      <c r="EP4" s="121">
        <v>54</v>
      </c>
      <c r="EQ4" s="121">
        <v>54</v>
      </c>
      <c r="EU4" s="121">
        <v>58</v>
      </c>
      <c r="EX4" s="121">
        <v>0</v>
      </c>
      <c r="FA4" s="121">
        <v>0</v>
      </c>
      <c r="FD4" s="121">
        <v>0</v>
      </c>
      <c r="FG4" s="121">
        <v>0</v>
      </c>
      <c r="FJ4" s="121">
        <v>58</v>
      </c>
      <c r="FK4" s="121">
        <v>58</v>
      </c>
      <c r="FO4" s="121">
        <v>2</v>
      </c>
      <c r="FS4" s="121">
        <v>2</v>
      </c>
      <c r="FW4" s="121">
        <v>2</v>
      </c>
      <c r="GA4" s="121">
        <v>2</v>
      </c>
      <c r="GE4" s="121">
        <v>2</v>
      </c>
      <c r="GI4" s="121">
        <v>2</v>
      </c>
      <c r="GM4" s="121">
        <v>12</v>
      </c>
      <c r="GO4" s="121">
        <v>12</v>
      </c>
      <c r="GS4" s="121">
        <v>0</v>
      </c>
      <c r="GV4" s="121">
        <v>0</v>
      </c>
      <c r="GY4" s="121">
        <v>0</v>
      </c>
      <c r="HB4" s="121">
        <v>0</v>
      </c>
      <c r="HE4" s="121">
        <v>0</v>
      </c>
      <c r="HH4" s="121">
        <v>0</v>
      </c>
      <c r="HK4" s="121">
        <v>0</v>
      </c>
      <c r="HL4" s="121">
        <v>0</v>
      </c>
      <c r="HP4" s="121">
        <v>46</v>
      </c>
      <c r="HS4" s="121">
        <v>48</v>
      </c>
      <c r="HV4" s="121">
        <v>62</v>
      </c>
      <c r="HY4" s="121">
        <v>54</v>
      </c>
      <c r="IB4" s="121">
        <v>58</v>
      </c>
      <c r="IE4" s="121">
        <v>76</v>
      </c>
      <c r="IH4" s="121">
        <v>344</v>
      </c>
      <c r="II4" s="121">
        <v>344</v>
      </c>
      <c r="IM4" s="121">
        <v>2</v>
      </c>
      <c r="IP4" s="121">
        <v>1</v>
      </c>
      <c r="IS4" s="121">
        <v>0</v>
      </c>
      <c r="IV4" s="121">
        <v>1</v>
      </c>
      <c r="IY4" s="121">
        <v>4</v>
      </c>
      <c r="JB4" s="121">
        <v>0</v>
      </c>
      <c r="JE4" s="121">
        <v>8</v>
      </c>
      <c r="JF4" s="121">
        <v>8</v>
      </c>
      <c r="JJ4" s="121">
        <v>0</v>
      </c>
      <c r="JM4" s="121">
        <v>0</v>
      </c>
      <c r="JP4" s="121">
        <v>0</v>
      </c>
      <c r="JS4" s="121">
        <v>0</v>
      </c>
      <c r="JV4" s="121">
        <v>0</v>
      </c>
      <c r="JY4" s="121">
        <v>0</v>
      </c>
      <c r="KB4" s="121">
        <v>0</v>
      </c>
      <c r="KC4" s="121">
        <v>0</v>
      </c>
      <c r="KG4" s="121">
        <v>0</v>
      </c>
      <c r="KJ4" s="121">
        <v>0</v>
      </c>
      <c r="KM4" s="121">
        <v>0</v>
      </c>
      <c r="KP4" s="121">
        <v>0</v>
      </c>
      <c r="KS4" s="121">
        <v>0</v>
      </c>
      <c r="KV4" s="121">
        <v>0</v>
      </c>
      <c r="KY4" s="121">
        <v>0</v>
      </c>
      <c r="KZ4" s="121">
        <v>0</v>
      </c>
      <c r="LD4" s="121">
        <v>2</v>
      </c>
      <c r="LG4" s="121">
        <v>1</v>
      </c>
      <c r="LJ4" s="121">
        <v>0</v>
      </c>
      <c r="LM4" s="121">
        <v>1</v>
      </c>
      <c r="LP4" s="121">
        <v>4</v>
      </c>
      <c r="LS4" s="121">
        <v>0</v>
      </c>
      <c r="LV4" s="121">
        <v>8</v>
      </c>
      <c r="LW4" s="121">
        <v>8</v>
      </c>
      <c r="MA4" s="121">
        <v>1</v>
      </c>
      <c r="MD4" s="121">
        <v>2</v>
      </c>
      <c r="MG4" s="121">
        <v>16</v>
      </c>
      <c r="ML4" s="121">
        <v>0</v>
      </c>
      <c r="MM4" s="121">
        <v>19</v>
      </c>
      <c r="MN4" s="121">
        <v>19</v>
      </c>
      <c r="NG4" s="121">
        <v>1</v>
      </c>
      <c r="NI4" s="121">
        <v>1</v>
      </c>
      <c r="NR4" s="121">
        <v>1</v>
      </c>
      <c r="NS4" s="121">
        <v>1</v>
      </c>
      <c r="NT4" s="121">
        <v>2</v>
      </c>
      <c r="NW4" s="121">
        <v>0</v>
      </c>
      <c r="NX4" s="121">
        <v>19</v>
      </c>
      <c r="OF4" s="121">
        <v>0</v>
      </c>
      <c r="OG4" s="121">
        <v>19</v>
      </c>
      <c r="OH4" s="121">
        <v>19</v>
      </c>
      <c r="OL4" s="121">
        <v>17</v>
      </c>
      <c r="PA4" s="121">
        <v>2</v>
      </c>
      <c r="PL4" s="121">
        <v>0</v>
      </c>
      <c r="PM4" s="121">
        <v>19</v>
      </c>
      <c r="PN4" s="121">
        <v>19</v>
      </c>
      <c r="PR4" s="121">
        <v>2</v>
      </c>
      <c r="PU4" s="121">
        <v>14</v>
      </c>
      <c r="PX4" s="121">
        <v>2</v>
      </c>
      <c r="QA4" s="121">
        <v>1</v>
      </c>
      <c r="QC4" s="121">
        <v>0</v>
      </c>
      <c r="QD4" s="121">
        <v>19</v>
      </c>
      <c r="QE4" s="121">
        <v>19</v>
      </c>
      <c r="QO4" s="121">
        <v>1</v>
      </c>
      <c r="QR4" s="121">
        <v>18</v>
      </c>
      <c r="QT4" s="121">
        <v>0</v>
      </c>
      <c r="QU4" s="121">
        <v>19</v>
      </c>
      <c r="QV4" s="121">
        <v>19</v>
      </c>
      <c r="RC4" s="121">
        <v>3</v>
      </c>
      <c r="RI4" s="121">
        <v>14</v>
      </c>
      <c r="RL4" s="121">
        <v>2</v>
      </c>
      <c r="RN4" s="121">
        <v>0</v>
      </c>
      <c r="RO4" s="121">
        <v>19</v>
      </c>
      <c r="RP4" s="121">
        <v>19</v>
      </c>
      <c r="RR4" s="121">
        <v>0</v>
      </c>
      <c r="RS4" s="121">
        <v>0</v>
      </c>
      <c r="RT4" s="121">
        <v>0</v>
      </c>
      <c r="RX4" s="121">
        <v>2</v>
      </c>
      <c r="RY4" s="121">
        <v>2</v>
      </c>
      <c r="SB4" s="121">
        <v>2</v>
      </c>
      <c r="SC4" s="121">
        <v>2</v>
      </c>
      <c r="SF4" s="121">
        <v>3</v>
      </c>
      <c r="SG4" s="121">
        <v>3</v>
      </c>
      <c r="SJ4" s="121">
        <v>0</v>
      </c>
      <c r="SK4" s="121">
        <v>0</v>
      </c>
      <c r="SN4" s="121">
        <v>0</v>
      </c>
      <c r="SO4" s="121">
        <v>0</v>
      </c>
      <c r="SR4" s="121">
        <v>0</v>
      </c>
      <c r="SS4" s="121">
        <v>0</v>
      </c>
      <c r="SV4" s="121">
        <v>1</v>
      </c>
      <c r="SW4" s="121">
        <v>1</v>
      </c>
      <c r="SZ4" s="121">
        <v>0</v>
      </c>
      <c r="TA4" s="121">
        <v>0</v>
      </c>
      <c r="TD4" s="121">
        <v>0</v>
      </c>
      <c r="TE4" s="121">
        <v>0</v>
      </c>
      <c r="TH4" s="121">
        <v>2</v>
      </c>
      <c r="TI4" s="121">
        <v>2</v>
      </c>
      <c r="TL4" s="121">
        <v>0</v>
      </c>
      <c r="TM4" s="121">
        <v>0</v>
      </c>
      <c r="TP4" s="121">
        <v>0</v>
      </c>
      <c r="TQ4" s="121">
        <v>0</v>
      </c>
      <c r="TT4" s="121">
        <v>0</v>
      </c>
      <c r="TU4" s="121">
        <v>0</v>
      </c>
      <c r="TX4" s="121">
        <v>0</v>
      </c>
      <c r="TY4" s="121">
        <v>0</v>
      </c>
      <c r="UB4" s="121">
        <v>2</v>
      </c>
      <c r="UC4" s="121">
        <v>2</v>
      </c>
      <c r="UF4" s="121">
        <v>2</v>
      </c>
      <c r="UG4" s="121">
        <v>2</v>
      </c>
      <c r="UJ4" s="121">
        <v>0</v>
      </c>
      <c r="UK4" s="121">
        <v>0</v>
      </c>
      <c r="UN4" s="121">
        <v>0</v>
      </c>
      <c r="UO4" s="121">
        <v>0</v>
      </c>
      <c r="UR4" s="121">
        <v>0</v>
      </c>
      <c r="US4" s="121">
        <v>0</v>
      </c>
      <c r="UV4" s="121">
        <v>4</v>
      </c>
      <c r="UW4" s="121">
        <v>4</v>
      </c>
      <c r="UZ4" s="121">
        <v>1</v>
      </c>
      <c r="VA4" s="121">
        <v>1</v>
      </c>
      <c r="VP4" s="121">
        <v>1</v>
      </c>
      <c r="VQ4" s="121">
        <v>7</v>
      </c>
      <c r="VR4" s="121">
        <v>0</v>
      </c>
      <c r="VS4" s="121">
        <v>4</v>
      </c>
      <c r="VT4" s="121">
        <v>7</v>
      </c>
      <c r="VU4" s="121">
        <v>0</v>
      </c>
      <c r="VV4" s="121">
        <v>0</v>
      </c>
      <c r="VW4" s="121">
        <v>0</v>
      </c>
      <c r="VX4" s="121">
        <v>0</v>
      </c>
      <c r="VY4" s="121">
        <v>0</v>
      </c>
      <c r="VZ4" s="121">
        <v>19</v>
      </c>
      <c r="WB4" s="121">
        <v>1</v>
      </c>
      <c r="WC4" s="121">
        <v>7</v>
      </c>
      <c r="WD4" s="121">
        <v>0</v>
      </c>
      <c r="WE4" s="121">
        <v>4</v>
      </c>
      <c r="WF4" s="121">
        <v>7</v>
      </c>
      <c r="WG4" s="121">
        <v>0</v>
      </c>
      <c r="WH4" s="121">
        <v>0</v>
      </c>
      <c r="WI4" s="121">
        <v>0</v>
      </c>
      <c r="WJ4" s="121">
        <v>0</v>
      </c>
      <c r="WK4" s="121">
        <v>0</v>
      </c>
      <c r="WL4" s="121">
        <v>19</v>
      </c>
      <c r="WP4" s="121">
        <v>0</v>
      </c>
      <c r="WS4" s="121">
        <v>0</v>
      </c>
      <c r="WV4" s="121">
        <v>0</v>
      </c>
      <c r="WY4" s="121">
        <v>0</v>
      </c>
      <c r="XB4" s="121">
        <v>0</v>
      </c>
      <c r="XE4" s="121">
        <v>0</v>
      </c>
      <c r="XH4" s="121">
        <v>0</v>
      </c>
      <c r="XK4" s="121" t="s">
        <v>227</v>
      </c>
      <c r="XL4" s="121" t="s">
        <v>227</v>
      </c>
      <c r="XM4" s="121" t="s">
        <v>227</v>
      </c>
      <c r="XN4" s="121" t="s">
        <v>227</v>
      </c>
      <c r="XO4" s="121" t="s">
        <v>227</v>
      </c>
      <c r="XR4" s="121" t="s">
        <v>183</v>
      </c>
      <c r="XS4" s="121" t="s">
        <v>45</v>
      </c>
      <c r="XT4" s="121" t="s">
        <v>30</v>
      </c>
      <c r="XU4" s="121" t="s">
        <v>30</v>
      </c>
      <c r="XV4" s="121" t="s">
        <v>227</v>
      </c>
      <c r="XW4" s="121" t="s">
        <v>1484</v>
      </c>
      <c r="XX4" s="121" t="s">
        <v>227</v>
      </c>
      <c r="XZ4" s="121" t="s">
        <v>1485</v>
      </c>
      <c r="YA4" s="121">
        <v>13</v>
      </c>
      <c r="YB4" s="121">
        <v>2</v>
      </c>
      <c r="YC4" s="121">
        <v>15</v>
      </c>
      <c r="YD4" s="121" t="s">
        <v>1460</v>
      </c>
      <c r="YE4" s="121" t="s">
        <v>226</v>
      </c>
      <c r="YF4" s="121" t="s">
        <v>180</v>
      </c>
      <c r="YG4" s="121" t="s">
        <v>1461</v>
      </c>
      <c r="YH4" s="121" t="s">
        <v>226</v>
      </c>
      <c r="YI4" s="121" t="s">
        <v>1462</v>
      </c>
      <c r="YJ4" s="121" t="s">
        <v>226</v>
      </c>
      <c r="YK4" s="121" t="s">
        <v>1486</v>
      </c>
      <c r="YL4" s="121" t="s">
        <v>226</v>
      </c>
      <c r="YM4" s="121" t="s">
        <v>1464</v>
      </c>
      <c r="YN4" s="121" t="s">
        <v>1465</v>
      </c>
      <c r="YO4" s="121" t="s">
        <v>226</v>
      </c>
      <c r="YP4" s="121" t="s">
        <v>226</v>
      </c>
      <c r="YQ4" s="121" t="s">
        <v>227</v>
      </c>
      <c r="YS4" s="121" t="s">
        <v>1487</v>
      </c>
      <c r="YT4" s="121" t="s">
        <v>1479</v>
      </c>
      <c r="YU4" s="121" t="s">
        <v>1480</v>
      </c>
      <c r="YW4" s="121">
        <v>240</v>
      </c>
      <c r="YX4" s="121">
        <v>0</v>
      </c>
      <c r="YZ4" s="121">
        <v>0</v>
      </c>
      <c r="ZA4" s="121">
        <v>0</v>
      </c>
      <c r="ZC4" s="121">
        <v>0</v>
      </c>
      <c r="ZD4" s="121">
        <v>0</v>
      </c>
      <c r="ZF4" s="121">
        <v>1</v>
      </c>
      <c r="ZG4" s="121">
        <v>0</v>
      </c>
      <c r="ZI4" s="121">
        <v>2</v>
      </c>
      <c r="ZJ4" s="121">
        <v>0</v>
      </c>
      <c r="ZL4" s="121">
        <v>0</v>
      </c>
      <c r="ZM4" s="121">
        <v>0</v>
      </c>
      <c r="ZN4" s="121" t="s">
        <v>226</v>
      </c>
      <c r="ZO4" s="121" t="s">
        <v>1468</v>
      </c>
      <c r="ZP4" s="121" t="s">
        <v>1488</v>
      </c>
      <c r="ZR4" s="121">
        <v>414</v>
      </c>
      <c r="ZS4" s="121">
        <v>100</v>
      </c>
      <c r="ZT4" s="121">
        <v>514</v>
      </c>
      <c r="ZU4" s="121" t="s">
        <v>227</v>
      </c>
      <c r="ZV4" s="121" t="s">
        <v>1489</v>
      </c>
      <c r="ZW4" s="121" t="s">
        <v>30</v>
      </c>
      <c r="ZX4" s="121" t="s">
        <v>30</v>
      </c>
      <c r="ZY4" s="121">
        <v>753993798</v>
      </c>
      <c r="ZZ4" s="121" t="s">
        <v>61</v>
      </c>
      <c r="AAA4" s="121">
        <v>46086.240162037036</v>
      </c>
      <c r="AAD4" s="121" t="s">
        <v>1471</v>
      </c>
      <c r="AAF4" s="121" t="s">
        <v>1482</v>
      </c>
      <c r="AAH4" s="121" t="s">
        <v>1490</v>
      </c>
      <c r="AAI4" s="121">
        <v>3</v>
      </c>
      <c r="CUU4" s="122"/>
    </row>
    <row r="5" spans="1:711 2595:2595">
      <c r="A5" s="121">
        <v>1400304</v>
      </c>
      <c r="B5" s="121" t="s">
        <v>1457</v>
      </c>
      <c r="C5" s="121" t="s">
        <v>28</v>
      </c>
      <c r="D5" s="121" t="s">
        <v>510</v>
      </c>
      <c r="E5" s="121" t="s">
        <v>4</v>
      </c>
      <c r="F5" s="121" t="s">
        <v>5</v>
      </c>
      <c r="G5" s="121" t="s">
        <v>30</v>
      </c>
      <c r="H5" s="121" t="s">
        <v>360</v>
      </c>
      <c r="I5" s="121" t="s">
        <v>30</v>
      </c>
      <c r="J5" s="121" t="s">
        <v>30</v>
      </c>
      <c r="K5" s="121" t="s">
        <v>1491</v>
      </c>
      <c r="L5" s="121" t="s">
        <v>32</v>
      </c>
      <c r="M5" s="121" t="s">
        <v>1492</v>
      </c>
      <c r="N5" s="121" t="s">
        <v>34</v>
      </c>
      <c r="O5" s="121" t="s">
        <v>30</v>
      </c>
      <c r="P5" s="121" t="s">
        <v>49</v>
      </c>
      <c r="Q5" s="121" t="s">
        <v>1493</v>
      </c>
      <c r="R5" s="121" t="s">
        <v>80</v>
      </c>
      <c r="S5" s="121" t="s">
        <v>1494</v>
      </c>
      <c r="T5" s="121">
        <v>0</v>
      </c>
      <c r="U5" s="121" t="s">
        <v>43</v>
      </c>
      <c r="X5" s="121">
        <v>0</v>
      </c>
      <c r="AA5" s="121">
        <v>34</v>
      </c>
      <c r="AD5" s="121">
        <v>12</v>
      </c>
      <c r="AG5" s="121">
        <v>3</v>
      </c>
      <c r="AJ5" s="121">
        <v>0</v>
      </c>
      <c r="AM5" s="121">
        <v>0</v>
      </c>
      <c r="AP5" s="121">
        <v>49</v>
      </c>
      <c r="AR5" s="121">
        <v>49</v>
      </c>
      <c r="AU5" s="121">
        <v>0</v>
      </c>
      <c r="AX5" s="121">
        <v>34</v>
      </c>
      <c r="BA5" s="121">
        <v>12</v>
      </c>
      <c r="BD5" s="121">
        <v>3</v>
      </c>
      <c r="BG5" s="121">
        <v>0</v>
      </c>
      <c r="BJ5" s="121">
        <v>0</v>
      </c>
      <c r="BM5" s="121">
        <v>49</v>
      </c>
      <c r="BO5" s="121">
        <v>49</v>
      </c>
      <c r="BR5" s="121">
        <v>16</v>
      </c>
      <c r="BU5" s="121">
        <v>20</v>
      </c>
      <c r="BX5" s="121">
        <v>11</v>
      </c>
      <c r="CA5" s="121">
        <v>10</v>
      </c>
      <c r="CD5" s="121">
        <v>0</v>
      </c>
      <c r="CG5" s="121">
        <v>57</v>
      </c>
      <c r="CI5" s="121">
        <v>57</v>
      </c>
      <c r="CL5" s="121">
        <v>19</v>
      </c>
      <c r="CO5" s="121">
        <v>30</v>
      </c>
      <c r="CR5" s="121">
        <v>10</v>
      </c>
      <c r="CU5" s="121">
        <v>0</v>
      </c>
      <c r="CX5" s="121">
        <v>0</v>
      </c>
      <c r="DA5" s="121">
        <v>59</v>
      </c>
      <c r="DC5" s="121">
        <v>59</v>
      </c>
      <c r="DF5" s="121">
        <v>13</v>
      </c>
      <c r="DI5" s="121">
        <v>33</v>
      </c>
      <c r="DL5" s="121">
        <v>3</v>
      </c>
      <c r="DO5" s="121">
        <v>4</v>
      </c>
      <c r="DR5" s="121">
        <v>0</v>
      </c>
      <c r="DU5" s="121">
        <v>53</v>
      </c>
      <c r="DW5" s="121">
        <v>53</v>
      </c>
      <c r="DZ5" s="121">
        <v>15</v>
      </c>
      <c r="EC5" s="121">
        <v>20</v>
      </c>
      <c r="EF5" s="121">
        <v>16</v>
      </c>
      <c r="EI5" s="121">
        <v>11</v>
      </c>
      <c r="EL5" s="121">
        <v>0</v>
      </c>
      <c r="EO5" s="121">
        <v>62</v>
      </c>
      <c r="EQ5" s="121">
        <v>62</v>
      </c>
      <c r="ET5" s="121">
        <v>10</v>
      </c>
      <c r="EW5" s="121">
        <v>12</v>
      </c>
      <c r="EZ5" s="121">
        <v>3</v>
      </c>
      <c r="FC5" s="121">
        <v>0</v>
      </c>
      <c r="FF5" s="121">
        <v>0</v>
      </c>
      <c r="FI5" s="121">
        <v>25</v>
      </c>
      <c r="FK5" s="121">
        <v>25</v>
      </c>
      <c r="FN5" s="121">
        <v>2</v>
      </c>
      <c r="FR5" s="121">
        <v>2</v>
      </c>
      <c r="FV5" s="121">
        <v>1</v>
      </c>
      <c r="FZ5" s="121">
        <v>2</v>
      </c>
      <c r="GD5" s="121">
        <v>2</v>
      </c>
      <c r="GH5" s="121">
        <v>1</v>
      </c>
      <c r="GL5" s="121">
        <v>10</v>
      </c>
      <c r="GO5" s="121">
        <v>10</v>
      </c>
      <c r="GR5" s="121">
        <v>3</v>
      </c>
      <c r="GU5" s="121">
        <v>4</v>
      </c>
      <c r="GX5" s="121">
        <v>3</v>
      </c>
      <c r="HA5" s="121">
        <v>4</v>
      </c>
      <c r="HD5" s="121">
        <v>2</v>
      </c>
      <c r="HG5" s="121">
        <v>4</v>
      </c>
      <c r="HJ5" s="121">
        <v>20</v>
      </c>
      <c r="HL5" s="121">
        <v>20</v>
      </c>
      <c r="HO5" s="121">
        <v>39</v>
      </c>
      <c r="HR5" s="121">
        <v>24</v>
      </c>
      <c r="HU5" s="121">
        <v>47</v>
      </c>
      <c r="HX5" s="121">
        <v>34</v>
      </c>
      <c r="IA5" s="121">
        <v>21</v>
      </c>
      <c r="ID5" s="121">
        <v>39</v>
      </c>
      <c r="IG5" s="121">
        <v>204</v>
      </c>
      <c r="II5" s="121">
        <v>204</v>
      </c>
      <c r="IL5" s="121">
        <v>4</v>
      </c>
      <c r="IO5" s="121">
        <v>5</v>
      </c>
      <c r="IR5" s="121">
        <v>0</v>
      </c>
      <c r="IU5" s="121">
        <v>3</v>
      </c>
      <c r="IX5" s="121">
        <v>18</v>
      </c>
      <c r="JA5" s="121">
        <v>0</v>
      </c>
      <c r="JD5" s="121">
        <v>30</v>
      </c>
      <c r="JF5" s="121">
        <v>30</v>
      </c>
      <c r="JI5" s="121">
        <v>0</v>
      </c>
      <c r="JL5" s="121">
        <v>0</v>
      </c>
      <c r="JO5" s="121">
        <v>0</v>
      </c>
      <c r="JR5" s="121">
        <v>0</v>
      </c>
      <c r="JU5" s="121">
        <v>0</v>
      </c>
      <c r="JX5" s="121">
        <v>0</v>
      </c>
      <c r="KA5" s="121">
        <v>0</v>
      </c>
      <c r="KC5" s="121">
        <v>0</v>
      </c>
      <c r="KF5" s="121">
        <v>0</v>
      </c>
      <c r="KI5" s="121">
        <v>0</v>
      </c>
      <c r="KL5" s="121">
        <v>0</v>
      </c>
      <c r="KO5" s="121">
        <v>0</v>
      </c>
      <c r="KR5" s="121">
        <v>0</v>
      </c>
      <c r="KU5" s="121">
        <v>0</v>
      </c>
      <c r="KX5" s="121">
        <v>0</v>
      </c>
      <c r="KZ5" s="121">
        <v>0</v>
      </c>
      <c r="LC5" s="121">
        <v>4</v>
      </c>
      <c r="LF5" s="121">
        <v>5</v>
      </c>
      <c r="LI5" s="121">
        <v>0</v>
      </c>
      <c r="LL5" s="121">
        <v>3</v>
      </c>
      <c r="LO5" s="121">
        <v>18</v>
      </c>
      <c r="LR5" s="121">
        <v>0</v>
      </c>
      <c r="LU5" s="121">
        <v>30</v>
      </c>
      <c r="LW5" s="121">
        <v>30</v>
      </c>
      <c r="LZ5" s="121">
        <v>1</v>
      </c>
      <c r="MC5" s="121">
        <v>2</v>
      </c>
      <c r="MF5" s="121">
        <v>8</v>
      </c>
      <c r="MG5" s="121">
        <v>1</v>
      </c>
      <c r="ML5" s="121">
        <v>11</v>
      </c>
      <c r="MM5" s="121">
        <v>1</v>
      </c>
      <c r="MN5" s="121">
        <v>12</v>
      </c>
      <c r="NG5" s="121">
        <v>1</v>
      </c>
      <c r="NR5" s="121">
        <v>0</v>
      </c>
      <c r="NS5" s="121">
        <v>1</v>
      </c>
      <c r="NT5" s="121">
        <v>1</v>
      </c>
      <c r="NW5" s="121">
        <v>11</v>
      </c>
      <c r="NX5" s="121">
        <v>1</v>
      </c>
      <c r="OF5" s="121">
        <v>11</v>
      </c>
      <c r="OG5" s="121">
        <v>1</v>
      </c>
      <c r="OH5" s="121">
        <v>12</v>
      </c>
      <c r="OK5" s="121">
        <v>10</v>
      </c>
      <c r="OL5" s="121">
        <v>1</v>
      </c>
      <c r="OW5" s="121">
        <v>1</v>
      </c>
      <c r="PL5" s="121">
        <v>11</v>
      </c>
      <c r="PM5" s="121">
        <v>1</v>
      </c>
      <c r="PN5" s="121">
        <v>12</v>
      </c>
      <c r="PQ5" s="121">
        <v>1</v>
      </c>
      <c r="PT5" s="121">
        <v>10</v>
      </c>
      <c r="PU5" s="121">
        <v>1</v>
      </c>
      <c r="QC5" s="121">
        <v>11</v>
      </c>
      <c r="QD5" s="121">
        <v>1</v>
      </c>
      <c r="QE5" s="121">
        <v>12</v>
      </c>
      <c r="QK5" s="121">
        <v>6</v>
      </c>
      <c r="QN5" s="121">
        <v>3</v>
      </c>
      <c r="QO5" s="121">
        <v>1</v>
      </c>
      <c r="QQ5" s="121">
        <v>2</v>
      </c>
      <c r="QT5" s="121">
        <v>11</v>
      </c>
      <c r="QU5" s="121">
        <v>1</v>
      </c>
      <c r="QV5" s="121">
        <v>12</v>
      </c>
      <c r="RB5" s="121">
        <v>2</v>
      </c>
      <c r="RE5" s="121">
        <v>3</v>
      </c>
      <c r="RF5" s="121">
        <v>1</v>
      </c>
      <c r="RH5" s="121">
        <v>6</v>
      </c>
      <c r="RN5" s="121">
        <v>11</v>
      </c>
      <c r="RO5" s="121">
        <v>1</v>
      </c>
      <c r="RP5" s="121">
        <v>12</v>
      </c>
      <c r="RR5" s="121">
        <v>3</v>
      </c>
      <c r="RS5" s="121">
        <v>0</v>
      </c>
      <c r="RT5" s="121">
        <v>3</v>
      </c>
      <c r="RW5" s="121">
        <v>2</v>
      </c>
      <c r="RX5" s="121">
        <v>0</v>
      </c>
      <c r="RY5" s="121">
        <v>2</v>
      </c>
      <c r="SA5" s="121">
        <v>1</v>
      </c>
      <c r="SB5" s="121">
        <v>0</v>
      </c>
      <c r="SC5" s="121">
        <v>1</v>
      </c>
      <c r="SE5" s="121">
        <v>1</v>
      </c>
      <c r="SF5" s="121">
        <v>1</v>
      </c>
      <c r="SG5" s="121">
        <v>2</v>
      </c>
      <c r="SI5" s="121">
        <v>0</v>
      </c>
      <c r="SJ5" s="121">
        <v>0</v>
      </c>
      <c r="SK5" s="121">
        <v>0</v>
      </c>
      <c r="SM5" s="121">
        <v>1</v>
      </c>
      <c r="SN5" s="121">
        <v>0</v>
      </c>
      <c r="SO5" s="121">
        <v>1</v>
      </c>
      <c r="SQ5" s="121">
        <v>0</v>
      </c>
      <c r="SR5" s="121">
        <v>0</v>
      </c>
      <c r="SS5" s="121">
        <v>0</v>
      </c>
      <c r="SU5" s="121">
        <v>0</v>
      </c>
      <c r="SV5" s="121">
        <v>0</v>
      </c>
      <c r="SW5" s="121">
        <v>0</v>
      </c>
      <c r="SY5" s="121">
        <v>0</v>
      </c>
      <c r="SZ5" s="121">
        <v>0</v>
      </c>
      <c r="TA5" s="121">
        <v>0</v>
      </c>
      <c r="TC5" s="121">
        <v>0</v>
      </c>
      <c r="TD5" s="121">
        <v>0</v>
      </c>
      <c r="TE5" s="121">
        <v>0</v>
      </c>
      <c r="TG5" s="121">
        <v>2</v>
      </c>
      <c r="TH5" s="121">
        <v>0</v>
      </c>
      <c r="TI5" s="121">
        <v>2</v>
      </c>
      <c r="TK5" s="121">
        <v>0</v>
      </c>
      <c r="TL5" s="121">
        <v>0</v>
      </c>
      <c r="TM5" s="121">
        <v>0</v>
      </c>
      <c r="TO5" s="121">
        <v>0</v>
      </c>
      <c r="TP5" s="121">
        <v>0</v>
      </c>
      <c r="TQ5" s="121">
        <v>0</v>
      </c>
      <c r="TS5" s="121">
        <v>0</v>
      </c>
      <c r="TT5" s="121">
        <v>0</v>
      </c>
      <c r="TU5" s="121">
        <v>0</v>
      </c>
      <c r="TW5" s="121">
        <v>0</v>
      </c>
      <c r="TX5" s="121">
        <v>0</v>
      </c>
      <c r="TY5" s="121">
        <v>0</v>
      </c>
      <c r="UA5" s="121">
        <v>0</v>
      </c>
      <c r="UB5" s="121">
        <v>0</v>
      </c>
      <c r="UC5" s="121">
        <v>0</v>
      </c>
      <c r="UE5" s="121">
        <v>1</v>
      </c>
      <c r="UF5" s="121">
        <v>0</v>
      </c>
      <c r="UG5" s="121">
        <v>1</v>
      </c>
      <c r="UI5" s="121">
        <v>1</v>
      </c>
      <c r="UJ5" s="121">
        <v>0</v>
      </c>
      <c r="UK5" s="121">
        <v>1</v>
      </c>
      <c r="UM5" s="121">
        <v>0</v>
      </c>
      <c r="UN5" s="121">
        <v>0</v>
      </c>
      <c r="UO5" s="121">
        <v>0</v>
      </c>
      <c r="UQ5" s="121">
        <v>0</v>
      </c>
      <c r="UR5" s="121">
        <v>0</v>
      </c>
      <c r="US5" s="121">
        <v>0</v>
      </c>
      <c r="UU5" s="121">
        <v>0</v>
      </c>
      <c r="UV5" s="121">
        <v>0</v>
      </c>
      <c r="UW5" s="121">
        <v>0</v>
      </c>
      <c r="UY5" s="121">
        <v>2</v>
      </c>
      <c r="UZ5" s="121">
        <v>0</v>
      </c>
      <c r="VA5" s="121">
        <v>2</v>
      </c>
      <c r="VD5" s="121">
        <v>0</v>
      </c>
      <c r="VE5" s="121">
        <v>5</v>
      </c>
      <c r="VF5" s="121">
        <v>0</v>
      </c>
      <c r="VG5" s="121">
        <v>0</v>
      </c>
      <c r="VH5" s="121">
        <v>4</v>
      </c>
      <c r="VI5" s="121">
        <v>0</v>
      </c>
      <c r="VJ5" s="121">
        <v>0</v>
      </c>
      <c r="VK5" s="121">
        <v>0</v>
      </c>
      <c r="VL5" s="121">
        <v>2</v>
      </c>
      <c r="VM5" s="121">
        <v>0</v>
      </c>
      <c r="VN5" s="121">
        <v>11</v>
      </c>
      <c r="VP5" s="121">
        <v>0</v>
      </c>
      <c r="VQ5" s="121">
        <v>1</v>
      </c>
      <c r="VR5" s="121">
        <v>0</v>
      </c>
      <c r="VS5" s="121">
        <v>0</v>
      </c>
      <c r="VT5" s="121">
        <v>0</v>
      </c>
      <c r="VU5" s="121">
        <v>0</v>
      </c>
      <c r="VV5" s="121">
        <v>0</v>
      </c>
      <c r="VW5" s="121">
        <v>0</v>
      </c>
      <c r="VX5" s="121">
        <v>0</v>
      </c>
      <c r="VY5" s="121">
        <v>0</v>
      </c>
      <c r="VZ5" s="121">
        <v>1</v>
      </c>
      <c r="WB5" s="121">
        <v>0</v>
      </c>
      <c r="WC5" s="121">
        <v>6</v>
      </c>
      <c r="WD5" s="121">
        <v>0</v>
      </c>
      <c r="WE5" s="121">
        <v>0</v>
      </c>
      <c r="WF5" s="121">
        <v>4</v>
      </c>
      <c r="WG5" s="121">
        <v>0</v>
      </c>
      <c r="WH5" s="121">
        <v>0</v>
      </c>
      <c r="WI5" s="121">
        <v>0</v>
      </c>
      <c r="WJ5" s="121">
        <v>2</v>
      </c>
      <c r="WK5" s="121">
        <v>0</v>
      </c>
      <c r="WL5" s="121">
        <v>12</v>
      </c>
      <c r="WO5" s="121">
        <v>13</v>
      </c>
      <c r="WR5" s="121">
        <v>10</v>
      </c>
      <c r="WU5" s="121">
        <v>4</v>
      </c>
      <c r="WX5" s="121">
        <v>3</v>
      </c>
      <c r="XA5" s="121">
        <v>3</v>
      </c>
      <c r="XD5" s="121">
        <v>1</v>
      </c>
      <c r="XG5" s="121">
        <v>0</v>
      </c>
      <c r="XK5" s="121" t="s">
        <v>227</v>
      </c>
      <c r="XL5" s="121" t="s">
        <v>227</v>
      </c>
      <c r="XM5" s="121" t="s">
        <v>227</v>
      </c>
      <c r="XN5" s="121" t="s">
        <v>227</v>
      </c>
      <c r="XO5" s="121" t="s">
        <v>227</v>
      </c>
      <c r="YW5" s="121">
        <v>23</v>
      </c>
      <c r="YX5" s="121">
        <v>44</v>
      </c>
      <c r="YZ5" s="121">
        <v>0</v>
      </c>
      <c r="ZA5" s="121">
        <v>0</v>
      </c>
      <c r="ZC5" s="121">
        <v>3</v>
      </c>
      <c r="ZD5" s="121">
        <v>8</v>
      </c>
      <c r="ZF5" s="121">
        <v>0</v>
      </c>
      <c r="ZG5" s="121">
        <v>1</v>
      </c>
      <c r="ZI5" s="121">
        <v>0</v>
      </c>
      <c r="ZJ5" s="121">
        <v>2</v>
      </c>
      <c r="ZL5" s="121">
        <v>0</v>
      </c>
      <c r="ZM5" s="121">
        <v>0</v>
      </c>
      <c r="ZN5" s="121" t="s">
        <v>226</v>
      </c>
      <c r="ZO5" s="121" t="s">
        <v>1349</v>
      </c>
      <c r="ZP5" s="121" t="s">
        <v>1488</v>
      </c>
      <c r="ZR5" s="121">
        <v>33</v>
      </c>
      <c r="ZS5" s="121">
        <v>1350</v>
      </c>
      <c r="ZT5" s="121">
        <v>1383</v>
      </c>
      <c r="ZU5" s="121" t="s">
        <v>227</v>
      </c>
      <c r="ZV5" s="121" t="s">
        <v>1495</v>
      </c>
      <c r="ZW5" s="121" t="s">
        <v>1496</v>
      </c>
      <c r="ZY5" s="121">
        <v>755778828</v>
      </c>
      <c r="ZZ5" s="121" t="s">
        <v>1497</v>
      </c>
      <c r="AAA5" s="121">
        <v>46091.744953703703</v>
      </c>
      <c r="AAD5" s="121" t="s">
        <v>1471</v>
      </c>
      <c r="AAF5" s="121" t="s">
        <v>1498</v>
      </c>
      <c r="AAH5" s="121" t="s">
        <v>1499</v>
      </c>
      <c r="AAI5" s="121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2"/>
  <sheetViews>
    <sheetView rightToLeft="1" topLeftCell="A235" zoomScale="110" zoomScaleNormal="110" workbookViewId="0">
      <selection activeCell="A8" sqref="A8"/>
    </sheetView>
  </sheetViews>
  <sheetFormatPr defaultColWidth="11.21875" defaultRowHeight="12.75" customHeight="1"/>
  <cols>
    <col min="1" max="1" width="9.5546875" style="103" bestFit="1" customWidth="1"/>
    <col min="2" max="3" width="10.33203125" style="102" bestFit="1" customWidth="1"/>
    <col min="4" max="4" width="4" style="102" bestFit="1" customWidth="1"/>
    <col min="5" max="5" width="23.5546875" style="102" bestFit="1" customWidth="1"/>
    <col min="6" max="6" width="17.33203125" style="102" bestFit="1" customWidth="1"/>
    <col min="7" max="7" width="11.21875" style="124"/>
    <col min="8" max="16384" width="11.21875" style="102"/>
  </cols>
  <sheetData>
    <row r="1" spans="1:7" s="106" customFormat="1" ht="13.2">
      <c r="A1" s="104" t="s">
        <v>0</v>
      </c>
      <c r="B1" s="105" t="s">
        <v>47</v>
      </c>
      <c r="C1" s="105" t="s">
        <v>48</v>
      </c>
      <c r="D1" s="105" t="s">
        <v>356</v>
      </c>
      <c r="E1" s="105" t="s">
        <v>50</v>
      </c>
      <c r="F1" s="105" t="s">
        <v>357</v>
      </c>
      <c r="G1" s="123" t="b">
        <v>1</v>
      </c>
    </row>
    <row r="2" spans="1:7" ht="12.75" customHeight="1">
      <c r="A2" s="102">
        <v>1400179</v>
      </c>
      <c r="B2" s="102" t="s">
        <v>4</v>
      </c>
      <c r="C2" s="102" t="s">
        <v>358</v>
      </c>
      <c r="D2" s="102">
        <v>1</v>
      </c>
      <c r="E2" s="102" t="s">
        <v>359</v>
      </c>
      <c r="F2" s="102" t="s">
        <v>360</v>
      </c>
      <c r="G2" s="124" t="e">
        <f>VLOOKUP(A2,survey!$1:$1048576,1,FALSE)</f>
        <v>#N/A</v>
      </c>
    </row>
    <row r="3" spans="1:7" ht="12.75" customHeight="1">
      <c r="A3" s="102">
        <v>1400180</v>
      </c>
      <c r="B3" s="102" t="s">
        <v>4</v>
      </c>
      <c r="C3" s="102" t="s">
        <v>358</v>
      </c>
      <c r="D3" s="102">
        <v>2</v>
      </c>
      <c r="E3" s="102" t="s">
        <v>1</v>
      </c>
      <c r="F3" s="102" t="s">
        <v>361</v>
      </c>
      <c r="G3" s="124" t="e">
        <f>VLOOKUP(A3,survey!$1:$1048576,1,FALSE)</f>
        <v>#N/A</v>
      </c>
    </row>
    <row r="4" spans="1:7" ht="12.75" customHeight="1">
      <c r="A4" s="102">
        <v>1400181</v>
      </c>
      <c r="B4" s="102" t="s">
        <v>4</v>
      </c>
      <c r="C4" s="102" t="s">
        <v>358</v>
      </c>
      <c r="D4" s="102">
        <v>3</v>
      </c>
      <c r="E4" s="102" t="s">
        <v>362</v>
      </c>
      <c r="F4" s="102" t="s">
        <v>360</v>
      </c>
      <c r="G4" s="124" t="e">
        <f>VLOOKUP(A4,survey!$1:$1048576,1,FALSE)</f>
        <v>#N/A</v>
      </c>
    </row>
    <row r="5" spans="1:7" ht="12.75" customHeight="1">
      <c r="A5" s="102">
        <v>1400182</v>
      </c>
      <c r="B5" s="102" t="s">
        <v>4</v>
      </c>
      <c r="C5" s="102" t="s">
        <v>358</v>
      </c>
      <c r="D5" s="102">
        <v>4</v>
      </c>
      <c r="E5" s="102" t="s">
        <v>363</v>
      </c>
      <c r="F5" s="102" t="s">
        <v>364</v>
      </c>
      <c r="G5" s="124" t="e">
        <f>VLOOKUP(A5,survey!$1:$1048576,1,FALSE)</f>
        <v>#N/A</v>
      </c>
    </row>
    <row r="6" spans="1:7" ht="12.75" customHeight="1">
      <c r="A6" s="102">
        <v>1400183</v>
      </c>
      <c r="B6" s="102" t="s">
        <v>4</v>
      </c>
      <c r="C6" s="102" t="s">
        <v>358</v>
      </c>
      <c r="D6" s="102">
        <v>5</v>
      </c>
      <c r="E6" s="102" t="s">
        <v>365</v>
      </c>
      <c r="F6" s="102" t="s">
        <v>364</v>
      </c>
      <c r="G6" s="124" t="e">
        <f>VLOOKUP(A6,survey!$1:$1048576,1,FALSE)</f>
        <v>#N/A</v>
      </c>
    </row>
    <row r="7" spans="1:7" ht="12.75" customHeight="1">
      <c r="A7" s="102">
        <v>1400184</v>
      </c>
      <c r="B7" s="102" t="s">
        <v>4</v>
      </c>
      <c r="C7" s="102" t="s">
        <v>358</v>
      </c>
      <c r="D7" s="102">
        <v>6</v>
      </c>
      <c r="E7" s="102" t="s">
        <v>366</v>
      </c>
      <c r="F7" s="102" t="s">
        <v>44</v>
      </c>
      <c r="G7" s="124" t="e">
        <f>VLOOKUP(A7,survey!$1:$1048576,1,FALSE)</f>
        <v>#N/A</v>
      </c>
    </row>
    <row r="8" spans="1:7" ht="12.75" customHeight="1">
      <c r="A8" s="102">
        <v>1400185</v>
      </c>
      <c r="B8" s="102" t="s">
        <v>4</v>
      </c>
      <c r="C8" s="102" t="s">
        <v>358</v>
      </c>
      <c r="D8" s="102">
        <v>7</v>
      </c>
      <c r="E8" s="102" t="s">
        <v>367</v>
      </c>
      <c r="F8" s="102" t="s">
        <v>368</v>
      </c>
      <c r="G8" s="124" t="e">
        <f>VLOOKUP(A8,survey!$1:$1048576,1,FALSE)</f>
        <v>#N/A</v>
      </c>
    </row>
    <row r="9" spans="1:7" ht="12.75" customHeight="1">
      <c r="A9" s="102">
        <v>1400186</v>
      </c>
      <c r="B9" s="102" t="s">
        <v>4</v>
      </c>
      <c r="C9" s="102" t="s">
        <v>358</v>
      </c>
      <c r="D9" s="102">
        <v>8</v>
      </c>
      <c r="E9" s="102" t="s">
        <v>369</v>
      </c>
      <c r="F9" s="102" t="s">
        <v>361</v>
      </c>
      <c r="G9" s="124" t="e">
        <f>VLOOKUP(A9,survey!$1:$1048576,1,FALSE)</f>
        <v>#N/A</v>
      </c>
    </row>
    <row r="10" spans="1:7" ht="12.75" customHeight="1">
      <c r="A10" s="102">
        <v>1400188</v>
      </c>
      <c r="B10" s="102" t="s">
        <v>4</v>
      </c>
      <c r="C10" s="102" t="s">
        <v>358</v>
      </c>
      <c r="D10" s="102">
        <v>9</v>
      </c>
      <c r="E10" s="102" t="s">
        <v>370</v>
      </c>
      <c r="F10" s="102" t="s">
        <v>364</v>
      </c>
      <c r="G10" s="124" t="e">
        <f>VLOOKUP(A10,survey!$1:$1048576,1,FALSE)</f>
        <v>#N/A</v>
      </c>
    </row>
    <row r="11" spans="1:7" ht="12.75" customHeight="1">
      <c r="A11" s="102">
        <v>1400189</v>
      </c>
      <c r="B11" s="102" t="s">
        <v>4</v>
      </c>
      <c r="C11" s="102" t="s">
        <v>358</v>
      </c>
      <c r="D11" s="102">
        <v>10</v>
      </c>
      <c r="E11" s="102" t="s">
        <v>371</v>
      </c>
      <c r="F11" s="102" t="s">
        <v>372</v>
      </c>
      <c r="G11" s="124" t="e">
        <f>VLOOKUP(A11,survey!$1:$1048576,1,FALSE)</f>
        <v>#N/A</v>
      </c>
    </row>
    <row r="12" spans="1:7" ht="12.75" customHeight="1">
      <c r="A12" s="102">
        <v>1400190</v>
      </c>
      <c r="B12" s="102" t="s">
        <v>4</v>
      </c>
      <c r="C12" s="102" t="s">
        <v>358</v>
      </c>
      <c r="D12" s="102">
        <v>11</v>
      </c>
      <c r="E12" s="102" t="s">
        <v>373</v>
      </c>
      <c r="F12" s="102" t="s">
        <v>374</v>
      </c>
      <c r="G12" s="124" t="e">
        <f>VLOOKUP(A12,survey!$1:$1048576,1,FALSE)</f>
        <v>#N/A</v>
      </c>
    </row>
    <row r="13" spans="1:7" ht="12.75" customHeight="1">
      <c r="A13" s="102">
        <v>1400191</v>
      </c>
      <c r="B13" s="102" t="s">
        <v>4</v>
      </c>
      <c r="C13" s="102" t="s">
        <v>358</v>
      </c>
      <c r="D13" s="102">
        <v>12</v>
      </c>
      <c r="E13" s="102" t="s">
        <v>375</v>
      </c>
      <c r="F13" s="102" t="s">
        <v>376</v>
      </c>
      <c r="G13" s="124" t="e">
        <f>VLOOKUP(A13,survey!$1:$1048576,1,FALSE)</f>
        <v>#N/A</v>
      </c>
    </row>
    <row r="14" spans="1:7" ht="12.75" customHeight="1">
      <c r="A14" s="102">
        <v>1400193</v>
      </c>
      <c r="B14" s="102" t="s">
        <v>4</v>
      </c>
      <c r="C14" s="102" t="s">
        <v>358</v>
      </c>
      <c r="D14" s="102">
        <v>13</v>
      </c>
      <c r="E14" s="102" t="s">
        <v>377</v>
      </c>
      <c r="F14" s="102" t="s">
        <v>378</v>
      </c>
      <c r="G14" s="124" t="e">
        <f>VLOOKUP(A14,survey!$1:$1048576,1,FALSE)</f>
        <v>#N/A</v>
      </c>
    </row>
    <row r="15" spans="1:7" ht="12.75" customHeight="1">
      <c r="A15" s="102">
        <v>1400194</v>
      </c>
      <c r="B15" s="102" t="s">
        <v>4</v>
      </c>
      <c r="C15" s="102" t="s">
        <v>358</v>
      </c>
      <c r="D15" s="102">
        <v>14</v>
      </c>
      <c r="E15" s="102" t="s">
        <v>379</v>
      </c>
      <c r="F15" s="102" t="s">
        <v>368</v>
      </c>
      <c r="G15" s="124" t="e">
        <f>VLOOKUP(A15,survey!$1:$1048576,1,FALSE)</f>
        <v>#N/A</v>
      </c>
    </row>
    <row r="16" spans="1:7" ht="12.75" customHeight="1">
      <c r="A16" s="102">
        <v>1400195</v>
      </c>
      <c r="B16" s="102" t="s">
        <v>4</v>
      </c>
      <c r="C16" s="102" t="s">
        <v>358</v>
      </c>
      <c r="D16" s="102">
        <v>15</v>
      </c>
      <c r="E16" s="102" t="s">
        <v>380</v>
      </c>
      <c r="F16" s="102" t="s">
        <v>364</v>
      </c>
      <c r="G16" s="124" t="e">
        <f>VLOOKUP(A16,survey!$1:$1048576,1,FALSE)</f>
        <v>#N/A</v>
      </c>
    </row>
    <row r="17" spans="1:7" ht="12.75" customHeight="1">
      <c r="A17" s="102">
        <v>1400196</v>
      </c>
      <c r="B17" s="102" t="s">
        <v>4</v>
      </c>
      <c r="C17" s="102" t="s">
        <v>358</v>
      </c>
      <c r="D17" s="102">
        <v>16</v>
      </c>
      <c r="E17" s="102" t="s">
        <v>381</v>
      </c>
      <c r="F17" s="102" t="s">
        <v>372</v>
      </c>
      <c r="G17" s="124" t="e">
        <f>VLOOKUP(A17,survey!$1:$1048576,1,FALSE)</f>
        <v>#N/A</v>
      </c>
    </row>
    <row r="18" spans="1:7" ht="12.75" customHeight="1">
      <c r="A18" s="102">
        <v>1400197</v>
      </c>
      <c r="B18" s="102" t="s">
        <v>4</v>
      </c>
      <c r="C18" s="102" t="s">
        <v>358</v>
      </c>
      <c r="D18" s="102">
        <v>17</v>
      </c>
      <c r="E18" s="102" t="s">
        <v>382</v>
      </c>
      <c r="F18" s="102" t="s">
        <v>383</v>
      </c>
      <c r="G18" s="124" t="e">
        <f>VLOOKUP(A18,survey!$1:$1048576,1,FALSE)</f>
        <v>#N/A</v>
      </c>
    </row>
    <row r="19" spans="1:7" ht="12.75" customHeight="1">
      <c r="A19" s="102">
        <v>1400198</v>
      </c>
      <c r="B19" s="102" t="s">
        <v>4</v>
      </c>
      <c r="C19" s="102" t="s">
        <v>358</v>
      </c>
      <c r="D19" s="102">
        <v>18</v>
      </c>
      <c r="E19" s="102" t="s">
        <v>384</v>
      </c>
      <c r="F19" s="102" t="s">
        <v>372</v>
      </c>
      <c r="G19" s="124" t="e">
        <f>VLOOKUP(A19,survey!$1:$1048576,1,FALSE)</f>
        <v>#N/A</v>
      </c>
    </row>
    <row r="20" spans="1:7" ht="12.75" customHeight="1">
      <c r="A20" s="102">
        <v>1400199</v>
      </c>
      <c r="B20" s="102" t="s">
        <v>4</v>
      </c>
      <c r="C20" s="102" t="s">
        <v>358</v>
      </c>
      <c r="D20" s="102">
        <v>19</v>
      </c>
      <c r="E20" s="102" t="s">
        <v>385</v>
      </c>
      <c r="F20" s="102" t="s">
        <v>386</v>
      </c>
      <c r="G20" s="124" t="e">
        <f>VLOOKUP(A20,survey!$1:$1048576,1,FALSE)</f>
        <v>#N/A</v>
      </c>
    </row>
    <row r="21" spans="1:7" ht="12.75" customHeight="1">
      <c r="A21" s="102">
        <v>1400200</v>
      </c>
      <c r="B21" s="102" t="s">
        <v>4</v>
      </c>
      <c r="C21" s="102" t="s">
        <v>358</v>
      </c>
      <c r="D21" s="102">
        <v>20</v>
      </c>
      <c r="E21" s="102" t="s">
        <v>387</v>
      </c>
      <c r="F21" s="102" t="s">
        <v>386</v>
      </c>
      <c r="G21" s="124" t="e">
        <f>VLOOKUP(A21,survey!$1:$1048576,1,FALSE)</f>
        <v>#N/A</v>
      </c>
    </row>
    <row r="22" spans="1:7" ht="12.75" customHeight="1">
      <c r="A22" s="102">
        <v>1400201</v>
      </c>
      <c r="B22" s="102" t="s">
        <v>4</v>
      </c>
      <c r="C22" s="102" t="s">
        <v>358</v>
      </c>
      <c r="D22" s="102">
        <v>21</v>
      </c>
      <c r="E22" s="102" t="s">
        <v>388</v>
      </c>
      <c r="F22" s="102" t="s">
        <v>389</v>
      </c>
      <c r="G22" s="124" t="e">
        <f>VLOOKUP(A22,survey!$1:$1048576,1,FALSE)</f>
        <v>#N/A</v>
      </c>
    </row>
    <row r="23" spans="1:7" ht="12.75" customHeight="1">
      <c r="A23" s="102">
        <v>1400202</v>
      </c>
      <c r="B23" s="102" t="s">
        <v>4</v>
      </c>
      <c r="C23" s="102" t="s">
        <v>358</v>
      </c>
      <c r="D23" s="102">
        <v>22</v>
      </c>
      <c r="E23" s="102" t="s">
        <v>390</v>
      </c>
      <c r="F23" s="102" t="s">
        <v>391</v>
      </c>
      <c r="G23" s="124" t="e">
        <f>VLOOKUP(A23,survey!$1:$1048576,1,FALSE)</f>
        <v>#N/A</v>
      </c>
    </row>
    <row r="24" spans="1:7" ht="12.75" customHeight="1">
      <c r="A24" s="102">
        <v>1400203</v>
      </c>
      <c r="B24" s="102" t="s">
        <v>4</v>
      </c>
      <c r="C24" s="102" t="s">
        <v>358</v>
      </c>
      <c r="D24" s="102">
        <v>23</v>
      </c>
      <c r="E24" s="102" t="s">
        <v>392</v>
      </c>
      <c r="F24" s="102" t="s">
        <v>372</v>
      </c>
      <c r="G24" s="124" t="e">
        <f>VLOOKUP(A24,survey!$1:$1048576,1,FALSE)</f>
        <v>#N/A</v>
      </c>
    </row>
    <row r="25" spans="1:7" ht="12.75" customHeight="1">
      <c r="A25" s="102">
        <v>1400204</v>
      </c>
      <c r="B25" s="102" t="s">
        <v>4</v>
      </c>
      <c r="C25" s="102" t="s">
        <v>358</v>
      </c>
      <c r="D25" s="102">
        <v>24</v>
      </c>
      <c r="E25" s="102" t="s">
        <v>393</v>
      </c>
      <c r="F25" s="102" t="s">
        <v>364</v>
      </c>
      <c r="G25" s="124" t="e">
        <f>VLOOKUP(A25,survey!$1:$1048576,1,FALSE)</f>
        <v>#N/A</v>
      </c>
    </row>
    <row r="26" spans="1:7" ht="12.75" customHeight="1">
      <c r="A26" s="102">
        <v>1400205</v>
      </c>
      <c r="B26" s="102" t="s">
        <v>4</v>
      </c>
      <c r="C26" s="102" t="s">
        <v>358</v>
      </c>
      <c r="D26" s="102">
        <v>25</v>
      </c>
      <c r="E26" s="102" t="s">
        <v>394</v>
      </c>
      <c r="F26" s="102" t="s">
        <v>386</v>
      </c>
      <c r="G26" s="124" t="e">
        <f>VLOOKUP(A26,survey!$1:$1048576,1,FALSE)</f>
        <v>#N/A</v>
      </c>
    </row>
    <row r="27" spans="1:7" ht="12.75" customHeight="1">
      <c r="A27" s="102">
        <v>1400206</v>
      </c>
      <c r="B27" s="102" t="s">
        <v>4</v>
      </c>
      <c r="C27" s="102" t="s">
        <v>358</v>
      </c>
      <c r="D27" s="102">
        <v>26</v>
      </c>
      <c r="E27" s="102" t="s">
        <v>395</v>
      </c>
      <c r="F27" s="102" t="s">
        <v>396</v>
      </c>
      <c r="G27" s="124" t="e">
        <f>VLOOKUP(A27,survey!$1:$1048576,1,FALSE)</f>
        <v>#N/A</v>
      </c>
    </row>
    <row r="28" spans="1:7" ht="12.75" customHeight="1">
      <c r="A28" s="102">
        <v>1400207</v>
      </c>
      <c r="B28" s="102" t="s">
        <v>4</v>
      </c>
      <c r="C28" s="102" t="s">
        <v>358</v>
      </c>
      <c r="D28" s="102">
        <v>27</v>
      </c>
      <c r="E28" s="102" t="s">
        <v>397</v>
      </c>
      <c r="F28" s="102" t="s">
        <v>386</v>
      </c>
      <c r="G28" s="124" t="e">
        <f>VLOOKUP(A28,survey!$1:$1048576,1,FALSE)</f>
        <v>#N/A</v>
      </c>
    </row>
    <row r="29" spans="1:7" ht="12.75" customHeight="1">
      <c r="A29" s="102">
        <v>1400208</v>
      </c>
      <c r="B29" s="102" t="s">
        <v>4</v>
      </c>
      <c r="C29" s="102" t="s">
        <v>358</v>
      </c>
      <c r="D29" s="102">
        <v>28</v>
      </c>
      <c r="E29" s="102" t="s">
        <v>398</v>
      </c>
      <c r="F29" s="102" t="s">
        <v>399</v>
      </c>
      <c r="G29" s="124" t="e">
        <f>VLOOKUP(A29,survey!$1:$1048576,1,FALSE)</f>
        <v>#N/A</v>
      </c>
    </row>
    <row r="30" spans="1:7" ht="12.75" customHeight="1">
      <c r="A30" s="102">
        <v>1400209</v>
      </c>
      <c r="B30" s="102" t="s">
        <v>4</v>
      </c>
      <c r="C30" s="102" t="s">
        <v>358</v>
      </c>
      <c r="D30" s="102">
        <v>29</v>
      </c>
      <c r="E30" s="102" t="s">
        <v>400</v>
      </c>
      <c r="F30" s="102" t="s">
        <v>401</v>
      </c>
      <c r="G30" s="124" t="e">
        <f>VLOOKUP(A30,survey!$1:$1048576,1,FALSE)</f>
        <v>#N/A</v>
      </c>
    </row>
    <row r="31" spans="1:7" ht="12.75" customHeight="1">
      <c r="A31" s="102">
        <v>1400210</v>
      </c>
      <c r="B31" s="102" t="s">
        <v>4</v>
      </c>
      <c r="C31" s="102" t="s">
        <v>358</v>
      </c>
      <c r="D31" s="102">
        <v>30</v>
      </c>
      <c r="E31" s="102" t="s">
        <v>402</v>
      </c>
      <c r="F31" s="102" t="s">
        <v>403</v>
      </c>
      <c r="G31" s="124" t="e">
        <f>VLOOKUP(A31,survey!$1:$1048576,1,FALSE)</f>
        <v>#N/A</v>
      </c>
    </row>
    <row r="32" spans="1:7" ht="12.75" customHeight="1">
      <c r="A32" s="102">
        <v>1400211</v>
      </c>
      <c r="B32" s="102" t="s">
        <v>4</v>
      </c>
      <c r="C32" s="102" t="s">
        <v>358</v>
      </c>
      <c r="D32" s="102">
        <v>31</v>
      </c>
      <c r="E32" s="102" t="s">
        <v>396</v>
      </c>
      <c r="F32" s="102" t="s">
        <v>360</v>
      </c>
      <c r="G32" s="124" t="e">
        <f>VLOOKUP(A32,survey!$1:$1048576,1,FALSE)</f>
        <v>#N/A</v>
      </c>
    </row>
    <row r="33" spans="1:7" ht="12.75" customHeight="1">
      <c r="A33" s="102">
        <v>1400212</v>
      </c>
      <c r="B33" s="102" t="s">
        <v>4</v>
      </c>
      <c r="C33" s="102" t="s">
        <v>358</v>
      </c>
      <c r="D33" s="102">
        <v>32</v>
      </c>
      <c r="E33" s="102" t="s">
        <v>404</v>
      </c>
      <c r="F33" s="102" t="s">
        <v>399</v>
      </c>
      <c r="G33" s="124" t="e">
        <f>VLOOKUP(A33,survey!$1:$1048576,1,FALSE)</f>
        <v>#N/A</v>
      </c>
    </row>
    <row r="34" spans="1:7" ht="12.75" customHeight="1">
      <c r="A34" s="102">
        <v>1400213</v>
      </c>
      <c r="B34" s="102" t="s">
        <v>4</v>
      </c>
      <c r="C34" s="102" t="s">
        <v>358</v>
      </c>
      <c r="D34" s="102">
        <v>33</v>
      </c>
      <c r="E34" s="102" t="s">
        <v>405</v>
      </c>
      <c r="F34" s="102" t="s">
        <v>364</v>
      </c>
      <c r="G34" s="124" t="e">
        <f>VLOOKUP(A34,survey!$1:$1048576,1,FALSE)</f>
        <v>#N/A</v>
      </c>
    </row>
    <row r="35" spans="1:7" ht="12.75" customHeight="1">
      <c r="A35" s="102">
        <v>1400214</v>
      </c>
      <c r="B35" s="102" t="s">
        <v>4</v>
      </c>
      <c r="C35" s="102" t="s">
        <v>358</v>
      </c>
      <c r="D35" s="102">
        <v>34</v>
      </c>
      <c r="E35" s="102" t="s">
        <v>406</v>
      </c>
      <c r="F35" s="102" t="s">
        <v>407</v>
      </c>
      <c r="G35" s="124" t="e">
        <f>VLOOKUP(A35,survey!$1:$1048576,1,FALSE)</f>
        <v>#N/A</v>
      </c>
    </row>
    <row r="36" spans="1:7" ht="12.75" customHeight="1">
      <c r="A36" s="102">
        <v>1400215</v>
      </c>
      <c r="B36" s="102" t="s">
        <v>4</v>
      </c>
      <c r="C36" s="102" t="s">
        <v>358</v>
      </c>
      <c r="D36" s="102">
        <v>35</v>
      </c>
      <c r="E36" s="102" t="s">
        <v>408</v>
      </c>
      <c r="F36" s="102" t="s">
        <v>409</v>
      </c>
      <c r="G36" s="124" t="e">
        <f>VLOOKUP(A36,survey!$1:$1048576,1,FALSE)</f>
        <v>#N/A</v>
      </c>
    </row>
    <row r="37" spans="1:7" ht="12.75" customHeight="1">
      <c r="A37" s="102">
        <v>1400216</v>
      </c>
      <c r="B37" s="102" t="s">
        <v>4</v>
      </c>
      <c r="C37" s="102" t="s">
        <v>358</v>
      </c>
      <c r="D37" s="102">
        <v>36</v>
      </c>
      <c r="E37" s="102" t="s">
        <v>410</v>
      </c>
      <c r="F37" s="102" t="s">
        <v>411</v>
      </c>
      <c r="G37" s="124" t="e">
        <f>VLOOKUP(A37,survey!$1:$1048576,1,FALSE)</f>
        <v>#N/A</v>
      </c>
    </row>
    <row r="38" spans="1:7" ht="12.75" customHeight="1">
      <c r="A38" s="102">
        <v>1400217</v>
      </c>
      <c r="B38" s="102" t="s">
        <v>4</v>
      </c>
      <c r="C38" s="102" t="s">
        <v>358</v>
      </c>
      <c r="D38" s="102">
        <v>37</v>
      </c>
      <c r="E38" s="102" t="s">
        <v>412</v>
      </c>
      <c r="F38" s="102" t="s">
        <v>368</v>
      </c>
      <c r="G38" s="124" t="e">
        <f>VLOOKUP(A38,survey!$1:$1048576,1,FALSE)</f>
        <v>#N/A</v>
      </c>
    </row>
    <row r="39" spans="1:7" ht="12.75" customHeight="1">
      <c r="A39" s="102">
        <v>1400218</v>
      </c>
      <c r="B39" s="102" t="s">
        <v>4</v>
      </c>
      <c r="C39" s="102" t="s">
        <v>358</v>
      </c>
      <c r="D39" s="102">
        <v>38</v>
      </c>
      <c r="E39" s="102" t="s">
        <v>413</v>
      </c>
      <c r="F39" s="102" t="s">
        <v>364</v>
      </c>
      <c r="G39" s="124" t="e">
        <f>VLOOKUP(A39,survey!$1:$1048576,1,FALSE)</f>
        <v>#N/A</v>
      </c>
    </row>
    <row r="40" spans="1:7" ht="12.75" customHeight="1">
      <c r="A40" s="102">
        <v>1400219</v>
      </c>
      <c r="B40" s="102" t="s">
        <v>4</v>
      </c>
      <c r="C40" s="102" t="s">
        <v>358</v>
      </c>
      <c r="D40" s="102">
        <v>39</v>
      </c>
      <c r="E40" s="102" t="s">
        <v>414</v>
      </c>
      <c r="F40" s="102" t="s">
        <v>361</v>
      </c>
      <c r="G40" s="124" t="e">
        <f>VLOOKUP(A40,survey!$1:$1048576,1,FALSE)</f>
        <v>#N/A</v>
      </c>
    </row>
    <row r="41" spans="1:7" ht="12.75" customHeight="1">
      <c r="A41" s="102">
        <v>1400221</v>
      </c>
      <c r="B41" s="102" t="s">
        <v>4</v>
      </c>
      <c r="C41" s="102" t="s">
        <v>358</v>
      </c>
      <c r="D41" s="102">
        <v>40</v>
      </c>
      <c r="E41" s="102" t="s">
        <v>415</v>
      </c>
      <c r="F41" s="102" t="s">
        <v>372</v>
      </c>
      <c r="G41" s="124" t="e">
        <f>VLOOKUP(A41,survey!$1:$1048576,1,FALSE)</f>
        <v>#N/A</v>
      </c>
    </row>
    <row r="42" spans="1:7" ht="12.75" customHeight="1">
      <c r="A42" s="102">
        <v>1400222</v>
      </c>
      <c r="B42" s="102" t="s">
        <v>4</v>
      </c>
      <c r="C42" s="102" t="s">
        <v>358</v>
      </c>
      <c r="D42" s="102">
        <v>41</v>
      </c>
      <c r="E42" s="102" t="s">
        <v>416</v>
      </c>
      <c r="F42" s="102" t="s">
        <v>378</v>
      </c>
      <c r="G42" s="124" t="e">
        <f>VLOOKUP(A42,survey!$1:$1048576,1,FALSE)</f>
        <v>#N/A</v>
      </c>
    </row>
    <row r="43" spans="1:7" ht="12.75" customHeight="1">
      <c r="A43" s="102">
        <v>1400223</v>
      </c>
      <c r="B43" s="102" t="s">
        <v>4</v>
      </c>
      <c r="C43" s="102" t="s">
        <v>358</v>
      </c>
      <c r="D43" s="102">
        <v>42</v>
      </c>
      <c r="E43" s="102" t="s">
        <v>417</v>
      </c>
      <c r="F43" s="102" t="s">
        <v>364</v>
      </c>
      <c r="G43" s="124" t="e">
        <f>VLOOKUP(A43,survey!$1:$1048576,1,FALSE)</f>
        <v>#N/A</v>
      </c>
    </row>
    <row r="44" spans="1:7" ht="12.75" customHeight="1">
      <c r="A44" s="102">
        <v>1400224</v>
      </c>
      <c r="B44" s="102" t="s">
        <v>4</v>
      </c>
      <c r="C44" s="102" t="s">
        <v>358</v>
      </c>
      <c r="D44" s="102">
        <v>43</v>
      </c>
      <c r="E44" s="102" t="s">
        <v>418</v>
      </c>
      <c r="F44" s="102" t="s">
        <v>386</v>
      </c>
      <c r="G44" s="124" t="e">
        <f>VLOOKUP(A44,survey!$1:$1048576,1,FALSE)</f>
        <v>#N/A</v>
      </c>
    </row>
    <row r="45" spans="1:7" ht="12.75" customHeight="1">
      <c r="A45" s="102">
        <v>1400225</v>
      </c>
      <c r="B45" s="102" t="s">
        <v>4</v>
      </c>
      <c r="C45" s="102" t="s">
        <v>358</v>
      </c>
      <c r="D45" s="102">
        <v>44</v>
      </c>
      <c r="E45" s="102" t="s">
        <v>419</v>
      </c>
      <c r="F45" s="102" t="s">
        <v>420</v>
      </c>
      <c r="G45" s="124" t="e">
        <f>VLOOKUP(A45,survey!$1:$1048576,1,FALSE)</f>
        <v>#N/A</v>
      </c>
    </row>
    <row r="46" spans="1:7" ht="12.75" customHeight="1">
      <c r="A46" s="102">
        <v>1400226</v>
      </c>
      <c r="B46" s="102" t="s">
        <v>4</v>
      </c>
      <c r="C46" s="102" t="s">
        <v>358</v>
      </c>
      <c r="D46" s="102">
        <v>45</v>
      </c>
      <c r="E46" s="102" t="s">
        <v>421</v>
      </c>
      <c r="F46" s="102" t="s">
        <v>368</v>
      </c>
      <c r="G46" s="124" t="e">
        <f>VLOOKUP(A46,survey!$1:$1048576,1,FALSE)</f>
        <v>#N/A</v>
      </c>
    </row>
    <row r="47" spans="1:7" ht="12.75" customHeight="1">
      <c r="A47" s="102">
        <v>1400227</v>
      </c>
      <c r="B47" s="102" t="s">
        <v>4</v>
      </c>
      <c r="C47" s="102" t="s">
        <v>358</v>
      </c>
      <c r="D47" s="102">
        <v>46</v>
      </c>
      <c r="E47" s="102" t="s">
        <v>422</v>
      </c>
      <c r="F47" s="102" t="s">
        <v>374</v>
      </c>
      <c r="G47" s="124" t="e">
        <f>VLOOKUP(A47,survey!$1:$1048576,1,FALSE)</f>
        <v>#N/A</v>
      </c>
    </row>
    <row r="48" spans="1:7" ht="12.75" customHeight="1">
      <c r="A48" s="102">
        <v>1400228</v>
      </c>
      <c r="B48" s="102" t="s">
        <v>4</v>
      </c>
      <c r="C48" s="102" t="s">
        <v>358</v>
      </c>
      <c r="D48" s="102">
        <v>47</v>
      </c>
      <c r="E48" s="102" t="s">
        <v>423</v>
      </c>
      <c r="F48" s="102" t="s">
        <v>376</v>
      </c>
      <c r="G48" s="124" t="e">
        <f>VLOOKUP(A48,survey!$1:$1048576,1,FALSE)</f>
        <v>#N/A</v>
      </c>
    </row>
    <row r="49" spans="1:7" ht="12.75" customHeight="1">
      <c r="A49" s="102">
        <v>1400229</v>
      </c>
      <c r="B49" s="102" t="s">
        <v>4</v>
      </c>
      <c r="C49" s="102" t="s">
        <v>358</v>
      </c>
      <c r="D49" s="102">
        <v>48</v>
      </c>
      <c r="E49" s="102" t="s">
        <v>424</v>
      </c>
      <c r="F49" s="102" t="s">
        <v>364</v>
      </c>
      <c r="G49" s="124" t="e">
        <f>VLOOKUP(A49,survey!$1:$1048576,1,FALSE)</f>
        <v>#N/A</v>
      </c>
    </row>
    <row r="50" spans="1:7" ht="12.75" customHeight="1">
      <c r="A50" s="102">
        <v>1400230</v>
      </c>
      <c r="B50" s="102" t="s">
        <v>4</v>
      </c>
      <c r="C50" s="102" t="s">
        <v>358</v>
      </c>
      <c r="D50" s="102">
        <v>49</v>
      </c>
      <c r="E50" s="102" t="s">
        <v>425</v>
      </c>
      <c r="F50" s="102" t="s">
        <v>426</v>
      </c>
      <c r="G50" s="124" t="e">
        <f>VLOOKUP(A50,survey!$1:$1048576,1,FALSE)</f>
        <v>#N/A</v>
      </c>
    </row>
    <row r="51" spans="1:7" ht="12.75" customHeight="1">
      <c r="A51" s="102">
        <v>1400231</v>
      </c>
      <c r="B51" s="102" t="s">
        <v>4</v>
      </c>
      <c r="C51" s="102" t="s">
        <v>358</v>
      </c>
      <c r="D51" s="102">
        <v>50</v>
      </c>
      <c r="E51" s="102" t="s">
        <v>2</v>
      </c>
      <c r="F51" s="102" t="s">
        <v>44</v>
      </c>
      <c r="G51" s="124">
        <f>VLOOKUP(A51,survey!$1:$1048576,1,FALSE)</f>
        <v>1400231</v>
      </c>
    </row>
    <row r="52" spans="1:7" ht="12.75" customHeight="1">
      <c r="A52" s="102">
        <v>1400232</v>
      </c>
      <c r="B52" s="102" t="s">
        <v>4</v>
      </c>
      <c r="C52" s="102" t="s">
        <v>358</v>
      </c>
      <c r="D52" s="102">
        <v>51</v>
      </c>
      <c r="E52" s="102" t="s">
        <v>427</v>
      </c>
      <c r="F52" s="102" t="s">
        <v>360</v>
      </c>
      <c r="G52" s="124" t="e">
        <f>VLOOKUP(A52,survey!$1:$1048576,1,FALSE)</f>
        <v>#N/A</v>
      </c>
    </row>
    <row r="53" spans="1:7" ht="12.75" customHeight="1">
      <c r="A53" s="102">
        <v>1400233</v>
      </c>
      <c r="B53" s="102" t="s">
        <v>4</v>
      </c>
      <c r="C53" s="102" t="s">
        <v>358</v>
      </c>
      <c r="D53" s="102">
        <v>52</v>
      </c>
      <c r="E53" s="102" t="s">
        <v>428</v>
      </c>
      <c r="F53" s="102" t="s">
        <v>376</v>
      </c>
      <c r="G53" s="124" t="e">
        <f>VLOOKUP(A53,survey!$1:$1048576,1,FALSE)</f>
        <v>#N/A</v>
      </c>
    </row>
    <row r="54" spans="1:7" ht="12.75" customHeight="1">
      <c r="A54" s="102">
        <v>1400234</v>
      </c>
      <c r="B54" s="102" t="s">
        <v>4</v>
      </c>
      <c r="C54" s="102" t="s">
        <v>358</v>
      </c>
      <c r="D54" s="102">
        <v>53</v>
      </c>
      <c r="E54" s="102" t="s">
        <v>429</v>
      </c>
      <c r="F54" s="102" t="s">
        <v>368</v>
      </c>
      <c r="G54" s="124" t="e">
        <f>VLOOKUP(A54,survey!$1:$1048576,1,FALSE)</f>
        <v>#N/A</v>
      </c>
    </row>
    <row r="55" spans="1:7" ht="12.75" customHeight="1">
      <c r="A55" s="102">
        <v>1400235</v>
      </c>
      <c r="B55" s="102" t="s">
        <v>4</v>
      </c>
      <c r="C55" s="102" t="s">
        <v>358</v>
      </c>
      <c r="D55" s="102">
        <v>54</v>
      </c>
      <c r="E55" s="102" t="s">
        <v>430</v>
      </c>
      <c r="F55" s="102" t="s">
        <v>386</v>
      </c>
      <c r="G55" s="124" t="e">
        <f>VLOOKUP(A55,survey!$1:$1048576,1,FALSE)</f>
        <v>#N/A</v>
      </c>
    </row>
    <row r="56" spans="1:7" ht="12.75" customHeight="1">
      <c r="A56" s="102">
        <v>1400236</v>
      </c>
      <c r="B56" s="102" t="s">
        <v>4</v>
      </c>
      <c r="C56" s="102" t="s">
        <v>358</v>
      </c>
      <c r="D56" s="102">
        <v>55</v>
      </c>
      <c r="E56" s="102" t="s">
        <v>431</v>
      </c>
      <c r="F56" s="102" t="s">
        <v>389</v>
      </c>
      <c r="G56" s="124" t="e">
        <f>VLOOKUP(A56,survey!$1:$1048576,1,FALSE)</f>
        <v>#N/A</v>
      </c>
    </row>
    <row r="57" spans="1:7" ht="12.75" customHeight="1">
      <c r="A57" s="102">
        <v>1400237</v>
      </c>
      <c r="B57" s="102" t="s">
        <v>4</v>
      </c>
      <c r="C57" s="102" t="s">
        <v>358</v>
      </c>
      <c r="D57" s="102">
        <v>56</v>
      </c>
      <c r="E57" s="102" t="s">
        <v>432</v>
      </c>
      <c r="F57" s="102" t="s">
        <v>386</v>
      </c>
      <c r="G57" s="124" t="e">
        <f>VLOOKUP(A57,survey!$1:$1048576,1,FALSE)</f>
        <v>#N/A</v>
      </c>
    </row>
    <row r="58" spans="1:7" ht="12.75" customHeight="1">
      <c r="A58" s="102">
        <v>1400238</v>
      </c>
      <c r="B58" s="102" t="s">
        <v>4</v>
      </c>
      <c r="C58" s="102" t="s">
        <v>358</v>
      </c>
      <c r="D58" s="102">
        <v>57</v>
      </c>
      <c r="E58" s="102" t="s">
        <v>433</v>
      </c>
      <c r="F58" s="102" t="s">
        <v>368</v>
      </c>
      <c r="G58" s="124" t="e">
        <f>VLOOKUP(A58,survey!$1:$1048576,1,FALSE)</f>
        <v>#N/A</v>
      </c>
    </row>
    <row r="59" spans="1:7" ht="12.75" customHeight="1">
      <c r="A59" s="102">
        <v>1400239</v>
      </c>
      <c r="B59" s="102" t="s">
        <v>4</v>
      </c>
      <c r="C59" s="102" t="s">
        <v>358</v>
      </c>
      <c r="D59" s="102">
        <v>58</v>
      </c>
      <c r="E59" s="102" t="s">
        <v>434</v>
      </c>
      <c r="F59" s="102" t="s">
        <v>435</v>
      </c>
      <c r="G59" s="124" t="e">
        <f>VLOOKUP(A59,survey!$1:$1048576,1,FALSE)</f>
        <v>#N/A</v>
      </c>
    </row>
    <row r="60" spans="1:7" ht="12.75" customHeight="1">
      <c r="A60" s="102">
        <v>1400240</v>
      </c>
      <c r="B60" s="102" t="s">
        <v>4</v>
      </c>
      <c r="C60" s="102" t="s">
        <v>358</v>
      </c>
      <c r="D60" s="102">
        <v>59</v>
      </c>
      <c r="E60" s="102" t="s">
        <v>436</v>
      </c>
      <c r="F60" s="102" t="s">
        <v>396</v>
      </c>
      <c r="G60" s="124" t="e">
        <f>VLOOKUP(A60,survey!$1:$1048576,1,FALSE)</f>
        <v>#N/A</v>
      </c>
    </row>
    <row r="61" spans="1:7" ht="12.75" customHeight="1">
      <c r="A61" s="102">
        <v>1400241</v>
      </c>
      <c r="B61" s="102" t="s">
        <v>4</v>
      </c>
      <c r="C61" s="102" t="s">
        <v>358</v>
      </c>
      <c r="D61" s="102">
        <v>60</v>
      </c>
      <c r="E61" s="102" t="s">
        <v>437</v>
      </c>
      <c r="F61" s="102" t="s">
        <v>364</v>
      </c>
      <c r="G61" s="124" t="e">
        <f>VLOOKUP(A61,survey!$1:$1048576,1,FALSE)</f>
        <v>#N/A</v>
      </c>
    </row>
    <row r="62" spans="1:7" ht="12.75" customHeight="1">
      <c r="A62" s="102">
        <v>1400242</v>
      </c>
      <c r="B62" s="102" t="s">
        <v>4</v>
      </c>
      <c r="C62" s="102" t="s">
        <v>358</v>
      </c>
      <c r="D62" s="102">
        <v>61</v>
      </c>
      <c r="E62" s="102" t="s">
        <v>438</v>
      </c>
      <c r="F62" s="102" t="s">
        <v>386</v>
      </c>
      <c r="G62" s="124" t="e">
        <f>VLOOKUP(A62,survey!$1:$1048576,1,FALSE)</f>
        <v>#N/A</v>
      </c>
    </row>
    <row r="63" spans="1:7" ht="12.75" customHeight="1">
      <c r="A63" s="102">
        <v>1400243</v>
      </c>
      <c r="B63" s="102" t="s">
        <v>4</v>
      </c>
      <c r="C63" s="102" t="s">
        <v>358</v>
      </c>
      <c r="D63" s="102">
        <v>62</v>
      </c>
      <c r="E63" s="102" t="s">
        <v>439</v>
      </c>
      <c r="F63" s="102" t="s">
        <v>368</v>
      </c>
      <c r="G63" s="124" t="e">
        <f>VLOOKUP(A63,survey!$1:$1048576,1,FALSE)</f>
        <v>#N/A</v>
      </c>
    </row>
    <row r="64" spans="1:7" ht="12.75" customHeight="1">
      <c r="A64" s="102">
        <v>1400244</v>
      </c>
      <c r="B64" s="102" t="s">
        <v>4</v>
      </c>
      <c r="C64" s="102" t="s">
        <v>358</v>
      </c>
      <c r="D64" s="102">
        <v>63</v>
      </c>
      <c r="E64" s="102" t="s">
        <v>440</v>
      </c>
      <c r="F64" s="102" t="s">
        <v>403</v>
      </c>
      <c r="G64" s="124" t="e">
        <f>VLOOKUP(A64,survey!$1:$1048576,1,FALSE)</f>
        <v>#N/A</v>
      </c>
    </row>
    <row r="65" spans="1:7" ht="12.75" customHeight="1">
      <c r="A65" s="102">
        <v>1400245</v>
      </c>
      <c r="B65" s="102" t="s">
        <v>4</v>
      </c>
      <c r="C65" s="102" t="s">
        <v>358</v>
      </c>
      <c r="D65" s="102">
        <v>64</v>
      </c>
      <c r="E65" s="102" t="s">
        <v>441</v>
      </c>
      <c r="F65" s="102" t="s">
        <v>401</v>
      </c>
      <c r="G65" s="124" t="e">
        <f>VLOOKUP(A65,survey!$1:$1048576,1,FALSE)</f>
        <v>#N/A</v>
      </c>
    </row>
    <row r="66" spans="1:7" ht="12.75" customHeight="1">
      <c r="A66" s="102">
        <v>1400246</v>
      </c>
      <c r="B66" s="102" t="s">
        <v>4</v>
      </c>
      <c r="C66" s="102" t="s">
        <v>358</v>
      </c>
      <c r="D66" s="102">
        <v>65</v>
      </c>
      <c r="E66" s="102" t="s">
        <v>442</v>
      </c>
      <c r="F66" s="102" t="s">
        <v>443</v>
      </c>
      <c r="G66" s="124" t="e">
        <f>VLOOKUP(A66,survey!$1:$1048576,1,FALSE)</f>
        <v>#N/A</v>
      </c>
    </row>
    <row r="67" spans="1:7" ht="12.75" customHeight="1">
      <c r="A67" s="102">
        <v>1400248</v>
      </c>
      <c r="B67" s="102" t="s">
        <v>4</v>
      </c>
      <c r="C67" s="102" t="s">
        <v>358</v>
      </c>
      <c r="D67" s="102">
        <v>66</v>
      </c>
      <c r="E67" s="102" t="s">
        <v>444</v>
      </c>
      <c r="F67" s="102" t="s">
        <v>445</v>
      </c>
      <c r="G67" s="124" t="e">
        <f>VLOOKUP(A67,survey!$1:$1048576,1,FALSE)</f>
        <v>#N/A</v>
      </c>
    </row>
    <row r="68" spans="1:7" ht="12.75" customHeight="1">
      <c r="A68" s="102">
        <v>1400249</v>
      </c>
      <c r="B68" s="102" t="s">
        <v>4</v>
      </c>
      <c r="C68" s="102" t="s">
        <v>358</v>
      </c>
      <c r="D68" s="102">
        <v>67</v>
      </c>
      <c r="E68" s="102" t="s">
        <v>446</v>
      </c>
      <c r="F68" s="102" t="s">
        <v>447</v>
      </c>
      <c r="G68" s="124" t="e">
        <f>VLOOKUP(A68,survey!$1:$1048576,1,FALSE)</f>
        <v>#N/A</v>
      </c>
    </row>
    <row r="69" spans="1:7" ht="12.75" customHeight="1">
      <c r="A69" s="102">
        <v>1400250</v>
      </c>
      <c r="B69" s="102" t="s">
        <v>4</v>
      </c>
      <c r="C69" s="102" t="s">
        <v>358</v>
      </c>
      <c r="D69" s="102">
        <v>68</v>
      </c>
      <c r="E69" s="102" t="s">
        <v>448</v>
      </c>
      <c r="F69" s="102" t="s">
        <v>449</v>
      </c>
      <c r="G69" s="124" t="e">
        <f>VLOOKUP(A69,survey!$1:$1048576,1,FALSE)</f>
        <v>#N/A</v>
      </c>
    </row>
    <row r="70" spans="1:7" ht="12.75" customHeight="1">
      <c r="A70" s="102">
        <v>1400251</v>
      </c>
      <c r="B70" s="102" t="s">
        <v>4</v>
      </c>
      <c r="C70" s="102" t="s">
        <v>358</v>
      </c>
      <c r="D70" s="102">
        <v>69</v>
      </c>
      <c r="E70" s="102" t="s">
        <v>450</v>
      </c>
      <c r="F70" s="102" t="s">
        <v>451</v>
      </c>
      <c r="G70" s="124" t="e">
        <f>VLOOKUP(A70,survey!$1:$1048576,1,FALSE)</f>
        <v>#N/A</v>
      </c>
    </row>
    <row r="71" spans="1:7" ht="12.75" customHeight="1">
      <c r="A71" s="102">
        <v>1400252</v>
      </c>
      <c r="B71" s="102" t="s">
        <v>4</v>
      </c>
      <c r="C71" s="102" t="s">
        <v>358</v>
      </c>
      <c r="D71" s="102">
        <v>70</v>
      </c>
      <c r="E71" s="102" t="s">
        <v>452</v>
      </c>
      <c r="F71" s="102" t="s">
        <v>453</v>
      </c>
      <c r="G71" s="124" t="e">
        <f>VLOOKUP(A71,survey!$1:$1048576,1,FALSE)</f>
        <v>#N/A</v>
      </c>
    </row>
    <row r="72" spans="1:7" ht="12.75" customHeight="1">
      <c r="A72" s="102">
        <v>1400253</v>
      </c>
      <c r="B72" s="102" t="s">
        <v>4</v>
      </c>
      <c r="C72" s="102" t="s">
        <v>358</v>
      </c>
      <c r="D72" s="102">
        <v>71</v>
      </c>
      <c r="E72" s="102" t="s">
        <v>454</v>
      </c>
      <c r="F72" s="102" t="s">
        <v>455</v>
      </c>
      <c r="G72" s="124" t="e">
        <f>VLOOKUP(A72,survey!$1:$1048576,1,FALSE)</f>
        <v>#N/A</v>
      </c>
    </row>
    <row r="73" spans="1:7" ht="12.75" customHeight="1">
      <c r="A73" s="102">
        <v>1400254</v>
      </c>
      <c r="B73" s="102" t="s">
        <v>4</v>
      </c>
      <c r="C73" s="102" t="s">
        <v>358</v>
      </c>
      <c r="D73" s="102">
        <v>72</v>
      </c>
      <c r="E73" s="102" t="s">
        <v>456</v>
      </c>
      <c r="F73" s="102" t="s">
        <v>457</v>
      </c>
      <c r="G73" s="124" t="e">
        <f>VLOOKUP(A73,survey!$1:$1048576,1,FALSE)</f>
        <v>#N/A</v>
      </c>
    </row>
    <row r="74" spans="1:7" ht="12.75" customHeight="1">
      <c r="A74" s="102">
        <v>1400255</v>
      </c>
      <c r="B74" s="102" t="s">
        <v>4</v>
      </c>
      <c r="C74" s="102" t="s">
        <v>358</v>
      </c>
      <c r="D74" s="102">
        <v>73</v>
      </c>
      <c r="E74" s="102" t="s">
        <v>386</v>
      </c>
      <c r="F74" s="102" t="s">
        <v>386</v>
      </c>
      <c r="G74" s="124" t="e">
        <f>VLOOKUP(A74,survey!$1:$1048576,1,FALSE)</f>
        <v>#N/A</v>
      </c>
    </row>
    <row r="75" spans="1:7" ht="12.75" customHeight="1">
      <c r="A75" s="102">
        <v>1400256</v>
      </c>
      <c r="B75" s="102" t="s">
        <v>4</v>
      </c>
      <c r="C75" s="102" t="s">
        <v>358</v>
      </c>
      <c r="D75" s="102">
        <v>74</v>
      </c>
      <c r="E75" s="102" t="s">
        <v>458</v>
      </c>
      <c r="F75" s="102" t="s">
        <v>459</v>
      </c>
      <c r="G75" s="124" t="e">
        <f>VLOOKUP(A75,survey!$1:$1048576,1,FALSE)</f>
        <v>#N/A</v>
      </c>
    </row>
    <row r="76" spans="1:7" ht="12.75" customHeight="1">
      <c r="A76" s="102">
        <v>1400257</v>
      </c>
      <c r="B76" s="102" t="s">
        <v>4</v>
      </c>
      <c r="C76" s="102" t="s">
        <v>358</v>
      </c>
      <c r="D76" s="102">
        <v>75</v>
      </c>
      <c r="E76" s="102" t="s">
        <v>460</v>
      </c>
      <c r="F76" s="102" t="s">
        <v>461</v>
      </c>
      <c r="G76" s="124" t="e">
        <f>VLOOKUP(A76,survey!$1:$1048576,1,FALSE)</f>
        <v>#N/A</v>
      </c>
    </row>
    <row r="77" spans="1:7" ht="12.75" customHeight="1">
      <c r="A77" s="102">
        <v>1400258</v>
      </c>
      <c r="B77" s="102" t="s">
        <v>4</v>
      </c>
      <c r="C77" s="102" t="s">
        <v>358</v>
      </c>
      <c r="D77" s="102">
        <v>76</v>
      </c>
      <c r="E77" s="102" t="s">
        <v>462</v>
      </c>
      <c r="F77" s="102" t="s">
        <v>443</v>
      </c>
      <c r="G77" s="124" t="e">
        <f>VLOOKUP(A77,survey!$1:$1048576,1,FALSE)</f>
        <v>#N/A</v>
      </c>
    </row>
    <row r="78" spans="1:7" ht="12.75" customHeight="1">
      <c r="A78" s="102">
        <v>1400259</v>
      </c>
      <c r="B78" s="102" t="s">
        <v>4</v>
      </c>
      <c r="C78" s="102" t="s">
        <v>358</v>
      </c>
      <c r="D78" s="102">
        <v>77</v>
      </c>
      <c r="E78" s="102" t="s">
        <v>463</v>
      </c>
      <c r="F78" s="102" t="s">
        <v>464</v>
      </c>
      <c r="G78" s="124" t="e">
        <f>VLOOKUP(A78,survey!$1:$1048576,1,FALSE)</f>
        <v>#N/A</v>
      </c>
    </row>
    <row r="79" spans="1:7" ht="12.75" customHeight="1">
      <c r="A79" s="102">
        <v>1400260</v>
      </c>
      <c r="B79" s="102" t="s">
        <v>4</v>
      </c>
      <c r="C79" s="102" t="s">
        <v>358</v>
      </c>
      <c r="D79" s="102">
        <v>78</v>
      </c>
      <c r="E79" s="102" t="s">
        <v>465</v>
      </c>
      <c r="F79" s="102" t="s">
        <v>436</v>
      </c>
      <c r="G79" s="124" t="e">
        <f>VLOOKUP(A79,survey!$1:$1048576,1,FALSE)</f>
        <v>#N/A</v>
      </c>
    </row>
    <row r="80" spans="1:7" ht="12.75" customHeight="1">
      <c r="A80" s="102">
        <v>1400261</v>
      </c>
      <c r="B80" s="102" t="s">
        <v>4</v>
      </c>
      <c r="C80" s="102" t="s">
        <v>358</v>
      </c>
      <c r="D80" s="102">
        <v>79</v>
      </c>
      <c r="E80" s="102" t="s">
        <v>466</v>
      </c>
      <c r="F80" s="102" t="s">
        <v>389</v>
      </c>
      <c r="G80" s="124" t="e">
        <f>VLOOKUP(A80,survey!$1:$1048576,1,FALSE)</f>
        <v>#N/A</v>
      </c>
    </row>
    <row r="81" spans="1:7" ht="12.75" customHeight="1">
      <c r="A81" s="102">
        <v>1400262</v>
      </c>
      <c r="B81" s="102" t="s">
        <v>4</v>
      </c>
      <c r="C81" s="102" t="s">
        <v>358</v>
      </c>
      <c r="D81" s="102">
        <v>80</v>
      </c>
      <c r="E81" s="102" t="s">
        <v>3</v>
      </c>
      <c r="F81" s="102" t="s">
        <v>399</v>
      </c>
      <c r="G81" s="124" t="e">
        <f>VLOOKUP(A81,survey!$1:$1048576,1,FALSE)</f>
        <v>#N/A</v>
      </c>
    </row>
    <row r="82" spans="1:7" ht="12.75" customHeight="1">
      <c r="A82" s="102">
        <v>1400263</v>
      </c>
      <c r="B82" s="102" t="s">
        <v>4</v>
      </c>
      <c r="C82" s="102" t="s">
        <v>358</v>
      </c>
      <c r="D82" s="102">
        <v>81</v>
      </c>
      <c r="E82" s="102" t="s">
        <v>467</v>
      </c>
      <c r="F82" s="102" t="s">
        <v>447</v>
      </c>
      <c r="G82" s="124" t="e">
        <f>VLOOKUP(A82,survey!$1:$1048576,1,FALSE)</f>
        <v>#N/A</v>
      </c>
    </row>
    <row r="83" spans="1:7" ht="12.75" customHeight="1">
      <c r="A83" s="102">
        <v>1400264</v>
      </c>
      <c r="B83" s="102" t="s">
        <v>4</v>
      </c>
      <c r="C83" s="102" t="s">
        <v>358</v>
      </c>
      <c r="D83" s="102">
        <v>82</v>
      </c>
      <c r="E83" s="102" t="s">
        <v>468</v>
      </c>
      <c r="F83" s="102" t="s">
        <v>396</v>
      </c>
      <c r="G83" s="124" t="e">
        <f>VLOOKUP(A83,survey!$1:$1048576,1,FALSE)</f>
        <v>#N/A</v>
      </c>
    </row>
    <row r="84" spans="1:7" ht="12.75" customHeight="1">
      <c r="A84" s="102">
        <v>1400265</v>
      </c>
      <c r="B84" s="102" t="s">
        <v>4</v>
      </c>
      <c r="C84" s="102" t="s">
        <v>358</v>
      </c>
      <c r="D84" s="102">
        <v>83</v>
      </c>
      <c r="E84" s="102" t="s">
        <v>469</v>
      </c>
      <c r="F84" s="102" t="s">
        <v>455</v>
      </c>
      <c r="G84" s="124" t="e">
        <f>VLOOKUP(A84,survey!$1:$1048576,1,FALSE)</f>
        <v>#N/A</v>
      </c>
    </row>
    <row r="85" spans="1:7" ht="12.75" customHeight="1">
      <c r="A85" s="102">
        <v>1400266</v>
      </c>
      <c r="B85" s="102" t="s">
        <v>4</v>
      </c>
      <c r="C85" s="102" t="s">
        <v>358</v>
      </c>
      <c r="D85" s="102">
        <v>84</v>
      </c>
      <c r="E85" s="102" t="s">
        <v>470</v>
      </c>
      <c r="F85" s="102" t="s">
        <v>453</v>
      </c>
      <c r="G85" s="124" t="e">
        <f>VLOOKUP(A85,survey!$1:$1048576,1,FALSE)</f>
        <v>#N/A</v>
      </c>
    </row>
    <row r="86" spans="1:7" ht="12.75" customHeight="1">
      <c r="A86" s="102">
        <v>1400267</v>
      </c>
      <c r="B86" s="102" t="s">
        <v>4</v>
      </c>
      <c r="C86" s="102" t="s">
        <v>358</v>
      </c>
      <c r="D86" s="102">
        <v>85</v>
      </c>
      <c r="E86" s="102" t="s">
        <v>471</v>
      </c>
      <c r="F86" s="102" t="s">
        <v>472</v>
      </c>
      <c r="G86" s="124" t="e">
        <f>VLOOKUP(A86,survey!$1:$1048576,1,FALSE)</f>
        <v>#N/A</v>
      </c>
    </row>
    <row r="87" spans="1:7" ht="12.75" customHeight="1">
      <c r="A87" s="102">
        <v>1400268</v>
      </c>
      <c r="B87" s="102" t="s">
        <v>4</v>
      </c>
      <c r="C87" s="102" t="s">
        <v>358</v>
      </c>
      <c r="D87" s="102">
        <v>86</v>
      </c>
      <c r="E87" s="102" t="s">
        <v>473</v>
      </c>
      <c r="F87" s="102" t="s">
        <v>447</v>
      </c>
      <c r="G87" s="124" t="e">
        <f>VLOOKUP(A87,survey!$1:$1048576,1,FALSE)</f>
        <v>#N/A</v>
      </c>
    </row>
    <row r="88" spans="1:7" ht="12.75" customHeight="1">
      <c r="A88" s="102">
        <v>1400269</v>
      </c>
      <c r="B88" s="102" t="s">
        <v>4</v>
      </c>
      <c r="C88" s="102" t="s">
        <v>358</v>
      </c>
      <c r="D88" s="102">
        <v>87</v>
      </c>
      <c r="E88" s="102" t="s">
        <v>474</v>
      </c>
      <c r="F88" s="102" t="s">
        <v>461</v>
      </c>
      <c r="G88" s="124" t="e">
        <f>VLOOKUP(A88,survey!$1:$1048576,1,FALSE)</f>
        <v>#N/A</v>
      </c>
    </row>
    <row r="89" spans="1:7" ht="12.75" customHeight="1">
      <c r="A89" s="102">
        <v>1400270</v>
      </c>
      <c r="B89" s="102" t="s">
        <v>4</v>
      </c>
      <c r="C89" s="102" t="s">
        <v>358</v>
      </c>
      <c r="D89" s="102">
        <v>88</v>
      </c>
      <c r="E89" s="102" t="s">
        <v>475</v>
      </c>
      <c r="F89" s="102" t="s">
        <v>436</v>
      </c>
      <c r="G89" s="124" t="e">
        <f>VLOOKUP(A89,survey!$1:$1048576,1,FALSE)</f>
        <v>#N/A</v>
      </c>
    </row>
    <row r="90" spans="1:7" ht="12.75" customHeight="1">
      <c r="A90" s="102">
        <v>1400271</v>
      </c>
      <c r="B90" s="102" t="s">
        <v>4</v>
      </c>
      <c r="C90" s="102" t="s">
        <v>358</v>
      </c>
      <c r="D90" s="102">
        <v>89</v>
      </c>
      <c r="E90" s="102" t="s">
        <v>476</v>
      </c>
      <c r="F90" s="102" t="s">
        <v>386</v>
      </c>
      <c r="G90" s="124" t="e">
        <f>VLOOKUP(A90,survey!$1:$1048576,1,FALSE)</f>
        <v>#N/A</v>
      </c>
    </row>
    <row r="91" spans="1:7" ht="12.75" customHeight="1">
      <c r="A91" s="102">
        <v>1400272</v>
      </c>
      <c r="B91" s="102" t="s">
        <v>4</v>
      </c>
      <c r="C91" s="102" t="s">
        <v>358</v>
      </c>
      <c r="D91" s="102">
        <v>90</v>
      </c>
      <c r="E91" s="102" t="s">
        <v>477</v>
      </c>
      <c r="F91" s="102" t="s">
        <v>461</v>
      </c>
      <c r="G91" s="124" t="e">
        <f>VLOOKUP(A91,survey!$1:$1048576,1,FALSE)</f>
        <v>#N/A</v>
      </c>
    </row>
    <row r="92" spans="1:7" ht="12.75" customHeight="1">
      <c r="A92" s="102">
        <v>1400273</v>
      </c>
      <c r="B92" s="102" t="s">
        <v>4</v>
      </c>
      <c r="C92" s="102" t="s">
        <v>358</v>
      </c>
      <c r="D92" s="102">
        <v>91</v>
      </c>
      <c r="E92" s="102" t="s">
        <v>478</v>
      </c>
      <c r="F92" s="102" t="s">
        <v>457</v>
      </c>
      <c r="G92" s="124" t="e">
        <f>VLOOKUP(A92,survey!$1:$1048576,1,FALSE)</f>
        <v>#N/A</v>
      </c>
    </row>
    <row r="93" spans="1:7" ht="12.75" customHeight="1">
      <c r="A93" s="102">
        <v>1400274</v>
      </c>
      <c r="B93" s="102" t="s">
        <v>4</v>
      </c>
      <c r="C93" s="102" t="s">
        <v>358</v>
      </c>
      <c r="D93" s="102">
        <v>92</v>
      </c>
      <c r="E93" s="102" t="s">
        <v>479</v>
      </c>
      <c r="F93" s="102" t="s">
        <v>447</v>
      </c>
      <c r="G93" s="124" t="e">
        <f>VLOOKUP(A93,survey!$1:$1048576,1,FALSE)</f>
        <v>#N/A</v>
      </c>
    </row>
    <row r="94" spans="1:7" ht="12.75" customHeight="1">
      <c r="A94" s="102">
        <v>1400275</v>
      </c>
      <c r="B94" s="102" t="s">
        <v>4</v>
      </c>
      <c r="C94" s="102" t="s">
        <v>358</v>
      </c>
      <c r="D94" s="102">
        <v>93</v>
      </c>
      <c r="E94" s="102" t="s">
        <v>480</v>
      </c>
      <c r="F94" s="102" t="s">
        <v>389</v>
      </c>
      <c r="G94" s="124" t="e">
        <f>VLOOKUP(A94,survey!$1:$1048576,1,FALSE)</f>
        <v>#N/A</v>
      </c>
    </row>
    <row r="95" spans="1:7" ht="12.75" customHeight="1">
      <c r="A95" s="102">
        <v>1400276</v>
      </c>
      <c r="B95" s="102" t="s">
        <v>4</v>
      </c>
      <c r="C95" s="102" t="s">
        <v>358</v>
      </c>
      <c r="D95" s="102">
        <v>94</v>
      </c>
      <c r="E95" s="102" t="s">
        <v>481</v>
      </c>
      <c r="F95" s="102" t="s">
        <v>455</v>
      </c>
      <c r="G95" s="124" t="e">
        <f>VLOOKUP(A95,survey!$1:$1048576,1,FALSE)</f>
        <v>#N/A</v>
      </c>
    </row>
    <row r="96" spans="1:7" ht="12.75" customHeight="1">
      <c r="A96" s="102">
        <v>1400277</v>
      </c>
      <c r="B96" s="102" t="s">
        <v>4</v>
      </c>
      <c r="C96" s="102" t="s">
        <v>358</v>
      </c>
      <c r="D96" s="102">
        <v>95</v>
      </c>
      <c r="E96" s="102" t="s">
        <v>482</v>
      </c>
      <c r="F96" s="102" t="s">
        <v>447</v>
      </c>
      <c r="G96" s="124" t="e">
        <f>VLOOKUP(A96,survey!$1:$1048576,1,FALSE)</f>
        <v>#N/A</v>
      </c>
    </row>
    <row r="97" spans="1:7" ht="12.75" customHeight="1">
      <c r="A97" s="102">
        <v>1400278</v>
      </c>
      <c r="B97" s="102" t="s">
        <v>4</v>
      </c>
      <c r="C97" s="102" t="s">
        <v>358</v>
      </c>
      <c r="D97" s="102">
        <v>96</v>
      </c>
      <c r="E97" s="102" t="s">
        <v>483</v>
      </c>
      <c r="F97" s="102" t="s">
        <v>386</v>
      </c>
      <c r="G97" s="124" t="e">
        <f>VLOOKUP(A97,survey!$1:$1048576,1,FALSE)</f>
        <v>#N/A</v>
      </c>
    </row>
    <row r="98" spans="1:7" ht="12.75" customHeight="1">
      <c r="A98" s="102">
        <v>1400279</v>
      </c>
      <c r="B98" s="102" t="s">
        <v>4</v>
      </c>
      <c r="C98" s="102" t="s">
        <v>358</v>
      </c>
      <c r="D98" s="102">
        <v>97</v>
      </c>
      <c r="E98" s="102" t="s">
        <v>484</v>
      </c>
      <c r="F98" s="102" t="s">
        <v>464</v>
      </c>
      <c r="G98" s="124" t="e">
        <f>VLOOKUP(A98,survey!$1:$1048576,1,FALSE)</f>
        <v>#N/A</v>
      </c>
    </row>
    <row r="99" spans="1:7" ht="12.75" customHeight="1">
      <c r="A99" s="102">
        <v>1400280</v>
      </c>
      <c r="B99" s="102" t="s">
        <v>4</v>
      </c>
      <c r="C99" s="102" t="s">
        <v>358</v>
      </c>
      <c r="D99" s="102">
        <v>98</v>
      </c>
      <c r="E99" s="102" t="s">
        <v>485</v>
      </c>
      <c r="F99" s="102" t="s">
        <v>457</v>
      </c>
      <c r="G99" s="124" t="e">
        <f>VLOOKUP(A99,survey!$1:$1048576,1,FALSE)</f>
        <v>#N/A</v>
      </c>
    </row>
    <row r="100" spans="1:7" ht="12.75" customHeight="1">
      <c r="A100" s="102">
        <v>1400281</v>
      </c>
      <c r="B100" s="102" t="s">
        <v>4</v>
      </c>
      <c r="C100" s="102" t="s">
        <v>358</v>
      </c>
      <c r="D100" s="102">
        <v>99</v>
      </c>
      <c r="E100" s="102" t="s">
        <v>486</v>
      </c>
      <c r="F100" s="102" t="s">
        <v>360</v>
      </c>
      <c r="G100" s="124" t="e">
        <f>VLOOKUP(A100,survey!$1:$1048576,1,FALSE)</f>
        <v>#N/A</v>
      </c>
    </row>
    <row r="101" spans="1:7" ht="12.75" customHeight="1">
      <c r="A101" s="102">
        <v>1400282</v>
      </c>
      <c r="B101" s="102" t="s">
        <v>4</v>
      </c>
      <c r="C101" s="102" t="s">
        <v>358</v>
      </c>
      <c r="D101" s="102">
        <v>100</v>
      </c>
      <c r="E101" s="102" t="s">
        <v>487</v>
      </c>
      <c r="F101" s="102" t="s">
        <v>399</v>
      </c>
      <c r="G101" s="124" t="e">
        <f>VLOOKUP(A101,survey!$1:$1048576,1,FALSE)</f>
        <v>#N/A</v>
      </c>
    </row>
    <row r="102" spans="1:7" ht="12.75" customHeight="1">
      <c r="A102" s="102">
        <v>1400283</v>
      </c>
      <c r="B102" s="102" t="s">
        <v>4</v>
      </c>
      <c r="C102" s="102" t="s">
        <v>358</v>
      </c>
      <c r="D102" s="102">
        <v>101</v>
      </c>
      <c r="E102" s="102" t="s">
        <v>488</v>
      </c>
      <c r="F102" s="102" t="s">
        <v>396</v>
      </c>
      <c r="G102" s="124" t="e">
        <f>VLOOKUP(A102,survey!$1:$1048576,1,FALSE)</f>
        <v>#N/A</v>
      </c>
    </row>
    <row r="103" spans="1:7" ht="12.75" customHeight="1">
      <c r="A103" s="102">
        <v>1400284</v>
      </c>
      <c r="B103" s="102" t="s">
        <v>4</v>
      </c>
      <c r="C103" s="102" t="s">
        <v>358</v>
      </c>
      <c r="D103" s="102">
        <v>102</v>
      </c>
      <c r="E103" s="102" t="s">
        <v>489</v>
      </c>
      <c r="F103" s="102" t="s">
        <v>378</v>
      </c>
      <c r="G103" s="124" t="e">
        <f>VLOOKUP(A103,survey!$1:$1048576,1,FALSE)</f>
        <v>#N/A</v>
      </c>
    </row>
    <row r="104" spans="1:7" ht="12.75" customHeight="1">
      <c r="A104" s="102">
        <v>1400285</v>
      </c>
      <c r="B104" s="102" t="s">
        <v>4</v>
      </c>
      <c r="C104" s="102" t="s">
        <v>358</v>
      </c>
      <c r="D104" s="102">
        <v>103</v>
      </c>
      <c r="E104" s="102" t="s">
        <v>490</v>
      </c>
      <c r="F104" s="102" t="s">
        <v>445</v>
      </c>
      <c r="G104" s="124" t="e">
        <f>VLOOKUP(A104,survey!$1:$1048576,1,FALSE)</f>
        <v>#N/A</v>
      </c>
    </row>
    <row r="105" spans="1:7" ht="12.75" customHeight="1">
      <c r="A105" s="102">
        <v>1400286</v>
      </c>
      <c r="B105" s="102" t="s">
        <v>4</v>
      </c>
      <c r="C105" s="102" t="s">
        <v>358</v>
      </c>
      <c r="D105" s="102">
        <v>104</v>
      </c>
      <c r="E105" s="102" t="s">
        <v>491</v>
      </c>
      <c r="F105" s="102" t="s">
        <v>449</v>
      </c>
      <c r="G105" s="124" t="e">
        <f>VLOOKUP(A105,survey!$1:$1048576,1,FALSE)</f>
        <v>#N/A</v>
      </c>
    </row>
    <row r="106" spans="1:7" ht="12.75" customHeight="1">
      <c r="A106" s="102">
        <v>1400287</v>
      </c>
      <c r="B106" s="102" t="s">
        <v>4</v>
      </c>
      <c r="C106" s="102" t="s">
        <v>358</v>
      </c>
      <c r="D106" s="102">
        <v>105</v>
      </c>
      <c r="E106" s="102" t="s">
        <v>492</v>
      </c>
      <c r="F106" s="102" t="s">
        <v>455</v>
      </c>
      <c r="G106" s="124" t="e">
        <f>VLOOKUP(A106,survey!$1:$1048576,1,FALSE)</f>
        <v>#N/A</v>
      </c>
    </row>
    <row r="107" spans="1:7" ht="12.75" customHeight="1">
      <c r="A107" s="102">
        <v>1400288</v>
      </c>
      <c r="B107" s="102" t="s">
        <v>4</v>
      </c>
      <c r="C107" s="102" t="s">
        <v>358</v>
      </c>
      <c r="D107" s="102">
        <v>106</v>
      </c>
      <c r="E107" s="102" t="s">
        <v>493</v>
      </c>
      <c r="F107" s="102" t="s">
        <v>494</v>
      </c>
      <c r="G107" s="124" t="e">
        <f>VLOOKUP(A107,survey!$1:$1048576,1,FALSE)</f>
        <v>#N/A</v>
      </c>
    </row>
    <row r="108" spans="1:7" ht="12.75" customHeight="1">
      <c r="A108" s="102">
        <v>1400289</v>
      </c>
      <c r="B108" s="102" t="s">
        <v>4</v>
      </c>
      <c r="C108" s="102" t="s">
        <v>358</v>
      </c>
      <c r="D108" s="102">
        <v>107</v>
      </c>
      <c r="E108" s="102" t="s">
        <v>495</v>
      </c>
      <c r="F108" s="102" t="s">
        <v>455</v>
      </c>
      <c r="G108" s="124" t="e">
        <f>VLOOKUP(A108,survey!$1:$1048576,1,FALSE)</f>
        <v>#N/A</v>
      </c>
    </row>
    <row r="109" spans="1:7" ht="12.75" customHeight="1">
      <c r="A109" s="102">
        <v>1400290</v>
      </c>
      <c r="B109" s="102" t="s">
        <v>4</v>
      </c>
      <c r="C109" s="102" t="s">
        <v>358</v>
      </c>
      <c r="D109" s="102">
        <v>108</v>
      </c>
      <c r="E109" s="102" t="s">
        <v>496</v>
      </c>
      <c r="F109" s="102" t="s">
        <v>399</v>
      </c>
      <c r="G109" s="124" t="e">
        <f>VLOOKUP(A109,survey!$1:$1048576,1,FALSE)</f>
        <v>#N/A</v>
      </c>
    </row>
    <row r="110" spans="1:7" ht="12.75" customHeight="1">
      <c r="A110" s="102">
        <v>1400291</v>
      </c>
      <c r="B110" s="102" t="s">
        <v>4</v>
      </c>
      <c r="C110" s="102" t="s">
        <v>358</v>
      </c>
      <c r="D110" s="102">
        <v>109</v>
      </c>
      <c r="E110" s="102" t="s">
        <v>497</v>
      </c>
      <c r="F110" s="102" t="s">
        <v>461</v>
      </c>
      <c r="G110" s="124" t="e">
        <f>VLOOKUP(A110,survey!$1:$1048576,1,FALSE)</f>
        <v>#N/A</v>
      </c>
    </row>
    <row r="111" spans="1:7" ht="12.75" customHeight="1">
      <c r="A111" s="102">
        <v>1400292</v>
      </c>
      <c r="B111" s="102" t="s">
        <v>4</v>
      </c>
      <c r="C111" s="102" t="s">
        <v>358</v>
      </c>
      <c r="D111" s="102">
        <v>110</v>
      </c>
      <c r="E111" s="102" t="s">
        <v>498</v>
      </c>
      <c r="F111" s="102" t="s">
        <v>447</v>
      </c>
      <c r="G111" s="124" t="e">
        <f>VLOOKUP(A111,survey!$1:$1048576,1,FALSE)</f>
        <v>#N/A</v>
      </c>
    </row>
    <row r="112" spans="1:7" ht="12.75" customHeight="1">
      <c r="A112" s="102">
        <v>1400293</v>
      </c>
      <c r="B112" s="102" t="s">
        <v>4</v>
      </c>
      <c r="C112" s="102" t="s">
        <v>358</v>
      </c>
      <c r="D112" s="102">
        <v>111</v>
      </c>
      <c r="E112" s="102" t="s">
        <v>499</v>
      </c>
      <c r="F112" s="102" t="s">
        <v>494</v>
      </c>
      <c r="G112" s="124" t="e">
        <f>VLOOKUP(A112,survey!$1:$1048576,1,FALSE)</f>
        <v>#N/A</v>
      </c>
    </row>
    <row r="113" spans="1:7" ht="12.75" customHeight="1">
      <c r="A113" s="102">
        <v>1400294</v>
      </c>
      <c r="B113" s="102" t="s">
        <v>4</v>
      </c>
      <c r="C113" s="102" t="s">
        <v>358</v>
      </c>
      <c r="D113" s="102">
        <v>112</v>
      </c>
      <c r="E113" s="102" t="s">
        <v>500</v>
      </c>
      <c r="F113" s="102" t="s">
        <v>461</v>
      </c>
      <c r="G113" s="124" t="e">
        <f>VLOOKUP(A113,survey!$1:$1048576,1,FALSE)</f>
        <v>#N/A</v>
      </c>
    </row>
    <row r="114" spans="1:7" ht="12.75" customHeight="1">
      <c r="A114" s="102">
        <v>1400295</v>
      </c>
      <c r="B114" s="102" t="s">
        <v>4</v>
      </c>
      <c r="C114" s="102" t="s">
        <v>358</v>
      </c>
      <c r="D114" s="102">
        <v>113</v>
      </c>
      <c r="E114" s="102" t="s">
        <v>501</v>
      </c>
      <c r="F114" s="102" t="s">
        <v>447</v>
      </c>
      <c r="G114" s="124" t="e">
        <f>VLOOKUP(A114,survey!$1:$1048576,1,FALSE)</f>
        <v>#N/A</v>
      </c>
    </row>
    <row r="115" spans="1:7" ht="12.75" customHeight="1">
      <c r="A115" s="102">
        <v>1400296</v>
      </c>
      <c r="B115" s="102" t="s">
        <v>4</v>
      </c>
      <c r="C115" s="102" t="s">
        <v>358</v>
      </c>
      <c r="D115" s="102">
        <v>114</v>
      </c>
      <c r="E115" s="102" t="s">
        <v>502</v>
      </c>
      <c r="F115" s="102" t="s">
        <v>399</v>
      </c>
      <c r="G115" s="124" t="e">
        <f>VLOOKUP(A115,survey!$1:$1048576,1,FALSE)</f>
        <v>#N/A</v>
      </c>
    </row>
    <row r="116" spans="1:7" ht="12.75" customHeight="1">
      <c r="A116" s="102">
        <v>1400297</v>
      </c>
      <c r="B116" s="102" t="s">
        <v>4</v>
      </c>
      <c r="C116" s="102" t="s">
        <v>358</v>
      </c>
      <c r="D116" s="102">
        <v>115</v>
      </c>
      <c r="E116" s="102" t="s">
        <v>503</v>
      </c>
      <c r="F116" s="102" t="s">
        <v>411</v>
      </c>
      <c r="G116" s="124" t="e">
        <f>VLOOKUP(A116,survey!$1:$1048576,1,FALSE)</f>
        <v>#N/A</v>
      </c>
    </row>
    <row r="117" spans="1:7" ht="12.75" customHeight="1">
      <c r="A117" s="102">
        <v>1400298</v>
      </c>
      <c r="B117" s="102" t="s">
        <v>4</v>
      </c>
      <c r="C117" s="102" t="s">
        <v>358</v>
      </c>
      <c r="D117" s="102">
        <v>116</v>
      </c>
      <c r="E117" s="102" t="s">
        <v>504</v>
      </c>
      <c r="F117" s="102" t="s">
        <v>494</v>
      </c>
      <c r="G117" s="124" t="e">
        <f>VLOOKUP(A117,survey!$1:$1048576,1,FALSE)</f>
        <v>#N/A</v>
      </c>
    </row>
    <row r="118" spans="1:7" ht="12.75" customHeight="1">
      <c r="A118" s="102">
        <v>1400299</v>
      </c>
      <c r="B118" s="102" t="s">
        <v>4</v>
      </c>
      <c r="C118" s="102" t="s">
        <v>358</v>
      </c>
      <c r="D118" s="102">
        <v>117</v>
      </c>
      <c r="E118" s="102" t="s">
        <v>505</v>
      </c>
      <c r="F118" s="102" t="s">
        <v>457</v>
      </c>
      <c r="G118" s="124" t="e">
        <f>VLOOKUP(A118,survey!$1:$1048576,1,FALSE)</f>
        <v>#N/A</v>
      </c>
    </row>
    <row r="119" spans="1:7" ht="12.75" customHeight="1">
      <c r="A119" s="102">
        <v>1400300</v>
      </c>
      <c r="B119" s="102" t="s">
        <v>4</v>
      </c>
      <c r="C119" s="102" t="s">
        <v>358</v>
      </c>
      <c r="D119" s="102">
        <v>118</v>
      </c>
      <c r="E119" s="102" t="s">
        <v>506</v>
      </c>
      <c r="F119" s="102" t="s">
        <v>494</v>
      </c>
      <c r="G119" s="124" t="e">
        <f>VLOOKUP(A119,survey!$1:$1048576,1,FALSE)</f>
        <v>#N/A</v>
      </c>
    </row>
    <row r="120" spans="1:7" ht="12.75" customHeight="1">
      <c r="A120" s="102">
        <v>1400301</v>
      </c>
      <c r="B120" s="102" t="s">
        <v>4</v>
      </c>
      <c r="C120" s="102" t="s">
        <v>358</v>
      </c>
      <c r="D120" s="102">
        <v>119</v>
      </c>
      <c r="E120" s="102" t="s">
        <v>507</v>
      </c>
      <c r="F120" s="102" t="s">
        <v>494</v>
      </c>
      <c r="G120" s="124" t="e">
        <f>VLOOKUP(A120,survey!$1:$1048576,1,FALSE)</f>
        <v>#N/A</v>
      </c>
    </row>
    <row r="121" spans="1:7" ht="12.75" customHeight="1">
      <c r="A121" s="102">
        <v>1400302</v>
      </c>
      <c r="B121" s="102" t="s">
        <v>4</v>
      </c>
      <c r="C121" s="102" t="s">
        <v>358</v>
      </c>
      <c r="D121" s="102">
        <v>120</v>
      </c>
      <c r="E121" s="102" t="s">
        <v>508</v>
      </c>
      <c r="F121" s="102" t="s">
        <v>464</v>
      </c>
      <c r="G121" s="124" t="e">
        <f>VLOOKUP(A121,survey!$1:$1048576,1,FALSE)</f>
        <v>#N/A</v>
      </c>
    </row>
    <row r="122" spans="1:7" ht="12.75" customHeight="1">
      <c r="A122" s="102">
        <v>1400303</v>
      </c>
      <c r="B122" s="102" t="s">
        <v>4</v>
      </c>
      <c r="C122" s="102" t="s">
        <v>358</v>
      </c>
      <c r="D122" s="102">
        <v>121</v>
      </c>
      <c r="E122" s="102" t="s">
        <v>509</v>
      </c>
      <c r="F122" s="102" t="s">
        <v>464</v>
      </c>
      <c r="G122" s="124" t="e">
        <f>VLOOKUP(A122,survey!$1:$1048576,1,FALSE)</f>
        <v>#N/A</v>
      </c>
    </row>
    <row r="123" spans="1:7" ht="12.75" customHeight="1">
      <c r="A123" s="102">
        <v>1400304</v>
      </c>
      <c r="B123" s="102" t="s">
        <v>4</v>
      </c>
      <c r="C123" s="102" t="s">
        <v>358</v>
      </c>
      <c r="D123" s="102">
        <v>122</v>
      </c>
      <c r="E123" s="102" t="s">
        <v>510</v>
      </c>
      <c r="F123" s="102" t="s">
        <v>360</v>
      </c>
      <c r="G123" s="124">
        <f>VLOOKUP(A123,survey!$1:$1048576,1,FALSE)</f>
        <v>1400304</v>
      </c>
    </row>
    <row r="124" spans="1:7" ht="12.75" customHeight="1">
      <c r="A124" s="102">
        <v>1400305</v>
      </c>
      <c r="B124" s="102" t="s">
        <v>4</v>
      </c>
      <c r="C124" s="102" t="s">
        <v>358</v>
      </c>
      <c r="D124" s="102">
        <v>123</v>
      </c>
      <c r="E124" s="102" t="s">
        <v>511</v>
      </c>
      <c r="F124" s="102" t="s">
        <v>459</v>
      </c>
      <c r="G124" s="124" t="e">
        <f>VLOOKUP(A124,survey!$1:$1048576,1,FALSE)</f>
        <v>#N/A</v>
      </c>
    </row>
    <row r="125" spans="1:7" ht="12.75" customHeight="1">
      <c r="A125" s="102">
        <v>1400306</v>
      </c>
      <c r="B125" s="102" t="s">
        <v>4</v>
      </c>
      <c r="C125" s="102" t="s">
        <v>358</v>
      </c>
      <c r="D125" s="102">
        <v>124</v>
      </c>
      <c r="E125" s="102" t="s">
        <v>512</v>
      </c>
      <c r="F125" s="102" t="s">
        <v>494</v>
      </c>
      <c r="G125" s="124" t="e">
        <f>VLOOKUP(A125,survey!$1:$1048576,1,FALSE)</f>
        <v>#N/A</v>
      </c>
    </row>
    <row r="126" spans="1:7" ht="12.75" customHeight="1">
      <c r="A126" s="102">
        <v>1400307</v>
      </c>
      <c r="B126" s="102" t="s">
        <v>4</v>
      </c>
      <c r="C126" s="102" t="s">
        <v>358</v>
      </c>
      <c r="D126" s="102">
        <v>125</v>
      </c>
      <c r="E126" s="102" t="s">
        <v>513</v>
      </c>
      <c r="F126" s="102" t="s">
        <v>457</v>
      </c>
      <c r="G126" s="124" t="e">
        <f>VLOOKUP(A126,survey!$1:$1048576,1,FALSE)</f>
        <v>#N/A</v>
      </c>
    </row>
    <row r="127" spans="1:7" ht="12.75" customHeight="1">
      <c r="A127" s="102">
        <v>1400308</v>
      </c>
      <c r="B127" s="102" t="s">
        <v>4</v>
      </c>
      <c r="C127" s="102" t="s">
        <v>358</v>
      </c>
      <c r="D127" s="102">
        <v>126</v>
      </c>
      <c r="E127" s="102" t="s">
        <v>514</v>
      </c>
      <c r="F127" s="102" t="s">
        <v>407</v>
      </c>
      <c r="G127" s="124" t="e">
        <f>VLOOKUP(A127,survey!$1:$1048576,1,FALSE)</f>
        <v>#N/A</v>
      </c>
    </row>
    <row r="128" spans="1:7" ht="12.75" customHeight="1">
      <c r="A128" s="102">
        <v>1400309</v>
      </c>
      <c r="B128" s="102" t="s">
        <v>4</v>
      </c>
      <c r="C128" s="102" t="s">
        <v>358</v>
      </c>
      <c r="D128" s="102">
        <v>127</v>
      </c>
      <c r="E128" s="102" t="s">
        <v>515</v>
      </c>
      <c r="F128" s="102" t="s">
        <v>447</v>
      </c>
      <c r="G128" s="124" t="e">
        <f>VLOOKUP(A128,survey!$1:$1048576,1,FALSE)</f>
        <v>#N/A</v>
      </c>
    </row>
    <row r="129" spans="1:7" ht="12.75" customHeight="1">
      <c r="A129" s="102">
        <v>1400310</v>
      </c>
      <c r="B129" s="102" t="s">
        <v>4</v>
      </c>
      <c r="C129" s="102" t="s">
        <v>358</v>
      </c>
      <c r="D129" s="102">
        <v>128</v>
      </c>
      <c r="E129" s="102" t="s">
        <v>516</v>
      </c>
      <c r="F129" s="102" t="s">
        <v>386</v>
      </c>
      <c r="G129" s="124" t="e">
        <f>VLOOKUP(A129,survey!$1:$1048576,1,FALSE)</f>
        <v>#N/A</v>
      </c>
    </row>
    <row r="130" spans="1:7" ht="12.75" customHeight="1">
      <c r="A130" s="102">
        <v>1400311</v>
      </c>
      <c r="B130" s="102" t="s">
        <v>4</v>
      </c>
      <c r="C130" s="102" t="s">
        <v>358</v>
      </c>
      <c r="D130" s="102">
        <v>129</v>
      </c>
      <c r="E130" s="102" t="s">
        <v>517</v>
      </c>
      <c r="F130" s="102" t="s">
        <v>364</v>
      </c>
      <c r="G130" s="124" t="e">
        <f>VLOOKUP(A130,survey!$1:$1048576,1,FALSE)</f>
        <v>#N/A</v>
      </c>
    </row>
    <row r="131" spans="1:7" ht="12.75" customHeight="1">
      <c r="A131" s="102">
        <v>1400312</v>
      </c>
      <c r="B131" s="102" t="s">
        <v>4</v>
      </c>
      <c r="C131" s="102" t="s">
        <v>358</v>
      </c>
      <c r="D131" s="102">
        <v>130</v>
      </c>
      <c r="E131" s="102" t="s">
        <v>518</v>
      </c>
      <c r="F131" s="102" t="s">
        <v>443</v>
      </c>
      <c r="G131" s="124" t="e">
        <f>VLOOKUP(A131,survey!$1:$1048576,1,FALSE)</f>
        <v>#N/A</v>
      </c>
    </row>
    <row r="132" spans="1:7" ht="12.75" customHeight="1">
      <c r="A132" s="102">
        <v>1400313</v>
      </c>
      <c r="B132" s="102" t="s">
        <v>4</v>
      </c>
      <c r="C132" s="102" t="s">
        <v>358</v>
      </c>
      <c r="D132" s="102">
        <v>131</v>
      </c>
      <c r="E132" s="102" t="s">
        <v>519</v>
      </c>
      <c r="F132" s="102" t="s">
        <v>445</v>
      </c>
      <c r="G132" s="124" t="e">
        <f>VLOOKUP(A132,survey!$1:$1048576,1,FALSE)</f>
        <v>#N/A</v>
      </c>
    </row>
    <row r="133" spans="1:7" ht="12.75" customHeight="1">
      <c r="A133" s="102">
        <v>1400314</v>
      </c>
      <c r="B133" s="102" t="s">
        <v>4</v>
      </c>
      <c r="C133" s="102" t="s">
        <v>358</v>
      </c>
      <c r="D133" s="102">
        <v>132</v>
      </c>
      <c r="E133" s="102" t="s">
        <v>520</v>
      </c>
      <c r="F133" s="102" t="s">
        <v>455</v>
      </c>
      <c r="G133" s="124" t="e">
        <f>VLOOKUP(A133,survey!$1:$1048576,1,FALSE)</f>
        <v>#N/A</v>
      </c>
    </row>
    <row r="134" spans="1:7" ht="12.75" customHeight="1">
      <c r="A134" s="102">
        <v>1400315</v>
      </c>
      <c r="B134" s="102" t="s">
        <v>4</v>
      </c>
      <c r="C134" s="102" t="s">
        <v>358</v>
      </c>
      <c r="D134" s="102">
        <v>133</v>
      </c>
      <c r="E134" s="102" t="s">
        <v>521</v>
      </c>
      <c r="F134" s="102" t="s">
        <v>443</v>
      </c>
      <c r="G134" s="124" t="e">
        <f>VLOOKUP(A134,survey!$1:$1048576,1,FALSE)</f>
        <v>#N/A</v>
      </c>
    </row>
    <row r="135" spans="1:7" ht="12.75" customHeight="1">
      <c r="A135" s="102">
        <v>1400316</v>
      </c>
      <c r="B135" s="102" t="s">
        <v>4</v>
      </c>
      <c r="C135" s="102" t="s">
        <v>358</v>
      </c>
      <c r="D135" s="102">
        <v>134</v>
      </c>
      <c r="E135" s="102" t="s">
        <v>522</v>
      </c>
      <c r="F135" s="102" t="s">
        <v>445</v>
      </c>
      <c r="G135" s="124" t="e">
        <f>VLOOKUP(A135,survey!$1:$1048576,1,FALSE)</f>
        <v>#N/A</v>
      </c>
    </row>
    <row r="136" spans="1:7" ht="12.75" customHeight="1">
      <c r="A136" s="102">
        <v>1400317</v>
      </c>
      <c r="B136" s="102" t="s">
        <v>4</v>
      </c>
      <c r="C136" s="102" t="s">
        <v>358</v>
      </c>
      <c r="D136" s="102">
        <v>135</v>
      </c>
      <c r="E136" s="102" t="s">
        <v>523</v>
      </c>
      <c r="F136" s="102" t="s">
        <v>455</v>
      </c>
      <c r="G136" s="124" t="e">
        <f>VLOOKUP(A136,survey!$1:$1048576,1,FALSE)</f>
        <v>#N/A</v>
      </c>
    </row>
    <row r="137" spans="1:7" ht="12.75" customHeight="1">
      <c r="A137" s="102">
        <v>1400318</v>
      </c>
      <c r="B137" s="102" t="s">
        <v>4</v>
      </c>
      <c r="C137" s="102" t="s">
        <v>358</v>
      </c>
      <c r="D137" s="102">
        <v>136</v>
      </c>
      <c r="E137" s="102" t="s">
        <v>524</v>
      </c>
      <c r="F137" s="102" t="s">
        <v>378</v>
      </c>
      <c r="G137" s="124" t="e">
        <f>VLOOKUP(A137,survey!$1:$1048576,1,FALSE)</f>
        <v>#N/A</v>
      </c>
    </row>
    <row r="138" spans="1:7" ht="12.75" customHeight="1">
      <c r="A138" s="102">
        <v>1400319</v>
      </c>
      <c r="B138" s="102" t="s">
        <v>4</v>
      </c>
      <c r="C138" s="102" t="s">
        <v>358</v>
      </c>
      <c r="D138" s="102">
        <v>137</v>
      </c>
      <c r="E138" s="102" t="s">
        <v>525</v>
      </c>
      <c r="F138" s="102" t="s">
        <v>364</v>
      </c>
      <c r="G138" s="124" t="e">
        <f>VLOOKUP(A138,survey!$1:$1048576,1,FALSE)</f>
        <v>#N/A</v>
      </c>
    </row>
    <row r="139" spans="1:7" ht="12.75" customHeight="1">
      <c r="A139" s="102">
        <v>1400320</v>
      </c>
      <c r="B139" s="102" t="s">
        <v>4</v>
      </c>
      <c r="C139" s="102" t="s">
        <v>358</v>
      </c>
      <c r="D139" s="102">
        <v>138</v>
      </c>
      <c r="E139" s="102" t="s">
        <v>526</v>
      </c>
      <c r="F139" s="102" t="s">
        <v>426</v>
      </c>
      <c r="G139" s="124" t="e">
        <f>VLOOKUP(A139,survey!$1:$1048576,1,FALSE)</f>
        <v>#N/A</v>
      </c>
    </row>
    <row r="140" spans="1:7" ht="12.75" customHeight="1">
      <c r="A140" s="102">
        <v>1400321</v>
      </c>
      <c r="B140" s="102" t="s">
        <v>4</v>
      </c>
      <c r="C140" s="102" t="s">
        <v>358</v>
      </c>
      <c r="D140" s="102">
        <v>139</v>
      </c>
      <c r="E140" s="102" t="s">
        <v>527</v>
      </c>
      <c r="F140" s="102" t="s">
        <v>457</v>
      </c>
      <c r="G140" s="124" t="e">
        <f>VLOOKUP(A140,survey!$1:$1048576,1,FALSE)</f>
        <v>#N/A</v>
      </c>
    </row>
    <row r="141" spans="1:7" ht="12.75" customHeight="1">
      <c r="A141" s="102">
        <v>1400483</v>
      </c>
      <c r="B141" s="102" t="s">
        <v>4</v>
      </c>
      <c r="C141" s="102" t="s">
        <v>358</v>
      </c>
      <c r="D141" s="102">
        <v>140</v>
      </c>
      <c r="E141" s="102" t="s">
        <v>528</v>
      </c>
      <c r="F141" s="102" t="s">
        <v>364</v>
      </c>
      <c r="G141" s="124" t="e">
        <f>VLOOKUP(A141,survey!$1:$1048576,1,FALSE)</f>
        <v>#N/A</v>
      </c>
    </row>
    <row r="142" spans="1:7" ht="12.75" customHeight="1">
      <c r="A142" s="102">
        <v>1400485</v>
      </c>
      <c r="B142" s="102" t="s">
        <v>4</v>
      </c>
      <c r="C142" s="102" t="s">
        <v>358</v>
      </c>
      <c r="D142" s="102">
        <v>141</v>
      </c>
      <c r="E142" s="102" t="s">
        <v>529</v>
      </c>
      <c r="F142" s="102" t="s">
        <v>364</v>
      </c>
      <c r="G142" s="124" t="e">
        <f>VLOOKUP(A142,survey!$1:$1048576,1,FALSE)</f>
        <v>#N/A</v>
      </c>
    </row>
    <row r="143" spans="1:7" ht="12.75" customHeight="1">
      <c r="A143" s="102">
        <v>1400486</v>
      </c>
      <c r="B143" s="102" t="s">
        <v>4</v>
      </c>
      <c r="C143" s="102" t="s">
        <v>358</v>
      </c>
      <c r="D143" s="102">
        <v>142</v>
      </c>
      <c r="E143" s="102" t="s">
        <v>530</v>
      </c>
      <c r="F143" s="102" t="s">
        <v>360</v>
      </c>
      <c r="G143" s="124" t="e">
        <f>VLOOKUP(A143,survey!$1:$1048576,1,FALSE)</f>
        <v>#N/A</v>
      </c>
    </row>
    <row r="144" spans="1:7" ht="12.75" customHeight="1">
      <c r="A144" s="102">
        <v>1400487</v>
      </c>
      <c r="B144" s="102" t="s">
        <v>4</v>
      </c>
      <c r="C144" s="102" t="s">
        <v>358</v>
      </c>
      <c r="D144" s="102">
        <v>143</v>
      </c>
      <c r="E144" s="102" t="s">
        <v>531</v>
      </c>
      <c r="F144" s="102" t="s">
        <v>364</v>
      </c>
      <c r="G144" s="124" t="e">
        <f>VLOOKUP(A144,survey!$1:$1048576,1,FALSE)</f>
        <v>#N/A</v>
      </c>
    </row>
    <row r="145" spans="1:7" ht="12.75" customHeight="1">
      <c r="A145" s="102">
        <v>1400488</v>
      </c>
      <c r="B145" s="102" t="s">
        <v>4</v>
      </c>
      <c r="C145" s="102" t="s">
        <v>358</v>
      </c>
      <c r="D145" s="102">
        <v>144</v>
      </c>
      <c r="E145" s="102" t="s">
        <v>532</v>
      </c>
      <c r="F145" s="102" t="s">
        <v>386</v>
      </c>
      <c r="G145" s="124" t="e">
        <f>VLOOKUP(A145,survey!$1:$1048576,1,FALSE)</f>
        <v>#N/A</v>
      </c>
    </row>
    <row r="146" spans="1:7" ht="12.75" customHeight="1">
      <c r="A146" s="102">
        <v>1400489</v>
      </c>
      <c r="B146" s="102" t="s">
        <v>4</v>
      </c>
      <c r="C146" s="102" t="s">
        <v>358</v>
      </c>
      <c r="D146" s="102">
        <v>145</v>
      </c>
      <c r="E146" s="102" t="s">
        <v>533</v>
      </c>
      <c r="F146" s="102" t="s">
        <v>368</v>
      </c>
      <c r="G146" s="124" t="e">
        <f>VLOOKUP(A146,survey!$1:$1048576,1,FALSE)</f>
        <v>#N/A</v>
      </c>
    </row>
    <row r="147" spans="1:7" ht="12.75" customHeight="1">
      <c r="A147" s="102">
        <v>1400490</v>
      </c>
      <c r="B147" s="102" t="s">
        <v>4</v>
      </c>
      <c r="C147" s="102" t="s">
        <v>358</v>
      </c>
      <c r="D147" s="102">
        <v>146</v>
      </c>
      <c r="E147" s="102" t="s">
        <v>534</v>
      </c>
      <c r="F147" s="102" t="s">
        <v>455</v>
      </c>
      <c r="G147" s="124" t="e">
        <f>VLOOKUP(A147,survey!$1:$1048576,1,FALSE)</f>
        <v>#N/A</v>
      </c>
    </row>
    <row r="148" spans="1:7" ht="12.75" customHeight="1">
      <c r="A148" s="102">
        <v>1400491</v>
      </c>
      <c r="B148" s="102" t="s">
        <v>4</v>
      </c>
      <c r="C148" s="102" t="s">
        <v>358</v>
      </c>
      <c r="D148" s="102">
        <v>147</v>
      </c>
      <c r="E148" s="102" t="s">
        <v>535</v>
      </c>
      <c r="F148" s="102" t="s">
        <v>447</v>
      </c>
      <c r="G148" s="124" t="e">
        <f>VLOOKUP(A148,survey!$1:$1048576,1,FALSE)</f>
        <v>#N/A</v>
      </c>
    </row>
    <row r="149" spans="1:7" ht="12.75" customHeight="1">
      <c r="A149" s="102">
        <v>1400492</v>
      </c>
      <c r="B149" s="102" t="s">
        <v>4</v>
      </c>
      <c r="C149" s="102" t="s">
        <v>358</v>
      </c>
      <c r="D149" s="102">
        <v>148</v>
      </c>
      <c r="E149" s="102" t="s">
        <v>536</v>
      </c>
      <c r="F149" s="102" t="s">
        <v>457</v>
      </c>
      <c r="G149" s="124" t="e">
        <f>VLOOKUP(A149,survey!$1:$1048576,1,FALSE)</f>
        <v>#N/A</v>
      </c>
    </row>
    <row r="150" spans="1:7" ht="12.75" customHeight="1">
      <c r="A150" s="102">
        <v>1400493</v>
      </c>
      <c r="B150" s="102" t="s">
        <v>4</v>
      </c>
      <c r="C150" s="102" t="s">
        <v>358</v>
      </c>
      <c r="D150" s="102">
        <v>149</v>
      </c>
      <c r="E150" s="102" t="s">
        <v>537</v>
      </c>
      <c r="F150" s="102" t="s">
        <v>461</v>
      </c>
      <c r="G150" s="124" t="e">
        <f>VLOOKUP(A150,survey!$1:$1048576,1,FALSE)</f>
        <v>#N/A</v>
      </c>
    </row>
    <row r="151" spans="1:7" ht="12.75" customHeight="1">
      <c r="A151" s="102">
        <v>1400494</v>
      </c>
      <c r="B151" s="102" t="s">
        <v>4</v>
      </c>
      <c r="C151" s="102" t="s">
        <v>358</v>
      </c>
      <c r="D151" s="102">
        <v>150</v>
      </c>
      <c r="E151" s="102" t="s">
        <v>538</v>
      </c>
      <c r="F151" s="102" t="s">
        <v>447</v>
      </c>
      <c r="G151" s="124" t="e">
        <f>VLOOKUP(A151,survey!$1:$1048576,1,FALSE)</f>
        <v>#N/A</v>
      </c>
    </row>
    <row r="152" spans="1:7" ht="12.75" customHeight="1">
      <c r="A152" s="102">
        <v>1400495</v>
      </c>
      <c r="B152" s="102" t="s">
        <v>4</v>
      </c>
      <c r="C152" s="102" t="s">
        <v>358</v>
      </c>
      <c r="D152" s="102">
        <v>151</v>
      </c>
      <c r="E152" s="102" t="s">
        <v>539</v>
      </c>
      <c r="F152" s="102" t="s">
        <v>457</v>
      </c>
      <c r="G152" s="124" t="e">
        <f>VLOOKUP(A152,survey!$1:$1048576,1,FALSE)</f>
        <v>#N/A</v>
      </c>
    </row>
    <row r="153" spans="1:7" ht="12.75" customHeight="1">
      <c r="A153" s="102">
        <v>1400496</v>
      </c>
      <c r="B153" s="102" t="s">
        <v>4</v>
      </c>
      <c r="C153" s="102" t="s">
        <v>358</v>
      </c>
      <c r="D153" s="102">
        <v>152</v>
      </c>
      <c r="E153" s="102" t="s">
        <v>540</v>
      </c>
      <c r="F153" s="102" t="s">
        <v>461</v>
      </c>
      <c r="G153" s="124" t="e">
        <f>VLOOKUP(A153,survey!$1:$1048576,1,FALSE)</f>
        <v>#N/A</v>
      </c>
    </row>
    <row r="154" spans="1:7" ht="12.75" customHeight="1">
      <c r="A154" s="102">
        <v>1400497</v>
      </c>
      <c r="B154" s="102" t="s">
        <v>4</v>
      </c>
      <c r="C154" s="102" t="s">
        <v>358</v>
      </c>
      <c r="D154" s="102">
        <v>153</v>
      </c>
      <c r="E154" s="102" t="s">
        <v>541</v>
      </c>
      <c r="F154" s="102" t="s">
        <v>542</v>
      </c>
      <c r="G154" s="124" t="e">
        <f>VLOOKUP(A154,survey!$1:$1048576,1,FALSE)</f>
        <v>#N/A</v>
      </c>
    </row>
    <row r="155" spans="1:7" ht="12.75" customHeight="1">
      <c r="A155" s="102">
        <v>1400498</v>
      </c>
      <c r="B155" s="102" t="s">
        <v>4</v>
      </c>
      <c r="C155" s="102" t="s">
        <v>358</v>
      </c>
      <c r="D155" s="102">
        <v>154</v>
      </c>
      <c r="E155" s="102" t="s">
        <v>543</v>
      </c>
      <c r="F155" s="102" t="s">
        <v>457</v>
      </c>
      <c r="G155" s="124" t="e">
        <f>VLOOKUP(A155,survey!$1:$1048576,1,FALSE)</f>
        <v>#N/A</v>
      </c>
    </row>
    <row r="156" spans="1:7" ht="12.75" customHeight="1">
      <c r="A156" s="102">
        <v>1400499</v>
      </c>
      <c r="B156" s="102" t="s">
        <v>4</v>
      </c>
      <c r="C156" s="102" t="s">
        <v>358</v>
      </c>
      <c r="D156" s="102">
        <v>155</v>
      </c>
      <c r="E156" s="102" t="s">
        <v>544</v>
      </c>
      <c r="F156" s="102" t="s">
        <v>545</v>
      </c>
      <c r="G156" s="124" t="e">
        <f>VLOOKUP(A156,survey!$1:$1048576,1,FALSE)</f>
        <v>#N/A</v>
      </c>
    </row>
    <row r="157" spans="1:7" ht="12.75" customHeight="1">
      <c r="A157" s="102">
        <v>1400500</v>
      </c>
      <c r="B157" s="102" t="s">
        <v>4</v>
      </c>
      <c r="C157" s="102" t="s">
        <v>358</v>
      </c>
      <c r="D157" s="102">
        <v>156</v>
      </c>
      <c r="E157" s="102" t="s">
        <v>546</v>
      </c>
      <c r="F157" s="102" t="s">
        <v>545</v>
      </c>
      <c r="G157" s="124" t="e">
        <f>VLOOKUP(A157,survey!$1:$1048576,1,FALSE)</f>
        <v>#N/A</v>
      </c>
    </row>
    <row r="158" spans="1:7" ht="12.75" customHeight="1">
      <c r="A158" s="102">
        <v>1400501</v>
      </c>
      <c r="B158" s="102" t="s">
        <v>4</v>
      </c>
      <c r="C158" s="102" t="s">
        <v>358</v>
      </c>
      <c r="D158" s="102">
        <v>157</v>
      </c>
      <c r="E158" s="102" t="s">
        <v>547</v>
      </c>
      <c r="F158" s="102" t="s">
        <v>455</v>
      </c>
      <c r="G158" s="124" t="e">
        <f>VLOOKUP(A158,survey!$1:$1048576,1,FALSE)</f>
        <v>#N/A</v>
      </c>
    </row>
    <row r="159" spans="1:7" ht="12.75" customHeight="1">
      <c r="A159" s="102">
        <v>1400502</v>
      </c>
      <c r="B159" s="102" t="s">
        <v>4</v>
      </c>
      <c r="C159" s="102" t="s">
        <v>358</v>
      </c>
      <c r="D159" s="102">
        <v>158</v>
      </c>
      <c r="E159" s="102" t="s">
        <v>548</v>
      </c>
      <c r="F159" s="102" t="s">
        <v>457</v>
      </c>
      <c r="G159" s="124" t="e">
        <f>VLOOKUP(A159,survey!$1:$1048576,1,FALSE)</f>
        <v>#N/A</v>
      </c>
    </row>
    <row r="160" spans="1:7" ht="12.75" customHeight="1">
      <c r="A160" s="102">
        <v>1400503</v>
      </c>
      <c r="B160" s="102" t="s">
        <v>4</v>
      </c>
      <c r="C160" s="102" t="s">
        <v>358</v>
      </c>
      <c r="D160" s="102">
        <v>159</v>
      </c>
      <c r="E160" s="102" t="s">
        <v>549</v>
      </c>
      <c r="F160" s="102" t="s">
        <v>457</v>
      </c>
      <c r="G160" s="124" t="e">
        <f>VLOOKUP(A160,survey!$1:$1048576,1,FALSE)</f>
        <v>#N/A</v>
      </c>
    </row>
    <row r="161" spans="1:7" ht="12.75" customHeight="1">
      <c r="A161" s="102">
        <v>1400682</v>
      </c>
      <c r="B161" s="102" t="s">
        <v>4</v>
      </c>
      <c r="C161" s="102" t="s">
        <v>358</v>
      </c>
      <c r="D161" s="102">
        <v>160</v>
      </c>
      <c r="E161" s="102" t="s">
        <v>550</v>
      </c>
      <c r="F161" s="102" t="s">
        <v>464</v>
      </c>
      <c r="G161" s="124" t="e">
        <f>VLOOKUP(A161,survey!$1:$1048576,1,FALSE)</f>
        <v>#N/A</v>
      </c>
    </row>
    <row r="162" spans="1:7" ht="12.75" customHeight="1">
      <c r="A162" s="102">
        <v>1400683</v>
      </c>
      <c r="B162" s="102" t="s">
        <v>4</v>
      </c>
      <c r="C162" s="102" t="s">
        <v>358</v>
      </c>
      <c r="D162" s="102">
        <v>161</v>
      </c>
      <c r="E162" s="102" t="s">
        <v>551</v>
      </c>
      <c r="F162" s="102" t="s">
        <v>552</v>
      </c>
      <c r="G162" s="124" t="e">
        <f>VLOOKUP(A162,survey!$1:$1048576,1,FALSE)</f>
        <v>#N/A</v>
      </c>
    </row>
    <row r="163" spans="1:7" ht="12.75" customHeight="1">
      <c r="A163" s="102">
        <v>1400684</v>
      </c>
      <c r="B163" s="102" t="s">
        <v>4</v>
      </c>
      <c r="C163" s="102" t="s">
        <v>358</v>
      </c>
      <c r="D163" s="102">
        <v>162</v>
      </c>
      <c r="E163" s="102" t="s">
        <v>553</v>
      </c>
      <c r="F163" s="102" t="s">
        <v>554</v>
      </c>
      <c r="G163" s="124" t="e">
        <f>VLOOKUP(A163,survey!$1:$1048576,1,FALSE)</f>
        <v>#N/A</v>
      </c>
    </row>
    <row r="164" spans="1:7" ht="12.75" customHeight="1">
      <c r="A164" s="102">
        <v>1400685</v>
      </c>
      <c r="B164" s="102" t="s">
        <v>4</v>
      </c>
      <c r="C164" s="102" t="s">
        <v>358</v>
      </c>
      <c r="D164" s="102">
        <v>163</v>
      </c>
      <c r="E164" s="102" t="s">
        <v>555</v>
      </c>
      <c r="F164" s="102" t="s">
        <v>455</v>
      </c>
      <c r="G164" s="124" t="e">
        <f>VLOOKUP(A164,survey!$1:$1048576,1,FALSE)</f>
        <v>#N/A</v>
      </c>
    </row>
    <row r="165" spans="1:7" ht="12.75" customHeight="1">
      <c r="A165" s="102">
        <v>1400686</v>
      </c>
      <c r="B165" s="102" t="s">
        <v>4</v>
      </c>
      <c r="C165" s="102" t="s">
        <v>358</v>
      </c>
      <c r="D165" s="102">
        <v>164</v>
      </c>
      <c r="E165" s="102" t="s">
        <v>556</v>
      </c>
      <c r="F165" s="102" t="s">
        <v>389</v>
      </c>
      <c r="G165" s="124" t="e">
        <f>VLOOKUP(A165,survey!$1:$1048576,1,FALSE)</f>
        <v>#N/A</v>
      </c>
    </row>
    <row r="166" spans="1:7" ht="12.75" customHeight="1">
      <c r="A166" s="102">
        <v>1400711</v>
      </c>
      <c r="B166" s="102" t="s">
        <v>4</v>
      </c>
      <c r="C166" s="102" t="s">
        <v>358</v>
      </c>
      <c r="D166" s="102">
        <v>165</v>
      </c>
      <c r="E166" s="102" t="s">
        <v>557</v>
      </c>
      <c r="F166" s="102" t="s">
        <v>545</v>
      </c>
      <c r="G166" s="124" t="e">
        <f>VLOOKUP(A166,survey!$1:$1048576,1,FALSE)</f>
        <v>#N/A</v>
      </c>
    </row>
    <row r="167" spans="1:7" ht="12.75" customHeight="1">
      <c r="A167" s="102">
        <v>1400712</v>
      </c>
      <c r="B167" s="102" t="s">
        <v>4</v>
      </c>
      <c r="C167" s="102" t="s">
        <v>358</v>
      </c>
      <c r="D167" s="102">
        <v>166</v>
      </c>
      <c r="E167" s="102" t="s">
        <v>558</v>
      </c>
      <c r="F167" s="102" t="s">
        <v>545</v>
      </c>
      <c r="G167" s="124" t="e">
        <f>VLOOKUP(A167,survey!$1:$1048576,1,FALSE)</f>
        <v>#N/A</v>
      </c>
    </row>
    <row r="168" spans="1:7" ht="12.75" customHeight="1">
      <c r="A168" s="102">
        <v>1400713</v>
      </c>
      <c r="B168" s="102" t="s">
        <v>4</v>
      </c>
      <c r="C168" s="102" t="s">
        <v>358</v>
      </c>
      <c r="D168" s="102">
        <v>167</v>
      </c>
      <c r="E168" s="102" t="s">
        <v>559</v>
      </c>
      <c r="F168" s="102" t="s">
        <v>560</v>
      </c>
      <c r="G168" s="124" t="e">
        <f>VLOOKUP(A168,survey!$1:$1048576,1,FALSE)</f>
        <v>#N/A</v>
      </c>
    </row>
    <row r="169" spans="1:7" ht="12.75" customHeight="1">
      <c r="A169" s="102">
        <v>1400721</v>
      </c>
      <c r="B169" s="102" t="s">
        <v>4</v>
      </c>
      <c r="C169" s="102" t="s">
        <v>358</v>
      </c>
      <c r="D169" s="102">
        <v>168</v>
      </c>
      <c r="E169" s="102" t="s">
        <v>561</v>
      </c>
      <c r="F169" s="102" t="s">
        <v>562</v>
      </c>
      <c r="G169" s="124" t="e">
        <f>VLOOKUP(A169,survey!$1:$1048576,1,FALSE)</f>
        <v>#N/A</v>
      </c>
    </row>
    <row r="170" spans="1:7" ht="12.75" customHeight="1">
      <c r="A170" s="102">
        <v>1400723</v>
      </c>
      <c r="B170" s="102" t="s">
        <v>4</v>
      </c>
      <c r="C170" s="102" t="s">
        <v>358</v>
      </c>
      <c r="D170" s="102">
        <v>169</v>
      </c>
      <c r="E170" s="102" t="s">
        <v>563</v>
      </c>
      <c r="F170" s="102" t="s">
        <v>564</v>
      </c>
      <c r="G170" s="124" t="e">
        <f>VLOOKUP(A170,survey!$1:$1048576,1,FALSE)</f>
        <v>#N/A</v>
      </c>
    </row>
    <row r="171" spans="1:7" ht="12.75" customHeight="1">
      <c r="A171" s="102">
        <v>1400744</v>
      </c>
      <c r="B171" s="102" t="s">
        <v>4</v>
      </c>
      <c r="C171" s="102" t="s">
        <v>358</v>
      </c>
      <c r="D171" s="102">
        <v>170</v>
      </c>
      <c r="E171" s="102" t="s">
        <v>565</v>
      </c>
      <c r="F171" s="102" t="s">
        <v>461</v>
      </c>
      <c r="G171" s="124" t="e">
        <f>VLOOKUP(A171,survey!$1:$1048576,1,FALSE)</f>
        <v>#N/A</v>
      </c>
    </row>
    <row r="172" spans="1:7" ht="12.75" customHeight="1">
      <c r="A172" s="102">
        <v>1400747</v>
      </c>
      <c r="B172" s="102" t="s">
        <v>4</v>
      </c>
      <c r="C172" s="102" t="s">
        <v>358</v>
      </c>
      <c r="D172" s="102">
        <v>171</v>
      </c>
      <c r="E172" s="102" t="s">
        <v>566</v>
      </c>
      <c r="F172" s="102" t="s">
        <v>564</v>
      </c>
      <c r="G172" s="124" t="e">
        <f>VLOOKUP(A172,survey!$1:$1048576,1,FALSE)</f>
        <v>#N/A</v>
      </c>
    </row>
    <row r="173" spans="1:7" ht="12.75" customHeight="1">
      <c r="A173" s="102">
        <v>1400748</v>
      </c>
      <c r="B173" s="102" t="s">
        <v>4</v>
      </c>
      <c r="C173" s="102" t="s">
        <v>358</v>
      </c>
      <c r="D173" s="102">
        <v>172</v>
      </c>
      <c r="E173" s="102" t="s">
        <v>567</v>
      </c>
      <c r="F173" s="102" t="s">
        <v>562</v>
      </c>
      <c r="G173" s="124" t="e">
        <f>VLOOKUP(A173,survey!$1:$1048576,1,FALSE)</f>
        <v>#N/A</v>
      </c>
    </row>
    <row r="174" spans="1:7" ht="12.75" customHeight="1">
      <c r="A174" s="102">
        <v>1400756</v>
      </c>
      <c r="B174" s="102" t="s">
        <v>4</v>
      </c>
      <c r="C174" s="102" t="s">
        <v>358</v>
      </c>
      <c r="D174" s="102">
        <v>173</v>
      </c>
      <c r="E174" s="102" t="s">
        <v>568</v>
      </c>
      <c r="F174" s="102" t="s">
        <v>368</v>
      </c>
      <c r="G174" s="124" t="e">
        <f>VLOOKUP(A174,survey!$1:$1048576,1,FALSE)</f>
        <v>#N/A</v>
      </c>
    </row>
    <row r="175" spans="1:7" ht="12.75" customHeight="1">
      <c r="A175" s="102">
        <v>1400757</v>
      </c>
      <c r="B175" s="102" t="s">
        <v>4</v>
      </c>
      <c r="C175" s="102" t="s">
        <v>358</v>
      </c>
      <c r="D175" s="102">
        <v>174</v>
      </c>
      <c r="E175" s="102" t="s">
        <v>569</v>
      </c>
      <c r="F175" s="102" t="s">
        <v>368</v>
      </c>
      <c r="G175" s="124" t="e">
        <f>VLOOKUP(A175,survey!$1:$1048576,1,FALSE)</f>
        <v>#N/A</v>
      </c>
    </row>
    <row r="176" spans="1:7" ht="12.75" customHeight="1">
      <c r="A176" s="102">
        <v>1400758</v>
      </c>
      <c r="B176" s="102" t="s">
        <v>4</v>
      </c>
      <c r="C176" s="102" t="s">
        <v>358</v>
      </c>
      <c r="D176" s="102">
        <v>175</v>
      </c>
      <c r="E176" s="102" t="s">
        <v>570</v>
      </c>
      <c r="F176" s="102" t="s">
        <v>368</v>
      </c>
      <c r="G176" s="124" t="e">
        <f>VLOOKUP(A176,survey!$1:$1048576,1,FALSE)</f>
        <v>#N/A</v>
      </c>
    </row>
    <row r="177" spans="1:7" ht="12.75" customHeight="1">
      <c r="A177" s="102">
        <v>1400759</v>
      </c>
      <c r="B177" s="102" t="s">
        <v>4</v>
      </c>
      <c r="C177" s="102" t="s">
        <v>358</v>
      </c>
      <c r="D177" s="102">
        <v>176</v>
      </c>
      <c r="E177" s="102" t="s">
        <v>571</v>
      </c>
      <c r="F177" s="102" t="s">
        <v>364</v>
      </c>
      <c r="G177" s="124" t="e">
        <f>VLOOKUP(A177,survey!$1:$1048576,1,FALSE)</f>
        <v>#N/A</v>
      </c>
    </row>
    <row r="178" spans="1:7" ht="12.75" customHeight="1">
      <c r="A178" s="102">
        <v>1400761</v>
      </c>
      <c r="B178" s="102" t="s">
        <v>4</v>
      </c>
      <c r="C178" s="102" t="s">
        <v>358</v>
      </c>
      <c r="D178" s="102">
        <v>177</v>
      </c>
      <c r="E178" s="102" t="s">
        <v>572</v>
      </c>
      <c r="F178" s="102" t="s">
        <v>386</v>
      </c>
      <c r="G178" s="124" t="e">
        <f>VLOOKUP(A178,survey!$1:$1048576,1,FALSE)</f>
        <v>#N/A</v>
      </c>
    </row>
    <row r="179" spans="1:7" ht="12.75" customHeight="1">
      <c r="A179" s="102">
        <v>1400762</v>
      </c>
      <c r="B179" s="102" t="s">
        <v>4</v>
      </c>
      <c r="C179" s="102" t="s">
        <v>358</v>
      </c>
      <c r="D179" s="102">
        <v>178</v>
      </c>
      <c r="E179" s="102" t="s">
        <v>573</v>
      </c>
      <c r="F179" s="102" t="s">
        <v>386</v>
      </c>
      <c r="G179" s="124" t="e">
        <f>VLOOKUP(A179,survey!$1:$1048576,1,FALSE)</f>
        <v>#N/A</v>
      </c>
    </row>
    <row r="180" spans="1:7" ht="12.75" customHeight="1">
      <c r="A180" s="102">
        <v>1400763</v>
      </c>
      <c r="B180" s="102" t="s">
        <v>4</v>
      </c>
      <c r="C180" s="102" t="s">
        <v>358</v>
      </c>
      <c r="D180" s="102">
        <v>179</v>
      </c>
      <c r="E180" s="102" t="s">
        <v>574</v>
      </c>
      <c r="F180" s="102" t="s">
        <v>447</v>
      </c>
      <c r="G180" s="124" t="e">
        <f>VLOOKUP(A180,survey!$1:$1048576,1,FALSE)</f>
        <v>#N/A</v>
      </c>
    </row>
    <row r="181" spans="1:7" ht="12.75" customHeight="1">
      <c r="A181" s="102">
        <v>1400773</v>
      </c>
      <c r="B181" s="102" t="s">
        <v>4</v>
      </c>
      <c r="C181" s="102" t="s">
        <v>358</v>
      </c>
      <c r="D181" s="102">
        <v>180</v>
      </c>
      <c r="E181" s="102" t="s">
        <v>575</v>
      </c>
      <c r="F181" s="102" t="s">
        <v>461</v>
      </c>
      <c r="G181" s="124" t="e">
        <f>VLOOKUP(A181,survey!$1:$1048576,1,FALSE)</f>
        <v>#N/A</v>
      </c>
    </row>
    <row r="182" spans="1:7" ht="12.75" customHeight="1">
      <c r="A182" s="102">
        <v>1400776</v>
      </c>
      <c r="B182" s="102" t="s">
        <v>4</v>
      </c>
      <c r="C182" s="102" t="s">
        <v>358</v>
      </c>
      <c r="D182" s="102">
        <v>181</v>
      </c>
      <c r="E182" s="102" t="s">
        <v>576</v>
      </c>
      <c r="F182" s="102" t="s">
        <v>445</v>
      </c>
      <c r="G182" s="124" t="e">
        <f>VLOOKUP(A182,survey!$1:$1048576,1,FALSE)</f>
        <v>#N/A</v>
      </c>
    </row>
    <row r="183" spans="1:7" ht="12.75" customHeight="1">
      <c r="A183" s="102">
        <v>1400780</v>
      </c>
      <c r="B183" s="102" t="s">
        <v>4</v>
      </c>
      <c r="C183" s="102" t="s">
        <v>358</v>
      </c>
      <c r="D183" s="102">
        <v>182</v>
      </c>
      <c r="E183" s="102" t="s">
        <v>577</v>
      </c>
      <c r="F183" s="102" t="s">
        <v>455</v>
      </c>
      <c r="G183" s="124" t="e">
        <f>VLOOKUP(A183,survey!$1:$1048576,1,FALSE)</f>
        <v>#N/A</v>
      </c>
    </row>
    <row r="184" spans="1:7" ht="12.75" customHeight="1">
      <c r="A184" s="102">
        <v>1400785</v>
      </c>
      <c r="B184" s="102" t="s">
        <v>4</v>
      </c>
      <c r="C184" s="102" t="s">
        <v>358</v>
      </c>
      <c r="D184" s="102">
        <v>183</v>
      </c>
      <c r="E184" s="102" t="s">
        <v>578</v>
      </c>
      <c r="F184" s="102" t="s">
        <v>447</v>
      </c>
      <c r="G184" s="124" t="e">
        <f>VLOOKUP(A184,survey!$1:$1048576,1,FALSE)</f>
        <v>#N/A</v>
      </c>
    </row>
    <row r="185" spans="1:7" ht="12.75" customHeight="1">
      <c r="A185" s="102">
        <v>1400787</v>
      </c>
      <c r="B185" s="102" t="s">
        <v>4</v>
      </c>
      <c r="C185" s="102" t="s">
        <v>358</v>
      </c>
      <c r="D185" s="102">
        <v>184</v>
      </c>
      <c r="E185" s="102" t="s">
        <v>579</v>
      </c>
      <c r="F185" s="102" t="s">
        <v>364</v>
      </c>
      <c r="G185" s="124" t="e">
        <f>VLOOKUP(A185,survey!$1:$1048576,1,FALSE)</f>
        <v>#N/A</v>
      </c>
    </row>
    <row r="186" spans="1:7" ht="12.75" customHeight="1">
      <c r="A186" s="102">
        <v>1400828</v>
      </c>
      <c r="B186" s="102" t="s">
        <v>4</v>
      </c>
      <c r="C186" s="102" t="s">
        <v>358</v>
      </c>
      <c r="D186" s="102">
        <v>185</v>
      </c>
      <c r="E186" s="102" t="s">
        <v>580</v>
      </c>
      <c r="F186" s="102" t="s">
        <v>447</v>
      </c>
      <c r="G186" s="124" t="e">
        <f>VLOOKUP(A186,survey!$1:$1048576,1,FALSE)</f>
        <v>#N/A</v>
      </c>
    </row>
    <row r="187" spans="1:7" ht="12.75" customHeight="1">
      <c r="A187" s="102">
        <v>1400829</v>
      </c>
      <c r="B187" s="102" t="s">
        <v>4</v>
      </c>
      <c r="C187" s="102" t="s">
        <v>358</v>
      </c>
      <c r="D187" s="102">
        <v>186</v>
      </c>
      <c r="E187" s="102" t="s">
        <v>581</v>
      </c>
      <c r="F187" s="102" t="s">
        <v>455</v>
      </c>
      <c r="G187" s="124" t="e">
        <f>VLOOKUP(A187,survey!$1:$1048576,1,FALSE)</f>
        <v>#N/A</v>
      </c>
    </row>
    <row r="188" spans="1:7" ht="12.75" customHeight="1">
      <c r="A188" s="102">
        <v>1400830</v>
      </c>
      <c r="B188" s="102" t="s">
        <v>4</v>
      </c>
      <c r="C188" s="102" t="s">
        <v>358</v>
      </c>
      <c r="D188" s="102">
        <v>187</v>
      </c>
      <c r="E188" s="102" t="s">
        <v>582</v>
      </c>
      <c r="F188" s="102" t="s">
        <v>545</v>
      </c>
      <c r="G188" s="124" t="e">
        <f>VLOOKUP(A188,survey!$1:$1048576,1,FALSE)</f>
        <v>#N/A</v>
      </c>
    </row>
    <row r="189" spans="1:7" ht="12.75" customHeight="1">
      <c r="A189" s="102">
        <v>1400831</v>
      </c>
      <c r="B189" s="102" t="s">
        <v>4</v>
      </c>
      <c r="C189" s="102" t="s">
        <v>358</v>
      </c>
      <c r="D189" s="102">
        <v>188</v>
      </c>
      <c r="E189" s="102" t="s">
        <v>583</v>
      </c>
      <c r="F189" s="102" t="s">
        <v>420</v>
      </c>
      <c r="G189" s="124" t="e">
        <f>VLOOKUP(A189,survey!$1:$1048576,1,FALSE)</f>
        <v>#N/A</v>
      </c>
    </row>
    <row r="190" spans="1:7" ht="12.75" customHeight="1">
      <c r="A190" s="102">
        <v>1400832</v>
      </c>
      <c r="B190" s="102" t="s">
        <v>4</v>
      </c>
      <c r="C190" s="102" t="s">
        <v>358</v>
      </c>
      <c r="D190" s="102">
        <v>189</v>
      </c>
      <c r="E190" s="102" t="s">
        <v>584</v>
      </c>
      <c r="F190" s="102" t="s">
        <v>457</v>
      </c>
      <c r="G190" s="124" t="e">
        <f>VLOOKUP(A190,survey!$1:$1048576,1,FALSE)</f>
        <v>#N/A</v>
      </c>
    </row>
    <row r="191" spans="1:7" ht="12.75" customHeight="1">
      <c r="A191" s="102">
        <v>1400833</v>
      </c>
      <c r="B191" s="102" t="s">
        <v>4</v>
      </c>
      <c r="C191" s="102" t="s">
        <v>358</v>
      </c>
      <c r="D191" s="102">
        <v>190</v>
      </c>
      <c r="E191" s="102" t="s">
        <v>585</v>
      </c>
      <c r="F191" s="102" t="s">
        <v>455</v>
      </c>
      <c r="G191" s="124" t="e">
        <f>VLOOKUP(A191,survey!$1:$1048576,1,FALSE)</f>
        <v>#N/A</v>
      </c>
    </row>
    <row r="192" spans="1:7" ht="12.75" customHeight="1">
      <c r="A192" s="102">
        <v>1400834</v>
      </c>
      <c r="B192" s="102" t="s">
        <v>4</v>
      </c>
      <c r="C192" s="102" t="s">
        <v>358</v>
      </c>
      <c r="D192" s="102">
        <v>191</v>
      </c>
      <c r="E192" s="102" t="s">
        <v>586</v>
      </c>
      <c r="F192" s="102" t="s">
        <v>401</v>
      </c>
      <c r="G192" s="124" t="e">
        <f>VLOOKUP(A192,survey!$1:$1048576,1,FALSE)</f>
        <v>#N/A</v>
      </c>
    </row>
    <row r="193" spans="1:7" ht="12.75" customHeight="1">
      <c r="A193" s="102">
        <v>1400835</v>
      </c>
      <c r="B193" s="102" t="s">
        <v>4</v>
      </c>
      <c r="C193" s="102" t="s">
        <v>358</v>
      </c>
      <c r="D193" s="102">
        <v>192</v>
      </c>
      <c r="E193" s="102" t="s">
        <v>587</v>
      </c>
      <c r="F193" s="102" t="s">
        <v>403</v>
      </c>
      <c r="G193" s="124" t="e">
        <f>VLOOKUP(A193,survey!$1:$1048576,1,FALSE)</f>
        <v>#N/A</v>
      </c>
    </row>
    <row r="194" spans="1:7" ht="12.75" customHeight="1">
      <c r="A194" s="102">
        <v>1400836</v>
      </c>
      <c r="B194" s="102" t="s">
        <v>4</v>
      </c>
      <c r="C194" s="102" t="s">
        <v>358</v>
      </c>
      <c r="D194" s="102">
        <v>193</v>
      </c>
      <c r="E194" s="102" t="s">
        <v>588</v>
      </c>
      <c r="F194" s="102" t="s">
        <v>403</v>
      </c>
      <c r="G194" s="124" t="e">
        <f>VLOOKUP(A194,survey!$1:$1048576,1,FALSE)</f>
        <v>#N/A</v>
      </c>
    </row>
    <row r="195" spans="1:7" ht="12.75" customHeight="1">
      <c r="A195" s="102">
        <v>1400838</v>
      </c>
      <c r="B195" s="102" t="s">
        <v>4</v>
      </c>
      <c r="C195" s="102" t="s">
        <v>358</v>
      </c>
      <c r="D195" s="102">
        <v>194</v>
      </c>
      <c r="E195" s="102" t="s">
        <v>589</v>
      </c>
      <c r="F195" s="102" t="s">
        <v>403</v>
      </c>
      <c r="G195" s="124" t="e">
        <f>VLOOKUP(A195,survey!$1:$1048576,1,FALSE)</f>
        <v>#N/A</v>
      </c>
    </row>
    <row r="196" spans="1:7" ht="12.75" customHeight="1">
      <c r="A196" s="102">
        <v>1400877</v>
      </c>
      <c r="B196" s="102" t="s">
        <v>4</v>
      </c>
      <c r="C196" s="102" t="s">
        <v>358</v>
      </c>
      <c r="D196" s="102">
        <v>195</v>
      </c>
      <c r="E196" s="102" t="s">
        <v>590</v>
      </c>
      <c r="F196" s="102" t="s">
        <v>447</v>
      </c>
      <c r="G196" s="124" t="e">
        <f>VLOOKUP(A196,survey!$1:$1048576,1,FALSE)</f>
        <v>#N/A</v>
      </c>
    </row>
    <row r="197" spans="1:7" ht="12.75" customHeight="1">
      <c r="A197" s="102">
        <v>1400878</v>
      </c>
      <c r="B197" s="102" t="s">
        <v>4</v>
      </c>
      <c r="C197" s="102" t="s">
        <v>358</v>
      </c>
      <c r="D197" s="102">
        <v>196</v>
      </c>
      <c r="E197" s="102" t="s">
        <v>591</v>
      </c>
      <c r="F197" s="102" t="s">
        <v>3</v>
      </c>
      <c r="G197" s="124" t="e">
        <f>VLOOKUP(A197,survey!$1:$1048576,1,FALSE)</f>
        <v>#N/A</v>
      </c>
    </row>
    <row r="198" spans="1:7" ht="12.75" customHeight="1">
      <c r="A198" s="102">
        <v>1400879</v>
      </c>
      <c r="B198" s="102" t="s">
        <v>4</v>
      </c>
      <c r="C198" s="102" t="s">
        <v>358</v>
      </c>
      <c r="D198" s="102">
        <v>197</v>
      </c>
      <c r="E198" s="102" t="s">
        <v>592</v>
      </c>
      <c r="F198" s="102" t="s">
        <v>3</v>
      </c>
      <c r="G198" s="124" t="e">
        <f>VLOOKUP(A198,survey!$1:$1048576,1,FALSE)</f>
        <v>#N/A</v>
      </c>
    </row>
    <row r="199" spans="1:7" ht="12.75" customHeight="1">
      <c r="A199" s="102">
        <v>1400880</v>
      </c>
      <c r="B199" s="102" t="s">
        <v>4</v>
      </c>
      <c r="C199" s="102" t="s">
        <v>358</v>
      </c>
      <c r="D199" s="102">
        <v>198</v>
      </c>
      <c r="E199" s="102" t="s">
        <v>593</v>
      </c>
      <c r="F199" s="102" t="s">
        <v>552</v>
      </c>
      <c r="G199" s="124" t="e">
        <f>VLOOKUP(A199,survey!$1:$1048576,1,FALSE)</f>
        <v>#N/A</v>
      </c>
    </row>
    <row r="200" spans="1:7" ht="12.75" customHeight="1">
      <c r="A200" s="102">
        <v>1400881</v>
      </c>
      <c r="B200" s="102" t="s">
        <v>4</v>
      </c>
      <c r="C200" s="102" t="s">
        <v>358</v>
      </c>
      <c r="D200" s="102">
        <v>199</v>
      </c>
      <c r="E200" s="102" t="s">
        <v>594</v>
      </c>
      <c r="F200" s="102" t="s">
        <v>445</v>
      </c>
      <c r="G200" s="124" t="e">
        <f>VLOOKUP(A200,survey!$1:$1048576,1,FALSE)</f>
        <v>#N/A</v>
      </c>
    </row>
    <row r="201" spans="1:7" ht="12.75" customHeight="1">
      <c r="A201" s="102">
        <v>1400898</v>
      </c>
      <c r="B201" s="102" t="s">
        <v>4</v>
      </c>
      <c r="C201" s="102" t="s">
        <v>358</v>
      </c>
      <c r="D201" s="102">
        <v>200</v>
      </c>
      <c r="E201" s="102" t="s">
        <v>595</v>
      </c>
      <c r="F201" s="102" t="s">
        <v>461</v>
      </c>
      <c r="G201" s="124" t="e">
        <f>VLOOKUP(A201,survey!$1:$1048576,1,FALSE)</f>
        <v>#N/A</v>
      </c>
    </row>
    <row r="202" spans="1:7" ht="12.75" customHeight="1">
      <c r="A202" s="102">
        <v>1400899</v>
      </c>
      <c r="B202" s="102" t="s">
        <v>4</v>
      </c>
      <c r="C202" s="102" t="s">
        <v>358</v>
      </c>
      <c r="D202" s="102">
        <v>201</v>
      </c>
      <c r="E202" s="102" t="s">
        <v>596</v>
      </c>
      <c r="F202" s="102" t="s">
        <v>461</v>
      </c>
      <c r="G202" s="124" t="e">
        <f>VLOOKUP(A202,survey!$1:$1048576,1,FALSE)</f>
        <v>#N/A</v>
      </c>
    </row>
    <row r="203" spans="1:7" ht="12.75" customHeight="1">
      <c r="A203" s="102">
        <v>1400927</v>
      </c>
      <c r="B203" s="102" t="s">
        <v>4</v>
      </c>
      <c r="C203" s="102" t="s">
        <v>358</v>
      </c>
      <c r="D203" s="102">
        <v>202</v>
      </c>
      <c r="E203" s="102" t="s">
        <v>597</v>
      </c>
      <c r="F203" s="102" t="s">
        <v>445</v>
      </c>
      <c r="G203" s="124" t="e">
        <f>VLOOKUP(A203,survey!$1:$1048576,1,FALSE)</f>
        <v>#N/A</v>
      </c>
    </row>
    <row r="204" spans="1:7" ht="12.75" customHeight="1">
      <c r="A204" s="102">
        <v>1400928</v>
      </c>
      <c r="B204" s="102" t="s">
        <v>4</v>
      </c>
      <c r="C204" s="102" t="s">
        <v>358</v>
      </c>
      <c r="D204" s="102">
        <v>203</v>
      </c>
      <c r="E204" s="102" t="s">
        <v>598</v>
      </c>
      <c r="F204" s="102" t="s">
        <v>445</v>
      </c>
      <c r="G204" s="124" t="e">
        <f>VLOOKUP(A204,survey!$1:$1048576,1,FALSE)</f>
        <v>#N/A</v>
      </c>
    </row>
    <row r="205" spans="1:7" ht="12.75" customHeight="1">
      <c r="A205" s="102">
        <v>1400929</v>
      </c>
      <c r="B205" s="102" t="s">
        <v>4</v>
      </c>
      <c r="C205" s="102" t="s">
        <v>358</v>
      </c>
      <c r="D205" s="102">
        <v>204</v>
      </c>
      <c r="E205" s="102" t="s">
        <v>599</v>
      </c>
      <c r="F205" s="102" t="s">
        <v>3</v>
      </c>
      <c r="G205" s="124" t="e">
        <f>VLOOKUP(A205,survey!$1:$1048576,1,FALSE)</f>
        <v>#N/A</v>
      </c>
    </row>
    <row r="206" spans="1:7" ht="12.75" customHeight="1">
      <c r="A206" s="102">
        <v>1400955</v>
      </c>
      <c r="B206" s="102" t="s">
        <v>4</v>
      </c>
      <c r="C206" s="102" t="s">
        <v>358</v>
      </c>
      <c r="D206" s="102">
        <v>205</v>
      </c>
      <c r="E206" s="102" t="s">
        <v>600</v>
      </c>
      <c r="F206" s="102" t="s">
        <v>3</v>
      </c>
      <c r="G206" s="124">
        <f>VLOOKUP(A206,survey!$1:$1048576,1,FALSE)</f>
        <v>1400955</v>
      </c>
    </row>
    <row r="207" spans="1:7" ht="12.75" customHeight="1">
      <c r="A207" s="102">
        <v>1400963</v>
      </c>
      <c r="B207" s="102" t="s">
        <v>4</v>
      </c>
      <c r="C207" s="102" t="s">
        <v>358</v>
      </c>
      <c r="D207" s="102">
        <v>206</v>
      </c>
      <c r="E207" s="102" t="s">
        <v>601</v>
      </c>
      <c r="F207" s="102" t="s">
        <v>602</v>
      </c>
      <c r="G207" s="124" t="e">
        <f>VLOOKUP(A207,survey!$1:$1048576,1,FALSE)</f>
        <v>#N/A</v>
      </c>
    </row>
    <row r="208" spans="1:7" ht="12.75" customHeight="1">
      <c r="A208" s="102">
        <v>1400964</v>
      </c>
      <c r="B208" s="102" t="s">
        <v>4</v>
      </c>
      <c r="C208" s="102" t="s">
        <v>358</v>
      </c>
      <c r="D208" s="102">
        <v>207</v>
      </c>
      <c r="E208" s="102" t="s">
        <v>603</v>
      </c>
      <c r="F208" s="102" t="s">
        <v>602</v>
      </c>
      <c r="G208" s="124" t="e">
        <f>VLOOKUP(A208,survey!$1:$1048576,1,FALSE)</f>
        <v>#N/A</v>
      </c>
    </row>
    <row r="209" spans="1:7" ht="12.75" customHeight="1">
      <c r="A209" s="102">
        <v>1400965</v>
      </c>
      <c r="B209" s="102" t="s">
        <v>4</v>
      </c>
      <c r="C209" s="102" t="s">
        <v>358</v>
      </c>
      <c r="D209" s="102">
        <v>208</v>
      </c>
      <c r="E209" s="102" t="s">
        <v>604</v>
      </c>
      <c r="F209" s="102" t="s">
        <v>562</v>
      </c>
      <c r="G209" s="124" t="e">
        <f>VLOOKUP(A209,survey!$1:$1048576,1,FALSE)</f>
        <v>#N/A</v>
      </c>
    </row>
    <row r="210" spans="1:7" ht="12.75" customHeight="1">
      <c r="A210" s="102">
        <v>1400966</v>
      </c>
      <c r="B210" s="102" t="s">
        <v>4</v>
      </c>
      <c r="C210" s="102" t="s">
        <v>358</v>
      </c>
      <c r="D210" s="102">
        <v>209</v>
      </c>
      <c r="E210" s="102" t="s">
        <v>605</v>
      </c>
      <c r="F210" s="102" t="s">
        <v>3</v>
      </c>
      <c r="G210" s="124" t="e">
        <f>VLOOKUP(A210,survey!$1:$1048576,1,FALSE)</f>
        <v>#N/A</v>
      </c>
    </row>
    <row r="211" spans="1:7" ht="12.75" customHeight="1">
      <c r="A211" s="102">
        <v>1400999</v>
      </c>
      <c r="B211" s="102" t="s">
        <v>4</v>
      </c>
      <c r="C211" s="102" t="s">
        <v>358</v>
      </c>
      <c r="D211" s="102">
        <v>210</v>
      </c>
      <c r="E211" s="102" t="s">
        <v>606</v>
      </c>
      <c r="F211" s="102" t="s">
        <v>447</v>
      </c>
      <c r="G211" s="124" t="e">
        <f>VLOOKUP(A211,survey!$1:$1048576,1,FALSE)</f>
        <v>#N/A</v>
      </c>
    </row>
    <row r="212" spans="1:7" ht="12.75" customHeight="1">
      <c r="A212" s="102">
        <v>1401005</v>
      </c>
      <c r="B212" s="102" t="s">
        <v>4</v>
      </c>
      <c r="C212" s="102" t="s">
        <v>358</v>
      </c>
      <c r="D212" s="102">
        <v>211</v>
      </c>
      <c r="E212" s="102" t="s">
        <v>607</v>
      </c>
      <c r="F212" s="102" t="s">
        <v>602</v>
      </c>
      <c r="G212" s="124" t="e">
        <f>VLOOKUP(A212,survey!$1:$1048576,1,FALSE)</f>
        <v>#N/A</v>
      </c>
    </row>
    <row r="213" spans="1:7" ht="12.75" customHeight="1">
      <c r="A213" s="102">
        <v>1401006</v>
      </c>
      <c r="B213" s="102" t="s">
        <v>4</v>
      </c>
      <c r="C213" s="102" t="s">
        <v>358</v>
      </c>
      <c r="D213" s="102">
        <v>212</v>
      </c>
      <c r="E213" s="102" t="s">
        <v>608</v>
      </c>
      <c r="F213" s="102" t="s">
        <v>609</v>
      </c>
      <c r="G213" s="124" t="e">
        <f>VLOOKUP(A213,survey!$1:$1048576,1,FALSE)</f>
        <v>#N/A</v>
      </c>
    </row>
    <row r="214" spans="1:7" ht="12.75" customHeight="1">
      <c r="A214" s="102">
        <v>1401007</v>
      </c>
      <c r="B214" s="102" t="s">
        <v>4</v>
      </c>
      <c r="C214" s="102" t="s">
        <v>358</v>
      </c>
      <c r="D214" s="102">
        <v>213</v>
      </c>
      <c r="E214" s="102" t="s">
        <v>545</v>
      </c>
      <c r="F214" s="102" t="s">
        <v>610</v>
      </c>
      <c r="G214" s="124" t="e">
        <f>VLOOKUP(A214,survey!$1:$1048576,1,FALSE)</f>
        <v>#N/A</v>
      </c>
    </row>
    <row r="215" spans="1:7" ht="12.75" customHeight="1">
      <c r="A215" s="102">
        <v>1401008</v>
      </c>
      <c r="B215" s="102" t="s">
        <v>4</v>
      </c>
      <c r="C215" s="102" t="s">
        <v>358</v>
      </c>
      <c r="D215" s="102">
        <v>214</v>
      </c>
      <c r="E215" s="102" t="s">
        <v>611</v>
      </c>
      <c r="F215" s="102" t="s">
        <v>610</v>
      </c>
      <c r="G215" s="124" t="e">
        <f>VLOOKUP(A215,survey!$1:$1048576,1,FALSE)</f>
        <v>#N/A</v>
      </c>
    </row>
    <row r="216" spans="1:7" ht="12.75" customHeight="1">
      <c r="A216" s="102">
        <v>1401009</v>
      </c>
      <c r="B216" s="102" t="s">
        <v>4</v>
      </c>
      <c r="C216" s="102" t="s">
        <v>358</v>
      </c>
      <c r="D216" s="102">
        <v>215</v>
      </c>
      <c r="E216" s="102" t="s">
        <v>612</v>
      </c>
      <c r="F216" s="102" t="s">
        <v>609</v>
      </c>
      <c r="G216" s="124" t="e">
        <f>VLOOKUP(A216,survey!$1:$1048576,1,FALSE)</f>
        <v>#N/A</v>
      </c>
    </row>
    <row r="217" spans="1:7" ht="12.75" customHeight="1">
      <c r="A217" s="102">
        <v>1401010</v>
      </c>
      <c r="B217" s="102" t="s">
        <v>4</v>
      </c>
      <c r="C217" s="102" t="s">
        <v>358</v>
      </c>
      <c r="D217" s="102">
        <v>216</v>
      </c>
      <c r="E217" s="102" t="s">
        <v>613</v>
      </c>
      <c r="F217" s="102" t="s">
        <v>602</v>
      </c>
      <c r="G217" s="124" t="e">
        <f>VLOOKUP(A217,survey!$1:$1048576,1,FALSE)</f>
        <v>#N/A</v>
      </c>
    </row>
    <row r="218" spans="1:7" ht="12.75" customHeight="1">
      <c r="A218" s="102">
        <v>1401011</v>
      </c>
      <c r="B218" s="102" t="s">
        <v>4</v>
      </c>
      <c r="C218" s="102" t="s">
        <v>358</v>
      </c>
      <c r="D218" s="102">
        <v>217</v>
      </c>
      <c r="E218" s="102" t="s">
        <v>614</v>
      </c>
      <c r="F218" s="102" t="s">
        <v>560</v>
      </c>
      <c r="G218" s="124" t="e">
        <f>VLOOKUP(A218,survey!$1:$1048576,1,FALSE)</f>
        <v>#N/A</v>
      </c>
    </row>
    <row r="219" spans="1:7" ht="12.75" customHeight="1">
      <c r="A219" s="102">
        <v>1401012</v>
      </c>
      <c r="B219" s="102" t="s">
        <v>4</v>
      </c>
      <c r="C219" s="102" t="s">
        <v>358</v>
      </c>
      <c r="D219" s="102">
        <v>218</v>
      </c>
      <c r="E219" s="102" t="s">
        <v>615</v>
      </c>
      <c r="F219" s="102" t="s">
        <v>436</v>
      </c>
      <c r="G219" s="124" t="e">
        <f>VLOOKUP(A219,survey!$1:$1048576,1,FALSE)</f>
        <v>#N/A</v>
      </c>
    </row>
    <row r="220" spans="1:7" ht="12.75" customHeight="1">
      <c r="A220" s="102">
        <v>1401082</v>
      </c>
      <c r="B220" s="102" t="s">
        <v>4</v>
      </c>
      <c r="C220" s="102" t="s">
        <v>358</v>
      </c>
      <c r="D220" s="102">
        <v>219</v>
      </c>
      <c r="E220" s="102" t="s">
        <v>616</v>
      </c>
      <c r="F220" s="102" t="s">
        <v>364</v>
      </c>
      <c r="G220" s="124" t="e">
        <f>VLOOKUP(A220,survey!$1:$1048576,1,FALSE)</f>
        <v>#N/A</v>
      </c>
    </row>
    <row r="221" spans="1:7" ht="12.75" customHeight="1">
      <c r="A221" s="102">
        <v>1401083</v>
      </c>
      <c r="B221" s="102" t="s">
        <v>4</v>
      </c>
      <c r="C221" s="102" t="s">
        <v>358</v>
      </c>
      <c r="D221" s="102">
        <v>220</v>
      </c>
      <c r="E221" s="102" t="s">
        <v>617</v>
      </c>
      <c r="F221" s="102" t="s">
        <v>609</v>
      </c>
      <c r="G221" s="124" t="e">
        <f>VLOOKUP(A221,survey!$1:$1048576,1,FALSE)</f>
        <v>#N/A</v>
      </c>
    </row>
    <row r="222" spans="1:7" ht="12.75" customHeight="1">
      <c r="A222" s="102">
        <v>1401084</v>
      </c>
      <c r="B222" s="102" t="s">
        <v>4</v>
      </c>
      <c r="C222" s="102" t="s">
        <v>358</v>
      </c>
      <c r="D222" s="102">
        <v>221</v>
      </c>
      <c r="E222" s="102" t="s">
        <v>618</v>
      </c>
      <c r="F222" s="102" t="s">
        <v>436</v>
      </c>
      <c r="G222" s="124" t="e">
        <f>VLOOKUP(A222,survey!$1:$1048576,1,FALSE)</f>
        <v>#N/A</v>
      </c>
    </row>
    <row r="223" spans="1:7" ht="12.75" customHeight="1">
      <c r="A223" s="102">
        <v>1401085</v>
      </c>
      <c r="B223" s="102" t="s">
        <v>619</v>
      </c>
      <c r="C223" s="102" t="s">
        <v>358</v>
      </c>
      <c r="D223" s="102">
        <v>222</v>
      </c>
      <c r="E223" s="102" t="s">
        <v>620</v>
      </c>
      <c r="F223" s="102" t="s">
        <v>457</v>
      </c>
      <c r="G223" s="124" t="e">
        <f>VLOOKUP(A223,survey!$1:$1048576,1,FALSE)</f>
        <v>#N/A</v>
      </c>
    </row>
    <row r="224" spans="1:7" ht="12.75" customHeight="1">
      <c r="A224" s="102">
        <v>1401086</v>
      </c>
      <c r="B224" s="102" t="s">
        <v>4</v>
      </c>
      <c r="C224" s="102" t="s">
        <v>358</v>
      </c>
      <c r="D224" s="102">
        <v>223</v>
      </c>
      <c r="E224" s="102" t="s">
        <v>621</v>
      </c>
      <c r="F224" s="102" t="s">
        <v>494</v>
      </c>
      <c r="G224" s="124" t="e">
        <f>VLOOKUP(A224,survey!$1:$1048576,1,FALSE)</f>
        <v>#N/A</v>
      </c>
    </row>
    <row r="225" spans="1:7" ht="12.75" customHeight="1">
      <c r="A225" s="102">
        <v>1401087</v>
      </c>
      <c r="B225" s="102" t="s">
        <v>4</v>
      </c>
      <c r="C225" s="102" t="s">
        <v>358</v>
      </c>
      <c r="D225" s="102">
        <v>224</v>
      </c>
      <c r="E225" s="102" t="s">
        <v>622</v>
      </c>
      <c r="F225" s="102" t="s">
        <v>545</v>
      </c>
      <c r="G225" s="124" t="e">
        <f>VLOOKUP(A225,survey!$1:$1048576,1,FALSE)</f>
        <v>#N/A</v>
      </c>
    </row>
    <row r="226" spans="1:7" ht="12.75" customHeight="1">
      <c r="A226" s="102">
        <v>1401123</v>
      </c>
      <c r="B226" s="102" t="s">
        <v>4</v>
      </c>
      <c r="C226" s="102" t="s">
        <v>358</v>
      </c>
      <c r="D226" s="102">
        <v>225</v>
      </c>
      <c r="E226" s="102" t="s">
        <v>623</v>
      </c>
      <c r="F226" s="102" t="s">
        <v>545</v>
      </c>
      <c r="G226" s="124" t="e">
        <f>VLOOKUP(A226,survey!$1:$1048576,1,FALSE)</f>
        <v>#N/A</v>
      </c>
    </row>
    <row r="227" spans="1:7" ht="12.75" customHeight="1">
      <c r="A227" s="102">
        <v>1401124</v>
      </c>
      <c r="B227" s="102" t="s">
        <v>4</v>
      </c>
      <c r="C227" s="102" t="s">
        <v>358</v>
      </c>
      <c r="D227" s="102">
        <v>226</v>
      </c>
      <c r="E227" s="102" t="s">
        <v>624</v>
      </c>
      <c r="F227" s="102" t="s">
        <v>457</v>
      </c>
      <c r="G227" s="124" t="e">
        <f>VLOOKUP(A227,survey!$1:$1048576,1,FALSE)</f>
        <v>#N/A</v>
      </c>
    </row>
    <row r="228" spans="1:7" ht="12.75" customHeight="1">
      <c r="A228" s="102">
        <v>1401126</v>
      </c>
      <c r="B228" s="102" t="s">
        <v>4</v>
      </c>
      <c r="C228" s="102" t="s">
        <v>358</v>
      </c>
      <c r="D228" s="102">
        <v>227</v>
      </c>
      <c r="E228" s="102" t="s">
        <v>625</v>
      </c>
      <c r="F228" s="102" t="s">
        <v>364</v>
      </c>
      <c r="G228" s="124" t="e">
        <f>VLOOKUP(A228,survey!$1:$1048576,1,FALSE)</f>
        <v>#N/A</v>
      </c>
    </row>
    <row r="229" spans="1:7" ht="12.75" customHeight="1">
      <c r="A229" s="102">
        <v>1401127</v>
      </c>
      <c r="B229" s="102" t="s">
        <v>4</v>
      </c>
      <c r="C229" s="102" t="s">
        <v>358</v>
      </c>
      <c r="D229" s="102">
        <v>228</v>
      </c>
      <c r="E229" s="102" t="s">
        <v>626</v>
      </c>
      <c r="F229" s="102" t="s">
        <v>627</v>
      </c>
      <c r="G229" s="124" t="e">
        <f>VLOOKUP(A229,survey!$1:$1048576,1,FALSE)</f>
        <v>#N/A</v>
      </c>
    </row>
    <row r="230" spans="1:7" ht="12.75" customHeight="1">
      <c r="A230" s="102">
        <v>1401128</v>
      </c>
      <c r="B230" s="102" t="s">
        <v>4</v>
      </c>
      <c r="C230" s="102" t="s">
        <v>358</v>
      </c>
      <c r="D230" s="102">
        <v>229</v>
      </c>
      <c r="E230" s="102" t="s">
        <v>628</v>
      </c>
      <c r="F230" s="102" t="s">
        <v>399</v>
      </c>
      <c r="G230" s="124" t="e">
        <f>VLOOKUP(A230,survey!$1:$1048576,1,FALSE)</f>
        <v>#N/A</v>
      </c>
    </row>
    <row r="231" spans="1:7" ht="12.75" customHeight="1">
      <c r="A231" s="102">
        <v>1401131</v>
      </c>
      <c r="B231" s="102" t="s">
        <v>4</v>
      </c>
      <c r="C231" s="102" t="s">
        <v>358</v>
      </c>
      <c r="D231" s="102">
        <v>230</v>
      </c>
      <c r="E231" s="102" t="s">
        <v>629</v>
      </c>
      <c r="F231" s="102" t="s">
        <v>602</v>
      </c>
      <c r="G231" s="124" t="e">
        <f>VLOOKUP(A231,survey!$1:$1048576,1,FALSE)</f>
        <v>#N/A</v>
      </c>
    </row>
    <row r="232" spans="1:7" ht="12.75" customHeight="1">
      <c r="A232" s="102">
        <v>1401132</v>
      </c>
      <c r="B232" s="102" t="s">
        <v>4</v>
      </c>
      <c r="C232" s="102" t="s">
        <v>358</v>
      </c>
      <c r="D232" s="102">
        <v>231</v>
      </c>
      <c r="E232" s="102" t="s">
        <v>630</v>
      </c>
      <c r="F232" s="102" t="s">
        <v>609</v>
      </c>
      <c r="G232" s="124" t="e">
        <f>VLOOKUP(A232,survey!$1:$1048576,1,FALSE)</f>
        <v>#N/A</v>
      </c>
    </row>
    <row r="233" spans="1:7" ht="12.75" customHeight="1">
      <c r="A233" s="102">
        <v>1401145</v>
      </c>
      <c r="B233" s="102" t="s">
        <v>4</v>
      </c>
      <c r="C233" s="102" t="s">
        <v>358</v>
      </c>
      <c r="D233" s="102">
        <v>232</v>
      </c>
      <c r="E233" s="102" t="s">
        <v>631</v>
      </c>
      <c r="F233" s="102" t="s">
        <v>632</v>
      </c>
      <c r="G233" s="124" t="e">
        <f>VLOOKUP(A233,survey!$1:$1048576,1,FALSE)</f>
        <v>#N/A</v>
      </c>
    </row>
    <row r="234" spans="1:7" ht="12.75" customHeight="1">
      <c r="A234" s="102">
        <v>1401146</v>
      </c>
      <c r="B234" s="102" t="s">
        <v>4</v>
      </c>
      <c r="C234" s="102" t="s">
        <v>358</v>
      </c>
      <c r="D234" s="102">
        <v>233</v>
      </c>
      <c r="E234" s="102" t="s">
        <v>633</v>
      </c>
      <c r="F234" s="102" t="s">
        <v>399</v>
      </c>
      <c r="G234" s="124" t="e">
        <f>VLOOKUP(A234,survey!$1:$1048576,1,FALSE)</f>
        <v>#N/A</v>
      </c>
    </row>
    <row r="235" spans="1:7" ht="12.75" customHeight="1">
      <c r="A235" s="102">
        <v>1401183</v>
      </c>
      <c r="B235" s="102" t="s">
        <v>4</v>
      </c>
      <c r="C235" s="102" t="s">
        <v>358</v>
      </c>
      <c r="D235" s="102">
        <v>234</v>
      </c>
      <c r="E235" s="102" t="s">
        <v>634</v>
      </c>
      <c r="F235" s="102" t="s">
        <v>632</v>
      </c>
      <c r="G235" s="124" t="e">
        <f>VLOOKUP(A235,survey!$1:$1048576,1,FALSE)</f>
        <v>#N/A</v>
      </c>
    </row>
    <row r="236" spans="1:7" ht="12.75" customHeight="1">
      <c r="A236" s="102">
        <v>1401187</v>
      </c>
      <c r="B236" s="102" t="s">
        <v>4</v>
      </c>
      <c r="C236" s="102" t="s">
        <v>358</v>
      </c>
      <c r="D236" s="102">
        <v>235</v>
      </c>
      <c r="E236" s="102" t="s">
        <v>635</v>
      </c>
      <c r="F236" s="102" t="s">
        <v>609</v>
      </c>
      <c r="G236" s="124" t="e">
        <f>VLOOKUP(A236,survey!$1:$1048576,1,FALSE)</f>
        <v>#N/A</v>
      </c>
    </row>
    <row r="237" spans="1:7" ht="12.75" customHeight="1">
      <c r="A237" s="102">
        <v>1401188</v>
      </c>
      <c r="B237" s="102" t="s">
        <v>4</v>
      </c>
      <c r="C237" s="102" t="s">
        <v>358</v>
      </c>
      <c r="D237" s="102">
        <v>236</v>
      </c>
      <c r="E237" s="102" t="s">
        <v>636</v>
      </c>
      <c r="F237" s="102" t="s">
        <v>602</v>
      </c>
      <c r="G237" s="124" t="e">
        <f>VLOOKUP(A237,survey!$1:$1048576,1,FALSE)</f>
        <v>#N/A</v>
      </c>
    </row>
    <row r="238" spans="1:7" ht="12.75" customHeight="1">
      <c r="A238" s="102">
        <v>1401221</v>
      </c>
      <c r="B238" s="102" t="s">
        <v>4</v>
      </c>
      <c r="C238" s="102" t="s">
        <v>358</v>
      </c>
      <c r="D238" s="102">
        <v>237</v>
      </c>
      <c r="E238" s="102" t="s">
        <v>637</v>
      </c>
      <c r="F238" s="102" t="s">
        <v>609</v>
      </c>
      <c r="G238" s="124" t="e">
        <f>VLOOKUP(A238,survey!$1:$1048576,1,FALSE)</f>
        <v>#N/A</v>
      </c>
    </row>
    <row r="239" spans="1:7" ht="12.75" customHeight="1">
      <c r="A239" s="102">
        <v>1401270</v>
      </c>
      <c r="B239" s="102" t="s">
        <v>4</v>
      </c>
      <c r="C239" s="102" t="s">
        <v>358</v>
      </c>
      <c r="D239" s="102">
        <v>238</v>
      </c>
      <c r="E239" s="102" t="s">
        <v>638</v>
      </c>
      <c r="F239" s="102" t="s">
        <v>455</v>
      </c>
      <c r="G239" s="124" t="e">
        <f>VLOOKUP(A239,survey!$1:$1048576,1,FALSE)</f>
        <v>#N/A</v>
      </c>
    </row>
    <row r="240" spans="1:7" ht="12.75" customHeight="1">
      <c r="A240" s="102">
        <v>1401271</v>
      </c>
      <c r="B240" s="102" t="s">
        <v>4</v>
      </c>
      <c r="C240" s="102" t="s">
        <v>358</v>
      </c>
      <c r="D240" s="102">
        <v>239</v>
      </c>
      <c r="E240" s="102" t="s">
        <v>639</v>
      </c>
      <c r="F240" s="102" t="s">
        <v>640</v>
      </c>
      <c r="G240" s="124" t="e">
        <f>VLOOKUP(A240,survey!$1:$1048576,1,FALSE)</f>
        <v>#N/A</v>
      </c>
    </row>
    <row r="241" spans="1:7" ht="12.75" customHeight="1">
      <c r="A241" s="102">
        <v>1401272</v>
      </c>
      <c r="B241" s="102" t="s">
        <v>4</v>
      </c>
      <c r="C241" s="102" t="s">
        <v>358</v>
      </c>
      <c r="D241" s="102">
        <v>240</v>
      </c>
      <c r="E241" s="102" t="s">
        <v>641</v>
      </c>
      <c r="F241" s="102" t="s">
        <v>640</v>
      </c>
      <c r="G241" s="124" t="e">
        <f>VLOOKUP(A241,survey!$1:$1048576,1,FALSE)</f>
        <v>#N/A</v>
      </c>
    </row>
    <row r="242" spans="1:7" ht="12.75" customHeight="1">
      <c r="A242" s="102">
        <v>1401281</v>
      </c>
      <c r="B242" s="102" t="s">
        <v>4</v>
      </c>
      <c r="C242" s="102" t="s">
        <v>358</v>
      </c>
      <c r="D242" s="102">
        <v>241</v>
      </c>
      <c r="E242" s="102" t="s">
        <v>642</v>
      </c>
      <c r="F242" s="102" t="s">
        <v>445</v>
      </c>
      <c r="G242" s="124" t="e">
        <f>VLOOKUP(A242,survey!$1:$1048576,1,FALSE)</f>
        <v>#N/A</v>
      </c>
    </row>
    <row r="243" spans="1:7" ht="12.75" customHeight="1">
      <c r="A243" s="102">
        <v>1401290</v>
      </c>
      <c r="B243" s="102" t="s">
        <v>4</v>
      </c>
      <c r="C243" s="102" t="s">
        <v>358</v>
      </c>
      <c r="D243" s="102">
        <v>242</v>
      </c>
      <c r="E243" s="102" t="s">
        <v>643</v>
      </c>
      <c r="F243" s="102" t="s">
        <v>457</v>
      </c>
      <c r="G243" s="124" t="e">
        <f>VLOOKUP(A243,survey!$1:$1048576,1,FALSE)</f>
        <v>#N/A</v>
      </c>
    </row>
    <row r="244" spans="1:7" ht="12.75" customHeight="1">
      <c r="A244" s="102">
        <v>1401295</v>
      </c>
      <c r="B244" s="102" t="s">
        <v>4</v>
      </c>
      <c r="C244" s="102" t="s">
        <v>358</v>
      </c>
      <c r="D244" s="102">
        <v>243</v>
      </c>
      <c r="E244" s="102" t="s">
        <v>644</v>
      </c>
      <c r="F244" s="102" t="s">
        <v>445</v>
      </c>
      <c r="G244" s="124" t="e">
        <f>VLOOKUP(A244,survey!$1:$1048576,1,FALSE)</f>
        <v>#N/A</v>
      </c>
    </row>
    <row r="245" spans="1:7" ht="12.75" customHeight="1">
      <c r="A245" s="102">
        <v>1401308</v>
      </c>
      <c r="B245" s="102" t="s">
        <v>4</v>
      </c>
      <c r="C245" s="102" t="s">
        <v>358</v>
      </c>
      <c r="D245" s="102">
        <v>244</v>
      </c>
      <c r="E245" s="102" t="s">
        <v>645</v>
      </c>
      <c r="F245" s="102" t="s">
        <v>627</v>
      </c>
      <c r="G245" s="124" t="e">
        <f>VLOOKUP(A245,survey!$1:$1048576,1,FALSE)</f>
        <v>#N/A</v>
      </c>
    </row>
    <row r="246" spans="1:7" ht="12.75" customHeight="1">
      <c r="A246" s="102">
        <v>1401311</v>
      </c>
      <c r="B246" s="102" t="s">
        <v>4</v>
      </c>
      <c r="C246" s="102" t="s">
        <v>358</v>
      </c>
      <c r="D246" s="102">
        <v>245</v>
      </c>
      <c r="E246" s="102" t="s">
        <v>646</v>
      </c>
      <c r="F246" s="102" t="s">
        <v>647</v>
      </c>
      <c r="G246" s="124" t="e">
        <f>VLOOKUP(A246,survey!$1:$1048576,1,FALSE)</f>
        <v>#N/A</v>
      </c>
    </row>
    <row r="247" spans="1:7" ht="12.75" customHeight="1">
      <c r="A247" s="102">
        <v>1401312</v>
      </c>
      <c r="B247" s="102" t="s">
        <v>4</v>
      </c>
      <c r="C247" s="102" t="s">
        <v>358</v>
      </c>
      <c r="D247" s="102">
        <v>246</v>
      </c>
      <c r="E247" s="102" t="s">
        <v>648</v>
      </c>
      <c r="F247" s="102" t="s">
        <v>647</v>
      </c>
      <c r="G247" s="124" t="e">
        <f>VLOOKUP(A247,survey!$1:$1048576,1,FALSE)</f>
        <v>#N/A</v>
      </c>
    </row>
    <row r="248" spans="1:7" ht="12.75" customHeight="1">
      <c r="A248" s="102">
        <v>1401369</v>
      </c>
      <c r="B248" s="102" t="s">
        <v>4</v>
      </c>
      <c r="C248" s="102" t="s">
        <v>358</v>
      </c>
      <c r="D248" s="102">
        <v>247</v>
      </c>
      <c r="E248" s="102" t="s">
        <v>649</v>
      </c>
      <c r="F248" s="102" t="s">
        <v>650</v>
      </c>
      <c r="G248" s="124" t="e">
        <f>VLOOKUP(A248,survey!$1:$1048576,1,FALSE)</f>
        <v>#N/A</v>
      </c>
    </row>
    <row r="249" spans="1:7" ht="12.75" customHeight="1">
      <c r="A249" s="102">
        <v>1401370</v>
      </c>
      <c r="B249" s="102" t="s">
        <v>4</v>
      </c>
      <c r="C249" s="102" t="s">
        <v>358</v>
      </c>
      <c r="D249" s="102">
        <v>248</v>
      </c>
      <c r="E249" s="102" t="s">
        <v>651</v>
      </c>
      <c r="F249" s="102" t="s">
        <v>650</v>
      </c>
      <c r="G249" s="124" t="e">
        <f>VLOOKUP(A249,survey!$1:$1048576,1,FALSE)</f>
        <v>#N/A</v>
      </c>
    </row>
    <row r="250" spans="1:7" ht="12.75" customHeight="1">
      <c r="A250" s="102">
        <v>1401371</v>
      </c>
      <c r="B250" s="102" t="s">
        <v>4</v>
      </c>
      <c r="C250" s="102" t="s">
        <v>358</v>
      </c>
      <c r="D250" s="102">
        <v>249</v>
      </c>
      <c r="E250" s="102" t="s">
        <v>652</v>
      </c>
      <c r="F250" s="102" t="s">
        <v>609</v>
      </c>
      <c r="G250" s="124" t="e">
        <f>VLOOKUP(A250,survey!$1:$1048576,1,FALSE)</f>
        <v>#N/A</v>
      </c>
    </row>
    <row r="251" spans="1:7" ht="12.75" customHeight="1">
      <c r="A251" s="102">
        <v>1401372</v>
      </c>
      <c r="B251" s="102" t="s">
        <v>4</v>
      </c>
      <c r="C251" s="102" t="s">
        <v>358</v>
      </c>
      <c r="D251" s="102">
        <v>250</v>
      </c>
      <c r="E251" s="102" t="s">
        <v>653</v>
      </c>
      <c r="F251" s="102" t="s">
        <v>640</v>
      </c>
      <c r="G251" s="124" t="e">
        <f>VLOOKUP(A251,survey!$1:$1048576,1,FALSE)</f>
        <v>#N/A</v>
      </c>
    </row>
    <row r="252" spans="1:7" ht="12.75" customHeight="1">
      <c r="A252" s="102">
        <v>1401373</v>
      </c>
      <c r="B252" s="102" t="s">
        <v>4</v>
      </c>
      <c r="C252" s="102" t="s">
        <v>358</v>
      </c>
      <c r="D252" s="102">
        <v>251</v>
      </c>
      <c r="E252" s="102" t="s">
        <v>654</v>
      </c>
      <c r="F252" s="102" t="s">
        <v>640</v>
      </c>
      <c r="G252" s="124" t="e">
        <f>VLOOKUP(A252,survey!$1:$1048576,1,FALSE)</f>
        <v>#N/A</v>
      </c>
    </row>
    <row r="253" spans="1:7" ht="12.75" customHeight="1">
      <c r="A253" s="102">
        <v>1401384</v>
      </c>
      <c r="B253" s="102" t="s">
        <v>4</v>
      </c>
      <c r="C253" s="102" t="s">
        <v>358</v>
      </c>
      <c r="D253" s="102">
        <v>252</v>
      </c>
      <c r="E253" s="102" t="s">
        <v>655</v>
      </c>
      <c r="F253" s="102" t="s">
        <v>627</v>
      </c>
      <c r="G253" s="124" t="e">
        <f>VLOOKUP(A253,survey!$1:$1048576,1,FALSE)</f>
        <v>#N/A</v>
      </c>
    </row>
    <row r="254" spans="1:7" ht="12.75" customHeight="1">
      <c r="A254" s="102">
        <v>1401431</v>
      </c>
      <c r="B254" s="102" t="s">
        <v>4</v>
      </c>
      <c r="C254" s="102" t="s">
        <v>358</v>
      </c>
      <c r="D254" s="102">
        <v>253</v>
      </c>
      <c r="E254" s="102" t="s">
        <v>656</v>
      </c>
      <c r="F254" s="102" t="s">
        <v>602</v>
      </c>
      <c r="G254" s="124" t="e">
        <f>VLOOKUP(A254,survey!$1:$1048576,1,FALSE)</f>
        <v>#N/A</v>
      </c>
    </row>
    <row r="255" spans="1:7" ht="12.75" customHeight="1">
      <c r="A255" s="102">
        <v>1401432</v>
      </c>
      <c r="B255" s="102" t="s">
        <v>4</v>
      </c>
      <c r="C255" s="102" t="s">
        <v>358</v>
      </c>
      <c r="D255" s="102">
        <v>254</v>
      </c>
      <c r="E255" s="102" t="s">
        <v>657</v>
      </c>
      <c r="F255" s="102" t="s">
        <v>602</v>
      </c>
      <c r="G255" s="124" t="e">
        <f>VLOOKUP(A255,survey!$1:$1048576,1,FALSE)</f>
        <v>#N/A</v>
      </c>
    </row>
    <row r="256" spans="1:7" ht="12.75" customHeight="1">
      <c r="A256" s="102">
        <v>1401448</v>
      </c>
      <c r="B256" s="102" t="s">
        <v>4</v>
      </c>
      <c r="C256" s="102" t="s">
        <v>358</v>
      </c>
      <c r="D256" s="102">
        <v>255</v>
      </c>
      <c r="E256" s="102" t="s">
        <v>658</v>
      </c>
      <c r="F256" s="102" t="s">
        <v>562</v>
      </c>
      <c r="G256" s="124" t="e">
        <f>VLOOKUP(A256,survey!$1:$1048576,1,FALSE)</f>
        <v>#N/A</v>
      </c>
    </row>
    <row r="257" spans="1:7" ht="12.75" customHeight="1">
      <c r="A257" s="102">
        <v>1401459</v>
      </c>
      <c r="B257" s="102" t="s">
        <v>4</v>
      </c>
      <c r="C257" s="102" t="s">
        <v>358</v>
      </c>
      <c r="D257" s="102">
        <v>256</v>
      </c>
      <c r="E257" s="102" t="s">
        <v>659</v>
      </c>
      <c r="F257" s="102" t="s">
        <v>660</v>
      </c>
      <c r="G257" s="124" t="e">
        <f>VLOOKUP(A257,survey!$1:$1048576,1,FALSE)</f>
        <v>#N/A</v>
      </c>
    </row>
    <row r="258" spans="1:7" ht="12.75" customHeight="1">
      <c r="A258" s="102">
        <v>1401460</v>
      </c>
      <c r="B258" s="102" t="s">
        <v>4</v>
      </c>
      <c r="C258" s="102" t="s">
        <v>358</v>
      </c>
      <c r="D258" s="102">
        <v>257</v>
      </c>
      <c r="E258" s="102" t="s">
        <v>661</v>
      </c>
      <c r="F258" s="102" t="s">
        <v>660</v>
      </c>
      <c r="G258" s="124" t="e">
        <f>VLOOKUP(A258,survey!$1:$1048576,1,FALSE)</f>
        <v>#N/A</v>
      </c>
    </row>
    <row r="259" spans="1:7" ht="12.75" customHeight="1">
      <c r="A259" s="102">
        <v>1401478</v>
      </c>
      <c r="B259" s="102" t="s">
        <v>4</v>
      </c>
      <c r="C259" s="102" t="s">
        <v>358</v>
      </c>
      <c r="D259" s="102">
        <v>258</v>
      </c>
      <c r="E259" s="102" t="s">
        <v>662</v>
      </c>
      <c r="F259" s="102" t="s">
        <v>391</v>
      </c>
      <c r="G259" s="124" t="e">
        <f>VLOOKUP(A259,survey!$1:$1048576,1,FALSE)</f>
        <v>#N/A</v>
      </c>
    </row>
    <row r="260" spans="1:7" ht="12.75" customHeight="1">
      <c r="A260" s="102">
        <v>1401480</v>
      </c>
      <c r="B260" s="102" t="s">
        <v>4</v>
      </c>
      <c r="C260" s="102" t="s">
        <v>358</v>
      </c>
      <c r="D260" s="102">
        <v>259</v>
      </c>
      <c r="E260" s="102" t="s">
        <v>663</v>
      </c>
      <c r="F260" s="102" t="s">
        <v>664</v>
      </c>
      <c r="G260" s="124" t="e">
        <f>VLOOKUP(A260,survey!$1:$1048576,1,FALSE)</f>
        <v>#N/A</v>
      </c>
    </row>
    <row r="261" spans="1:7" ht="12.75" customHeight="1">
      <c r="A261" s="102">
        <v>1401481</v>
      </c>
      <c r="B261" s="102" t="s">
        <v>4</v>
      </c>
      <c r="C261" s="102" t="s">
        <v>358</v>
      </c>
      <c r="D261" s="102">
        <v>260</v>
      </c>
      <c r="E261" s="102" t="s">
        <v>665</v>
      </c>
      <c r="F261" s="102" t="s">
        <v>664</v>
      </c>
      <c r="G261" s="124" t="e">
        <f>VLOOKUP(A261,survey!$1:$1048576,1,FALSE)</f>
        <v>#N/A</v>
      </c>
    </row>
    <row r="262" spans="1:7" ht="12.75" customHeight="1">
      <c r="A262" s="102">
        <v>1401482</v>
      </c>
      <c r="B262" s="102" t="s">
        <v>4</v>
      </c>
      <c r="C262" s="102" t="s">
        <v>358</v>
      </c>
      <c r="D262" s="102">
        <v>261</v>
      </c>
      <c r="E262" s="102" t="s">
        <v>666</v>
      </c>
      <c r="F262" s="102" t="s">
        <v>667</v>
      </c>
      <c r="G262" s="124" t="e">
        <f>VLOOKUP(A262,survey!$1:$1048576,1,FALSE)</f>
        <v>#N/A</v>
      </c>
    </row>
    <row r="263" spans="1:7" ht="12.75" customHeight="1">
      <c r="A263" s="102">
        <v>1401488</v>
      </c>
      <c r="B263" s="102" t="s">
        <v>4</v>
      </c>
      <c r="C263" s="102" t="s">
        <v>358</v>
      </c>
      <c r="D263" s="102">
        <v>262</v>
      </c>
      <c r="E263" s="102" t="s">
        <v>668</v>
      </c>
      <c r="F263" s="102" t="s">
        <v>457</v>
      </c>
      <c r="G263" s="124" t="e">
        <f>VLOOKUP(A263,survey!$1:$1048576,1,FALSE)</f>
        <v>#N/A</v>
      </c>
    </row>
    <row r="264" spans="1:7" ht="12.75" customHeight="1">
      <c r="A264" s="102">
        <v>1401491</v>
      </c>
      <c r="B264" s="102" t="s">
        <v>4</v>
      </c>
      <c r="C264" s="102" t="s">
        <v>358</v>
      </c>
      <c r="D264" s="102">
        <v>263</v>
      </c>
      <c r="E264" s="102" t="s">
        <v>669</v>
      </c>
      <c r="F264" s="102" t="s">
        <v>609</v>
      </c>
      <c r="G264" s="124" t="e">
        <f>VLOOKUP(A264,survey!$1:$1048576,1,FALSE)</f>
        <v>#N/A</v>
      </c>
    </row>
    <row r="265" spans="1:7" ht="12.75" customHeight="1">
      <c r="A265" s="102">
        <v>1401498</v>
      </c>
      <c r="B265" s="102" t="s">
        <v>4</v>
      </c>
      <c r="C265" s="102" t="s">
        <v>358</v>
      </c>
      <c r="D265" s="102">
        <v>264</v>
      </c>
      <c r="E265" s="102" t="s">
        <v>670</v>
      </c>
      <c r="F265" s="102" t="s">
        <v>671</v>
      </c>
      <c r="G265" s="124" t="e">
        <f>VLOOKUP(A265,survey!$1:$1048576,1,FALSE)</f>
        <v>#N/A</v>
      </c>
    </row>
    <row r="266" spans="1:7" ht="12.75" customHeight="1">
      <c r="A266" s="102">
        <v>1401509</v>
      </c>
      <c r="B266" s="102" t="s">
        <v>4</v>
      </c>
      <c r="C266" s="102" t="s">
        <v>358</v>
      </c>
      <c r="D266" s="102">
        <v>265</v>
      </c>
      <c r="E266" s="102" t="s">
        <v>672</v>
      </c>
      <c r="F266" s="102" t="s">
        <v>640</v>
      </c>
      <c r="G266" s="124" t="e">
        <f>VLOOKUP(A266,survey!$1:$1048576,1,FALSE)</f>
        <v>#N/A</v>
      </c>
    </row>
    <row r="267" spans="1:7" ht="12.75" customHeight="1">
      <c r="A267" s="102">
        <v>1401535</v>
      </c>
      <c r="B267" s="102" t="s">
        <v>4</v>
      </c>
      <c r="C267" s="102" t="s">
        <v>358</v>
      </c>
      <c r="D267" s="102">
        <v>266</v>
      </c>
      <c r="E267" s="102" t="s">
        <v>673</v>
      </c>
      <c r="F267" s="102" t="s">
        <v>674</v>
      </c>
      <c r="G267" s="124" t="e">
        <f>VLOOKUP(A267,survey!$1:$1048576,1,FALSE)</f>
        <v>#N/A</v>
      </c>
    </row>
    <row r="268" spans="1:7" ht="12.75" customHeight="1">
      <c r="A268" s="102">
        <v>1401536</v>
      </c>
      <c r="B268" s="102" t="s">
        <v>4</v>
      </c>
      <c r="C268" s="102" t="s">
        <v>358</v>
      </c>
      <c r="D268" s="102">
        <v>267</v>
      </c>
      <c r="E268" s="102" t="s">
        <v>675</v>
      </c>
      <c r="F268" s="102" t="s">
        <v>676</v>
      </c>
      <c r="G268" s="124" t="e">
        <f>VLOOKUP(A268,survey!$1:$1048576,1,FALSE)</f>
        <v>#N/A</v>
      </c>
    </row>
    <row r="269" spans="1:7" ht="12.75" customHeight="1">
      <c r="A269" s="102">
        <v>1401537</v>
      </c>
      <c r="B269" s="102" t="s">
        <v>4</v>
      </c>
      <c r="C269" s="102" t="s">
        <v>358</v>
      </c>
      <c r="D269" s="102">
        <v>268</v>
      </c>
      <c r="E269" s="102" t="s">
        <v>677</v>
      </c>
      <c r="F269" s="102" t="s">
        <v>676</v>
      </c>
      <c r="G269" s="124" t="e">
        <f>VLOOKUP(A269,survey!$1:$1048576,1,FALSE)</f>
        <v>#N/A</v>
      </c>
    </row>
    <row r="270" spans="1:7" ht="12.75" customHeight="1">
      <c r="A270" s="102">
        <v>1401538</v>
      </c>
      <c r="B270" s="102" t="s">
        <v>4</v>
      </c>
      <c r="C270" s="102" t="s">
        <v>358</v>
      </c>
      <c r="D270" s="102">
        <v>269</v>
      </c>
      <c r="E270" s="102" t="s">
        <v>678</v>
      </c>
      <c r="F270" s="102" t="s">
        <v>609</v>
      </c>
      <c r="G270" s="124" t="e">
        <f>VLOOKUP(A270,survey!$1:$1048576,1,FALSE)</f>
        <v>#N/A</v>
      </c>
    </row>
    <row r="271" spans="1:7" ht="12.75" customHeight="1">
      <c r="A271" s="102">
        <v>1401539</v>
      </c>
      <c r="B271" s="102" t="s">
        <v>4</v>
      </c>
      <c r="C271" s="102" t="s">
        <v>358</v>
      </c>
      <c r="D271" s="102">
        <v>270</v>
      </c>
      <c r="E271" s="102" t="s">
        <v>679</v>
      </c>
      <c r="F271" s="102" t="s">
        <v>609</v>
      </c>
      <c r="G271" s="124" t="e">
        <f>VLOOKUP(A271,survey!$1:$1048576,1,FALSE)</f>
        <v>#N/A</v>
      </c>
    </row>
    <row r="272" spans="1:7" ht="12.75" customHeight="1">
      <c r="A272" s="102">
        <v>1401540</v>
      </c>
      <c r="B272" s="102" t="s">
        <v>4</v>
      </c>
      <c r="C272" s="102" t="s">
        <v>358</v>
      </c>
      <c r="D272" s="102">
        <v>271</v>
      </c>
      <c r="E272" s="102" t="s">
        <v>680</v>
      </c>
      <c r="F272" s="102" t="s">
        <v>681</v>
      </c>
      <c r="G272" s="124" t="e">
        <f>VLOOKUP(A272,survey!$1:$1048576,1,FALSE)</f>
        <v>#N/A</v>
      </c>
    </row>
    <row r="273" spans="1:7" ht="12.75" customHeight="1">
      <c r="A273" s="102">
        <v>1401541</v>
      </c>
      <c r="B273" s="102" t="s">
        <v>4</v>
      </c>
      <c r="C273" s="102" t="s">
        <v>358</v>
      </c>
      <c r="D273" s="102">
        <v>272</v>
      </c>
      <c r="E273" s="102" t="s">
        <v>682</v>
      </c>
      <c r="F273" s="102" t="s">
        <v>609</v>
      </c>
      <c r="G273" s="124" t="e">
        <f>VLOOKUP(A273,survey!$1:$1048576,1,FALSE)</f>
        <v>#N/A</v>
      </c>
    </row>
    <row r="274" spans="1:7" ht="12.75" customHeight="1">
      <c r="A274" s="102">
        <v>1401569</v>
      </c>
      <c r="B274" s="102" t="s">
        <v>4</v>
      </c>
      <c r="C274" s="102" t="s">
        <v>358</v>
      </c>
      <c r="D274" s="102">
        <v>273</v>
      </c>
      <c r="E274" s="102" t="s">
        <v>683</v>
      </c>
      <c r="F274" s="102" t="s">
        <v>609</v>
      </c>
      <c r="G274" s="124" t="e">
        <f>VLOOKUP(A274,survey!$1:$1048576,1,FALSE)</f>
        <v>#N/A</v>
      </c>
    </row>
    <row r="275" spans="1:7" ht="12.75" customHeight="1">
      <c r="A275" s="102">
        <v>1401589</v>
      </c>
      <c r="B275" s="102" t="s">
        <v>4</v>
      </c>
      <c r="C275" s="102" t="s">
        <v>358</v>
      </c>
      <c r="D275" s="102">
        <v>274</v>
      </c>
      <c r="E275" s="102" t="s">
        <v>684</v>
      </c>
      <c r="F275" s="102" t="s">
        <v>685</v>
      </c>
      <c r="G275" s="124" t="e">
        <f>VLOOKUP(A275,survey!$1:$1048576,1,FALSE)</f>
        <v>#N/A</v>
      </c>
    </row>
    <row r="276" spans="1:7" ht="12.75" customHeight="1">
      <c r="A276" s="102">
        <v>1401590</v>
      </c>
      <c r="B276" s="102" t="s">
        <v>4</v>
      </c>
      <c r="C276" s="102" t="s">
        <v>358</v>
      </c>
      <c r="D276" s="102">
        <v>275</v>
      </c>
      <c r="E276" s="102" t="s">
        <v>686</v>
      </c>
      <c r="F276" s="102" t="s">
        <v>685</v>
      </c>
      <c r="G276" s="124" t="e">
        <f>VLOOKUP(A276,survey!$1:$1048576,1,FALSE)</f>
        <v>#N/A</v>
      </c>
    </row>
    <row r="277" spans="1:7" ht="12.75" customHeight="1">
      <c r="A277" s="102">
        <v>1400159</v>
      </c>
      <c r="B277" s="102" t="s">
        <v>4</v>
      </c>
      <c r="C277" s="102" t="s">
        <v>358</v>
      </c>
      <c r="D277" s="102">
        <v>276</v>
      </c>
      <c r="E277" s="102" t="s">
        <v>687</v>
      </c>
      <c r="F277" s="102" t="s">
        <v>627</v>
      </c>
      <c r="G277" s="124" t="e">
        <f>VLOOKUP(A277,survey!$1:$1048576,1,FALSE)</f>
        <v>#N/A</v>
      </c>
    </row>
    <row r="278" spans="1:7" ht="12.75" customHeight="1">
      <c r="A278" s="102">
        <v>1401622</v>
      </c>
      <c r="B278" s="102" t="s">
        <v>4</v>
      </c>
      <c r="C278" s="102" t="s">
        <v>358</v>
      </c>
      <c r="D278" s="102">
        <v>277</v>
      </c>
      <c r="E278" s="102" t="s">
        <v>688</v>
      </c>
      <c r="F278" s="102" t="s">
        <v>689</v>
      </c>
      <c r="G278" s="124" t="e">
        <f>VLOOKUP(A278,survey!$1:$1048576,1,FALSE)</f>
        <v>#N/A</v>
      </c>
    </row>
    <row r="279" spans="1:7" ht="12.75" customHeight="1">
      <c r="A279" s="102">
        <v>1401623</v>
      </c>
      <c r="B279" s="102" t="s">
        <v>4</v>
      </c>
      <c r="C279" s="102" t="s">
        <v>358</v>
      </c>
      <c r="D279" s="102">
        <v>278</v>
      </c>
      <c r="E279" s="102" t="s">
        <v>690</v>
      </c>
      <c r="F279" s="102" t="s">
        <v>689</v>
      </c>
      <c r="G279" s="124" t="e">
        <f>VLOOKUP(A279,survey!$1:$1048576,1,FALSE)</f>
        <v>#N/A</v>
      </c>
    </row>
    <row r="280" spans="1:7" ht="12.75" customHeight="1">
      <c r="A280" s="102">
        <v>1401644</v>
      </c>
      <c r="B280" s="102" t="s">
        <v>4</v>
      </c>
      <c r="C280" s="102" t="s">
        <v>358</v>
      </c>
      <c r="D280" s="102">
        <v>279</v>
      </c>
      <c r="E280" s="102" t="s">
        <v>691</v>
      </c>
      <c r="F280" s="102" t="s">
        <v>386</v>
      </c>
      <c r="G280" s="124" t="e">
        <f>VLOOKUP(A280,survey!$1:$1048576,1,FALSE)</f>
        <v>#N/A</v>
      </c>
    </row>
    <row r="281" spans="1:7" ht="12.75" customHeight="1">
      <c r="A281" s="102">
        <v>1401645</v>
      </c>
      <c r="B281" s="102" t="s">
        <v>4</v>
      </c>
      <c r="C281" s="102" t="s">
        <v>358</v>
      </c>
      <c r="E281" s="102" t="s">
        <v>692</v>
      </c>
      <c r="F281" s="102" t="s">
        <v>386</v>
      </c>
      <c r="G281" s="124" t="e">
        <f>VLOOKUP(A281,survey!$1:$1048576,1,FALSE)</f>
        <v>#N/A</v>
      </c>
    </row>
    <row r="282" spans="1:7" ht="12.75" customHeight="1">
      <c r="A282" s="102">
        <v>1401646</v>
      </c>
      <c r="B282" s="102" t="s">
        <v>4</v>
      </c>
      <c r="C282" s="102" t="s">
        <v>358</v>
      </c>
      <c r="D282" s="102">
        <v>280</v>
      </c>
      <c r="E282" s="102" t="s">
        <v>693</v>
      </c>
      <c r="F282" s="102" t="s">
        <v>453</v>
      </c>
      <c r="G282" s="124" t="e">
        <f>VLOOKUP(A282,survey!$1:$1048576,1,FALSE)</f>
        <v>#N/A</v>
      </c>
    </row>
    <row r="283" spans="1:7" ht="12.75" customHeight="1">
      <c r="A283" s="102">
        <v>1401647</v>
      </c>
      <c r="B283" s="102" t="s">
        <v>4</v>
      </c>
      <c r="C283" s="102" t="s">
        <v>358</v>
      </c>
      <c r="E283" s="102" t="s">
        <v>694</v>
      </c>
      <c r="F283" s="102" t="s">
        <v>453</v>
      </c>
      <c r="G283" s="124" t="e">
        <f>VLOOKUP(A283,survey!$1:$1048576,1,FALSE)</f>
        <v>#N/A</v>
      </c>
    </row>
    <row r="284" spans="1:7" ht="12.75" customHeight="1">
      <c r="A284" s="102">
        <v>1401649</v>
      </c>
      <c r="B284" s="102" t="s">
        <v>4</v>
      </c>
      <c r="C284" s="102" t="s">
        <v>358</v>
      </c>
      <c r="D284" s="102">
        <v>281</v>
      </c>
      <c r="E284" s="102" t="s">
        <v>695</v>
      </c>
      <c r="F284" s="102" t="s">
        <v>3</v>
      </c>
      <c r="G284" s="124" t="e">
        <f>VLOOKUP(A284,survey!$1:$1048576,1,FALSE)</f>
        <v>#N/A</v>
      </c>
    </row>
    <row r="285" spans="1:7" ht="12.75" customHeight="1">
      <c r="A285" s="102">
        <v>1401550</v>
      </c>
      <c r="B285" s="102" t="s">
        <v>4</v>
      </c>
      <c r="C285" s="102" t="s">
        <v>358</v>
      </c>
      <c r="D285" s="102">
        <v>282</v>
      </c>
      <c r="E285" s="102" t="s">
        <v>696</v>
      </c>
      <c r="F285" s="102" t="s">
        <v>602</v>
      </c>
      <c r="G285" s="124" t="e">
        <f>VLOOKUP(A285,survey!$1:$1048576,1,FALSE)</f>
        <v>#N/A</v>
      </c>
    </row>
    <row r="286" spans="1:7" ht="12.75" customHeight="1">
      <c r="A286" s="102">
        <v>1401665</v>
      </c>
      <c r="B286" s="102" t="s">
        <v>4</v>
      </c>
      <c r="C286" s="102" t="s">
        <v>358</v>
      </c>
      <c r="D286" s="102">
        <v>283</v>
      </c>
      <c r="E286" s="102" t="s">
        <v>697</v>
      </c>
      <c r="F286" s="102" t="s">
        <v>698</v>
      </c>
      <c r="G286" s="124" t="e">
        <f>VLOOKUP(A286,survey!$1:$1048576,1,FALSE)</f>
        <v>#N/A</v>
      </c>
    </row>
    <row r="287" spans="1:7" ht="12.75" customHeight="1">
      <c r="A287" s="102">
        <v>1401664</v>
      </c>
      <c r="B287" s="102" t="s">
        <v>4</v>
      </c>
      <c r="C287" s="102" t="s">
        <v>358</v>
      </c>
      <c r="D287" s="102">
        <v>284</v>
      </c>
      <c r="E287" s="102" t="s">
        <v>699</v>
      </c>
      <c r="F287" s="102" t="s">
        <v>700</v>
      </c>
      <c r="G287" s="124" t="e">
        <f>VLOOKUP(A287,survey!$1:$1048576,1,FALSE)</f>
        <v>#N/A</v>
      </c>
    </row>
    <row r="288" spans="1:7" ht="12.75" customHeight="1">
      <c r="A288" s="102">
        <v>1401680</v>
      </c>
      <c r="B288" s="102" t="s">
        <v>4</v>
      </c>
      <c r="C288" s="102" t="s">
        <v>358</v>
      </c>
      <c r="D288" s="102">
        <v>285</v>
      </c>
      <c r="E288" s="102" t="s">
        <v>701</v>
      </c>
      <c r="F288" s="102" t="s">
        <v>609</v>
      </c>
      <c r="G288" s="124" t="e">
        <f>VLOOKUP(A288,survey!$1:$1048576,1,FALSE)</f>
        <v>#N/A</v>
      </c>
    </row>
    <row r="289" spans="1:7" ht="12.75" customHeight="1">
      <c r="A289" s="102">
        <v>1401666</v>
      </c>
      <c r="B289" s="102" t="s">
        <v>4</v>
      </c>
      <c r="C289" s="102" t="s">
        <v>358</v>
      </c>
      <c r="D289" s="102">
        <v>286</v>
      </c>
      <c r="E289" s="102" t="s">
        <v>702</v>
      </c>
      <c r="F289" s="102" t="s">
        <v>545</v>
      </c>
      <c r="G289" s="124" t="e">
        <f>VLOOKUP(A289,survey!$1:$1048576,1,FALSE)</f>
        <v>#N/A</v>
      </c>
    </row>
    <row r="290" spans="1:7" ht="12.75" customHeight="1">
      <c r="A290" s="102">
        <v>1401709</v>
      </c>
      <c r="B290" s="102" t="s">
        <v>4</v>
      </c>
      <c r="C290" s="102" t="s">
        <v>358</v>
      </c>
      <c r="D290" s="102">
        <v>287</v>
      </c>
      <c r="E290" s="102" t="s">
        <v>703</v>
      </c>
      <c r="F290" s="102" t="s">
        <v>455</v>
      </c>
      <c r="G290" s="124" t="e">
        <f>VLOOKUP(A290,survey!$1:$1048576,1,FALSE)</f>
        <v>#N/A</v>
      </c>
    </row>
    <row r="291" spans="1:7" ht="12.75" customHeight="1">
      <c r="A291" s="102">
        <v>1400324</v>
      </c>
      <c r="B291" s="102" t="s">
        <v>4</v>
      </c>
      <c r="C291" s="102" t="s">
        <v>1</v>
      </c>
      <c r="D291" s="102">
        <v>1</v>
      </c>
      <c r="E291" s="102" t="s">
        <v>704</v>
      </c>
      <c r="F291" s="102" t="s">
        <v>358</v>
      </c>
      <c r="G291" s="124" t="e">
        <f>VLOOKUP(A291,survey!$1:$1048576,1,FALSE)</f>
        <v>#N/A</v>
      </c>
    </row>
    <row r="292" spans="1:7" ht="12.75" customHeight="1">
      <c r="A292" s="102">
        <v>1400325</v>
      </c>
      <c r="B292" s="102" t="s">
        <v>4</v>
      </c>
      <c r="C292" s="102" t="s">
        <v>1</v>
      </c>
      <c r="D292" s="102">
        <v>2</v>
      </c>
      <c r="E292" s="102" t="s">
        <v>705</v>
      </c>
      <c r="F292" s="102" t="s">
        <v>706</v>
      </c>
      <c r="G292" s="124" t="e">
        <f>VLOOKUP(A292,survey!$1:$1048576,1,FALSE)</f>
        <v>#N/A</v>
      </c>
    </row>
    <row r="293" spans="1:7" ht="12.75" customHeight="1">
      <c r="A293" s="102">
        <v>1400326</v>
      </c>
      <c r="B293" s="102" t="s">
        <v>4</v>
      </c>
      <c r="C293" s="102" t="s">
        <v>1</v>
      </c>
      <c r="D293" s="102">
        <v>3</v>
      </c>
      <c r="E293" s="102" t="s">
        <v>707</v>
      </c>
      <c r="F293" s="102" t="s">
        <v>708</v>
      </c>
      <c r="G293" s="124" t="e">
        <f>VLOOKUP(A293,survey!$1:$1048576,1,FALSE)</f>
        <v>#N/A</v>
      </c>
    </row>
    <row r="294" spans="1:7" ht="12.75" customHeight="1">
      <c r="A294" s="102">
        <v>1400327</v>
      </c>
      <c r="B294" s="102" t="s">
        <v>4</v>
      </c>
      <c r="C294" s="102" t="s">
        <v>1</v>
      </c>
      <c r="D294" s="102">
        <v>4</v>
      </c>
      <c r="E294" s="102" t="s">
        <v>709</v>
      </c>
      <c r="F294" s="102" t="s">
        <v>710</v>
      </c>
      <c r="G294" s="124" t="e">
        <f>VLOOKUP(A294,survey!$1:$1048576,1,FALSE)</f>
        <v>#N/A</v>
      </c>
    </row>
    <row r="295" spans="1:7" ht="12.75" customHeight="1">
      <c r="A295" s="102">
        <v>1400328</v>
      </c>
      <c r="B295" s="102" t="s">
        <v>4</v>
      </c>
      <c r="C295" s="102" t="s">
        <v>1</v>
      </c>
      <c r="D295" s="102">
        <v>5</v>
      </c>
      <c r="E295" s="102" t="s">
        <v>711</v>
      </c>
      <c r="F295" s="102" t="s">
        <v>396</v>
      </c>
      <c r="G295" s="124" t="e">
        <f>VLOOKUP(A295,survey!$1:$1048576,1,FALSE)</f>
        <v>#N/A</v>
      </c>
    </row>
    <row r="296" spans="1:7" ht="12.75" customHeight="1">
      <c r="A296" s="102">
        <v>1400329</v>
      </c>
      <c r="B296" s="102" t="s">
        <v>4</v>
      </c>
      <c r="C296" s="102" t="s">
        <v>1</v>
      </c>
      <c r="D296" s="102">
        <v>6</v>
      </c>
      <c r="E296" s="102" t="s">
        <v>712</v>
      </c>
      <c r="F296" s="102" t="s">
        <v>713</v>
      </c>
      <c r="G296" s="124" t="e">
        <f>VLOOKUP(A296,survey!$1:$1048576,1,FALSE)</f>
        <v>#N/A</v>
      </c>
    </row>
    <row r="297" spans="1:7" ht="12.75" customHeight="1">
      <c r="A297" s="102">
        <v>1400330</v>
      </c>
      <c r="B297" s="102" t="s">
        <v>4</v>
      </c>
      <c r="C297" s="102" t="s">
        <v>1</v>
      </c>
      <c r="D297" s="102">
        <v>7</v>
      </c>
      <c r="E297" s="102" t="s">
        <v>714</v>
      </c>
      <c r="F297" s="102" t="s">
        <v>715</v>
      </c>
      <c r="G297" s="124" t="e">
        <f>VLOOKUP(A297,survey!$1:$1048576,1,FALSE)</f>
        <v>#N/A</v>
      </c>
    </row>
    <row r="298" spans="1:7" ht="12.75" customHeight="1">
      <c r="A298" s="102">
        <v>1400331</v>
      </c>
      <c r="B298" s="102" t="s">
        <v>4</v>
      </c>
      <c r="C298" s="102" t="s">
        <v>1</v>
      </c>
      <c r="D298" s="102">
        <v>8</v>
      </c>
      <c r="E298" s="102" t="s">
        <v>716</v>
      </c>
      <c r="F298" s="102" t="s">
        <v>713</v>
      </c>
      <c r="G298" s="124" t="e">
        <f>VLOOKUP(A298,survey!$1:$1048576,1,FALSE)</f>
        <v>#N/A</v>
      </c>
    </row>
    <row r="299" spans="1:7" ht="12.75" customHeight="1">
      <c r="A299" s="102">
        <v>1400356</v>
      </c>
      <c r="B299" s="102" t="s">
        <v>4</v>
      </c>
      <c r="C299" s="102" t="s">
        <v>1</v>
      </c>
      <c r="D299" s="102">
        <v>9</v>
      </c>
      <c r="E299" s="102" t="s">
        <v>717</v>
      </c>
      <c r="F299" s="102" t="s">
        <v>718</v>
      </c>
      <c r="G299" s="124" t="e">
        <f>VLOOKUP(A299,survey!$1:$1048576,1,FALSE)</f>
        <v>#N/A</v>
      </c>
    </row>
    <row r="300" spans="1:7" ht="12.75" customHeight="1">
      <c r="A300" s="102">
        <v>1400332</v>
      </c>
      <c r="B300" s="102" t="s">
        <v>4</v>
      </c>
      <c r="C300" s="102" t="s">
        <v>1</v>
      </c>
      <c r="D300" s="102">
        <v>10</v>
      </c>
      <c r="E300" s="102" t="s">
        <v>719</v>
      </c>
      <c r="F300" s="102" t="s">
        <v>720</v>
      </c>
      <c r="G300" s="124" t="e">
        <f>VLOOKUP(A300,survey!$1:$1048576,1,FALSE)</f>
        <v>#N/A</v>
      </c>
    </row>
    <row r="301" spans="1:7" ht="12.75" customHeight="1">
      <c r="A301" s="102">
        <v>1400333</v>
      </c>
      <c r="B301" s="102" t="s">
        <v>4</v>
      </c>
      <c r="C301" s="102" t="s">
        <v>1</v>
      </c>
      <c r="D301" s="102">
        <v>11</v>
      </c>
      <c r="E301" s="102" t="s">
        <v>721</v>
      </c>
      <c r="F301" s="102" t="s">
        <v>722</v>
      </c>
      <c r="G301" s="124" t="e">
        <f>VLOOKUP(A301,survey!$1:$1048576,1,FALSE)</f>
        <v>#N/A</v>
      </c>
    </row>
    <row r="302" spans="1:7" ht="12.75" customHeight="1">
      <c r="A302" s="102">
        <v>1400334</v>
      </c>
      <c r="B302" s="102" t="s">
        <v>4</v>
      </c>
      <c r="C302" s="102" t="s">
        <v>1</v>
      </c>
      <c r="D302" s="102">
        <v>12</v>
      </c>
      <c r="E302" s="102" t="s">
        <v>723</v>
      </c>
      <c r="F302" s="102" t="s">
        <v>396</v>
      </c>
      <c r="G302" s="124" t="e">
        <f>VLOOKUP(A302,survey!$1:$1048576,1,FALSE)</f>
        <v>#N/A</v>
      </c>
    </row>
    <row r="303" spans="1:7" ht="12.75" customHeight="1">
      <c r="A303" s="102">
        <v>1400335</v>
      </c>
      <c r="B303" s="102" t="s">
        <v>4</v>
      </c>
      <c r="C303" s="102" t="s">
        <v>1</v>
      </c>
      <c r="D303" s="102">
        <v>13</v>
      </c>
      <c r="E303" s="102" t="s">
        <v>724</v>
      </c>
      <c r="F303" s="102" t="s">
        <v>720</v>
      </c>
      <c r="G303" s="124" t="e">
        <f>VLOOKUP(A303,survey!$1:$1048576,1,FALSE)</f>
        <v>#N/A</v>
      </c>
    </row>
    <row r="304" spans="1:7" ht="12.75" customHeight="1">
      <c r="A304" s="102">
        <v>1400504</v>
      </c>
      <c r="B304" s="102" t="s">
        <v>4</v>
      </c>
      <c r="C304" s="102" t="s">
        <v>1</v>
      </c>
      <c r="D304" s="102">
        <v>14</v>
      </c>
      <c r="E304" s="102" t="s">
        <v>725</v>
      </c>
      <c r="F304" s="102" t="s">
        <v>708</v>
      </c>
      <c r="G304" s="124" t="e">
        <f>VLOOKUP(A304,survey!$1:$1048576,1,FALSE)</f>
        <v>#N/A</v>
      </c>
    </row>
    <row r="305" spans="1:7" ht="12.75" customHeight="1">
      <c r="A305" s="102">
        <v>1400505</v>
      </c>
      <c r="B305" s="102" t="s">
        <v>4</v>
      </c>
      <c r="C305" s="102" t="s">
        <v>1</v>
      </c>
      <c r="D305" s="102">
        <v>15</v>
      </c>
      <c r="E305" s="102" t="s">
        <v>726</v>
      </c>
      <c r="F305" s="102" t="s">
        <v>720</v>
      </c>
      <c r="G305" s="124" t="e">
        <f>VLOOKUP(A305,survey!$1:$1048576,1,FALSE)</f>
        <v>#N/A</v>
      </c>
    </row>
    <row r="306" spans="1:7" ht="12.75" customHeight="1">
      <c r="A306" s="102">
        <v>1400506</v>
      </c>
      <c r="B306" s="102" t="s">
        <v>4</v>
      </c>
      <c r="C306" s="102" t="s">
        <v>1</v>
      </c>
      <c r="D306" s="102">
        <v>16</v>
      </c>
      <c r="E306" s="102" t="s">
        <v>727</v>
      </c>
      <c r="F306" s="102" t="s">
        <v>728</v>
      </c>
      <c r="G306" s="124" t="e">
        <f>VLOOKUP(A306,survey!$1:$1048576,1,FALSE)</f>
        <v>#N/A</v>
      </c>
    </row>
    <row r="307" spans="1:7" ht="12.75" customHeight="1">
      <c r="A307" s="102">
        <v>1400507</v>
      </c>
      <c r="B307" s="102" t="s">
        <v>4</v>
      </c>
      <c r="C307" s="102" t="s">
        <v>1</v>
      </c>
      <c r="D307" s="102">
        <v>17</v>
      </c>
      <c r="E307" s="102" t="s">
        <v>39</v>
      </c>
      <c r="F307" s="102" t="s">
        <v>729</v>
      </c>
      <c r="G307" s="124">
        <f>VLOOKUP(A307,survey!$1:$1048576,1,FALSE)</f>
        <v>1400507</v>
      </c>
    </row>
    <row r="308" spans="1:7" ht="12.75" customHeight="1">
      <c r="A308" s="102">
        <v>1400508</v>
      </c>
      <c r="B308" s="102" t="s">
        <v>4</v>
      </c>
      <c r="C308" s="102" t="s">
        <v>1</v>
      </c>
      <c r="D308" s="102">
        <v>18</v>
      </c>
      <c r="E308" s="102" t="s">
        <v>730</v>
      </c>
      <c r="F308" s="102" t="s">
        <v>731</v>
      </c>
      <c r="G308" s="124" t="e">
        <f>VLOOKUP(A308,survey!$1:$1048576,1,FALSE)</f>
        <v>#N/A</v>
      </c>
    </row>
    <row r="309" spans="1:7" ht="12.75" customHeight="1">
      <c r="A309" s="102">
        <v>1400509</v>
      </c>
      <c r="B309" s="102" t="s">
        <v>4</v>
      </c>
      <c r="C309" s="102" t="s">
        <v>1</v>
      </c>
      <c r="D309" s="102">
        <v>19</v>
      </c>
      <c r="E309" s="102" t="s">
        <v>732</v>
      </c>
      <c r="F309" s="102" t="s">
        <v>733</v>
      </c>
      <c r="G309" s="124" t="e">
        <f>VLOOKUP(A309,survey!$1:$1048576,1,FALSE)</f>
        <v>#N/A</v>
      </c>
    </row>
    <row r="310" spans="1:7" ht="12.75" customHeight="1">
      <c r="A310" s="102">
        <v>1400510</v>
      </c>
      <c r="B310" s="102" t="s">
        <v>4</v>
      </c>
      <c r="C310" s="102" t="s">
        <v>1</v>
      </c>
      <c r="D310" s="102">
        <v>20</v>
      </c>
      <c r="E310" s="102" t="s">
        <v>734</v>
      </c>
      <c r="F310" s="102" t="s">
        <v>722</v>
      </c>
      <c r="G310" s="124" t="e">
        <f>VLOOKUP(A310,survey!$1:$1048576,1,FALSE)</f>
        <v>#N/A</v>
      </c>
    </row>
    <row r="311" spans="1:7" ht="12.75" customHeight="1">
      <c r="A311" s="102">
        <v>1400511</v>
      </c>
      <c r="B311" s="102" t="s">
        <v>4</v>
      </c>
      <c r="C311" s="102" t="s">
        <v>1</v>
      </c>
      <c r="D311" s="102">
        <v>21</v>
      </c>
      <c r="E311" s="102" t="s">
        <v>735</v>
      </c>
      <c r="F311" s="102" t="s">
        <v>358</v>
      </c>
      <c r="G311" s="124" t="e">
        <f>VLOOKUP(A311,survey!$1:$1048576,1,FALSE)</f>
        <v>#N/A</v>
      </c>
    </row>
    <row r="312" spans="1:7" ht="12.75" customHeight="1">
      <c r="A312" s="102">
        <v>1400512</v>
      </c>
      <c r="B312" s="102" t="s">
        <v>4</v>
      </c>
      <c r="C312" s="102" t="s">
        <v>1</v>
      </c>
      <c r="D312" s="102">
        <v>22</v>
      </c>
      <c r="E312" s="102" t="s">
        <v>736</v>
      </c>
      <c r="F312" s="102" t="s">
        <v>358</v>
      </c>
      <c r="G312" s="124" t="e">
        <f>VLOOKUP(A312,survey!$1:$1048576,1,FALSE)</f>
        <v>#N/A</v>
      </c>
    </row>
    <row r="313" spans="1:7" ht="12.75" customHeight="1">
      <c r="A313" s="102">
        <v>1400514</v>
      </c>
      <c r="B313" s="102" t="s">
        <v>4</v>
      </c>
      <c r="C313" s="102" t="s">
        <v>1</v>
      </c>
      <c r="D313" s="102">
        <v>23</v>
      </c>
      <c r="E313" s="102" t="s">
        <v>737</v>
      </c>
      <c r="F313" s="102" t="s">
        <v>738</v>
      </c>
      <c r="G313" s="124" t="e">
        <f>VLOOKUP(A313,survey!$1:$1048576,1,FALSE)</f>
        <v>#N/A</v>
      </c>
    </row>
    <row r="314" spans="1:7" ht="12.75" customHeight="1">
      <c r="A314" s="102">
        <v>1400689</v>
      </c>
      <c r="B314" s="102" t="s">
        <v>4</v>
      </c>
      <c r="C314" s="102" t="s">
        <v>1</v>
      </c>
      <c r="D314" s="102">
        <v>24</v>
      </c>
      <c r="E314" s="102" t="s">
        <v>739</v>
      </c>
      <c r="F314" s="102" t="s">
        <v>720</v>
      </c>
      <c r="G314" s="124" t="e">
        <f>VLOOKUP(A314,survey!$1:$1048576,1,FALSE)</f>
        <v>#N/A</v>
      </c>
    </row>
    <row r="315" spans="1:7" ht="12.75" customHeight="1">
      <c r="A315" s="102">
        <v>1400839</v>
      </c>
      <c r="B315" s="102" t="s">
        <v>4</v>
      </c>
      <c r="C315" s="102" t="s">
        <v>1</v>
      </c>
      <c r="D315" s="102">
        <v>25</v>
      </c>
      <c r="E315" s="102" t="s">
        <v>740</v>
      </c>
      <c r="F315" s="102" t="s">
        <v>741</v>
      </c>
      <c r="G315" s="124" t="e">
        <f>VLOOKUP(A315,survey!$1:$1048576,1,FALSE)</f>
        <v>#N/A</v>
      </c>
    </row>
    <row r="316" spans="1:7" ht="12.75" customHeight="1">
      <c r="A316" s="102">
        <v>1400840</v>
      </c>
      <c r="B316" s="102" t="s">
        <v>4</v>
      </c>
      <c r="C316" s="102" t="s">
        <v>1</v>
      </c>
      <c r="D316" s="102">
        <v>26</v>
      </c>
      <c r="E316" s="102" t="s">
        <v>742</v>
      </c>
      <c r="F316" s="102" t="s">
        <v>743</v>
      </c>
      <c r="G316" s="124" t="e">
        <f>VLOOKUP(A316,survey!$1:$1048576,1,FALSE)</f>
        <v>#N/A</v>
      </c>
    </row>
    <row r="317" spans="1:7" ht="12.75" customHeight="1">
      <c r="A317" s="102">
        <v>1400841</v>
      </c>
      <c r="B317" s="102" t="s">
        <v>4</v>
      </c>
      <c r="C317" s="102" t="s">
        <v>1</v>
      </c>
      <c r="D317" s="102">
        <v>27</v>
      </c>
      <c r="E317" s="102" t="s">
        <v>744</v>
      </c>
      <c r="F317" s="102" t="s">
        <v>545</v>
      </c>
      <c r="G317" s="124" t="e">
        <f>VLOOKUP(A317,survey!$1:$1048576,1,FALSE)</f>
        <v>#N/A</v>
      </c>
    </row>
    <row r="318" spans="1:7" ht="12.75" customHeight="1">
      <c r="A318" s="102">
        <v>1400842</v>
      </c>
      <c r="B318" s="102" t="s">
        <v>4</v>
      </c>
      <c r="C318" s="102" t="s">
        <v>1</v>
      </c>
      <c r="D318" s="102">
        <v>28</v>
      </c>
      <c r="E318" s="102" t="s">
        <v>745</v>
      </c>
      <c r="F318" s="102" t="s">
        <v>720</v>
      </c>
      <c r="G318" s="124" t="e">
        <f>VLOOKUP(A318,survey!$1:$1048576,1,FALSE)</f>
        <v>#N/A</v>
      </c>
    </row>
    <row r="319" spans="1:7" ht="12.75" customHeight="1">
      <c r="A319" s="102">
        <v>1400843</v>
      </c>
      <c r="B319" s="102" t="s">
        <v>4</v>
      </c>
      <c r="C319" s="102" t="s">
        <v>1</v>
      </c>
      <c r="D319" s="102">
        <v>29</v>
      </c>
      <c r="E319" s="102" t="s">
        <v>746</v>
      </c>
      <c r="F319" s="102" t="s">
        <v>358</v>
      </c>
      <c r="G319" s="124" t="e">
        <f>VLOOKUP(A319,survey!$1:$1048576,1,FALSE)</f>
        <v>#N/A</v>
      </c>
    </row>
    <row r="320" spans="1:7" ht="12.75" customHeight="1">
      <c r="A320" s="102">
        <v>1400930</v>
      </c>
      <c r="B320" s="102" t="s">
        <v>4</v>
      </c>
      <c r="C320" s="102" t="s">
        <v>1</v>
      </c>
      <c r="D320" s="102">
        <v>30</v>
      </c>
      <c r="E320" s="102" t="s">
        <v>747</v>
      </c>
      <c r="F320" s="102" t="s">
        <v>389</v>
      </c>
      <c r="G320" s="124" t="e">
        <f>VLOOKUP(A320,survey!$1:$1048576,1,FALSE)</f>
        <v>#N/A</v>
      </c>
    </row>
    <row r="321" spans="1:7" ht="12.75" customHeight="1">
      <c r="A321" s="102">
        <v>1400931</v>
      </c>
      <c r="B321" s="102" t="s">
        <v>4</v>
      </c>
      <c r="C321" s="102" t="s">
        <v>1</v>
      </c>
      <c r="D321" s="102">
        <v>31</v>
      </c>
      <c r="E321" s="102" t="s">
        <v>748</v>
      </c>
      <c r="F321" s="102" t="s">
        <v>389</v>
      </c>
      <c r="G321" s="124" t="e">
        <f>VLOOKUP(A321,survey!$1:$1048576,1,FALSE)</f>
        <v>#N/A</v>
      </c>
    </row>
    <row r="322" spans="1:7" ht="12.75" customHeight="1">
      <c r="A322" s="102">
        <v>1400932</v>
      </c>
      <c r="B322" s="102" t="s">
        <v>4</v>
      </c>
      <c r="C322" s="102" t="s">
        <v>1</v>
      </c>
      <c r="D322" s="102">
        <v>32</v>
      </c>
      <c r="E322" s="102" t="s">
        <v>749</v>
      </c>
      <c r="F322" s="102" t="s">
        <v>750</v>
      </c>
      <c r="G322" s="124" t="e">
        <f>VLOOKUP(A322,survey!$1:$1048576,1,FALSE)</f>
        <v>#N/A</v>
      </c>
    </row>
    <row r="323" spans="1:7" ht="12.75" customHeight="1">
      <c r="A323" s="102">
        <v>1400933</v>
      </c>
      <c r="B323" s="102" t="s">
        <v>4</v>
      </c>
      <c r="C323" s="102" t="s">
        <v>1</v>
      </c>
      <c r="D323" s="102">
        <v>33</v>
      </c>
      <c r="E323" s="102" t="s">
        <v>751</v>
      </c>
      <c r="F323" s="102" t="s">
        <v>752</v>
      </c>
      <c r="G323" s="124" t="e">
        <f>VLOOKUP(A323,survey!$1:$1048576,1,FALSE)</f>
        <v>#N/A</v>
      </c>
    </row>
    <row r="324" spans="1:7" ht="12.75" customHeight="1">
      <c r="A324" s="102">
        <v>1400994</v>
      </c>
      <c r="B324" s="102" t="s">
        <v>4</v>
      </c>
      <c r="C324" s="102" t="s">
        <v>1</v>
      </c>
      <c r="D324" s="102">
        <v>34</v>
      </c>
      <c r="E324" s="102" t="s">
        <v>753</v>
      </c>
      <c r="F324" s="102" t="s">
        <v>720</v>
      </c>
      <c r="G324" s="124" t="e">
        <f>VLOOKUP(A324,survey!$1:$1048576,1,FALSE)</f>
        <v>#N/A</v>
      </c>
    </row>
    <row r="325" spans="1:7" ht="12.75" customHeight="1">
      <c r="A325" s="102">
        <v>1400994</v>
      </c>
      <c r="B325" s="102" t="s">
        <v>4</v>
      </c>
      <c r="C325" s="102" t="s">
        <v>1</v>
      </c>
      <c r="D325" s="102">
        <v>35</v>
      </c>
      <c r="E325" s="102" t="s">
        <v>754</v>
      </c>
      <c r="F325" s="102" t="s">
        <v>755</v>
      </c>
      <c r="G325" s="124" t="e">
        <f>VLOOKUP(A325,survey!$1:$1048576,1,FALSE)</f>
        <v>#N/A</v>
      </c>
    </row>
    <row r="326" spans="1:7" ht="12.75" customHeight="1">
      <c r="A326" s="102">
        <v>1401066</v>
      </c>
      <c r="B326" s="102" t="s">
        <v>4</v>
      </c>
      <c r="C326" s="102" t="s">
        <v>1</v>
      </c>
      <c r="D326" s="102">
        <v>36</v>
      </c>
      <c r="E326" s="102" t="s">
        <v>756</v>
      </c>
      <c r="F326" s="102" t="s">
        <v>718</v>
      </c>
      <c r="G326" s="124" t="e">
        <f>VLOOKUP(A326,survey!$1:$1048576,1,FALSE)</f>
        <v>#N/A</v>
      </c>
    </row>
    <row r="327" spans="1:7" ht="12.75" customHeight="1">
      <c r="A327" s="102">
        <v>1401088</v>
      </c>
      <c r="B327" s="102" t="s">
        <v>4</v>
      </c>
      <c r="C327" s="102" t="s">
        <v>1</v>
      </c>
      <c r="D327" s="102">
        <v>37</v>
      </c>
      <c r="E327" s="102" t="s">
        <v>757</v>
      </c>
      <c r="F327" s="102" t="s">
        <v>758</v>
      </c>
      <c r="G327" s="124" t="e">
        <f>VLOOKUP(A327,survey!$1:$1048576,1,FALSE)</f>
        <v>#N/A</v>
      </c>
    </row>
    <row r="328" spans="1:7" ht="12.75" customHeight="1">
      <c r="A328" s="102">
        <v>1401090</v>
      </c>
      <c r="B328" s="102" t="s">
        <v>4</v>
      </c>
      <c r="C328" s="102" t="s">
        <v>1</v>
      </c>
      <c r="D328" s="102">
        <v>38</v>
      </c>
      <c r="E328" s="102" t="s">
        <v>759</v>
      </c>
      <c r="F328" s="102" t="s">
        <v>760</v>
      </c>
      <c r="G328" s="124" t="e">
        <f>VLOOKUP(A328,survey!$1:$1048576,1,FALSE)</f>
        <v>#N/A</v>
      </c>
    </row>
    <row r="329" spans="1:7" ht="12.75" customHeight="1">
      <c r="A329" s="102">
        <v>1401091</v>
      </c>
      <c r="B329" s="102" t="s">
        <v>4</v>
      </c>
      <c r="C329" s="102" t="s">
        <v>1</v>
      </c>
      <c r="D329" s="102">
        <v>39</v>
      </c>
      <c r="E329" s="102" t="s">
        <v>761</v>
      </c>
      <c r="F329" s="102" t="s">
        <v>762</v>
      </c>
      <c r="G329" s="124" t="e">
        <f>VLOOKUP(A329,survey!$1:$1048576,1,FALSE)</f>
        <v>#N/A</v>
      </c>
    </row>
    <row r="330" spans="1:7" ht="12.75" customHeight="1">
      <c r="A330" s="102">
        <v>1401133</v>
      </c>
      <c r="B330" s="102" t="s">
        <v>4</v>
      </c>
      <c r="C330" s="102" t="s">
        <v>1</v>
      </c>
      <c r="D330" s="102">
        <v>40</v>
      </c>
      <c r="E330" s="102" t="s">
        <v>763</v>
      </c>
      <c r="F330" s="102" t="s">
        <v>764</v>
      </c>
      <c r="G330" s="124" t="e">
        <f>VLOOKUP(A330,survey!$1:$1048576,1,FALSE)</f>
        <v>#N/A</v>
      </c>
    </row>
    <row r="331" spans="1:7" ht="12.75" customHeight="1">
      <c r="A331" s="102">
        <v>1401134</v>
      </c>
      <c r="B331" s="102" t="s">
        <v>4</v>
      </c>
      <c r="C331" s="102" t="s">
        <v>1</v>
      </c>
      <c r="D331" s="102">
        <v>41</v>
      </c>
      <c r="E331" s="102" t="s">
        <v>765</v>
      </c>
      <c r="F331" s="102" t="s">
        <v>766</v>
      </c>
      <c r="G331" s="124" t="e">
        <f>VLOOKUP(A331,survey!$1:$1048576,1,FALSE)</f>
        <v>#N/A</v>
      </c>
    </row>
    <row r="332" spans="1:7" ht="12.75" customHeight="1">
      <c r="A332" s="102">
        <v>1401189</v>
      </c>
      <c r="B332" s="102" t="s">
        <v>4</v>
      </c>
      <c r="C332" s="102" t="s">
        <v>1</v>
      </c>
      <c r="D332" s="102">
        <v>42</v>
      </c>
      <c r="E332" s="102" t="s">
        <v>767</v>
      </c>
      <c r="F332" s="102" t="s">
        <v>758</v>
      </c>
      <c r="G332" s="124" t="e">
        <f>VLOOKUP(A332,survey!$1:$1048576,1,FALSE)</f>
        <v>#N/A</v>
      </c>
    </row>
    <row r="333" spans="1:7" ht="12.75" customHeight="1">
      <c r="A333" s="102">
        <v>1401269</v>
      </c>
      <c r="B333" s="102" t="s">
        <v>4</v>
      </c>
      <c r="C333" s="102" t="s">
        <v>1</v>
      </c>
      <c r="D333" s="102">
        <v>43</v>
      </c>
      <c r="E333" s="102" t="s">
        <v>768</v>
      </c>
      <c r="F333" s="102" t="s">
        <v>769</v>
      </c>
      <c r="G333" s="124" t="e">
        <f>VLOOKUP(A333,survey!$1:$1048576,1,FALSE)</f>
        <v>#N/A</v>
      </c>
    </row>
    <row r="334" spans="1:7" ht="12.75" customHeight="1">
      <c r="A334" s="102">
        <v>1401276</v>
      </c>
      <c r="B334" s="102" t="s">
        <v>4</v>
      </c>
      <c r="C334" s="102" t="s">
        <v>1</v>
      </c>
      <c r="D334" s="102">
        <v>44</v>
      </c>
      <c r="E334" s="102" t="s">
        <v>770</v>
      </c>
      <c r="F334" s="102" t="s">
        <v>771</v>
      </c>
      <c r="G334" s="124" t="e">
        <f>VLOOKUP(A334,survey!$1:$1048576,1,FALSE)</f>
        <v>#N/A</v>
      </c>
    </row>
    <row r="335" spans="1:7" ht="12.75" customHeight="1">
      <c r="A335" s="102">
        <v>1401447</v>
      </c>
      <c r="B335" s="102" t="s">
        <v>4</v>
      </c>
      <c r="C335" s="102" t="s">
        <v>1</v>
      </c>
      <c r="D335" s="102">
        <v>45</v>
      </c>
      <c r="E335" s="102" t="s">
        <v>772</v>
      </c>
      <c r="F335" s="102" t="s">
        <v>773</v>
      </c>
      <c r="G335" s="124" t="e">
        <f>VLOOKUP(A335,survey!$1:$1048576,1,FALSE)</f>
        <v>#N/A</v>
      </c>
    </row>
    <row r="336" spans="1:7" ht="12.75" customHeight="1">
      <c r="A336" s="102">
        <v>1401542</v>
      </c>
      <c r="B336" s="102" t="s">
        <v>4</v>
      </c>
      <c r="C336" s="102" t="s">
        <v>1</v>
      </c>
      <c r="D336" s="102">
        <v>46</v>
      </c>
      <c r="E336" s="102" t="s">
        <v>774</v>
      </c>
      <c r="F336" s="102" t="s">
        <v>389</v>
      </c>
      <c r="G336" s="124" t="e">
        <f>VLOOKUP(A336,survey!$1:$1048576,1,FALSE)</f>
        <v>#N/A</v>
      </c>
    </row>
    <row r="337" spans="1:7" ht="12.75" customHeight="1">
      <c r="A337" s="102">
        <v>1401543</v>
      </c>
      <c r="B337" s="102" t="s">
        <v>4</v>
      </c>
      <c r="C337" s="102" t="s">
        <v>1</v>
      </c>
      <c r="D337" s="102">
        <v>47</v>
      </c>
      <c r="E337" s="102" t="s">
        <v>775</v>
      </c>
      <c r="F337" s="102" t="s">
        <v>776</v>
      </c>
      <c r="G337" s="124" t="e">
        <f>VLOOKUP(A337,survey!$1:$1048576,1,FALSE)</f>
        <v>#N/A</v>
      </c>
    </row>
    <row r="338" spans="1:7" ht="12.75" customHeight="1">
      <c r="A338" s="102">
        <v>1401454</v>
      </c>
      <c r="B338" s="102" t="s">
        <v>4</v>
      </c>
      <c r="C338" s="102" t="s">
        <v>1</v>
      </c>
      <c r="D338" s="102">
        <v>48</v>
      </c>
      <c r="E338" s="102" t="s">
        <v>777</v>
      </c>
      <c r="F338" s="102" t="s">
        <v>778</v>
      </c>
      <c r="G338" s="124" t="e">
        <f>VLOOKUP(A338,survey!$1:$1048576,1,FALSE)</f>
        <v>#N/A</v>
      </c>
    </row>
    <row r="339" spans="1:7" ht="12.75" customHeight="1">
      <c r="A339" s="102">
        <v>1400336</v>
      </c>
      <c r="B339" s="102" t="s">
        <v>4</v>
      </c>
      <c r="C339" s="102" t="s">
        <v>779</v>
      </c>
      <c r="D339" s="102">
        <v>1</v>
      </c>
      <c r="E339" s="102" t="s">
        <v>780</v>
      </c>
      <c r="F339" s="102" t="s">
        <v>87</v>
      </c>
      <c r="G339" s="124" t="e">
        <f>VLOOKUP(A339,survey!$1:$1048576,1,FALSE)</f>
        <v>#N/A</v>
      </c>
    </row>
    <row r="340" spans="1:7" ht="12.75" customHeight="1">
      <c r="A340" s="102">
        <v>1400322</v>
      </c>
      <c r="B340" s="102" t="s">
        <v>4</v>
      </c>
      <c r="C340" s="102" t="s">
        <v>781</v>
      </c>
      <c r="D340" s="102">
        <v>1</v>
      </c>
      <c r="E340" s="102" t="s">
        <v>782</v>
      </c>
      <c r="F340" s="102" t="s">
        <v>783</v>
      </c>
      <c r="G340" s="124" t="e">
        <f>VLOOKUP(A340,survey!$1:$1048576,1,FALSE)</f>
        <v>#N/A</v>
      </c>
    </row>
    <row r="341" spans="1:7" ht="12.75" customHeight="1">
      <c r="A341" s="102">
        <v>1400323</v>
      </c>
      <c r="B341" s="102" t="s">
        <v>4</v>
      </c>
      <c r="C341" s="102" t="s">
        <v>781</v>
      </c>
      <c r="D341" s="102">
        <v>2</v>
      </c>
      <c r="E341" s="102" t="s">
        <v>784</v>
      </c>
      <c r="F341" s="102" t="s">
        <v>783</v>
      </c>
      <c r="G341" s="124" t="e">
        <f>VLOOKUP(A341,survey!$1:$1048576,1,FALSE)</f>
        <v>#N/A</v>
      </c>
    </row>
    <row r="342" spans="1:7" ht="12.75" customHeight="1">
      <c r="A342" s="102">
        <v>1400546</v>
      </c>
      <c r="B342" s="102" t="s">
        <v>4</v>
      </c>
      <c r="C342" s="102" t="s">
        <v>781</v>
      </c>
      <c r="D342" s="102">
        <v>3</v>
      </c>
      <c r="E342" s="102" t="s">
        <v>785</v>
      </c>
      <c r="F342" s="102" t="s">
        <v>783</v>
      </c>
      <c r="G342" s="124" t="e">
        <f>VLOOKUP(A342,survey!$1:$1048576,1,FALSE)</f>
        <v>#N/A</v>
      </c>
    </row>
    <row r="343" spans="1:7" ht="12.75" customHeight="1">
      <c r="A343" s="102">
        <v>1400547</v>
      </c>
      <c r="B343" s="102" t="s">
        <v>4</v>
      </c>
      <c r="C343" s="102" t="s">
        <v>781</v>
      </c>
      <c r="D343" s="102">
        <v>4</v>
      </c>
      <c r="E343" s="102" t="s">
        <v>786</v>
      </c>
      <c r="F343" s="102" t="s">
        <v>358</v>
      </c>
      <c r="G343" s="124" t="e">
        <f>VLOOKUP(A343,survey!$1:$1048576,1,FALSE)</f>
        <v>#N/A</v>
      </c>
    </row>
    <row r="344" spans="1:7" ht="12.75" customHeight="1">
      <c r="A344" s="102">
        <v>1400549</v>
      </c>
      <c r="B344" s="102" t="s">
        <v>4</v>
      </c>
      <c r="C344" s="102" t="s">
        <v>781</v>
      </c>
      <c r="D344" s="102">
        <v>5</v>
      </c>
      <c r="E344" s="102" t="s">
        <v>787</v>
      </c>
      <c r="F344" s="102" t="s">
        <v>358</v>
      </c>
      <c r="G344" s="124" t="e">
        <f>VLOOKUP(A344,survey!$1:$1048576,1,FALSE)</f>
        <v>#N/A</v>
      </c>
    </row>
    <row r="345" spans="1:7" ht="12.75" customHeight="1">
      <c r="A345" s="102">
        <v>1400717</v>
      </c>
      <c r="B345" s="102" t="s">
        <v>4</v>
      </c>
      <c r="C345" s="102" t="s">
        <v>781</v>
      </c>
      <c r="D345" s="102">
        <v>6</v>
      </c>
      <c r="E345" s="102" t="s">
        <v>781</v>
      </c>
      <c r="F345" s="102" t="s">
        <v>358</v>
      </c>
      <c r="G345" s="124" t="e">
        <f>VLOOKUP(A345,survey!$1:$1048576,1,FALSE)</f>
        <v>#N/A</v>
      </c>
    </row>
    <row r="346" spans="1:7" ht="12.75" customHeight="1">
      <c r="A346" s="102">
        <v>1400749</v>
      </c>
      <c r="B346" s="102" t="s">
        <v>4</v>
      </c>
      <c r="C346" s="102" t="s">
        <v>781</v>
      </c>
      <c r="D346" s="102">
        <v>7</v>
      </c>
      <c r="E346" s="102" t="s">
        <v>788</v>
      </c>
      <c r="F346" s="102" t="s">
        <v>358</v>
      </c>
      <c r="G346" s="124" t="e">
        <f>VLOOKUP(A346,survey!$1:$1048576,1,FALSE)</f>
        <v>#N/A</v>
      </c>
    </row>
    <row r="347" spans="1:7" ht="12.75" customHeight="1">
      <c r="A347" s="102">
        <v>1400803</v>
      </c>
      <c r="B347" s="102" t="s">
        <v>4</v>
      </c>
      <c r="C347" s="102" t="s">
        <v>781</v>
      </c>
      <c r="D347" s="102">
        <v>8</v>
      </c>
      <c r="E347" s="102" t="s">
        <v>789</v>
      </c>
      <c r="F347" s="102" t="s">
        <v>358</v>
      </c>
      <c r="G347" s="124" t="e">
        <f>VLOOKUP(A347,survey!$1:$1048576,1,FALSE)</f>
        <v>#N/A</v>
      </c>
    </row>
    <row r="348" spans="1:7" ht="12.75" customHeight="1">
      <c r="A348" s="102">
        <v>1401142</v>
      </c>
      <c r="B348" s="102" t="s">
        <v>4</v>
      </c>
      <c r="C348" s="102" t="s">
        <v>781</v>
      </c>
      <c r="D348" s="102">
        <v>9</v>
      </c>
      <c r="E348" s="102" t="s">
        <v>790</v>
      </c>
      <c r="F348" s="102" t="s">
        <v>358</v>
      </c>
      <c r="G348" s="124" t="e">
        <f>VLOOKUP(A348,survey!$1:$1048576,1,FALSE)</f>
        <v>#N/A</v>
      </c>
    </row>
    <row r="349" spans="1:7" ht="12.75" customHeight="1">
      <c r="A349" s="102">
        <v>1401143</v>
      </c>
      <c r="B349" s="102" t="s">
        <v>4</v>
      </c>
      <c r="C349" s="102" t="s">
        <v>781</v>
      </c>
      <c r="D349" s="102">
        <v>10</v>
      </c>
      <c r="E349" s="102" t="s">
        <v>791</v>
      </c>
      <c r="F349" s="102" t="s">
        <v>358</v>
      </c>
      <c r="G349" s="124" t="e">
        <f>VLOOKUP(A349,survey!$1:$1048576,1,FALSE)</f>
        <v>#N/A</v>
      </c>
    </row>
    <row r="350" spans="1:7" ht="12.75" customHeight="1">
      <c r="A350" s="102">
        <v>1401144</v>
      </c>
      <c r="B350" s="102" t="s">
        <v>4</v>
      </c>
      <c r="C350" s="102" t="s">
        <v>781</v>
      </c>
      <c r="D350" s="102">
        <v>11</v>
      </c>
      <c r="E350" s="102" t="s">
        <v>792</v>
      </c>
      <c r="F350" s="102" t="s">
        <v>358</v>
      </c>
      <c r="G350" s="124" t="e">
        <f>VLOOKUP(A350,survey!$1:$1048576,1,FALSE)</f>
        <v>#N/A</v>
      </c>
    </row>
    <row r="351" spans="1:7" ht="12.75" customHeight="1">
      <c r="A351" s="102">
        <v>1401224</v>
      </c>
      <c r="B351" s="102" t="s">
        <v>4</v>
      </c>
      <c r="C351" s="102" t="s">
        <v>781</v>
      </c>
      <c r="D351" s="102">
        <v>12</v>
      </c>
      <c r="E351" s="102" t="s">
        <v>793</v>
      </c>
      <c r="F351" s="102" t="s">
        <v>358</v>
      </c>
      <c r="G351" s="124" t="e">
        <f>VLOOKUP(A351,survey!$1:$1048576,1,FALSE)</f>
        <v>#N/A</v>
      </c>
    </row>
    <row r="352" spans="1:7" ht="12.75" customHeight="1">
      <c r="A352" s="102">
        <v>1401225</v>
      </c>
      <c r="B352" s="102" t="s">
        <v>4</v>
      </c>
      <c r="C352" s="102" t="s">
        <v>781</v>
      </c>
      <c r="D352" s="102">
        <v>13</v>
      </c>
      <c r="E352" s="102" t="s">
        <v>794</v>
      </c>
      <c r="F352" s="102" t="s">
        <v>358</v>
      </c>
      <c r="G352" s="124" t="e">
        <f>VLOOKUP(A352,survey!$1:$1048576,1,FALSE)</f>
        <v>#N/A</v>
      </c>
    </row>
    <row r="353" spans="1:7" ht="12.75" customHeight="1">
      <c r="A353" s="102">
        <v>1401314</v>
      </c>
      <c r="B353" s="102" t="s">
        <v>4</v>
      </c>
      <c r="C353" s="102" t="s">
        <v>781</v>
      </c>
      <c r="D353" s="102">
        <v>14</v>
      </c>
      <c r="E353" s="102" t="s">
        <v>795</v>
      </c>
      <c r="F353" s="102" t="s">
        <v>358</v>
      </c>
      <c r="G353" s="124" t="e">
        <f>VLOOKUP(A353,survey!$1:$1048576,1,FALSE)</f>
        <v>#N/A</v>
      </c>
    </row>
    <row r="354" spans="1:7" ht="12.75" customHeight="1">
      <c r="A354" s="102">
        <v>1401386</v>
      </c>
      <c r="B354" s="102" t="s">
        <v>4</v>
      </c>
      <c r="C354" s="102" t="s">
        <v>781</v>
      </c>
      <c r="D354" s="102">
        <v>15</v>
      </c>
      <c r="E354" s="102" t="s">
        <v>796</v>
      </c>
      <c r="F354" s="102" t="s">
        <v>358</v>
      </c>
      <c r="G354" s="124" t="e">
        <f>VLOOKUP(A354,survey!$1:$1048576,1,FALSE)</f>
        <v>#N/A</v>
      </c>
    </row>
    <row r="355" spans="1:7" ht="12.75" customHeight="1">
      <c r="A355" s="102">
        <v>1401474</v>
      </c>
      <c r="B355" s="102" t="s">
        <v>4</v>
      </c>
      <c r="C355" s="102" t="s">
        <v>781</v>
      </c>
      <c r="D355" s="102">
        <v>16</v>
      </c>
      <c r="E355" s="102" t="s">
        <v>797</v>
      </c>
      <c r="F355" s="102" t="s">
        <v>358</v>
      </c>
      <c r="G355" s="124" t="e">
        <f>VLOOKUP(A355,survey!$1:$1048576,1,FALSE)</f>
        <v>#N/A</v>
      </c>
    </row>
    <row r="356" spans="1:7" ht="12.75" customHeight="1">
      <c r="A356" s="102">
        <v>1400716</v>
      </c>
      <c r="B356" s="102" t="s">
        <v>4</v>
      </c>
      <c r="C356" s="102" t="s">
        <v>781</v>
      </c>
      <c r="D356" s="102">
        <v>17</v>
      </c>
      <c r="E356" s="102" t="s">
        <v>798</v>
      </c>
      <c r="F356" s="102" t="s">
        <v>358</v>
      </c>
      <c r="G356" s="124" t="e">
        <f>VLOOKUP(A356,survey!$1:$1048576,1,FALSE)</f>
        <v>#N/A</v>
      </c>
    </row>
    <row r="357" spans="1:7" ht="12.75" customHeight="1">
      <c r="A357" s="102">
        <v>1401001</v>
      </c>
      <c r="B357" s="102" t="s">
        <v>4</v>
      </c>
      <c r="C357" s="102" t="s">
        <v>781</v>
      </c>
      <c r="D357" s="102">
        <v>18</v>
      </c>
      <c r="E357" s="102" t="s">
        <v>799</v>
      </c>
      <c r="F357" s="102" t="s">
        <v>358</v>
      </c>
      <c r="G357" s="124" t="e">
        <f>VLOOKUP(A357,survey!$1:$1048576,1,FALSE)</f>
        <v>#N/A</v>
      </c>
    </row>
    <row r="358" spans="1:7" ht="12.75" customHeight="1">
      <c r="A358" s="102">
        <v>1401544</v>
      </c>
      <c r="B358" s="102" t="s">
        <v>4</v>
      </c>
      <c r="C358" s="102" t="s">
        <v>781</v>
      </c>
      <c r="D358" s="102">
        <v>19</v>
      </c>
      <c r="E358" s="102" t="s">
        <v>800</v>
      </c>
      <c r="F358" s="102" t="s">
        <v>358</v>
      </c>
      <c r="G358" s="124" t="e">
        <f>VLOOKUP(A358,survey!$1:$1048576,1,FALSE)</f>
        <v>#N/A</v>
      </c>
    </row>
    <row r="359" spans="1:7" ht="12.75" customHeight="1">
      <c r="A359" s="102">
        <v>1401685</v>
      </c>
      <c r="B359" s="102" t="s">
        <v>4</v>
      </c>
      <c r="C359" s="102" t="s">
        <v>781</v>
      </c>
      <c r="D359" s="102">
        <v>20</v>
      </c>
      <c r="E359" s="102" t="s">
        <v>801</v>
      </c>
      <c r="F359" s="102" t="s">
        <v>358</v>
      </c>
      <c r="G359" s="124" t="e">
        <f>VLOOKUP(A359,survey!$1:$1048576,1,FALSE)</f>
        <v>#N/A</v>
      </c>
    </row>
    <row r="360" spans="1:7" ht="12.75" customHeight="1">
      <c r="A360" s="102">
        <v>1401501</v>
      </c>
      <c r="B360" s="102" t="s">
        <v>4</v>
      </c>
      <c r="C360" s="102" t="s">
        <v>781</v>
      </c>
      <c r="D360" s="102">
        <v>21</v>
      </c>
      <c r="E360" s="102" t="s">
        <v>802</v>
      </c>
      <c r="F360" s="102" t="s">
        <v>358</v>
      </c>
      <c r="G360" s="124" t="e">
        <f>VLOOKUP(A360,survey!$1:$1048576,1,FALSE)</f>
        <v>#N/A</v>
      </c>
    </row>
    <row r="361" spans="1:7" ht="12.75" customHeight="1">
      <c r="A361" s="102">
        <v>1400187</v>
      </c>
      <c r="B361" s="102" t="s">
        <v>4</v>
      </c>
      <c r="C361" s="102" t="s">
        <v>803</v>
      </c>
      <c r="D361" s="102">
        <v>1</v>
      </c>
      <c r="E361" s="102" t="s">
        <v>804</v>
      </c>
      <c r="F361" s="102" t="s">
        <v>805</v>
      </c>
      <c r="G361" s="124" t="e">
        <f>VLOOKUP(A361,survey!$1:$1048576,1,FALSE)</f>
        <v>#N/A</v>
      </c>
    </row>
    <row r="362" spans="1:7" ht="12.75" customHeight="1">
      <c r="A362" s="102">
        <v>1400192</v>
      </c>
      <c r="B362" s="102" t="s">
        <v>4</v>
      </c>
      <c r="C362" s="102" t="s">
        <v>803</v>
      </c>
      <c r="D362" s="102">
        <v>2</v>
      </c>
      <c r="E362" s="102" t="s">
        <v>806</v>
      </c>
      <c r="F362" s="102" t="s">
        <v>807</v>
      </c>
      <c r="G362" s="124" t="e">
        <f>VLOOKUP(A362,survey!$1:$1048576,1,FALSE)</f>
        <v>#N/A</v>
      </c>
    </row>
    <row r="363" spans="1:7" ht="12.75" customHeight="1">
      <c r="A363" s="102">
        <v>1400837</v>
      </c>
      <c r="B363" s="102" t="s">
        <v>4</v>
      </c>
      <c r="C363" s="102" t="s">
        <v>803</v>
      </c>
      <c r="D363" s="102">
        <v>3</v>
      </c>
      <c r="E363" s="102" t="s">
        <v>808</v>
      </c>
      <c r="F363" s="102" t="s">
        <v>809</v>
      </c>
      <c r="G363" s="124" t="e">
        <f>VLOOKUP(A363,survey!$1:$1048576,1,FALSE)</f>
        <v>#N/A</v>
      </c>
    </row>
    <row r="364" spans="1:7" ht="12.75" customHeight="1">
      <c r="A364" s="102">
        <v>1400992</v>
      </c>
      <c r="B364" s="102" t="s">
        <v>4</v>
      </c>
      <c r="C364" s="102" t="s">
        <v>803</v>
      </c>
      <c r="D364" s="102">
        <v>4</v>
      </c>
      <c r="E364" s="102" t="s">
        <v>810</v>
      </c>
      <c r="F364" s="102" t="s">
        <v>807</v>
      </c>
      <c r="G364" s="124" t="e">
        <f>VLOOKUP(A364,survey!$1:$1048576,1,FALSE)</f>
        <v>#N/A</v>
      </c>
    </row>
    <row r="365" spans="1:7" ht="12.75" customHeight="1">
      <c r="A365" s="102">
        <v>1401129</v>
      </c>
      <c r="B365" s="102" t="s">
        <v>4</v>
      </c>
      <c r="C365" s="102" t="s">
        <v>803</v>
      </c>
      <c r="D365" s="102">
        <v>5</v>
      </c>
      <c r="E365" s="102" t="s">
        <v>811</v>
      </c>
      <c r="F365" s="102" t="s">
        <v>783</v>
      </c>
      <c r="G365" s="124" t="e">
        <f>VLOOKUP(A365,survey!$1:$1048576,1,FALSE)</f>
        <v>#N/A</v>
      </c>
    </row>
    <row r="366" spans="1:7" ht="12.75" customHeight="1">
      <c r="A366" s="102">
        <v>1401577</v>
      </c>
      <c r="B366" s="102" t="s">
        <v>4</v>
      </c>
      <c r="C366" s="102" t="s">
        <v>803</v>
      </c>
      <c r="D366" s="102">
        <v>6</v>
      </c>
      <c r="E366" s="102" t="s">
        <v>812</v>
      </c>
      <c r="F366" s="102" t="s">
        <v>358</v>
      </c>
      <c r="G366" s="124" t="e">
        <f>VLOOKUP(A366,survey!$1:$1048576,1,FALSE)</f>
        <v>#N/A</v>
      </c>
    </row>
    <row r="367" spans="1:7" ht="12.75" customHeight="1">
      <c r="A367" s="102">
        <v>1401130</v>
      </c>
      <c r="B367" s="102" t="s">
        <v>4</v>
      </c>
      <c r="C367" s="102" t="s">
        <v>803</v>
      </c>
      <c r="D367" s="102">
        <v>7</v>
      </c>
      <c r="E367" s="102" t="s">
        <v>813</v>
      </c>
      <c r="F367" s="102" t="s">
        <v>783</v>
      </c>
      <c r="G367" s="124" t="e">
        <f>VLOOKUP(A367,survey!$1:$1048576,1,FALSE)</f>
        <v>#N/A</v>
      </c>
    </row>
    <row r="368" spans="1:7" ht="12.75" customHeight="1">
      <c r="A368" s="102">
        <v>1400337</v>
      </c>
      <c r="B368" s="102" t="s">
        <v>814</v>
      </c>
      <c r="C368" s="102" t="s">
        <v>358</v>
      </c>
      <c r="D368" s="102">
        <v>1</v>
      </c>
      <c r="E368" s="102" t="s">
        <v>815</v>
      </c>
      <c r="F368" s="102" t="s">
        <v>816</v>
      </c>
      <c r="G368" s="124" t="e">
        <f>VLOOKUP(A368,survey!$1:$1048576,1,FALSE)</f>
        <v>#N/A</v>
      </c>
    </row>
    <row r="369" spans="1:7" ht="12.75" customHeight="1">
      <c r="A369" s="102">
        <v>1400338</v>
      </c>
      <c r="B369" s="102" t="s">
        <v>814</v>
      </c>
      <c r="C369" s="102" t="s">
        <v>358</v>
      </c>
      <c r="D369" s="102">
        <v>2</v>
      </c>
      <c r="E369" s="102" t="s">
        <v>817</v>
      </c>
      <c r="F369" s="102" t="s">
        <v>818</v>
      </c>
      <c r="G369" s="124" t="e">
        <f>VLOOKUP(A369,survey!$1:$1048576,1,FALSE)</f>
        <v>#N/A</v>
      </c>
    </row>
    <row r="370" spans="1:7" ht="12.75" customHeight="1">
      <c r="A370" s="102">
        <v>1400339</v>
      </c>
      <c r="B370" s="102" t="s">
        <v>814</v>
      </c>
      <c r="C370" s="102" t="s">
        <v>358</v>
      </c>
      <c r="D370" s="102">
        <v>3</v>
      </c>
      <c r="E370" s="102" t="s">
        <v>819</v>
      </c>
      <c r="F370" s="102" t="s">
        <v>816</v>
      </c>
      <c r="G370" s="124" t="e">
        <f>VLOOKUP(A370,survey!$1:$1048576,1,FALSE)</f>
        <v>#N/A</v>
      </c>
    </row>
    <row r="371" spans="1:7" ht="12.75" customHeight="1">
      <c r="A371" s="102">
        <v>1400340</v>
      </c>
      <c r="B371" s="102" t="s">
        <v>814</v>
      </c>
      <c r="C371" s="102" t="s">
        <v>358</v>
      </c>
      <c r="D371" s="102">
        <v>4</v>
      </c>
      <c r="E371" s="102" t="s">
        <v>820</v>
      </c>
      <c r="F371" s="102" t="s">
        <v>821</v>
      </c>
      <c r="G371" s="124" t="e">
        <f>VLOOKUP(A371,survey!$1:$1048576,1,FALSE)</f>
        <v>#N/A</v>
      </c>
    </row>
    <row r="372" spans="1:7" ht="12.75" customHeight="1">
      <c r="A372" s="102">
        <v>1400342</v>
      </c>
      <c r="B372" s="102" t="s">
        <v>814</v>
      </c>
      <c r="C372" s="102" t="s">
        <v>358</v>
      </c>
      <c r="D372" s="102">
        <v>5</v>
      </c>
      <c r="E372" s="102" t="s">
        <v>822</v>
      </c>
      <c r="F372" s="102" t="s">
        <v>823</v>
      </c>
      <c r="G372" s="124" t="e">
        <f>VLOOKUP(A372,survey!$1:$1048576,1,FALSE)</f>
        <v>#N/A</v>
      </c>
    </row>
    <row r="373" spans="1:7" ht="12.75" customHeight="1">
      <c r="A373" s="102">
        <v>1400343</v>
      </c>
      <c r="B373" s="102" t="s">
        <v>814</v>
      </c>
      <c r="C373" s="102" t="s">
        <v>358</v>
      </c>
      <c r="D373" s="102">
        <v>6</v>
      </c>
      <c r="E373" s="102" t="s">
        <v>824</v>
      </c>
      <c r="F373" s="102" t="s">
        <v>825</v>
      </c>
      <c r="G373" s="124" t="e">
        <f>VLOOKUP(A373,survey!$1:$1048576,1,FALSE)</f>
        <v>#N/A</v>
      </c>
    </row>
    <row r="374" spans="1:7" ht="12.75" customHeight="1">
      <c r="A374" s="102">
        <v>1400344</v>
      </c>
      <c r="B374" s="102" t="s">
        <v>814</v>
      </c>
      <c r="C374" s="102" t="s">
        <v>358</v>
      </c>
      <c r="D374" s="102">
        <v>7</v>
      </c>
      <c r="E374" s="102" t="s">
        <v>826</v>
      </c>
      <c r="F374" s="102" t="s">
        <v>827</v>
      </c>
      <c r="G374" s="124" t="e">
        <f>VLOOKUP(A374,survey!$1:$1048576,1,FALSE)</f>
        <v>#N/A</v>
      </c>
    </row>
    <row r="375" spans="1:7" ht="12.75" customHeight="1">
      <c r="A375" s="102">
        <v>1400345</v>
      </c>
      <c r="B375" s="102" t="s">
        <v>814</v>
      </c>
      <c r="C375" s="102" t="s">
        <v>358</v>
      </c>
      <c r="D375" s="102">
        <v>8</v>
      </c>
      <c r="E375" s="102" t="s">
        <v>828</v>
      </c>
      <c r="F375" s="102" t="s">
        <v>829</v>
      </c>
      <c r="G375" s="124" t="e">
        <f>VLOOKUP(A375,survey!$1:$1048576,1,FALSE)</f>
        <v>#N/A</v>
      </c>
    </row>
    <row r="376" spans="1:7" ht="12.75" customHeight="1">
      <c r="A376" s="102">
        <v>1400346</v>
      </c>
      <c r="B376" s="102" t="s">
        <v>814</v>
      </c>
      <c r="C376" s="102" t="s">
        <v>358</v>
      </c>
      <c r="D376" s="102">
        <v>9</v>
      </c>
      <c r="E376" s="102" t="s">
        <v>830</v>
      </c>
      <c r="F376" s="102" t="s">
        <v>831</v>
      </c>
      <c r="G376" s="124" t="e">
        <f>VLOOKUP(A376,survey!$1:$1048576,1,FALSE)</f>
        <v>#N/A</v>
      </c>
    </row>
    <row r="377" spans="1:7" ht="12.75" customHeight="1">
      <c r="A377" s="102">
        <v>1400347</v>
      </c>
      <c r="B377" s="102" t="s">
        <v>814</v>
      </c>
      <c r="C377" s="102" t="s">
        <v>358</v>
      </c>
      <c r="D377" s="102">
        <v>10</v>
      </c>
      <c r="E377" s="102" t="s">
        <v>832</v>
      </c>
      <c r="F377" s="102" t="s">
        <v>833</v>
      </c>
      <c r="G377" s="124" t="e">
        <f>VLOOKUP(A377,survey!$1:$1048576,1,FALSE)</f>
        <v>#N/A</v>
      </c>
    </row>
    <row r="378" spans="1:7" ht="12.75" customHeight="1">
      <c r="A378" s="102">
        <v>1400348</v>
      </c>
      <c r="B378" s="102" t="s">
        <v>814</v>
      </c>
      <c r="C378" s="102" t="s">
        <v>358</v>
      </c>
      <c r="D378" s="102">
        <v>11</v>
      </c>
      <c r="E378" s="102" t="s">
        <v>834</v>
      </c>
      <c r="F378" s="102" t="s">
        <v>435</v>
      </c>
      <c r="G378" s="124" t="e">
        <f>VLOOKUP(A378,survey!$1:$1048576,1,FALSE)</f>
        <v>#N/A</v>
      </c>
    </row>
    <row r="379" spans="1:7" ht="12.75" customHeight="1">
      <c r="A379" s="102">
        <v>1400349</v>
      </c>
      <c r="B379" s="102" t="s">
        <v>814</v>
      </c>
      <c r="C379" s="102" t="s">
        <v>358</v>
      </c>
      <c r="D379" s="102">
        <v>12</v>
      </c>
      <c r="E379" s="102" t="s">
        <v>835</v>
      </c>
      <c r="F379" s="102" t="s">
        <v>836</v>
      </c>
      <c r="G379" s="124" t="e">
        <f>VLOOKUP(A379,survey!$1:$1048576,1,FALSE)</f>
        <v>#N/A</v>
      </c>
    </row>
    <row r="380" spans="1:7" ht="12.75" customHeight="1">
      <c r="A380" s="102">
        <v>1400350</v>
      </c>
      <c r="B380" s="102" t="s">
        <v>814</v>
      </c>
      <c r="C380" s="102" t="s">
        <v>358</v>
      </c>
      <c r="D380" s="102">
        <v>13</v>
      </c>
      <c r="E380" s="102" t="s">
        <v>837</v>
      </c>
      <c r="F380" s="102" t="s">
        <v>827</v>
      </c>
      <c r="G380" s="124" t="e">
        <f>VLOOKUP(A380,survey!$1:$1048576,1,FALSE)</f>
        <v>#N/A</v>
      </c>
    </row>
    <row r="381" spans="1:7" ht="12.75" customHeight="1">
      <c r="A381" s="102">
        <v>1400352</v>
      </c>
      <c r="B381" s="102" t="s">
        <v>814</v>
      </c>
      <c r="C381" s="102" t="s">
        <v>358</v>
      </c>
      <c r="D381" s="102">
        <v>14</v>
      </c>
      <c r="E381" s="102" t="s">
        <v>838</v>
      </c>
      <c r="F381" s="102" t="s">
        <v>818</v>
      </c>
      <c r="G381" s="124" t="e">
        <f>VLOOKUP(A381,survey!$1:$1048576,1,FALSE)</f>
        <v>#N/A</v>
      </c>
    </row>
    <row r="382" spans="1:7" ht="12.75" customHeight="1">
      <c r="A382" s="102">
        <v>1400353</v>
      </c>
      <c r="B382" s="102" t="s">
        <v>814</v>
      </c>
      <c r="C382" s="102" t="s">
        <v>358</v>
      </c>
      <c r="D382" s="102">
        <v>15</v>
      </c>
      <c r="E382" s="102" t="s">
        <v>839</v>
      </c>
      <c r="F382" s="102" t="s">
        <v>840</v>
      </c>
      <c r="G382" s="124" t="e">
        <f>VLOOKUP(A382,survey!$1:$1048576,1,FALSE)</f>
        <v>#N/A</v>
      </c>
    </row>
    <row r="383" spans="1:7" ht="12.75" customHeight="1">
      <c r="A383" s="102">
        <v>1400354</v>
      </c>
      <c r="B383" s="102" t="s">
        <v>814</v>
      </c>
      <c r="C383" s="102" t="s">
        <v>358</v>
      </c>
      <c r="D383" s="102">
        <v>16</v>
      </c>
      <c r="E383" s="102" t="s">
        <v>841</v>
      </c>
      <c r="F383" s="102" t="s">
        <v>842</v>
      </c>
      <c r="G383" s="124" t="e">
        <f>VLOOKUP(A383,survey!$1:$1048576,1,FALSE)</f>
        <v>#N/A</v>
      </c>
    </row>
    <row r="384" spans="1:7" ht="12.75" customHeight="1">
      <c r="A384" s="102">
        <v>1400357</v>
      </c>
      <c r="B384" s="102" t="s">
        <v>814</v>
      </c>
      <c r="C384" s="102" t="s">
        <v>358</v>
      </c>
      <c r="D384" s="102">
        <v>17</v>
      </c>
      <c r="E384" s="102" t="s">
        <v>843</v>
      </c>
      <c r="F384" s="102" t="s">
        <v>391</v>
      </c>
      <c r="G384" s="124" t="e">
        <f>VLOOKUP(A384,survey!$1:$1048576,1,FALSE)</f>
        <v>#N/A</v>
      </c>
    </row>
    <row r="385" spans="1:7" ht="12.75" customHeight="1">
      <c r="A385" s="102">
        <v>1400358</v>
      </c>
      <c r="B385" s="102" t="s">
        <v>814</v>
      </c>
      <c r="C385" s="102" t="s">
        <v>358</v>
      </c>
      <c r="D385" s="102">
        <v>18</v>
      </c>
      <c r="E385" s="102" t="s">
        <v>844</v>
      </c>
      <c r="F385" s="102" t="s">
        <v>816</v>
      </c>
      <c r="G385" s="124" t="e">
        <f>VLOOKUP(A385,survey!$1:$1048576,1,FALSE)</f>
        <v>#N/A</v>
      </c>
    </row>
    <row r="386" spans="1:7" ht="12.75" customHeight="1">
      <c r="A386" s="102">
        <v>1400359</v>
      </c>
      <c r="B386" s="102" t="s">
        <v>814</v>
      </c>
      <c r="C386" s="102" t="s">
        <v>358</v>
      </c>
      <c r="D386" s="102">
        <v>19</v>
      </c>
      <c r="E386" s="102" t="s">
        <v>845</v>
      </c>
      <c r="F386" s="102" t="s">
        <v>846</v>
      </c>
      <c r="G386" s="124" t="e">
        <f>VLOOKUP(A386,survey!$1:$1048576,1,FALSE)</f>
        <v>#N/A</v>
      </c>
    </row>
    <row r="387" spans="1:7" ht="12.75" customHeight="1">
      <c r="A387" s="102">
        <v>1400360</v>
      </c>
      <c r="B387" s="102" t="s">
        <v>814</v>
      </c>
      <c r="C387" s="102" t="s">
        <v>358</v>
      </c>
      <c r="D387" s="102">
        <v>20</v>
      </c>
      <c r="E387" s="102" t="s">
        <v>847</v>
      </c>
      <c r="F387" s="102" t="s">
        <v>827</v>
      </c>
      <c r="G387" s="124" t="e">
        <f>VLOOKUP(A387,survey!$1:$1048576,1,FALSE)</f>
        <v>#N/A</v>
      </c>
    </row>
    <row r="388" spans="1:7" ht="12.75" customHeight="1">
      <c r="A388" s="102">
        <v>1400361</v>
      </c>
      <c r="B388" s="102" t="s">
        <v>814</v>
      </c>
      <c r="C388" s="102" t="s">
        <v>358</v>
      </c>
      <c r="D388" s="102">
        <v>21</v>
      </c>
      <c r="E388" s="102" t="s">
        <v>848</v>
      </c>
      <c r="F388" s="102" t="s">
        <v>827</v>
      </c>
      <c r="G388" s="124" t="e">
        <f>VLOOKUP(A388,survey!$1:$1048576,1,FALSE)</f>
        <v>#N/A</v>
      </c>
    </row>
    <row r="389" spans="1:7" ht="12.75" customHeight="1">
      <c r="A389" s="102">
        <v>1400362</v>
      </c>
      <c r="B389" s="102" t="s">
        <v>814</v>
      </c>
      <c r="C389" s="102" t="s">
        <v>358</v>
      </c>
      <c r="D389" s="102">
        <v>22</v>
      </c>
      <c r="E389" s="102" t="s">
        <v>849</v>
      </c>
      <c r="F389" s="102" t="s">
        <v>494</v>
      </c>
      <c r="G389" s="124" t="e">
        <f>VLOOKUP(A389,survey!$1:$1048576,1,FALSE)</f>
        <v>#N/A</v>
      </c>
    </row>
    <row r="390" spans="1:7" ht="12.75" customHeight="1">
      <c r="A390" s="102">
        <v>1400363</v>
      </c>
      <c r="B390" s="102" t="s">
        <v>814</v>
      </c>
      <c r="C390" s="102" t="s">
        <v>358</v>
      </c>
      <c r="D390" s="102">
        <v>23</v>
      </c>
      <c r="E390" s="102" t="s">
        <v>850</v>
      </c>
      <c r="F390" s="102" t="s">
        <v>829</v>
      </c>
      <c r="G390" s="124" t="e">
        <f>VLOOKUP(A390,survey!$1:$1048576,1,FALSE)</f>
        <v>#N/A</v>
      </c>
    </row>
    <row r="391" spans="1:7" ht="12.75" customHeight="1">
      <c r="A391" s="102">
        <v>1400364</v>
      </c>
      <c r="B391" s="102" t="s">
        <v>814</v>
      </c>
      <c r="C391" s="102" t="s">
        <v>358</v>
      </c>
      <c r="D391" s="102">
        <v>24</v>
      </c>
      <c r="E391" s="102" t="s">
        <v>851</v>
      </c>
      <c r="F391" s="102" t="s">
        <v>823</v>
      </c>
      <c r="G391" s="124" t="e">
        <f>VLOOKUP(A391,survey!$1:$1048576,1,FALSE)</f>
        <v>#N/A</v>
      </c>
    </row>
    <row r="392" spans="1:7" ht="12.75" customHeight="1">
      <c r="A392" s="102">
        <v>1400365</v>
      </c>
      <c r="B392" s="102" t="s">
        <v>814</v>
      </c>
      <c r="C392" s="102" t="s">
        <v>358</v>
      </c>
      <c r="D392" s="102">
        <v>25</v>
      </c>
      <c r="E392" s="102" t="s">
        <v>852</v>
      </c>
      <c r="F392" s="102" t="s">
        <v>853</v>
      </c>
      <c r="G392" s="124" t="e">
        <f>VLOOKUP(A392,survey!$1:$1048576,1,FALSE)</f>
        <v>#N/A</v>
      </c>
    </row>
    <row r="393" spans="1:7" ht="12.75" customHeight="1">
      <c r="A393" s="102">
        <v>1400366</v>
      </c>
      <c r="B393" s="102" t="s">
        <v>814</v>
      </c>
      <c r="C393" s="102" t="s">
        <v>358</v>
      </c>
      <c r="D393" s="102">
        <v>26</v>
      </c>
      <c r="E393" s="102" t="s">
        <v>854</v>
      </c>
      <c r="F393" s="102" t="s">
        <v>825</v>
      </c>
      <c r="G393" s="124" t="e">
        <f>VLOOKUP(A393,survey!$1:$1048576,1,FALSE)</f>
        <v>#N/A</v>
      </c>
    </row>
    <row r="394" spans="1:7" ht="12.75" customHeight="1">
      <c r="A394" s="102">
        <v>1400368</v>
      </c>
      <c r="B394" s="102" t="s">
        <v>814</v>
      </c>
      <c r="C394" s="102" t="s">
        <v>358</v>
      </c>
      <c r="D394" s="102">
        <v>27</v>
      </c>
      <c r="E394" s="102" t="s">
        <v>855</v>
      </c>
      <c r="F394" s="102" t="s">
        <v>831</v>
      </c>
      <c r="G394" s="124" t="e">
        <f>VLOOKUP(A394,survey!$1:$1048576,1,FALSE)</f>
        <v>#N/A</v>
      </c>
    </row>
    <row r="395" spans="1:7" ht="12.75" customHeight="1">
      <c r="A395" s="102">
        <v>1400369</v>
      </c>
      <c r="B395" s="102" t="s">
        <v>814</v>
      </c>
      <c r="C395" s="102" t="s">
        <v>358</v>
      </c>
      <c r="D395" s="102">
        <v>28</v>
      </c>
      <c r="E395" s="102" t="s">
        <v>856</v>
      </c>
      <c r="F395" s="102" t="s">
        <v>833</v>
      </c>
      <c r="G395" s="124" t="e">
        <f>VLOOKUP(A395,survey!$1:$1048576,1,FALSE)</f>
        <v>#N/A</v>
      </c>
    </row>
    <row r="396" spans="1:7" ht="12.75" customHeight="1">
      <c r="A396" s="102">
        <v>1400370</v>
      </c>
      <c r="B396" s="102" t="s">
        <v>814</v>
      </c>
      <c r="C396" s="102" t="s">
        <v>358</v>
      </c>
      <c r="D396" s="102">
        <v>29</v>
      </c>
      <c r="E396" s="102" t="s">
        <v>857</v>
      </c>
      <c r="F396" s="102" t="s">
        <v>858</v>
      </c>
      <c r="G396" s="124" t="e">
        <f>VLOOKUP(A396,survey!$1:$1048576,1,FALSE)</f>
        <v>#N/A</v>
      </c>
    </row>
    <row r="397" spans="1:7" ht="12.75" customHeight="1">
      <c r="A397" s="102">
        <v>1400371</v>
      </c>
      <c r="B397" s="102" t="s">
        <v>814</v>
      </c>
      <c r="C397" s="102" t="s">
        <v>358</v>
      </c>
      <c r="D397" s="102">
        <v>30</v>
      </c>
      <c r="E397" s="102" t="s">
        <v>859</v>
      </c>
      <c r="F397" s="102" t="s">
        <v>825</v>
      </c>
      <c r="G397" s="124" t="e">
        <f>VLOOKUP(A397,survey!$1:$1048576,1,FALSE)</f>
        <v>#N/A</v>
      </c>
    </row>
    <row r="398" spans="1:7" ht="12.75" customHeight="1">
      <c r="A398" s="102">
        <v>1400372</v>
      </c>
      <c r="B398" s="102" t="s">
        <v>814</v>
      </c>
      <c r="C398" s="102" t="s">
        <v>358</v>
      </c>
      <c r="D398" s="102">
        <v>31</v>
      </c>
      <c r="E398" s="102" t="s">
        <v>860</v>
      </c>
      <c r="F398" s="102" t="s">
        <v>435</v>
      </c>
      <c r="G398" s="124" t="e">
        <f>VLOOKUP(A398,survey!$1:$1048576,1,FALSE)</f>
        <v>#N/A</v>
      </c>
    </row>
    <row r="399" spans="1:7" ht="12.75" customHeight="1">
      <c r="A399" s="102">
        <v>1400373</v>
      </c>
      <c r="B399" s="102" t="s">
        <v>814</v>
      </c>
      <c r="C399" s="102" t="s">
        <v>358</v>
      </c>
      <c r="D399" s="102">
        <v>32</v>
      </c>
      <c r="E399" s="102" t="s">
        <v>861</v>
      </c>
      <c r="F399" s="102" t="s">
        <v>391</v>
      </c>
      <c r="G399" s="124" t="e">
        <f>VLOOKUP(A399,survey!$1:$1048576,1,FALSE)</f>
        <v>#N/A</v>
      </c>
    </row>
    <row r="400" spans="1:7" ht="12.75" customHeight="1">
      <c r="A400" s="102">
        <v>1400374</v>
      </c>
      <c r="B400" s="102" t="s">
        <v>814</v>
      </c>
      <c r="C400" s="102" t="s">
        <v>358</v>
      </c>
      <c r="D400" s="102">
        <v>33</v>
      </c>
      <c r="E400" s="102" t="s">
        <v>862</v>
      </c>
      <c r="F400" s="102" t="s">
        <v>840</v>
      </c>
      <c r="G400" s="124" t="e">
        <f>VLOOKUP(A400,survey!$1:$1048576,1,FALSE)</f>
        <v>#N/A</v>
      </c>
    </row>
    <row r="401" spans="1:7" ht="12.75" customHeight="1">
      <c r="A401" s="102">
        <v>1400375</v>
      </c>
      <c r="B401" s="102" t="s">
        <v>814</v>
      </c>
      <c r="C401" s="102" t="s">
        <v>358</v>
      </c>
      <c r="D401" s="102">
        <v>34</v>
      </c>
      <c r="E401" s="102" t="s">
        <v>863</v>
      </c>
      <c r="F401" s="102" t="s">
        <v>864</v>
      </c>
      <c r="G401" s="124" t="e">
        <f>VLOOKUP(A401,survey!$1:$1048576,1,FALSE)</f>
        <v>#N/A</v>
      </c>
    </row>
    <row r="402" spans="1:7" ht="12.75" customHeight="1">
      <c r="A402" s="102">
        <v>1400376</v>
      </c>
      <c r="B402" s="102" t="s">
        <v>814</v>
      </c>
      <c r="C402" s="102" t="s">
        <v>358</v>
      </c>
      <c r="D402" s="102">
        <v>35</v>
      </c>
      <c r="E402" s="102" t="s">
        <v>865</v>
      </c>
      <c r="F402" s="102" t="s">
        <v>866</v>
      </c>
      <c r="G402" s="124" t="e">
        <f>VLOOKUP(A402,survey!$1:$1048576,1,FALSE)</f>
        <v>#N/A</v>
      </c>
    </row>
    <row r="403" spans="1:7" ht="12.75" customHeight="1">
      <c r="A403" s="102">
        <v>1400377</v>
      </c>
      <c r="B403" s="102" t="s">
        <v>814</v>
      </c>
      <c r="C403" s="102" t="s">
        <v>358</v>
      </c>
      <c r="D403" s="102">
        <v>36</v>
      </c>
      <c r="E403" s="102" t="s">
        <v>867</v>
      </c>
      <c r="F403" s="102" t="s">
        <v>868</v>
      </c>
      <c r="G403" s="124" t="e">
        <f>VLOOKUP(A403,survey!$1:$1048576,1,FALSE)</f>
        <v>#N/A</v>
      </c>
    </row>
    <row r="404" spans="1:7" ht="12.75" customHeight="1">
      <c r="A404" s="102">
        <v>1400378</v>
      </c>
      <c r="B404" s="102" t="s">
        <v>814</v>
      </c>
      <c r="C404" s="102" t="s">
        <v>358</v>
      </c>
      <c r="D404" s="102">
        <v>37</v>
      </c>
      <c r="E404" s="102" t="s">
        <v>869</v>
      </c>
      <c r="F404" s="102" t="s">
        <v>840</v>
      </c>
      <c r="G404" s="124" t="e">
        <f>VLOOKUP(A404,survey!$1:$1048576,1,FALSE)</f>
        <v>#N/A</v>
      </c>
    </row>
    <row r="405" spans="1:7" ht="12.75" customHeight="1">
      <c r="A405" s="102">
        <v>1400379</v>
      </c>
      <c r="B405" s="102" t="s">
        <v>814</v>
      </c>
      <c r="C405" s="102" t="s">
        <v>358</v>
      </c>
      <c r="D405" s="102">
        <v>38</v>
      </c>
      <c r="E405" s="102" t="s">
        <v>870</v>
      </c>
      <c r="F405" s="102" t="s">
        <v>866</v>
      </c>
      <c r="G405" s="124" t="e">
        <f>VLOOKUP(A405,survey!$1:$1048576,1,FALSE)</f>
        <v>#N/A</v>
      </c>
    </row>
    <row r="406" spans="1:7" ht="12.75" customHeight="1">
      <c r="A406" s="102">
        <v>1400380</v>
      </c>
      <c r="B406" s="102" t="s">
        <v>814</v>
      </c>
      <c r="C406" s="102" t="s">
        <v>358</v>
      </c>
      <c r="D406" s="102">
        <v>39</v>
      </c>
      <c r="E406" s="102" t="s">
        <v>871</v>
      </c>
      <c r="F406" s="102" t="s">
        <v>866</v>
      </c>
      <c r="G406" s="124" t="e">
        <f>VLOOKUP(A406,survey!$1:$1048576,1,FALSE)</f>
        <v>#N/A</v>
      </c>
    </row>
    <row r="407" spans="1:7" ht="12.75" customHeight="1">
      <c r="A407" s="102">
        <v>1400381</v>
      </c>
      <c r="B407" s="102" t="s">
        <v>814</v>
      </c>
      <c r="C407" s="102" t="s">
        <v>358</v>
      </c>
      <c r="D407" s="102">
        <v>40</v>
      </c>
      <c r="E407" s="102" t="s">
        <v>872</v>
      </c>
      <c r="F407" s="102" t="s">
        <v>823</v>
      </c>
      <c r="G407" s="124" t="e">
        <f>VLOOKUP(A407,survey!$1:$1048576,1,FALSE)</f>
        <v>#N/A</v>
      </c>
    </row>
    <row r="408" spans="1:7" ht="12.75" customHeight="1">
      <c r="A408" s="102">
        <v>1400382</v>
      </c>
      <c r="B408" s="102" t="s">
        <v>814</v>
      </c>
      <c r="C408" s="102" t="s">
        <v>358</v>
      </c>
      <c r="D408" s="102">
        <v>41</v>
      </c>
      <c r="E408" s="102" t="s">
        <v>873</v>
      </c>
      <c r="F408" s="102" t="s">
        <v>866</v>
      </c>
      <c r="G408" s="124" t="e">
        <f>VLOOKUP(A408,survey!$1:$1048576,1,FALSE)</f>
        <v>#N/A</v>
      </c>
    </row>
    <row r="409" spans="1:7" ht="12.75" customHeight="1">
      <c r="A409" s="102">
        <v>1400383</v>
      </c>
      <c r="B409" s="102" t="s">
        <v>814</v>
      </c>
      <c r="C409" s="102" t="s">
        <v>358</v>
      </c>
      <c r="D409" s="102">
        <v>42</v>
      </c>
      <c r="E409" s="102" t="s">
        <v>874</v>
      </c>
      <c r="F409" s="102" t="s">
        <v>840</v>
      </c>
      <c r="G409" s="124" t="e">
        <f>VLOOKUP(A409,survey!$1:$1048576,1,FALSE)</f>
        <v>#N/A</v>
      </c>
    </row>
    <row r="410" spans="1:7" ht="12.75" customHeight="1">
      <c r="A410" s="102">
        <v>1400384</v>
      </c>
      <c r="B410" s="102" t="s">
        <v>814</v>
      </c>
      <c r="C410" s="102" t="s">
        <v>358</v>
      </c>
      <c r="D410" s="102">
        <v>43</v>
      </c>
      <c r="E410" s="102" t="s">
        <v>875</v>
      </c>
      <c r="F410" s="102" t="s">
        <v>868</v>
      </c>
      <c r="G410" s="124" t="e">
        <f>VLOOKUP(A410,survey!$1:$1048576,1,FALSE)</f>
        <v>#N/A</v>
      </c>
    </row>
    <row r="411" spans="1:7" ht="12.75" customHeight="1">
      <c r="A411" s="102">
        <v>1400385</v>
      </c>
      <c r="B411" s="102" t="s">
        <v>814</v>
      </c>
      <c r="C411" s="102" t="s">
        <v>358</v>
      </c>
      <c r="D411" s="102">
        <v>44</v>
      </c>
      <c r="E411" s="102" t="s">
        <v>876</v>
      </c>
      <c r="F411" s="102" t="s">
        <v>877</v>
      </c>
      <c r="G411" s="124" t="e">
        <f>VLOOKUP(A411,survey!$1:$1048576,1,FALSE)</f>
        <v>#N/A</v>
      </c>
    </row>
    <row r="412" spans="1:7" ht="12.75" customHeight="1">
      <c r="A412" s="102">
        <v>1400386</v>
      </c>
      <c r="B412" s="102" t="s">
        <v>814</v>
      </c>
      <c r="C412" s="102" t="s">
        <v>358</v>
      </c>
      <c r="D412" s="102">
        <v>45</v>
      </c>
      <c r="E412" s="102" t="s">
        <v>878</v>
      </c>
      <c r="F412" s="102" t="s">
        <v>825</v>
      </c>
      <c r="G412" s="124" t="e">
        <f>VLOOKUP(A412,survey!$1:$1048576,1,FALSE)</f>
        <v>#N/A</v>
      </c>
    </row>
    <row r="413" spans="1:7" ht="12.75" customHeight="1">
      <c r="A413" s="102">
        <v>1400387</v>
      </c>
      <c r="B413" s="102" t="s">
        <v>814</v>
      </c>
      <c r="C413" s="102" t="s">
        <v>358</v>
      </c>
      <c r="D413" s="102">
        <v>46</v>
      </c>
      <c r="E413" s="102" t="s">
        <v>879</v>
      </c>
      <c r="F413" s="102" t="s">
        <v>866</v>
      </c>
      <c r="G413" s="124" t="e">
        <f>VLOOKUP(A413,survey!$1:$1048576,1,FALSE)</f>
        <v>#N/A</v>
      </c>
    </row>
    <row r="414" spans="1:7" ht="12.75" customHeight="1">
      <c r="A414" s="102">
        <v>1400388</v>
      </c>
      <c r="B414" s="102" t="s">
        <v>814</v>
      </c>
      <c r="C414" s="102" t="s">
        <v>358</v>
      </c>
      <c r="D414" s="102">
        <v>47</v>
      </c>
      <c r="E414" s="102" t="s">
        <v>880</v>
      </c>
      <c r="F414" s="102" t="s">
        <v>866</v>
      </c>
      <c r="G414" s="124" t="e">
        <f>VLOOKUP(A414,survey!$1:$1048576,1,FALSE)</f>
        <v>#N/A</v>
      </c>
    </row>
    <row r="415" spans="1:7" ht="12.75" customHeight="1">
      <c r="A415" s="102">
        <v>1400389</v>
      </c>
      <c r="B415" s="102" t="s">
        <v>814</v>
      </c>
      <c r="C415" s="102" t="s">
        <v>358</v>
      </c>
      <c r="D415" s="102">
        <v>48</v>
      </c>
      <c r="E415" s="102" t="s">
        <v>881</v>
      </c>
      <c r="F415" s="102" t="s">
        <v>821</v>
      </c>
      <c r="G415" s="124" t="e">
        <f>VLOOKUP(A415,survey!$1:$1048576,1,FALSE)</f>
        <v>#N/A</v>
      </c>
    </row>
    <row r="416" spans="1:7" ht="12.75" customHeight="1">
      <c r="A416" s="102">
        <v>1400391</v>
      </c>
      <c r="B416" s="102" t="s">
        <v>814</v>
      </c>
      <c r="C416" s="102" t="s">
        <v>358</v>
      </c>
      <c r="D416" s="102">
        <v>49</v>
      </c>
      <c r="E416" s="102" t="s">
        <v>882</v>
      </c>
      <c r="F416" s="102" t="s">
        <v>494</v>
      </c>
      <c r="G416" s="124" t="e">
        <f>VLOOKUP(A416,survey!$1:$1048576,1,FALSE)</f>
        <v>#N/A</v>
      </c>
    </row>
    <row r="417" spans="1:7" ht="12.75" customHeight="1">
      <c r="A417" s="102">
        <v>1400392</v>
      </c>
      <c r="B417" s="102" t="s">
        <v>814</v>
      </c>
      <c r="C417" s="102" t="s">
        <v>358</v>
      </c>
      <c r="D417" s="102">
        <v>50</v>
      </c>
      <c r="E417" s="102" t="s">
        <v>840</v>
      </c>
      <c r="F417" s="102" t="s">
        <v>836</v>
      </c>
      <c r="G417" s="124" t="e">
        <f>VLOOKUP(A417,survey!$1:$1048576,1,FALSE)</f>
        <v>#N/A</v>
      </c>
    </row>
    <row r="418" spans="1:7" ht="12.75" customHeight="1">
      <c r="A418" s="102">
        <v>1400393</v>
      </c>
      <c r="B418" s="102" t="s">
        <v>814</v>
      </c>
      <c r="C418" s="102" t="s">
        <v>358</v>
      </c>
      <c r="D418" s="102">
        <v>51</v>
      </c>
      <c r="E418" s="102" t="s">
        <v>883</v>
      </c>
      <c r="F418" s="102" t="s">
        <v>829</v>
      </c>
      <c r="G418" s="124" t="e">
        <f>VLOOKUP(A418,survey!$1:$1048576,1,FALSE)</f>
        <v>#N/A</v>
      </c>
    </row>
    <row r="419" spans="1:7" ht="12.75" customHeight="1">
      <c r="A419" s="102">
        <v>1400394</v>
      </c>
      <c r="B419" s="102" t="s">
        <v>814</v>
      </c>
      <c r="C419" s="102" t="s">
        <v>358</v>
      </c>
      <c r="D419" s="102">
        <v>52</v>
      </c>
      <c r="E419" s="102" t="s">
        <v>884</v>
      </c>
      <c r="F419" s="102" t="s">
        <v>818</v>
      </c>
      <c r="G419" s="124" t="e">
        <f>VLOOKUP(A419,survey!$1:$1048576,1,FALSE)</f>
        <v>#N/A</v>
      </c>
    </row>
    <row r="420" spans="1:7" ht="12.75" customHeight="1">
      <c r="A420" s="102">
        <v>1400395</v>
      </c>
      <c r="B420" s="102" t="s">
        <v>814</v>
      </c>
      <c r="C420" s="102" t="s">
        <v>358</v>
      </c>
      <c r="D420" s="102">
        <v>53</v>
      </c>
      <c r="E420" s="102" t="s">
        <v>885</v>
      </c>
      <c r="F420" s="102" t="s">
        <v>866</v>
      </c>
      <c r="G420" s="124" t="e">
        <f>VLOOKUP(A420,survey!$1:$1048576,1,FALSE)</f>
        <v>#N/A</v>
      </c>
    </row>
    <row r="421" spans="1:7" ht="12.75" customHeight="1">
      <c r="A421" s="102">
        <v>1400396</v>
      </c>
      <c r="B421" s="102" t="s">
        <v>814</v>
      </c>
      <c r="C421" s="102" t="s">
        <v>358</v>
      </c>
      <c r="D421" s="102">
        <v>54</v>
      </c>
      <c r="E421" s="102" t="s">
        <v>886</v>
      </c>
      <c r="F421" s="102" t="s">
        <v>391</v>
      </c>
      <c r="G421" s="124" t="e">
        <f>VLOOKUP(A421,survey!$1:$1048576,1,FALSE)</f>
        <v>#N/A</v>
      </c>
    </row>
    <row r="422" spans="1:7" ht="12.75" customHeight="1">
      <c r="A422" s="102">
        <v>1400397</v>
      </c>
      <c r="B422" s="102" t="s">
        <v>814</v>
      </c>
      <c r="C422" s="102" t="s">
        <v>358</v>
      </c>
      <c r="D422" s="102">
        <v>55</v>
      </c>
      <c r="E422" s="102" t="s">
        <v>887</v>
      </c>
      <c r="F422" s="102" t="s">
        <v>827</v>
      </c>
      <c r="G422" s="124" t="e">
        <f>VLOOKUP(A422,survey!$1:$1048576,1,FALSE)</f>
        <v>#N/A</v>
      </c>
    </row>
    <row r="423" spans="1:7" ht="12.75" customHeight="1">
      <c r="A423" s="102">
        <v>1400398</v>
      </c>
      <c r="B423" s="102" t="s">
        <v>814</v>
      </c>
      <c r="C423" s="102" t="s">
        <v>358</v>
      </c>
      <c r="D423" s="102">
        <v>56</v>
      </c>
      <c r="E423" s="102" t="s">
        <v>888</v>
      </c>
      <c r="F423" s="102" t="s">
        <v>840</v>
      </c>
      <c r="G423" s="124" t="e">
        <f>VLOOKUP(A423,survey!$1:$1048576,1,FALSE)</f>
        <v>#N/A</v>
      </c>
    </row>
    <row r="424" spans="1:7" ht="12.75" customHeight="1">
      <c r="A424" s="102">
        <v>1400399</v>
      </c>
      <c r="B424" s="102" t="s">
        <v>814</v>
      </c>
      <c r="C424" s="102" t="s">
        <v>358</v>
      </c>
      <c r="D424" s="102">
        <v>57</v>
      </c>
      <c r="E424" s="102" t="s">
        <v>889</v>
      </c>
      <c r="F424" s="102" t="s">
        <v>890</v>
      </c>
      <c r="G424" s="124" t="e">
        <f>VLOOKUP(A424,survey!$1:$1048576,1,FALSE)</f>
        <v>#N/A</v>
      </c>
    </row>
    <row r="425" spans="1:7" ht="12.75" customHeight="1">
      <c r="A425" s="102">
        <v>1400400</v>
      </c>
      <c r="B425" s="102" t="s">
        <v>814</v>
      </c>
      <c r="C425" s="102" t="s">
        <v>358</v>
      </c>
      <c r="D425" s="102">
        <v>58</v>
      </c>
      <c r="E425" s="102" t="s">
        <v>891</v>
      </c>
      <c r="F425" s="102" t="s">
        <v>816</v>
      </c>
      <c r="G425" s="124" t="e">
        <f>VLOOKUP(A425,survey!$1:$1048576,1,FALSE)</f>
        <v>#N/A</v>
      </c>
    </row>
    <row r="426" spans="1:7" ht="12.75" customHeight="1">
      <c r="A426" s="102">
        <v>1400401</v>
      </c>
      <c r="B426" s="102" t="s">
        <v>814</v>
      </c>
      <c r="C426" s="102" t="s">
        <v>358</v>
      </c>
      <c r="D426" s="102">
        <v>59</v>
      </c>
      <c r="E426" s="102" t="s">
        <v>892</v>
      </c>
      <c r="F426" s="102" t="s">
        <v>816</v>
      </c>
      <c r="G426" s="124" t="e">
        <f>VLOOKUP(A426,survey!$1:$1048576,1,FALSE)</f>
        <v>#N/A</v>
      </c>
    </row>
    <row r="427" spans="1:7" ht="12.75" customHeight="1">
      <c r="A427" s="102">
        <v>1400402</v>
      </c>
      <c r="B427" s="102" t="s">
        <v>814</v>
      </c>
      <c r="C427" s="102" t="s">
        <v>358</v>
      </c>
      <c r="D427" s="102">
        <v>60</v>
      </c>
      <c r="E427" s="102" t="s">
        <v>893</v>
      </c>
      <c r="F427" s="102" t="s">
        <v>853</v>
      </c>
      <c r="G427" s="124" t="e">
        <f>VLOOKUP(A427,survey!$1:$1048576,1,FALSE)</f>
        <v>#N/A</v>
      </c>
    </row>
    <row r="428" spans="1:7" ht="12.75" customHeight="1">
      <c r="A428" s="102">
        <v>1400403</v>
      </c>
      <c r="B428" s="102" t="s">
        <v>814</v>
      </c>
      <c r="C428" s="102" t="s">
        <v>358</v>
      </c>
      <c r="D428" s="102">
        <v>61</v>
      </c>
      <c r="E428" s="102" t="s">
        <v>894</v>
      </c>
      <c r="F428" s="102" t="s">
        <v>818</v>
      </c>
      <c r="G428" s="124" t="e">
        <f>VLOOKUP(A428,survey!$1:$1048576,1,FALSE)</f>
        <v>#N/A</v>
      </c>
    </row>
    <row r="429" spans="1:7" ht="12.75" customHeight="1">
      <c r="A429" s="102">
        <v>1400404</v>
      </c>
      <c r="B429" s="102" t="s">
        <v>814</v>
      </c>
      <c r="C429" s="102" t="s">
        <v>358</v>
      </c>
      <c r="D429" s="102">
        <v>62</v>
      </c>
      <c r="E429" s="102" t="s">
        <v>895</v>
      </c>
      <c r="F429" s="102" t="s">
        <v>840</v>
      </c>
      <c r="G429" s="124" t="e">
        <f>VLOOKUP(A429,survey!$1:$1048576,1,FALSE)</f>
        <v>#N/A</v>
      </c>
    </row>
    <row r="430" spans="1:7" ht="12.75" customHeight="1">
      <c r="A430" s="102">
        <v>1400405</v>
      </c>
      <c r="B430" s="102" t="s">
        <v>814</v>
      </c>
      <c r="C430" s="102" t="s">
        <v>358</v>
      </c>
      <c r="D430" s="102">
        <v>63</v>
      </c>
      <c r="E430" s="102" t="s">
        <v>896</v>
      </c>
      <c r="F430" s="102" t="s">
        <v>435</v>
      </c>
      <c r="G430" s="124" t="e">
        <f>VLOOKUP(A430,survey!$1:$1048576,1,FALSE)</f>
        <v>#N/A</v>
      </c>
    </row>
    <row r="431" spans="1:7" ht="12.75" customHeight="1">
      <c r="A431" s="102">
        <v>1400406</v>
      </c>
      <c r="B431" s="102" t="s">
        <v>814</v>
      </c>
      <c r="C431" s="102" t="s">
        <v>358</v>
      </c>
      <c r="D431" s="102">
        <v>64</v>
      </c>
      <c r="E431" s="102" t="s">
        <v>897</v>
      </c>
      <c r="F431" s="102" t="s">
        <v>391</v>
      </c>
      <c r="G431" s="124" t="e">
        <f>VLOOKUP(A431,survey!$1:$1048576,1,FALSE)</f>
        <v>#N/A</v>
      </c>
    </row>
    <row r="432" spans="1:7" ht="12.75" customHeight="1">
      <c r="A432" s="102">
        <v>1400407</v>
      </c>
      <c r="B432" s="102" t="s">
        <v>814</v>
      </c>
      <c r="C432" s="102" t="s">
        <v>358</v>
      </c>
      <c r="D432" s="102">
        <v>65</v>
      </c>
      <c r="E432" s="102" t="s">
        <v>898</v>
      </c>
      <c r="F432" s="102" t="s">
        <v>435</v>
      </c>
      <c r="G432" s="124" t="e">
        <f>VLOOKUP(A432,survey!$1:$1048576,1,FALSE)</f>
        <v>#N/A</v>
      </c>
    </row>
    <row r="433" spans="1:7" ht="12.75" customHeight="1">
      <c r="A433" s="102">
        <v>1400408</v>
      </c>
      <c r="B433" s="102" t="s">
        <v>814</v>
      </c>
      <c r="C433" s="102" t="s">
        <v>358</v>
      </c>
      <c r="D433" s="102">
        <v>66</v>
      </c>
      <c r="E433" s="102" t="s">
        <v>899</v>
      </c>
      <c r="F433" s="102" t="s">
        <v>846</v>
      </c>
      <c r="G433" s="124" t="e">
        <f>VLOOKUP(A433,survey!$1:$1048576,1,FALSE)</f>
        <v>#N/A</v>
      </c>
    </row>
    <row r="434" spans="1:7" ht="12.75" customHeight="1">
      <c r="A434" s="102">
        <v>1400409</v>
      </c>
      <c r="B434" s="102" t="s">
        <v>814</v>
      </c>
      <c r="C434" s="102" t="s">
        <v>358</v>
      </c>
      <c r="D434" s="102">
        <v>67</v>
      </c>
      <c r="E434" s="102" t="s">
        <v>900</v>
      </c>
      <c r="F434" s="102" t="s">
        <v>866</v>
      </c>
      <c r="G434" s="124" t="e">
        <f>VLOOKUP(A434,survey!$1:$1048576,1,FALSE)</f>
        <v>#N/A</v>
      </c>
    </row>
    <row r="435" spans="1:7" ht="12.75" customHeight="1">
      <c r="A435" s="102">
        <v>1400410</v>
      </c>
      <c r="B435" s="102" t="s">
        <v>814</v>
      </c>
      <c r="C435" s="102" t="s">
        <v>358</v>
      </c>
      <c r="D435" s="102">
        <v>68</v>
      </c>
      <c r="E435" s="102" t="s">
        <v>901</v>
      </c>
      <c r="F435" s="102" t="s">
        <v>829</v>
      </c>
      <c r="G435" s="124" t="e">
        <f>VLOOKUP(A435,survey!$1:$1048576,1,FALSE)</f>
        <v>#N/A</v>
      </c>
    </row>
    <row r="436" spans="1:7" ht="12.75" customHeight="1">
      <c r="A436" s="102">
        <v>1400513</v>
      </c>
      <c r="B436" s="102" t="s">
        <v>814</v>
      </c>
      <c r="C436" s="102" t="s">
        <v>358</v>
      </c>
      <c r="D436" s="102">
        <v>69</v>
      </c>
      <c r="E436" s="102" t="s">
        <v>902</v>
      </c>
      <c r="F436" s="102" t="s">
        <v>816</v>
      </c>
      <c r="G436" s="124" t="e">
        <f>VLOOKUP(A436,survey!$1:$1048576,1,FALSE)</f>
        <v>#N/A</v>
      </c>
    </row>
    <row r="437" spans="1:7" ht="12.75" customHeight="1">
      <c r="A437" s="102">
        <v>1400515</v>
      </c>
      <c r="B437" s="102" t="s">
        <v>814</v>
      </c>
      <c r="C437" s="102" t="s">
        <v>358</v>
      </c>
      <c r="D437" s="102">
        <v>70</v>
      </c>
      <c r="E437" s="102" t="s">
        <v>903</v>
      </c>
      <c r="F437" s="102" t="s">
        <v>866</v>
      </c>
      <c r="G437" s="124" t="e">
        <f>VLOOKUP(A437,survey!$1:$1048576,1,FALSE)</f>
        <v>#N/A</v>
      </c>
    </row>
    <row r="438" spans="1:7" ht="12.75" customHeight="1">
      <c r="A438" s="102">
        <v>1400516</v>
      </c>
      <c r="B438" s="102" t="s">
        <v>814</v>
      </c>
      <c r="C438" s="102" t="s">
        <v>358</v>
      </c>
      <c r="D438" s="102">
        <v>71</v>
      </c>
      <c r="E438" s="102" t="s">
        <v>904</v>
      </c>
      <c r="F438" s="102" t="s">
        <v>866</v>
      </c>
      <c r="G438" s="124" t="e">
        <f>VLOOKUP(A438,survey!$1:$1048576,1,FALSE)</f>
        <v>#N/A</v>
      </c>
    </row>
    <row r="439" spans="1:7" ht="12.75" customHeight="1">
      <c r="A439" s="102">
        <v>1400517</v>
      </c>
      <c r="B439" s="102" t="s">
        <v>814</v>
      </c>
      <c r="C439" s="102" t="s">
        <v>358</v>
      </c>
      <c r="D439" s="102">
        <v>72</v>
      </c>
      <c r="E439" s="102" t="s">
        <v>905</v>
      </c>
      <c r="F439" s="102" t="s">
        <v>827</v>
      </c>
      <c r="G439" s="124" t="e">
        <f>VLOOKUP(A439,survey!$1:$1048576,1,FALSE)</f>
        <v>#N/A</v>
      </c>
    </row>
    <row r="440" spans="1:7" ht="12.75" customHeight="1">
      <c r="A440" s="102">
        <v>1400627</v>
      </c>
      <c r="B440" s="102" t="s">
        <v>814</v>
      </c>
      <c r="C440" s="102" t="s">
        <v>358</v>
      </c>
      <c r="D440" s="102">
        <v>73</v>
      </c>
      <c r="E440" s="102" t="s">
        <v>906</v>
      </c>
      <c r="F440" s="102" t="s">
        <v>866</v>
      </c>
      <c r="G440" s="124" t="e">
        <f>VLOOKUP(A440,survey!$1:$1048576,1,FALSE)</f>
        <v>#N/A</v>
      </c>
    </row>
    <row r="441" spans="1:7" ht="12.75" customHeight="1">
      <c r="A441" s="102">
        <v>1400628</v>
      </c>
      <c r="B441" s="102" t="s">
        <v>814</v>
      </c>
      <c r="C441" s="102" t="s">
        <v>358</v>
      </c>
      <c r="D441" s="102">
        <v>74</v>
      </c>
      <c r="E441" s="102" t="s">
        <v>907</v>
      </c>
      <c r="F441" s="102" t="s">
        <v>866</v>
      </c>
      <c r="G441" s="124" t="e">
        <f>VLOOKUP(A441,survey!$1:$1048576,1,FALSE)</f>
        <v>#N/A</v>
      </c>
    </row>
    <row r="442" spans="1:7" ht="12.75" customHeight="1">
      <c r="A442" s="102">
        <v>1400690</v>
      </c>
      <c r="B442" s="102" t="s">
        <v>814</v>
      </c>
      <c r="C442" s="102" t="s">
        <v>358</v>
      </c>
      <c r="D442" s="102">
        <v>75</v>
      </c>
      <c r="E442" s="102" t="s">
        <v>908</v>
      </c>
      <c r="F442" s="102" t="s">
        <v>866</v>
      </c>
      <c r="G442" s="124" t="e">
        <f>VLOOKUP(A442,survey!$1:$1048576,1,FALSE)</f>
        <v>#N/A</v>
      </c>
    </row>
    <row r="443" spans="1:7" ht="12.75" customHeight="1">
      <c r="A443" s="102">
        <v>1400691</v>
      </c>
      <c r="B443" s="102" t="s">
        <v>814</v>
      </c>
      <c r="C443" s="102" t="s">
        <v>358</v>
      </c>
      <c r="D443" s="102">
        <v>76</v>
      </c>
      <c r="E443" s="102" t="s">
        <v>909</v>
      </c>
      <c r="F443" s="102" t="s">
        <v>840</v>
      </c>
      <c r="G443" s="124" t="e">
        <f>VLOOKUP(A443,survey!$1:$1048576,1,FALSE)</f>
        <v>#N/A</v>
      </c>
    </row>
    <row r="444" spans="1:7" ht="12.75" customHeight="1">
      <c r="A444" s="102">
        <v>1400692</v>
      </c>
      <c r="B444" s="102" t="s">
        <v>814</v>
      </c>
      <c r="C444" s="102" t="s">
        <v>358</v>
      </c>
      <c r="D444" s="102">
        <v>77</v>
      </c>
      <c r="E444" s="102" t="s">
        <v>910</v>
      </c>
      <c r="F444" s="102" t="s">
        <v>858</v>
      </c>
      <c r="G444" s="124" t="e">
        <f>VLOOKUP(A444,survey!$1:$1048576,1,FALSE)</f>
        <v>#N/A</v>
      </c>
    </row>
    <row r="445" spans="1:7" ht="12.75" customHeight="1">
      <c r="A445" s="102">
        <v>1400693</v>
      </c>
      <c r="B445" s="102" t="s">
        <v>814</v>
      </c>
      <c r="C445" s="102" t="s">
        <v>358</v>
      </c>
      <c r="D445" s="102">
        <v>78</v>
      </c>
      <c r="E445" s="102" t="s">
        <v>911</v>
      </c>
      <c r="F445" s="102" t="s">
        <v>864</v>
      </c>
      <c r="G445" s="124" t="e">
        <f>VLOOKUP(A445,survey!$1:$1048576,1,FALSE)</f>
        <v>#N/A</v>
      </c>
    </row>
    <row r="446" spans="1:7" ht="12.75" customHeight="1">
      <c r="A446" s="102">
        <v>1400694</v>
      </c>
      <c r="B446" s="102" t="s">
        <v>814</v>
      </c>
      <c r="C446" s="102" t="s">
        <v>358</v>
      </c>
      <c r="D446" s="102">
        <v>79</v>
      </c>
      <c r="E446" s="102" t="s">
        <v>912</v>
      </c>
      <c r="F446" s="102" t="s">
        <v>868</v>
      </c>
      <c r="G446" s="124" t="e">
        <f>VLOOKUP(A446,survey!$1:$1048576,1,FALSE)</f>
        <v>#N/A</v>
      </c>
    </row>
    <row r="447" spans="1:7" ht="12.75" customHeight="1">
      <c r="A447" s="102">
        <v>1400722</v>
      </c>
      <c r="B447" s="102" t="s">
        <v>814</v>
      </c>
      <c r="C447" s="102" t="s">
        <v>358</v>
      </c>
      <c r="D447" s="102">
        <v>80</v>
      </c>
      <c r="E447" s="102" t="s">
        <v>913</v>
      </c>
      <c r="F447" s="102" t="s">
        <v>866</v>
      </c>
      <c r="G447" s="124" t="e">
        <f>VLOOKUP(A447,survey!$1:$1048576,1,FALSE)</f>
        <v>#N/A</v>
      </c>
    </row>
    <row r="448" spans="1:7" ht="12.75" customHeight="1">
      <c r="A448" s="102">
        <v>1400750</v>
      </c>
      <c r="B448" s="102" t="s">
        <v>814</v>
      </c>
      <c r="C448" s="102" t="s">
        <v>358</v>
      </c>
      <c r="D448" s="102">
        <v>81</v>
      </c>
      <c r="E448" s="102" t="s">
        <v>914</v>
      </c>
      <c r="F448" s="102" t="s">
        <v>866</v>
      </c>
      <c r="G448" s="124" t="e">
        <f>VLOOKUP(A448,survey!$1:$1048576,1,FALSE)</f>
        <v>#N/A</v>
      </c>
    </row>
    <row r="449" spans="1:7" ht="12.75" customHeight="1">
      <c r="A449" s="102">
        <v>1400764</v>
      </c>
      <c r="B449" s="102" t="s">
        <v>814</v>
      </c>
      <c r="C449" s="102" t="s">
        <v>358</v>
      </c>
      <c r="D449" s="102">
        <v>82</v>
      </c>
      <c r="E449" s="102" t="s">
        <v>915</v>
      </c>
      <c r="F449" s="102" t="s">
        <v>866</v>
      </c>
      <c r="G449" s="124" t="e">
        <f>VLOOKUP(A449,survey!$1:$1048576,1,FALSE)</f>
        <v>#N/A</v>
      </c>
    </row>
    <row r="450" spans="1:7" ht="12.75" customHeight="1">
      <c r="A450" s="102">
        <v>1400767</v>
      </c>
      <c r="B450" s="102" t="s">
        <v>814</v>
      </c>
      <c r="C450" s="102" t="s">
        <v>358</v>
      </c>
      <c r="D450" s="102">
        <v>83</v>
      </c>
      <c r="E450" s="102" t="s">
        <v>916</v>
      </c>
      <c r="F450" s="102" t="s">
        <v>866</v>
      </c>
      <c r="G450" s="124" t="e">
        <f>VLOOKUP(A450,survey!$1:$1048576,1,FALSE)</f>
        <v>#N/A</v>
      </c>
    </row>
    <row r="451" spans="1:7" ht="12.75" customHeight="1">
      <c r="A451" s="102">
        <v>1400824</v>
      </c>
      <c r="B451" s="102" t="s">
        <v>814</v>
      </c>
      <c r="C451" s="102" t="s">
        <v>358</v>
      </c>
      <c r="D451" s="102">
        <v>84</v>
      </c>
      <c r="E451" s="102" t="s">
        <v>917</v>
      </c>
      <c r="F451" s="102" t="s">
        <v>918</v>
      </c>
      <c r="G451" s="124" t="e">
        <f>VLOOKUP(A451,survey!$1:$1048576,1,FALSE)</f>
        <v>#N/A</v>
      </c>
    </row>
    <row r="452" spans="1:7" ht="12.75" customHeight="1">
      <c r="A452" s="102">
        <v>1400845</v>
      </c>
      <c r="B452" s="102" t="s">
        <v>814</v>
      </c>
      <c r="C452" s="102" t="s">
        <v>358</v>
      </c>
      <c r="D452" s="102">
        <v>85</v>
      </c>
      <c r="E452" s="102" t="s">
        <v>919</v>
      </c>
      <c r="F452" s="102" t="s">
        <v>840</v>
      </c>
      <c r="G452" s="124" t="e">
        <f>VLOOKUP(A452,survey!$1:$1048576,1,FALSE)</f>
        <v>#N/A</v>
      </c>
    </row>
    <row r="453" spans="1:7" ht="12.75" customHeight="1">
      <c r="A453" s="102">
        <v>1400896</v>
      </c>
      <c r="B453" s="102" t="s">
        <v>814</v>
      </c>
      <c r="C453" s="102" t="s">
        <v>358</v>
      </c>
      <c r="D453" s="102">
        <v>86</v>
      </c>
      <c r="E453" s="102" t="s">
        <v>920</v>
      </c>
      <c r="F453" s="102" t="s">
        <v>921</v>
      </c>
      <c r="G453" s="124" t="e">
        <f>VLOOKUP(A453,survey!$1:$1048576,1,FALSE)</f>
        <v>#N/A</v>
      </c>
    </row>
    <row r="454" spans="1:7" ht="12.75" customHeight="1">
      <c r="A454" s="102">
        <v>1400934</v>
      </c>
      <c r="B454" s="102" t="s">
        <v>814</v>
      </c>
      <c r="C454" s="102" t="s">
        <v>358</v>
      </c>
      <c r="D454" s="102">
        <v>87</v>
      </c>
      <c r="E454" s="102" t="s">
        <v>922</v>
      </c>
      <c r="F454" s="102" t="s">
        <v>921</v>
      </c>
      <c r="G454" s="124" t="e">
        <f>VLOOKUP(A454,survey!$1:$1048576,1,FALSE)</f>
        <v>#N/A</v>
      </c>
    </row>
    <row r="455" spans="1:7" ht="12.75" customHeight="1">
      <c r="A455" s="102">
        <v>1401013</v>
      </c>
      <c r="B455" s="102" t="s">
        <v>814</v>
      </c>
      <c r="C455" s="102" t="s">
        <v>358</v>
      </c>
      <c r="D455" s="102">
        <v>88</v>
      </c>
      <c r="E455" s="102" t="s">
        <v>923</v>
      </c>
      <c r="F455" s="102" t="s">
        <v>924</v>
      </c>
      <c r="G455" s="124" t="e">
        <f>VLOOKUP(A455,survey!$1:$1048576,1,FALSE)</f>
        <v>#N/A</v>
      </c>
    </row>
    <row r="456" spans="1:7" ht="12.75" customHeight="1">
      <c r="A456" s="102">
        <v>1401092</v>
      </c>
      <c r="B456" s="102" t="s">
        <v>814</v>
      </c>
      <c r="C456" s="102" t="s">
        <v>358</v>
      </c>
      <c r="D456" s="102">
        <v>89</v>
      </c>
      <c r="E456" s="102" t="s">
        <v>925</v>
      </c>
      <c r="F456" s="102" t="s">
        <v>391</v>
      </c>
      <c r="G456" s="124" t="e">
        <f>VLOOKUP(A456,survey!$1:$1048576,1,FALSE)</f>
        <v>#N/A</v>
      </c>
    </row>
    <row r="457" spans="1:7" ht="12.75" customHeight="1">
      <c r="A457" s="102">
        <v>1401093</v>
      </c>
      <c r="B457" s="102" t="s">
        <v>814</v>
      </c>
      <c r="C457" s="102" t="s">
        <v>358</v>
      </c>
      <c r="D457" s="102">
        <v>90</v>
      </c>
      <c r="E457" s="102" t="s">
        <v>926</v>
      </c>
      <c r="F457" s="102" t="s">
        <v>825</v>
      </c>
      <c r="G457" s="124" t="e">
        <f>VLOOKUP(A457,survey!$1:$1048576,1,FALSE)</f>
        <v>#N/A</v>
      </c>
    </row>
    <row r="458" spans="1:7" ht="12.75" customHeight="1">
      <c r="A458" s="102">
        <v>1401135</v>
      </c>
      <c r="B458" s="102" t="s">
        <v>814</v>
      </c>
      <c r="C458" s="102" t="s">
        <v>358</v>
      </c>
      <c r="D458" s="102">
        <v>91</v>
      </c>
      <c r="E458" s="102" t="s">
        <v>927</v>
      </c>
      <c r="F458" s="102" t="s">
        <v>840</v>
      </c>
      <c r="G458" s="124" t="e">
        <f>VLOOKUP(A458,survey!$1:$1048576,1,FALSE)</f>
        <v>#N/A</v>
      </c>
    </row>
    <row r="459" spans="1:7" ht="12.75" customHeight="1">
      <c r="A459" s="102">
        <v>1401136</v>
      </c>
      <c r="B459" s="102" t="s">
        <v>814</v>
      </c>
      <c r="C459" s="102" t="s">
        <v>358</v>
      </c>
      <c r="D459" s="102">
        <v>92</v>
      </c>
      <c r="E459" s="102" t="s">
        <v>928</v>
      </c>
      <c r="F459" s="102" t="s">
        <v>825</v>
      </c>
      <c r="G459" s="124" t="e">
        <f>VLOOKUP(A459,survey!$1:$1048576,1,FALSE)</f>
        <v>#N/A</v>
      </c>
    </row>
    <row r="460" spans="1:7" ht="12.75" customHeight="1">
      <c r="A460" s="102">
        <v>1401137</v>
      </c>
      <c r="B460" s="102" t="s">
        <v>814</v>
      </c>
      <c r="C460" s="102" t="s">
        <v>358</v>
      </c>
      <c r="D460" s="102">
        <v>93</v>
      </c>
      <c r="E460" s="102" t="s">
        <v>929</v>
      </c>
      <c r="F460" s="102" t="s">
        <v>930</v>
      </c>
      <c r="G460" s="124" t="e">
        <f>VLOOKUP(A460,survey!$1:$1048576,1,FALSE)</f>
        <v>#N/A</v>
      </c>
    </row>
    <row r="461" spans="1:7" ht="12.75" customHeight="1">
      <c r="A461" s="102">
        <v>1401138</v>
      </c>
      <c r="B461" s="102" t="s">
        <v>814</v>
      </c>
      <c r="C461" s="102" t="s">
        <v>358</v>
      </c>
      <c r="D461" s="102">
        <v>94</v>
      </c>
      <c r="E461" s="102" t="s">
        <v>931</v>
      </c>
      <c r="F461" s="102" t="s">
        <v>930</v>
      </c>
      <c r="G461" s="124" t="e">
        <f>VLOOKUP(A461,survey!$1:$1048576,1,FALSE)</f>
        <v>#N/A</v>
      </c>
    </row>
    <row r="462" spans="1:7" ht="12.75" customHeight="1">
      <c r="A462" s="102">
        <v>1401139</v>
      </c>
      <c r="B462" s="102" t="s">
        <v>814</v>
      </c>
      <c r="C462" s="102" t="s">
        <v>358</v>
      </c>
      <c r="D462" s="102">
        <v>95</v>
      </c>
      <c r="E462" s="102" t="s">
        <v>932</v>
      </c>
      <c r="F462" s="102" t="s">
        <v>825</v>
      </c>
      <c r="G462" s="124" t="e">
        <f>VLOOKUP(A462,survey!$1:$1048576,1,FALSE)</f>
        <v>#N/A</v>
      </c>
    </row>
    <row r="463" spans="1:7" ht="12.75" customHeight="1">
      <c r="A463" s="102">
        <v>1401392</v>
      </c>
      <c r="B463" s="102" t="s">
        <v>814</v>
      </c>
      <c r="C463" s="102" t="s">
        <v>358</v>
      </c>
      <c r="D463" s="102">
        <v>96</v>
      </c>
      <c r="E463" s="102" t="s">
        <v>933</v>
      </c>
      <c r="F463" s="102" t="s">
        <v>840</v>
      </c>
      <c r="G463" s="124" t="e">
        <f>VLOOKUP(A463,survey!$1:$1048576,1,FALSE)</f>
        <v>#N/A</v>
      </c>
    </row>
    <row r="464" spans="1:7" ht="12.75" customHeight="1">
      <c r="A464" s="102">
        <v>1401393</v>
      </c>
      <c r="B464" s="102" t="s">
        <v>814</v>
      </c>
      <c r="C464" s="102" t="s">
        <v>358</v>
      </c>
      <c r="D464" s="102">
        <v>97</v>
      </c>
      <c r="E464" s="102" t="s">
        <v>934</v>
      </c>
      <c r="F464" s="102" t="s">
        <v>840</v>
      </c>
      <c r="G464" s="124" t="e">
        <f>VLOOKUP(A464,survey!$1:$1048576,1,FALSE)</f>
        <v>#N/A</v>
      </c>
    </row>
    <row r="465" spans="1:7" ht="12.75" customHeight="1">
      <c r="A465" s="102">
        <v>1401545</v>
      </c>
      <c r="B465" s="102" t="s">
        <v>814</v>
      </c>
      <c r="C465" s="102" t="s">
        <v>358</v>
      </c>
      <c r="D465" s="102">
        <v>98</v>
      </c>
      <c r="E465" s="102" t="s">
        <v>935</v>
      </c>
      <c r="F465" s="102" t="s">
        <v>866</v>
      </c>
      <c r="G465" s="124" t="e">
        <f>VLOOKUP(A465,survey!$1:$1048576,1,FALSE)</f>
        <v>#N/A</v>
      </c>
    </row>
    <row r="466" spans="1:7" ht="12.75" customHeight="1">
      <c r="A466" s="102">
        <v>1401546</v>
      </c>
      <c r="B466" s="102" t="s">
        <v>814</v>
      </c>
      <c r="C466" s="102" t="s">
        <v>358</v>
      </c>
      <c r="D466" s="102">
        <v>99</v>
      </c>
      <c r="E466" s="102" t="s">
        <v>936</v>
      </c>
      <c r="F466" s="102" t="s">
        <v>825</v>
      </c>
      <c r="G466" s="124" t="e">
        <f>VLOOKUP(A466,survey!$1:$1048576,1,FALSE)</f>
        <v>#N/A</v>
      </c>
    </row>
    <row r="467" spans="1:7" ht="12.75" customHeight="1">
      <c r="A467" s="102">
        <v>1401638</v>
      </c>
      <c r="B467" s="102" t="s">
        <v>814</v>
      </c>
      <c r="C467" s="102" t="s">
        <v>358</v>
      </c>
      <c r="D467" s="102">
        <v>100</v>
      </c>
      <c r="E467" s="102" t="s">
        <v>937</v>
      </c>
      <c r="F467" s="102" t="s">
        <v>866</v>
      </c>
      <c r="G467" s="124" t="e">
        <f>VLOOKUP(A467,survey!$1:$1048576,1,FALSE)</f>
        <v>#N/A</v>
      </c>
    </row>
    <row r="468" spans="1:7" ht="12.75" customHeight="1">
      <c r="A468" s="102">
        <v>1401394</v>
      </c>
      <c r="B468" s="102" t="s">
        <v>814</v>
      </c>
      <c r="C468" s="102" t="s">
        <v>358</v>
      </c>
      <c r="D468" s="102">
        <v>101</v>
      </c>
      <c r="E468" s="102" t="s">
        <v>938</v>
      </c>
      <c r="F468" s="102" t="s">
        <v>866</v>
      </c>
      <c r="G468" s="124" t="e">
        <f>VLOOKUP(A468,survey!$1:$1048576,1,FALSE)</f>
        <v>#N/A</v>
      </c>
    </row>
    <row r="469" spans="1:7" ht="12.75" customHeight="1">
      <c r="A469" s="102">
        <v>1401433</v>
      </c>
      <c r="B469" s="102" t="s">
        <v>814</v>
      </c>
      <c r="C469" s="102" t="s">
        <v>358</v>
      </c>
      <c r="D469" s="102">
        <v>102</v>
      </c>
      <c r="E469" s="102" t="s">
        <v>939</v>
      </c>
      <c r="F469" s="102" t="s">
        <v>866</v>
      </c>
      <c r="G469" s="124" t="e">
        <f>VLOOKUP(A469,survey!$1:$1048576,1,FALSE)</f>
        <v>#N/A</v>
      </c>
    </row>
    <row r="470" spans="1:7" ht="12.75" customHeight="1">
      <c r="A470" s="102">
        <v>1400341</v>
      </c>
      <c r="B470" s="102" t="s">
        <v>814</v>
      </c>
      <c r="C470" s="102" t="s">
        <v>358</v>
      </c>
      <c r="D470" s="102">
        <v>1</v>
      </c>
      <c r="E470" s="102" t="s">
        <v>940</v>
      </c>
      <c r="F470" s="102" t="s">
        <v>941</v>
      </c>
      <c r="G470" s="124" t="e">
        <f>VLOOKUP(A470,survey!$1:$1048576,1,FALSE)</f>
        <v>#N/A</v>
      </c>
    </row>
    <row r="471" spans="1:7" ht="12.75" customHeight="1">
      <c r="A471" s="102">
        <v>1400351</v>
      </c>
      <c r="B471" s="102" t="s">
        <v>814</v>
      </c>
      <c r="C471" s="102" t="s">
        <v>358</v>
      </c>
      <c r="D471" s="102">
        <v>2</v>
      </c>
      <c r="E471" s="102" t="s">
        <v>942</v>
      </c>
      <c r="F471" s="102" t="s">
        <v>941</v>
      </c>
      <c r="G471" s="124" t="e">
        <f>VLOOKUP(A471,survey!$1:$1048576,1,FALSE)</f>
        <v>#N/A</v>
      </c>
    </row>
    <row r="472" spans="1:7" ht="12.75" customHeight="1">
      <c r="A472" s="102">
        <v>1400518</v>
      </c>
      <c r="B472" s="102" t="s">
        <v>814</v>
      </c>
      <c r="C472" s="102" t="s">
        <v>358</v>
      </c>
      <c r="D472" s="102">
        <v>3</v>
      </c>
      <c r="E472" s="102" t="s">
        <v>943</v>
      </c>
      <c r="F472" s="102" t="s">
        <v>941</v>
      </c>
      <c r="G472" s="124" t="e">
        <f>VLOOKUP(A472,survey!$1:$1048576,1,FALSE)</f>
        <v>#N/A</v>
      </c>
    </row>
    <row r="473" spans="1:7" ht="12.75" customHeight="1">
      <c r="A473" s="102">
        <v>1400355</v>
      </c>
      <c r="B473" s="102" t="s">
        <v>814</v>
      </c>
      <c r="C473" s="102" t="s">
        <v>358</v>
      </c>
      <c r="D473" s="102">
        <v>4</v>
      </c>
      <c r="E473" s="102" t="s">
        <v>944</v>
      </c>
      <c r="F473" s="102" t="s">
        <v>945</v>
      </c>
      <c r="G473" s="124" t="e">
        <f>VLOOKUP(A473,survey!$1:$1048576,1,FALSE)</f>
        <v>#N/A</v>
      </c>
    </row>
    <row r="474" spans="1:7" ht="12.75" customHeight="1">
      <c r="A474" s="102">
        <v>1400367</v>
      </c>
      <c r="B474" s="102" t="s">
        <v>814</v>
      </c>
      <c r="C474" s="102" t="s">
        <v>358</v>
      </c>
      <c r="D474" s="102">
        <v>5</v>
      </c>
      <c r="E474" s="102" t="s">
        <v>946</v>
      </c>
      <c r="F474" s="102" t="s">
        <v>941</v>
      </c>
      <c r="G474" s="124" t="e">
        <f>VLOOKUP(A474,survey!$1:$1048576,1,FALSE)</f>
        <v>#N/A</v>
      </c>
    </row>
    <row r="475" spans="1:7" ht="12.75" customHeight="1">
      <c r="A475" s="102">
        <v>1400390</v>
      </c>
      <c r="B475" s="102" t="s">
        <v>814</v>
      </c>
      <c r="C475" s="102" t="s">
        <v>358</v>
      </c>
      <c r="D475" s="102">
        <v>6</v>
      </c>
      <c r="E475" s="102" t="s">
        <v>947</v>
      </c>
      <c r="F475" s="102" t="s">
        <v>941</v>
      </c>
      <c r="G475" s="124" t="e">
        <f>VLOOKUP(A475,survey!$1:$1048576,1,FALSE)</f>
        <v>#N/A</v>
      </c>
    </row>
    <row r="476" spans="1:7" ht="12.75" customHeight="1">
      <c r="A476" s="102">
        <v>1400718</v>
      </c>
      <c r="B476" s="102" t="s">
        <v>814</v>
      </c>
      <c r="C476" s="102" t="s">
        <v>358</v>
      </c>
      <c r="D476" s="102">
        <v>7</v>
      </c>
      <c r="E476" s="102" t="s">
        <v>948</v>
      </c>
      <c r="F476" s="102" t="s">
        <v>941</v>
      </c>
      <c r="G476" s="124" t="e">
        <f>VLOOKUP(A476,survey!$1:$1048576,1,FALSE)</f>
        <v>#N/A</v>
      </c>
    </row>
    <row r="477" spans="1:7" ht="12.75" customHeight="1">
      <c r="A477" s="102">
        <v>1400844</v>
      </c>
      <c r="B477" s="102" t="s">
        <v>814</v>
      </c>
      <c r="C477" s="102" t="s">
        <v>358</v>
      </c>
      <c r="D477" s="102">
        <v>8</v>
      </c>
      <c r="E477" s="102" t="s">
        <v>949</v>
      </c>
      <c r="F477" s="102" t="s">
        <v>941</v>
      </c>
      <c r="G477" s="124" t="e">
        <f>VLOOKUP(A477,survey!$1:$1048576,1,FALSE)</f>
        <v>#N/A</v>
      </c>
    </row>
    <row r="478" spans="1:7" ht="12.75" customHeight="1">
      <c r="A478" s="102">
        <v>1400882</v>
      </c>
      <c r="B478" s="102" t="s">
        <v>814</v>
      </c>
      <c r="C478" s="102" t="s">
        <v>358</v>
      </c>
      <c r="D478" s="102">
        <v>9</v>
      </c>
      <c r="E478" s="102" t="s">
        <v>950</v>
      </c>
      <c r="F478" s="102" t="s">
        <v>941</v>
      </c>
      <c r="G478" s="124" t="e">
        <f>VLOOKUP(A478,survey!$1:$1048576,1,FALSE)</f>
        <v>#N/A</v>
      </c>
    </row>
    <row r="479" spans="1:7" ht="12.75" customHeight="1">
      <c r="A479" s="102">
        <v>1401014</v>
      </c>
      <c r="B479" s="102" t="s">
        <v>814</v>
      </c>
      <c r="C479" s="102" t="s">
        <v>358</v>
      </c>
      <c r="D479" s="102">
        <v>10</v>
      </c>
      <c r="E479" s="102" t="s">
        <v>951</v>
      </c>
      <c r="F479" s="102" t="s">
        <v>941</v>
      </c>
      <c r="G479" s="124" t="e">
        <f>VLOOKUP(A479,survey!$1:$1048576,1,FALSE)</f>
        <v>#N/A</v>
      </c>
    </row>
    <row r="480" spans="1:7" ht="12.75" customHeight="1">
      <c r="A480" s="102">
        <v>1401306</v>
      </c>
      <c r="B480" s="102" t="s">
        <v>814</v>
      </c>
      <c r="C480" s="102" t="s">
        <v>358</v>
      </c>
      <c r="D480" s="102">
        <v>11</v>
      </c>
      <c r="E480" s="102" t="s">
        <v>952</v>
      </c>
      <c r="F480" s="102" t="s">
        <v>941</v>
      </c>
      <c r="G480" s="124" t="e">
        <f>VLOOKUP(A480,survey!$1:$1048576,1,FALSE)</f>
        <v>#N/A</v>
      </c>
    </row>
    <row r="481" spans="1:7" ht="12.75" customHeight="1">
      <c r="A481" s="102">
        <v>1401307</v>
      </c>
      <c r="B481" s="102" t="s">
        <v>814</v>
      </c>
      <c r="C481" s="102" t="s">
        <v>358</v>
      </c>
      <c r="D481" s="102">
        <v>12</v>
      </c>
      <c r="E481" s="102" t="s">
        <v>953</v>
      </c>
      <c r="F481" s="102" t="s">
        <v>941</v>
      </c>
      <c r="G481" s="124" t="e">
        <f>VLOOKUP(A481,survey!$1:$1048576,1,FALSE)</f>
        <v>#N/A</v>
      </c>
    </row>
    <row r="482" spans="1:7" ht="12.75" customHeight="1">
      <c r="A482" s="102">
        <v>1401492</v>
      </c>
      <c r="B482" s="102" t="s">
        <v>814</v>
      </c>
      <c r="C482" s="102" t="s">
        <v>358</v>
      </c>
      <c r="D482" s="102">
        <v>13</v>
      </c>
      <c r="E482" s="102" t="s">
        <v>954</v>
      </c>
      <c r="F482" s="102" t="s">
        <v>941</v>
      </c>
      <c r="G482" s="124" t="e">
        <f>VLOOKUP(A482,survey!$1:$1048576,1,FALSE)</f>
        <v>#N/A</v>
      </c>
    </row>
    <row r="483" spans="1:7" ht="12.75" customHeight="1">
      <c r="A483" s="102">
        <v>1401560</v>
      </c>
      <c r="B483" s="102" t="s">
        <v>814</v>
      </c>
      <c r="C483" s="102" t="s">
        <v>358</v>
      </c>
      <c r="D483" s="102">
        <v>14</v>
      </c>
      <c r="E483" s="102" t="s">
        <v>955</v>
      </c>
      <c r="F483" s="102" t="s">
        <v>941</v>
      </c>
      <c r="G483" s="124" t="e">
        <f>VLOOKUP(A483,survey!$1:$1048576,1,FALSE)</f>
        <v>#N/A</v>
      </c>
    </row>
    <row r="484" spans="1:7" ht="12.75" customHeight="1">
      <c r="A484" s="102">
        <v>1401561</v>
      </c>
      <c r="B484" s="102" t="s">
        <v>814</v>
      </c>
      <c r="C484" s="102" t="s">
        <v>358</v>
      </c>
      <c r="D484" s="102">
        <v>15</v>
      </c>
      <c r="E484" s="102" t="s">
        <v>956</v>
      </c>
      <c r="F484" s="102" t="s">
        <v>941</v>
      </c>
      <c r="G484" s="124" t="e">
        <f>VLOOKUP(A484,survey!$1:$1048576,1,FALSE)</f>
        <v>#N/A</v>
      </c>
    </row>
    <row r="485" spans="1:7" ht="12.75" customHeight="1">
      <c r="A485" s="102">
        <v>1400411</v>
      </c>
      <c r="B485" s="102" t="s">
        <v>814</v>
      </c>
      <c r="C485" s="102" t="s">
        <v>957</v>
      </c>
      <c r="D485" s="102">
        <v>1</v>
      </c>
      <c r="E485" s="102" t="s">
        <v>957</v>
      </c>
      <c r="F485" s="102" t="s">
        <v>358</v>
      </c>
      <c r="G485" s="124" t="e">
        <f>VLOOKUP(A485,survey!$1:$1048576,1,FALSE)</f>
        <v>#N/A</v>
      </c>
    </row>
    <row r="486" spans="1:7" ht="12.75" customHeight="1">
      <c r="A486" s="102">
        <v>1400412</v>
      </c>
      <c r="B486" s="102" t="s">
        <v>814</v>
      </c>
      <c r="C486" s="102" t="s">
        <v>957</v>
      </c>
      <c r="D486" s="102">
        <v>2</v>
      </c>
      <c r="E486" s="102" t="s">
        <v>958</v>
      </c>
      <c r="F486" s="102" t="s">
        <v>959</v>
      </c>
      <c r="G486" s="124" t="e">
        <f>VLOOKUP(A486,survey!$1:$1048576,1,FALSE)</f>
        <v>#N/A</v>
      </c>
    </row>
    <row r="487" spans="1:7" ht="12.75" customHeight="1">
      <c r="A487" s="102">
        <v>1400413</v>
      </c>
      <c r="B487" s="102" t="s">
        <v>814</v>
      </c>
      <c r="C487" s="102" t="s">
        <v>957</v>
      </c>
      <c r="D487" s="102">
        <v>3</v>
      </c>
      <c r="E487" s="102" t="s">
        <v>960</v>
      </c>
      <c r="F487" s="102" t="s">
        <v>961</v>
      </c>
      <c r="G487" s="124" t="e">
        <f>VLOOKUP(A487,survey!$1:$1048576,1,FALSE)</f>
        <v>#N/A</v>
      </c>
    </row>
    <row r="488" spans="1:7" ht="12.75" customHeight="1">
      <c r="A488" s="102">
        <v>1400414</v>
      </c>
      <c r="B488" s="102" t="s">
        <v>814</v>
      </c>
      <c r="C488" s="102" t="s">
        <v>957</v>
      </c>
      <c r="D488" s="102">
        <v>4</v>
      </c>
      <c r="E488" s="102" t="s">
        <v>962</v>
      </c>
      <c r="F488" s="102" t="s">
        <v>963</v>
      </c>
      <c r="G488" s="124" t="e">
        <f>VLOOKUP(A488,survey!$1:$1048576,1,FALSE)</f>
        <v>#N/A</v>
      </c>
    </row>
    <row r="489" spans="1:7" ht="12.75" customHeight="1">
      <c r="A489" s="102">
        <v>1400415</v>
      </c>
      <c r="B489" s="102" t="s">
        <v>814</v>
      </c>
      <c r="C489" s="102" t="s">
        <v>957</v>
      </c>
      <c r="D489" s="102">
        <v>5</v>
      </c>
      <c r="E489" s="102" t="s">
        <v>964</v>
      </c>
      <c r="F489" s="102" t="s">
        <v>965</v>
      </c>
      <c r="G489" s="124" t="e">
        <f>VLOOKUP(A489,survey!$1:$1048576,1,FALSE)</f>
        <v>#N/A</v>
      </c>
    </row>
    <row r="490" spans="1:7" ht="12.75" customHeight="1">
      <c r="A490" s="102">
        <v>1400416</v>
      </c>
      <c r="B490" s="102" t="s">
        <v>814</v>
      </c>
      <c r="C490" s="102" t="s">
        <v>957</v>
      </c>
      <c r="D490" s="102">
        <v>6</v>
      </c>
      <c r="E490" s="102" t="s">
        <v>966</v>
      </c>
      <c r="F490" s="102" t="s">
        <v>967</v>
      </c>
      <c r="G490" s="124" t="e">
        <f>VLOOKUP(A490,survey!$1:$1048576,1,FALSE)</f>
        <v>#N/A</v>
      </c>
    </row>
    <row r="491" spans="1:7" ht="12.75" customHeight="1">
      <c r="A491" s="102">
        <v>1400417</v>
      </c>
      <c r="B491" s="102" t="s">
        <v>814</v>
      </c>
      <c r="C491" s="102" t="s">
        <v>957</v>
      </c>
      <c r="D491" s="102">
        <v>7</v>
      </c>
      <c r="E491" s="102" t="s">
        <v>968</v>
      </c>
      <c r="F491" s="102" t="s">
        <v>969</v>
      </c>
      <c r="G491" s="124" t="e">
        <f>VLOOKUP(A491,survey!$1:$1048576,1,FALSE)</f>
        <v>#N/A</v>
      </c>
    </row>
    <row r="492" spans="1:7" ht="12.75" customHeight="1">
      <c r="A492" s="102">
        <v>1400418</v>
      </c>
      <c r="B492" s="102" t="s">
        <v>814</v>
      </c>
      <c r="C492" s="102" t="s">
        <v>957</v>
      </c>
      <c r="D492" s="102">
        <v>8</v>
      </c>
      <c r="E492" s="102" t="s">
        <v>970</v>
      </c>
      <c r="F492" s="102" t="s">
        <v>971</v>
      </c>
      <c r="G492" s="124" t="e">
        <f>VLOOKUP(A492,survey!$1:$1048576,1,FALSE)</f>
        <v>#N/A</v>
      </c>
    </row>
    <row r="493" spans="1:7" ht="12.75" customHeight="1">
      <c r="A493" s="102">
        <v>1400419</v>
      </c>
      <c r="B493" s="102" t="s">
        <v>814</v>
      </c>
      <c r="C493" s="102" t="s">
        <v>957</v>
      </c>
      <c r="D493" s="102">
        <v>9</v>
      </c>
      <c r="E493" s="102" t="s">
        <v>972</v>
      </c>
      <c r="F493" s="102" t="s">
        <v>973</v>
      </c>
      <c r="G493" s="124" t="e">
        <f>VLOOKUP(A493,survey!$1:$1048576,1,FALSE)</f>
        <v>#N/A</v>
      </c>
    </row>
    <row r="494" spans="1:7" ht="12.75" customHeight="1">
      <c r="A494" s="102">
        <v>1400420</v>
      </c>
      <c r="B494" s="102" t="s">
        <v>814</v>
      </c>
      <c r="C494" s="102" t="s">
        <v>957</v>
      </c>
      <c r="D494" s="102">
        <v>10</v>
      </c>
      <c r="E494" s="102" t="s">
        <v>974</v>
      </c>
      <c r="F494" s="102" t="s">
        <v>975</v>
      </c>
      <c r="G494" s="124" t="e">
        <f>VLOOKUP(A494,survey!$1:$1048576,1,FALSE)</f>
        <v>#N/A</v>
      </c>
    </row>
    <row r="495" spans="1:7" ht="12.75" customHeight="1">
      <c r="A495" s="102">
        <v>1400421</v>
      </c>
      <c r="B495" s="102" t="s">
        <v>814</v>
      </c>
      <c r="C495" s="102" t="s">
        <v>957</v>
      </c>
      <c r="D495" s="102">
        <v>11</v>
      </c>
      <c r="E495" s="102" t="s">
        <v>976</v>
      </c>
      <c r="F495" s="102" t="s">
        <v>977</v>
      </c>
      <c r="G495" s="124" t="e">
        <f>VLOOKUP(A495,survey!$1:$1048576,1,FALSE)</f>
        <v>#N/A</v>
      </c>
    </row>
    <row r="496" spans="1:7" ht="12.75" customHeight="1">
      <c r="A496" s="102">
        <v>1400422</v>
      </c>
      <c r="B496" s="102" t="s">
        <v>814</v>
      </c>
      <c r="C496" s="102" t="s">
        <v>957</v>
      </c>
      <c r="D496" s="102">
        <v>12</v>
      </c>
      <c r="E496" s="102" t="s">
        <v>978</v>
      </c>
      <c r="F496" s="102" t="s">
        <v>979</v>
      </c>
      <c r="G496" s="124" t="e">
        <f>VLOOKUP(A496,survey!$1:$1048576,1,FALSE)</f>
        <v>#N/A</v>
      </c>
    </row>
    <row r="497" spans="1:7" ht="12.75" customHeight="1">
      <c r="A497" s="102">
        <v>1400423</v>
      </c>
      <c r="B497" s="102" t="s">
        <v>814</v>
      </c>
      <c r="C497" s="102" t="s">
        <v>957</v>
      </c>
      <c r="D497" s="102">
        <v>13</v>
      </c>
      <c r="E497" s="102" t="s">
        <v>980</v>
      </c>
      <c r="F497" s="102" t="s">
        <v>967</v>
      </c>
      <c r="G497" s="124" t="e">
        <f>VLOOKUP(A497,survey!$1:$1048576,1,FALSE)</f>
        <v>#N/A</v>
      </c>
    </row>
    <row r="498" spans="1:7" ht="12.75" customHeight="1">
      <c r="A498" s="102">
        <v>1400424</v>
      </c>
      <c r="B498" s="102" t="s">
        <v>814</v>
      </c>
      <c r="C498" s="102" t="s">
        <v>957</v>
      </c>
      <c r="D498" s="102">
        <v>14</v>
      </c>
      <c r="E498" s="102" t="s">
        <v>981</v>
      </c>
      <c r="F498" s="102" t="s">
        <v>975</v>
      </c>
      <c r="G498" s="124" t="e">
        <f>VLOOKUP(A498,survey!$1:$1048576,1,FALSE)</f>
        <v>#N/A</v>
      </c>
    </row>
    <row r="499" spans="1:7" ht="12.75" customHeight="1">
      <c r="A499" s="102">
        <v>1400425</v>
      </c>
      <c r="B499" s="102" t="s">
        <v>814</v>
      </c>
      <c r="C499" s="102" t="s">
        <v>957</v>
      </c>
      <c r="D499" s="102">
        <v>15</v>
      </c>
      <c r="E499" s="102" t="s">
        <v>982</v>
      </c>
      <c r="F499" s="102" t="s">
        <v>983</v>
      </c>
      <c r="G499" s="124" t="e">
        <f>VLOOKUP(A499,survey!$1:$1048576,1,FALSE)</f>
        <v>#N/A</v>
      </c>
    </row>
    <row r="500" spans="1:7" ht="12.75" customHeight="1">
      <c r="A500" s="102">
        <v>1400426</v>
      </c>
      <c r="B500" s="102" t="s">
        <v>814</v>
      </c>
      <c r="C500" s="102" t="s">
        <v>957</v>
      </c>
      <c r="D500" s="102">
        <v>16</v>
      </c>
      <c r="E500" s="102" t="s">
        <v>984</v>
      </c>
      <c r="F500" s="102" t="s">
        <v>967</v>
      </c>
      <c r="G500" s="124" t="e">
        <f>VLOOKUP(A500,survey!$1:$1048576,1,FALSE)</f>
        <v>#N/A</v>
      </c>
    </row>
    <row r="501" spans="1:7" ht="12.75" customHeight="1">
      <c r="A501" s="102">
        <v>1400427</v>
      </c>
      <c r="B501" s="102" t="s">
        <v>814</v>
      </c>
      <c r="C501" s="102" t="s">
        <v>957</v>
      </c>
      <c r="D501" s="102">
        <v>17</v>
      </c>
      <c r="E501" s="102" t="s">
        <v>985</v>
      </c>
      <c r="F501" s="102" t="s">
        <v>986</v>
      </c>
      <c r="G501" s="124" t="e">
        <f>VLOOKUP(A501,survey!$1:$1048576,1,FALSE)</f>
        <v>#N/A</v>
      </c>
    </row>
    <row r="502" spans="1:7" ht="12.75" customHeight="1">
      <c r="A502" s="102">
        <v>1400428</v>
      </c>
      <c r="B502" s="102" t="s">
        <v>814</v>
      </c>
      <c r="C502" s="102" t="s">
        <v>957</v>
      </c>
      <c r="D502" s="102">
        <v>18</v>
      </c>
      <c r="E502" s="102" t="s">
        <v>987</v>
      </c>
      <c r="F502" s="102" t="s">
        <v>988</v>
      </c>
      <c r="G502" s="124" t="e">
        <f>VLOOKUP(A502,survey!$1:$1048576,1,FALSE)</f>
        <v>#N/A</v>
      </c>
    </row>
    <row r="503" spans="1:7" ht="12.75" customHeight="1">
      <c r="A503" s="102">
        <v>1400429</v>
      </c>
      <c r="B503" s="102" t="s">
        <v>814</v>
      </c>
      <c r="C503" s="102" t="s">
        <v>957</v>
      </c>
      <c r="D503" s="102">
        <v>19</v>
      </c>
      <c r="E503" s="102" t="s">
        <v>989</v>
      </c>
      <c r="F503" s="102" t="s">
        <v>990</v>
      </c>
      <c r="G503" s="124" t="e">
        <f>VLOOKUP(A503,survey!$1:$1048576,1,FALSE)</f>
        <v>#N/A</v>
      </c>
    </row>
    <row r="504" spans="1:7" ht="12.75" customHeight="1">
      <c r="A504" s="102">
        <v>1400430</v>
      </c>
      <c r="B504" s="102" t="s">
        <v>814</v>
      </c>
      <c r="C504" s="102" t="s">
        <v>957</v>
      </c>
      <c r="D504" s="102">
        <v>20</v>
      </c>
      <c r="E504" s="102" t="s">
        <v>991</v>
      </c>
      <c r="F504" s="102" t="s">
        <v>992</v>
      </c>
      <c r="G504" s="124" t="e">
        <f>VLOOKUP(A504,survey!$1:$1048576,1,FALSE)</f>
        <v>#N/A</v>
      </c>
    </row>
    <row r="505" spans="1:7" ht="12.75" customHeight="1">
      <c r="A505" s="102">
        <v>1400431</v>
      </c>
      <c r="B505" s="102" t="s">
        <v>814</v>
      </c>
      <c r="C505" s="102" t="s">
        <v>957</v>
      </c>
      <c r="D505" s="102">
        <v>21</v>
      </c>
      <c r="E505" s="102" t="s">
        <v>993</v>
      </c>
      <c r="F505" s="102" t="s">
        <v>994</v>
      </c>
      <c r="G505" s="124" t="e">
        <f>VLOOKUP(A505,survey!$1:$1048576,1,FALSE)</f>
        <v>#N/A</v>
      </c>
    </row>
    <row r="506" spans="1:7" ht="12.75" customHeight="1">
      <c r="A506" s="102">
        <v>1400432</v>
      </c>
      <c r="B506" s="102" t="s">
        <v>814</v>
      </c>
      <c r="C506" s="102" t="s">
        <v>957</v>
      </c>
      <c r="D506" s="102">
        <v>22</v>
      </c>
      <c r="E506" s="102" t="s">
        <v>995</v>
      </c>
      <c r="F506" s="102" t="s">
        <v>967</v>
      </c>
      <c r="G506" s="124" t="e">
        <f>VLOOKUP(A506,survey!$1:$1048576,1,FALSE)</f>
        <v>#N/A</v>
      </c>
    </row>
    <row r="507" spans="1:7" ht="12.75" customHeight="1">
      <c r="A507" s="102">
        <v>1400433</v>
      </c>
      <c r="B507" s="102" t="s">
        <v>814</v>
      </c>
      <c r="C507" s="102" t="s">
        <v>957</v>
      </c>
      <c r="D507" s="102">
        <v>23</v>
      </c>
      <c r="E507" s="102" t="s">
        <v>996</v>
      </c>
      <c r="F507" s="102" t="s">
        <v>961</v>
      </c>
      <c r="G507" s="124" t="e">
        <f>VLOOKUP(A507,survey!$1:$1048576,1,FALSE)</f>
        <v>#N/A</v>
      </c>
    </row>
    <row r="508" spans="1:7" ht="12.75" customHeight="1">
      <c r="A508" s="102">
        <v>1400434</v>
      </c>
      <c r="B508" s="102" t="s">
        <v>814</v>
      </c>
      <c r="C508" s="102" t="s">
        <v>957</v>
      </c>
      <c r="D508" s="102">
        <v>24</v>
      </c>
      <c r="E508" s="102" t="s">
        <v>997</v>
      </c>
      <c r="F508" s="102" t="s">
        <v>358</v>
      </c>
      <c r="G508" s="124" t="e">
        <f>VLOOKUP(A508,survey!$1:$1048576,1,FALSE)</f>
        <v>#N/A</v>
      </c>
    </row>
    <row r="509" spans="1:7" ht="12.75" customHeight="1">
      <c r="A509" s="102">
        <v>1400435</v>
      </c>
      <c r="B509" s="102" t="s">
        <v>814</v>
      </c>
      <c r="C509" s="102" t="s">
        <v>957</v>
      </c>
      <c r="D509" s="102">
        <v>25</v>
      </c>
      <c r="E509" s="102" t="s">
        <v>998</v>
      </c>
      <c r="F509" s="102" t="s">
        <v>999</v>
      </c>
      <c r="G509" s="124" t="e">
        <f>VLOOKUP(A509,survey!$1:$1048576,1,FALSE)</f>
        <v>#N/A</v>
      </c>
    </row>
    <row r="510" spans="1:7" ht="12.75" customHeight="1">
      <c r="A510" s="102">
        <v>1400436</v>
      </c>
      <c r="B510" s="102" t="s">
        <v>814</v>
      </c>
      <c r="C510" s="102" t="s">
        <v>957</v>
      </c>
      <c r="D510" s="102">
        <v>26</v>
      </c>
      <c r="E510" s="102" t="s">
        <v>1000</v>
      </c>
      <c r="F510" s="102" t="s">
        <v>1001</v>
      </c>
      <c r="G510" s="124" t="e">
        <f>VLOOKUP(A510,survey!$1:$1048576,1,FALSE)</f>
        <v>#N/A</v>
      </c>
    </row>
    <row r="511" spans="1:7" ht="12.75" customHeight="1">
      <c r="A511" s="102">
        <v>1400437</v>
      </c>
      <c r="B511" s="102" t="s">
        <v>814</v>
      </c>
      <c r="C511" s="102" t="s">
        <v>957</v>
      </c>
      <c r="D511" s="102">
        <v>27</v>
      </c>
      <c r="E511" s="102" t="s">
        <v>1002</v>
      </c>
      <c r="F511" s="102" t="s">
        <v>961</v>
      </c>
      <c r="G511" s="124" t="e">
        <f>VLOOKUP(A511,survey!$1:$1048576,1,FALSE)</f>
        <v>#N/A</v>
      </c>
    </row>
    <row r="512" spans="1:7" ht="12.75" customHeight="1">
      <c r="A512" s="102">
        <v>1400438</v>
      </c>
      <c r="B512" s="102" t="s">
        <v>814</v>
      </c>
      <c r="C512" s="102" t="s">
        <v>957</v>
      </c>
      <c r="D512" s="102">
        <v>28</v>
      </c>
      <c r="E512" s="102" t="s">
        <v>1003</v>
      </c>
      <c r="F512" s="102" t="s">
        <v>1004</v>
      </c>
      <c r="G512" s="124" t="e">
        <f>VLOOKUP(A512,survey!$1:$1048576,1,FALSE)</f>
        <v>#N/A</v>
      </c>
    </row>
    <row r="513" spans="1:7" ht="12.75" customHeight="1">
      <c r="A513" s="102">
        <v>1400439</v>
      </c>
      <c r="B513" s="102" t="s">
        <v>814</v>
      </c>
      <c r="C513" s="102" t="s">
        <v>957</v>
      </c>
      <c r="D513" s="102">
        <v>29</v>
      </c>
      <c r="E513" s="102" t="s">
        <v>1005</v>
      </c>
      <c r="F513" s="102" t="s">
        <v>1006</v>
      </c>
      <c r="G513" s="124" t="e">
        <f>VLOOKUP(A513,survey!$1:$1048576,1,FALSE)</f>
        <v>#N/A</v>
      </c>
    </row>
    <row r="514" spans="1:7" ht="12.75" customHeight="1">
      <c r="A514" s="102">
        <v>1400440</v>
      </c>
      <c r="B514" s="102" t="s">
        <v>814</v>
      </c>
      <c r="C514" s="102" t="s">
        <v>957</v>
      </c>
      <c r="D514" s="102">
        <v>30</v>
      </c>
      <c r="E514" s="102" t="s">
        <v>1007</v>
      </c>
      <c r="F514" s="102" t="s">
        <v>1008</v>
      </c>
      <c r="G514" s="124" t="e">
        <f>VLOOKUP(A514,survey!$1:$1048576,1,FALSE)</f>
        <v>#N/A</v>
      </c>
    </row>
    <row r="515" spans="1:7" ht="12.75" customHeight="1">
      <c r="A515" s="102">
        <v>1400441</v>
      </c>
      <c r="B515" s="102" t="s">
        <v>814</v>
      </c>
      <c r="C515" s="102" t="s">
        <v>957</v>
      </c>
      <c r="D515" s="102">
        <v>31</v>
      </c>
      <c r="E515" s="102" t="s">
        <v>1009</v>
      </c>
      <c r="F515" s="102" t="s">
        <v>1010</v>
      </c>
      <c r="G515" s="124" t="e">
        <f>VLOOKUP(A515,survey!$1:$1048576,1,FALSE)</f>
        <v>#N/A</v>
      </c>
    </row>
    <row r="516" spans="1:7" ht="12.75" customHeight="1">
      <c r="A516" s="102">
        <v>1400442</v>
      </c>
      <c r="B516" s="102" t="s">
        <v>814</v>
      </c>
      <c r="C516" s="102" t="s">
        <v>957</v>
      </c>
      <c r="D516" s="102">
        <v>32</v>
      </c>
      <c r="E516" s="102" t="s">
        <v>1011</v>
      </c>
      <c r="F516" s="102" t="s">
        <v>961</v>
      </c>
      <c r="G516" s="124" t="e">
        <f>VLOOKUP(A516,survey!$1:$1048576,1,FALSE)</f>
        <v>#N/A</v>
      </c>
    </row>
    <row r="517" spans="1:7" ht="12.75" customHeight="1">
      <c r="A517" s="102">
        <v>1400443</v>
      </c>
      <c r="B517" s="102" t="s">
        <v>814</v>
      </c>
      <c r="C517" s="102" t="s">
        <v>957</v>
      </c>
      <c r="D517" s="102">
        <v>33</v>
      </c>
      <c r="E517" s="102" t="s">
        <v>1012</v>
      </c>
      <c r="F517" s="102" t="s">
        <v>961</v>
      </c>
      <c r="G517" s="124" t="e">
        <f>VLOOKUP(A517,survey!$1:$1048576,1,FALSE)</f>
        <v>#N/A</v>
      </c>
    </row>
    <row r="518" spans="1:7" ht="12.75" customHeight="1">
      <c r="A518" s="102">
        <v>1400444</v>
      </c>
      <c r="B518" s="102" t="s">
        <v>814</v>
      </c>
      <c r="C518" s="102" t="s">
        <v>957</v>
      </c>
      <c r="D518" s="102">
        <v>34</v>
      </c>
      <c r="E518" s="102" t="s">
        <v>1013</v>
      </c>
      <c r="F518" s="102" t="s">
        <v>961</v>
      </c>
      <c r="G518" s="124" t="e">
        <f>VLOOKUP(A518,survey!$1:$1048576,1,FALSE)</f>
        <v>#N/A</v>
      </c>
    </row>
    <row r="519" spans="1:7" ht="12.75" customHeight="1">
      <c r="A519" s="102">
        <v>1400445</v>
      </c>
      <c r="B519" s="102" t="s">
        <v>814</v>
      </c>
      <c r="C519" s="102" t="s">
        <v>957</v>
      </c>
      <c r="D519" s="102">
        <v>35</v>
      </c>
      <c r="E519" s="102" t="s">
        <v>1014</v>
      </c>
      <c r="F519" s="102" t="s">
        <v>1015</v>
      </c>
      <c r="G519" s="124" t="e">
        <f>VLOOKUP(A519,survey!$1:$1048576,1,FALSE)</f>
        <v>#N/A</v>
      </c>
    </row>
    <row r="520" spans="1:7" ht="12.75" customHeight="1">
      <c r="A520" s="102">
        <v>1400446</v>
      </c>
      <c r="B520" s="102" t="s">
        <v>814</v>
      </c>
      <c r="C520" s="102" t="s">
        <v>957</v>
      </c>
      <c r="D520" s="102">
        <v>36</v>
      </c>
      <c r="E520" s="102" t="s">
        <v>1016</v>
      </c>
      <c r="F520" s="102" t="s">
        <v>358</v>
      </c>
      <c r="G520" s="124" t="e">
        <f>VLOOKUP(A520,survey!$1:$1048576,1,FALSE)</f>
        <v>#N/A</v>
      </c>
    </row>
    <row r="521" spans="1:7" ht="12.75" customHeight="1">
      <c r="A521" s="102">
        <v>1400447</v>
      </c>
      <c r="B521" s="102" t="s">
        <v>814</v>
      </c>
      <c r="C521" s="102" t="s">
        <v>957</v>
      </c>
      <c r="D521" s="102">
        <v>37</v>
      </c>
      <c r="E521" s="102" t="s">
        <v>1017</v>
      </c>
      <c r="F521" s="102" t="s">
        <v>1018</v>
      </c>
      <c r="G521" s="124" t="e">
        <f>VLOOKUP(A521,survey!$1:$1048576,1,FALSE)</f>
        <v>#N/A</v>
      </c>
    </row>
    <row r="522" spans="1:7" ht="12.75" customHeight="1">
      <c r="A522" s="102">
        <v>1400448</v>
      </c>
      <c r="B522" s="102" t="s">
        <v>814</v>
      </c>
      <c r="C522" s="102" t="s">
        <v>957</v>
      </c>
      <c r="D522" s="102">
        <v>38</v>
      </c>
      <c r="E522" s="102" t="s">
        <v>1019</v>
      </c>
      <c r="F522" s="102" t="s">
        <v>979</v>
      </c>
      <c r="G522" s="124" t="e">
        <f>VLOOKUP(A522,survey!$1:$1048576,1,FALSE)</f>
        <v>#N/A</v>
      </c>
    </row>
    <row r="523" spans="1:7" ht="12.75" customHeight="1">
      <c r="A523" s="102">
        <v>1400449</v>
      </c>
      <c r="B523" s="102" t="s">
        <v>814</v>
      </c>
      <c r="C523" s="102" t="s">
        <v>957</v>
      </c>
      <c r="D523" s="102">
        <v>39</v>
      </c>
      <c r="E523" s="102" t="s">
        <v>1020</v>
      </c>
      <c r="F523" s="102" t="s">
        <v>1021</v>
      </c>
      <c r="G523" s="124" t="e">
        <f>VLOOKUP(A523,survey!$1:$1048576,1,FALSE)</f>
        <v>#N/A</v>
      </c>
    </row>
    <row r="524" spans="1:7" ht="12.75" customHeight="1">
      <c r="A524" s="102">
        <v>1400450</v>
      </c>
      <c r="B524" s="102" t="s">
        <v>814</v>
      </c>
      <c r="C524" s="102" t="s">
        <v>957</v>
      </c>
      <c r="D524" s="102">
        <v>40</v>
      </c>
      <c r="E524" s="102" t="s">
        <v>1022</v>
      </c>
      <c r="F524" s="102" t="s">
        <v>967</v>
      </c>
      <c r="G524" s="124" t="e">
        <f>VLOOKUP(A524,survey!$1:$1048576,1,FALSE)</f>
        <v>#N/A</v>
      </c>
    </row>
    <row r="525" spans="1:7" ht="12.75" customHeight="1">
      <c r="A525" s="102">
        <v>1400632</v>
      </c>
      <c r="B525" s="102" t="s">
        <v>814</v>
      </c>
      <c r="C525" s="102" t="s">
        <v>957</v>
      </c>
      <c r="D525" s="102">
        <v>41</v>
      </c>
      <c r="E525" s="102" t="s">
        <v>1023</v>
      </c>
      <c r="F525" s="102" t="s">
        <v>1008</v>
      </c>
      <c r="G525" s="124" t="e">
        <f>VLOOKUP(A525,survey!$1:$1048576,1,FALSE)</f>
        <v>#N/A</v>
      </c>
    </row>
    <row r="526" spans="1:7" ht="12.75" customHeight="1">
      <c r="A526" s="102">
        <v>1400633</v>
      </c>
      <c r="B526" s="102" t="s">
        <v>814</v>
      </c>
      <c r="C526" s="102" t="s">
        <v>957</v>
      </c>
      <c r="D526" s="102">
        <v>42</v>
      </c>
      <c r="E526" s="102" t="s">
        <v>1024</v>
      </c>
      <c r="F526" s="102" t="s">
        <v>1025</v>
      </c>
      <c r="G526" s="124" t="e">
        <f>VLOOKUP(A526,survey!$1:$1048576,1,FALSE)</f>
        <v>#N/A</v>
      </c>
    </row>
    <row r="527" spans="1:7" ht="12.75" customHeight="1">
      <c r="A527" s="102">
        <v>1400634</v>
      </c>
      <c r="B527" s="102" t="s">
        <v>814</v>
      </c>
      <c r="C527" s="102" t="s">
        <v>957</v>
      </c>
      <c r="D527" s="102">
        <v>43</v>
      </c>
      <c r="E527" s="102" t="s">
        <v>1026</v>
      </c>
      <c r="F527" s="102" t="s">
        <v>358</v>
      </c>
      <c r="G527" s="124" t="e">
        <f>VLOOKUP(A527,survey!$1:$1048576,1,FALSE)</f>
        <v>#N/A</v>
      </c>
    </row>
    <row r="528" spans="1:7" ht="12.75" customHeight="1">
      <c r="A528" s="102">
        <v>1400695</v>
      </c>
      <c r="B528" s="102" t="s">
        <v>814</v>
      </c>
      <c r="C528" s="102" t="s">
        <v>957</v>
      </c>
      <c r="D528" s="102">
        <v>44</v>
      </c>
      <c r="E528" s="102" t="s">
        <v>1027</v>
      </c>
      <c r="F528" s="102" t="s">
        <v>1008</v>
      </c>
      <c r="G528" s="124" t="e">
        <f>VLOOKUP(A528,survey!$1:$1048576,1,FALSE)</f>
        <v>#N/A</v>
      </c>
    </row>
    <row r="529" spans="1:7" ht="12.75" customHeight="1">
      <c r="A529" s="102">
        <v>1400802</v>
      </c>
      <c r="B529" s="102" t="s">
        <v>814</v>
      </c>
      <c r="C529" s="102" t="s">
        <v>957</v>
      </c>
      <c r="D529" s="102">
        <v>45</v>
      </c>
      <c r="E529" s="102" t="s">
        <v>1028</v>
      </c>
      <c r="F529" s="102" t="s">
        <v>1018</v>
      </c>
      <c r="G529" s="124" t="e">
        <f>VLOOKUP(A529,survey!$1:$1048576,1,FALSE)</f>
        <v>#N/A</v>
      </c>
    </row>
    <row r="530" spans="1:7" ht="12.75" customHeight="1">
      <c r="A530" s="102">
        <v>1400806</v>
      </c>
      <c r="B530" s="102" t="s">
        <v>814</v>
      </c>
      <c r="C530" s="102" t="s">
        <v>957</v>
      </c>
      <c r="D530" s="102">
        <v>46</v>
      </c>
      <c r="E530" s="102" t="s">
        <v>1029</v>
      </c>
      <c r="F530" s="102" t="s">
        <v>967</v>
      </c>
      <c r="G530" s="124" t="e">
        <f>VLOOKUP(A530,survey!$1:$1048576,1,FALSE)</f>
        <v>#N/A</v>
      </c>
    </row>
    <row r="531" spans="1:7" ht="12.75" customHeight="1">
      <c r="A531" s="102">
        <v>1400823</v>
      </c>
      <c r="B531" s="102" t="s">
        <v>814</v>
      </c>
      <c r="C531" s="102" t="s">
        <v>957</v>
      </c>
      <c r="D531" s="102">
        <v>47</v>
      </c>
      <c r="E531" s="102" t="s">
        <v>1030</v>
      </c>
      <c r="F531" s="102" t="s">
        <v>1031</v>
      </c>
      <c r="G531" s="124" t="e">
        <f>VLOOKUP(A531,survey!$1:$1048576,1,FALSE)</f>
        <v>#N/A</v>
      </c>
    </row>
    <row r="532" spans="1:7" ht="12.75" customHeight="1">
      <c r="A532" s="102">
        <v>1400846</v>
      </c>
      <c r="B532" s="102" t="s">
        <v>814</v>
      </c>
      <c r="C532" s="102" t="s">
        <v>957</v>
      </c>
      <c r="D532" s="102">
        <v>48</v>
      </c>
      <c r="E532" s="102" t="s">
        <v>1032</v>
      </c>
      <c r="F532" s="102" t="s">
        <v>358</v>
      </c>
      <c r="G532" s="124" t="e">
        <f>VLOOKUP(A532,survey!$1:$1048576,1,FALSE)</f>
        <v>#N/A</v>
      </c>
    </row>
    <row r="533" spans="1:7" ht="12.75" customHeight="1">
      <c r="A533" s="102">
        <v>1400897</v>
      </c>
      <c r="B533" s="102" t="s">
        <v>814</v>
      </c>
      <c r="C533" s="102" t="s">
        <v>957</v>
      </c>
      <c r="D533" s="102">
        <v>49</v>
      </c>
      <c r="E533" s="102" t="s">
        <v>1033</v>
      </c>
      <c r="F533" s="102" t="s">
        <v>1034</v>
      </c>
      <c r="G533" s="124" t="e">
        <f>VLOOKUP(A533,survey!$1:$1048576,1,FALSE)</f>
        <v>#N/A</v>
      </c>
    </row>
    <row r="534" spans="1:7" ht="12.75" customHeight="1">
      <c r="A534" s="102">
        <v>1401140</v>
      </c>
      <c r="B534" s="102" t="s">
        <v>814</v>
      </c>
      <c r="C534" s="102" t="s">
        <v>957</v>
      </c>
      <c r="D534" s="102">
        <v>50</v>
      </c>
      <c r="E534" s="102" t="s">
        <v>1035</v>
      </c>
      <c r="F534" s="102" t="s">
        <v>1036</v>
      </c>
      <c r="G534" s="124" t="e">
        <f>VLOOKUP(A534,survey!$1:$1048576,1,FALSE)</f>
        <v>#N/A</v>
      </c>
    </row>
    <row r="535" spans="1:7" ht="12.75" customHeight="1">
      <c r="A535" s="102">
        <v>1401190</v>
      </c>
      <c r="B535" s="102" t="s">
        <v>814</v>
      </c>
      <c r="C535" s="102" t="s">
        <v>957</v>
      </c>
      <c r="D535" s="102">
        <v>51</v>
      </c>
      <c r="E535" s="102" t="s">
        <v>1037</v>
      </c>
      <c r="F535" s="102" t="s">
        <v>358</v>
      </c>
      <c r="G535" s="124" t="e">
        <f>VLOOKUP(A535,survey!$1:$1048576,1,FALSE)</f>
        <v>#N/A</v>
      </c>
    </row>
    <row r="536" spans="1:7" ht="12.75" customHeight="1">
      <c r="A536" s="102">
        <v>1401222</v>
      </c>
      <c r="B536" s="102" t="s">
        <v>814</v>
      </c>
      <c r="C536" s="102" t="s">
        <v>957</v>
      </c>
      <c r="D536" s="102">
        <v>52</v>
      </c>
      <c r="E536" s="102" t="s">
        <v>1038</v>
      </c>
      <c r="F536" s="102" t="s">
        <v>1039</v>
      </c>
      <c r="G536" s="124" t="e">
        <f>VLOOKUP(A536,survey!$1:$1048576,1,FALSE)</f>
        <v>#N/A</v>
      </c>
    </row>
    <row r="537" spans="1:7" ht="12.75" customHeight="1">
      <c r="A537" s="102">
        <v>1401223</v>
      </c>
      <c r="B537" s="102" t="s">
        <v>814</v>
      </c>
      <c r="C537" s="102" t="s">
        <v>957</v>
      </c>
      <c r="D537" s="102">
        <v>53</v>
      </c>
      <c r="E537" s="102" t="s">
        <v>1040</v>
      </c>
      <c r="F537" s="102" t="s">
        <v>358</v>
      </c>
      <c r="G537" s="124" t="e">
        <f>VLOOKUP(A537,survey!$1:$1048576,1,FALSE)</f>
        <v>#N/A</v>
      </c>
    </row>
    <row r="538" spans="1:7" ht="12.75" customHeight="1">
      <c r="A538" s="102">
        <v>1401395</v>
      </c>
      <c r="B538" s="102" t="s">
        <v>814</v>
      </c>
      <c r="C538" s="102" t="s">
        <v>957</v>
      </c>
      <c r="D538" s="102">
        <v>54</v>
      </c>
      <c r="E538" s="102" t="s">
        <v>1041</v>
      </c>
      <c r="F538" s="102" t="s">
        <v>973</v>
      </c>
      <c r="G538" s="124" t="e">
        <f>VLOOKUP(A538,survey!$1:$1048576,1,FALSE)</f>
        <v>#N/A</v>
      </c>
    </row>
    <row r="539" spans="1:7" ht="12.75" customHeight="1">
      <c r="A539" s="102">
        <v>1401396</v>
      </c>
      <c r="B539" s="102" t="s">
        <v>814</v>
      </c>
      <c r="C539" s="102" t="s">
        <v>957</v>
      </c>
      <c r="D539" s="102">
        <v>55</v>
      </c>
      <c r="E539" s="102" t="s">
        <v>1042</v>
      </c>
      <c r="F539" s="102" t="s">
        <v>959</v>
      </c>
      <c r="G539" s="124" t="e">
        <f>VLOOKUP(A539,survey!$1:$1048576,1,FALSE)</f>
        <v>#N/A</v>
      </c>
    </row>
    <row r="540" spans="1:7" ht="12.75" customHeight="1">
      <c r="A540" s="102">
        <v>1401398</v>
      </c>
      <c r="B540" s="102" t="s">
        <v>814</v>
      </c>
      <c r="C540" s="102" t="s">
        <v>957</v>
      </c>
      <c r="D540" s="102">
        <v>56</v>
      </c>
      <c r="E540" s="102" t="s">
        <v>1043</v>
      </c>
      <c r="F540" s="102" t="s">
        <v>1044</v>
      </c>
      <c r="G540" s="124" t="e">
        <f>VLOOKUP(A540,survey!$1:$1048576,1,FALSE)</f>
        <v>#N/A</v>
      </c>
    </row>
    <row r="541" spans="1:7" ht="12.75" customHeight="1">
      <c r="A541" s="102">
        <v>1401434</v>
      </c>
      <c r="B541" s="102" t="s">
        <v>814</v>
      </c>
      <c r="C541" s="102" t="s">
        <v>957</v>
      </c>
      <c r="D541" s="102">
        <v>56</v>
      </c>
      <c r="E541" s="102" t="s">
        <v>1045</v>
      </c>
      <c r="F541" s="102" t="s">
        <v>983</v>
      </c>
      <c r="G541" s="124" t="e">
        <f>VLOOKUP(A541,survey!$1:$1048576,1,FALSE)</f>
        <v>#N/A</v>
      </c>
    </row>
    <row r="542" spans="1:7" ht="12.75" customHeight="1">
      <c r="A542" s="102">
        <v>1401562</v>
      </c>
      <c r="B542" s="102" t="s">
        <v>814</v>
      </c>
      <c r="C542" s="102" t="s">
        <v>957</v>
      </c>
      <c r="D542" s="102">
        <v>57</v>
      </c>
      <c r="E542" s="102" t="s">
        <v>1046</v>
      </c>
      <c r="F542" s="102" t="s">
        <v>436</v>
      </c>
      <c r="G542" s="124" t="e">
        <f>VLOOKUP(A542,survey!$1:$1048576,1,FALSE)</f>
        <v>#N/A</v>
      </c>
    </row>
    <row r="543" spans="1:7" ht="12.75" customHeight="1">
      <c r="A543" s="102">
        <v>1401563</v>
      </c>
      <c r="B543" s="102" t="s">
        <v>814</v>
      </c>
      <c r="C543" s="102" t="s">
        <v>957</v>
      </c>
      <c r="D543" s="102">
        <v>58</v>
      </c>
      <c r="E543" s="102" t="s">
        <v>1047</v>
      </c>
      <c r="F543" s="102" t="s">
        <v>1018</v>
      </c>
      <c r="G543" s="124" t="e">
        <f>VLOOKUP(A543,survey!$1:$1048576,1,FALSE)</f>
        <v>#N/A</v>
      </c>
    </row>
    <row r="544" spans="1:7" ht="12.75" customHeight="1">
      <c r="A544" s="102">
        <v>1401625</v>
      </c>
      <c r="B544" s="102" t="s">
        <v>814</v>
      </c>
      <c r="C544" s="102" t="s">
        <v>957</v>
      </c>
      <c r="D544" s="102">
        <v>59</v>
      </c>
      <c r="E544" s="102" t="s">
        <v>1048</v>
      </c>
      <c r="F544" s="102" t="s">
        <v>1049</v>
      </c>
      <c r="G544" s="124" t="e">
        <f>VLOOKUP(A544,survey!$1:$1048576,1,FALSE)</f>
        <v>#N/A</v>
      </c>
    </row>
    <row r="545" spans="1:7" ht="12.75" customHeight="1">
      <c r="A545" s="102">
        <v>1401435</v>
      </c>
      <c r="B545" s="102" t="s">
        <v>814</v>
      </c>
      <c r="C545" s="102" t="s">
        <v>957</v>
      </c>
      <c r="D545" s="102">
        <v>60</v>
      </c>
      <c r="E545" s="102" t="s">
        <v>1050</v>
      </c>
      <c r="F545" s="102" t="s">
        <v>1006</v>
      </c>
      <c r="G545" s="124" t="e">
        <f>VLOOKUP(A545,survey!$1:$1048576,1,FALSE)</f>
        <v>#N/A</v>
      </c>
    </row>
    <row r="546" spans="1:7" ht="12.75" customHeight="1">
      <c r="A546" s="102">
        <v>1400451</v>
      </c>
      <c r="B546" s="102" t="s">
        <v>814</v>
      </c>
      <c r="C546" s="102" t="s">
        <v>1051</v>
      </c>
      <c r="D546" s="102">
        <v>1</v>
      </c>
      <c r="E546" s="102" t="s">
        <v>1052</v>
      </c>
      <c r="F546" s="102" t="s">
        <v>358</v>
      </c>
      <c r="G546" s="124" t="e">
        <f>VLOOKUP(A546,survey!$1:$1048576,1,FALSE)</f>
        <v>#N/A</v>
      </c>
    </row>
    <row r="547" spans="1:7" ht="12.75" customHeight="1">
      <c r="A547" s="102">
        <v>1400452</v>
      </c>
      <c r="B547" s="102" t="s">
        <v>814</v>
      </c>
      <c r="C547" s="102" t="s">
        <v>1051</v>
      </c>
      <c r="D547" s="102">
        <v>2</v>
      </c>
      <c r="E547" s="102" t="s">
        <v>1053</v>
      </c>
      <c r="F547" s="102" t="s">
        <v>1054</v>
      </c>
      <c r="G547" s="124" t="e">
        <f>VLOOKUP(A547,survey!$1:$1048576,1,FALSE)</f>
        <v>#N/A</v>
      </c>
    </row>
    <row r="548" spans="1:7" ht="12.75" customHeight="1">
      <c r="A548" s="102">
        <v>1400453</v>
      </c>
      <c r="B548" s="102" t="s">
        <v>814</v>
      </c>
      <c r="C548" s="102" t="s">
        <v>1051</v>
      </c>
      <c r="D548" s="102">
        <v>3</v>
      </c>
      <c r="E548" s="102" t="s">
        <v>1055</v>
      </c>
      <c r="F548" s="102" t="s">
        <v>1055</v>
      </c>
      <c r="G548" s="124" t="e">
        <f>VLOOKUP(A548,survey!$1:$1048576,1,FALSE)</f>
        <v>#N/A</v>
      </c>
    </row>
    <row r="549" spans="1:7" ht="12.75" customHeight="1">
      <c r="A549" s="102">
        <v>1400454</v>
      </c>
      <c r="B549" s="102" t="s">
        <v>814</v>
      </c>
      <c r="C549" s="102" t="s">
        <v>1051</v>
      </c>
      <c r="D549" s="102">
        <v>4</v>
      </c>
      <c r="E549" s="102" t="s">
        <v>1056</v>
      </c>
      <c r="F549" s="102" t="s">
        <v>1057</v>
      </c>
      <c r="G549" s="124" t="e">
        <f>VLOOKUP(A549,survey!$1:$1048576,1,FALSE)</f>
        <v>#N/A</v>
      </c>
    </row>
    <row r="550" spans="1:7" ht="12.75" customHeight="1">
      <c r="A550" s="102">
        <v>1400455</v>
      </c>
      <c r="B550" s="102" t="s">
        <v>814</v>
      </c>
      <c r="C550" s="102" t="s">
        <v>1051</v>
      </c>
      <c r="D550" s="102">
        <v>5</v>
      </c>
      <c r="E550" s="102" t="s">
        <v>1058</v>
      </c>
      <c r="F550" s="102" t="s">
        <v>1059</v>
      </c>
      <c r="G550" s="124" t="e">
        <f>VLOOKUP(A550,survey!$1:$1048576,1,FALSE)</f>
        <v>#N/A</v>
      </c>
    </row>
    <row r="551" spans="1:7" ht="12.75" customHeight="1">
      <c r="A551" s="102">
        <v>1400456</v>
      </c>
      <c r="B551" s="102" t="s">
        <v>814</v>
      </c>
      <c r="C551" s="102" t="s">
        <v>1051</v>
      </c>
      <c r="D551" s="102">
        <v>6</v>
      </c>
      <c r="E551" s="102" t="s">
        <v>1060</v>
      </c>
      <c r="F551" s="102" t="s">
        <v>1054</v>
      </c>
      <c r="G551" s="124" t="e">
        <f>VLOOKUP(A551,survey!$1:$1048576,1,FALSE)</f>
        <v>#N/A</v>
      </c>
    </row>
    <row r="552" spans="1:7" ht="12.75" customHeight="1">
      <c r="A552" s="102">
        <v>1400457</v>
      </c>
      <c r="B552" s="102" t="s">
        <v>814</v>
      </c>
      <c r="C552" s="102" t="s">
        <v>1051</v>
      </c>
      <c r="D552" s="102">
        <v>7</v>
      </c>
      <c r="E552" s="102" t="s">
        <v>1061</v>
      </c>
      <c r="F552" s="102" t="s">
        <v>1062</v>
      </c>
      <c r="G552" s="124" t="e">
        <f>VLOOKUP(A552,survey!$1:$1048576,1,FALSE)</f>
        <v>#N/A</v>
      </c>
    </row>
    <row r="553" spans="1:7" ht="12.75" customHeight="1">
      <c r="A553" s="102">
        <v>1400458</v>
      </c>
      <c r="B553" s="102" t="s">
        <v>814</v>
      </c>
      <c r="C553" s="102" t="s">
        <v>1051</v>
      </c>
      <c r="D553" s="102">
        <v>8</v>
      </c>
      <c r="E553" s="102" t="s">
        <v>1063</v>
      </c>
      <c r="F553" s="102" t="s">
        <v>358</v>
      </c>
      <c r="G553" s="124" t="e">
        <f>VLOOKUP(A553,survey!$1:$1048576,1,FALSE)</f>
        <v>#N/A</v>
      </c>
    </row>
    <row r="554" spans="1:7" ht="12.75" customHeight="1">
      <c r="A554" s="102">
        <v>1400459</v>
      </c>
      <c r="B554" s="102" t="s">
        <v>814</v>
      </c>
      <c r="C554" s="102" t="s">
        <v>1051</v>
      </c>
      <c r="D554" s="102">
        <v>9</v>
      </c>
      <c r="E554" s="102" t="s">
        <v>1064</v>
      </c>
      <c r="F554" s="102" t="s">
        <v>1065</v>
      </c>
      <c r="G554" s="124" t="e">
        <f>VLOOKUP(A554,survey!$1:$1048576,1,FALSE)</f>
        <v>#N/A</v>
      </c>
    </row>
    <row r="555" spans="1:7" ht="12.75" customHeight="1">
      <c r="A555" s="102">
        <v>1400460</v>
      </c>
      <c r="B555" s="102" t="s">
        <v>814</v>
      </c>
      <c r="C555" s="102" t="s">
        <v>1051</v>
      </c>
      <c r="D555" s="102">
        <v>10</v>
      </c>
      <c r="E555" s="102" t="s">
        <v>1066</v>
      </c>
      <c r="F555" s="102" t="s">
        <v>1067</v>
      </c>
      <c r="G555" s="124" t="e">
        <f>VLOOKUP(A555,survey!$1:$1048576,1,FALSE)</f>
        <v>#N/A</v>
      </c>
    </row>
    <row r="556" spans="1:7" ht="12.75" customHeight="1">
      <c r="A556" s="102">
        <v>1400461</v>
      </c>
      <c r="B556" s="102" t="s">
        <v>814</v>
      </c>
      <c r="C556" s="102" t="s">
        <v>1051</v>
      </c>
      <c r="D556" s="102">
        <v>11</v>
      </c>
      <c r="E556" s="102" t="s">
        <v>1068</v>
      </c>
      <c r="F556" s="102" t="s">
        <v>1069</v>
      </c>
      <c r="G556" s="124" t="e">
        <f>VLOOKUP(A556,survey!$1:$1048576,1,FALSE)</f>
        <v>#N/A</v>
      </c>
    </row>
    <row r="557" spans="1:7" ht="12.75" customHeight="1">
      <c r="A557" s="102">
        <v>1400462</v>
      </c>
      <c r="B557" s="102" t="s">
        <v>814</v>
      </c>
      <c r="C557" s="102" t="s">
        <v>1051</v>
      </c>
      <c r="D557" s="102">
        <v>12</v>
      </c>
      <c r="E557" s="102" t="s">
        <v>1070</v>
      </c>
      <c r="F557" s="102" t="s">
        <v>1071</v>
      </c>
      <c r="G557" s="124" t="e">
        <f>VLOOKUP(A557,survey!$1:$1048576,1,FALSE)</f>
        <v>#N/A</v>
      </c>
    </row>
    <row r="558" spans="1:7" ht="12.75" customHeight="1">
      <c r="A558" s="102">
        <v>1400463</v>
      </c>
      <c r="B558" s="102" t="s">
        <v>814</v>
      </c>
      <c r="C558" s="102" t="s">
        <v>1051</v>
      </c>
      <c r="D558" s="102">
        <v>13</v>
      </c>
      <c r="E558" s="102" t="s">
        <v>1072</v>
      </c>
      <c r="F558" s="102" t="s">
        <v>358</v>
      </c>
      <c r="G558" s="124" t="e">
        <f>VLOOKUP(A558,survey!$1:$1048576,1,FALSE)</f>
        <v>#N/A</v>
      </c>
    </row>
    <row r="559" spans="1:7" ht="12.75" customHeight="1">
      <c r="A559" s="102">
        <v>1400464</v>
      </c>
      <c r="B559" s="102" t="s">
        <v>814</v>
      </c>
      <c r="C559" s="102" t="s">
        <v>1051</v>
      </c>
      <c r="D559" s="102">
        <v>14</v>
      </c>
      <c r="E559" s="102" t="s">
        <v>1073</v>
      </c>
      <c r="F559" s="102" t="s">
        <v>358</v>
      </c>
      <c r="G559" s="124" t="e">
        <f>VLOOKUP(A559,survey!$1:$1048576,1,FALSE)</f>
        <v>#N/A</v>
      </c>
    </row>
    <row r="560" spans="1:7" ht="12.75" customHeight="1">
      <c r="A560" s="102">
        <v>1400465</v>
      </c>
      <c r="B560" s="102" t="s">
        <v>814</v>
      </c>
      <c r="C560" s="102" t="s">
        <v>1051</v>
      </c>
      <c r="D560" s="102">
        <v>15</v>
      </c>
      <c r="E560" s="102" t="s">
        <v>1074</v>
      </c>
      <c r="F560" s="102" t="s">
        <v>1059</v>
      </c>
      <c r="G560" s="124" t="e">
        <f>VLOOKUP(A560,survey!$1:$1048576,1,FALSE)</f>
        <v>#N/A</v>
      </c>
    </row>
    <row r="561" spans="1:7" ht="12.75" customHeight="1">
      <c r="A561" s="102">
        <v>1400466</v>
      </c>
      <c r="B561" s="102" t="s">
        <v>814</v>
      </c>
      <c r="C561" s="102" t="s">
        <v>1051</v>
      </c>
      <c r="D561" s="102">
        <v>16</v>
      </c>
      <c r="E561" s="102" t="s">
        <v>1075</v>
      </c>
      <c r="F561" s="102" t="s">
        <v>1076</v>
      </c>
      <c r="G561" s="124" t="e">
        <f>VLOOKUP(A561,survey!$1:$1048576,1,FALSE)</f>
        <v>#N/A</v>
      </c>
    </row>
    <row r="562" spans="1:7" ht="12.75" customHeight="1">
      <c r="A562" s="102">
        <v>1400635</v>
      </c>
      <c r="B562" s="102" t="s">
        <v>814</v>
      </c>
      <c r="C562" s="102" t="s">
        <v>1051</v>
      </c>
      <c r="D562" s="102">
        <v>17</v>
      </c>
      <c r="E562" s="102" t="s">
        <v>1077</v>
      </c>
      <c r="F562" s="102" t="s">
        <v>358</v>
      </c>
      <c r="G562" s="124" t="e">
        <f>VLOOKUP(A562,survey!$1:$1048576,1,FALSE)</f>
        <v>#N/A</v>
      </c>
    </row>
    <row r="563" spans="1:7" ht="12.75" customHeight="1">
      <c r="A563" s="102">
        <v>1400636</v>
      </c>
      <c r="B563" s="102" t="s">
        <v>814</v>
      </c>
      <c r="C563" s="102" t="s">
        <v>1051</v>
      </c>
      <c r="D563" s="102">
        <v>18</v>
      </c>
      <c r="E563" s="102" t="s">
        <v>1078</v>
      </c>
      <c r="F563" s="102" t="s">
        <v>358</v>
      </c>
      <c r="G563" s="124" t="e">
        <f>VLOOKUP(A563,survey!$1:$1048576,1,FALSE)</f>
        <v>#N/A</v>
      </c>
    </row>
    <row r="564" spans="1:7" ht="12.75" customHeight="1">
      <c r="A564" s="102">
        <v>1400696</v>
      </c>
      <c r="B564" s="102" t="s">
        <v>814</v>
      </c>
      <c r="C564" s="102" t="s">
        <v>1051</v>
      </c>
      <c r="D564" s="102">
        <v>19</v>
      </c>
      <c r="E564" s="102" t="s">
        <v>1079</v>
      </c>
      <c r="F564" s="102" t="s">
        <v>1080</v>
      </c>
      <c r="G564" s="124" t="e">
        <f>VLOOKUP(A564,survey!$1:$1048576,1,FALSE)</f>
        <v>#N/A</v>
      </c>
    </row>
    <row r="565" spans="1:7" ht="12.75" customHeight="1">
      <c r="A565" s="102">
        <v>1401141</v>
      </c>
      <c r="B565" s="102" t="s">
        <v>814</v>
      </c>
      <c r="C565" s="102" t="s">
        <v>1051</v>
      </c>
      <c r="D565" s="102">
        <v>20</v>
      </c>
      <c r="E565" s="102" t="s">
        <v>1081</v>
      </c>
      <c r="F565" s="102" t="s">
        <v>1055</v>
      </c>
      <c r="G565" s="124" t="e">
        <f>VLOOKUP(A565,survey!$1:$1048576,1,FALSE)</f>
        <v>#N/A</v>
      </c>
    </row>
    <row r="566" spans="1:7" ht="12.75" customHeight="1">
      <c r="A566" s="102">
        <v>1401382</v>
      </c>
      <c r="B566" s="102" t="s">
        <v>814</v>
      </c>
      <c r="C566" s="102" t="s">
        <v>1051</v>
      </c>
      <c r="D566" s="102">
        <v>21</v>
      </c>
      <c r="E566" s="102" t="s">
        <v>1082</v>
      </c>
      <c r="F566" s="102" t="s">
        <v>1083</v>
      </c>
      <c r="G566" s="124" t="e">
        <f>VLOOKUP(A566,survey!$1:$1048576,1,FALSE)</f>
        <v>#N/A</v>
      </c>
    </row>
    <row r="567" spans="1:7" ht="12.75" customHeight="1">
      <c r="A567" s="102">
        <v>1400519</v>
      </c>
      <c r="B567" s="102" t="s">
        <v>93</v>
      </c>
      <c r="C567" s="102" t="s">
        <v>94</v>
      </c>
      <c r="D567" s="102">
        <v>1</v>
      </c>
      <c r="E567" s="102" t="s">
        <v>1084</v>
      </c>
      <c r="F567" s="102" t="s">
        <v>816</v>
      </c>
      <c r="G567" s="124" t="e">
        <f>VLOOKUP(A567,survey!$1:$1048576,1,FALSE)</f>
        <v>#N/A</v>
      </c>
    </row>
    <row r="568" spans="1:7" ht="12.75" customHeight="1">
      <c r="A568" s="102">
        <v>1400520</v>
      </c>
      <c r="B568" s="102" t="s">
        <v>93</v>
      </c>
      <c r="C568" s="102" t="s">
        <v>94</v>
      </c>
      <c r="D568" s="102">
        <v>2</v>
      </c>
      <c r="E568" s="102" t="s">
        <v>1085</v>
      </c>
      <c r="F568" s="102" t="s">
        <v>1086</v>
      </c>
      <c r="G568" s="124" t="e">
        <f>VLOOKUP(A568,survey!$1:$1048576,1,FALSE)</f>
        <v>#N/A</v>
      </c>
    </row>
    <row r="569" spans="1:7" ht="12.75" customHeight="1">
      <c r="A569" s="102">
        <v>1400521</v>
      </c>
      <c r="B569" s="102" t="s">
        <v>93</v>
      </c>
      <c r="C569" s="102" t="s">
        <v>94</v>
      </c>
      <c r="D569" s="102">
        <v>3</v>
      </c>
      <c r="E569" s="102" t="s">
        <v>1087</v>
      </c>
      <c r="F569" s="102" t="s">
        <v>1088</v>
      </c>
      <c r="G569" s="124" t="e">
        <f>VLOOKUP(A569,survey!$1:$1048576,1,FALSE)</f>
        <v>#N/A</v>
      </c>
    </row>
    <row r="570" spans="1:7" ht="12.75" customHeight="1">
      <c r="A570" s="102">
        <v>1400522</v>
      </c>
      <c r="B570" s="102" t="s">
        <v>93</v>
      </c>
      <c r="C570" s="102" t="s">
        <v>94</v>
      </c>
      <c r="D570" s="102">
        <v>4</v>
      </c>
      <c r="E570" s="102" t="s">
        <v>1089</v>
      </c>
      <c r="F570" s="102" t="s">
        <v>816</v>
      </c>
      <c r="G570" s="124" t="e">
        <f>VLOOKUP(A570,survey!$1:$1048576,1,FALSE)</f>
        <v>#N/A</v>
      </c>
    </row>
    <row r="571" spans="1:7" ht="12.75" customHeight="1">
      <c r="A571" s="102">
        <v>1400523</v>
      </c>
      <c r="B571" s="102" t="s">
        <v>93</v>
      </c>
      <c r="C571" s="102" t="s">
        <v>94</v>
      </c>
      <c r="D571" s="102">
        <v>5</v>
      </c>
      <c r="E571" s="102" t="s">
        <v>1090</v>
      </c>
      <c r="F571" s="102" t="s">
        <v>1091</v>
      </c>
      <c r="G571" s="124" t="e">
        <f>VLOOKUP(A571,survey!$1:$1048576,1,FALSE)</f>
        <v>#N/A</v>
      </c>
    </row>
    <row r="572" spans="1:7" ht="12.75" customHeight="1">
      <c r="A572" s="102">
        <v>1400524</v>
      </c>
      <c r="B572" s="102" t="s">
        <v>93</v>
      </c>
      <c r="C572" s="102" t="s">
        <v>94</v>
      </c>
      <c r="D572" s="102">
        <v>6</v>
      </c>
      <c r="E572" s="102" t="s">
        <v>1092</v>
      </c>
      <c r="F572" s="102" t="s">
        <v>1091</v>
      </c>
      <c r="G572" s="124" t="e">
        <f>VLOOKUP(A572,survey!$1:$1048576,1,FALSE)</f>
        <v>#N/A</v>
      </c>
    </row>
    <row r="573" spans="1:7" ht="12.75" customHeight="1">
      <c r="A573" s="102">
        <v>1400525</v>
      </c>
      <c r="B573" s="102" t="s">
        <v>93</v>
      </c>
      <c r="C573" s="102" t="s">
        <v>94</v>
      </c>
      <c r="D573" s="102">
        <v>7</v>
      </c>
      <c r="E573" s="102" t="s">
        <v>1093</v>
      </c>
      <c r="F573" s="102" t="s">
        <v>868</v>
      </c>
      <c r="G573" s="124" t="e">
        <f>VLOOKUP(A573,survey!$1:$1048576,1,FALSE)</f>
        <v>#N/A</v>
      </c>
    </row>
    <row r="574" spans="1:7" ht="12.75" customHeight="1">
      <c r="A574" s="102">
        <v>1400526</v>
      </c>
      <c r="B574" s="102" t="s">
        <v>93</v>
      </c>
      <c r="C574" s="102" t="s">
        <v>94</v>
      </c>
      <c r="D574" s="102">
        <v>8</v>
      </c>
      <c r="E574" s="102" t="s">
        <v>1094</v>
      </c>
      <c r="F574" s="102" t="s">
        <v>453</v>
      </c>
      <c r="G574" s="124" t="e">
        <f>VLOOKUP(A574,survey!$1:$1048576,1,FALSE)</f>
        <v>#N/A</v>
      </c>
    </row>
    <row r="575" spans="1:7" ht="12.75" customHeight="1">
      <c r="A575" s="102">
        <v>1400542</v>
      </c>
      <c r="B575" s="102" t="s">
        <v>93</v>
      </c>
      <c r="C575" s="102" t="s">
        <v>94</v>
      </c>
      <c r="D575" s="102">
        <v>9</v>
      </c>
      <c r="E575" s="102" t="s">
        <v>1095</v>
      </c>
      <c r="F575" s="102" t="s">
        <v>1096</v>
      </c>
      <c r="G575" s="124" t="e">
        <f>VLOOKUP(A575,survey!$1:$1048576,1,FALSE)</f>
        <v>#N/A</v>
      </c>
    </row>
    <row r="576" spans="1:7" ht="12.75" customHeight="1">
      <c r="A576" s="102">
        <v>1400550</v>
      </c>
      <c r="B576" s="102" t="s">
        <v>93</v>
      </c>
      <c r="C576" s="102" t="s">
        <v>94</v>
      </c>
      <c r="D576" s="102">
        <v>10</v>
      </c>
      <c r="E576" s="102" t="s">
        <v>1097</v>
      </c>
      <c r="F576" s="102" t="s">
        <v>868</v>
      </c>
      <c r="G576" s="124" t="e">
        <f>VLOOKUP(A576,survey!$1:$1048576,1,FALSE)</f>
        <v>#N/A</v>
      </c>
    </row>
    <row r="577" spans="1:7" ht="12.75" customHeight="1">
      <c r="A577" s="102">
        <v>1400551</v>
      </c>
      <c r="B577" s="102" t="s">
        <v>93</v>
      </c>
      <c r="C577" s="102" t="s">
        <v>94</v>
      </c>
      <c r="D577" s="102">
        <v>11</v>
      </c>
      <c r="E577" s="102" t="s">
        <v>1098</v>
      </c>
      <c r="F577" s="102" t="s">
        <v>632</v>
      </c>
      <c r="G577" s="124" t="e">
        <f>VLOOKUP(A577,survey!$1:$1048576,1,FALSE)</f>
        <v>#N/A</v>
      </c>
    </row>
    <row r="578" spans="1:7" ht="12.75" customHeight="1">
      <c r="A578" s="102">
        <v>1400637</v>
      </c>
      <c r="B578" s="102" t="s">
        <v>93</v>
      </c>
      <c r="C578" s="102" t="s">
        <v>94</v>
      </c>
      <c r="D578" s="102">
        <v>12</v>
      </c>
      <c r="E578" s="102" t="s">
        <v>1099</v>
      </c>
      <c r="F578" s="102" t="s">
        <v>396</v>
      </c>
      <c r="G578" s="124" t="e">
        <f>VLOOKUP(A578,survey!$1:$1048576,1,FALSE)</f>
        <v>#N/A</v>
      </c>
    </row>
    <row r="579" spans="1:7" ht="12.75" customHeight="1">
      <c r="A579" s="102">
        <v>1400638</v>
      </c>
      <c r="B579" s="102" t="s">
        <v>93</v>
      </c>
      <c r="C579" s="102" t="s">
        <v>94</v>
      </c>
      <c r="D579" s="102">
        <v>13</v>
      </c>
      <c r="E579" s="102" t="s">
        <v>1100</v>
      </c>
      <c r="F579" s="102" t="s">
        <v>609</v>
      </c>
      <c r="G579" s="124" t="e">
        <f>VLOOKUP(A579,survey!$1:$1048576,1,FALSE)</f>
        <v>#N/A</v>
      </c>
    </row>
    <row r="580" spans="1:7" ht="12.75" customHeight="1">
      <c r="A580" s="102">
        <v>1400698</v>
      </c>
      <c r="B580" s="102" t="s">
        <v>93</v>
      </c>
      <c r="C580" s="102" t="s">
        <v>94</v>
      </c>
      <c r="D580" s="102">
        <v>14</v>
      </c>
      <c r="E580" s="102" t="s">
        <v>1101</v>
      </c>
      <c r="F580" s="102" t="s">
        <v>1088</v>
      </c>
      <c r="G580" s="124" t="e">
        <f>VLOOKUP(A580,survey!$1:$1048576,1,FALSE)</f>
        <v>#N/A</v>
      </c>
    </row>
    <row r="581" spans="1:7" ht="12.75" customHeight="1">
      <c r="A581" s="102">
        <v>1400847</v>
      </c>
      <c r="B581" s="102" t="s">
        <v>93</v>
      </c>
      <c r="C581" s="102" t="s">
        <v>94</v>
      </c>
      <c r="D581" s="102">
        <v>15</v>
      </c>
      <c r="E581" s="102" t="s">
        <v>1102</v>
      </c>
      <c r="F581" s="102" t="s">
        <v>1103</v>
      </c>
      <c r="G581" s="124" t="e">
        <f>VLOOKUP(A581,survey!$1:$1048576,1,FALSE)</f>
        <v>#N/A</v>
      </c>
    </row>
    <row r="582" spans="1:7" ht="12.75" customHeight="1">
      <c r="A582" s="102">
        <v>1400848</v>
      </c>
      <c r="B582" s="102" t="s">
        <v>93</v>
      </c>
      <c r="C582" s="102" t="s">
        <v>94</v>
      </c>
      <c r="D582" s="102">
        <v>16</v>
      </c>
      <c r="E582" s="102" t="s">
        <v>1104</v>
      </c>
      <c r="F582" s="102" t="s">
        <v>1103</v>
      </c>
      <c r="G582" s="124" t="e">
        <f>VLOOKUP(A582,survey!$1:$1048576,1,FALSE)</f>
        <v>#N/A</v>
      </c>
    </row>
    <row r="583" spans="1:7" ht="12.75" customHeight="1">
      <c r="A583" s="102">
        <v>1400935</v>
      </c>
      <c r="B583" s="102" t="s">
        <v>93</v>
      </c>
      <c r="C583" s="102" t="s">
        <v>94</v>
      </c>
      <c r="D583" s="102">
        <v>17</v>
      </c>
      <c r="E583" s="102" t="s">
        <v>1105</v>
      </c>
      <c r="F583" s="102" t="s">
        <v>1096</v>
      </c>
      <c r="G583" s="124" t="e">
        <f>VLOOKUP(A583,survey!$1:$1048576,1,FALSE)</f>
        <v>#N/A</v>
      </c>
    </row>
    <row r="584" spans="1:7" ht="12.75" customHeight="1">
      <c r="A584" s="102">
        <v>1400997</v>
      </c>
      <c r="B584" s="102" t="s">
        <v>93</v>
      </c>
      <c r="C584" s="102" t="s">
        <v>94</v>
      </c>
      <c r="D584" s="102">
        <v>18</v>
      </c>
      <c r="E584" s="102" t="s">
        <v>1106</v>
      </c>
      <c r="F584" s="102" t="s">
        <v>816</v>
      </c>
      <c r="G584" s="124" t="e">
        <f>VLOOKUP(A584,survey!$1:$1048576,1,FALSE)</f>
        <v>#N/A</v>
      </c>
    </row>
    <row r="585" spans="1:7" ht="12.75" customHeight="1">
      <c r="A585" s="102">
        <v>1401015</v>
      </c>
      <c r="B585" s="102" t="s">
        <v>93</v>
      </c>
      <c r="C585" s="102" t="s">
        <v>94</v>
      </c>
      <c r="D585" s="102">
        <v>19</v>
      </c>
      <c r="E585" s="102" t="s">
        <v>1107</v>
      </c>
      <c r="F585" s="102" t="s">
        <v>609</v>
      </c>
      <c r="G585" s="124" t="e">
        <f>VLOOKUP(A585,survey!$1:$1048576,1,FALSE)</f>
        <v>#N/A</v>
      </c>
    </row>
    <row r="586" spans="1:7" ht="12.75" customHeight="1">
      <c r="A586" s="102">
        <v>1401094</v>
      </c>
      <c r="B586" s="102" t="s">
        <v>93</v>
      </c>
      <c r="C586" s="102" t="s">
        <v>94</v>
      </c>
      <c r="D586" s="102">
        <v>20</v>
      </c>
      <c r="E586" s="102" t="s">
        <v>1108</v>
      </c>
      <c r="F586" s="102" t="s">
        <v>609</v>
      </c>
      <c r="G586" s="124" t="e">
        <f>VLOOKUP(A586,survey!$1:$1048576,1,FALSE)</f>
        <v>#N/A</v>
      </c>
    </row>
    <row r="587" spans="1:7" ht="12.75" customHeight="1">
      <c r="A587" s="102">
        <v>1401095</v>
      </c>
      <c r="B587" s="102" t="s">
        <v>93</v>
      </c>
      <c r="C587" s="102" t="s">
        <v>94</v>
      </c>
      <c r="D587" s="102">
        <v>21</v>
      </c>
      <c r="E587" s="102" t="s">
        <v>1109</v>
      </c>
      <c r="F587" s="102" t="s">
        <v>1103</v>
      </c>
      <c r="G587" s="124" t="e">
        <f>VLOOKUP(A587,survey!$1:$1048576,1,FALSE)</f>
        <v>#N/A</v>
      </c>
    </row>
    <row r="588" spans="1:7" ht="12.75" customHeight="1">
      <c r="A588" s="102">
        <v>1401096</v>
      </c>
      <c r="B588" s="102" t="s">
        <v>93</v>
      </c>
      <c r="C588" s="102" t="s">
        <v>94</v>
      </c>
      <c r="D588" s="102">
        <v>22</v>
      </c>
      <c r="E588" s="102" t="s">
        <v>1110</v>
      </c>
      <c r="F588" s="102" t="s">
        <v>1091</v>
      </c>
      <c r="G588" s="124" t="e">
        <f>VLOOKUP(A588,survey!$1:$1048576,1,FALSE)</f>
        <v>#N/A</v>
      </c>
    </row>
    <row r="589" spans="1:7" ht="12.75" customHeight="1">
      <c r="A589" s="102">
        <v>1401510</v>
      </c>
      <c r="B589" s="102" t="s">
        <v>93</v>
      </c>
      <c r="C589" s="102" t="s">
        <v>94</v>
      </c>
      <c r="D589" s="102">
        <v>23</v>
      </c>
      <c r="E589" s="102" t="s">
        <v>1111</v>
      </c>
      <c r="F589" s="102" t="s">
        <v>1112</v>
      </c>
      <c r="G589" s="124" t="e">
        <f>VLOOKUP(A589,survey!$1:$1048576,1,FALSE)</f>
        <v>#N/A</v>
      </c>
    </row>
    <row r="590" spans="1:7" ht="12.75" customHeight="1">
      <c r="A590" s="102">
        <v>1401511</v>
      </c>
      <c r="B590" s="102" t="s">
        <v>93</v>
      </c>
      <c r="C590" s="102" t="s">
        <v>94</v>
      </c>
      <c r="D590" s="102">
        <v>24</v>
      </c>
      <c r="E590" s="102" t="s">
        <v>1113</v>
      </c>
      <c r="F590" s="102" t="s">
        <v>1112</v>
      </c>
      <c r="G590" s="124" t="e">
        <f>VLOOKUP(A590,survey!$1:$1048576,1,FALSE)</f>
        <v>#N/A</v>
      </c>
    </row>
    <row r="591" spans="1:7" ht="12.75" customHeight="1">
      <c r="A591" s="102">
        <v>1401461</v>
      </c>
      <c r="B591" s="102" t="s">
        <v>93</v>
      </c>
      <c r="C591" s="102" t="s">
        <v>94</v>
      </c>
      <c r="D591" s="102">
        <v>25</v>
      </c>
      <c r="E591" s="102" t="s">
        <v>1114</v>
      </c>
      <c r="F591" s="102" t="s">
        <v>396</v>
      </c>
      <c r="G591" s="124" t="e">
        <f>VLOOKUP(A591,survey!$1:$1048576,1,FALSE)</f>
        <v>#N/A</v>
      </c>
    </row>
    <row r="592" spans="1:7" ht="12.75" customHeight="1">
      <c r="A592" s="102">
        <v>1400527</v>
      </c>
      <c r="B592" s="102" t="s">
        <v>93</v>
      </c>
      <c r="C592" s="102" t="s">
        <v>95</v>
      </c>
      <c r="D592" s="102">
        <v>1</v>
      </c>
      <c r="E592" s="102" t="s">
        <v>1115</v>
      </c>
      <c r="F592" s="102" t="s">
        <v>1116</v>
      </c>
      <c r="G592" s="124" t="e">
        <f>VLOOKUP(A592,survey!$1:$1048576,1,FALSE)</f>
        <v>#N/A</v>
      </c>
    </row>
    <row r="593" spans="1:7" ht="12.75" customHeight="1">
      <c r="A593" s="102">
        <v>1400528</v>
      </c>
      <c r="B593" s="102" t="s">
        <v>93</v>
      </c>
      <c r="C593" s="102" t="s">
        <v>95</v>
      </c>
      <c r="D593" s="102">
        <v>2</v>
      </c>
      <c r="E593" s="102" t="s">
        <v>1117</v>
      </c>
      <c r="F593" s="102" t="s">
        <v>1118</v>
      </c>
      <c r="G593" s="124" t="e">
        <f>VLOOKUP(A593,survey!$1:$1048576,1,FALSE)</f>
        <v>#N/A</v>
      </c>
    </row>
    <row r="594" spans="1:7" ht="12.75" customHeight="1">
      <c r="A594" s="102">
        <v>1400530</v>
      </c>
      <c r="B594" s="102" t="s">
        <v>93</v>
      </c>
      <c r="C594" s="102" t="s">
        <v>95</v>
      </c>
      <c r="D594" s="102">
        <v>3</v>
      </c>
      <c r="E594" s="102" t="s">
        <v>1119</v>
      </c>
      <c r="F594" s="102" t="s">
        <v>1120</v>
      </c>
      <c r="G594" s="124" t="e">
        <f>VLOOKUP(A594,survey!$1:$1048576,1,FALSE)</f>
        <v>#N/A</v>
      </c>
    </row>
    <row r="595" spans="1:7" ht="12.75" customHeight="1">
      <c r="A595" s="102">
        <v>1400531</v>
      </c>
      <c r="B595" s="102" t="s">
        <v>93</v>
      </c>
      <c r="C595" s="102" t="s">
        <v>95</v>
      </c>
      <c r="D595" s="102">
        <v>4</v>
      </c>
      <c r="E595" s="102" t="s">
        <v>1121</v>
      </c>
      <c r="F595" s="102" t="s">
        <v>1122</v>
      </c>
      <c r="G595" s="124" t="e">
        <f>VLOOKUP(A595,survey!$1:$1048576,1,FALSE)</f>
        <v>#N/A</v>
      </c>
    </row>
    <row r="596" spans="1:7" ht="12.75" customHeight="1">
      <c r="A596" s="102">
        <v>1400532</v>
      </c>
      <c r="B596" s="102" t="s">
        <v>93</v>
      </c>
      <c r="C596" s="102" t="s">
        <v>95</v>
      </c>
      <c r="D596" s="102">
        <v>5</v>
      </c>
      <c r="E596" s="102" t="s">
        <v>1123</v>
      </c>
      <c r="F596" s="102" t="s">
        <v>1124</v>
      </c>
      <c r="G596" s="124" t="e">
        <f>VLOOKUP(A596,survey!$1:$1048576,1,FALSE)</f>
        <v>#N/A</v>
      </c>
    </row>
    <row r="597" spans="1:7" ht="12.75" customHeight="1">
      <c r="A597" s="102">
        <v>1400533</v>
      </c>
      <c r="B597" s="102" t="s">
        <v>93</v>
      </c>
      <c r="C597" s="102" t="s">
        <v>95</v>
      </c>
      <c r="D597" s="102">
        <v>6</v>
      </c>
      <c r="E597" s="102" t="s">
        <v>1125</v>
      </c>
      <c r="F597" s="102" t="s">
        <v>1126</v>
      </c>
      <c r="G597" s="124" t="e">
        <f>VLOOKUP(A597,survey!$1:$1048576,1,FALSE)</f>
        <v>#N/A</v>
      </c>
    </row>
    <row r="598" spans="1:7" ht="12.75" customHeight="1">
      <c r="A598" s="102">
        <v>1400534</v>
      </c>
      <c r="B598" s="102" t="s">
        <v>93</v>
      </c>
      <c r="C598" s="102" t="s">
        <v>95</v>
      </c>
      <c r="D598" s="102">
        <v>7</v>
      </c>
      <c r="E598" s="102" t="s">
        <v>1127</v>
      </c>
      <c r="F598" s="102" t="s">
        <v>1128</v>
      </c>
      <c r="G598" s="124" t="e">
        <f>VLOOKUP(A598,survey!$1:$1048576,1,FALSE)</f>
        <v>#N/A</v>
      </c>
    </row>
    <row r="599" spans="1:7" ht="12.75" customHeight="1">
      <c r="A599" s="102">
        <v>1400535</v>
      </c>
      <c r="B599" s="102" t="s">
        <v>93</v>
      </c>
      <c r="C599" s="102" t="s">
        <v>95</v>
      </c>
      <c r="D599" s="102">
        <v>8</v>
      </c>
      <c r="E599" s="102" t="s">
        <v>1129</v>
      </c>
      <c r="F599" s="102" t="s">
        <v>1130</v>
      </c>
      <c r="G599" s="124" t="e">
        <f>VLOOKUP(A599,survey!$1:$1048576,1,FALSE)</f>
        <v>#N/A</v>
      </c>
    </row>
    <row r="600" spans="1:7" ht="12.75" customHeight="1">
      <c r="A600" s="102">
        <v>1400536</v>
      </c>
      <c r="B600" s="102" t="s">
        <v>93</v>
      </c>
      <c r="C600" s="102" t="s">
        <v>95</v>
      </c>
      <c r="D600" s="102">
        <v>9</v>
      </c>
      <c r="E600" s="102" t="s">
        <v>1131</v>
      </c>
      <c r="F600" s="102" t="s">
        <v>1132</v>
      </c>
      <c r="G600" s="124" t="e">
        <f>VLOOKUP(A600,survey!$1:$1048576,1,FALSE)</f>
        <v>#N/A</v>
      </c>
    </row>
    <row r="601" spans="1:7" ht="12.75" customHeight="1">
      <c r="A601" s="102">
        <v>1400537</v>
      </c>
      <c r="B601" s="102" t="s">
        <v>93</v>
      </c>
      <c r="C601" s="102" t="s">
        <v>95</v>
      </c>
      <c r="D601" s="102">
        <v>10</v>
      </c>
      <c r="E601" s="102" t="s">
        <v>1133</v>
      </c>
      <c r="F601" s="102" t="s">
        <v>1134</v>
      </c>
      <c r="G601" s="124" t="e">
        <f>VLOOKUP(A601,survey!$1:$1048576,1,FALSE)</f>
        <v>#N/A</v>
      </c>
    </row>
    <row r="602" spans="1:7" ht="12.75" customHeight="1">
      <c r="A602" s="102">
        <v>1400538</v>
      </c>
      <c r="B602" s="102" t="s">
        <v>93</v>
      </c>
      <c r="C602" s="102" t="s">
        <v>95</v>
      </c>
      <c r="D602" s="102">
        <v>11</v>
      </c>
      <c r="E602" s="102" t="s">
        <v>1135</v>
      </c>
      <c r="F602" s="102" t="s">
        <v>1136</v>
      </c>
      <c r="G602" s="124" t="e">
        <f>VLOOKUP(A602,survey!$1:$1048576,1,FALSE)</f>
        <v>#N/A</v>
      </c>
    </row>
    <row r="603" spans="1:7" ht="12.75" customHeight="1">
      <c r="A603" s="102">
        <v>1400539</v>
      </c>
      <c r="B603" s="102" t="s">
        <v>93</v>
      </c>
      <c r="C603" s="102" t="s">
        <v>95</v>
      </c>
      <c r="D603" s="102">
        <v>12</v>
      </c>
      <c r="E603" s="102" t="s">
        <v>1137</v>
      </c>
      <c r="F603" s="102" t="s">
        <v>1138</v>
      </c>
      <c r="G603" s="124" t="e">
        <f>VLOOKUP(A603,survey!$1:$1048576,1,FALSE)</f>
        <v>#N/A</v>
      </c>
    </row>
    <row r="604" spans="1:7" ht="12.75" customHeight="1">
      <c r="A604" s="102">
        <v>1400540</v>
      </c>
      <c r="B604" s="102" t="s">
        <v>93</v>
      </c>
      <c r="C604" s="102" t="s">
        <v>95</v>
      </c>
      <c r="D604" s="102">
        <v>13</v>
      </c>
      <c r="E604" s="102" t="s">
        <v>1139</v>
      </c>
      <c r="F604" s="102" t="s">
        <v>1115</v>
      </c>
      <c r="G604" s="124" t="e">
        <f>VLOOKUP(A604,survey!$1:$1048576,1,FALSE)</f>
        <v>#N/A</v>
      </c>
    </row>
    <row r="605" spans="1:7" ht="12.75" customHeight="1">
      <c r="A605" s="102">
        <v>1400541</v>
      </c>
      <c r="B605" s="102" t="s">
        <v>93</v>
      </c>
      <c r="C605" s="102" t="s">
        <v>95</v>
      </c>
      <c r="D605" s="102">
        <v>14</v>
      </c>
      <c r="E605" s="102" t="s">
        <v>1140</v>
      </c>
      <c r="F605" s="102" t="s">
        <v>1118</v>
      </c>
      <c r="G605" s="124" t="e">
        <f>VLOOKUP(A605,survey!$1:$1048576,1,FALSE)</f>
        <v>#N/A</v>
      </c>
    </row>
    <row r="606" spans="1:7" ht="12.75" customHeight="1">
      <c r="A606" s="102">
        <v>1400543</v>
      </c>
      <c r="B606" s="102" t="s">
        <v>93</v>
      </c>
      <c r="C606" s="102" t="s">
        <v>95</v>
      </c>
      <c r="D606" s="102">
        <v>15</v>
      </c>
      <c r="E606" s="102" t="s">
        <v>1141</v>
      </c>
      <c r="F606" s="102" t="s">
        <v>1116</v>
      </c>
      <c r="G606" s="124" t="e">
        <f>VLOOKUP(A606,survey!$1:$1048576,1,FALSE)</f>
        <v>#N/A</v>
      </c>
    </row>
    <row r="607" spans="1:7" ht="12.75" customHeight="1">
      <c r="A607" s="102">
        <v>1400544</v>
      </c>
      <c r="B607" s="102" t="s">
        <v>93</v>
      </c>
      <c r="C607" s="102" t="s">
        <v>95</v>
      </c>
      <c r="D607" s="102">
        <v>16</v>
      </c>
      <c r="E607" s="102" t="s">
        <v>1142</v>
      </c>
      <c r="F607" s="102" t="s">
        <v>1143</v>
      </c>
      <c r="G607" s="124" t="e">
        <f>VLOOKUP(A607,survey!$1:$1048576,1,FALSE)</f>
        <v>#N/A</v>
      </c>
    </row>
    <row r="608" spans="1:7" ht="12.75" customHeight="1">
      <c r="A608" s="102">
        <v>1400545</v>
      </c>
      <c r="B608" s="102" t="s">
        <v>93</v>
      </c>
      <c r="C608" s="102" t="s">
        <v>95</v>
      </c>
      <c r="D608" s="102">
        <v>17</v>
      </c>
      <c r="E608" s="102" t="s">
        <v>1144</v>
      </c>
      <c r="F608" s="102" t="s">
        <v>1145</v>
      </c>
      <c r="G608" s="124" t="e">
        <f>VLOOKUP(A608,survey!$1:$1048576,1,FALSE)</f>
        <v>#N/A</v>
      </c>
    </row>
    <row r="609" spans="1:7" ht="12.75" customHeight="1">
      <c r="A609" s="102">
        <v>1400548</v>
      </c>
      <c r="B609" s="102" t="s">
        <v>93</v>
      </c>
      <c r="C609" s="102" t="s">
        <v>95</v>
      </c>
      <c r="D609" s="102">
        <v>18</v>
      </c>
      <c r="E609" s="102" t="s">
        <v>1146</v>
      </c>
      <c r="F609" s="102" t="s">
        <v>1126</v>
      </c>
      <c r="G609" s="124" t="e">
        <f>VLOOKUP(A609,survey!$1:$1048576,1,FALSE)</f>
        <v>#N/A</v>
      </c>
    </row>
    <row r="610" spans="1:7" ht="12.75" customHeight="1">
      <c r="A610" s="102">
        <v>1400552</v>
      </c>
      <c r="B610" s="102" t="s">
        <v>93</v>
      </c>
      <c r="C610" s="102" t="s">
        <v>95</v>
      </c>
      <c r="D610" s="102">
        <v>19</v>
      </c>
      <c r="E610" s="102" t="s">
        <v>1147</v>
      </c>
      <c r="F610" s="102" t="s">
        <v>1148</v>
      </c>
      <c r="G610" s="124" t="e">
        <f>VLOOKUP(A610,survey!$1:$1048576,1,FALSE)</f>
        <v>#N/A</v>
      </c>
    </row>
    <row r="611" spans="1:7" ht="12.75" customHeight="1">
      <c r="A611" s="102">
        <v>1400553</v>
      </c>
      <c r="B611" s="102" t="s">
        <v>93</v>
      </c>
      <c r="C611" s="102" t="s">
        <v>95</v>
      </c>
      <c r="D611" s="102">
        <v>20</v>
      </c>
      <c r="E611" s="102" t="s">
        <v>1149</v>
      </c>
      <c r="F611" s="102" t="s">
        <v>1148</v>
      </c>
      <c r="G611" s="124" t="e">
        <f>VLOOKUP(A611,survey!$1:$1048576,1,FALSE)</f>
        <v>#N/A</v>
      </c>
    </row>
    <row r="612" spans="1:7" ht="12.75" customHeight="1">
      <c r="A612" s="102">
        <v>1400554</v>
      </c>
      <c r="B612" s="102" t="s">
        <v>93</v>
      </c>
      <c r="C612" s="102" t="s">
        <v>95</v>
      </c>
      <c r="D612" s="102">
        <v>21</v>
      </c>
      <c r="E612" s="102" t="s">
        <v>1150</v>
      </c>
      <c r="F612" s="102" t="s">
        <v>1132</v>
      </c>
      <c r="G612" s="124" t="e">
        <f>VLOOKUP(A612,survey!$1:$1048576,1,FALSE)</f>
        <v>#N/A</v>
      </c>
    </row>
    <row r="613" spans="1:7" ht="12.75" customHeight="1">
      <c r="A613" s="102">
        <v>1400555</v>
      </c>
      <c r="B613" s="102" t="s">
        <v>93</v>
      </c>
      <c r="C613" s="102" t="s">
        <v>95</v>
      </c>
      <c r="D613" s="102">
        <v>22</v>
      </c>
      <c r="E613" s="102" t="s">
        <v>1151</v>
      </c>
      <c r="F613" s="102" t="s">
        <v>1120</v>
      </c>
      <c r="G613" s="124" t="e">
        <f>VLOOKUP(A613,survey!$1:$1048576,1,FALSE)</f>
        <v>#N/A</v>
      </c>
    </row>
    <row r="614" spans="1:7" ht="12.75" customHeight="1">
      <c r="A614" s="102">
        <v>1400556</v>
      </c>
      <c r="B614" s="102" t="s">
        <v>93</v>
      </c>
      <c r="C614" s="102" t="s">
        <v>95</v>
      </c>
      <c r="D614" s="102">
        <v>23</v>
      </c>
      <c r="E614" s="102" t="s">
        <v>1152</v>
      </c>
      <c r="F614" s="102" t="s">
        <v>1134</v>
      </c>
      <c r="G614" s="124" t="e">
        <f>VLOOKUP(A614,survey!$1:$1048576,1,FALSE)</f>
        <v>#N/A</v>
      </c>
    </row>
    <row r="615" spans="1:7" ht="12.75" customHeight="1">
      <c r="A615" s="102">
        <v>1400557</v>
      </c>
      <c r="B615" s="102" t="s">
        <v>93</v>
      </c>
      <c r="C615" s="102" t="s">
        <v>95</v>
      </c>
      <c r="D615" s="102">
        <v>24</v>
      </c>
      <c r="E615" s="102" t="s">
        <v>1153</v>
      </c>
      <c r="F615" s="102" t="s">
        <v>1124</v>
      </c>
      <c r="G615" s="124" t="e">
        <f>VLOOKUP(A615,survey!$1:$1048576,1,FALSE)</f>
        <v>#N/A</v>
      </c>
    </row>
    <row r="616" spans="1:7" ht="12.75" customHeight="1">
      <c r="A616" s="102">
        <v>1400639</v>
      </c>
      <c r="B616" s="102" t="s">
        <v>93</v>
      </c>
      <c r="C616" s="102" t="s">
        <v>95</v>
      </c>
      <c r="D616" s="102">
        <v>25</v>
      </c>
      <c r="E616" s="102" t="s">
        <v>1154</v>
      </c>
      <c r="F616" s="102" t="s">
        <v>1121</v>
      </c>
      <c r="G616" s="124" t="e">
        <f>VLOOKUP(A616,survey!$1:$1048576,1,FALSE)</f>
        <v>#N/A</v>
      </c>
    </row>
    <row r="617" spans="1:7" ht="12.75" customHeight="1">
      <c r="A617" s="102">
        <v>1400640</v>
      </c>
      <c r="B617" s="102" t="s">
        <v>93</v>
      </c>
      <c r="C617" s="102" t="s">
        <v>95</v>
      </c>
      <c r="D617" s="102">
        <v>26</v>
      </c>
      <c r="E617" s="102" t="s">
        <v>1155</v>
      </c>
      <c r="F617" s="102" t="s">
        <v>1115</v>
      </c>
      <c r="G617" s="124" t="e">
        <f>VLOOKUP(A617,survey!$1:$1048576,1,FALSE)</f>
        <v>#N/A</v>
      </c>
    </row>
    <row r="618" spans="1:7" ht="12.75" customHeight="1">
      <c r="A618" s="102">
        <v>1400742</v>
      </c>
      <c r="B618" s="102" t="s">
        <v>93</v>
      </c>
      <c r="C618" s="102" t="s">
        <v>95</v>
      </c>
      <c r="D618" s="102">
        <v>27</v>
      </c>
      <c r="E618" s="102" t="s">
        <v>1156</v>
      </c>
      <c r="F618" s="102" t="s">
        <v>378</v>
      </c>
      <c r="G618" s="124" t="e">
        <f>VLOOKUP(A618,survey!$1:$1048576,1,FALSE)</f>
        <v>#N/A</v>
      </c>
    </row>
    <row r="619" spans="1:7" ht="12.75" customHeight="1">
      <c r="A619" s="102">
        <v>1400849</v>
      </c>
      <c r="B619" s="102" t="s">
        <v>93</v>
      </c>
      <c r="C619" s="102" t="s">
        <v>95</v>
      </c>
      <c r="D619" s="102">
        <v>28</v>
      </c>
      <c r="E619" s="102" t="s">
        <v>1157</v>
      </c>
      <c r="F619" s="102" t="s">
        <v>1128</v>
      </c>
      <c r="G619" s="124" t="e">
        <f>VLOOKUP(A619,survey!$1:$1048576,1,FALSE)</f>
        <v>#N/A</v>
      </c>
    </row>
    <row r="620" spans="1:7" ht="12.75" customHeight="1">
      <c r="A620" s="102">
        <v>1400883</v>
      </c>
      <c r="B620" s="102" t="s">
        <v>93</v>
      </c>
      <c r="C620" s="102" t="s">
        <v>95</v>
      </c>
      <c r="D620" s="102">
        <v>29</v>
      </c>
      <c r="E620" s="102" t="s">
        <v>1158</v>
      </c>
      <c r="F620" s="102" t="s">
        <v>1128</v>
      </c>
      <c r="G620" s="124" t="e">
        <f>VLOOKUP(A620,survey!$1:$1048576,1,FALSE)</f>
        <v>#N/A</v>
      </c>
    </row>
    <row r="621" spans="1:7" ht="12.75" customHeight="1">
      <c r="A621" s="102">
        <v>1401192</v>
      </c>
      <c r="B621" s="102" t="s">
        <v>93</v>
      </c>
      <c r="C621" s="102" t="s">
        <v>95</v>
      </c>
      <c r="D621" s="102">
        <v>30</v>
      </c>
      <c r="E621" s="102" t="s">
        <v>1159</v>
      </c>
      <c r="F621" s="102" t="s">
        <v>1160</v>
      </c>
      <c r="G621" s="124" t="e">
        <f>VLOOKUP(A621,survey!$1:$1048576,1,FALSE)</f>
        <v>#N/A</v>
      </c>
    </row>
    <row r="622" spans="1:7" ht="12.75" customHeight="1">
      <c r="A622" s="102">
        <v>1401323</v>
      </c>
      <c r="B622" s="102" t="s">
        <v>93</v>
      </c>
      <c r="C622" s="102" t="s">
        <v>95</v>
      </c>
      <c r="D622" s="102">
        <v>31</v>
      </c>
      <c r="E622" s="102" t="s">
        <v>1161</v>
      </c>
      <c r="F622" s="102" t="s">
        <v>378</v>
      </c>
      <c r="G622" s="124" t="e">
        <f>VLOOKUP(A622,survey!$1:$1048576,1,FALSE)</f>
        <v>#N/A</v>
      </c>
    </row>
    <row r="623" spans="1:7" ht="12.75" customHeight="1">
      <c r="A623" s="102">
        <v>1401650</v>
      </c>
      <c r="B623" s="102" t="s">
        <v>93</v>
      </c>
      <c r="C623" s="102" t="s">
        <v>95</v>
      </c>
      <c r="D623" s="102">
        <v>32</v>
      </c>
      <c r="E623" s="102" t="s">
        <v>1162</v>
      </c>
      <c r="F623" s="102" t="s">
        <v>1163</v>
      </c>
      <c r="G623" s="124" t="e">
        <f>VLOOKUP(A623,survey!$1:$1048576,1,FALSE)</f>
        <v>#N/A</v>
      </c>
    </row>
    <row r="624" spans="1:7" ht="12.75" customHeight="1">
      <c r="A624" s="102">
        <v>1401497</v>
      </c>
      <c r="B624" s="102" t="s">
        <v>93</v>
      </c>
      <c r="C624" s="102" t="s">
        <v>95</v>
      </c>
      <c r="D624" s="102">
        <v>33</v>
      </c>
      <c r="E624" s="102" t="s">
        <v>1164</v>
      </c>
      <c r="F624" s="102" t="s">
        <v>1148</v>
      </c>
      <c r="G624" s="124" t="e">
        <f>VLOOKUP(A624,survey!$1:$1048576,1,FALSE)</f>
        <v>#N/A</v>
      </c>
    </row>
    <row r="625" spans="1:7" ht="12.75" customHeight="1">
      <c r="A625" s="102">
        <v>1401679</v>
      </c>
      <c r="B625" s="102" t="s">
        <v>93</v>
      </c>
      <c r="C625" s="102" t="s">
        <v>95</v>
      </c>
      <c r="D625" s="102">
        <v>34</v>
      </c>
      <c r="E625" s="102" t="s">
        <v>1165</v>
      </c>
      <c r="F625" s="102" t="s">
        <v>378</v>
      </c>
      <c r="G625" s="124" t="e">
        <f>VLOOKUP(A625,survey!$1:$1048576,1,FALSE)</f>
        <v>#N/A</v>
      </c>
    </row>
    <row r="626" spans="1:7" ht="12.75" customHeight="1">
      <c r="A626" s="102">
        <v>1401484</v>
      </c>
      <c r="B626" s="102" t="s">
        <v>93</v>
      </c>
      <c r="C626" s="102" t="s">
        <v>95</v>
      </c>
      <c r="D626" s="102">
        <v>35</v>
      </c>
      <c r="E626" s="102" t="s">
        <v>1166</v>
      </c>
      <c r="F626" s="102" t="s">
        <v>461</v>
      </c>
      <c r="G626" s="124" t="e">
        <f>VLOOKUP(A626,survey!$1:$1048576,1,FALSE)</f>
        <v>#N/A</v>
      </c>
    </row>
    <row r="627" spans="1:7" ht="12.75" customHeight="1">
      <c r="A627" s="102">
        <v>1400561</v>
      </c>
      <c r="B627" s="102" t="s">
        <v>96</v>
      </c>
      <c r="C627" s="102" t="s">
        <v>97</v>
      </c>
      <c r="D627" s="102">
        <v>1</v>
      </c>
      <c r="E627" s="102" t="s">
        <v>1167</v>
      </c>
      <c r="F627" s="102" t="s">
        <v>1168</v>
      </c>
      <c r="G627" s="124" t="e">
        <f>VLOOKUP(A627,survey!$1:$1048576,1,FALSE)</f>
        <v>#N/A</v>
      </c>
    </row>
    <row r="628" spans="1:7" ht="12.75" customHeight="1">
      <c r="A628" s="102">
        <v>1400562</v>
      </c>
      <c r="B628" s="102" t="s">
        <v>96</v>
      </c>
      <c r="C628" s="102" t="s">
        <v>97</v>
      </c>
      <c r="D628" s="102">
        <v>2</v>
      </c>
      <c r="E628" s="102" t="s">
        <v>1169</v>
      </c>
      <c r="F628" s="102" t="s">
        <v>1170</v>
      </c>
      <c r="G628" s="124" t="e">
        <f>VLOOKUP(A628,survey!$1:$1048576,1,FALSE)</f>
        <v>#N/A</v>
      </c>
    </row>
    <row r="629" spans="1:7" ht="12.75" customHeight="1">
      <c r="A629" s="102">
        <v>1400563</v>
      </c>
      <c r="B629" s="102" t="s">
        <v>96</v>
      </c>
      <c r="C629" s="102" t="s">
        <v>97</v>
      </c>
      <c r="D629" s="102">
        <v>3</v>
      </c>
      <c r="E629" s="102" t="s">
        <v>1171</v>
      </c>
      <c r="F629" s="102" t="s">
        <v>1172</v>
      </c>
      <c r="G629" s="124" t="e">
        <f>VLOOKUP(A629,survey!$1:$1048576,1,FALSE)</f>
        <v>#N/A</v>
      </c>
    </row>
    <row r="630" spans="1:7" ht="12.75" customHeight="1">
      <c r="A630" s="102" t="s">
        <v>1173</v>
      </c>
      <c r="B630" s="102" t="s">
        <v>96</v>
      </c>
      <c r="C630" s="102" t="s">
        <v>97</v>
      </c>
      <c r="D630" s="102">
        <v>4</v>
      </c>
      <c r="E630" s="102" t="s">
        <v>1174</v>
      </c>
      <c r="F630" s="102" t="s">
        <v>1175</v>
      </c>
      <c r="G630" s="124" t="e">
        <f>VLOOKUP(A630,survey!$1:$1048576,1,FALSE)</f>
        <v>#N/A</v>
      </c>
    </row>
    <row r="631" spans="1:7" ht="12.75" customHeight="1">
      <c r="A631" s="102">
        <v>1400529</v>
      </c>
      <c r="B631" s="102" t="s">
        <v>96</v>
      </c>
      <c r="C631" s="102" t="s">
        <v>97</v>
      </c>
      <c r="D631" s="102">
        <v>5</v>
      </c>
      <c r="E631" s="102" t="s">
        <v>1176</v>
      </c>
      <c r="F631" s="102" t="s">
        <v>1177</v>
      </c>
      <c r="G631" s="124" t="e">
        <f>VLOOKUP(A631,survey!$1:$1048576,1,FALSE)</f>
        <v>#N/A</v>
      </c>
    </row>
    <row r="632" spans="1:7" ht="12.75" customHeight="1">
      <c r="A632" s="102">
        <v>1400565</v>
      </c>
      <c r="B632" s="102" t="s">
        <v>96</v>
      </c>
      <c r="C632" s="102" t="s">
        <v>97</v>
      </c>
      <c r="D632" s="102">
        <v>6</v>
      </c>
      <c r="E632" s="102" t="s">
        <v>1178</v>
      </c>
      <c r="F632" s="102" t="s">
        <v>1179</v>
      </c>
      <c r="G632" s="124" t="e">
        <f>VLOOKUP(A632,survey!$1:$1048576,1,FALSE)</f>
        <v>#N/A</v>
      </c>
    </row>
    <row r="633" spans="1:7" ht="12.75" customHeight="1">
      <c r="A633" s="102">
        <v>1400566</v>
      </c>
      <c r="B633" s="102" t="s">
        <v>96</v>
      </c>
      <c r="C633" s="102" t="s">
        <v>97</v>
      </c>
      <c r="D633" s="102">
        <v>7</v>
      </c>
      <c r="E633" s="102" t="s">
        <v>1180</v>
      </c>
      <c r="F633" s="102" t="s">
        <v>1181</v>
      </c>
      <c r="G633" s="124" t="e">
        <f>VLOOKUP(A633,survey!$1:$1048576,1,FALSE)</f>
        <v>#N/A</v>
      </c>
    </row>
    <row r="634" spans="1:7" ht="12.75" customHeight="1">
      <c r="A634" s="102">
        <v>1400567</v>
      </c>
      <c r="B634" s="102" t="s">
        <v>96</v>
      </c>
      <c r="C634" s="102" t="s">
        <v>97</v>
      </c>
      <c r="D634" s="102">
        <v>8</v>
      </c>
      <c r="E634" s="102" t="s">
        <v>1182</v>
      </c>
      <c r="F634" s="102" t="s">
        <v>1183</v>
      </c>
      <c r="G634" s="124" t="e">
        <f>VLOOKUP(A634,survey!$1:$1048576,1,FALSE)</f>
        <v>#N/A</v>
      </c>
    </row>
    <row r="635" spans="1:7" ht="12.75" customHeight="1">
      <c r="A635" s="102">
        <v>1400568</v>
      </c>
      <c r="B635" s="102" t="s">
        <v>96</v>
      </c>
      <c r="C635" s="102" t="s">
        <v>97</v>
      </c>
      <c r="D635" s="102">
        <v>9</v>
      </c>
      <c r="E635" s="102" t="s">
        <v>1184</v>
      </c>
      <c r="F635" s="102" t="s">
        <v>1185</v>
      </c>
      <c r="G635" s="124" t="e">
        <f>VLOOKUP(A635,survey!$1:$1048576,1,FALSE)</f>
        <v>#N/A</v>
      </c>
    </row>
    <row r="636" spans="1:7" ht="12.75" customHeight="1">
      <c r="A636" s="102">
        <v>1400569</v>
      </c>
      <c r="B636" s="102" t="s">
        <v>96</v>
      </c>
      <c r="C636" s="102" t="s">
        <v>97</v>
      </c>
      <c r="D636" s="102">
        <v>10</v>
      </c>
      <c r="E636" s="102" t="s">
        <v>1186</v>
      </c>
      <c r="F636" s="102" t="s">
        <v>1187</v>
      </c>
      <c r="G636" s="124" t="e">
        <f>VLOOKUP(A636,survey!$1:$1048576,1,FALSE)</f>
        <v>#N/A</v>
      </c>
    </row>
    <row r="637" spans="1:7" ht="12.75" customHeight="1">
      <c r="A637" s="102">
        <v>1400570</v>
      </c>
      <c r="B637" s="102" t="s">
        <v>96</v>
      </c>
      <c r="C637" s="102" t="s">
        <v>97</v>
      </c>
      <c r="D637" s="102">
        <v>11</v>
      </c>
      <c r="E637" s="102" t="s">
        <v>1188</v>
      </c>
      <c r="F637" s="102" t="s">
        <v>1189</v>
      </c>
      <c r="G637" s="124" t="e">
        <f>VLOOKUP(A637,survey!$1:$1048576,1,FALSE)</f>
        <v>#N/A</v>
      </c>
    </row>
    <row r="638" spans="1:7" ht="12.75" customHeight="1">
      <c r="A638" s="102">
        <v>1400571</v>
      </c>
      <c r="B638" s="102" t="s">
        <v>96</v>
      </c>
      <c r="C638" s="102" t="s">
        <v>97</v>
      </c>
      <c r="D638" s="102">
        <v>12</v>
      </c>
      <c r="E638" s="102" t="s">
        <v>1190</v>
      </c>
      <c r="F638" s="102" t="s">
        <v>1185</v>
      </c>
      <c r="G638" s="124" t="e">
        <f>VLOOKUP(A638,survey!$1:$1048576,1,FALSE)</f>
        <v>#N/A</v>
      </c>
    </row>
    <row r="639" spans="1:7" ht="12.75" customHeight="1">
      <c r="A639" s="102">
        <v>1400572</v>
      </c>
      <c r="B639" s="102" t="s">
        <v>96</v>
      </c>
      <c r="C639" s="102" t="s">
        <v>97</v>
      </c>
      <c r="D639" s="102">
        <v>13</v>
      </c>
      <c r="E639" s="102" t="s">
        <v>1191</v>
      </c>
      <c r="F639" s="102" t="s">
        <v>1192</v>
      </c>
      <c r="G639" s="124" t="e">
        <f>VLOOKUP(A639,survey!$1:$1048576,1,FALSE)</f>
        <v>#N/A</v>
      </c>
    </row>
    <row r="640" spans="1:7" ht="12.75" customHeight="1">
      <c r="A640" s="102">
        <v>1400573</v>
      </c>
      <c r="B640" s="102" t="s">
        <v>96</v>
      </c>
      <c r="C640" s="102" t="s">
        <v>97</v>
      </c>
      <c r="D640" s="102">
        <v>14</v>
      </c>
      <c r="E640" s="102" t="s">
        <v>1193</v>
      </c>
      <c r="F640" s="102" t="s">
        <v>1194</v>
      </c>
      <c r="G640" s="124" t="e">
        <f>VLOOKUP(A640,survey!$1:$1048576,1,FALSE)</f>
        <v>#N/A</v>
      </c>
    </row>
    <row r="641" spans="1:7" ht="12.75" customHeight="1">
      <c r="A641" s="102">
        <v>1400574</v>
      </c>
      <c r="B641" s="102" t="s">
        <v>96</v>
      </c>
      <c r="C641" s="102" t="s">
        <v>97</v>
      </c>
      <c r="D641" s="102">
        <v>15</v>
      </c>
      <c r="E641" s="102" t="s">
        <v>1195</v>
      </c>
      <c r="F641" s="102" t="s">
        <v>1196</v>
      </c>
      <c r="G641" s="124" t="e">
        <f>VLOOKUP(A641,survey!$1:$1048576,1,FALSE)</f>
        <v>#N/A</v>
      </c>
    </row>
    <row r="642" spans="1:7" ht="12.75" customHeight="1">
      <c r="A642" s="102">
        <v>1400575</v>
      </c>
      <c r="B642" s="102" t="s">
        <v>96</v>
      </c>
      <c r="C642" s="102" t="s">
        <v>97</v>
      </c>
      <c r="D642" s="102">
        <v>16</v>
      </c>
      <c r="E642" s="102" t="s">
        <v>1197</v>
      </c>
      <c r="F642" s="102" t="s">
        <v>1198</v>
      </c>
      <c r="G642" s="124" t="e">
        <f>VLOOKUP(A642,survey!$1:$1048576,1,FALSE)</f>
        <v>#N/A</v>
      </c>
    </row>
    <row r="643" spans="1:7" ht="12.75" customHeight="1">
      <c r="A643" s="102">
        <v>1400576</v>
      </c>
      <c r="B643" s="102" t="s">
        <v>96</v>
      </c>
      <c r="C643" s="102" t="s">
        <v>97</v>
      </c>
      <c r="D643" s="102">
        <v>17</v>
      </c>
      <c r="E643" s="102" t="s">
        <v>1199</v>
      </c>
      <c r="F643" s="102" t="s">
        <v>1200</v>
      </c>
      <c r="G643" s="124" t="e">
        <f>VLOOKUP(A643,survey!$1:$1048576,1,FALSE)</f>
        <v>#N/A</v>
      </c>
    </row>
    <row r="644" spans="1:7" ht="12.75" customHeight="1">
      <c r="A644" s="102">
        <v>1400577</v>
      </c>
      <c r="B644" s="102" t="s">
        <v>96</v>
      </c>
      <c r="C644" s="102" t="s">
        <v>97</v>
      </c>
      <c r="D644" s="102">
        <v>18</v>
      </c>
      <c r="E644" s="102" t="s">
        <v>1076</v>
      </c>
      <c r="F644" s="102" t="s">
        <v>1201</v>
      </c>
      <c r="G644" s="124" t="e">
        <f>VLOOKUP(A644,survey!$1:$1048576,1,FALSE)</f>
        <v>#N/A</v>
      </c>
    </row>
    <row r="645" spans="1:7" ht="12.75" customHeight="1">
      <c r="A645" s="102">
        <v>1400578</v>
      </c>
      <c r="B645" s="102" t="s">
        <v>96</v>
      </c>
      <c r="C645" s="102" t="s">
        <v>97</v>
      </c>
      <c r="D645" s="102">
        <v>19</v>
      </c>
      <c r="E645" s="102" t="s">
        <v>1202</v>
      </c>
      <c r="F645" s="102" t="s">
        <v>1203</v>
      </c>
      <c r="G645" s="124" t="e">
        <f>VLOOKUP(A645,survey!$1:$1048576,1,FALSE)</f>
        <v>#N/A</v>
      </c>
    </row>
    <row r="646" spans="1:7" ht="12.75" customHeight="1">
      <c r="A646" s="102">
        <v>1400579</v>
      </c>
      <c r="B646" s="102" t="s">
        <v>96</v>
      </c>
      <c r="C646" s="102" t="s">
        <v>97</v>
      </c>
      <c r="D646" s="102">
        <v>20</v>
      </c>
      <c r="E646" s="102" t="s">
        <v>1204</v>
      </c>
      <c r="F646" s="102" t="s">
        <v>1205</v>
      </c>
      <c r="G646" s="124" t="e">
        <f>VLOOKUP(A646,survey!$1:$1048576,1,FALSE)</f>
        <v>#N/A</v>
      </c>
    </row>
    <row r="647" spans="1:7" ht="12.75" customHeight="1">
      <c r="A647" s="102">
        <v>1400580</v>
      </c>
      <c r="B647" s="102" t="s">
        <v>96</v>
      </c>
      <c r="C647" s="102" t="s">
        <v>97</v>
      </c>
      <c r="D647" s="102">
        <v>21</v>
      </c>
      <c r="E647" s="102" t="s">
        <v>1206</v>
      </c>
      <c r="F647" s="102" t="s">
        <v>1168</v>
      </c>
      <c r="G647" s="124" t="e">
        <f>VLOOKUP(A647,survey!$1:$1048576,1,FALSE)</f>
        <v>#N/A</v>
      </c>
    </row>
    <row r="648" spans="1:7" ht="12.75" customHeight="1">
      <c r="A648" s="102">
        <v>1400581</v>
      </c>
      <c r="B648" s="102" t="s">
        <v>96</v>
      </c>
      <c r="C648" s="102" t="s">
        <v>97</v>
      </c>
      <c r="D648" s="102">
        <v>22</v>
      </c>
      <c r="E648" s="102" t="s">
        <v>1207</v>
      </c>
      <c r="F648" s="102" t="s">
        <v>1208</v>
      </c>
      <c r="G648" s="124" t="e">
        <f>VLOOKUP(A648,survey!$1:$1048576,1,FALSE)</f>
        <v>#N/A</v>
      </c>
    </row>
    <row r="649" spans="1:7" ht="12.75" customHeight="1">
      <c r="A649" s="102">
        <v>1400582</v>
      </c>
      <c r="B649" s="102" t="s">
        <v>96</v>
      </c>
      <c r="C649" s="102" t="s">
        <v>97</v>
      </c>
      <c r="D649" s="102">
        <v>23</v>
      </c>
      <c r="E649" s="102" t="s">
        <v>1209</v>
      </c>
      <c r="F649" s="102" t="s">
        <v>1210</v>
      </c>
      <c r="G649" s="124" t="e">
        <f>VLOOKUP(A649,survey!$1:$1048576,1,FALSE)</f>
        <v>#N/A</v>
      </c>
    </row>
    <row r="650" spans="1:7" ht="12.75" customHeight="1">
      <c r="A650" s="102">
        <v>1400583</v>
      </c>
      <c r="B650" s="102" t="s">
        <v>96</v>
      </c>
      <c r="C650" s="102" t="s">
        <v>97</v>
      </c>
      <c r="D650" s="102">
        <v>24</v>
      </c>
      <c r="E650" s="102" t="s">
        <v>1211</v>
      </c>
      <c r="F650" s="102" t="s">
        <v>1212</v>
      </c>
      <c r="G650" s="124" t="e">
        <f>VLOOKUP(A650,survey!$1:$1048576,1,FALSE)</f>
        <v>#N/A</v>
      </c>
    </row>
    <row r="651" spans="1:7" ht="12.75" customHeight="1">
      <c r="A651" s="102">
        <v>1400584</v>
      </c>
      <c r="B651" s="102" t="s">
        <v>96</v>
      </c>
      <c r="C651" s="102" t="s">
        <v>97</v>
      </c>
      <c r="D651" s="102">
        <v>25</v>
      </c>
      <c r="E651" s="102" t="s">
        <v>1213</v>
      </c>
      <c r="F651" s="102" t="s">
        <v>1214</v>
      </c>
      <c r="G651" s="124" t="e">
        <f>VLOOKUP(A651,survey!$1:$1048576,1,FALSE)</f>
        <v>#N/A</v>
      </c>
    </row>
    <row r="652" spans="1:7" ht="12.75" customHeight="1">
      <c r="A652" s="102">
        <v>1400585</v>
      </c>
      <c r="B652" s="102" t="s">
        <v>96</v>
      </c>
      <c r="C652" s="102" t="s">
        <v>97</v>
      </c>
      <c r="D652" s="102">
        <v>26</v>
      </c>
      <c r="E652" s="102" t="s">
        <v>1215</v>
      </c>
      <c r="F652" s="102" t="s">
        <v>455</v>
      </c>
      <c r="G652" s="124" t="e">
        <f>VLOOKUP(A652,survey!$1:$1048576,1,FALSE)</f>
        <v>#N/A</v>
      </c>
    </row>
    <row r="653" spans="1:7" ht="12.75" customHeight="1">
      <c r="A653" s="102">
        <v>1400586</v>
      </c>
      <c r="B653" s="102" t="s">
        <v>96</v>
      </c>
      <c r="C653" s="102" t="s">
        <v>97</v>
      </c>
      <c r="D653" s="102">
        <v>27</v>
      </c>
      <c r="E653" s="102" t="s">
        <v>447</v>
      </c>
      <c r="F653" s="102" t="s">
        <v>1172</v>
      </c>
      <c r="G653" s="124" t="e">
        <f>VLOOKUP(A653,survey!$1:$1048576,1,FALSE)</f>
        <v>#N/A</v>
      </c>
    </row>
    <row r="654" spans="1:7" ht="12.75" customHeight="1">
      <c r="A654" s="102">
        <v>1400587</v>
      </c>
      <c r="B654" s="102" t="s">
        <v>96</v>
      </c>
      <c r="C654" s="102" t="s">
        <v>97</v>
      </c>
      <c r="D654" s="102">
        <v>28</v>
      </c>
      <c r="E654" s="102" t="s">
        <v>1216</v>
      </c>
      <c r="F654" s="102" t="s">
        <v>1170</v>
      </c>
      <c r="G654" s="124" t="e">
        <f>VLOOKUP(A654,survey!$1:$1048576,1,FALSE)</f>
        <v>#N/A</v>
      </c>
    </row>
    <row r="655" spans="1:7" ht="12.75" customHeight="1">
      <c r="A655" s="102">
        <v>1400588</v>
      </c>
      <c r="B655" s="102" t="s">
        <v>96</v>
      </c>
      <c r="C655" s="102" t="s">
        <v>97</v>
      </c>
      <c r="D655" s="102">
        <v>29</v>
      </c>
      <c r="E655" s="102" t="s">
        <v>1217</v>
      </c>
      <c r="F655" s="102" t="s">
        <v>1170</v>
      </c>
      <c r="G655" s="124" t="e">
        <f>VLOOKUP(A655,survey!$1:$1048576,1,FALSE)</f>
        <v>#N/A</v>
      </c>
    </row>
    <row r="656" spans="1:7" ht="12.75" customHeight="1">
      <c r="A656" s="102">
        <v>1400589</v>
      </c>
      <c r="B656" s="102" t="s">
        <v>96</v>
      </c>
      <c r="C656" s="102" t="s">
        <v>97</v>
      </c>
      <c r="D656" s="102">
        <v>30</v>
      </c>
      <c r="E656" s="102" t="s">
        <v>1218</v>
      </c>
      <c r="F656" s="102" t="s">
        <v>1219</v>
      </c>
      <c r="G656" s="124" t="e">
        <f>VLOOKUP(A656,survey!$1:$1048576,1,FALSE)</f>
        <v>#N/A</v>
      </c>
    </row>
    <row r="657" spans="1:7" ht="12.75" customHeight="1">
      <c r="A657" s="102">
        <v>1400590</v>
      </c>
      <c r="B657" s="102" t="s">
        <v>96</v>
      </c>
      <c r="C657" s="102" t="s">
        <v>97</v>
      </c>
      <c r="D657" s="102">
        <v>31</v>
      </c>
      <c r="E657" s="102" t="s">
        <v>1220</v>
      </c>
      <c r="F657" s="102" t="s">
        <v>1221</v>
      </c>
      <c r="G657" s="124" t="e">
        <f>VLOOKUP(A657,survey!$1:$1048576,1,FALSE)</f>
        <v>#N/A</v>
      </c>
    </row>
    <row r="658" spans="1:7" ht="12.75" customHeight="1">
      <c r="A658" s="102">
        <v>1400591</v>
      </c>
      <c r="B658" s="102" t="s">
        <v>96</v>
      </c>
      <c r="C658" s="102" t="s">
        <v>97</v>
      </c>
      <c r="D658" s="102">
        <v>32</v>
      </c>
      <c r="E658" s="102" t="s">
        <v>1222</v>
      </c>
      <c r="F658" s="102" t="s">
        <v>1223</v>
      </c>
      <c r="G658" s="124" t="e">
        <f>VLOOKUP(A658,survey!$1:$1048576,1,FALSE)</f>
        <v>#N/A</v>
      </c>
    </row>
    <row r="659" spans="1:7" ht="12.75" customHeight="1">
      <c r="A659" s="102">
        <v>1400592</v>
      </c>
      <c r="B659" s="102" t="s">
        <v>96</v>
      </c>
      <c r="C659" s="102" t="s">
        <v>97</v>
      </c>
      <c r="D659" s="102">
        <v>33</v>
      </c>
      <c r="E659" s="102" t="s">
        <v>1224</v>
      </c>
      <c r="F659" s="102" t="s">
        <v>372</v>
      </c>
      <c r="G659" s="124" t="e">
        <f>VLOOKUP(A659,survey!$1:$1048576,1,FALSE)</f>
        <v>#N/A</v>
      </c>
    </row>
    <row r="660" spans="1:7" ht="12.75" customHeight="1">
      <c r="A660" s="102">
        <v>1400593</v>
      </c>
      <c r="B660" s="102" t="s">
        <v>96</v>
      </c>
      <c r="C660" s="102" t="s">
        <v>97</v>
      </c>
      <c r="D660" s="102">
        <v>34</v>
      </c>
      <c r="E660" s="102" t="s">
        <v>1225</v>
      </c>
      <c r="F660" s="102" t="s">
        <v>1185</v>
      </c>
      <c r="G660" s="124" t="e">
        <f>VLOOKUP(A660,survey!$1:$1048576,1,FALSE)</f>
        <v>#N/A</v>
      </c>
    </row>
    <row r="661" spans="1:7" ht="12.75" customHeight="1">
      <c r="A661" s="102">
        <v>1400594</v>
      </c>
      <c r="B661" s="102" t="s">
        <v>96</v>
      </c>
      <c r="C661" s="102" t="s">
        <v>97</v>
      </c>
      <c r="D661" s="102">
        <v>35</v>
      </c>
      <c r="E661" s="102" t="s">
        <v>1226</v>
      </c>
      <c r="F661" s="102" t="s">
        <v>1175</v>
      </c>
      <c r="G661" s="124" t="e">
        <f>VLOOKUP(A661,survey!$1:$1048576,1,FALSE)</f>
        <v>#N/A</v>
      </c>
    </row>
    <row r="662" spans="1:7" ht="12.75" customHeight="1">
      <c r="A662" s="102">
        <v>1400595</v>
      </c>
      <c r="B662" s="102" t="s">
        <v>96</v>
      </c>
      <c r="C662" s="102" t="s">
        <v>97</v>
      </c>
      <c r="D662" s="102">
        <v>36</v>
      </c>
      <c r="E662" s="102" t="s">
        <v>1227</v>
      </c>
      <c r="F662" s="102" t="s">
        <v>1228</v>
      </c>
      <c r="G662" s="124" t="e">
        <f>VLOOKUP(A662,survey!$1:$1048576,1,FALSE)</f>
        <v>#N/A</v>
      </c>
    </row>
    <row r="663" spans="1:7" ht="12.75" customHeight="1">
      <c r="A663" s="102">
        <v>1400596</v>
      </c>
      <c r="B663" s="102" t="s">
        <v>96</v>
      </c>
      <c r="C663" s="102" t="s">
        <v>97</v>
      </c>
      <c r="D663" s="102">
        <v>37</v>
      </c>
      <c r="E663" s="102" t="s">
        <v>1229</v>
      </c>
      <c r="F663" s="102" t="s">
        <v>372</v>
      </c>
      <c r="G663" s="124" t="e">
        <f>VLOOKUP(A663,survey!$1:$1048576,1,FALSE)</f>
        <v>#N/A</v>
      </c>
    </row>
    <row r="664" spans="1:7" ht="12.75" customHeight="1">
      <c r="A664" s="102">
        <v>1400597</v>
      </c>
      <c r="B664" s="102" t="s">
        <v>96</v>
      </c>
      <c r="C664" s="102" t="s">
        <v>97</v>
      </c>
      <c r="D664" s="102">
        <v>38</v>
      </c>
      <c r="E664" s="102" t="s">
        <v>1230</v>
      </c>
      <c r="F664" s="102" t="s">
        <v>868</v>
      </c>
      <c r="G664" s="124" t="e">
        <f>VLOOKUP(A664,survey!$1:$1048576,1,FALSE)</f>
        <v>#N/A</v>
      </c>
    </row>
    <row r="665" spans="1:7" ht="12.75" customHeight="1">
      <c r="A665" s="102">
        <v>1400598</v>
      </c>
      <c r="B665" s="102" t="s">
        <v>96</v>
      </c>
      <c r="C665" s="102" t="s">
        <v>97</v>
      </c>
      <c r="D665" s="102">
        <v>39</v>
      </c>
      <c r="E665" s="102" t="s">
        <v>1231</v>
      </c>
      <c r="F665" s="102" t="s">
        <v>1172</v>
      </c>
      <c r="G665" s="124" t="e">
        <f>VLOOKUP(A665,survey!$1:$1048576,1,FALSE)</f>
        <v>#N/A</v>
      </c>
    </row>
    <row r="666" spans="1:7" ht="12.75" customHeight="1">
      <c r="A666" s="102">
        <v>1400599</v>
      </c>
      <c r="B666" s="102" t="s">
        <v>96</v>
      </c>
      <c r="C666" s="102" t="s">
        <v>97</v>
      </c>
      <c r="D666" s="102">
        <v>40</v>
      </c>
      <c r="E666" s="102" t="s">
        <v>1232</v>
      </c>
      <c r="F666" s="102" t="s">
        <v>455</v>
      </c>
      <c r="G666" s="124" t="e">
        <f>VLOOKUP(A666,survey!$1:$1048576,1,FALSE)</f>
        <v>#N/A</v>
      </c>
    </row>
    <row r="667" spans="1:7" ht="12.75" customHeight="1">
      <c r="A667" s="102">
        <v>1400600</v>
      </c>
      <c r="B667" s="102" t="s">
        <v>96</v>
      </c>
      <c r="C667" s="102" t="s">
        <v>97</v>
      </c>
      <c r="D667" s="102">
        <v>41</v>
      </c>
      <c r="E667" s="102" t="s">
        <v>1233</v>
      </c>
      <c r="F667" s="102" t="s">
        <v>1183</v>
      </c>
      <c r="G667" s="124" t="e">
        <f>VLOOKUP(A667,survey!$1:$1048576,1,FALSE)</f>
        <v>#N/A</v>
      </c>
    </row>
    <row r="668" spans="1:7" ht="12.75" customHeight="1">
      <c r="A668" s="102">
        <v>1400601</v>
      </c>
      <c r="B668" s="102" t="s">
        <v>96</v>
      </c>
      <c r="C668" s="102" t="s">
        <v>97</v>
      </c>
      <c r="D668" s="102">
        <v>42</v>
      </c>
      <c r="E668" s="102" t="s">
        <v>1234</v>
      </c>
      <c r="F668" s="102" t="s">
        <v>1194</v>
      </c>
      <c r="G668" s="124" t="e">
        <f>VLOOKUP(A668,survey!$1:$1048576,1,FALSE)</f>
        <v>#N/A</v>
      </c>
    </row>
    <row r="669" spans="1:7" ht="12.75" customHeight="1">
      <c r="A669" s="102">
        <v>1400602</v>
      </c>
      <c r="B669" s="102" t="s">
        <v>96</v>
      </c>
      <c r="C669" s="102" t="s">
        <v>97</v>
      </c>
      <c r="D669" s="102">
        <v>43</v>
      </c>
      <c r="E669" s="102" t="s">
        <v>1235</v>
      </c>
      <c r="F669" s="102" t="s">
        <v>1189</v>
      </c>
      <c r="G669" s="124" t="e">
        <f>VLOOKUP(A669,survey!$1:$1048576,1,FALSE)</f>
        <v>#N/A</v>
      </c>
    </row>
    <row r="670" spans="1:7" ht="12.75" customHeight="1">
      <c r="A670" s="102">
        <v>1400603</v>
      </c>
      <c r="B670" s="102" t="s">
        <v>96</v>
      </c>
      <c r="C670" s="102" t="s">
        <v>97</v>
      </c>
      <c r="D670" s="102">
        <v>44</v>
      </c>
      <c r="E670" s="102" t="s">
        <v>1236</v>
      </c>
      <c r="F670" s="102" t="s">
        <v>1237</v>
      </c>
      <c r="G670" s="124" t="e">
        <f>VLOOKUP(A670,survey!$1:$1048576,1,FALSE)</f>
        <v>#N/A</v>
      </c>
    </row>
    <row r="671" spans="1:7" ht="12.75" customHeight="1">
      <c r="A671" s="102">
        <v>1400604</v>
      </c>
      <c r="B671" s="102" t="s">
        <v>96</v>
      </c>
      <c r="C671" s="102" t="s">
        <v>97</v>
      </c>
      <c r="D671" s="102">
        <v>45</v>
      </c>
      <c r="E671" s="102" t="s">
        <v>1238</v>
      </c>
      <c r="F671" s="102" t="s">
        <v>1185</v>
      </c>
      <c r="G671" s="124" t="e">
        <f>VLOOKUP(A671,survey!$1:$1048576,1,FALSE)</f>
        <v>#N/A</v>
      </c>
    </row>
    <row r="672" spans="1:7" ht="12.75" customHeight="1">
      <c r="A672" s="102">
        <v>1400605</v>
      </c>
      <c r="B672" s="102" t="s">
        <v>96</v>
      </c>
      <c r="C672" s="102" t="s">
        <v>97</v>
      </c>
      <c r="D672" s="102">
        <v>46</v>
      </c>
      <c r="E672" s="102" t="s">
        <v>1239</v>
      </c>
      <c r="F672" s="102" t="s">
        <v>1240</v>
      </c>
      <c r="G672" s="124" t="e">
        <f>VLOOKUP(A672,survey!$1:$1048576,1,FALSE)</f>
        <v>#N/A</v>
      </c>
    </row>
    <row r="673" spans="1:7" ht="12.75" customHeight="1">
      <c r="A673" s="102">
        <v>1400606</v>
      </c>
      <c r="B673" s="102" t="s">
        <v>96</v>
      </c>
      <c r="C673" s="102" t="s">
        <v>97</v>
      </c>
      <c r="D673" s="102">
        <v>47</v>
      </c>
      <c r="E673" s="102" t="s">
        <v>1241</v>
      </c>
      <c r="F673" s="102" t="s">
        <v>1205</v>
      </c>
      <c r="G673" s="124" t="e">
        <f>VLOOKUP(A673,survey!$1:$1048576,1,FALSE)</f>
        <v>#N/A</v>
      </c>
    </row>
    <row r="674" spans="1:7" ht="12.75" customHeight="1">
      <c r="A674" s="102">
        <v>1400607</v>
      </c>
      <c r="B674" s="102" t="s">
        <v>96</v>
      </c>
      <c r="C674" s="102" t="s">
        <v>97</v>
      </c>
      <c r="D674" s="102">
        <v>48</v>
      </c>
      <c r="E674" s="102" t="s">
        <v>1242</v>
      </c>
      <c r="F674" s="102" t="s">
        <v>1168</v>
      </c>
      <c r="G674" s="124" t="e">
        <f>VLOOKUP(A674,survey!$1:$1048576,1,FALSE)</f>
        <v>#N/A</v>
      </c>
    </row>
    <row r="675" spans="1:7" ht="12.75" customHeight="1">
      <c r="A675" s="102">
        <v>1400608</v>
      </c>
      <c r="B675" s="102" t="s">
        <v>96</v>
      </c>
      <c r="C675" s="102" t="s">
        <v>97</v>
      </c>
      <c r="D675" s="102">
        <v>49</v>
      </c>
      <c r="E675" s="102" t="s">
        <v>1243</v>
      </c>
      <c r="F675" s="102" t="s">
        <v>1172</v>
      </c>
      <c r="G675" s="124" t="e">
        <f>VLOOKUP(A675,survey!$1:$1048576,1,FALSE)</f>
        <v>#N/A</v>
      </c>
    </row>
    <row r="676" spans="1:7" ht="12.75" customHeight="1">
      <c r="A676" s="102">
        <v>1400609</v>
      </c>
      <c r="B676" s="102" t="s">
        <v>96</v>
      </c>
      <c r="C676" s="102" t="s">
        <v>97</v>
      </c>
      <c r="D676" s="102">
        <v>50</v>
      </c>
      <c r="E676" s="102" t="s">
        <v>1244</v>
      </c>
      <c r="F676" s="102" t="s">
        <v>632</v>
      </c>
      <c r="G676" s="124" t="e">
        <f>VLOOKUP(A676,survey!$1:$1048576,1,FALSE)</f>
        <v>#N/A</v>
      </c>
    </row>
    <row r="677" spans="1:7" ht="12.75" customHeight="1">
      <c r="A677" s="102">
        <v>1400643</v>
      </c>
      <c r="B677" s="102" t="s">
        <v>96</v>
      </c>
      <c r="C677" s="102" t="s">
        <v>97</v>
      </c>
      <c r="D677" s="102">
        <v>51</v>
      </c>
      <c r="E677" s="102" t="s">
        <v>1245</v>
      </c>
      <c r="F677" s="102" t="s">
        <v>1185</v>
      </c>
      <c r="G677" s="124" t="e">
        <f>VLOOKUP(A677,survey!$1:$1048576,1,FALSE)</f>
        <v>#N/A</v>
      </c>
    </row>
    <row r="678" spans="1:7" ht="12.75" customHeight="1">
      <c r="A678" s="102">
        <v>1400644</v>
      </c>
      <c r="B678" s="102" t="s">
        <v>96</v>
      </c>
      <c r="C678" s="102" t="s">
        <v>97</v>
      </c>
      <c r="D678" s="102">
        <v>52</v>
      </c>
      <c r="E678" s="102" t="s">
        <v>1246</v>
      </c>
      <c r="F678" s="102" t="s">
        <v>1196</v>
      </c>
      <c r="G678" s="124" t="e">
        <f>VLOOKUP(A678,survey!$1:$1048576,1,FALSE)</f>
        <v>#N/A</v>
      </c>
    </row>
    <row r="679" spans="1:7" ht="12.75" customHeight="1">
      <c r="A679" s="102">
        <v>1400699</v>
      </c>
      <c r="B679" s="102" t="s">
        <v>96</v>
      </c>
      <c r="C679" s="102" t="s">
        <v>97</v>
      </c>
      <c r="D679" s="102">
        <v>53</v>
      </c>
      <c r="E679" s="102" t="s">
        <v>1247</v>
      </c>
      <c r="F679" s="102" t="s">
        <v>1219</v>
      </c>
      <c r="G679" s="124" t="e">
        <f>VLOOKUP(A679,survey!$1:$1048576,1,FALSE)</f>
        <v>#N/A</v>
      </c>
    </row>
    <row r="680" spans="1:7" ht="12.75" customHeight="1">
      <c r="A680" s="102">
        <v>1400788</v>
      </c>
      <c r="B680" s="102" t="s">
        <v>96</v>
      </c>
      <c r="C680" s="102" t="s">
        <v>97</v>
      </c>
      <c r="D680" s="102">
        <v>54</v>
      </c>
      <c r="E680" s="102" t="s">
        <v>1248</v>
      </c>
      <c r="F680" s="102" t="s">
        <v>1177</v>
      </c>
      <c r="G680" s="124" t="e">
        <f>VLOOKUP(A680,survey!$1:$1048576,1,FALSE)</f>
        <v>#N/A</v>
      </c>
    </row>
    <row r="681" spans="1:7" ht="12.75" customHeight="1">
      <c r="A681" s="102">
        <v>1400850</v>
      </c>
      <c r="B681" s="102" t="s">
        <v>96</v>
      </c>
      <c r="C681" s="102" t="s">
        <v>97</v>
      </c>
      <c r="D681" s="102">
        <v>55</v>
      </c>
      <c r="E681" s="102" t="s">
        <v>1249</v>
      </c>
      <c r="F681" s="102" t="s">
        <v>1250</v>
      </c>
      <c r="G681" s="124" t="e">
        <f>VLOOKUP(A681,survey!$1:$1048576,1,FALSE)</f>
        <v>#N/A</v>
      </c>
    </row>
    <row r="682" spans="1:7" ht="12.75" customHeight="1">
      <c r="A682" s="102">
        <v>1400851</v>
      </c>
      <c r="B682" s="102" t="s">
        <v>96</v>
      </c>
      <c r="C682" s="102" t="s">
        <v>97</v>
      </c>
      <c r="D682" s="102">
        <v>56</v>
      </c>
      <c r="E682" s="102" t="s">
        <v>1251</v>
      </c>
      <c r="F682" s="102" t="s">
        <v>1179</v>
      </c>
      <c r="G682" s="124" t="e">
        <f>VLOOKUP(A682,survey!$1:$1048576,1,FALSE)</f>
        <v>#N/A</v>
      </c>
    </row>
    <row r="683" spans="1:7" ht="12.75" customHeight="1">
      <c r="A683" s="102">
        <v>1400884</v>
      </c>
      <c r="B683" s="102" t="s">
        <v>96</v>
      </c>
      <c r="C683" s="102" t="s">
        <v>97</v>
      </c>
      <c r="D683" s="102">
        <v>57</v>
      </c>
      <c r="E683" s="102" t="s">
        <v>1252</v>
      </c>
      <c r="F683" s="102" t="s">
        <v>1181</v>
      </c>
      <c r="G683" s="124" t="e">
        <f>VLOOKUP(A683,survey!$1:$1048576,1,FALSE)</f>
        <v>#N/A</v>
      </c>
    </row>
    <row r="684" spans="1:7" ht="12.75" customHeight="1">
      <c r="A684" s="102">
        <v>1401016</v>
      </c>
      <c r="B684" s="102" t="s">
        <v>96</v>
      </c>
      <c r="C684" s="102" t="s">
        <v>97</v>
      </c>
      <c r="D684" s="102">
        <v>58</v>
      </c>
      <c r="E684" s="102" t="s">
        <v>1253</v>
      </c>
      <c r="F684" s="102" t="s">
        <v>1185</v>
      </c>
      <c r="G684" s="124" t="e">
        <f>VLOOKUP(A684,survey!$1:$1048576,1,FALSE)</f>
        <v>#N/A</v>
      </c>
    </row>
    <row r="685" spans="1:7" ht="12.75" customHeight="1">
      <c r="A685" s="102">
        <v>1401017</v>
      </c>
      <c r="B685" s="102" t="s">
        <v>96</v>
      </c>
      <c r="C685" s="102" t="s">
        <v>97</v>
      </c>
      <c r="D685" s="102">
        <v>59</v>
      </c>
      <c r="E685" s="102" t="s">
        <v>1254</v>
      </c>
      <c r="F685" s="102" t="s">
        <v>358</v>
      </c>
      <c r="G685" s="124" t="e">
        <f>VLOOKUP(A685,survey!$1:$1048576,1,FALSE)</f>
        <v>#N/A</v>
      </c>
    </row>
    <row r="686" spans="1:7" ht="12.75" customHeight="1">
      <c r="A686" s="102">
        <v>1401147</v>
      </c>
      <c r="B686" s="102" t="s">
        <v>96</v>
      </c>
      <c r="C686" s="102" t="s">
        <v>97</v>
      </c>
      <c r="D686" s="102">
        <v>60</v>
      </c>
      <c r="E686" s="102" t="s">
        <v>1255</v>
      </c>
      <c r="F686" s="102" t="s">
        <v>1256</v>
      </c>
      <c r="G686" s="124" t="e">
        <f>VLOOKUP(A686,survey!$1:$1048576,1,FALSE)</f>
        <v>#N/A</v>
      </c>
    </row>
    <row r="687" spans="1:7" ht="12.75" customHeight="1">
      <c r="A687" s="102">
        <v>1401564</v>
      </c>
      <c r="B687" s="102" t="s">
        <v>96</v>
      </c>
      <c r="C687" s="102" t="s">
        <v>97</v>
      </c>
      <c r="D687" s="102">
        <v>61</v>
      </c>
      <c r="E687" s="102" t="s">
        <v>1257</v>
      </c>
      <c r="F687" s="102" t="s">
        <v>1200</v>
      </c>
      <c r="G687" s="124" t="e">
        <f>VLOOKUP(A687,survey!$1:$1048576,1,FALSE)</f>
        <v>#N/A</v>
      </c>
    </row>
    <row r="688" spans="1:7" ht="12.75" customHeight="1">
      <c r="A688" s="102">
        <v>1401565</v>
      </c>
      <c r="B688" s="102" t="s">
        <v>96</v>
      </c>
      <c r="C688" s="102" t="s">
        <v>97</v>
      </c>
      <c r="D688" s="102">
        <v>62</v>
      </c>
      <c r="E688" s="102" t="s">
        <v>1258</v>
      </c>
      <c r="F688" s="102" t="s">
        <v>1200</v>
      </c>
      <c r="G688" s="124" t="e">
        <f>VLOOKUP(A688,survey!$1:$1048576,1,FALSE)</f>
        <v>#N/A</v>
      </c>
    </row>
    <row r="689" spans="1:7" ht="12.75" customHeight="1">
      <c r="A689" s="102">
        <v>1401581</v>
      </c>
      <c r="B689" s="102" t="s">
        <v>96</v>
      </c>
      <c r="C689" s="102" t="s">
        <v>97</v>
      </c>
      <c r="D689" s="102">
        <v>63</v>
      </c>
      <c r="E689" s="102" t="s">
        <v>1259</v>
      </c>
      <c r="F689" s="102" t="s">
        <v>1228</v>
      </c>
      <c r="G689" s="124" t="e">
        <f>VLOOKUP(A689,survey!$1:$1048576,1,FALSE)</f>
        <v>#N/A</v>
      </c>
    </row>
    <row r="690" spans="1:7" ht="12.75" customHeight="1">
      <c r="A690" s="102">
        <v>1401621</v>
      </c>
      <c r="B690" s="102" t="s">
        <v>96</v>
      </c>
      <c r="C690" s="102" t="s">
        <v>97</v>
      </c>
      <c r="D690" s="102">
        <v>64</v>
      </c>
      <c r="E690" s="102" t="s">
        <v>1260</v>
      </c>
      <c r="F690" s="102" t="s">
        <v>1200</v>
      </c>
      <c r="G690" s="124" t="e">
        <f>VLOOKUP(A690,survey!$1:$1048576,1,FALSE)</f>
        <v>#N/A</v>
      </c>
    </row>
    <row r="691" spans="1:7" ht="12.75" customHeight="1">
      <c r="A691" s="102">
        <v>1401148</v>
      </c>
      <c r="B691" s="102" t="s">
        <v>96</v>
      </c>
      <c r="C691" s="102" t="s">
        <v>97</v>
      </c>
      <c r="D691" s="102">
        <v>65</v>
      </c>
      <c r="E691" s="102" t="s">
        <v>1261</v>
      </c>
      <c r="F691" s="102" t="s">
        <v>1262</v>
      </c>
      <c r="G691" s="124" t="e">
        <f>VLOOKUP(A691,survey!$1:$1048576,1,FALSE)</f>
        <v>#N/A</v>
      </c>
    </row>
    <row r="692" spans="1:7" ht="12.75" customHeight="1">
      <c r="A692" s="102">
        <v>1401186</v>
      </c>
      <c r="B692" s="102" t="s">
        <v>96</v>
      </c>
      <c r="C692" s="102" t="s">
        <v>97</v>
      </c>
      <c r="D692" s="102">
        <v>66</v>
      </c>
      <c r="E692" s="102" t="s">
        <v>1263</v>
      </c>
      <c r="F692" s="102" t="s">
        <v>1237</v>
      </c>
      <c r="G692" s="124" t="e">
        <f>VLOOKUP(A692,survey!$1:$1048576,1,FALSE)</f>
        <v>#N/A</v>
      </c>
    </row>
    <row r="693" spans="1:7" ht="12.75" customHeight="1">
      <c r="A693" s="102">
        <v>1400610</v>
      </c>
      <c r="B693" s="102" t="s">
        <v>96</v>
      </c>
      <c r="C693" s="102" t="s">
        <v>98</v>
      </c>
      <c r="D693" s="102">
        <v>1</v>
      </c>
      <c r="E693" s="102" t="s">
        <v>1264</v>
      </c>
      <c r="F693" s="102" t="s">
        <v>1265</v>
      </c>
      <c r="G693" s="124" t="e">
        <f>VLOOKUP(A693,survey!$1:$1048576,1,FALSE)</f>
        <v>#N/A</v>
      </c>
    </row>
    <row r="694" spans="1:7" ht="12.75" customHeight="1">
      <c r="A694" s="102">
        <v>1400611</v>
      </c>
      <c r="B694" s="102" t="s">
        <v>96</v>
      </c>
      <c r="C694" s="102" t="s">
        <v>98</v>
      </c>
      <c r="D694" s="102">
        <v>2</v>
      </c>
      <c r="E694" s="102" t="s">
        <v>1266</v>
      </c>
      <c r="F694" s="102" t="s">
        <v>1267</v>
      </c>
      <c r="G694" s="124" t="e">
        <f>VLOOKUP(A694,survey!$1:$1048576,1,FALSE)</f>
        <v>#N/A</v>
      </c>
    </row>
    <row r="695" spans="1:7" ht="12.75" customHeight="1">
      <c r="A695" s="102">
        <v>1400612</v>
      </c>
      <c r="B695" s="102" t="s">
        <v>96</v>
      </c>
      <c r="C695" s="102" t="s">
        <v>98</v>
      </c>
      <c r="D695" s="102">
        <v>3</v>
      </c>
      <c r="E695" s="102" t="s">
        <v>1268</v>
      </c>
      <c r="F695" s="102" t="s">
        <v>1269</v>
      </c>
      <c r="G695" s="124" t="e">
        <f>VLOOKUP(A695,survey!$1:$1048576,1,FALSE)</f>
        <v>#N/A</v>
      </c>
    </row>
    <row r="696" spans="1:7" ht="12.75" customHeight="1">
      <c r="A696" s="102">
        <v>1400613</v>
      </c>
      <c r="B696" s="102" t="s">
        <v>96</v>
      </c>
      <c r="C696" s="102" t="s">
        <v>98</v>
      </c>
      <c r="D696" s="102">
        <v>4</v>
      </c>
      <c r="E696" s="102" t="s">
        <v>1270</v>
      </c>
      <c r="F696" s="102" t="s">
        <v>1271</v>
      </c>
      <c r="G696" s="124" t="e">
        <f>VLOOKUP(A696,survey!$1:$1048576,1,FALSE)</f>
        <v>#N/A</v>
      </c>
    </row>
    <row r="697" spans="1:7" ht="12.75" customHeight="1">
      <c r="A697" s="102">
        <v>1400614</v>
      </c>
      <c r="B697" s="102" t="s">
        <v>96</v>
      </c>
      <c r="C697" s="102" t="s">
        <v>98</v>
      </c>
      <c r="D697" s="102">
        <v>5</v>
      </c>
      <c r="E697" s="102" t="s">
        <v>461</v>
      </c>
      <c r="F697" s="102" t="s">
        <v>1272</v>
      </c>
      <c r="G697" s="124" t="e">
        <f>VLOOKUP(A697,survey!$1:$1048576,1,FALSE)</f>
        <v>#N/A</v>
      </c>
    </row>
    <row r="698" spans="1:7" ht="12.75" customHeight="1">
      <c r="A698" s="102">
        <v>1400615</v>
      </c>
      <c r="B698" s="102" t="s">
        <v>96</v>
      </c>
      <c r="C698" s="102" t="s">
        <v>98</v>
      </c>
      <c r="D698" s="102">
        <v>6</v>
      </c>
      <c r="E698" s="102" t="s">
        <v>1273</v>
      </c>
      <c r="F698" s="102" t="s">
        <v>1274</v>
      </c>
      <c r="G698" s="124" t="e">
        <f>VLOOKUP(A698,survey!$1:$1048576,1,FALSE)</f>
        <v>#N/A</v>
      </c>
    </row>
    <row r="699" spans="1:7" ht="12.75" customHeight="1">
      <c r="A699" s="102">
        <v>1400616</v>
      </c>
      <c r="B699" s="102" t="s">
        <v>96</v>
      </c>
      <c r="C699" s="102" t="s">
        <v>98</v>
      </c>
      <c r="D699" s="102">
        <v>7</v>
      </c>
      <c r="E699" s="102" t="s">
        <v>1275</v>
      </c>
      <c r="F699" s="102" t="s">
        <v>1276</v>
      </c>
      <c r="G699" s="124" t="e">
        <f>VLOOKUP(A699,survey!$1:$1048576,1,FALSE)</f>
        <v>#N/A</v>
      </c>
    </row>
    <row r="700" spans="1:7" ht="12.75" customHeight="1">
      <c r="A700" s="102">
        <v>1400617</v>
      </c>
      <c r="B700" s="102" t="s">
        <v>96</v>
      </c>
      <c r="C700" s="102" t="s">
        <v>98</v>
      </c>
      <c r="D700" s="102">
        <v>8</v>
      </c>
      <c r="E700" s="102" t="s">
        <v>1277</v>
      </c>
      <c r="F700" s="102" t="s">
        <v>1278</v>
      </c>
      <c r="G700" s="124" t="e">
        <f>VLOOKUP(A700,survey!$1:$1048576,1,FALSE)</f>
        <v>#N/A</v>
      </c>
    </row>
    <row r="701" spans="1:7" ht="12.75" customHeight="1">
      <c r="A701" s="102">
        <v>1400618</v>
      </c>
      <c r="B701" s="102" t="s">
        <v>96</v>
      </c>
      <c r="C701" s="102" t="s">
        <v>98</v>
      </c>
      <c r="D701" s="102">
        <v>9</v>
      </c>
      <c r="E701" s="102" t="s">
        <v>1279</v>
      </c>
      <c r="F701" s="102" t="s">
        <v>358</v>
      </c>
      <c r="G701" s="124" t="e">
        <f>VLOOKUP(A701,survey!$1:$1048576,1,FALSE)</f>
        <v>#N/A</v>
      </c>
    </row>
    <row r="702" spans="1:7" ht="12.75" customHeight="1">
      <c r="A702" s="102">
        <v>1400619</v>
      </c>
      <c r="B702" s="102" t="s">
        <v>96</v>
      </c>
      <c r="C702" s="102" t="s">
        <v>98</v>
      </c>
      <c r="D702" s="102">
        <v>10</v>
      </c>
      <c r="E702" s="102" t="s">
        <v>1280</v>
      </c>
      <c r="F702" s="102" t="s">
        <v>1281</v>
      </c>
      <c r="G702" s="124" t="e">
        <f>VLOOKUP(A702,survey!$1:$1048576,1,FALSE)</f>
        <v>#N/A</v>
      </c>
    </row>
    <row r="703" spans="1:7" ht="12.75" customHeight="1">
      <c r="A703" s="102">
        <v>1400620</v>
      </c>
      <c r="B703" s="102" t="s">
        <v>96</v>
      </c>
      <c r="C703" s="102" t="s">
        <v>98</v>
      </c>
      <c r="D703" s="102">
        <v>11</v>
      </c>
      <c r="E703" s="102" t="s">
        <v>1282</v>
      </c>
      <c r="F703" s="102" t="s">
        <v>358</v>
      </c>
      <c r="G703" s="124" t="e">
        <f>VLOOKUP(A703,survey!$1:$1048576,1,FALSE)</f>
        <v>#N/A</v>
      </c>
    </row>
    <row r="704" spans="1:7" ht="12.75" customHeight="1">
      <c r="A704" s="102">
        <v>1400621</v>
      </c>
      <c r="B704" s="102" t="s">
        <v>96</v>
      </c>
      <c r="C704" s="102" t="s">
        <v>98</v>
      </c>
      <c r="D704" s="102">
        <v>12</v>
      </c>
      <c r="E704" s="102" t="s">
        <v>1283</v>
      </c>
      <c r="F704" s="102" t="s">
        <v>1284</v>
      </c>
      <c r="G704" s="124" t="e">
        <f>VLOOKUP(A704,survey!$1:$1048576,1,FALSE)</f>
        <v>#N/A</v>
      </c>
    </row>
    <row r="705" spans="1:7" ht="12.75" customHeight="1">
      <c r="A705" s="102">
        <v>1400622</v>
      </c>
      <c r="B705" s="102" t="s">
        <v>96</v>
      </c>
      <c r="C705" s="102" t="s">
        <v>98</v>
      </c>
      <c r="D705" s="102">
        <v>13</v>
      </c>
      <c r="E705" s="102" t="s">
        <v>1285</v>
      </c>
      <c r="F705" s="102" t="s">
        <v>1286</v>
      </c>
      <c r="G705" s="124" t="e">
        <f>VLOOKUP(A705,survey!$1:$1048576,1,FALSE)</f>
        <v>#N/A</v>
      </c>
    </row>
    <row r="706" spans="1:7" ht="12.75" customHeight="1">
      <c r="A706" s="102">
        <v>1400623</v>
      </c>
      <c r="B706" s="102" t="s">
        <v>96</v>
      </c>
      <c r="C706" s="102" t="s">
        <v>98</v>
      </c>
      <c r="D706" s="102">
        <v>14</v>
      </c>
      <c r="E706" s="102" t="s">
        <v>1287</v>
      </c>
      <c r="F706" s="102" t="s">
        <v>1288</v>
      </c>
      <c r="G706" s="124" t="e">
        <f>VLOOKUP(A706,survey!$1:$1048576,1,FALSE)</f>
        <v>#N/A</v>
      </c>
    </row>
    <row r="707" spans="1:7" ht="12.75" customHeight="1">
      <c r="A707" s="102">
        <v>1400624</v>
      </c>
      <c r="B707" s="102" t="s">
        <v>96</v>
      </c>
      <c r="C707" s="102" t="s">
        <v>98</v>
      </c>
      <c r="D707" s="102">
        <v>15</v>
      </c>
      <c r="E707" s="102" t="s">
        <v>1289</v>
      </c>
      <c r="F707" s="102" t="s">
        <v>1290</v>
      </c>
      <c r="G707" s="124" t="e">
        <f>VLOOKUP(A707,survey!$1:$1048576,1,FALSE)</f>
        <v>#N/A</v>
      </c>
    </row>
    <row r="708" spans="1:7" ht="12.75" customHeight="1">
      <c r="A708" s="102">
        <v>1400625</v>
      </c>
      <c r="B708" s="102" t="s">
        <v>96</v>
      </c>
      <c r="C708" s="102" t="s">
        <v>98</v>
      </c>
      <c r="D708" s="102">
        <v>16</v>
      </c>
      <c r="E708" s="102" t="s">
        <v>1291</v>
      </c>
      <c r="F708" s="102" t="s">
        <v>358</v>
      </c>
      <c r="G708" s="124" t="e">
        <f>VLOOKUP(A708,survey!$1:$1048576,1,FALSE)</f>
        <v>#N/A</v>
      </c>
    </row>
    <row r="709" spans="1:7" ht="12.75" customHeight="1">
      <c r="A709" s="102">
        <v>1400626</v>
      </c>
      <c r="B709" s="102" t="s">
        <v>96</v>
      </c>
      <c r="C709" s="102" t="s">
        <v>98</v>
      </c>
      <c r="D709" s="102">
        <v>17</v>
      </c>
      <c r="E709" s="102" t="s">
        <v>1292</v>
      </c>
      <c r="F709" s="102" t="s">
        <v>1265</v>
      </c>
      <c r="G709" s="124" t="e">
        <f>VLOOKUP(A709,survey!$1:$1048576,1,FALSE)</f>
        <v>#N/A</v>
      </c>
    </row>
    <row r="710" spans="1:7" ht="12.75" customHeight="1">
      <c r="A710" s="102">
        <v>1400467</v>
      </c>
      <c r="B710" s="102" t="s">
        <v>96</v>
      </c>
      <c r="C710" s="102" t="s">
        <v>98</v>
      </c>
      <c r="D710" s="102">
        <v>18</v>
      </c>
      <c r="E710" s="102" t="s">
        <v>1293</v>
      </c>
      <c r="F710" s="102" t="s">
        <v>1294</v>
      </c>
      <c r="G710" s="124" t="e">
        <f>VLOOKUP(A710,survey!$1:$1048576,1,FALSE)</f>
        <v>#N/A</v>
      </c>
    </row>
    <row r="711" spans="1:7" ht="12.75" customHeight="1">
      <c r="A711" s="102">
        <v>1400468</v>
      </c>
      <c r="B711" s="102" t="s">
        <v>96</v>
      </c>
      <c r="C711" s="102" t="s">
        <v>98</v>
      </c>
      <c r="D711" s="102">
        <v>19</v>
      </c>
      <c r="E711" s="102" t="s">
        <v>1143</v>
      </c>
      <c r="F711" s="102" t="s">
        <v>1271</v>
      </c>
      <c r="G711" s="124" t="e">
        <f>VLOOKUP(A711,survey!$1:$1048576,1,FALSE)</f>
        <v>#N/A</v>
      </c>
    </row>
    <row r="712" spans="1:7" ht="12.75" customHeight="1">
      <c r="A712" s="102">
        <v>1400469</v>
      </c>
      <c r="B712" s="102" t="s">
        <v>96</v>
      </c>
      <c r="C712" s="102" t="s">
        <v>98</v>
      </c>
      <c r="D712" s="102">
        <v>20</v>
      </c>
      <c r="E712" s="102" t="s">
        <v>1295</v>
      </c>
      <c r="F712" s="102" t="s">
        <v>1265</v>
      </c>
      <c r="G712" s="124" t="e">
        <f>VLOOKUP(A712,survey!$1:$1048576,1,FALSE)</f>
        <v>#N/A</v>
      </c>
    </row>
    <row r="713" spans="1:7" ht="12.75" customHeight="1">
      <c r="A713" s="102">
        <v>1400470</v>
      </c>
      <c r="B713" s="102" t="s">
        <v>96</v>
      </c>
      <c r="C713" s="102" t="s">
        <v>98</v>
      </c>
      <c r="D713" s="102">
        <v>21</v>
      </c>
      <c r="E713" s="102" t="s">
        <v>1296</v>
      </c>
      <c r="F713" s="102" t="s">
        <v>1297</v>
      </c>
      <c r="G713" s="124" t="e">
        <f>VLOOKUP(A713,survey!$1:$1048576,1,FALSE)</f>
        <v>#N/A</v>
      </c>
    </row>
    <row r="714" spans="1:7" ht="12.75" customHeight="1">
      <c r="A714" s="102">
        <v>1400471</v>
      </c>
      <c r="B714" s="102" t="s">
        <v>96</v>
      </c>
      <c r="C714" s="102" t="s">
        <v>98</v>
      </c>
      <c r="D714" s="102">
        <v>22</v>
      </c>
      <c r="E714" s="102" t="s">
        <v>1298</v>
      </c>
      <c r="F714" s="102" t="s">
        <v>1294</v>
      </c>
      <c r="G714" s="124" t="e">
        <f>VLOOKUP(A714,survey!$1:$1048576,1,FALSE)</f>
        <v>#N/A</v>
      </c>
    </row>
    <row r="715" spans="1:7" ht="12.75" customHeight="1">
      <c r="A715" s="102">
        <v>1400472</v>
      </c>
      <c r="B715" s="102" t="s">
        <v>96</v>
      </c>
      <c r="C715" s="102" t="s">
        <v>98</v>
      </c>
      <c r="D715" s="102">
        <v>23</v>
      </c>
      <c r="E715" s="102" t="s">
        <v>1299</v>
      </c>
      <c r="F715" s="102" t="s">
        <v>1300</v>
      </c>
      <c r="G715" s="124" t="e">
        <f>VLOOKUP(A715,survey!$1:$1048576,1,FALSE)</f>
        <v>#N/A</v>
      </c>
    </row>
    <row r="716" spans="1:7" ht="12.75" customHeight="1">
      <c r="A716" s="102">
        <v>1400473</v>
      </c>
      <c r="B716" s="102" t="s">
        <v>96</v>
      </c>
      <c r="C716" s="102" t="s">
        <v>98</v>
      </c>
      <c r="D716" s="102">
        <v>24</v>
      </c>
      <c r="E716" s="102" t="s">
        <v>1301</v>
      </c>
      <c r="F716" s="102" t="s">
        <v>1302</v>
      </c>
      <c r="G716" s="124" t="e">
        <f>VLOOKUP(A716,survey!$1:$1048576,1,FALSE)</f>
        <v>#N/A</v>
      </c>
    </row>
    <row r="717" spans="1:7" ht="12.75" customHeight="1">
      <c r="A717" s="102">
        <v>1400474</v>
      </c>
      <c r="B717" s="102" t="s">
        <v>96</v>
      </c>
      <c r="C717" s="102" t="s">
        <v>98</v>
      </c>
      <c r="D717" s="102">
        <v>25</v>
      </c>
      <c r="E717" s="102" t="s">
        <v>1303</v>
      </c>
      <c r="F717" s="102" t="s">
        <v>1304</v>
      </c>
      <c r="G717" s="124" t="e">
        <f>VLOOKUP(A717,survey!$1:$1048576,1,FALSE)</f>
        <v>#N/A</v>
      </c>
    </row>
    <row r="718" spans="1:7" ht="12.75" customHeight="1">
      <c r="A718" s="102">
        <v>1400475</v>
      </c>
      <c r="B718" s="102" t="s">
        <v>96</v>
      </c>
      <c r="C718" s="102" t="s">
        <v>98</v>
      </c>
      <c r="D718" s="102">
        <v>26</v>
      </c>
      <c r="E718" s="102" t="s">
        <v>1305</v>
      </c>
      <c r="F718" s="102" t="s">
        <v>1055</v>
      </c>
      <c r="G718" s="124" t="e">
        <f>VLOOKUP(A718,survey!$1:$1048576,1,FALSE)</f>
        <v>#N/A</v>
      </c>
    </row>
    <row r="719" spans="1:7" ht="12.75" customHeight="1">
      <c r="A719" s="102" t="s">
        <v>1306</v>
      </c>
      <c r="B719" s="102" t="s">
        <v>96</v>
      </c>
      <c r="C719" s="102" t="s">
        <v>98</v>
      </c>
      <c r="D719" s="102">
        <v>27</v>
      </c>
      <c r="E719" s="102" t="s">
        <v>1307</v>
      </c>
      <c r="F719" s="102" t="s">
        <v>1267</v>
      </c>
      <c r="G719" s="124" t="e">
        <f>VLOOKUP(A719,survey!$1:$1048576,1,FALSE)</f>
        <v>#N/A</v>
      </c>
    </row>
    <row r="720" spans="1:7" ht="12.75" customHeight="1">
      <c r="A720" s="102">
        <v>1400477</v>
      </c>
      <c r="B720" s="102" t="s">
        <v>96</v>
      </c>
      <c r="C720" s="102" t="s">
        <v>98</v>
      </c>
      <c r="D720" s="102">
        <v>28</v>
      </c>
      <c r="E720" s="102" t="s">
        <v>1308</v>
      </c>
      <c r="F720" s="102" t="s">
        <v>1271</v>
      </c>
      <c r="G720" s="124" t="e">
        <f>VLOOKUP(A720,survey!$1:$1048576,1,FALSE)</f>
        <v>#N/A</v>
      </c>
    </row>
    <row r="721" spans="1:7" ht="12.75" customHeight="1">
      <c r="A721" s="102">
        <v>1400478</v>
      </c>
      <c r="B721" s="102" t="s">
        <v>96</v>
      </c>
      <c r="C721" s="102" t="s">
        <v>98</v>
      </c>
      <c r="D721" s="102">
        <v>29</v>
      </c>
      <c r="E721" s="102" t="s">
        <v>1309</v>
      </c>
      <c r="F721" s="102" t="s">
        <v>1265</v>
      </c>
      <c r="G721" s="124" t="e">
        <f>VLOOKUP(A721,survey!$1:$1048576,1,FALSE)</f>
        <v>#N/A</v>
      </c>
    </row>
    <row r="722" spans="1:7" ht="12.75" customHeight="1">
      <c r="A722" s="102">
        <v>1400479</v>
      </c>
      <c r="B722" s="102" t="s">
        <v>96</v>
      </c>
      <c r="C722" s="102" t="s">
        <v>98</v>
      </c>
      <c r="D722" s="102">
        <v>30</v>
      </c>
      <c r="E722" s="102" t="s">
        <v>1310</v>
      </c>
      <c r="F722" s="102" t="s">
        <v>1304</v>
      </c>
      <c r="G722" s="124" t="e">
        <f>VLOOKUP(A722,survey!$1:$1048576,1,FALSE)</f>
        <v>#N/A</v>
      </c>
    </row>
    <row r="723" spans="1:7" ht="12.75" customHeight="1">
      <c r="A723" s="102">
        <v>1400480</v>
      </c>
      <c r="B723" s="102" t="s">
        <v>96</v>
      </c>
      <c r="C723" s="102" t="s">
        <v>98</v>
      </c>
      <c r="D723" s="102">
        <v>31</v>
      </c>
      <c r="E723" s="102" t="s">
        <v>1311</v>
      </c>
      <c r="F723" s="102" t="s">
        <v>1269</v>
      </c>
      <c r="G723" s="124" t="e">
        <f>VLOOKUP(A723,survey!$1:$1048576,1,FALSE)</f>
        <v>#N/A</v>
      </c>
    </row>
    <row r="724" spans="1:7" ht="12.75" customHeight="1">
      <c r="A724" s="102">
        <v>1400646</v>
      </c>
      <c r="B724" s="102" t="s">
        <v>96</v>
      </c>
      <c r="C724" s="102" t="s">
        <v>98</v>
      </c>
      <c r="D724" s="102">
        <v>32</v>
      </c>
      <c r="E724" s="102" t="s">
        <v>1312</v>
      </c>
      <c r="F724" s="102" t="s">
        <v>358</v>
      </c>
      <c r="G724" s="124" t="e">
        <f>VLOOKUP(A724,survey!$1:$1048576,1,FALSE)</f>
        <v>#N/A</v>
      </c>
    </row>
    <row r="725" spans="1:7" ht="12.75" customHeight="1">
      <c r="A725" s="102">
        <v>1400808</v>
      </c>
      <c r="B725" s="102" t="s">
        <v>96</v>
      </c>
      <c r="C725" s="102" t="s">
        <v>98</v>
      </c>
      <c r="D725" s="102">
        <v>33</v>
      </c>
      <c r="E725" s="102" t="s">
        <v>1313</v>
      </c>
      <c r="F725" s="102" t="s">
        <v>1314</v>
      </c>
      <c r="G725" s="124" t="e">
        <f>VLOOKUP(A725,survey!$1:$1048576,1,FALSE)</f>
        <v>#N/A</v>
      </c>
    </row>
    <row r="726" spans="1:7" ht="12.75" customHeight="1">
      <c r="A726" s="102">
        <v>1400809</v>
      </c>
      <c r="B726" s="102" t="s">
        <v>96</v>
      </c>
      <c r="C726" s="102" t="s">
        <v>98</v>
      </c>
      <c r="D726" s="102">
        <v>34</v>
      </c>
      <c r="E726" s="102" t="s">
        <v>1315</v>
      </c>
      <c r="F726" s="102" t="s">
        <v>1316</v>
      </c>
      <c r="G726" s="124" t="e">
        <f>VLOOKUP(A726,survey!$1:$1048576,1,FALSE)</f>
        <v>#N/A</v>
      </c>
    </row>
    <row r="727" spans="1:7" ht="12.75" customHeight="1">
      <c r="A727" s="102">
        <v>1400936</v>
      </c>
      <c r="B727" s="102" t="s">
        <v>96</v>
      </c>
      <c r="C727" s="102" t="s">
        <v>98</v>
      </c>
      <c r="D727" s="102">
        <v>35</v>
      </c>
      <c r="E727" s="102" t="s">
        <v>1317</v>
      </c>
      <c r="F727" s="102" t="s">
        <v>1318</v>
      </c>
      <c r="G727" s="124" t="e">
        <f>VLOOKUP(A727,survey!$1:$1048576,1,FALSE)</f>
        <v>#N/A</v>
      </c>
    </row>
    <row r="728" spans="1:7" ht="12.75" customHeight="1">
      <c r="A728" s="102">
        <v>1400937</v>
      </c>
      <c r="B728" s="102" t="s">
        <v>96</v>
      </c>
      <c r="C728" s="102" t="s">
        <v>98</v>
      </c>
      <c r="D728" s="102">
        <v>36</v>
      </c>
      <c r="E728" s="102" t="s">
        <v>1319</v>
      </c>
      <c r="F728" s="102" t="s">
        <v>1294</v>
      </c>
      <c r="G728" s="124" t="e">
        <f>VLOOKUP(A728,survey!$1:$1048576,1,FALSE)</f>
        <v>#N/A</v>
      </c>
    </row>
    <row r="729" spans="1:7" ht="12.75" customHeight="1">
      <c r="A729" s="102">
        <v>1401548</v>
      </c>
      <c r="B729" s="102" t="s">
        <v>96</v>
      </c>
      <c r="C729" s="102" t="s">
        <v>98</v>
      </c>
      <c r="D729" s="102">
        <v>37</v>
      </c>
      <c r="E729" s="102" t="s">
        <v>1320</v>
      </c>
      <c r="F729" s="102" t="s">
        <v>426</v>
      </c>
      <c r="G729" s="124" t="e">
        <f>VLOOKUP(A729,survey!$1:$1048576,1,FALSE)</f>
        <v>#N/A</v>
      </c>
    </row>
    <row r="730" spans="1:7" ht="12.75" customHeight="1">
      <c r="A730" s="102">
        <v>1401549</v>
      </c>
      <c r="B730" s="102" t="s">
        <v>96</v>
      </c>
      <c r="C730" s="102" t="s">
        <v>98</v>
      </c>
      <c r="D730" s="102">
        <v>38</v>
      </c>
      <c r="E730" s="102" t="s">
        <v>1321</v>
      </c>
      <c r="F730" s="102" t="s">
        <v>426</v>
      </c>
      <c r="G730" s="124" t="e">
        <f>VLOOKUP(A730,survey!$1:$1048576,1,FALSE)</f>
        <v>#N/A</v>
      </c>
    </row>
    <row r="731" spans="1:7" ht="12.75" customHeight="1">
      <c r="A731" s="102">
        <v>1400956</v>
      </c>
      <c r="B731" s="102" t="s">
        <v>96</v>
      </c>
      <c r="C731" s="102" t="s">
        <v>98</v>
      </c>
      <c r="D731" s="102">
        <v>39</v>
      </c>
      <c r="E731" s="102" t="s">
        <v>1322</v>
      </c>
      <c r="F731" s="102" t="s">
        <v>1318</v>
      </c>
      <c r="G731" s="124" t="e">
        <f>VLOOKUP(A731,survey!$1:$1048576,1,FALSE)</f>
        <v>#N/A</v>
      </c>
    </row>
    <row r="732" spans="1:7" ht="12.75" customHeight="1">
      <c r="A732" s="102">
        <v>1400967</v>
      </c>
      <c r="B732" s="102" t="s">
        <v>96</v>
      </c>
      <c r="C732" s="102" t="s">
        <v>98</v>
      </c>
      <c r="D732" s="102">
        <v>40</v>
      </c>
      <c r="E732" s="102" t="s">
        <v>1323</v>
      </c>
      <c r="F732" s="102" t="s">
        <v>1324</v>
      </c>
      <c r="G732" s="124" t="e">
        <f>VLOOKUP(A732,survey!$1:$1048576,1,FALSE)</f>
        <v>#N/A</v>
      </c>
    </row>
  </sheetData>
  <conditionalFormatting sqref="G2:G1048576">
    <cfRule type="notContainsErrors" dxfId="0" priority="1">
      <formula>NOT(ISERROR(G2))</formula>
    </cfRule>
  </conditionalFormatting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87"/>
  <sheetViews>
    <sheetView showGridLines="0" rightToLeft="1" zoomScale="70" zoomScaleNormal="70" workbookViewId="0">
      <selection activeCell="U12" sqref="U12:U13"/>
    </sheetView>
  </sheetViews>
  <sheetFormatPr defaultColWidth="0" defaultRowHeight="21"/>
  <cols>
    <col min="1" max="1" width="9.77734375" style="3" customWidth="1"/>
    <col min="2" max="2" width="9" style="3" customWidth="1"/>
    <col min="3" max="6" width="9" style="3"/>
    <col min="7" max="7" width="11.109375" style="3" customWidth="1"/>
    <col min="8" max="8" width="9" style="3"/>
    <col min="9" max="9" width="11.77734375" style="3" customWidth="1"/>
    <col min="10" max="10" width="12.109375" style="3" customWidth="1"/>
    <col min="11" max="11" width="12.88671875" style="3" customWidth="1"/>
    <col min="12" max="22" width="9" style="3"/>
    <col min="23" max="23" width="9" style="98" customWidth="1"/>
    <col min="24" max="25" width="0" style="98" hidden="1" customWidth="1"/>
    <col min="26" max="16384" width="9" style="98" hidden="1"/>
  </cols>
  <sheetData>
    <row r="1" spans="1:24" s="12" customFormat="1" ht="27.75" customHeight="1">
      <c r="A1" s="156" t="s">
        <v>62</v>
      </c>
      <c r="B1" s="156"/>
      <c r="C1" s="156"/>
      <c r="D1" s="156"/>
      <c r="E1" s="156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" t="s">
        <v>63</v>
      </c>
      <c r="T1" s="1"/>
      <c r="U1" s="2"/>
      <c r="V1" s="2"/>
    </row>
    <row r="2" spans="1:24" s="12" customFormat="1" ht="27.75" customHeight="1">
      <c r="A2" s="156" t="s">
        <v>64</v>
      </c>
      <c r="B2" s="156"/>
      <c r="C2" s="156"/>
      <c r="D2" s="156"/>
      <c r="E2" s="156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2" t="s">
        <v>65</v>
      </c>
      <c r="U2" s="2"/>
      <c r="V2" s="2"/>
    </row>
    <row r="3" spans="1:24" s="12" customFormat="1" ht="27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4" s="12" customFormat="1" ht="27.75" customHeight="1">
      <c r="A4" s="1"/>
      <c r="B4" s="156" t="s">
        <v>66</v>
      </c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"/>
    </row>
    <row r="5" spans="1:24" s="12" customFormat="1" ht="27.75" customHeight="1">
      <c r="A5" s="1"/>
      <c r="B5" s="156" t="s">
        <v>67</v>
      </c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"/>
    </row>
    <row r="6" spans="1:24" s="12" customFormat="1" ht="27.75" customHeight="1">
      <c r="A6" s="1"/>
      <c r="B6" s="156" t="s">
        <v>68</v>
      </c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"/>
    </row>
    <row r="7" spans="1:24" s="12" customFormat="1" ht="27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4" s="12" customFormat="1" ht="27.75" customHeight="1" thickBo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4" s="12" customFormat="1" ht="52.2" customHeight="1" thickTop="1">
      <c r="A9" s="144" t="s">
        <v>69</v>
      </c>
      <c r="B9" s="147" t="s">
        <v>70</v>
      </c>
      <c r="C9" s="148"/>
      <c r="D9" s="148"/>
      <c r="E9" s="149"/>
      <c r="F9" s="157" t="s">
        <v>349</v>
      </c>
      <c r="G9" s="157"/>
      <c r="H9" s="157"/>
      <c r="I9" s="147" t="s">
        <v>71</v>
      </c>
      <c r="J9" s="148"/>
      <c r="K9" s="149"/>
      <c r="L9" s="147" t="s">
        <v>72</v>
      </c>
      <c r="M9" s="148"/>
      <c r="N9" s="149"/>
      <c r="O9" s="150" t="s">
        <v>73</v>
      </c>
      <c r="P9" s="151"/>
      <c r="Q9" s="147" t="s">
        <v>74</v>
      </c>
      <c r="R9" s="148"/>
      <c r="S9" s="148"/>
      <c r="T9" s="148"/>
      <c r="U9" s="158"/>
      <c r="V9" s="134" t="s">
        <v>75</v>
      </c>
      <c r="W9" s="98"/>
      <c r="X9" s="98"/>
    </row>
    <row r="10" spans="1:24" s="12" customFormat="1" ht="21.6" thickBot="1">
      <c r="A10" s="145"/>
      <c r="B10" s="137"/>
      <c r="C10" s="138"/>
      <c r="D10" s="138"/>
      <c r="E10" s="139"/>
      <c r="F10" s="137" t="s">
        <v>350</v>
      </c>
      <c r="G10" s="138"/>
      <c r="H10" s="139"/>
      <c r="I10" s="137"/>
      <c r="J10" s="138"/>
      <c r="K10" s="139"/>
      <c r="L10" s="137"/>
      <c r="M10" s="138"/>
      <c r="N10" s="139"/>
      <c r="O10" s="152"/>
      <c r="P10" s="153"/>
      <c r="Q10" s="137"/>
      <c r="R10" s="138"/>
      <c r="S10" s="138"/>
      <c r="T10" s="138"/>
      <c r="U10" s="159"/>
      <c r="V10" s="135"/>
      <c r="W10" s="98"/>
      <c r="X10" s="98"/>
    </row>
    <row r="11" spans="1:24" s="97" customFormat="1" ht="43.2" customHeight="1" thickTop="1" thickBot="1">
      <c r="A11" s="146"/>
      <c r="B11" s="4" t="s">
        <v>76</v>
      </c>
      <c r="C11" s="4" t="s">
        <v>35</v>
      </c>
      <c r="D11" s="4" t="s">
        <v>77</v>
      </c>
      <c r="E11" s="4" t="s">
        <v>58</v>
      </c>
      <c r="F11" s="4" t="s">
        <v>76</v>
      </c>
      <c r="G11" s="4" t="s">
        <v>35</v>
      </c>
      <c r="H11" s="4" t="s">
        <v>58</v>
      </c>
      <c r="I11" s="4" t="s">
        <v>76</v>
      </c>
      <c r="J11" s="4" t="s">
        <v>35</v>
      </c>
      <c r="K11" s="4" t="s">
        <v>58</v>
      </c>
      <c r="L11" s="4" t="s">
        <v>78</v>
      </c>
      <c r="M11" s="4" t="s">
        <v>79</v>
      </c>
      <c r="N11" s="4" t="s">
        <v>58</v>
      </c>
      <c r="O11" s="4" t="s">
        <v>37</v>
      </c>
      <c r="P11" s="4" t="s">
        <v>80</v>
      </c>
      <c r="Q11" s="4" t="s">
        <v>36</v>
      </c>
      <c r="R11" s="4" t="s">
        <v>81</v>
      </c>
      <c r="S11" s="99" t="s">
        <v>82</v>
      </c>
      <c r="T11" s="4" t="s">
        <v>83</v>
      </c>
      <c r="U11" s="95" t="s">
        <v>58</v>
      </c>
      <c r="V11" s="136"/>
    </row>
    <row r="12" spans="1:24" s="97" customFormat="1" ht="27.75" customHeight="1" thickTop="1" thickBot="1">
      <c r="A12" s="140" t="s">
        <v>84</v>
      </c>
      <c r="B12" s="141">
        <f>COUNTIFS(survey!C:C,"حضر",survey!P:P,"بنون")</f>
        <v>1</v>
      </c>
      <c r="C12" s="141"/>
      <c r="D12" s="141"/>
      <c r="E12" s="141"/>
      <c r="F12" s="141"/>
      <c r="G12" s="141"/>
      <c r="H12" s="141"/>
      <c r="I12" s="141"/>
      <c r="J12" s="141"/>
      <c r="K12" s="142"/>
      <c r="L12" s="142"/>
      <c r="M12" s="142"/>
      <c r="N12" s="141"/>
      <c r="O12" s="141"/>
      <c r="P12" s="141"/>
      <c r="Q12" s="141"/>
      <c r="R12" s="141"/>
      <c r="S12" s="141"/>
      <c r="T12" s="141"/>
      <c r="U12" s="141"/>
      <c r="V12" s="154"/>
    </row>
    <row r="13" spans="1:24" s="97" customFormat="1" ht="33" customHeight="1" thickTop="1" thickBot="1">
      <c r="A13" s="140"/>
      <c r="B13" s="141"/>
      <c r="C13" s="141"/>
      <c r="D13" s="141"/>
      <c r="E13" s="141"/>
      <c r="F13" s="141"/>
      <c r="G13" s="141"/>
      <c r="H13" s="141"/>
      <c r="I13" s="141"/>
      <c r="J13" s="141"/>
      <c r="K13" s="143"/>
      <c r="L13" s="143"/>
      <c r="M13" s="143"/>
      <c r="N13" s="141"/>
      <c r="O13" s="141"/>
      <c r="P13" s="141"/>
      <c r="Q13" s="141"/>
      <c r="R13" s="141"/>
      <c r="S13" s="141"/>
      <c r="T13" s="141"/>
      <c r="U13" s="141"/>
      <c r="V13" s="155"/>
    </row>
    <row r="14" spans="1:24" ht="22.2" thickTop="1" thickBot="1">
      <c r="A14" s="140" t="s">
        <v>85</v>
      </c>
      <c r="B14" s="141"/>
      <c r="C14" s="141"/>
      <c r="D14" s="141"/>
      <c r="E14" s="141"/>
      <c r="F14" s="141"/>
      <c r="G14" s="141"/>
      <c r="H14" s="141"/>
      <c r="I14" s="141"/>
      <c r="J14" s="141"/>
      <c r="K14" s="142"/>
      <c r="L14" s="142"/>
      <c r="M14" s="142"/>
      <c r="N14" s="141"/>
      <c r="O14" s="141"/>
      <c r="P14" s="141"/>
      <c r="Q14" s="141"/>
      <c r="R14" s="141"/>
      <c r="S14" s="141"/>
      <c r="T14" s="141"/>
      <c r="U14" s="141"/>
      <c r="V14" s="154"/>
    </row>
    <row r="15" spans="1:24" ht="22.2" thickTop="1" thickBot="1">
      <c r="A15" s="140"/>
      <c r="B15" s="141"/>
      <c r="C15" s="141"/>
      <c r="D15" s="141"/>
      <c r="E15" s="141"/>
      <c r="F15" s="141"/>
      <c r="G15" s="141"/>
      <c r="H15" s="141"/>
      <c r="I15" s="141"/>
      <c r="J15" s="141"/>
      <c r="K15" s="143"/>
      <c r="L15" s="143"/>
      <c r="M15" s="143"/>
      <c r="N15" s="141"/>
      <c r="O15" s="141"/>
      <c r="P15" s="141"/>
      <c r="Q15" s="141"/>
      <c r="R15" s="141"/>
      <c r="S15" s="141"/>
      <c r="T15" s="141"/>
      <c r="U15" s="141"/>
      <c r="V15" s="155"/>
    </row>
    <row r="16" spans="1:24" ht="30.6" customHeight="1" thickTop="1" thickBot="1">
      <c r="A16" s="6" t="s">
        <v>58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8"/>
    </row>
    <row r="17" spans="1:22" ht="21.6" thickTop="1">
      <c r="B17" s="100" t="s">
        <v>351</v>
      </c>
      <c r="C17" s="100"/>
      <c r="D17" s="100"/>
      <c r="E17" s="100"/>
      <c r="F17" s="100"/>
      <c r="G17" s="100"/>
      <c r="H17" s="100"/>
      <c r="I17" s="100"/>
    </row>
    <row r="18" spans="1:22">
      <c r="A18" s="2" t="s">
        <v>352</v>
      </c>
      <c r="B18" s="2"/>
      <c r="C18" s="2"/>
      <c r="D18" s="2"/>
      <c r="E18" s="2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2" t="s">
        <v>353</v>
      </c>
      <c r="T18" s="2"/>
      <c r="U18" s="1"/>
      <c r="V18" s="1"/>
    </row>
    <row r="19" spans="1:22">
      <c r="A19" s="156" t="s">
        <v>64</v>
      </c>
      <c r="B19" s="156"/>
      <c r="C19" s="156"/>
      <c r="D19" s="156"/>
      <c r="E19" s="156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2" t="s">
        <v>65</v>
      </c>
      <c r="T19" s="2"/>
      <c r="U19" s="1"/>
      <c r="V19" s="1"/>
    </row>
    <row r="20" spans="1:2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>
      <c r="A21" s="1"/>
      <c r="B21" s="156" t="s">
        <v>66</v>
      </c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"/>
      <c r="U21" s="1"/>
      <c r="V21" s="1"/>
    </row>
    <row r="22" spans="1:22">
      <c r="A22" s="1"/>
      <c r="B22" s="156" t="s">
        <v>67</v>
      </c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"/>
      <c r="U22" s="1"/>
      <c r="V22" s="1"/>
    </row>
    <row r="23" spans="1:22">
      <c r="A23" s="1"/>
      <c r="B23" s="156" t="s">
        <v>68</v>
      </c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"/>
      <c r="U23" s="1"/>
      <c r="V23" s="1"/>
    </row>
    <row r="24" spans="1:2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21.6" thickBo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21.6" thickTop="1">
      <c r="A26" s="144" t="s">
        <v>69</v>
      </c>
      <c r="B26" s="147" t="s">
        <v>70</v>
      </c>
      <c r="C26" s="148"/>
      <c r="D26" s="148"/>
      <c r="E26" s="149"/>
      <c r="F26" s="157" t="s">
        <v>349</v>
      </c>
      <c r="G26" s="157"/>
      <c r="H26" s="157"/>
      <c r="I26" s="147" t="s">
        <v>71</v>
      </c>
      <c r="J26" s="148"/>
      <c r="K26" s="149"/>
      <c r="L26" s="147" t="s">
        <v>72</v>
      </c>
      <c r="M26" s="148"/>
      <c r="N26" s="149"/>
      <c r="O26" s="147" t="s">
        <v>23</v>
      </c>
      <c r="P26" s="149"/>
      <c r="Q26" s="147" t="s">
        <v>74</v>
      </c>
      <c r="R26" s="148"/>
      <c r="S26" s="148"/>
      <c r="T26" s="148"/>
      <c r="U26" s="149"/>
      <c r="V26" s="134" t="s">
        <v>75</v>
      </c>
    </row>
    <row r="27" spans="1:22" ht="21.6" thickBot="1">
      <c r="A27" s="145"/>
      <c r="B27" s="137"/>
      <c r="C27" s="138"/>
      <c r="D27" s="138"/>
      <c r="E27" s="139"/>
      <c r="F27" s="137" t="s">
        <v>350</v>
      </c>
      <c r="G27" s="138"/>
      <c r="H27" s="139"/>
      <c r="I27" s="137"/>
      <c r="J27" s="138"/>
      <c r="K27" s="139"/>
      <c r="L27" s="137"/>
      <c r="M27" s="138"/>
      <c r="N27" s="139"/>
      <c r="O27" s="137"/>
      <c r="P27" s="139"/>
      <c r="Q27" s="137"/>
      <c r="R27" s="138"/>
      <c r="S27" s="138"/>
      <c r="T27" s="138"/>
      <c r="U27" s="139"/>
      <c r="V27" s="135"/>
    </row>
    <row r="28" spans="1:22" ht="43.2" thickTop="1" thickBot="1">
      <c r="A28" s="146"/>
      <c r="B28" s="4" t="s">
        <v>76</v>
      </c>
      <c r="C28" s="4" t="s">
        <v>35</v>
      </c>
      <c r="D28" s="4" t="s">
        <v>77</v>
      </c>
      <c r="E28" s="4" t="s">
        <v>58</v>
      </c>
      <c r="F28" s="4" t="s">
        <v>76</v>
      </c>
      <c r="G28" s="4" t="s">
        <v>35</v>
      </c>
      <c r="H28" s="4" t="s">
        <v>58</v>
      </c>
      <c r="I28" s="4" t="s">
        <v>76</v>
      </c>
      <c r="J28" s="4" t="s">
        <v>35</v>
      </c>
      <c r="K28" s="4" t="s">
        <v>58</v>
      </c>
      <c r="L28" s="4" t="s">
        <v>78</v>
      </c>
      <c r="M28" s="4" t="s">
        <v>79</v>
      </c>
      <c r="N28" s="4" t="s">
        <v>58</v>
      </c>
      <c r="O28" s="4" t="s">
        <v>37</v>
      </c>
      <c r="P28" s="4" t="s">
        <v>80</v>
      </c>
      <c r="Q28" s="4" t="s">
        <v>36</v>
      </c>
      <c r="R28" s="4" t="s">
        <v>81</v>
      </c>
      <c r="S28" s="99" t="s">
        <v>82</v>
      </c>
      <c r="T28" s="4" t="s">
        <v>83</v>
      </c>
      <c r="U28" s="4" t="s">
        <v>58</v>
      </c>
      <c r="V28" s="136"/>
    </row>
    <row r="29" spans="1:22" ht="22.2" thickTop="1" thickBot="1">
      <c r="A29" s="140" t="s">
        <v>84</v>
      </c>
      <c r="B29" s="141">
        <f>[1]الحضر!G329</f>
        <v>0</v>
      </c>
      <c r="C29" s="141">
        <f>[1]الحضر!H329</f>
        <v>0</v>
      </c>
      <c r="D29" s="141">
        <f>[1]الحضر!I329</f>
        <v>0</v>
      </c>
      <c r="E29" s="141">
        <f>D29+C29+B29</f>
        <v>0</v>
      </c>
      <c r="F29" s="141">
        <f>[1]الحضر!AM329</f>
        <v>0</v>
      </c>
      <c r="G29" s="141">
        <f>[1]الحضر!AN329</f>
        <v>0</v>
      </c>
      <c r="H29" s="141">
        <f>F29+G29</f>
        <v>0</v>
      </c>
      <c r="I29" s="141">
        <f>[1]الحضر!EN329</f>
        <v>0</v>
      </c>
      <c r="J29" s="141">
        <f>[1]الحضر!EO329</f>
        <v>0</v>
      </c>
      <c r="K29" s="141">
        <f>I29+J29</f>
        <v>0</v>
      </c>
      <c r="L29" s="141">
        <f>[1]الحضر!JG329</f>
        <v>0</v>
      </c>
      <c r="M29" s="141">
        <f>[1]الحضر!JH329</f>
        <v>0</v>
      </c>
      <c r="N29" s="141">
        <f>L29+M29</f>
        <v>0</v>
      </c>
      <c r="O29" s="141">
        <f>[1]الحضر!P329</f>
        <v>0</v>
      </c>
      <c r="P29" s="141">
        <f>[1]الحضر!Q329</f>
        <v>0</v>
      </c>
      <c r="Q29" s="141">
        <f>[1]الحضر!L329</f>
        <v>0</v>
      </c>
      <c r="R29" s="141">
        <f>[1]الحضر!M329</f>
        <v>0</v>
      </c>
      <c r="S29" s="141">
        <f>[1]الحضر!N329</f>
        <v>0</v>
      </c>
      <c r="T29" s="141">
        <f>[1]الحضر!O329</f>
        <v>0</v>
      </c>
      <c r="U29" s="141">
        <f>T29+S29+R29+Q29</f>
        <v>0</v>
      </c>
      <c r="V29" s="154">
        <f>[1]الحضر!W329</f>
        <v>0</v>
      </c>
    </row>
    <row r="30" spans="1:22" ht="22.2" thickTop="1" thickBot="1">
      <c r="A30" s="140"/>
      <c r="B30" s="141"/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55"/>
    </row>
    <row r="31" spans="1:22" ht="22.2" thickTop="1" thickBot="1">
      <c r="A31" s="140" t="s">
        <v>85</v>
      </c>
      <c r="B31" s="141">
        <f>[1]الريف!G73</f>
        <v>0</v>
      </c>
      <c r="C31" s="141">
        <f>[1]الريف!H73</f>
        <v>0</v>
      </c>
      <c r="D31" s="141">
        <f>[1]الريف!I73</f>
        <v>0</v>
      </c>
      <c r="E31" s="141">
        <f>D31+C31+B31</f>
        <v>0</v>
      </c>
      <c r="F31" s="141">
        <f>[1]الريف!AM73</f>
        <v>0</v>
      </c>
      <c r="G31" s="141">
        <f>[1]الريف!AN73</f>
        <v>0</v>
      </c>
      <c r="H31" s="141">
        <f>F31+G31</f>
        <v>0</v>
      </c>
      <c r="I31" s="141">
        <f>[1]الريف!EN73</f>
        <v>0</v>
      </c>
      <c r="J31" s="141">
        <f>[1]الريف!EO73</f>
        <v>0</v>
      </c>
      <c r="K31" s="141">
        <f>I31+J31</f>
        <v>0</v>
      </c>
      <c r="L31" s="141">
        <f>[1]الريف!JG73</f>
        <v>0</v>
      </c>
      <c r="M31" s="141">
        <f>[1]الريف!JH73</f>
        <v>0</v>
      </c>
      <c r="N31" s="141">
        <f>L31+M31</f>
        <v>0</v>
      </c>
      <c r="O31" s="141">
        <f>[1]الريف!P73</f>
        <v>0</v>
      </c>
      <c r="P31" s="141">
        <f>[1]الريف!Q73</f>
        <v>0</v>
      </c>
      <c r="Q31" s="141">
        <f>[1]الريف!L73</f>
        <v>0</v>
      </c>
      <c r="R31" s="141">
        <f>[1]الريف!M73</f>
        <v>0</v>
      </c>
      <c r="S31" s="141">
        <f>[1]الريف!N73</f>
        <v>0</v>
      </c>
      <c r="T31" s="141">
        <f>[1]الريف!O73</f>
        <v>0</v>
      </c>
      <c r="U31" s="141">
        <f>T31+S31+R31+Q31</f>
        <v>0</v>
      </c>
      <c r="V31" s="154">
        <f>[1]الريف!W73</f>
        <v>0</v>
      </c>
    </row>
    <row r="32" spans="1:22" ht="22.2" thickTop="1" thickBot="1">
      <c r="A32" s="140"/>
      <c r="B32" s="141"/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55"/>
    </row>
    <row r="33" spans="1:22" ht="22.2" thickTop="1" thickBot="1">
      <c r="A33" s="6" t="s">
        <v>58</v>
      </c>
      <c r="B33" s="7">
        <f t="shared" ref="B33:J33" si="0">SUM(B29:B32)</f>
        <v>0</v>
      </c>
      <c r="C33" s="7">
        <f t="shared" si="0"/>
        <v>0</v>
      </c>
      <c r="D33" s="7">
        <f t="shared" si="0"/>
        <v>0</v>
      </c>
      <c r="E33" s="7">
        <f t="shared" si="0"/>
        <v>0</v>
      </c>
      <c r="F33" s="7">
        <f>SUM(F29:F32)</f>
        <v>0</v>
      </c>
      <c r="G33" s="7">
        <f t="shared" si="0"/>
        <v>0</v>
      </c>
      <c r="H33" s="7">
        <f t="shared" si="0"/>
        <v>0</v>
      </c>
      <c r="I33" s="7">
        <f>SUM(I29:I32)</f>
        <v>0</v>
      </c>
      <c r="J33" s="7">
        <f t="shared" si="0"/>
        <v>0</v>
      </c>
      <c r="K33" s="7">
        <f>J33+I33</f>
        <v>0</v>
      </c>
      <c r="L33" s="7">
        <f>SUM(L29:L32)</f>
        <v>0</v>
      </c>
      <c r="M33" s="7">
        <f>SUM(M29:M32)</f>
        <v>0</v>
      </c>
      <c r="N33" s="7">
        <f t="shared" ref="N33:U33" si="1">SUM(N29:N32)</f>
        <v>0</v>
      </c>
      <c r="O33" s="7">
        <f t="shared" si="1"/>
        <v>0</v>
      </c>
      <c r="P33" s="7">
        <f t="shared" si="1"/>
        <v>0</v>
      </c>
      <c r="Q33" s="7">
        <f t="shared" si="1"/>
        <v>0</v>
      </c>
      <c r="R33" s="7">
        <f t="shared" si="1"/>
        <v>0</v>
      </c>
      <c r="S33" s="7">
        <f t="shared" si="1"/>
        <v>0</v>
      </c>
      <c r="T33" s="7">
        <f t="shared" si="1"/>
        <v>0</v>
      </c>
      <c r="U33" s="7">
        <f t="shared" si="1"/>
        <v>0</v>
      </c>
      <c r="V33" s="8">
        <f>V31+V29</f>
        <v>0</v>
      </c>
    </row>
    <row r="34" spans="1:22" ht="21.6" thickTop="1"/>
    <row r="35" spans="1:22">
      <c r="A35" s="156" t="s">
        <v>62</v>
      </c>
      <c r="B35" s="156"/>
      <c r="C35" s="156"/>
      <c r="D35" s="156"/>
      <c r="E35" s="156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2" t="s">
        <v>5</v>
      </c>
      <c r="S35" s="2"/>
      <c r="T35" s="2"/>
      <c r="U35" s="1"/>
      <c r="V35" s="1"/>
    </row>
    <row r="36" spans="1:22">
      <c r="A36" s="156" t="s">
        <v>64</v>
      </c>
      <c r="B36" s="156"/>
      <c r="C36" s="156"/>
      <c r="D36" s="156"/>
      <c r="E36" s="156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2" t="s">
        <v>65</v>
      </c>
      <c r="S36" s="2"/>
      <c r="T36" s="2"/>
      <c r="U36" s="1"/>
      <c r="V36" s="1"/>
    </row>
    <row r="37" spans="1:2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>
      <c r="A38" s="1"/>
      <c r="B38" s="156" t="s">
        <v>66</v>
      </c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"/>
      <c r="U38" s="1"/>
      <c r="V38" s="1"/>
    </row>
    <row r="39" spans="1:22">
      <c r="A39" s="1"/>
      <c r="B39" s="156" t="s">
        <v>67</v>
      </c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"/>
      <c r="U39" s="1"/>
      <c r="V39" s="1"/>
    </row>
    <row r="40" spans="1:22">
      <c r="A40" s="1"/>
      <c r="B40" s="156" t="s">
        <v>68</v>
      </c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"/>
      <c r="U40" s="1"/>
      <c r="V40" s="1"/>
    </row>
    <row r="41" spans="1:2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21.6" thickBo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21.6" thickTop="1">
      <c r="A43" s="144" t="s">
        <v>69</v>
      </c>
      <c r="B43" s="147" t="s">
        <v>70</v>
      </c>
      <c r="C43" s="148"/>
      <c r="D43" s="148"/>
      <c r="E43" s="149"/>
      <c r="F43" s="157" t="s">
        <v>349</v>
      </c>
      <c r="G43" s="157"/>
      <c r="H43" s="157"/>
      <c r="I43" s="147" t="s">
        <v>71</v>
      </c>
      <c r="J43" s="148"/>
      <c r="K43" s="149"/>
      <c r="L43" s="147" t="s">
        <v>72</v>
      </c>
      <c r="M43" s="148"/>
      <c r="N43" s="149"/>
      <c r="O43" s="147" t="s">
        <v>23</v>
      </c>
      <c r="P43" s="149"/>
      <c r="Q43" s="147" t="s">
        <v>74</v>
      </c>
      <c r="R43" s="148"/>
      <c r="S43" s="148"/>
      <c r="T43" s="148"/>
      <c r="U43" s="149"/>
      <c r="V43" s="134" t="s">
        <v>75</v>
      </c>
    </row>
    <row r="44" spans="1:22" ht="21.6" thickBot="1">
      <c r="A44" s="145"/>
      <c r="B44" s="137"/>
      <c r="C44" s="138"/>
      <c r="D44" s="138"/>
      <c r="E44" s="139"/>
      <c r="F44" s="137" t="s">
        <v>350</v>
      </c>
      <c r="G44" s="138"/>
      <c r="H44" s="139"/>
      <c r="I44" s="137"/>
      <c r="J44" s="138"/>
      <c r="K44" s="139"/>
      <c r="L44" s="137"/>
      <c r="M44" s="138"/>
      <c r="N44" s="139"/>
      <c r="O44" s="137"/>
      <c r="P44" s="139"/>
      <c r="Q44" s="137"/>
      <c r="R44" s="138"/>
      <c r="S44" s="138"/>
      <c r="T44" s="138"/>
      <c r="U44" s="139"/>
      <c r="V44" s="135"/>
    </row>
    <row r="45" spans="1:22" ht="43.2" thickTop="1" thickBot="1">
      <c r="A45" s="146"/>
      <c r="B45" s="4" t="s">
        <v>76</v>
      </c>
      <c r="C45" s="4" t="s">
        <v>35</v>
      </c>
      <c r="D45" s="4" t="s">
        <v>77</v>
      </c>
      <c r="E45" s="4" t="s">
        <v>58</v>
      </c>
      <c r="F45" s="4" t="s">
        <v>76</v>
      </c>
      <c r="G45" s="4" t="s">
        <v>35</v>
      </c>
      <c r="H45" s="4" t="s">
        <v>58</v>
      </c>
      <c r="I45" s="4" t="s">
        <v>76</v>
      </c>
      <c r="J45" s="4" t="s">
        <v>35</v>
      </c>
      <c r="K45" s="4" t="s">
        <v>58</v>
      </c>
      <c r="L45" s="4" t="s">
        <v>78</v>
      </c>
      <c r="M45" s="4" t="s">
        <v>79</v>
      </c>
      <c r="N45" s="4" t="s">
        <v>58</v>
      </c>
      <c r="O45" s="4" t="s">
        <v>37</v>
      </c>
      <c r="P45" s="4" t="s">
        <v>80</v>
      </c>
      <c r="Q45" s="4" t="s">
        <v>36</v>
      </c>
      <c r="R45" s="4" t="s">
        <v>81</v>
      </c>
      <c r="S45" s="99" t="s">
        <v>82</v>
      </c>
      <c r="T45" s="4" t="s">
        <v>83</v>
      </c>
      <c r="U45" s="4" t="s">
        <v>58</v>
      </c>
      <c r="V45" s="136"/>
    </row>
    <row r="46" spans="1:22" ht="22.2" thickTop="1" thickBot="1">
      <c r="A46" s="140" t="s">
        <v>84</v>
      </c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54"/>
    </row>
    <row r="47" spans="1:22" ht="22.2" thickTop="1" thickBot="1">
      <c r="A47" s="140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55"/>
    </row>
    <row r="48" spans="1:22" ht="22.2" thickTop="1" thickBot="1">
      <c r="A48" s="140" t="s">
        <v>85</v>
      </c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54"/>
    </row>
    <row r="49" spans="1:22" ht="22.2" thickTop="1" thickBot="1">
      <c r="A49" s="140"/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55"/>
    </row>
    <row r="50" spans="1:22" ht="22.2" thickTop="1" thickBot="1">
      <c r="A50" s="6" t="s">
        <v>58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8"/>
    </row>
    <row r="51" spans="1:22" ht="21.6" thickTop="1"/>
    <row r="52" spans="1:22">
      <c r="A52" s="156" t="s">
        <v>62</v>
      </c>
      <c r="B52" s="156"/>
      <c r="C52" s="156"/>
      <c r="D52" s="156"/>
      <c r="E52" s="156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56" t="s">
        <v>86</v>
      </c>
      <c r="S52" s="156"/>
      <c r="T52" s="156"/>
      <c r="U52" s="1"/>
      <c r="V52" s="1"/>
    </row>
    <row r="53" spans="1:22">
      <c r="A53" s="156" t="s">
        <v>64</v>
      </c>
      <c r="B53" s="156"/>
      <c r="C53" s="156"/>
      <c r="D53" s="156"/>
      <c r="E53" s="156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56" t="s">
        <v>65</v>
      </c>
      <c r="S53" s="156"/>
      <c r="T53" s="156"/>
      <c r="U53" s="1"/>
      <c r="V53" s="1"/>
    </row>
    <row r="54" spans="1:2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>
      <c r="A55" s="1"/>
      <c r="B55" s="156" t="s">
        <v>66</v>
      </c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156"/>
      <c r="S55" s="156"/>
      <c r="T55" s="1"/>
      <c r="U55" s="1"/>
      <c r="V55" s="1"/>
    </row>
    <row r="56" spans="1:22">
      <c r="A56" s="1"/>
      <c r="B56" s="156" t="s">
        <v>67</v>
      </c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"/>
      <c r="U56" s="1"/>
      <c r="V56" s="1"/>
    </row>
    <row r="57" spans="1:22">
      <c r="A57" s="1"/>
      <c r="B57" s="156" t="s">
        <v>68</v>
      </c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156"/>
      <c r="S57" s="156"/>
      <c r="T57" s="1"/>
      <c r="U57" s="1"/>
      <c r="V57" s="1"/>
    </row>
    <row r="58" spans="1:22" ht="21.6" thickBo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21.6" thickTop="1">
      <c r="A59" s="144" t="s">
        <v>69</v>
      </c>
      <c r="B59" s="147" t="s">
        <v>70</v>
      </c>
      <c r="C59" s="162"/>
      <c r="D59" s="162"/>
      <c r="E59" s="163"/>
      <c r="F59" s="147" t="s">
        <v>349</v>
      </c>
      <c r="G59" s="148"/>
      <c r="H59" s="149"/>
      <c r="I59" s="147" t="s">
        <v>71</v>
      </c>
      <c r="J59" s="162"/>
      <c r="K59" s="163"/>
      <c r="L59" s="147" t="s">
        <v>72</v>
      </c>
      <c r="M59" s="162"/>
      <c r="N59" s="163"/>
      <c r="O59" s="147" t="s">
        <v>23</v>
      </c>
      <c r="P59" s="163"/>
      <c r="Q59" s="147" t="s">
        <v>74</v>
      </c>
      <c r="R59" s="148"/>
      <c r="S59" s="148"/>
      <c r="T59" s="148"/>
      <c r="U59" s="149"/>
      <c r="V59" s="134" t="s">
        <v>75</v>
      </c>
    </row>
    <row r="60" spans="1:22" ht="21.6" thickBot="1">
      <c r="A60" s="145"/>
      <c r="B60" s="164"/>
      <c r="C60" s="165"/>
      <c r="D60" s="165"/>
      <c r="E60" s="166"/>
      <c r="F60" s="137" t="s">
        <v>350</v>
      </c>
      <c r="G60" s="165"/>
      <c r="H60" s="166"/>
      <c r="I60" s="164"/>
      <c r="J60" s="165"/>
      <c r="K60" s="166"/>
      <c r="L60" s="164"/>
      <c r="M60" s="165"/>
      <c r="N60" s="166"/>
      <c r="O60" s="164"/>
      <c r="P60" s="166"/>
      <c r="Q60" s="137"/>
      <c r="R60" s="138"/>
      <c r="S60" s="138"/>
      <c r="T60" s="138"/>
      <c r="U60" s="139"/>
      <c r="V60" s="135"/>
    </row>
    <row r="61" spans="1:22" ht="43.2" thickTop="1" thickBot="1">
      <c r="A61" s="146"/>
      <c r="B61" s="4" t="s">
        <v>76</v>
      </c>
      <c r="C61" s="4" t="s">
        <v>35</v>
      </c>
      <c r="D61" s="4" t="s">
        <v>77</v>
      </c>
      <c r="E61" s="4" t="s">
        <v>58</v>
      </c>
      <c r="F61" s="4" t="s">
        <v>76</v>
      </c>
      <c r="G61" s="4" t="s">
        <v>35</v>
      </c>
      <c r="H61" s="4" t="s">
        <v>58</v>
      </c>
      <c r="I61" s="4" t="s">
        <v>76</v>
      </c>
      <c r="J61" s="4" t="s">
        <v>35</v>
      </c>
      <c r="K61" s="4" t="s">
        <v>58</v>
      </c>
      <c r="L61" s="4" t="s">
        <v>78</v>
      </c>
      <c r="M61" s="4" t="s">
        <v>79</v>
      </c>
      <c r="N61" s="4" t="s">
        <v>58</v>
      </c>
      <c r="O61" s="4" t="s">
        <v>37</v>
      </c>
      <c r="P61" s="4" t="s">
        <v>80</v>
      </c>
      <c r="Q61" s="4" t="s">
        <v>36</v>
      </c>
      <c r="R61" s="4" t="s">
        <v>81</v>
      </c>
      <c r="S61" s="99" t="s">
        <v>82</v>
      </c>
      <c r="T61" s="4" t="s">
        <v>83</v>
      </c>
      <c r="U61" s="4" t="s">
        <v>58</v>
      </c>
      <c r="V61" s="136"/>
    </row>
    <row r="62" spans="1:22" ht="22.2" thickTop="1" thickBot="1">
      <c r="A62" s="160" t="s">
        <v>84</v>
      </c>
      <c r="B62" s="142">
        <f>[1]الحضر!G303</f>
        <v>0</v>
      </c>
      <c r="C62" s="142">
        <f>[1]الحضر!H303</f>
        <v>0</v>
      </c>
      <c r="D62" s="142">
        <f>[1]الحضر!I303</f>
        <v>0</v>
      </c>
      <c r="E62" s="142">
        <f>D62+C62+B62</f>
        <v>0</v>
      </c>
      <c r="F62" s="142">
        <f>[1]الحضر!AM303</f>
        <v>0</v>
      </c>
      <c r="G62" s="142">
        <f>[1]الحضر!AN303</f>
        <v>0</v>
      </c>
      <c r="H62" s="142">
        <f>G62+F62</f>
        <v>0</v>
      </c>
      <c r="I62" s="142">
        <f>[1]الحضر!EN303</f>
        <v>0</v>
      </c>
      <c r="J62" s="142">
        <f>[1]الحضر!EO303</f>
        <v>0</v>
      </c>
      <c r="K62" s="142">
        <f>J62+I62</f>
        <v>0</v>
      </c>
      <c r="L62" s="142">
        <f>[1]الحضر!JG303</f>
        <v>0</v>
      </c>
      <c r="M62" s="142">
        <f>[1]الحضر!JH303</f>
        <v>0</v>
      </c>
      <c r="N62" s="142">
        <f>M62+L62</f>
        <v>0</v>
      </c>
      <c r="O62" s="142">
        <f>[1]الحضر!P303</f>
        <v>0</v>
      </c>
      <c r="P62" s="142">
        <f>[1]الحضر!Q303</f>
        <v>0</v>
      </c>
      <c r="Q62" s="141">
        <f>[1]الحضر!L303</f>
        <v>0</v>
      </c>
      <c r="R62" s="141">
        <f>[1]الحضر!M303</f>
        <v>0</v>
      </c>
      <c r="S62" s="141">
        <f>[1]الحضر!N303</f>
        <v>0</v>
      </c>
      <c r="T62" s="141">
        <f>[1]الحضر!O303</f>
        <v>0</v>
      </c>
      <c r="U62" s="141">
        <f>T62+S62+R62+Q62</f>
        <v>0</v>
      </c>
      <c r="V62" s="154">
        <f>[1]الحضر!W303</f>
        <v>0</v>
      </c>
    </row>
    <row r="63" spans="1:22" ht="22.2" thickTop="1" thickBot="1">
      <c r="A63" s="161"/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1"/>
      <c r="R63" s="141"/>
      <c r="S63" s="141"/>
      <c r="T63" s="141"/>
      <c r="U63" s="141"/>
      <c r="V63" s="155"/>
    </row>
    <row r="64" spans="1:22" ht="22.2" thickTop="1" thickBot="1">
      <c r="A64" s="160" t="s">
        <v>85</v>
      </c>
      <c r="B64" s="142">
        <f>[1]الريف!G56</f>
        <v>0</v>
      </c>
      <c r="C64" s="142">
        <f>[1]الريف!H56</f>
        <v>0</v>
      </c>
      <c r="D64" s="142">
        <f>[1]الريف!I56</f>
        <v>0</v>
      </c>
      <c r="E64" s="142">
        <f>D64+C64+B64</f>
        <v>0</v>
      </c>
      <c r="F64" s="142">
        <f>[1]الريف!AM56</f>
        <v>0</v>
      </c>
      <c r="G64" s="142">
        <f>[1]الريف!AN56</f>
        <v>0</v>
      </c>
      <c r="H64" s="142">
        <f>G64+F64</f>
        <v>0</v>
      </c>
      <c r="I64" s="142">
        <f>[1]الريف!EN56</f>
        <v>0</v>
      </c>
      <c r="J64" s="142">
        <f>[1]الريف!EO56</f>
        <v>0</v>
      </c>
      <c r="K64" s="142">
        <f>J64+I64</f>
        <v>0</v>
      </c>
      <c r="L64" s="142">
        <f>[1]الريف!JG56</f>
        <v>0</v>
      </c>
      <c r="M64" s="142">
        <f>[1]الريف!JH56</f>
        <v>0</v>
      </c>
      <c r="N64" s="142">
        <f>M64+L64</f>
        <v>0</v>
      </c>
      <c r="O64" s="142">
        <f>[1]الريف!P56</f>
        <v>0</v>
      </c>
      <c r="P64" s="142">
        <f>[1]الريف!Q56</f>
        <v>0</v>
      </c>
      <c r="Q64" s="141">
        <f>[1]الريف!L56</f>
        <v>0</v>
      </c>
      <c r="R64" s="141">
        <f>[1]الريف!M56</f>
        <v>0</v>
      </c>
      <c r="S64" s="141">
        <f>[1]الريف!N56</f>
        <v>0</v>
      </c>
      <c r="T64" s="141">
        <f>[1]الريف!O56</f>
        <v>0</v>
      </c>
      <c r="U64" s="141">
        <f>T64+S64+R64+Q64</f>
        <v>0</v>
      </c>
      <c r="V64" s="154">
        <f>[1]الريف!W56</f>
        <v>0</v>
      </c>
    </row>
    <row r="65" spans="1:22" ht="22.2" thickTop="1" thickBot="1">
      <c r="A65" s="161"/>
      <c r="B65" s="143"/>
      <c r="C65" s="143"/>
      <c r="D65" s="143"/>
      <c r="E65" s="143"/>
      <c r="F65" s="143"/>
      <c r="G65" s="143"/>
      <c r="H65" s="143"/>
      <c r="I65" s="143"/>
      <c r="J65" s="143"/>
      <c r="K65" s="143"/>
      <c r="L65" s="143"/>
      <c r="M65" s="143"/>
      <c r="N65" s="143"/>
      <c r="O65" s="143"/>
      <c r="P65" s="143"/>
      <c r="Q65" s="141"/>
      <c r="R65" s="141"/>
      <c r="S65" s="141"/>
      <c r="T65" s="141"/>
      <c r="U65" s="141"/>
      <c r="V65" s="155"/>
    </row>
    <row r="66" spans="1:22" ht="22.2" thickTop="1" thickBot="1">
      <c r="A66" s="6" t="s">
        <v>58</v>
      </c>
      <c r="B66" s="7">
        <f t="shared" ref="B66:J66" si="2">SUM(B62:B65)</f>
        <v>0</v>
      </c>
      <c r="C66" s="7">
        <f t="shared" si="2"/>
        <v>0</v>
      </c>
      <c r="D66" s="7">
        <f t="shared" si="2"/>
        <v>0</v>
      </c>
      <c r="E66" s="7">
        <f t="shared" si="2"/>
        <v>0</v>
      </c>
      <c r="F66" s="7">
        <f t="shared" si="2"/>
        <v>0</v>
      </c>
      <c r="G66" s="7">
        <f t="shared" si="2"/>
        <v>0</v>
      </c>
      <c r="H66" s="7">
        <f t="shared" si="2"/>
        <v>0</v>
      </c>
      <c r="I66" s="7">
        <f t="shared" si="2"/>
        <v>0</v>
      </c>
      <c r="J66" s="7">
        <f t="shared" si="2"/>
        <v>0</v>
      </c>
      <c r="K66" s="7">
        <f>J66+I66</f>
        <v>0</v>
      </c>
      <c r="L66" s="7">
        <f t="shared" ref="L66:U66" si="3">SUM(L62:L65)</f>
        <v>0</v>
      </c>
      <c r="M66" s="7">
        <f t="shared" si="3"/>
        <v>0</v>
      </c>
      <c r="N66" s="7">
        <f t="shared" si="3"/>
        <v>0</v>
      </c>
      <c r="O66" s="7">
        <f t="shared" si="3"/>
        <v>0</v>
      </c>
      <c r="P66" s="7">
        <f t="shared" si="3"/>
        <v>0</v>
      </c>
      <c r="Q66" s="7">
        <f t="shared" si="3"/>
        <v>0</v>
      </c>
      <c r="R66" s="7">
        <f t="shared" si="3"/>
        <v>0</v>
      </c>
      <c r="S66" s="7">
        <f t="shared" si="3"/>
        <v>0</v>
      </c>
      <c r="T66" s="7">
        <f t="shared" si="3"/>
        <v>0</v>
      </c>
      <c r="U66" s="7">
        <f t="shared" si="3"/>
        <v>0</v>
      </c>
      <c r="V66" s="8">
        <f>V64+V62</f>
        <v>0</v>
      </c>
    </row>
    <row r="67" spans="1:22" ht="21.6" thickTop="1"/>
    <row r="68" spans="1:22">
      <c r="A68" s="156" t="s">
        <v>62</v>
      </c>
      <c r="B68" s="156"/>
      <c r="C68" s="156"/>
      <c r="D68" s="156"/>
      <c r="E68" s="156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56" t="s">
        <v>87</v>
      </c>
      <c r="S68" s="156"/>
      <c r="T68" s="156"/>
      <c r="U68" s="1"/>
      <c r="V68" s="1"/>
    </row>
    <row r="69" spans="1:22">
      <c r="A69" s="156" t="s">
        <v>64</v>
      </c>
      <c r="B69" s="156"/>
      <c r="C69" s="156"/>
      <c r="D69" s="156"/>
      <c r="E69" s="156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56" t="s">
        <v>65</v>
      </c>
      <c r="S69" s="156"/>
      <c r="T69" s="156"/>
      <c r="U69" s="1"/>
      <c r="V69" s="1"/>
    </row>
    <row r="70" spans="1:2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>
      <c r="A71" s="1"/>
      <c r="B71" s="156" t="s">
        <v>66</v>
      </c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156"/>
      <c r="S71" s="156"/>
      <c r="T71" s="1"/>
      <c r="U71" s="1"/>
      <c r="V71" s="1"/>
    </row>
    <row r="72" spans="1:22">
      <c r="A72" s="1"/>
      <c r="B72" s="156" t="s">
        <v>67</v>
      </c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156"/>
      <c r="S72" s="156"/>
      <c r="T72" s="1"/>
      <c r="U72" s="1"/>
      <c r="V72" s="1"/>
    </row>
    <row r="73" spans="1:22">
      <c r="A73" s="1"/>
      <c r="B73" s="156" t="s">
        <v>68</v>
      </c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"/>
      <c r="U73" s="1"/>
      <c r="V73" s="1"/>
    </row>
    <row r="74" spans="1:2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21.6" thickBo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21.6" thickTop="1">
      <c r="A76" s="144" t="s">
        <v>69</v>
      </c>
      <c r="B76" s="147" t="s">
        <v>70</v>
      </c>
      <c r="C76" s="148"/>
      <c r="D76" s="148"/>
      <c r="E76" s="149"/>
      <c r="F76" s="157" t="s">
        <v>349</v>
      </c>
      <c r="G76" s="157"/>
      <c r="H76" s="157"/>
      <c r="I76" s="147" t="s">
        <v>71</v>
      </c>
      <c r="J76" s="148"/>
      <c r="K76" s="149"/>
      <c r="L76" s="150" t="s">
        <v>72</v>
      </c>
      <c r="M76" s="167"/>
      <c r="N76" s="151"/>
      <c r="O76" s="147" t="s">
        <v>23</v>
      </c>
      <c r="P76" s="149"/>
      <c r="Q76" s="147" t="s">
        <v>74</v>
      </c>
      <c r="R76" s="148"/>
      <c r="S76" s="148"/>
      <c r="T76" s="148"/>
      <c r="U76" s="149"/>
      <c r="V76" s="134" t="s">
        <v>75</v>
      </c>
    </row>
    <row r="77" spans="1:22" ht="21.6" thickBot="1">
      <c r="A77" s="145"/>
      <c r="B77" s="137"/>
      <c r="C77" s="138"/>
      <c r="D77" s="138"/>
      <c r="E77" s="139"/>
      <c r="F77" s="137" t="s">
        <v>350</v>
      </c>
      <c r="G77" s="138"/>
      <c r="H77" s="139"/>
      <c r="I77" s="137"/>
      <c r="J77" s="138"/>
      <c r="K77" s="139"/>
      <c r="L77" s="152"/>
      <c r="M77" s="168"/>
      <c r="N77" s="153"/>
      <c r="O77" s="137"/>
      <c r="P77" s="139"/>
      <c r="Q77" s="137"/>
      <c r="R77" s="138"/>
      <c r="S77" s="138"/>
      <c r="T77" s="138"/>
      <c r="U77" s="139"/>
      <c r="V77" s="135"/>
    </row>
    <row r="78" spans="1:22" ht="43.2" thickTop="1" thickBot="1">
      <c r="A78" s="146"/>
      <c r="B78" s="4" t="s">
        <v>76</v>
      </c>
      <c r="C78" s="4" t="s">
        <v>35</v>
      </c>
      <c r="D78" s="4" t="s">
        <v>77</v>
      </c>
      <c r="E78" s="4" t="s">
        <v>58</v>
      </c>
      <c r="F78" s="4" t="s">
        <v>76</v>
      </c>
      <c r="G78" s="4" t="s">
        <v>35</v>
      </c>
      <c r="H78" s="4" t="s">
        <v>58</v>
      </c>
      <c r="I78" s="4" t="s">
        <v>76</v>
      </c>
      <c r="J78" s="4" t="s">
        <v>35</v>
      </c>
      <c r="K78" s="4" t="s">
        <v>58</v>
      </c>
      <c r="L78" s="4" t="s">
        <v>78</v>
      </c>
      <c r="M78" s="4" t="s">
        <v>79</v>
      </c>
      <c r="N78" s="4" t="s">
        <v>58</v>
      </c>
      <c r="O78" s="4" t="s">
        <v>37</v>
      </c>
      <c r="P78" s="4" t="s">
        <v>80</v>
      </c>
      <c r="Q78" s="4" t="s">
        <v>36</v>
      </c>
      <c r="R78" s="4" t="s">
        <v>81</v>
      </c>
      <c r="S78" s="99" t="s">
        <v>82</v>
      </c>
      <c r="T78" s="4" t="s">
        <v>83</v>
      </c>
      <c r="U78" s="4" t="s">
        <v>58</v>
      </c>
      <c r="V78" s="136"/>
    </row>
    <row r="79" spans="1:22" ht="22.2" thickTop="1" thickBot="1">
      <c r="A79" s="140" t="s">
        <v>84</v>
      </c>
      <c r="B79" s="141">
        <f>[1]الحضر!G305</f>
        <v>0</v>
      </c>
      <c r="C79" s="141">
        <f>[1]الحضر!H305</f>
        <v>0</v>
      </c>
      <c r="D79" s="141">
        <f>[1]الحضر!I305</f>
        <v>0</v>
      </c>
      <c r="E79" s="142">
        <f>D79+C79+B79</f>
        <v>0</v>
      </c>
      <c r="F79" s="142">
        <f>[1]الحضر!AM305</f>
        <v>0</v>
      </c>
      <c r="G79" s="142">
        <f>[1]الحضر!AN305</f>
        <v>0</v>
      </c>
      <c r="H79" s="142">
        <f>G79+F79</f>
        <v>0</v>
      </c>
      <c r="I79" s="142">
        <f>[1]الحضر!EN305</f>
        <v>0</v>
      </c>
      <c r="J79" s="142">
        <f>[1]الحضر!EO305</f>
        <v>0</v>
      </c>
      <c r="K79" s="142">
        <f>J79+I79</f>
        <v>0</v>
      </c>
      <c r="L79" s="142">
        <f>[1]الحضر!JG305</f>
        <v>0</v>
      </c>
      <c r="M79" s="142">
        <f>[1]الحضر!JH305</f>
        <v>0</v>
      </c>
      <c r="N79" s="142">
        <f>M79+L79</f>
        <v>0</v>
      </c>
      <c r="O79" s="142">
        <f>[1]الحضر!P305</f>
        <v>0</v>
      </c>
      <c r="P79" s="142">
        <f>[1]الحضر!Q305</f>
        <v>0</v>
      </c>
      <c r="Q79" s="142">
        <f>[1]الحضر!L305</f>
        <v>0</v>
      </c>
      <c r="R79" s="142">
        <f>[1]الحضر!M305</f>
        <v>0</v>
      </c>
      <c r="S79" s="142">
        <f>[1]الحضر!N305</f>
        <v>0</v>
      </c>
      <c r="T79" s="142">
        <f>[1]الحضر!O305</f>
        <v>0</v>
      </c>
      <c r="U79" s="141">
        <f>T79+S79+R79+Q79</f>
        <v>0</v>
      </c>
      <c r="V79" s="154">
        <f>[1]الحضر!W305</f>
        <v>0</v>
      </c>
    </row>
    <row r="80" spans="1:22" ht="22.2" thickTop="1" thickBot="1">
      <c r="A80" s="140"/>
      <c r="B80" s="141"/>
      <c r="C80" s="141"/>
      <c r="D80" s="141"/>
      <c r="E80" s="143"/>
      <c r="F80" s="143"/>
      <c r="G80" s="143"/>
      <c r="H80" s="143"/>
      <c r="I80" s="143"/>
      <c r="J80" s="143"/>
      <c r="K80" s="143"/>
      <c r="L80" s="143"/>
      <c r="M80" s="143"/>
      <c r="N80" s="143"/>
      <c r="O80" s="143"/>
      <c r="P80" s="143"/>
      <c r="Q80" s="143"/>
      <c r="R80" s="143"/>
      <c r="S80" s="143"/>
      <c r="T80" s="143"/>
      <c r="U80" s="141"/>
      <c r="V80" s="155"/>
    </row>
    <row r="81" spans="1:22" ht="22.2" thickTop="1" thickBot="1">
      <c r="A81" s="140" t="s">
        <v>85</v>
      </c>
      <c r="B81" s="141">
        <v>0</v>
      </c>
      <c r="C81" s="141">
        <v>0</v>
      </c>
      <c r="D81" s="141">
        <v>0</v>
      </c>
      <c r="E81" s="141">
        <f>D81+C81+B81</f>
        <v>0</v>
      </c>
      <c r="F81" s="141">
        <v>0</v>
      </c>
      <c r="G81" s="141">
        <v>0</v>
      </c>
      <c r="H81" s="141">
        <f>G81+F81</f>
        <v>0</v>
      </c>
      <c r="I81" s="141">
        <v>0</v>
      </c>
      <c r="J81" s="141">
        <v>0</v>
      </c>
      <c r="K81" s="141">
        <f>J81+I81</f>
        <v>0</v>
      </c>
      <c r="L81" s="141">
        <v>0</v>
      </c>
      <c r="M81" s="141">
        <v>0</v>
      </c>
      <c r="N81" s="141">
        <f>M81+L81</f>
        <v>0</v>
      </c>
      <c r="O81" s="141">
        <v>0</v>
      </c>
      <c r="P81" s="141">
        <v>0</v>
      </c>
      <c r="Q81" s="141">
        <v>0</v>
      </c>
      <c r="R81" s="141">
        <v>0</v>
      </c>
      <c r="S81" s="141">
        <v>0</v>
      </c>
      <c r="T81" s="141">
        <v>0</v>
      </c>
      <c r="U81" s="141">
        <f>T81+S81+R81+Q81</f>
        <v>0</v>
      </c>
      <c r="V81" s="154">
        <v>0</v>
      </c>
    </row>
    <row r="82" spans="1:22" ht="22.2" thickTop="1" thickBot="1">
      <c r="A82" s="140"/>
      <c r="B82" s="141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55"/>
    </row>
    <row r="83" spans="1:22" ht="22.2" thickTop="1" thickBot="1">
      <c r="A83" s="6" t="s">
        <v>58</v>
      </c>
      <c r="B83" s="7">
        <f t="shared" ref="B83:V83" si="4">B81+B79</f>
        <v>0</v>
      </c>
      <c r="C83" s="7">
        <f t="shared" si="4"/>
        <v>0</v>
      </c>
      <c r="D83" s="7">
        <f t="shared" si="4"/>
        <v>0</v>
      </c>
      <c r="E83" s="7">
        <f t="shared" si="4"/>
        <v>0</v>
      </c>
      <c r="F83" s="7">
        <f t="shared" si="4"/>
        <v>0</v>
      </c>
      <c r="G83" s="7">
        <f t="shared" si="4"/>
        <v>0</v>
      </c>
      <c r="H83" s="7">
        <f t="shared" si="4"/>
        <v>0</v>
      </c>
      <c r="I83" s="7">
        <f t="shared" si="4"/>
        <v>0</v>
      </c>
      <c r="J83" s="7">
        <f t="shared" si="4"/>
        <v>0</v>
      </c>
      <c r="K83" s="7">
        <f t="shared" si="4"/>
        <v>0</v>
      </c>
      <c r="L83" s="7">
        <f t="shared" si="4"/>
        <v>0</v>
      </c>
      <c r="M83" s="7">
        <f t="shared" si="4"/>
        <v>0</v>
      </c>
      <c r="N83" s="7">
        <f t="shared" si="4"/>
        <v>0</v>
      </c>
      <c r="O83" s="7">
        <f t="shared" si="4"/>
        <v>0</v>
      </c>
      <c r="P83" s="7">
        <f t="shared" si="4"/>
        <v>0</v>
      </c>
      <c r="Q83" s="7">
        <f t="shared" si="4"/>
        <v>0</v>
      </c>
      <c r="R83" s="7">
        <f t="shared" si="4"/>
        <v>0</v>
      </c>
      <c r="S83" s="7">
        <f t="shared" si="4"/>
        <v>0</v>
      </c>
      <c r="T83" s="7">
        <f t="shared" si="4"/>
        <v>0</v>
      </c>
      <c r="U83" s="7">
        <f t="shared" si="4"/>
        <v>0</v>
      </c>
      <c r="V83" s="8">
        <f t="shared" si="4"/>
        <v>0</v>
      </c>
    </row>
    <row r="84" spans="1:22" ht="21.6" thickTop="1"/>
    <row r="85" spans="1:22">
      <c r="A85" s="156" t="s">
        <v>62</v>
      </c>
      <c r="B85" s="156"/>
      <c r="C85" s="156"/>
      <c r="D85" s="156"/>
      <c r="E85" s="156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56" t="s">
        <v>354</v>
      </c>
      <c r="S85" s="156"/>
      <c r="T85" s="156"/>
      <c r="U85" s="1"/>
      <c r="V85" s="1"/>
    </row>
    <row r="86" spans="1:22">
      <c r="A86" s="156" t="s">
        <v>64</v>
      </c>
      <c r="B86" s="156"/>
      <c r="C86" s="156"/>
      <c r="D86" s="156"/>
      <c r="E86" s="156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56" t="s">
        <v>65</v>
      </c>
      <c r="S86" s="156"/>
      <c r="T86" s="156"/>
      <c r="U86" s="1"/>
      <c r="V86" s="1"/>
    </row>
    <row r="87" spans="1:2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>
      <c r="A88" s="1"/>
      <c r="B88" s="156" t="s">
        <v>66</v>
      </c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156"/>
      <c r="S88" s="156"/>
      <c r="T88" s="1"/>
      <c r="U88" s="1"/>
      <c r="V88" s="1"/>
    </row>
    <row r="89" spans="1:22">
      <c r="A89" s="1"/>
      <c r="B89" s="156" t="s">
        <v>67</v>
      </c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156"/>
      <c r="S89" s="156"/>
      <c r="T89" s="1"/>
      <c r="U89" s="1"/>
      <c r="V89" s="1"/>
    </row>
    <row r="90" spans="1:22">
      <c r="A90" s="1"/>
      <c r="B90" s="156" t="s">
        <v>68</v>
      </c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156"/>
      <c r="S90" s="156"/>
      <c r="T90" s="1"/>
      <c r="U90" s="1"/>
      <c r="V90" s="1"/>
    </row>
    <row r="91" spans="1:2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21.6" thickBo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21.6" thickTop="1">
      <c r="A93" s="144" t="s">
        <v>69</v>
      </c>
      <c r="B93" s="147" t="s">
        <v>70</v>
      </c>
      <c r="C93" s="148"/>
      <c r="D93" s="148"/>
      <c r="E93" s="149"/>
      <c r="F93" s="157" t="s">
        <v>349</v>
      </c>
      <c r="G93" s="157"/>
      <c r="H93" s="157"/>
      <c r="I93" s="147" t="s">
        <v>71</v>
      </c>
      <c r="J93" s="148"/>
      <c r="K93" s="149"/>
      <c r="L93" s="150" t="s">
        <v>72</v>
      </c>
      <c r="M93" s="167"/>
      <c r="N93" s="151"/>
      <c r="O93" s="147" t="s">
        <v>23</v>
      </c>
      <c r="P93" s="149"/>
      <c r="Q93" s="147" t="s">
        <v>74</v>
      </c>
      <c r="R93" s="148"/>
      <c r="S93" s="148"/>
      <c r="T93" s="148"/>
      <c r="U93" s="149"/>
      <c r="V93" s="134" t="s">
        <v>75</v>
      </c>
    </row>
    <row r="94" spans="1:22" ht="21.6" thickBot="1">
      <c r="A94" s="145"/>
      <c r="B94" s="137"/>
      <c r="C94" s="138"/>
      <c r="D94" s="138"/>
      <c r="E94" s="139"/>
      <c r="F94" s="137" t="s">
        <v>350</v>
      </c>
      <c r="G94" s="138"/>
      <c r="H94" s="139"/>
      <c r="I94" s="137"/>
      <c r="J94" s="138"/>
      <c r="K94" s="139"/>
      <c r="L94" s="152"/>
      <c r="M94" s="168"/>
      <c r="N94" s="153"/>
      <c r="O94" s="137"/>
      <c r="P94" s="139"/>
      <c r="Q94" s="137"/>
      <c r="R94" s="138"/>
      <c r="S94" s="138"/>
      <c r="T94" s="138"/>
      <c r="U94" s="139"/>
      <c r="V94" s="135"/>
    </row>
    <row r="95" spans="1:22" ht="43.2" thickTop="1" thickBot="1">
      <c r="A95" s="146"/>
      <c r="B95" s="4" t="s">
        <v>76</v>
      </c>
      <c r="C95" s="4" t="s">
        <v>35</v>
      </c>
      <c r="D95" s="4" t="s">
        <v>77</v>
      </c>
      <c r="E95" s="4" t="s">
        <v>58</v>
      </c>
      <c r="F95" s="4" t="s">
        <v>76</v>
      </c>
      <c r="G95" s="4" t="s">
        <v>35</v>
      </c>
      <c r="H95" s="4" t="s">
        <v>58</v>
      </c>
      <c r="I95" s="4" t="s">
        <v>76</v>
      </c>
      <c r="J95" s="4" t="s">
        <v>35</v>
      </c>
      <c r="K95" s="4" t="s">
        <v>58</v>
      </c>
      <c r="L95" s="4" t="s">
        <v>78</v>
      </c>
      <c r="M95" s="4" t="s">
        <v>79</v>
      </c>
      <c r="N95" s="4" t="s">
        <v>58</v>
      </c>
      <c r="O95" s="4" t="s">
        <v>37</v>
      </c>
      <c r="P95" s="4" t="s">
        <v>80</v>
      </c>
      <c r="Q95" s="4" t="s">
        <v>36</v>
      </c>
      <c r="R95" s="4" t="s">
        <v>81</v>
      </c>
      <c r="S95" s="99" t="s">
        <v>82</v>
      </c>
      <c r="T95" s="4" t="s">
        <v>83</v>
      </c>
      <c r="U95" s="4" t="s">
        <v>58</v>
      </c>
      <c r="V95" s="136"/>
    </row>
    <row r="96" spans="1:22" ht="22.2" thickTop="1" thickBot="1">
      <c r="A96" s="140" t="s">
        <v>84</v>
      </c>
      <c r="B96" s="141">
        <f>[1]الحضر!G323</f>
        <v>0</v>
      </c>
      <c r="C96" s="141">
        <f>[1]الحضر!H323</f>
        <v>0</v>
      </c>
      <c r="D96" s="141">
        <f>[1]الحضر!I323</f>
        <v>0</v>
      </c>
      <c r="E96" s="142">
        <f>D96+C96+B96</f>
        <v>0</v>
      </c>
      <c r="F96" s="142">
        <f>[1]الحضر!AM323</f>
        <v>0</v>
      </c>
      <c r="G96" s="142">
        <f>[1]الحضر!AN323</f>
        <v>0</v>
      </c>
      <c r="H96" s="142">
        <f>G96+F96</f>
        <v>0</v>
      </c>
      <c r="I96" s="142">
        <f>[1]الحضر!EN323</f>
        <v>0</v>
      </c>
      <c r="J96" s="142">
        <f>[1]الحضر!EO323</f>
        <v>0</v>
      </c>
      <c r="K96" s="142">
        <f>J96+I96</f>
        <v>0</v>
      </c>
      <c r="L96" s="142">
        <f>[1]الحضر!JG323</f>
        <v>0</v>
      </c>
      <c r="M96" s="142">
        <f>[1]الحضر!JH323</f>
        <v>0</v>
      </c>
      <c r="N96" s="142">
        <f>M96+L96</f>
        <v>0</v>
      </c>
      <c r="O96" s="142">
        <f>[1]الحضر!P323</f>
        <v>0</v>
      </c>
      <c r="P96" s="142">
        <f>[1]الحضر!Q323</f>
        <v>0</v>
      </c>
      <c r="Q96" s="142">
        <f>[1]الحضر!L323</f>
        <v>0</v>
      </c>
      <c r="R96" s="142">
        <f>[1]الحضر!M323</f>
        <v>0</v>
      </c>
      <c r="S96" s="142">
        <f>[1]الحضر!N323</f>
        <v>0</v>
      </c>
      <c r="T96" s="142">
        <f>[1]الحضر!O323</f>
        <v>0</v>
      </c>
      <c r="U96" s="141">
        <f>T96+S96+R96+Q96</f>
        <v>0</v>
      </c>
      <c r="V96" s="154">
        <f>[1]الحضر!W323</f>
        <v>0</v>
      </c>
    </row>
    <row r="97" spans="1:22" ht="22.2" thickTop="1" thickBot="1">
      <c r="A97" s="140"/>
      <c r="B97" s="141"/>
      <c r="C97" s="141"/>
      <c r="D97" s="141"/>
      <c r="E97" s="143"/>
      <c r="F97" s="143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43"/>
      <c r="U97" s="141"/>
      <c r="V97" s="155"/>
    </row>
    <row r="98" spans="1:22" ht="22.2" thickTop="1" thickBot="1">
      <c r="A98" s="140" t="s">
        <v>85</v>
      </c>
      <c r="B98" s="141">
        <f>[1]الريف!G65</f>
        <v>0</v>
      </c>
      <c r="C98" s="141">
        <f>[1]الريف!H65</f>
        <v>0</v>
      </c>
      <c r="D98" s="141">
        <f>[1]الريف!I65</f>
        <v>0</v>
      </c>
      <c r="E98" s="141">
        <f>D98+C98+B98</f>
        <v>0</v>
      </c>
      <c r="F98" s="141">
        <f>[1]الريف!AM65</f>
        <v>0</v>
      </c>
      <c r="G98" s="141">
        <f>[1]الريف!AN65</f>
        <v>0</v>
      </c>
      <c r="H98" s="141">
        <f>G98+F98</f>
        <v>0</v>
      </c>
      <c r="I98" s="141">
        <f>[1]الريف!EN65</f>
        <v>0</v>
      </c>
      <c r="J98" s="141">
        <f>[1]الريف!EO65</f>
        <v>0</v>
      </c>
      <c r="K98" s="141">
        <f>J98+I98</f>
        <v>0</v>
      </c>
      <c r="L98" s="141">
        <f>[1]الريف!JG65</f>
        <v>0</v>
      </c>
      <c r="M98" s="141">
        <f>[1]الريف!JH65</f>
        <v>0</v>
      </c>
      <c r="N98" s="141">
        <f>M98+L98</f>
        <v>0</v>
      </c>
      <c r="O98" s="141">
        <f>[1]الريف!P65</f>
        <v>0</v>
      </c>
      <c r="P98" s="141">
        <f>[1]الريف!Q65</f>
        <v>0</v>
      </c>
      <c r="Q98" s="141">
        <f>[1]الريف!L65</f>
        <v>0</v>
      </c>
      <c r="R98" s="141">
        <f>[1]الريف!M65</f>
        <v>0</v>
      </c>
      <c r="S98" s="141">
        <f>[1]الريف!N65</f>
        <v>0</v>
      </c>
      <c r="T98" s="141">
        <f>[1]الريف!O65</f>
        <v>0</v>
      </c>
      <c r="U98" s="141">
        <f>T98+S98+R98+Q98</f>
        <v>0</v>
      </c>
      <c r="V98" s="154">
        <f>[1]الريف!W65</f>
        <v>0</v>
      </c>
    </row>
    <row r="99" spans="1:22" ht="22.2" thickTop="1" thickBot="1">
      <c r="A99" s="140"/>
      <c r="B99" s="141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55"/>
    </row>
    <row r="100" spans="1:22" ht="22.2" thickTop="1" thickBot="1">
      <c r="A100" s="6" t="s">
        <v>58</v>
      </c>
      <c r="B100" s="7">
        <f t="shared" ref="B100:V100" si="5">B98+B96</f>
        <v>0</v>
      </c>
      <c r="C100" s="7">
        <f t="shared" si="5"/>
        <v>0</v>
      </c>
      <c r="D100" s="7">
        <f t="shared" si="5"/>
        <v>0</v>
      </c>
      <c r="E100" s="7">
        <f t="shared" si="5"/>
        <v>0</v>
      </c>
      <c r="F100" s="7">
        <f t="shared" si="5"/>
        <v>0</v>
      </c>
      <c r="G100" s="7">
        <f t="shared" si="5"/>
        <v>0</v>
      </c>
      <c r="H100" s="7">
        <f t="shared" si="5"/>
        <v>0</v>
      </c>
      <c r="I100" s="7">
        <f t="shared" si="5"/>
        <v>0</v>
      </c>
      <c r="J100" s="7">
        <f t="shared" si="5"/>
        <v>0</v>
      </c>
      <c r="K100" s="7">
        <f t="shared" si="5"/>
        <v>0</v>
      </c>
      <c r="L100" s="7">
        <f t="shared" si="5"/>
        <v>0</v>
      </c>
      <c r="M100" s="7">
        <f t="shared" si="5"/>
        <v>0</v>
      </c>
      <c r="N100" s="7">
        <f t="shared" si="5"/>
        <v>0</v>
      </c>
      <c r="O100" s="7">
        <f t="shared" si="5"/>
        <v>0</v>
      </c>
      <c r="P100" s="7">
        <f t="shared" si="5"/>
        <v>0</v>
      </c>
      <c r="Q100" s="7">
        <f t="shared" si="5"/>
        <v>0</v>
      </c>
      <c r="R100" s="7">
        <f t="shared" si="5"/>
        <v>0</v>
      </c>
      <c r="S100" s="7">
        <f t="shared" si="5"/>
        <v>0</v>
      </c>
      <c r="T100" s="7">
        <f t="shared" si="5"/>
        <v>0</v>
      </c>
      <c r="U100" s="7">
        <f t="shared" si="5"/>
        <v>0</v>
      </c>
      <c r="V100" s="8">
        <f t="shared" si="5"/>
        <v>0</v>
      </c>
    </row>
    <row r="101" spans="1:22" ht="21.6" thickTop="1">
      <c r="A101" s="97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</row>
    <row r="102" spans="1:22">
      <c r="A102" s="156" t="s">
        <v>62</v>
      </c>
      <c r="B102" s="156"/>
      <c r="C102" s="156"/>
      <c r="D102" s="156"/>
      <c r="E102" s="156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56" t="s">
        <v>88</v>
      </c>
      <c r="S102" s="156"/>
      <c r="T102" s="156"/>
      <c r="U102" s="1"/>
      <c r="V102" s="1"/>
    </row>
    <row r="103" spans="1:22">
      <c r="A103" s="156" t="s">
        <v>64</v>
      </c>
      <c r="B103" s="156"/>
      <c r="C103" s="156"/>
      <c r="D103" s="156"/>
      <c r="E103" s="156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56" t="s">
        <v>65</v>
      </c>
      <c r="S103" s="156"/>
      <c r="T103" s="156"/>
      <c r="U103" s="1"/>
      <c r="V103" s="1"/>
    </row>
    <row r="104" spans="1:2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>
      <c r="A105" s="1"/>
      <c r="B105" s="156" t="s">
        <v>66</v>
      </c>
      <c r="C105" s="156"/>
      <c r="D105" s="156"/>
      <c r="E105" s="156"/>
      <c r="F105" s="156"/>
      <c r="G105" s="156"/>
      <c r="H105" s="156"/>
      <c r="I105" s="156"/>
      <c r="J105" s="156"/>
      <c r="K105" s="156"/>
      <c r="L105" s="156"/>
      <c r="M105" s="156"/>
      <c r="N105" s="156"/>
      <c r="O105" s="156"/>
      <c r="P105" s="156"/>
      <c r="Q105" s="156"/>
      <c r="R105" s="156"/>
      <c r="S105" s="156"/>
      <c r="T105" s="1"/>
      <c r="U105" s="1"/>
      <c r="V105" s="1"/>
    </row>
    <row r="106" spans="1:22">
      <c r="A106" s="1"/>
      <c r="B106" s="156" t="s">
        <v>67</v>
      </c>
      <c r="C106" s="156"/>
      <c r="D106" s="156"/>
      <c r="E106" s="156"/>
      <c r="F106" s="156"/>
      <c r="G106" s="156"/>
      <c r="H106" s="156"/>
      <c r="I106" s="156"/>
      <c r="J106" s="156"/>
      <c r="K106" s="156"/>
      <c r="L106" s="156"/>
      <c r="M106" s="156"/>
      <c r="N106" s="156"/>
      <c r="O106" s="156"/>
      <c r="P106" s="156"/>
      <c r="Q106" s="156"/>
      <c r="R106" s="156"/>
      <c r="S106" s="156"/>
      <c r="T106" s="1"/>
      <c r="U106" s="1"/>
      <c r="V106" s="1"/>
    </row>
    <row r="107" spans="1:22">
      <c r="A107" s="1"/>
      <c r="B107" s="156" t="s">
        <v>68</v>
      </c>
      <c r="C107" s="156"/>
      <c r="D107" s="156"/>
      <c r="E107" s="156"/>
      <c r="F107" s="156"/>
      <c r="G107" s="156"/>
      <c r="H107" s="156"/>
      <c r="I107" s="156"/>
      <c r="J107" s="156"/>
      <c r="K107" s="156"/>
      <c r="L107" s="156"/>
      <c r="M107" s="156"/>
      <c r="N107" s="156"/>
      <c r="O107" s="156"/>
      <c r="P107" s="156"/>
      <c r="Q107" s="156"/>
      <c r="R107" s="156"/>
      <c r="S107" s="156"/>
      <c r="T107" s="1"/>
      <c r="U107" s="1"/>
      <c r="V107" s="1"/>
    </row>
    <row r="108" spans="1:2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21.6" thickBo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21.6" thickTop="1">
      <c r="A110" s="144" t="s">
        <v>69</v>
      </c>
      <c r="B110" s="147" t="s">
        <v>70</v>
      </c>
      <c r="C110" s="148"/>
      <c r="D110" s="148"/>
      <c r="E110" s="149"/>
      <c r="F110" s="157" t="s">
        <v>349</v>
      </c>
      <c r="G110" s="157"/>
      <c r="H110" s="157"/>
      <c r="I110" s="147" t="s">
        <v>71</v>
      </c>
      <c r="J110" s="148"/>
      <c r="K110" s="149"/>
      <c r="L110" s="150" t="s">
        <v>72</v>
      </c>
      <c r="M110" s="167"/>
      <c r="N110" s="151"/>
      <c r="O110" s="147" t="s">
        <v>23</v>
      </c>
      <c r="P110" s="149"/>
      <c r="Q110" s="147" t="s">
        <v>74</v>
      </c>
      <c r="R110" s="148"/>
      <c r="S110" s="148"/>
      <c r="T110" s="148"/>
      <c r="U110" s="149"/>
      <c r="V110" s="134" t="s">
        <v>75</v>
      </c>
    </row>
    <row r="111" spans="1:22" ht="21.6" thickBot="1">
      <c r="A111" s="145"/>
      <c r="B111" s="137"/>
      <c r="C111" s="138"/>
      <c r="D111" s="138"/>
      <c r="E111" s="139"/>
      <c r="F111" s="137" t="s">
        <v>350</v>
      </c>
      <c r="G111" s="138"/>
      <c r="H111" s="139"/>
      <c r="I111" s="137"/>
      <c r="J111" s="138"/>
      <c r="K111" s="139"/>
      <c r="L111" s="152"/>
      <c r="M111" s="168"/>
      <c r="N111" s="153"/>
      <c r="O111" s="137"/>
      <c r="P111" s="139"/>
      <c r="Q111" s="137"/>
      <c r="R111" s="138"/>
      <c r="S111" s="138"/>
      <c r="T111" s="138"/>
      <c r="U111" s="139"/>
      <c r="V111" s="135"/>
    </row>
    <row r="112" spans="1:22" ht="43.2" thickTop="1" thickBot="1">
      <c r="A112" s="146"/>
      <c r="B112" s="4" t="s">
        <v>76</v>
      </c>
      <c r="C112" s="4" t="s">
        <v>35</v>
      </c>
      <c r="D112" s="4" t="s">
        <v>77</v>
      </c>
      <c r="E112" s="4" t="s">
        <v>58</v>
      </c>
      <c r="F112" s="4" t="s">
        <v>76</v>
      </c>
      <c r="G112" s="4" t="s">
        <v>35</v>
      </c>
      <c r="H112" s="4" t="s">
        <v>58</v>
      </c>
      <c r="I112" s="4" t="s">
        <v>76</v>
      </c>
      <c r="J112" s="4" t="s">
        <v>35</v>
      </c>
      <c r="K112" s="4" t="s">
        <v>58</v>
      </c>
      <c r="L112" s="4" t="s">
        <v>78</v>
      </c>
      <c r="M112" s="4" t="s">
        <v>79</v>
      </c>
      <c r="N112" s="4" t="s">
        <v>58</v>
      </c>
      <c r="O112" s="4" t="s">
        <v>37</v>
      </c>
      <c r="P112" s="4" t="s">
        <v>80</v>
      </c>
      <c r="Q112" s="4" t="s">
        <v>36</v>
      </c>
      <c r="R112" s="4" t="s">
        <v>81</v>
      </c>
      <c r="S112" s="99" t="s">
        <v>82</v>
      </c>
      <c r="T112" s="4" t="s">
        <v>83</v>
      </c>
      <c r="U112" s="4" t="s">
        <v>58</v>
      </c>
      <c r="V112" s="136"/>
    </row>
    <row r="113" spans="1:22" ht="22.2" thickTop="1" thickBot="1">
      <c r="A113" s="140" t="s">
        <v>84</v>
      </c>
      <c r="B113" s="141">
        <f>[1]الحضر!G328</f>
        <v>0</v>
      </c>
      <c r="C113" s="141">
        <f>[1]الحضر!H328</f>
        <v>0</v>
      </c>
      <c r="D113" s="141">
        <f>[1]الحضر!I328</f>
        <v>0</v>
      </c>
      <c r="E113" s="142">
        <f>D113+C113+B113</f>
        <v>0</v>
      </c>
      <c r="F113" s="142">
        <f>[1]الحضر!AM328</f>
        <v>0</v>
      </c>
      <c r="G113" s="142">
        <f>[1]الحضر!AN328</f>
        <v>0</v>
      </c>
      <c r="H113" s="142">
        <f>G113+F113</f>
        <v>0</v>
      </c>
      <c r="I113" s="142">
        <f>[1]الحضر!EN328</f>
        <v>0</v>
      </c>
      <c r="J113" s="142">
        <f>[1]الحضر!EO328</f>
        <v>0</v>
      </c>
      <c r="K113" s="142">
        <f>J113+I113</f>
        <v>0</v>
      </c>
      <c r="L113" s="142">
        <f>[1]الحضر!JG328</f>
        <v>0</v>
      </c>
      <c r="M113" s="142">
        <f>[1]الحضر!JH328</f>
        <v>0</v>
      </c>
      <c r="N113" s="142">
        <f>M113+L113</f>
        <v>0</v>
      </c>
      <c r="O113" s="142">
        <f>[1]الحضر!P328</f>
        <v>0</v>
      </c>
      <c r="P113" s="142">
        <f>[1]الحضر!Q328</f>
        <v>0</v>
      </c>
      <c r="Q113" s="142">
        <f>[1]الحضر!L328</f>
        <v>0</v>
      </c>
      <c r="R113" s="142">
        <f>[1]الحضر!M328</f>
        <v>0</v>
      </c>
      <c r="S113" s="142">
        <f>[1]الحضر!N328</f>
        <v>0</v>
      </c>
      <c r="T113" s="142">
        <f>[1]الحضر!O328</f>
        <v>0</v>
      </c>
      <c r="U113" s="141">
        <f>T113+S113+R113+Q113</f>
        <v>0</v>
      </c>
      <c r="V113" s="154">
        <f>[1]الحضر!W328</f>
        <v>0</v>
      </c>
    </row>
    <row r="114" spans="1:22" ht="22.2" thickTop="1" thickBot="1">
      <c r="A114" s="140"/>
      <c r="B114" s="141"/>
      <c r="C114" s="141"/>
      <c r="D114" s="141"/>
      <c r="E114" s="143"/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1"/>
      <c r="V114" s="155"/>
    </row>
    <row r="115" spans="1:22" ht="22.2" thickTop="1" thickBot="1">
      <c r="A115" s="140" t="s">
        <v>85</v>
      </c>
      <c r="B115" s="141">
        <f>[1]الريف!G72</f>
        <v>0</v>
      </c>
      <c r="C115" s="141">
        <f>[1]الريف!H72</f>
        <v>0</v>
      </c>
      <c r="D115" s="141">
        <f>[1]الريف!I72</f>
        <v>0</v>
      </c>
      <c r="E115" s="141">
        <f>D115+C115+B115</f>
        <v>0</v>
      </c>
      <c r="F115" s="141">
        <f>[1]الريف!AM72</f>
        <v>0</v>
      </c>
      <c r="G115" s="141">
        <f>[1]الريف!AN72</f>
        <v>0</v>
      </c>
      <c r="H115" s="141">
        <f>G115+F115</f>
        <v>0</v>
      </c>
      <c r="I115" s="141">
        <f>[1]الريف!EN72</f>
        <v>0</v>
      </c>
      <c r="J115" s="141">
        <f>[1]الريف!EO72</f>
        <v>0</v>
      </c>
      <c r="K115" s="141">
        <f>J115+I115</f>
        <v>0</v>
      </c>
      <c r="L115" s="141">
        <f>[1]الريف!JG72</f>
        <v>0</v>
      </c>
      <c r="M115" s="141">
        <f>[1]الريف!JH72</f>
        <v>0</v>
      </c>
      <c r="N115" s="141">
        <f>M115+L115</f>
        <v>0</v>
      </c>
      <c r="O115" s="141">
        <f>[1]الريف!P72</f>
        <v>0</v>
      </c>
      <c r="P115" s="141">
        <f>[1]الريف!Q72</f>
        <v>0</v>
      </c>
      <c r="Q115" s="141">
        <f>[1]الريف!L72</f>
        <v>0</v>
      </c>
      <c r="R115" s="141">
        <f>[1]الريف!M72</f>
        <v>0</v>
      </c>
      <c r="S115" s="141">
        <f>[1]الريف!N72</f>
        <v>0</v>
      </c>
      <c r="T115" s="141">
        <f>[1]الريف!O72</f>
        <v>0</v>
      </c>
      <c r="U115" s="141">
        <f>T115+S115+R115+Q115</f>
        <v>0</v>
      </c>
      <c r="V115" s="154">
        <f>[1]الريف!W72</f>
        <v>0</v>
      </c>
    </row>
    <row r="116" spans="1:22" ht="22.2" thickTop="1" thickBot="1">
      <c r="A116" s="140"/>
      <c r="B116" s="141"/>
      <c r="C116" s="141"/>
      <c r="D116" s="141"/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55"/>
    </row>
    <row r="117" spans="1:22" ht="22.2" thickTop="1" thickBot="1">
      <c r="A117" s="6" t="s">
        <v>58</v>
      </c>
      <c r="B117" s="7">
        <f t="shared" ref="B117:V117" si="6">B115+B113</f>
        <v>0</v>
      </c>
      <c r="C117" s="7">
        <f t="shared" si="6"/>
        <v>0</v>
      </c>
      <c r="D117" s="7">
        <f t="shared" si="6"/>
        <v>0</v>
      </c>
      <c r="E117" s="7">
        <f t="shared" si="6"/>
        <v>0</v>
      </c>
      <c r="F117" s="7">
        <f t="shared" si="6"/>
        <v>0</v>
      </c>
      <c r="G117" s="7">
        <f t="shared" si="6"/>
        <v>0</v>
      </c>
      <c r="H117" s="7">
        <f t="shared" si="6"/>
        <v>0</v>
      </c>
      <c r="I117" s="7">
        <f t="shared" si="6"/>
        <v>0</v>
      </c>
      <c r="J117" s="7">
        <f t="shared" si="6"/>
        <v>0</v>
      </c>
      <c r="K117" s="7">
        <f t="shared" si="6"/>
        <v>0</v>
      </c>
      <c r="L117" s="7">
        <f t="shared" si="6"/>
        <v>0</v>
      </c>
      <c r="M117" s="7">
        <f t="shared" si="6"/>
        <v>0</v>
      </c>
      <c r="N117" s="7">
        <f t="shared" si="6"/>
        <v>0</v>
      </c>
      <c r="O117" s="7">
        <f t="shared" si="6"/>
        <v>0</v>
      </c>
      <c r="P117" s="7">
        <f t="shared" si="6"/>
        <v>0</v>
      </c>
      <c r="Q117" s="7">
        <f t="shared" si="6"/>
        <v>0</v>
      </c>
      <c r="R117" s="7">
        <f t="shared" si="6"/>
        <v>0</v>
      </c>
      <c r="S117" s="7">
        <f t="shared" si="6"/>
        <v>0</v>
      </c>
      <c r="T117" s="7">
        <f t="shared" si="6"/>
        <v>0</v>
      </c>
      <c r="U117" s="7">
        <f t="shared" si="6"/>
        <v>0</v>
      </c>
      <c r="V117" s="8">
        <f t="shared" si="6"/>
        <v>0</v>
      </c>
    </row>
    <row r="118" spans="1:22" ht="21.6" thickTop="1">
      <c r="A118" s="156" t="s">
        <v>62</v>
      </c>
      <c r="B118" s="156"/>
      <c r="C118" s="156"/>
      <c r="D118" s="156"/>
      <c r="E118" s="156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56" t="s">
        <v>89</v>
      </c>
      <c r="S118" s="156"/>
      <c r="T118" s="156"/>
      <c r="U118" s="1"/>
      <c r="V118" s="1"/>
    </row>
    <row r="119" spans="1:22">
      <c r="A119" s="156" t="s">
        <v>64</v>
      </c>
      <c r="B119" s="156"/>
      <c r="C119" s="156"/>
      <c r="D119" s="156"/>
      <c r="E119" s="156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2" t="s">
        <v>355</v>
      </c>
      <c r="S119" s="2"/>
      <c r="T119" s="2"/>
      <c r="U119" s="2"/>
      <c r="V119" s="1"/>
    </row>
    <row r="120" spans="1:2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>
      <c r="A121" s="1"/>
      <c r="B121" s="156" t="s">
        <v>66</v>
      </c>
      <c r="C121" s="156"/>
      <c r="D121" s="156"/>
      <c r="E121" s="156"/>
      <c r="F121" s="156"/>
      <c r="G121" s="156"/>
      <c r="H121" s="156"/>
      <c r="I121" s="156"/>
      <c r="J121" s="156"/>
      <c r="K121" s="156"/>
      <c r="L121" s="156"/>
      <c r="M121" s="156"/>
      <c r="N121" s="156"/>
      <c r="O121" s="156"/>
      <c r="P121" s="156"/>
      <c r="Q121" s="156"/>
      <c r="R121" s="156"/>
      <c r="S121" s="156"/>
      <c r="T121" s="1"/>
      <c r="U121" s="1"/>
      <c r="V121" s="1"/>
    </row>
    <row r="122" spans="1:22">
      <c r="A122" s="1"/>
      <c r="B122" s="156" t="s">
        <v>67</v>
      </c>
      <c r="C122" s="156"/>
      <c r="D122" s="156"/>
      <c r="E122" s="156"/>
      <c r="F122" s="156"/>
      <c r="G122" s="156"/>
      <c r="H122" s="156"/>
      <c r="I122" s="156"/>
      <c r="J122" s="156"/>
      <c r="K122" s="156"/>
      <c r="L122" s="156"/>
      <c r="M122" s="156"/>
      <c r="N122" s="156"/>
      <c r="O122" s="156"/>
      <c r="P122" s="156"/>
      <c r="Q122" s="156"/>
      <c r="R122" s="156"/>
      <c r="S122" s="156"/>
      <c r="T122" s="1"/>
      <c r="U122" s="1"/>
      <c r="V122" s="1"/>
    </row>
    <row r="123" spans="1:22">
      <c r="A123" s="1"/>
      <c r="B123" s="156" t="s">
        <v>68</v>
      </c>
      <c r="C123" s="156"/>
      <c r="D123" s="156"/>
      <c r="E123" s="156"/>
      <c r="F123" s="156"/>
      <c r="G123" s="156"/>
      <c r="H123" s="156"/>
      <c r="I123" s="156"/>
      <c r="J123" s="156"/>
      <c r="K123" s="156"/>
      <c r="L123" s="156"/>
      <c r="M123" s="156"/>
      <c r="N123" s="156"/>
      <c r="O123" s="156"/>
      <c r="P123" s="156"/>
      <c r="Q123" s="156"/>
      <c r="R123" s="156"/>
      <c r="S123" s="156"/>
      <c r="T123" s="1"/>
      <c r="U123" s="1"/>
      <c r="V123" s="1"/>
    </row>
    <row r="124" spans="1:2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21.6" thickBo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21.6" thickTop="1">
      <c r="A126" s="144" t="s">
        <v>69</v>
      </c>
      <c r="B126" s="147" t="s">
        <v>70</v>
      </c>
      <c r="C126" s="148"/>
      <c r="D126" s="148"/>
      <c r="E126" s="149"/>
      <c r="F126" s="157" t="s">
        <v>349</v>
      </c>
      <c r="G126" s="157"/>
      <c r="H126" s="157"/>
      <c r="I126" s="147" t="s">
        <v>71</v>
      </c>
      <c r="J126" s="148"/>
      <c r="K126" s="149"/>
      <c r="L126" s="147" t="s">
        <v>72</v>
      </c>
      <c r="M126" s="148"/>
      <c r="N126" s="149"/>
      <c r="O126" s="147" t="s">
        <v>23</v>
      </c>
      <c r="P126" s="149"/>
      <c r="Q126" s="147" t="s">
        <v>74</v>
      </c>
      <c r="R126" s="148"/>
      <c r="S126" s="148"/>
      <c r="T126" s="148"/>
      <c r="U126" s="149"/>
      <c r="V126" s="134" t="s">
        <v>75</v>
      </c>
    </row>
    <row r="127" spans="1:22" ht="21.6" thickBot="1">
      <c r="A127" s="145"/>
      <c r="B127" s="137"/>
      <c r="C127" s="138"/>
      <c r="D127" s="138"/>
      <c r="E127" s="139"/>
      <c r="F127" s="137" t="s">
        <v>350</v>
      </c>
      <c r="G127" s="138"/>
      <c r="H127" s="139"/>
      <c r="I127" s="137"/>
      <c r="J127" s="138"/>
      <c r="K127" s="139"/>
      <c r="L127" s="137"/>
      <c r="M127" s="138"/>
      <c r="N127" s="139"/>
      <c r="O127" s="137"/>
      <c r="P127" s="139"/>
      <c r="Q127" s="137"/>
      <c r="R127" s="138"/>
      <c r="S127" s="138"/>
      <c r="T127" s="138"/>
      <c r="U127" s="139"/>
      <c r="V127" s="135"/>
    </row>
    <row r="128" spans="1:22" ht="43.2" thickTop="1" thickBot="1">
      <c r="A128" s="146"/>
      <c r="B128" s="4" t="s">
        <v>76</v>
      </c>
      <c r="C128" s="4" t="s">
        <v>35</v>
      </c>
      <c r="D128" s="4" t="s">
        <v>77</v>
      </c>
      <c r="E128" s="4" t="s">
        <v>58</v>
      </c>
      <c r="F128" s="4" t="s">
        <v>76</v>
      </c>
      <c r="G128" s="4" t="s">
        <v>35</v>
      </c>
      <c r="H128" s="4" t="s">
        <v>58</v>
      </c>
      <c r="I128" s="4" t="s">
        <v>76</v>
      </c>
      <c r="J128" s="4" t="s">
        <v>35</v>
      </c>
      <c r="K128" s="4" t="s">
        <v>58</v>
      </c>
      <c r="L128" s="4" t="s">
        <v>78</v>
      </c>
      <c r="M128" s="4" t="s">
        <v>79</v>
      </c>
      <c r="N128" s="4" t="s">
        <v>58</v>
      </c>
      <c r="O128" s="4" t="s">
        <v>37</v>
      </c>
      <c r="P128" s="4" t="s">
        <v>80</v>
      </c>
      <c r="Q128" s="4" t="s">
        <v>36</v>
      </c>
      <c r="R128" s="4" t="s">
        <v>81</v>
      </c>
      <c r="S128" s="99" t="s">
        <v>82</v>
      </c>
      <c r="T128" s="4" t="s">
        <v>83</v>
      </c>
      <c r="U128" s="4" t="s">
        <v>58</v>
      </c>
      <c r="V128" s="136"/>
    </row>
    <row r="129" spans="1:22" ht="22.2" thickTop="1" thickBot="1">
      <c r="A129" s="140" t="s">
        <v>84</v>
      </c>
      <c r="B129" s="141">
        <f>[1]الحضر!G431</f>
        <v>0</v>
      </c>
      <c r="C129" s="141">
        <f>[1]الحضر!H431</f>
        <v>0</v>
      </c>
      <c r="D129" s="141">
        <f>[1]الحضر!I431</f>
        <v>0</v>
      </c>
      <c r="E129" s="141">
        <f>D129+C129+B129</f>
        <v>0</v>
      </c>
      <c r="F129" s="141">
        <f>[1]الحضر!AM431</f>
        <v>0</v>
      </c>
      <c r="G129" s="141">
        <f>[1]الحضر!AN431</f>
        <v>0</v>
      </c>
      <c r="H129" s="141">
        <f>G129+F129</f>
        <v>0</v>
      </c>
      <c r="I129" s="141">
        <f>[1]الحضر!EN431</f>
        <v>0</v>
      </c>
      <c r="J129" s="141">
        <f>[1]الحضر!EO431</f>
        <v>0</v>
      </c>
      <c r="K129" s="141">
        <f>J129+I129</f>
        <v>0</v>
      </c>
      <c r="L129" s="141">
        <f>[1]الحضر!JG431</f>
        <v>0</v>
      </c>
      <c r="M129" s="141">
        <f>[1]الحضر!JH431</f>
        <v>0</v>
      </c>
      <c r="N129" s="141">
        <f>M129+L129</f>
        <v>0</v>
      </c>
      <c r="O129" s="141">
        <f>[1]الحضر!P431</f>
        <v>0</v>
      </c>
      <c r="P129" s="141">
        <f>[1]الحضر!Q431</f>
        <v>0</v>
      </c>
      <c r="Q129" s="141">
        <f>[1]الحضر!L431</f>
        <v>0</v>
      </c>
      <c r="R129" s="141">
        <f>[1]الحضر!M431</f>
        <v>0</v>
      </c>
      <c r="S129" s="141">
        <f>[1]الحضر!N431</f>
        <v>0</v>
      </c>
      <c r="T129" s="141">
        <f>[1]الحضر!O431</f>
        <v>0</v>
      </c>
      <c r="U129" s="141">
        <f>T129+S129+R129+Q129</f>
        <v>0</v>
      </c>
      <c r="V129" s="154">
        <f>[1]الحضر!W431</f>
        <v>0</v>
      </c>
    </row>
    <row r="130" spans="1:22" ht="22.2" thickTop="1" thickBot="1">
      <c r="A130" s="140"/>
      <c r="B130" s="141"/>
      <c r="C130" s="141"/>
      <c r="D130" s="141"/>
      <c r="E130" s="141"/>
      <c r="F130" s="141"/>
      <c r="G130" s="141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155"/>
    </row>
    <row r="131" spans="1:22" ht="22.2" thickTop="1" thickBot="1">
      <c r="A131" s="140" t="s">
        <v>85</v>
      </c>
      <c r="B131" s="141">
        <f>[1]الريف!G189</f>
        <v>0</v>
      </c>
      <c r="C131" s="141">
        <f>[1]الريف!H189</f>
        <v>0</v>
      </c>
      <c r="D131" s="141">
        <f>[1]الريف!I189</f>
        <v>0</v>
      </c>
      <c r="E131" s="141">
        <f>D131+C131+B131</f>
        <v>0</v>
      </c>
      <c r="F131" s="141">
        <f>[1]الريف!AM189</f>
        <v>0</v>
      </c>
      <c r="G131" s="141">
        <f>[1]الريف!AN189</f>
        <v>0</v>
      </c>
      <c r="H131" s="141">
        <f>G131+F131</f>
        <v>0</v>
      </c>
      <c r="I131" s="141">
        <f>[1]الريف!EN189</f>
        <v>0</v>
      </c>
      <c r="J131" s="141">
        <f>[1]الريف!EO189</f>
        <v>0</v>
      </c>
      <c r="K131" s="141">
        <f>J131+I131</f>
        <v>0</v>
      </c>
      <c r="L131" s="141">
        <f>[1]الريف!JG189</f>
        <v>0</v>
      </c>
      <c r="M131" s="141">
        <f>[1]الريف!JH189</f>
        <v>0</v>
      </c>
      <c r="N131" s="141">
        <f>M131+L131</f>
        <v>0</v>
      </c>
      <c r="O131" s="141">
        <f>[1]الريف!P189</f>
        <v>0</v>
      </c>
      <c r="P131" s="141">
        <f>[1]الريف!Q189</f>
        <v>0</v>
      </c>
      <c r="Q131" s="141">
        <f>[1]الريف!L189</f>
        <v>0</v>
      </c>
      <c r="R131" s="141">
        <f>[1]الريف!M189</f>
        <v>0</v>
      </c>
      <c r="S131" s="141">
        <f>[1]الريف!N189</f>
        <v>0</v>
      </c>
      <c r="T131" s="141">
        <f>[1]الريف!O189</f>
        <v>0</v>
      </c>
      <c r="U131" s="141">
        <f>T131+S131+R131+Q131</f>
        <v>0</v>
      </c>
      <c r="V131" s="154">
        <f>[1]الريف!W189</f>
        <v>0</v>
      </c>
    </row>
    <row r="132" spans="1:22" ht="22.2" thickTop="1" thickBot="1">
      <c r="A132" s="140"/>
      <c r="B132" s="141"/>
      <c r="C132" s="141"/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55"/>
    </row>
    <row r="133" spans="1:22" ht="22.2" thickTop="1" thickBot="1">
      <c r="A133" s="6" t="s">
        <v>58</v>
      </c>
      <c r="B133" s="7">
        <f t="shared" ref="B133:J133" si="7">SUM(B129:B132)</f>
        <v>0</v>
      </c>
      <c r="C133" s="7">
        <f t="shared" si="7"/>
        <v>0</v>
      </c>
      <c r="D133" s="7">
        <f t="shared" si="7"/>
        <v>0</v>
      </c>
      <c r="E133" s="7">
        <f t="shared" si="7"/>
        <v>0</v>
      </c>
      <c r="F133" s="7">
        <f t="shared" si="7"/>
        <v>0</v>
      </c>
      <c r="G133" s="7">
        <f t="shared" si="7"/>
        <v>0</v>
      </c>
      <c r="H133" s="7">
        <f t="shared" si="7"/>
        <v>0</v>
      </c>
      <c r="I133" s="7">
        <f t="shared" si="7"/>
        <v>0</v>
      </c>
      <c r="J133" s="7">
        <f t="shared" si="7"/>
        <v>0</v>
      </c>
      <c r="K133" s="7">
        <f>J133+I133</f>
        <v>0</v>
      </c>
      <c r="L133" s="7">
        <f t="shared" ref="L133:U133" si="8">SUM(L129:L132)</f>
        <v>0</v>
      </c>
      <c r="M133" s="7">
        <f t="shared" si="8"/>
        <v>0</v>
      </c>
      <c r="N133" s="7">
        <f t="shared" si="8"/>
        <v>0</v>
      </c>
      <c r="O133" s="7">
        <f t="shared" si="8"/>
        <v>0</v>
      </c>
      <c r="P133" s="7">
        <f t="shared" si="8"/>
        <v>0</v>
      </c>
      <c r="Q133" s="7">
        <f t="shared" si="8"/>
        <v>0</v>
      </c>
      <c r="R133" s="7">
        <f t="shared" si="8"/>
        <v>0</v>
      </c>
      <c r="S133" s="7">
        <f t="shared" si="8"/>
        <v>0</v>
      </c>
      <c r="T133" s="7">
        <f t="shared" si="8"/>
        <v>0</v>
      </c>
      <c r="U133" s="7">
        <f t="shared" si="8"/>
        <v>0</v>
      </c>
      <c r="V133" s="8">
        <f>V131+V129</f>
        <v>0</v>
      </c>
    </row>
    <row r="134" spans="1:22" ht="21.6" thickTop="1"/>
    <row r="135" spans="1:22">
      <c r="A135" s="156" t="s">
        <v>62</v>
      </c>
      <c r="B135" s="156"/>
      <c r="C135" s="156"/>
      <c r="D135" s="156"/>
      <c r="E135" s="156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56" t="s">
        <v>90</v>
      </c>
      <c r="S135" s="156"/>
      <c r="T135" s="156"/>
      <c r="U135" s="1"/>
      <c r="V135" s="1"/>
    </row>
    <row r="136" spans="1:22">
      <c r="A136" s="156" t="s">
        <v>64</v>
      </c>
      <c r="B136" s="156"/>
      <c r="C136" s="156"/>
      <c r="D136" s="156"/>
      <c r="E136" s="156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2" t="s">
        <v>65</v>
      </c>
      <c r="S136" s="2"/>
      <c r="T136" s="2"/>
      <c r="U136" s="1"/>
      <c r="V136" s="1"/>
    </row>
    <row r="137" spans="1:2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>
      <c r="A138" s="1"/>
      <c r="B138" s="156" t="s">
        <v>66</v>
      </c>
      <c r="C138" s="156"/>
      <c r="D138" s="156"/>
      <c r="E138" s="156"/>
      <c r="F138" s="156"/>
      <c r="G138" s="156"/>
      <c r="H138" s="156"/>
      <c r="I138" s="156"/>
      <c r="J138" s="156"/>
      <c r="K138" s="156"/>
      <c r="L138" s="156"/>
      <c r="M138" s="156"/>
      <c r="N138" s="156"/>
      <c r="O138" s="156"/>
      <c r="P138" s="156"/>
      <c r="Q138" s="156"/>
      <c r="R138" s="156"/>
      <c r="S138" s="156"/>
      <c r="T138" s="1"/>
      <c r="U138" s="1"/>
      <c r="V138" s="1"/>
    </row>
    <row r="139" spans="1:22">
      <c r="A139" s="1"/>
      <c r="B139" s="156" t="s">
        <v>67</v>
      </c>
      <c r="C139" s="156"/>
      <c r="D139" s="156"/>
      <c r="E139" s="156"/>
      <c r="F139" s="156"/>
      <c r="G139" s="156"/>
      <c r="H139" s="156"/>
      <c r="I139" s="156"/>
      <c r="J139" s="156"/>
      <c r="K139" s="156"/>
      <c r="L139" s="156"/>
      <c r="M139" s="156"/>
      <c r="N139" s="156"/>
      <c r="O139" s="156"/>
      <c r="P139" s="156"/>
      <c r="Q139" s="156"/>
      <c r="R139" s="156"/>
      <c r="S139" s="156"/>
      <c r="T139" s="1"/>
      <c r="U139" s="1"/>
      <c r="V139" s="1"/>
    </row>
    <row r="140" spans="1:22">
      <c r="A140" s="1"/>
      <c r="B140" s="156" t="s">
        <v>68</v>
      </c>
      <c r="C140" s="156"/>
      <c r="D140" s="156"/>
      <c r="E140" s="156"/>
      <c r="F140" s="156"/>
      <c r="G140" s="156"/>
      <c r="H140" s="156"/>
      <c r="I140" s="156"/>
      <c r="J140" s="156"/>
      <c r="K140" s="156"/>
      <c r="L140" s="156"/>
      <c r="M140" s="156"/>
      <c r="N140" s="156"/>
      <c r="O140" s="156"/>
      <c r="P140" s="156"/>
      <c r="Q140" s="156"/>
      <c r="R140" s="156"/>
      <c r="S140" s="156"/>
      <c r="T140" s="1"/>
      <c r="U140" s="1"/>
      <c r="V140" s="1"/>
    </row>
    <row r="141" spans="1:2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21.6" thickBo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21.6" thickTop="1">
      <c r="A143" s="144" t="s">
        <v>69</v>
      </c>
      <c r="B143" s="147" t="s">
        <v>70</v>
      </c>
      <c r="C143" s="148"/>
      <c r="D143" s="148"/>
      <c r="E143" s="149"/>
      <c r="F143" s="157" t="s">
        <v>349</v>
      </c>
      <c r="G143" s="157"/>
      <c r="H143" s="157"/>
      <c r="I143" s="147" t="s">
        <v>71</v>
      </c>
      <c r="J143" s="148"/>
      <c r="K143" s="149"/>
      <c r="L143" s="147" t="s">
        <v>72</v>
      </c>
      <c r="M143" s="148"/>
      <c r="N143" s="149"/>
      <c r="O143" s="147" t="s">
        <v>23</v>
      </c>
      <c r="P143" s="149"/>
      <c r="Q143" s="147" t="s">
        <v>74</v>
      </c>
      <c r="R143" s="148"/>
      <c r="S143" s="148"/>
      <c r="T143" s="148"/>
      <c r="U143" s="149"/>
      <c r="V143" s="134" t="s">
        <v>75</v>
      </c>
    </row>
    <row r="144" spans="1:22" ht="21.6" thickBot="1">
      <c r="A144" s="145"/>
      <c r="B144" s="137"/>
      <c r="C144" s="138"/>
      <c r="D144" s="138"/>
      <c r="E144" s="139"/>
      <c r="F144" s="137" t="s">
        <v>350</v>
      </c>
      <c r="G144" s="138"/>
      <c r="H144" s="139"/>
      <c r="I144" s="137"/>
      <c r="J144" s="138"/>
      <c r="K144" s="139"/>
      <c r="L144" s="137"/>
      <c r="M144" s="138"/>
      <c r="N144" s="139"/>
      <c r="O144" s="137"/>
      <c r="P144" s="139"/>
      <c r="Q144" s="137"/>
      <c r="R144" s="138"/>
      <c r="S144" s="138"/>
      <c r="T144" s="138"/>
      <c r="U144" s="139"/>
      <c r="V144" s="135"/>
    </row>
    <row r="145" spans="1:22" ht="43.2" thickTop="1" thickBot="1">
      <c r="A145" s="146"/>
      <c r="B145" s="4" t="s">
        <v>76</v>
      </c>
      <c r="C145" s="4" t="s">
        <v>35</v>
      </c>
      <c r="D145" s="4" t="s">
        <v>77</v>
      </c>
      <c r="E145" s="4" t="s">
        <v>58</v>
      </c>
      <c r="F145" s="4" t="s">
        <v>76</v>
      </c>
      <c r="G145" s="4" t="s">
        <v>35</v>
      </c>
      <c r="H145" s="4" t="s">
        <v>58</v>
      </c>
      <c r="I145" s="4" t="s">
        <v>76</v>
      </c>
      <c r="J145" s="4" t="s">
        <v>35</v>
      </c>
      <c r="K145" s="4" t="s">
        <v>58</v>
      </c>
      <c r="L145" s="4" t="s">
        <v>78</v>
      </c>
      <c r="M145" s="4" t="s">
        <v>79</v>
      </c>
      <c r="N145" s="4" t="s">
        <v>58</v>
      </c>
      <c r="O145" s="4" t="s">
        <v>37</v>
      </c>
      <c r="P145" s="4" t="s">
        <v>80</v>
      </c>
      <c r="Q145" s="4" t="s">
        <v>36</v>
      </c>
      <c r="R145" s="4" t="s">
        <v>81</v>
      </c>
      <c r="S145" s="99" t="s">
        <v>82</v>
      </c>
      <c r="T145" s="4" t="s">
        <v>83</v>
      </c>
      <c r="U145" s="4" t="s">
        <v>58</v>
      </c>
      <c r="V145" s="136"/>
    </row>
    <row r="146" spans="1:22" ht="22.2" thickTop="1" thickBot="1">
      <c r="A146" s="140" t="s">
        <v>84</v>
      </c>
      <c r="B146" s="141">
        <f>[1]الحضر!G407</f>
        <v>0</v>
      </c>
      <c r="C146" s="141">
        <f>[1]الحضر!H407</f>
        <v>0</v>
      </c>
      <c r="D146" s="141">
        <f>[1]الحضر!I407</f>
        <v>0</v>
      </c>
      <c r="E146" s="141">
        <f>D146+C146+B146</f>
        <v>0</v>
      </c>
      <c r="F146" s="141">
        <f>[1]الحضر!AM407</f>
        <v>0</v>
      </c>
      <c r="G146" s="141">
        <f>[1]الحضر!AN407</f>
        <v>0</v>
      </c>
      <c r="H146" s="141">
        <f>G146+F146</f>
        <v>0</v>
      </c>
      <c r="I146" s="141">
        <f>[1]الحضر!EN407</f>
        <v>0</v>
      </c>
      <c r="J146" s="141">
        <f>[1]الحضر!EO407</f>
        <v>0</v>
      </c>
      <c r="K146" s="141">
        <f>J146+I146</f>
        <v>0</v>
      </c>
      <c r="L146" s="141">
        <f>[1]الحضر!JG407</f>
        <v>0</v>
      </c>
      <c r="M146" s="141">
        <f>[1]الحضر!JH407</f>
        <v>0</v>
      </c>
      <c r="N146" s="141">
        <f>M146+L146</f>
        <v>0</v>
      </c>
      <c r="O146" s="141">
        <f>[1]الحضر!P407</f>
        <v>0</v>
      </c>
      <c r="P146" s="141">
        <f>[1]الحضر!Q407</f>
        <v>0</v>
      </c>
      <c r="Q146" s="141">
        <f>[1]الحضر!L407</f>
        <v>0</v>
      </c>
      <c r="R146" s="141">
        <f>[1]الحضر!M407</f>
        <v>0</v>
      </c>
      <c r="S146" s="141">
        <f>[1]الحضر!N407</f>
        <v>0</v>
      </c>
      <c r="T146" s="141">
        <f>[1]الحضر!O407</f>
        <v>0</v>
      </c>
      <c r="U146" s="141">
        <f>T146+S146+R146+Q146</f>
        <v>0</v>
      </c>
      <c r="V146" s="154">
        <f>[1]الحضر!W407</f>
        <v>0</v>
      </c>
    </row>
    <row r="147" spans="1:22" ht="22.2" thickTop="1" thickBot="1">
      <c r="A147" s="140"/>
      <c r="B147" s="141"/>
      <c r="C147" s="141"/>
      <c r="D147" s="141"/>
      <c r="E147" s="141"/>
      <c r="F147" s="141"/>
      <c r="G147" s="141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41"/>
      <c r="V147" s="155"/>
    </row>
    <row r="148" spans="1:22" ht="22.2" thickTop="1" thickBot="1">
      <c r="A148" s="140" t="s">
        <v>85</v>
      </c>
      <c r="B148" s="141">
        <f>[1]الريف!G102</f>
        <v>0</v>
      </c>
      <c r="C148" s="141">
        <f>[1]الريف!H102</f>
        <v>0</v>
      </c>
      <c r="D148" s="141">
        <f>[1]الريف!I102</f>
        <v>0</v>
      </c>
      <c r="E148" s="141">
        <f>D148+C148+B148</f>
        <v>0</v>
      </c>
      <c r="F148" s="141">
        <f>[1]الريف!AM102</f>
        <v>0</v>
      </c>
      <c r="G148" s="141">
        <f>[1]الريف!AN102</f>
        <v>0</v>
      </c>
      <c r="H148" s="141">
        <f>G148+F148</f>
        <v>0</v>
      </c>
      <c r="I148" s="141">
        <f>[1]الريف!EN102</f>
        <v>0</v>
      </c>
      <c r="J148" s="141">
        <f>[1]الريف!EO102</f>
        <v>0</v>
      </c>
      <c r="K148" s="141">
        <f>J148+I148</f>
        <v>0</v>
      </c>
      <c r="L148" s="141">
        <f>[1]الريف!JG102</f>
        <v>0</v>
      </c>
      <c r="M148" s="141">
        <f>[1]الريف!JH102</f>
        <v>0</v>
      </c>
      <c r="N148" s="141">
        <f>M148+L148</f>
        <v>0</v>
      </c>
      <c r="O148" s="141">
        <f>[1]الريف!P102</f>
        <v>0</v>
      </c>
      <c r="P148" s="141">
        <f>[1]الريف!Q102</f>
        <v>0</v>
      </c>
      <c r="Q148" s="141">
        <f>[1]الريف!L102</f>
        <v>0</v>
      </c>
      <c r="R148" s="141">
        <f>[1]الريف!M102</f>
        <v>0</v>
      </c>
      <c r="S148" s="141">
        <f>[1]الريف!N102</f>
        <v>0</v>
      </c>
      <c r="T148" s="141">
        <f>[1]الريف!O102</f>
        <v>0</v>
      </c>
      <c r="U148" s="141">
        <f>T148+S148+R148+Q148</f>
        <v>0</v>
      </c>
      <c r="V148" s="154">
        <f>[1]الريف!W102</f>
        <v>0</v>
      </c>
    </row>
    <row r="149" spans="1:22" ht="22.2" thickTop="1" thickBot="1">
      <c r="A149" s="140"/>
      <c r="B149" s="141"/>
      <c r="C149" s="141"/>
      <c r="D149" s="141"/>
      <c r="E149" s="141"/>
      <c r="F149" s="141"/>
      <c r="G149" s="141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155"/>
    </row>
    <row r="150" spans="1:22" ht="22.2" thickTop="1" thickBot="1">
      <c r="A150" s="6" t="s">
        <v>58</v>
      </c>
      <c r="B150" s="7">
        <f t="shared" ref="B150:J150" si="9">SUM(B146:B149)</f>
        <v>0</v>
      </c>
      <c r="C150" s="7">
        <f t="shared" si="9"/>
        <v>0</v>
      </c>
      <c r="D150" s="7">
        <f t="shared" si="9"/>
        <v>0</v>
      </c>
      <c r="E150" s="7">
        <f t="shared" si="9"/>
        <v>0</v>
      </c>
      <c r="F150" s="7">
        <f t="shared" si="9"/>
        <v>0</v>
      </c>
      <c r="G150" s="7">
        <f t="shared" si="9"/>
        <v>0</v>
      </c>
      <c r="H150" s="7">
        <f t="shared" si="9"/>
        <v>0</v>
      </c>
      <c r="I150" s="7">
        <f t="shared" si="9"/>
        <v>0</v>
      </c>
      <c r="J150" s="7">
        <f t="shared" si="9"/>
        <v>0</v>
      </c>
      <c r="K150" s="7">
        <f>J150+I150</f>
        <v>0</v>
      </c>
      <c r="L150" s="7">
        <f t="shared" ref="L150:U150" si="10">SUM(L146:L149)</f>
        <v>0</v>
      </c>
      <c r="M150" s="7">
        <f t="shared" si="10"/>
        <v>0</v>
      </c>
      <c r="N150" s="7">
        <f t="shared" si="10"/>
        <v>0</v>
      </c>
      <c r="O150" s="7">
        <f t="shared" si="10"/>
        <v>0</v>
      </c>
      <c r="P150" s="7">
        <f t="shared" si="10"/>
        <v>0</v>
      </c>
      <c r="Q150" s="7">
        <f t="shared" si="10"/>
        <v>0</v>
      </c>
      <c r="R150" s="7">
        <f t="shared" si="10"/>
        <v>0</v>
      </c>
      <c r="S150" s="7">
        <f t="shared" si="10"/>
        <v>0</v>
      </c>
      <c r="T150" s="7">
        <f t="shared" si="10"/>
        <v>0</v>
      </c>
      <c r="U150" s="7">
        <f t="shared" si="10"/>
        <v>0</v>
      </c>
      <c r="V150" s="8">
        <f>V148+V146</f>
        <v>0</v>
      </c>
    </row>
    <row r="151" spans="1:22" ht="21.6" thickTop="1"/>
    <row r="152" spans="1:22">
      <c r="A152" s="156" t="s">
        <v>62</v>
      </c>
      <c r="B152" s="156"/>
      <c r="C152" s="156"/>
      <c r="D152" s="156"/>
      <c r="E152" s="156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56" t="s">
        <v>91</v>
      </c>
      <c r="R152" s="156"/>
      <c r="S152" s="156"/>
      <c r="T152" s="156"/>
      <c r="U152" s="1"/>
      <c r="V152" s="1"/>
    </row>
    <row r="153" spans="1:22">
      <c r="A153" s="156" t="s">
        <v>64</v>
      </c>
      <c r="B153" s="156"/>
      <c r="C153" s="156"/>
      <c r="D153" s="156"/>
      <c r="E153" s="156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56" t="s">
        <v>65</v>
      </c>
      <c r="R153" s="156"/>
      <c r="S153" s="156"/>
      <c r="T153" s="156"/>
      <c r="U153" s="1"/>
      <c r="V153" s="1"/>
    </row>
    <row r="154" spans="1:2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>
      <c r="A155" s="1"/>
      <c r="B155" s="156" t="s">
        <v>66</v>
      </c>
      <c r="C155" s="156"/>
      <c r="D155" s="156"/>
      <c r="E155" s="156"/>
      <c r="F155" s="156"/>
      <c r="G155" s="156"/>
      <c r="H155" s="156"/>
      <c r="I155" s="156"/>
      <c r="J155" s="156"/>
      <c r="K155" s="156"/>
      <c r="L155" s="156"/>
      <c r="M155" s="156"/>
      <c r="N155" s="156"/>
      <c r="O155" s="156"/>
      <c r="P155" s="156"/>
      <c r="Q155" s="156"/>
      <c r="R155" s="156"/>
      <c r="S155" s="156"/>
      <c r="T155" s="1"/>
      <c r="U155" s="1"/>
      <c r="V155" s="1"/>
    </row>
    <row r="156" spans="1:22">
      <c r="A156" s="1"/>
      <c r="B156" s="156" t="s">
        <v>67</v>
      </c>
      <c r="C156" s="156"/>
      <c r="D156" s="156"/>
      <c r="E156" s="156"/>
      <c r="F156" s="156"/>
      <c r="G156" s="156"/>
      <c r="H156" s="156"/>
      <c r="I156" s="156"/>
      <c r="J156" s="156"/>
      <c r="K156" s="156"/>
      <c r="L156" s="156"/>
      <c r="M156" s="156"/>
      <c r="N156" s="156"/>
      <c r="O156" s="156"/>
      <c r="P156" s="156"/>
      <c r="Q156" s="156"/>
      <c r="R156" s="156"/>
      <c r="S156" s="156"/>
      <c r="T156" s="1"/>
      <c r="U156" s="1"/>
      <c r="V156" s="1"/>
    </row>
    <row r="157" spans="1:22">
      <c r="A157" s="1"/>
      <c r="B157" s="156" t="s">
        <v>68</v>
      </c>
      <c r="C157" s="156"/>
      <c r="D157" s="156"/>
      <c r="E157" s="156"/>
      <c r="F157" s="156"/>
      <c r="G157" s="156"/>
      <c r="H157" s="156"/>
      <c r="I157" s="156"/>
      <c r="J157" s="156"/>
      <c r="K157" s="156"/>
      <c r="L157" s="156"/>
      <c r="M157" s="156"/>
      <c r="N157" s="156"/>
      <c r="O157" s="156"/>
      <c r="P157" s="156"/>
      <c r="Q157" s="156"/>
      <c r="R157" s="156"/>
      <c r="S157" s="156"/>
      <c r="T157" s="1"/>
      <c r="U157" s="1"/>
      <c r="V157" s="1"/>
    </row>
    <row r="158" spans="1:2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21.6" thickBo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21.6" thickTop="1">
      <c r="A160" s="144" t="s">
        <v>69</v>
      </c>
      <c r="B160" s="147" t="s">
        <v>70</v>
      </c>
      <c r="C160" s="148"/>
      <c r="D160" s="148"/>
      <c r="E160" s="149"/>
      <c r="F160" s="157" t="s">
        <v>349</v>
      </c>
      <c r="G160" s="157"/>
      <c r="H160" s="157"/>
      <c r="I160" s="147" t="s">
        <v>71</v>
      </c>
      <c r="J160" s="148"/>
      <c r="K160" s="149"/>
      <c r="L160" s="147" t="s">
        <v>72</v>
      </c>
      <c r="M160" s="148"/>
      <c r="N160" s="149"/>
      <c r="O160" s="147" t="s">
        <v>23</v>
      </c>
      <c r="P160" s="149"/>
      <c r="Q160" s="147" t="s">
        <v>74</v>
      </c>
      <c r="R160" s="148"/>
      <c r="S160" s="148"/>
      <c r="T160" s="148"/>
      <c r="U160" s="149"/>
      <c r="V160" s="134" t="s">
        <v>75</v>
      </c>
    </row>
    <row r="161" spans="1:22" ht="21.6" thickBot="1">
      <c r="A161" s="145"/>
      <c r="B161" s="137"/>
      <c r="C161" s="138"/>
      <c r="D161" s="138"/>
      <c r="E161" s="139"/>
      <c r="F161" s="137" t="s">
        <v>350</v>
      </c>
      <c r="G161" s="138"/>
      <c r="H161" s="139"/>
      <c r="I161" s="137"/>
      <c r="J161" s="138"/>
      <c r="K161" s="139"/>
      <c r="L161" s="137"/>
      <c r="M161" s="138"/>
      <c r="N161" s="139"/>
      <c r="O161" s="137"/>
      <c r="P161" s="139"/>
      <c r="Q161" s="137"/>
      <c r="R161" s="138"/>
      <c r="S161" s="138"/>
      <c r="T161" s="138"/>
      <c r="U161" s="139"/>
      <c r="V161" s="135"/>
    </row>
    <row r="162" spans="1:22" ht="43.2" thickTop="1" thickBot="1">
      <c r="A162" s="146"/>
      <c r="B162" s="4" t="s">
        <v>76</v>
      </c>
      <c r="C162" s="4" t="s">
        <v>35</v>
      </c>
      <c r="D162" s="4" t="s">
        <v>77</v>
      </c>
      <c r="E162" s="4" t="s">
        <v>58</v>
      </c>
      <c r="F162" s="4" t="s">
        <v>76</v>
      </c>
      <c r="G162" s="4" t="s">
        <v>35</v>
      </c>
      <c r="H162" s="4" t="s">
        <v>58</v>
      </c>
      <c r="I162" s="4" t="s">
        <v>76</v>
      </c>
      <c r="J162" s="4" t="s">
        <v>35</v>
      </c>
      <c r="K162" s="4" t="s">
        <v>58</v>
      </c>
      <c r="L162" s="4" t="s">
        <v>78</v>
      </c>
      <c r="M162" s="4" t="s">
        <v>79</v>
      </c>
      <c r="N162" s="4" t="s">
        <v>58</v>
      </c>
      <c r="O162" s="4" t="s">
        <v>37</v>
      </c>
      <c r="P162" s="4" t="s">
        <v>80</v>
      </c>
      <c r="Q162" s="4" t="s">
        <v>36</v>
      </c>
      <c r="R162" s="4" t="s">
        <v>81</v>
      </c>
      <c r="S162" s="99" t="s">
        <v>82</v>
      </c>
      <c r="T162" s="4" t="s">
        <v>83</v>
      </c>
      <c r="U162" s="4" t="s">
        <v>58</v>
      </c>
      <c r="V162" s="136"/>
    </row>
    <row r="163" spans="1:22" ht="22.2" thickTop="1" thickBot="1">
      <c r="A163" s="140" t="s">
        <v>84</v>
      </c>
      <c r="B163" s="141">
        <f>[1]الحضر!G420</f>
        <v>0</v>
      </c>
      <c r="C163" s="141">
        <f>[1]الحضر!H420</f>
        <v>0</v>
      </c>
      <c r="D163" s="141">
        <f>[1]الحضر!I420</f>
        <v>0</v>
      </c>
      <c r="E163" s="141">
        <f>D163+C163+B163</f>
        <v>0</v>
      </c>
      <c r="F163" s="141">
        <f>[1]الحضر!AM420</f>
        <v>0</v>
      </c>
      <c r="G163" s="141">
        <f>[1]الحضر!AN420</f>
        <v>0</v>
      </c>
      <c r="H163" s="141">
        <f>G163+F163</f>
        <v>0</v>
      </c>
      <c r="I163" s="141">
        <f>[1]الحضر!EN420</f>
        <v>0</v>
      </c>
      <c r="J163" s="141">
        <f>[1]الحضر!EO420</f>
        <v>0</v>
      </c>
      <c r="K163" s="141">
        <f>J163+I163</f>
        <v>0</v>
      </c>
      <c r="L163" s="141">
        <f>[1]الحضر!JG420</f>
        <v>0</v>
      </c>
      <c r="M163" s="141">
        <f>[1]الحضر!JH420</f>
        <v>0</v>
      </c>
      <c r="N163" s="141">
        <f>M163+L163</f>
        <v>0</v>
      </c>
      <c r="O163" s="141">
        <f>[1]الحضر!P420</f>
        <v>0</v>
      </c>
      <c r="P163" s="141">
        <f>[1]الحضر!Q420</f>
        <v>0</v>
      </c>
      <c r="Q163" s="141">
        <f>[1]الحضر!L420</f>
        <v>0</v>
      </c>
      <c r="R163" s="141">
        <f>[1]الحضر!M420</f>
        <v>0</v>
      </c>
      <c r="S163" s="141">
        <f>[1]الحضر!N420</f>
        <v>0</v>
      </c>
      <c r="T163" s="141">
        <f>[1]الحضر!O420</f>
        <v>0</v>
      </c>
      <c r="U163" s="141">
        <f>T163+S163+R163+Q163</f>
        <v>0</v>
      </c>
      <c r="V163" s="154">
        <f>[1]الحضر!W420</f>
        <v>0</v>
      </c>
    </row>
    <row r="164" spans="1:22" ht="22.2" thickTop="1" thickBot="1">
      <c r="A164" s="140"/>
      <c r="B164" s="141"/>
      <c r="C164" s="141"/>
      <c r="D164" s="141"/>
      <c r="E164" s="141"/>
      <c r="F164" s="141"/>
      <c r="G164" s="141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  <c r="U164" s="141"/>
      <c r="V164" s="155"/>
    </row>
    <row r="165" spans="1:22" ht="22.2" thickTop="1" thickBot="1">
      <c r="A165" s="140" t="s">
        <v>85</v>
      </c>
      <c r="B165" s="141">
        <f>[1]الريف!G173</f>
        <v>0</v>
      </c>
      <c r="C165" s="141">
        <f>[1]الريف!H173</f>
        <v>0</v>
      </c>
      <c r="D165" s="141">
        <f>[1]الريف!I173</f>
        <v>0</v>
      </c>
      <c r="E165" s="141">
        <f>D165+C165+B165</f>
        <v>0</v>
      </c>
      <c r="F165" s="141">
        <f>[1]الريف!AM173</f>
        <v>0</v>
      </c>
      <c r="G165" s="141">
        <f>[1]الريف!AN173</f>
        <v>0</v>
      </c>
      <c r="H165" s="141">
        <f>G165+F165</f>
        <v>0</v>
      </c>
      <c r="I165" s="141">
        <f>[1]الريف!EN173</f>
        <v>0</v>
      </c>
      <c r="J165" s="141">
        <f>[1]الريف!EO173</f>
        <v>0</v>
      </c>
      <c r="K165" s="141">
        <f>J165+I165</f>
        <v>0</v>
      </c>
      <c r="L165" s="141">
        <f>[1]الريف!JG173</f>
        <v>0</v>
      </c>
      <c r="M165" s="141">
        <f>[1]الريف!JH173</f>
        <v>0</v>
      </c>
      <c r="N165" s="141">
        <f>M165+L165</f>
        <v>0</v>
      </c>
      <c r="O165" s="141">
        <f>[1]الريف!P173</f>
        <v>0</v>
      </c>
      <c r="P165" s="141">
        <f>[1]الريف!Q173</f>
        <v>0</v>
      </c>
      <c r="Q165" s="141">
        <f>[1]الريف!L173</f>
        <v>0</v>
      </c>
      <c r="R165" s="141">
        <f>[1]الريف!M173</f>
        <v>0</v>
      </c>
      <c r="S165" s="141">
        <f>[1]الريف!N173</f>
        <v>0</v>
      </c>
      <c r="T165" s="141">
        <f>[1]الريف!O173</f>
        <v>0</v>
      </c>
      <c r="U165" s="141">
        <f>T165+S165+R165+Q165</f>
        <v>0</v>
      </c>
      <c r="V165" s="154">
        <f>[1]الريف!W173</f>
        <v>0</v>
      </c>
    </row>
    <row r="166" spans="1:22" ht="22.2" thickTop="1" thickBot="1">
      <c r="A166" s="140"/>
      <c r="B166" s="141"/>
      <c r="C166" s="141"/>
      <c r="D166" s="141"/>
      <c r="E166" s="141"/>
      <c r="F166" s="141"/>
      <c r="G166" s="141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  <c r="U166" s="141"/>
      <c r="V166" s="155"/>
    </row>
    <row r="167" spans="1:22" ht="22.2" thickTop="1" thickBot="1">
      <c r="A167" s="6" t="s">
        <v>58</v>
      </c>
      <c r="B167" s="7">
        <f t="shared" ref="B167:J167" si="11">SUM(B163:B166)</f>
        <v>0</v>
      </c>
      <c r="C167" s="7">
        <f t="shared" si="11"/>
        <v>0</v>
      </c>
      <c r="D167" s="7">
        <f t="shared" si="11"/>
        <v>0</v>
      </c>
      <c r="E167" s="7">
        <f t="shared" si="11"/>
        <v>0</v>
      </c>
      <c r="F167" s="7">
        <f t="shared" si="11"/>
        <v>0</v>
      </c>
      <c r="G167" s="7">
        <f t="shared" si="11"/>
        <v>0</v>
      </c>
      <c r="H167" s="7">
        <f t="shared" si="11"/>
        <v>0</v>
      </c>
      <c r="I167" s="7">
        <f t="shared" si="11"/>
        <v>0</v>
      </c>
      <c r="J167" s="7">
        <f t="shared" si="11"/>
        <v>0</v>
      </c>
      <c r="K167" s="7">
        <f>J167+I167</f>
        <v>0</v>
      </c>
      <c r="L167" s="7">
        <f t="shared" ref="L167:U167" si="12">SUM(L163:L166)</f>
        <v>0</v>
      </c>
      <c r="M167" s="7">
        <f t="shared" si="12"/>
        <v>0</v>
      </c>
      <c r="N167" s="7">
        <f t="shared" si="12"/>
        <v>0</v>
      </c>
      <c r="O167" s="7">
        <f t="shared" si="12"/>
        <v>0</v>
      </c>
      <c r="P167" s="7">
        <f t="shared" si="12"/>
        <v>0</v>
      </c>
      <c r="Q167" s="7">
        <f t="shared" si="12"/>
        <v>0</v>
      </c>
      <c r="R167" s="7">
        <f t="shared" si="12"/>
        <v>0</v>
      </c>
      <c r="S167" s="7">
        <f t="shared" si="12"/>
        <v>0</v>
      </c>
      <c r="T167" s="7">
        <f t="shared" si="12"/>
        <v>0</v>
      </c>
      <c r="U167" s="7">
        <f t="shared" si="12"/>
        <v>0</v>
      </c>
      <c r="V167" s="8">
        <f>V165+V163</f>
        <v>0</v>
      </c>
    </row>
    <row r="168" spans="1:22" ht="21.6" thickTop="1"/>
    <row r="169" spans="1:22">
      <c r="A169" s="156" t="s">
        <v>62</v>
      </c>
      <c r="B169" s="156"/>
      <c r="C169" s="156"/>
      <c r="D169" s="156"/>
      <c r="E169" s="156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56" t="s">
        <v>92</v>
      </c>
      <c r="S169" s="156"/>
      <c r="T169" s="156"/>
      <c r="U169" s="1"/>
      <c r="V169" s="1"/>
    </row>
    <row r="170" spans="1:22">
      <c r="A170" s="156" t="s">
        <v>64</v>
      </c>
      <c r="B170" s="156"/>
      <c r="C170" s="156"/>
      <c r="D170" s="156"/>
      <c r="E170" s="156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56" t="s">
        <v>65</v>
      </c>
      <c r="S170" s="156"/>
      <c r="T170" s="156"/>
      <c r="U170" s="1"/>
      <c r="V170" s="1"/>
    </row>
    <row r="171" spans="1:2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>
      <c r="A172" s="1"/>
      <c r="B172" s="156" t="s">
        <v>66</v>
      </c>
      <c r="C172" s="156"/>
      <c r="D172" s="156"/>
      <c r="E172" s="156"/>
      <c r="F172" s="156"/>
      <c r="G172" s="156"/>
      <c r="H172" s="156"/>
      <c r="I172" s="156"/>
      <c r="J172" s="156"/>
      <c r="K172" s="156"/>
      <c r="L172" s="156"/>
      <c r="M172" s="156"/>
      <c r="N172" s="156"/>
      <c r="O172" s="156"/>
      <c r="P172" s="156"/>
      <c r="Q172" s="156"/>
      <c r="R172" s="156"/>
      <c r="S172" s="156"/>
      <c r="T172" s="1"/>
      <c r="U172" s="1"/>
      <c r="V172" s="1"/>
    </row>
    <row r="173" spans="1:22">
      <c r="A173" s="1"/>
      <c r="B173" s="156" t="s">
        <v>67</v>
      </c>
      <c r="C173" s="156"/>
      <c r="D173" s="156"/>
      <c r="E173" s="156"/>
      <c r="F173" s="156"/>
      <c r="G173" s="156"/>
      <c r="H173" s="156"/>
      <c r="I173" s="156"/>
      <c r="J173" s="156"/>
      <c r="K173" s="156"/>
      <c r="L173" s="156"/>
      <c r="M173" s="156"/>
      <c r="N173" s="156"/>
      <c r="O173" s="156"/>
      <c r="P173" s="156"/>
      <c r="Q173" s="156"/>
      <c r="R173" s="156"/>
      <c r="S173" s="156"/>
      <c r="T173" s="1"/>
      <c r="U173" s="1"/>
      <c r="V173" s="1"/>
    </row>
    <row r="174" spans="1:22">
      <c r="A174" s="1"/>
      <c r="B174" s="156" t="s">
        <v>68</v>
      </c>
      <c r="C174" s="156"/>
      <c r="D174" s="156"/>
      <c r="E174" s="156"/>
      <c r="F174" s="156"/>
      <c r="G174" s="156"/>
      <c r="H174" s="156"/>
      <c r="I174" s="156"/>
      <c r="J174" s="156"/>
      <c r="K174" s="156"/>
      <c r="L174" s="156"/>
      <c r="M174" s="156"/>
      <c r="N174" s="156"/>
      <c r="O174" s="156"/>
      <c r="P174" s="156"/>
      <c r="Q174" s="156"/>
      <c r="R174" s="156"/>
      <c r="S174" s="156"/>
      <c r="T174" s="1"/>
      <c r="U174" s="1"/>
      <c r="V174" s="1"/>
    </row>
    <row r="175" spans="1:2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21.6" thickBo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21.6" thickTop="1">
      <c r="A177" s="144" t="s">
        <v>69</v>
      </c>
      <c r="B177" s="147" t="s">
        <v>70</v>
      </c>
      <c r="C177" s="148"/>
      <c r="D177" s="148"/>
      <c r="E177" s="149"/>
      <c r="F177" s="157" t="s">
        <v>349</v>
      </c>
      <c r="G177" s="157"/>
      <c r="H177" s="157"/>
      <c r="I177" s="147" t="s">
        <v>71</v>
      </c>
      <c r="J177" s="148"/>
      <c r="K177" s="149"/>
      <c r="L177" s="147" t="s">
        <v>72</v>
      </c>
      <c r="M177" s="148"/>
      <c r="N177" s="149"/>
      <c r="O177" s="147" t="s">
        <v>23</v>
      </c>
      <c r="P177" s="149"/>
      <c r="Q177" s="147" t="s">
        <v>74</v>
      </c>
      <c r="R177" s="148"/>
      <c r="S177" s="148"/>
      <c r="T177" s="148"/>
      <c r="U177" s="149"/>
      <c r="V177" s="134" t="s">
        <v>75</v>
      </c>
    </row>
    <row r="178" spans="1:22" ht="21.6" thickBot="1">
      <c r="A178" s="145"/>
      <c r="B178" s="137"/>
      <c r="C178" s="138"/>
      <c r="D178" s="138"/>
      <c r="E178" s="139"/>
      <c r="F178" s="137" t="s">
        <v>350</v>
      </c>
      <c r="G178" s="138"/>
      <c r="H178" s="139"/>
      <c r="I178" s="137"/>
      <c r="J178" s="138"/>
      <c r="K178" s="139"/>
      <c r="L178" s="137"/>
      <c r="M178" s="138"/>
      <c r="N178" s="139"/>
      <c r="O178" s="137"/>
      <c r="P178" s="139"/>
      <c r="Q178" s="137"/>
      <c r="R178" s="138"/>
      <c r="S178" s="138"/>
      <c r="T178" s="138"/>
      <c r="U178" s="139"/>
      <c r="V178" s="135"/>
    </row>
    <row r="179" spans="1:22" ht="43.2" thickTop="1" thickBot="1">
      <c r="A179" s="146"/>
      <c r="B179" s="4" t="s">
        <v>76</v>
      </c>
      <c r="C179" s="4" t="s">
        <v>35</v>
      </c>
      <c r="D179" s="4" t="s">
        <v>77</v>
      </c>
      <c r="E179" s="4" t="s">
        <v>58</v>
      </c>
      <c r="F179" s="4" t="s">
        <v>76</v>
      </c>
      <c r="G179" s="4" t="s">
        <v>35</v>
      </c>
      <c r="H179" s="4" t="s">
        <v>58</v>
      </c>
      <c r="I179" s="4" t="s">
        <v>76</v>
      </c>
      <c r="J179" s="4" t="s">
        <v>35</v>
      </c>
      <c r="K179" s="4" t="s">
        <v>58</v>
      </c>
      <c r="L179" s="4" t="s">
        <v>78</v>
      </c>
      <c r="M179" s="4" t="s">
        <v>79</v>
      </c>
      <c r="N179" s="4" t="s">
        <v>58</v>
      </c>
      <c r="O179" s="4" t="s">
        <v>37</v>
      </c>
      <c r="P179" s="4" t="s">
        <v>80</v>
      </c>
      <c r="Q179" s="4" t="s">
        <v>36</v>
      </c>
      <c r="R179" s="4" t="s">
        <v>81</v>
      </c>
      <c r="S179" s="99" t="s">
        <v>82</v>
      </c>
      <c r="T179" s="4" t="s">
        <v>83</v>
      </c>
      <c r="U179" s="4" t="s">
        <v>58</v>
      </c>
      <c r="V179" s="136"/>
    </row>
    <row r="180" spans="1:22" ht="22.2" thickTop="1" thickBot="1">
      <c r="A180" s="140" t="s">
        <v>84</v>
      </c>
      <c r="B180" s="141">
        <f>[1]الحضر!G430</f>
        <v>0</v>
      </c>
      <c r="C180" s="141">
        <f>[1]الحضر!H430</f>
        <v>0</v>
      </c>
      <c r="D180" s="141">
        <f>[1]الحضر!I430</f>
        <v>0</v>
      </c>
      <c r="E180" s="141">
        <f>D180+C180+B180</f>
        <v>0</v>
      </c>
      <c r="F180" s="141">
        <f>[1]الحضر!AM430</f>
        <v>0</v>
      </c>
      <c r="G180" s="141">
        <f>[1]الحضر!AN430</f>
        <v>0</v>
      </c>
      <c r="H180" s="141">
        <f>G180+F180</f>
        <v>0</v>
      </c>
      <c r="I180" s="141">
        <f>[1]الحضر!EN430</f>
        <v>0</v>
      </c>
      <c r="J180" s="141">
        <f>[1]الحضر!EO430</f>
        <v>0</v>
      </c>
      <c r="K180" s="141">
        <f>J180+I180</f>
        <v>0</v>
      </c>
      <c r="L180" s="141">
        <f>[1]الحضر!JG430</f>
        <v>0</v>
      </c>
      <c r="M180" s="141">
        <f>[1]الحضر!JH430</f>
        <v>0</v>
      </c>
      <c r="N180" s="141">
        <f>M180+L180</f>
        <v>0</v>
      </c>
      <c r="O180" s="141">
        <f>[1]الحضر!P430</f>
        <v>0</v>
      </c>
      <c r="P180" s="141">
        <f>[1]الحضر!Q430</f>
        <v>0</v>
      </c>
      <c r="Q180" s="141">
        <f>[1]الحضر!L430</f>
        <v>0</v>
      </c>
      <c r="R180" s="141">
        <f>[1]الحضر!M430</f>
        <v>0</v>
      </c>
      <c r="S180" s="141">
        <f>[1]الحضر!N430</f>
        <v>0</v>
      </c>
      <c r="T180" s="141">
        <f>[1]الحضر!O430</f>
        <v>0</v>
      </c>
      <c r="U180" s="141">
        <f>T180+S180+R180+Q180</f>
        <v>0</v>
      </c>
      <c r="V180" s="154">
        <f>[1]الحضر!W430</f>
        <v>0</v>
      </c>
    </row>
    <row r="181" spans="1:22" ht="22.2" thickTop="1" thickBot="1">
      <c r="A181" s="140"/>
      <c r="B181" s="141"/>
      <c r="C181" s="141"/>
      <c r="D181" s="141"/>
      <c r="E181" s="141"/>
      <c r="F181" s="141"/>
      <c r="G181" s="141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  <c r="V181" s="155"/>
    </row>
    <row r="182" spans="1:22" ht="22.2" thickTop="1" thickBot="1">
      <c r="A182" s="140" t="s">
        <v>85</v>
      </c>
      <c r="B182" s="141">
        <f>[1]الريف!G188</f>
        <v>0</v>
      </c>
      <c r="C182" s="141">
        <f>[1]الريف!H188</f>
        <v>0</v>
      </c>
      <c r="D182" s="141">
        <f>[1]الريف!I188</f>
        <v>0</v>
      </c>
      <c r="E182" s="141">
        <f>D182+C182+B182</f>
        <v>0</v>
      </c>
      <c r="F182" s="141">
        <f>[1]الريف!AM188</f>
        <v>0</v>
      </c>
      <c r="G182" s="141">
        <f>[1]الريف!AN188</f>
        <v>0</v>
      </c>
      <c r="H182" s="141">
        <f>G182+F182</f>
        <v>0</v>
      </c>
      <c r="I182" s="141">
        <f>[1]الريف!EN188</f>
        <v>0</v>
      </c>
      <c r="J182" s="141">
        <f>[1]الريف!EO188</f>
        <v>0</v>
      </c>
      <c r="K182" s="141">
        <f>J182+I182</f>
        <v>0</v>
      </c>
      <c r="L182" s="141">
        <f>[1]الريف!JG188</f>
        <v>0</v>
      </c>
      <c r="M182" s="141">
        <f>[1]الريف!JH188</f>
        <v>0</v>
      </c>
      <c r="N182" s="141">
        <f>M182+L182</f>
        <v>0</v>
      </c>
      <c r="O182" s="141">
        <f>[1]الريف!P188</f>
        <v>0</v>
      </c>
      <c r="P182" s="141">
        <f>[1]الريف!Q188</f>
        <v>0</v>
      </c>
      <c r="Q182" s="141">
        <f>[1]الريف!L188</f>
        <v>0</v>
      </c>
      <c r="R182" s="141">
        <f>[1]الريف!M188</f>
        <v>0</v>
      </c>
      <c r="S182" s="141">
        <f>[1]الريف!N188</f>
        <v>0</v>
      </c>
      <c r="T182" s="141">
        <f>[1]الريف!O188</f>
        <v>0</v>
      </c>
      <c r="U182" s="141">
        <f>T182+S182+R182+Q182</f>
        <v>0</v>
      </c>
      <c r="V182" s="154">
        <f>[1]الريف!W188</f>
        <v>0</v>
      </c>
    </row>
    <row r="183" spans="1:22" ht="22.2" thickTop="1" thickBot="1">
      <c r="A183" s="140"/>
      <c r="B183" s="141"/>
      <c r="C183" s="141"/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  <c r="V183" s="155"/>
    </row>
    <row r="184" spans="1:22" ht="22.2" thickTop="1" thickBot="1">
      <c r="A184" s="6" t="s">
        <v>58</v>
      </c>
      <c r="B184" s="7">
        <f t="shared" ref="B184:J184" si="13">SUM(B180:B183)</f>
        <v>0</v>
      </c>
      <c r="C184" s="7">
        <f t="shared" si="13"/>
        <v>0</v>
      </c>
      <c r="D184" s="7">
        <f t="shared" si="13"/>
        <v>0</v>
      </c>
      <c r="E184" s="7">
        <f t="shared" si="13"/>
        <v>0</v>
      </c>
      <c r="F184" s="7">
        <f t="shared" si="13"/>
        <v>0</v>
      </c>
      <c r="G184" s="7">
        <f t="shared" si="13"/>
        <v>0</v>
      </c>
      <c r="H184" s="7">
        <f t="shared" si="13"/>
        <v>0</v>
      </c>
      <c r="I184" s="7">
        <f t="shared" si="13"/>
        <v>0</v>
      </c>
      <c r="J184" s="7">
        <f t="shared" si="13"/>
        <v>0</v>
      </c>
      <c r="K184" s="7">
        <f>J184+I184</f>
        <v>0</v>
      </c>
      <c r="L184" s="7">
        <f t="shared" ref="L184:U184" si="14">SUM(L180:L183)</f>
        <v>0</v>
      </c>
      <c r="M184" s="7">
        <f t="shared" si="14"/>
        <v>0</v>
      </c>
      <c r="N184" s="7">
        <f t="shared" si="14"/>
        <v>0</v>
      </c>
      <c r="O184" s="7">
        <f t="shared" si="14"/>
        <v>0</v>
      </c>
      <c r="P184" s="7">
        <f t="shared" si="14"/>
        <v>0</v>
      </c>
      <c r="Q184" s="7">
        <f t="shared" si="14"/>
        <v>0</v>
      </c>
      <c r="R184" s="7">
        <f t="shared" si="14"/>
        <v>0</v>
      </c>
      <c r="S184" s="7">
        <f t="shared" si="14"/>
        <v>0</v>
      </c>
      <c r="T184" s="7">
        <f t="shared" si="14"/>
        <v>0</v>
      </c>
      <c r="U184" s="7">
        <f t="shared" si="14"/>
        <v>0</v>
      </c>
      <c r="V184" s="8">
        <f>V182+V180</f>
        <v>0</v>
      </c>
    </row>
    <row r="185" spans="1:22" ht="21.6" thickTop="1"/>
    <row r="186" spans="1:22">
      <c r="A186" s="156" t="s">
        <v>62</v>
      </c>
      <c r="B186" s="156"/>
      <c r="C186" s="156"/>
      <c r="D186" s="156"/>
      <c r="E186" s="156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56" t="s">
        <v>93</v>
      </c>
      <c r="S186" s="156"/>
      <c r="T186" s="156"/>
      <c r="U186" s="1"/>
      <c r="V186" s="1"/>
    </row>
    <row r="187" spans="1:22">
      <c r="A187" s="156" t="s">
        <v>64</v>
      </c>
      <c r="B187" s="156"/>
      <c r="C187" s="156"/>
      <c r="D187" s="156"/>
      <c r="E187" s="156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56" t="s">
        <v>65</v>
      </c>
      <c r="S187" s="156"/>
      <c r="T187" s="156"/>
      <c r="U187" s="1"/>
      <c r="V187" s="1"/>
    </row>
    <row r="188" spans="1:2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>
      <c r="A189" s="1"/>
      <c r="B189" s="156" t="s">
        <v>66</v>
      </c>
      <c r="C189" s="156"/>
      <c r="D189" s="156"/>
      <c r="E189" s="156"/>
      <c r="F189" s="156"/>
      <c r="G189" s="156"/>
      <c r="H189" s="156"/>
      <c r="I189" s="156"/>
      <c r="J189" s="156"/>
      <c r="K189" s="156"/>
      <c r="L189" s="156"/>
      <c r="M189" s="156"/>
      <c r="N189" s="156"/>
      <c r="O189" s="156"/>
      <c r="P189" s="156"/>
      <c r="Q189" s="156"/>
      <c r="R189" s="156"/>
      <c r="S189" s="156"/>
      <c r="T189" s="1"/>
      <c r="U189" s="1"/>
      <c r="V189" s="1"/>
    </row>
    <row r="190" spans="1:22">
      <c r="A190" s="1"/>
      <c r="B190" s="156" t="s">
        <v>67</v>
      </c>
      <c r="C190" s="156"/>
      <c r="D190" s="156"/>
      <c r="E190" s="156"/>
      <c r="F190" s="156"/>
      <c r="G190" s="156"/>
      <c r="H190" s="156"/>
      <c r="I190" s="156"/>
      <c r="J190" s="156"/>
      <c r="K190" s="156"/>
      <c r="L190" s="156"/>
      <c r="M190" s="156"/>
      <c r="N190" s="156"/>
      <c r="O190" s="156"/>
      <c r="P190" s="156"/>
      <c r="Q190" s="156"/>
      <c r="R190" s="156"/>
      <c r="S190" s="156"/>
      <c r="T190" s="1"/>
      <c r="U190" s="1"/>
      <c r="V190" s="1"/>
    </row>
    <row r="191" spans="1:22">
      <c r="A191" s="1"/>
      <c r="B191" s="156" t="s">
        <v>68</v>
      </c>
      <c r="C191" s="156"/>
      <c r="D191" s="156"/>
      <c r="E191" s="156"/>
      <c r="F191" s="156"/>
      <c r="G191" s="156"/>
      <c r="H191" s="156"/>
      <c r="I191" s="156"/>
      <c r="J191" s="156"/>
      <c r="K191" s="156"/>
      <c r="L191" s="156"/>
      <c r="M191" s="156"/>
      <c r="N191" s="156"/>
      <c r="O191" s="156"/>
      <c r="P191" s="156"/>
      <c r="Q191" s="156"/>
      <c r="R191" s="156"/>
      <c r="S191" s="156"/>
      <c r="T191" s="1"/>
      <c r="U191" s="1"/>
      <c r="V191" s="1"/>
    </row>
    <row r="192" spans="1:2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21.6" thickBo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21.6" thickTop="1">
      <c r="A194" s="144" t="s">
        <v>69</v>
      </c>
      <c r="B194" s="147" t="s">
        <v>70</v>
      </c>
      <c r="C194" s="148"/>
      <c r="D194" s="148"/>
      <c r="E194" s="149"/>
      <c r="F194" s="157" t="s">
        <v>349</v>
      </c>
      <c r="G194" s="157"/>
      <c r="H194" s="157"/>
      <c r="I194" s="147" t="s">
        <v>71</v>
      </c>
      <c r="J194" s="148"/>
      <c r="K194" s="149"/>
      <c r="L194" s="147" t="s">
        <v>72</v>
      </c>
      <c r="M194" s="148"/>
      <c r="N194" s="149"/>
      <c r="O194" s="147" t="s">
        <v>23</v>
      </c>
      <c r="P194" s="149"/>
      <c r="Q194" s="147" t="s">
        <v>74</v>
      </c>
      <c r="R194" s="148"/>
      <c r="S194" s="148"/>
      <c r="T194" s="148"/>
      <c r="U194" s="149"/>
      <c r="V194" s="134" t="s">
        <v>75</v>
      </c>
    </row>
    <row r="195" spans="1:22" ht="21.6" thickBot="1">
      <c r="A195" s="145"/>
      <c r="B195" s="137"/>
      <c r="C195" s="138"/>
      <c r="D195" s="138"/>
      <c r="E195" s="139"/>
      <c r="F195" s="137" t="s">
        <v>350</v>
      </c>
      <c r="G195" s="138"/>
      <c r="H195" s="139"/>
      <c r="I195" s="137"/>
      <c r="J195" s="138"/>
      <c r="K195" s="139"/>
      <c r="L195" s="137"/>
      <c r="M195" s="138"/>
      <c r="N195" s="139"/>
      <c r="O195" s="137"/>
      <c r="P195" s="139"/>
      <c r="Q195" s="137"/>
      <c r="R195" s="138"/>
      <c r="S195" s="138"/>
      <c r="T195" s="138"/>
      <c r="U195" s="139"/>
      <c r="V195" s="135"/>
    </row>
    <row r="196" spans="1:22" ht="43.2" thickTop="1" thickBot="1">
      <c r="A196" s="146"/>
      <c r="B196" s="4" t="s">
        <v>76</v>
      </c>
      <c r="C196" s="4" t="s">
        <v>35</v>
      </c>
      <c r="D196" s="4" t="s">
        <v>77</v>
      </c>
      <c r="E196" s="4" t="s">
        <v>58</v>
      </c>
      <c r="F196" s="4" t="s">
        <v>76</v>
      </c>
      <c r="G196" s="4" t="s">
        <v>35</v>
      </c>
      <c r="H196" s="4" t="s">
        <v>58</v>
      </c>
      <c r="I196" s="4" t="s">
        <v>76</v>
      </c>
      <c r="J196" s="4" t="s">
        <v>35</v>
      </c>
      <c r="K196" s="4" t="s">
        <v>58</v>
      </c>
      <c r="L196" s="4" t="s">
        <v>78</v>
      </c>
      <c r="M196" s="4" t="s">
        <v>79</v>
      </c>
      <c r="N196" s="4" t="s">
        <v>58</v>
      </c>
      <c r="O196" s="4" t="s">
        <v>37</v>
      </c>
      <c r="P196" s="4" t="s">
        <v>80</v>
      </c>
      <c r="Q196" s="4" t="s">
        <v>36</v>
      </c>
      <c r="R196" s="4" t="s">
        <v>81</v>
      </c>
      <c r="S196" s="99" t="s">
        <v>82</v>
      </c>
      <c r="T196" s="4" t="s">
        <v>83</v>
      </c>
      <c r="U196" s="4" t="s">
        <v>58</v>
      </c>
      <c r="V196" s="136"/>
    </row>
    <row r="197" spans="1:22" ht="22.2" thickTop="1" thickBot="1">
      <c r="A197" s="140" t="s">
        <v>84</v>
      </c>
      <c r="B197" s="169">
        <f>[1]الحضر!G476</f>
        <v>0</v>
      </c>
      <c r="C197" s="169">
        <f>[1]الحضر!H476</f>
        <v>0</v>
      </c>
      <c r="D197" s="169">
        <f>[1]الحضر!I476</f>
        <v>0</v>
      </c>
      <c r="E197" s="141">
        <f>D197+C197+B197</f>
        <v>0</v>
      </c>
      <c r="F197" s="141">
        <f>[1]الحضر!AM476</f>
        <v>0</v>
      </c>
      <c r="G197" s="141">
        <f>[1]الحضر!AN476</f>
        <v>0</v>
      </c>
      <c r="H197" s="141">
        <f>G197+F197</f>
        <v>0</v>
      </c>
      <c r="I197" s="141">
        <f>[1]الحضر!EN476</f>
        <v>0</v>
      </c>
      <c r="J197" s="141">
        <f>[1]الحضر!EO476</f>
        <v>0</v>
      </c>
      <c r="K197" s="141">
        <f>J197+I197</f>
        <v>0</v>
      </c>
      <c r="L197" s="141">
        <f>[1]الحضر!JG476</f>
        <v>0</v>
      </c>
      <c r="M197" s="141">
        <f>[1]الحضر!JH476</f>
        <v>0</v>
      </c>
      <c r="N197" s="141">
        <f>M197+L197</f>
        <v>0</v>
      </c>
      <c r="O197" s="141">
        <f>[1]الحضر!P476</f>
        <v>0</v>
      </c>
      <c r="P197" s="141">
        <f>[1]الحضر!Q476</f>
        <v>0</v>
      </c>
      <c r="Q197" s="141">
        <f>[1]الحضر!L476</f>
        <v>0</v>
      </c>
      <c r="R197" s="141">
        <f>[1]الحضر!M476</f>
        <v>0</v>
      </c>
      <c r="S197" s="141">
        <f>[1]الحضر!N476</f>
        <v>0</v>
      </c>
      <c r="T197" s="141">
        <f>[1]الحضر!O476</f>
        <v>0</v>
      </c>
      <c r="U197" s="141">
        <f>T197+S197+R197+Q197</f>
        <v>0</v>
      </c>
      <c r="V197" s="154">
        <f>[1]الحضر!W476</f>
        <v>0</v>
      </c>
    </row>
    <row r="198" spans="1:22" ht="22.2" thickTop="1" thickBot="1">
      <c r="A198" s="140"/>
      <c r="B198" s="141"/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55"/>
    </row>
    <row r="199" spans="1:22" ht="22.2" thickTop="1" thickBot="1">
      <c r="A199" s="140" t="s">
        <v>85</v>
      </c>
      <c r="B199" s="169">
        <f>[1]الريف!G217</f>
        <v>0</v>
      </c>
      <c r="C199" s="169">
        <f>[1]الريف!H217</f>
        <v>0</v>
      </c>
      <c r="D199" s="169">
        <f>[1]الريف!I217</f>
        <v>0</v>
      </c>
      <c r="E199" s="141">
        <f>D199+C199+B199</f>
        <v>0</v>
      </c>
      <c r="F199" s="141">
        <f>[1]الريف!AM217</f>
        <v>0</v>
      </c>
      <c r="G199" s="141">
        <f>[1]الريف!AN217</f>
        <v>0</v>
      </c>
      <c r="H199" s="141">
        <f>G199+F199</f>
        <v>0</v>
      </c>
      <c r="I199" s="141">
        <f>[1]الريف!EN217</f>
        <v>0</v>
      </c>
      <c r="J199" s="141">
        <f>[1]الريف!EO217</f>
        <v>0</v>
      </c>
      <c r="K199" s="141">
        <f>J199+I199</f>
        <v>0</v>
      </c>
      <c r="L199" s="141">
        <f>[1]الريف!JG217</f>
        <v>0</v>
      </c>
      <c r="M199" s="141">
        <f>[1]الريف!JH217</f>
        <v>0</v>
      </c>
      <c r="N199" s="141">
        <f>M199+L199</f>
        <v>0</v>
      </c>
      <c r="O199" s="141">
        <f>[1]الريف!P217</f>
        <v>0</v>
      </c>
      <c r="P199" s="141">
        <f>[1]الريف!Q217</f>
        <v>0</v>
      </c>
      <c r="Q199" s="141">
        <f>[1]الريف!L217</f>
        <v>0</v>
      </c>
      <c r="R199" s="141">
        <f>[1]الريف!M217</f>
        <v>0</v>
      </c>
      <c r="S199" s="141">
        <f>[1]الريف!N217</f>
        <v>0</v>
      </c>
      <c r="T199" s="141">
        <f>[1]الريف!O217</f>
        <v>0</v>
      </c>
      <c r="U199" s="141">
        <f>T199+S199+R199+Q199</f>
        <v>0</v>
      </c>
      <c r="V199" s="154">
        <f>[1]الريف!W217</f>
        <v>0</v>
      </c>
    </row>
    <row r="200" spans="1:22" ht="22.2" thickTop="1" thickBot="1">
      <c r="A200" s="140"/>
      <c r="B200" s="141"/>
      <c r="C200" s="141"/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  <c r="U200" s="141"/>
      <c r="V200" s="155"/>
    </row>
    <row r="201" spans="1:22" ht="22.2" thickTop="1" thickBot="1">
      <c r="A201" s="6" t="s">
        <v>58</v>
      </c>
      <c r="B201" s="7">
        <f t="shared" ref="B201:J201" si="15">SUM(B197:B200)</f>
        <v>0</v>
      </c>
      <c r="C201" s="7">
        <f t="shared" si="15"/>
        <v>0</v>
      </c>
      <c r="D201" s="7">
        <f t="shared" si="15"/>
        <v>0</v>
      </c>
      <c r="E201" s="7">
        <f t="shared" si="15"/>
        <v>0</v>
      </c>
      <c r="F201" s="7">
        <f t="shared" si="15"/>
        <v>0</v>
      </c>
      <c r="G201" s="7">
        <f t="shared" si="15"/>
        <v>0</v>
      </c>
      <c r="H201" s="7">
        <f t="shared" si="15"/>
        <v>0</v>
      </c>
      <c r="I201" s="7">
        <f t="shared" si="15"/>
        <v>0</v>
      </c>
      <c r="J201" s="7">
        <f t="shared" si="15"/>
        <v>0</v>
      </c>
      <c r="K201" s="7">
        <f>J201+I201</f>
        <v>0</v>
      </c>
      <c r="L201" s="7">
        <f t="shared" ref="L201:U201" si="16">SUM(L197:L200)</f>
        <v>0</v>
      </c>
      <c r="M201" s="7">
        <f t="shared" si="16"/>
        <v>0</v>
      </c>
      <c r="N201" s="7">
        <f t="shared" si="16"/>
        <v>0</v>
      </c>
      <c r="O201" s="7">
        <f t="shared" si="16"/>
        <v>0</v>
      </c>
      <c r="P201" s="7">
        <f t="shared" si="16"/>
        <v>0</v>
      </c>
      <c r="Q201" s="7">
        <f t="shared" si="16"/>
        <v>0</v>
      </c>
      <c r="R201" s="7">
        <f t="shared" si="16"/>
        <v>0</v>
      </c>
      <c r="S201" s="7">
        <f t="shared" si="16"/>
        <v>0</v>
      </c>
      <c r="T201" s="7">
        <f t="shared" si="16"/>
        <v>0</v>
      </c>
      <c r="U201" s="7">
        <f t="shared" si="16"/>
        <v>0</v>
      </c>
      <c r="V201" s="8">
        <f>V199+V197</f>
        <v>0</v>
      </c>
    </row>
    <row r="202" spans="1:22" ht="21.6" thickTop="1"/>
    <row r="203" spans="1:22">
      <c r="A203" s="156" t="s">
        <v>62</v>
      </c>
      <c r="B203" s="156"/>
      <c r="C203" s="156"/>
      <c r="D203" s="156"/>
      <c r="E203" s="156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56" t="s">
        <v>94</v>
      </c>
      <c r="R203" s="156"/>
      <c r="S203" s="156"/>
      <c r="T203" s="156"/>
      <c r="U203" s="1"/>
      <c r="V203" s="1"/>
    </row>
    <row r="204" spans="1:22">
      <c r="A204" s="156" t="s">
        <v>64</v>
      </c>
      <c r="B204" s="156"/>
      <c r="C204" s="156"/>
      <c r="D204" s="156"/>
      <c r="E204" s="156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56" t="s">
        <v>65</v>
      </c>
      <c r="R204" s="156"/>
      <c r="S204" s="156"/>
      <c r="T204" s="156"/>
      <c r="U204" s="1"/>
      <c r="V204" s="1"/>
    </row>
    <row r="205" spans="1:2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>
      <c r="A206" s="1"/>
      <c r="B206" s="156" t="s">
        <v>66</v>
      </c>
      <c r="C206" s="156"/>
      <c r="D206" s="156"/>
      <c r="E206" s="156"/>
      <c r="F206" s="156"/>
      <c r="G206" s="156"/>
      <c r="H206" s="156"/>
      <c r="I206" s="156"/>
      <c r="J206" s="156"/>
      <c r="K206" s="156"/>
      <c r="L206" s="156"/>
      <c r="M206" s="156"/>
      <c r="N206" s="156"/>
      <c r="O206" s="156"/>
      <c r="P206" s="156"/>
      <c r="Q206" s="156"/>
      <c r="R206" s="156"/>
      <c r="S206" s="156"/>
      <c r="T206" s="1"/>
      <c r="U206" s="1"/>
      <c r="V206" s="1"/>
    </row>
    <row r="207" spans="1:22">
      <c r="A207" s="1"/>
      <c r="B207" s="156" t="s">
        <v>67</v>
      </c>
      <c r="C207" s="156"/>
      <c r="D207" s="156"/>
      <c r="E207" s="156"/>
      <c r="F207" s="156"/>
      <c r="G207" s="156"/>
      <c r="H207" s="156"/>
      <c r="I207" s="156"/>
      <c r="J207" s="156"/>
      <c r="K207" s="156"/>
      <c r="L207" s="156"/>
      <c r="M207" s="156"/>
      <c r="N207" s="156"/>
      <c r="O207" s="156"/>
      <c r="P207" s="156"/>
      <c r="Q207" s="156"/>
      <c r="R207" s="156"/>
      <c r="S207" s="156"/>
      <c r="T207" s="1"/>
      <c r="U207" s="1"/>
      <c r="V207" s="1"/>
    </row>
    <row r="208" spans="1:22">
      <c r="A208" s="1"/>
      <c r="B208" s="156" t="s">
        <v>68</v>
      </c>
      <c r="C208" s="156"/>
      <c r="D208" s="156"/>
      <c r="E208" s="156"/>
      <c r="F208" s="156"/>
      <c r="G208" s="156"/>
      <c r="H208" s="156"/>
      <c r="I208" s="156"/>
      <c r="J208" s="156"/>
      <c r="K208" s="156"/>
      <c r="L208" s="156"/>
      <c r="M208" s="156"/>
      <c r="N208" s="156"/>
      <c r="O208" s="156"/>
      <c r="P208" s="156"/>
      <c r="Q208" s="156"/>
      <c r="R208" s="156"/>
      <c r="S208" s="156"/>
      <c r="T208" s="1"/>
      <c r="U208" s="1"/>
      <c r="V208" s="1"/>
    </row>
    <row r="209" spans="1:2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21.6" thickBo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21.6" thickTop="1">
      <c r="A211" s="144" t="s">
        <v>69</v>
      </c>
      <c r="B211" s="147" t="s">
        <v>70</v>
      </c>
      <c r="C211" s="148"/>
      <c r="D211" s="148"/>
      <c r="E211" s="149"/>
      <c r="F211" s="157" t="s">
        <v>349</v>
      </c>
      <c r="G211" s="157"/>
      <c r="H211" s="157"/>
      <c r="I211" s="147" t="s">
        <v>71</v>
      </c>
      <c r="J211" s="148"/>
      <c r="K211" s="149"/>
      <c r="L211" s="147" t="s">
        <v>72</v>
      </c>
      <c r="M211" s="148"/>
      <c r="N211" s="149"/>
      <c r="O211" s="147" t="s">
        <v>23</v>
      </c>
      <c r="P211" s="149"/>
      <c r="Q211" s="147" t="s">
        <v>74</v>
      </c>
      <c r="R211" s="148"/>
      <c r="S211" s="148"/>
      <c r="T211" s="148"/>
      <c r="U211" s="148"/>
      <c r="V211" s="134" t="s">
        <v>75</v>
      </c>
    </row>
    <row r="212" spans="1:22" ht="21.6" thickBot="1">
      <c r="A212" s="145"/>
      <c r="B212" s="137"/>
      <c r="C212" s="138"/>
      <c r="D212" s="138"/>
      <c r="E212" s="139"/>
      <c r="F212" s="137" t="s">
        <v>350</v>
      </c>
      <c r="G212" s="138"/>
      <c r="H212" s="139"/>
      <c r="I212" s="137"/>
      <c r="J212" s="138"/>
      <c r="K212" s="139"/>
      <c r="L212" s="137"/>
      <c r="M212" s="138"/>
      <c r="N212" s="139"/>
      <c r="O212" s="137"/>
      <c r="P212" s="139"/>
      <c r="Q212" s="137"/>
      <c r="R212" s="138"/>
      <c r="S212" s="138"/>
      <c r="T212" s="138"/>
      <c r="U212" s="138"/>
      <c r="V212" s="135"/>
    </row>
    <row r="213" spans="1:22" ht="43.2" thickTop="1" thickBot="1">
      <c r="A213" s="146"/>
      <c r="B213" s="4" t="s">
        <v>76</v>
      </c>
      <c r="C213" s="4" t="s">
        <v>35</v>
      </c>
      <c r="D213" s="4" t="s">
        <v>77</v>
      </c>
      <c r="E213" s="4" t="s">
        <v>58</v>
      </c>
      <c r="F213" s="4" t="s">
        <v>76</v>
      </c>
      <c r="G213" s="4" t="s">
        <v>35</v>
      </c>
      <c r="H213" s="4" t="s">
        <v>58</v>
      </c>
      <c r="I213" s="4" t="s">
        <v>76</v>
      </c>
      <c r="J213" s="4" t="s">
        <v>35</v>
      </c>
      <c r="K213" s="4" t="s">
        <v>58</v>
      </c>
      <c r="L213" s="4" t="s">
        <v>78</v>
      </c>
      <c r="M213" s="4" t="s">
        <v>79</v>
      </c>
      <c r="N213" s="4" t="s">
        <v>58</v>
      </c>
      <c r="O213" s="4" t="s">
        <v>37</v>
      </c>
      <c r="P213" s="4" t="s">
        <v>80</v>
      </c>
      <c r="Q213" s="4" t="s">
        <v>36</v>
      </c>
      <c r="R213" s="4" t="s">
        <v>81</v>
      </c>
      <c r="S213" s="99" t="s">
        <v>82</v>
      </c>
      <c r="T213" s="4" t="s">
        <v>83</v>
      </c>
      <c r="U213" s="95" t="s">
        <v>58</v>
      </c>
      <c r="V213" s="136"/>
    </row>
    <row r="214" spans="1:22" ht="22.2" thickTop="1" thickBot="1">
      <c r="A214" s="140" t="s">
        <v>84</v>
      </c>
      <c r="B214" s="141">
        <f>[1]الحضر!G458</f>
        <v>0</v>
      </c>
      <c r="C214" s="141">
        <f>[1]الحضر!H458</f>
        <v>0</v>
      </c>
      <c r="D214" s="141">
        <f>[1]الحضر!I458</f>
        <v>0</v>
      </c>
      <c r="E214" s="141">
        <f>D214+C214+B214</f>
        <v>0</v>
      </c>
      <c r="F214" s="169">
        <f>[1]الحضر!AM458</f>
        <v>0</v>
      </c>
      <c r="G214" s="169">
        <f>[1]الحضر!AN458</f>
        <v>0</v>
      </c>
      <c r="H214" s="141">
        <f>G214+F214</f>
        <v>0</v>
      </c>
      <c r="I214" s="141">
        <f>[1]الحضر!EN458</f>
        <v>0</v>
      </c>
      <c r="J214" s="141">
        <f>[1]الحضر!EO458</f>
        <v>0</v>
      </c>
      <c r="K214" s="141">
        <f>J214+I214</f>
        <v>0</v>
      </c>
      <c r="L214" s="141">
        <f>[1]الحضر!JG458</f>
        <v>0</v>
      </c>
      <c r="M214" s="141">
        <f>[1]الحضر!JH458</f>
        <v>0</v>
      </c>
      <c r="N214" s="141">
        <f>M214+L214</f>
        <v>0</v>
      </c>
      <c r="O214" s="141">
        <f>[1]الحضر!P458</f>
        <v>0</v>
      </c>
      <c r="P214" s="141">
        <f>[1]الحضر!Q458</f>
        <v>0</v>
      </c>
      <c r="Q214" s="141">
        <f>[1]الحضر!L458</f>
        <v>0</v>
      </c>
      <c r="R214" s="141">
        <f>[1]الحضر!M458</f>
        <v>0</v>
      </c>
      <c r="S214" s="141">
        <f>[1]الحضر!N458</f>
        <v>0</v>
      </c>
      <c r="T214" s="141">
        <f>[1]الحضر!O458</f>
        <v>0</v>
      </c>
      <c r="U214" s="170">
        <f>T214+S214+R214+Q214</f>
        <v>0</v>
      </c>
      <c r="V214" s="171">
        <f>[1]الحضر!W458</f>
        <v>0</v>
      </c>
    </row>
    <row r="215" spans="1:22" ht="22.2" thickTop="1" thickBot="1">
      <c r="A215" s="140"/>
      <c r="B215" s="141"/>
      <c r="C215" s="141"/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1"/>
      <c r="S215" s="141"/>
      <c r="T215" s="141"/>
      <c r="U215" s="170"/>
      <c r="V215" s="172"/>
    </row>
    <row r="216" spans="1:22" ht="22.2" thickTop="1" thickBot="1">
      <c r="A216" s="140" t="s">
        <v>85</v>
      </c>
      <c r="B216" s="141">
        <f>[1]الريف!G192</f>
        <v>0</v>
      </c>
      <c r="C216" s="141">
        <f>[1]الريف!H192</f>
        <v>0</v>
      </c>
      <c r="D216" s="141">
        <f>[1]الريف!I192</f>
        <v>0</v>
      </c>
      <c r="E216" s="141">
        <f>D216+C216+B216</f>
        <v>0</v>
      </c>
      <c r="F216" s="169">
        <f>[1]الريف!AM192</f>
        <v>0</v>
      </c>
      <c r="G216" s="169">
        <f>[1]الريف!AN192</f>
        <v>0</v>
      </c>
      <c r="H216" s="141">
        <f>G216+F216</f>
        <v>0</v>
      </c>
      <c r="I216" s="141">
        <f>[1]الريف!EN192</f>
        <v>0</v>
      </c>
      <c r="J216" s="141">
        <f>[1]الريف!EO192</f>
        <v>0</v>
      </c>
      <c r="K216" s="141">
        <f>J216+I216</f>
        <v>0</v>
      </c>
      <c r="L216" s="141">
        <f>[1]الريف!JG192</f>
        <v>0</v>
      </c>
      <c r="M216" s="141">
        <f>[1]الريف!JH192</f>
        <v>0</v>
      </c>
      <c r="N216" s="141">
        <f>M216+L216</f>
        <v>0</v>
      </c>
      <c r="O216" s="141">
        <f>[1]الريف!P192</f>
        <v>0</v>
      </c>
      <c r="P216" s="141">
        <f>[1]الريف!Q192</f>
        <v>0</v>
      </c>
      <c r="Q216" s="141">
        <f>[1]الريف!L192</f>
        <v>0</v>
      </c>
      <c r="R216" s="141">
        <f>[1]الريف!M192</f>
        <v>0</v>
      </c>
      <c r="S216" s="141">
        <f>[1]الريف!N192</f>
        <v>0</v>
      </c>
      <c r="T216" s="141">
        <f>[1]الريف!O192</f>
        <v>0</v>
      </c>
      <c r="U216" s="170">
        <f>T216+S216+R216+Q216</f>
        <v>0</v>
      </c>
      <c r="V216" s="171">
        <f>[1]الريف!W192</f>
        <v>0</v>
      </c>
    </row>
    <row r="217" spans="1:22" ht="22.2" thickTop="1" thickBot="1">
      <c r="A217" s="140"/>
      <c r="B217" s="141"/>
      <c r="C217" s="141"/>
      <c r="D217" s="141"/>
      <c r="E217" s="141"/>
      <c r="F217" s="141"/>
      <c r="G217" s="141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1"/>
      <c r="S217" s="141"/>
      <c r="T217" s="141"/>
      <c r="U217" s="170"/>
      <c r="V217" s="172"/>
    </row>
    <row r="218" spans="1:22" ht="22.2" thickTop="1" thickBot="1">
      <c r="A218" s="6" t="s">
        <v>58</v>
      </c>
      <c r="B218" s="7">
        <f t="shared" ref="B218:J218" si="17">SUM(B214:B217)</f>
        <v>0</v>
      </c>
      <c r="C218" s="7">
        <f t="shared" si="17"/>
        <v>0</v>
      </c>
      <c r="D218" s="7">
        <f t="shared" si="17"/>
        <v>0</v>
      </c>
      <c r="E218" s="7">
        <f t="shared" si="17"/>
        <v>0</v>
      </c>
      <c r="F218" s="7">
        <f t="shared" si="17"/>
        <v>0</v>
      </c>
      <c r="G218" s="7">
        <f t="shared" si="17"/>
        <v>0</v>
      </c>
      <c r="H218" s="7">
        <f t="shared" si="17"/>
        <v>0</v>
      </c>
      <c r="I218" s="7">
        <f t="shared" si="17"/>
        <v>0</v>
      </c>
      <c r="J218" s="7">
        <f t="shared" si="17"/>
        <v>0</v>
      </c>
      <c r="K218" s="7">
        <f>J218+I218</f>
        <v>0</v>
      </c>
      <c r="L218" s="7">
        <f t="shared" ref="L218:U218" si="18">SUM(L214:L217)</f>
        <v>0</v>
      </c>
      <c r="M218" s="7">
        <f t="shared" si="18"/>
        <v>0</v>
      </c>
      <c r="N218" s="7">
        <f t="shared" si="18"/>
        <v>0</v>
      </c>
      <c r="O218" s="7">
        <f t="shared" si="18"/>
        <v>0</v>
      </c>
      <c r="P218" s="7">
        <f t="shared" si="18"/>
        <v>0</v>
      </c>
      <c r="Q218" s="7">
        <f t="shared" si="18"/>
        <v>0</v>
      </c>
      <c r="R218" s="7">
        <f t="shared" si="18"/>
        <v>0</v>
      </c>
      <c r="S218" s="7">
        <f t="shared" si="18"/>
        <v>0</v>
      </c>
      <c r="T218" s="7">
        <f t="shared" si="18"/>
        <v>0</v>
      </c>
      <c r="U218" s="96">
        <f t="shared" si="18"/>
        <v>0</v>
      </c>
      <c r="V218" s="101">
        <f>V216+V214</f>
        <v>0</v>
      </c>
    </row>
    <row r="219" spans="1:22" ht="21.6" thickTop="1"/>
    <row r="220" spans="1:22">
      <c r="A220" s="156" t="s">
        <v>62</v>
      </c>
      <c r="B220" s="156"/>
      <c r="C220" s="156"/>
      <c r="D220" s="156"/>
      <c r="E220" s="156"/>
      <c r="F220" s="156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56" t="s">
        <v>95</v>
      </c>
      <c r="R220" s="156"/>
      <c r="S220" s="156"/>
      <c r="T220" s="156"/>
      <c r="U220" s="1"/>
      <c r="V220" s="1"/>
    </row>
    <row r="221" spans="1:22">
      <c r="A221" s="156" t="s">
        <v>64</v>
      </c>
      <c r="B221" s="156"/>
      <c r="C221" s="156"/>
      <c r="D221" s="156"/>
      <c r="E221" s="156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56" t="s">
        <v>65</v>
      </c>
      <c r="R221" s="156"/>
      <c r="S221" s="156"/>
      <c r="T221" s="156"/>
      <c r="U221" s="1"/>
      <c r="V221" s="1"/>
    </row>
    <row r="222" spans="1: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>
      <c r="A223" s="1"/>
      <c r="B223" s="156" t="s">
        <v>66</v>
      </c>
      <c r="C223" s="156"/>
      <c r="D223" s="156"/>
      <c r="E223" s="156"/>
      <c r="F223" s="156"/>
      <c r="G223" s="156"/>
      <c r="H223" s="156"/>
      <c r="I223" s="156"/>
      <c r="J223" s="156"/>
      <c r="K223" s="156"/>
      <c r="L223" s="156"/>
      <c r="M223" s="156"/>
      <c r="N223" s="156"/>
      <c r="O223" s="156"/>
      <c r="P223" s="156"/>
      <c r="Q223" s="156"/>
      <c r="R223" s="156"/>
      <c r="S223" s="156"/>
      <c r="T223" s="1"/>
      <c r="U223" s="1"/>
      <c r="V223" s="1"/>
    </row>
    <row r="224" spans="1:22">
      <c r="A224" s="1"/>
      <c r="B224" s="156" t="s">
        <v>67</v>
      </c>
      <c r="C224" s="156"/>
      <c r="D224" s="156"/>
      <c r="E224" s="156"/>
      <c r="F224" s="156"/>
      <c r="G224" s="156"/>
      <c r="H224" s="156"/>
      <c r="I224" s="156"/>
      <c r="J224" s="156"/>
      <c r="K224" s="156"/>
      <c r="L224" s="156"/>
      <c r="M224" s="156"/>
      <c r="N224" s="156"/>
      <c r="O224" s="156"/>
      <c r="P224" s="156"/>
      <c r="Q224" s="156"/>
      <c r="R224" s="156"/>
      <c r="S224" s="156"/>
      <c r="T224" s="1"/>
      <c r="U224" s="1"/>
      <c r="V224" s="1"/>
    </row>
    <row r="225" spans="1:22">
      <c r="A225" s="1"/>
      <c r="B225" s="156" t="s">
        <v>68</v>
      </c>
      <c r="C225" s="156"/>
      <c r="D225" s="156"/>
      <c r="E225" s="156"/>
      <c r="F225" s="156"/>
      <c r="G225" s="156"/>
      <c r="H225" s="156"/>
      <c r="I225" s="156"/>
      <c r="J225" s="156"/>
      <c r="K225" s="156"/>
      <c r="L225" s="156"/>
      <c r="M225" s="156"/>
      <c r="N225" s="156"/>
      <c r="O225" s="156"/>
      <c r="P225" s="156"/>
      <c r="Q225" s="156"/>
      <c r="R225" s="156"/>
      <c r="S225" s="156"/>
      <c r="T225" s="1"/>
      <c r="U225" s="1"/>
      <c r="V225" s="1"/>
    </row>
    <row r="226" spans="1:2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21.6" thickBo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21.6" thickTop="1">
      <c r="A228" s="173" t="s">
        <v>69</v>
      </c>
      <c r="B228" s="147" t="s">
        <v>70</v>
      </c>
      <c r="C228" s="148"/>
      <c r="D228" s="148"/>
      <c r="E228" s="149"/>
      <c r="F228" s="157" t="s">
        <v>349</v>
      </c>
      <c r="G228" s="157"/>
      <c r="H228" s="157"/>
      <c r="I228" s="147" t="s">
        <v>71</v>
      </c>
      <c r="J228" s="148"/>
      <c r="K228" s="149"/>
      <c r="L228" s="147" t="s">
        <v>72</v>
      </c>
      <c r="M228" s="148"/>
      <c r="N228" s="149"/>
      <c r="O228" s="147" t="s">
        <v>23</v>
      </c>
      <c r="P228" s="149"/>
      <c r="Q228" s="147" t="s">
        <v>74</v>
      </c>
      <c r="R228" s="148"/>
      <c r="S228" s="148"/>
      <c r="T228" s="148"/>
      <c r="U228" s="149"/>
      <c r="V228" s="134" t="s">
        <v>75</v>
      </c>
    </row>
    <row r="229" spans="1:22" ht="21.6" thickBot="1">
      <c r="A229" s="174"/>
      <c r="B229" s="137"/>
      <c r="C229" s="138"/>
      <c r="D229" s="138"/>
      <c r="E229" s="139"/>
      <c r="F229" s="137" t="s">
        <v>350</v>
      </c>
      <c r="G229" s="138"/>
      <c r="H229" s="139"/>
      <c r="I229" s="137"/>
      <c r="J229" s="138"/>
      <c r="K229" s="139"/>
      <c r="L229" s="137"/>
      <c r="M229" s="138"/>
      <c r="N229" s="139"/>
      <c r="O229" s="137"/>
      <c r="P229" s="139"/>
      <c r="Q229" s="137"/>
      <c r="R229" s="138"/>
      <c r="S229" s="138"/>
      <c r="T229" s="138"/>
      <c r="U229" s="139"/>
      <c r="V229" s="135"/>
    </row>
    <row r="230" spans="1:22" ht="43.2" thickTop="1" thickBot="1">
      <c r="A230" s="175"/>
      <c r="B230" s="4" t="s">
        <v>76</v>
      </c>
      <c r="C230" s="4" t="s">
        <v>35</v>
      </c>
      <c r="D230" s="4" t="s">
        <v>77</v>
      </c>
      <c r="E230" s="4" t="s">
        <v>58</v>
      </c>
      <c r="F230" s="4" t="s">
        <v>76</v>
      </c>
      <c r="G230" s="4" t="s">
        <v>35</v>
      </c>
      <c r="H230" s="4" t="s">
        <v>58</v>
      </c>
      <c r="I230" s="4" t="s">
        <v>76</v>
      </c>
      <c r="J230" s="4" t="s">
        <v>35</v>
      </c>
      <c r="K230" s="4" t="s">
        <v>58</v>
      </c>
      <c r="L230" s="4" t="s">
        <v>78</v>
      </c>
      <c r="M230" s="4" t="s">
        <v>79</v>
      </c>
      <c r="N230" s="4" t="s">
        <v>58</v>
      </c>
      <c r="O230" s="4" t="s">
        <v>37</v>
      </c>
      <c r="P230" s="4" t="s">
        <v>80</v>
      </c>
      <c r="Q230" s="4" t="s">
        <v>36</v>
      </c>
      <c r="R230" s="4" t="s">
        <v>81</v>
      </c>
      <c r="S230" s="99" t="s">
        <v>82</v>
      </c>
      <c r="T230" s="4" t="s">
        <v>83</v>
      </c>
      <c r="U230" s="4" t="s">
        <v>58</v>
      </c>
      <c r="V230" s="136"/>
    </row>
    <row r="231" spans="1:22" ht="22.2" thickTop="1" thickBot="1">
      <c r="A231" s="140" t="s">
        <v>84</v>
      </c>
      <c r="B231" s="169">
        <f>[1]الحضر!G475</f>
        <v>0</v>
      </c>
      <c r="C231" s="169">
        <f>[1]الحضر!H475</f>
        <v>0</v>
      </c>
      <c r="D231" s="169">
        <f>[1]الحضر!I475</f>
        <v>0</v>
      </c>
      <c r="E231" s="141">
        <f>D231+C231+B231</f>
        <v>0</v>
      </c>
      <c r="F231" s="169">
        <f>[1]الحضر!AM475</f>
        <v>0</v>
      </c>
      <c r="G231" s="169">
        <f>[1]الحضر!AN475</f>
        <v>0</v>
      </c>
      <c r="H231" s="141">
        <f>G231+F231</f>
        <v>0</v>
      </c>
      <c r="I231" s="169">
        <f>[1]الحضر!EN475</f>
        <v>0</v>
      </c>
      <c r="J231" s="169">
        <f>[1]الحضر!EO475</f>
        <v>0</v>
      </c>
      <c r="K231" s="141">
        <f>J231+I231</f>
        <v>0</v>
      </c>
      <c r="L231" s="169">
        <f>[1]الحضر!JG475</f>
        <v>0</v>
      </c>
      <c r="M231" s="169">
        <f>[1]الحضر!JH475</f>
        <v>0</v>
      </c>
      <c r="N231" s="141">
        <f>M231+L231</f>
        <v>0</v>
      </c>
      <c r="O231" s="169">
        <f>[1]الحضر!P475</f>
        <v>0</v>
      </c>
      <c r="P231" s="169">
        <f>[1]الحضر!Q475</f>
        <v>0</v>
      </c>
      <c r="Q231" s="169">
        <f>[1]الحضر!L475</f>
        <v>0</v>
      </c>
      <c r="R231" s="169">
        <f>[1]الحضر!M475</f>
        <v>0</v>
      </c>
      <c r="S231" s="169">
        <f>[1]الحضر!N475</f>
        <v>0</v>
      </c>
      <c r="T231" s="169">
        <f>[1]الحضر!O475</f>
        <v>0</v>
      </c>
      <c r="U231" s="141">
        <f>T231+S231+R231+Q231</f>
        <v>0</v>
      </c>
      <c r="V231" s="176">
        <f>[1]الحضر!W475</f>
        <v>0</v>
      </c>
    </row>
    <row r="232" spans="1:22" ht="22.2" thickTop="1" thickBot="1">
      <c r="A232" s="140"/>
      <c r="B232" s="141"/>
      <c r="C232" s="141"/>
      <c r="D232" s="141"/>
      <c r="E232" s="141"/>
      <c r="F232" s="141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/>
      <c r="Q232" s="141"/>
      <c r="R232" s="141"/>
      <c r="S232" s="141"/>
      <c r="T232" s="141"/>
      <c r="U232" s="141"/>
      <c r="V232" s="155"/>
    </row>
    <row r="233" spans="1:22" ht="22.2" thickTop="1" thickBot="1">
      <c r="A233" s="140" t="s">
        <v>85</v>
      </c>
      <c r="B233" s="169">
        <f>[1]الريف!G216</f>
        <v>0</v>
      </c>
      <c r="C233" s="169">
        <f>[1]الريف!H216</f>
        <v>0</v>
      </c>
      <c r="D233" s="169">
        <f>[1]الريف!I216</f>
        <v>0</v>
      </c>
      <c r="E233" s="141">
        <f>D233+C233+B233</f>
        <v>0</v>
      </c>
      <c r="F233" s="169">
        <f>[1]الريف!AM216</f>
        <v>0</v>
      </c>
      <c r="G233" s="169">
        <f>[1]الريف!AN216</f>
        <v>0</v>
      </c>
      <c r="H233" s="141">
        <f>G233+F233</f>
        <v>0</v>
      </c>
      <c r="I233" s="169">
        <f>[1]الريف!EN216</f>
        <v>0</v>
      </c>
      <c r="J233" s="169">
        <f>[1]الريف!EO216</f>
        <v>0</v>
      </c>
      <c r="K233" s="141">
        <f>J233+I233</f>
        <v>0</v>
      </c>
      <c r="L233" s="169">
        <f>[1]الريف!JG216</f>
        <v>0</v>
      </c>
      <c r="M233" s="169">
        <f>[1]الريف!JH216</f>
        <v>0</v>
      </c>
      <c r="N233" s="141">
        <f>M233+L233</f>
        <v>0</v>
      </c>
      <c r="O233" s="169">
        <f>[1]الريف!P216</f>
        <v>0</v>
      </c>
      <c r="P233" s="169">
        <f>[1]الريف!Q216</f>
        <v>0</v>
      </c>
      <c r="Q233" s="169">
        <f>[1]الريف!L216</f>
        <v>0</v>
      </c>
      <c r="R233" s="169">
        <f>[1]الريف!M216</f>
        <v>0</v>
      </c>
      <c r="S233" s="169">
        <f>[1]الريف!N216</f>
        <v>0</v>
      </c>
      <c r="T233" s="169">
        <f>[1]الريف!O216</f>
        <v>0</v>
      </c>
      <c r="U233" s="141">
        <f>T233+S233+R233+Q233</f>
        <v>0</v>
      </c>
      <c r="V233" s="176">
        <f>[1]الريف!W216</f>
        <v>0</v>
      </c>
    </row>
    <row r="234" spans="1:22" ht="22.2" thickTop="1" thickBot="1">
      <c r="A234" s="140"/>
      <c r="B234" s="141"/>
      <c r="C234" s="141"/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41"/>
      <c r="S234" s="141"/>
      <c r="T234" s="141"/>
      <c r="U234" s="141"/>
      <c r="V234" s="155"/>
    </row>
    <row r="235" spans="1:22" ht="22.2" thickTop="1" thickBot="1">
      <c r="A235" s="6" t="s">
        <v>58</v>
      </c>
      <c r="B235" s="7">
        <f t="shared" ref="B235:J235" si="19">SUM(B231:B234)</f>
        <v>0</v>
      </c>
      <c r="C235" s="7">
        <f t="shared" si="19"/>
        <v>0</v>
      </c>
      <c r="D235" s="7">
        <f t="shared" si="19"/>
        <v>0</v>
      </c>
      <c r="E235" s="7">
        <f t="shared" si="19"/>
        <v>0</v>
      </c>
      <c r="F235" s="7">
        <f t="shared" si="19"/>
        <v>0</v>
      </c>
      <c r="G235" s="7">
        <f t="shared" si="19"/>
        <v>0</v>
      </c>
      <c r="H235" s="7">
        <f t="shared" si="19"/>
        <v>0</v>
      </c>
      <c r="I235" s="7">
        <f t="shared" si="19"/>
        <v>0</v>
      </c>
      <c r="J235" s="7">
        <f t="shared" si="19"/>
        <v>0</v>
      </c>
      <c r="K235" s="7">
        <f>J235+I235</f>
        <v>0</v>
      </c>
      <c r="L235" s="7">
        <f t="shared" ref="L235:U235" si="20">SUM(L231:L234)</f>
        <v>0</v>
      </c>
      <c r="M235" s="7">
        <f t="shared" si="20"/>
        <v>0</v>
      </c>
      <c r="N235" s="7">
        <f t="shared" si="20"/>
        <v>0</v>
      </c>
      <c r="O235" s="7">
        <f t="shared" si="20"/>
        <v>0</v>
      </c>
      <c r="P235" s="7">
        <f t="shared" si="20"/>
        <v>0</v>
      </c>
      <c r="Q235" s="7">
        <f t="shared" si="20"/>
        <v>0</v>
      </c>
      <c r="R235" s="7">
        <f t="shared" si="20"/>
        <v>0</v>
      </c>
      <c r="S235" s="7">
        <f t="shared" si="20"/>
        <v>0</v>
      </c>
      <c r="T235" s="7">
        <f t="shared" si="20"/>
        <v>0</v>
      </c>
      <c r="U235" s="7">
        <f t="shared" si="20"/>
        <v>0</v>
      </c>
      <c r="V235" s="8">
        <f>V233+V231</f>
        <v>0</v>
      </c>
    </row>
    <row r="236" spans="1:22" ht="21.6" thickTop="1"/>
    <row r="237" spans="1:22">
      <c r="A237" s="156" t="s">
        <v>62</v>
      </c>
      <c r="B237" s="156"/>
      <c r="C237" s="156"/>
      <c r="D237" s="156"/>
      <c r="E237" s="156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56" t="s">
        <v>96</v>
      </c>
      <c r="S237" s="156"/>
      <c r="T237" s="156"/>
      <c r="U237" s="1"/>
      <c r="V237" s="1"/>
    </row>
    <row r="238" spans="1:22">
      <c r="A238" s="156" t="s">
        <v>64</v>
      </c>
      <c r="B238" s="156"/>
      <c r="C238" s="156"/>
      <c r="D238" s="156"/>
      <c r="E238" s="156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56" t="s">
        <v>65</v>
      </c>
      <c r="S238" s="156"/>
      <c r="T238" s="156"/>
      <c r="U238" s="1"/>
      <c r="V238" s="1"/>
    </row>
    <row r="239" spans="1:2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>
      <c r="A240" s="1"/>
      <c r="B240" s="156" t="s">
        <v>66</v>
      </c>
      <c r="C240" s="156"/>
      <c r="D240" s="156"/>
      <c r="E240" s="156"/>
      <c r="F240" s="156"/>
      <c r="G240" s="156"/>
      <c r="H240" s="156"/>
      <c r="I240" s="156"/>
      <c r="J240" s="156"/>
      <c r="K240" s="156"/>
      <c r="L240" s="156"/>
      <c r="M240" s="156"/>
      <c r="N240" s="156"/>
      <c r="O240" s="156"/>
      <c r="P240" s="156"/>
      <c r="Q240" s="156"/>
      <c r="R240" s="156"/>
      <c r="S240" s="156"/>
      <c r="T240" s="1"/>
      <c r="U240" s="1"/>
      <c r="V240" s="1"/>
    </row>
    <row r="241" spans="1:22">
      <c r="A241" s="1"/>
      <c r="B241" s="156" t="s">
        <v>67</v>
      </c>
      <c r="C241" s="156"/>
      <c r="D241" s="156"/>
      <c r="E241" s="156"/>
      <c r="F241" s="156"/>
      <c r="G241" s="156"/>
      <c r="H241" s="156"/>
      <c r="I241" s="156"/>
      <c r="J241" s="156"/>
      <c r="K241" s="156"/>
      <c r="L241" s="156"/>
      <c r="M241" s="156"/>
      <c r="N241" s="156"/>
      <c r="O241" s="156"/>
      <c r="P241" s="156"/>
      <c r="Q241" s="156"/>
      <c r="R241" s="156"/>
      <c r="S241" s="156"/>
      <c r="T241" s="1"/>
      <c r="U241" s="1"/>
      <c r="V241" s="1"/>
    </row>
    <row r="242" spans="1:22">
      <c r="A242" s="1"/>
      <c r="B242" s="156" t="s">
        <v>68</v>
      </c>
      <c r="C242" s="156"/>
      <c r="D242" s="156"/>
      <c r="E242" s="156"/>
      <c r="F242" s="156"/>
      <c r="G242" s="156"/>
      <c r="H242" s="156"/>
      <c r="I242" s="156"/>
      <c r="J242" s="156"/>
      <c r="K242" s="156"/>
      <c r="L242" s="156"/>
      <c r="M242" s="156"/>
      <c r="N242" s="156"/>
      <c r="O242" s="156"/>
      <c r="P242" s="156"/>
      <c r="Q242" s="156"/>
      <c r="R242" s="156"/>
      <c r="S242" s="156"/>
      <c r="T242" s="1"/>
      <c r="U242" s="1"/>
      <c r="V242" s="1"/>
    </row>
    <row r="243" spans="1:2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21.6" thickBo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21.6" thickTop="1">
      <c r="A245" s="144" t="s">
        <v>69</v>
      </c>
      <c r="B245" s="147" t="s">
        <v>70</v>
      </c>
      <c r="C245" s="148"/>
      <c r="D245" s="148"/>
      <c r="E245" s="149"/>
      <c r="F245" s="157" t="s">
        <v>349</v>
      </c>
      <c r="G245" s="157"/>
      <c r="H245" s="157"/>
      <c r="I245" s="147" t="s">
        <v>71</v>
      </c>
      <c r="J245" s="148"/>
      <c r="K245" s="149"/>
      <c r="L245" s="147" t="s">
        <v>72</v>
      </c>
      <c r="M245" s="148"/>
      <c r="N245" s="149"/>
      <c r="O245" s="147" t="s">
        <v>23</v>
      </c>
      <c r="P245" s="149"/>
      <c r="Q245" s="147" t="s">
        <v>74</v>
      </c>
      <c r="R245" s="148"/>
      <c r="S245" s="148"/>
      <c r="T245" s="148"/>
      <c r="U245" s="149"/>
      <c r="V245" s="134" t="s">
        <v>75</v>
      </c>
    </row>
    <row r="246" spans="1:22" ht="21.6" thickBot="1">
      <c r="A246" s="145"/>
      <c r="B246" s="137"/>
      <c r="C246" s="138"/>
      <c r="D246" s="138"/>
      <c r="E246" s="139"/>
      <c r="F246" s="137" t="s">
        <v>350</v>
      </c>
      <c r="G246" s="138"/>
      <c r="H246" s="139"/>
      <c r="I246" s="137"/>
      <c r="J246" s="138"/>
      <c r="K246" s="139"/>
      <c r="L246" s="137"/>
      <c r="M246" s="138"/>
      <c r="N246" s="139"/>
      <c r="O246" s="137"/>
      <c r="P246" s="139"/>
      <c r="Q246" s="137"/>
      <c r="R246" s="138"/>
      <c r="S246" s="138"/>
      <c r="T246" s="138"/>
      <c r="U246" s="139"/>
      <c r="V246" s="135"/>
    </row>
    <row r="247" spans="1:22" ht="43.2" thickTop="1" thickBot="1">
      <c r="A247" s="146"/>
      <c r="B247" s="4" t="s">
        <v>76</v>
      </c>
      <c r="C247" s="4" t="s">
        <v>35</v>
      </c>
      <c r="D247" s="4" t="s">
        <v>77</v>
      </c>
      <c r="E247" s="4" t="s">
        <v>58</v>
      </c>
      <c r="F247" s="4" t="s">
        <v>76</v>
      </c>
      <c r="G247" s="4" t="s">
        <v>35</v>
      </c>
      <c r="H247" s="4" t="s">
        <v>58</v>
      </c>
      <c r="I247" s="4" t="s">
        <v>76</v>
      </c>
      <c r="J247" s="4" t="s">
        <v>35</v>
      </c>
      <c r="K247" s="4" t="s">
        <v>58</v>
      </c>
      <c r="L247" s="4" t="s">
        <v>78</v>
      </c>
      <c r="M247" s="4" t="s">
        <v>79</v>
      </c>
      <c r="N247" s="4" t="s">
        <v>58</v>
      </c>
      <c r="O247" s="4" t="s">
        <v>37</v>
      </c>
      <c r="P247" s="4" t="s">
        <v>80</v>
      </c>
      <c r="Q247" s="4" t="s">
        <v>36</v>
      </c>
      <c r="R247" s="4" t="s">
        <v>81</v>
      </c>
      <c r="S247" s="99" t="s">
        <v>82</v>
      </c>
      <c r="T247" s="4" t="s">
        <v>83</v>
      </c>
      <c r="U247" s="4" t="s">
        <v>58</v>
      </c>
      <c r="V247" s="136"/>
    </row>
    <row r="248" spans="1:22" ht="22.2" thickTop="1" thickBot="1">
      <c r="A248" s="140" t="s">
        <v>84</v>
      </c>
      <c r="B248" s="141">
        <f>[1]الحضر!G502</f>
        <v>0</v>
      </c>
      <c r="C248" s="141">
        <f>[1]الحضر!H502</f>
        <v>0</v>
      </c>
      <c r="D248" s="141">
        <f>[1]الحضر!I502</f>
        <v>0</v>
      </c>
      <c r="E248" s="141">
        <f>D248+C248+B248</f>
        <v>0</v>
      </c>
      <c r="F248" s="141">
        <f>[1]الحضر!AM502</f>
        <v>0</v>
      </c>
      <c r="G248" s="141">
        <f>[1]الحضر!AN502</f>
        <v>0</v>
      </c>
      <c r="H248" s="141">
        <f>G248+F248</f>
        <v>0</v>
      </c>
      <c r="I248" s="141">
        <f>[1]الحضر!EN502</f>
        <v>0</v>
      </c>
      <c r="J248" s="141">
        <f>[1]الحضر!EO502</f>
        <v>0</v>
      </c>
      <c r="K248" s="141">
        <f>J248+I248</f>
        <v>0</v>
      </c>
      <c r="L248" s="141">
        <f>[1]الحضر!JG502</f>
        <v>0</v>
      </c>
      <c r="M248" s="141">
        <f>[1]الحضر!JH502</f>
        <v>0</v>
      </c>
      <c r="N248" s="141">
        <f>M248+L248</f>
        <v>0</v>
      </c>
      <c r="O248" s="141">
        <f>[1]الحضر!P502</f>
        <v>0</v>
      </c>
      <c r="P248" s="141">
        <f>[1]الحضر!Q502</f>
        <v>0</v>
      </c>
      <c r="Q248" s="141">
        <f>[1]الحضر!L502</f>
        <v>0</v>
      </c>
      <c r="R248" s="141">
        <f>[1]الحضر!M502</f>
        <v>0</v>
      </c>
      <c r="S248" s="141">
        <f>[1]الحضر!N502</f>
        <v>0</v>
      </c>
      <c r="T248" s="141">
        <f>[1]الحضر!O502</f>
        <v>0</v>
      </c>
      <c r="U248" s="141">
        <f>T248+S248+R248+Q248</f>
        <v>0</v>
      </c>
      <c r="V248" s="154">
        <f>[1]الحضر!W502</f>
        <v>0</v>
      </c>
    </row>
    <row r="249" spans="1:22" ht="22.2" thickTop="1" thickBot="1">
      <c r="A249" s="140"/>
      <c r="B249" s="141"/>
      <c r="C249" s="141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55"/>
    </row>
    <row r="250" spans="1:22" ht="22.2" thickTop="1" thickBot="1">
      <c r="A250" s="140" t="s">
        <v>85</v>
      </c>
      <c r="B250" s="141">
        <f>[1]الريف!G310</f>
        <v>0</v>
      </c>
      <c r="C250" s="141">
        <f>[1]الريف!H310</f>
        <v>0</v>
      </c>
      <c r="D250" s="141">
        <f>[1]الريف!I310</f>
        <v>0</v>
      </c>
      <c r="E250" s="141">
        <f>D250+C250+B250</f>
        <v>0</v>
      </c>
      <c r="F250" s="141">
        <f>[1]الريف!AM310</f>
        <v>0</v>
      </c>
      <c r="G250" s="141">
        <f>[1]الريف!AN310</f>
        <v>0</v>
      </c>
      <c r="H250" s="141">
        <f>G250+F250</f>
        <v>0</v>
      </c>
      <c r="I250" s="141">
        <f>[1]الريف!EN310</f>
        <v>0</v>
      </c>
      <c r="J250" s="141">
        <f>[1]الريف!EO310</f>
        <v>0</v>
      </c>
      <c r="K250" s="141">
        <f>J250+I250</f>
        <v>0</v>
      </c>
      <c r="L250" s="141">
        <f>[1]الريف!JG310</f>
        <v>0</v>
      </c>
      <c r="M250" s="141">
        <f>[1]الريف!JH310</f>
        <v>0</v>
      </c>
      <c r="N250" s="141">
        <f>M250+L250</f>
        <v>0</v>
      </c>
      <c r="O250" s="141">
        <f>[1]الريف!P310</f>
        <v>0</v>
      </c>
      <c r="P250" s="141">
        <f>[1]الريف!Q310</f>
        <v>0</v>
      </c>
      <c r="Q250" s="141">
        <f>[1]الريف!L310</f>
        <v>0</v>
      </c>
      <c r="R250" s="141">
        <f>[1]الريف!M310</f>
        <v>0</v>
      </c>
      <c r="S250" s="141">
        <f>[1]الريف!N310</f>
        <v>0</v>
      </c>
      <c r="T250" s="141">
        <f>[1]الريف!O310</f>
        <v>0</v>
      </c>
      <c r="U250" s="141">
        <f>T250+S250+R250+Q250</f>
        <v>0</v>
      </c>
      <c r="V250" s="154">
        <f>[1]الريف!W310</f>
        <v>0</v>
      </c>
    </row>
    <row r="251" spans="1:22" ht="22.2" thickTop="1" thickBot="1">
      <c r="A251" s="140"/>
      <c r="B251" s="141"/>
      <c r="C251" s="141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55"/>
    </row>
    <row r="252" spans="1:22" ht="22.2" thickTop="1" thickBot="1">
      <c r="A252" s="6" t="s">
        <v>58</v>
      </c>
      <c r="B252" s="7">
        <f t="shared" ref="B252:J252" si="21">SUM(B248:B251)</f>
        <v>0</v>
      </c>
      <c r="C252" s="7">
        <f t="shared" si="21"/>
        <v>0</v>
      </c>
      <c r="D252" s="7">
        <f t="shared" si="21"/>
        <v>0</v>
      </c>
      <c r="E252" s="7">
        <f t="shared" si="21"/>
        <v>0</v>
      </c>
      <c r="F252" s="7">
        <f t="shared" si="21"/>
        <v>0</v>
      </c>
      <c r="G252" s="7">
        <f t="shared" si="21"/>
        <v>0</v>
      </c>
      <c r="H252" s="7">
        <f t="shared" si="21"/>
        <v>0</v>
      </c>
      <c r="I252" s="7">
        <f t="shared" si="21"/>
        <v>0</v>
      </c>
      <c r="J252" s="7">
        <f t="shared" si="21"/>
        <v>0</v>
      </c>
      <c r="K252" s="7">
        <f>J252+I252</f>
        <v>0</v>
      </c>
      <c r="L252" s="7">
        <f t="shared" ref="L252:U252" si="22">SUM(L248:L251)</f>
        <v>0</v>
      </c>
      <c r="M252" s="7">
        <f t="shared" si="22"/>
        <v>0</v>
      </c>
      <c r="N252" s="7">
        <f t="shared" si="22"/>
        <v>0</v>
      </c>
      <c r="O252" s="7">
        <f t="shared" si="22"/>
        <v>0</v>
      </c>
      <c r="P252" s="7">
        <f t="shared" si="22"/>
        <v>0</v>
      </c>
      <c r="Q252" s="7">
        <f t="shared" si="22"/>
        <v>0</v>
      </c>
      <c r="R252" s="7">
        <f t="shared" si="22"/>
        <v>0</v>
      </c>
      <c r="S252" s="7">
        <f t="shared" si="22"/>
        <v>0</v>
      </c>
      <c r="T252" s="7">
        <f t="shared" si="22"/>
        <v>0</v>
      </c>
      <c r="U252" s="7">
        <f t="shared" si="22"/>
        <v>0</v>
      </c>
      <c r="V252" s="8">
        <f>V250+V248</f>
        <v>0</v>
      </c>
    </row>
    <row r="253" spans="1:22" ht="21.6" thickTop="1"/>
    <row r="254" spans="1:22">
      <c r="A254" s="156" t="s">
        <v>62</v>
      </c>
      <c r="B254" s="156"/>
      <c r="C254" s="156"/>
      <c r="D254" s="156"/>
      <c r="E254" s="156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56" t="s">
        <v>97</v>
      </c>
      <c r="S254" s="156"/>
      <c r="T254" s="156"/>
      <c r="U254" s="1"/>
      <c r="V254" s="1"/>
    </row>
    <row r="255" spans="1:22">
      <c r="A255" s="156" t="s">
        <v>64</v>
      </c>
      <c r="B255" s="156"/>
      <c r="C255" s="156"/>
      <c r="D255" s="156"/>
      <c r="E255" s="156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56" t="s">
        <v>65</v>
      </c>
      <c r="S255" s="156"/>
      <c r="T255" s="156"/>
      <c r="U255" s="1"/>
      <c r="V255" s="1"/>
    </row>
    <row r="256" spans="1:2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>
      <c r="A257" s="1"/>
      <c r="B257" s="156" t="s">
        <v>66</v>
      </c>
      <c r="C257" s="156"/>
      <c r="D257" s="156"/>
      <c r="E257" s="156"/>
      <c r="F257" s="156"/>
      <c r="G257" s="156"/>
      <c r="H257" s="156"/>
      <c r="I257" s="156"/>
      <c r="J257" s="156"/>
      <c r="K257" s="156"/>
      <c r="L257" s="156"/>
      <c r="M257" s="156"/>
      <c r="N257" s="156"/>
      <c r="O257" s="156"/>
      <c r="P257" s="156"/>
      <c r="Q257" s="156"/>
      <c r="R257" s="156"/>
      <c r="S257" s="156"/>
      <c r="T257" s="1"/>
      <c r="U257" s="1"/>
      <c r="V257" s="1"/>
    </row>
    <row r="258" spans="1:22">
      <c r="A258" s="1"/>
      <c r="B258" s="156" t="s">
        <v>67</v>
      </c>
      <c r="C258" s="156"/>
      <c r="D258" s="156"/>
      <c r="E258" s="156"/>
      <c r="F258" s="156"/>
      <c r="G258" s="156"/>
      <c r="H258" s="156"/>
      <c r="I258" s="156"/>
      <c r="J258" s="156"/>
      <c r="K258" s="156"/>
      <c r="L258" s="156"/>
      <c r="M258" s="156"/>
      <c r="N258" s="156"/>
      <c r="O258" s="156"/>
      <c r="P258" s="156"/>
      <c r="Q258" s="156"/>
      <c r="R258" s="156"/>
      <c r="S258" s="156"/>
      <c r="T258" s="1"/>
      <c r="U258" s="1"/>
      <c r="V258" s="1"/>
    </row>
    <row r="259" spans="1:22">
      <c r="A259" s="1"/>
      <c r="B259" s="156" t="s">
        <v>68</v>
      </c>
      <c r="C259" s="156"/>
      <c r="D259" s="156"/>
      <c r="E259" s="156"/>
      <c r="F259" s="156"/>
      <c r="G259" s="156"/>
      <c r="H259" s="156"/>
      <c r="I259" s="156"/>
      <c r="J259" s="156"/>
      <c r="K259" s="156"/>
      <c r="L259" s="156"/>
      <c r="M259" s="156"/>
      <c r="N259" s="156"/>
      <c r="O259" s="156"/>
      <c r="P259" s="156"/>
      <c r="Q259" s="156"/>
      <c r="R259" s="156"/>
      <c r="S259" s="156"/>
      <c r="T259" s="1"/>
      <c r="U259" s="1"/>
      <c r="V259" s="1"/>
    </row>
    <row r="260" spans="1:2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21.6" thickBo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21.6" thickTop="1">
      <c r="A262" s="144" t="s">
        <v>69</v>
      </c>
      <c r="B262" s="147" t="s">
        <v>70</v>
      </c>
      <c r="C262" s="148"/>
      <c r="D262" s="148"/>
      <c r="E262" s="149"/>
      <c r="F262" s="157" t="s">
        <v>349</v>
      </c>
      <c r="G262" s="157"/>
      <c r="H262" s="157"/>
      <c r="I262" s="147" t="s">
        <v>71</v>
      </c>
      <c r="J262" s="148"/>
      <c r="K262" s="149"/>
      <c r="L262" s="147" t="s">
        <v>72</v>
      </c>
      <c r="M262" s="148"/>
      <c r="N262" s="149"/>
      <c r="O262" s="147" t="s">
        <v>23</v>
      </c>
      <c r="P262" s="149"/>
      <c r="Q262" s="147" t="s">
        <v>74</v>
      </c>
      <c r="R262" s="148"/>
      <c r="S262" s="148"/>
      <c r="T262" s="148"/>
      <c r="U262" s="149"/>
      <c r="V262" s="134" t="s">
        <v>75</v>
      </c>
    </row>
    <row r="263" spans="1:22" ht="21.6" thickBot="1">
      <c r="A263" s="145"/>
      <c r="B263" s="137"/>
      <c r="C263" s="138"/>
      <c r="D263" s="138"/>
      <c r="E263" s="139"/>
      <c r="F263" s="137" t="s">
        <v>350</v>
      </c>
      <c r="G263" s="138"/>
      <c r="H263" s="139"/>
      <c r="I263" s="137"/>
      <c r="J263" s="138"/>
      <c r="K263" s="139"/>
      <c r="L263" s="137"/>
      <c r="M263" s="138"/>
      <c r="N263" s="139"/>
      <c r="O263" s="137"/>
      <c r="P263" s="139"/>
      <c r="Q263" s="137"/>
      <c r="R263" s="138"/>
      <c r="S263" s="138"/>
      <c r="T263" s="138"/>
      <c r="U263" s="139"/>
      <c r="V263" s="135"/>
    </row>
    <row r="264" spans="1:22" ht="43.2" thickTop="1" thickBot="1">
      <c r="A264" s="146"/>
      <c r="B264" s="4" t="s">
        <v>76</v>
      </c>
      <c r="C264" s="4" t="s">
        <v>35</v>
      </c>
      <c r="D264" s="4" t="s">
        <v>77</v>
      </c>
      <c r="E264" s="4" t="s">
        <v>58</v>
      </c>
      <c r="F264" s="4" t="s">
        <v>76</v>
      </c>
      <c r="G264" s="4" t="s">
        <v>35</v>
      </c>
      <c r="H264" s="4" t="s">
        <v>58</v>
      </c>
      <c r="I264" s="4" t="s">
        <v>76</v>
      </c>
      <c r="J264" s="4" t="s">
        <v>35</v>
      </c>
      <c r="K264" s="4" t="s">
        <v>58</v>
      </c>
      <c r="L264" s="4" t="s">
        <v>78</v>
      </c>
      <c r="M264" s="4" t="s">
        <v>79</v>
      </c>
      <c r="N264" s="4" t="s">
        <v>58</v>
      </c>
      <c r="O264" s="4" t="s">
        <v>37</v>
      </c>
      <c r="P264" s="4" t="s">
        <v>80</v>
      </c>
      <c r="Q264" s="4" t="s">
        <v>36</v>
      </c>
      <c r="R264" s="4" t="s">
        <v>81</v>
      </c>
      <c r="S264" s="99" t="s">
        <v>82</v>
      </c>
      <c r="T264" s="4" t="s">
        <v>83</v>
      </c>
      <c r="U264" s="4" t="s">
        <v>58</v>
      </c>
      <c r="V264" s="136"/>
    </row>
    <row r="265" spans="1:22" ht="22.2" thickTop="1" thickBot="1">
      <c r="A265" s="140" t="s">
        <v>84</v>
      </c>
      <c r="B265" s="169">
        <f>[1]الحضر!G491</f>
        <v>0</v>
      </c>
      <c r="C265" s="169">
        <f>[1]الحضر!H491</f>
        <v>0</v>
      </c>
      <c r="D265" s="169">
        <f>[1]الحضر!I491</f>
        <v>0</v>
      </c>
      <c r="E265" s="141">
        <f>D265+C265+B265</f>
        <v>0</v>
      </c>
      <c r="F265" s="169">
        <f>[1]الحضر!AM491</f>
        <v>0</v>
      </c>
      <c r="G265" s="169">
        <f>[1]الحضر!AN491</f>
        <v>0</v>
      </c>
      <c r="H265" s="141">
        <f>G265+F265</f>
        <v>0</v>
      </c>
      <c r="I265" s="169">
        <f>[1]الحضر!EN491</f>
        <v>0</v>
      </c>
      <c r="J265" s="169">
        <f>[1]الحضر!EO491</f>
        <v>0</v>
      </c>
      <c r="K265" s="141">
        <f>J265+I265</f>
        <v>0</v>
      </c>
      <c r="L265" s="169">
        <f>[1]الحضر!JG491</f>
        <v>0</v>
      </c>
      <c r="M265" s="169">
        <f>[1]الحضر!JH491</f>
        <v>0</v>
      </c>
      <c r="N265" s="141">
        <f>M265+L265</f>
        <v>0</v>
      </c>
      <c r="O265" s="169">
        <f>[1]الحضر!P491</f>
        <v>0</v>
      </c>
      <c r="P265" s="169">
        <f>[1]الحضر!Q491</f>
        <v>0</v>
      </c>
      <c r="Q265" s="169">
        <f>[1]الحضر!L491</f>
        <v>0</v>
      </c>
      <c r="R265" s="169">
        <f>[1]الحضر!M491</f>
        <v>0</v>
      </c>
      <c r="S265" s="169">
        <f>[1]الحضر!N491</f>
        <v>0</v>
      </c>
      <c r="T265" s="169">
        <f>[1]الحضر!O491</f>
        <v>0</v>
      </c>
      <c r="U265" s="141">
        <f>T265+S265+R265+Q265</f>
        <v>0</v>
      </c>
      <c r="V265" s="176">
        <f>[1]الحضر!W491</f>
        <v>0</v>
      </c>
    </row>
    <row r="266" spans="1:22" ht="22.2" thickTop="1" thickBot="1">
      <c r="A266" s="140"/>
      <c r="B266" s="141"/>
      <c r="C266" s="141"/>
      <c r="D266" s="141"/>
      <c r="E266" s="141"/>
      <c r="F266" s="141"/>
      <c r="G266" s="141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55"/>
    </row>
    <row r="267" spans="1:22" ht="22.2" thickTop="1" thickBot="1">
      <c r="A267" s="140" t="s">
        <v>85</v>
      </c>
      <c r="B267" s="169">
        <f>[1]الريف!G274</f>
        <v>0</v>
      </c>
      <c r="C267" s="169">
        <f>[1]الريف!H274</f>
        <v>0</v>
      </c>
      <c r="D267" s="169">
        <f>[1]الريف!I274</f>
        <v>0</v>
      </c>
      <c r="E267" s="141">
        <f>D267+C267+B267</f>
        <v>0</v>
      </c>
      <c r="F267" s="169">
        <f>[1]الريف!AM274</f>
        <v>0</v>
      </c>
      <c r="G267" s="169">
        <f>[1]الريف!AN274</f>
        <v>0</v>
      </c>
      <c r="H267" s="141">
        <f>G267+F267</f>
        <v>0</v>
      </c>
      <c r="I267" s="169">
        <f>[1]الريف!EN274</f>
        <v>0</v>
      </c>
      <c r="J267" s="169">
        <f>[1]الريف!EO274</f>
        <v>0</v>
      </c>
      <c r="K267" s="141">
        <f>J267+I267</f>
        <v>0</v>
      </c>
      <c r="L267" s="169">
        <f>[1]الريف!JG274</f>
        <v>0</v>
      </c>
      <c r="M267" s="169">
        <f>[1]الريف!JH274</f>
        <v>0</v>
      </c>
      <c r="N267" s="141">
        <f>M267+L267</f>
        <v>0</v>
      </c>
      <c r="O267" s="169">
        <f>[1]الريف!P274</f>
        <v>0</v>
      </c>
      <c r="P267" s="169">
        <f>[1]الريف!Q274</f>
        <v>0</v>
      </c>
      <c r="Q267" s="169">
        <f>[1]الريف!L274</f>
        <v>0</v>
      </c>
      <c r="R267" s="169">
        <f>[1]الريف!M274</f>
        <v>0</v>
      </c>
      <c r="S267" s="169">
        <f>[1]الريف!N274</f>
        <v>0</v>
      </c>
      <c r="T267" s="169">
        <f>[1]الريف!O274</f>
        <v>0</v>
      </c>
      <c r="U267" s="141">
        <f>T267+S267+R267+Q267</f>
        <v>0</v>
      </c>
      <c r="V267" s="176">
        <f>[1]الريف!W274</f>
        <v>0</v>
      </c>
    </row>
    <row r="268" spans="1:22" ht="22.2" thickTop="1" thickBot="1">
      <c r="A268" s="140"/>
      <c r="B268" s="141"/>
      <c r="C268" s="141"/>
      <c r="D268" s="141"/>
      <c r="E268" s="141"/>
      <c r="F268" s="141"/>
      <c r="G268" s="141"/>
      <c r="H268" s="141"/>
      <c r="I268" s="141"/>
      <c r="J268" s="141"/>
      <c r="K268" s="141"/>
      <c r="L268" s="141"/>
      <c r="M268" s="141"/>
      <c r="N268" s="141"/>
      <c r="O268" s="141"/>
      <c r="P268" s="141"/>
      <c r="Q268" s="141"/>
      <c r="R268" s="141"/>
      <c r="S268" s="141"/>
      <c r="T268" s="141"/>
      <c r="U268" s="141"/>
      <c r="V268" s="155"/>
    </row>
    <row r="269" spans="1:22" ht="22.2" thickTop="1" thickBot="1">
      <c r="A269" s="6" t="s">
        <v>58</v>
      </c>
      <c r="B269" s="7">
        <f t="shared" ref="B269:J269" si="23">SUM(B265:B268)</f>
        <v>0</v>
      </c>
      <c r="C269" s="7">
        <f t="shared" si="23"/>
        <v>0</v>
      </c>
      <c r="D269" s="7">
        <f t="shared" si="23"/>
        <v>0</v>
      </c>
      <c r="E269" s="7">
        <f t="shared" si="23"/>
        <v>0</v>
      </c>
      <c r="F269" s="7">
        <f t="shared" si="23"/>
        <v>0</v>
      </c>
      <c r="G269" s="7">
        <f t="shared" si="23"/>
        <v>0</v>
      </c>
      <c r="H269" s="7">
        <f t="shared" si="23"/>
        <v>0</v>
      </c>
      <c r="I269" s="7">
        <f t="shared" si="23"/>
        <v>0</v>
      </c>
      <c r="J269" s="7">
        <f t="shared" si="23"/>
        <v>0</v>
      </c>
      <c r="K269" s="7">
        <f>J269+I269</f>
        <v>0</v>
      </c>
      <c r="L269" s="7">
        <f t="shared" ref="L269:U269" si="24">SUM(L265:L268)</f>
        <v>0</v>
      </c>
      <c r="M269" s="7">
        <f t="shared" si="24"/>
        <v>0</v>
      </c>
      <c r="N269" s="7">
        <f t="shared" si="24"/>
        <v>0</v>
      </c>
      <c r="O269" s="7">
        <f t="shared" si="24"/>
        <v>0</v>
      </c>
      <c r="P269" s="7">
        <f t="shared" si="24"/>
        <v>0</v>
      </c>
      <c r="Q269" s="7">
        <f t="shared" si="24"/>
        <v>0</v>
      </c>
      <c r="R269" s="7">
        <f t="shared" si="24"/>
        <v>0</v>
      </c>
      <c r="S269" s="7">
        <f t="shared" si="24"/>
        <v>0</v>
      </c>
      <c r="T269" s="7">
        <f t="shared" si="24"/>
        <v>0</v>
      </c>
      <c r="U269" s="7">
        <f t="shared" si="24"/>
        <v>0</v>
      </c>
      <c r="V269" s="8">
        <f>V267+V265</f>
        <v>0</v>
      </c>
    </row>
    <row r="270" spans="1:22" ht="21.6" thickTop="1"/>
    <row r="271" spans="1:22">
      <c r="A271" s="156" t="s">
        <v>62</v>
      </c>
      <c r="B271" s="156"/>
      <c r="C271" s="156"/>
      <c r="D271" s="156"/>
      <c r="E271" s="156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56" t="s">
        <v>98</v>
      </c>
      <c r="S271" s="156"/>
      <c r="T271" s="156"/>
      <c r="U271" s="1"/>
      <c r="V271" s="1"/>
    </row>
    <row r="272" spans="1:22">
      <c r="A272" s="156" t="s">
        <v>64</v>
      </c>
      <c r="B272" s="156"/>
      <c r="C272" s="156"/>
      <c r="D272" s="156"/>
      <c r="E272" s="156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56" t="s">
        <v>65</v>
      </c>
      <c r="S272" s="156"/>
      <c r="T272" s="156"/>
      <c r="U272" s="1"/>
      <c r="V272" s="1"/>
    </row>
    <row r="273" spans="1:2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>
      <c r="A274" s="1"/>
      <c r="B274" s="156" t="s">
        <v>66</v>
      </c>
      <c r="C274" s="156"/>
      <c r="D274" s="156"/>
      <c r="E274" s="156"/>
      <c r="F274" s="156"/>
      <c r="G274" s="156"/>
      <c r="H274" s="156"/>
      <c r="I274" s="156"/>
      <c r="J274" s="156"/>
      <c r="K274" s="156"/>
      <c r="L274" s="156"/>
      <c r="M274" s="156"/>
      <c r="N274" s="156"/>
      <c r="O274" s="156"/>
      <c r="P274" s="156"/>
      <c r="Q274" s="156"/>
      <c r="R274" s="156"/>
      <c r="S274" s="156"/>
      <c r="T274" s="1"/>
      <c r="U274" s="1"/>
      <c r="V274" s="1"/>
    </row>
    <row r="275" spans="1:22">
      <c r="A275" s="1"/>
      <c r="B275" s="156" t="s">
        <v>67</v>
      </c>
      <c r="C275" s="156"/>
      <c r="D275" s="156"/>
      <c r="E275" s="156"/>
      <c r="F275" s="156"/>
      <c r="G275" s="156"/>
      <c r="H275" s="156"/>
      <c r="I275" s="156"/>
      <c r="J275" s="156"/>
      <c r="K275" s="156"/>
      <c r="L275" s="156"/>
      <c r="M275" s="156"/>
      <c r="N275" s="156"/>
      <c r="O275" s="156"/>
      <c r="P275" s="156"/>
      <c r="Q275" s="156"/>
      <c r="R275" s="156"/>
      <c r="S275" s="156"/>
      <c r="T275" s="1"/>
      <c r="U275" s="1"/>
      <c r="V275" s="1"/>
    </row>
    <row r="276" spans="1:22">
      <c r="A276" s="1"/>
      <c r="B276" s="156" t="s">
        <v>68</v>
      </c>
      <c r="C276" s="156"/>
      <c r="D276" s="156"/>
      <c r="E276" s="156"/>
      <c r="F276" s="156"/>
      <c r="G276" s="156"/>
      <c r="H276" s="156"/>
      <c r="I276" s="156"/>
      <c r="J276" s="156"/>
      <c r="K276" s="156"/>
      <c r="L276" s="156"/>
      <c r="M276" s="156"/>
      <c r="N276" s="156"/>
      <c r="O276" s="156"/>
      <c r="P276" s="156"/>
      <c r="Q276" s="156"/>
      <c r="R276" s="156"/>
      <c r="S276" s="156"/>
      <c r="T276" s="1"/>
      <c r="U276" s="1"/>
      <c r="V276" s="1"/>
    </row>
    <row r="277" spans="1:2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21.6" thickBo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21.6" thickTop="1">
      <c r="A279" s="144" t="s">
        <v>69</v>
      </c>
      <c r="B279" s="147" t="s">
        <v>70</v>
      </c>
      <c r="C279" s="148"/>
      <c r="D279" s="148"/>
      <c r="E279" s="149"/>
      <c r="F279" s="157" t="s">
        <v>349</v>
      </c>
      <c r="G279" s="157"/>
      <c r="H279" s="157"/>
      <c r="I279" s="147" t="s">
        <v>71</v>
      </c>
      <c r="J279" s="148"/>
      <c r="K279" s="149"/>
      <c r="L279" s="147" t="s">
        <v>72</v>
      </c>
      <c r="M279" s="148"/>
      <c r="N279" s="149"/>
      <c r="O279" s="147" t="s">
        <v>23</v>
      </c>
      <c r="P279" s="149"/>
      <c r="Q279" s="147" t="s">
        <v>74</v>
      </c>
      <c r="R279" s="148"/>
      <c r="S279" s="148"/>
      <c r="T279" s="148"/>
      <c r="U279" s="149"/>
      <c r="V279" s="134" t="s">
        <v>75</v>
      </c>
    </row>
    <row r="280" spans="1:22" ht="21.6" thickBot="1">
      <c r="A280" s="145"/>
      <c r="B280" s="137"/>
      <c r="C280" s="138"/>
      <c r="D280" s="138"/>
      <c r="E280" s="139"/>
      <c r="F280" s="137" t="s">
        <v>350</v>
      </c>
      <c r="G280" s="138"/>
      <c r="H280" s="139"/>
      <c r="I280" s="137"/>
      <c r="J280" s="138"/>
      <c r="K280" s="139"/>
      <c r="L280" s="137"/>
      <c r="M280" s="138"/>
      <c r="N280" s="139"/>
      <c r="O280" s="137"/>
      <c r="P280" s="139"/>
      <c r="Q280" s="137"/>
      <c r="R280" s="138"/>
      <c r="S280" s="138"/>
      <c r="T280" s="138"/>
      <c r="U280" s="139"/>
      <c r="V280" s="135"/>
    </row>
    <row r="281" spans="1:22" ht="43.2" thickTop="1" thickBot="1">
      <c r="A281" s="146"/>
      <c r="B281" s="4" t="s">
        <v>76</v>
      </c>
      <c r="C281" s="4" t="s">
        <v>35</v>
      </c>
      <c r="D281" s="4" t="s">
        <v>77</v>
      </c>
      <c r="E281" s="4" t="s">
        <v>58</v>
      </c>
      <c r="F281" s="4" t="s">
        <v>76</v>
      </c>
      <c r="G281" s="4" t="s">
        <v>35</v>
      </c>
      <c r="H281" s="4" t="s">
        <v>58</v>
      </c>
      <c r="I281" s="4" t="s">
        <v>76</v>
      </c>
      <c r="J281" s="4" t="s">
        <v>35</v>
      </c>
      <c r="K281" s="4" t="s">
        <v>58</v>
      </c>
      <c r="L281" s="4" t="s">
        <v>78</v>
      </c>
      <c r="M281" s="4" t="s">
        <v>79</v>
      </c>
      <c r="N281" s="4" t="s">
        <v>58</v>
      </c>
      <c r="O281" s="4" t="s">
        <v>37</v>
      </c>
      <c r="P281" s="4" t="s">
        <v>80</v>
      </c>
      <c r="Q281" s="4" t="s">
        <v>36</v>
      </c>
      <c r="R281" s="4" t="s">
        <v>81</v>
      </c>
      <c r="S281" s="99" t="s">
        <v>82</v>
      </c>
      <c r="T281" s="4" t="s">
        <v>83</v>
      </c>
      <c r="U281" s="4" t="s">
        <v>58</v>
      </c>
      <c r="V281" s="136"/>
    </row>
    <row r="282" spans="1:22" ht="22.2" thickTop="1" thickBot="1">
      <c r="A282" s="140" t="s">
        <v>84</v>
      </c>
      <c r="B282" s="141">
        <f>[1]الحضر!G501</f>
        <v>0</v>
      </c>
      <c r="C282" s="141">
        <f>[1]الحضر!H501</f>
        <v>0</v>
      </c>
      <c r="D282" s="141">
        <f>[1]الحضر!I501</f>
        <v>0</v>
      </c>
      <c r="E282" s="141">
        <f>D282+C282+B282</f>
        <v>0</v>
      </c>
      <c r="F282" s="169">
        <f>[1]الحضر!AM501</f>
        <v>0</v>
      </c>
      <c r="G282" s="169">
        <f>[1]الحضر!AN501</f>
        <v>0</v>
      </c>
      <c r="H282" s="141">
        <f>G282+F282</f>
        <v>0</v>
      </c>
      <c r="I282" s="141">
        <f>[1]الحضر!EN501</f>
        <v>0</v>
      </c>
      <c r="J282" s="141">
        <f>[1]الحضر!EO501</f>
        <v>0</v>
      </c>
      <c r="K282" s="141">
        <f>J282+I282</f>
        <v>0</v>
      </c>
      <c r="L282" s="141">
        <f>[1]الحضر!JG501</f>
        <v>0</v>
      </c>
      <c r="M282" s="141">
        <f>[1]الحضر!JH501</f>
        <v>0</v>
      </c>
      <c r="N282" s="141">
        <f>M282+L282</f>
        <v>0</v>
      </c>
      <c r="O282" s="141">
        <f>[1]الحضر!P501</f>
        <v>0</v>
      </c>
      <c r="P282" s="141">
        <f>[1]الحضر!Q501</f>
        <v>0</v>
      </c>
      <c r="Q282" s="141">
        <f>[1]الحضر!L501</f>
        <v>0</v>
      </c>
      <c r="R282" s="141">
        <f>[1]الحضر!M501</f>
        <v>0</v>
      </c>
      <c r="S282" s="141">
        <f>[1]الحضر!N501</f>
        <v>0</v>
      </c>
      <c r="T282" s="141">
        <f>[1]الحضر!O501</f>
        <v>0</v>
      </c>
      <c r="U282" s="141">
        <f>T282+S282+R282+Q282</f>
        <v>0</v>
      </c>
      <c r="V282" s="154">
        <f>[1]الحضر!W501</f>
        <v>0</v>
      </c>
    </row>
    <row r="283" spans="1:22" ht="22.2" thickTop="1" thickBot="1">
      <c r="A283" s="140"/>
      <c r="B283" s="141"/>
      <c r="C283" s="141"/>
      <c r="D283" s="141"/>
      <c r="E283" s="141"/>
      <c r="F283" s="141"/>
      <c r="G283" s="141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55"/>
    </row>
    <row r="284" spans="1:22" ht="22.2" thickTop="1" thickBot="1">
      <c r="A284" s="140" t="s">
        <v>85</v>
      </c>
      <c r="B284" s="141">
        <f>[1]الريف!G309</f>
        <v>0</v>
      </c>
      <c r="C284" s="141">
        <f>[1]الريف!H309</f>
        <v>0</v>
      </c>
      <c r="D284" s="141">
        <f>[1]الريف!I309</f>
        <v>0</v>
      </c>
      <c r="E284" s="141">
        <f>D284+C284+B284</f>
        <v>0</v>
      </c>
      <c r="F284" s="169">
        <f>[1]الريف!AM309</f>
        <v>0</v>
      </c>
      <c r="G284" s="169">
        <f>[1]الريف!AN309</f>
        <v>0</v>
      </c>
      <c r="H284" s="141">
        <f>G284+F284</f>
        <v>0</v>
      </c>
      <c r="I284" s="141">
        <f>[1]الريف!EN309</f>
        <v>0</v>
      </c>
      <c r="J284" s="141">
        <f>[1]الريف!EO309</f>
        <v>0</v>
      </c>
      <c r="K284" s="141">
        <f>J284+I284</f>
        <v>0</v>
      </c>
      <c r="L284" s="141">
        <f>[1]الريف!JG309</f>
        <v>0</v>
      </c>
      <c r="M284" s="141">
        <f>[1]الريف!JH309</f>
        <v>0</v>
      </c>
      <c r="N284" s="141">
        <f>M284+L284</f>
        <v>0</v>
      </c>
      <c r="O284" s="141">
        <f>[1]الريف!P309</f>
        <v>0</v>
      </c>
      <c r="P284" s="141">
        <f>[1]الريف!Q309</f>
        <v>0</v>
      </c>
      <c r="Q284" s="141">
        <f>[1]الريف!L309</f>
        <v>0</v>
      </c>
      <c r="R284" s="141">
        <f>[1]الريف!M309</f>
        <v>0</v>
      </c>
      <c r="S284" s="141">
        <f>[1]الريف!N309</f>
        <v>0</v>
      </c>
      <c r="T284" s="141">
        <f>[1]الريف!O309</f>
        <v>0</v>
      </c>
      <c r="U284" s="141">
        <f>T284+S284+R284+Q284</f>
        <v>0</v>
      </c>
      <c r="V284" s="154">
        <f>[1]الريف!W309</f>
        <v>0</v>
      </c>
    </row>
    <row r="285" spans="1:22" ht="22.2" thickTop="1" thickBot="1">
      <c r="A285" s="140"/>
      <c r="B285" s="141"/>
      <c r="C285" s="141"/>
      <c r="D285" s="141"/>
      <c r="E285" s="141"/>
      <c r="F285" s="141"/>
      <c r="G285" s="141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55"/>
    </row>
    <row r="286" spans="1:22" ht="22.2" thickTop="1" thickBot="1">
      <c r="A286" s="6" t="s">
        <v>58</v>
      </c>
      <c r="B286" s="7">
        <f t="shared" ref="B286:J286" si="25">SUM(B282:B285)</f>
        <v>0</v>
      </c>
      <c r="C286" s="7">
        <f t="shared" si="25"/>
        <v>0</v>
      </c>
      <c r="D286" s="7">
        <f t="shared" si="25"/>
        <v>0</v>
      </c>
      <c r="E286" s="7">
        <f t="shared" si="25"/>
        <v>0</v>
      </c>
      <c r="F286" s="7">
        <f t="shared" si="25"/>
        <v>0</v>
      </c>
      <c r="G286" s="7">
        <f t="shared" si="25"/>
        <v>0</v>
      </c>
      <c r="H286" s="7">
        <f t="shared" si="25"/>
        <v>0</v>
      </c>
      <c r="I286" s="7">
        <f t="shared" si="25"/>
        <v>0</v>
      </c>
      <c r="J286" s="7">
        <f t="shared" si="25"/>
        <v>0</v>
      </c>
      <c r="K286" s="7">
        <f>J286+I286</f>
        <v>0</v>
      </c>
      <c r="L286" s="7">
        <f t="shared" ref="L286:U286" si="26">SUM(L282:L285)</f>
        <v>0</v>
      </c>
      <c r="M286" s="7">
        <f t="shared" si="26"/>
        <v>0</v>
      </c>
      <c r="N286" s="7">
        <f t="shared" si="26"/>
        <v>0</v>
      </c>
      <c r="O286" s="7">
        <f t="shared" si="26"/>
        <v>0</v>
      </c>
      <c r="P286" s="7">
        <f t="shared" si="26"/>
        <v>0</v>
      </c>
      <c r="Q286" s="7">
        <f t="shared" si="26"/>
        <v>0</v>
      </c>
      <c r="R286" s="7">
        <f t="shared" si="26"/>
        <v>0</v>
      </c>
      <c r="S286" s="7">
        <f t="shared" si="26"/>
        <v>0</v>
      </c>
      <c r="T286" s="7">
        <f t="shared" si="26"/>
        <v>0</v>
      </c>
      <c r="U286" s="7">
        <f t="shared" si="26"/>
        <v>0</v>
      </c>
      <c r="V286" s="8">
        <f>V284+V282</f>
        <v>0</v>
      </c>
    </row>
    <row r="287" spans="1:22" ht="21.6" thickTop="1"/>
  </sheetData>
  <mergeCells count="1011">
    <mergeCell ref="S284:S285"/>
    <mergeCell ref="T284:T285"/>
    <mergeCell ref="U284:U285"/>
    <mergeCell ref="V284:V285"/>
    <mergeCell ref="N284:N285"/>
    <mergeCell ref="O284:O285"/>
    <mergeCell ref="P284:P285"/>
    <mergeCell ref="Q284:Q285"/>
    <mergeCell ref="R284:R285"/>
    <mergeCell ref="T282:T283"/>
    <mergeCell ref="U282:U283"/>
    <mergeCell ref="V282:V283"/>
    <mergeCell ref="A284:A285"/>
    <mergeCell ref="B284:B285"/>
    <mergeCell ref="C284:C285"/>
    <mergeCell ref="D284:D285"/>
    <mergeCell ref="E284:E285"/>
    <mergeCell ref="F284:F285"/>
    <mergeCell ref="G284:G285"/>
    <mergeCell ref="H284:H285"/>
    <mergeCell ref="I284:I285"/>
    <mergeCell ref="J284:J285"/>
    <mergeCell ref="K284:K285"/>
    <mergeCell ref="L284:L285"/>
    <mergeCell ref="M284:M285"/>
    <mergeCell ref="O282:O283"/>
    <mergeCell ref="P282:P283"/>
    <mergeCell ref="Q282:Q283"/>
    <mergeCell ref="R282:R283"/>
    <mergeCell ref="S282:S283"/>
    <mergeCell ref="V279:V281"/>
    <mergeCell ref="F280:H280"/>
    <mergeCell ref="A282:A283"/>
    <mergeCell ref="B282:B283"/>
    <mergeCell ref="C282:C283"/>
    <mergeCell ref="D282:D283"/>
    <mergeCell ref="E282:E283"/>
    <mergeCell ref="F282:F283"/>
    <mergeCell ref="G282:G283"/>
    <mergeCell ref="H282:H283"/>
    <mergeCell ref="I282:I283"/>
    <mergeCell ref="J282:J283"/>
    <mergeCell ref="K282:K283"/>
    <mergeCell ref="L282:L283"/>
    <mergeCell ref="M282:M283"/>
    <mergeCell ref="N282:N283"/>
    <mergeCell ref="B274:S274"/>
    <mergeCell ref="B275:S275"/>
    <mergeCell ref="B276:S276"/>
    <mergeCell ref="A279:A281"/>
    <mergeCell ref="B279:E280"/>
    <mergeCell ref="F279:H279"/>
    <mergeCell ref="I279:K280"/>
    <mergeCell ref="L279:N280"/>
    <mergeCell ref="O279:P280"/>
    <mergeCell ref="Q279:U280"/>
    <mergeCell ref="U267:U268"/>
    <mergeCell ref="V267:V268"/>
    <mergeCell ref="A271:E271"/>
    <mergeCell ref="R271:T271"/>
    <mergeCell ref="A272:E272"/>
    <mergeCell ref="R272:T272"/>
    <mergeCell ref="P267:P268"/>
    <mergeCell ref="Q267:Q268"/>
    <mergeCell ref="R267:R268"/>
    <mergeCell ref="S267:S268"/>
    <mergeCell ref="T267:T268"/>
    <mergeCell ref="K267:K268"/>
    <mergeCell ref="L267:L268"/>
    <mergeCell ref="M267:M268"/>
    <mergeCell ref="N267:N268"/>
    <mergeCell ref="O267:O268"/>
    <mergeCell ref="F267:F268"/>
    <mergeCell ref="G267:G268"/>
    <mergeCell ref="H267:H268"/>
    <mergeCell ref="I267:I268"/>
    <mergeCell ref="J267:J268"/>
    <mergeCell ref="A267:A268"/>
    <mergeCell ref="B267:B268"/>
    <mergeCell ref="C267:C268"/>
    <mergeCell ref="D267:D268"/>
    <mergeCell ref="E267:E268"/>
    <mergeCell ref="R265:R266"/>
    <mergeCell ref="S265:S266"/>
    <mergeCell ref="T265:T266"/>
    <mergeCell ref="U265:U266"/>
    <mergeCell ref="V265:V266"/>
    <mergeCell ref="M265:M266"/>
    <mergeCell ref="N265:N266"/>
    <mergeCell ref="O265:O266"/>
    <mergeCell ref="P265:P266"/>
    <mergeCell ref="Q265:Q266"/>
    <mergeCell ref="O262:P263"/>
    <mergeCell ref="Q262:U263"/>
    <mergeCell ref="V262:V264"/>
    <mergeCell ref="F263:H263"/>
    <mergeCell ref="A265:A266"/>
    <mergeCell ref="B265:B266"/>
    <mergeCell ref="C265:C266"/>
    <mergeCell ref="D265:D266"/>
    <mergeCell ref="E265:E266"/>
    <mergeCell ref="F265:F266"/>
    <mergeCell ref="G265:G266"/>
    <mergeCell ref="H265:H266"/>
    <mergeCell ref="I265:I266"/>
    <mergeCell ref="J265:J266"/>
    <mergeCell ref="K265:K266"/>
    <mergeCell ref="L265:L266"/>
    <mergeCell ref="A262:A264"/>
    <mergeCell ref="B262:E263"/>
    <mergeCell ref="F262:H262"/>
    <mergeCell ref="I262:K263"/>
    <mergeCell ref="L262:N263"/>
    <mergeCell ref="A255:E255"/>
    <mergeCell ref="R255:T255"/>
    <mergeCell ref="B257:S257"/>
    <mergeCell ref="B258:S258"/>
    <mergeCell ref="B259:S259"/>
    <mergeCell ref="S250:S251"/>
    <mergeCell ref="T250:T251"/>
    <mergeCell ref="U250:U251"/>
    <mergeCell ref="V250:V251"/>
    <mergeCell ref="A254:E254"/>
    <mergeCell ref="R254:T254"/>
    <mergeCell ref="N250:N251"/>
    <mergeCell ref="O250:O251"/>
    <mergeCell ref="P250:P251"/>
    <mergeCell ref="Q250:Q251"/>
    <mergeCell ref="R250:R251"/>
    <mergeCell ref="T248:T249"/>
    <mergeCell ref="U248:U249"/>
    <mergeCell ref="V248:V249"/>
    <mergeCell ref="A250:A251"/>
    <mergeCell ref="B250:B251"/>
    <mergeCell ref="C250:C251"/>
    <mergeCell ref="D250:D251"/>
    <mergeCell ref="E250:E251"/>
    <mergeCell ref="F250:F251"/>
    <mergeCell ref="G250:G251"/>
    <mergeCell ref="H250:H251"/>
    <mergeCell ref="I250:I251"/>
    <mergeCell ref="J250:J251"/>
    <mergeCell ref="K250:K251"/>
    <mergeCell ref="L250:L251"/>
    <mergeCell ref="M250:M251"/>
    <mergeCell ref="O248:O249"/>
    <mergeCell ref="P248:P249"/>
    <mergeCell ref="Q248:Q249"/>
    <mergeCell ref="R248:R249"/>
    <mergeCell ref="S248:S249"/>
    <mergeCell ref="V245:V247"/>
    <mergeCell ref="F246:H246"/>
    <mergeCell ref="A248:A249"/>
    <mergeCell ref="B248:B249"/>
    <mergeCell ref="C248:C249"/>
    <mergeCell ref="D248:D249"/>
    <mergeCell ref="E248:E249"/>
    <mergeCell ref="F248:F249"/>
    <mergeCell ref="G248:G249"/>
    <mergeCell ref="H248:H249"/>
    <mergeCell ref="I248:I249"/>
    <mergeCell ref="J248:J249"/>
    <mergeCell ref="K248:K249"/>
    <mergeCell ref="L248:L249"/>
    <mergeCell ref="M248:M249"/>
    <mergeCell ref="N248:N249"/>
    <mergeCell ref="B240:S240"/>
    <mergeCell ref="B241:S241"/>
    <mergeCell ref="B242:S242"/>
    <mergeCell ref="A245:A247"/>
    <mergeCell ref="B245:E246"/>
    <mergeCell ref="F245:H245"/>
    <mergeCell ref="I245:K246"/>
    <mergeCell ref="L245:N246"/>
    <mergeCell ref="O245:P246"/>
    <mergeCell ref="Q245:U246"/>
    <mergeCell ref="U233:U234"/>
    <mergeCell ref="V233:V234"/>
    <mergeCell ref="A237:E237"/>
    <mergeCell ref="R237:T237"/>
    <mergeCell ref="A238:E238"/>
    <mergeCell ref="R238:T238"/>
    <mergeCell ref="P233:P234"/>
    <mergeCell ref="Q233:Q234"/>
    <mergeCell ref="R233:R234"/>
    <mergeCell ref="S233:S234"/>
    <mergeCell ref="T233:T234"/>
    <mergeCell ref="K233:K234"/>
    <mergeCell ref="L233:L234"/>
    <mergeCell ref="M233:M234"/>
    <mergeCell ref="N233:N234"/>
    <mergeCell ref="O233:O234"/>
    <mergeCell ref="F233:F234"/>
    <mergeCell ref="G233:G234"/>
    <mergeCell ref="H233:H234"/>
    <mergeCell ref="I233:I234"/>
    <mergeCell ref="J233:J234"/>
    <mergeCell ref="A233:A234"/>
    <mergeCell ref="B233:B234"/>
    <mergeCell ref="C233:C234"/>
    <mergeCell ref="D233:D234"/>
    <mergeCell ref="E233:E234"/>
    <mergeCell ref="R231:R232"/>
    <mergeCell ref="S231:S232"/>
    <mergeCell ref="T231:T232"/>
    <mergeCell ref="U231:U232"/>
    <mergeCell ref="V231:V232"/>
    <mergeCell ref="M231:M232"/>
    <mergeCell ref="N231:N232"/>
    <mergeCell ref="O231:O232"/>
    <mergeCell ref="P231:P232"/>
    <mergeCell ref="Q231:Q232"/>
    <mergeCell ref="O228:P229"/>
    <mergeCell ref="Q228:U229"/>
    <mergeCell ref="V228:V230"/>
    <mergeCell ref="F229:H229"/>
    <mergeCell ref="A231:A232"/>
    <mergeCell ref="B231:B232"/>
    <mergeCell ref="C231:C232"/>
    <mergeCell ref="D231:D232"/>
    <mergeCell ref="E231:E232"/>
    <mergeCell ref="F231:F232"/>
    <mergeCell ref="G231:G232"/>
    <mergeCell ref="H231:H232"/>
    <mergeCell ref="I231:I232"/>
    <mergeCell ref="J231:J232"/>
    <mergeCell ref="K231:K232"/>
    <mergeCell ref="L231:L232"/>
    <mergeCell ref="A228:A230"/>
    <mergeCell ref="B228:E229"/>
    <mergeCell ref="F228:H228"/>
    <mergeCell ref="I228:K229"/>
    <mergeCell ref="L228:N229"/>
    <mergeCell ref="A221:E221"/>
    <mergeCell ref="Q221:T221"/>
    <mergeCell ref="B223:S223"/>
    <mergeCell ref="B224:S224"/>
    <mergeCell ref="B225:S225"/>
    <mergeCell ref="S216:S217"/>
    <mergeCell ref="T216:T217"/>
    <mergeCell ref="U216:U217"/>
    <mergeCell ref="V216:V217"/>
    <mergeCell ref="A220:F220"/>
    <mergeCell ref="Q220:T220"/>
    <mergeCell ref="N216:N217"/>
    <mergeCell ref="O216:O217"/>
    <mergeCell ref="P216:P217"/>
    <mergeCell ref="Q216:Q217"/>
    <mergeCell ref="R216:R217"/>
    <mergeCell ref="T214:T215"/>
    <mergeCell ref="U214:U215"/>
    <mergeCell ref="V214:V215"/>
    <mergeCell ref="A216:A217"/>
    <mergeCell ref="B216:B217"/>
    <mergeCell ref="C216:C217"/>
    <mergeCell ref="D216:D217"/>
    <mergeCell ref="E216:E217"/>
    <mergeCell ref="F216:F217"/>
    <mergeCell ref="G216:G217"/>
    <mergeCell ref="H216:H217"/>
    <mergeCell ref="I216:I217"/>
    <mergeCell ref="J216:J217"/>
    <mergeCell ref="K216:K217"/>
    <mergeCell ref="L216:L217"/>
    <mergeCell ref="M216:M217"/>
    <mergeCell ref="O214:O215"/>
    <mergeCell ref="P214:P215"/>
    <mergeCell ref="Q214:Q215"/>
    <mergeCell ref="R214:R215"/>
    <mergeCell ref="S214:S215"/>
    <mergeCell ref="V211:V213"/>
    <mergeCell ref="F212:H212"/>
    <mergeCell ref="A214:A215"/>
    <mergeCell ref="B214:B215"/>
    <mergeCell ref="C214:C215"/>
    <mergeCell ref="D214:D215"/>
    <mergeCell ref="E214:E215"/>
    <mergeCell ref="F214:F215"/>
    <mergeCell ref="G214:G215"/>
    <mergeCell ref="H214:H215"/>
    <mergeCell ref="I214:I215"/>
    <mergeCell ref="J214:J215"/>
    <mergeCell ref="K214:K215"/>
    <mergeCell ref="L214:L215"/>
    <mergeCell ref="M214:M215"/>
    <mergeCell ref="N214:N215"/>
    <mergeCell ref="B206:S206"/>
    <mergeCell ref="B207:S207"/>
    <mergeCell ref="B208:S208"/>
    <mergeCell ref="A211:A213"/>
    <mergeCell ref="B211:E212"/>
    <mergeCell ref="F211:H211"/>
    <mergeCell ref="I211:K212"/>
    <mergeCell ref="L211:N212"/>
    <mergeCell ref="O211:P212"/>
    <mergeCell ref="Q211:U212"/>
    <mergeCell ref="U199:U200"/>
    <mergeCell ref="V199:V200"/>
    <mergeCell ref="A203:E203"/>
    <mergeCell ref="Q203:T203"/>
    <mergeCell ref="A204:E204"/>
    <mergeCell ref="Q204:T204"/>
    <mergeCell ref="P199:P200"/>
    <mergeCell ref="Q199:Q200"/>
    <mergeCell ref="R199:R200"/>
    <mergeCell ref="S199:S200"/>
    <mergeCell ref="T199:T200"/>
    <mergeCell ref="K199:K200"/>
    <mergeCell ref="L199:L200"/>
    <mergeCell ref="M199:M200"/>
    <mergeCell ref="N199:N200"/>
    <mergeCell ref="O199:O200"/>
    <mergeCell ref="F199:F200"/>
    <mergeCell ref="G199:G200"/>
    <mergeCell ref="H199:H200"/>
    <mergeCell ref="I199:I200"/>
    <mergeCell ref="J199:J200"/>
    <mergeCell ref="A199:A200"/>
    <mergeCell ref="B199:B200"/>
    <mergeCell ref="C199:C200"/>
    <mergeCell ref="D199:D200"/>
    <mergeCell ref="E199:E200"/>
    <mergeCell ref="R197:R198"/>
    <mergeCell ref="S197:S198"/>
    <mergeCell ref="T197:T198"/>
    <mergeCell ref="U197:U198"/>
    <mergeCell ref="V197:V198"/>
    <mergeCell ref="M197:M198"/>
    <mergeCell ref="N197:N198"/>
    <mergeCell ref="O197:O198"/>
    <mergeCell ref="P197:P198"/>
    <mergeCell ref="Q197:Q198"/>
    <mergeCell ref="O194:P195"/>
    <mergeCell ref="Q194:U195"/>
    <mergeCell ref="V194:V196"/>
    <mergeCell ref="F195:H195"/>
    <mergeCell ref="A197:A198"/>
    <mergeCell ref="B197:B198"/>
    <mergeCell ref="C197:C198"/>
    <mergeCell ref="D197:D198"/>
    <mergeCell ref="E197:E198"/>
    <mergeCell ref="F197:F198"/>
    <mergeCell ref="G197:G198"/>
    <mergeCell ref="H197:H198"/>
    <mergeCell ref="I197:I198"/>
    <mergeCell ref="J197:J198"/>
    <mergeCell ref="K197:K198"/>
    <mergeCell ref="L197:L198"/>
    <mergeCell ref="A194:A196"/>
    <mergeCell ref="B194:E195"/>
    <mergeCell ref="F194:H194"/>
    <mergeCell ref="I194:K195"/>
    <mergeCell ref="L194:N195"/>
    <mergeCell ref="A187:E187"/>
    <mergeCell ref="R187:T187"/>
    <mergeCell ref="B189:S189"/>
    <mergeCell ref="B190:S190"/>
    <mergeCell ref="B191:S191"/>
    <mergeCell ref="S182:S183"/>
    <mergeCell ref="T182:T183"/>
    <mergeCell ref="U182:U183"/>
    <mergeCell ref="V182:V183"/>
    <mergeCell ref="A186:E186"/>
    <mergeCell ref="R186:T186"/>
    <mergeCell ref="N182:N183"/>
    <mergeCell ref="O182:O183"/>
    <mergeCell ref="P182:P183"/>
    <mergeCell ref="Q182:Q183"/>
    <mergeCell ref="R182:R183"/>
    <mergeCell ref="T180:T181"/>
    <mergeCell ref="U180:U181"/>
    <mergeCell ref="V180:V181"/>
    <mergeCell ref="A182:A183"/>
    <mergeCell ref="B182:B183"/>
    <mergeCell ref="C182:C183"/>
    <mergeCell ref="D182:D183"/>
    <mergeCell ref="E182:E183"/>
    <mergeCell ref="F182:F183"/>
    <mergeCell ref="G182:G183"/>
    <mergeCell ref="H182:H183"/>
    <mergeCell ref="I182:I183"/>
    <mergeCell ref="J182:J183"/>
    <mergeCell ref="K182:K183"/>
    <mergeCell ref="L182:L183"/>
    <mergeCell ref="M182:M183"/>
    <mergeCell ref="O180:O181"/>
    <mergeCell ref="P180:P181"/>
    <mergeCell ref="Q180:Q181"/>
    <mergeCell ref="R180:R181"/>
    <mergeCell ref="S180:S181"/>
    <mergeCell ref="V177:V179"/>
    <mergeCell ref="F178:H178"/>
    <mergeCell ref="A180:A181"/>
    <mergeCell ref="B180:B181"/>
    <mergeCell ref="C180:C181"/>
    <mergeCell ref="D180:D181"/>
    <mergeCell ref="E180:E181"/>
    <mergeCell ref="F180:F181"/>
    <mergeCell ref="G180:G181"/>
    <mergeCell ref="H180:H181"/>
    <mergeCell ref="I180:I181"/>
    <mergeCell ref="J180:J181"/>
    <mergeCell ref="K180:K181"/>
    <mergeCell ref="L180:L181"/>
    <mergeCell ref="M180:M181"/>
    <mergeCell ref="N180:N181"/>
    <mergeCell ref="B172:S172"/>
    <mergeCell ref="B173:S173"/>
    <mergeCell ref="B174:S174"/>
    <mergeCell ref="A177:A179"/>
    <mergeCell ref="B177:E178"/>
    <mergeCell ref="F177:H177"/>
    <mergeCell ref="I177:K178"/>
    <mergeCell ref="L177:N178"/>
    <mergeCell ref="O177:P178"/>
    <mergeCell ref="Q177:U178"/>
    <mergeCell ref="U165:U166"/>
    <mergeCell ref="V165:V166"/>
    <mergeCell ref="A169:E169"/>
    <mergeCell ref="R169:T169"/>
    <mergeCell ref="A170:E170"/>
    <mergeCell ref="R170:T170"/>
    <mergeCell ref="P165:P166"/>
    <mergeCell ref="Q165:Q166"/>
    <mergeCell ref="R165:R166"/>
    <mergeCell ref="S165:S166"/>
    <mergeCell ref="T165:T166"/>
    <mergeCell ref="K165:K166"/>
    <mergeCell ref="L165:L166"/>
    <mergeCell ref="M165:M166"/>
    <mergeCell ref="N165:N166"/>
    <mergeCell ref="O165:O166"/>
    <mergeCell ref="F165:F166"/>
    <mergeCell ref="G165:G166"/>
    <mergeCell ref="H165:H166"/>
    <mergeCell ref="I165:I166"/>
    <mergeCell ref="J165:J166"/>
    <mergeCell ref="A165:A166"/>
    <mergeCell ref="B165:B166"/>
    <mergeCell ref="C165:C166"/>
    <mergeCell ref="D165:D166"/>
    <mergeCell ref="E165:E166"/>
    <mergeCell ref="R163:R164"/>
    <mergeCell ref="S163:S164"/>
    <mergeCell ref="T163:T164"/>
    <mergeCell ref="U163:U164"/>
    <mergeCell ref="V163:V164"/>
    <mergeCell ref="M163:M164"/>
    <mergeCell ref="N163:N164"/>
    <mergeCell ref="O163:O164"/>
    <mergeCell ref="P163:P164"/>
    <mergeCell ref="Q163:Q164"/>
    <mergeCell ref="O160:P161"/>
    <mergeCell ref="Q160:U161"/>
    <mergeCell ref="V160:V162"/>
    <mergeCell ref="F161:H161"/>
    <mergeCell ref="A163:A164"/>
    <mergeCell ref="B163:B164"/>
    <mergeCell ref="C163:C164"/>
    <mergeCell ref="D163:D164"/>
    <mergeCell ref="E163:E164"/>
    <mergeCell ref="F163:F164"/>
    <mergeCell ref="G163:G164"/>
    <mergeCell ref="H163:H164"/>
    <mergeCell ref="I163:I164"/>
    <mergeCell ref="J163:J164"/>
    <mergeCell ref="K163:K164"/>
    <mergeCell ref="L163:L164"/>
    <mergeCell ref="A160:A162"/>
    <mergeCell ref="B160:E161"/>
    <mergeCell ref="F160:H160"/>
    <mergeCell ref="I160:K161"/>
    <mergeCell ref="L160:N161"/>
    <mergeCell ref="A153:E153"/>
    <mergeCell ref="Q153:T153"/>
    <mergeCell ref="B155:S155"/>
    <mergeCell ref="B156:S156"/>
    <mergeCell ref="B157:S157"/>
    <mergeCell ref="S148:S149"/>
    <mergeCell ref="T148:T149"/>
    <mergeCell ref="U148:U149"/>
    <mergeCell ref="V148:V149"/>
    <mergeCell ref="A152:E152"/>
    <mergeCell ref="Q152:T152"/>
    <mergeCell ref="N148:N149"/>
    <mergeCell ref="O148:O149"/>
    <mergeCell ref="P148:P149"/>
    <mergeCell ref="Q148:Q149"/>
    <mergeCell ref="R148:R149"/>
    <mergeCell ref="T146:T147"/>
    <mergeCell ref="U146:U147"/>
    <mergeCell ref="V146:V147"/>
    <mergeCell ref="A148:A149"/>
    <mergeCell ref="B148:B149"/>
    <mergeCell ref="C148:C149"/>
    <mergeCell ref="D148:D149"/>
    <mergeCell ref="E148:E149"/>
    <mergeCell ref="F148:F149"/>
    <mergeCell ref="G148:G149"/>
    <mergeCell ref="H148:H149"/>
    <mergeCell ref="I148:I149"/>
    <mergeCell ref="J148:J149"/>
    <mergeCell ref="K148:K149"/>
    <mergeCell ref="L148:L149"/>
    <mergeCell ref="M148:M149"/>
    <mergeCell ref="O146:O147"/>
    <mergeCell ref="P146:P147"/>
    <mergeCell ref="Q146:Q147"/>
    <mergeCell ref="R146:R147"/>
    <mergeCell ref="S146:S147"/>
    <mergeCell ref="V143:V145"/>
    <mergeCell ref="F144:H144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L146:L147"/>
    <mergeCell ref="M146:M147"/>
    <mergeCell ref="N146:N147"/>
    <mergeCell ref="A136:E136"/>
    <mergeCell ref="B138:S138"/>
    <mergeCell ref="B139:S139"/>
    <mergeCell ref="B140:S140"/>
    <mergeCell ref="A143:A145"/>
    <mergeCell ref="B143:E144"/>
    <mergeCell ref="F143:H143"/>
    <mergeCell ref="I143:K144"/>
    <mergeCell ref="L143:N144"/>
    <mergeCell ref="O143:P144"/>
    <mergeCell ref="Q143:U144"/>
    <mergeCell ref="S131:S132"/>
    <mergeCell ref="T131:T132"/>
    <mergeCell ref="U131:U132"/>
    <mergeCell ref="V131:V132"/>
    <mergeCell ref="A135:E135"/>
    <mergeCell ref="R135:T135"/>
    <mergeCell ref="N131:N132"/>
    <mergeCell ref="O131:O132"/>
    <mergeCell ref="P131:P132"/>
    <mergeCell ref="Q131:Q132"/>
    <mergeCell ref="R131:R132"/>
    <mergeCell ref="A131:A132"/>
    <mergeCell ref="B131:B132"/>
    <mergeCell ref="C131:C132"/>
    <mergeCell ref="D131:D132"/>
    <mergeCell ref="E131:E132"/>
    <mergeCell ref="F131:F132"/>
    <mergeCell ref="G131:G132"/>
    <mergeCell ref="H131:H132"/>
    <mergeCell ref="I131:I132"/>
    <mergeCell ref="J131:J132"/>
    <mergeCell ref="K131:K132"/>
    <mergeCell ref="L131:L132"/>
    <mergeCell ref="M131:M132"/>
    <mergeCell ref="O129:O130"/>
    <mergeCell ref="P129:P130"/>
    <mergeCell ref="Q129:Q130"/>
    <mergeCell ref="R129:R130"/>
    <mergeCell ref="V126:V128"/>
    <mergeCell ref="F127:H127"/>
    <mergeCell ref="A129:A130"/>
    <mergeCell ref="B129:B130"/>
    <mergeCell ref="C129:C130"/>
    <mergeCell ref="D129:D130"/>
    <mergeCell ref="E129:E130"/>
    <mergeCell ref="F129:F130"/>
    <mergeCell ref="G129:G130"/>
    <mergeCell ref="H129:H130"/>
    <mergeCell ref="I129:I130"/>
    <mergeCell ref="J129:J130"/>
    <mergeCell ref="K129:K130"/>
    <mergeCell ref="L129:L130"/>
    <mergeCell ref="M129:M130"/>
    <mergeCell ref="N129:N130"/>
    <mergeCell ref="A119:E119"/>
    <mergeCell ref="B121:S121"/>
    <mergeCell ref="B122:S122"/>
    <mergeCell ref="B123:S123"/>
    <mergeCell ref="A126:A128"/>
    <mergeCell ref="B126:E127"/>
    <mergeCell ref="F126:H126"/>
    <mergeCell ref="I126:K127"/>
    <mergeCell ref="L126:N127"/>
    <mergeCell ref="O126:P127"/>
    <mergeCell ref="Q126:U127"/>
    <mergeCell ref="T129:T130"/>
    <mergeCell ref="U129:U130"/>
    <mergeCell ref="V129:V130"/>
    <mergeCell ref="S129:S130"/>
    <mergeCell ref="S115:S116"/>
    <mergeCell ref="T115:T116"/>
    <mergeCell ref="U115:U116"/>
    <mergeCell ref="V115:V116"/>
    <mergeCell ref="A118:E118"/>
    <mergeCell ref="R118:T118"/>
    <mergeCell ref="N115:N116"/>
    <mergeCell ref="O115:O116"/>
    <mergeCell ref="P115:P116"/>
    <mergeCell ref="Q115:Q116"/>
    <mergeCell ref="R115:R116"/>
    <mergeCell ref="A115:A116"/>
    <mergeCell ref="B115:B116"/>
    <mergeCell ref="C115:C116"/>
    <mergeCell ref="D115:D116"/>
    <mergeCell ref="E115:E116"/>
    <mergeCell ref="F115:F116"/>
    <mergeCell ref="G115:G116"/>
    <mergeCell ref="H115:H116"/>
    <mergeCell ref="I115:I116"/>
    <mergeCell ref="J115:J116"/>
    <mergeCell ref="K115:K116"/>
    <mergeCell ref="L115:L116"/>
    <mergeCell ref="M115:M116"/>
    <mergeCell ref="O113:O114"/>
    <mergeCell ref="P113:P114"/>
    <mergeCell ref="Q113:Q114"/>
    <mergeCell ref="R113:R114"/>
    <mergeCell ref="V110:V112"/>
    <mergeCell ref="F111:H111"/>
    <mergeCell ref="A113:A114"/>
    <mergeCell ref="B113:B114"/>
    <mergeCell ref="C113:C114"/>
    <mergeCell ref="D113:D114"/>
    <mergeCell ref="E113:E114"/>
    <mergeCell ref="F113:F114"/>
    <mergeCell ref="G113:G114"/>
    <mergeCell ref="H113:H114"/>
    <mergeCell ref="I113:I114"/>
    <mergeCell ref="J113:J114"/>
    <mergeCell ref="K113:K114"/>
    <mergeCell ref="L113:L114"/>
    <mergeCell ref="M113:M114"/>
    <mergeCell ref="N113:N114"/>
    <mergeCell ref="B105:S105"/>
    <mergeCell ref="B106:S106"/>
    <mergeCell ref="B107:S107"/>
    <mergeCell ref="A110:A112"/>
    <mergeCell ref="B110:E111"/>
    <mergeCell ref="F110:H110"/>
    <mergeCell ref="I110:K111"/>
    <mergeCell ref="L110:N111"/>
    <mergeCell ref="O110:P111"/>
    <mergeCell ref="Q110:U111"/>
    <mergeCell ref="T113:T114"/>
    <mergeCell ref="U113:U114"/>
    <mergeCell ref="V113:V114"/>
    <mergeCell ref="S113:S114"/>
    <mergeCell ref="U98:U99"/>
    <mergeCell ref="V98:V99"/>
    <mergeCell ref="A102:E102"/>
    <mergeCell ref="R102:T102"/>
    <mergeCell ref="A103:E103"/>
    <mergeCell ref="R103:T103"/>
    <mergeCell ref="P98:P99"/>
    <mergeCell ref="Q98:Q99"/>
    <mergeCell ref="R98:R99"/>
    <mergeCell ref="S98:S99"/>
    <mergeCell ref="T98:T99"/>
    <mergeCell ref="K98:K99"/>
    <mergeCell ref="L98:L99"/>
    <mergeCell ref="M98:M99"/>
    <mergeCell ref="N98:N99"/>
    <mergeCell ref="O98:O99"/>
    <mergeCell ref="F98:F99"/>
    <mergeCell ref="G98:G99"/>
    <mergeCell ref="H98:H99"/>
    <mergeCell ref="I98:I99"/>
    <mergeCell ref="J98:J99"/>
    <mergeCell ref="A98:A99"/>
    <mergeCell ref="B98:B99"/>
    <mergeCell ref="C98:C99"/>
    <mergeCell ref="D98:D99"/>
    <mergeCell ref="E98:E99"/>
    <mergeCell ref="R96:R97"/>
    <mergeCell ref="S96:S97"/>
    <mergeCell ref="T96:T97"/>
    <mergeCell ref="U96:U97"/>
    <mergeCell ref="V96:V97"/>
    <mergeCell ref="M96:M97"/>
    <mergeCell ref="N96:N97"/>
    <mergeCell ref="O96:O97"/>
    <mergeCell ref="P96:P97"/>
    <mergeCell ref="Q96:Q97"/>
    <mergeCell ref="O93:P94"/>
    <mergeCell ref="Q93:U94"/>
    <mergeCell ref="V93:V95"/>
    <mergeCell ref="F94:H94"/>
    <mergeCell ref="A96:A97"/>
    <mergeCell ref="B96:B97"/>
    <mergeCell ref="C96:C97"/>
    <mergeCell ref="D96:D97"/>
    <mergeCell ref="E96:E97"/>
    <mergeCell ref="F96:F97"/>
    <mergeCell ref="G96:G97"/>
    <mergeCell ref="H96:H97"/>
    <mergeCell ref="I96:I97"/>
    <mergeCell ref="J96:J97"/>
    <mergeCell ref="K96:K97"/>
    <mergeCell ref="L96:L97"/>
    <mergeCell ref="A93:A95"/>
    <mergeCell ref="B93:E94"/>
    <mergeCell ref="F93:H93"/>
    <mergeCell ref="I93:K94"/>
    <mergeCell ref="L93:N94"/>
    <mergeCell ref="A86:E86"/>
    <mergeCell ref="R86:T86"/>
    <mergeCell ref="B88:S88"/>
    <mergeCell ref="B89:S89"/>
    <mergeCell ref="B90:S90"/>
    <mergeCell ref="S81:S82"/>
    <mergeCell ref="T81:T82"/>
    <mergeCell ref="U81:U82"/>
    <mergeCell ref="V81:V82"/>
    <mergeCell ref="A85:E85"/>
    <mergeCell ref="R85:T85"/>
    <mergeCell ref="N81:N82"/>
    <mergeCell ref="O81:O82"/>
    <mergeCell ref="P81:P82"/>
    <mergeCell ref="Q81:Q82"/>
    <mergeCell ref="R81:R82"/>
    <mergeCell ref="T79:T80"/>
    <mergeCell ref="U79:U80"/>
    <mergeCell ref="V79:V80"/>
    <mergeCell ref="A81:A82"/>
    <mergeCell ref="B81:B82"/>
    <mergeCell ref="C81:C82"/>
    <mergeCell ref="D81:D82"/>
    <mergeCell ref="E81:E82"/>
    <mergeCell ref="F81:F82"/>
    <mergeCell ref="G81:G82"/>
    <mergeCell ref="H81:H82"/>
    <mergeCell ref="I81:I82"/>
    <mergeCell ref="J81:J82"/>
    <mergeCell ref="K81:K82"/>
    <mergeCell ref="L81:L82"/>
    <mergeCell ref="M81:M82"/>
    <mergeCell ref="O79:O80"/>
    <mergeCell ref="P79:P80"/>
    <mergeCell ref="Q79:Q80"/>
    <mergeCell ref="R79:R80"/>
    <mergeCell ref="S79:S80"/>
    <mergeCell ref="V76:V78"/>
    <mergeCell ref="F77:H77"/>
    <mergeCell ref="A79:A80"/>
    <mergeCell ref="B79:B80"/>
    <mergeCell ref="C79:C80"/>
    <mergeCell ref="D79:D80"/>
    <mergeCell ref="E79:E80"/>
    <mergeCell ref="F79:F80"/>
    <mergeCell ref="G79:G80"/>
    <mergeCell ref="H79:H80"/>
    <mergeCell ref="I79:I80"/>
    <mergeCell ref="J79:J80"/>
    <mergeCell ref="K79:K80"/>
    <mergeCell ref="L79:L80"/>
    <mergeCell ref="M79:M80"/>
    <mergeCell ref="N79:N80"/>
    <mergeCell ref="B71:S71"/>
    <mergeCell ref="B72:S72"/>
    <mergeCell ref="B73:S73"/>
    <mergeCell ref="A76:A78"/>
    <mergeCell ref="B76:E77"/>
    <mergeCell ref="F76:H76"/>
    <mergeCell ref="I76:K77"/>
    <mergeCell ref="L76:N77"/>
    <mergeCell ref="O76:P77"/>
    <mergeCell ref="Q76:U77"/>
    <mergeCell ref="U64:U65"/>
    <mergeCell ref="V64:V65"/>
    <mergeCell ref="A68:E68"/>
    <mergeCell ref="R68:T68"/>
    <mergeCell ref="A69:E69"/>
    <mergeCell ref="R69:T69"/>
    <mergeCell ref="P64:P65"/>
    <mergeCell ref="Q64:Q65"/>
    <mergeCell ref="R64:R65"/>
    <mergeCell ref="S64:S65"/>
    <mergeCell ref="T64:T65"/>
    <mergeCell ref="K64:K65"/>
    <mergeCell ref="L64:L65"/>
    <mergeCell ref="M64:M65"/>
    <mergeCell ref="N64:N65"/>
    <mergeCell ref="O64:O65"/>
    <mergeCell ref="F64:F65"/>
    <mergeCell ref="G64:G65"/>
    <mergeCell ref="H64:H65"/>
    <mergeCell ref="I64:I65"/>
    <mergeCell ref="J64:J65"/>
    <mergeCell ref="A64:A65"/>
    <mergeCell ref="B64:B65"/>
    <mergeCell ref="C64:C65"/>
    <mergeCell ref="D64:D65"/>
    <mergeCell ref="E64:E65"/>
    <mergeCell ref="R62:R63"/>
    <mergeCell ref="S62:S63"/>
    <mergeCell ref="T62:T63"/>
    <mergeCell ref="U62:U63"/>
    <mergeCell ref="V62:V63"/>
    <mergeCell ref="M62:M63"/>
    <mergeCell ref="N62:N63"/>
    <mergeCell ref="O62:O63"/>
    <mergeCell ref="P62:P63"/>
    <mergeCell ref="Q62:Q63"/>
    <mergeCell ref="O59:P60"/>
    <mergeCell ref="Q59:U60"/>
    <mergeCell ref="V59:V61"/>
    <mergeCell ref="F60:H60"/>
    <mergeCell ref="A62:A63"/>
    <mergeCell ref="B62:B63"/>
    <mergeCell ref="C62:C63"/>
    <mergeCell ref="D62:D63"/>
    <mergeCell ref="E62:E63"/>
    <mergeCell ref="F62:F63"/>
    <mergeCell ref="G62:G63"/>
    <mergeCell ref="H62:H63"/>
    <mergeCell ref="I62:I63"/>
    <mergeCell ref="J62:J63"/>
    <mergeCell ref="K62:K63"/>
    <mergeCell ref="L62:L63"/>
    <mergeCell ref="A59:A61"/>
    <mergeCell ref="B59:E60"/>
    <mergeCell ref="F59:H59"/>
    <mergeCell ref="I59:K60"/>
    <mergeCell ref="L59:N60"/>
    <mergeCell ref="A53:E53"/>
    <mergeCell ref="R53:T53"/>
    <mergeCell ref="B55:S55"/>
    <mergeCell ref="B56:S56"/>
    <mergeCell ref="B57:S57"/>
    <mergeCell ref="S48:S49"/>
    <mergeCell ref="T48:T49"/>
    <mergeCell ref="U48:U49"/>
    <mergeCell ref="V48:V49"/>
    <mergeCell ref="A52:E52"/>
    <mergeCell ref="R52:T52"/>
    <mergeCell ref="N48:N49"/>
    <mergeCell ref="O48:O49"/>
    <mergeCell ref="P48:P49"/>
    <mergeCell ref="Q48:Q49"/>
    <mergeCell ref="R48:R49"/>
    <mergeCell ref="T46:T47"/>
    <mergeCell ref="U46:U47"/>
    <mergeCell ref="V46:V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K48:K49"/>
    <mergeCell ref="L48:L49"/>
    <mergeCell ref="M48:M49"/>
    <mergeCell ref="O46:O47"/>
    <mergeCell ref="P46:P47"/>
    <mergeCell ref="Q46:Q47"/>
    <mergeCell ref="R46:R47"/>
    <mergeCell ref="S46:S47"/>
    <mergeCell ref="V43:V45"/>
    <mergeCell ref="F44:H44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K46:K47"/>
    <mergeCell ref="L46:L47"/>
    <mergeCell ref="M46:M47"/>
    <mergeCell ref="N46:N47"/>
    <mergeCell ref="A36:E36"/>
    <mergeCell ref="B38:S38"/>
    <mergeCell ref="B39:S39"/>
    <mergeCell ref="B40:S40"/>
    <mergeCell ref="A43:A45"/>
    <mergeCell ref="B43:E44"/>
    <mergeCell ref="F43:H43"/>
    <mergeCell ref="I43:K44"/>
    <mergeCell ref="L43:N44"/>
    <mergeCell ref="O43:P44"/>
    <mergeCell ref="Q43:U44"/>
    <mergeCell ref="S31:S32"/>
    <mergeCell ref="T31:T32"/>
    <mergeCell ref="U31:U32"/>
    <mergeCell ref="V31:V32"/>
    <mergeCell ref="A35:E35"/>
    <mergeCell ref="N31:N32"/>
    <mergeCell ref="O31:O32"/>
    <mergeCell ref="P31:P32"/>
    <mergeCell ref="Q31:Q32"/>
    <mergeCell ref="R31:R32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O29:O30"/>
    <mergeCell ref="P29:P30"/>
    <mergeCell ref="Q29:Q30"/>
    <mergeCell ref="R29:R30"/>
    <mergeCell ref="V26:V28"/>
    <mergeCell ref="F27:H27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J29:J30"/>
    <mergeCell ref="K29:K30"/>
    <mergeCell ref="L29:L30"/>
    <mergeCell ref="M29:M30"/>
    <mergeCell ref="N29:N30"/>
    <mergeCell ref="A19:E19"/>
    <mergeCell ref="B21:S21"/>
    <mergeCell ref="B22:S22"/>
    <mergeCell ref="B23:S23"/>
    <mergeCell ref="A26:A28"/>
    <mergeCell ref="B26:E27"/>
    <mergeCell ref="F26:H26"/>
    <mergeCell ref="I26:K27"/>
    <mergeCell ref="L26:N27"/>
    <mergeCell ref="O26:P27"/>
    <mergeCell ref="Q26:U27"/>
    <mergeCell ref="T29:T30"/>
    <mergeCell ref="U29:U30"/>
    <mergeCell ref="V29:V30"/>
    <mergeCell ref="S29:S30"/>
    <mergeCell ref="R14:R15"/>
    <mergeCell ref="S14:S15"/>
    <mergeCell ref="T14:T15"/>
    <mergeCell ref="U14:U15"/>
    <mergeCell ref="V14:V15"/>
    <mergeCell ref="M14:M15"/>
    <mergeCell ref="N14:N15"/>
    <mergeCell ref="O14:O15"/>
    <mergeCell ref="P14:P15"/>
    <mergeCell ref="Q14:Q15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N12:N13"/>
    <mergeCell ref="O12:O13"/>
    <mergeCell ref="P12:P13"/>
    <mergeCell ref="Q12:Q13"/>
    <mergeCell ref="R12:R13"/>
    <mergeCell ref="A1:E1"/>
    <mergeCell ref="A2:E2"/>
    <mergeCell ref="F9:H9"/>
    <mergeCell ref="B4:U4"/>
    <mergeCell ref="B5:U5"/>
    <mergeCell ref="B6:U6"/>
    <mergeCell ref="Q9:U10"/>
    <mergeCell ref="V9:V11"/>
    <mergeCell ref="F10:H10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A9:A11"/>
    <mergeCell ref="B9:E10"/>
    <mergeCell ref="I9:K10"/>
    <mergeCell ref="L9:N10"/>
    <mergeCell ref="O9:P10"/>
    <mergeCell ref="S12:S13"/>
    <mergeCell ref="T12:T13"/>
    <mergeCell ref="U12:U13"/>
    <mergeCell ref="V12:V13"/>
  </mergeCells>
  <pageMargins left="0.7" right="0.7" top="0.75" bottom="0.75" header="0.3" footer="0.3"/>
  <pageSetup paperSize="9" scale="5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BD526"/>
  <sheetViews>
    <sheetView rightToLeft="1" topLeftCell="A16" workbookViewId="0">
      <selection activeCell="D10" sqref="D10:E10"/>
    </sheetView>
  </sheetViews>
  <sheetFormatPr defaultColWidth="9" defaultRowHeight="27.75" customHeight="1"/>
  <cols>
    <col min="1" max="1" width="14.33203125" style="3" customWidth="1"/>
    <col min="2" max="2" width="9" style="3"/>
    <col min="3" max="3" width="9.21875" style="3" customWidth="1"/>
    <col min="4" max="13" width="9" style="3"/>
    <col min="14" max="14" width="11.109375" style="3" customWidth="1"/>
    <col min="15" max="15" width="11.33203125" style="3" customWidth="1"/>
    <col min="16" max="16" width="11.21875" style="3" customWidth="1"/>
    <col min="17" max="17" width="0.21875" style="3" customWidth="1"/>
    <col min="18" max="21" width="5.21875" style="3" hidden="1" customWidth="1"/>
    <col min="22" max="88" width="0" style="3" hidden="1" customWidth="1"/>
    <col min="89" max="89" width="1.6640625" style="3" customWidth="1"/>
    <col min="90" max="221" width="0" style="3" hidden="1" customWidth="1"/>
    <col min="222" max="223" width="9" style="3" hidden="1" customWidth="1"/>
    <col min="224" max="246" width="0" style="3" hidden="1" customWidth="1"/>
    <col min="247" max="909" width="9" style="1"/>
    <col min="910" max="16384" width="9" style="3"/>
  </cols>
  <sheetData>
    <row r="1" spans="1:909" s="1" customFormat="1" ht="21">
      <c r="A1" s="156" t="s">
        <v>62</v>
      </c>
      <c r="B1" s="156"/>
      <c r="C1" s="156"/>
      <c r="D1" s="156"/>
      <c r="E1" s="156"/>
      <c r="O1" s="10" t="s">
        <v>63</v>
      </c>
      <c r="P1" s="10"/>
      <c r="Q1" s="10"/>
    </row>
    <row r="2" spans="1:909" s="1" customFormat="1" ht="21">
      <c r="A2" s="156" t="s">
        <v>64</v>
      </c>
      <c r="B2" s="156"/>
      <c r="C2" s="156"/>
      <c r="D2" s="156"/>
      <c r="E2" s="156"/>
      <c r="O2" s="10" t="s">
        <v>65</v>
      </c>
      <c r="P2" s="10"/>
      <c r="Q2" s="10"/>
    </row>
    <row r="3" spans="1:909" s="1" customFormat="1" ht="21">
      <c r="A3" s="156" t="s">
        <v>99</v>
      </c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0"/>
    </row>
    <row r="4" spans="1:909" s="1" customFormat="1" ht="21">
      <c r="A4" s="156" t="s">
        <v>100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0"/>
    </row>
    <row r="5" spans="1:909" s="1" customFormat="1" ht="21">
      <c r="A5" s="156" t="s">
        <v>101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0"/>
    </row>
    <row r="6" spans="1:909" s="1" customFormat="1" ht="21.6" thickBot="1">
      <c r="G6" s="198"/>
      <c r="H6" s="198"/>
      <c r="I6" s="198"/>
      <c r="J6" s="198"/>
      <c r="K6" s="198"/>
    </row>
    <row r="7" spans="1:909" s="1" customFormat="1" ht="21.6" thickTop="1">
      <c r="A7" s="199"/>
      <c r="B7" s="147" t="s">
        <v>102</v>
      </c>
      <c r="C7" s="149"/>
      <c r="D7" s="147" t="s">
        <v>103</v>
      </c>
      <c r="E7" s="149"/>
      <c r="F7" s="147" t="s">
        <v>104</v>
      </c>
      <c r="G7" s="149"/>
      <c r="H7" s="147" t="s">
        <v>105</v>
      </c>
      <c r="I7" s="149"/>
      <c r="J7" s="147" t="s">
        <v>106</v>
      </c>
      <c r="K7" s="149"/>
      <c r="L7" s="147" t="s">
        <v>107</v>
      </c>
      <c r="M7" s="149"/>
      <c r="N7" s="147" t="s">
        <v>58</v>
      </c>
      <c r="O7" s="148"/>
      <c r="P7" s="201"/>
      <c r="Q7" s="9"/>
    </row>
    <row r="8" spans="1:909" s="1" customFormat="1" ht="21.6" thickBot="1">
      <c r="A8" s="200"/>
      <c r="B8" s="137"/>
      <c r="C8" s="139"/>
      <c r="D8" s="137"/>
      <c r="E8" s="139"/>
      <c r="F8" s="137"/>
      <c r="G8" s="139"/>
      <c r="H8" s="137"/>
      <c r="I8" s="139"/>
      <c r="J8" s="137"/>
      <c r="K8" s="139"/>
      <c r="L8" s="137"/>
      <c r="M8" s="139"/>
      <c r="N8" s="137"/>
      <c r="O8" s="138"/>
      <c r="P8" s="202"/>
      <c r="Q8" s="9"/>
    </row>
    <row r="9" spans="1:909" s="5" customFormat="1" ht="22.2" thickTop="1" thickBot="1">
      <c r="A9" s="11" t="s">
        <v>108</v>
      </c>
      <c r="B9" s="170">
        <f>SUM(survey!X:X)</f>
        <v>1</v>
      </c>
      <c r="C9" s="182"/>
      <c r="D9" s="170"/>
      <c r="E9" s="182"/>
      <c r="F9" s="170"/>
      <c r="G9" s="182"/>
      <c r="H9" s="170"/>
      <c r="I9" s="182"/>
      <c r="J9" s="170"/>
      <c r="K9" s="182"/>
      <c r="L9" s="170"/>
      <c r="M9" s="182"/>
      <c r="N9" s="170">
        <f>L9+J9+H9+F9+D9+B9</f>
        <v>1</v>
      </c>
      <c r="O9" s="181"/>
      <c r="P9" s="193"/>
      <c r="Q9" s="9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</row>
    <row r="10" spans="1:909" s="5" customFormat="1" ht="22.2" thickTop="1" thickBot="1">
      <c r="A10" s="11" t="s">
        <v>109</v>
      </c>
      <c r="B10" s="170">
        <f>SUM(survey!Y:Y)</f>
        <v>0</v>
      </c>
      <c r="C10" s="182"/>
      <c r="D10" s="170"/>
      <c r="E10" s="182"/>
      <c r="F10" s="170"/>
      <c r="G10" s="182"/>
      <c r="H10" s="170"/>
      <c r="I10" s="182"/>
      <c r="J10" s="170"/>
      <c r="K10" s="182"/>
      <c r="L10" s="170"/>
      <c r="M10" s="182"/>
      <c r="N10" s="170">
        <f>L10+J10+H10+F10+D10+B10</f>
        <v>0</v>
      </c>
      <c r="O10" s="181"/>
      <c r="P10" s="193"/>
      <c r="Q10" s="9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/>
      <c r="AHB10" s="1"/>
      <c r="AHC10" s="1"/>
      <c r="AHD10" s="1"/>
      <c r="AHE10" s="1"/>
      <c r="AHF10" s="1"/>
      <c r="AHG10" s="1"/>
      <c r="AHH10" s="1"/>
      <c r="AHI10" s="1"/>
      <c r="AHJ10" s="1"/>
      <c r="AHK10" s="1"/>
      <c r="AHL10" s="1"/>
      <c r="AHM10" s="1"/>
      <c r="AHN10" s="1"/>
      <c r="AHO10" s="1"/>
      <c r="AHP10" s="1"/>
      <c r="AHQ10" s="1"/>
      <c r="AHR10" s="1"/>
      <c r="AHS10" s="1"/>
      <c r="AHT10" s="1"/>
      <c r="AHU10" s="1"/>
      <c r="AHV10" s="1"/>
      <c r="AHW10" s="1"/>
      <c r="AHX10" s="1"/>
      <c r="AHY10" s="1"/>
    </row>
    <row r="11" spans="1:909" s="5" customFormat="1" ht="22.2" thickTop="1" thickBot="1">
      <c r="A11" s="6" t="s">
        <v>110</v>
      </c>
      <c r="B11" s="194"/>
      <c r="C11" s="195"/>
      <c r="D11" s="194"/>
      <c r="E11" s="195"/>
      <c r="F11" s="194"/>
      <c r="G11" s="195"/>
      <c r="H11" s="194"/>
      <c r="I11" s="195"/>
      <c r="J11" s="194"/>
      <c r="K11" s="195"/>
      <c r="L11" s="194"/>
      <c r="M11" s="195"/>
      <c r="N11" s="194">
        <f>L11+J11+H11+F11+D11+B11</f>
        <v>0</v>
      </c>
      <c r="O11" s="196"/>
      <c r="P11" s="197"/>
      <c r="Q11" s="9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</row>
    <row r="12" spans="1:909" s="5" customFormat="1" ht="21.6" thickTop="1">
      <c r="A12" s="9"/>
      <c r="B12" s="9"/>
      <c r="C12" s="9"/>
      <c r="D12" s="9"/>
      <c r="E12" s="9"/>
      <c r="F12" s="9"/>
      <c r="G12" s="9" t="s">
        <v>111</v>
      </c>
      <c r="H12" s="9"/>
      <c r="I12" s="9"/>
      <c r="J12" s="9"/>
      <c r="K12" s="9"/>
      <c r="L12" s="9"/>
      <c r="M12" s="9"/>
      <c r="N12" s="9"/>
      <c r="O12" s="9"/>
      <c r="P12" s="9"/>
      <c r="Q12" s="9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/>
      <c r="AHA12" s="1"/>
      <c r="AHB12" s="1"/>
      <c r="AHC12" s="1"/>
      <c r="AHD12" s="1"/>
      <c r="AHE12" s="1"/>
      <c r="AHF12" s="1"/>
      <c r="AHG12" s="1"/>
      <c r="AHH12" s="1"/>
      <c r="AHI12" s="1"/>
      <c r="AHJ12" s="1"/>
      <c r="AHK12" s="1"/>
      <c r="AHL12" s="1"/>
      <c r="AHM12" s="1"/>
      <c r="AHN12" s="1"/>
      <c r="AHO12" s="1"/>
      <c r="AHP12" s="1"/>
      <c r="AHQ12" s="1"/>
      <c r="AHR12" s="1"/>
      <c r="AHS12" s="1"/>
      <c r="AHT12" s="1"/>
      <c r="AHU12" s="1"/>
      <c r="AHV12" s="1"/>
      <c r="AHW12" s="1"/>
      <c r="AHX12" s="1"/>
      <c r="AHY12" s="1"/>
    </row>
    <row r="13" spans="1:909" s="1" customFormat="1" ht="21">
      <c r="G13" s="189" t="s">
        <v>112</v>
      </c>
      <c r="H13" s="189"/>
      <c r="I13" s="189"/>
      <c r="J13" s="189"/>
      <c r="P13" s="12"/>
      <c r="Q13" s="12"/>
    </row>
    <row r="14" spans="1:909" s="1" customFormat="1" ht="21">
      <c r="F14" s="188" t="s">
        <v>100</v>
      </c>
      <c r="G14" s="188"/>
      <c r="H14" s="188"/>
      <c r="I14" s="188"/>
      <c r="J14" s="188"/>
      <c r="K14" s="188"/>
      <c r="P14" s="12"/>
      <c r="Q14" s="12"/>
    </row>
    <row r="15" spans="1:909" s="1" customFormat="1" ht="21">
      <c r="F15" s="189" t="s">
        <v>113</v>
      </c>
      <c r="G15" s="189"/>
      <c r="H15" s="189"/>
      <c r="I15" s="189"/>
      <c r="J15" s="189"/>
      <c r="K15" s="189"/>
      <c r="P15" s="12"/>
      <c r="Q15" s="12"/>
    </row>
    <row r="16" spans="1:909" s="1" customFormat="1" ht="21.6" thickBot="1">
      <c r="F16" s="13"/>
      <c r="G16" s="13"/>
      <c r="H16" s="13"/>
      <c r="I16" s="13"/>
      <c r="J16" s="13"/>
      <c r="K16" s="13"/>
      <c r="P16" s="12"/>
      <c r="Q16" s="12"/>
    </row>
    <row r="17" spans="1:17" s="1" customFormat="1" ht="22.2" thickTop="1" thickBot="1">
      <c r="A17" s="190"/>
      <c r="B17" s="183" t="s">
        <v>114</v>
      </c>
      <c r="C17" s="192"/>
      <c r="D17" s="183" t="s">
        <v>115</v>
      </c>
      <c r="E17" s="192"/>
      <c r="F17" s="183" t="s">
        <v>116</v>
      </c>
      <c r="G17" s="192"/>
      <c r="H17" s="183" t="s">
        <v>117</v>
      </c>
      <c r="I17" s="192"/>
      <c r="J17" s="183" t="s">
        <v>118</v>
      </c>
      <c r="K17" s="192"/>
      <c r="L17" s="183" t="s">
        <v>119</v>
      </c>
      <c r="M17" s="192"/>
      <c r="N17" s="183" t="s">
        <v>120</v>
      </c>
      <c r="O17" s="184"/>
      <c r="P17" s="185"/>
      <c r="Q17" s="9"/>
    </row>
    <row r="18" spans="1:17" s="1" customFormat="1" ht="22.2" thickTop="1" thickBot="1">
      <c r="A18" s="191"/>
      <c r="B18" s="4" t="s">
        <v>76</v>
      </c>
      <c r="C18" s="4" t="s">
        <v>121</v>
      </c>
      <c r="D18" s="4" t="s">
        <v>76</v>
      </c>
      <c r="E18" s="4" t="s">
        <v>121</v>
      </c>
      <c r="F18" s="4" t="s">
        <v>76</v>
      </c>
      <c r="G18" s="4" t="s">
        <v>121</v>
      </c>
      <c r="H18" s="4" t="s">
        <v>76</v>
      </c>
      <c r="I18" s="4" t="s">
        <v>121</v>
      </c>
      <c r="J18" s="4" t="s">
        <v>76</v>
      </c>
      <c r="K18" s="4" t="s">
        <v>121</v>
      </c>
      <c r="L18" s="4" t="s">
        <v>76</v>
      </c>
      <c r="M18" s="4" t="s">
        <v>121</v>
      </c>
      <c r="N18" s="4" t="s">
        <v>76</v>
      </c>
      <c r="O18" s="4" t="s">
        <v>121</v>
      </c>
      <c r="P18" s="14" t="s">
        <v>122</v>
      </c>
      <c r="Q18" s="9"/>
    </row>
    <row r="19" spans="1:17" s="1" customFormat="1" ht="22.2" thickTop="1" thickBot="1">
      <c r="A19" s="11" t="s">
        <v>123</v>
      </c>
      <c r="B19" s="4">
        <f>'[1]التعليم الابتدائي'!AP754</f>
        <v>0</v>
      </c>
      <c r="C19" s="4">
        <f>'[1]التعليم الابتدائي'!AQ754</f>
        <v>0</v>
      </c>
      <c r="D19" s="177"/>
      <c r="E19" s="178"/>
      <c r="F19" s="178"/>
      <c r="G19" s="178"/>
      <c r="H19" s="178"/>
      <c r="I19" s="178"/>
      <c r="J19" s="178"/>
      <c r="K19" s="178"/>
      <c r="L19" s="178"/>
      <c r="M19" s="186"/>
      <c r="N19" s="4">
        <f>B19</f>
        <v>0</v>
      </c>
      <c r="O19" s="4">
        <f>C19</f>
        <v>0</v>
      </c>
      <c r="P19" s="14">
        <f t="shared" ref="P19:P29" si="0">O19+N19</f>
        <v>0</v>
      </c>
      <c r="Q19" s="9"/>
    </row>
    <row r="20" spans="1:17" s="1" customFormat="1" ht="22.2" thickTop="1" thickBot="1">
      <c r="A20" s="11" t="s">
        <v>124</v>
      </c>
      <c r="B20" s="4">
        <f>'[1]التعليم الابتدائي'!AR754</f>
        <v>0</v>
      </c>
      <c r="C20" s="4">
        <f>'[1]التعليم الابتدائي'!AS754</f>
        <v>0</v>
      </c>
      <c r="D20" s="137"/>
      <c r="E20" s="138"/>
      <c r="F20" s="180"/>
      <c r="G20" s="180"/>
      <c r="H20" s="180"/>
      <c r="I20" s="180"/>
      <c r="J20" s="180"/>
      <c r="K20" s="180"/>
      <c r="L20" s="180"/>
      <c r="M20" s="187"/>
      <c r="N20" s="4">
        <f>B20</f>
        <v>0</v>
      </c>
      <c r="O20" s="4">
        <f>C20</f>
        <v>0</v>
      </c>
      <c r="P20" s="14">
        <f t="shared" si="0"/>
        <v>0</v>
      </c>
      <c r="Q20" s="9"/>
    </row>
    <row r="21" spans="1:17" s="1" customFormat="1" ht="22.2" thickTop="1" thickBot="1">
      <c r="A21" s="11" t="s">
        <v>125</v>
      </c>
      <c r="B21" s="4">
        <f>'[1]التعليم الابتدائي'!AT754</f>
        <v>0</v>
      </c>
      <c r="C21" s="4">
        <f>'[1]التعليم الابتدائي'!AU754</f>
        <v>0</v>
      </c>
      <c r="D21" s="4">
        <f>'[1]التعليم الابتدائي'!BE754</f>
        <v>0</v>
      </c>
      <c r="E21" s="4">
        <f>'[1]التعليم الابتدائي'!BF754</f>
        <v>0</v>
      </c>
      <c r="F21" s="138"/>
      <c r="G21" s="138"/>
      <c r="H21" s="180"/>
      <c r="I21" s="180"/>
      <c r="J21" s="180"/>
      <c r="K21" s="180"/>
      <c r="L21" s="180"/>
      <c r="M21" s="187"/>
      <c r="N21" s="4">
        <f>D21+B21</f>
        <v>0</v>
      </c>
      <c r="O21" s="4">
        <f>E21+C21</f>
        <v>0</v>
      </c>
      <c r="P21" s="14">
        <f t="shared" si="0"/>
        <v>0</v>
      </c>
      <c r="Q21" s="9"/>
    </row>
    <row r="22" spans="1:17" s="1" customFormat="1" ht="22.2" thickTop="1" thickBot="1">
      <c r="A22" s="11" t="s">
        <v>126</v>
      </c>
      <c r="B22" s="4">
        <f>'[1]التعليم الابتدائي'!AV754</f>
        <v>0</v>
      </c>
      <c r="C22" s="4">
        <f>'[1]التعليم الابتدائي'!AW754</f>
        <v>0</v>
      </c>
      <c r="D22" s="4">
        <f>'[1]التعليم الابتدائي'!BG754</f>
        <v>0</v>
      </c>
      <c r="E22" s="4">
        <f>'[1]التعليم الابتدائي'!BH754</f>
        <v>0</v>
      </c>
      <c r="F22" s="4">
        <f>'[1]التعليم الابتدائي'!BR754</f>
        <v>0</v>
      </c>
      <c r="G22" s="4">
        <f>'[1]التعليم الابتدائي'!BS754</f>
        <v>0</v>
      </c>
      <c r="H22" s="138"/>
      <c r="I22" s="138"/>
      <c r="J22" s="180"/>
      <c r="K22" s="180"/>
      <c r="L22" s="180"/>
      <c r="M22" s="187"/>
      <c r="N22" s="4">
        <f>F22+D22+B22</f>
        <v>0</v>
      </c>
      <c r="O22" s="4">
        <f>G22+E22+C22</f>
        <v>0</v>
      </c>
      <c r="P22" s="14">
        <f t="shared" si="0"/>
        <v>0</v>
      </c>
      <c r="Q22" s="9"/>
    </row>
    <row r="23" spans="1:17" s="1" customFormat="1" ht="22.2" thickTop="1" thickBot="1">
      <c r="A23" s="11" t="s">
        <v>106</v>
      </c>
      <c r="B23" s="4">
        <f>'[1]التعليم الابتدائي'!AX754</f>
        <v>0</v>
      </c>
      <c r="C23" s="4">
        <f>'[1]التعليم الابتدائي'!AY754</f>
        <v>0</v>
      </c>
      <c r="D23" s="4">
        <f>'[1]التعليم الابتدائي'!BI754</f>
        <v>0</v>
      </c>
      <c r="E23" s="4">
        <f>'[1]التعليم الابتدائي'!BJ754</f>
        <v>0</v>
      </c>
      <c r="F23" s="4">
        <f>'[1]التعليم الابتدائي'!BT754</f>
        <v>0</v>
      </c>
      <c r="G23" s="4">
        <f>'[1]التعليم الابتدائي'!BU754</f>
        <v>0</v>
      </c>
      <c r="H23" s="4">
        <f>'[1]التعليم الابتدائي'!CE754</f>
        <v>0</v>
      </c>
      <c r="I23" s="4">
        <f>'[1]التعليم الابتدائي'!CF754</f>
        <v>0</v>
      </c>
      <c r="J23" s="138"/>
      <c r="K23" s="138"/>
      <c r="L23" s="180"/>
      <c r="M23" s="187"/>
      <c r="N23" s="4">
        <f>B23+D23+F23+H23</f>
        <v>0</v>
      </c>
      <c r="O23" s="4">
        <f>I23+G23+E23+C23</f>
        <v>0</v>
      </c>
      <c r="P23" s="14">
        <f t="shared" si="0"/>
        <v>0</v>
      </c>
      <c r="Q23" s="9"/>
    </row>
    <row r="24" spans="1:17" s="1" customFormat="1" ht="22.2" thickTop="1" thickBot="1">
      <c r="A24" s="11" t="s">
        <v>127</v>
      </c>
      <c r="B24" s="4">
        <f>'[1]التعليم الابتدائي'!AZ754</f>
        <v>0</v>
      </c>
      <c r="C24" s="4">
        <f>'[1]التعليم الابتدائي'!BA754</f>
        <v>0</v>
      </c>
      <c r="D24" s="4">
        <f>'[1]التعليم الابتدائي'!BK754</f>
        <v>0</v>
      </c>
      <c r="E24" s="4">
        <f>'[1]التعليم الابتدائي'!BL754</f>
        <v>0</v>
      </c>
      <c r="F24" s="4">
        <f>'[1]التعليم الابتدائي'!BV754</f>
        <v>0</v>
      </c>
      <c r="G24" s="4">
        <f>'[1]التعليم الابتدائي'!BW754</f>
        <v>0</v>
      </c>
      <c r="H24" s="4">
        <f>'[1]التعليم الابتدائي'!CG754</f>
        <v>0</v>
      </c>
      <c r="I24" s="4">
        <f>'[1]التعليم الابتدائي'!CH754</f>
        <v>0</v>
      </c>
      <c r="J24" s="4">
        <f>'[1]التعليم الابتدائي'!CR754</f>
        <v>0</v>
      </c>
      <c r="K24" s="4">
        <f>'[1]التعليم الابتدائي'!CS754</f>
        <v>0</v>
      </c>
      <c r="L24" s="138"/>
      <c r="M24" s="139"/>
      <c r="N24" s="4">
        <f>B24+D24+F24+H24+J24</f>
        <v>0</v>
      </c>
      <c r="O24" s="4">
        <f>K24+I24+G24+E24+C24</f>
        <v>0</v>
      </c>
      <c r="P24" s="14">
        <f t="shared" si="0"/>
        <v>0</v>
      </c>
      <c r="Q24" s="9"/>
    </row>
    <row r="25" spans="1:17" s="1" customFormat="1" ht="22.2" thickTop="1" thickBot="1">
      <c r="A25" s="11" t="s">
        <v>128</v>
      </c>
      <c r="B25" s="177"/>
      <c r="C25" s="178"/>
      <c r="D25" s="4">
        <f>'[1]التعليم الابتدائي'!BM754</f>
        <v>0</v>
      </c>
      <c r="E25" s="4">
        <f>'[1]التعليم الابتدائي'!BN754</f>
        <v>0</v>
      </c>
      <c r="F25" s="4">
        <f>'[1]التعليم الابتدائي'!BX754</f>
        <v>0</v>
      </c>
      <c r="G25" s="4">
        <f>'[1]التعليم الابتدائي'!BY754</f>
        <v>0</v>
      </c>
      <c r="H25" s="4">
        <f>'[1]التعليم الابتدائي'!CI754</f>
        <v>0</v>
      </c>
      <c r="I25" s="4">
        <f>'[1]التعليم الابتدائي'!CJ754</f>
        <v>0</v>
      </c>
      <c r="J25" s="4">
        <f>'[1]التعليم الابتدائي'!CT754</f>
        <v>0</v>
      </c>
      <c r="K25" s="4">
        <f>'[1]التعليم الابتدائي'!CU754</f>
        <v>0</v>
      </c>
      <c r="L25" s="4">
        <f>'[1]التعليم الابتدائي'!DE754</f>
        <v>0</v>
      </c>
      <c r="M25" s="4">
        <f>'[1]التعليم الابتدائي'!DF754</f>
        <v>0</v>
      </c>
      <c r="N25" s="4">
        <f>D25+F25+H25+J25+L25</f>
        <v>0</v>
      </c>
      <c r="O25" s="4">
        <f>M25+K25+I25+G25+E25</f>
        <v>0</v>
      </c>
      <c r="P25" s="14">
        <f t="shared" si="0"/>
        <v>0</v>
      </c>
      <c r="Q25" s="9"/>
    </row>
    <row r="26" spans="1:17" s="1" customFormat="1" ht="22.2" thickTop="1" thickBot="1">
      <c r="A26" s="11" t="s">
        <v>129</v>
      </c>
      <c r="B26" s="179"/>
      <c r="C26" s="180"/>
      <c r="D26" s="178"/>
      <c r="E26" s="178"/>
      <c r="F26" s="4">
        <f>'[1]التعليم الابتدائي'!BZ754</f>
        <v>0</v>
      </c>
      <c r="G26" s="4">
        <f>'[1]التعليم الابتدائي'!CA754</f>
        <v>0</v>
      </c>
      <c r="H26" s="4">
        <f>'[1]التعليم الابتدائي'!CK754</f>
        <v>0</v>
      </c>
      <c r="I26" s="4">
        <f>'[1]التعليم الابتدائي'!CL754</f>
        <v>0</v>
      </c>
      <c r="J26" s="4">
        <f>'[1]التعليم الابتدائي'!CV754</f>
        <v>0</v>
      </c>
      <c r="K26" s="4">
        <f>'[1]التعليم الابتدائي'!CW754</f>
        <v>0</v>
      </c>
      <c r="L26" s="4">
        <f>'[1]التعليم الابتدائي'!DG754</f>
        <v>0</v>
      </c>
      <c r="M26" s="4">
        <f>'[1]التعليم الابتدائي'!DH754</f>
        <v>0</v>
      </c>
      <c r="N26" s="4">
        <f>L26+J26+H26+F26</f>
        <v>0</v>
      </c>
      <c r="O26" s="4">
        <f>M26+K26+I26+G26</f>
        <v>0</v>
      </c>
      <c r="P26" s="14">
        <f t="shared" si="0"/>
        <v>0</v>
      </c>
      <c r="Q26" s="9"/>
    </row>
    <row r="27" spans="1:17" s="1" customFormat="1" ht="22.2" thickTop="1" thickBot="1">
      <c r="A27" s="11" t="s">
        <v>130</v>
      </c>
      <c r="B27" s="179"/>
      <c r="C27" s="180"/>
      <c r="D27" s="180"/>
      <c r="E27" s="180"/>
      <c r="F27" s="178"/>
      <c r="G27" s="178"/>
      <c r="H27" s="4">
        <f>'[1]التعليم الابتدائي'!CM754</f>
        <v>0</v>
      </c>
      <c r="I27" s="4">
        <f>'[1]التعليم الابتدائي'!CN754</f>
        <v>0</v>
      </c>
      <c r="J27" s="4">
        <f>'[1]التعليم الابتدائي'!CX754</f>
        <v>0</v>
      </c>
      <c r="K27" s="4">
        <f>'[1]التعليم الابتدائي'!CY754</f>
        <v>0</v>
      </c>
      <c r="L27" s="4">
        <f>'[1]التعليم الابتدائي'!DI754</f>
        <v>0</v>
      </c>
      <c r="M27" s="4">
        <f>'[1]التعليم الابتدائي'!DJ754</f>
        <v>0</v>
      </c>
      <c r="N27" s="4">
        <f>L27+J27+H27</f>
        <v>0</v>
      </c>
      <c r="O27" s="4">
        <f>M27+K27+I27</f>
        <v>0</v>
      </c>
      <c r="P27" s="14">
        <f t="shared" si="0"/>
        <v>0</v>
      </c>
      <c r="Q27" s="9"/>
    </row>
    <row r="28" spans="1:17" s="1" customFormat="1" ht="22.2" thickTop="1" thickBot="1">
      <c r="A28" s="11" t="s">
        <v>131</v>
      </c>
      <c r="B28" s="179"/>
      <c r="C28" s="180"/>
      <c r="D28" s="180"/>
      <c r="E28" s="180"/>
      <c r="F28" s="180"/>
      <c r="G28" s="180"/>
      <c r="H28" s="178"/>
      <c r="I28" s="178"/>
      <c r="J28" s="4">
        <f>'[1]التعليم الابتدائي'!CZ754</f>
        <v>0</v>
      </c>
      <c r="K28" s="4">
        <f>'[1]التعليم الابتدائي'!DA754</f>
        <v>0</v>
      </c>
      <c r="L28" s="4">
        <f>'[1]التعليم الابتدائي'!DK754</f>
        <v>0</v>
      </c>
      <c r="M28" s="4">
        <f>'[1]التعليم الابتدائي'!DL754</f>
        <v>0</v>
      </c>
      <c r="N28" s="4">
        <f>L28+J28</f>
        <v>0</v>
      </c>
      <c r="O28" s="4">
        <f>M28+K28</f>
        <v>0</v>
      </c>
      <c r="P28" s="14">
        <f t="shared" si="0"/>
        <v>0</v>
      </c>
      <c r="Q28" s="9"/>
    </row>
    <row r="29" spans="1:17" s="1" customFormat="1" ht="22.2" thickTop="1" thickBot="1">
      <c r="A29" s="11" t="s">
        <v>132</v>
      </c>
      <c r="B29" s="137"/>
      <c r="C29" s="138"/>
      <c r="D29" s="138"/>
      <c r="E29" s="138"/>
      <c r="F29" s="138"/>
      <c r="G29" s="138"/>
      <c r="H29" s="138"/>
      <c r="I29" s="138"/>
      <c r="J29" s="181"/>
      <c r="K29" s="182"/>
      <c r="L29" s="4">
        <f>'[1]التعليم الابتدائي'!DM754</f>
        <v>0</v>
      </c>
      <c r="M29" s="4">
        <f>'[1]التعليم الابتدائي'!DN754</f>
        <v>0</v>
      </c>
      <c r="N29" s="4">
        <f>L29</f>
        <v>0</v>
      </c>
      <c r="O29" s="4">
        <f>M29</f>
        <v>0</v>
      </c>
      <c r="P29" s="14">
        <f t="shared" si="0"/>
        <v>0</v>
      </c>
      <c r="Q29" s="9"/>
    </row>
    <row r="30" spans="1:17" s="1" customFormat="1" ht="22.2" thickTop="1" thickBot="1">
      <c r="A30" s="6" t="s">
        <v>122</v>
      </c>
      <c r="B30" s="7">
        <f>SUM(B19:B29)</f>
        <v>0</v>
      </c>
      <c r="C30" s="7">
        <f>SUM(C19:C29)</f>
        <v>0</v>
      </c>
      <c r="D30" s="7">
        <f>D25+D24+D23+D22+D21</f>
        <v>0</v>
      </c>
      <c r="E30" s="7">
        <f t="shared" ref="E30:P30" si="1">SUM(E19:E29)</f>
        <v>0</v>
      </c>
      <c r="F30" s="7">
        <f t="shared" si="1"/>
        <v>0</v>
      </c>
      <c r="G30" s="7">
        <f t="shared" si="1"/>
        <v>0</v>
      </c>
      <c r="H30" s="7">
        <f t="shared" si="1"/>
        <v>0</v>
      </c>
      <c r="I30" s="7">
        <f t="shared" si="1"/>
        <v>0</v>
      </c>
      <c r="J30" s="7">
        <f t="shared" si="1"/>
        <v>0</v>
      </c>
      <c r="K30" s="7">
        <f t="shared" si="1"/>
        <v>0</v>
      </c>
      <c r="L30" s="7">
        <f>SUM(L25:L29)</f>
        <v>0</v>
      </c>
      <c r="M30" s="7">
        <f>SUM(M25:M29)</f>
        <v>0</v>
      </c>
      <c r="N30" s="7">
        <f t="shared" si="1"/>
        <v>0</v>
      </c>
      <c r="O30" s="7">
        <f t="shared" si="1"/>
        <v>0</v>
      </c>
      <c r="P30" s="8">
        <f t="shared" si="1"/>
        <v>0</v>
      </c>
      <c r="Q30" s="9"/>
    </row>
    <row r="31" spans="1:17" s="3" customFormat="1" ht="21.6" thickTop="1"/>
    <row r="32" spans="1:17" s="1" customFormat="1" ht="21">
      <c r="A32" s="2" t="s">
        <v>62</v>
      </c>
      <c r="B32" s="2"/>
      <c r="C32" s="2"/>
      <c r="D32" s="2"/>
      <c r="E32" s="2"/>
      <c r="O32" s="2" t="s">
        <v>133</v>
      </c>
      <c r="P32" s="2"/>
      <c r="Q32" s="2"/>
    </row>
    <row r="33" spans="1:909" s="1" customFormat="1" ht="21">
      <c r="A33" s="156" t="s">
        <v>64</v>
      </c>
      <c r="B33" s="156"/>
      <c r="C33" s="156"/>
      <c r="D33" s="156"/>
      <c r="E33" s="156"/>
      <c r="O33" s="2" t="s">
        <v>65</v>
      </c>
      <c r="P33" s="2"/>
      <c r="Q33" s="2"/>
    </row>
    <row r="34" spans="1:909" s="1" customFormat="1" ht="21">
      <c r="A34" s="156" t="s">
        <v>99</v>
      </c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2"/>
    </row>
    <row r="35" spans="1:909" s="1" customFormat="1" ht="21">
      <c r="A35" s="156" t="s">
        <v>100</v>
      </c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2"/>
    </row>
    <row r="36" spans="1:909" s="1" customFormat="1" ht="21">
      <c r="A36" s="156" t="s">
        <v>101</v>
      </c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2"/>
    </row>
    <row r="37" spans="1:909" s="1" customFormat="1" ht="21.6" thickBot="1">
      <c r="G37" s="198"/>
      <c r="H37" s="198"/>
      <c r="I37" s="198"/>
      <c r="J37" s="198"/>
      <c r="K37" s="198"/>
    </row>
    <row r="38" spans="1:909" s="1" customFormat="1" ht="21.6" thickTop="1">
      <c r="A38" s="199"/>
      <c r="B38" s="147" t="s">
        <v>102</v>
      </c>
      <c r="C38" s="149"/>
      <c r="D38" s="147" t="s">
        <v>103</v>
      </c>
      <c r="E38" s="149"/>
      <c r="F38" s="147" t="s">
        <v>104</v>
      </c>
      <c r="G38" s="149"/>
      <c r="H38" s="147" t="s">
        <v>105</v>
      </c>
      <c r="I38" s="149"/>
      <c r="J38" s="147" t="s">
        <v>106</v>
      </c>
      <c r="K38" s="149"/>
      <c r="L38" s="147" t="s">
        <v>107</v>
      </c>
      <c r="M38" s="149"/>
      <c r="N38" s="147" t="s">
        <v>58</v>
      </c>
      <c r="O38" s="148"/>
      <c r="P38" s="201"/>
    </row>
    <row r="39" spans="1:909" s="1" customFormat="1" ht="21.6" thickBot="1">
      <c r="A39" s="200"/>
      <c r="B39" s="137"/>
      <c r="C39" s="139"/>
      <c r="D39" s="137"/>
      <c r="E39" s="139"/>
      <c r="F39" s="137"/>
      <c r="G39" s="139"/>
      <c r="H39" s="137"/>
      <c r="I39" s="139"/>
      <c r="J39" s="137"/>
      <c r="K39" s="139"/>
      <c r="L39" s="137"/>
      <c r="M39" s="139"/>
      <c r="N39" s="137"/>
      <c r="O39" s="138"/>
      <c r="P39" s="202"/>
    </row>
    <row r="40" spans="1:909" s="5" customFormat="1" ht="22.2" thickTop="1" thickBot="1">
      <c r="A40" s="11" t="s">
        <v>108</v>
      </c>
      <c r="B40" s="170">
        <f>'[1]التعليم الابتدائي'!AA377</f>
        <v>0</v>
      </c>
      <c r="C40" s="182"/>
      <c r="D40" s="170">
        <f>'[1]التعليم الابتدائي'!AC377</f>
        <v>0</v>
      </c>
      <c r="E40" s="182"/>
      <c r="F40" s="170">
        <f>'[1]التعليم الابتدائي'!AE377</f>
        <v>0</v>
      </c>
      <c r="G40" s="182"/>
      <c r="H40" s="170">
        <f>'[1]التعليم الابتدائي'!AG377</f>
        <v>0</v>
      </c>
      <c r="I40" s="182"/>
      <c r="J40" s="170">
        <f>'[1]التعليم الابتدائي'!AI377</f>
        <v>0</v>
      </c>
      <c r="K40" s="182"/>
      <c r="L40" s="170">
        <f>'[1]التعليم الابتدائي'!AK377</f>
        <v>0</v>
      </c>
      <c r="M40" s="182"/>
      <c r="N40" s="170">
        <f>L40+J40+H40+F40+D40+B40</f>
        <v>0</v>
      </c>
      <c r="O40" s="181"/>
      <c r="P40" s="193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J40" s="1"/>
      <c r="OK40" s="1"/>
      <c r="OL40" s="1"/>
      <c r="OM40" s="1"/>
      <c r="ON40" s="1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/>
      <c r="PF40" s="1"/>
      <c r="PG40" s="1"/>
      <c r="PH40" s="1"/>
      <c r="PI40" s="1"/>
      <c r="PJ40" s="1"/>
      <c r="PK40" s="1"/>
      <c r="PL40" s="1"/>
      <c r="PM40" s="1"/>
      <c r="PN40" s="1"/>
      <c r="PO40" s="1"/>
      <c r="PP40" s="1"/>
      <c r="PQ40" s="1"/>
      <c r="PR40" s="1"/>
      <c r="PS40" s="1"/>
      <c r="PT40" s="1"/>
      <c r="PU40" s="1"/>
      <c r="PV40" s="1"/>
      <c r="PW40" s="1"/>
      <c r="PX40" s="1"/>
      <c r="PY40" s="1"/>
      <c r="PZ40" s="1"/>
      <c r="QA40" s="1"/>
      <c r="QB40" s="1"/>
      <c r="QC40" s="1"/>
      <c r="QD40" s="1"/>
      <c r="QE40" s="1"/>
      <c r="QF40" s="1"/>
      <c r="QG40" s="1"/>
      <c r="QH40" s="1"/>
      <c r="QI40" s="1"/>
      <c r="QJ40" s="1"/>
      <c r="QK40" s="1"/>
      <c r="QL40" s="1"/>
      <c r="QM40" s="1"/>
      <c r="QN40" s="1"/>
      <c r="QO40" s="1"/>
      <c r="QP40" s="1"/>
      <c r="QQ40" s="1"/>
      <c r="QR40" s="1"/>
      <c r="QS40" s="1"/>
      <c r="QT40" s="1"/>
      <c r="QU40" s="1"/>
      <c r="QV40" s="1"/>
      <c r="QW40" s="1"/>
      <c r="QX40" s="1"/>
      <c r="QY40" s="1"/>
      <c r="QZ40" s="1"/>
      <c r="RA40" s="1"/>
      <c r="RB40" s="1"/>
      <c r="RC40" s="1"/>
      <c r="RD40" s="1"/>
      <c r="RE40" s="1"/>
      <c r="RF40" s="1"/>
      <c r="RG40" s="1"/>
      <c r="RH40" s="1"/>
      <c r="RI40" s="1"/>
      <c r="RJ40" s="1"/>
      <c r="RK40" s="1"/>
      <c r="RL40" s="1"/>
      <c r="RM40" s="1"/>
      <c r="RN40" s="1"/>
      <c r="RO40" s="1"/>
      <c r="RP40" s="1"/>
      <c r="RQ40" s="1"/>
      <c r="RR40" s="1"/>
      <c r="RS40" s="1"/>
      <c r="RT40" s="1"/>
      <c r="RU40" s="1"/>
      <c r="RV40" s="1"/>
      <c r="RW40" s="1"/>
      <c r="RX40" s="1"/>
      <c r="RY40" s="1"/>
      <c r="RZ40" s="1"/>
      <c r="SA40" s="1"/>
      <c r="SB40" s="1"/>
      <c r="SC40" s="1"/>
      <c r="SD40" s="1"/>
      <c r="SE40" s="1"/>
      <c r="SF40" s="1"/>
      <c r="SG40" s="1"/>
      <c r="SH40" s="1"/>
      <c r="SI40" s="1"/>
      <c r="SJ40" s="1"/>
      <c r="SK40" s="1"/>
      <c r="SL40" s="1"/>
      <c r="SM40" s="1"/>
      <c r="SN40" s="1"/>
      <c r="SO40" s="1"/>
      <c r="SP40" s="1"/>
      <c r="SQ40" s="1"/>
      <c r="SR40" s="1"/>
      <c r="SS40" s="1"/>
      <c r="ST40" s="1"/>
      <c r="SU40" s="1"/>
      <c r="SV40" s="1"/>
      <c r="SW40" s="1"/>
      <c r="SX40" s="1"/>
      <c r="SY40" s="1"/>
      <c r="SZ40" s="1"/>
      <c r="TA40" s="1"/>
      <c r="TB40" s="1"/>
      <c r="TC40" s="1"/>
      <c r="TD40" s="1"/>
      <c r="TE40" s="1"/>
      <c r="TF40" s="1"/>
      <c r="TG40" s="1"/>
      <c r="TH40" s="1"/>
      <c r="TI40" s="1"/>
      <c r="TJ40" s="1"/>
      <c r="TK40" s="1"/>
      <c r="TL40" s="1"/>
      <c r="TM40" s="1"/>
      <c r="TN40" s="1"/>
      <c r="TO40" s="1"/>
      <c r="TP40" s="1"/>
      <c r="TQ40" s="1"/>
      <c r="TR40" s="1"/>
      <c r="TS40" s="1"/>
      <c r="TT40" s="1"/>
      <c r="TU40" s="1"/>
      <c r="TV40" s="1"/>
      <c r="TW40" s="1"/>
      <c r="TX40" s="1"/>
      <c r="TY40" s="1"/>
      <c r="TZ40" s="1"/>
      <c r="UA40" s="1"/>
      <c r="UB40" s="1"/>
      <c r="UC40" s="1"/>
      <c r="UD40" s="1"/>
      <c r="UE40" s="1"/>
      <c r="UF40" s="1"/>
      <c r="UG40" s="1"/>
      <c r="UH40" s="1"/>
      <c r="UI40" s="1"/>
      <c r="UJ40" s="1"/>
      <c r="UK40" s="1"/>
      <c r="UL40" s="1"/>
      <c r="UM40" s="1"/>
      <c r="UN40" s="1"/>
      <c r="UO40" s="1"/>
      <c r="UP40" s="1"/>
      <c r="UQ40" s="1"/>
      <c r="UR40" s="1"/>
      <c r="US40" s="1"/>
      <c r="UT40" s="1"/>
      <c r="UU40" s="1"/>
      <c r="UV40" s="1"/>
      <c r="UW40" s="1"/>
      <c r="UX40" s="1"/>
      <c r="UY40" s="1"/>
      <c r="UZ40" s="1"/>
      <c r="VA40" s="1"/>
      <c r="VB40" s="1"/>
      <c r="VC40" s="1"/>
      <c r="VD40" s="1"/>
      <c r="VE40" s="1"/>
      <c r="VF40" s="1"/>
      <c r="VG40" s="1"/>
      <c r="VH40" s="1"/>
      <c r="VI40" s="1"/>
      <c r="VJ40" s="1"/>
      <c r="VK40" s="1"/>
      <c r="VL40" s="1"/>
      <c r="VM40" s="1"/>
      <c r="VN40" s="1"/>
      <c r="VO40" s="1"/>
      <c r="VP40" s="1"/>
      <c r="VQ40" s="1"/>
      <c r="VR40" s="1"/>
      <c r="VS40" s="1"/>
      <c r="VT40" s="1"/>
      <c r="VU40" s="1"/>
      <c r="VV40" s="1"/>
      <c r="VW40" s="1"/>
      <c r="VX40" s="1"/>
      <c r="VY40" s="1"/>
      <c r="VZ40" s="1"/>
      <c r="WA40" s="1"/>
      <c r="WB40" s="1"/>
      <c r="WC40" s="1"/>
      <c r="WD40" s="1"/>
      <c r="WE40" s="1"/>
      <c r="WF40" s="1"/>
      <c r="WG40" s="1"/>
      <c r="WH40" s="1"/>
      <c r="WI40" s="1"/>
      <c r="WJ40" s="1"/>
      <c r="WK40" s="1"/>
      <c r="WL40" s="1"/>
      <c r="WM40" s="1"/>
      <c r="WN40" s="1"/>
      <c r="WO40" s="1"/>
      <c r="WP40" s="1"/>
      <c r="WQ40" s="1"/>
      <c r="WR40" s="1"/>
      <c r="WS40" s="1"/>
      <c r="WT40" s="1"/>
      <c r="WU40" s="1"/>
      <c r="WV40" s="1"/>
      <c r="WW40" s="1"/>
      <c r="WX40" s="1"/>
      <c r="WY40" s="1"/>
      <c r="WZ40" s="1"/>
      <c r="XA40" s="1"/>
      <c r="XB40" s="1"/>
      <c r="XC40" s="1"/>
      <c r="XD40" s="1"/>
      <c r="XE40" s="1"/>
      <c r="XF40" s="1"/>
      <c r="XG40" s="1"/>
      <c r="XH40" s="1"/>
      <c r="XI40" s="1"/>
      <c r="XJ40" s="1"/>
      <c r="XK40" s="1"/>
      <c r="XL40" s="1"/>
      <c r="XM40" s="1"/>
      <c r="XN40" s="1"/>
      <c r="XO40" s="1"/>
      <c r="XP40" s="1"/>
      <c r="XQ40" s="1"/>
      <c r="XR40" s="1"/>
      <c r="XS40" s="1"/>
      <c r="XT40" s="1"/>
      <c r="XU40" s="1"/>
      <c r="XV40" s="1"/>
      <c r="XW40" s="1"/>
      <c r="XX40" s="1"/>
      <c r="XY40" s="1"/>
      <c r="XZ40" s="1"/>
      <c r="YA40" s="1"/>
      <c r="YB40" s="1"/>
      <c r="YC40" s="1"/>
      <c r="YD40" s="1"/>
      <c r="YE40" s="1"/>
      <c r="YF40" s="1"/>
      <c r="YG40" s="1"/>
      <c r="YH40" s="1"/>
      <c r="YI40" s="1"/>
      <c r="YJ40" s="1"/>
      <c r="YK40" s="1"/>
      <c r="YL40" s="1"/>
      <c r="YM40" s="1"/>
      <c r="YN40" s="1"/>
      <c r="YO40" s="1"/>
      <c r="YP40" s="1"/>
      <c r="YQ40" s="1"/>
      <c r="YR40" s="1"/>
      <c r="YS40" s="1"/>
      <c r="YT40" s="1"/>
      <c r="YU40" s="1"/>
      <c r="YV40" s="1"/>
      <c r="YW40" s="1"/>
      <c r="YX40" s="1"/>
      <c r="YY40" s="1"/>
      <c r="YZ40" s="1"/>
      <c r="ZA40" s="1"/>
      <c r="ZB40" s="1"/>
      <c r="ZC40" s="1"/>
      <c r="ZD40" s="1"/>
      <c r="ZE40" s="1"/>
      <c r="ZF40" s="1"/>
      <c r="ZG40" s="1"/>
      <c r="ZH40" s="1"/>
      <c r="ZI40" s="1"/>
      <c r="ZJ40" s="1"/>
      <c r="ZK40" s="1"/>
      <c r="ZL40" s="1"/>
      <c r="ZM40" s="1"/>
      <c r="ZN40" s="1"/>
      <c r="ZO40" s="1"/>
      <c r="ZP40" s="1"/>
      <c r="ZQ40" s="1"/>
      <c r="ZR40" s="1"/>
      <c r="ZS40" s="1"/>
      <c r="ZT40" s="1"/>
      <c r="ZU40" s="1"/>
      <c r="ZV40" s="1"/>
      <c r="ZW40" s="1"/>
      <c r="ZX40" s="1"/>
      <c r="ZY40" s="1"/>
      <c r="ZZ40" s="1"/>
      <c r="AAA40" s="1"/>
      <c r="AAB40" s="1"/>
      <c r="AAC40" s="1"/>
      <c r="AAD40" s="1"/>
      <c r="AAE40" s="1"/>
      <c r="AAF40" s="1"/>
      <c r="AAG40" s="1"/>
      <c r="AAH40" s="1"/>
      <c r="AAI40" s="1"/>
      <c r="AAJ40" s="1"/>
      <c r="AAK40" s="1"/>
      <c r="AAL40" s="1"/>
      <c r="AAM40" s="1"/>
      <c r="AAN40" s="1"/>
      <c r="AAO40" s="1"/>
      <c r="AAP40" s="1"/>
      <c r="AAQ40" s="1"/>
      <c r="AAR40" s="1"/>
      <c r="AAS40" s="1"/>
      <c r="AAT40" s="1"/>
      <c r="AAU40" s="1"/>
      <c r="AAV40" s="1"/>
      <c r="AAW40" s="1"/>
      <c r="AAX40" s="1"/>
      <c r="AAY40" s="1"/>
      <c r="AAZ40" s="1"/>
      <c r="ABA40" s="1"/>
      <c r="ABB40" s="1"/>
      <c r="ABC40" s="1"/>
      <c r="ABD40" s="1"/>
      <c r="ABE40" s="1"/>
      <c r="ABF40" s="1"/>
      <c r="ABG40" s="1"/>
      <c r="ABH40" s="1"/>
      <c r="ABI40" s="1"/>
      <c r="ABJ40" s="1"/>
      <c r="ABK40" s="1"/>
      <c r="ABL40" s="1"/>
      <c r="ABM40" s="1"/>
      <c r="ABN40" s="1"/>
      <c r="ABO40" s="1"/>
      <c r="ABP40" s="1"/>
      <c r="ABQ40" s="1"/>
      <c r="ABR40" s="1"/>
      <c r="ABS40" s="1"/>
      <c r="ABT40" s="1"/>
      <c r="ABU40" s="1"/>
      <c r="ABV40" s="1"/>
      <c r="ABW40" s="1"/>
      <c r="ABX40" s="1"/>
      <c r="ABY40" s="1"/>
      <c r="ABZ40" s="1"/>
      <c r="ACA40" s="1"/>
      <c r="ACB40" s="1"/>
      <c r="ACC40" s="1"/>
      <c r="ACD40" s="1"/>
      <c r="ACE40" s="1"/>
      <c r="ACF40" s="1"/>
      <c r="ACG40" s="1"/>
      <c r="ACH40" s="1"/>
      <c r="ACI40" s="1"/>
      <c r="ACJ40" s="1"/>
      <c r="ACK40" s="1"/>
      <c r="ACL40" s="1"/>
      <c r="ACM40" s="1"/>
      <c r="ACN40" s="1"/>
      <c r="ACO40" s="1"/>
      <c r="ACP40" s="1"/>
      <c r="ACQ40" s="1"/>
      <c r="ACR40" s="1"/>
      <c r="ACS40" s="1"/>
      <c r="ACT40" s="1"/>
      <c r="ACU40" s="1"/>
      <c r="ACV40" s="1"/>
      <c r="ACW40" s="1"/>
      <c r="ACX40" s="1"/>
      <c r="ACY40" s="1"/>
      <c r="ACZ40" s="1"/>
      <c r="ADA40" s="1"/>
      <c r="ADB40" s="1"/>
      <c r="ADC40" s="1"/>
      <c r="ADD40" s="1"/>
      <c r="ADE40" s="1"/>
      <c r="ADF40" s="1"/>
      <c r="ADG40" s="1"/>
      <c r="ADH40" s="1"/>
      <c r="ADI40" s="1"/>
      <c r="ADJ40" s="1"/>
      <c r="ADK40" s="1"/>
      <c r="ADL40" s="1"/>
      <c r="ADM40" s="1"/>
      <c r="ADN40" s="1"/>
      <c r="ADO40" s="1"/>
      <c r="ADP40" s="1"/>
      <c r="ADQ40" s="1"/>
      <c r="ADR40" s="1"/>
      <c r="ADS40" s="1"/>
      <c r="ADT40" s="1"/>
      <c r="ADU40" s="1"/>
      <c r="ADV40" s="1"/>
      <c r="ADW40" s="1"/>
      <c r="ADX40" s="1"/>
      <c r="ADY40" s="1"/>
      <c r="ADZ40" s="1"/>
      <c r="AEA40" s="1"/>
      <c r="AEB40" s="1"/>
      <c r="AEC40" s="1"/>
      <c r="AED40" s="1"/>
      <c r="AEE40" s="1"/>
      <c r="AEF40" s="1"/>
      <c r="AEG40" s="1"/>
      <c r="AEH40" s="1"/>
      <c r="AEI40" s="1"/>
      <c r="AEJ40" s="1"/>
      <c r="AEK40" s="1"/>
      <c r="AEL40" s="1"/>
      <c r="AEM40" s="1"/>
      <c r="AEN40" s="1"/>
      <c r="AEO40" s="1"/>
      <c r="AEP40" s="1"/>
      <c r="AEQ40" s="1"/>
      <c r="AER40" s="1"/>
      <c r="AES40" s="1"/>
      <c r="AET40" s="1"/>
      <c r="AEU40" s="1"/>
      <c r="AEV40" s="1"/>
      <c r="AEW40" s="1"/>
      <c r="AEX40" s="1"/>
      <c r="AEY40" s="1"/>
      <c r="AEZ40" s="1"/>
      <c r="AFA40" s="1"/>
      <c r="AFB40" s="1"/>
      <c r="AFC40" s="1"/>
      <c r="AFD40" s="1"/>
      <c r="AFE40" s="1"/>
      <c r="AFF40" s="1"/>
      <c r="AFG40" s="1"/>
      <c r="AFH40" s="1"/>
      <c r="AFI40" s="1"/>
      <c r="AFJ40" s="1"/>
      <c r="AFK40" s="1"/>
      <c r="AFL40" s="1"/>
      <c r="AFM40" s="1"/>
      <c r="AFN40" s="1"/>
      <c r="AFO40" s="1"/>
      <c r="AFP40" s="1"/>
      <c r="AFQ40" s="1"/>
      <c r="AFR40" s="1"/>
      <c r="AFS40" s="1"/>
      <c r="AFT40" s="1"/>
      <c r="AFU40" s="1"/>
      <c r="AFV40" s="1"/>
      <c r="AFW40" s="1"/>
      <c r="AFX40" s="1"/>
      <c r="AFY40" s="1"/>
      <c r="AFZ40" s="1"/>
      <c r="AGA40" s="1"/>
      <c r="AGB40" s="1"/>
      <c r="AGC40" s="1"/>
      <c r="AGD40" s="1"/>
      <c r="AGE40" s="1"/>
      <c r="AGF40" s="1"/>
      <c r="AGG40" s="1"/>
      <c r="AGH40" s="1"/>
      <c r="AGI40" s="1"/>
      <c r="AGJ40" s="1"/>
      <c r="AGK40" s="1"/>
      <c r="AGL40" s="1"/>
      <c r="AGM40" s="1"/>
      <c r="AGN40" s="1"/>
      <c r="AGO40" s="1"/>
      <c r="AGP40" s="1"/>
      <c r="AGQ40" s="1"/>
      <c r="AGR40" s="1"/>
      <c r="AGS40" s="1"/>
      <c r="AGT40" s="1"/>
      <c r="AGU40" s="1"/>
      <c r="AGV40" s="1"/>
      <c r="AGW40" s="1"/>
      <c r="AGX40" s="1"/>
      <c r="AGY40" s="1"/>
      <c r="AGZ40" s="1"/>
      <c r="AHA40" s="1"/>
      <c r="AHB40" s="1"/>
      <c r="AHC40" s="1"/>
      <c r="AHD40" s="1"/>
      <c r="AHE40" s="1"/>
      <c r="AHF40" s="1"/>
      <c r="AHG40" s="1"/>
      <c r="AHH40" s="1"/>
      <c r="AHI40" s="1"/>
      <c r="AHJ40" s="1"/>
      <c r="AHK40" s="1"/>
      <c r="AHL40" s="1"/>
      <c r="AHM40" s="1"/>
      <c r="AHN40" s="1"/>
      <c r="AHO40" s="1"/>
      <c r="AHP40" s="1"/>
      <c r="AHQ40" s="1"/>
      <c r="AHR40" s="1"/>
      <c r="AHS40" s="1"/>
      <c r="AHT40" s="1"/>
      <c r="AHU40" s="1"/>
      <c r="AHV40" s="1"/>
      <c r="AHW40" s="1"/>
      <c r="AHX40" s="1"/>
      <c r="AHY40" s="1"/>
    </row>
    <row r="41" spans="1:909" s="5" customFormat="1" ht="22.2" thickTop="1" thickBot="1">
      <c r="A41" s="11" t="s">
        <v>109</v>
      </c>
      <c r="B41" s="170">
        <f>'[1]التعليم الابتدائي'!AB377</f>
        <v>0</v>
      </c>
      <c r="C41" s="182"/>
      <c r="D41" s="170">
        <f>'[1]التعليم الابتدائي'!AD377</f>
        <v>0</v>
      </c>
      <c r="E41" s="182"/>
      <c r="F41" s="170">
        <f>'[1]التعليم الابتدائي'!AF377</f>
        <v>0</v>
      </c>
      <c r="G41" s="182"/>
      <c r="H41" s="170">
        <f>'[1]التعليم الابتدائي'!AH377</f>
        <v>0</v>
      </c>
      <c r="I41" s="182"/>
      <c r="J41" s="170">
        <f>'[1]التعليم الابتدائي'!AJ377</f>
        <v>0</v>
      </c>
      <c r="K41" s="182"/>
      <c r="L41" s="170">
        <f>'[1]التعليم الابتدائي'!AL377</f>
        <v>0</v>
      </c>
      <c r="M41" s="182"/>
      <c r="N41" s="170">
        <f>L41+J41+H41+F41+D41+B41</f>
        <v>0</v>
      </c>
      <c r="O41" s="181"/>
      <c r="P41" s="193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  <c r="PL41" s="1"/>
      <c r="PM41" s="1"/>
      <c r="PN41" s="1"/>
      <c r="PO41" s="1"/>
      <c r="PP41" s="1"/>
      <c r="PQ41" s="1"/>
      <c r="PR41" s="1"/>
      <c r="PS41" s="1"/>
      <c r="PT41" s="1"/>
      <c r="PU41" s="1"/>
      <c r="PV41" s="1"/>
      <c r="PW41" s="1"/>
      <c r="PX41" s="1"/>
      <c r="PY41" s="1"/>
      <c r="PZ41" s="1"/>
      <c r="QA41" s="1"/>
      <c r="QB41" s="1"/>
      <c r="QC41" s="1"/>
      <c r="QD41" s="1"/>
      <c r="QE41" s="1"/>
      <c r="QF41" s="1"/>
      <c r="QG41" s="1"/>
      <c r="QH41" s="1"/>
      <c r="QI41" s="1"/>
      <c r="QJ41" s="1"/>
      <c r="QK41" s="1"/>
      <c r="QL41" s="1"/>
      <c r="QM41" s="1"/>
      <c r="QN41" s="1"/>
      <c r="QO41" s="1"/>
      <c r="QP41" s="1"/>
      <c r="QQ41" s="1"/>
      <c r="QR41" s="1"/>
      <c r="QS41" s="1"/>
      <c r="QT41" s="1"/>
      <c r="QU41" s="1"/>
      <c r="QV41" s="1"/>
      <c r="QW41" s="1"/>
      <c r="QX41" s="1"/>
      <c r="QY41" s="1"/>
      <c r="QZ41" s="1"/>
      <c r="RA41" s="1"/>
      <c r="RB41" s="1"/>
      <c r="RC41" s="1"/>
      <c r="RD41" s="1"/>
      <c r="RE41" s="1"/>
      <c r="RF41" s="1"/>
      <c r="RG41" s="1"/>
      <c r="RH41" s="1"/>
      <c r="RI41" s="1"/>
      <c r="RJ41" s="1"/>
      <c r="RK41" s="1"/>
      <c r="RL41" s="1"/>
      <c r="RM41" s="1"/>
      <c r="RN41" s="1"/>
      <c r="RO41" s="1"/>
      <c r="RP41" s="1"/>
      <c r="RQ41" s="1"/>
      <c r="RR41" s="1"/>
      <c r="RS41" s="1"/>
      <c r="RT41" s="1"/>
      <c r="RU41" s="1"/>
      <c r="RV41" s="1"/>
      <c r="RW41" s="1"/>
      <c r="RX41" s="1"/>
      <c r="RY41" s="1"/>
      <c r="RZ41" s="1"/>
      <c r="SA41" s="1"/>
      <c r="SB41" s="1"/>
      <c r="SC41" s="1"/>
      <c r="SD41" s="1"/>
      <c r="SE41" s="1"/>
      <c r="SF41" s="1"/>
      <c r="SG41" s="1"/>
      <c r="SH41" s="1"/>
      <c r="SI41" s="1"/>
      <c r="SJ41" s="1"/>
      <c r="SK41" s="1"/>
      <c r="SL41" s="1"/>
      <c r="SM41" s="1"/>
      <c r="SN41" s="1"/>
      <c r="SO41" s="1"/>
      <c r="SP41" s="1"/>
      <c r="SQ41" s="1"/>
      <c r="SR41" s="1"/>
      <c r="SS41" s="1"/>
      <c r="ST41" s="1"/>
      <c r="SU41" s="1"/>
      <c r="SV41" s="1"/>
      <c r="SW41" s="1"/>
      <c r="SX41" s="1"/>
      <c r="SY41" s="1"/>
      <c r="SZ41" s="1"/>
      <c r="TA41" s="1"/>
      <c r="TB41" s="1"/>
      <c r="TC41" s="1"/>
      <c r="TD41" s="1"/>
      <c r="TE41" s="1"/>
      <c r="TF41" s="1"/>
      <c r="TG41" s="1"/>
      <c r="TH41" s="1"/>
      <c r="TI41" s="1"/>
      <c r="TJ41" s="1"/>
      <c r="TK41" s="1"/>
      <c r="TL41" s="1"/>
      <c r="TM41" s="1"/>
      <c r="TN41" s="1"/>
      <c r="TO41" s="1"/>
      <c r="TP41" s="1"/>
      <c r="TQ41" s="1"/>
      <c r="TR41" s="1"/>
      <c r="TS41" s="1"/>
      <c r="TT41" s="1"/>
      <c r="TU41" s="1"/>
      <c r="TV41" s="1"/>
      <c r="TW41" s="1"/>
      <c r="TX41" s="1"/>
      <c r="TY41" s="1"/>
      <c r="TZ41" s="1"/>
      <c r="UA41" s="1"/>
      <c r="UB41" s="1"/>
      <c r="UC41" s="1"/>
      <c r="UD41" s="1"/>
      <c r="UE41" s="1"/>
      <c r="UF41" s="1"/>
      <c r="UG41" s="1"/>
      <c r="UH41" s="1"/>
      <c r="UI41" s="1"/>
      <c r="UJ41" s="1"/>
      <c r="UK41" s="1"/>
      <c r="UL41" s="1"/>
      <c r="UM41" s="1"/>
      <c r="UN41" s="1"/>
      <c r="UO41" s="1"/>
      <c r="UP41" s="1"/>
      <c r="UQ41" s="1"/>
      <c r="UR41" s="1"/>
      <c r="US41" s="1"/>
      <c r="UT41" s="1"/>
      <c r="UU41" s="1"/>
      <c r="UV41" s="1"/>
      <c r="UW41" s="1"/>
      <c r="UX41" s="1"/>
      <c r="UY41" s="1"/>
      <c r="UZ41" s="1"/>
      <c r="VA41" s="1"/>
      <c r="VB41" s="1"/>
      <c r="VC41" s="1"/>
      <c r="VD41" s="1"/>
      <c r="VE41" s="1"/>
      <c r="VF41" s="1"/>
      <c r="VG41" s="1"/>
      <c r="VH41" s="1"/>
      <c r="VI41" s="1"/>
      <c r="VJ41" s="1"/>
      <c r="VK41" s="1"/>
      <c r="VL41" s="1"/>
      <c r="VM41" s="1"/>
      <c r="VN41" s="1"/>
      <c r="VO41" s="1"/>
      <c r="VP41" s="1"/>
      <c r="VQ41" s="1"/>
      <c r="VR41" s="1"/>
      <c r="VS41" s="1"/>
      <c r="VT41" s="1"/>
      <c r="VU41" s="1"/>
      <c r="VV41" s="1"/>
      <c r="VW41" s="1"/>
      <c r="VX41" s="1"/>
      <c r="VY41" s="1"/>
      <c r="VZ41" s="1"/>
      <c r="WA41" s="1"/>
      <c r="WB41" s="1"/>
      <c r="WC41" s="1"/>
      <c r="WD41" s="1"/>
      <c r="WE41" s="1"/>
      <c r="WF41" s="1"/>
      <c r="WG41" s="1"/>
      <c r="WH41" s="1"/>
      <c r="WI41" s="1"/>
      <c r="WJ41" s="1"/>
      <c r="WK41" s="1"/>
      <c r="WL41" s="1"/>
      <c r="WM41" s="1"/>
      <c r="WN41" s="1"/>
      <c r="WO41" s="1"/>
      <c r="WP41" s="1"/>
      <c r="WQ41" s="1"/>
      <c r="WR41" s="1"/>
      <c r="WS41" s="1"/>
      <c r="WT41" s="1"/>
      <c r="WU41" s="1"/>
      <c r="WV41" s="1"/>
      <c r="WW41" s="1"/>
      <c r="WX41" s="1"/>
      <c r="WY41" s="1"/>
      <c r="WZ41" s="1"/>
      <c r="XA41" s="1"/>
      <c r="XB41" s="1"/>
      <c r="XC41" s="1"/>
      <c r="XD41" s="1"/>
      <c r="XE41" s="1"/>
      <c r="XF41" s="1"/>
      <c r="XG41" s="1"/>
      <c r="XH41" s="1"/>
      <c r="XI41" s="1"/>
      <c r="XJ41" s="1"/>
      <c r="XK41" s="1"/>
      <c r="XL41" s="1"/>
      <c r="XM41" s="1"/>
      <c r="XN41" s="1"/>
      <c r="XO41" s="1"/>
      <c r="XP41" s="1"/>
      <c r="XQ41" s="1"/>
      <c r="XR41" s="1"/>
      <c r="XS41" s="1"/>
      <c r="XT41" s="1"/>
      <c r="XU41" s="1"/>
      <c r="XV41" s="1"/>
      <c r="XW41" s="1"/>
      <c r="XX41" s="1"/>
      <c r="XY41" s="1"/>
      <c r="XZ41" s="1"/>
      <c r="YA41" s="1"/>
      <c r="YB41" s="1"/>
      <c r="YC41" s="1"/>
      <c r="YD41" s="1"/>
      <c r="YE41" s="1"/>
      <c r="YF41" s="1"/>
      <c r="YG41" s="1"/>
      <c r="YH41" s="1"/>
      <c r="YI41" s="1"/>
      <c r="YJ41" s="1"/>
      <c r="YK41" s="1"/>
      <c r="YL41" s="1"/>
      <c r="YM41" s="1"/>
      <c r="YN41" s="1"/>
      <c r="YO41" s="1"/>
      <c r="YP41" s="1"/>
      <c r="YQ41" s="1"/>
      <c r="YR41" s="1"/>
      <c r="YS41" s="1"/>
      <c r="YT41" s="1"/>
      <c r="YU41" s="1"/>
      <c r="YV41" s="1"/>
      <c r="YW41" s="1"/>
      <c r="YX41" s="1"/>
      <c r="YY41" s="1"/>
      <c r="YZ41" s="1"/>
      <c r="ZA41" s="1"/>
      <c r="ZB41" s="1"/>
      <c r="ZC41" s="1"/>
      <c r="ZD41" s="1"/>
      <c r="ZE41" s="1"/>
      <c r="ZF41" s="1"/>
      <c r="ZG41" s="1"/>
      <c r="ZH41" s="1"/>
      <c r="ZI41" s="1"/>
      <c r="ZJ41" s="1"/>
      <c r="ZK41" s="1"/>
      <c r="ZL41" s="1"/>
      <c r="ZM41" s="1"/>
      <c r="ZN41" s="1"/>
      <c r="ZO41" s="1"/>
      <c r="ZP41" s="1"/>
      <c r="ZQ41" s="1"/>
      <c r="ZR41" s="1"/>
      <c r="ZS41" s="1"/>
      <c r="ZT41" s="1"/>
      <c r="ZU41" s="1"/>
      <c r="ZV41" s="1"/>
      <c r="ZW41" s="1"/>
      <c r="ZX41" s="1"/>
      <c r="ZY41" s="1"/>
      <c r="ZZ41" s="1"/>
      <c r="AAA41" s="1"/>
      <c r="AAB41" s="1"/>
      <c r="AAC41" s="1"/>
      <c r="AAD41" s="1"/>
      <c r="AAE41" s="1"/>
      <c r="AAF41" s="1"/>
      <c r="AAG41" s="1"/>
      <c r="AAH41" s="1"/>
      <c r="AAI41" s="1"/>
      <c r="AAJ41" s="1"/>
      <c r="AAK41" s="1"/>
      <c r="AAL41" s="1"/>
      <c r="AAM41" s="1"/>
      <c r="AAN41" s="1"/>
      <c r="AAO41" s="1"/>
      <c r="AAP41" s="1"/>
      <c r="AAQ41" s="1"/>
      <c r="AAR41" s="1"/>
      <c r="AAS41" s="1"/>
      <c r="AAT41" s="1"/>
      <c r="AAU41" s="1"/>
      <c r="AAV41" s="1"/>
      <c r="AAW41" s="1"/>
      <c r="AAX41" s="1"/>
      <c r="AAY41" s="1"/>
      <c r="AAZ41" s="1"/>
      <c r="ABA41" s="1"/>
      <c r="ABB41" s="1"/>
      <c r="ABC41" s="1"/>
      <c r="ABD41" s="1"/>
      <c r="ABE41" s="1"/>
      <c r="ABF41" s="1"/>
      <c r="ABG41" s="1"/>
      <c r="ABH41" s="1"/>
      <c r="ABI41" s="1"/>
      <c r="ABJ41" s="1"/>
      <c r="ABK41" s="1"/>
      <c r="ABL41" s="1"/>
      <c r="ABM41" s="1"/>
      <c r="ABN41" s="1"/>
      <c r="ABO41" s="1"/>
      <c r="ABP41" s="1"/>
      <c r="ABQ41" s="1"/>
      <c r="ABR41" s="1"/>
      <c r="ABS41" s="1"/>
      <c r="ABT41" s="1"/>
      <c r="ABU41" s="1"/>
      <c r="ABV41" s="1"/>
      <c r="ABW41" s="1"/>
      <c r="ABX41" s="1"/>
      <c r="ABY41" s="1"/>
      <c r="ABZ41" s="1"/>
      <c r="ACA41" s="1"/>
      <c r="ACB41" s="1"/>
      <c r="ACC41" s="1"/>
      <c r="ACD41" s="1"/>
      <c r="ACE41" s="1"/>
      <c r="ACF41" s="1"/>
      <c r="ACG41" s="1"/>
      <c r="ACH41" s="1"/>
      <c r="ACI41" s="1"/>
      <c r="ACJ41" s="1"/>
      <c r="ACK41" s="1"/>
      <c r="ACL41" s="1"/>
      <c r="ACM41" s="1"/>
      <c r="ACN41" s="1"/>
      <c r="ACO41" s="1"/>
      <c r="ACP41" s="1"/>
      <c r="ACQ41" s="1"/>
      <c r="ACR41" s="1"/>
      <c r="ACS41" s="1"/>
      <c r="ACT41" s="1"/>
      <c r="ACU41" s="1"/>
      <c r="ACV41" s="1"/>
      <c r="ACW41" s="1"/>
      <c r="ACX41" s="1"/>
      <c r="ACY41" s="1"/>
      <c r="ACZ41" s="1"/>
      <c r="ADA41" s="1"/>
      <c r="ADB41" s="1"/>
      <c r="ADC41" s="1"/>
      <c r="ADD41" s="1"/>
      <c r="ADE41" s="1"/>
      <c r="ADF41" s="1"/>
      <c r="ADG41" s="1"/>
      <c r="ADH41" s="1"/>
      <c r="ADI41" s="1"/>
      <c r="ADJ41" s="1"/>
      <c r="ADK41" s="1"/>
      <c r="ADL41" s="1"/>
      <c r="ADM41" s="1"/>
      <c r="ADN41" s="1"/>
      <c r="ADO41" s="1"/>
      <c r="ADP41" s="1"/>
      <c r="ADQ41" s="1"/>
      <c r="ADR41" s="1"/>
      <c r="ADS41" s="1"/>
      <c r="ADT41" s="1"/>
      <c r="ADU41" s="1"/>
      <c r="ADV41" s="1"/>
      <c r="ADW41" s="1"/>
      <c r="ADX41" s="1"/>
      <c r="ADY41" s="1"/>
      <c r="ADZ41" s="1"/>
      <c r="AEA41" s="1"/>
      <c r="AEB41" s="1"/>
      <c r="AEC41" s="1"/>
      <c r="AED41" s="1"/>
      <c r="AEE41" s="1"/>
      <c r="AEF41" s="1"/>
      <c r="AEG41" s="1"/>
      <c r="AEH41" s="1"/>
      <c r="AEI41" s="1"/>
      <c r="AEJ41" s="1"/>
      <c r="AEK41" s="1"/>
      <c r="AEL41" s="1"/>
      <c r="AEM41" s="1"/>
      <c r="AEN41" s="1"/>
      <c r="AEO41" s="1"/>
      <c r="AEP41" s="1"/>
      <c r="AEQ41" s="1"/>
      <c r="AER41" s="1"/>
      <c r="AES41" s="1"/>
      <c r="AET41" s="1"/>
      <c r="AEU41" s="1"/>
      <c r="AEV41" s="1"/>
      <c r="AEW41" s="1"/>
      <c r="AEX41" s="1"/>
      <c r="AEY41" s="1"/>
      <c r="AEZ41" s="1"/>
      <c r="AFA41" s="1"/>
      <c r="AFB41" s="1"/>
      <c r="AFC41" s="1"/>
      <c r="AFD41" s="1"/>
      <c r="AFE41" s="1"/>
      <c r="AFF41" s="1"/>
      <c r="AFG41" s="1"/>
      <c r="AFH41" s="1"/>
      <c r="AFI41" s="1"/>
      <c r="AFJ41" s="1"/>
      <c r="AFK41" s="1"/>
      <c r="AFL41" s="1"/>
      <c r="AFM41" s="1"/>
      <c r="AFN41" s="1"/>
      <c r="AFO41" s="1"/>
      <c r="AFP41" s="1"/>
      <c r="AFQ41" s="1"/>
      <c r="AFR41" s="1"/>
      <c r="AFS41" s="1"/>
      <c r="AFT41" s="1"/>
      <c r="AFU41" s="1"/>
      <c r="AFV41" s="1"/>
      <c r="AFW41" s="1"/>
      <c r="AFX41" s="1"/>
      <c r="AFY41" s="1"/>
      <c r="AFZ41" s="1"/>
      <c r="AGA41" s="1"/>
      <c r="AGB41" s="1"/>
      <c r="AGC41" s="1"/>
      <c r="AGD41" s="1"/>
      <c r="AGE41" s="1"/>
      <c r="AGF41" s="1"/>
      <c r="AGG41" s="1"/>
      <c r="AGH41" s="1"/>
      <c r="AGI41" s="1"/>
      <c r="AGJ41" s="1"/>
      <c r="AGK41" s="1"/>
      <c r="AGL41" s="1"/>
      <c r="AGM41" s="1"/>
      <c r="AGN41" s="1"/>
      <c r="AGO41" s="1"/>
      <c r="AGP41" s="1"/>
      <c r="AGQ41" s="1"/>
      <c r="AGR41" s="1"/>
      <c r="AGS41" s="1"/>
      <c r="AGT41" s="1"/>
      <c r="AGU41" s="1"/>
      <c r="AGV41" s="1"/>
      <c r="AGW41" s="1"/>
      <c r="AGX41" s="1"/>
      <c r="AGY41" s="1"/>
      <c r="AGZ41" s="1"/>
      <c r="AHA41" s="1"/>
      <c r="AHB41" s="1"/>
      <c r="AHC41" s="1"/>
      <c r="AHD41" s="1"/>
      <c r="AHE41" s="1"/>
      <c r="AHF41" s="1"/>
      <c r="AHG41" s="1"/>
      <c r="AHH41" s="1"/>
      <c r="AHI41" s="1"/>
      <c r="AHJ41" s="1"/>
      <c r="AHK41" s="1"/>
      <c r="AHL41" s="1"/>
      <c r="AHM41" s="1"/>
      <c r="AHN41" s="1"/>
      <c r="AHO41" s="1"/>
      <c r="AHP41" s="1"/>
      <c r="AHQ41" s="1"/>
      <c r="AHR41" s="1"/>
      <c r="AHS41" s="1"/>
      <c r="AHT41" s="1"/>
      <c r="AHU41" s="1"/>
      <c r="AHV41" s="1"/>
      <c r="AHW41" s="1"/>
      <c r="AHX41" s="1"/>
      <c r="AHY41" s="1"/>
    </row>
    <row r="42" spans="1:909" s="5" customFormat="1" ht="22.2" thickTop="1" thickBot="1">
      <c r="A42" s="6" t="s">
        <v>110</v>
      </c>
      <c r="B42" s="194">
        <f>SUM(B40:B41)</f>
        <v>0</v>
      </c>
      <c r="C42" s="195"/>
      <c r="D42" s="194">
        <f>SUM(D40:D41)</f>
        <v>0</v>
      </c>
      <c r="E42" s="195"/>
      <c r="F42" s="194">
        <f>SUM(F40:F41)</f>
        <v>0</v>
      </c>
      <c r="G42" s="195"/>
      <c r="H42" s="194">
        <f>SUM(H40:H41)</f>
        <v>0</v>
      </c>
      <c r="I42" s="195"/>
      <c r="J42" s="194">
        <f>SUM(J40:J41)</f>
        <v>0</v>
      </c>
      <c r="K42" s="195"/>
      <c r="L42" s="194">
        <f>SUM(L40:L41)</f>
        <v>0</v>
      </c>
      <c r="M42" s="195"/>
      <c r="N42" s="194">
        <f>L42+J42+H42+F42+D42+B42</f>
        <v>0</v>
      </c>
      <c r="O42" s="196"/>
      <c r="P42" s="197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/>
      <c r="OI42" s="1"/>
      <c r="OJ42" s="1"/>
      <c r="OK42" s="1"/>
      <c r="OL42" s="1"/>
      <c r="OM42" s="1"/>
      <c r="ON42" s="1"/>
      <c r="OO42" s="1"/>
      <c r="OP42" s="1"/>
      <c r="OQ42" s="1"/>
      <c r="OR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/>
      <c r="PE42" s="1"/>
      <c r="PF42" s="1"/>
      <c r="PG42" s="1"/>
      <c r="PH42" s="1"/>
      <c r="PI42" s="1"/>
      <c r="PJ42" s="1"/>
      <c r="PK42" s="1"/>
      <c r="PL42" s="1"/>
      <c r="PM42" s="1"/>
      <c r="PN42" s="1"/>
      <c r="PO42" s="1"/>
      <c r="PP42" s="1"/>
      <c r="PQ42" s="1"/>
      <c r="PR42" s="1"/>
      <c r="PS42" s="1"/>
      <c r="PT42" s="1"/>
      <c r="PU42" s="1"/>
      <c r="PV42" s="1"/>
      <c r="PW42" s="1"/>
      <c r="PX42" s="1"/>
      <c r="PY42" s="1"/>
      <c r="PZ42" s="1"/>
      <c r="QA42" s="1"/>
      <c r="QB42" s="1"/>
      <c r="QC42" s="1"/>
      <c r="QD42" s="1"/>
      <c r="QE42" s="1"/>
      <c r="QF42" s="1"/>
      <c r="QG42" s="1"/>
      <c r="QH42" s="1"/>
      <c r="QI42" s="1"/>
      <c r="QJ42" s="1"/>
      <c r="QK42" s="1"/>
      <c r="QL42" s="1"/>
      <c r="QM42" s="1"/>
      <c r="QN42" s="1"/>
      <c r="QO42" s="1"/>
      <c r="QP42" s="1"/>
      <c r="QQ42" s="1"/>
      <c r="QR42" s="1"/>
      <c r="QS42" s="1"/>
      <c r="QT42" s="1"/>
      <c r="QU42" s="1"/>
      <c r="QV42" s="1"/>
      <c r="QW42" s="1"/>
      <c r="QX42" s="1"/>
      <c r="QY42" s="1"/>
      <c r="QZ42" s="1"/>
      <c r="RA42" s="1"/>
      <c r="RB42" s="1"/>
      <c r="RC42" s="1"/>
      <c r="RD42" s="1"/>
      <c r="RE42" s="1"/>
      <c r="RF42" s="1"/>
      <c r="RG42" s="1"/>
      <c r="RH42" s="1"/>
      <c r="RI42" s="1"/>
      <c r="RJ42" s="1"/>
      <c r="RK42" s="1"/>
      <c r="RL42" s="1"/>
      <c r="RM42" s="1"/>
      <c r="RN42" s="1"/>
      <c r="RO42" s="1"/>
      <c r="RP42" s="1"/>
      <c r="RQ42" s="1"/>
      <c r="RR42" s="1"/>
      <c r="RS42" s="1"/>
      <c r="RT42" s="1"/>
      <c r="RU42" s="1"/>
      <c r="RV42" s="1"/>
      <c r="RW42" s="1"/>
      <c r="RX42" s="1"/>
      <c r="RY42" s="1"/>
      <c r="RZ42" s="1"/>
      <c r="SA42" s="1"/>
      <c r="SB42" s="1"/>
      <c r="SC42" s="1"/>
      <c r="SD42" s="1"/>
      <c r="SE42" s="1"/>
      <c r="SF42" s="1"/>
      <c r="SG42" s="1"/>
      <c r="SH42" s="1"/>
      <c r="SI42" s="1"/>
      <c r="SJ42" s="1"/>
      <c r="SK42" s="1"/>
      <c r="SL42" s="1"/>
      <c r="SM42" s="1"/>
      <c r="SN42" s="1"/>
      <c r="SO42" s="1"/>
      <c r="SP42" s="1"/>
      <c r="SQ42" s="1"/>
      <c r="SR42" s="1"/>
      <c r="SS42" s="1"/>
      <c r="ST42" s="1"/>
      <c r="SU42" s="1"/>
      <c r="SV42" s="1"/>
      <c r="SW42" s="1"/>
      <c r="SX42" s="1"/>
      <c r="SY42" s="1"/>
      <c r="SZ42" s="1"/>
      <c r="TA42" s="1"/>
      <c r="TB42" s="1"/>
      <c r="TC42" s="1"/>
      <c r="TD42" s="1"/>
      <c r="TE42" s="1"/>
      <c r="TF42" s="1"/>
      <c r="TG42" s="1"/>
      <c r="TH42" s="1"/>
      <c r="TI42" s="1"/>
      <c r="TJ42" s="1"/>
      <c r="TK42" s="1"/>
      <c r="TL42" s="1"/>
      <c r="TM42" s="1"/>
      <c r="TN42" s="1"/>
      <c r="TO42" s="1"/>
      <c r="TP42" s="1"/>
      <c r="TQ42" s="1"/>
      <c r="TR42" s="1"/>
      <c r="TS42" s="1"/>
      <c r="TT42" s="1"/>
      <c r="TU42" s="1"/>
      <c r="TV42" s="1"/>
      <c r="TW42" s="1"/>
      <c r="TX42" s="1"/>
      <c r="TY42" s="1"/>
      <c r="TZ42" s="1"/>
      <c r="UA42" s="1"/>
      <c r="UB42" s="1"/>
      <c r="UC42" s="1"/>
      <c r="UD42" s="1"/>
      <c r="UE42" s="1"/>
      <c r="UF42" s="1"/>
      <c r="UG42" s="1"/>
      <c r="UH42" s="1"/>
      <c r="UI42" s="1"/>
      <c r="UJ42" s="1"/>
      <c r="UK42" s="1"/>
      <c r="UL42" s="1"/>
      <c r="UM42" s="1"/>
      <c r="UN42" s="1"/>
      <c r="UO42" s="1"/>
      <c r="UP42" s="1"/>
      <c r="UQ42" s="1"/>
      <c r="UR42" s="1"/>
      <c r="US42" s="1"/>
      <c r="UT42" s="1"/>
      <c r="UU42" s="1"/>
      <c r="UV42" s="1"/>
      <c r="UW42" s="1"/>
      <c r="UX42" s="1"/>
      <c r="UY42" s="1"/>
      <c r="UZ42" s="1"/>
      <c r="VA42" s="1"/>
      <c r="VB42" s="1"/>
      <c r="VC42" s="1"/>
      <c r="VD42" s="1"/>
      <c r="VE42" s="1"/>
      <c r="VF42" s="1"/>
      <c r="VG42" s="1"/>
      <c r="VH42" s="1"/>
      <c r="VI42" s="1"/>
      <c r="VJ42" s="1"/>
      <c r="VK42" s="1"/>
      <c r="VL42" s="1"/>
      <c r="VM42" s="1"/>
      <c r="VN42" s="1"/>
      <c r="VO42" s="1"/>
      <c r="VP42" s="1"/>
      <c r="VQ42" s="1"/>
      <c r="VR42" s="1"/>
      <c r="VS42" s="1"/>
      <c r="VT42" s="1"/>
      <c r="VU42" s="1"/>
      <c r="VV42" s="1"/>
      <c r="VW42" s="1"/>
      <c r="VX42" s="1"/>
      <c r="VY42" s="1"/>
      <c r="VZ42" s="1"/>
      <c r="WA42" s="1"/>
      <c r="WB42" s="1"/>
      <c r="WC42" s="1"/>
      <c r="WD42" s="1"/>
      <c r="WE42" s="1"/>
      <c r="WF42" s="1"/>
      <c r="WG42" s="1"/>
      <c r="WH42" s="1"/>
      <c r="WI42" s="1"/>
      <c r="WJ42" s="1"/>
      <c r="WK42" s="1"/>
      <c r="WL42" s="1"/>
      <c r="WM42" s="1"/>
      <c r="WN42" s="1"/>
      <c r="WO42" s="1"/>
      <c r="WP42" s="1"/>
      <c r="WQ42" s="1"/>
      <c r="WR42" s="1"/>
      <c r="WS42" s="1"/>
      <c r="WT42" s="1"/>
      <c r="WU42" s="1"/>
      <c r="WV42" s="1"/>
      <c r="WW42" s="1"/>
      <c r="WX42" s="1"/>
      <c r="WY42" s="1"/>
      <c r="WZ42" s="1"/>
      <c r="XA42" s="1"/>
      <c r="XB42" s="1"/>
      <c r="XC42" s="1"/>
      <c r="XD42" s="1"/>
      <c r="XE42" s="1"/>
      <c r="XF42" s="1"/>
      <c r="XG42" s="1"/>
      <c r="XH42" s="1"/>
      <c r="XI42" s="1"/>
      <c r="XJ42" s="1"/>
      <c r="XK42" s="1"/>
      <c r="XL42" s="1"/>
      <c r="XM42" s="1"/>
      <c r="XN42" s="1"/>
      <c r="XO42" s="1"/>
      <c r="XP42" s="1"/>
      <c r="XQ42" s="1"/>
      <c r="XR42" s="1"/>
      <c r="XS42" s="1"/>
      <c r="XT42" s="1"/>
      <c r="XU42" s="1"/>
      <c r="XV42" s="1"/>
      <c r="XW42" s="1"/>
      <c r="XX42" s="1"/>
      <c r="XY42" s="1"/>
      <c r="XZ42" s="1"/>
      <c r="YA42" s="1"/>
      <c r="YB42" s="1"/>
      <c r="YC42" s="1"/>
      <c r="YD42" s="1"/>
      <c r="YE42" s="1"/>
      <c r="YF42" s="1"/>
      <c r="YG42" s="1"/>
      <c r="YH42" s="1"/>
      <c r="YI42" s="1"/>
      <c r="YJ42" s="1"/>
      <c r="YK42" s="1"/>
      <c r="YL42" s="1"/>
      <c r="YM42" s="1"/>
      <c r="YN42" s="1"/>
      <c r="YO42" s="1"/>
      <c r="YP42" s="1"/>
      <c r="YQ42" s="1"/>
      <c r="YR42" s="1"/>
      <c r="YS42" s="1"/>
      <c r="YT42" s="1"/>
      <c r="YU42" s="1"/>
      <c r="YV42" s="1"/>
      <c r="YW42" s="1"/>
      <c r="YX42" s="1"/>
      <c r="YY42" s="1"/>
      <c r="YZ42" s="1"/>
      <c r="ZA42" s="1"/>
      <c r="ZB42" s="1"/>
      <c r="ZC42" s="1"/>
      <c r="ZD42" s="1"/>
      <c r="ZE42" s="1"/>
      <c r="ZF42" s="1"/>
      <c r="ZG42" s="1"/>
      <c r="ZH42" s="1"/>
      <c r="ZI42" s="1"/>
      <c r="ZJ42" s="1"/>
      <c r="ZK42" s="1"/>
      <c r="ZL42" s="1"/>
      <c r="ZM42" s="1"/>
      <c r="ZN42" s="1"/>
      <c r="ZO42" s="1"/>
      <c r="ZP42" s="1"/>
      <c r="ZQ42" s="1"/>
      <c r="ZR42" s="1"/>
      <c r="ZS42" s="1"/>
      <c r="ZT42" s="1"/>
      <c r="ZU42" s="1"/>
      <c r="ZV42" s="1"/>
      <c r="ZW42" s="1"/>
      <c r="ZX42" s="1"/>
      <c r="ZY42" s="1"/>
      <c r="ZZ42" s="1"/>
      <c r="AAA42" s="1"/>
      <c r="AAB42" s="1"/>
      <c r="AAC42" s="1"/>
      <c r="AAD42" s="1"/>
      <c r="AAE42" s="1"/>
      <c r="AAF42" s="1"/>
      <c r="AAG42" s="1"/>
      <c r="AAH42" s="1"/>
      <c r="AAI42" s="1"/>
      <c r="AAJ42" s="1"/>
      <c r="AAK42" s="1"/>
      <c r="AAL42" s="1"/>
      <c r="AAM42" s="1"/>
      <c r="AAN42" s="1"/>
      <c r="AAO42" s="1"/>
      <c r="AAP42" s="1"/>
      <c r="AAQ42" s="1"/>
      <c r="AAR42" s="1"/>
      <c r="AAS42" s="1"/>
      <c r="AAT42" s="1"/>
      <c r="AAU42" s="1"/>
      <c r="AAV42" s="1"/>
      <c r="AAW42" s="1"/>
      <c r="AAX42" s="1"/>
      <c r="AAY42" s="1"/>
      <c r="AAZ42" s="1"/>
      <c r="ABA42" s="1"/>
      <c r="ABB42" s="1"/>
      <c r="ABC42" s="1"/>
      <c r="ABD42" s="1"/>
      <c r="ABE42" s="1"/>
      <c r="ABF42" s="1"/>
      <c r="ABG42" s="1"/>
      <c r="ABH42" s="1"/>
      <c r="ABI42" s="1"/>
      <c r="ABJ42" s="1"/>
      <c r="ABK42" s="1"/>
      <c r="ABL42" s="1"/>
      <c r="ABM42" s="1"/>
      <c r="ABN42" s="1"/>
      <c r="ABO42" s="1"/>
      <c r="ABP42" s="1"/>
      <c r="ABQ42" s="1"/>
      <c r="ABR42" s="1"/>
      <c r="ABS42" s="1"/>
      <c r="ABT42" s="1"/>
      <c r="ABU42" s="1"/>
      <c r="ABV42" s="1"/>
      <c r="ABW42" s="1"/>
      <c r="ABX42" s="1"/>
      <c r="ABY42" s="1"/>
      <c r="ABZ42" s="1"/>
      <c r="ACA42" s="1"/>
      <c r="ACB42" s="1"/>
      <c r="ACC42" s="1"/>
      <c r="ACD42" s="1"/>
      <c r="ACE42" s="1"/>
      <c r="ACF42" s="1"/>
      <c r="ACG42" s="1"/>
      <c r="ACH42" s="1"/>
      <c r="ACI42" s="1"/>
      <c r="ACJ42" s="1"/>
      <c r="ACK42" s="1"/>
      <c r="ACL42" s="1"/>
      <c r="ACM42" s="1"/>
      <c r="ACN42" s="1"/>
      <c r="ACO42" s="1"/>
      <c r="ACP42" s="1"/>
      <c r="ACQ42" s="1"/>
      <c r="ACR42" s="1"/>
      <c r="ACS42" s="1"/>
      <c r="ACT42" s="1"/>
      <c r="ACU42" s="1"/>
      <c r="ACV42" s="1"/>
      <c r="ACW42" s="1"/>
      <c r="ACX42" s="1"/>
      <c r="ACY42" s="1"/>
      <c r="ACZ42" s="1"/>
      <c r="ADA42" s="1"/>
      <c r="ADB42" s="1"/>
      <c r="ADC42" s="1"/>
      <c r="ADD42" s="1"/>
      <c r="ADE42" s="1"/>
      <c r="ADF42" s="1"/>
      <c r="ADG42" s="1"/>
      <c r="ADH42" s="1"/>
      <c r="ADI42" s="1"/>
      <c r="ADJ42" s="1"/>
      <c r="ADK42" s="1"/>
      <c r="ADL42" s="1"/>
      <c r="ADM42" s="1"/>
      <c r="ADN42" s="1"/>
      <c r="ADO42" s="1"/>
      <c r="ADP42" s="1"/>
      <c r="ADQ42" s="1"/>
      <c r="ADR42" s="1"/>
      <c r="ADS42" s="1"/>
      <c r="ADT42" s="1"/>
      <c r="ADU42" s="1"/>
      <c r="ADV42" s="1"/>
      <c r="ADW42" s="1"/>
      <c r="ADX42" s="1"/>
      <c r="ADY42" s="1"/>
      <c r="ADZ42" s="1"/>
      <c r="AEA42" s="1"/>
      <c r="AEB42" s="1"/>
      <c r="AEC42" s="1"/>
      <c r="AED42" s="1"/>
      <c r="AEE42" s="1"/>
      <c r="AEF42" s="1"/>
      <c r="AEG42" s="1"/>
      <c r="AEH42" s="1"/>
      <c r="AEI42" s="1"/>
      <c r="AEJ42" s="1"/>
      <c r="AEK42" s="1"/>
      <c r="AEL42" s="1"/>
      <c r="AEM42" s="1"/>
      <c r="AEN42" s="1"/>
      <c r="AEO42" s="1"/>
      <c r="AEP42" s="1"/>
      <c r="AEQ42" s="1"/>
      <c r="AER42" s="1"/>
      <c r="AES42" s="1"/>
      <c r="AET42" s="1"/>
      <c r="AEU42" s="1"/>
      <c r="AEV42" s="1"/>
      <c r="AEW42" s="1"/>
      <c r="AEX42" s="1"/>
      <c r="AEY42" s="1"/>
      <c r="AEZ42" s="1"/>
      <c r="AFA42" s="1"/>
      <c r="AFB42" s="1"/>
      <c r="AFC42" s="1"/>
      <c r="AFD42" s="1"/>
      <c r="AFE42" s="1"/>
      <c r="AFF42" s="1"/>
      <c r="AFG42" s="1"/>
      <c r="AFH42" s="1"/>
      <c r="AFI42" s="1"/>
      <c r="AFJ42" s="1"/>
      <c r="AFK42" s="1"/>
      <c r="AFL42" s="1"/>
      <c r="AFM42" s="1"/>
      <c r="AFN42" s="1"/>
      <c r="AFO42" s="1"/>
      <c r="AFP42" s="1"/>
      <c r="AFQ42" s="1"/>
      <c r="AFR42" s="1"/>
      <c r="AFS42" s="1"/>
      <c r="AFT42" s="1"/>
      <c r="AFU42" s="1"/>
      <c r="AFV42" s="1"/>
      <c r="AFW42" s="1"/>
      <c r="AFX42" s="1"/>
      <c r="AFY42" s="1"/>
      <c r="AFZ42" s="1"/>
      <c r="AGA42" s="1"/>
      <c r="AGB42" s="1"/>
      <c r="AGC42" s="1"/>
      <c r="AGD42" s="1"/>
      <c r="AGE42" s="1"/>
      <c r="AGF42" s="1"/>
      <c r="AGG42" s="1"/>
      <c r="AGH42" s="1"/>
      <c r="AGI42" s="1"/>
      <c r="AGJ42" s="1"/>
      <c r="AGK42" s="1"/>
      <c r="AGL42" s="1"/>
      <c r="AGM42" s="1"/>
      <c r="AGN42" s="1"/>
      <c r="AGO42" s="1"/>
      <c r="AGP42" s="1"/>
      <c r="AGQ42" s="1"/>
      <c r="AGR42" s="1"/>
      <c r="AGS42" s="1"/>
      <c r="AGT42" s="1"/>
      <c r="AGU42" s="1"/>
      <c r="AGV42" s="1"/>
      <c r="AGW42" s="1"/>
      <c r="AGX42" s="1"/>
      <c r="AGY42" s="1"/>
      <c r="AGZ42" s="1"/>
      <c r="AHA42" s="1"/>
      <c r="AHB42" s="1"/>
      <c r="AHC42" s="1"/>
      <c r="AHD42" s="1"/>
      <c r="AHE42" s="1"/>
      <c r="AHF42" s="1"/>
      <c r="AHG42" s="1"/>
      <c r="AHH42" s="1"/>
      <c r="AHI42" s="1"/>
      <c r="AHJ42" s="1"/>
      <c r="AHK42" s="1"/>
      <c r="AHL42" s="1"/>
      <c r="AHM42" s="1"/>
      <c r="AHN42" s="1"/>
      <c r="AHO42" s="1"/>
      <c r="AHP42" s="1"/>
      <c r="AHQ42" s="1"/>
      <c r="AHR42" s="1"/>
      <c r="AHS42" s="1"/>
      <c r="AHT42" s="1"/>
      <c r="AHU42" s="1"/>
      <c r="AHV42" s="1"/>
      <c r="AHW42" s="1"/>
      <c r="AHX42" s="1"/>
      <c r="AHY42" s="1"/>
    </row>
    <row r="43" spans="1:909" s="5" customFormat="1" ht="21.6" thickTop="1">
      <c r="A43" s="9" t="s">
        <v>134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  <c r="PL43" s="1"/>
      <c r="PM43" s="1"/>
      <c r="PN43" s="1"/>
      <c r="PO43" s="1"/>
      <c r="PP43" s="1"/>
      <c r="PQ43" s="1"/>
      <c r="PR43" s="1"/>
      <c r="PS43" s="1"/>
      <c r="PT43" s="1"/>
      <c r="PU43" s="1"/>
      <c r="PV43" s="1"/>
      <c r="PW43" s="1"/>
      <c r="PX43" s="1"/>
      <c r="PY43" s="1"/>
      <c r="PZ43" s="1"/>
      <c r="QA43" s="1"/>
      <c r="QB43" s="1"/>
      <c r="QC43" s="1"/>
      <c r="QD43" s="1"/>
      <c r="QE43" s="1"/>
      <c r="QF43" s="1"/>
      <c r="QG43" s="1"/>
      <c r="QH43" s="1"/>
      <c r="QI43" s="1"/>
      <c r="QJ43" s="1"/>
      <c r="QK43" s="1"/>
      <c r="QL43" s="1"/>
      <c r="QM43" s="1"/>
      <c r="QN43" s="1"/>
      <c r="QO43" s="1"/>
      <c r="QP43" s="1"/>
      <c r="QQ43" s="1"/>
      <c r="QR43" s="1"/>
      <c r="QS43" s="1"/>
      <c r="QT43" s="1"/>
      <c r="QU43" s="1"/>
      <c r="QV43" s="1"/>
      <c r="QW43" s="1"/>
      <c r="QX43" s="1"/>
      <c r="QY43" s="1"/>
      <c r="QZ43" s="1"/>
      <c r="RA43" s="1"/>
      <c r="RB43" s="1"/>
      <c r="RC43" s="1"/>
      <c r="RD43" s="1"/>
      <c r="RE43" s="1"/>
      <c r="RF43" s="1"/>
      <c r="RG43" s="1"/>
      <c r="RH43" s="1"/>
      <c r="RI43" s="1"/>
      <c r="RJ43" s="1"/>
      <c r="RK43" s="1"/>
      <c r="RL43" s="1"/>
      <c r="RM43" s="1"/>
      <c r="RN43" s="1"/>
      <c r="RO43" s="1"/>
      <c r="RP43" s="1"/>
      <c r="RQ43" s="1"/>
      <c r="RR43" s="1"/>
      <c r="RS43" s="1"/>
      <c r="RT43" s="1"/>
      <c r="RU43" s="1"/>
      <c r="RV43" s="1"/>
      <c r="RW43" s="1"/>
      <c r="RX43" s="1"/>
      <c r="RY43" s="1"/>
      <c r="RZ43" s="1"/>
      <c r="SA43" s="1"/>
      <c r="SB43" s="1"/>
      <c r="SC43" s="1"/>
      <c r="SD43" s="1"/>
      <c r="SE43" s="1"/>
      <c r="SF43" s="1"/>
      <c r="SG43" s="1"/>
      <c r="SH43" s="1"/>
      <c r="SI43" s="1"/>
      <c r="SJ43" s="1"/>
      <c r="SK43" s="1"/>
      <c r="SL43" s="1"/>
      <c r="SM43" s="1"/>
      <c r="SN43" s="1"/>
      <c r="SO43" s="1"/>
      <c r="SP43" s="1"/>
      <c r="SQ43" s="1"/>
      <c r="SR43" s="1"/>
      <c r="SS43" s="1"/>
      <c r="ST43" s="1"/>
      <c r="SU43" s="1"/>
      <c r="SV43" s="1"/>
      <c r="SW43" s="1"/>
      <c r="SX43" s="1"/>
      <c r="SY43" s="1"/>
      <c r="SZ43" s="1"/>
      <c r="TA43" s="1"/>
      <c r="TB43" s="1"/>
      <c r="TC43" s="1"/>
      <c r="TD43" s="1"/>
      <c r="TE43" s="1"/>
      <c r="TF43" s="1"/>
      <c r="TG43" s="1"/>
      <c r="TH43" s="1"/>
      <c r="TI43" s="1"/>
      <c r="TJ43" s="1"/>
      <c r="TK43" s="1"/>
      <c r="TL43" s="1"/>
      <c r="TM43" s="1"/>
      <c r="TN43" s="1"/>
      <c r="TO43" s="1"/>
      <c r="TP43" s="1"/>
      <c r="TQ43" s="1"/>
      <c r="TR43" s="1"/>
      <c r="TS43" s="1"/>
      <c r="TT43" s="1"/>
      <c r="TU43" s="1"/>
      <c r="TV43" s="1"/>
      <c r="TW43" s="1"/>
      <c r="TX43" s="1"/>
      <c r="TY43" s="1"/>
      <c r="TZ43" s="1"/>
      <c r="UA43" s="1"/>
      <c r="UB43" s="1"/>
      <c r="UC43" s="1"/>
      <c r="UD43" s="1"/>
      <c r="UE43" s="1"/>
      <c r="UF43" s="1"/>
      <c r="UG43" s="1"/>
      <c r="UH43" s="1"/>
      <c r="UI43" s="1"/>
      <c r="UJ43" s="1"/>
      <c r="UK43" s="1"/>
      <c r="UL43" s="1"/>
      <c r="UM43" s="1"/>
      <c r="UN43" s="1"/>
      <c r="UO43" s="1"/>
      <c r="UP43" s="1"/>
      <c r="UQ43" s="1"/>
      <c r="UR43" s="1"/>
      <c r="US43" s="1"/>
      <c r="UT43" s="1"/>
      <c r="UU43" s="1"/>
      <c r="UV43" s="1"/>
      <c r="UW43" s="1"/>
      <c r="UX43" s="1"/>
      <c r="UY43" s="1"/>
      <c r="UZ43" s="1"/>
      <c r="VA43" s="1"/>
      <c r="VB43" s="1"/>
      <c r="VC43" s="1"/>
      <c r="VD43" s="1"/>
      <c r="VE43" s="1"/>
      <c r="VF43" s="1"/>
      <c r="VG43" s="1"/>
      <c r="VH43" s="1"/>
      <c r="VI43" s="1"/>
      <c r="VJ43" s="1"/>
      <c r="VK43" s="1"/>
      <c r="VL43" s="1"/>
      <c r="VM43" s="1"/>
      <c r="VN43" s="1"/>
      <c r="VO43" s="1"/>
      <c r="VP43" s="1"/>
      <c r="VQ43" s="1"/>
      <c r="VR43" s="1"/>
      <c r="VS43" s="1"/>
      <c r="VT43" s="1"/>
      <c r="VU43" s="1"/>
      <c r="VV43" s="1"/>
      <c r="VW43" s="1"/>
      <c r="VX43" s="1"/>
      <c r="VY43" s="1"/>
      <c r="VZ43" s="1"/>
      <c r="WA43" s="1"/>
      <c r="WB43" s="1"/>
      <c r="WC43" s="1"/>
      <c r="WD43" s="1"/>
      <c r="WE43" s="1"/>
      <c r="WF43" s="1"/>
      <c r="WG43" s="1"/>
      <c r="WH43" s="1"/>
      <c r="WI43" s="1"/>
      <c r="WJ43" s="1"/>
      <c r="WK43" s="1"/>
      <c r="WL43" s="1"/>
      <c r="WM43" s="1"/>
      <c r="WN43" s="1"/>
      <c r="WO43" s="1"/>
      <c r="WP43" s="1"/>
      <c r="WQ43" s="1"/>
      <c r="WR43" s="1"/>
      <c r="WS43" s="1"/>
      <c r="WT43" s="1"/>
      <c r="WU43" s="1"/>
      <c r="WV43" s="1"/>
      <c r="WW43" s="1"/>
      <c r="WX43" s="1"/>
      <c r="WY43" s="1"/>
      <c r="WZ43" s="1"/>
      <c r="XA43" s="1"/>
      <c r="XB43" s="1"/>
      <c r="XC43" s="1"/>
      <c r="XD43" s="1"/>
      <c r="XE43" s="1"/>
      <c r="XF43" s="1"/>
      <c r="XG43" s="1"/>
      <c r="XH43" s="1"/>
      <c r="XI43" s="1"/>
      <c r="XJ43" s="1"/>
      <c r="XK43" s="1"/>
      <c r="XL43" s="1"/>
      <c r="XM43" s="1"/>
      <c r="XN43" s="1"/>
      <c r="XO43" s="1"/>
      <c r="XP43" s="1"/>
      <c r="XQ43" s="1"/>
      <c r="XR43" s="1"/>
      <c r="XS43" s="1"/>
      <c r="XT43" s="1"/>
      <c r="XU43" s="1"/>
      <c r="XV43" s="1"/>
      <c r="XW43" s="1"/>
      <c r="XX43" s="1"/>
      <c r="XY43" s="1"/>
      <c r="XZ43" s="1"/>
      <c r="YA43" s="1"/>
      <c r="YB43" s="1"/>
      <c r="YC43" s="1"/>
      <c r="YD43" s="1"/>
      <c r="YE43" s="1"/>
      <c r="YF43" s="1"/>
      <c r="YG43" s="1"/>
      <c r="YH43" s="1"/>
      <c r="YI43" s="1"/>
      <c r="YJ43" s="1"/>
      <c r="YK43" s="1"/>
      <c r="YL43" s="1"/>
      <c r="YM43" s="1"/>
      <c r="YN43" s="1"/>
      <c r="YO43" s="1"/>
      <c r="YP43" s="1"/>
      <c r="YQ43" s="1"/>
      <c r="YR43" s="1"/>
      <c r="YS43" s="1"/>
      <c r="YT43" s="1"/>
      <c r="YU43" s="1"/>
      <c r="YV43" s="1"/>
      <c r="YW43" s="1"/>
      <c r="YX43" s="1"/>
      <c r="YY43" s="1"/>
      <c r="YZ43" s="1"/>
      <c r="ZA43" s="1"/>
      <c r="ZB43" s="1"/>
      <c r="ZC43" s="1"/>
      <c r="ZD43" s="1"/>
      <c r="ZE43" s="1"/>
      <c r="ZF43" s="1"/>
      <c r="ZG43" s="1"/>
      <c r="ZH43" s="1"/>
      <c r="ZI43" s="1"/>
      <c r="ZJ43" s="1"/>
      <c r="ZK43" s="1"/>
      <c r="ZL43" s="1"/>
      <c r="ZM43" s="1"/>
      <c r="ZN43" s="1"/>
      <c r="ZO43" s="1"/>
      <c r="ZP43" s="1"/>
      <c r="ZQ43" s="1"/>
      <c r="ZR43" s="1"/>
      <c r="ZS43" s="1"/>
      <c r="ZT43" s="1"/>
      <c r="ZU43" s="1"/>
      <c r="ZV43" s="1"/>
      <c r="ZW43" s="1"/>
      <c r="ZX43" s="1"/>
      <c r="ZY43" s="1"/>
      <c r="ZZ43" s="1"/>
      <c r="AAA43" s="1"/>
      <c r="AAB43" s="1"/>
      <c r="AAC43" s="1"/>
      <c r="AAD43" s="1"/>
      <c r="AAE43" s="1"/>
      <c r="AAF43" s="1"/>
      <c r="AAG43" s="1"/>
      <c r="AAH43" s="1"/>
      <c r="AAI43" s="1"/>
      <c r="AAJ43" s="1"/>
      <c r="AAK43" s="1"/>
      <c r="AAL43" s="1"/>
      <c r="AAM43" s="1"/>
      <c r="AAN43" s="1"/>
      <c r="AAO43" s="1"/>
      <c r="AAP43" s="1"/>
      <c r="AAQ43" s="1"/>
      <c r="AAR43" s="1"/>
      <c r="AAS43" s="1"/>
      <c r="AAT43" s="1"/>
      <c r="AAU43" s="1"/>
      <c r="AAV43" s="1"/>
      <c r="AAW43" s="1"/>
      <c r="AAX43" s="1"/>
      <c r="AAY43" s="1"/>
      <c r="AAZ43" s="1"/>
      <c r="ABA43" s="1"/>
      <c r="ABB43" s="1"/>
      <c r="ABC43" s="1"/>
      <c r="ABD43" s="1"/>
      <c r="ABE43" s="1"/>
      <c r="ABF43" s="1"/>
      <c r="ABG43" s="1"/>
      <c r="ABH43" s="1"/>
      <c r="ABI43" s="1"/>
      <c r="ABJ43" s="1"/>
      <c r="ABK43" s="1"/>
      <c r="ABL43" s="1"/>
      <c r="ABM43" s="1"/>
      <c r="ABN43" s="1"/>
      <c r="ABO43" s="1"/>
      <c r="ABP43" s="1"/>
      <c r="ABQ43" s="1"/>
      <c r="ABR43" s="1"/>
      <c r="ABS43" s="1"/>
      <c r="ABT43" s="1"/>
      <c r="ABU43" s="1"/>
      <c r="ABV43" s="1"/>
      <c r="ABW43" s="1"/>
      <c r="ABX43" s="1"/>
      <c r="ABY43" s="1"/>
      <c r="ABZ43" s="1"/>
      <c r="ACA43" s="1"/>
      <c r="ACB43" s="1"/>
      <c r="ACC43" s="1"/>
      <c r="ACD43" s="1"/>
      <c r="ACE43" s="1"/>
      <c r="ACF43" s="1"/>
      <c r="ACG43" s="1"/>
      <c r="ACH43" s="1"/>
      <c r="ACI43" s="1"/>
      <c r="ACJ43" s="1"/>
      <c r="ACK43" s="1"/>
      <c r="ACL43" s="1"/>
      <c r="ACM43" s="1"/>
      <c r="ACN43" s="1"/>
      <c r="ACO43" s="1"/>
      <c r="ACP43" s="1"/>
      <c r="ACQ43" s="1"/>
      <c r="ACR43" s="1"/>
      <c r="ACS43" s="1"/>
      <c r="ACT43" s="1"/>
      <c r="ACU43" s="1"/>
      <c r="ACV43" s="1"/>
      <c r="ACW43" s="1"/>
      <c r="ACX43" s="1"/>
      <c r="ACY43" s="1"/>
      <c r="ACZ43" s="1"/>
      <c r="ADA43" s="1"/>
      <c r="ADB43" s="1"/>
      <c r="ADC43" s="1"/>
      <c r="ADD43" s="1"/>
      <c r="ADE43" s="1"/>
      <c r="ADF43" s="1"/>
      <c r="ADG43" s="1"/>
      <c r="ADH43" s="1"/>
      <c r="ADI43" s="1"/>
      <c r="ADJ43" s="1"/>
      <c r="ADK43" s="1"/>
      <c r="ADL43" s="1"/>
      <c r="ADM43" s="1"/>
      <c r="ADN43" s="1"/>
      <c r="ADO43" s="1"/>
      <c r="ADP43" s="1"/>
      <c r="ADQ43" s="1"/>
      <c r="ADR43" s="1"/>
      <c r="ADS43" s="1"/>
      <c r="ADT43" s="1"/>
      <c r="ADU43" s="1"/>
      <c r="ADV43" s="1"/>
      <c r="ADW43" s="1"/>
      <c r="ADX43" s="1"/>
      <c r="ADY43" s="1"/>
      <c r="ADZ43" s="1"/>
      <c r="AEA43" s="1"/>
      <c r="AEB43" s="1"/>
      <c r="AEC43" s="1"/>
      <c r="AED43" s="1"/>
      <c r="AEE43" s="1"/>
      <c r="AEF43" s="1"/>
      <c r="AEG43" s="1"/>
      <c r="AEH43" s="1"/>
      <c r="AEI43" s="1"/>
      <c r="AEJ43" s="1"/>
      <c r="AEK43" s="1"/>
      <c r="AEL43" s="1"/>
      <c r="AEM43" s="1"/>
      <c r="AEN43" s="1"/>
      <c r="AEO43" s="1"/>
      <c r="AEP43" s="1"/>
      <c r="AEQ43" s="1"/>
      <c r="AER43" s="1"/>
      <c r="AES43" s="1"/>
      <c r="AET43" s="1"/>
      <c r="AEU43" s="1"/>
      <c r="AEV43" s="1"/>
      <c r="AEW43" s="1"/>
      <c r="AEX43" s="1"/>
      <c r="AEY43" s="1"/>
      <c r="AEZ43" s="1"/>
      <c r="AFA43" s="1"/>
      <c r="AFB43" s="1"/>
      <c r="AFC43" s="1"/>
      <c r="AFD43" s="1"/>
      <c r="AFE43" s="1"/>
      <c r="AFF43" s="1"/>
      <c r="AFG43" s="1"/>
      <c r="AFH43" s="1"/>
      <c r="AFI43" s="1"/>
      <c r="AFJ43" s="1"/>
      <c r="AFK43" s="1"/>
      <c r="AFL43" s="1"/>
      <c r="AFM43" s="1"/>
      <c r="AFN43" s="1"/>
      <c r="AFO43" s="1"/>
      <c r="AFP43" s="1"/>
      <c r="AFQ43" s="1"/>
      <c r="AFR43" s="1"/>
      <c r="AFS43" s="1"/>
      <c r="AFT43" s="1"/>
      <c r="AFU43" s="1"/>
      <c r="AFV43" s="1"/>
      <c r="AFW43" s="1"/>
      <c r="AFX43" s="1"/>
      <c r="AFY43" s="1"/>
      <c r="AFZ43" s="1"/>
      <c r="AGA43" s="1"/>
      <c r="AGB43" s="1"/>
      <c r="AGC43" s="1"/>
      <c r="AGD43" s="1"/>
      <c r="AGE43" s="1"/>
      <c r="AGF43" s="1"/>
      <c r="AGG43" s="1"/>
      <c r="AGH43" s="1"/>
      <c r="AGI43" s="1"/>
      <c r="AGJ43" s="1"/>
      <c r="AGK43" s="1"/>
      <c r="AGL43" s="1"/>
      <c r="AGM43" s="1"/>
      <c r="AGN43" s="1"/>
      <c r="AGO43" s="1"/>
      <c r="AGP43" s="1"/>
      <c r="AGQ43" s="1"/>
      <c r="AGR43" s="1"/>
      <c r="AGS43" s="1"/>
      <c r="AGT43" s="1"/>
      <c r="AGU43" s="1"/>
      <c r="AGV43" s="1"/>
      <c r="AGW43" s="1"/>
      <c r="AGX43" s="1"/>
      <c r="AGY43" s="1"/>
      <c r="AGZ43" s="1"/>
      <c r="AHA43" s="1"/>
      <c r="AHB43" s="1"/>
      <c r="AHC43" s="1"/>
      <c r="AHD43" s="1"/>
      <c r="AHE43" s="1"/>
      <c r="AHF43" s="1"/>
      <c r="AHG43" s="1"/>
      <c r="AHH43" s="1"/>
      <c r="AHI43" s="1"/>
      <c r="AHJ43" s="1"/>
      <c r="AHK43" s="1"/>
      <c r="AHL43" s="1"/>
      <c r="AHM43" s="1"/>
      <c r="AHN43" s="1"/>
      <c r="AHO43" s="1"/>
      <c r="AHP43" s="1"/>
      <c r="AHQ43" s="1"/>
      <c r="AHR43" s="1"/>
      <c r="AHS43" s="1"/>
      <c r="AHT43" s="1"/>
      <c r="AHU43" s="1"/>
      <c r="AHV43" s="1"/>
      <c r="AHW43" s="1"/>
      <c r="AHX43" s="1"/>
      <c r="AHY43" s="1"/>
    </row>
    <row r="44" spans="1:909" s="5" customFormat="1" ht="21">
      <c r="A44" s="156" t="s">
        <v>135</v>
      </c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/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P44" s="1"/>
      <c r="NQ44" s="1"/>
      <c r="NR44" s="1"/>
      <c r="NS44" s="1"/>
      <c r="NT44" s="1"/>
      <c r="NU44" s="1"/>
      <c r="NV44" s="1"/>
      <c r="NW44" s="1"/>
      <c r="NX44" s="1"/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J44" s="1"/>
      <c r="OK44" s="1"/>
      <c r="OL44" s="1"/>
      <c r="OM44" s="1"/>
      <c r="ON44" s="1"/>
      <c r="OO44" s="1"/>
      <c r="OP44" s="1"/>
      <c r="OQ44" s="1"/>
      <c r="OR44" s="1"/>
      <c r="OS44" s="1"/>
      <c r="OT44" s="1"/>
      <c r="OU44" s="1"/>
      <c r="OV44" s="1"/>
      <c r="OW44" s="1"/>
      <c r="OX44" s="1"/>
      <c r="OY44" s="1"/>
      <c r="OZ44" s="1"/>
      <c r="PA44" s="1"/>
      <c r="PB44" s="1"/>
      <c r="PC44" s="1"/>
      <c r="PD44" s="1"/>
      <c r="PE44" s="1"/>
      <c r="PF44" s="1"/>
      <c r="PG44" s="1"/>
      <c r="PH44" s="1"/>
      <c r="PI44" s="1"/>
      <c r="PJ44" s="1"/>
      <c r="PK44" s="1"/>
      <c r="PL44" s="1"/>
      <c r="PM44" s="1"/>
      <c r="PN44" s="1"/>
      <c r="PO44" s="1"/>
      <c r="PP44" s="1"/>
      <c r="PQ44" s="1"/>
      <c r="PR44" s="1"/>
      <c r="PS44" s="1"/>
      <c r="PT44" s="1"/>
      <c r="PU44" s="1"/>
      <c r="PV44" s="1"/>
      <c r="PW44" s="1"/>
      <c r="PX44" s="1"/>
      <c r="PY44" s="1"/>
      <c r="PZ44" s="1"/>
      <c r="QA44" s="1"/>
      <c r="QB44" s="1"/>
      <c r="QC44" s="1"/>
      <c r="QD44" s="1"/>
      <c r="QE44" s="1"/>
      <c r="QF44" s="1"/>
      <c r="QG44" s="1"/>
      <c r="QH44" s="1"/>
      <c r="QI44" s="1"/>
      <c r="QJ44" s="1"/>
      <c r="QK44" s="1"/>
      <c r="QL44" s="1"/>
      <c r="QM44" s="1"/>
      <c r="QN44" s="1"/>
      <c r="QO44" s="1"/>
      <c r="QP44" s="1"/>
      <c r="QQ44" s="1"/>
      <c r="QR44" s="1"/>
      <c r="QS44" s="1"/>
      <c r="QT44" s="1"/>
      <c r="QU44" s="1"/>
      <c r="QV44" s="1"/>
      <c r="QW44" s="1"/>
      <c r="QX44" s="1"/>
      <c r="QY44" s="1"/>
      <c r="QZ44" s="1"/>
      <c r="RA44" s="1"/>
      <c r="RB44" s="1"/>
      <c r="RC44" s="1"/>
      <c r="RD44" s="1"/>
      <c r="RE44" s="1"/>
      <c r="RF44" s="1"/>
      <c r="RG44" s="1"/>
      <c r="RH44" s="1"/>
      <c r="RI44" s="1"/>
      <c r="RJ44" s="1"/>
      <c r="RK44" s="1"/>
      <c r="RL44" s="1"/>
      <c r="RM44" s="1"/>
      <c r="RN44" s="1"/>
      <c r="RO44" s="1"/>
      <c r="RP44" s="1"/>
      <c r="RQ44" s="1"/>
      <c r="RR44" s="1"/>
      <c r="RS44" s="1"/>
      <c r="RT44" s="1"/>
      <c r="RU44" s="1"/>
      <c r="RV44" s="1"/>
      <c r="RW44" s="1"/>
      <c r="RX44" s="1"/>
      <c r="RY44" s="1"/>
      <c r="RZ44" s="1"/>
      <c r="SA44" s="1"/>
      <c r="SB44" s="1"/>
      <c r="SC44" s="1"/>
      <c r="SD44" s="1"/>
      <c r="SE44" s="1"/>
      <c r="SF44" s="1"/>
      <c r="SG44" s="1"/>
      <c r="SH44" s="1"/>
      <c r="SI44" s="1"/>
      <c r="SJ44" s="1"/>
      <c r="SK44" s="1"/>
      <c r="SL44" s="1"/>
      <c r="SM44" s="1"/>
      <c r="SN44" s="1"/>
      <c r="SO44" s="1"/>
      <c r="SP44" s="1"/>
      <c r="SQ44" s="1"/>
      <c r="SR44" s="1"/>
      <c r="SS44" s="1"/>
      <c r="ST44" s="1"/>
      <c r="SU44" s="1"/>
      <c r="SV44" s="1"/>
      <c r="SW44" s="1"/>
      <c r="SX44" s="1"/>
      <c r="SY44" s="1"/>
      <c r="SZ44" s="1"/>
      <c r="TA44" s="1"/>
      <c r="TB44" s="1"/>
      <c r="TC44" s="1"/>
      <c r="TD44" s="1"/>
      <c r="TE44" s="1"/>
      <c r="TF44" s="1"/>
      <c r="TG44" s="1"/>
      <c r="TH44" s="1"/>
      <c r="TI44" s="1"/>
      <c r="TJ44" s="1"/>
      <c r="TK44" s="1"/>
      <c r="TL44" s="1"/>
      <c r="TM44" s="1"/>
      <c r="TN44" s="1"/>
      <c r="TO44" s="1"/>
      <c r="TP44" s="1"/>
      <c r="TQ44" s="1"/>
      <c r="TR44" s="1"/>
      <c r="TS44" s="1"/>
      <c r="TT44" s="1"/>
      <c r="TU44" s="1"/>
      <c r="TV44" s="1"/>
      <c r="TW44" s="1"/>
      <c r="TX44" s="1"/>
      <c r="TY44" s="1"/>
      <c r="TZ44" s="1"/>
      <c r="UA44" s="1"/>
      <c r="UB44" s="1"/>
      <c r="UC44" s="1"/>
      <c r="UD44" s="1"/>
      <c r="UE44" s="1"/>
      <c r="UF44" s="1"/>
      <c r="UG44" s="1"/>
      <c r="UH44" s="1"/>
      <c r="UI44" s="1"/>
      <c r="UJ44" s="1"/>
      <c r="UK44" s="1"/>
      <c r="UL44" s="1"/>
      <c r="UM44" s="1"/>
      <c r="UN44" s="1"/>
      <c r="UO44" s="1"/>
      <c r="UP44" s="1"/>
      <c r="UQ44" s="1"/>
      <c r="UR44" s="1"/>
      <c r="US44" s="1"/>
      <c r="UT44" s="1"/>
      <c r="UU44" s="1"/>
      <c r="UV44" s="1"/>
      <c r="UW44" s="1"/>
      <c r="UX44" s="1"/>
      <c r="UY44" s="1"/>
      <c r="UZ44" s="1"/>
      <c r="VA44" s="1"/>
      <c r="VB44" s="1"/>
      <c r="VC44" s="1"/>
      <c r="VD44" s="1"/>
      <c r="VE44" s="1"/>
      <c r="VF44" s="1"/>
      <c r="VG44" s="1"/>
      <c r="VH44" s="1"/>
      <c r="VI44" s="1"/>
      <c r="VJ44" s="1"/>
      <c r="VK44" s="1"/>
      <c r="VL44" s="1"/>
      <c r="VM44" s="1"/>
      <c r="VN44" s="1"/>
      <c r="VO44" s="1"/>
      <c r="VP44" s="1"/>
      <c r="VQ44" s="1"/>
      <c r="VR44" s="1"/>
      <c r="VS44" s="1"/>
      <c r="VT44" s="1"/>
      <c r="VU44" s="1"/>
      <c r="VV44" s="1"/>
      <c r="VW44" s="1"/>
      <c r="VX44" s="1"/>
      <c r="VY44" s="1"/>
      <c r="VZ44" s="1"/>
      <c r="WA44" s="1"/>
      <c r="WB44" s="1"/>
      <c r="WC44" s="1"/>
      <c r="WD44" s="1"/>
      <c r="WE44" s="1"/>
      <c r="WF44" s="1"/>
      <c r="WG44" s="1"/>
      <c r="WH44" s="1"/>
      <c r="WI44" s="1"/>
      <c r="WJ44" s="1"/>
      <c r="WK44" s="1"/>
      <c r="WL44" s="1"/>
      <c r="WM44" s="1"/>
      <c r="WN44" s="1"/>
      <c r="WO44" s="1"/>
      <c r="WP44" s="1"/>
      <c r="WQ44" s="1"/>
      <c r="WR44" s="1"/>
      <c r="WS44" s="1"/>
      <c r="WT44" s="1"/>
      <c r="WU44" s="1"/>
      <c r="WV44" s="1"/>
      <c r="WW44" s="1"/>
      <c r="WX44" s="1"/>
      <c r="WY44" s="1"/>
      <c r="WZ44" s="1"/>
      <c r="XA44" s="1"/>
      <c r="XB44" s="1"/>
      <c r="XC44" s="1"/>
      <c r="XD44" s="1"/>
      <c r="XE44" s="1"/>
      <c r="XF44" s="1"/>
      <c r="XG44" s="1"/>
      <c r="XH44" s="1"/>
      <c r="XI44" s="1"/>
      <c r="XJ44" s="1"/>
      <c r="XK44" s="1"/>
      <c r="XL44" s="1"/>
      <c r="XM44" s="1"/>
      <c r="XN44" s="1"/>
      <c r="XO44" s="1"/>
      <c r="XP44" s="1"/>
      <c r="XQ44" s="1"/>
      <c r="XR44" s="1"/>
      <c r="XS44" s="1"/>
      <c r="XT44" s="1"/>
      <c r="XU44" s="1"/>
      <c r="XV44" s="1"/>
      <c r="XW44" s="1"/>
      <c r="XX44" s="1"/>
      <c r="XY44" s="1"/>
      <c r="XZ44" s="1"/>
      <c r="YA44" s="1"/>
      <c r="YB44" s="1"/>
      <c r="YC44" s="1"/>
      <c r="YD44" s="1"/>
      <c r="YE44" s="1"/>
      <c r="YF44" s="1"/>
      <c r="YG44" s="1"/>
      <c r="YH44" s="1"/>
      <c r="YI44" s="1"/>
      <c r="YJ44" s="1"/>
      <c r="YK44" s="1"/>
      <c r="YL44" s="1"/>
      <c r="YM44" s="1"/>
      <c r="YN44" s="1"/>
      <c r="YO44" s="1"/>
      <c r="YP44" s="1"/>
      <c r="YQ44" s="1"/>
      <c r="YR44" s="1"/>
      <c r="YS44" s="1"/>
      <c r="YT44" s="1"/>
      <c r="YU44" s="1"/>
      <c r="YV44" s="1"/>
      <c r="YW44" s="1"/>
      <c r="YX44" s="1"/>
      <c r="YY44" s="1"/>
      <c r="YZ44" s="1"/>
      <c r="ZA44" s="1"/>
      <c r="ZB44" s="1"/>
      <c r="ZC44" s="1"/>
      <c r="ZD44" s="1"/>
      <c r="ZE44" s="1"/>
      <c r="ZF44" s="1"/>
      <c r="ZG44" s="1"/>
      <c r="ZH44" s="1"/>
      <c r="ZI44" s="1"/>
      <c r="ZJ44" s="1"/>
      <c r="ZK44" s="1"/>
      <c r="ZL44" s="1"/>
      <c r="ZM44" s="1"/>
      <c r="ZN44" s="1"/>
      <c r="ZO44" s="1"/>
      <c r="ZP44" s="1"/>
      <c r="ZQ44" s="1"/>
      <c r="ZR44" s="1"/>
      <c r="ZS44" s="1"/>
      <c r="ZT44" s="1"/>
      <c r="ZU44" s="1"/>
      <c r="ZV44" s="1"/>
      <c r="ZW44" s="1"/>
      <c r="ZX44" s="1"/>
      <c r="ZY44" s="1"/>
      <c r="ZZ44" s="1"/>
      <c r="AAA44" s="1"/>
      <c r="AAB44" s="1"/>
      <c r="AAC44" s="1"/>
      <c r="AAD44" s="1"/>
      <c r="AAE44" s="1"/>
      <c r="AAF44" s="1"/>
      <c r="AAG44" s="1"/>
      <c r="AAH44" s="1"/>
      <c r="AAI44" s="1"/>
      <c r="AAJ44" s="1"/>
      <c r="AAK44" s="1"/>
      <c r="AAL44" s="1"/>
      <c r="AAM44" s="1"/>
      <c r="AAN44" s="1"/>
      <c r="AAO44" s="1"/>
      <c r="AAP44" s="1"/>
      <c r="AAQ44" s="1"/>
      <c r="AAR44" s="1"/>
      <c r="AAS44" s="1"/>
      <c r="AAT44" s="1"/>
      <c r="AAU44" s="1"/>
      <c r="AAV44" s="1"/>
      <c r="AAW44" s="1"/>
      <c r="AAX44" s="1"/>
      <c r="AAY44" s="1"/>
      <c r="AAZ44" s="1"/>
      <c r="ABA44" s="1"/>
      <c r="ABB44" s="1"/>
      <c r="ABC44" s="1"/>
      <c r="ABD44" s="1"/>
      <c r="ABE44" s="1"/>
      <c r="ABF44" s="1"/>
      <c r="ABG44" s="1"/>
      <c r="ABH44" s="1"/>
      <c r="ABI44" s="1"/>
      <c r="ABJ44" s="1"/>
      <c r="ABK44" s="1"/>
      <c r="ABL44" s="1"/>
      <c r="ABM44" s="1"/>
      <c r="ABN44" s="1"/>
      <c r="ABO44" s="1"/>
      <c r="ABP44" s="1"/>
      <c r="ABQ44" s="1"/>
      <c r="ABR44" s="1"/>
      <c r="ABS44" s="1"/>
      <c r="ABT44" s="1"/>
      <c r="ABU44" s="1"/>
      <c r="ABV44" s="1"/>
      <c r="ABW44" s="1"/>
      <c r="ABX44" s="1"/>
      <c r="ABY44" s="1"/>
      <c r="ABZ44" s="1"/>
      <c r="ACA44" s="1"/>
      <c r="ACB44" s="1"/>
      <c r="ACC44" s="1"/>
      <c r="ACD44" s="1"/>
      <c r="ACE44" s="1"/>
      <c r="ACF44" s="1"/>
      <c r="ACG44" s="1"/>
      <c r="ACH44" s="1"/>
      <c r="ACI44" s="1"/>
      <c r="ACJ44" s="1"/>
      <c r="ACK44" s="1"/>
      <c r="ACL44" s="1"/>
      <c r="ACM44" s="1"/>
      <c r="ACN44" s="1"/>
      <c r="ACO44" s="1"/>
      <c r="ACP44" s="1"/>
      <c r="ACQ44" s="1"/>
      <c r="ACR44" s="1"/>
      <c r="ACS44" s="1"/>
      <c r="ACT44" s="1"/>
      <c r="ACU44" s="1"/>
      <c r="ACV44" s="1"/>
      <c r="ACW44" s="1"/>
      <c r="ACX44" s="1"/>
      <c r="ACY44" s="1"/>
      <c r="ACZ44" s="1"/>
      <c r="ADA44" s="1"/>
      <c r="ADB44" s="1"/>
      <c r="ADC44" s="1"/>
      <c r="ADD44" s="1"/>
      <c r="ADE44" s="1"/>
      <c r="ADF44" s="1"/>
      <c r="ADG44" s="1"/>
      <c r="ADH44" s="1"/>
      <c r="ADI44" s="1"/>
      <c r="ADJ44" s="1"/>
      <c r="ADK44" s="1"/>
      <c r="ADL44" s="1"/>
      <c r="ADM44" s="1"/>
      <c r="ADN44" s="1"/>
      <c r="ADO44" s="1"/>
      <c r="ADP44" s="1"/>
      <c r="ADQ44" s="1"/>
      <c r="ADR44" s="1"/>
      <c r="ADS44" s="1"/>
      <c r="ADT44" s="1"/>
      <c r="ADU44" s="1"/>
      <c r="ADV44" s="1"/>
      <c r="ADW44" s="1"/>
      <c r="ADX44" s="1"/>
      <c r="ADY44" s="1"/>
      <c r="ADZ44" s="1"/>
      <c r="AEA44" s="1"/>
      <c r="AEB44" s="1"/>
      <c r="AEC44" s="1"/>
      <c r="AED44" s="1"/>
      <c r="AEE44" s="1"/>
      <c r="AEF44" s="1"/>
      <c r="AEG44" s="1"/>
      <c r="AEH44" s="1"/>
      <c r="AEI44" s="1"/>
      <c r="AEJ44" s="1"/>
      <c r="AEK44" s="1"/>
      <c r="AEL44" s="1"/>
      <c r="AEM44" s="1"/>
      <c r="AEN44" s="1"/>
      <c r="AEO44" s="1"/>
      <c r="AEP44" s="1"/>
      <c r="AEQ44" s="1"/>
      <c r="AER44" s="1"/>
      <c r="AES44" s="1"/>
      <c r="AET44" s="1"/>
      <c r="AEU44" s="1"/>
      <c r="AEV44" s="1"/>
      <c r="AEW44" s="1"/>
      <c r="AEX44" s="1"/>
      <c r="AEY44" s="1"/>
      <c r="AEZ44" s="1"/>
      <c r="AFA44" s="1"/>
      <c r="AFB44" s="1"/>
      <c r="AFC44" s="1"/>
      <c r="AFD44" s="1"/>
      <c r="AFE44" s="1"/>
      <c r="AFF44" s="1"/>
      <c r="AFG44" s="1"/>
      <c r="AFH44" s="1"/>
      <c r="AFI44" s="1"/>
      <c r="AFJ44" s="1"/>
      <c r="AFK44" s="1"/>
      <c r="AFL44" s="1"/>
      <c r="AFM44" s="1"/>
      <c r="AFN44" s="1"/>
      <c r="AFO44" s="1"/>
      <c r="AFP44" s="1"/>
      <c r="AFQ44" s="1"/>
      <c r="AFR44" s="1"/>
      <c r="AFS44" s="1"/>
      <c r="AFT44" s="1"/>
      <c r="AFU44" s="1"/>
      <c r="AFV44" s="1"/>
      <c r="AFW44" s="1"/>
      <c r="AFX44" s="1"/>
      <c r="AFY44" s="1"/>
      <c r="AFZ44" s="1"/>
      <c r="AGA44" s="1"/>
      <c r="AGB44" s="1"/>
      <c r="AGC44" s="1"/>
      <c r="AGD44" s="1"/>
      <c r="AGE44" s="1"/>
      <c r="AGF44" s="1"/>
      <c r="AGG44" s="1"/>
      <c r="AGH44" s="1"/>
      <c r="AGI44" s="1"/>
      <c r="AGJ44" s="1"/>
      <c r="AGK44" s="1"/>
      <c r="AGL44" s="1"/>
      <c r="AGM44" s="1"/>
      <c r="AGN44" s="1"/>
      <c r="AGO44" s="1"/>
      <c r="AGP44" s="1"/>
      <c r="AGQ44" s="1"/>
      <c r="AGR44" s="1"/>
      <c r="AGS44" s="1"/>
      <c r="AGT44" s="1"/>
      <c r="AGU44" s="1"/>
      <c r="AGV44" s="1"/>
      <c r="AGW44" s="1"/>
      <c r="AGX44" s="1"/>
      <c r="AGY44" s="1"/>
      <c r="AGZ44" s="1"/>
      <c r="AHA44" s="1"/>
      <c r="AHB44" s="1"/>
      <c r="AHC44" s="1"/>
      <c r="AHD44" s="1"/>
      <c r="AHE44" s="1"/>
      <c r="AHF44" s="1"/>
      <c r="AHG44" s="1"/>
      <c r="AHH44" s="1"/>
      <c r="AHI44" s="1"/>
      <c r="AHJ44" s="1"/>
      <c r="AHK44" s="1"/>
      <c r="AHL44" s="1"/>
      <c r="AHM44" s="1"/>
      <c r="AHN44" s="1"/>
      <c r="AHO44" s="1"/>
      <c r="AHP44" s="1"/>
      <c r="AHQ44" s="1"/>
      <c r="AHR44" s="1"/>
      <c r="AHS44" s="1"/>
      <c r="AHT44" s="1"/>
      <c r="AHU44" s="1"/>
      <c r="AHV44" s="1"/>
      <c r="AHW44" s="1"/>
      <c r="AHX44" s="1"/>
      <c r="AHY44" s="1"/>
    </row>
    <row r="45" spans="1:909" s="1" customFormat="1" ht="21">
      <c r="A45" s="188" t="s">
        <v>100</v>
      </c>
      <c r="B45" s="188"/>
      <c r="C45" s="188"/>
      <c r="D45" s="188"/>
      <c r="E45" s="188"/>
      <c r="F45" s="188"/>
      <c r="G45" s="188"/>
      <c r="H45" s="188"/>
      <c r="I45" s="188"/>
      <c r="J45" s="188"/>
      <c r="K45" s="188"/>
      <c r="L45" s="188"/>
      <c r="M45" s="188"/>
      <c r="N45" s="188"/>
      <c r="O45" s="188"/>
      <c r="P45" s="188"/>
    </row>
    <row r="46" spans="1:909" s="1" customFormat="1" ht="21">
      <c r="A46" s="189" t="s">
        <v>113</v>
      </c>
      <c r="B46" s="189"/>
      <c r="C46" s="189"/>
      <c r="D46" s="189"/>
      <c r="E46" s="189"/>
      <c r="F46" s="189"/>
      <c r="G46" s="189"/>
      <c r="H46" s="189"/>
      <c r="I46" s="189"/>
      <c r="J46" s="189"/>
      <c r="K46" s="189"/>
      <c r="L46" s="189"/>
      <c r="M46" s="189"/>
      <c r="N46" s="189"/>
      <c r="O46" s="189"/>
      <c r="P46" s="189"/>
    </row>
    <row r="47" spans="1:909" s="1" customFormat="1" ht="21.6" thickBot="1">
      <c r="F47" s="13"/>
      <c r="G47" s="13"/>
      <c r="H47" s="13"/>
      <c r="I47" s="13"/>
      <c r="J47" s="13"/>
      <c r="K47" s="13"/>
    </row>
    <row r="48" spans="1:909" s="1" customFormat="1" ht="22.2" thickTop="1" thickBot="1">
      <c r="A48" s="190"/>
      <c r="B48" s="183" t="s">
        <v>114</v>
      </c>
      <c r="C48" s="192"/>
      <c r="D48" s="183" t="s">
        <v>115</v>
      </c>
      <c r="E48" s="192"/>
      <c r="F48" s="183" t="s">
        <v>116</v>
      </c>
      <c r="G48" s="192"/>
      <c r="H48" s="183" t="s">
        <v>117</v>
      </c>
      <c r="I48" s="192"/>
      <c r="J48" s="183" t="s">
        <v>118</v>
      </c>
      <c r="K48" s="192"/>
      <c r="L48" s="183" t="s">
        <v>119</v>
      </c>
      <c r="M48" s="192"/>
      <c r="N48" s="183" t="s">
        <v>120</v>
      </c>
      <c r="O48" s="184"/>
      <c r="P48" s="185"/>
    </row>
    <row r="49" spans="1:17" s="1" customFormat="1" ht="22.2" thickTop="1" thickBot="1">
      <c r="A49" s="191"/>
      <c r="B49" s="4" t="s">
        <v>76</v>
      </c>
      <c r="C49" s="4" t="s">
        <v>121</v>
      </c>
      <c r="D49" s="4" t="s">
        <v>76</v>
      </c>
      <c r="E49" s="4" t="s">
        <v>121</v>
      </c>
      <c r="F49" s="4" t="s">
        <v>76</v>
      </c>
      <c r="G49" s="4" t="s">
        <v>121</v>
      </c>
      <c r="H49" s="4" t="s">
        <v>76</v>
      </c>
      <c r="I49" s="4" t="s">
        <v>121</v>
      </c>
      <c r="J49" s="4" t="s">
        <v>76</v>
      </c>
      <c r="K49" s="4" t="s">
        <v>121</v>
      </c>
      <c r="L49" s="4" t="s">
        <v>76</v>
      </c>
      <c r="M49" s="4" t="s">
        <v>121</v>
      </c>
      <c r="N49" s="4" t="s">
        <v>76</v>
      </c>
      <c r="O49" s="4" t="s">
        <v>121</v>
      </c>
      <c r="P49" s="14" t="s">
        <v>122</v>
      </c>
    </row>
    <row r="50" spans="1:17" s="1" customFormat="1" ht="22.2" thickTop="1" thickBot="1">
      <c r="A50" s="11" t="s">
        <v>123</v>
      </c>
      <c r="B50" s="4">
        <f>'[1]التعليم الابتدائي'!AP377</f>
        <v>0</v>
      </c>
      <c r="C50" s="4">
        <f>'[1]التعليم الابتدائي'!AQ377</f>
        <v>0</v>
      </c>
      <c r="D50" s="177"/>
      <c r="E50" s="178"/>
      <c r="F50" s="178"/>
      <c r="G50" s="178"/>
      <c r="H50" s="178"/>
      <c r="I50" s="178"/>
      <c r="J50" s="178"/>
      <c r="K50" s="178"/>
      <c r="L50" s="178"/>
      <c r="M50" s="186"/>
      <c r="N50" s="4">
        <f>B50</f>
        <v>0</v>
      </c>
      <c r="O50" s="4">
        <f>C50</f>
        <v>0</v>
      </c>
      <c r="P50" s="14">
        <f t="shared" ref="P50:P60" si="2">O50+N50</f>
        <v>0</v>
      </c>
    </row>
    <row r="51" spans="1:17" s="1" customFormat="1" ht="22.2" thickTop="1" thickBot="1">
      <c r="A51" s="11" t="s">
        <v>124</v>
      </c>
      <c r="B51" s="4">
        <f>'[1]التعليم الابتدائي'!AR377</f>
        <v>0</v>
      </c>
      <c r="C51" s="4">
        <f>'[1]التعليم الابتدائي'!AS377</f>
        <v>0</v>
      </c>
      <c r="D51" s="137"/>
      <c r="E51" s="138"/>
      <c r="F51" s="180"/>
      <c r="G51" s="180"/>
      <c r="H51" s="180"/>
      <c r="I51" s="180"/>
      <c r="J51" s="180"/>
      <c r="K51" s="180"/>
      <c r="L51" s="180"/>
      <c r="M51" s="187"/>
      <c r="N51" s="4">
        <f>B51</f>
        <v>0</v>
      </c>
      <c r="O51" s="4">
        <f>C51</f>
        <v>0</v>
      </c>
      <c r="P51" s="14">
        <f t="shared" si="2"/>
        <v>0</v>
      </c>
    </row>
    <row r="52" spans="1:17" s="1" customFormat="1" ht="22.2" thickTop="1" thickBot="1">
      <c r="A52" s="11" t="s">
        <v>125</v>
      </c>
      <c r="B52" s="4">
        <f>'[1]التعليم الابتدائي'!AT377</f>
        <v>0</v>
      </c>
      <c r="C52" s="4">
        <f>'[1]التعليم الابتدائي'!AU377</f>
        <v>0</v>
      </c>
      <c r="D52" s="4">
        <f>'[1]التعليم الابتدائي'!BE377</f>
        <v>0</v>
      </c>
      <c r="E52" s="4">
        <f>'[1]التعليم الابتدائي'!BF377</f>
        <v>0</v>
      </c>
      <c r="F52" s="138"/>
      <c r="G52" s="138"/>
      <c r="H52" s="180"/>
      <c r="I52" s="180"/>
      <c r="J52" s="180"/>
      <c r="K52" s="180"/>
      <c r="L52" s="180"/>
      <c r="M52" s="187"/>
      <c r="N52" s="4">
        <f>D52+B52</f>
        <v>0</v>
      </c>
      <c r="O52" s="4">
        <f>E52+C52</f>
        <v>0</v>
      </c>
      <c r="P52" s="14">
        <f t="shared" si="2"/>
        <v>0</v>
      </c>
    </row>
    <row r="53" spans="1:17" s="1" customFormat="1" ht="22.2" thickTop="1" thickBot="1">
      <c r="A53" s="11" t="s">
        <v>126</v>
      </c>
      <c r="B53" s="4">
        <f>'[1]التعليم الابتدائي'!AV377</f>
        <v>0</v>
      </c>
      <c r="C53" s="4">
        <f>'[1]التعليم الابتدائي'!AW377</f>
        <v>0</v>
      </c>
      <c r="D53" s="4">
        <f>'[1]التعليم الابتدائي'!BG377</f>
        <v>0</v>
      </c>
      <c r="E53" s="4">
        <f>'[1]التعليم الابتدائي'!BH377</f>
        <v>0</v>
      </c>
      <c r="F53" s="4">
        <f>'[1]التعليم الابتدائي'!BR377</f>
        <v>0</v>
      </c>
      <c r="G53" s="4">
        <f>'[1]التعليم الابتدائي'!BS377</f>
        <v>0</v>
      </c>
      <c r="H53" s="138"/>
      <c r="I53" s="138"/>
      <c r="J53" s="180"/>
      <c r="K53" s="180"/>
      <c r="L53" s="180"/>
      <c r="M53" s="187"/>
      <c r="N53" s="4">
        <f>F53+D53+B53</f>
        <v>0</v>
      </c>
      <c r="O53" s="4">
        <f>G53+E53+C53</f>
        <v>0</v>
      </c>
      <c r="P53" s="14">
        <f t="shared" si="2"/>
        <v>0</v>
      </c>
    </row>
    <row r="54" spans="1:17" s="1" customFormat="1" ht="22.2" thickTop="1" thickBot="1">
      <c r="A54" s="11" t="s">
        <v>106</v>
      </c>
      <c r="B54" s="4">
        <f>'[1]التعليم الابتدائي'!AX377</f>
        <v>0</v>
      </c>
      <c r="C54" s="4">
        <f>'[1]التعليم الابتدائي'!AY377</f>
        <v>0</v>
      </c>
      <c r="D54" s="4">
        <f>'[1]التعليم الابتدائي'!BI377</f>
        <v>0</v>
      </c>
      <c r="E54" s="4">
        <f>'[1]التعليم الابتدائي'!BJ377</f>
        <v>0</v>
      </c>
      <c r="F54" s="4">
        <f>'[1]التعليم الابتدائي'!BT377</f>
        <v>0</v>
      </c>
      <c r="G54" s="4">
        <f>'[1]التعليم الابتدائي'!BU377</f>
        <v>0</v>
      </c>
      <c r="H54" s="4">
        <f>'[1]التعليم الابتدائي'!CE377</f>
        <v>0</v>
      </c>
      <c r="I54" s="4">
        <f>'[1]التعليم الابتدائي'!CF377</f>
        <v>0</v>
      </c>
      <c r="J54" s="138"/>
      <c r="K54" s="138"/>
      <c r="L54" s="180"/>
      <c r="M54" s="187"/>
      <c r="N54" s="4">
        <f>B54+D54+F54+H54</f>
        <v>0</v>
      </c>
      <c r="O54" s="4">
        <f>I54+G54+E54+C54</f>
        <v>0</v>
      </c>
      <c r="P54" s="14">
        <f t="shared" si="2"/>
        <v>0</v>
      </c>
    </row>
    <row r="55" spans="1:17" s="1" customFormat="1" ht="22.2" thickTop="1" thickBot="1">
      <c r="A55" s="11" t="s">
        <v>127</v>
      </c>
      <c r="B55" s="4">
        <f>'[1]التعليم الابتدائي'!AZ377</f>
        <v>0</v>
      </c>
      <c r="C55" s="4">
        <f>'[1]التعليم الابتدائي'!BA377</f>
        <v>0</v>
      </c>
      <c r="D55" s="4">
        <f>'[1]التعليم الابتدائي'!BK377</f>
        <v>0</v>
      </c>
      <c r="E55" s="4">
        <f>'[1]التعليم الابتدائي'!BL377</f>
        <v>0</v>
      </c>
      <c r="F55" s="4">
        <f>'[1]التعليم الابتدائي'!BV377</f>
        <v>0</v>
      </c>
      <c r="G55" s="4">
        <f>'[1]التعليم الابتدائي'!BW377</f>
        <v>0</v>
      </c>
      <c r="H55" s="4">
        <f>'[1]التعليم الابتدائي'!CG377</f>
        <v>0</v>
      </c>
      <c r="I55" s="4">
        <f>'[1]التعليم الابتدائي'!CH377</f>
        <v>0</v>
      </c>
      <c r="J55" s="4">
        <f>'[1]التعليم الابتدائي'!CR377</f>
        <v>0</v>
      </c>
      <c r="K55" s="4">
        <f>'[1]التعليم الابتدائي'!CS377</f>
        <v>0</v>
      </c>
      <c r="L55" s="138"/>
      <c r="M55" s="139"/>
      <c r="N55" s="4">
        <f>B55+D55+F55+H55+J55</f>
        <v>0</v>
      </c>
      <c r="O55" s="4">
        <f>K55+I55+G55+E55+C55</f>
        <v>0</v>
      </c>
      <c r="P55" s="14">
        <f t="shared" si="2"/>
        <v>0</v>
      </c>
    </row>
    <row r="56" spans="1:17" s="1" customFormat="1" ht="22.2" thickTop="1" thickBot="1">
      <c r="A56" s="11" t="s">
        <v>128</v>
      </c>
      <c r="B56" s="177"/>
      <c r="C56" s="178"/>
      <c r="D56" s="4">
        <f>'[1]التعليم الابتدائي'!BM377</f>
        <v>0</v>
      </c>
      <c r="E56" s="4">
        <f>'[1]التعليم الابتدائي'!BN377</f>
        <v>0</v>
      </c>
      <c r="F56" s="4">
        <f>'[1]التعليم الابتدائي'!BX377</f>
        <v>0</v>
      </c>
      <c r="G56" s="4">
        <f>'[1]التعليم الابتدائي'!BY377</f>
        <v>0</v>
      </c>
      <c r="H56" s="4">
        <f>'[1]التعليم الابتدائي'!CI377</f>
        <v>0</v>
      </c>
      <c r="I56" s="4">
        <f>'[1]التعليم الابتدائي'!CJ377</f>
        <v>0</v>
      </c>
      <c r="J56" s="4">
        <f>'[1]التعليم الابتدائي'!CT377</f>
        <v>0</v>
      </c>
      <c r="K56" s="4">
        <f>'[1]التعليم الابتدائي'!CU377</f>
        <v>0</v>
      </c>
      <c r="L56" s="4">
        <f>'[1]التعليم الابتدائي'!DE377</f>
        <v>0</v>
      </c>
      <c r="M56" s="4">
        <f>'[1]التعليم الابتدائي'!DF377</f>
        <v>0</v>
      </c>
      <c r="N56" s="4">
        <f>D56+F56+H56+J56+L56</f>
        <v>0</v>
      </c>
      <c r="O56" s="4">
        <f>M56+K56+I56+G56+E56</f>
        <v>0</v>
      </c>
      <c r="P56" s="14">
        <f t="shared" si="2"/>
        <v>0</v>
      </c>
    </row>
    <row r="57" spans="1:17" s="1" customFormat="1" ht="22.2" thickTop="1" thickBot="1">
      <c r="A57" s="11" t="s">
        <v>129</v>
      </c>
      <c r="B57" s="179"/>
      <c r="C57" s="180"/>
      <c r="D57" s="178"/>
      <c r="E57" s="178"/>
      <c r="F57" s="4">
        <f>'[1]التعليم الابتدائي'!BZ377</f>
        <v>0</v>
      </c>
      <c r="G57" s="4">
        <f>'[1]التعليم الابتدائي'!CA377</f>
        <v>0</v>
      </c>
      <c r="H57" s="4">
        <f>'[1]التعليم الابتدائي'!CK377</f>
        <v>0</v>
      </c>
      <c r="I57" s="4">
        <f>'[1]التعليم الابتدائي'!CL377</f>
        <v>0</v>
      </c>
      <c r="J57" s="4">
        <f>'[1]التعليم الابتدائي'!CV377</f>
        <v>0</v>
      </c>
      <c r="K57" s="4">
        <f>'[1]التعليم الابتدائي'!CW377</f>
        <v>0</v>
      </c>
      <c r="L57" s="4">
        <f>'[1]التعليم الابتدائي'!DG377</f>
        <v>0</v>
      </c>
      <c r="M57" s="4">
        <f>'[1]التعليم الابتدائي'!DH377</f>
        <v>0</v>
      </c>
      <c r="N57" s="4">
        <f>L57+J57+H57+F57</f>
        <v>0</v>
      </c>
      <c r="O57" s="4">
        <f>M57+K57+I57+G57</f>
        <v>0</v>
      </c>
      <c r="P57" s="14">
        <f t="shared" si="2"/>
        <v>0</v>
      </c>
    </row>
    <row r="58" spans="1:17" s="1" customFormat="1" ht="22.2" thickTop="1" thickBot="1">
      <c r="A58" s="11" t="s">
        <v>130</v>
      </c>
      <c r="B58" s="179"/>
      <c r="C58" s="180"/>
      <c r="D58" s="180"/>
      <c r="E58" s="180"/>
      <c r="F58" s="178"/>
      <c r="G58" s="178"/>
      <c r="H58" s="4">
        <f>'[1]التعليم الابتدائي'!CM377</f>
        <v>0</v>
      </c>
      <c r="I58" s="4">
        <f>'[1]التعليم الابتدائي'!CN377</f>
        <v>0</v>
      </c>
      <c r="J58" s="4">
        <f>'[1]التعليم الابتدائي'!CX377</f>
        <v>0</v>
      </c>
      <c r="K58" s="4">
        <f>'[1]التعليم الابتدائي'!CY377</f>
        <v>0</v>
      </c>
      <c r="L58" s="4">
        <f>'[1]التعليم الابتدائي'!DI377</f>
        <v>0</v>
      </c>
      <c r="M58" s="4">
        <f>'[1]التعليم الابتدائي'!DJ377</f>
        <v>0</v>
      </c>
      <c r="N58" s="4">
        <f>L58+J58+H58</f>
        <v>0</v>
      </c>
      <c r="O58" s="4">
        <f>M58+K58+I58</f>
        <v>0</v>
      </c>
      <c r="P58" s="14">
        <f t="shared" si="2"/>
        <v>0</v>
      </c>
    </row>
    <row r="59" spans="1:17" s="1" customFormat="1" ht="22.2" thickTop="1" thickBot="1">
      <c r="A59" s="11" t="s">
        <v>131</v>
      </c>
      <c r="B59" s="179"/>
      <c r="C59" s="180"/>
      <c r="D59" s="180"/>
      <c r="E59" s="180"/>
      <c r="F59" s="180"/>
      <c r="G59" s="180"/>
      <c r="H59" s="178"/>
      <c r="I59" s="178"/>
      <c r="J59" s="4">
        <f>'[1]التعليم الابتدائي'!CZ377</f>
        <v>0</v>
      </c>
      <c r="K59" s="4">
        <f>'[1]التعليم الابتدائي'!DA377</f>
        <v>0</v>
      </c>
      <c r="L59" s="4">
        <f>'[1]التعليم الابتدائي'!DK377</f>
        <v>0</v>
      </c>
      <c r="M59" s="4">
        <f>'[1]التعليم الابتدائي'!DL377</f>
        <v>0</v>
      </c>
      <c r="N59" s="4">
        <f>L59+J59</f>
        <v>0</v>
      </c>
      <c r="O59" s="4">
        <f>M59+K59</f>
        <v>0</v>
      </c>
      <c r="P59" s="14">
        <f t="shared" si="2"/>
        <v>0</v>
      </c>
    </row>
    <row r="60" spans="1:17" s="1" customFormat="1" ht="22.2" thickTop="1" thickBot="1">
      <c r="A60" s="11" t="s">
        <v>132</v>
      </c>
      <c r="B60" s="137"/>
      <c r="C60" s="138"/>
      <c r="D60" s="138"/>
      <c r="E60" s="138"/>
      <c r="F60" s="138"/>
      <c r="G60" s="138"/>
      <c r="H60" s="138"/>
      <c r="I60" s="138"/>
      <c r="J60" s="181"/>
      <c r="K60" s="182"/>
      <c r="L60" s="4">
        <f>'[1]التعليم الابتدائي'!DM377</f>
        <v>0</v>
      </c>
      <c r="M60" s="4">
        <f>'[1]التعليم الابتدائي'!EM377</f>
        <v>0</v>
      </c>
      <c r="N60" s="4">
        <f>L60</f>
        <v>0</v>
      </c>
      <c r="O60" s="4">
        <f>M60</f>
        <v>0</v>
      </c>
      <c r="P60" s="14">
        <f t="shared" si="2"/>
        <v>0</v>
      </c>
    </row>
    <row r="61" spans="1:17" s="1" customFormat="1" ht="22.2" thickTop="1" thickBot="1">
      <c r="A61" s="6" t="s">
        <v>122</v>
      </c>
      <c r="B61" s="7">
        <f>SUM(B50:B60)</f>
        <v>0</v>
      </c>
      <c r="C61" s="7">
        <f>SUM(C50:C60)</f>
        <v>0</v>
      </c>
      <c r="D61" s="7">
        <f>D56+D55+D54+D53+D52</f>
        <v>0</v>
      </c>
      <c r="E61" s="7">
        <f t="shared" ref="E61:P61" si="3">SUM(E50:E60)</f>
        <v>0</v>
      </c>
      <c r="F61" s="7">
        <f t="shared" si="3"/>
        <v>0</v>
      </c>
      <c r="G61" s="7">
        <f t="shared" si="3"/>
        <v>0</v>
      </c>
      <c r="H61" s="7">
        <f t="shared" si="3"/>
        <v>0</v>
      </c>
      <c r="I61" s="7">
        <f t="shared" si="3"/>
        <v>0</v>
      </c>
      <c r="J61" s="7">
        <f t="shared" si="3"/>
        <v>0</v>
      </c>
      <c r="K61" s="7">
        <f t="shared" si="3"/>
        <v>0</v>
      </c>
      <c r="L61" s="7">
        <f t="shared" si="3"/>
        <v>0</v>
      </c>
      <c r="M61" s="7">
        <f t="shared" si="3"/>
        <v>0</v>
      </c>
      <c r="N61" s="7">
        <f t="shared" si="3"/>
        <v>0</v>
      </c>
      <c r="O61" s="7">
        <f t="shared" si="3"/>
        <v>0</v>
      </c>
      <c r="P61" s="8">
        <f t="shared" si="3"/>
        <v>0</v>
      </c>
    </row>
    <row r="62" spans="1:17" s="3" customFormat="1" ht="21.6" thickTop="1"/>
    <row r="63" spans="1:17" s="1" customFormat="1" ht="21">
      <c r="A63" s="156" t="s">
        <v>62</v>
      </c>
      <c r="B63" s="156"/>
      <c r="C63" s="156"/>
      <c r="D63" s="156"/>
      <c r="E63" s="156"/>
      <c r="O63" s="2" t="s">
        <v>5</v>
      </c>
      <c r="P63" s="2"/>
      <c r="Q63" s="2"/>
    </row>
    <row r="64" spans="1:17" s="1" customFormat="1" ht="21">
      <c r="A64" s="156" t="s">
        <v>64</v>
      </c>
      <c r="B64" s="156"/>
      <c r="C64" s="156"/>
      <c r="D64" s="156"/>
      <c r="E64" s="156"/>
      <c r="O64" s="2" t="s">
        <v>65</v>
      </c>
      <c r="P64" s="2"/>
      <c r="Q64" s="2"/>
    </row>
    <row r="65" spans="1:909" s="1" customFormat="1" ht="21">
      <c r="A65" s="156" t="s">
        <v>99</v>
      </c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2"/>
    </row>
    <row r="66" spans="1:909" s="1" customFormat="1" ht="21">
      <c r="A66" s="156" t="s">
        <v>100</v>
      </c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2"/>
    </row>
    <row r="67" spans="1:909" s="1" customFormat="1" ht="21">
      <c r="A67" s="156" t="s">
        <v>101</v>
      </c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2"/>
    </row>
    <row r="68" spans="1:909" s="1" customFormat="1" ht="21.6" thickBot="1">
      <c r="G68" s="198"/>
      <c r="H68" s="198"/>
      <c r="I68" s="198"/>
      <c r="J68" s="198"/>
      <c r="K68" s="198"/>
    </row>
    <row r="69" spans="1:909" s="1" customFormat="1" ht="21.6" thickTop="1">
      <c r="A69" s="199"/>
      <c r="B69" s="147" t="s">
        <v>102</v>
      </c>
      <c r="C69" s="149"/>
      <c r="D69" s="147" t="s">
        <v>103</v>
      </c>
      <c r="E69" s="149"/>
      <c r="F69" s="147" t="s">
        <v>104</v>
      </c>
      <c r="G69" s="149"/>
      <c r="H69" s="147" t="s">
        <v>105</v>
      </c>
      <c r="I69" s="149"/>
      <c r="J69" s="147" t="s">
        <v>106</v>
      </c>
      <c r="K69" s="149"/>
      <c r="L69" s="147" t="s">
        <v>107</v>
      </c>
      <c r="M69" s="149"/>
      <c r="N69" s="147" t="s">
        <v>58</v>
      </c>
      <c r="O69" s="148"/>
      <c r="P69" s="201"/>
    </row>
    <row r="70" spans="1:909" s="1" customFormat="1" ht="21.6" thickBot="1">
      <c r="A70" s="200"/>
      <c r="B70" s="137"/>
      <c r="C70" s="139"/>
      <c r="D70" s="137"/>
      <c r="E70" s="139"/>
      <c r="F70" s="137"/>
      <c r="G70" s="139"/>
      <c r="H70" s="137"/>
      <c r="I70" s="139"/>
      <c r="J70" s="137"/>
      <c r="K70" s="139"/>
      <c r="L70" s="137"/>
      <c r="M70" s="139"/>
      <c r="N70" s="137"/>
      <c r="O70" s="138"/>
      <c r="P70" s="202"/>
    </row>
    <row r="71" spans="1:909" s="5" customFormat="1" ht="22.2" thickTop="1" thickBot="1">
      <c r="A71" s="11" t="s">
        <v>108</v>
      </c>
      <c r="B71" s="170">
        <f>'[1]التعليم الابتدائي'!AA295</f>
        <v>0</v>
      </c>
      <c r="C71" s="182"/>
      <c r="D71" s="170">
        <f>'[1]التعليم الابتدائي'!AC295</f>
        <v>0</v>
      </c>
      <c r="E71" s="182"/>
      <c r="F71" s="170">
        <f>'[1]التعليم الابتدائي'!AE295</f>
        <v>0</v>
      </c>
      <c r="G71" s="182"/>
      <c r="H71" s="170">
        <f>'[1]التعليم الابتدائي'!AG295</f>
        <v>0</v>
      </c>
      <c r="I71" s="182"/>
      <c r="J71" s="170">
        <f>'[1]التعليم الابتدائي'!AI295</f>
        <v>0</v>
      </c>
      <c r="K71" s="182"/>
      <c r="L71" s="170">
        <f>'[1]التعليم الابتدائي'!AK295</f>
        <v>0</v>
      </c>
      <c r="M71" s="182"/>
      <c r="N71" s="170">
        <f>L71+J71+H71+F71+D71+B71</f>
        <v>0</v>
      </c>
      <c r="O71" s="181"/>
      <c r="P71" s="193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/>
      <c r="LY71" s="1"/>
      <c r="LZ71" s="1"/>
      <c r="MA71" s="1"/>
      <c r="MB71" s="1"/>
      <c r="MC71" s="1"/>
      <c r="MD71" s="1"/>
      <c r="ME71" s="1"/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/>
      <c r="NE71" s="1"/>
      <c r="NF71" s="1"/>
      <c r="NG71" s="1"/>
      <c r="NH71" s="1"/>
      <c r="NI71" s="1"/>
      <c r="NJ71" s="1"/>
      <c r="NK71" s="1"/>
      <c r="NL71" s="1"/>
      <c r="NM71" s="1"/>
      <c r="NN71" s="1"/>
      <c r="NO71" s="1"/>
      <c r="NP71" s="1"/>
      <c r="NQ71" s="1"/>
      <c r="NR71" s="1"/>
      <c r="NS71" s="1"/>
      <c r="NT71" s="1"/>
      <c r="NU71" s="1"/>
      <c r="NV71" s="1"/>
      <c r="NW71" s="1"/>
      <c r="NX71" s="1"/>
      <c r="NY71" s="1"/>
      <c r="NZ71" s="1"/>
      <c r="OA71" s="1"/>
      <c r="OB71" s="1"/>
      <c r="OC71" s="1"/>
      <c r="OD71" s="1"/>
      <c r="OE71" s="1"/>
      <c r="OF71" s="1"/>
      <c r="OG71" s="1"/>
      <c r="OH71" s="1"/>
      <c r="OI71" s="1"/>
      <c r="OJ71" s="1"/>
      <c r="OK71" s="1"/>
      <c r="OL71" s="1"/>
      <c r="OM71" s="1"/>
      <c r="ON71" s="1"/>
      <c r="OO71" s="1"/>
      <c r="OP71" s="1"/>
      <c r="OQ71" s="1"/>
      <c r="OR71" s="1"/>
      <c r="OS71" s="1"/>
      <c r="OT71" s="1"/>
      <c r="OU71" s="1"/>
      <c r="OV71" s="1"/>
      <c r="OW71" s="1"/>
      <c r="OX71" s="1"/>
      <c r="OY71" s="1"/>
      <c r="OZ71" s="1"/>
      <c r="PA71" s="1"/>
      <c r="PB71" s="1"/>
      <c r="PC71" s="1"/>
      <c r="PD71" s="1"/>
      <c r="PE71" s="1"/>
      <c r="PF71" s="1"/>
      <c r="PG71" s="1"/>
      <c r="PH71" s="1"/>
      <c r="PI71" s="1"/>
      <c r="PJ71" s="1"/>
      <c r="PK71" s="1"/>
      <c r="PL71" s="1"/>
      <c r="PM71" s="1"/>
      <c r="PN71" s="1"/>
      <c r="PO71" s="1"/>
      <c r="PP71" s="1"/>
      <c r="PQ71" s="1"/>
      <c r="PR71" s="1"/>
      <c r="PS71" s="1"/>
      <c r="PT71" s="1"/>
      <c r="PU71" s="1"/>
      <c r="PV71" s="1"/>
      <c r="PW71" s="1"/>
      <c r="PX71" s="1"/>
      <c r="PY71" s="1"/>
      <c r="PZ71" s="1"/>
      <c r="QA71" s="1"/>
      <c r="QB71" s="1"/>
      <c r="QC71" s="1"/>
      <c r="QD71" s="1"/>
      <c r="QE71" s="1"/>
      <c r="QF71" s="1"/>
      <c r="QG71" s="1"/>
      <c r="QH71" s="1"/>
      <c r="QI71" s="1"/>
      <c r="QJ71" s="1"/>
      <c r="QK71" s="1"/>
      <c r="QL71" s="1"/>
      <c r="QM71" s="1"/>
      <c r="QN71" s="1"/>
      <c r="QO71" s="1"/>
      <c r="QP71" s="1"/>
      <c r="QQ71" s="1"/>
      <c r="QR71" s="1"/>
      <c r="QS71" s="1"/>
      <c r="QT71" s="1"/>
      <c r="QU71" s="1"/>
      <c r="QV71" s="1"/>
      <c r="QW71" s="1"/>
      <c r="QX71" s="1"/>
      <c r="QY71" s="1"/>
      <c r="QZ71" s="1"/>
      <c r="RA71" s="1"/>
      <c r="RB71" s="1"/>
      <c r="RC71" s="1"/>
      <c r="RD71" s="1"/>
      <c r="RE71" s="1"/>
      <c r="RF71" s="1"/>
      <c r="RG71" s="1"/>
      <c r="RH71" s="1"/>
      <c r="RI71" s="1"/>
      <c r="RJ71" s="1"/>
      <c r="RK71" s="1"/>
      <c r="RL71" s="1"/>
      <c r="RM71" s="1"/>
      <c r="RN71" s="1"/>
      <c r="RO71" s="1"/>
      <c r="RP71" s="1"/>
      <c r="RQ71" s="1"/>
      <c r="RR71" s="1"/>
      <c r="RS71" s="1"/>
      <c r="RT71" s="1"/>
      <c r="RU71" s="1"/>
      <c r="RV71" s="1"/>
      <c r="RW71" s="1"/>
      <c r="RX71" s="1"/>
      <c r="RY71" s="1"/>
      <c r="RZ71" s="1"/>
      <c r="SA71" s="1"/>
      <c r="SB71" s="1"/>
      <c r="SC71" s="1"/>
      <c r="SD71" s="1"/>
      <c r="SE71" s="1"/>
      <c r="SF71" s="1"/>
      <c r="SG71" s="1"/>
      <c r="SH71" s="1"/>
      <c r="SI71" s="1"/>
      <c r="SJ71" s="1"/>
      <c r="SK71" s="1"/>
      <c r="SL71" s="1"/>
      <c r="SM71" s="1"/>
      <c r="SN71" s="1"/>
      <c r="SO71" s="1"/>
      <c r="SP71" s="1"/>
      <c r="SQ71" s="1"/>
      <c r="SR71" s="1"/>
      <c r="SS71" s="1"/>
      <c r="ST71" s="1"/>
      <c r="SU71" s="1"/>
      <c r="SV71" s="1"/>
      <c r="SW71" s="1"/>
      <c r="SX71" s="1"/>
      <c r="SY71" s="1"/>
      <c r="SZ71" s="1"/>
      <c r="TA71" s="1"/>
      <c r="TB71" s="1"/>
      <c r="TC71" s="1"/>
      <c r="TD71" s="1"/>
      <c r="TE71" s="1"/>
      <c r="TF71" s="1"/>
      <c r="TG71" s="1"/>
      <c r="TH71" s="1"/>
      <c r="TI71" s="1"/>
      <c r="TJ71" s="1"/>
      <c r="TK71" s="1"/>
      <c r="TL71" s="1"/>
      <c r="TM71" s="1"/>
      <c r="TN71" s="1"/>
      <c r="TO71" s="1"/>
      <c r="TP71" s="1"/>
      <c r="TQ71" s="1"/>
      <c r="TR71" s="1"/>
      <c r="TS71" s="1"/>
      <c r="TT71" s="1"/>
      <c r="TU71" s="1"/>
      <c r="TV71" s="1"/>
      <c r="TW71" s="1"/>
      <c r="TX71" s="1"/>
      <c r="TY71" s="1"/>
      <c r="TZ71" s="1"/>
      <c r="UA71" s="1"/>
      <c r="UB71" s="1"/>
      <c r="UC71" s="1"/>
      <c r="UD71" s="1"/>
      <c r="UE71" s="1"/>
      <c r="UF71" s="1"/>
      <c r="UG71" s="1"/>
      <c r="UH71" s="1"/>
      <c r="UI71" s="1"/>
      <c r="UJ71" s="1"/>
      <c r="UK71" s="1"/>
      <c r="UL71" s="1"/>
      <c r="UM71" s="1"/>
      <c r="UN71" s="1"/>
      <c r="UO71" s="1"/>
      <c r="UP71" s="1"/>
      <c r="UQ71" s="1"/>
      <c r="UR71" s="1"/>
      <c r="US71" s="1"/>
      <c r="UT71" s="1"/>
      <c r="UU71" s="1"/>
      <c r="UV71" s="1"/>
      <c r="UW71" s="1"/>
      <c r="UX71" s="1"/>
      <c r="UY71" s="1"/>
      <c r="UZ71" s="1"/>
      <c r="VA71" s="1"/>
      <c r="VB71" s="1"/>
      <c r="VC71" s="1"/>
      <c r="VD71" s="1"/>
      <c r="VE71" s="1"/>
      <c r="VF71" s="1"/>
      <c r="VG71" s="1"/>
      <c r="VH71" s="1"/>
      <c r="VI71" s="1"/>
      <c r="VJ71" s="1"/>
      <c r="VK71" s="1"/>
      <c r="VL71" s="1"/>
      <c r="VM71" s="1"/>
      <c r="VN71" s="1"/>
      <c r="VO71" s="1"/>
      <c r="VP71" s="1"/>
      <c r="VQ71" s="1"/>
      <c r="VR71" s="1"/>
      <c r="VS71" s="1"/>
      <c r="VT71" s="1"/>
      <c r="VU71" s="1"/>
      <c r="VV71" s="1"/>
      <c r="VW71" s="1"/>
      <c r="VX71" s="1"/>
      <c r="VY71" s="1"/>
      <c r="VZ71" s="1"/>
      <c r="WA71" s="1"/>
      <c r="WB71" s="1"/>
      <c r="WC71" s="1"/>
      <c r="WD71" s="1"/>
      <c r="WE71" s="1"/>
      <c r="WF71" s="1"/>
      <c r="WG71" s="1"/>
      <c r="WH71" s="1"/>
      <c r="WI71" s="1"/>
      <c r="WJ71" s="1"/>
      <c r="WK71" s="1"/>
      <c r="WL71" s="1"/>
      <c r="WM71" s="1"/>
      <c r="WN71" s="1"/>
      <c r="WO71" s="1"/>
      <c r="WP71" s="1"/>
      <c r="WQ71" s="1"/>
      <c r="WR71" s="1"/>
      <c r="WS71" s="1"/>
      <c r="WT71" s="1"/>
      <c r="WU71" s="1"/>
      <c r="WV71" s="1"/>
      <c r="WW71" s="1"/>
      <c r="WX71" s="1"/>
      <c r="WY71" s="1"/>
      <c r="WZ71" s="1"/>
      <c r="XA71" s="1"/>
      <c r="XB71" s="1"/>
      <c r="XC71" s="1"/>
      <c r="XD71" s="1"/>
      <c r="XE71" s="1"/>
      <c r="XF71" s="1"/>
      <c r="XG71" s="1"/>
      <c r="XH71" s="1"/>
      <c r="XI71" s="1"/>
      <c r="XJ71" s="1"/>
      <c r="XK71" s="1"/>
      <c r="XL71" s="1"/>
      <c r="XM71" s="1"/>
      <c r="XN71" s="1"/>
      <c r="XO71" s="1"/>
      <c r="XP71" s="1"/>
      <c r="XQ71" s="1"/>
      <c r="XR71" s="1"/>
      <c r="XS71" s="1"/>
      <c r="XT71" s="1"/>
      <c r="XU71" s="1"/>
      <c r="XV71" s="1"/>
      <c r="XW71" s="1"/>
      <c r="XX71" s="1"/>
      <c r="XY71" s="1"/>
      <c r="XZ71" s="1"/>
      <c r="YA71" s="1"/>
      <c r="YB71" s="1"/>
      <c r="YC71" s="1"/>
      <c r="YD71" s="1"/>
      <c r="YE71" s="1"/>
      <c r="YF71" s="1"/>
      <c r="YG71" s="1"/>
      <c r="YH71" s="1"/>
      <c r="YI71" s="1"/>
      <c r="YJ71" s="1"/>
      <c r="YK71" s="1"/>
      <c r="YL71" s="1"/>
      <c r="YM71" s="1"/>
      <c r="YN71" s="1"/>
      <c r="YO71" s="1"/>
      <c r="YP71" s="1"/>
      <c r="YQ71" s="1"/>
      <c r="YR71" s="1"/>
      <c r="YS71" s="1"/>
      <c r="YT71" s="1"/>
      <c r="YU71" s="1"/>
      <c r="YV71" s="1"/>
      <c r="YW71" s="1"/>
      <c r="YX71" s="1"/>
      <c r="YY71" s="1"/>
      <c r="YZ71" s="1"/>
      <c r="ZA71" s="1"/>
      <c r="ZB71" s="1"/>
      <c r="ZC71" s="1"/>
      <c r="ZD71" s="1"/>
      <c r="ZE71" s="1"/>
      <c r="ZF71" s="1"/>
      <c r="ZG71" s="1"/>
      <c r="ZH71" s="1"/>
      <c r="ZI71" s="1"/>
      <c r="ZJ71" s="1"/>
      <c r="ZK71" s="1"/>
      <c r="ZL71" s="1"/>
      <c r="ZM71" s="1"/>
      <c r="ZN71" s="1"/>
      <c r="ZO71" s="1"/>
      <c r="ZP71" s="1"/>
      <c r="ZQ71" s="1"/>
      <c r="ZR71" s="1"/>
      <c r="ZS71" s="1"/>
      <c r="ZT71" s="1"/>
      <c r="ZU71" s="1"/>
      <c r="ZV71" s="1"/>
      <c r="ZW71" s="1"/>
      <c r="ZX71" s="1"/>
      <c r="ZY71" s="1"/>
      <c r="ZZ71" s="1"/>
      <c r="AAA71" s="1"/>
      <c r="AAB71" s="1"/>
      <c r="AAC71" s="1"/>
      <c r="AAD71" s="1"/>
      <c r="AAE71" s="1"/>
      <c r="AAF71" s="1"/>
      <c r="AAG71" s="1"/>
      <c r="AAH71" s="1"/>
      <c r="AAI71" s="1"/>
      <c r="AAJ71" s="1"/>
      <c r="AAK71" s="1"/>
      <c r="AAL71" s="1"/>
      <c r="AAM71" s="1"/>
      <c r="AAN71" s="1"/>
      <c r="AAO71" s="1"/>
      <c r="AAP71" s="1"/>
      <c r="AAQ71" s="1"/>
      <c r="AAR71" s="1"/>
      <c r="AAS71" s="1"/>
      <c r="AAT71" s="1"/>
      <c r="AAU71" s="1"/>
      <c r="AAV71" s="1"/>
      <c r="AAW71" s="1"/>
      <c r="AAX71" s="1"/>
      <c r="AAY71" s="1"/>
      <c r="AAZ71" s="1"/>
      <c r="ABA71" s="1"/>
      <c r="ABB71" s="1"/>
      <c r="ABC71" s="1"/>
      <c r="ABD71" s="1"/>
      <c r="ABE71" s="1"/>
      <c r="ABF71" s="1"/>
      <c r="ABG71" s="1"/>
      <c r="ABH71" s="1"/>
      <c r="ABI71" s="1"/>
      <c r="ABJ71" s="1"/>
      <c r="ABK71" s="1"/>
      <c r="ABL71" s="1"/>
      <c r="ABM71" s="1"/>
      <c r="ABN71" s="1"/>
      <c r="ABO71" s="1"/>
      <c r="ABP71" s="1"/>
      <c r="ABQ71" s="1"/>
      <c r="ABR71" s="1"/>
      <c r="ABS71" s="1"/>
      <c r="ABT71" s="1"/>
      <c r="ABU71" s="1"/>
      <c r="ABV71" s="1"/>
      <c r="ABW71" s="1"/>
      <c r="ABX71" s="1"/>
      <c r="ABY71" s="1"/>
      <c r="ABZ71" s="1"/>
      <c r="ACA71" s="1"/>
      <c r="ACB71" s="1"/>
      <c r="ACC71" s="1"/>
      <c r="ACD71" s="1"/>
      <c r="ACE71" s="1"/>
      <c r="ACF71" s="1"/>
      <c r="ACG71" s="1"/>
      <c r="ACH71" s="1"/>
      <c r="ACI71" s="1"/>
      <c r="ACJ71" s="1"/>
      <c r="ACK71" s="1"/>
      <c r="ACL71" s="1"/>
      <c r="ACM71" s="1"/>
      <c r="ACN71" s="1"/>
      <c r="ACO71" s="1"/>
      <c r="ACP71" s="1"/>
      <c r="ACQ71" s="1"/>
      <c r="ACR71" s="1"/>
      <c r="ACS71" s="1"/>
      <c r="ACT71" s="1"/>
      <c r="ACU71" s="1"/>
      <c r="ACV71" s="1"/>
      <c r="ACW71" s="1"/>
      <c r="ACX71" s="1"/>
      <c r="ACY71" s="1"/>
      <c r="ACZ71" s="1"/>
      <c r="ADA71" s="1"/>
      <c r="ADB71" s="1"/>
      <c r="ADC71" s="1"/>
      <c r="ADD71" s="1"/>
      <c r="ADE71" s="1"/>
      <c r="ADF71" s="1"/>
      <c r="ADG71" s="1"/>
      <c r="ADH71" s="1"/>
      <c r="ADI71" s="1"/>
      <c r="ADJ71" s="1"/>
      <c r="ADK71" s="1"/>
      <c r="ADL71" s="1"/>
      <c r="ADM71" s="1"/>
      <c r="ADN71" s="1"/>
      <c r="ADO71" s="1"/>
      <c r="ADP71" s="1"/>
      <c r="ADQ71" s="1"/>
      <c r="ADR71" s="1"/>
      <c r="ADS71" s="1"/>
      <c r="ADT71" s="1"/>
      <c r="ADU71" s="1"/>
      <c r="ADV71" s="1"/>
      <c r="ADW71" s="1"/>
      <c r="ADX71" s="1"/>
      <c r="ADY71" s="1"/>
      <c r="ADZ71" s="1"/>
      <c r="AEA71" s="1"/>
      <c r="AEB71" s="1"/>
      <c r="AEC71" s="1"/>
      <c r="AED71" s="1"/>
      <c r="AEE71" s="1"/>
      <c r="AEF71" s="1"/>
      <c r="AEG71" s="1"/>
      <c r="AEH71" s="1"/>
      <c r="AEI71" s="1"/>
      <c r="AEJ71" s="1"/>
      <c r="AEK71" s="1"/>
      <c r="AEL71" s="1"/>
      <c r="AEM71" s="1"/>
      <c r="AEN71" s="1"/>
      <c r="AEO71" s="1"/>
      <c r="AEP71" s="1"/>
      <c r="AEQ71" s="1"/>
      <c r="AER71" s="1"/>
      <c r="AES71" s="1"/>
      <c r="AET71" s="1"/>
      <c r="AEU71" s="1"/>
      <c r="AEV71" s="1"/>
      <c r="AEW71" s="1"/>
      <c r="AEX71" s="1"/>
      <c r="AEY71" s="1"/>
      <c r="AEZ71" s="1"/>
      <c r="AFA71" s="1"/>
      <c r="AFB71" s="1"/>
      <c r="AFC71" s="1"/>
      <c r="AFD71" s="1"/>
      <c r="AFE71" s="1"/>
      <c r="AFF71" s="1"/>
      <c r="AFG71" s="1"/>
      <c r="AFH71" s="1"/>
      <c r="AFI71" s="1"/>
      <c r="AFJ71" s="1"/>
      <c r="AFK71" s="1"/>
      <c r="AFL71" s="1"/>
      <c r="AFM71" s="1"/>
      <c r="AFN71" s="1"/>
      <c r="AFO71" s="1"/>
      <c r="AFP71" s="1"/>
      <c r="AFQ71" s="1"/>
      <c r="AFR71" s="1"/>
      <c r="AFS71" s="1"/>
      <c r="AFT71" s="1"/>
      <c r="AFU71" s="1"/>
      <c r="AFV71" s="1"/>
      <c r="AFW71" s="1"/>
      <c r="AFX71" s="1"/>
      <c r="AFY71" s="1"/>
      <c r="AFZ71" s="1"/>
      <c r="AGA71" s="1"/>
      <c r="AGB71" s="1"/>
      <c r="AGC71" s="1"/>
      <c r="AGD71" s="1"/>
      <c r="AGE71" s="1"/>
      <c r="AGF71" s="1"/>
      <c r="AGG71" s="1"/>
      <c r="AGH71" s="1"/>
      <c r="AGI71" s="1"/>
      <c r="AGJ71" s="1"/>
      <c r="AGK71" s="1"/>
      <c r="AGL71" s="1"/>
      <c r="AGM71" s="1"/>
      <c r="AGN71" s="1"/>
      <c r="AGO71" s="1"/>
      <c r="AGP71" s="1"/>
      <c r="AGQ71" s="1"/>
      <c r="AGR71" s="1"/>
      <c r="AGS71" s="1"/>
      <c r="AGT71" s="1"/>
      <c r="AGU71" s="1"/>
      <c r="AGV71" s="1"/>
      <c r="AGW71" s="1"/>
      <c r="AGX71" s="1"/>
      <c r="AGY71" s="1"/>
      <c r="AGZ71" s="1"/>
      <c r="AHA71" s="1"/>
      <c r="AHB71" s="1"/>
      <c r="AHC71" s="1"/>
      <c r="AHD71" s="1"/>
      <c r="AHE71" s="1"/>
      <c r="AHF71" s="1"/>
      <c r="AHG71" s="1"/>
      <c r="AHH71" s="1"/>
      <c r="AHI71" s="1"/>
      <c r="AHJ71" s="1"/>
      <c r="AHK71" s="1"/>
      <c r="AHL71" s="1"/>
      <c r="AHM71" s="1"/>
      <c r="AHN71" s="1"/>
      <c r="AHO71" s="1"/>
      <c r="AHP71" s="1"/>
      <c r="AHQ71" s="1"/>
      <c r="AHR71" s="1"/>
      <c r="AHS71" s="1"/>
      <c r="AHT71" s="1"/>
      <c r="AHU71" s="1"/>
      <c r="AHV71" s="1"/>
      <c r="AHW71" s="1"/>
      <c r="AHX71" s="1"/>
      <c r="AHY71" s="1"/>
    </row>
    <row r="72" spans="1:909" s="5" customFormat="1" ht="22.2" thickTop="1" thickBot="1">
      <c r="A72" s="11" t="s">
        <v>109</v>
      </c>
      <c r="B72" s="170">
        <f>'[1]التعليم الابتدائي'!AB295</f>
        <v>0</v>
      </c>
      <c r="C72" s="182"/>
      <c r="D72" s="170">
        <f>'[1]التعليم الابتدائي'!AD295</f>
        <v>0</v>
      </c>
      <c r="E72" s="182"/>
      <c r="F72" s="170">
        <f>'[1]التعليم الابتدائي'!AF295</f>
        <v>0</v>
      </c>
      <c r="G72" s="182"/>
      <c r="H72" s="170">
        <f>'[1]التعليم الابتدائي'!AH295</f>
        <v>0</v>
      </c>
      <c r="I72" s="182"/>
      <c r="J72" s="170">
        <f>'[1]التعليم الابتدائي'!AJ295</f>
        <v>0</v>
      </c>
      <c r="K72" s="182"/>
      <c r="L72" s="170">
        <f>'[1]التعليم الابتدائي'!AL295</f>
        <v>0</v>
      </c>
      <c r="M72" s="182"/>
      <c r="N72" s="170">
        <f>L72+J72+H72+F72+D72+B72</f>
        <v>0</v>
      </c>
      <c r="O72" s="181"/>
      <c r="P72" s="193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/>
      <c r="LT72" s="1"/>
      <c r="LU72" s="1"/>
      <c r="LV72" s="1"/>
      <c r="LW72" s="1"/>
      <c r="LX72" s="1"/>
      <c r="LY72" s="1"/>
      <c r="LZ72" s="1"/>
      <c r="MA72" s="1"/>
      <c r="MB72" s="1"/>
      <c r="MC72" s="1"/>
      <c r="MD72" s="1"/>
      <c r="ME72" s="1"/>
      <c r="MF72" s="1"/>
      <c r="MG72" s="1"/>
      <c r="MH72" s="1"/>
      <c r="MI72" s="1"/>
      <c r="MJ72" s="1"/>
      <c r="MK72" s="1"/>
      <c r="ML72" s="1"/>
      <c r="MM72" s="1"/>
      <c r="MN72" s="1"/>
      <c r="MO72" s="1"/>
      <c r="MP72" s="1"/>
      <c r="MQ72" s="1"/>
      <c r="MR72" s="1"/>
      <c r="MS72" s="1"/>
      <c r="MT72" s="1"/>
      <c r="MU72" s="1"/>
      <c r="MV72" s="1"/>
      <c r="MW72" s="1"/>
      <c r="MX72" s="1"/>
      <c r="MY72" s="1"/>
      <c r="MZ72" s="1"/>
      <c r="NA72" s="1"/>
      <c r="NB72" s="1"/>
      <c r="NC72" s="1"/>
      <c r="ND72" s="1"/>
      <c r="NE72" s="1"/>
      <c r="NF72" s="1"/>
      <c r="NG72" s="1"/>
      <c r="NH72" s="1"/>
      <c r="NI72" s="1"/>
      <c r="NJ72" s="1"/>
      <c r="NK72" s="1"/>
      <c r="NL72" s="1"/>
      <c r="NM72" s="1"/>
      <c r="NN72" s="1"/>
      <c r="NO72" s="1"/>
      <c r="NP72" s="1"/>
      <c r="NQ72" s="1"/>
      <c r="NR72" s="1"/>
      <c r="NS72" s="1"/>
      <c r="NT72" s="1"/>
      <c r="NU72" s="1"/>
      <c r="NV72" s="1"/>
      <c r="NW72" s="1"/>
      <c r="NX72" s="1"/>
      <c r="NY72" s="1"/>
      <c r="NZ72" s="1"/>
      <c r="OA72" s="1"/>
      <c r="OB72" s="1"/>
      <c r="OC72" s="1"/>
      <c r="OD72" s="1"/>
      <c r="OE72" s="1"/>
      <c r="OF72" s="1"/>
      <c r="OG72" s="1"/>
      <c r="OH72" s="1"/>
      <c r="OI72" s="1"/>
      <c r="OJ72" s="1"/>
      <c r="OK72" s="1"/>
      <c r="OL72" s="1"/>
      <c r="OM72" s="1"/>
      <c r="ON72" s="1"/>
      <c r="OO72" s="1"/>
      <c r="OP72" s="1"/>
      <c r="OQ72" s="1"/>
      <c r="OR72" s="1"/>
      <c r="OS72" s="1"/>
      <c r="OT72" s="1"/>
      <c r="OU72" s="1"/>
      <c r="OV72" s="1"/>
      <c r="OW72" s="1"/>
      <c r="OX72" s="1"/>
      <c r="OY72" s="1"/>
      <c r="OZ72" s="1"/>
      <c r="PA72" s="1"/>
      <c r="PB72" s="1"/>
      <c r="PC72" s="1"/>
      <c r="PD72" s="1"/>
      <c r="PE72" s="1"/>
      <c r="PF72" s="1"/>
      <c r="PG72" s="1"/>
      <c r="PH72" s="1"/>
      <c r="PI72" s="1"/>
      <c r="PJ72" s="1"/>
      <c r="PK72" s="1"/>
      <c r="PL72" s="1"/>
      <c r="PM72" s="1"/>
      <c r="PN72" s="1"/>
      <c r="PO72" s="1"/>
      <c r="PP72" s="1"/>
      <c r="PQ72" s="1"/>
      <c r="PR72" s="1"/>
      <c r="PS72" s="1"/>
      <c r="PT72" s="1"/>
      <c r="PU72" s="1"/>
      <c r="PV72" s="1"/>
      <c r="PW72" s="1"/>
      <c r="PX72" s="1"/>
      <c r="PY72" s="1"/>
      <c r="PZ72" s="1"/>
      <c r="QA72" s="1"/>
      <c r="QB72" s="1"/>
      <c r="QC72" s="1"/>
      <c r="QD72" s="1"/>
      <c r="QE72" s="1"/>
      <c r="QF72" s="1"/>
      <c r="QG72" s="1"/>
      <c r="QH72" s="1"/>
      <c r="QI72" s="1"/>
      <c r="QJ72" s="1"/>
      <c r="QK72" s="1"/>
      <c r="QL72" s="1"/>
      <c r="QM72" s="1"/>
      <c r="QN72" s="1"/>
      <c r="QO72" s="1"/>
      <c r="QP72" s="1"/>
      <c r="QQ72" s="1"/>
      <c r="QR72" s="1"/>
      <c r="QS72" s="1"/>
      <c r="QT72" s="1"/>
      <c r="QU72" s="1"/>
      <c r="QV72" s="1"/>
      <c r="QW72" s="1"/>
      <c r="QX72" s="1"/>
      <c r="QY72" s="1"/>
      <c r="QZ72" s="1"/>
      <c r="RA72" s="1"/>
      <c r="RB72" s="1"/>
      <c r="RC72" s="1"/>
      <c r="RD72" s="1"/>
      <c r="RE72" s="1"/>
      <c r="RF72" s="1"/>
      <c r="RG72" s="1"/>
      <c r="RH72" s="1"/>
      <c r="RI72" s="1"/>
      <c r="RJ72" s="1"/>
      <c r="RK72" s="1"/>
      <c r="RL72" s="1"/>
      <c r="RM72" s="1"/>
      <c r="RN72" s="1"/>
      <c r="RO72" s="1"/>
      <c r="RP72" s="1"/>
      <c r="RQ72" s="1"/>
      <c r="RR72" s="1"/>
      <c r="RS72" s="1"/>
      <c r="RT72" s="1"/>
      <c r="RU72" s="1"/>
      <c r="RV72" s="1"/>
      <c r="RW72" s="1"/>
      <c r="RX72" s="1"/>
      <c r="RY72" s="1"/>
      <c r="RZ72" s="1"/>
      <c r="SA72" s="1"/>
      <c r="SB72" s="1"/>
      <c r="SC72" s="1"/>
      <c r="SD72" s="1"/>
      <c r="SE72" s="1"/>
      <c r="SF72" s="1"/>
      <c r="SG72" s="1"/>
      <c r="SH72" s="1"/>
      <c r="SI72" s="1"/>
      <c r="SJ72" s="1"/>
      <c r="SK72" s="1"/>
      <c r="SL72" s="1"/>
      <c r="SM72" s="1"/>
      <c r="SN72" s="1"/>
      <c r="SO72" s="1"/>
      <c r="SP72" s="1"/>
      <c r="SQ72" s="1"/>
      <c r="SR72" s="1"/>
      <c r="SS72" s="1"/>
      <c r="ST72" s="1"/>
      <c r="SU72" s="1"/>
      <c r="SV72" s="1"/>
      <c r="SW72" s="1"/>
      <c r="SX72" s="1"/>
      <c r="SY72" s="1"/>
      <c r="SZ72" s="1"/>
      <c r="TA72" s="1"/>
      <c r="TB72" s="1"/>
      <c r="TC72" s="1"/>
      <c r="TD72" s="1"/>
      <c r="TE72" s="1"/>
      <c r="TF72" s="1"/>
      <c r="TG72" s="1"/>
      <c r="TH72" s="1"/>
      <c r="TI72" s="1"/>
      <c r="TJ72" s="1"/>
      <c r="TK72" s="1"/>
      <c r="TL72" s="1"/>
      <c r="TM72" s="1"/>
      <c r="TN72" s="1"/>
      <c r="TO72" s="1"/>
      <c r="TP72" s="1"/>
      <c r="TQ72" s="1"/>
      <c r="TR72" s="1"/>
      <c r="TS72" s="1"/>
      <c r="TT72" s="1"/>
      <c r="TU72" s="1"/>
      <c r="TV72" s="1"/>
      <c r="TW72" s="1"/>
      <c r="TX72" s="1"/>
      <c r="TY72" s="1"/>
      <c r="TZ72" s="1"/>
      <c r="UA72" s="1"/>
      <c r="UB72" s="1"/>
      <c r="UC72" s="1"/>
      <c r="UD72" s="1"/>
      <c r="UE72" s="1"/>
      <c r="UF72" s="1"/>
      <c r="UG72" s="1"/>
      <c r="UH72" s="1"/>
      <c r="UI72" s="1"/>
      <c r="UJ72" s="1"/>
      <c r="UK72" s="1"/>
      <c r="UL72" s="1"/>
      <c r="UM72" s="1"/>
      <c r="UN72" s="1"/>
      <c r="UO72" s="1"/>
      <c r="UP72" s="1"/>
      <c r="UQ72" s="1"/>
      <c r="UR72" s="1"/>
      <c r="US72" s="1"/>
      <c r="UT72" s="1"/>
      <c r="UU72" s="1"/>
      <c r="UV72" s="1"/>
      <c r="UW72" s="1"/>
      <c r="UX72" s="1"/>
      <c r="UY72" s="1"/>
      <c r="UZ72" s="1"/>
      <c r="VA72" s="1"/>
      <c r="VB72" s="1"/>
      <c r="VC72" s="1"/>
      <c r="VD72" s="1"/>
      <c r="VE72" s="1"/>
      <c r="VF72" s="1"/>
      <c r="VG72" s="1"/>
      <c r="VH72" s="1"/>
      <c r="VI72" s="1"/>
      <c r="VJ72" s="1"/>
      <c r="VK72" s="1"/>
      <c r="VL72" s="1"/>
      <c r="VM72" s="1"/>
      <c r="VN72" s="1"/>
      <c r="VO72" s="1"/>
      <c r="VP72" s="1"/>
      <c r="VQ72" s="1"/>
      <c r="VR72" s="1"/>
      <c r="VS72" s="1"/>
      <c r="VT72" s="1"/>
      <c r="VU72" s="1"/>
      <c r="VV72" s="1"/>
      <c r="VW72" s="1"/>
      <c r="VX72" s="1"/>
      <c r="VY72" s="1"/>
      <c r="VZ72" s="1"/>
      <c r="WA72" s="1"/>
      <c r="WB72" s="1"/>
      <c r="WC72" s="1"/>
      <c r="WD72" s="1"/>
      <c r="WE72" s="1"/>
      <c r="WF72" s="1"/>
      <c r="WG72" s="1"/>
      <c r="WH72" s="1"/>
      <c r="WI72" s="1"/>
      <c r="WJ72" s="1"/>
      <c r="WK72" s="1"/>
      <c r="WL72" s="1"/>
      <c r="WM72" s="1"/>
      <c r="WN72" s="1"/>
      <c r="WO72" s="1"/>
      <c r="WP72" s="1"/>
      <c r="WQ72" s="1"/>
      <c r="WR72" s="1"/>
      <c r="WS72" s="1"/>
      <c r="WT72" s="1"/>
      <c r="WU72" s="1"/>
      <c r="WV72" s="1"/>
      <c r="WW72" s="1"/>
      <c r="WX72" s="1"/>
      <c r="WY72" s="1"/>
      <c r="WZ72" s="1"/>
      <c r="XA72" s="1"/>
      <c r="XB72" s="1"/>
      <c r="XC72" s="1"/>
      <c r="XD72" s="1"/>
      <c r="XE72" s="1"/>
      <c r="XF72" s="1"/>
      <c r="XG72" s="1"/>
      <c r="XH72" s="1"/>
      <c r="XI72" s="1"/>
      <c r="XJ72" s="1"/>
      <c r="XK72" s="1"/>
      <c r="XL72" s="1"/>
      <c r="XM72" s="1"/>
      <c r="XN72" s="1"/>
      <c r="XO72" s="1"/>
      <c r="XP72" s="1"/>
      <c r="XQ72" s="1"/>
      <c r="XR72" s="1"/>
      <c r="XS72" s="1"/>
      <c r="XT72" s="1"/>
      <c r="XU72" s="1"/>
      <c r="XV72" s="1"/>
      <c r="XW72" s="1"/>
      <c r="XX72" s="1"/>
      <c r="XY72" s="1"/>
      <c r="XZ72" s="1"/>
      <c r="YA72" s="1"/>
      <c r="YB72" s="1"/>
      <c r="YC72" s="1"/>
      <c r="YD72" s="1"/>
      <c r="YE72" s="1"/>
      <c r="YF72" s="1"/>
      <c r="YG72" s="1"/>
      <c r="YH72" s="1"/>
      <c r="YI72" s="1"/>
      <c r="YJ72" s="1"/>
      <c r="YK72" s="1"/>
      <c r="YL72" s="1"/>
      <c r="YM72" s="1"/>
      <c r="YN72" s="1"/>
      <c r="YO72" s="1"/>
      <c r="YP72" s="1"/>
      <c r="YQ72" s="1"/>
      <c r="YR72" s="1"/>
      <c r="YS72" s="1"/>
      <c r="YT72" s="1"/>
      <c r="YU72" s="1"/>
      <c r="YV72" s="1"/>
      <c r="YW72" s="1"/>
      <c r="YX72" s="1"/>
      <c r="YY72" s="1"/>
      <c r="YZ72" s="1"/>
      <c r="ZA72" s="1"/>
      <c r="ZB72" s="1"/>
      <c r="ZC72" s="1"/>
      <c r="ZD72" s="1"/>
      <c r="ZE72" s="1"/>
      <c r="ZF72" s="1"/>
      <c r="ZG72" s="1"/>
      <c r="ZH72" s="1"/>
      <c r="ZI72" s="1"/>
      <c r="ZJ72" s="1"/>
      <c r="ZK72" s="1"/>
      <c r="ZL72" s="1"/>
      <c r="ZM72" s="1"/>
      <c r="ZN72" s="1"/>
      <c r="ZO72" s="1"/>
      <c r="ZP72" s="1"/>
      <c r="ZQ72" s="1"/>
      <c r="ZR72" s="1"/>
      <c r="ZS72" s="1"/>
      <c r="ZT72" s="1"/>
      <c r="ZU72" s="1"/>
      <c r="ZV72" s="1"/>
      <c r="ZW72" s="1"/>
      <c r="ZX72" s="1"/>
      <c r="ZY72" s="1"/>
      <c r="ZZ72" s="1"/>
      <c r="AAA72" s="1"/>
      <c r="AAB72" s="1"/>
      <c r="AAC72" s="1"/>
      <c r="AAD72" s="1"/>
      <c r="AAE72" s="1"/>
      <c r="AAF72" s="1"/>
      <c r="AAG72" s="1"/>
      <c r="AAH72" s="1"/>
      <c r="AAI72" s="1"/>
      <c r="AAJ72" s="1"/>
      <c r="AAK72" s="1"/>
      <c r="AAL72" s="1"/>
      <c r="AAM72" s="1"/>
      <c r="AAN72" s="1"/>
      <c r="AAO72" s="1"/>
      <c r="AAP72" s="1"/>
      <c r="AAQ72" s="1"/>
      <c r="AAR72" s="1"/>
      <c r="AAS72" s="1"/>
      <c r="AAT72" s="1"/>
      <c r="AAU72" s="1"/>
      <c r="AAV72" s="1"/>
      <c r="AAW72" s="1"/>
      <c r="AAX72" s="1"/>
      <c r="AAY72" s="1"/>
      <c r="AAZ72" s="1"/>
      <c r="ABA72" s="1"/>
      <c r="ABB72" s="1"/>
      <c r="ABC72" s="1"/>
      <c r="ABD72" s="1"/>
      <c r="ABE72" s="1"/>
      <c r="ABF72" s="1"/>
      <c r="ABG72" s="1"/>
      <c r="ABH72" s="1"/>
      <c r="ABI72" s="1"/>
      <c r="ABJ72" s="1"/>
      <c r="ABK72" s="1"/>
      <c r="ABL72" s="1"/>
      <c r="ABM72" s="1"/>
      <c r="ABN72" s="1"/>
      <c r="ABO72" s="1"/>
      <c r="ABP72" s="1"/>
      <c r="ABQ72" s="1"/>
      <c r="ABR72" s="1"/>
      <c r="ABS72" s="1"/>
      <c r="ABT72" s="1"/>
      <c r="ABU72" s="1"/>
      <c r="ABV72" s="1"/>
      <c r="ABW72" s="1"/>
      <c r="ABX72" s="1"/>
      <c r="ABY72" s="1"/>
      <c r="ABZ72" s="1"/>
      <c r="ACA72" s="1"/>
      <c r="ACB72" s="1"/>
      <c r="ACC72" s="1"/>
      <c r="ACD72" s="1"/>
      <c r="ACE72" s="1"/>
      <c r="ACF72" s="1"/>
      <c r="ACG72" s="1"/>
      <c r="ACH72" s="1"/>
      <c r="ACI72" s="1"/>
      <c r="ACJ72" s="1"/>
      <c r="ACK72" s="1"/>
      <c r="ACL72" s="1"/>
      <c r="ACM72" s="1"/>
      <c r="ACN72" s="1"/>
      <c r="ACO72" s="1"/>
      <c r="ACP72" s="1"/>
      <c r="ACQ72" s="1"/>
      <c r="ACR72" s="1"/>
      <c r="ACS72" s="1"/>
      <c r="ACT72" s="1"/>
      <c r="ACU72" s="1"/>
      <c r="ACV72" s="1"/>
      <c r="ACW72" s="1"/>
      <c r="ACX72" s="1"/>
      <c r="ACY72" s="1"/>
      <c r="ACZ72" s="1"/>
      <c r="ADA72" s="1"/>
      <c r="ADB72" s="1"/>
      <c r="ADC72" s="1"/>
      <c r="ADD72" s="1"/>
      <c r="ADE72" s="1"/>
      <c r="ADF72" s="1"/>
      <c r="ADG72" s="1"/>
      <c r="ADH72" s="1"/>
      <c r="ADI72" s="1"/>
      <c r="ADJ72" s="1"/>
      <c r="ADK72" s="1"/>
      <c r="ADL72" s="1"/>
      <c r="ADM72" s="1"/>
      <c r="ADN72" s="1"/>
      <c r="ADO72" s="1"/>
      <c r="ADP72" s="1"/>
      <c r="ADQ72" s="1"/>
      <c r="ADR72" s="1"/>
      <c r="ADS72" s="1"/>
      <c r="ADT72" s="1"/>
      <c r="ADU72" s="1"/>
      <c r="ADV72" s="1"/>
      <c r="ADW72" s="1"/>
      <c r="ADX72" s="1"/>
      <c r="ADY72" s="1"/>
      <c r="ADZ72" s="1"/>
      <c r="AEA72" s="1"/>
      <c r="AEB72" s="1"/>
      <c r="AEC72" s="1"/>
      <c r="AED72" s="1"/>
      <c r="AEE72" s="1"/>
      <c r="AEF72" s="1"/>
      <c r="AEG72" s="1"/>
      <c r="AEH72" s="1"/>
      <c r="AEI72" s="1"/>
      <c r="AEJ72" s="1"/>
      <c r="AEK72" s="1"/>
      <c r="AEL72" s="1"/>
      <c r="AEM72" s="1"/>
      <c r="AEN72" s="1"/>
      <c r="AEO72" s="1"/>
      <c r="AEP72" s="1"/>
      <c r="AEQ72" s="1"/>
      <c r="AER72" s="1"/>
      <c r="AES72" s="1"/>
      <c r="AET72" s="1"/>
      <c r="AEU72" s="1"/>
      <c r="AEV72" s="1"/>
      <c r="AEW72" s="1"/>
      <c r="AEX72" s="1"/>
      <c r="AEY72" s="1"/>
      <c r="AEZ72" s="1"/>
      <c r="AFA72" s="1"/>
      <c r="AFB72" s="1"/>
      <c r="AFC72" s="1"/>
      <c r="AFD72" s="1"/>
      <c r="AFE72" s="1"/>
      <c r="AFF72" s="1"/>
      <c r="AFG72" s="1"/>
      <c r="AFH72" s="1"/>
      <c r="AFI72" s="1"/>
      <c r="AFJ72" s="1"/>
      <c r="AFK72" s="1"/>
      <c r="AFL72" s="1"/>
      <c r="AFM72" s="1"/>
      <c r="AFN72" s="1"/>
      <c r="AFO72" s="1"/>
      <c r="AFP72" s="1"/>
      <c r="AFQ72" s="1"/>
      <c r="AFR72" s="1"/>
      <c r="AFS72" s="1"/>
      <c r="AFT72" s="1"/>
      <c r="AFU72" s="1"/>
      <c r="AFV72" s="1"/>
      <c r="AFW72" s="1"/>
      <c r="AFX72" s="1"/>
      <c r="AFY72" s="1"/>
      <c r="AFZ72" s="1"/>
      <c r="AGA72" s="1"/>
      <c r="AGB72" s="1"/>
      <c r="AGC72" s="1"/>
      <c r="AGD72" s="1"/>
      <c r="AGE72" s="1"/>
      <c r="AGF72" s="1"/>
      <c r="AGG72" s="1"/>
      <c r="AGH72" s="1"/>
      <c r="AGI72" s="1"/>
      <c r="AGJ72" s="1"/>
      <c r="AGK72" s="1"/>
      <c r="AGL72" s="1"/>
      <c r="AGM72" s="1"/>
      <c r="AGN72" s="1"/>
      <c r="AGO72" s="1"/>
      <c r="AGP72" s="1"/>
      <c r="AGQ72" s="1"/>
      <c r="AGR72" s="1"/>
      <c r="AGS72" s="1"/>
      <c r="AGT72" s="1"/>
      <c r="AGU72" s="1"/>
      <c r="AGV72" s="1"/>
      <c r="AGW72" s="1"/>
      <c r="AGX72" s="1"/>
      <c r="AGY72" s="1"/>
      <c r="AGZ72" s="1"/>
      <c r="AHA72" s="1"/>
      <c r="AHB72" s="1"/>
      <c r="AHC72" s="1"/>
      <c r="AHD72" s="1"/>
      <c r="AHE72" s="1"/>
      <c r="AHF72" s="1"/>
      <c r="AHG72" s="1"/>
      <c r="AHH72" s="1"/>
      <c r="AHI72" s="1"/>
      <c r="AHJ72" s="1"/>
      <c r="AHK72" s="1"/>
      <c r="AHL72" s="1"/>
      <c r="AHM72" s="1"/>
      <c r="AHN72" s="1"/>
      <c r="AHO72" s="1"/>
      <c r="AHP72" s="1"/>
      <c r="AHQ72" s="1"/>
      <c r="AHR72" s="1"/>
      <c r="AHS72" s="1"/>
      <c r="AHT72" s="1"/>
      <c r="AHU72" s="1"/>
      <c r="AHV72" s="1"/>
      <c r="AHW72" s="1"/>
      <c r="AHX72" s="1"/>
      <c r="AHY72" s="1"/>
    </row>
    <row r="73" spans="1:909" s="5" customFormat="1" ht="22.2" thickTop="1" thickBot="1">
      <c r="A73" s="6" t="s">
        <v>110</v>
      </c>
      <c r="B73" s="194">
        <f>SUM(B71:B72)</f>
        <v>0</v>
      </c>
      <c r="C73" s="195"/>
      <c r="D73" s="194">
        <f>SUM(D71:D72)</f>
        <v>0</v>
      </c>
      <c r="E73" s="195"/>
      <c r="F73" s="194">
        <f>SUM(F71:F72)</f>
        <v>0</v>
      </c>
      <c r="G73" s="195"/>
      <c r="H73" s="194">
        <f>SUM(H71:H72)</f>
        <v>0</v>
      </c>
      <c r="I73" s="195"/>
      <c r="J73" s="194">
        <f>SUM(J71:J72)</f>
        <v>0</v>
      </c>
      <c r="K73" s="195"/>
      <c r="L73" s="194">
        <f>SUM(L71:L72)</f>
        <v>0</v>
      </c>
      <c r="M73" s="195"/>
      <c r="N73" s="194">
        <f>L73+J73+H73+F73+D73+B73</f>
        <v>0</v>
      </c>
      <c r="O73" s="196"/>
      <c r="P73" s="197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  <c r="LT73" s="1"/>
      <c r="LU73" s="1"/>
      <c r="LV73" s="1"/>
      <c r="LW73" s="1"/>
      <c r="LX73" s="1"/>
      <c r="LY73" s="1"/>
      <c r="LZ73" s="1"/>
      <c r="MA73" s="1"/>
      <c r="MB73" s="1"/>
      <c r="MC73" s="1"/>
      <c r="MD73" s="1"/>
      <c r="ME73" s="1"/>
      <c r="MF73" s="1"/>
      <c r="MG73" s="1"/>
      <c r="MH73" s="1"/>
      <c r="MI73" s="1"/>
      <c r="MJ73" s="1"/>
      <c r="MK73" s="1"/>
      <c r="ML73" s="1"/>
      <c r="MM73" s="1"/>
      <c r="MN73" s="1"/>
      <c r="MO73" s="1"/>
      <c r="MP73" s="1"/>
      <c r="MQ73" s="1"/>
      <c r="MR73" s="1"/>
      <c r="MS73" s="1"/>
      <c r="MT73" s="1"/>
      <c r="MU73" s="1"/>
      <c r="MV73" s="1"/>
      <c r="MW73" s="1"/>
      <c r="MX73" s="1"/>
      <c r="MY73" s="1"/>
      <c r="MZ73" s="1"/>
      <c r="NA73" s="1"/>
      <c r="NB73" s="1"/>
      <c r="NC73" s="1"/>
      <c r="ND73" s="1"/>
      <c r="NE73" s="1"/>
      <c r="NF73" s="1"/>
      <c r="NG73" s="1"/>
      <c r="NH73" s="1"/>
      <c r="NI73" s="1"/>
      <c r="NJ73" s="1"/>
      <c r="NK73" s="1"/>
      <c r="NL73" s="1"/>
      <c r="NM73" s="1"/>
      <c r="NN73" s="1"/>
      <c r="NO73" s="1"/>
      <c r="NP73" s="1"/>
      <c r="NQ73" s="1"/>
      <c r="NR73" s="1"/>
      <c r="NS73" s="1"/>
      <c r="NT73" s="1"/>
      <c r="NU73" s="1"/>
      <c r="NV73" s="1"/>
      <c r="NW73" s="1"/>
      <c r="NX73" s="1"/>
      <c r="NY73" s="1"/>
      <c r="NZ73" s="1"/>
      <c r="OA73" s="1"/>
      <c r="OB73" s="1"/>
      <c r="OC73" s="1"/>
      <c r="OD73" s="1"/>
      <c r="OE73" s="1"/>
      <c r="OF73" s="1"/>
      <c r="OG73" s="1"/>
      <c r="OH73" s="1"/>
      <c r="OI73" s="1"/>
      <c r="OJ73" s="1"/>
      <c r="OK73" s="1"/>
      <c r="OL73" s="1"/>
      <c r="OM73" s="1"/>
      <c r="ON73" s="1"/>
      <c r="OO73" s="1"/>
      <c r="OP73" s="1"/>
      <c r="OQ73" s="1"/>
      <c r="OR73" s="1"/>
      <c r="OS73" s="1"/>
      <c r="OT73" s="1"/>
      <c r="OU73" s="1"/>
      <c r="OV73" s="1"/>
      <c r="OW73" s="1"/>
      <c r="OX73" s="1"/>
      <c r="OY73" s="1"/>
      <c r="OZ73" s="1"/>
      <c r="PA73" s="1"/>
      <c r="PB73" s="1"/>
      <c r="PC73" s="1"/>
      <c r="PD73" s="1"/>
      <c r="PE73" s="1"/>
      <c r="PF73" s="1"/>
      <c r="PG73" s="1"/>
      <c r="PH73" s="1"/>
      <c r="PI73" s="1"/>
      <c r="PJ73" s="1"/>
      <c r="PK73" s="1"/>
      <c r="PL73" s="1"/>
      <c r="PM73" s="1"/>
      <c r="PN73" s="1"/>
      <c r="PO73" s="1"/>
      <c r="PP73" s="1"/>
      <c r="PQ73" s="1"/>
      <c r="PR73" s="1"/>
      <c r="PS73" s="1"/>
      <c r="PT73" s="1"/>
      <c r="PU73" s="1"/>
      <c r="PV73" s="1"/>
      <c r="PW73" s="1"/>
      <c r="PX73" s="1"/>
      <c r="PY73" s="1"/>
      <c r="PZ73" s="1"/>
      <c r="QA73" s="1"/>
      <c r="QB73" s="1"/>
      <c r="QC73" s="1"/>
      <c r="QD73" s="1"/>
      <c r="QE73" s="1"/>
      <c r="QF73" s="1"/>
      <c r="QG73" s="1"/>
      <c r="QH73" s="1"/>
      <c r="QI73" s="1"/>
      <c r="QJ73" s="1"/>
      <c r="QK73" s="1"/>
      <c r="QL73" s="1"/>
      <c r="QM73" s="1"/>
      <c r="QN73" s="1"/>
      <c r="QO73" s="1"/>
      <c r="QP73" s="1"/>
      <c r="QQ73" s="1"/>
      <c r="QR73" s="1"/>
      <c r="QS73" s="1"/>
      <c r="QT73" s="1"/>
      <c r="QU73" s="1"/>
      <c r="QV73" s="1"/>
      <c r="QW73" s="1"/>
      <c r="QX73" s="1"/>
      <c r="QY73" s="1"/>
      <c r="QZ73" s="1"/>
      <c r="RA73" s="1"/>
      <c r="RB73" s="1"/>
      <c r="RC73" s="1"/>
      <c r="RD73" s="1"/>
      <c r="RE73" s="1"/>
      <c r="RF73" s="1"/>
      <c r="RG73" s="1"/>
      <c r="RH73" s="1"/>
      <c r="RI73" s="1"/>
      <c r="RJ73" s="1"/>
      <c r="RK73" s="1"/>
      <c r="RL73" s="1"/>
      <c r="RM73" s="1"/>
      <c r="RN73" s="1"/>
      <c r="RO73" s="1"/>
      <c r="RP73" s="1"/>
      <c r="RQ73" s="1"/>
      <c r="RR73" s="1"/>
      <c r="RS73" s="1"/>
      <c r="RT73" s="1"/>
      <c r="RU73" s="1"/>
      <c r="RV73" s="1"/>
      <c r="RW73" s="1"/>
      <c r="RX73" s="1"/>
      <c r="RY73" s="1"/>
      <c r="RZ73" s="1"/>
      <c r="SA73" s="1"/>
      <c r="SB73" s="1"/>
      <c r="SC73" s="1"/>
      <c r="SD73" s="1"/>
      <c r="SE73" s="1"/>
      <c r="SF73" s="1"/>
      <c r="SG73" s="1"/>
      <c r="SH73" s="1"/>
      <c r="SI73" s="1"/>
      <c r="SJ73" s="1"/>
      <c r="SK73" s="1"/>
      <c r="SL73" s="1"/>
      <c r="SM73" s="1"/>
      <c r="SN73" s="1"/>
      <c r="SO73" s="1"/>
      <c r="SP73" s="1"/>
      <c r="SQ73" s="1"/>
      <c r="SR73" s="1"/>
      <c r="SS73" s="1"/>
      <c r="ST73" s="1"/>
      <c r="SU73" s="1"/>
      <c r="SV73" s="1"/>
      <c r="SW73" s="1"/>
      <c r="SX73" s="1"/>
      <c r="SY73" s="1"/>
      <c r="SZ73" s="1"/>
      <c r="TA73" s="1"/>
      <c r="TB73" s="1"/>
      <c r="TC73" s="1"/>
      <c r="TD73" s="1"/>
      <c r="TE73" s="1"/>
      <c r="TF73" s="1"/>
      <c r="TG73" s="1"/>
      <c r="TH73" s="1"/>
      <c r="TI73" s="1"/>
      <c r="TJ73" s="1"/>
      <c r="TK73" s="1"/>
      <c r="TL73" s="1"/>
      <c r="TM73" s="1"/>
      <c r="TN73" s="1"/>
      <c r="TO73" s="1"/>
      <c r="TP73" s="1"/>
      <c r="TQ73" s="1"/>
      <c r="TR73" s="1"/>
      <c r="TS73" s="1"/>
      <c r="TT73" s="1"/>
      <c r="TU73" s="1"/>
      <c r="TV73" s="1"/>
      <c r="TW73" s="1"/>
      <c r="TX73" s="1"/>
      <c r="TY73" s="1"/>
      <c r="TZ73" s="1"/>
      <c r="UA73" s="1"/>
      <c r="UB73" s="1"/>
      <c r="UC73" s="1"/>
      <c r="UD73" s="1"/>
      <c r="UE73" s="1"/>
      <c r="UF73" s="1"/>
      <c r="UG73" s="1"/>
      <c r="UH73" s="1"/>
      <c r="UI73" s="1"/>
      <c r="UJ73" s="1"/>
      <c r="UK73" s="1"/>
      <c r="UL73" s="1"/>
      <c r="UM73" s="1"/>
      <c r="UN73" s="1"/>
      <c r="UO73" s="1"/>
      <c r="UP73" s="1"/>
      <c r="UQ73" s="1"/>
      <c r="UR73" s="1"/>
      <c r="US73" s="1"/>
      <c r="UT73" s="1"/>
      <c r="UU73" s="1"/>
      <c r="UV73" s="1"/>
      <c r="UW73" s="1"/>
      <c r="UX73" s="1"/>
      <c r="UY73" s="1"/>
      <c r="UZ73" s="1"/>
      <c r="VA73" s="1"/>
      <c r="VB73" s="1"/>
      <c r="VC73" s="1"/>
      <c r="VD73" s="1"/>
      <c r="VE73" s="1"/>
      <c r="VF73" s="1"/>
      <c r="VG73" s="1"/>
      <c r="VH73" s="1"/>
      <c r="VI73" s="1"/>
      <c r="VJ73" s="1"/>
      <c r="VK73" s="1"/>
      <c r="VL73" s="1"/>
      <c r="VM73" s="1"/>
      <c r="VN73" s="1"/>
      <c r="VO73" s="1"/>
      <c r="VP73" s="1"/>
      <c r="VQ73" s="1"/>
      <c r="VR73" s="1"/>
      <c r="VS73" s="1"/>
      <c r="VT73" s="1"/>
      <c r="VU73" s="1"/>
      <c r="VV73" s="1"/>
      <c r="VW73" s="1"/>
      <c r="VX73" s="1"/>
      <c r="VY73" s="1"/>
      <c r="VZ73" s="1"/>
      <c r="WA73" s="1"/>
      <c r="WB73" s="1"/>
      <c r="WC73" s="1"/>
      <c r="WD73" s="1"/>
      <c r="WE73" s="1"/>
      <c r="WF73" s="1"/>
      <c r="WG73" s="1"/>
      <c r="WH73" s="1"/>
      <c r="WI73" s="1"/>
      <c r="WJ73" s="1"/>
      <c r="WK73" s="1"/>
      <c r="WL73" s="1"/>
      <c r="WM73" s="1"/>
      <c r="WN73" s="1"/>
      <c r="WO73" s="1"/>
      <c r="WP73" s="1"/>
      <c r="WQ73" s="1"/>
      <c r="WR73" s="1"/>
      <c r="WS73" s="1"/>
      <c r="WT73" s="1"/>
      <c r="WU73" s="1"/>
      <c r="WV73" s="1"/>
      <c r="WW73" s="1"/>
      <c r="WX73" s="1"/>
      <c r="WY73" s="1"/>
      <c r="WZ73" s="1"/>
      <c r="XA73" s="1"/>
      <c r="XB73" s="1"/>
      <c r="XC73" s="1"/>
      <c r="XD73" s="1"/>
      <c r="XE73" s="1"/>
      <c r="XF73" s="1"/>
      <c r="XG73" s="1"/>
      <c r="XH73" s="1"/>
      <c r="XI73" s="1"/>
      <c r="XJ73" s="1"/>
      <c r="XK73" s="1"/>
      <c r="XL73" s="1"/>
      <c r="XM73" s="1"/>
      <c r="XN73" s="1"/>
      <c r="XO73" s="1"/>
      <c r="XP73" s="1"/>
      <c r="XQ73" s="1"/>
      <c r="XR73" s="1"/>
      <c r="XS73" s="1"/>
      <c r="XT73" s="1"/>
      <c r="XU73" s="1"/>
      <c r="XV73" s="1"/>
      <c r="XW73" s="1"/>
      <c r="XX73" s="1"/>
      <c r="XY73" s="1"/>
      <c r="XZ73" s="1"/>
      <c r="YA73" s="1"/>
      <c r="YB73" s="1"/>
      <c r="YC73" s="1"/>
      <c r="YD73" s="1"/>
      <c r="YE73" s="1"/>
      <c r="YF73" s="1"/>
      <c r="YG73" s="1"/>
      <c r="YH73" s="1"/>
      <c r="YI73" s="1"/>
      <c r="YJ73" s="1"/>
      <c r="YK73" s="1"/>
      <c r="YL73" s="1"/>
      <c r="YM73" s="1"/>
      <c r="YN73" s="1"/>
      <c r="YO73" s="1"/>
      <c r="YP73" s="1"/>
      <c r="YQ73" s="1"/>
      <c r="YR73" s="1"/>
      <c r="YS73" s="1"/>
      <c r="YT73" s="1"/>
      <c r="YU73" s="1"/>
      <c r="YV73" s="1"/>
      <c r="YW73" s="1"/>
      <c r="YX73" s="1"/>
      <c r="YY73" s="1"/>
      <c r="YZ73" s="1"/>
      <c r="ZA73" s="1"/>
      <c r="ZB73" s="1"/>
      <c r="ZC73" s="1"/>
      <c r="ZD73" s="1"/>
      <c r="ZE73" s="1"/>
      <c r="ZF73" s="1"/>
      <c r="ZG73" s="1"/>
      <c r="ZH73" s="1"/>
      <c r="ZI73" s="1"/>
      <c r="ZJ73" s="1"/>
      <c r="ZK73" s="1"/>
      <c r="ZL73" s="1"/>
      <c r="ZM73" s="1"/>
      <c r="ZN73" s="1"/>
      <c r="ZO73" s="1"/>
      <c r="ZP73" s="1"/>
      <c r="ZQ73" s="1"/>
      <c r="ZR73" s="1"/>
      <c r="ZS73" s="1"/>
      <c r="ZT73" s="1"/>
      <c r="ZU73" s="1"/>
      <c r="ZV73" s="1"/>
      <c r="ZW73" s="1"/>
      <c r="ZX73" s="1"/>
      <c r="ZY73" s="1"/>
      <c r="ZZ73" s="1"/>
      <c r="AAA73" s="1"/>
      <c r="AAB73" s="1"/>
      <c r="AAC73" s="1"/>
      <c r="AAD73" s="1"/>
      <c r="AAE73" s="1"/>
      <c r="AAF73" s="1"/>
      <c r="AAG73" s="1"/>
      <c r="AAH73" s="1"/>
      <c r="AAI73" s="1"/>
      <c r="AAJ73" s="1"/>
      <c r="AAK73" s="1"/>
      <c r="AAL73" s="1"/>
      <c r="AAM73" s="1"/>
      <c r="AAN73" s="1"/>
      <c r="AAO73" s="1"/>
      <c r="AAP73" s="1"/>
      <c r="AAQ73" s="1"/>
      <c r="AAR73" s="1"/>
      <c r="AAS73" s="1"/>
      <c r="AAT73" s="1"/>
      <c r="AAU73" s="1"/>
      <c r="AAV73" s="1"/>
      <c r="AAW73" s="1"/>
      <c r="AAX73" s="1"/>
      <c r="AAY73" s="1"/>
      <c r="AAZ73" s="1"/>
      <c r="ABA73" s="1"/>
      <c r="ABB73" s="1"/>
      <c r="ABC73" s="1"/>
      <c r="ABD73" s="1"/>
      <c r="ABE73" s="1"/>
      <c r="ABF73" s="1"/>
      <c r="ABG73" s="1"/>
      <c r="ABH73" s="1"/>
      <c r="ABI73" s="1"/>
      <c r="ABJ73" s="1"/>
      <c r="ABK73" s="1"/>
      <c r="ABL73" s="1"/>
      <c r="ABM73" s="1"/>
      <c r="ABN73" s="1"/>
      <c r="ABO73" s="1"/>
      <c r="ABP73" s="1"/>
      <c r="ABQ73" s="1"/>
      <c r="ABR73" s="1"/>
      <c r="ABS73" s="1"/>
      <c r="ABT73" s="1"/>
      <c r="ABU73" s="1"/>
      <c r="ABV73" s="1"/>
      <c r="ABW73" s="1"/>
      <c r="ABX73" s="1"/>
      <c r="ABY73" s="1"/>
      <c r="ABZ73" s="1"/>
      <c r="ACA73" s="1"/>
      <c r="ACB73" s="1"/>
      <c r="ACC73" s="1"/>
      <c r="ACD73" s="1"/>
      <c r="ACE73" s="1"/>
      <c r="ACF73" s="1"/>
      <c r="ACG73" s="1"/>
      <c r="ACH73" s="1"/>
      <c r="ACI73" s="1"/>
      <c r="ACJ73" s="1"/>
      <c r="ACK73" s="1"/>
      <c r="ACL73" s="1"/>
      <c r="ACM73" s="1"/>
      <c r="ACN73" s="1"/>
      <c r="ACO73" s="1"/>
      <c r="ACP73" s="1"/>
      <c r="ACQ73" s="1"/>
      <c r="ACR73" s="1"/>
      <c r="ACS73" s="1"/>
      <c r="ACT73" s="1"/>
      <c r="ACU73" s="1"/>
      <c r="ACV73" s="1"/>
      <c r="ACW73" s="1"/>
      <c r="ACX73" s="1"/>
      <c r="ACY73" s="1"/>
      <c r="ACZ73" s="1"/>
      <c r="ADA73" s="1"/>
      <c r="ADB73" s="1"/>
      <c r="ADC73" s="1"/>
      <c r="ADD73" s="1"/>
      <c r="ADE73" s="1"/>
      <c r="ADF73" s="1"/>
      <c r="ADG73" s="1"/>
      <c r="ADH73" s="1"/>
      <c r="ADI73" s="1"/>
      <c r="ADJ73" s="1"/>
      <c r="ADK73" s="1"/>
      <c r="ADL73" s="1"/>
      <c r="ADM73" s="1"/>
      <c r="ADN73" s="1"/>
      <c r="ADO73" s="1"/>
      <c r="ADP73" s="1"/>
      <c r="ADQ73" s="1"/>
      <c r="ADR73" s="1"/>
      <c r="ADS73" s="1"/>
      <c r="ADT73" s="1"/>
      <c r="ADU73" s="1"/>
      <c r="ADV73" s="1"/>
      <c r="ADW73" s="1"/>
      <c r="ADX73" s="1"/>
      <c r="ADY73" s="1"/>
      <c r="ADZ73" s="1"/>
      <c r="AEA73" s="1"/>
      <c r="AEB73" s="1"/>
      <c r="AEC73" s="1"/>
      <c r="AED73" s="1"/>
      <c r="AEE73" s="1"/>
      <c r="AEF73" s="1"/>
      <c r="AEG73" s="1"/>
      <c r="AEH73" s="1"/>
      <c r="AEI73" s="1"/>
      <c r="AEJ73" s="1"/>
      <c r="AEK73" s="1"/>
      <c r="AEL73" s="1"/>
      <c r="AEM73" s="1"/>
      <c r="AEN73" s="1"/>
      <c r="AEO73" s="1"/>
      <c r="AEP73" s="1"/>
      <c r="AEQ73" s="1"/>
      <c r="AER73" s="1"/>
      <c r="AES73" s="1"/>
      <c r="AET73" s="1"/>
      <c r="AEU73" s="1"/>
      <c r="AEV73" s="1"/>
      <c r="AEW73" s="1"/>
      <c r="AEX73" s="1"/>
      <c r="AEY73" s="1"/>
      <c r="AEZ73" s="1"/>
      <c r="AFA73" s="1"/>
      <c r="AFB73" s="1"/>
      <c r="AFC73" s="1"/>
      <c r="AFD73" s="1"/>
      <c r="AFE73" s="1"/>
      <c r="AFF73" s="1"/>
      <c r="AFG73" s="1"/>
      <c r="AFH73" s="1"/>
      <c r="AFI73" s="1"/>
      <c r="AFJ73" s="1"/>
      <c r="AFK73" s="1"/>
      <c r="AFL73" s="1"/>
      <c r="AFM73" s="1"/>
      <c r="AFN73" s="1"/>
      <c r="AFO73" s="1"/>
      <c r="AFP73" s="1"/>
      <c r="AFQ73" s="1"/>
      <c r="AFR73" s="1"/>
      <c r="AFS73" s="1"/>
      <c r="AFT73" s="1"/>
      <c r="AFU73" s="1"/>
      <c r="AFV73" s="1"/>
      <c r="AFW73" s="1"/>
      <c r="AFX73" s="1"/>
      <c r="AFY73" s="1"/>
      <c r="AFZ73" s="1"/>
      <c r="AGA73" s="1"/>
      <c r="AGB73" s="1"/>
      <c r="AGC73" s="1"/>
      <c r="AGD73" s="1"/>
      <c r="AGE73" s="1"/>
      <c r="AGF73" s="1"/>
      <c r="AGG73" s="1"/>
      <c r="AGH73" s="1"/>
      <c r="AGI73" s="1"/>
      <c r="AGJ73" s="1"/>
      <c r="AGK73" s="1"/>
      <c r="AGL73" s="1"/>
      <c r="AGM73" s="1"/>
      <c r="AGN73" s="1"/>
      <c r="AGO73" s="1"/>
      <c r="AGP73" s="1"/>
      <c r="AGQ73" s="1"/>
      <c r="AGR73" s="1"/>
      <c r="AGS73" s="1"/>
      <c r="AGT73" s="1"/>
      <c r="AGU73" s="1"/>
      <c r="AGV73" s="1"/>
      <c r="AGW73" s="1"/>
      <c r="AGX73" s="1"/>
      <c r="AGY73" s="1"/>
      <c r="AGZ73" s="1"/>
      <c r="AHA73" s="1"/>
      <c r="AHB73" s="1"/>
      <c r="AHC73" s="1"/>
      <c r="AHD73" s="1"/>
      <c r="AHE73" s="1"/>
      <c r="AHF73" s="1"/>
      <c r="AHG73" s="1"/>
      <c r="AHH73" s="1"/>
      <c r="AHI73" s="1"/>
      <c r="AHJ73" s="1"/>
      <c r="AHK73" s="1"/>
      <c r="AHL73" s="1"/>
      <c r="AHM73" s="1"/>
      <c r="AHN73" s="1"/>
      <c r="AHO73" s="1"/>
      <c r="AHP73" s="1"/>
      <c r="AHQ73" s="1"/>
      <c r="AHR73" s="1"/>
      <c r="AHS73" s="1"/>
      <c r="AHT73" s="1"/>
      <c r="AHU73" s="1"/>
      <c r="AHV73" s="1"/>
      <c r="AHW73" s="1"/>
      <c r="AHX73" s="1"/>
      <c r="AHY73" s="1"/>
    </row>
    <row r="74" spans="1:909" s="5" customFormat="1" ht="21.6" thickTop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N74" s="1"/>
      <c r="LO74" s="1"/>
      <c r="LP74" s="1"/>
      <c r="LQ74" s="1"/>
      <c r="LR74" s="1"/>
      <c r="LS74" s="1"/>
      <c r="LT74" s="1"/>
      <c r="LU74" s="1"/>
      <c r="LV74" s="1"/>
      <c r="LW74" s="1"/>
      <c r="LX74" s="1"/>
      <c r="LY74" s="1"/>
      <c r="LZ74" s="1"/>
      <c r="MA74" s="1"/>
      <c r="MB74" s="1"/>
      <c r="MC74" s="1"/>
      <c r="MD74" s="1"/>
      <c r="ME74" s="1"/>
      <c r="MF74" s="1"/>
      <c r="MG74" s="1"/>
      <c r="MH74" s="1"/>
      <c r="MI74" s="1"/>
      <c r="MJ74" s="1"/>
      <c r="MK74" s="1"/>
      <c r="ML74" s="1"/>
      <c r="MM74" s="1"/>
      <c r="MN74" s="1"/>
      <c r="MO74" s="1"/>
      <c r="MP74" s="1"/>
      <c r="MQ74" s="1"/>
      <c r="MR74" s="1"/>
      <c r="MS74" s="1"/>
      <c r="MT74" s="1"/>
      <c r="MU74" s="1"/>
      <c r="MV74" s="1"/>
      <c r="MW74" s="1"/>
      <c r="MX74" s="1"/>
      <c r="MY74" s="1"/>
      <c r="MZ74" s="1"/>
      <c r="NA74" s="1"/>
      <c r="NB74" s="1"/>
      <c r="NC74" s="1"/>
      <c r="ND74" s="1"/>
      <c r="NE74" s="1"/>
      <c r="NF74" s="1"/>
      <c r="NG74" s="1"/>
      <c r="NH74" s="1"/>
      <c r="NI74" s="1"/>
      <c r="NJ74" s="1"/>
      <c r="NK74" s="1"/>
      <c r="NL74" s="1"/>
      <c r="NM74" s="1"/>
      <c r="NN74" s="1"/>
      <c r="NO74" s="1"/>
      <c r="NP74" s="1"/>
      <c r="NQ74" s="1"/>
      <c r="NR74" s="1"/>
      <c r="NS74" s="1"/>
      <c r="NT74" s="1"/>
      <c r="NU74" s="1"/>
      <c r="NV74" s="1"/>
      <c r="NW74" s="1"/>
      <c r="NX74" s="1"/>
      <c r="NY74" s="1"/>
      <c r="NZ74" s="1"/>
      <c r="OA74" s="1"/>
      <c r="OB74" s="1"/>
      <c r="OC74" s="1"/>
      <c r="OD74" s="1"/>
      <c r="OE74" s="1"/>
      <c r="OF74" s="1"/>
      <c r="OG74" s="1"/>
      <c r="OH74" s="1"/>
      <c r="OI74" s="1"/>
      <c r="OJ74" s="1"/>
      <c r="OK74" s="1"/>
      <c r="OL74" s="1"/>
      <c r="OM74" s="1"/>
      <c r="ON74" s="1"/>
      <c r="OO74" s="1"/>
      <c r="OP74" s="1"/>
      <c r="OQ74" s="1"/>
      <c r="OR74" s="1"/>
      <c r="OS74" s="1"/>
      <c r="OT74" s="1"/>
      <c r="OU74" s="1"/>
      <c r="OV74" s="1"/>
      <c r="OW74" s="1"/>
      <c r="OX74" s="1"/>
      <c r="OY74" s="1"/>
      <c r="OZ74" s="1"/>
      <c r="PA74" s="1"/>
      <c r="PB74" s="1"/>
      <c r="PC74" s="1"/>
      <c r="PD74" s="1"/>
      <c r="PE74" s="1"/>
      <c r="PF74" s="1"/>
      <c r="PG74" s="1"/>
      <c r="PH74" s="1"/>
      <c r="PI74" s="1"/>
      <c r="PJ74" s="1"/>
      <c r="PK74" s="1"/>
      <c r="PL74" s="1"/>
      <c r="PM74" s="1"/>
      <c r="PN74" s="1"/>
      <c r="PO74" s="1"/>
      <c r="PP74" s="1"/>
      <c r="PQ74" s="1"/>
      <c r="PR74" s="1"/>
      <c r="PS74" s="1"/>
      <c r="PT74" s="1"/>
      <c r="PU74" s="1"/>
      <c r="PV74" s="1"/>
      <c r="PW74" s="1"/>
      <c r="PX74" s="1"/>
      <c r="PY74" s="1"/>
      <c r="PZ74" s="1"/>
      <c r="QA74" s="1"/>
      <c r="QB74" s="1"/>
      <c r="QC74" s="1"/>
      <c r="QD74" s="1"/>
      <c r="QE74" s="1"/>
      <c r="QF74" s="1"/>
      <c r="QG74" s="1"/>
      <c r="QH74" s="1"/>
      <c r="QI74" s="1"/>
      <c r="QJ74" s="1"/>
      <c r="QK74" s="1"/>
      <c r="QL74" s="1"/>
      <c r="QM74" s="1"/>
      <c r="QN74" s="1"/>
      <c r="QO74" s="1"/>
      <c r="QP74" s="1"/>
      <c r="QQ74" s="1"/>
      <c r="QR74" s="1"/>
      <c r="QS74" s="1"/>
      <c r="QT74" s="1"/>
      <c r="QU74" s="1"/>
      <c r="QV74" s="1"/>
      <c r="QW74" s="1"/>
      <c r="QX74" s="1"/>
      <c r="QY74" s="1"/>
      <c r="QZ74" s="1"/>
      <c r="RA74" s="1"/>
      <c r="RB74" s="1"/>
      <c r="RC74" s="1"/>
      <c r="RD74" s="1"/>
      <c r="RE74" s="1"/>
      <c r="RF74" s="1"/>
      <c r="RG74" s="1"/>
      <c r="RH74" s="1"/>
      <c r="RI74" s="1"/>
      <c r="RJ74" s="1"/>
      <c r="RK74" s="1"/>
      <c r="RL74" s="1"/>
      <c r="RM74" s="1"/>
      <c r="RN74" s="1"/>
      <c r="RO74" s="1"/>
      <c r="RP74" s="1"/>
      <c r="RQ74" s="1"/>
      <c r="RR74" s="1"/>
      <c r="RS74" s="1"/>
      <c r="RT74" s="1"/>
      <c r="RU74" s="1"/>
      <c r="RV74" s="1"/>
      <c r="RW74" s="1"/>
      <c r="RX74" s="1"/>
      <c r="RY74" s="1"/>
      <c r="RZ74" s="1"/>
      <c r="SA74" s="1"/>
      <c r="SB74" s="1"/>
      <c r="SC74" s="1"/>
      <c r="SD74" s="1"/>
      <c r="SE74" s="1"/>
      <c r="SF74" s="1"/>
      <c r="SG74" s="1"/>
      <c r="SH74" s="1"/>
      <c r="SI74" s="1"/>
      <c r="SJ74" s="1"/>
      <c r="SK74" s="1"/>
      <c r="SL74" s="1"/>
      <c r="SM74" s="1"/>
      <c r="SN74" s="1"/>
      <c r="SO74" s="1"/>
      <c r="SP74" s="1"/>
      <c r="SQ74" s="1"/>
      <c r="SR74" s="1"/>
      <c r="SS74" s="1"/>
      <c r="ST74" s="1"/>
      <c r="SU74" s="1"/>
      <c r="SV74" s="1"/>
      <c r="SW74" s="1"/>
      <c r="SX74" s="1"/>
      <c r="SY74" s="1"/>
      <c r="SZ74" s="1"/>
      <c r="TA74" s="1"/>
      <c r="TB74" s="1"/>
      <c r="TC74" s="1"/>
      <c r="TD74" s="1"/>
      <c r="TE74" s="1"/>
      <c r="TF74" s="1"/>
      <c r="TG74" s="1"/>
      <c r="TH74" s="1"/>
      <c r="TI74" s="1"/>
      <c r="TJ74" s="1"/>
      <c r="TK74" s="1"/>
      <c r="TL74" s="1"/>
      <c r="TM74" s="1"/>
      <c r="TN74" s="1"/>
      <c r="TO74" s="1"/>
      <c r="TP74" s="1"/>
      <c r="TQ74" s="1"/>
      <c r="TR74" s="1"/>
      <c r="TS74" s="1"/>
      <c r="TT74" s="1"/>
      <c r="TU74" s="1"/>
      <c r="TV74" s="1"/>
      <c r="TW74" s="1"/>
      <c r="TX74" s="1"/>
      <c r="TY74" s="1"/>
      <c r="TZ74" s="1"/>
      <c r="UA74" s="1"/>
      <c r="UB74" s="1"/>
      <c r="UC74" s="1"/>
      <c r="UD74" s="1"/>
      <c r="UE74" s="1"/>
      <c r="UF74" s="1"/>
      <c r="UG74" s="1"/>
      <c r="UH74" s="1"/>
      <c r="UI74" s="1"/>
      <c r="UJ74" s="1"/>
      <c r="UK74" s="1"/>
      <c r="UL74" s="1"/>
      <c r="UM74" s="1"/>
      <c r="UN74" s="1"/>
      <c r="UO74" s="1"/>
      <c r="UP74" s="1"/>
      <c r="UQ74" s="1"/>
      <c r="UR74" s="1"/>
      <c r="US74" s="1"/>
      <c r="UT74" s="1"/>
      <c r="UU74" s="1"/>
      <c r="UV74" s="1"/>
      <c r="UW74" s="1"/>
      <c r="UX74" s="1"/>
      <c r="UY74" s="1"/>
      <c r="UZ74" s="1"/>
      <c r="VA74" s="1"/>
      <c r="VB74" s="1"/>
      <c r="VC74" s="1"/>
      <c r="VD74" s="1"/>
      <c r="VE74" s="1"/>
      <c r="VF74" s="1"/>
      <c r="VG74" s="1"/>
      <c r="VH74" s="1"/>
      <c r="VI74" s="1"/>
      <c r="VJ74" s="1"/>
      <c r="VK74" s="1"/>
      <c r="VL74" s="1"/>
      <c r="VM74" s="1"/>
      <c r="VN74" s="1"/>
      <c r="VO74" s="1"/>
      <c r="VP74" s="1"/>
      <c r="VQ74" s="1"/>
      <c r="VR74" s="1"/>
      <c r="VS74" s="1"/>
      <c r="VT74" s="1"/>
      <c r="VU74" s="1"/>
      <c r="VV74" s="1"/>
      <c r="VW74" s="1"/>
      <c r="VX74" s="1"/>
      <c r="VY74" s="1"/>
      <c r="VZ74" s="1"/>
      <c r="WA74" s="1"/>
      <c r="WB74" s="1"/>
      <c r="WC74" s="1"/>
      <c r="WD74" s="1"/>
      <c r="WE74" s="1"/>
      <c r="WF74" s="1"/>
      <c r="WG74" s="1"/>
      <c r="WH74" s="1"/>
      <c r="WI74" s="1"/>
      <c r="WJ74" s="1"/>
      <c r="WK74" s="1"/>
      <c r="WL74" s="1"/>
      <c r="WM74" s="1"/>
      <c r="WN74" s="1"/>
      <c r="WO74" s="1"/>
      <c r="WP74" s="1"/>
      <c r="WQ74" s="1"/>
      <c r="WR74" s="1"/>
      <c r="WS74" s="1"/>
      <c r="WT74" s="1"/>
      <c r="WU74" s="1"/>
      <c r="WV74" s="1"/>
      <c r="WW74" s="1"/>
      <c r="WX74" s="1"/>
      <c r="WY74" s="1"/>
      <c r="WZ74" s="1"/>
      <c r="XA74" s="1"/>
      <c r="XB74" s="1"/>
      <c r="XC74" s="1"/>
      <c r="XD74" s="1"/>
      <c r="XE74" s="1"/>
      <c r="XF74" s="1"/>
      <c r="XG74" s="1"/>
      <c r="XH74" s="1"/>
      <c r="XI74" s="1"/>
      <c r="XJ74" s="1"/>
      <c r="XK74" s="1"/>
      <c r="XL74" s="1"/>
      <c r="XM74" s="1"/>
      <c r="XN74" s="1"/>
      <c r="XO74" s="1"/>
      <c r="XP74" s="1"/>
      <c r="XQ74" s="1"/>
      <c r="XR74" s="1"/>
      <c r="XS74" s="1"/>
      <c r="XT74" s="1"/>
      <c r="XU74" s="1"/>
      <c r="XV74" s="1"/>
      <c r="XW74" s="1"/>
      <c r="XX74" s="1"/>
      <c r="XY74" s="1"/>
      <c r="XZ74" s="1"/>
      <c r="YA74" s="1"/>
      <c r="YB74" s="1"/>
      <c r="YC74" s="1"/>
      <c r="YD74" s="1"/>
      <c r="YE74" s="1"/>
      <c r="YF74" s="1"/>
      <c r="YG74" s="1"/>
      <c r="YH74" s="1"/>
      <c r="YI74" s="1"/>
      <c r="YJ74" s="1"/>
      <c r="YK74" s="1"/>
      <c r="YL74" s="1"/>
      <c r="YM74" s="1"/>
      <c r="YN74" s="1"/>
      <c r="YO74" s="1"/>
      <c r="YP74" s="1"/>
      <c r="YQ74" s="1"/>
      <c r="YR74" s="1"/>
      <c r="YS74" s="1"/>
      <c r="YT74" s="1"/>
      <c r="YU74" s="1"/>
      <c r="YV74" s="1"/>
      <c r="YW74" s="1"/>
      <c r="YX74" s="1"/>
      <c r="YY74" s="1"/>
      <c r="YZ74" s="1"/>
      <c r="ZA74" s="1"/>
      <c r="ZB74" s="1"/>
      <c r="ZC74" s="1"/>
      <c r="ZD74" s="1"/>
      <c r="ZE74" s="1"/>
      <c r="ZF74" s="1"/>
      <c r="ZG74" s="1"/>
      <c r="ZH74" s="1"/>
      <c r="ZI74" s="1"/>
      <c r="ZJ74" s="1"/>
      <c r="ZK74" s="1"/>
      <c r="ZL74" s="1"/>
      <c r="ZM74" s="1"/>
      <c r="ZN74" s="1"/>
      <c r="ZO74" s="1"/>
      <c r="ZP74" s="1"/>
      <c r="ZQ74" s="1"/>
      <c r="ZR74" s="1"/>
      <c r="ZS74" s="1"/>
      <c r="ZT74" s="1"/>
      <c r="ZU74" s="1"/>
      <c r="ZV74" s="1"/>
      <c r="ZW74" s="1"/>
      <c r="ZX74" s="1"/>
      <c r="ZY74" s="1"/>
      <c r="ZZ74" s="1"/>
      <c r="AAA74" s="1"/>
      <c r="AAB74" s="1"/>
      <c r="AAC74" s="1"/>
      <c r="AAD74" s="1"/>
      <c r="AAE74" s="1"/>
      <c r="AAF74" s="1"/>
      <c r="AAG74" s="1"/>
      <c r="AAH74" s="1"/>
      <c r="AAI74" s="1"/>
      <c r="AAJ74" s="1"/>
      <c r="AAK74" s="1"/>
      <c r="AAL74" s="1"/>
      <c r="AAM74" s="1"/>
      <c r="AAN74" s="1"/>
      <c r="AAO74" s="1"/>
      <c r="AAP74" s="1"/>
      <c r="AAQ74" s="1"/>
      <c r="AAR74" s="1"/>
      <c r="AAS74" s="1"/>
      <c r="AAT74" s="1"/>
      <c r="AAU74" s="1"/>
      <c r="AAV74" s="1"/>
      <c r="AAW74" s="1"/>
      <c r="AAX74" s="1"/>
      <c r="AAY74" s="1"/>
      <c r="AAZ74" s="1"/>
      <c r="ABA74" s="1"/>
      <c r="ABB74" s="1"/>
      <c r="ABC74" s="1"/>
      <c r="ABD74" s="1"/>
      <c r="ABE74" s="1"/>
      <c r="ABF74" s="1"/>
      <c r="ABG74" s="1"/>
      <c r="ABH74" s="1"/>
      <c r="ABI74" s="1"/>
      <c r="ABJ74" s="1"/>
      <c r="ABK74" s="1"/>
      <c r="ABL74" s="1"/>
      <c r="ABM74" s="1"/>
      <c r="ABN74" s="1"/>
      <c r="ABO74" s="1"/>
      <c r="ABP74" s="1"/>
      <c r="ABQ74" s="1"/>
      <c r="ABR74" s="1"/>
      <c r="ABS74" s="1"/>
      <c r="ABT74" s="1"/>
      <c r="ABU74" s="1"/>
      <c r="ABV74" s="1"/>
      <c r="ABW74" s="1"/>
      <c r="ABX74" s="1"/>
      <c r="ABY74" s="1"/>
      <c r="ABZ74" s="1"/>
      <c r="ACA74" s="1"/>
      <c r="ACB74" s="1"/>
      <c r="ACC74" s="1"/>
      <c r="ACD74" s="1"/>
      <c r="ACE74" s="1"/>
      <c r="ACF74" s="1"/>
      <c r="ACG74" s="1"/>
      <c r="ACH74" s="1"/>
      <c r="ACI74" s="1"/>
      <c r="ACJ74" s="1"/>
      <c r="ACK74" s="1"/>
      <c r="ACL74" s="1"/>
      <c r="ACM74" s="1"/>
      <c r="ACN74" s="1"/>
      <c r="ACO74" s="1"/>
      <c r="ACP74" s="1"/>
      <c r="ACQ74" s="1"/>
      <c r="ACR74" s="1"/>
      <c r="ACS74" s="1"/>
      <c r="ACT74" s="1"/>
      <c r="ACU74" s="1"/>
      <c r="ACV74" s="1"/>
      <c r="ACW74" s="1"/>
      <c r="ACX74" s="1"/>
      <c r="ACY74" s="1"/>
      <c r="ACZ74" s="1"/>
      <c r="ADA74" s="1"/>
      <c r="ADB74" s="1"/>
      <c r="ADC74" s="1"/>
      <c r="ADD74" s="1"/>
      <c r="ADE74" s="1"/>
      <c r="ADF74" s="1"/>
      <c r="ADG74" s="1"/>
      <c r="ADH74" s="1"/>
      <c r="ADI74" s="1"/>
      <c r="ADJ74" s="1"/>
      <c r="ADK74" s="1"/>
      <c r="ADL74" s="1"/>
      <c r="ADM74" s="1"/>
      <c r="ADN74" s="1"/>
      <c r="ADO74" s="1"/>
      <c r="ADP74" s="1"/>
      <c r="ADQ74" s="1"/>
      <c r="ADR74" s="1"/>
      <c r="ADS74" s="1"/>
      <c r="ADT74" s="1"/>
      <c r="ADU74" s="1"/>
      <c r="ADV74" s="1"/>
      <c r="ADW74" s="1"/>
      <c r="ADX74" s="1"/>
      <c r="ADY74" s="1"/>
      <c r="ADZ74" s="1"/>
      <c r="AEA74" s="1"/>
      <c r="AEB74" s="1"/>
      <c r="AEC74" s="1"/>
      <c r="AED74" s="1"/>
      <c r="AEE74" s="1"/>
      <c r="AEF74" s="1"/>
      <c r="AEG74" s="1"/>
      <c r="AEH74" s="1"/>
      <c r="AEI74" s="1"/>
      <c r="AEJ74" s="1"/>
      <c r="AEK74" s="1"/>
      <c r="AEL74" s="1"/>
      <c r="AEM74" s="1"/>
      <c r="AEN74" s="1"/>
      <c r="AEO74" s="1"/>
      <c r="AEP74" s="1"/>
      <c r="AEQ74" s="1"/>
      <c r="AER74" s="1"/>
      <c r="AES74" s="1"/>
      <c r="AET74" s="1"/>
      <c r="AEU74" s="1"/>
      <c r="AEV74" s="1"/>
      <c r="AEW74" s="1"/>
      <c r="AEX74" s="1"/>
      <c r="AEY74" s="1"/>
      <c r="AEZ74" s="1"/>
      <c r="AFA74" s="1"/>
      <c r="AFB74" s="1"/>
      <c r="AFC74" s="1"/>
      <c r="AFD74" s="1"/>
      <c r="AFE74" s="1"/>
      <c r="AFF74" s="1"/>
      <c r="AFG74" s="1"/>
      <c r="AFH74" s="1"/>
      <c r="AFI74" s="1"/>
      <c r="AFJ74" s="1"/>
      <c r="AFK74" s="1"/>
      <c r="AFL74" s="1"/>
      <c r="AFM74" s="1"/>
      <c r="AFN74" s="1"/>
      <c r="AFO74" s="1"/>
      <c r="AFP74" s="1"/>
      <c r="AFQ74" s="1"/>
      <c r="AFR74" s="1"/>
      <c r="AFS74" s="1"/>
      <c r="AFT74" s="1"/>
      <c r="AFU74" s="1"/>
      <c r="AFV74" s="1"/>
      <c r="AFW74" s="1"/>
      <c r="AFX74" s="1"/>
      <c r="AFY74" s="1"/>
      <c r="AFZ74" s="1"/>
      <c r="AGA74" s="1"/>
      <c r="AGB74" s="1"/>
      <c r="AGC74" s="1"/>
      <c r="AGD74" s="1"/>
      <c r="AGE74" s="1"/>
      <c r="AGF74" s="1"/>
      <c r="AGG74" s="1"/>
      <c r="AGH74" s="1"/>
      <c r="AGI74" s="1"/>
      <c r="AGJ74" s="1"/>
      <c r="AGK74" s="1"/>
      <c r="AGL74" s="1"/>
      <c r="AGM74" s="1"/>
      <c r="AGN74" s="1"/>
      <c r="AGO74" s="1"/>
      <c r="AGP74" s="1"/>
      <c r="AGQ74" s="1"/>
      <c r="AGR74" s="1"/>
      <c r="AGS74" s="1"/>
      <c r="AGT74" s="1"/>
      <c r="AGU74" s="1"/>
      <c r="AGV74" s="1"/>
      <c r="AGW74" s="1"/>
      <c r="AGX74" s="1"/>
      <c r="AGY74" s="1"/>
      <c r="AGZ74" s="1"/>
      <c r="AHA74" s="1"/>
      <c r="AHB74" s="1"/>
      <c r="AHC74" s="1"/>
      <c r="AHD74" s="1"/>
      <c r="AHE74" s="1"/>
      <c r="AHF74" s="1"/>
      <c r="AHG74" s="1"/>
      <c r="AHH74" s="1"/>
      <c r="AHI74" s="1"/>
      <c r="AHJ74" s="1"/>
      <c r="AHK74" s="1"/>
      <c r="AHL74" s="1"/>
      <c r="AHM74" s="1"/>
      <c r="AHN74" s="1"/>
      <c r="AHO74" s="1"/>
      <c r="AHP74" s="1"/>
      <c r="AHQ74" s="1"/>
      <c r="AHR74" s="1"/>
      <c r="AHS74" s="1"/>
      <c r="AHT74" s="1"/>
      <c r="AHU74" s="1"/>
      <c r="AHV74" s="1"/>
      <c r="AHW74" s="1"/>
      <c r="AHX74" s="1"/>
      <c r="AHY74" s="1"/>
    </row>
    <row r="75" spans="1:909" s="1" customFormat="1" ht="21">
      <c r="A75" s="156" t="s">
        <v>135</v>
      </c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2"/>
    </row>
    <row r="76" spans="1:909" s="1" customFormat="1" ht="21">
      <c r="A76" s="188" t="s">
        <v>100</v>
      </c>
      <c r="B76" s="188"/>
      <c r="C76" s="188"/>
      <c r="D76" s="188"/>
      <c r="E76" s="188"/>
      <c r="F76" s="188"/>
      <c r="G76" s="188"/>
      <c r="H76" s="188"/>
      <c r="I76" s="188"/>
      <c r="J76" s="188"/>
      <c r="K76" s="188"/>
      <c r="L76" s="188"/>
      <c r="M76" s="188"/>
      <c r="N76" s="188"/>
      <c r="O76" s="188"/>
      <c r="P76" s="188"/>
    </row>
    <row r="77" spans="1:909" s="1" customFormat="1" ht="21">
      <c r="A77" s="189" t="s">
        <v>113</v>
      </c>
      <c r="B77" s="189"/>
      <c r="C77" s="189"/>
      <c r="D77" s="189"/>
      <c r="E77" s="189"/>
      <c r="F77" s="189"/>
      <c r="G77" s="189"/>
      <c r="H77" s="189"/>
      <c r="I77" s="189"/>
      <c r="J77" s="189"/>
      <c r="K77" s="189"/>
      <c r="L77" s="189"/>
      <c r="M77" s="189"/>
      <c r="N77" s="189"/>
      <c r="O77" s="189"/>
      <c r="P77" s="189"/>
    </row>
    <row r="78" spans="1:909" s="1" customFormat="1" ht="21.6" thickBot="1">
      <c r="F78" s="13"/>
      <c r="G78" s="13"/>
      <c r="H78" s="13"/>
      <c r="I78" s="13"/>
      <c r="J78" s="13"/>
      <c r="K78" s="13"/>
    </row>
    <row r="79" spans="1:909" s="1" customFormat="1" ht="22.2" thickTop="1" thickBot="1">
      <c r="A79" s="190"/>
      <c r="B79" s="183" t="s">
        <v>114</v>
      </c>
      <c r="C79" s="192"/>
      <c r="D79" s="183" t="s">
        <v>115</v>
      </c>
      <c r="E79" s="192"/>
      <c r="F79" s="183" t="s">
        <v>116</v>
      </c>
      <c r="G79" s="192"/>
      <c r="H79" s="183" t="s">
        <v>117</v>
      </c>
      <c r="I79" s="192"/>
      <c r="J79" s="183" t="s">
        <v>118</v>
      </c>
      <c r="K79" s="192"/>
      <c r="L79" s="183" t="s">
        <v>119</v>
      </c>
      <c r="M79" s="192"/>
      <c r="N79" s="183" t="s">
        <v>120</v>
      </c>
      <c r="O79" s="184"/>
      <c r="P79" s="185"/>
    </row>
    <row r="80" spans="1:909" s="1" customFormat="1" ht="22.2" thickTop="1" thickBot="1">
      <c r="A80" s="191"/>
      <c r="B80" s="4" t="s">
        <v>76</v>
      </c>
      <c r="C80" s="4" t="s">
        <v>121</v>
      </c>
      <c r="D80" s="4" t="s">
        <v>76</v>
      </c>
      <c r="E80" s="4" t="s">
        <v>121</v>
      </c>
      <c r="F80" s="4" t="s">
        <v>76</v>
      </c>
      <c r="G80" s="4" t="s">
        <v>121</v>
      </c>
      <c r="H80" s="4" t="s">
        <v>76</v>
      </c>
      <c r="I80" s="4" t="s">
        <v>121</v>
      </c>
      <c r="J80" s="4" t="s">
        <v>76</v>
      </c>
      <c r="K80" s="4" t="s">
        <v>121</v>
      </c>
      <c r="L80" s="4" t="s">
        <v>76</v>
      </c>
      <c r="M80" s="4" t="s">
        <v>121</v>
      </c>
      <c r="N80" s="4" t="s">
        <v>76</v>
      </c>
      <c r="O80" s="4" t="s">
        <v>121</v>
      </c>
      <c r="P80" s="14" t="s">
        <v>122</v>
      </c>
    </row>
    <row r="81" spans="1:17" s="1" customFormat="1" ht="22.2" thickTop="1" thickBot="1">
      <c r="A81" s="11" t="s">
        <v>123</v>
      </c>
      <c r="B81" s="4">
        <f>'[1]التعليم الابتدائي'!AP295</f>
        <v>0</v>
      </c>
      <c r="C81" s="4">
        <f>'[1]التعليم الابتدائي'!AQ295</f>
        <v>0</v>
      </c>
      <c r="D81" s="177"/>
      <c r="E81" s="178"/>
      <c r="F81" s="178"/>
      <c r="G81" s="178"/>
      <c r="H81" s="178"/>
      <c r="I81" s="178"/>
      <c r="J81" s="178"/>
      <c r="K81" s="178"/>
      <c r="L81" s="178"/>
      <c r="M81" s="186"/>
      <c r="N81" s="4">
        <f>B81</f>
        <v>0</v>
      </c>
      <c r="O81" s="4">
        <f>C81</f>
        <v>0</v>
      </c>
      <c r="P81" s="14">
        <f t="shared" ref="P81:P91" si="4">O81+N81</f>
        <v>0</v>
      </c>
    </row>
    <row r="82" spans="1:17" s="1" customFormat="1" ht="22.2" thickTop="1" thickBot="1">
      <c r="A82" s="11" t="s">
        <v>124</v>
      </c>
      <c r="B82" s="4">
        <f>'[1]التعليم الابتدائي'!AR295</f>
        <v>0</v>
      </c>
      <c r="C82" s="4">
        <f>'[1]التعليم الابتدائي'!AS295</f>
        <v>0</v>
      </c>
      <c r="D82" s="137"/>
      <c r="E82" s="138"/>
      <c r="F82" s="180"/>
      <c r="G82" s="180"/>
      <c r="H82" s="180"/>
      <c r="I82" s="180"/>
      <c r="J82" s="180"/>
      <c r="K82" s="180"/>
      <c r="L82" s="180"/>
      <c r="M82" s="187"/>
      <c r="N82" s="4">
        <f>B82</f>
        <v>0</v>
      </c>
      <c r="O82" s="4">
        <f>C82</f>
        <v>0</v>
      </c>
      <c r="P82" s="14">
        <f t="shared" si="4"/>
        <v>0</v>
      </c>
    </row>
    <row r="83" spans="1:17" s="1" customFormat="1" ht="22.2" thickTop="1" thickBot="1">
      <c r="A83" s="11" t="s">
        <v>125</v>
      </c>
      <c r="B83" s="4">
        <f>'[1]التعليم الابتدائي'!AT295</f>
        <v>0</v>
      </c>
      <c r="C83" s="4">
        <f>'[1]التعليم الابتدائي'!AU295</f>
        <v>0</v>
      </c>
      <c r="D83" s="4">
        <f>'[1]التعليم الابتدائي'!BE295</f>
        <v>0</v>
      </c>
      <c r="E83" s="4">
        <f>'[1]التعليم الابتدائي'!BF295</f>
        <v>0</v>
      </c>
      <c r="F83" s="138"/>
      <c r="G83" s="138"/>
      <c r="H83" s="180"/>
      <c r="I83" s="180"/>
      <c r="J83" s="180"/>
      <c r="K83" s="180"/>
      <c r="L83" s="180"/>
      <c r="M83" s="187"/>
      <c r="N83" s="4">
        <f>D83+B83</f>
        <v>0</v>
      </c>
      <c r="O83" s="4">
        <f>E83+C83</f>
        <v>0</v>
      </c>
      <c r="P83" s="14">
        <f t="shared" si="4"/>
        <v>0</v>
      </c>
    </row>
    <row r="84" spans="1:17" s="1" customFormat="1" ht="22.2" thickTop="1" thickBot="1">
      <c r="A84" s="11" t="s">
        <v>126</v>
      </c>
      <c r="B84" s="4">
        <f>'[1]التعليم الابتدائي'!AV295</f>
        <v>0</v>
      </c>
      <c r="C84" s="4">
        <f>'[1]التعليم الابتدائي'!AW295</f>
        <v>0</v>
      </c>
      <c r="D84" s="4">
        <f>'[1]التعليم الابتدائي'!BG295</f>
        <v>0</v>
      </c>
      <c r="E84" s="4">
        <f>'[1]التعليم الابتدائي'!BH295</f>
        <v>0</v>
      </c>
      <c r="F84" s="4">
        <f>'[1]التعليم الابتدائي'!BR295</f>
        <v>0</v>
      </c>
      <c r="G84" s="4">
        <f>'[1]التعليم الابتدائي'!BS295</f>
        <v>0</v>
      </c>
      <c r="H84" s="138"/>
      <c r="I84" s="138"/>
      <c r="J84" s="180"/>
      <c r="K84" s="180"/>
      <c r="L84" s="180"/>
      <c r="M84" s="187"/>
      <c r="N84" s="4">
        <f>F84+D84+B84</f>
        <v>0</v>
      </c>
      <c r="O84" s="4">
        <f>G84+E84+C84</f>
        <v>0</v>
      </c>
      <c r="P84" s="14">
        <f t="shared" si="4"/>
        <v>0</v>
      </c>
    </row>
    <row r="85" spans="1:17" s="1" customFormat="1" ht="22.2" thickTop="1" thickBot="1">
      <c r="A85" s="11" t="s">
        <v>106</v>
      </c>
      <c r="B85" s="4">
        <f>'[1]التعليم الابتدائي'!AX295</f>
        <v>0</v>
      </c>
      <c r="C85" s="4">
        <f>'[1]التعليم الابتدائي'!AY295</f>
        <v>0</v>
      </c>
      <c r="D85" s="4">
        <f>'[1]التعليم الابتدائي'!BI295</f>
        <v>0</v>
      </c>
      <c r="E85" s="4">
        <f>'[1]التعليم الابتدائي'!BJ295</f>
        <v>0</v>
      </c>
      <c r="F85" s="4">
        <f>'[1]التعليم الابتدائي'!BT295</f>
        <v>0</v>
      </c>
      <c r="G85" s="4">
        <f>'[1]التعليم الابتدائي'!BU295</f>
        <v>0</v>
      </c>
      <c r="H85" s="4">
        <f>'[1]التعليم الابتدائي'!CE295</f>
        <v>0</v>
      </c>
      <c r="I85" s="4">
        <f>'[1]التعليم الابتدائي'!CF295</f>
        <v>0</v>
      </c>
      <c r="J85" s="138"/>
      <c r="K85" s="138"/>
      <c r="L85" s="180"/>
      <c r="M85" s="187"/>
      <c r="N85" s="4">
        <f>B85+D85+F85+H85</f>
        <v>0</v>
      </c>
      <c r="O85" s="4">
        <f>I85+G85+E85+C85</f>
        <v>0</v>
      </c>
      <c r="P85" s="14">
        <f t="shared" si="4"/>
        <v>0</v>
      </c>
    </row>
    <row r="86" spans="1:17" s="1" customFormat="1" ht="22.2" thickTop="1" thickBot="1">
      <c r="A86" s="11" t="s">
        <v>127</v>
      </c>
      <c r="B86" s="4">
        <f>'[1]التعليم الابتدائي'!AZ295</f>
        <v>0</v>
      </c>
      <c r="C86" s="4">
        <f>'[1]التعليم الابتدائي'!BA295</f>
        <v>0</v>
      </c>
      <c r="D86" s="4">
        <f>'[1]التعليم الابتدائي'!BK295</f>
        <v>0</v>
      </c>
      <c r="E86" s="4">
        <f>'[1]التعليم الابتدائي'!BL295</f>
        <v>0</v>
      </c>
      <c r="F86" s="4">
        <f>'[1]التعليم الابتدائي'!BV295</f>
        <v>0</v>
      </c>
      <c r="G86" s="4">
        <f>'[1]التعليم الابتدائي'!BW295</f>
        <v>0</v>
      </c>
      <c r="H86" s="4">
        <f>'[1]التعليم الابتدائي'!CG295</f>
        <v>0</v>
      </c>
      <c r="I86" s="4">
        <f>'[1]التعليم الابتدائي'!CH295</f>
        <v>0</v>
      </c>
      <c r="J86" s="4">
        <f>'[1]التعليم الابتدائي'!CR295</f>
        <v>0</v>
      </c>
      <c r="K86" s="4">
        <f>'[1]التعليم الابتدائي'!CS295</f>
        <v>0</v>
      </c>
      <c r="L86" s="138"/>
      <c r="M86" s="139"/>
      <c r="N86" s="4">
        <f>B86+D86+F86+H86+J86</f>
        <v>0</v>
      </c>
      <c r="O86" s="4">
        <f>K86+I86+G86+E86+C86</f>
        <v>0</v>
      </c>
      <c r="P86" s="14">
        <f t="shared" si="4"/>
        <v>0</v>
      </c>
    </row>
    <row r="87" spans="1:17" s="1" customFormat="1" ht="22.2" thickTop="1" thickBot="1">
      <c r="A87" s="11" t="s">
        <v>128</v>
      </c>
      <c r="B87" s="177"/>
      <c r="C87" s="178"/>
      <c r="D87" s="4">
        <f>'[1]التعليم الابتدائي'!BM295</f>
        <v>0</v>
      </c>
      <c r="E87" s="4">
        <f>'[1]التعليم الابتدائي'!BN295</f>
        <v>0</v>
      </c>
      <c r="F87" s="4">
        <f>'[1]التعليم الابتدائي'!BX295</f>
        <v>0</v>
      </c>
      <c r="G87" s="4">
        <f>'[1]التعليم الابتدائي'!BY295</f>
        <v>0</v>
      </c>
      <c r="H87" s="4">
        <f>'[1]التعليم الابتدائي'!CI295</f>
        <v>0</v>
      </c>
      <c r="I87" s="4">
        <f>'[1]التعليم الابتدائي'!CJ295</f>
        <v>0</v>
      </c>
      <c r="J87" s="4">
        <f>'[1]التعليم الابتدائي'!CT295</f>
        <v>0</v>
      </c>
      <c r="K87" s="4">
        <f>'[1]التعليم الابتدائي'!CU295</f>
        <v>0</v>
      </c>
      <c r="L87" s="4">
        <f>'[1]التعليم الابتدائي'!DE295</f>
        <v>0</v>
      </c>
      <c r="M87" s="4">
        <f>'[1]التعليم الابتدائي'!DF295</f>
        <v>0</v>
      </c>
      <c r="N87" s="4">
        <f>D87+F87+H87+J87+L87</f>
        <v>0</v>
      </c>
      <c r="O87" s="4">
        <f>M87+K87+I87+G87+E87</f>
        <v>0</v>
      </c>
      <c r="P87" s="14">
        <f t="shared" si="4"/>
        <v>0</v>
      </c>
    </row>
    <row r="88" spans="1:17" s="1" customFormat="1" ht="22.2" thickTop="1" thickBot="1">
      <c r="A88" s="11" t="s">
        <v>129</v>
      </c>
      <c r="B88" s="179"/>
      <c r="C88" s="180"/>
      <c r="D88" s="178"/>
      <c r="E88" s="178"/>
      <c r="F88" s="4">
        <f>'[1]التعليم الابتدائي'!BZ295</f>
        <v>0</v>
      </c>
      <c r="G88" s="4">
        <f>'[1]التعليم الابتدائي'!CA295</f>
        <v>0</v>
      </c>
      <c r="H88" s="4">
        <f>'[1]التعليم الابتدائي'!CK295</f>
        <v>0</v>
      </c>
      <c r="I88" s="4">
        <f>'[1]التعليم الابتدائي'!CL295</f>
        <v>0</v>
      </c>
      <c r="J88" s="4">
        <f>'[1]التعليم الابتدائي'!CV295</f>
        <v>0</v>
      </c>
      <c r="K88" s="4">
        <f>'[1]التعليم الابتدائي'!CW295</f>
        <v>0</v>
      </c>
      <c r="L88" s="4">
        <f>'[1]التعليم الابتدائي'!DG295</f>
        <v>0</v>
      </c>
      <c r="M88" s="4">
        <f>'[1]التعليم الابتدائي'!DH295</f>
        <v>0</v>
      </c>
      <c r="N88" s="4">
        <f>L88+J88+H88+F88</f>
        <v>0</v>
      </c>
      <c r="O88" s="4">
        <f>M88+K88+I88+G88</f>
        <v>0</v>
      </c>
      <c r="P88" s="14">
        <f t="shared" si="4"/>
        <v>0</v>
      </c>
    </row>
    <row r="89" spans="1:17" s="1" customFormat="1" ht="22.2" thickTop="1" thickBot="1">
      <c r="A89" s="11" t="s">
        <v>130</v>
      </c>
      <c r="B89" s="179"/>
      <c r="C89" s="180"/>
      <c r="D89" s="180"/>
      <c r="E89" s="180"/>
      <c r="F89" s="178"/>
      <c r="G89" s="178"/>
      <c r="H89" s="4">
        <f>'[1]التعليم الابتدائي'!CM295</f>
        <v>0</v>
      </c>
      <c r="I89" s="4">
        <f>'[1]التعليم الابتدائي'!CN295</f>
        <v>0</v>
      </c>
      <c r="J89" s="4">
        <f>'[1]التعليم الابتدائي'!CX295</f>
        <v>0</v>
      </c>
      <c r="K89" s="4">
        <f>'[1]التعليم الابتدائي'!CY295</f>
        <v>0</v>
      </c>
      <c r="L89" s="4">
        <f>'[1]التعليم الابتدائي'!DI295</f>
        <v>0</v>
      </c>
      <c r="M89" s="4">
        <f>'[1]التعليم الابتدائي'!DJ295</f>
        <v>0</v>
      </c>
      <c r="N89" s="4">
        <f>L89+J89+H89</f>
        <v>0</v>
      </c>
      <c r="O89" s="4">
        <f>M89+K89+I89</f>
        <v>0</v>
      </c>
      <c r="P89" s="14">
        <f t="shared" si="4"/>
        <v>0</v>
      </c>
    </row>
    <row r="90" spans="1:17" s="1" customFormat="1" ht="22.2" thickTop="1" thickBot="1">
      <c r="A90" s="11" t="s">
        <v>131</v>
      </c>
      <c r="B90" s="179"/>
      <c r="C90" s="180"/>
      <c r="D90" s="180"/>
      <c r="E90" s="180"/>
      <c r="F90" s="180"/>
      <c r="G90" s="180"/>
      <c r="H90" s="178"/>
      <c r="I90" s="178"/>
      <c r="J90" s="4">
        <f>'[1]التعليم الابتدائي'!CZ295</f>
        <v>0</v>
      </c>
      <c r="K90" s="4">
        <f>'[1]التعليم الابتدائي'!DA295</f>
        <v>0</v>
      </c>
      <c r="L90" s="4">
        <f>'[1]التعليم الابتدائي'!DK295</f>
        <v>0</v>
      </c>
      <c r="M90" s="4">
        <f>'[1]التعليم الابتدائي'!DL295</f>
        <v>0</v>
      </c>
      <c r="N90" s="4">
        <f>L90+J90</f>
        <v>0</v>
      </c>
      <c r="O90" s="4">
        <f>M90+K90</f>
        <v>0</v>
      </c>
      <c r="P90" s="14">
        <f t="shared" si="4"/>
        <v>0</v>
      </c>
    </row>
    <row r="91" spans="1:17" s="1" customFormat="1" ht="22.2" thickTop="1" thickBot="1">
      <c r="A91" s="11" t="s">
        <v>132</v>
      </c>
      <c r="B91" s="137"/>
      <c r="C91" s="138"/>
      <c r="D91" s="138"/>
      <c r="E91" s="138"/>
      <c r="F91" s="138"/>
      <c r="G91" s="138"/>
      <c r="H91" s="138"/>
      <c r="I91" s="138"/>
      <c r="J91" s="181"/>
      <c r="K91" s="182"/>
      <c r="L91" s="4">
        <f>'[1]التعليم الابتدائي'!DM295</f>
        <v>0</v>
      </c>
      <c r="M91" s="4">
        <f>'[1]التعليم الابتدائي'!EM295</f>
        <v>0</v>
      </c>
      <c r="N91" s="4">
        <f>L91</f>
        <v>0</v>
      </c>
      <c r="O91" s="4">
        <f>M91</f>
        <v>0</v>
      </c>
      <c r="P91" s="14">
        <f t="shared" si="4"/>
        <v>0</v>
      </c>
    </row>
    <row r="92" spans="1:17" s="1" customFormat="1" ht="22.2" thickTop="1" thickBot="1">
      <c r="A92" s="6" t="s">
        <v>122</v>
      </c>
      <c r="B92" s="7">
        <f>SUM(B81:B91)</f>
        <v>0</v>
      </c>
      <c r="C92" s="7">
        <f>SUM(C81:C91)</f>
        <v>0</v>
      </c>
      <c r="D92" s="7">
        <f>D87+D86+D85+D84+D83</f>
        <v>0</v>
      </c>
      <c r="E92" s="7">
        <f t="shared" ref="E92:P92" si="5">SUM(E81:E91)</f>
        <v>0</v>
      </c>
      <c r="F92" s="7">
        <f t="shared" si="5"/>
        <v>0</v>
      </c>
      <c r="G92" s="7">
        <f t="shared" si="5"/>
        <v>0</v>
      </c>
      <c r="H92" s="7">
        <f t="shared" si="5"/>
        <v>0</v>
      </c>
      <c r="I92" s="7">
        <f t="shared" si="5"/>
        <v>0</v>
      </c>
      <c r="J92" s="7">
        <f t="shared" si="5"/>
        <v>0</v>
      </c>
      <c r="K92" s="7">
        <f t="shared" si="5"/>
        <v>0</v>
      </c>
      <c r="L92" s="7">
        <f t="shared" si="5"/>
        <v>0</v>
      </c>
      <c r="M92" s="7">
        <f t="shared" si="5"/>
        <v>0</v>
      </c>
      <c r="N92" s="7">
        <f t="shared" si="5"/>
        <v>0</v>
      </c>
      <c r="O92" s="7">
        <f t="shared" si="5"/>
        <v>0</v>
      </c>
      <c r="P92" s="8">
        <f t="shared" si="5"/>
        <v>0</v>
      </c>
    </row>
    <row r="93" spans="1:17" s="3" customFormat="1" ht="21.6" thickTop="1"/>
    <row r="94" spans="1:17" s="1" customFormat="1" ht="21">
      <c r="A94" s="156" t="s">
        <v>62</v>
      </c>
      <c r="B94" s="156"/>
      <c r="C94" s="156"/>
      <c r="D94" s="156"/>
      <c r="E94" s="156"/>
      <c r="N94" s="156" t="s">
        <v>86</v>
      </c>
      <c r="O94" s="156"/>
      <c r="P94" s="156"/>
    </row>
    <row r="95" spans="1:17" s="1" customFormat="1" ht="21">
      <c r="A95" s="156" t="s">
        <v>64</v>
      </c>
      <c r="B95" s="156"/>
      <c r="C95" s="156"/>
      <c r="D95" s="156"/>
      <c r="E95" s="156"/>
      <c r="N95" s="156" t="s">
        <v>65</v>
      </c>
      <c r="O95" s="156"/>
      <c r="P95" s="156"/>
    </row>
    <row r="96" spans="1:17" s="1" customFormat="1" ht="21">
      <c r="A96" s="156" t="s">
        <v>99</v>
      </c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2"/>
    </row>
    <row r="97" spans="1:909" s="1" customFormat="1" ht="21">
      <c r="A97" s="156" t="s">
        <v>136</v>
      </c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</row>
    <row r="98" spans="1:909" s="1" customFormat="1" ht="21">
      <c r="A98" s="156" t="s">
        <v>101</v>
      </c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2"/>
    </row>
    <row r="99" spans="1:909" s="1" customFormat="1" ht="21.6" thickBot="1">
      <c r="G99" s="198"/>
      <c r="H99" s="198"/>
      <c r="I99" s="198"/>
      <c r="J99" s="198"/>
      <c r="K99" s="198"/>
    </row>
    <row r="100" spans="1:909" s="1" customFormat="1" ht="21.6" thickTop="1">
      <c r="A100" s="199"/>
      <c r="B100" s="147" t="s">
        <v>102</v>
      </c>
      <c r="C100" s="149"/>
      <c r="D100" s="147" t="s">
        <v>103</v>
      </c>
      <c r="E100" s="149"/>
      <c r="F100" s="147" t="s">
        <v>104</v>
      </c>
      <c r="G100" s="149"/>
      <c r="H100" s="147" t="s">
        <v>105</v>
      </c>
      <c r="I100" s="149"/>
      <c r="J100" s="147" t="s">
        <v>106</v>
      </c>
      <c r="K100" s="149"/>
      <c r="L100" s="147" t="s">
        <v>107</v>
      </c>
      <c r="M100" s="149"/>
      <c r="N100" s="147" t="s">
        <v>58</v>
      </c>
      <c r="O100" s="148"/>
      <c r="P100" s="201"/>
    </row>
    <row r="101" spans="1:909" s="1" customFormat="1" ht="21.6" thickBot="1">
      <c r="A101" s="200"/>
      <c r="B101" s="137"/>
      <c r="C101" s="139"/>
      <c r="D101" s="137"/>
      <c r="E101" s="139"/>
      <c r="F101" s="137"/>
      <c r="G101" s="139"/>
      <c r="H101" s="137"/>
      <c r="I101" s="139"/>
      <c r="J101" s="137"/>
      <c r="K101" s="139"/>
      <c r="L101" s="137"/>
      <c r="M101" s="139"/>
      <c r="N101" s="137"/>
      <c r="O101" s="138"/>
      <c r="P101" s="202"/>
    </row>
    <row r="102" spans="1:909" s="5" customFormat="1" ht="22.2" thickTop="1" thickBot="1">
      <c r="A102" s="11" t="s">
        <v>108</v>
      </c>
      <c r="B102" s="170">
        <f>'[1]التعليم الابتدائي'!AA344</f>
        <v>0</v>
      </c>
      <c r="C102" s="182"/>
      <c r="D102" s="170">
        <f>'[1]التعليم الابتدائي'!AC344</f>
        <v>0</v>
      </c>
      <c r="E102" s="182"/>
      <c r="F102" s="170">
        <f>'[1]التعليم الابتدائي'!AE344</f>
        <v>0</v>
      </c>
      <c r="G102" s="182"/>
      <c r="H102" s="170">
        <f>'[1]التعليم الابتدائي'!AG344</f>
        <v>0</v>
      </c>
      <c r="I102" s="182"/>
      <c r="J102" s="170">
        <f>'[1]التعليم الابتدائي'!AI344</f>
        <v>0</v>
      </c>
      <c r="K102" s="182"/>
      <c r="L102" s="170">
        <f>'[1]التعليم الابتدائي'!AK344</f>
        <v>0</v>
      </c>
      <c r="M102" s="182"/>
      <c r="N102" s="170">
        <f>L102+J102+H102+F102+D102+B102</f>
        <v>0</v>
      </c>
      <c r="O102" s="181"/>
      <c r="P102" s="193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"/>
      <c r="KB102" s="1"/>
      <c r="KC102" s="1"/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KS102" s="1"/>
      <c r="KT102" s="1"/>
      <c r="KU102" s="1"/>
      <c r="KV102" s="1"/>
      <c r="KW102" s="1"/>
      <c r="KX102" s="1"/>
      <c r="KY102" s="1"/>
      <c r="KZ102" s="1"/>
      <c r="LA102" s="1"/>
      <c r="LB102" s="1"/>
      <c r="LC102" s="1"/>
      <c r="LD102" s="1"/>
      <c r="LE102" s="1"/>
      <c r="LF102" s="1"/>
      <c r="LG102" s="1"/>
      <c r="LH102" s="1"/>
      <c r="LI102" s="1"/>
      <c r="LJ102" s="1"/>
      <c r="LK102" s="1"/>
      <c r="LL102" s="1"/>
      <c r="LM102" s="1"/>
      <c r="LN102" s="1"/>
      <c r="LO102" s="1"/>
      <c r="LP102" s="1"/>
      <c r="LQ102" s="1"/>
      <c r="LR102" s="1"/>
      <c r="LS102" s="1"/>
      <c r="LT102" s="1"/>
      <c r="LU102" s="1"/>
      <c r="LV102" s="1"/>
      <c r="LW102" s="1"/>
      <c r="LX102" s="1"/>
      <c r="LY102" s="1"/>
      <c r="LZ102" s="1"/>
      <c r="MA102" s="1"/>
      <c r="MB102" s="1"/>
      <c r="MC102" s="1"/>
      <c r="MD102" s="1"/>
      <c r="ME102" s="1"/>
      <c r="MF102" s="1"/>
      <c r="MG102" s="1"/>
      <c r="MH102" s="1"/>
      <c r="MI102" s="1"/>
      <c r="MJ102" s="1"/>
      <c r="MK102" s="1"/>
      <c r="ML102" s="1"/>
      <c r="MM102" s="1"/>
      <c r="MN102" s="1"/>
      <c r="MO102" s="1"/>
      <c r="MP102" s="1"/>
      <c r="MQ102" s="1"/>
      <c r="MR102" s="1"/>
      <c r="MS102" s="1"/>
      <c r="MT102" s="1"/>
      <c r="MU102" s="1"/>
      <c r="MV102" s="1"/>
      <c r="MW102" s="1"/>
      <c r="MX102" s="1"/>
      <c r="MY102" s="1"/>
      <c r="MZ102" s="1"/>
      <c r="NA102" s="1"/>
      <c r="NB102" s="1"/>
      <c r="NC102" s="1"/>
      <c r="ND102" s="1"/>
      <c r="NE102" s="1"/>
      <c r="NF102" s="1"/>
      <c r="NG102" s="1"/>
      <c r="NH102" s="1"/>
      <c r="NI102" s="1"/>
      <c r="NJ102" s="1"/>
      <c r="NK102" s="1"/>
      <c r="NL102" s="1"/>
      <c r="NM102" s="1"/>
      <c r="NN102" s="1"/>
      <c r="NO102" s="1"/>
      <c r="NP102" s="1"/>
      <c r="NQ102" s="1"/>
      <c r="NR102" s="1"/>
      <c r="NS102" s="1"/>
      <c r="NT102" s="1"/>
      <c r="NU102" s="1"/>
      <c r="NV102" s="1"/>
      <c r="NW102" s="1"/>
      <c r="NX102" s="1"/>
      <c r="NY102" s="1"/>
      <c r="NZ102" s="1"/>
      <c r="OA102" s="1"/>
      <c r="OB102" s="1"/>
      <c r="OC102" s="1"/>
      <c r="OD102" s="1"/>
      <c r="OE102" s="1"/>
      <c r="OF102" s="1"/>
      <c r="OG102" s="1"/>
      <c r="OH102" s="1"/>
      <c r="OI102" s="1"/>
      <c r="OJ102" s="1"/>
      <c r="OK102" s="1"/>
      <c r="OL102" s="1"/>
      <c r="OM102" s="1"/>
      <c r="ON102" s="1"/>
      <c r="OO102" s="1"/>
      <c r="OP102" s="1"/>
      <c r="OQ102" s="1"/>
      <c r="OR102" s="1"/>
      <c r="OS102" s="1"/>
      <c r="OT102" s="1"/>
      <c r="OU102" s="1"/>
      <c r="OV102" s="1"/>
      <c r="OW102" s="1"/>
      <c r="OX102" s="1"/>
      <c r="OY102" s="1"/>
      <c r="OZ102" s="1"/>
      <c r="PA102" s="1"/>
      <c r="PB102" s="1"/>
      <c r="PC102" s="1"/>
      <c r="PD102" s="1"/>
      <c r="PE102" s="1"/>
      <c r="PF102" s="1"/>
      <c r="PG102" s="1"/>
      <c r="PH102" s="1"/>
      <c r="PI102" s="1"/>
      <c r="PJ102" s="1"/>
      <c r="PK102" s="1"/>
      <c r="PL102" s="1"/>
      <c r="PM102" s="1"/>
      <c r="PN102" s="1"/>
      <c r="PO102" s="1"/>
      <c r="PP102" s="1"/>
      <c r="PQ102" s="1"/>
      <c r="PR102" s="1"/>
      <c r="PS102" s="1"/>
      <c r="PT102" s="1"/>
      <c r="PU102" s="1"/>
      <c r="PV102" s="1"/>
      <c r="PW102" s="1"/>
      <c r="PX102" s="1"/>
      <c r="PY102" s="1"/>
      <c r="PZ102" s="1"/>
      <c r="QA102" s="1"/>
      <c r="QB102" s="1"/>
      <c r="QC102" s="1"/>
      <c r="QD102" s="1"/>
      <c r="QE102" s="1"/>
      <c r="QF102" s="1"/>
      <c r="QG102" s="1"/>
      <c r="QH102" s="1"/>
      <c r="QI102" s="1"/>
      <c r="QJ102" s="1"/>
      <c r="QK102" s="1"/>
      <c r="QL102" s="1"/>
      <c r="QM102" s="1"/>
      <c r="QN102" s="1"/>
      <c r="QO102" s="1"/>
      <c r="QP102" s="1"/>
      <c r="QQ102" s="1"/>
      <c r="QR102" s="1"/>
      <c r="QS102" s="1"/>
      <c r="QT102" s="1"/>
      <c r="QU102" s="1"/>
      <c r="QV102" s="1"/>
      <c r="QW102" s="1"/>
      <c r="QX102" s="1"/>
      <c r="QY102" s="1"/>
      <c r="QZ102" s="1"/>
      <c r="RA102" s="1"/>
      <c r="RB102" s="1"/>
      <c r="RC102" s="1"/>
      <c r="RD102" s="1"/>
      <c r="RE102" s="1"/>
      <c r="RF102" s="1"/>
      <c r="RG102" s="1"/>
      <c r="RH102" s="1"/>
      <c r="RI102" s="1"/>
      <c r="RJ102" s="1"/>
      <c r="RK102" s="1"/>
      <c r="RL102" s="1"/>
      <c r="RM102" s="1"/>
      <c r="RN102" s="1"/>
      <c r="RO102" s="1"/>
      <c r="RP102" s="1"/>
      <c r="RQ102" s="1"/>
      <c r="RR102" s="1"/>
      <c r="RS102" s="1"/>
      <c r="RT102" s="1"/>
      <c r="RU102" s="1"/>
      <c r="RV102" s="1"/>
      <c r="RW102" s="1"/>
      <c r="RX102" s="1"/>
      <c r="RY102" s="1"/>
      <c r="RZ102" s="1"/>
      <c r="SA102" s="1"/>
      <c r="SB102" s="1"/>
      <c r="SC102" s="1"/>
      <c r="SD102" s="1"/>
      <c r="SE102" s="1"/>
      <c r="SF102" s="1"/>
      <c r="SG102" s="1"/>
      <c r="SH102" s="1"/>
      <c r="SI102" s="1"/>
      <c r="SJ102" s="1"/>
      <c r="SK102" s="1"/>
      <c r="SL102" s="1"/>
      <c r="SM102" s="1"/>
      <c r="SN102" s="1"/>
      <c r="SO102" s="1"/>
      <c r="SP102" s="1"/>
      <c r="SQ102" s="1"/>
      <c r="SR102" s="1"/>
      <c r="SS102" s="1"/>
      <c r="ST102" s="1"/>
      <c r="SU102" s="1"/>
      <c r="SV102" s="1"/>
      <c r="SW102" s="1"/>
      <c r="SX102" s="1"/>
      <c r="SY102" s="1"/>
      <c r="SZ102" s="1"/>
      <c r="TA102" s="1"/>
      <c r="TB102" s="1"/>
      <c r="TC102" s="1"/>
      <c r="TD102" s="1"/>
      <c r="TE102" s="1"/>
      <c r="TF102" s="1"/>
      <c r="TG102" s="1"/>
      <c r="TH102" s="1"/>
      <c r="TI102" s="1"/>
      <c r="TJ102" s="1"/>
      <c r="TK102" s="1"/>
      <c r="TL102" s="1"/>
      <c r="TM102" s="1"/>
      <c r="TN102" s="1"/>
      <c r="TO102" s="1"/>
      <c r="TP102" s="1"/>
      <c r="TQ102" s="1"/>
      <c r="TR102" s="1"/>
      <c r="TS102" s="1"/>
      <c r="TT102" s="1"/>
      <c r="TU102" s="1"/>
      <c r="TV102" s="1"/>
      <c r="TW102" s="1"/>
      <c r="TX102" s="1"/>
      <c r="TY102" s="1"/>
      <c r="TZ102" s="1"/>
      <c r="UA102" s="1"/>
      <c r="UB102" s="1"/>
      <c r="UC102" s="1"/>
      <c r="UD102" s="1"/>
      <c r="UE102" s="1"/>
      <c r="UF102" s="1"/>
      <c r="UG102" s="1"/>
      <c r="UH102" s="1"/>
      <c r="UI102" s="1"/>
      <c r="UJ102" s="1"/>
      <c r="UK102" s="1"/>
      <c r="UL102" s="1"/>
      <c r="UM102" s="1"/>
      <c r="UN102" s="1"/>
      <c r="UO102" s="1"/>
      <c r="UP102" s="1"/>
      <c r="UQ102" s="1"/>
      <c r="UR102" s="1"/>
      <c r="US102" s="1"/>
      <c r="UT102" s="1"/>
      <c r="UU102" s="1"/>
      <c r="UV102" s="1"/>
      <c r="UW102" s="1"/>
      <c r="UX102" s="1"/>
      <c r="UY102" s="1"/>
      <c r="UZ102" s="1"/>
      <c r="VA102" s="1"/>
      <c r="VB102" s="1"/>
      <c r="VC102" s="1"/>
      <c r="VD102" s="1"/>
      <c r="VE102" s="1"/>
      <c r="VF102" s="1"/>
      <c r="VG102" s="1"/>
      <c r="VH102" s="1"/>
      <c r="VI102" s="1"/>
      <c r="VJ102" s="1"/>
      <c r="VK102" s="1"/>
      <c r="VL102" s="1"/>
      <c r="VM102" s="1"/>
      <c r="VN102" s="1"/>
      <c r="VO102" s="1"/>
      <c r="VP102" s="1"/>
      <c r="VQ102" s="1"/>
      <c r="VR102" s="1"/>
      <c r="VS102" s="1"/>
      <c r="VT102" s="1"/>
      <c r="VU102" s="1"/>
      <c r="VV102" s="1"/>
      <c r="VW102" s="1"/>
      <c r="VX102" s="1"/>
      <c r="VY102" s="1"/>
      <c r="VZ102" s="1"/>
      <c r="WA102" s="1"/>
      <c r="WB102" s="1"/>
      <c r="WC102" s="1"/>
      <c r="WD102" s="1"/>
      <c r="WE102" s="1"/>
      <c r="WF102" s="1"/>
      <c r="WG102" s="1"/>
      <c r="WH102" s="1"/>
      <c r="WI102" s="1"/>
      <c r="WJ102" s="1"/>
      <c r="WK102" s="1"/>
      <c r="WL102" s="1"/>
      <c r="WM102" s="1"/>
      <c r="WN102" s="1"/>
      <c r="WO102" s="1"/>
      <c r="WP102" s="1"/>
      <c r="WQ102" s="1"/>
      <c r="WR102" s="1"/>
      <c r="WS102" s="1"/>
      <c r="WT102" s="1"/>
      <c r="WU102" s="1"/>
      <c r="WV102" s="1"/>
      <c r="WW102" s="1"/>
      <c r="WX102" s="1"/>
      <c r="WY102" s="1"/>
      <c r="WZ102" s="1"/>
      <c r="XA102" s="1"/>
      <c r="XB102" s="1"/>
      <c r="XC102" s="1"/>
      <c r="XD102" s="1"/>
      <c r="XE102" s="1"/>
      <c r="XF102" s="1"/>
      <c r="XG102" s="1"/>
      <c r="XH102" s="1"/>
      <c r="XI102" s="1"/>
      <c r="XJ102" s="1"/>
      <c r="XK102" s="1"/>
      <c r="XL102" s="1"/>
      <c r="XM102" s="1"/>
      <c r="XN102" s="1"/>
      <c r="XO102" s="1"/>
      <c r="XP102" s="1"/>
      <c r="XQ102" s="1"/>
      <c r="XR102" s="1"/>
      <c r="XS102" s="1"/>
      <c r="XT102" s="1"/>
      <c r="XU102" s="1"/>
      <c r="XV102" s="1"/>
      <c r="XW102" s="1"/>
      <c r="XX102" s="1"/>
      <c r="XY102" s="1"/>
      <c r="XZ102" s="1"/>
      <c r="YA102" s="1"/>
      <c r="YB102" s="1"/>
      <c r="YC102" s="1"/>
      <c r="YD102" s="1"/>
      <c r="YE102" s="1"/>
      <c r="YF102" s="1"/>
      <c r="YG102" s="1"/>
      <c r="YH102" s="1"/>
      <c r="YI102" s="1"/>
      <c r="YJ102" s="1"/>
      <c r="YK102" s="1"/>
      <c r="YL102" s="1"/>
      <c r="YM102" s="1"/>
      <c r="YN102" s="1"/>
      <c r="YO102" s="1"/>
      <c r="YP102" s="1"/>
      <c r="YQ102" s="1"/>
      <c r="YR102" s="1"/>
      <c r="YS102" s="1"/>
      <c r="YT102" s="1"/>
      <c r="YU102" s="1"/>
      <c r="YV102" s="1"/>
      <c r="YW102" s="1"/>
      <c r="YX102" s="1"/>
      <c r="YY102" s="1"/>
      <c r="YZ102" s="1"/>
      <c r="ZA102" s="1"/>
      <c r="ZB102" s="1"/>
      <c r="ZC102" s="1"/>
      <c r="ZD102" s="1"/>
      <c r="ZE102" s="1"/>
      <c r="ZF102" s="1"/>
      <c r="ZG102" s="1"/>
      <c r="ZH102" s="1"/>
      <c r="ZI102" s="1"/>
      <c r="ZJ102" s="1"/>
      <c r="ZK102" s="1"/>
      <c r="ZL102" s="1"/>
      <c r="ZM102" s="1"/>
      <c r="ZN102" s="1"/>
      <c r="ZO102" s="1"/>
      <c r="ZP102" s="1"/>
      <c r="ZQ102" s="1"/>
      <c r="ZR102" s="1"/>
      <c r="ZS102" s="1"/>
      <c r="ZT102" s="1"/>
      <c r="ZU102" s="1"/>
      <c r="ZV102" s="1"/>
      <c r="ZW102" s="1"/>
      <c r="ZX102" s="1"/>
      <c r="ZY102" s="1"/>
      <c r="ZZ102" s="1"/>
      <c r="AAA102" s="1"/>
      <c r="AAB102" s="1"/>
      <c r="AAC102" s="1"/>
      <c r="AAD102" s="1"/>
      <c r="AAE102" s="1"/>
      <c r="AAF102" s="1"/>
      <c r="AAG102" s="1"/>
      <c r="AAH102" s="1"/>
      <c r="AAI102" s="1"/>
      <c r="AAJ102" s="1"/>
      <c r="AAK102" s="1"/>
      <c r="AAL102" s="1"/>
      <c r="AAM102" s="1"/>
      <c r="AAN102" s="1"/>
      <c r="AAO102" s="1"/>
      <c r="AAP102" s="1"/>
      <c r="AAQ102" s="1"/>
      <c r="AAR102" s="1"/>
      <c r="AAS102" s="1"/>
      <c r="AAT102" s="1"/>
      <c r="AAU102" s="1"/>
      <c r="AAV102" s="1"/>
      <c r="AAW102" s="1"/>
      <c r="AAX102" s="1"/>
      <c r="AAY102" s="1"/>
      <c r="AAZ102" s="1"/>
      <c r="ABA102" s="1"/>
      <c r="ABB102" s="1"/>
      <c r="ABC102" s="1"/>
      <c r="ABD102" s="1"/>
      <c r="ABE102" s="1"/>
      <c r="ABF102" s="1"/>
      <c r="ABG102" s="1"/>
      <c r="ABH102" s="1"/>
      <c r="ABI102" s="1"/>
      <c r="ABJ102" s="1"/>
      <c r="ABK102" s="1"/>
      <c r="ABL102" s="1"/>
      <c r="ABM102" s="1"/>
      <c r="ABN102" s="1"/>
      <c r="ABO102" s="1"/>
      <c r="ABP102" s="1"/>
      <c r="ABQ102" s="1"/>
      <c r="ABR102" s="1"/>
      <c r="ABS102" s="1"/>
      <c r="ABT102" s="1"/>
      <c r="ABU102" s="1"/>
      <c r="ABV102" s="1"/>
      <c r="ABW102" s="1"/>
      <c r="ABX102" s="1"/>
      <c r="ABY102" s="1"/>
      <c r="ABZ102" s="1"/>
      <c r="ACA102" s="1"/>
      <c r="ACB102" s="1"/>
      <c r="ACC102" s="1"/>
      <c r="ACD102" s="1"/>
      <c r="ACE102" s="1"/>
      <c r="ACF102" s="1"/>
      <c r="ACG102" s="1"/>
      <c r="ACH102" s="1"/>
      <c r="ACI102" s="1"/>
      <c r="ACJ102" s="1"/>
      <c r="ACK102" s="1"/>
      <c r="ACL102" s="1"/>
      <c r="ACM102" s="1"/>
      <c r="ACN102" s="1"/>
      <c r="ACO102" s="1"/>
      <c r="ACP102" s="1"/>
      <c r="ACQ102" s="1"/>
      <c r="ACR102" s="1"/>
      <c r="ACS102" s="1"/>
      <c r="ACT102" s="1"/>
      <c r="ACU102" s="1"/>
      <c r="ACV102" s="1"/>
      <c r="ACW102" s="1"/>
      <c r="ACX102" s="1"/>
      <c r="ACY102" s="1"/>
      <c r="ACZ102" s="1"/>
      <c r="ADA102" s="1"/>
      <c r="ADB102" s="1"/>
      <c r="ADC102" s="1"/>
      <c r="ADD102" s="1"/>
      <c r="ADE102" s="1"/>
      <c r="ADF102" s="1"/>
      <c r="ADG102" s="1"/>
      <c r="ADH102" s="1"/>
      <c r="ADI102" s="1"/>
      <c r="ADJ102" s="1"/>
      <c r="ADK102" s="1"/>
      <c r="ADL102" s="1"/>
      <c r="ADM102" s="1"/>
      <c r="ADN102" s="1"/>
      <c r="ADO102" s="1"/>
      <c r="ADP102" s="1"/>
      <c r="ADQ102" s="1"/>
      <c r="ADR102" s="1"/>
      <c r="ADS102" s="1"/>
      <c r="ADT102" s="1"/>
      <c r="ADU102" s="1"/>
      <c r="ADV102" s="1"/>
      <c r="ADW102" s="1"/>
      <c r="ADX102" s="1"/>
      <c r="ADY102" s="1"/>
      <c r="ADZ102" s="1"/>
      <c r="AEA102" s="1"/>
      <c r="AEB102" s="1"/>
      <c r="AEC102" s="1"/>
      <c r="AED102" s="1"/>
      <c r="AEE102" s="1"/>
      <c r="AEF102" s="1"/>
      <c r="AEG102" s="1"/>
      <c r="AEH102" s="1"/>
      <c r="AEI102" s="1"/>
      <c r="AEJ102" s="1"/>
      <c r="AEK102" s="1"/>
      <c r="AEL102" s="1"/>
      <c r="AEM102" s="1"/>
      <c r="AEN102" s="1"/>
      <c r="AEO102" s="1"/>
      <c r="AEP102" s="1"/>
      <c r="AEQ102" s="1"/>
      <c r="AER102" s="1"/>
      <c r="AES102" s="1"/>
      <c r="AET102" s="1"/>
      <c r="AEU102" s="1"/>
      <c r="AEV102" s="1"/>
      <c r="AEW102" s="1"/>
      <c r="AEX102" s="1"/>
      <c r="AEY102" s="1"/>
      <c r="AEZ102" s="1"/>
      <c r="AFA102" s="1"/>
      <c r="AFB102" s="1"/>
      <c r="AFC102" s="1"/>
      <c r="AFD102" s="1"/>
      <c r="AFE102" s="1"/>
      <c r="AFF102" s="1"/>
      <c r="AFG102" s="1"/>
      <c r="AFH102" s="1"/>
      <c r="AFI102" s="1"/>
      <c r="AFJ102" s="1"/>
      <c r="AFK102" s="1"/>
      <c r="AFL102" s="1"/>
      <c r="AFM102" s="1"/>
      <c r="AFN102" s="1"/>
      <c r="AFO102" s="1"/>
      <c r="AFP102" s="1"/>
      <c r="AFQ102" s="1"/>
      <c r="AFR102" s="1"/>
      <c r="AFS102" s="1"/>
      <c r="AFT102" s="1"/>
      <c r="AFU102" s="1"/>
      <c r="AFV102" s="1"/>
      <c r="AFW102" s="1"/>
      <c r="AFX102" s="1"/>
      <c r="AFY102" s="1"/>
      <c r="AFZ102" s="1"/>
      <c r="AGA102" s="1"/>
      <c r="AGB102" s="1"/>
      <c r="AGC102" s="1"/>
      <c r="AGD102" s="1"/>
      <c r="AGE102" s="1"/>
      <c r="AGF102" s="1"/>
      <c r="AGG102" s="1"/>
      <c r="AGH102" s="1"/>
      <c r="AGI102" s="1"/>
      <c r="AGJ102" s="1"/>
      <c r="AGK102" s="1"/>
      <c r="AGL102" s="1"/>
      <c r="AGM102" s="1"/>
      <c r="AGN102" s="1"/>
      <c r="AGO102" s="1"/>
      <c r="AGP102" s="1"/>
      <c r="AGQ102" s="1"/>
      <c r="AGR102" s="1"/>
      <c r="AGS102" s="1"/>
      <c r="AGT102" s="1"/>
      <c r="AGU102" s="1"/>
      <c r="AGV102" s="1"/>
      <c r="AGW102" s="1"/>
      <c r="AGX102" s="1"/>
      <c r="AGY102" s="1"/>
      <c r="AGZ102" s="1"/>
      <c r="AHA102" s="1"/>
      <c r="AHB102" s="1"/>
      <c r="AHC102" s="1"/>
      <c r="AHD102" s="1"/>
      <c r="AHE102" s="1"/>
      <c r="AHF102" s="1"/>
      <c r="AHG102" s="1"/>
      <c r="AHH102" s="1"/>
      <c r="AHI102" s="1"/>
      <c r="AHJ102" s="1"/>
      <c r="AHK102" s="1"/>
      <c r="AHL102" s="1"/>
      <c r="AHM102" s="1"/>
      <c r="AHN102" s="1"/>
      <c r="AHO102" s="1"/>
      <c r="AHP102" s="1"/>
      <c r="AHQ102" s="1"/>
      <c r="AHR102" s="1"/>
      <c r="AHS102" s="1"/>
      <c r="AHT102" s="1"/>
      <c r="AHU102" s="1"/>
      <c r="AHV102" s="1"/>
      <c r="AHW102" s="1"/>
      <c r="AHX102" s="1"/>
      <c r="AHY102" s="1"/>
    </row>
    <row r="103" spans="1:909" s="5" customFormat="1" ht="22.2" thickTop="1" thickBot="1">
      <c r="A103" s="11" t="s">
        <v>109</v>
      </c>
      <c r="B103" s="170">
        <f>'[1]التعليم الابتدائي'!AB344</f>
        <v>0</v>
      </c>
      <c r="C103" s="182"/>
      <c r="D103" s="170">
        <f>'[1]التعليم الابتدائي'!AD344</f>
        <v>0</v>
      </c>
      <c r="E103" s="182"/>
      <c r="F103" s="170">
        <f>'[1]التعليم الابتدائي'!AF344</f>
        <v>0</v>
      </c>
      <c r="G103" s="182"/>
      <c r="H103" s="170">
        <f>'[1]التعليم الابتدائي'!AH344</f>
        <v>0</v>
      </c>
      <c r="I103" s="182"/>
      <c r="J103" s="170">
        <f>'[1]التعليم الابتدائي'!AJ344</f>
        <v>0</v>
      </c>
      <c r="K103" s="182"/>
      <c r="L103" s="170">
        <f>'[1]التعليم الابتدائي'!AL344</f>
        <v>0</v>
      </c>
      <c r="M103" s="182"/>
      <c r="N103" s="170">
        <f>L103+J103+H103+F103+D103+B103</f>
        <v>0</v>
      </c>
      <c r="O103" s="181"/>
      <c r="P103" s="193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s="1"/>
      <c r="KX103" s="1"/>
      <c r="KY103" s="1"/>
      <c r="KZ103" s="1"/>
      <c r="LA103" s="1"/>
      <c r="LB103" s="1"/>
      <c r="LC103" s="1"/>
      <c r="LD103" s="1"/>
      <c r="LE103" s="1"/>
      <c r="LF103" s="1"/>
      <c r="LG103" s="1"/>
      <c r="LH103" s="1"/>
      <c r="LI103" s="1"/>
      <c r="LJ103" s="1"/>
      <c r="LK103" s="1"/>
      <c r="LL103" s="1"/>
      <c r="LM103" s="1"/>
      <c r="LN103" s="1"/>
      <c r="LO103" s="1"/>
      <c r="LP103" s="1"/>
      <c r="LQ103" s="1"/>
      <c r="LR103" s="1"/>
      <c r="LS103" s="1"/>
      <c r="LT103" s="1"/>
      <c r="LU103" s="1"/>
      <c r="LV103" s="1"/>
      <c r="LW103" s="1"/>
      <c r="LX103" s="1"/>
      <c r="LY103" s="1"/>
      <c r="LZ103" s="1"/>
      <c r="MA103" s="1"/>
      <c r="MB103" s="1"/>
      <c r="MC103" s="1"/>
      <c r="MD103" s="1"/>
      <c r="ME103" s="1"/>
      <c r="MF103" s="1"/>
      <c r="MG103" s="1"/>
      <c r="MH103" s="1"/>
      <c r="MI103" s="1"/>
      <c r="MJ103" s="1"/>
      <c r="MK103" s="1"/>
      <c r="ML103" s="1"/>
      <c r="MM103" s="1"/>
      <c r="MN103" s="1"/>
      <c r="MO103" s="1"/>
      <c r="MP103" s="1"/>
      <c r="MQ103" s="1"/>
      <c r="MR103" s="1"/>
      <c r="MS103" s="1"/>
      <c r="MT103" s="1"/>
      <c r="MU103" s="1"/>
      <c r="MV103" s="1"/>
      <c r="MW103" s="1"/>
      <c r="MX103" s="1"/>
      <c r="MY103" s="1"/>
      <c r="MZ103" s="1"/>
      <c r="NA103" s="1"/>
      <c r="NB103" s="1"/>
      <c r="NC103" s="1"/>
      <c r="ND103" s="1"/>
      <c r="NE103" s="1"/>
      <c r="NF103" s="1"/>
      <c r="NG103" s="1"/>
      <c r="NH103" s="1"/>
      <c r="NI103" s="1"/>
      <c r="NJ103" s="1"/>
      <c r="NK103" s="1"/>
      <c r="NL103" s="1"/>
      <c r="NM103" s="1"/>
      <c r="NN103" s="1"/>
      <c r="NO103" s="1"/>
      <c r="NP103" s="1"/>
      <c r="NQ103" s="1"/>
      <c r="NR103" s="1"/>
      <c r="NS103" s="1"/>
      <c r="NT103" s="1"/>
      <c r="NU103" s="1"/>
      <c r="NV103" s="1"/>
      <c r="NW103" s="1"/>
      <c r="NX103" s="1"/>
      <c r="NY103" s="1"/>
      <c r="NZ103" s="1"/>
      <c r="OA103" s="1"/>
      <c r="OB103" s="1"/>
      <c r="OC103" s="1"/>
      <c r="OD103" s="1"/>
      <c r="OE103" s="1"/>
      <c r="OF103" s="1"/>
      <c r="OG103" s="1"/>
      <c r="OH103" s="1"/>
      <c r="OI103" s="1"/>
      <c r="OJ103" s="1"/>
      <c r="OK103" s="1"/>
      <c r="OL103" s="1"/>
      <c r="OM103" s="1"/>
      <c r="ON103" s="1"/>
      <c r="OO103" s="1"/>
      <c r="OP103" s="1"/>
      <c r="OQ103" s="1"/>
      <c r="OR103" s="1"/>
      <c r="OS103" s="1"/>
      <c r="OT103" s="1"/>
      <c r="OU103" s="1"/>
      <c r="OV103" s="1"/>
      <c r="OW103" s="1"/>
      <c r="OX103" s="1"/>
      <c r="OY103" s="1"/>
      <c r="OZ103" s="1"/>
      <c r="PA103" s="1"/>
      <c r="PB103" s="1"/>
      <c r="PC103" s="1"/>
      <c r="PD103" s="1"/>
      <c r="PE103" s="1"/>
      <c r="PF103" s="1"/>
      <c r="PG103" s="1"/>
      <c r="PH103" s="1"/>
      <c r="PI103" s="1"/>
      <c r="PJ103" s="1"/>
      <c r="PK103" s="1"/>
      <c r="PL103" s="1"/>
      <c r="PM103" s="1"/>
      <c r="PN103" s="1"/>
      <c r="PO103" s="1"/>
      <c r="PP103" s="1"/>
      <c r="PQ103" s="1"/>
      <c r="PR103" s="1"/>
      <c r="PS103" s="1"/>
      <c r="PT103" s="1"/>
      <c r="PU103" s="1"/>
      <c r="PV103" s="1"/>
      <c r="PW103" s="1"/>
      <c r="PX103" s="1"/>
      <c r="PY103" s="1"/>
      <c r="PZ103" s="1"/>
      <c r="QA103" s="1"/>
      <c r="QB103" s="1"/>
      <c r="QC103" s="1"/>
      <c r="QD103" s="1"/>
      <c r="QE103" s="1"/>
      <c r="QF103" s="1"/>
      <c r="QG103" s="1"/>
      <c r="QH103" s="1"/>
      <c r="QI103" s="1"/>
      <c r="QJ103" s="1"/>
      <c r="QK103" s="1"/>
      <c r="QL103" s="1"/>
      <c r="QM103" s="1"/>
      <c r="QN103" s="1"/>
      <c r="QO103" s="1"/>
      <c r="QP103" s="1"/>
      <c r="QQ103" s="1"/>
      <c r="QR103" s="1"/>
      <c r="QS103" s="1"/>
      <c r="QT103" s="1"/>
      <c r="QU103" s="1"/>
      <c r="QV103" s="1"/>
      <c r="QW103" s="1"/>
      <c r="QX103" s="1"/>
      <c r="QY103" s="1"/>
      <c r="QZ103" s="1"/>
      <c r="RA103" s="1"/>
      <c r="RB103" s="1"/>
      <c r="RC103" s="1"/>
      <c r="RD103" s="1"/>
      <c r="RE103" s="1"/>
      <c r="RF103" s="1"/>
      <c r="RG103" s="1"/>
      <c r="RH103" s="1"/>
      <c r="RI103" s="1"/>
      <c r="RJ103" s="1"/>
      <c r="RK103" s="1"/>
      <c r="RL103" s="1"/>
      <c r="RM103" s="1"/>
      <c r="RN103" s="1"/>
      <c r="RO103" s="1"/>
      <c r="RP103" s="1"/>
      <c r="RQ103" s="1"/>
      <c r="RR103" s="1"/>
      <c r="RS103" s="1"/>
      <c r="RT103" s="1"/>
      <c r="RU103" s="1"/>
      <c r="RV103" s="1"/>
      <c r="RW103" s="1"/>
      <c r="RX103" s="1"/>
      <c r="RY103" s="1"/>
      <c r="RZ103" s="1"/>
      <c r="SA103" s="1"/>
      <c r="SB103" s="1"/>
      <c r="SC103" s="1"/>
      <c r="SD103" s="1"/>
      <c r="SE103" s="1"/>
      <c r="SF103" s="1"/>
      <c r="SG103" s="1"/>
      <c r="SH103" s="1"/>
      <c r="SI103" s="1"/>
      <c r="SJ103" s="1"/>
      <c r="SK103" s="1"/>
      <c r="SL103" s="1"/>
      <c r="SM103" s="1"/>
      <c r="SN103" s="1"/>
      <c r="SO103" s="1"/>
      <c r="SP103" s="1"/>
      <c r="SQ103" s="1"/>
      <c r="SR103" s="1"/>
      <c r="SS103" s="1"/>
      <c r="ST103" s="1"/>
      <c r="SU103" s="1"/>
      <c r="SV103" s="1"/>
      <c r="SW103" s="1"/>
      <c r="SX103" s="1"/>
      <c r="SY103" s="1"/>
      <c r="SZ103" s="1"/>
      <c r="TA103" s="1"/>
      <c r="TB103" s="1"/>
      <c r="TC103" s="1"/>
      <c r="TD103" s="1"/>
      <c r="TE103" s="1"/>
      <c r="TF103" s="1"/>
      <c r="TG103" s="1"/>
      <c r="TH103" s="1"/>
      <c r="TI103" s="1"/>
      <c r="TJ103" s="1"/>
      <c r="TK103" s="1"/>
      <c r="TL103" s="1"/>
      <c r="TM103" s="1"/>
      <c r="TN103" s="1"/>
      <c r="TO103" s="1"/>
      <c r="TP103" s="1"/>
      <c r="TQ103" s="1"/>
      <c r="TR103" s="1"/>
      <c r="TS103" s="1"/>
      <c r="TT103" s="1"/>
      <c r="TU103" s="1"/>
      <c r="TV103" s="1"/>
      <c r="TW103" s="1"/>
      <c r="TX103" s="1"/>
      <c r="TY103" s="1"/>
      <c r="TZ103" s="1"/>
      <c r="UA103" s="1"/>
      <c r="UB103" s="1"/>
      <c r="UC103" s="1"/>
      <c r="UD103" s="1"/>
      <c r="UE103" s="1"/>
      <c r="UF103" s="1"/>
      <c r="UG103" s="1"/>
      <c r="UH103" s="1"/>
      <c r="UI103" s="1"/>
      <c r="UJ103" s="1"/>
      <c r="UK103" s="1"/>
      <c r="UL103" s="1"/>
      <c r="UM103" s="1"/>
      <c r="UN103" s="1"/>
      <c r="UO103" s="1"/>
      <c r="UP103" s="1"/>
      <c r="UQ103" s="1"/>
      <c r="UR103" s="1"/>
      <c r="US103" s="1"/>
      <c r="UT103" s="1"/>
      <c r="UU103" s="1"/>
      <c r="UV103" s="1"/>
      <c r="UW103" s="1"/>
      <c r="UX103" s="1"/>
      <c r="UY103" s="1"/>
      <c r="UZ103" s="1"/>
      <c r="VA103" s="1"/>
      <c r="VB103" s="1"/>
      <c r="VC103" s="1"/>
      <c r="VD103" s="1"/>
      <c r="VE103" s="1"/>
      <c r="VF103" s="1"/>
      <c r="VG103" s="1"/>
      <c r="VH103" s="1"/>
      <c r="VI103" s="1"/>
      <c r="VJ103" s="1"/>
      <c r="VK103" s="1"/>
      <c r="VL103" s="1"/>
      <c r="VM103" s="1"/>
      <c r="VN103" s="1"/>
      <c r="VO103" s="1"/>
      <c r="VP103" s="1"/>
      <c r="VQ103" s="1"/>
      <c r="VR103" s="1"/>
      <c r="VS103" s="1"/>
      <c r="VT103" s="1"/>
      <c r="VU103" s="1"/>
      <c r="VV103" s="1"/>
      <c r="VW103" s="1"/>
      <c r="VX103" s="1"/>
      <c r="VY103" s="1"/>
      <c r="VZ103" s="1"/>
      <c r="WA103" s="1"/>
      <c r="WB103" s="1"/>
      <c r="WC103" s="1"/>
      <c r="WD103" s="1"/>
      <c r="WE103" s="1"/>
      <c r="WF103" s="1"/>
      <c r="WG103" s="1"/>
      <c r="WH103" s="1"/>
      <c r="WI103" s="1"/>
      <c r="WJ103" s="1"/>
      <c r="WK103" s="1"/>
      <c r="WL103" s="1"/>
      <c r="WM103" s="1"/>
      <c r="WN103" s="1"/>
      <c r="WO103" s="1"/>
      <c r="WP103" s="1"/>
      <c r="WQ103" s="1"/>
      <c r="WR103" s="1"/>
      <c r="WS103" s="1"/>
      <c r="WT103" s="1"/>
      <c r="WU103" s="1"/>
      <c r="WV103" s="1"/>
      <c r="WW103" s="1"/>
      <c r="WX103" s="1"/>
      <c r="WY103" s="1"/>
      <c r="WZ103" s="1"/>
      <c r="XA103" s="1"/>
      <c r="XB103" s="1"/>
      <c r="XC103" s="1"/>
      <c r="XD103" s="1"/>
      <c r="XE103" s="1"/>
      <c r="XF103" s="1"/>
      <c r="XG103" s="1"/>
      <c r="XH103" s="1"/>
      <c r="XI103" s="1"/>
      <c r="XJ103" s="1"/>
      <c r="XK103" s="1"/>
      <c r="XL103" s="1"/>
      <c r="XM103" s="1"/>
      <c r="XN103" s="1"/>
      <c r="XO103" s="1"/>
      <c r="XP103" s="1"/>
      <c r="XQ103" s="1"/>
      <c r="XR103" s="1"/>
      <c r="XS103" s="1"/>
      <c r="XT103" s="1"/>
      <c r="XU103" s="1"/>
      <c r="XV103" s="1"/>
      <c r="XW103" s="1"/>
      <c r="XX103" s="1"/>
      <c r="XY103" s="1"/>
      <c r="XZ103" s="1"/>
      <c r="YA103" s="1"/>
      <c r="YB103" s="1"/>
      <c r="YC103" s="1"/>
      <c r="YD103" s="1"/>
      <c r="YE103" s="1"/>
      <c r="YF103" s="1"/>
      <c r="YG103" s="1"/>
      <c r="YH103" s="1"/>
      <c r="YI103" s="1"/>
      <c r="YJ103" s="1"/>
      <c r="YK103" s="1"/>
      <c r="YL103" s="1"/>
      <c r="YM103" s="1"/>
      <c r="YN103" s="1"/>
      <c r="YO103" s="1"/>
      <c r="YP103" s="1"/>
      <c r="YQ103" s="1"/>
      <c r="YR103" s="1"/>
      <c r="YS103" s="1"/>
      <c r="YT103" s="1"/>
      <c r="YU103" s="1"/>
      <c r="YV103" s="1"/>
      <c r="YW103" s="1"/>
      <c r="YX103" s="1"/>
      <c r="YY103" s="1"/>
      <c r="YZ103" s="1"/>
      <c r="ZA103" s="1"/>
      <c r="ZB103" s="1"/>
      <c r="ZC103" s="1"/>
      <c r="ZD103" s="1"/>
      <c r="ZE103" s="1"/>
      <c r="ZF103" s="1"/>
      <c r="ZG103" s="1"/>
      <c r="ZH103" s="1"/>
      <c r="ZI103" s="1"/>
      <c r="ZJ103" s="1"/>
      <c r="ZK103" s="1"/>
      <c r="ZL103" s="1"/>
      <c r="ZM103" s="1"/>
      <c r="ZN103" s="1"/>
      <c r="ZO103" s="1"/>
      <c r="ZP103" s="1"/>
      <c r="ZQ103" s="1"/>
      <c r="ZR103" s="1"/>
      <c r="ZS103" s="1"/>
      <c r="ZT103" s="1"/>
      <c r="ZU103" s="1"/>
      <c r="ZV103" s="1"/>
      <c r="ZW103" s="1"/>
      <c r="ZX103" s="1"/>
      <c r="ZY103" s="1"/>
      <c r="ZZ103" s="1"/>
      <c r="AAA103" s="1"/>
      <c r="AAB103" s="1"/>
      <c r="AAC103" s="1"/>
      <c r="AAD103" s="1"/>
      <c r="AAE103" s="1"/>
      <c r="AAF103" s="1"/>
      <c r="AAG103" s="1"/>
      <c r="AAH103" s="1"/>
      <c r="AAI103" s="1"/>
      <c r="AAJ103" s="1"/>
      <c r="AAK103" s="1"/>
      <c r="AAL103" s="1"/>
      <c r="AAM103" s="1"/>
      <c r="AAN103" s="1"/>
      <c r="AAO103" s="1"/>
      <c r="AAP103" s="1"/>
      <c r="AAQ103" s="1"/>
      <c r="AAR103" s="1"/>
      <c r="AAS103" s="1"/>
      <c r="AAT103" s="1"/>
      <c r="AAU103" s="1"/>
      <c r="AAV103" s="1"/>
      <c r="AAW103" s="1"/>
      <c r="AAX103" s="1"/>
      <c r="AAY103" s="1"/>
      <c r="AAZ103" s="1"/>
      <c r="ABA103" s="1"/>
      <c r="ABB103" s="1"/>
      <c r="ABC103" s="1"/>
      <c r="ABD103" s="1"/>
      <c r="ABE103" s="1"/>
      <c r="ABF103" s="1"/>
      <c r="ABG103" s="1"/>
      <c r="ABH103" s="1"/>
      <c r="ABI103" s="1"/>
      <c r="ABJ103" s="1"/>
      <c r="ABK103" s="1"/>
      <c r="ABL103" s="1"/>
      <c r="ABM103" s="1"/>
      <c r="ABN103" s="1"/>
      <c r="ABO103" s="1"/>
      <c r="ABP103" s="1"/>
      <c r="ABQ103" s="1"/>
      <c r="ABR103" s="1"/>
      <c r="ABS103" s="1"/>
      <c r="ABT103" s="1"/>
      <c r="ABU103" s="1"/>
      <c r="ABV103" s="1"/>
      <c r="ABW103" s="1"/>
      <c r="ABX103" s="1"/>
      <c r="ABY103" s="1"/>
      <c r="ABZ103" s="1"/>
      <c r="ACA103" s="1"/>
      <c r="ACB103" s="1"/>
      <c r="ACC103" s="1"/>
      <c r="ACD103" s="1"/>
      <c r="ACE103" s="1"/>
      <c r="ACF103" s="1"/>
      <c r="ACG103" s="1"/>
      <c r="ACH103" s="1"/>
      <c r="ACI103" s="1"/>
      <c r="ACJ103" s="1"/>
      <c r="ACK103" s="1"/>
      <c r="ACL103" s="1"/>
      <c r="ACM103" s="1"/>
      <c r="ACN103" s="1"/>
      <c r="ACO103" s="1"/>
      <c r="ACP103" s="1"/>
      <c r="ACQ103" s="1"/>
      <c r="ACR103" s="1"/>
      <c r="ACS103" s="1"/>
      <c r="ACT103" s="1"/>
      <c r="ACU103" s="1"/>
      <c r="ACV103" s="1"/>
      <c r="ACW103" s="1"/>
      <c r="ACX103" s="1"/>
      <c r="ACY103" s="1"/>
      <c r="ACZ103" s="1"/>
      <c r="ADA103" s="1"/>
      <c r="ADB103" s="1"/>
      <c r="ADC103" s="1"/>
      <c r="ADD103" s="1"/>
      <c r="ADE103" s="1"/>
      <c r="ADF103" s="1"/>
      <c r="ADG103" s="1"/>
      <c r="ADH103" s="1"/>
      <c r="ADI103" s="1"/>
      <c r="ADJ103" s="1"/>
      <c r="ADK103" s="1"/>
      <c r="ADL103" s="1"/>
      <c r="ADM103" s="1"/>
      <c r="ADN103" s="1"/>
      <c r="ADO103" s="1"/>
      <c r="ADP103" s="1"/>
      <c r="ADQ103" s="1"/>
      <c r="ADR103" s="1"/>
      <c r="ADS103" s="1"/>
      <c r="ADT103" s="1"/>
      <c r="ADU103" s="1"/>
      <c r="ADV103" s="1"/>
      <c r="ADW103" s="1"/>
      <c r="ADX103" s="1"/>
      <c r="ADY103" s="1"/>
      <c r="ADZ103" s="1"/>
      <c r="AEA103" s="1"/>
      <c r="AEB103" s="1"/>
      <c r="AEC103" s="1"/>
      <c r="AED103" s="1"/>
      <c r="AEE103" s="1"/>
      <c r="AEF103" s="1"/>
      <c r="AEG103" s="1"/>
      <c r="AEH103" s="1"/>
      <c r="AEI103" s="1"/>
      <c r="AEJ103" s="1"/>
      <c r="AEK103" s="1"/>
      <c r="AEL103" s="1"/>
      <c r="AEM103" s="1"/>
      <c r="AEN103" s="1"/>
      <c r="AEO103" s="1"/>
      <c r="AEP103" s="1"/>
      <c r="AEQ103" s="1"/>
      <c r="AER103" s="1"/>
      <c r="AES103" s="1"/>
      <c r="AET103" s="1"/>
      <c r="AEU103" s="1"/>
      <c r="AEV103" s="1"/>
      <c r="AEW103" s="1"/>
      <c r="AEX103" s="1"/>
      <c r="AEY103" s="1"/>
      <c r="AEZ103" s="1"/>
      <c r="AFA103" s="1"/>
      <c r="AFB103" s="1"/>
      <c r="AFC103" s="1"/>
      <c r="AFD103" s="1"/>
      <c r="AFE103" s="1"/>
      <c r="AFF103" s="1"/>
      <c r="AFG103" s="1"/>
      <c r="AFH103" s="1"/>
      <c r="AFI103" s="1"/>
      <c r="AFJ103" s="1"/>
      <c r="AFK103" s="1"/>
      <c r="AFL103" s="1"/>
      <c r="AFM103" s="1"/>
      <c r="AFN103" s="1"/>
      <c r="AFO103" s="1"/>
      <c r="AFP103" s="1"/>
      <c r="AFQ103" s="1"/>
      <c r="AFR103" s="1"/>
      <c r="AFS103" s="1"/>
      <c r="AFT103" s="1"/>
      <c r="AFU103" s="1"/>
      <c r="AFV103" s="1"/>
      <c r="AFW103" s="1"/>
      <c r="AFX103" s="1"/>
      <c r="AFY103" s="1"/>
      <c r="AFZ103" s="1"/>
      <c r="AGA103" s="1"/>
      <c r="AGB103" s="1"/>
      <c r="AGC103" s="1"/>
      <c r="AGD103" s="1"/>
      <c r="AGE103" s="1"/>
      <c r="AGF103" s="1"/>
      <c r="AGG103" s="1"/>
      <c r="AGH103" s="1"/>
      <c r="AGI103" s="1"/>
      <c r="AGJ103" s="1"/>
      <c r="AGK103" s="1"/>
      <c r="AGL103" s="1"/>
      <c r="AGM103" s="1"/>
      <c r="AGN103" s="1"/>
      <c r="AGO103" s="1"/>
      <c r="AGP103" s="1"/>
      <c r="AGQ103" s="1"/>
      <c r="AGR103" s="1"/>
      <c r="AGS103" s="1"/>
      <c r="AGT103" s="1"/>
      <c r="AGU103" s="1"/>
      <c r="AGV103" s="1"/>
      <c r="AGW103" s="1"/>
      <c r="AGX103" s="1"/>
      <c r="AGY103" s="1"/>
      <c r="AGZ103" s="1"/>
      <c r="AHA103" s="1"/>
      <c r="AHB103" s="1"/>
      <c r="AHC103" s="1"/>
      <c r="AHD103" s="1"/>
      <c r="AHE103" s="1"/>
      <c r="AHF103" s="1"/>
      <c r="AHG103" s="1"/>
      <c r="AHH103" s="1"/>
      <c r="AHI103" s="1"/>
      <c r="AHJ103" s="1"/>
      <c r="AHK103" s="1"/>
      <c r="AHL103" s="1"/>
      <c r="AHM103" s="1"/>
      <c r="AHN103" s="1"/>
      <c r="AHO103" s="1"/>
      <c r="AHP103" s="1"/>
      <c r="AHQ103" s="1"/>
      <c r="AHR103" s="1"/>
      <c r="AHS103" s="1"/>
      <c r="AHT103" s="1"/>
      <c r="AHU103" s="1"/>
      <c r="AHV103" s="1"/>
      <c r="AHW103" s="1"/>
      <c r="AHX103" s="1"/>
      <c r="AHY103" s="1"/>
    </row>
    <row r="104" spans="1:909" s="5" customFormat="1" ht="22.2" thickTop="1" thickBot="1">
      <c r="A104" s="6" t="s">
        <v>110</v>
      </c>
      <c r="B104" s="194">
        <f>SUM(B102:B103)</f>
        <v>0</v>
      </c>
      <c r="C104" s="195"/>
      <c r="D104" s="194">
        <f>SUM(D102:D103)</f>
        <v>0</v>
      </c>
      <c r="E104" s="195"/>
      <c r="F104" s="194">
        <f>SUM(F102:F103)</f>
        <v>0</v>
      </c>
      <c r="G104" s="195"/>
      <c r="H104" s="194">
        <f>SUM(H102:H103)</f>
        <v>0</v>
      </c>
      <c r="I104" s="195"/>
      <c r="J104" s="194">
        <f>SUM(J102:J103)</f>
        <v>0</v>
      </c>
      <c r="K104" s="195"/>
      <c r="L104" s="194">
        <f>SUM(L102:L103)</f>
        <v>0</v>
      </c>
      <c r="M104" s="195"/>
      <c r="N104" s="194">
        <f>L104+J104+H104+F104+D104+B104</f>
        <v>0</v>
      </c>
      <c r="O104" s="196"/>
      <c r="P104" s="197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/>
      <c r="KT104" s="1"/>
      <c r="KU104" s="1"/>
      <c r="KV104" s="1"/>
      <c r="KW104" s="1"/>
      <c r="KX104" s="1"/>
      <c r="KY104" s="1"/>
      <c r="KZ104" s="1"/>
      <c r="LA104" s="1"/>
      <c r="LB104" s="1"/>
      <c r="LC104" s="1"/>
      <c r="LD104" s="1"/>
      <c r="LE104" s="1"/>
      <c r="LF104" s="1"/>
      <c r="LG104" s="1"/>
      <c r="LH104" s="1"/>
      <c r="LI104" s="1"/>
      <c r="LJ104" s="1"/>
      <c r="LK104" s="1"/>
      <c r="LL104" s="1"/>
      <c r="LM104" s="1"/>
      <c r="LN104" s="1"/>
      <c r="LO104" s="1"/>
      <c r="LP104" s="1"/>
      <c r="LQ104" s="1"/>
      <c r="LR104" s="1"/>
      <c r="LS104" s="1"/>
      <c r="LT104" s="1"/>
      <c r="LU104" s="1"/>
      <c r="LV104" s="1"/>
      <c r="LW104" s="1"/>
      <c r="LX104" s="1"/>
      <c r="LY104" s="1"/>
      <c r="LZ104" s="1"/>
      <c r="MA104" s="1"/>
      <c r="MB104" s="1"/>
      <c r="MC104" s="1"/>
      <c r="MD104" s="1"/>
      <c r="ME104" s="1"/>
      <c r="MF104" s="1"/>
      <c r="MG104" s="1"/>
      <c r="MH104" s="1"/>
      <c r="MI104" s="1"/>
      <c r="MJ104" s="1"/>
      <c r="MK104" s="1"/>
      <c r="ML104" s="1"/>
      <c r="MM104" s="1"/>
      <c r="MN104" s="1"/>
      <c r="MO104" s="1"/>
      <c r="MP104" s="1"/>
      <c r="MQ104" s="1"/>
      <c r="MR104" s="1"/>
      <c r="MS104" s="1"/>
      <c r="MT104" s="1"/>
      <c r="MU104" s="1"/>
      <c r="MV104" s="1"/>
      <c r="MW104" s="1"/>
      <c r="MX104" s="1"/>
      <c r="MY104" s="1"/>
      <c r="MZ104" s="1"/>
      <c r="NA104" s="1"/>
      <c r="NB104" s="1"/>
      <c r="NC104" s="1"/>
      <c r="ND104" s="1"/>
      <c r="NE104" s="1"/>
      <c r="NF104" s="1"/>
      <c r="NG104" s="1"/>
      <c r="NH104" s="1"/>
      <c r="NI104" s="1"/>
      <c r="NJ104" s="1"/>
      <c r="NK104" s="1"/>
      <c r="NL104" s="1"/>
      <c r="NM104" s="1"/>
      <c r="NN104" s="1"/>
      <c r="NO104" s="1"/>
      <c r="NP104" s="1"/>
      <c r="NQ104" s="1"/>
      <c r="NR104" s="1"/>
      <c r="NS104" s="1"/>
      <c r="NT104" s="1"/>
      <c r="NU104" s="1"/>
      <c r="NV104" s="1"/>
      <c r="NW104" s="1"/>
      <c r="NX104" s="1"/>
      <c r="NY104" s="1"/>
      <c r="NZ104" s="1"/>
      <c r="OA104" s="1"/>
      <c r="OB104" s="1"/>
      <c r="OC104" s="1"/>
      <c r="OD104" s="1"/>
      <c r="OE104" s="1"/>
      <c r="OF104" s="1"/>
      <c r="OG104" s="1"/>
      <c r="OH104" s="1"/>
      <c r="OI104" s="1"/>
      <c r="OJ104" s="1"/>
      <c r="OK104" s="1"/>
      <c r="OL104" s="1"/>
      <c r="OM104" s="1"/>
      <c r="ON104" s="1"/>
      <c r="OO104" s="1"/>
      <c r="OP104" s="1"/>
      <c r="OQ104" s="1"/>
      <c r="OR104" s="1"/>
      <c r="OS104" s="1"/>
      <c r="OT104" s="1"/>
      <c r="OU104" s="1"/>
      <c r="OV104" s="1"/>
      <c r="OW104" s="1"/>
      <c r="OX104" s="1"/>
      <c r="OY104" s="1"/>
      <c r="OZ104" s="1"/>
      <c r="PA104" s="1"/>
      <c r="PB104" s="1"/>
      <c r="PC104" s="1"/>
      <c r="PD104" s="1"/>
      <c r="PE104" s="1"/>
      <c r="PF104" s="1"/>
      <c r="PG104" s="1"/>
      <c r="PH104" s="1"/>
      <c r="PI104" s="1"/>
      <c r="PJ104" s="1"/>
      <c r="PK104" s="1"/>
      <c r="PL104" s="1"/>
      <c r="PM104" s="1"/>
      <c r="PN104" s="1"/>
      <c r="PO104" s="1"/>
      <c r="PP104" s="1"/>
      <c r="PQ104" s="1"/>
      <c r="PR104" s="1"/>
      <c r="PS104" s="1"/>
      <c r="PT104" s="1"/>
      <c r="PU104" s="1"/>
      <c r="PV104" s="1"/>
      <c r="PW104" s="1"/>
      <c r="PX104" s="1"/>
      <c r="PY104" s="1"/>
      <c r="PZ104" s="1"/>
      <c r="QA104" s="1"/>
      <c r="QB104" s="1"/>
      <c r="QC104" s="1"/>
      <c r="QD104" s="1"/>
      <c r="QE104" s="1"/>
      <c r="QF104" s="1"/>
      <c r="QG104" s="1"/>
      <c r="QH104" s="1"/>
      <c r="QI104" s="1"/>
      <c r="QJ104" s="1"/>
      <c r="QK104" s="1"/>
      <c r="QL104" s="1"/>
      <c r="QM104" s="1"/>
      <c r="QN104" s="1"/>
      <c r="QO104" s="1"/>
      <c r="QP104" s="1"/>
      <c r="QQ104" s="1"/>
      <c r="QR104" s="1"/>
      <c r="QS104" s="1"/>
      <c r="QT104" s="1"/>
      <c r="QU104" s="1"/>
      <c r="QV104" s="1"/>
      <c r="QW104" s="1"/>
      <c r="QX104" s="1"/>
      <c r="QY104" s="1"/>
      <c r="QZ104" s="1"/>
      <c r="RA104" s="1"/>
      <c r="RB104" s="1"/>
      <c r="RC104" s="1"/>
      <c r="RD104" s="1"/>
      <c r="RE104" s="1"/>
      <c r="RF104" s="1"/>
      <c r="RG104" s="1"/>
      <c r="RH104" s="1"/>
      <c r="RI104" s="1"/>
      <c r="RJ104" s="1"/>
      <c r="RK104" s="1"/>
      <c r="RL104" s="1"/>
      <c r="RM104" s="1"/>
      <c r="RN104" s="1"/>
      <c r="RO104" s="1"/>
      <c r="RP104" s="1"/>
      <c r="RQ104" s="1"/>
      <c r="RR104" s="1"/>
      <c r="RS104" s="1"/>
      <c r="RT104" s="1"/>
      <c r="RU104" s="1"/>
      <c r="RV104" s="1"/>
      <c r="RW104" s="1"/>
      <c r="RX104" s="1"/>
      <c r="RY104" s="1"/>
      <c r="RZ104" s="1"/>
      <c r="SA104" s="1"/>
      <c r="SB104" s="1"/>
      <c r="SC104" s="1"/>
      <c r="SD104" s="1"/>
      <c r="SE104" s="1"/>
      <c r="SF104" s="1"/>
      <c r="SG104" s="1"/>
      <c r="SH104" s="1"/>
      <c r="SI104" s="1"/>
      <c r="SJ104" s="1"/>
      <c r="SK104" s="1"/>
      <c r="SL104" s="1"/>
      <c r="SM104" s="1"/>
      <c r="SN104" s="1"/>
      <c r="SO104" s="1"/>
      <c r="SP104" s="1"/>
      <c r="SQ104" s="1"/>
      <c r="SR104" s="1"/>
      <c r="SS104" s="1"/>
      <c r="ST104" s="1"/>
      <c r="SU104" s="1"/>
      <c r="SV104" s="1"/>
      <c r="SW104" s="1"/>
      <c r="SX104" s="1"/>
      <c r="SY104" s="1"/>
      <c r="SZ104" s="1"/>
      <c r="TA104" s="1"/>
      <c r="TB104" s="1"/>
      <c r="TC104" s="1"/>
      <c r="TD104" s="1"/>
      <c r="TE104" s="1"/>
      <c r="TF104" s="1"/>
      <c r="TG104" s="1"/>
      <c r="TH104" s="1"/>
      <c r="TI104" s="1"/>
      <c r="TJ104" s="1"/>
      <c r="TK104" s="1"/>
      <c r="TL104" s="1"/>
      <c r="TM104" s="1"/>
      <c r="TN104" s="1"/>
      <c r="TO104" s="1"/>
      <c r="TP104" s="1"/>
      <c r="TQ104" s="1"/>
      <c r="TR104" s="1"/>
      <c r="TS104" s="1"/>
      <c r="TT104" s="1"/>
      <c r="TU104" s="1"/>
      <c r="TV104" s="1"/>
      <c r="TW104" s="1"/>
      <c r="TX104" s="1"/>
      <c r="TY104" s="1"/>
      <c r="TZ104" s="1"/>
      <c r="UA104" s="1"/>
      <c r="UB104" s="1"/>
      <c r="UC104" s="1"/>
      <c r="UD104" s="1"/>
      <c r="UE104" s="1"/>
      <c r="UF104" s="1"/>
      <c r="UG104" s="1"/>
      <c r="UH104" s="1"/>
      <c r="UI104" s="1"/>
      <c r="UJ104" s="1"/>
      <c r="UK104" s="1"/>
      <c r="UL104" s="1"/>
      <c r="UM104" s="1"/>
      <c r="UN104" s="1"/>
      <c r="UO104" s="1"/>
      <c r="UP104" s="1"/>
      <c r="UQ104" s="1"/>
      <c r="UR104" s="1"/>
      <c r="US104" s="1"/>
      <c r="UT104" s="1"/>
      <c r="UU104" s="1"/>
      <c r="UV104" s="1"/>
      <c r="UW104" s="1"/>
      <c r="UX104" s="1"/>
      <c r="UY104" s="1"/>
      <c r="UZ104" s="1"/>
      <c r="VA104" s="1"/>
      <c r="VB104" s="1"/>
      <c r="VC104" s="1"/>
      <c r="VD104" s="1"/>
      <c r="VE104" s="1"/>
      <c r="VF104" s="1"/>
      <c r="VG104" s="1"/>
      <c r="VH104" s="1"/>
      <c r="VI104" s="1"/>
      <c r="VJ104" s="1"/>
      <c r="VK104" s="1"/>
      <c r="VL104" s="1"/>
      <c r="VM104" s="1"/>
      <c r="VN104" s="1"/>
      <c r="VO104" s="1"/>
      <c r="VP104" s="1"/>
      <c r="VQ104" s="1"/>
      <c r="VR104" s="1"/>
      <c r="VS104" s="1"/>
      <c r="VT104" s="1"/>
      <c r="VU104" s="1"/>
      <c r="VV104" s="1"/>
      <c r="VW104" s="1"/>
      <c r="VX104" s="1"/>
      <c r="VY104" s="1"/>
      <c r="VZ104" s="1"/>
      <c r="WA104" s="1"/>
      <c r="WB104" s="1"/>
      <c r="WC104" s="1"/>
      <c r="WD104" s="1"/>
      <c r="WE104" s="1"/>
      <c r="WF104" s="1"/>
      <c r="WG104" s="1"/>
      <c r="WH104" s="1"/>
      <c r="WI104" s="1"/>
      <c r="WJ104" s="1"/>
      <c r="WK104" s="1"/>
      <c r="WL104" s="1"/>
      <c r="WM104" s="1"/>
      <c r="WN104" s="1"/>
      <c r="WO104" s="1"/>
      <c r="WP104" s="1"/>
      <c r="WQ104" s="1"/>
      <c r="WR104" s="1"/>
      <c r="WS104" s="1"/>
      <c r="WT104" s="1"/>
      <c r="WU104" s="1"/>
      <c r="WV104" s="1"/>
      <c r="WW104" s="1"/>
      <c r="WX104" s="1"/>
      <c r="WY104" s="1"/>
      <c r="WZ104" s="1"/>
      <c r="XA104" s="1"/>
      <c r="XB104" s="1"/>
      <c r="XC104" s="1"/>
      <c r="XD104" s="1"/>
      <c r="XE104" s="1"/>
      <c r="XF104" s="1"/>
      <c r="XG104" s="1"/>
      <c r="XH104" s="1"/>
      <c r="XI104" s="1"/>
      <c r="XJ104" s="1"/>
      <c r="XK104" s="1"/>
      <c r="XL104" s="1"/>
      <c r="XM104" s="1"/>
      <c r="XN104" s="1"/>
      <c r="XO104" s="1"/>
      <c r="XP104" s="1"/>
      <c r="XQ104" s="1"/>
      <c r="XR104" s="1"/>
      <c r="XS104" s="1"/>
      <c r="XT104" s="1"/>
      <c r="XU104" s="1"/>
      <c r="XV104" s="1"/>
      <c r="XW104" s="1"/>
      <c r="XX104" s="1"/>
      <c r="XY104" s="1"/>
      <c r="XZ104" s="1"/>
      <c r="YA104" s="1"/>
      <c r="YB104" s="1"/>
      <c r="YC104" s="1"/>
      <c r="YD104" s="1"/>
      <c r="YE104" s="1"/>
      <c r="YF104" s="1"/>
      <c r="YG104" s="1"/>
      <c r="YH104" s="1"/>
      <c r="YI104" s="1"/>
      <c r="YJ104" s="1"/>
      <c r="YK104" s="1"/>
      <c r="YL104" s="1"/>
      <c r="YM104" s="1"/>
      <c r="YN104" s="1"/>
      <c r="YO104" s="1"/>
      <c r="YP104" s="1"/>
      <c r="YQ104" s="1"/>
      <c r="YR104" s="1"/>
      <c r="YS104" s="1"/>
      <c r="YT104" s="1"/>
      <c r="YU104" s="1"/>
      <c r="YV104" s="1"/>
      <c r="YW104" s="1"/>
      <c r="YX104" s="1"/>
      <c r="YY104" s="1"/>
      <c r="YZ104" s="1"/>
      <c r="ZA104" s="1"/>
      <c r="ZB104" s="1"/>
      <c r="ZC104" s="1"/>
      <c r="ZD104" s="1"/>
      <c r="ZE104" s="1"/>
      <c r="ZF104" s="1"/>
      <c r="ZG104" s="1"/>
      <c r="ZH104" s="1"/>
      <c r="ZI104" s="1"/>
      <c r="ZJ104" s="1"/>
      <c r="ZK104" s="1"/>
      <c r="ZL104" s="1"/>
      <c r="ZM104" s="1"/>
      <c r="ZN104" s="1"/>
      <c r="ZO104" s="1"/>
      <c r="ZP104" s="1"/>
      <c r="ZQ104" s="1"/>
      <c r="ZR104" s="1"/>
      <c r="ZS104" s="1"/>
      <c r="ZT104" s="1"/>
      <c r="ZU104" s="1"/>
      <c r="ZV104" s="1"/>
      <c r="ZW104" s="1"/>
      <c r="ZX104" s="1"/>
      <c r="ZY104" s="1"/>
      <c r="ZZ104" s="1"/>
      <c r="AAA104" s="1"/>
      <c r="AAB104" s="1"/>
      <c r="AAC104" s="1"/>
      <c r="AAD104" s="1"/>
      <c r="AAE104" s="1"/>
      <c r="AAF104" s="1"/>
      <c r="AAG104" s="1"/>
      <c r="AAH104" s="1"/>
      <c r="AAI104" s="1"/>
      <c r="AAJ104" s="1"/>
      <c r="AAK104" s="1"/>
      <c r="AAL104" s="1"/>
      <c r="AAM104" s="1"/>
      <c r="AAN104" s="1"/>
      <c r="AAO104" s="1"/>
      <c r="AAP104" s="1"/>
      <c r="AAQ104" s="1"/>
      <c r="AAR104" s="1"/>
      <c r="AAS104" s="1"/>
      <c r="AAT104" s="1"/>
      <c r="AAU104" s="1"/>
      <c r="AAV104" s="1"/>
      <c r="AAW104" s="1"/>
      <c r="AAX104" s="1"/>
      <c r="AAY104" s="1"/>
      <c r="AAZ104" s="1"/>
      <c r="ABA104" s="1"/>
      <c r="ABB104" s="1"/>
      <c r="ABC104" s="1"/>
      <c r="ABD104" s="1"/>
      <c r="ABE104" s="1"/>
      <c r="ABF104" s="1"/>
      <c r="ABG104" s="1"/>
      <c r="ABH104" s="1"/>
      <c r="ABI104" s="1"/>
      <c r="ABJ104" s="1"/>
      <c r="ABK104" s="1"/>
      <c r="ABL104" s="1"/>
      <c r="ABM104" s="1"/>
      <c r="ABN104" s="1"/>
      <c r="ABO104" s="1"/>
      <c r="ABP104" s="1"/>
      <c r="ABQ104" s="1"/>
      <c r="ABR104" s="1"/>
      <c r="ABS104" s="1"/>
      <c r="ABT104" s="1"/>
      <c r="ABU104" s="1"/>
      <c r="ABV104" s="1"/>
      <c r="ABW104" s="1"/>
      <c r="ABX104" s="1"/>
      <c r="ABY104" s="1"/>
      <c r="ABZ104" s="1"/>
      <c r="ACA104" s="1"/>
      <c r="ACB104" s="1"/>
      <c r="ACC104" s="1"/>
      <c r="ACD104" s="1"/>
      <c r="ACE104" s="1"/>
      <c r="ACF104" s="1"/>
      <c r="ACG104" s="1"/>
      <c r="ACH104" s="1"/>
      <c r="ACI104" s="1"/>
      <c r="ACJ104" s="1"/>
      <c r="ACK104" s="1"/>
      <c r="ACL104" s="1"/>
      <c r="ACM104" s="1"/>
      <c r="ACN104" s="1"/>
      <c r="ACO104" s="1"/>
      <c r="ACP104" s="1"/>
      <c r="ACQ104" s="1"/>
      <c r="ACR104" s="1"/>
      <c r="ACS104" s="1"/>
      <c r="ACT104" s="1"/>
      <c r="ACU104" s="1"/>
      <c r="ACV104" s="1"/>
      <c r="ACW104" s="1"/>
      <c r="ACX104" s="1"/>
      <c r="ACY104" s="1"/>
      <c r="ACZ104" s="1"/>
      <c r="ADA104" s="1"/>
      <c r="ADB104" s="1"/>
      <c r="ADC104" s="1"/>
      <c r="ADD104" s="1"/>
      <c r="ADE104" s="1"/>
      <c r="ADF104" s="1"/>
      <c r="ADG104" s="1"/>
      <c r="ADH104" s="1"/>
      <c r="ADI104" s="1"/>
      <c r="ADJ104" s="1"/>
      <c r="ADK104" s="1"/>
      <c r="ADL104" s="1"/>
      <c r="ADM104" s="1"/>
      <c r="ADN104" s="1"/>
      <c r="ADO104" s="1"/>
      <c r="ADP104" s="1"/>
      <c r="ADQ104" s="1"/>
      <c r="ADR104" s="1"/>
      <c r="ADS104" s="1"/>
      <c r="ADT104" s="1"/>
      <c r="ADU104" s="1"/>
      <c r="ADV104" s="1"/>
      <c r="ADW104" s="1"/>
      <c r="ADX104" s="1"/>
      <c r="ADY104" s="1"/>
      <c r="ADZ104" s="1"/>
      <c r="AEA104" s="1"/>
      <c r="AEB104" s="1"/>
      <c r="AEC104" s="1"/>
      <c r="AED104" s="1"/>
      <c r="AEE104" s="1"/>
      <c r="AEF104" s="1"/>
      <c r="AEG104" s="1"/>
      <c r="AEH104" s="1"/>
      <c r="AEI104" s="1"/>
      <c r="AEJ104" s="1"/>
      <c r="AEK104" s="1"/>
      <c r="AEL104" s="1"/>
      <c r="AEM104" s="1"/>
      <c r="AEN104" s="1"/>
      <c r="AEO104" s="1"/>
      <c r="AEP104" s="1"/>
      <c r="AEQ104" s="1"/>
      <c r="AER104" s="1"/>
      <c r="AES104" s="1"/>
      <c r="AET104" s="1"/>
      <c r="AEU104" s="1"/>
      <c r="AEV104" s="1"/>
      <c r="AEW104" s="1"/>
      <c r="AEX104" s="1"/>
      <c r="AEY104" s="1"/>
      <c r="AEZ104" s="1"/>
      <c r="AFA104" s="1"/>
      <c r="AFB104" s="1"/>
      <c r="AFC104" s="1"/>
      <c r="AFD104" s="1"/>
      <c r="AFE104" s="1"/>
      <c r="AFF104" s="1"/>
      <c r="AFG104" s="1"/>
      <c r="AFH104" s="1"/>
      <c r="AFI104" s="1"/>
      <c r="AFJ104" s="1"/>
      <c r="AFK104" s="1"/>
      <c r="AFL104" s="1"/>
      <c r="AFM104" s="1"/>
      <c r="AFN104" s="1"/>
      <c r="AFO104" s="1"/>
      <c r="AFP104" s="1"/>
      <c r="AFQ104" s="1"/>
      <c r="AFR104" s="1"/>
      <c r="AFS104" s="1"/>
      <c r="AFT104" s="1"/>
      <c r="AFU104" s="1"/>
      <c r="AFV104" s="1"/>
      <c r="AFW104" s="1"/>
      <c r="AFX104" s="1"/>
      <c r="AFY104" s="1"/>
      <c r="AFZ104" s="1"/>
      <c r="AGA104" s="1"/>
      <c r="AGB104" s="1"/>
      <c r="AGC104" s="1"/>
      <c r="AGD104" s="1"/>
      <c r="AGE104" s="1"/>
      <c r="AGF104" s="1"/>
      <c r="AGG104" s="1"/>
      <c r="AGH104" s="1"/>
      <c r="AGI104" s="1"/>
      <c r="AGJ104" s="1"/>
      <c r="AGK104" s="1"/>
      <c r="AGL104" s="1"/>
      <c r="AGM104" s="1"/>
      <c r="AGN104" s="1"/>
      <c r="AGO104" s="1"/>
      <c r="AGP104" s="1"/>
      <c r="AGQ104" s="1"/>
      <c r="AGR104" s="1"/>
      <c r="AGS104" s="1"/>
      <c r="AGT104" s="1"/>
      <c r="AGU104" s="1"/>
      <c r="AGV104" s="1"/>
      <c r="AGW104" s="1"/>
      <c r="AGX104" s="1"/>
      <c r="AGY104" s="1"/>
      <c r="AGZ104" s="1"/>
      <c r="AHA104" s="1"/>
      <c r="AHB104" s="1"/>
      <c r="AHC104" s="1"/>
      <c r="AHD104" s="1"/>
      <c r="AHE104" s="1"/>
      <c r="AHF104" s="1"/>
      <c r="AHG104" s="1"/>
      <c r="AHH104" s="1"/>
      <c r="AHI104" s="1"/>
      <c r="AHJ104" s="1"/>
      <c r="AHK104" s="1"/>
      <c r="AHL104" s="1"/>
      <c r="AHM104" s="1"/>
      <c r="AHN104" s="1"/>
      <c r="AHO104" s="1"/>
      <c r="AHP104" s="1"/>
      <c r="AHQ104" s="1"/>
      <c r="AHR104" s="1"/>
      <c r="AHS104" s="1"/>
      <c r="AHT104" s="1"/>
      <c r="AHU104" s="1"/>
      <c r="AHV104" s="1"/>
      <c r="AHW104" s="1"/>
      <c r="AHX104" s="1"/>
      <c r="AHY104" s="1"/>
    </row>
    <row r="105" spans="1:909" s="5" customFormat="1" ht="21.6" thickTop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A105" s="1"/>
      <c r="KB105" s="1"/>
      <c r="KC105" s="1"/>
      <c r="KD105" s="1"/>
      <c r="KE105" s="1"/>
      <c r="KF105" s="1"/>
      <c r="KG105" s="1"/>
      <c r="KH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KS105" s="1"/>
      <c r="KT105" s="1"/>
      <c r="KU105" s="1"/>
      <c r="KV105" s="1"/>
      <c r="KW105" s="1"/>
      <c r="KX105" s="1"/>
      <c r="KY105" s="1"/>
      <c r="KZ105" s="1"/>
      <c r="LA105" s="1"/>
      <c r="LB105" s="1"/>
      <c r="LC105" s="1"/>
      <c r="LD105" s="1"/>
      <c r="LE105" s="1"/>
      <c r="LF105" s="1"/>
      <c r="LG105" s="1"/>
      <c r="LH105" s="1"/>
      <c r="LI105" s="1"/>
      <c r="LJ105" s="1"/>
      <c r="LK105" s="1"/>
      <c r="LL105" s="1"/>
      <c r="LM105" s="1"/>
      <c r="LN105" s="1"/>
      <c r="LO105" s="1"/>
      <c r="LP105" s="1"/>
      <c r="LQ105" s="1"/>
      <c r="LR105" s="1"/>
      <c r="LS105" s="1"/>
      <c r="LT105" s="1"/>
      <c r="LU105" s="1"/>
      <c r="LV105" s="1"/>
      <c r="LW105" s="1"/>
      <c r="LX105" s="1"/>
      <c r="LY105" s="1"/>
      <c r="LZ105" s="1"/>
      <c r="MA105" s="1"/>
      <c r="MB105" s="1"/>
      <c r="MC105" s="1"/>
      <c r="MD105" s="1"/>
      <c r="ME105" s="1"/>
      <c r="MF105" s="1"/>
      <c r="MG105" s="1"/>
      <c r="MH105" s="1"/>
      <c r="MI105" s="1"/>
      <c r="MJ105" s="1"/>
      <c r="MK105" s="1"/>
      <c r="ML105" s="1"/>
      <c r="MM105" s="1"/>
      <c r="MN105" s="1"/>
      <c r="MO105" s="1"/>
      <c r="MP105" s="1"/>
      <c r="MQ105" s="1"/>
      <c r="MR105" s="1"/>
      <c r="MS105" s="1"/>
      <c r="MT105" s="1"/>
      <c r="MU105" s="1"/>
      <c r="MV105" s="1"/>
      <c r="MW105" s="1"/>
      <c r="MX105" s="1"/>
      <c r="MY105" s="1"/>
      <c r="MZ105" s="1"/>
      <c r="NA105" s="1"/>
      <c r="NB105" s="1"/>
      <c r="NC105" s="1"/>
      <c r="ND105" s="1"/>
      <c r="NE105" s="1"/>
      <c r="NF105" s="1"/>
      <c r="NG105" s="1"/>
      <c r="NH105" s="1"/>
      <c r="NI105" s="1"/>
      <c r="NJ105" s="1"/>
      <c r="NK105" s="1"/>
      <c r="NL105" s="1"/>
      <c r="NM105" s="1"/>
      <c r="NN105" s="1"/>
      <c r="NO105" s="1"/>
      <c r="NP105" s="1"/>
      <c r="NQ105" s="1"/>
      <c r="NR105" s="1"/>
      <c r="NS105" s="1"/>
      <c r="NT105" s="1"/>
      <c r="NU105" s="1"/>
      <c r="NV105" s="1"/>
      <c r="NW105" s="1"/>
      <c r="NX105" s="1"/>
      <c r="NY105" s="1"/>
      <c r="NZ105" s="1"/>
      <c r="OA105" s="1"/>
      <c r="OB105" s="1"/>
      <c r="OC105" s="1"/>
      <c r="OD105" s="1"/>
      <c r="OE105" s="1"/>
      <c r="OF105" s="1"/>
      <c r="OG105" s="1"/>
      <c r="OH105" s="1"/>
      <c r="OI105" s="1"/>
      <c r="OJ105" s="1"/>
      <c r="OK105" s="1"/>
      <c r="OL105" s="1"/>
      <c r="OM105" s="1"/>
      <c r="ON105" s="1"/>
      <c r="OO105" s="1"/>
      <c r="OP105" s="1"/>
      <c r="OQ105" s="1"/>
      <c r="OR105" s="1"/>
      <c r="OS105" s="1"/>
      <c r="OT105" s="1"/>
      <c r="OU105" s="1"/>
      <c r="OV105" s="1"/>
      <c r="OW105" s="1"/>
      <c r="OX105" s="1"/>
      <c r="OY105" s="1"/>
      <c r="OZ105" s="1"/>
      <c r="PA105" s="1"/>
      <c r="PB105" s="1"/>
      <c r="PC105" s="1"/>
      <c r="PD105" s="1"/>
      <c r="PE105" s="1"/>
      <c r="PF105" s="1"/>
      <c r="PG105" s="1"/>
      <c r="PH105" s="1"/>
      <c r="PI105" s="1"/>
      <c r="PJ105" s="1"/>
      <c r="PK105" s="1"/>
      <c r="PL105" s="1"/>
      <c r="PM105" s="1"/>
      <c r="PN105" s="1"/>
      <c r="PO105" s="1"/>
      <c r="PP105" s="1"/>
      <c r="PQ105" s="1"/>
      <c r="PR105" s="1"/>
      <c r="PS105" s="1"/>
      <c r="PT105" s="1"/>
      <c r="PU105" s="1"/>
      <c r="PV105" s="1"/>
      <c r="PW105" s="1"/>
      <c r="PX105" s="1"/>
      <c r="PY105" s="1"/>
      <c r="PZ105" s="1"/>
      <c r="QA105" s="1"/>
      <c r="QB105" s="1"/>
      <c r="QC105" s="1"/>
      <c r="QD105" s="1"/>
      <c r="QE105" s="1"/>
      <c r="QF105" s="1"/>
      <c r="QG105" s="1"/>
      <c r="QH105" s="1"/>
      <c r="QI105" s="1"/>
      <c r="QJ105" s="1"/>
      <c r="QK105" s="1"/>
      <c r="QL105" s="1"/>
      <c r="QM105" s="1"/>
      <c r="QN105" s="1"/>
      <c r="QO105" s="1"/>
      <c r="QP105" s="1"/>
      <c r="QQ105" s="1"/>
      <c r="QR105" s="1"/>
      <c r="QS105" s="1"/>
      <c r="QT105" s="1"/>
      <c r="QU105" s="1"/>
      <c r="QV105" s="1"/>
      <c r="QW105" s="1"/>
      <c r="QX105" s="1"/>
      <c r="QY105" s="1"/>
      <c r="QZ105" s="1"/>
      <c r="RA105" s="1"/>
      <c r="RB105" s="1"/>
      <c r="RC105" s="1"/>
      <c r="RD105" s="1"/>
      <c r="RE105" s="1"/>
      <c r="RF105" s="1"/>
      <c r="RG105" s="1"/>
      <c r="RH105" s="1"/>
      <c r="RI105" s="1"/>
      <c r="RJ105" s="1"/>
      <c r="RK105" s="1"/>
      <c r="RL105" s="1"/>
      <c r="RM105" s="1"/>
      <c r="RN105" s="1"/>
      <c r="RO105" s="1"/>
      <c r="RP105" s="1"/>
      <c r="RQ105" s="1"/>
      <c r="RR105" s="1"/>
      <c r="RS105" s="1"/>
      <c r="RT105" s="1"/>
      <c r="RU105" s="1"/>
      <c r="RV105" s="1"/>
      <c r="RW105" s="1"/>
      <c r="RX105" s="1"/>
      <c r="RY105" s="1"/>
      <c r="RZ105" s="1"/>
      <c r="SA105" s="1"/>
      <c r="SB105" s="1"/>
      <c r="SC105" s="1"/>
      <c r="SD105" s="1"/>
      <c r="SE105" s="1"/>
      <c r="SF105" s="1"/>
      <c r="SG105" s="1"/>
      <c r="SH105" s="1"/>
      <c r="SI105" s="1"/>
      <c r="SJ105" s="1"/>
      <c r="SK105" s="1"/>
      <c r="SL105" s="1"/>
      <c r="SM105" s="1"/>
      <c r="SN105" s="1"/>
      <c r="SO105" s="1"/>
      <c r="SP105" s="1"/>
      <c r="SQ105" s="1"/>
      <c r="SR105" s="1"/>
      <c r="SS105" s="1"/>
      <c r="ST105" s="1"/>
      <c r="SU105" s="1"/>
      <c r="SV105" s="1"/>
      <c r="SW105" s="1"/>
      <c r="SX105" s="1"/>
      <c r="SY105" s="1"/>
      <c r="SZ105" s="1"/>
      <c r="TA105" s="1"/>
      <c r="TB105" s="1"/>
      <c r="TC105" s="1"/>
      <c r="TD105" s="1"/>
      <c r="TE105" s="1"/>
      <c r="TF105" s="1"/>
      <c r="TG105" s="1"/>
      <c r="TH105" s="1"/>
      <c r="TI105" s="1"/>
      <c r="TJ105" s="1"/>
      <c r="TK105" s="1"/>
      <c r="TL105" s="1"/>
      <c r="TM105" s="1"/>
      <c r="TN105" s="1"/>
      <c r="TO105" s="1"/>
      <c r="TP105" s="1"/>
      <c r="TQ105" s="1"/>
      <c r="TR105" s="1"/>
      <c r="TS105" s="1"/>
      <c r="TT105" s="1"/>
      <c r="TU105" s="1"/>
      <c r="TV105" s="1"/>
      <c r="TW105" s="1"/>
      <c r="TX105" s="1"/>
      <c r="TY105" s="1"/>
      <c r="TZ105" s="1"/>
      <c r="UA105" s="1"/>
      <c r="UB105" s="1"/>
      <c r="UC105" s="1"/>
      <c r="UD105" s="1"/>
      <c r="UE105" s="1"/>
      <c r="UF105" s="1"/>
      <c r="UG105" s="1"/>
      <c r="UH105" s="1"/>
      <c r="UI105" s="1"/>
      <c r="UJ105" s="1"/>
      <c r="UK105" s="1"/>
      <c r="UL105" s="1"/>
      <c r="UM105" s="1"/>
      <c r="UN105" s="1"/>
      <c r="UO105" s="1"/>
      <c r="UP105" s="1"/>
      <c r="UQ105" s="1"/>
      <c r="UR105" s="1"/>
      <c r="US105" s="1"/>
      <c r="UT105" s="1"/>
      <c r="UU105" s="1"/>
      <c r="UV105" s="1"/>
      <c r="UW105" s="1"/>
      <c r="UX105" s="1"/>
      <c r="UY105" s="1"/>
      <c r="UZ105" s="1"/>
      <c r="VA105" s="1"/>
      <c r="VB105" s="1"/>
      <c r="VC105" s="1"/>
      <c r="VD105" s="1"/>
      <c r="VE105" s="1"/>
      <c r="VF105" s="1"/>
      <c r="VG105" s="1"/>
      <c r="VH105" s="1"/>
      <c r="VI105" s="1"/>
      <c r="VJ105" s="1"/>
      <c r="VK105" s="1"/>
      <c r="VL105" s="1"/>
      <c r="VM105" s="1"/>
      <c r="VN105" s="1"/>
      <c r="VO105" s="1"/>
      <c r="VP105" s="1"/>
      <c r="VQ105" s="1"/>
      <c r="VR105" s="1"/>
      <c r="VS105" s="1"/>
      <c r="VT105" s="1"/>
      <c r="VU105" s="1"/>
      <c r="VV105" s="1"/>
      <c r="VW105" s="1"/>
      <c r="VX105" s="1"/>
      <c r="VY105" s="1"/>
      <c r="VZ105" s="1"/>
      <c r="WA105" s="1"/>
      <c r="WB105" s="1"/>
      <c r="WC105" s="1"/>
      <c r="WD105" s="1"/>
      <c r="WE105" s="1"/>
      <c r="WF105" s="1"/>
      <c r="WG105" s="1"/>
      <c r="WH105" s="1"/>
      <c r="WI105" s="1"/>
      <c r="WJ105" s="1"/>
      <c r="WK105" s="1"/>
      <c r="WL105" s="1"/>
      <c r="WM105" s="1"/>
      <c r="WN105" s="1"/>
      <c r="WO105" s="1"/>
      <c r="WP105" s="1"/>
      <c r="WQ105" s="1"/>
      <c r="WR105" s="1"/>
      <c r="WS105" s="1"/>
      <c r="WT105" s="1"/>
      <c r="WU105" s="1"/>
      <c r="WV105" s="1"/>
      <c r="WW105" s="1"/>
      <c r="WX105" s="1"/>
      <c r="WY105" s="1"/>
      <c r="WZ105" s="1"/>
      <c r="XA105" s="1"/>
      <c r="XB105" s="1"/>
      <c r="XC105" s="1"/>
      <c r="XD105" s="1"/>
      <c r="XE105" s="1"/>
      <c r="XF105" s="1"/>
      <c r="XG105" s="1"/>
      <c r="XH105" s="1"/>
      <c r="XI105" s="1"/>
      <c r="XJ105" s="1"/>
      <c r="XK105" s="1"/>
      <c r="XL105" s="1"/>
      <c r="XM105" s="1"/>
      <c r="XN105" s="1"/>
      <c r="XO105" s="1"/>
      <c r="XP105" s="1"/>
      <c r="XQ105" s="1"/>
      <c r="XR105" s="1"/>
      <c r="XS105" s="1"/>
      <c r="XT105" s="1"/>
      <c r="XU105" s="1"/>
      <c r="XV105" s="1"/>
      <c r="XW105" s="1"/>
      <c r="XX105" s="1"/>
      <c r="XY105" s="1"/>
      <c r="XZ105" s="1"/>
      <c r="YA105" s="1"/>
      <c r="YB105" s="1"/>
      <c r="YC105" s="1"/>
      <c r="YD105" s="1"/>
      <c r="YE105" s="1"/>
      <c r="YF105" s="1"/>
      <c r="YG105" s="1"/>
      <c r="YH105" s="1"/>
      <c r="YI105" s="1"/>
      <c r="YJ105" s="1"/>
      <c r="YK105" s="1"/>
      <c r="YL105" s="1"/>
      <c r="YM105" s="1"/>
      <c r="YN105" s="1"/>
      <c r="YO105" s="1"/>
      <c r="YP105" s="1"/>
      <c r="YQ105" s="1"/>
      <c r="YR105" s="1"/>
      <c r="YS105" s="1"/>
      <c r="YT105" s="1"/>
      <c r="YU105" s="1"/>
      <c r="YV105" s="1"/>
      <c r="YW105" s="1"/>
      <c r="YX105" s="1"/>
      <c r="YY105" s="1"/>
      <c r="YZ105" s="1"/>
      <c r="ZA105" s="1"/>
      <c r="ZB105" s="1"/>
      <c r="ZC105" s="1"/>
      <c r="ZD105" s="1"/>
      <c r="ZE105" s="1"/>
      <c r="ZF105" s="1"/>
      <c r="ZG105" s="1"/>
      <c r="ZH105" s="1"/>
      <c r="ZI105" s="1"/>
      <c r="ZJ105" s="1"/>
      <c r="ZK105" s="1"/>
      <c r="ZL105" s="1"/>
      <c r="ZM105" s="1"/>
      <c r="ZN105" s="1"/>
      <c r="ZO105" s="1"/>
      <c r="ZP105" s="1"/>
      <c r="ZQ105" s="1"/>
      <c r="ZR105" s="1"/>
      <c r="ZS105" s="1"/>
      <c r="ZT105" s="1"/>
      <c r="ZU105" s="1"/>
      <c r="ZV105" s="1"/>
      <c r="ZW105" s="1"/>
      <c r="ZX105" s="1"/>
      <c r="ZY105" s="1"/>
      <c r="ZZ105" s="1"/>
      <c r="AAA105" s="1"/>
      <c r="AAB105" s="1"/>
      <c r="AAC105" s="1"/>
      <c r="AAD105" s="1"/>
      <c r="AAE105" s="1"/>
      <c r="AAF105" s="1"/>
      <c r="AAG105" s="1"/>
      <c r="AAH105" s="1"/>
      <c r="AAI105" s="1"/>
      <c r="AAJ105" s="1"/>
      <c r="AAK105" s="1"/>
      <c r="AAL105" s="1"/>
      <c r="AAM105" s="1"/>
      <c r="AAN105" s="1"/>
      <c r="AAO105" s="1"/>
      <c r="AAP105" s="1"/>
      <c r="AAQ105" s="1"/>
      <c r="AAR105" s="1"/>
      <c r="AAS105" s="1"/>
      <c r="AAT105" s="1"/>
      <c r="AAU105" s="1"/>
      <c r="AAV105" s="1"/>
      <c r="AAW105" s="1"/>
      <c r="AAX105" s="1"/>
      <c r="AAY105" s="1"/>
      <c r="AAZ105" s="1"/>
      <c r="ABA105" s="1"/>
      <c r="ABB105" s="1"/>
      <c r="ABC105" s="1"/>
      <c r="ABD105" s="1"/>
      <c r="ABE105" s="1"/>
      <c r="ABF105" s="1"/>
      <c r="ABG105" s="1"/>
      <c r="ABH105" s="1"/>
      <c r="ABI105" s="1"/>
      <c r="ABJ105" s="1"/>
      <c r="ABK105" s="1"/>
      <c r="ABL105" s="1"/>
      <c r="ABM105" s="1"/>
      <c r="ABN105" s="1"/>
      <c r="ABO105" s="1"/>
      <c r="ABP105" s="1"/>
      <c r="ABQ105" s="1"/>
      <c r="ABR105" s="1"/>
      <c r="ABS105" s="1"/>
      <c r="ABT105" s="1"/>
      <c r="ABU105" s="1"/>
      <c r="ABV105" s="1"/>
      <c r="ABW105" s="1"/>
      <c r="ABX105" s="1"/>
      <c r="ABY105" s="1"/>
      <c r="ABZ105" s="1"/>
      <c r="ACA105" s="1"/>
      <c r="ACB105" s="1"/>
      <c r="ACC105" s="1"/>
      <c r="ACD105" s="1"/>
      <c r="ACE105" s="1"/>
      <c r="ACF105" s="1"/>
      <c r="ACG105" s="1"/>
      <c r="ACH105" s="1"/>
      <c r="ACI105" s="1"/>
      <c r="ACJ105" s="1"/>
      <c r="ACK105" s="1"/>
      <c r="ACL105" s="1"/>
      <c r="ACM105" s="1"/>
      <c r="ACN105" s="1"/>
      <c r="ACO105" s="1"/>
      <c r="ACP105" s="1"/>
      <c r="ACQ105" s="1"/>
      <c r="ACR105" s="1"/>
      <c r="ACS105" s="1"/>
      <c r="ACT105" s="1"/>
      <c r="ACU105" s="1"/>
      <c r="ACV105" s="1"/>
      <c r="ACW105" s="1"/>
      <c r="ACX105" s="1"/>
      <c r="ACY105" s="1"/>
      <c r="ACZ105" s="1"/>
      <c r="ADA105" s="1"/>
      <c r="ADB105" s="1"/>
      <c r="ADC105" s="1"/>
      <c r="ADD105" s="1"/>
      <c r="ADE105" s="1"/>
      <c r="ADF105" s="1"/>
      <c r="ADG105" s="1"/>
      <c r="ADH105" s="1"/>
      <c r="ADI105" s="1"/>
      <c r="ADJ105" s="1"/>
      <c r="ADK105" s="1"/>
      <c r="ADL105" s="1"/>
      <c r="ADM105" s="1"/>
      <c r="ADN105" s="1"/>
      <c r="ADO105" s="1"/>
      <c r="ADP105" s="1"/>
      <c r="ADQ105" s="1"/>
      <c r="ADR105" s="1"/>
      <c r="ADS105" s="1"/>
      <c r="ADT105" s="1"/>
      <c r="ADU105" s="1"/>
      <c r="ADV105" s="1"/>
      <c r="ADW105" s="1"/>
      <c r="ADX105" s="1"/>
      <c r="ADY105" s="1"/>
      <c r="ADZ105" s="1"/>
      <c r="AEA105" s="1"/>
      <c r="AEB105" s="1"/>
      <c r="AEC105" s="1"/>
      <c r="AED105" s="1"/>
      <c r="AEE105" s="1"/>
      <c r="AEF105" s="1"/>
      <c r="AEG105" s="1"/>
      <c r="AEH105" s="1"/>
      <c r="AEI105" s="1"/>
      <c r="AEJ105" s="1"/>
      <c r="AEK105" s="1"/>
      <c r="AEL105" s="1"/>
      <c r="AEM105" s="1"/>
      <c r="AEN105" s="1"/>
      <c r="AEO105" s="1"/>
      <c r="AEP105" s="1"/>
      <c r="AEQ105" s="1"/>
      <c r="AER105" s="1"/>
      <c r="AES105" s="1"/>
      <c r="AET105" s="1"/>
      <c r="AEU105" s="1"/>
      <c r="AEV105" s="1"/>
      <c r="AEW105" s="1"/>
      <c r="AEX105" s="1"/>
      <c r="AEY105" s="1"/>
      <c r="AEZ105" s="1"/>
      <c r="AFA105" s="1"/>
      <c r="AFB105" s="1"/>
      <c r="AFC105" s="1"/>
      <c r="AFD105" s="1"/>
      <c r="AFE105" s="1"/>
      <c r="AFF105" s="1"/>
      <c r="AFG105" s="1"/>
      <c r="AFH105" s="1"/>
      <c r="AFI105" s="1"/>
      <c r="AFJ105" s="1"/>
      <c r="AFK105" s="1"/>
      <c r="AFL105" s="1"/>
      <c r="AFM105" s="1"/>
      <c r="AFN105" s="1"/>
      <c r="AFO105" s="1"/>
      <c r="AFP105" s="1"/>
      <c r="AFQ105" s="1"/>
      <c r="AFR105" s="1"/>
      <c r="AFS105" s="1"/>
      <c r="AFT105" s="1"/>
      <c r="AFU105" s="1"/>
      <c r="AFV105" s="1"/>
      <c r="AFW105" s="1"/>
      <c r="AFX105" s="1"/>
      <c r="AFY105" s="1"/>
      <c r="AFZ105" s="1"/>
      <c r="AGA105" s="1"/>
      <c r="AGB105" s="1"/>
      <c r="AGC105" s="1"/>
      <c r="AGD105" s="1"/>
      <c r="AGE105" s="1"/>
      <c r="AGF105" s="1"/>
      <c r="AGG105" s="1"/>
      <c r="AGH105" s="1"/>
      <c r="AGI105" s="1"/>
      <c r="AGJ105" s="1"/>
      <c r="AGK105" s="1"/>
      <c r="AGL105" s="1"/>
      <c r="AGM105" s="1"/>
      <c r="AGN105" s="1"/>
      <c r="AGO105" s="1"/>
      <c r="AGP105" s="1"/>
      <c r="AGQ105" s="1"/>
      <c r="AGR105" s="1"/>
      <c r="AGS105" s="1"/>
      <c r="AGT105" s="1"/>
      <c r="AGU105" s="1"/>
      <c r="AGV105" s="1"/>
      <c r="AGW105" s="1"/>
      <c r="AGX105" s="1"/>
      <c r="AGY105" s="1"/>
      <c r="AGZ105" s="1"/>
      <c r="AHA105" s="1"/>
      <c r="AHB105" s="1"/>
      <c r="AHC105" s="1"/>
      <c r="AHD105" s="1"/>
      <c r="AHE105" s="1"/>
      <c r="AHF105" s="1"/>
      <c r="AHG105" s="1"/>
      <c r="AHH105" s="1"/>
      <c r="AHI105" s="1"/>
      <c r="AHJ105" s="1"/>
      <c r="AHK105" s="1"/>
      <c r="AHL105" s="1"/>
      <c r="AHM105" s="1"/>
      <c r="AHN105" s="1"/>
      <c r="AHO105" s="1"/>
      <c r="AHP105" s="1"/>
      <c r="AHQ105" s="1"/>
      <c r="AHR105" s="1"/>
      <c r="AHS105" s="1"/>
      <c r="AHT105" s="1"/>
      <c r="AHU105" s="1"/>
      <c r="AHV105" s="1"/>
      <c r="AHW105" s="1"/>
      <c r="AHX105" s="1"/>
      <c r="AHY105" s="1"/>
    </row>
    <row r="106" spans="1:909" s="1" customFormat="1" ht="21">
      <c r="A106" s="156" t="s">
        <v>135</v>
      </c>
      <c r="B106" s="156"/>
      <c r="C106" s="156"/>
      <c r="D106" s="156"/>
      <c r="E106" s="156"/>
      <c r="F106" s="156"/>
      <c r="G106" s="156"/>
      <c r="H106" s="156"/>
      <c r="I106" s="156"/>
      <c r="J106" s="156"/>
      <c r="K106" s="156"/>
      <c r="L106" s="156"/>
      <c r="M106" s="156"/>
      <c r="N106" s="156"/>
      <c r="O106" s="156"/>
      <c r="P106" s="156"/>
      <c r="Q106" s="2"/>
    </row>
    <row r="107" spans="1:909" s="1" customFormat="1" ht="21">
      <c r="A107" s="156" t="s">
        <v>136</v>
      </c>
      <c r="B107" s="156"/>
      <c r="C107" s="156"/>
      <c r="D107" s="156"/>
      <c r="E107" s="156"/>
      <c r="F107" s="156"/>
      <c r="G107" s="156"/>
      <c r="H107" s="156"/>
      <c r="I107" s="156"/>
      <c r="J107" s="156"/>
      <c r="K107" s="156"/>
      <c r="L107" s="156"/>
      <c r="M107" s="156"/>
      <c r="N107" s="156"/>
      <c r="O107" s="156"/>
      <c r="P107" s="156"/>
      <c r="Q107" s="156"/>
    </row>
    <row r="108" spans="1:909" s="1" customFormat="1" ht="21">
      <c r="A108" s="189" t="s">
        <v>113</v>
      </c>
      <c r="B108" s="189"/>
      <c r="C108" s="189"/>
      <c r="D108" s="189"/>
      <c r="E108" s="189"/>
      <c r="F108" s="189"/>
      <c r="G108" s="189"/>
      <c r="H108" s="189"/>
      <c r="I108" s="189"/>
      <c r="J108" s="189"/>
      <c r="K108" s="189"/>
      <c r="L108" s="189"/>
      <c r="M108" s="189"/>
      <c r="N108" s="189"/>
      <c r="O108" s="189"/>
      <c r="P108" s="189"/>
    </row>
    <row r="109" spans="1:909" s="1" customFormat="1" ht="21.6" thickBot="1">
      <c r="F109" s="13"/>
      <c r="G109" s="13"/>
      <c r="H109" s="13"/>
      <c r="I109" s="13"/>
      <c r="J109" s="13"/>
      <c r="K109" s="13"/>
    </row>
    <row r="110" spans="1:909" s="1" customFormat="1" ht="22.2" thickTop="1" thickBot="1">
      <c r="A110" s="190"/>
      <c r="B110" s="183" t="s">
        <v>114</v>
      </c>
      <c r="C110" s="192"/>
      <c r="D110" s="183" t="s">
        <v>115</v>
      </c>
      <c r="E110" s="192"/>
      <c r="F110" s="183" t="s">
        <v>116</v>
      </c>
      <c r="G110" s="192"/>
      <c r="H110" s="183" t="s">
        <v>117</v>
      </c>
      <c r="I110" s="192"/>
      <c r="J110" s="183" t="s">
        <v>118</v>
      </c>
      <c r="K110" s="192"/>
      <c r="L110" s="183" t="s">
        <v>119</v>
      </c>
      <c r="M110" s="192"/>
      <c r="N110" s="183" t="s">
        <v>120</v>
      </c>
      <c r="O110" s="184"/>
      <c r="P110" s="185"/>
    </row>
    <row r="111" spans="1:909" s="1" customFormat="1" ht="22.2" thickTop="1" thickBot="1">
      <c r="A111" s="191"/>
      <c r="B111" s="4" t="s">
        <v>76</v>
      </c>
      <c r="C111" s="4" t="s">
        <v>121</v>
      </c>
      <c r="D111" s="4" t="s">
        <v>76</v>
      </c>
      <c r="E111" s="4" t="s">
        <v>121</v>
      </c>
      <c r="F111" s="4" t="s">
        <v>76</v>
      </c>
      <c r="G111" s="4" t="s">
        <v>121</v>
      </c>
      <c r="H111" s="4" t="s">
        <v>76</v>
      </c>
      <c r="I111" s="4" t="s">
        <v>121</v>
      </c>
      <c r="J111" s="4" t="s">
        <v>76</v>
      </c>
      <c r="K111" s="4" t="s">
        <v>121</v>
      </c>
      <c r="L111" s="4" t="s">
        <v>76</v>
      </c>
      <c r="M111" s="4" t="s">
        <v>121</v>
      </c>
      <c r="N111" s="4" t="s">
        <v>76</v>
      </c>
      <c r="O111" s="4" t="s">
        <v>121</v>
      </c>
      <c r="P111" s="14" t="s">
        <v>122</v>
      </c>
    </row>
    <row r="112" spans="1:909" s="1" customFormat="1" ht="22.2" thickTop="1" thickBot="1">
      <c r="A112" s="11" t="s">
        <v>123</v>
      </c>
      <c r="B112" s="4">
        <f>'[1]التعليم الابتدائي'!AP344</f>
        <v>0</v>
      </c>
      <c r="C112" s="4">
        <f>'[1]التعليم الابتدائي'!AQ344</f>
        <v>0</v>
      </c>
      <c r="D112" s="177"/>
      <c r="E112" s="178"/>
      <c r="F112" s="178"/>
      <c r="G112" s="178"/>
      <c r="H112" s="178"/>
      <c r="I112" s="178"/>
      <c r="J112" s="178"/>
      <c r="K112" s="178"/>
      <c r="L112" s="178"/>
      <c r="M112" s="186"/>
      <c r="N112" s="4">
        <f>B112</f>
        <v>0</v>
      </c>
      <c r="O112" s="4">
        <f>C112</f>
        <v>0</v>
      </c>
      <c r="P112" s="14">
        <f t="shared" ref="P112:P122" si="6">O112+N112</f>
        <v>0</v>
      </c>
    </row>
    <row r="113" spans="1:17" s="1" customFormat="1" ht="22.2" thickTop="1" thickBot="1">
      <c r="A113" s="11" t="s">
        <v>124</v>
      </c>
      <c r="B113" s="4">
        <f>'[1]التعليم الابتدائي'!AR344</f>
        <v>0</v>
      </c>
      <c r="C113" s="4">
        <f>'[1]التعليم الابتدائي'!AS344</f>
        <v>0</v>
      </c>
      <c r="D113" s="137"/>
      <c r="E113" s="138"/>
      <c r="F113" s="180"/>
      <c r="G113" s="180"/>
      <c r="H113" s="180"/>
      <c r="I113" s="180"/>
      <c r="J113" s="180"/>
      <c r="K113" s="180"/>
      <c r="L113" s="180"/>
      <c r="M113" s="187"/>
      <c r="N113" s="4">
        <f>B113</f>
        <v>0</v>
      </c>
      <c r="O113" s="4">
        <f>C113</f>
        <v>0</v>
      </c>
      <c r="P113" s="14">
        <f t="shared" si="6"/>
        <v>0</v>
      </c>
    </row>
    <row r="114" spans="1:17" s="1" customFormat="1" ht="22.2" thickTop="1" thickBot="1">
      <c r="A114" s="11" t="s">
        <v>125</v>
      </c>
      <c r="B114" s="4">
        <f>'[1]التعليم الابتدائي'!AT344</f>
        <v>0</v>
      </c>
      <c r="C114" s="4">
        <f>'[1]التعليم الابتدائي'!AU344</f>
        <v>0</v>
      </c>
      <c r="D114" s="4">
        <f>'[1]التعليم الابتدائي'!BE344</f>
        <v>0</v>
      </c>
      <c r="E114" s="4">
        <f>'[1]التعليم الابتدائي'!BF344</f>
        <v>0</v>
      </c>
      <c r="F114" s="138"/>
      <c r="G114" s="138"/>
      <c r="H114" s="180"/>
      <c r="I114" s="180"/>
      <c r="J114" s="180"/>
      <c r="K114" s="180"/>
      <c r="L114" s="180"/>
      <c r="M114" s="187"/>
      <c r="N114" s="4">
        <f>D114+B114</f>
        <v>0</v>
      </c>
      <c r="O114" s="4">
        <f>E114+C114</f>
        <v>0</v>
      </c>
      <c r="P114" s="14">
        <f t="shared" si="6"/>
        <v>0</v>
      </c>
    </row>
    <row r="115" spans="1:17" s="1" customFormat="1" ht="22.2" thickTop="1" thickBot="1">
      <c r="A115" s="11" t="s">
        <v>126</v>
      </c>
      <c r="B115" s="4">
        <f>'[1]التعليم الابتدائي'!AV344</f>
        <v>0</v>
      </c>
      <c r="C115" s="4">
        <f>'[1]التعليم الابتدائي'!AW344</f>
        <v>0</v>
      </c>
      <c r="D115" s="4">
        <f>'[1]التعليم الابتدائي'!BG344</f>
        <v>0</v>
      </c>
      <c r="E115" s="4">
        <f>'[1]التعليم الابتدائي'!BH344</f>
        <v>0</v>
      </c>
      <c r="F115" s="4">
        <f>'[1]التعليم الابتدائي'!BR344</f>
        <v>0</v>
      </c>
      <c r="G115" s="4">
        <f>'[1]التعليم الابتدائي'!BS344</f>
        <v>0</v>
      </c>
      <c r="H115" s="138"/>
      <c r="I115" s="138"/>
      <c r="J115" s="180"/>
      <c r="K115" s="180"/>
      <c r="L115" s="180"/>
      <c r="M115" s="187"/>
      <c r="N115" s="4">
        <f>F115+D115+B115</f>
        <v>0</v>
      </c>
      <c r="O115" s="4">
        <f>G115+E115+C115</f>
        <v>0</v>
      </c>
      <c r="P115" s="14">
        <f t="shared" si="6"/>
        <v>0</v>
      </c>
    </row>
    <row r="116" spans="1:17" s="1" customFormat="1" ht="22.2" thickTop="1" thickBot="1">
      <c r="A116" s="11" t="s">
        <v>106</v>
      </c>
      <c r="B116" s="4">
        <f>'[1]التعليم الابتدائي'!AX344</f>
        <v>0</v>
      </c>
      <c r="C116" s="4">
        <f>'[1]التعليم الابتدائي'!AY344</f>
        <v>0</v>
      </c>
      <c r="D116" s="4">
        <f>'[1]التعليم الابتدائي'!BI344</f>
        <v>0</v>
      </c>
      <c r="E116" s="4">
        <f>'[1]التعليم الابتدائي'!BJ344</f>
        <v>0</v>
      </c>
      <c r="F116" s="4">
        <f>'[1]التعليم الابتدائي'!BT344</f>
        <v>0</v>
      </c>
      <c r="G116" s="4">
        <f>'[1]التعليم الابتدائي'!BU344</f>
        <v>0</v>
      </c>
      <c r="H116" s="4">
        <f>'[1]التعليم الابتدائي'!CE344</f>
        <v>0</v>
      </c>
      <c r="I116" s="4">
        <f>'[1]التعليم الابتدائي'!CF344</f>
        <v>0</v>
      </c>
      <c r="J116" s="138"/>
      <c r="K116" s="138"/>
      <c r="L116" s="180"/>
      <c r="M116" s="187"/>
      <c r="N116" s="4">
        <f>B116+D116+F116+H116</f>
        <v>0</v>
      </c>
      <c r="O116" s="4">
        <f>I116+G116+E116+C116</f>
        <v>0</v>
      </c>
      <c r="P116" s="14">
        <f t="shared" si="6"/>
        <v>0</v>
      </c>
    </row>
    <row r="117" spans="1:17" s="1" customFormat="1" ht="22.2" thickTop="1" thickBot="1">
      <c r="A117" s="11" t="s">
        <v>127</v>
      </c>
      <c r="B117" s="4">
        <f>'[1]التعليم الابتدائي'!AZ344</f>
        <v>0</v>
      </c>
      <c r="C117" s="4">
        <f>'[1]التعليم الابتدائي'!BA344</f>
        <v>0</v>
      </c>
      <c r="D117" s="4">
        <f>'[1]التعليم الابتدائي'!BK344</f>
        <v>0</v>
      </c>
      <c r="E117" s="4">
        <f>'[1]التعليم الابتدائي'!BL344</f>
        <v>0</v>
      </c>
      <c r="F117" s="4">
        <f>'[1]التعليم الابتدائي'!BV344</f>
        <v>0</v>
      </c>
      <c r="G117" s="4">
        <f>'[1]التعليم الابتدائي'!BW344</f>
        <v>0</v>
      </c>
      <c r="H117" s="4">
        <f>'[1]التعليم الابتدائي'!CG344</f>
        <v>0</v>
      </c>
      <c r="I117" s="4">
        <f>'[1]التعليم الابتدائي'!CH344</f>
        <v>0</v>
      </c>
      <c r="J117" s="4">
        <f>'[1]التعليم الابتدائي'!CR344</f>
        <v>0</v>
      </c>
      <c r="K117" s="4">
        <f>'[1]التعليم الابتدائي'!CS344</f>
        <v>0</v>
      </c>
      <c r="L117" s="138"/>
      <c r="M117" s="139"/>
      <c r="N117" s="4">
        <f>B117+D117+F117+H117+J117</f>
        <v>0</v>
      </c>
      <c r="O117" s="4">
        <f>K117+I117+G117+E117+C117</f>
        <v>0</v>
      </c>
      <c r="P117" s="14">
        <f t="shared" si="6"/>
        <v>0</v>
      </c>
    </row>
    <row r="118" spans="1:17" s="1" customFormat="1" ht="22.2" thickTop="1" thickBot="1">
      <c r="A118" s="11" t="s">
        <v>128</v>
      </c>
      <c r="B118" s="177"/>
      <c r="C118" s="178"/>
      <c r="D118" s="4">
        <f>'[1]التعليم الابتدائي'!BM344</f>
        <v>0</v>
      </c>
      <c r="E118" s="4">
        <f>'[1]التعليم الابتدائي'!BN344</f>
        <v>0</v>
      </c>
      <c r="F118" s="4">
        <f>'[1]التعليم الابتدائي'!BX344</f>
        <v>0</v>
      </c>
      <c r="G118" s="4">
        <f>'[1]التعليم الابتدائي'!BY344</f>
        <v>0</v>
      </c>
      <c r="H118" s="4">
        <f>'[1]التعليم الابتدائي'!CI344</f>
        <v>0</v>
      </c>
      <c r="I118" s="4">
        <f>'[1]التعليم الابتدائي'!CJ344</f>
        <v>0</v>
      </c>
      <c r="J118" s="4">
        <f>'[1]التعليم الابتدائي'!CT344</f>
        <v>0</v>
      </c>
      <c r="K118" s="4">
        <f>'[1]التعليم الابتدائي'!CU344</f>
        <v>0</v>
      </c>
      <c r="L118" s="4">
        <f>'[1]التعليم الابتدائي'!DE344</f>
        <v>0</v>
      </c>
      <c r="M118" s="4">
        <f>'[1]التعليم الابتدائي'!DF344</f>
        <v>0</v>
      </c>
      <c r="N118" s="4">
        <f>D118+F118+H118+J118+L118</f>
        <v>0</v>
      </c>
      <c r="O118" s="4">
        <f>M118+K118+I118+G118+E118</f>
        <v>0</v>
      </c>
      <c r="P118" s="14">
        <f t="shared" si="6"/>
        <v>0</v>
      </c>
    </row>
    <row r="119" spans="1:17" s="1" customFormat="1" ht="22.2" thickTop="1" thickBot="1">
      <c r="A119" s="11" t="s">
        <v>129</v>
      </c>
      <c r="B119" s="179"/>
      <c r="C119" s="180"/>
      <c r="D119" s="178"/>
      <c r="E119" s="178"/>
      <c r="F119" s="4">
        <f>'[1]التعليم الابتدائي'!BZ344</f>
        <v>0</v>
      </c>
      <c r="G119" s="4">
        <f>'[1]التعليم الابتدائي'!CA344</f>
        <v>0</v>
      </c>
      <c r="H119" s="4">
        <f>'[1]التعليم الابتدائي'!CK344</f>
        <v>0</v>
      </c>
      <c r="I119" s="4">
        <f>'[1]التعليم الابتدائي'!CL344</f>
        <v>0</v>
      </c>
      <c r="J119" s="4">
        <f>'[1]التعليم الابتدائي'!CV344</f>
        <v>0</v>
      </c>
      <c r="K119" s="4">
        <f>'[1]التعليم الابتدائي'!CW344</f>
        <v>0</v>
      </c>
      <c r="L119" s="4">
        <f>'[1]التعليم الابتدائي'!DG344</f>
        <v>0</v>
      </c>
      <c r="M119" s="4">
        <f>'[1]التعليم الابتدائي'!DH344</f>
        <v>0</v>
      </c>
      <c r="N119" s="4">
        <f>L119+J119+H119+F119</f>
        <v>0</v>
      </c>
      <c r="O119" s="4">
        <f>M119+K119+I119+G119</f>
        <v>0</v>
      </c>
      <c r="P119" s="14">
        <f t="shared" si="6"/>
        <v>0</v>
      </c>
    </row>
    <row r="120" spans="1:17" s="1" customFormat="1" ht="22.2" thickTop="1" thickBot="1">
      <c r="A120" s="11" t="s">
        <v>130</v>
      </c>
      <c r="B120" s="179"/>
      <c r="C120" s="180"/>
      <c r="D120" s="180"/>
      <c r="E120" s="180"/>
      <c r="F120" s="178"/>
      <c r="G120" s="178"/>
      <c r="H120" s="4">
        <f>'[1]التعليم الابتدائي'!CM344</f>
        <v>0</v>
      </c>
      <c r="I120" s="4">
        <f>'[1]التعليم الابتدائي'!CN344</f>
        <v>0</v>
      </c>
      <c r="J120" s="4">
        <f>'[1]التعليم الابتدائي'!CX344</f>
        <v>0</v>
      </c>
      <c r="K120" s="4">
        <f>'[1]التعليم الابتدائي'!CY344</f>
        <v>0</v>
      </c>
      <c r="L120" s="4">
        <f>'[1]التعليم الابتدائي'!DI344</f>
        <v>0</v>
      </c>
      <c r="M120" s="4">
        <f>'[1]التعليم الابتدائي'!DJ344</f>
        <v>0</v>
      </c>
      <c r="N120" s="4">
        <f>L120+J120+H120</f>
        <v>0</v>
      </c>
      <c r="O120" s="4">
        <f>M120+K120+I120</f>
        <v>0</v>
      </c>
      <c r="P120" s="14">
        <f t="shared" si="6"/>
        <v>0</v>
      </c>
    </row>
    <row r="121" spans="1:17" s="1" customFormat="1" ht="22.2" thickTop="1" thickBot="1">
      <c r="A121" s="11" t="s">
        <v>131</v>
      </c>
      <c r="B121" s="179"/>
      <c r="C121" s="180"/>
      <c r="D121" s="180"/>
      <c r="E121" s="180"/>
      <c r="F121" s="180"/>
      <c r="G121" s="180"/>
      <c r="H121" s="178"/>
      <c r="I121" s="178"/>
      <c r="J121" s="4">
        <f>'[1]التعليم الابتدائي'!CZ344</f>
        <v>0</v>
      </c>
      <c r="K121" s="4">
        <f>'[1]التعليم الابتدائي'!DA344</f>
        <v>0</v>
      </c>
      <c r="L121" s="4">
        <f>'[1]التعليم الابتدائي'!DK344</f>
        <v>0</v>
      </c>
      <c r="M121" s="4">
        <f>'[1]التعليم الابتدائي'!DL344</f>
        <v>0</v>
      </c>
      <c r="N121" s="4">
        <f>L121+J121</f>
        <v>0</v>
      </c>
      <c r="O121" s="4">
        <f>M121+K121</f>
        <v>0</v>
      </c>
      <c r="P121" s="14">
        <f t="shared" si="6"/>
        <v>0</v>
      </c>
    </row>
    <row r="122" spans="1:17" s="1" customFormat="1" ht="22.2" thickTop="1" thickBot="1">
      <c r="A122" s="11" t="s">
        <v>132</v>
      </c>
      <c r="B122" s="137"/>
      <c r="C122" s="138"/>
      <c r="D122" s="138"/>
      <c r="E122" s="138"/>
      <c r="F122" s="138"/>
      <c r="G122" s="138"/>
      <c r="H122" s="138"/>
      <c r="I122" s="138"/>
      <c r="J122" s="181"/>
      <c r="K122" s="182"/>
      <c r="L122" s="4">
        <f>'[1]التعليم الابتدائي'!DM344</f>
        <v>0</v>
      </c>
      <c r="M122" s="4">
        <f>'[1]التعليم الابتدائي'!DN344</f>
        <v>0</v>
      </c>
      <c r="N122" s="4">
        <f>L122</f>
        <v>0</v>
      </c>
      <c r="O122" s="4">
        <f>M122</f>
        <v>0</v>
      </c>
      <c r="P122" s="14">
        <f t="shared" si="6"/>
        <v>0</v>
      </c>
    </row>
    <row r="123" spans="1:17" s="1" customFormat="1" ht="22.2" thickTop="1" thickBot="1">
      <c r="A123" s="6" t="s">
        <v>122</v>
      </c>
      <c r="B123" s="7">
        <f>SUM(B112:B122)</f>
        <v>0</v>
      </c>
      <c r="C123" s="7">
        <f>SUM(C112:C122)</f>
        <v>0</v>
      </c>
      <c r="D123" s="7">
        <f>D118+D117+D116+D115+D114</f>
        <v>0</v>
      </c>
      <c r="E123" s="7">
        <f t="shared" ref="E123:P123" si="7">SUM(E112:E122)</f>
        <v>0</v>
      </c>
      <c r="F123" s="7">
        <f t="shared" si="7"/>
        <v>0</v>
      </c>
      <c r="G123" s="7">
        <f t="shared" si="7"/>
        <v>0</v>
      </c>
      <c r="H123" s="7">
        <f t="shared" si="7"/>
        <v>0</v>
      </c>
      <c r="I123" s="7">
        <f t="shared" si="7"/>
        <v>0</v>
      </c>
      <c r="J123" s="7">
        <f t="shared" si="7"/>
        <v>0</v>
      </c>
      <c r="K123" s="7">
        <f t="shared" si="7"/>
        <v>0</v>
      </c>
      <c r="L123" s="7">
        <f t="shared" si="7"/>
        <v>0</v>
      </c>
      <c r="M123" s="7">
        <f t="shared" si="7"/>
        <v>0</v>
      </c>
      <c r="N123" s="7">
        <f t="shared" si="7"/>
        <v>0</v>
      </c>
      <c r="O123" s="7">
        <f t="shared" si="7"/>
        <v>0</v>
      </c>
      <c r="P123" s="8">
        <f t="shared" si="7"/>
        <v>0</v>
      </c>
    </row>
    <row r="124" spans="1:17" s="3" customFormat="1" ht="21.6" thickTop="1"/>
    <row r="125" spans="1:17" s="1" customFormat="1" ht="21">
      <c r="A125" s="156" t="s">
        <v>62</v>
      </c>
      <c r="B125" s="156"/>
      <c r="C125" s="156"/>
      <c r="D125" s="156"/>
      <c r="E125" s="156"/>
      <c r="O125" s="2" t="s">
        <v>87</v>
      </c>
      <c r="P125" s="2"/>
      <c r="Q125" s="2"/>
    </row>
    <row r="126" spans="1:17" s="1" customFormat="1" ht="21">
      <c r="A126" s="156" t="s">
        <v>64</v>
      </c>
      <c r="B126" s="156"/>
      <c r="C126" s="156"/>
      <c r="D126" s="156"/>
      <c r="E126" s="156"/>
      <c r="O126" s="2" t="s">
        <v>65</v>
      </c>
      <c r="P126" s="2"/>
      <c r="Q126" s="2"/>
    </row>
    <row r="127" spans="1:17" s="1" customFormat="1" ht="21">
      <c r="A127" s="156" t="s">
        <v>99</v>
      </c>
      <c r="B127" s="156"/>
      <c r="C127" s="156"/>
      <c r="D127" s="156"/>
      <c r="E127" s="156"/>
      <c r="F127" s="156"/>
      <c r="G127" s="156"/>
      <c r="H127" s="156"/>
      <c r="I127" s="156"/>
      <c r="J127" s="156"/>
      <c r="K127" s="156"/>
      <c r="L127" s="156"/>
      <c r="M127" s="156"/>
      <c r="N127" s="156"/>
      <c r="O127" s="156"/>
      <c r="P127" s="156"/>
      <c r="Q127" s="2"/>
    </row>
    <row r="128" spans="1:17" s="1" customFormat="1" ht="21">
      <c r="A128" s="156" t="s">
        <v>136</v>
      </c>
      <c r="B128" s="156"/>
      <c r="C128" s="156"/>
      <c r="D128" s="156"/>
      <c r="E128" s="156"/>
      <c r="F128" s="156"/>
      <c r="G128" s="156"/>
      <c r="H128" s="156"/>
      <c r="I128" s="156"/>
      <c r="J128" s="156"/>
      <c r="K128" s="156"/>
      <c r="L128" s="156"/>
      <c r="M128" s="156"/>
      <c r="N128" s="156"/>
      <c r="O128" s="156"/>
      <c r="P128" s="156"/>
      <c r="Q128" s="156"/>
    </row>
    <row r="129" spans="1:909" s="1" customFormat="1" ht="21">
      <c r="A129" s="156" t="s">
        <v>101</v>
      </c>
      <c r="B129" s="156"/>
      <c r="C129" s="156"/>
      <c r="D129" s="156"/>
      <c r="E129" s="156"/>
      <c r="F129" s="156"/>
      <c r="G129" s="156"/>
      <c r="H129" s="156"/>
      <c r="I129" s="156"/>
      <c r="J129" s="156"/>
      <c r="K129" s="156"/>
      <c r="L129" s="156"/>
      <c r="M129" s="156"/>
      <c r="N129" s="156"/>
      <c r="O129" s="156"/>
      <c r="P129" s="156"/>
      <c r="Q129" s="2"/>
    </row>
    <row r="130" spans="1:909" s="1" customFormat="1" ht="21.6" thickBot="1">
      <c r="G130" s="198"/>
      <c r="H130" s="198"/>
      <c r="I130" s="198"/>
      <c r="J130" s="198"/>
      <c r="K130" s="198"/>
    </row>
    <row r="131" spans="1:909" s="1" customFormat="1" ht="21.6" thickTop="1">
      <c r="A131" s="199"/>
      <c r="B131" s="147" t="s">
        <v>102</v>
      </c>
      <c r="C131" s="149"/>
      <c r="D131" s="147" t="s">
        <v>103</v>
      </c>
      <c r="E131" s="149"/>
      <c r="F131" s="147" t="s">
        <v>104</v>
      </c>
      <c r="G131" s="149"/>
      <c r="H131" s="147" t="s">
        <v>105</v>
      </c>
      <c r="I131" s="149"/>
      <c r="J131" s="147" t="s">
        <v>106</v>
      </c>
      <c r="K131" s="149"/>
      <c r="L131" s="147" t="s">
        <v>107</v>
      </c>
      <c r="M131" s="149"/>
      <c r="N131" s="147" t="s">
        <v>58</v>
      </c>
      <c r="O131" s="148"/>
      <c r="P131" s="201"/>
    </row>
    <row r="132" spans="1:909" s="1" customFormat="1" ht="21.6" thickBot="1">
      <c r="A132" s="200"/>
      <c r="B132" s="137"/>
      <c r="C132" s="139"/>
      <c r="D132" s="137"/>
      <c r="E132" s="139"/>
      <c r="F132" s="137"/>
      <c r="G132" s="139"/>
      <c r="H132" s="137"/>
      <c r="I132" s="139"/>
      <c r="J132" s="137"/>
      <c r="K132" s="139"/>
      <c r="L132" s="137"/>
      <c r="M132" s="139"/>
      <c r="N132" s="137"/>
      <c r="O132" s="138"/>
      <c r="P132" s="202"/>
    </row>
    <row r="133" spans="1:909" s="5" customFormat="1" ht="22.2" thickTop="1" thickBot="1">
      <c r="A133" s="11" t="s">
        <v>108</v>
      </c>
      <c r="B133" s="170">
        <f>'[1]التعليم الابتدائي'!AA346</f>
        <v>0</v>
      </c>
      <c r="C133" s="182"/>
      <c r="D133" s="170">
        <f>'[1]التعليم الابتدائي'!AC346</f>
        <v>0</v>
      </c>
      <c r="E133" s="182"/>
      <c r="F133" s="170">
        <f>'[1]التعليم الابتدائي'!AE346</f>
        <v>0</v>
      </c>
      <c r="G133" s="182"/>
      <c r="H133" s="170">
        <f>'[1]التعليم الابتدائي'!AG346</f>
        <v>0</v>
      </c>
      <c r="I133" s="182"/>
      <c r="J133" s="170">
        <f>'[1]التعليم الابتدائي'!AI346</f>
        <v>0</v>
      </c>
      <c r="K133" s="182"/>
      <c r="L133" s="170">
        <f>'[1]التعليم الابتدائي'!AK346</f>
        <v>0</v>
      </c>
      <c r="M133" s="182"/>
      <c r="N133" s="170">
        <f>L133+J133+H133+F133+D133+B133</f>
        <v>0</v>
      </c>
      <c r="O133" s="181"/>
      <c r="P133" s="193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KA133" s="1"/>
      <c r="KB133" s="1"/>
      <c r="KC133" s="1"/>
      <c r="KD133" s="1"/>
      <c r="KE133" s="1"/>
      <c r="KF133" s="1"/>
      <c r="KG133" s="1"/>
      <c r="KH133" s="1"/>
      <c r="KI133" s="1"/>
      <c r="KJ133" s="1"/>
      <c r="KK133" s="1"/>
      <c r="KL133" s="1"/>
      <c r="KM133" s="1"/>
      <c r="KN133" s="1"/>
      <c r="KO133" s="1"/>
      <c r="KP133" s="1"/>
      <c r="KQ133" s="1"/>
      <c r="KR133" s="1"/>
      <c r="KS133" s="1"/>
      <c r="KT133" s="1"/>
      <c r="KU133" s="1"/>
      <c r="KV133" s="1"/>
      <c r="KW133" s="1"/>
      <c r="KX133" s="1"/>
      <c r="KY133" s="1"/>
      <c r="KZ133" s="1"/>
      <c r="LA133" s="1"/>
      <c r="LB133" s="1"/>
      <c r="LC133" s="1"/>
      <c r="LD133" s="1"/>
      <c r="LE133" s="1"/>
      <c r="LF133" s="1"/>
      <c r="LG133" s="1"/>
      <c r="LH133" s="1"/>
      <c r="LI133" s="1"/>
      <c r="LJ133" s="1"/>
      <c r="LK133" s="1"/>
      <c r="LL133" s="1"/>
      <c r="LM133" s="1"/>
      <c r="LN133" s="1"/>
      <c r="LO133" s="1"/>
      <c r="LP133" s="1"/>
      <c r="LQ133" s="1"/>
      <c r="LR133" s="1"/>
      <c r="LS133" s="1"/>
      <c r="LT133" s="1"/>
      <c r="LU133" s="1"/>
      <c r="LV133" s="1"/>
      <c r="LW133" s="1"/>
      <c r="LX133" s="1"/>
      <c r="LY133" s="1"/>
      <c r="LZ133" s="1"/>
      <c r="MA133" s="1"/>
      <c r="MB133" s="1"/>
      <c r="MC133" s="1"/>
      <c r="MD133" s="1"/>
      <c r="ME133" s="1"/>
      <c r="MF133" s="1"/>
      <c r="MG133" s="1"/>
      <c r="MH133" s="1"/>
      <c r="MI133" s="1"/>
      <c r="MJ133" s="1"/>
      <c r="MK133" s="1"/>
      <c r="ML133" s="1"/>
      <c r="MM133" s="1"/>
      <c r="MN133" s="1"/>
      <c r="MO133" s="1"/>
      <c r="MP133" s="1"/>
      <c r="MQ133" s="1"/>
      <c r="MR133" s="1"/>
      <c r="MS133" s="1"/>
      <c r="MT133" s="1"/>
      <c r="MU133" s="1"/>
      <c r="MV133" s="1"/>
      <c r="MW133" s="1"/>
      <c r="MX133" s="1"/>
      <c r="MY133" s="1"/>
      <c r="MZ133" s="1"/>
      <c r="NA133" s="1"/>
      <c r="NB133" s="1"/>
      <c r="NC133" s="1"/>
      <c r="ND133" s="1"/>
      <c r="NE133" s="1"/>
      <c r="NF133" s="1"/>
      <c r="NG133" s="1"/>
      <c r="NH133" s="1"/>
      <c r="NI133" s="1"/>
      <c r="NJ133" s="1"/>
      <c r="NK133" s="1"/>
      <c r="NL133" s="1"/>
      <c r="NM133" s="1"/>
      <c r="NN133" s="1"/>
      <c r="NO133" s="1"/>
      <c r="NP133" s="1"/>
      <c r="NQ133" s="1"/>
      <c r="NR133" s="1"/>
      <c r="NS133" s="1"/>
      <c r="NT133" s="1"/>
      <c r="NU133" s="1"/>
      <c r="NV133" s="1"/>
      <c r="NW133" s="1"/>
      <c r="NX133" s="1"/>
      <c r="NY133" s="1"/>
      <c r="NZ133" s="1"/>
      <c r="OA133" s="1"/>
      <c r="OB133" s="1"/>
      <c r="OC133" s="1"/>
      <c r="OD133" s="1"/>
      <c r="OE133" s="1"/>
      <c r="OF133" s="1"/>
      <c r="OG133" s="1"/>
      <c r="OH133" s="1"/>
      <c r="OI133" s="1"/>
      <c r="OJ133" s="1"/>
      <c r="OK133" s="1"/>
      <c r="OL133" s="1"/>
      <c r="OM133" s="1"/>
      <c r="ON133" s="1"/>
      <c r="OO133" s="1"/>
      <c r="OP133" s="1"/>
      <c r="OQ133" s="1"/>
      <c r="OR133" s="1"/>
      <c r="OS133" s="1"/>
      <c r="OT133" s="1"/>
      <c r="OU133" s="1"/>
      <c r="OV133" s="1"/>
      <c r="OW133" s="1"/>
      <c r="OX133" s="1"/>
      <c r="OY133" s="1"/>
      <c r="OZ133" s="1"/>
      <c r="PA133" s="1"/>
      <c r="PB133" s="1"/>
      <c r="PC133" s="1"/>
      <c r="PD133" s="1"/>
      <c r="PE133" s="1"/>
      <c r="PF133" s="1"/>
      <c r="PG133" s="1"/>
      <c r="PH133" s="1"/>
      <c r="PI133" s="1"/>
      <c r="PJ133" s="1"/>
      <c r="PK133" s="1"/>
      <c r="PL133" s="1"/>
      <c r="PM133" s="1"/>
      <c r="PN133" s="1"/>
      <c r="PO133" s="1"/>
      <c r="PP133" s="1"/>
      <c r="PQ133" s="1"/>
      <c r="PR133" s="1"/>
      <c r="PS133" s="1"/>
      <c r="PT133" s="1"/>
      <c r="PU133" s="1"/>
      <c r="PV133" s="1"/>
      <c r="PW133" s="1"/>
      <c r="PX133" s="1"/>
      <c r="PY133" s="1"/>
      <c r="PZ133" s="1"/>
      <c r="QA133" s="1"/>
      <c r="QB133" s="1"/>
      <c r="QC133" s="1"/>
      <c r="QD133" s="1"/>
      <c r="QE133" s="1"/>
      <c r="QF133" s="1"/>
      <c r="QG133" s="1"/>
      <c r="QH133" s="1"/>
      <c r="QI133" s="1"/>
      <c r="QJ133" s="1"/>
      <c r="QK133" s="1"/>
      <c r="QL133" s="1"/>
      <c r="QM133" s="1"/>
      <c r="QN133" s="1"/>
      <c r="QO133" s="1"/>
      <c r="QP133" s="1"/>
      <c r="QQ133" s="1"/>
      <c r="QR133" s="1"/>
      <c r="QS133" s="1"/>
      <c r="QT133" s="1"/>
      <c r="QU133" s="1"/>
      <c r="QV133" s="1"/>
      <c r="QW133" s="1"/>
      <c r="QX133" s="1"/>
      <c r="QY133" s="1"/>
      <c r="QZ133" s="1"/>
      <c r="RA133" s="1"/>
      <c r="RB133" s="1"/>
      <c r="RC133" s="1"/>
      <c r="RD133" s="1"/>
      <c r="RE133" s="1"/>
      <c r="RF133" s="1"/>
      <c r="RG133" s="1"/>
      <c r="RH133" s="1"/>
      <c r="RI133" s="1"/>
      <c r="RJ133" s="1"/>
      <c r="RK133" s="1"/>
      <c r="RL133" s="1"/>
      <c r="RM133" s="1"/>
      <c r="RN133" s="1"/>
      <c r="RO133" s="1"/>
      <c r="RP133" s="1"/>
      <c r="RQ133" s="1"/>
      <c r="RR133" s="1"/>
      <c r="RS133" s="1"/>
      <c r="RT133" s="1"/>
      <c r="RU133" s="1"/>
      <c r="RV133" s="1"/>
      <c r="RW133" s="1"/>
      <c r="RX133" s="1"/>
      <c r="RY133" s="1"/>
      <c r="RZ133" s="1"/>
      <c r="SA133" s="1"/>
      <c r="SB133" s="1"/>
      <c r="SC133" s="1"/>
      <c r="SD133" s="1"/>
      <c r="SE133" s="1"/>
      <c r="SF133" s="1"/>
      <c r="SG133" s="1"/>
      <c r="SH133" s="1"/>
      <c r="SI133" s="1"/>
      <c r="SJ133" s="1"/>
      <c r="SK133" s="1"/>
      <c r="SL133" s="1"/>
      <c r="SM133" s="1"/>
      <c r="SN133" s="1"/>
      <c r="SO133" s="1"/>
      <c r="SP133" s="1"/>
      <c r="SQ133" s="1"/>
      <c r="SR133" s="1"/>
      <c r="SS133" s="1"/>
      <c r="ST133" s="1"/>
      <c r="SU133" s="1"/>
      <c r="SV133" s="1"/>
      <c r="SW133" s="1"/>
      <c r="SX133" s="1"/>
      <c r="SY133" s="1"/>
      <c r="SZ133" s="1"/>
      <c r="TA133" s="1"/>
      <c r="TB133" s="1"/>
      <c r="TC133" s="1"/>
      <c r="TD133" s="1"/>
      <c r="TE133" s="1"/>
      <c r="TF133" s="1"/>
      <c r="TG133" s="1"/>
      <c r="TH133" s="1"/>
      <c r="TI133" s="1"/>
      <c r="TJ133" s="1"/>
      <c r="TK133" s="1"/>
      <c r="TL133" s="1"/>
      <c r="TM133" s="1"/>
      <c r="TN133" s="1"/>
      <c r="TO133" s="1"/>
      <c r="TP133" s="1"/>
      <c r="TQ133" s="1"/>
      <c r="TR133" s="1"/>
      <c r="TS133" s="1"/>
      <c r="TT133" s="1"/>
      <c r="TU133" s="1"/>
      <c r="TV133" s="1"/>
      <c r="TW133" s="1"/>
      <c r="TX133" s="1"/>
      <c r="TY133" s="1"/>
      <c r="TZ133" s="1"/>
      <c r="UA133" s="1"/>
      <c r="UB133" s="1"/>
      <c r="UC133" s="1"/>
      <c r="UD133" s="1"/>
      <c r="UE133" s="1"/>
      <c r="UF133" s="1"/>
      <c r="UG133" s="1"/>
      <c r="UH133" s="1"/>
      <c r="UI133" s="1"/>
      <c r="UJ133" s="1"/>
      <c r="UK133" s="1"/>
      <c r="UL133" s="1"/>
      <c r="UM133" s="1"/>
      <c r="UN133" s="1"/>
      <c r="UO133" s="1"/>
      <c r="UP133" s="1"/>
      <c r="UQ133" s="1"/>
      <c r="UR133" s="1"/>
      <c r="US133" s="1"/>
      <c r="UT133" s="1"/>
      <c r="UU133" s="1"/>
      <c r="UV133" s="1"/>
      <c r="UW133" s="1"/>
      <c r="UX133" s="1"/>
      <c r="UY133" s="1"/>
      <c r="UZ133" s="1"/>
      <c r="VA133" s="1"/>
      <c r="VB133" s="1"/>
      <c r="VC133" s="1"/>
      <c r="VD133" s="1"/>
      <c r="VE133" s="1"/>
      <c r="VF133" s="1"/>
      <c r="VG133" s="1"/>
      <c r="VH133" s="1"/>
      <c r="VI133" s="1"/>
      <c r="VJ133" s="1"/>
      <c r="VK133" s="1"/>
      <c r="VL133" s="1"/>
      <c r="VM133" s="1"/>
      <c r="VN133" s="1"/>
      <c r="VO133" s="1"/>
      <c r="VP133" s="1"/>
      <c r="VQ133" s="1"/>
      <c r="VR133" s="1"/>
      <c r="VS133" s="1"/>
      <c r="VT133" s="1"/>
      <c r="VU133" s="1"/>
      <c r="VV133" s="1"/>
      <c r="VW133" s="1"/>
      <c r="VX133" s="1"/>
      <c r="VY133" s="1"/>
      <c r="VZ133" s="1"/>
      <c r="WA133" s="1"/>
      <c r="WB133" s="1"/>
      <c r="WC133" s="1"/>
      <c r="WD133" s="1"/>
      <c r="WE133" s="1"/>
      <c r="WF133" s="1"/>
      <c r="WG133" s="1"/>
      <c r="WH133" s="1"/>
      <c r="WI133" s="1"/>
      <c r="WJ133" s="1"/>
      <c r="WK133" s="1"/>
      <c r="WL133" s="1"/>
      <c r="WM133" s="1"/>
      <c r="WN133" s="1"/>
      <c r="WO133" s="1"/>
      <c r="WP133" s="1"/>
      <c r="WQ133" s="1"/>
      <c r="WR133" s="1"/>
      <c r="WS133" s="1"/>
      <c r="WT133" s="1"/>
      <c r="WU133" s="1"/>
      <c r="WV133" s="1"/>
      <c r="WW133" s="1"/>
      <c r="WX133" s="1"/>
      <c r="WY133" s="1"/>
      <c r="WZ133" s="1"/>
      <c r="XA133" s="1"/>
      <c r="XB133" s="1"/>
      <c r="XC133" s="1"/>
      <c r="XD133" s="1"/>
      <c r="XE133" s="1"/>
      <c r="XF133" s="1"/>
      <c r="XG133" s="1"/>
      <c r="XH133" s="1"/>
      <c r="XI133" s="1"/>
      <c r="XJ133" s="1"/>
      <c r="XK133" s="1"/>
      <c r="XL133" s="1"/>
      <c r="XM133" s="1"/>
      <c r="XN133" s="1"/>
      <c r="XO133" s="1"/>
      <c r="XP133" s="1"/>
      <c r="XQ133" s="1"/>
      <c r="XR133" s="1"/>
      <c r="XS133" s="1"/>
      <c r="XT133" s="1"/>
      <c r="XU133" s="1"/>
      <c r="XV133" s="1"/>
      <c r="XW133" s="1"/>
      <c r="XX133" s="1"/>
      <c r="XY133" s="1"/>
      <c r="XZ133" s="1"/>
      <c r="YA133" s="1"/>
      <c r="YB133" s="1"/>
      <c r="YC133" s="1"/>
      <c r="YD133" s="1"/>
      <c r="YE133" s="1"/>
      <c r="YF133" s="1"/>
      <c r="YG133" s="1"/>
      <c r="YH133" s="1"/>
      <c r="YI133" s="1"/>
      <c r="YJ133" s="1"/>
      <c r="YK133" s="1"/>
      <c r="YL133" s="1"/>
      <c r="YM133" s="1"/>
      <c r="YN133" s="1"/>
      <c r="YO133" s="1"/>
      <c r="YP133" s="1"/>
      <c r="YQ133" s="1"/>
      <c r="YR133" s="1"/>
      <c r="YS133" s="1"/>
      <c r="YT133" s="1"/>
      <c r="YU133" s="1"/>
      <c r="YV133" s="1"/>
      <c r="YW133" s="1"/>
      <c r="YX133" s="1"/>
      <c r="YY133" s="1"/>
      <c r="YZ133" s="1"/>
      <c r="ZA133" s="1"/>
      <c r="ZB133" s="1"/>
      <c r="ZC133" s="1"/>
      <c r="ZD133" s="1"/>
      <c r="ZE133" s="1"/>
      <c r="ZF133" s="1"/>
      <c r="ZG133" s="1"/>
      <c r="ZH133" s="1"/>
      <c r="ZI133" s="1"/>
      <c r="ZJ133" s="1"/>
      <c r="ZK133" s="1"/>
      <c r="ZL133" s="1"/>
      <c r="ZM133" s="1"/>
      <c r="ZN133" s="1"/>
      <c r="ZO133" s="1"/>
      <c r="ZP133" s="1"/>
      <c r="ZQ133" s="1"/>
      <c r="ZR133" s="1"/>
      <c r="ZS133" s="1"/>
      <c r="ZT133" s="1"/>
      <c r="ZU133" s="1"/>
      <c r="ZV133" s="1"/>
      <c r="ZW133" s="1"/>
      <c r="ZX133" s="1"/>
      <c r="ZY133" s="1"/>
      <c r="ZZ133" s="1"/>
      <c r="AAA133" s="1"/>
      <c r="AAB133" s="1"/>
      <c r="AAC133" s="1"/>
      <c r="AAD133" s="1"/>
      <c r="AAE133" s="1"/>
      <c r="AAF133" s="1"/>
      <c r="AAG133" s="1"/>
      <c r="AAH133" s="1"/>
      <c r="AAI133" s="1"/>
      <c r="AAJ133" s="1"/>
      <c r="AAK133" s="1"/>
      <c r="AAL133" s="1"/>
      <c r="AAM133" s="1"/>
      <c r="AAN133" s="1"/>
      <c r="AAO133" s="1"/>
      <c r="AAP133" s="1"/>
      <c r="AAQ133" s="1"/>
      <c r="AAR133" s="1"/>
      <c r="AAS133" s="1"/>
      <c r="AAT133" s="1"/>
      <c r="AAU133" s="1"/>
      <c r="AAV133" s="1"/>
      <c r="AAW133" s="1"/>
      <c r="AAX133" s="1"/>
      <c r="AAY133" s="1"/>
      <c r="AAZ133" s="1"/>
      <c r="ABA133" s="1"/>
      <c r="ABB133" s="1"/>
      <c r="ABC133" s="1"/>
      <c r="ABD133" s="1"/>
      <c r="ABE133" s="1"/>
      <c r="ABF133" s="1"/>
      <c r="ABG133" s="1"/>
      <c r="ABH133" s="1"/>
      <c r="ABI133" s="1"/>
      <c r="ABJ133" s="1"/>
      <c r="ABK133" s="1"/>
      <c r="ABL133" s="1"/>
      <c r="ABM133" s="1"/>
      <c r="ABN133" s="1"/>
      <c r="ABO133" s="1"/>
      <c r="ABP133" s="1"/>
      <c r="ABQ133" s="1"/>
      <c r="ABR133" s="1"/>
      <c r="ABS133" s="1"/>
      <c r="ABT133" s="1"/>
      <c r="ABU133" s="1"/>
      <c r="ABV133" s="1"/>
      <c r="ABW133" s="1"/>
      <c r="ABX133" s="1"/>
      <c r="ABY133" s="1"/>
      <c r="ABZ133" s="1"/>
      <c r="ACA133" s="1"/>
      <c r="ACB133" s="1"/>
      <c r="ACC133" s="1"/>
      <c r="ACD133" s="1"/>
      <c r="ACE133" s="1"/>
      <c r="ACF133" s="1"/>
      <c r="ACG133" s="1"/>
      <c r="ACH133" s="1"/>
      <c r="ACI133" s="1"/>
      <c r="ACJ133" s="1"/>
      <c r="ACK133" s="1"/>
      <c r="ACL133" s="1"/>
      <c r="ACM133" s="1"/>
      <c r="ACN133" s="1"/>
      <c r="ACO133" s="1"/>
      <c r="ACP133" s="1"/>
      <c r="ACQ133" s="1"/>
      <c r="ACR133" s="1"/>
      <c r="ACS133" s="1"/>
      <c r="ACT133" s="1"/>
      <c r="ACU133" s="1"/>
      <c r="ACV133" s="1"/>
      <c r="ACW133" s="1"/>
      <c r="ACX133" s="1"/>
      <c r="ACY133" s="1"/>
      <c r="ACZ133" s="1"/>
      <c r="ADA133" s="1"/>
      <c r="ADB133" s="1"/>
      <c r="ADC133" s="1"/>
      <c r="ADD133" s="1"/>
      <c r="ADE133" s="1"/>
      <c r="ADF133" s="1"/>
      <c r="ADG133" s="1"/>
      <c r="ADH133" s="1"/>
      <c r="ADI133" s="1"/>
      <c r="ADJ133" s="1"/>
      <c r="ADK133" s="1"/>
      <c r="ADL133" s="1"/>
      <c r="ADM133" s="1"/>
      <c r="ADN133" s="1"/>
      <c r="ADO133" s="1"/>
      <c r="ADP133" s="1"/>
      <c r="ADQ133" s="1"/>
      <c r="ADR133" s="1"/>
      <c r="ADS133" s="1"/>
      <c r="ADT133" s="1"/>
      <c r="ADU133" s="1"/>
      <c r="ADV133" s="1"/>
      <c r="ADW133" s="1"/>
      <c r="ADX133" s="1"/>
      <c r="ADY133" s="1"/>
      <c r="ADZ133" s="1"/>
      <c r="AEA133" s="1"/>
      <c r="AEB133" s="1"/>
      <c r="AEC133" s="1"/>
      <c r="AED133" s="1"/>
      <c r="AEE133" s="1"/>
      <c r="AEF133" s="1"/>
      <c r="AEG133" s="1"/>
      <c r="AEH133" s="1"/>
      <c r="AEI133" s="1"/>
      <c r="AEJ133" s="1"/>
      <c r="AEK133" s="1"/>
      <c r="AEL133" s="1"/>
      <c r="AEM133" s="1"/>
      <c r="AEN133" s="1"/>
      <c r="AEO133" s="1"/>
      <c r="AEP133" s="1"/>
      <c r="AEQ133" s="1"/>
      <c r="AER133" s="1"/>
      <c r="AES133" s="1"/>
      <c r="AET133" s="1"/>
      <c r="AEU133" s="1"/>
      <c r="AEV133" s="1"/>
      <c r="AEW133" s="1"/>
      <c r="AEX133" s="1"/>
      <c r="AEY133" s="1"/>
      <c r="AEZ133" s="1"/>
      <c r="AFA133" s="1"/>
      <c r="AFB133" s="1"/>
      <c r="AFC133" s="1"/>
      <c r="AFD133" s="1"/>
      <c r="AFE133" s="1"/>
      <c r="AFF133" s="1"/>
      <c r="AFG133" s="1"/>
      <c r="AFH133" s="1"/>
      <c r="AFI133" s="1"/>
      <c r="AFJ133" s="1"/>
      <c r="AFK133" s="1"/>
      <c r="AFL133" s="1"/>
      <c r="AFM133" s="1"/>
      <c r="AFN133" s="1"/>
      <c r="AFO133" s="1"/>
      <c r="AFP133" s="1"/>
      <c r="AFQ133" s="1"/>
      <c r="AFR133" s="1"/>
      <c r="AFS133" s="1"/>
      <c r="AFT133" s="1"/>
      <c r="AFU133" s="1"/>
      <c r="AFV133" s="1"/>
      <c r="AFW133" s="1"/>
      <c r="AFX133" s="1"/>
      <c r="AFY133" s="1"/>
      <c r="AFZ133" s="1"/>
      <c r="AGA133" s="1"/>
      <c r="AGB133" s="1"/>
      <c r="AGC133" s="1"/>
      <c r="AGD133" s="1"/>
      <c r="AGE133" s="1"/>
      <c r="AGF133" s="1"/>
      <c r="AGG133" s="1"/>
      <c r="AGH133" s="1"/>
      <c r="AGI133" s="1"/>
      <c r="AGJ133" s="1"/>
      <c r="AGK133" s="1"/>
      <c r="AGL133" s="1"/>
      <c r="AGM133" s="1"/>
      <c r="AGN133" s="1"/>
      <c r="AGO133" s="1"/>
      <c r="AGP133" s="1"/>
      <c r="AGQ133" s="1"/>
      <c r="AGR133" s="1"/>
      <c r="AGS133" s="1"/>
      <c r="AGT133" s="1"/>
      <c r="AGU133" s="1"/>
      <c r="AGV133" s="1"/>
      <c r="AGW133" s="1"/>
      <c r="AGX133" s="1"/>
      <c r="AGY133" s="1"/>
      <c r="AGZ133" s="1"/>
      <c r="AHA133" s="1"/>
      <c r="AHB133" s="1"/>
      <c r="AHC133" s="1"/>
      <c r="AHD133" s="1"/>
      <c r="AHE133" s="1"/>
      <c r="AHF133" s="1"/>
      <c r="AHG133" s="1"/>
      <c r="AHH133" s="1"/>
      <c r="AHI133" s="1"/>
      <c r="AHJ133" s="1"/>
      <c r="AHK133" s="1"/>
      <c r="AHL133" s="1"/>
      <c r="AHM133" s="1"/>
      <c r="AHN133" s="1"/>
      <c r="AHO133" s="1"/>
      <c r="AHP133" s="1"/>
      <c r="AHQ133" s="1"/>
      <c r="AHR133" s="1"/>
      <c r="AHS133" s="1"/>
      <c r="AHT133" s="1"/>
      <c r="AHU133" s="1"/>
      <c r="AHV133" s="1"/>
      <c r="AHW133" s="1"/>
      <c r="AHX133" s="1"/>
      <c r="AHY133" s="1"/>
    </row>
    <row r="134" spans="1:909" s="5" customFormat="1" ht="22.2" thickTop="1" thickBot="1">
      <c r="A134" s="11" t="s">
        <v>109</v>
      </c>
      <c r="B134" s="170">
        <f>'[1]التعليم الابتدائي'!AB346</f>
        <v>0</v>
      </c>
      <c r="C134" s="182"/>
      <c r="D134" s="170">
        <f>'[1]التعليم الابتدائي'!AD346</f>
        <v>0</v>
      </c>
      <c r="E134" s="182"/>
      <c r="F134" s="170">
        <f>'[1]التعليم الابتدائي'!AF346</f>
        <v>0</v>
      </c>
      <c r="G134" s="182"/>
      <c r="H134" s="170">
        <f>'[1]التعليم الابتدائي'!AH346</f>
        <v>0</v>
      </c>
      <c r="I134" s="182"/>
      <c r="J134" s="170">
        <f>'[1]التعليم الابتدائي'!AJ346</f>
        <v>0</v>
      </c>
      <c r="K134" s="182"/>
      <c r="L134" s="170">
        <f>'[1]التعليم الابتدائي'!AL346</f>
        <v>0</v>
      </c>
      <c r="M134" s="182"/>
      <c r="N134" s="170">
        <f>L134+J134+H134+F134+D134+B134</f>
        <v>0</v>
      </c>
      <c r="O134" s="181"/>
      <c r="P134" s="193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/>
      <c r="JZ134" s="1"/>
      <c r="KA134" s="1"/>
      <c r="KB134" s="1"/>
      <c r="KC134" s="1"/>
      <c r="KD134" s="1"/>
      <c r="KE134" s="1"/>
      <c r="KF134" s="1"/>
      <c r="KG134" s="1"/>
      <c r="KH134" s="1"/>
      <c r="KI134" s="1"/>
      <c r="KJ134" s="1"/>
      <c r="KK134" s="1"/>
      <c r="KL134" s="1"/>
      <c r="KM134" s="1"/>
      <c r="KN134" s="1"/>
      <c r="KO134" s="1"/>
      <c r="KP134" s="1"/>
      <c r="KQ134" s="1"/>
      <c r="KR134" s="1"/>
      <c r="KS134" s="1"/>
      <c r="KT134" s="1"/>
      <c r="KU134" s="1"/>
      <c r="KV134" s="1"/>
      <c r="KW134" s="1"/>
      <c r="KX134" s="1"/>
      <c r="KY134" s="1"/>
      <c r="KZ134" s="1"/>
      <c r="LA134" s="1"/>
      <c r="LB134" s="1"/>
      <c r="LC134" s="1"/>
      <c r="LD134" s="1"/>
      <c r="LE134" s="1"/>
      <c r="LF134" s="1"/>
      <c r="LG134" s="1"/>
      <c r="LH134" s="1"/>
      <c r="LI134" s="1"/>
      <c r="LJ134" s="1"/>
      <c r="LK134" s="1"/>
      <c r="LL134" s="1"/>
      <c r="LM134" s="1"/>
      <c r="LN134" s="1"/>
      <c r="LO134" s="1"/>
      <c r="LP134" s="1"/>
      <c r="LQ134" s="1"/>
      <c r="LR134" s="1"/>
      <c r="LS134" s="1"/>
      <c r="LT134" s="1"/>
      <c r="LU134" s="1"/>
      <c r="LV134" s="1"/>
      <c r="LW134" s="1"/>
      <c r="LX134" s="1"/>
      <c r="LY134" s="1"/>
      <c r="LZ134" s="1"/>
      <c r="MA134" s="1"/>
      <c r="MB134" s="1"/>
      <c r="MC134" s="1"/>
      <c r="MD134" s="1"/>
      <c r="ME134" s="1"/>
      <c r="MF134" s="1"/>
      <c r="MG134" s="1"/>
      <c r="MH134" s="1"/>
      <c r="MI134" s="1"/>
      <c r="MJ134" s="1"/>
      <c r="MK134" s="1"/>
      <c r="ML134" s="1"/>
      <c r="MM134" s="1"/>
      <c r="MN134" s="1"/>
      <c r="MO134" s="1"/>
      <c r="MP134" s="1"/>
      <c r="MQ134" s="1"/>
      <c r="MR134" s="1"/>
      <c r="MS134" s="1"/>
      <c r="MT134" s="1"/>
      <c r="MU134" s="1"/>
      <c r="MV134" s="1"/>
      <c r="MW134" s="1"/>
      <c r="MX134" s="1"/>
      <c r="MY134" s="1"/>
      <c r="MZ134" s="1"/>
      <c r="NA134" s="1"/>
      <c r="NB134" s="1"/>
      <c r="NC134" s="1"/>
      <c r="ND134" s="1"/>
      <c r="NE134" s="1"/>
      <c r="NF134" s="1"/>
      <c r="NG134" s="1"/>
      <c r="NH134" s="1"/>
      <c r="NI134" s="1"/>
      <c r="NJ134" s="1"/>
      <c r="NK134" s="1"/>
      <c r="NL134" s="1"/>
      <c r="NM134" s="1"/>
      <c r="NN134" s="1"/>
      <c r="NO134" s="1"/>
      <c r="NP134" s="1"/>
      <c r="NQ134" s="1"/>
      <c r="NR134" s="1"/>
      <c r="NS134" s="1"/>
      <c r="NT134" s="1"/>
      <c r="NU134" s="1"/>
      <c r="NV134" s="1"/>
      <c r="NW134" s="1"/>
      <c r="NX134" s="1"/>
      <c r="NY134" s="1"/>
      <c r="NZ134" s="1"/>
      <c r="OA134" s="1"/>
      <c r="OB134" s="1"/>
      <c r="OC134" s="1"/>
      <c r="OD134" s="1"/>
      <c r="OE134" s="1"/>
      <c r="OF134" s="1"/>
      <c r="OG134" s="1"/>
      <c r="OH134" s="1"/>
      <c r="OI134" s="1"/>
      <c r="OJ134" s="1"/>
      <c r="OK134" s="1"/>
      <c r="OL134" s="1"/>
      <c r="OM134" s="1"/>
      <c r="ON134" s="1"/>
      <c r="OO134" s="1"/>
      <c r="OP134" s="1"/>
      <c r="OQ134" s="1"/>
      <c r="OR134" s="1"/>
      <c r="OS134" s="1"/>
      <c r="OT134" s="1"/>
      <c r="OU134" s="1"/>
      <c r="OV134" s="1"/>
      <c r="OW134" s="1"/>
      <c r="OX134" s="1"/>
      <c r="OY134" s="1"/>
      <c r="OZ134" s="1"/>
      <c r="PA134" s="1"/>
      <c r="PB134" s="1"/>
      <c r="PC134" s="1"/>
      <c r="PD134" s="1"/>
      <c r="PE134" s="1"/>
      <c r="PF134" s="1"/>
      <c r="PG134" s="1"/>
      <c r="PH134" s="1"/>
      <c r="PI134" s="1"/>
      <c r="PJ134" s="1"/>
      <c r="PK134" s="1"/>
      <c r="PL134" s="1"/>
      <c r="PM134" s="1"/>
      <c r="PN134" s="1"/>
      <c r="PO134" s="1"/>
      <c r="PP134" s="1"/>
      <c r="PQ134" s="1"/>
      <c r="PR134" s="1"/>
      <c r="PS134" s="1"/>
      <c r="PT134" s="1"/>
      <c r="PU134" s="1"/>
      <c r="PV134" s="1"/>
      <c r="PW134" s="1"/>
      <c r="PX134" s="1"/>
      <c r="PY134" s="1"/>
      <c r="PZ134" s="1"/>
      <c r="QA134" s="1"/>
      <c r="QB134" s="1"/>
      <c r="QC134" s="1"/>
      <c r="QD134" s="1"/>
      <c r="QE134" s="1"/>
      <c r="QF134" s="1"/>
      <c r="QG134" s="1"/>
      <c r="QH134" s="1"/>
      <c r="QI134" s="1"/>
      <c r="QJ134" s="1"/>
      <c r="QK134" s="1"/>
      <c r="QL134" s="1"/>
      <c r="QM134" s="1"/>
      <c r="QN134" s="1"/>
      <c r="QO134" s="1"/>
      <c r="QP134" s="1"/>
      <c r="QQ134" s="1"/>
      <c r="QR134" s="1"/>
      <c r="QS134" s="1"/>
      <c r="QT134" s="1"/>
      <c r="QU134" s="1"/>
      <c r="QV134" s="1"/>
      <c r="QW134" s="1"/>
      <c r="QX134" s="1"/>
      <c r="QY134" s="1"/>
      <c r="QZ134" s="1"/>
      <c r="RA134" s="1"/>
      <c r="RB134" s="1"/>
      <c r="RC134" s="1"/>
      <c r="RD134" s="1"/>
      <c r="RE134" s="1"/>
      <c r="RF134" s="1"/>
      <c r="RG134" s="1"/>
      <c r="RH134" s="1"/>
      <c r="RI134" s="1"/>
      <c r="RJ134" s="1"/>
      <c r="RK134" s="1"/>
      <c r="RL134" s="1"/>
      <c r="RM134" s="1"/>
      <c r="RN134" s="1"/>
      <c r="RO134" s="1"/>
      <c r="RP134" s="1"/>
      <c r="RQ134" s="1"/>
      <c r="RR134" s="1"/>
      <c r="RS134" s="1"/>
      <c r="RT134" s="1"/>
      <c r="RU134" s="1"/>
      <c r="RV134" s="1"/>
      <c r="RW134" s="1"/>
      <c r="RX134" s="1"/>
      <c r="RY134" s="1"/>
      <c r="RZ134" s="1"/>
      <c r="SA134" s="1"/>
      <c r="SB134" s="1"/>
      <c r="SC134" s="1"/>
      <c r="SD134" s="1"/>
      <c r="SE134" s="1"/>
      <c r="SF134" s="1"/>
      <c r="SG134" s="1"/>
      <c r="SH134" s="1"/>
      <c r="SI134" s="1"/>
      <c r="SJ134" s="1"/>
      <c r="SK134" s="1"/>
      <c r="SL134" s="1"/>
      <c r="SM134" s="1"/>
      <c r="SN134" s="1"/>
      <c r="SO134" s="1"/>
      <c r="SP134" s="1"/>
      <c r="SQ134" s="1"/>
      <c r="SR134" s="1"/>
      <c r="SS134" s="1"/>
      <c r="ST134" s="1"/>
      <c r="SU134" s="1"/>
      <c r="SV134" s="1"/>
      <c r="SW134" s="1"/>
      <c r="SX134" s="1"/>
      <c r="SY134" s="1"/>
      <c r="SZ134" s="1"/>
      <c r="TA134" s="1"/>
      <c r="TB134" s="1"/>
      <c r="TC134" s="1"/>
      <c r="TD134" s="1"/>
      <c r="TE134" s="1"/>
      <c r="TF134" s="1"/>
      <c r="TG134" s="1"/>
      <c r="TH134" s="1"/>
      <c r="TI134" s="1"/>
      <c r="TJ134" s="1"/>
      <c r="TK134" s="1"/>
      <c r="TL134" s="1"/>
      <c r="TM134" s="1"/>
      <c r="TN134" s="1"/>
      <c r="TO134" s="1"/>
      <c r="TP134" s="1"/>
      <c r="TQ134" s="1"/>
      <c r="TR134" s="1"/>
      <c r="TS134" s="1"/>
      <c r="TT134" s="1"/>
      <c r="TU134" s="1"/>
      <c r="TV134" s="1"/>
      <c r="TW134" s="1"/>
      <c r="TX134" s="1"/>
      <c r="TY134" s="1"/>
      <c r="TZ134" s="1"/>
      <c r="UA134" s="1"/>
      <c r="UB134" s="1"/>
      <c r="UC134" s="1"/>
      <c r="UD134" s="1"/>
      <c r="UE134" s="1"/>
      <c r="UF134" s="1"/>
      <c r="UG134" s="1"/>
      <c r="UH134" s="1"/>
      <c r="UI134" s="1"/>
      <c r="UJ134" s="1"/>
      <c r="UK134" s="1"/>
      <c r="UL134" s="1"/>
      <c r="UM134" s="1"/>
      <c r="UN134" s="1"/>
      <c r="UO134" s="1"/>
      <c r="UP134" s="1"/>
      <c r="UQ134" s="1"/>
      <c r="UR134" s="1"/>
      <c r="US134" s="1"/>
      <c r="UT134" s="1"/>
      <c r="UU134" s="1"/>
      <c r="UV134" s="1"/>
      <c r="UW134" s="1"/>
      <c r="UX134" s="1"/>
      <c r="UY134" s="1"/>
      <c r="UZ134" s="1"/>
      <c r="VA134" s="1"/>
      <c r="VB134" s="1"/>
      <c r="VC134" s="1"/>
      <c r="VD134" s="1"/>
      <c r="VE134" s="1"/>
      <c r="VF134" s="1"/>
      <c r="VG134" s="1"/>
      <c r="VH134" s="1"/>
      <c r="VI134" s="1"/>
      <c r="VJ134" s="1"/>
      <c r="VK134" s="1"/>
      <c r="VL134" s="1"/>
      <c r="VM134" s="1"/>
      <c r="VN134" s="1"/>
      <c r="VO134" s="1"/>
      <c r="VP134" s="1"/>
      <c r="VQ134" s="1"/>
      <c r="VR134" s="1"/>
      <c r="VS134" s="1"/>
      <c r="VT134" s="1"/>
      <c r="VU134" s="1"/>
      <c r="VV134" s="1"/>
      <c r="VW134" s="1"/>
      <c r="VX134" s="1"/>
      <c r="VY134" s="1"/>
      <c r="VZ134" s="1"/>
      <c r="WA134" s="1"/>
      <c r="WB134" s="1"/>
      <c r="WC134" s="1"/>
      <c r="WD134" s="1"/>
      <c r="WE134" s="1"/>
      <c r="WF134" s="1"/>
      <c r="WG134" s="1"/>
      <c r="WH134" s="1"/>
      <c r="WI134" s="1"/>
      <c r="WJ134" s="1"/>
      <c r="WK134" s="1"/>
      <c r="WL134" s="1"/>
      <c r="WM134" s="1"/>
      <c r="WN134" s="1"/>
      <c r="WO134" s="1"/>
      <c r="WP134" s="1"/>
      <c r="WQ134" s="1"/>
      <c r="WR134" s="1"/>
      <c r="WS134" s="1"/>
      <c r="WT134" s="1"/>
      <c r="WU134" s="1"/>
      <c r="WV134" s="1"/>
      <c r="WW134" s="1"/>
      <c r="WX134" s="1"/>
      <c r="WY134" s="1"/>
      <c r="WZ134" s="1"/>
      <c r="XA134" s="1"/>
      <c r="XB134" s="1"/>
      <c r="XC134" s="1"/>
      <c r="XD134" s="1"/>
      <c r="XE134" s="1"/>
      <c r="XF134" s="1"/>
      <c r="XG134" s="1"/>
      <c r="XH134" s="1"/>
      <c r="XI134" s="1"/>
      <c r="XJ134" s="1"/>
      <c r="XK134" s="1"/>
      <c r="XL134" s="1"/>
      <c r="XM134" s="1"/>
      <c r="XN134" s="1"/>
      <c r="XO134" s="1"/>
      <c r="XP134" s="1"/>
      <c r="XQ134" s="1"/>
      <c r="XR134" s="1"/>
      <c r="XS134" s="1"/>
      <c r="XT134" s="1"/>
      <c r="XU134" s="1"/>
      <c r="XV134" s="1"/>
      <c r="XW134" s="1"/>
      <c r="XX134" s="1"/>
      <c r="XY134" s="1"/>
      <c r="XZ134" s="1"/>
      <c r="YA134" s="1"/>
      <c r="YB134" s="1"/>
      <c r="YC134" s="1"/>
      <c r="YD134" s="1"/>
      <c r="YE134" s="1"/>
      <c r="YF134" s="1"/>
      <c r="YG134" s="1"/>
      <c r="YH134" s="1"/>
      <c r="YI134" s="1"/>
      <c r="YJ134" s="1"/>
      <c r="YK134" s="1"/>
      <c r="YL134" s="1"/>
      <c r="YM134" s="1"/>
      <c r="YN134" s="1"/>
      <c r="YO134" s="1"/>
      <c r="YP134" s="1"/>
      <c r="YQ134" s="1"/>
      <c r="YR134" s="1"/>
      <c r="YS134" s="1"/>
      <c r="YT134" s="1"/>
      <c r="YU134" s="1"/>
      <c r="YV134" s="1"/>
      <c r="YW134" s="1"/>
      <c r="YX134" s="1"/>
      <c r="YY134" s="1"/>
      <c r="YZ134" s="1"/>
      <c r="ZA134" s="1"/>
      <c r="ZB134" s="1"/>
      <c r="ZC134" s="1"/>
      <c r="ZD134" s="1"/>
      <c r="ZE134" s="1"/>
      <c r="ZF134" s="1"/>
      <c r="ZG134" s="1"/>
      <c r="ZH134" s="1"/>
      <c r="ZI134" s="1"/>
      <c r="ZJ134" s="1"/>
      <c r="ZK134" s="1"/>
      <c r="ZL134" s="1"/>
      <c r="ZM134" s="1"/>
      <c r="ZN134" s="1"/>
      <c r="ZO134" s="1"/>
      <c r="ZP134" s="1"/>
      <c r="ZQ134" s="1"/>
      <c r="ZR134" s="1"/>
      <c r="ZS134" s="1"/>
      <c r="ZT134" s="1"/>
      <c r="ZU134" s="1"/>
      <c r="ZV134" s="1"/>
      <c r="ZW134" s="1"/>
      <c r="ZX134" s="1"/>
      <c r="ZY134" s="1"/>
      <c r="ZZ134" s="1"/>
      <c r="AAA134" s="1"/>
      <c r="AAB134" s="1"/>
      <c r="AAC134" s="1"/>
      <c r="AAD134" s="1"/>
      <c r="AAE134" s="1"/>
      <c r="AAF134" s="1"/>
      <c r="AAG134" s="1"/>
      <c r="AAH134" s="1"/>
      <c r="AAI134" s="1"/>
      <c r="AAJ134" s="1"/>
      <c r="AAK134" s="1"/>
      <c r="AAL134" s="1"/>
      <c r="AAM134" s="1"/>
      <c r="AAN134" s="1"/>
      <c r="AAO134" s="1"/>
      <c r="AAP134" s="1"/>
      <c r="AAQ134" s="1"/>
      <c r="AAR134" s="1"/>
      <c r="AAS134" s="1"/>
      <c r="AAT134" s="1"/>
      <c r="AAU134" s="1"/>
      <c r="AAV134" s="1"/>
      <c r="AAW134" s="1"/>
      <c r="AAX134" s="1"/>
      <c r="AAY134" s="1"/>
      <c r="AAZ134" s="1"/>
      <c r="ABA134" s="1"/>
      <c r="ABB134" s="1"/>
      <c r="ABC134" s="1"/>
      <c r="ABD134" s="1"/>
      <c r="ABE134" s="1"/>
      <c r="ABF134" s="1"/>
      <c r="ABG134" s="1"/>
      <c r="ABH134" s="1"/>
      <c r="ABI134" s="1"/>
      <c r="ABJ134" s="1"/>
      <c r="ABK134" s="1"/>
      <c r="ABL134" s="1"/>
      <c r="ABM134" s="1"/>
      <c r="ABN134" s="1"/>
      <c r="ABO134" s="1"/>
      <c r="ABP134" s="1"/>
      <c r="ABQ134" s="1"/>
      <c r="ABR134" s="1"/>
      <c r="ABS134" s="1"/>
      <c r="ABT134" s="1"/>
      <c r="ABU134" s="1"/>
      <c r="ABV134" s="1"/>
      <c r="ABW134" s="1"/>
      <c r="ABX134" s="1"/>
      <c r="ABY134" s="1"/>
      <c r="ABZ134" s="1"/>
      <c r="ACA134" s="1"/>
      <c r="ACB134" s="1"/>
      <c r="ACC134" s="1"/>
      <c r="ACD134" s="1"/>
      <c r="ACE134" s="1"/>
      <c r="ACF134" s="1"/>
      <c r="ACG134" s="1"/>
      <c r="ACH134" s="1"/>
      <c r="ACI134" s="1"/>
      <c r="ACJ134" s="1"/>
      <c r="ACK134" s="1"/>
      <c r="ACL134" s="1"/>
      <c r="ACM134" s="1"/>
      <c r="ACN134" s="1"/>
      <c r="ACO134" s="1"/>
      <c r="ACP134" s="1"/>
      <c r="ACQ134" s="1"/>
      <c r="ACR134" s="1"/>
      <c r="ACS134" s="1"/>
      <c r="ACT134" s="1"/>
      <c r="ACU134" s="1"/>
      <c r="ACV134" s="1"/>
      <c r="ACW134" s="1"/>
      <c r="ACX134" s="1"/>
      <c r="ACY134" s="1"/>
      <c r="ACZ134" s="1"/>
      <c r="ADA134" s="1"/>
      <c r="ADB134" s="1"/>
      <c r="ADC134" s="1"/>
      <c r="ADD134" s="1"/>
      <c r="ADE134" s="1"/>
      <c r="ADF134" s="1"/>
      <c r="ADG134" s="1"/>
      <c r="ADH134" s="1"/>
      <c r="ADI134" s="1"/>
      <c r="ADJ134" s="1"/>
      <c r="ADK134" s="1"/>
      <c r="ADL134" s="1"/>
      <c r="ADM134" s="1"/>
      <c r="ADN134" s="1"/>
      <c r="ADO134" s="1"/>
      <c r="ADP134" s="1"/>
      <c r="ADQ134" s="1"/>
      <c r="ADR134" s="1"/>
      <c r="ADS134" s="1"/>
      <c r="ADT134" s="1"/>
      <c r="ADU134" s="1"/>
      <c r="ADV134" s="1"/>
      <c r="ADW134" s="1"/>
      <c r="ADX134" s="1"/>
      <c r="ADY134" s="1"/>
      <c r="ADZ134" s="1"/>
      <c r="AEA134" s="1"/>
      <c r="AEB134" s="1"/>
      <c r="AEC134" s="1"/>
      <c r="AED134" s="1"/>
      <c r="AEE134" s="1"/>
      <c r="AEF134" s="1"/>
      <c r="AEG134" s="1"/>
      <c r="AEH134" s="1"/>
      <c r="AEI134" s="1"/>
      <c r="AEJ134" s="1"/>
      <c r="AEK134" s="1"/>
      <c r="AEL134" s="1"/>
      <c r="AEM134" s="1"/>
      <c r="AEN134" s="1"/>
      <c r="AEO134" s="1"/>
      <c r="AEP134" s="1"/>
      <c r="AEQ134" s="1"/>
      <c r="AER134" s="1"/>
      <c r="AES134" s="1"/>
      <c r="AET134" s="1"/>
      <c r="AEU134" s="1"/>
      <c r="AEV134" s="1"/>
      <c r="AEW134" s="1"/>
      <c r="AEX134" s="1"/>
      <c r="AEY134" s="1"/>
      <c r="AEZ134" s="1"/>
      <c r="AFA134" s="1"/>
      <c r="AFB134" s="1"/>
      <c r="AFC134" s="1"/>
      <c r="AFD134" s="1"/>
      <c r="AFE134" s="1"/>
      <c r="AFF134" s="1"/>
      <c r="AFG134" s="1"/>
      <c r="AFH134" s="1"/>
      <c r="AFI134" s="1"/>
      <c r="AFJ134" s="1"/>
      <c r="AFK134" s="1"/>
      <c r="AFL134" s="1"/>
      <c r="AFM134" s="1"/>
      <c r="AFN134" s="1"/>
      <c r="AFO134" s="1"/>
      <c r="AFP134" s="1"/>
      <c r="AFQ134" s="1"/>
      <c r="AFR134" s="1"/>
      <c r="AFS134" s="1"/>
      <c r="AFT134" s="1"/>
      <c r="AFU134" s="1"/>
      <c r="AFV134" s="1"/>
      <c r="AFW134" s="1"/>
      <c r="AFX134" s="1"/>
      <c r="AFY134" s="1"/>
      <c r="AFZ134" s="1"/>
      <c r="AGA134" s="1"/>
      <c r="AGB134" s="1"/>
      <c r="AGC134" s="1"/>
      <c r="AGD134" s="1"/>
      <c r="AGE134" s="1"/>
      <c r="AGF134" s="1"/>
      <c r="AGG134" s="1"/>
      <c r="AGH134" s="1"/>
      <c r="AGI134" s="1"/>
      <c r="AGJ134" s="1"/>
      <c r="AGK134" s="1"/>
      <c r="AGL134" s="1"/>
      <c r="AGM134" s="1"/>
      <c r="AGN134" s="1"/>
      <c r="AGO134" s="1"/>
      <c r="AGP134" s="1"/>
      <c r="AGQ134" s="1"/>
      <c r="AGR134" s="1"/>
      <c r="AGS134" s="1"/>
      <c r="AGT134" s="1"/>
      <c r="AGU134" s="1"/>
      <c r="AGV134" s="1"/>
      <c r="AGW134" s="1"/>
      <c r="AGX134" s="1"/>
      <c r="AGY134" s="1"/>
      <c r="AGZ134" s="1"/>
      <c r="AHA134" s="1"/>
      <c r="AHB134" s="1"/>
      <c r="AHC134" s="1"/>
      <c r="AHD134" s="1"/>
      <c r="AHE134" s="1"/>
      <c r="AHF134" s="1"/>
      <c r="AHG134" s="1"/>
      <c r="AHH134" s="1"/>
      <c r="AHI134" s="1"/>
      <c r="AHJ134" s="1"/>
      <c r="AHK134" s="1"/>
      <c r="AHL134" s="1"/>
      <c r="AHM134" s="1"/>
      <c r="AHN134" s="1"/>
      <c r="AHO134" s="1"/>
      <c r="AHP134" s="1"/>
      <c r="AHQ134" s="1"/>
      <c r="AHR134" s="1"/>
      <c r="AHS134" s="1"/>
      <c r="AHT134" s="1"/>
      <c r="AHU134" s="1"/>
      <c r="AHV134" s="1"/>
      <c r="AHW134" s="1"/>
      <c r="AHX134" s="1"/>
      <c r="AHY134" s="1"/>
    </row>
    <row r="135" spans="1:909" s="5" customFormat="1" ht="22.2" thickTop="1" thickBot="1">
      <c r="A135" s="6" t="s">
        <v>110</v>
      </c>
      <c r="B135" s="194">
        <f>SUM(B133:B134)</f>
        <v>0</v>
      </c>
      <c r="C135" s="195"/>
      <c r="D135" s="194">
        <f>SUM(D133:D134)</f>
        <v>0</v>
      </c>
      <c r="E135" s="195"/>
      <c r="F135" s="194">
        <f>SUM(F133:F134)</f>
        <v>0</v>
      </c>
      <c r="G135" s="195"/>
      <c r="H135" s="194">
        <f>SUM(H133:H134)</f>
        <v>0</v>
      </c>
      <c r="I135" s="195"/>
      <c r="J135" s="194">
        <f>SUM(J133:J134)</f>
        <v>0</v>
      </c>
      <c r="K135" s="195"/>
      <c r="L135" s="194">
        <f>SUM(L133:L134)</f>
        <v>0</v>
      </c>
      <c r="M135" s="195"/>
      <c r="N135" s="194">
        <f>L135+J135+H135+F135+D135+B135</f>
        <v>0</v>
      </c>
      <c r="O135" s="196"/>
      <c r="P135" s="197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/>
      <c r="JT135" s="1"/>
      <c r="JU135" s="1"/>
      <c r="JV135" s="1"/>
      <c r="JW135" s="1"/>
      <c r="JX135" s="1"/>
      <c r="JY135" s="1"/>
      <c r="JZ135" s="1"/>
      <c r="KA135" s="1"/>
      <c r="KB135" s="1"/>
      <c r="KC135" s="1"/>
      <c r="KD135" s="1"/>
      <c r="KE135" s="1"/>
      <c r="KF135" s="1"/>
      <c r="KG135" s="1"/>
      <c r="KH135" s="1"/>
      <c r="KI135" s="1"/>
      <c r="KJ135" s="1"/>
      <c r="KK135" s="1"/>
      <c r="KL135" s="1"/>
      <c r="KM135" s="1"/>
      <c r="KN135" s="1"/>
      <c r="KO135" s="1"/>
      <c r="KP135" s="1"/>
      <c r="KQ135" s="1"/>
      <c r="KR135" s="1"/>
      <c r="KS135" s="1"/>
      <c r="KT135" s="1"/>
      <c r="KU135" s="1"/>
      <c r="KV135" s="1"/>
      <c r="KW135" s="1"/>
      <c r="KX135" s="1"/>
      <c r="KY135" s="1"/>
      <c r="KZ135" s="1"/>
      <c r="LA135" s="1"/>
      <c r="LB135" s="1"/>
      <c r="LC135" s="1"/>
      <c r="LD135" s="1"/>
      <c r="LE135" s="1"/>
      <c r="LF135" s="1"/>
      <c r="LG135" s="1"/>
      <c r="LH135" s="1"/>
      <c r="LI135" s="1"/>
      <c r="LJ135" s="1"/>
      <c r="LK135" s="1"/>
      <c r="LL135" s="1"/>
      <c r="LM135" s="1"/>
      <c r="LN135" s="1"/>
      <c r="LO135" s="1"/>
      <c r="LP135" s="1"/>
      <c r="LQ135" s="1"/>
      <c r="LR135" s="1"/>
      <c r="LS135" s="1"/>
      <c r="LT135" s="1"/>
      <c r="LU135" s="1"/>
      <c r="LV135" s="1"/>
      <c r="LW135" s="1"/>
      <c r="LX135" s="1"/>
      <c r="LY135" s="1"/>
      <c r="LZ135" s="1"/>
      <c r="MA135" s="1"/>
      <c r="MB135" s="1"/>
      <c r="MC135" s="1"/>
      <c r="MD135" s="1"/>
      <c r="ME135" s="1"/>
      <c r="MF135" s="1"/>
      <c r="MG135" s="1"/>
      <c r="MH135" s="1"/>
      <c r="MI135" s="1"/>
      <c r="MJ135" s="1"/>
      <c r="MK135" s="1"/>
      <c r="ML135" s="1"/>
      <c r="MM135" s="1"/>
      <c r="MN135" s="1"/>
      <c r="MO135" s="1"/>
      <c r="MP135" s="1"/>
      <c r="MQ135" s="1"/>
      <c r="MR135" s="1"/>
      <c r="MS135" s="1"/>
      <c r="MT135" s="1"/>
      <c r="MU135" s="1"/>
      <c r="MV135" s="1"/>
      <c r="MW135" s="1"/>
      <c r="MX135" s="1"/>
      <c r="MY135" s="1"/>
      <c r="MZ135" s="1"/>
      <c r="NA135" s="1"/>
      <c r="NB135" s="1"/>
      <c r="NC135" s="1"/>
      <c r="ND135" s="1"/>
      <c r="NE135" s="1"/>
      <c r="NF135" s="1"/>
      <c r="NG135" s="1"/>
      <c r="NH135" s="1"/>
      <c r="NI135" s="1"/>
      <c r="NJ135" s="1"/>
      <c r="NK135" s="1"/>
      <c r="NL135" s="1"/>
      <c r="NM135" s="1"/>
      <c r="NN135" s="1"/>
      <c r="NO135" s="1"/>
      <c r="NP135" s="1"/>
      <c r="NQ135" s="1"/>
      <c r="NR135" s="1"/>
      <c r="NS135" s="1"/>
      <c r="NT135" s="1"/>
      <c r="NU135" s="1"/>
      <c r="NV135" s="1"/>
      <c r="NW135" s="1"/>
      <c r="NX135" s="1"/>
      <c r="NY135" s="1"/>
      <c r="NZ135" s="1"/>
      <c r="OA135" s="1"/>
      <c r="OB135" s="1"/>
      <c r="OC135" s="1"/>
      <c r="OD135" s="1"/>
      <c r="OE135" s="1"/>
      <c r="OF135" s="1"/>
      <c r="OG135" s="1"/>
      <c r="OH135" s="1"/>
      <c r="OI135" s="1"/>
      <c r="OJ135" s="1"/>
      <c r="OK135" s="1"/>
      <c r="OL135" s="1"/>
      <c r="OM135" s="1"/>
      <c r="ON135" s="1"/>
      <c r="OO135" s="1"/>
      <c r="OP135" s="1"/>
      <c r="OQ135" s="1"/>
      <c r="OR135" s="1"/>
      <c r="OS135" s="1"/>
      <c r="OT135" s="1"/>
      <c r="OU135" s="1"/>
      <c r="OV135" s="1"/>
      <c r="OW135" s="1"/>
      <c r="OX135" s="1"/>
      <c r="OY135" s="1"/>
      <c r="OZ135" s="1"/>
      <c r="PA135" s="1"/>
      <c r="PB135" s="1"/>
      <c r="PC135" s="1"/>
      <c r="PD135" s="1"/>
      <c r="PE135" s="1"/>
      <c r="PF135" s="1"/>
      <c r="PG135" s="1"/>
      <c r="PH135" s="1"/>
      <c r="PI135" s="1"/>
      <c r="PJ135" s="1"/>
      <c r="PK135" s="1"/>
      <c r="PL135" s="1"/>
      <c r="PM135" s="1"/>
      <c r="PN135" s="1"/>
      <c r="PO135" s="1"/>
      <c r="PP135" s="1"/>
      <c r="PQ135" s="1"/>
      <c r="PR135" s="1"/>
      <c r="PS135" s="1"/>
      <c r="PT135" s="1"/>
      <c r="PU135" s="1"/>
      <c r="PV135" s="1"/>
      <c r="PW135" s="1"/>
      <c r="PX135" s="1"/>
      <c r="PY135" s="1"/>
      <c r="PZ135" s="1"/>
      <c r="QA135" s="1"/>
      <c r="QB135" s="1"/>
      <c r="QC135" s="1"/>
      <c r="QD135" s="1"/>
      <c r="QE135" s="1"/>
      <c r="QF135" s="1"/>
      <c r="QG135" s="1"/>
      <c r="QH135" s="1"/>
      <c r="QI135" s="1"/>
      <c r="QJ135" s="1"/>
      <c r="QK135" s="1"/>
      <c r="QL135" s="1"/>
      <c r="QM135" s="1"/>
      <c r="QN135" s="1"/>
      <c r="QO135" s="1"/>
      <c r="QP135" s="1"/>
      <c r="QQ135" s="1"/>
      <c r="QR135" s="1"/>
      <c r="QS135" s="1"/>
      <c r="QT135" s="1"/>
      <c r="QU135" s="1"/>
      <c r="QV135" s="1"/>
      <c r="QW135" s="1"/>
      <c r="QX135" s="1"/>
      <c r="QY135" s="1"/>
      <c r="QZ135" s="1"/>
      <c r="RA135" s="1"/>
      <c r="RB135" s="1"/>
      <c r="RC135" s="1"/>
      <c r="RD135" s="1"/>
      <c r="RE135" s="1"/>
      <c r="RF135" s="1"/>
      <c r="RG135" s="1"/>
      <c r="RH135" s="1"/>
      <c r="RI135" s="1"/>
      <c r="RJ135" s="1"/>
      <c r="RK135" s="1"/>
      <c r="RL135" s="1"/>
      <c r="RM135" s="1"/>
      <c r="RN135" s="1"/>
      <c r="RO135" s="1"/>
      <c r="RP135" s="1"/>
      <c r="RQ135" s="1"/>
      <c r="RR135" s="1"/>
      <c r="RS135" s="1"/>
      <c r="RT135" s="1"/>
      <c r="RU135" s="1"/>
      <c r="RV135" s="1"/>
      <c r="RW135" s="1"/>
      <c r="RX135" s="1"/>
      <c r="RY135" s="1"/>
      <c r="RZ135" s="1"/>
      <c r="SA135" s="1"/>
      <c r="SB135" s="1"/>
      <c r="SC135" s="1"/>
      <c r="SD135" s="1"/>
      <c r="SE135" s="1"/>
      <c r="SF135" s="1"/>
      <c r="SG135" s="1"/>
      <c r="SH135" s="1"/>
      <c r="SI135" s="1"/>
      <c r="SJ135" s="1"/>
      <c r="SK135" s="1"/>
      <c r="SL135" s="1"/>
      <c r="SM135" s="1"/>
      <c r="SN135" s="1"/>
      <c r="SO135" s="1"/>
      <c r="SP135" s="1"/>
      <c r="SQ135" s="1"/>
      <c r="SR135" s="1"/>
      <c r="SS135" s="1"/>
      <c r="ST135" s="1"/>
      <c r="SU135" s="1"/>
      <c r="SV135" s="1"/>
      <c r="SW135" s="1"/>
      <c r="SX135" s="1"/>
      <c r="SY135" s="1"/>
      <c r="SZ135" s="1"/>
      <c r="TA135" s="1"/>
      <c r="TB135" s="1"/>
      <c r="TC135" s="1"/>
      <c r="TD135" s="1"/>
      <c r="TE135" s="1"/>
      <c r="TF135" s="1"/>
      <c r="TG135" s="1"/>
      <c r="TH135" s="1"/>
      <c r="TI135" s="1"/>
      <c r="TJ135" s="1"/>
      <c r="TK135" s="1"/>
      <c r="TL135" s="1"/>
      <c r="TM135" s="1"/>
      <c r="TN135" s="1"/>
      <c r="TO135" s="1"/>
      <c r="TP135" s="1"/>
      <c r="TQ135" s="1"/>
      <c r="TR135" s="1"/>
      <c r="TS135" s="1"/>
      <c r="TT135" s="1"/>
      <c r="TU135" s="1"/>
      <c r="TV135" s="1"/>
      <c r="TW135" s="1"/>
      <c r="TX135" s="1"/>
      <c r="TY135" s="1"/>
      <c r="TZ135" s="1"/>
      <c r="UA135" s="1"/>
      <c r="UB135" s="1"/>
      <c r="UC135" s="1"/>
      <c r="UD135" s="1"/>
      <c r="UE135" s="1"/>
      <c r="UF135" s="1"/>
      <c r="UG135" s="1"/>
      <c r="UH135" s="1"/>
      <c r="UI135" s="1"/>
      <c r="UJ135" s="1"/>
      <c r="UK135" s="1"/>
      <c r="UL135" s="1"/>
      <c r="UM135" s="1"/>
      <c r="UN135" s="1"/>
      <c r="UO135" s="1"/>
      <c r="UP135" s="1"/>
      <c r="UQ135" s="1"/>
      <c r="UR135" s="1"/>
      <c r="US135" s="1"/>
      <c r="UT135" s="1"/>
      <c r="UU135" s="1"/>
      <c r="UV135" s="1"/>
      <c r="UW135" s="1"/>
      <c r="UX135" s="1"/>
      <c r="UY135" s="1"/>
      <c r="UZ135" s="1"/>
      <c r="VA135" s="1"/>
      <c r="VB135" s="1"/>
      <c r="VC135" s="1"/>
      <c r="VD135" s="1"/>
      <c r="VE135" s="1"/>
      <c r="VF135" s="1"/>
      <c r="VG135" s="1"/>
      <c r="VH135" s="1"/>
      <c r="VI135" s="1"/>
      <c r="VJ135" s="1"/>
      <c r="VK135" s="1"/>
      <c r="VL135" s="1"/>
      <c r="VM135" s="1"/>
      <c r="VN135" s="1"/>
      <c r="VO135" s="1"/>
      <c r="VP135" s="1"/>
      <c r="VQ135" s="1"/>
      <c r="VR135" s="1"/>
      <c r="VS135" s="1"/>
      <c r="VT135" s="1"/>
      <c r="VU135" s="1"/>
      <c r="VV135" s="1"/>
      <c r="VW135" s="1"/>
      <c r="VX135" s="1"/>
      <c r="VY135" s="1"/>
      <c r="VZ135" s="1"/>
      <c r="WA135" s="1"/>
      <c r="WB135" s="1"/>
      <c r="WC135" s="1"/>
      <c r="WD135" s="1"/>
      <c r="WE135" s="1"/>
      <c r="WF135" s="1"/>
      <c r="WG135" s="1"/>
      <c r="WH135" s="1"/>
      <c r="WI135" s="1"/>
      <c r="WJ135" s="1"/>
      <c r="WK135" s="1"/>
      <c r="WL135" s="1"/>
      <c r="WM135" s="1"/>
      <c r="WN135" s="1"/>
      <c r="WO135" s="1"/>
      <c r="WP135" s="1"/>
      <c r="WQ135" s="1"/>
      <c r="WR135" s="1"/>
      <c r="WS135" s="1"/>
      <c r="WT135" s="1"/>
      <c r="WU135" s="1"/>
      <c r="WV135" s="1"/>
      <c r="WW135" s="1"/>
      <c r="WX135" s="1"/>
      <c r="WY135" s="1"/>
      <c r="WZ135" s="1"/>
      <c r="XA135" s="1"/>
      <c r="XB135" s="1"/>
      <c r="XC135" s="1"/>
      <c r="XD135" s="1"/>
      <c r="XE135" s="1"/>
      <c r="XF135" s="1"/>
      <c r="XG135" s="1"/>
      <c r="XH135" s="1"/>
      <c r="XI135" s="1"/>
      <c r="XJ135" s="1"/>
      <c r="XK135" s="1"/>
      <c r="XL135" s="1"/>
      <c r="XM135" s="1"/>
      <c r="XN135" s="1"/>
      <c r="XO135" s="1"/>
      <c r="XP135" s="1"/>
      <c r="XQ135" s="1"/>
      <c r="XR135" s="1"/>
      <c r="XS135" s="1"/>
      <c r="XT135" s="1"/>
      <c r="XU135" s="1"/>
      <c r="XV135" s="1"/>
      <c r="XW135" s="1"/>
      <c r="XX135" s="1"/>
      <c r="XY135" s="1"/>
      <c r="XZ135" s="1"/>
      <c r="YA135" s="1"/>
      <c r="YB135" s="1"/>
      <c r="YC135" s="1"/>
      <c r="YD135" s="1"/>
      <c r="YE135" s="1"/>
      <c r="YF135" s="1"/>
      <c r="YG135" s="1"/>
      <c r="YH135" s="1"/>
      <c r="YI135" s="1"/>
      <c r="YJ135" s="1"/>
      <c r="YK135" s="1"/>
      <c r="YL135" s="1"/>
      <c r="YM135" s="1"/>
      <c r="YN135" s="1"/>
      <c r="YO135" s="1"/>
      <c r="YP135" s="1"/>
      <c r="YQ135" s="1"/>
      <c r="YR135" s="1"/>
      <c r="YS135" s="1"/>
      <c r="YT135" s="1"/>
      <c r="YU135" s="1"/>
      <c r="YV135" s="1"/>
      <c r="YW135" s="1"/>
      <c r="YX135" s="1"/>
      <c r="YY135" s="1"/>
      <c r="YZ135" s="1"/>
      <c r="ZA135" s="1"/>
      <c r="ZB135" s="1"/>
      <c r="ZC135" s="1"/>
      <c r="ZD135" s="1"/>
      <c r="ZE135" s="1"/>
      <c r="ZF135" s="1"/>
      <c r="ZG135" s="1"/>
      <c r="ZH135" s="1"/>
      <c r="ZI135" s="1"/>
      <c r="ZJ135" s="1"/>
      <c r="ZK135" s="1"/>
      <c r="ZL135" s="1"/>
      <c r="ZM135" s="1"/>
      <c r="ZN135" s="1"/>
      <c r="ZO135" s="1"/>
      <c r="ZP135" s="1"/>
      <c r="ZQ135" s="1"/>
      <c r="ZR135" s="1"/>
      <c r="ZS135" s="1"/>
      <c r="ZT135" s="1"/>
      <c r="ZU135" s="1"/>
      <c r="ZV135" s="1"/>
      <c r="ZW135" s="1"/>
      <c r="ZX135" s="1"/>
      <c r="ZY135" s="1"/>
      <c r="ZZ135" s="1"/>
      <c r="AAA135" s="1"/>
      <c r="AAB135" s="1"/>
      <c r="AAC135" s="1"/>
      <c r="AAD135" s="1"/>
      <c r="AAE135" s="1"/>
      <c r="AAF135" s="1"/>
      <c r="AAG135" s="1"/>
      <c r="AAH135" s="1"/>
      <c r="AAI135" s="1"/>
      <c r="AAJ135" s="1"/>
      <c r="AAK135" s="1"/>
      <c r="AAL135" s="1"/>
      <c r="AAM135" s="1"/>
      <c r="AAN135" s="1"/>
      <c r="AAO135" s="1"/>
      <c r="AAP135" s="1"/>
      <c r="AAQ135" s="1"/>
      <c r="AAR135" s="1"/>
      <c r="AAS135" s="1"/>
      <c r="AAT135" s="1"/>
      <c r="AAU135" s="1"/>
      <c r="AAV135" s="1"/>
      <c r="AAW135" s="1"/>
      <c r="AAX135" s="1"/>
      <c r="AAY135" s="1"/>
      <c r="AAZ135" s="1"/>
      <c r="ABA135" s="1"/>
      <c r="ABB135" s="1"/>
      <c r="ABC135" s="1"/>
      <c r="ABD135" s="1"/>
      <c r="ABE135" s="1"/>
      <c r="ABF135" s="1"/>
      <c r="ABG135" s="1"/>
      <c r="ABH135" s="1"/>
      <c r="ABI135" s="1"/>
      <c r="ABJ135" s="1"/>
      <c r="ABK135" s="1"/>
      <c r="ABL135" s="1"/>
      <c r="ABM135" s="1"/>
      <c r="ABN135" s="1"/>
      <c r="ABO135" s="1"/>
      <c r="ABP135" s="1"/>
      <c r="ABQ135" s="1"/>
      <c r="ABR135" s="1"/>
      <c r="ABS135" s="1"/>
      <c r="ABT135" s="1"/>
      <c r="ABU135" s="1"/>
      <c r="ABV135" s="1"/>
      <c r="ABW135" s="1"/>
      <c r="ABX135" s="1"/>
      <c r="ABY135" s="1"/>
      <c r="ABZ135" s="1"/>
      <c r="ACA135" s="1"/>
      <c r="ACB135" s="1"/>
      <c r="ACC135" s="1"/>
      <c r="ACD135" s="1"/>
      <c r="ACE135" s="1"/>
      <c r="ACF135" s="1"/>
      <c r="ACG135" s="1"/>
      <c r="ACH135" s="1"/>
      <c r="ACI135" s="1"/>
      <c r="ACJ135" s="1"/>
      <c r="ACK135" s="1"/>
      <c r="ACL135" s="1"/>
      <c r="ACM135" s="1"/>
      <c r="ACN135" s="1"/>
      <c r="ACO135" s="1"/>
      <c r="ACP135" s="1"/>
      <c r="ACQ135" s="1"/>
      <c r="ACR135" s="1"/>
      <c r="ACS135" s="1"/>
      <c r="ACT135" s="1"/>
      <c r="ACU135" s="1"/>
      <c r="ACV135" s="1"/>
      <c r="ACW135" s="1"/>
      <c r="ACX135" s="1"/>
      <c r="ACY135" s="1"/>
      <c r="ACZ135" s="1"/>
      <c r="ADA135" s="1"/>
      <c r="ADB135" s="1"/>
      <c r="ADC135" s="1"/>
      <c r="ADD135" s="1"/>
      <c r="ADE135" s="1"/>
      <c r="ADF135" s="1"/>
      <c r="ADG135" s="1"/>
      <c r="ADH135" s="1"/>
      <c r="ADI135" s="1"/>
      <c r="ADJ135" s="1"/>
      <c r="ADK135" s="1"/>
      <c r="ADL135" s="1"/>
      <c r="ADM135" s="1"/>
      <c r="ADN135" s="1"/>
      <c r="ADO135" s="1"/>
      <c r="ADP135" s="1"/>
      <c r="ADQ135" s="1"/>
      <c r="ADR135" s="1"/>
      <c r="ADS135" s="1"/>
      <c r="ADT135" s="1"/>
      <c r="ADU135" s="1"/>
      <c r="ADV135" s="1"/>
      <c r="ADW135" s="1"/>
      <c r="ADX135" s="1"/>
      <c r="ADY135" s="1"/>
      <c r="ADZ135" s="1"/>
      <c r="AEA135" s="1"/>
      <c r="AEB135" s="1"/>
      <c r="AEC135" s="1"/>
      <c r="AED135" s="1"/>
      <c r="AEE135" s="1"/>
      <c r="AEF135" s="1"/>
      <c r="AEG135" s="1"/>
      <c r="AEH135" s="1"/>
      <c r="AEI135" s="1"/>
      <c r="AEJ135" s="1"/>
      <c r="AEK135" s="1"/>
      <c r="AEL135" s="1"/>
      <c r="AEM135" s="1"/>
      <c r="AEN135" s="1"/>
      <c r="AEO135" s="1"/>
      <c r="AEP135" s="1"/>
      <c r="AEQ135" s="1"/>
      <c r="AER135" s="1"/>
      <c r="AES135" s="1"/>
      <c r="AET135" s="1"/>
      <c r="AEU135" s="1"/>
      <c r="AEV135" s="1"/>
      <c r="AEW135" s="1"/>
      <c r="AEX135" s="1"/>
      <c r="AEY135" s="1"/>
      <c r="AEZ135" s="1"/>
      <c r="AFA135" s="1"/>
      <c r="AFB135" s="1"/>
      <c r="AFC135" s="1"/>
      <c r="AFD135" s="1"/>
      <c r="AFE135" s="1"/>
      <c r="AFF135" s="1"/>
      <c r="AFG135" s="1"/>
      <c r="AFH135" s="1"/>
      <c r="AFI135" s="1"/>
      <c r="AFJ135" s="1"/>
      <c r="AFK135" s="1"/>
      <c r="AFL135" s="1"/>
      <c r="AFM135" s="1"/>
      <c r="AFN135" s="1"/>
      <c r="AFO135" s="1"/>
      <c r="AFP135" s="1"/>
      <c r="AFQ135" s="1"/>
      <c r="AFR135" s="1"/>
      <c r="AFS135" s="1"/>
      <c r="AFT135" s="1"/>
      <c r="AFU135" s="1"/>
      <c r="AFV135" s="1"/>
      <c r="AFW135" s="1"/>
      <c r="AFX135" s="1"/>
      <c r="AFY135" s="1"/>
      <c r="AFZ135" s="1"/>
      <c r="AGA135" s="1"/>
      <c r="AGB135" s="1"/>
      <c r="AGC135" s="1"/>
      <c r="AGD135" s="1"/>
      <c r="AGE135" s="1"/>
      <c r="AGF135" s="1"/>
      <c r="AGG135" s="1"/>
      <c r="AGH135" s="1"/>
      <c r="AGI135" s="1"/>
      <c r="AGJ135" s="1"/>
      <c r="AGK135" s="1"/>
      <c r="AGL135" s="1"/>
      <c r="AGM135" s="1"/>
      <c r="AGN135" s="1"/>
      <c r="AGO135" s="1"/>
      <c r="AGP135" s="1"/>
      <c r="AGQ135" s="1"/>
      <c r="AGR135" s="1"/>
      <c r="AGS135" s="1"/>
      <c r="AGT135" s="1"/>
      <c r="AGU135" s="1"/>
      <c r="AGV135" s="1"/>
      <c r="AGW135" s="1"/>
      <c r="AGX135" s="1"/>
      <c r="AGY135" s="1"/>
      <c r="AGZ135" s="1"/>
      <c r="AHA135" s="1"/>
      <c r="AHB135" s="1"/>
      <c r="AHC135" s="1"/>
      <c r="AHD135" s="1"/>
      <c r="AHE135" s="1"/>
      <c r="AHF135" s="1"/>
      <c r="AHG135" s="1"/>
      <c r="AHH135" s="1"/>
      <c r="AHI135" s="1"/>
      <c r="AHJ135" s="1"/>
      <c r="AHK135" s="1"/>
      <c r="AHL135" s="1"/>
      <c r="AHM135" s="1"/>
      <c r="AHN135" s="1"/>
      <c r="AHO135" s="1"/>
      <c r="AHP135" s="1"/>
      <c r="AHQ135" s="1"/>
      <c r="AHR135" s="1"/>
      <c r="AHS135" s="1"/>
      <c r="AHT135" s="1"/>
      <c r="AHU135" s="1"/>
      <c r="AHV135" s="1"/>
      <c r="AHW135" s="1"/>
      <c r="AHX135" s="1"/>
      <c r="AHY135" s="1"/>
    </row>
    <row r="136" spans="1:909" s="5" customFormat="1" ht="21.6" thickTop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/>
      <c r="JY136" s="1"/>
      <c r="JZ136" s="1"/>
      <c r="KA136" s="1"/>
      <c r="KB136" s="1"/>
      <c r="KC136" s="1"/>
      <c r="KD136" s="1"/>
      <c r="KE136" s="1"/>
      <c r="KF136" s="1"/>
      <c r="KG136" s="1"/>
      <c r="KH136" s="1"/>
      <c r="KI136" s="1"/>
      <c r="KJ136" s="1"/>
      <c r="KK136" s="1"/>
      <c r="KL136" s="1"/>
      <c r="KM136" s="1"/>
      <c r="KN136" s="1"/>
      <c r="KO136" s="1"/>
      <c r="KP136" s="1"/>
      <c r="KQ136" s="1"/>
      <c r="KR136" s="1"/>
      <c r="KS136" s="1"/>
      <c r="KT136" s="1"/>
      <c r="KU136" s="1"/>
      <c r="KV136" s="1"/>
      <c r="KW136" s="1"/>
      <c r="KX136" s="1"/>
      <c r="KY136" s="1"/>
      <c r="KZ136" s="1"/>
      <c r="LA136" s="1"/>
      <c r="LB136" s="1"/>
      <c r="LC136" s="1"/>
      <c r="LD136" s="1"/>
      <c r="LE136" s="1"/>
      <c r="LF136" s="1"/>
      <c r="LG136" s="1"/>
      <c r="LH136" s="1"/>
      <c r="LI136" s="1"/>
      <c r="LJ136" s="1"/>
      <c r="LK136" s="1"/>
      <c r="LL136" s="1"/>
      <c r="LM136" s="1"/>
      <c r="LN136" s="1"/>
      <c r="LO136" s="1"/>
      <c r="LP136" s="1"/>
      <c r="LQ136" s="1"/>
      <c r="LR136" s="1"/>
      <c r="LS136" s="1"/>
      <c r="LT136" s="1"/>
      <c r="LU136" s="1"/>
      <c r="LV136" s="1"/>
      <c r="LW136" s="1"/>
      <c r="LX136" s="1"/>
      <c r="LY136" s="1"/>
      <c r="LZ136" s="1"/>
      <c r="MA136" s="1"/>
      <c r="MB136" s="1"/>
      <c r="MC136" s="1"/>
      <c r="MD136" s="1"/>
      <c r="ME136" s="1"/>
      <c r="MF136" s="1"/>
      <c r="MG136" s="1"/>
      <c r="MH136" s="1"/>
      <c r="MI136" s="1"/>
      <c r="MJ136" s="1"/>
      <c r="MK136" s="1"/>
      <c r="ML136" s="1"/>
      <c r="MM136" s="1"/>
      <c r="MN136" s="1"/>
      <c r="MO136" s="1"/>
      <c r="MP136" s="1"/>
      <c r="MQ136" s="1"/>
      <c r="MR136" s="1"/>
      <c r="MS136" s="1"/>
      <c r="MT136" s="1"/>
      <c r="MU136" s="1"/>
      <c r="MV136" s="1"/>
      <c r="MW136" s="1"/>
      <c r="MX136" s="1"/>
      <c r="MY136" s="1"/>
      <c r="MZ136" s="1"/>
      <c r="NA136" s="1"/>
      <c r="NB136" s="1"/>
      <c r="NC136" s="1"/>
      <c r="ND136" s="1"/>
      <c r="NE136" s="1"/>
      <c r="NF136" s="1"/>
      <c r="NG136" s="1"/>
      <c r="NH136" s="1"/>
      <c r="NI136" s="1"/>
      <c r="NJ136" s="1"/>
      <c r="NK136" s="1"/>
      <c r="NL136" s="1"/>
      <c r="NM136" s="1"/>
      <c r="NN136" s="1"/>
      <c r="NO136" s="1"/>
      <c r="NP136" s="1"/>
      <c r="NQ136" s="1"/>
      <c r="NR136" s="1"/>
      <c r="NS136" s="1"/>
      <c r="NT136" s="1"/>
      <c r="NU136" s="1"/>
      <c r="NV136" s="1"/>
      <c r="NW136" s="1"/>
      <c r="NX136" s="1"/>
      <c r="NY136" s="1"/>
      <c r="NZ136" s="1"/>
      <c r="OA136" s="1"/>
      <c r="OB136" s="1"/>
      <c r="OC136" s="1"/>
      <c r="OD136" s="1"/>
      <c r="OE136" s="1"/>
      <c r="OF136" s="1"/>
      <c r="OG136" s="1"/>
      <c r="OH136" s="1"/>
      <c r="OI136" s="1"/>
      <c r="OJ136" s="1"/>
      <c r="OK136" s="1"/>
      <c r="OL136" s="1"/>
      <c r="OM136" s="1"/>
      <c r="ON136" s="1"/>
      <c r="OO136" s="1"/>
      <c r="OP136" s="1"/>
      <c r="OQ136" s="1"/>
      <c r="OR136" s="1"/>
      <c r="OS136" s="1"/>
      <c r="OT136" s="1"/>
      <c r="OU136" s="1"/>
      <c r="OV136" s="1"/>
      <c r="OW136" s="1"/>
      <c r="OX136" s="1"/>
      <c r="OY136" s="1"/>
      <c r="OZ136" s="1"/>
      <c r="PA136" s="1"/>
      <c r="PB136" s="1"/>
      <c r="PC136" s="1"/>
      <c r="PD136" s="1"/>
      <c r="PE136" s="1"/>
      <c r="PF136" s="1"/>
      <c r="PG136" s="1"/>
      <c r="PH136" s="1"/>
      <c r="PI136" s="1"/>
      <c r="PJ136" s="1"/>
      <c r="PK136" s="1"/>
      <c r="PL136" s="1"/>
      <c r="PM136" s="1"/>
      <c r="PN136" s="1"/>
      <c r="PO136" s="1"/>
      <c r="PP136" s="1"/>
      <c r="PQ136" s="1"/>
      <c r="PR136" s="1"/>
      <c r="PS136" s="1"/>
      <c r="PT136" s="1"/>
      <c r="PU136" s="1"/>
      <c r="PV136" s="1"/>
      <c r="PW136" s="1"/>
      <c r="PX136" s="1"/>
      <c r="PY136" s="1"/>
      <c r="PZ136" s="1"/>
      <c r="QA136" s="1"/>
      <c r="QB136" s="1"/>
      <c r="QC136" s="1"/>
      <c r="QD136" s="1"/>
      <c r="QE136" s="1"/>
      <c r="QF136" s="1"/>
      <c r="QG136" s="1"/>
      <c r="QH136" s="1"/>
      <c r="QI136" s="1"/>
      <c r="QJ136" s="1"/>
      <c r="QK136" s="1"/>
      <c r="QL136" s="1"/>
      <c r="QM136" s="1"/>
      <c r="QN136" s="1"/>
      <c r="QO136" s="1"/>
      <c r="QP136" s="1"/>
      <c r="QQ136" s="1"/>
      <c r="QR136" s="1"/>
      <c r="QS136" s="1"/>
      <c r="QT136" s="1"/>
      <c r="QU136" s="1"/>
      <c r="QV136" s="1"/>
      <c r="QW136" s="1"/>
      <c r="QX136" s="1"/>
      <c r="QY136" s="1"/>
      <c r="QZ136" s="1"/>
      <c r="RA136" s="1"/>
      <c r="RB136" s="1"/>
      <c r="RC136" s="1"/>
      <c r="RD136" s="1"/>
      <c r="RE136" s="1"/>
      <c r="RF136" s="1"/>
      <c r="RG136" s="1"/>
      <c r="RH136" s="1"/>
      <c r="RI136" s="1"/>
      <c r="RJ136" s="1"/>
      <c r="RK136" s="1"/>
      <c r="RL136" s="1"/>
      <c r="RM136" s="1"/>
      <c r="RN136" s="1"/>
      <c r="RO136" s="1"/>
      <c r="RP136" s="1"/>
      <c r="RQ136" s="1"/>
      <c r="RR136" s="1"/>
      <c r="RS136" s="1"/>
      <c r="RT136" s="1"/>
      <c r="RU136" s="1"/>
      <c r="RV136" s="1"/>
      <c r="RW136" s="1"/>
      <c r="RX136" s="1"/>
      <c r="RY136" s="1"/>
      <c r="RZ136" s="1"/>
      <c r="SA136" s="1"/>
      <c r="SB136" s="1"/>
      <c r="SC136" s="1"/>
      <c r="SD136" s="1"/>
      <c r="SE136" s="1"/>
      <c r="SF136" s="1"/>
      <c r="SG136" s="1"/>
      <c r="SH136" s="1"/>
      <c r="SI136" s="1"/>
      <c r="SJ136" s="1"/>
      <c r="SK136" s="1"/>
      <c r="SL136" s="1"/>
      <c r="SM136" s="1"/>
      <c r="SN136" s="1"/>
      <c r="SO136" s="1"/>
      <c r="SP136" s="1"/>
      <c r="SQ136" s="1"/>
      <c r="SR136" s="1"/>
      <c r="SS136" s="1"/>
      <c r="ST136" s="1"/>
      <c r="SU136" s="1"/>
      <c r="SV136" s="1"/>
      <c r="SW136" s="1"/>
      <c r="SX136" s="1"/>
      <c r="SY136" s="1"/>
      <c r="SZ136" s="1"/>
      <c r="TA136" s="1"/>
      <c r="TB136" s="1"/>
      <c r="TC136" s="1"/>
      <c r="TD136" s="1"/>
      <c r="TE136" s="1"/>
      <c r="TF136" s="1"/>
      <c r="TG136" s="1"/>
      <c r="TH136" s="1"/>
      <c r="TI136" s="1"/>
      <c r="TJ136" s="1"/>
      <c r="TK136" s="1"/>
      <c r="TL136" s="1"/>
      <c r="TM136" s="1"/>
      <c r="TN136" s="1"/>
      <c r="TO136" s="1"/>
      <c r="TP136" s="1"/>
      <c r="TQ136" s="1"/>
      <c r="TR136" s="1"/>
      <c r="TS136" s="1"/>
      <c r="TT136" s="1"/>
      <c r="TU136" s="1"/>
      <c r="TV136" s="1"/>
      <c r="TW136" s="1"/>
      <c r="TX136" s="1"/>
      <c r="TY136" s="1"/>
      <c r="TZ136" s="1"/>
      <c r="UA136" s="1"/>
      <c r="UB136" s="1"/>
      <c r="UC136" s="1"/>
      <c r="UD136" s="1"/>
      <c r="UE136" s="1"/>
      <c r="UF136" s="1"/>
      <c r="UG136" s="1"/>
      <c r="UH136" s="1"/>
      <c r="UI136" s="1"/>
      <c r="UJ136" s="1"/>
      <c r="UK136" s="1"/>
      <c r="UL136" s="1"/>
      <c r="UM136" s="1"/>
      <c r="UN136" s="1"/>
      <c r="UO136" s="1"/>
      <c r="UP136" s="1"/>
      <c r="UQ136" s="1"/>
      <c r="UR136" s="1"/>
      <c r="US136" s="1"/>
      <c r="UT136" s="1"/>
      <c r="UU136" s="1"/>
      <c r="UV136" s="1"/>
      <c r="UW136" s="1"/>
      <c r="UX136" s="1"/>
      <c r="UY136" s="1"/>
      <c r="UZ136" s="1"/>
      <c r="VA136" s="1"/>
      <c r="VB136" s="1"/>
      <c r="VC136" s="1"/>
      <c r="VD136" s="1"/>
      <c r="VE136" s="1"/>
      <c r="VF136" s="1"/>
      <c r="VG136" s="1"/>
      <c r="VH136" s="1"/>
      <c r="VI136" s="1"/>
      <c r="VJ136" s="1"/>
      <c r="VK136" s="1"/>
      <c r="VL136" s="1"/>
      <c r="VM136" s="1"/>
      <c r="VN136" s="1"/>
      <c r="VO136" s="1"/>
      <c r="VP136" s="1"/>
      <c r="VQ136" s="1"/>
      <c r="VR136" s="1"/>
      <c r="VS136" s="1"/>
      <c r="VT136" s="1"/>
      <c r="VU136" s="1"/>
      <c r="VV136" s="1"/>
      <c r="VW136" s="1"/>
      <c r="VX136" s="1"/>
      <c r="VY136" s="1"/>
      <c r="VZ136" s="1"/>
      <c r="WA136" s="1"/>
      <c r="WB136" s="1"/>
      <c r="WC136" s="1"/>
      <c r="WD136" s="1"/>
      <c r="WE136" s="1"/>
      <c r="WF136" s="1"/>
      <c r="WG136" s="1"/>
      <c r="WH136" s="1"/>
      <c r="WI136" s="1"/>
      <c r="WJ136" s="1"/>
      <c r="WK136" s="1"/>
      <c r="WL136" s="1"/>
      <c r="WM136" s="1"/>
      <c r="WN136" s="1"/>
      <c r="WO136" s="1"/>
      <c r="WP136" s="1"/>
      <c r="WQ136" s="1"/>
      <c r="WR136" s="1"/>
      <c r="WS136" s="1"/>
      <c r="WT136" s="1"/>
      <c r="WU136" s="1"/>
      <c r="WV136" s="1"/>
      <c r="WW136" s="1"/>
      <c r="WX136" s="1"/>
      <c r="WY136" s="1"/>
      <c r="WZ136" s="1"/>
      <c r="XA136" s="1"/>
      <c r="XB136" s="1"/>
      <c r="XC136" s="1"/>
      <c r="XD136" s="1"/>
      <c r="XE136" s="1"/>
      <c r="XF136" s="1"/>
      <c r="XG136" s="1"/>
      <c r="XH136" s="1"/>
      <c r="XI136" s="1"/>
      <c r="XJ136" s="1"/>
      <c r="XK136" s="1"/>
      <c r="XL136" s="1"/>
      <c r="XM136" s="1"/>
      <c r="XN136" s="1"/>
      <c r="XO136" s="1"/>
      <c r="XP136" s="1"/>
      <c r="XQ136" s="1"/>
      <c r="XR136" s="1"/>
      <c r="XS136" s="1"/>
      <c r="XT136" s="1"/>
      <c r="XU136" s="1"/>
      <c r="XV136" s="1"/>
      <c r="XW136" s="1"/>
      <c r="XX136" s="1"/>
      <c r="XY136" s="1"/>
      <c r="XZ136" s="1"/>
      <c r="YA136" s="1"/>
      <c r="YB136" s="1"/>
      <c r="YC136" s="1"/>
      <c r="YD136" s="1"/>
      <c r="YE136" s="1"/>
      <c r="YF136" s="1"/>
      <c r="YG136" s="1"/>
      <c r="YH136" s="1"/>
      <c r="YI136" s="1"/>
      <c r="YJ136" s="1"/>
      <c r="YK136" s="1"/>
      <c r="YL136" s="1"/>
      <c r="YM136" s="1"/>
      <c r="YN136" s="1"/>
      <c r="YO136" s="1"/>
      <c r="YP136" s="1"/>
      <c r="YQ136" s="1"/>
      <c r="YR136" s="1"/>
      <c r="YS136" s="1"/>
      <c r="YT136" s="1"/>
      <c r="YU136" s="1"/>
      <c r="YV136" s="1"/>
      <c r="YW136" s="1"/>
      <c r="YX136" s="1"/>
      <c r="YY136" s="1"/>
      <c r="YZ136" s="1"/>
      <c r="ZA136" s="1"/>
      <c r="ZB136" s="1"/>
      <c r="ZC136" s="1"/>
      <c r="ZD136" s="1"/>
      <c r="ZE136" s="1"/>
      <c r="ZF136" s="1"/>
      <c r="ZG136" s="1"/>
      <c r="ZH136" s="1"/>
      <c r="ZI136" s="1"/>
      <c r="ZJ136" s="1"/>
      <c r="ZK136" s="1"/>
      <c r="ZL136" s="1"/>
      <c r="ZM136" s="1"/>
      <c r="ZN136" s="1"/>
      <c r="ZO136" s="1"/>
      <c r="ZP136" s="1"/>
      <c r="ZQ136" s="1"/>
      <c r="ZR136" s="1"/>
      <c r="ZS136" s="1"/>
      <c r="ZT136" s="1"/>
      <c r="ZU136" s="1"/>
      <c r="ZV136" s="1"/>
      <c r="ZW136" s="1"/>
      <c r="ZX136" s="1"/>
      <c r="ZY136" s="1"/>
      <c r="ZZ136" s="1"/>
      <c r="AAA136" s="1"/>
      <c r="AAB136" s="1"/>
      <c r="AAC136" s="1"/>
      <c r="AAD136" s="1"/>
      <c r="AAE136" s="1"/>
      <c r="AAF136" s="1"/>
      <c r="AAG136" s="1"/>
      <c r="AAH136" s="1"/>
      <c r="AAI136" s="1"/>
      <c r="AAJ136" s="1"/>
      <c r="AAK136" s="1"/>
      <c r="AAL136" s="1"/>
      <c r="AAM136" s="1"/>
      <c r="AAN136" s="1"/>
      <c r="AAO136" s="1"/>
      <c r="AAP136" s="1"/>
      <c r="AAQ136" s="1"/>
      <c r="AAR136" s="1"/>
      <c r="AAS136" s="1"/>
      <c r="AAT136" s="1"/>
      <c r="AAU136" s="1"/>
      <c r="AAV136" s="1"/>
      <c r="AAW136" s="1"/>
      <c r="AAX136" s="1"/>
      <c r="AAY136" s="1"/>
      <c r="AAZ136" s="1"/>
      <c r="ABA136" s="1"/>
      <c r="ABB136" s="1"/>
      <c r="ABC136" s="1"/>
      <c r="ABD136" s="1"/>
      <c r="ABE136" s="1"/>
      <c r="ABF136" s="1"/>
      <c r="ABG136" s="1"/>
      <c r="ABH136" s="1"/>
      <c r="ABI136" s="1"/>
      <c r="ABJ136" s="1"/>
      <c r="ABK136" s="1"/>
      <c r="ABL136" s="1"/>
      <c r="ABM136" s="1"/>
      <c r="ABN136" s="1"/>
      <c r="ABO136" s="1"/>
      <c r="ABP136" s="1"/>
      <c r="ABQ136" s="1"/>
      <c r="ABR136" s="1"/>
      <c r="ABS136" s="1"/>
      <c r="ABT136" s="1"/>
      <c r="ABU136" s="1"/>
      <c r="ABV136" s="1"/>
      <c r="ABW136" s="1"/>
      <c r="ABX136" s="1"/>
      <c r="ABY136" s="1"/>
      <c r="ABZ136" s="1"/>
      <c r="ACA136" s="1"/>
      <c r="ACB136" s="1"/>
      <c r="ACC136" s="1"/>
      <c r="ACD136" s="1"/>
      <c r="ACE136" s="1"/>
      <c r="ACF136" s="1"/>
      <c r="ACG136" s="1"/>
      <c r="ACH136" s="1"/>
      <c r="ACI136" s="1"/>
      <c r="ACJ136" s="1"/>
      <c r="ACK136" s="1"/>
      <c r="ACL136" s="1"/>
      <c r="ACM136" s="1"/>
      <c r="ACN136" s="1"/>
      <c r="ACO136" s="1"/>
      <c r="ACP136" s="1"/>
      <c r="ACQ136" s="1"/>
      <c r="ACR136" s="1"/>
      <c r="ACS136" s="1"/>
      <c r="ACT136" s="1"/>
      <c r="ACU136" s="1"/>
      <c r="ACV136" s="1"/>
      <c r="ACW136" s="1"/>
      <c r="ACX136" s="1"/>
      <c r="ACY136" s="1"/>
      <c r="ACZ136" s="1"/>
      <c r="ADA136" s="1"/>
      <c r="ADB136" s="1"/>
      <c r="ADC136" s="1"/>
      <c r="ADD136" s="1"/>
      <c r="ADE136" s="1"/>
      <c r="ADF136" s="1"/>
      <c r="ADG136" s="1"/>
      <c r="ADH136" s="1"/>
      <c r="ADI136" s="1"/>
      <c r="ADJ136" s="1"/>
      <c r="ADK136" s="1"/>
      <c r="ADL136" s="1"/>
      <c r="ADM136" s="1"/>
      <c r="ADN136" s="1"/>
      <c r="ADO136" s="1"/>
      <c r="ADP136" s="1"/>
      <c r="ADQ136" s="1"/>
      <c r="ADR136" s="1"/>
      <c r="ADS136" s="1"/>
      <c r="ADT136" s="1"/>
      <c r="ADU136" s="1"/>
      <c r="ADV136" s="1"/>
      <c r="ADW136" s="1"/>
      <c r="ADX136" s="1"/>
      <c r="ADY136" s="1"/>
      <c r="ADZ136" s="1"/>
      <c r="AEA136" s="1"/>
      <c r="AEB136" s="1"/>
      <c r="AEC136" s="1"/>
      <c r="AED136" s="1"/>
      <c r="AEE136" s="1"/>
      <c r="AEF136" s="1"/>
      <c r="AEG136" s="1"/>
      <c r="AEH136" s="1"/>
      <c r="AEI136" s="1"/>
      <c r="AEJ136" s="1"/>
      <c r="AEK136" s="1"/>
      <c r="AEL136" s="1"/>
      <c r="AEM136" s="1"/>
      <c r="AEN136" s="1"/>
      <c r="AEO136" s="1"/>
      <c r="AEP136" s="1"/>
      <c r="AEQ136" s="1"/>
      <c r="AER136" s="1"/>
      <c r="AES136" s="1"/>
      <c r="AET136" s="1"/>
      <c r="AEU136" s="1"/>
      <c r="AEV136" s="1"/>
      <c r="AEW136" s="1"/>
      <c r="AEX136" s="1"/>
      <c r="AEY136" s="1"/>
      <c r="AEZ136" s="1"/>
      <c r="AFA136" s="1"/>
      <c r="AFB136" s="1"/>
      <c r="AFC136" s="1"/>
      <c r="AFD136" s="1"/>
      <c r="AFE136" s="1"/>
      <c r="AFF136" s="1"/>
      <c r="AFG136" s="1"/>
      <c r="AFH136" s="1"/>
      <c r="AFI136" s="1"/>
      <c r="AFJ136" s="1"/>
      <c r="AFK136" s="1"/>
      <c r="AFL136" s="1"/>
      <c r="AFM136" s="1"/>
      <c r="AFN136" s="1"/>
      <c r="AFO136" s="1"/>
      <c r="AFP136" s="1"/>
      <c r="AFQ136" s="1"/>
      <c r="AFR136" s="1"/>
      <c r="AFS136" s="1"/>
      <c r="AFT136" s="1"/>
      <c r="AFU136" s="1"/>
      <c r="AFV136" s="1"/>
      <c r="AFW136" s="1"/>
      <c r="AFX136" s="1"/>
      <c r="AFY136" s="1"/>
      <c r="AFZ136" s="1"/>
      <c r="AGA136" s="1"/>
      <c r="AGB136" s="1"/>
      <c r="AGC136" s="1"/>
      <c r="AGD136" s="1"/>
      <c r="AGE136" s="1"/>
      <c r="AGF136" s="1"/>
      <c r="AGG136" s="1"/>
      <c r="AGH136" s="1"/>
      <c r="AGI136" s="1"/>
      <c r="AGJ136" s="1"/>
      <c r="AGK136" s="1"/>
      <c r="AGL136" s="1"/>
      <c r="AGM136" s="1"/>
      <c r="AGN136" s="1"/>
      <c r="AGO136" s="1"/>
      <c r="AGP136" s="1"/>
      <c r="AGQ136" s="1"/>
      <c r="AGR136" s="1"/>
      <c r="AGS136" s="1"/>
      <c r="AGT136" s="1"/>
      <c r="AGU136" s="1"/>
      <c r="AGV136" s="1"/>
      <c r="AGW136" s="1"/>
      <c r="AGX136" s="1"/>
      <c r="AGY136" s="1"/>
      <c r="AGZ136" s="1"/>
      <c r="AHA136" s="1"/>
      <c r="AHB136" s="1"/>
      <c r="AHC136" s="1"/>
      <c r="AHD136" s="1"/>
      <c r="AHE136" s="1"/>
      <c r="AHF136" s="1"/>
      <c r="AHG136" s="1"/>
      <c r="AHH136" s="1"/>
      <c r="AHI136" s="1"/>
      <c r="AHJ136" s="1"/>
      <c r="AHK136" s="1"/>
      <c r="AHL136" s="1"/>
      <c r="AHM136" s="1"/>
      <c r="AHN136" s="1"/>
      <c r="AHO136" s="1"/>
      <c r="AHP136" s="1"/>
      <c r="AHQ136" s="1"/>
      <c r="AHR136" s="1"/>
      <c r="AHS136" s="1"/>
      <c r="AHT136" s="1"/>
      <c r="AHU136" s="1"/>
      <c r="AHV136" s="1"/>
      <c r="AHW136" s="1"/>
      <c r="AHX136" s="1"/>
      <c r="AHY136" s="1"/>
    </row>
    <row r="137" spans="1:909" s="1" customFormat="1" ht="21">
      <c r="A137" s="156" t="s">
        <v>135</v>
      </c>
      <c r="B137" s="156"/>
      <c r="C137" s="156"/>
      <c r="D137" s="156"/>
      <c r="E137" s="156"/>
      <c r="F137" s="156"/>
      <c r="G137" s="156"/>
      <c r="H137" s="156"/>
      <c r="I137" s="156"/>
      <c r="J137" s="156"/>
      <c r="K137" s="156"/>
      <c r="L137" s="156"/>
      <c r="M137" s="156"/>
      <c r="N137" s="156"/>
      <c r="O137" s="156"/>
      <c r="P137" s="156"/>
      <c r="Q137" s="10"/>
    </row>
    <row r="138" spans="1:909" s="1" customFormat="1" ht="21">
      <c r="A138" s="156" t="s">
        <v>136</v>
      </c>
      <c r="B138" s="156"/>
      <c r="C138" s="156"/>
      <c r="D138" s="156"/>
      <c r="E138" s="156"/>
      <c r="F138" s="156"/>
      <c r="G138" s="156"/>
      <c r="H138" s="156"/>
      <c r="I138" s="156"/>
      <c r="J138" s="156"/>
      <c r="K138" s="156"/>
      <c r="L138" s="156"/>
      <c r="M138" s="156"/>
      <c r="N138" s="156"/>
      <c r="O138" s="156"/>
      <c r="P138" s="156"/>
      <c r="Q138" s="156"/>
    </row>
    <row r="139" spans="1:909" s="1" customFormat="1" ht="21">
      <c r="A139" s="189" t="s">
        <v>113</v>
      </c>
      <c r="B139" s="189"/>
      <c r="C139" s="189"/>
      <c r="D139" s="189"/>
      <c r="E139" s="189"/>
      <c r="F139" s="189"/>
      <c r="G139" s="189"/>
      <c r="H139" s="189"/>
      <c r="I139" s="189"/>
      <c r="J139" s="189"/>
      <c r="K139" s="189"/>
      <c r="L139" s="189"/>
      <c r="M139" s="189"/>
      <c r="N139" s="189"/>
      <c r="O139" s="189"/>
      <c r="P139" s="189"/>
    </row>
    <row r="140" spans="1:909" s="1" customFormat="1" ht="21.6" thickBot="1">
      <c r="F140" s="13"/>
      <c r="G140" s="13"/>
      <c r="H140" s="13"/>
      <c r="I140" s="13"/>
      <c r="J140" s="13"/>
      <c r="K140" s="13"/>
    </row>
    <row r="141" spans="1:909" s="1" customFormat="1" ht="22.2" thickTop="1" thickBot="1">
      <c r="A141" s="190"/>
      <c r="B141" s="183" t="s">
        <v>114</v>
      </c>
      <c r="C141" s="192"/>
      <c r="D141" s="183" t="s">
        <v>115</v>
      </c>
      <c r="E141" s="192"/>
      <c r="F141" s="183" t="s">
        <v>116</v>
      </c>
      <c r="G141" s="192"/>
      <c r="H141" s="183" t="s">
        <v>117</v>
      </c>
      <c r="I141" s="192"/>
      <c r="J141" s="183" t="s">
        <v>118</v>
      </c>
      <c r="K141" s="192"/>
      <c r="L141" s="183" t="s">
        <v>119</v>
      </c>
      <c r="M141" s="192"/>
      <c r="N141" s="183" t="s">
        <v>120</v>
      </c>
      <c r="O141" s="184"/>
      <c r="P141" s="185"/>
    </row>
    <row r="142" spans="1:909" s="1" customFormat="1" ht="22.2" thickTop="1" thickBot="1">
      <c r="A142" s="191"/>
      <c r="B142" s="4" t="s">
        <v>76</v>
      </c>
      <c r="C142" s="4" t="s">
        <v>121</v>
      </c>
      <c r="D142" s="4" t="s">
        <v>76</v>
      </c>
      <c r="E142" s="4" t="s">
        <v>121</v>
      </c>
      <c r="F142" s="4" t="s">
        <v>76</v>
      </c>
      <c r="G142" s="4" t="s">
        <v>121</v>
      </c>
      <c r="H142" s="4" t="s">
        <v>76</v>
      </c>
      <c r="I142" s="4" t="s">
        <v>121</v>
      </c>
      <c r="J142" s="4" t="s">
        <v>76</v>
      </c>
      <c r="K142" s="4" t="s">
        <v>121</v>
      </c>
      <c r="L142" s="4" t="s">
        <v>76</v>
      </c>
      <c r="M142" s="4" t="s">
        <v>121</v>
      </c>
      <c r="N142" s="4" t="s">
        <v>76</v>
      </c>
      <c r="O142" s="4" t="s">
        <v>121</v>
      </c>
      <c r="P142" s="14" t="s">
        <v>122</v>
      </c>
    </row>
    <row r="143" spans="1:909" s="1" customFormat="1" ht="22.2" thickTop="1" thickBot="1">
      <c r="A143" s="11" t="s">
        <v>123</v>
      </c>
      <c r="B143" s="4">
        <f>'[1]التعليم الابتدائي'!AP346</f>
        <v>0</v>
      </c>
      <c r="C143" s="4">
        <f>'[1]التعليم الابتدائي'!AQ346</f>
        <v>0</v>
      </c>
      <c r="D143" s="177"/>
      <c r="E143" s="178"/>
      <c r="F143" s="178"/>
      <c r="G143" s="178"/>
      <c r="H143" s="178"/>
      <c r="I143" s="178"/>
      <c r="J143" s="178"/>
      <c r="K143" s="178"/>
      <c r="L143" s="178"/>
      <c r="M143" s="186"/>
      <c r="N143" s="4">
        <f>B143</f>
        <v>0</v>
      </c>
      <c r="O143" s="4">
        <f>C143</f>
        <v>0</v>
      </c>
      <c r="P143" s="14">
        <f t="shared" ref="P143:P153" si="8">O143+N143</f>
        <v>0</v>
      </c>
    </row>
    <row r="144" spans="1:909" s="1" customFormat="1" ht="22.2" thickTop="1" thickBot="1">
      <c r="A144" s="11" t="s">
        <v>124</v>
      </c>
      <c r="B144" s="4">
        <f>'[1]التعليم الابتدائي'!AR346</f>
        <v>0</v>
      </c>
      <c r="C144" s="4">
        <f>'[1]التعليم الابتدائي'!AS346</f>
        <v>0</v>
      </c>
      <c r="D144" s="137"/>
      <c r="E144" s="138"/>
      <c r="F144" s="180"/>
      <c r="G144" s="180"/>
      <c r="H144" s="180"/>
      <c r="I144" s="180"/>
      <c r="J144" s="180"/>
      <c r="K144" s="180"/>
      <c r="L144" s="180"/>
      <c r="M144" s="187"/>
      <c r="N144" s="4">
        <f>B144</f>
        <v>0</v>
      </c>
      <c r="O144" s="4">
        <f>C144</f>
        <v>0</v>
      </c>
      <c r="P144" s="14">
        <f t="shared" si="8"/>
        <v>0</v>
      </c>
    </row>
    <row r="145" spans="1:17" s="1" customFormat="1" ht="22.2" thickTop="1" thickBot="1">
      <c r="A145" s="11" t="s">
        <v>125</v>
      </c>
      <c r="B145" s="4">
        <f>'[1]التعليم الابتدائي'!AT346</f>
        <v>0</v>
      </c>
      <c r="C145" s="4">
        <f>'[1]التعليم الابتدائي'!AU346</f>
        <v>0</v>
      </c>
      <c r="D145" s="4">
        <f>'[1]التعليم الابتدائي'!BE346</f>
        <v>0</v>
      </c>
      <c r="E145" s="4">
        <f>'[1]التعليم الابتدائي'!BF346</f>
        <v>0</v>
      </c>
      <c r="F145" s="138"/>
      <c r="G145" s="138"/>
      <c r="H145" s="180"/>
      <c r="I145" s="180"/>
      <c r="J145" s="180"/>
      <c r="K145" s="180"/>
      <c r="L145" s="180"/>
      <c r="M145" s="187"/>
      <c r="N145" s="4">
        <f>D145+B145</f>
        <v>0</v>
      </c>
      <c r="O145" s="4">
        <f>E145+C145</f>
        <v>0</v>
      </c>
      <c r="P145" s="14">
        <f t="shared" si="8"/>
        <v>0</v>
      </c>
    </row>
    <row r="146" spans="1:17" s="1" customFormat="1" ht="22.2" thickTop="1" thickBot="1">
      <c r="A146" s="11" t="s">
        <v>126</v>
      </c>
      <c r="B146" s="4">
        <f>'[1]التعليم الابتدائي'!AV346</f>
        <v>0</v>
      </c>
      <c r="C146" s="4">
        <f>'[1]التعليم الابتدائي'!AW346</f>
        <v>0</v>
      </c>
      <c r="D146" s="4">
        <f>'[1]التعليم الابتدائي'!BG346</f>
        <v>0</v>
      </c>
      <c r="E146" s="4">
        <f>'[1]التعليم الابتدائي'!BH346</f>
        <v>0</v>
      </c>
      <c r="F146" s="4">
        <f>'[1]التعليم الابتدائي'!BR346</f>
        <v>0</v>
      </c>
      <c r="G146" s="4">
        <f>'[1]التعليم الابتدائي'!BS346</f>
        <v>0</v>
      </c>
      <c r="H146" s="138"/>
      <c r="I146" s="138"/>
      <c r="J146" s="180"/>
      <c r="K146" s="180"/>
      <c r="L146" s="180"/>
      <c r="M146" s="187"/>
      <c r="N146" s="4">
        <f>F146+D146+B146</f>
        <v>0</v>
      </c>
      <c r="O146" s="4">
        <f>G146+E146+C146</f>
        <v>0</v>
      </c>
      <c r="P146" s="14">
        <f t="shared" si="8"/>
        <v>0</v>
      </c>
    </row>
    <row r="147" spans="1:17" s="1" customFormat="1" ht="22.2" thickTop="1" thickBot="1">
      <c r="A147" s="11" t="s">
        <v>106</v>
      </c>
      <c r="B147" s="4">
        <f>'[1]التعليم الابتدائي'!AX346</f>
        <v>0</v>
      </c>
      <c r="C147" s="4">
        <f>'[1]التعليم الابتدائي'!AY346</f>
        <v>0</v>
      </c>
      <c r="D147" s="4">
        <f>'[1]التعليم الابتدائي'!BI346</f>
        <v>0</v>
      </c>
      <c r="E147" s="4">
        <f>'[1]التعليم الابتدائي'!BJ346</f>
        <v>0</v>
      </c>
      <c r="F147" s="4">
        <f>'[1]التعليم الابتدائي'!BT346</f>
        <v>0</v>
      </c>
      <c r="G147" s="4">
        <f>'[1]التعليم الابتدائي'!BU346</f>
        <v>0</v>
      </c>
      <c r="H147" s="4">
        <f>'[1]التعليم الابتدائي'!CE346</f>
        <v>0</v>
      </c>
      <c r="I147" s="4">
        <f>'[1]التعليم الابتدائي'!CF346</f>
        <v>0</v>
      </c>
      <c r="J147" s="138"/>
      <c r="K147" s="138"/>
      <c r="L147" s="180"/>
      <c r="M147" s="187"/>
      <c r="N147" s="4">
        <f>B147+D147+F147+H147</f>
        <v>0</v>
      </c>
      <c r="O147" s="4">
        <f>I147+G147+E147+C147</f>
        <v>0</v>
      </c>
      <c r="P147" s="14">
        <f t="shared" si="8"/>
        <v>0</v>
      </c>
    </row>
    <row r="148" spans="1:17" s="1" customFormat="1" ht="22.2" thickTop="1" thickBot="1">
      <c r="A148" s="11" t="s">
        <v>127</v>
      </c>
      <c r="B148" s="4">
        <f>'[1]التعليم الابتدائي'!AZ346</f>
        <v>0</v>
      </c>
      <c r="C148" s="4">
        <f>'[1]التعليم الابتدائي'!BA346</f>
        <v>0</v>
      </c>
      <c r="D148" s="4">
        <f>'[1]التعليم الابتدائي'!BK346</f>
        <v>0</v>
      </c>
      <c r="E148" s="4">
        <f>'[1]التعليم الابتدائي'!BL346</f>
        <v>0</v>
      </c>
      <c r="F148" s="4">
        <f>'[1]التعليم الابتدائي'!BV346</f>
        <v>0</v>
      </c>
      <c r="G148" s="4">
        <f>'[1]التعليم الابتدائي'!BW346</f>
        <v>0</v>
      </c>
      <c r="H148" s="4">
        <f>'[1]التعليم الابتدائي'!CG346</f>
        <v>0</v>
      </c>
      <c r="I148" s="4">
        <f>'[1]التعليم الابتدائي'!CH346</f>
        <v>0</v>
      </c>
      <c r="J148" s="4">
        <f>'[1]التعليم الابتدائي'!CR346</f>
        <v>0</v>
      </c>
      <c r="K148" s="4">
        <f>'[1]التعليم الابتدائي'!CS346</f>
        <v>0</v>
      </c>
      <c r="L148" s="138"/>
      <c r="M148" s="139"/>
      <c r="N148" s="4">
        <f>B148+D148+F148+H148+J148</f>
        <v>0</v>
      </c>
      <c r="O148" s="4">
        <f>K148+I148+G148+E148+C148</f>
        <v>0</v>
      </c>
      <c r="P148" s="14">
        <f t="shared" si="8"/>
        <v>0</v>
      </c>
    </row>
    <row r="149" spans="1:17" s="1" customFormat="1" ht="22.2" thickTop="1" thickBot="1">
      <c r="A149" s="11" t="s">
        <v>128</v>
      </c>
      <c r="B149" s="177"/>
      <c r="C149" s="178"/>
      <c r="D149" s="4">
        <f>'[1]التعليم الابتدائي'!BM346</f>
        <v>0</v>
      </c>
      <c r="E149" s="4">
        <f>'[1]التعليم الابتدائي'!BN346</f>
        <v>0</v>
      </c>
      <c r="F149" s="4">
        <f>'[1]التعليم الابتدائي'!BX346</f>
        <v>0</v>
      </c>
      <c r="G149" s="4">
        <f>'[1]التعليم الابتدائي'!BY346</f>
        <v>0</v>
      </c>
      <c r="H149" s="4">
        <f>'[1]التعليم الابتدائي'!CI346</f>
        <v>0</v>
      </c>
      <c r="I149" s="4">
        <f>'[1]التعليم الابتدائي'!CJ346</f>
        <v>0</v>
      </c>
      <c r="J149" s="4">
        <f>'[1]التعليم الابتدائي'!CT346</f>
        <v>0</v>
      </c>
      <c r="K149" s="4">
        <f>'[1]التعليم الابتدائي'!CU346</f>
        <v>0</v>
      </c>
      <c r="L149" s="4">
        <f>'[1]التعليم الابتدائي'!DE346</f>
        <v>0</v>
      </c>
      <c r="M149" s="4">
        <f>'[1]التعليم الابتدائي'!DF346</f>
        <v>0</v>
      </c>
      <c r="N149" s="4">
        <f>D149+F149+H149+J149+L149</f>
        <v>0</v>
      </c>
      <c r="O149" s="4">
        <f>M149+K149+I149+G149+E149</f>
        <v>0</v>
      </c>
      <c r="P149" s="14">
        <f t="shared" si="8"/>
        <v>0</v>
      </c>
    </row>
    <row r="150" spans="1:17" s="1" customFormat="1" ht="22.2" thickTop="1" thickBot="1">
      <c r="A150" s="11" t="s">
        <v>129</v>
      </c>
      <c r="B150" s="179"/>
      <c r="C150" s="180"/>
      <c r="D150" s="178"/>
      <c r="E150" s="178"/>
      <c r="F150" s="4">
        <f>'[1]التعليم الابتدائي'!BZ346</f>
        <v>0</v>
      </c>
      <c r="G150" s="4">
        <f>'[1]التعليم الابتدائي'!CA346</f>
        <v>0</v>
      </c>
      <c r="H150" s="4">
        <f>'[1]التعليم الابتدائي'!CK346</f>
        <v>0</v>
      </c>
      <c r="I150" s="4">
        <f>'[1]التعليم الابتدائي'!CL346</f>
        <v>0</v>
      </c>
      <c r="J150" s="4">
        <f>'[1]التعليم الابتدائي'!CV346</f>
        <v>0</v>
      </c>
      <c r="K150" s="4">
        <f>'[1]التعليم الابتدائي'!CW346</f>
        <v>0</v>
      </c>
      <c r="L150" s="4">
        <f>'[1]التعليم الابتدائي'!DG346</f>
        <v>0</v>
      </c>
      <c r="M150" s="4">
        <f>'[1]التعليم الابتدائي'!DH346</f>
        <v>0</v>
      </c>
      <c r="N150" s="4">
        <f>L150+J150+H150+F150</f>
        <v>0</v>
      </c>
      <c r="O150" s="4">
        <f>M150+K150+I150+G150</f>
        <v>0</v>
      </c>
      <c r="P150" s="14">
        <f t="shared" si="8"/>
        <v>0</v>
      </c>
    </row>
    <row r="151" spans="1:17" s="1" customFormat="1" ht="22.2" thickTop="1" thickBot="1">
      <c r="A151" s="11" t="s">
        <v>130</v>
      </c>
      <c r="B151" s="179"/>
      <c r="C151" s="180"/>
      <c r="D151" s="180"/>
      <c r="E151" s="180"/>
      <c r="F151" s="178"/>
      <c r="G151" s="178"/>
      <c r="H151" s="4">
        <f>'[1]التعليم الابتدائي'!CM346</f>
        <v>0</v>
      </c>
      <c r="I151" s="4">
        <f>'[1]التعليم الابتدائي'!CN346</f>
        <v>0</v>
      </c>
      <c r="J151" s="4">
        <f>'[1]التعليم الابتدائي'!CX346</f>
        <v>0</v>
      </c>
      <c r="K151" s="4">
        <f>'[1]التعليم الابتدائي'!CY346</f>
        <v>0</v>
      </c>
      <c r="L151" s="4">
        <f>'[1]التعليم الابتدائي'!DI346</f>
        <v>0</v>
      </c>
      <c r="M151" s="4">
        <f>'[1]التعليم الابتدائي'!DJ346</f>
        <v>0</v>
      </c>
      <c r="N151" s="4">
        <f>L151+J151+H151</f>
        <v>0</v>
      </c>
      <c r="O151" s="4">
        <f>M151+K151+I151</f>
        <v>0</v>
      </c>
      <c r="P151" s="14">
        <f t="shared" si="8"/>
        <v>0</v>
      </c>
    </row>
    <row r="152" spans="1:17" s="1" customFormat="1" ht="22.2" thickTop="1" thickBot="1">
      <c r="A152" s="11" t="s">
        <v>131</v>
      </c>
      <c r="B152" s="179"/>
      <c r="C152" s="180"/>
      <c r="D152" s="180"/>
      <c r="E152" s="180"/>
      <c r="F152" s="180"/>
      <c r="G152" s="180"/>
      <c r="H152" s="178"/>
      <c r="I152" s="178"/>
      <c r="J152" s="4">
        <f>'[1]التعليم الابتدائي'!CZ346</f>
        <v>0</v>
      </c>
      <c r="K152" s="4">
        <f>'[1]التعليم الابتدائي'!DA346</f>
        <v>0</v>
      </c>
      <c r="L152" s="4">
        <f>'[1]التعليم الابتدائي'!DK346</f>
        <v>0</v>
      </c>
      <c r="M152" s="4">
        <f>'[1]التعليم الابتدائي'!DL346</f>
        <v>0</v>
      </c>
      <c r="N152" s="4">
        <f>L152+J152</f>
        <v>0</v>
      </c>
      <c r="O152" s="4">
        <f>M152+K152</f>
        <v>0</v>
      </c>
      <c r="P152" s="14">
        <f t="shared" si="8"/>
        <v>0</v>
      </c>
    </row>
    <row r="153" spans="1:17" s="1" customFormat="1" ht="22.2" thickTop="1" thickBot="1">
      <c r="A153" s="11" t="s">
        <v>132</v>
      </c>
      <c r="B153" s="137"/>
      <c r="C153" s="138"/>
      <c r="D153" s="138"/>
      <c r="E153" s="138"/>
      <c r="F153" s="138"/>
      <c r="G153" s="138"/>
      <c r="H153" s="138"/>
      <c r="I153" s="138"/>
      <c r="J153" s="181"/>
      <c r="K153" s="182"/>
      <c r="L153" s="4">
        <f>'[1]التعليم الابتدائي'!DM346</f>
        <v>0</v>
      </c>
      <c r="M153" s="4">
        <f>'[1]التعليم الابتدائي'!DN346</f>
        <v>0</v>
      </c>
      <c r="N153" s="4">
        <f>L153</f>
        <v>0</v>
      </c>
      <c r="O153" s="4">
        <f>M153</f>
        <v>0</v>
      </c>
      <c r="P153" s="14">
        <f t="shared" si="8"/>
        <v>0</v>
      </c>
    </row>
    <row r="154" spans="1:17" s="1" customFormat="1" ht="22.2" thickTop="1" thickBot="1">
      <c r="A154" s="6" t="s">
        <v>122</v>
      </c>
      <c r="B154" s="7">
        <f>SUM(B143:B153)</f>
        <v>0</v>
      </c>
      <c r="C154" s="7">
        <f>SUM(C143:C153)</f>
        <v>0</v>
      </c>
      <c r="D154" s="7">
        <f>D149+D148+D147+D146+D145</f>
        <v>0</v>
      </c>
      <c r="E154" s="7">
        <f t="shared" ref="E154:P154" si="9">SUM(E143:E153)</f>
        <v>0</v>
      </c>
      <c r="F154" s="7">
        <f t="shared" si="9"/>
        <v>0</v>
      </c>
      <c r="G154" s="7">
        <f t="shared" si="9"/>
        <v>0</v>
      </c>
      <c r="H154" s="7">
        <f t="shared" si="9"/>
        <v>0</v>
      </c>
      <c r="I154" s="7">
        <f t="shared" si="9"/>
        <v>0</v>
      </c>
      <c r="J154" s="7">
        <f t="shared" si="9"/>
        <v>0</v>
      </c>
      <c r="K154" s="7">
        <f t="shared" si="9"/>
        <v>0</v>
      </c>
      <c r="L154" s="7">
        <f t="shared" si="9"/>
        <v>0</v>
      </c>
      <c r="M154" s="7">
        <f t="shared" si="9"/>
        <v>0</v>
      </c>
      <c r="N154" s="7">
        <f t="shared" si="9"/>
        <v>0</v>
      </c>
      <c r="O154" s="7">
        <f t="shared" si="9"/>
        <v>0</v>
      </c>
      <c r="P154" s="8">
        <f t="shared" si="9"/>
        <v>0</v>
      </c>
    </row>
    <row r="155" spans="1:17" s="3" customFormat="1" ht="21.6" thickTop="1"/>
    <row r="156" spans="1:17" s="1" customFormat="1" ht="21">
      <c r="A156" s="156" t="s">
        <v>62</v>
      </c>
      <c r="B156" s="156"/>
      <c r="C156" s="156"/>
      <c r="D156" s="156"/>
      <c r="E156" s="156"/>
      <c r="O156" s="2" t="s">
        <v>137</v>
      </c>
      <c r="P156" s="2"/>
      <c r="Q156" s="2"/>
    </row>
    <row r="157" spans="1:17" s="1" customFormat="1" ht="21">
      <c r="A157" s="156" t="s">
        <v>64</v>
      </c>
      <c r="B157" s="156"/>
      <c r="C157" s="156"/>
      <c r="D157" s="156"/>
      <c r="E157" s="156"/>
      <c r="O157" s="2" t="s">
        <v>65</v>
      </c>
      <c r="P157" s="2"/>
      <c r="Q157" s="2"/>
    </row>
    <row r="158" spans="1:17" s="1" customFormat="1" ht="21">
      <c r="A158" s="156" t="s">
        <v>99</v>
      </c>
      <c r="B158" s="156"/>
      <c r="C158" s="156"/>
      <c r="D158" s="156"/>
      <c r="E158" s="156"/>
      <c r="F158" s="156"/>
      <c r="G158" s="156"/>
      <c r="H158" s="156"/>
      <c r="I158" s="156"/>
      <c r="J158" s="156"/>
      <c r="K158" s="156"/>
      <c r="L158" s="156"/>
      <c r="M158" s="156"/>
      <c r="N158" s="156"/>
      <c r="O158" s="156"/>
      <c r="P158" s="156"/>
      <c r="Q158" s="2"/>
    </row>
    <row r="159" spans="1:17" s="1" customFormat="1" ht="21">
      <c r="A159" s="156" t="s">
        <v>136</v>
      </c>
      <c r="B159" s="156"/>
      <c r="C159" s="156"/>
      <c r="D159" s="156"/>
      <c r="E159" s="156"/>
      <c r="F159" s="156"/>
      <c r="G159" s="156"/>
      <c r="H159" s="156"/>
      <c r="I159" s="156"/>
      <c r="J159" s="156"/>
      <c r="K159" s="156"/>
      <c r="L159" s="156"/>
      <c r="M159" s="156"/>
      <c r="N159" s="156"/>
      <c r="O159" s="156"/>
      <c r="P159" s="156"/>
      <c r="Q159" s="156"/>
    </row>
    <row r="160" spans="1:17" s="1" customFormat="1" ht="21">
      <c r="A160" s="156" t="s">
        <v>101</v>
      </c>
      <c r="B160" s="156"/>
      <c r="C160" s="156"/>
      <c r="D160" s="156"/>
      <c r="E160" s="156"/>
      <c r="F160" s="156"/>
      <c r="G160" s="156"/>
      <c r="H160" s="156"/>
      <c r="I160" s="156"/>
      <c r="J160" s="156"/>
      <c r="K160" s="156"/>
      <c r="L160" s="156"/>
      <c r="M160" s="156"/>
      <c r="N160" s="156"/>
      <c r="O160" s="156"/>
      <c r="P160" s="156"/>
      <c r="Q160" s="2"/>
    </row>
    <row r="161" spans="1:909" s="1" customFormat="1" ht="21.6" thickBot="1">
      <c r="G161" s="198"/>
      <c r="H161" s="198"/>
      <c r="I161" s="198"/>
      <c r="J161" s="198"/>
      <c r="K161" s="198"/>
    </row>
    <row r="162" spans="1:909" s="1" customFormat="1" ht="21.6" thickTop="1">
      <c r="A162" s="199"/>
      <c r="B162" s="147" t="s">
        <v>102</v>
      </c>
      <c r="C162" s="149"/>
      <c r="D162" s="147" t="s">
        <v>103</v>
      </c>
      <c r="E162" s="149"/>
      <c r="F162" s="147" t="s">
        <v>104</v>
      </c>
      <c r="G162" s="149"/>
      <c r="H162" s="147" t="s">
        <v>105</v>
      </c>
      <c r="I162" s="149"/>
      <c r="J162" s="147" t="s">
        <v>106</v>
      </c>
      <c r="K162" s="149"/>
      <c r="L162" s="147" t="s">
        <v>107</v>
      </c>
      <c r="M162" s="149"/>
      <c r="N162" s="147" t="s">
        <v>58</v>
      </c>
      <c r="O162" s="148"/>
      <c r="P162" s="201"/>
    </row>
    <row r="163" spans="1:909" s="1" customFormat="1" ht="21.6" thickBot="1">
      <c r="A163" s="200"/>
      <c r="B163" s="137"/>
      <c r="C163" s="139"/>
      <c r="D163" s="137"/>
      <c r="E163" s="139"/>
      <c r="F163" s="137"/>
      <c r="G163" s="139"/>
      <c r="H163" s="137"/>
      <c r="I163" s="139"/>
      <c r="J163" s="137"/>
      <c r="K163" s="139"/>
      <c r="L163" s="137"/>
      <c r="M163" s="139"/>
      <c r="N163" s="137"/>
      <c r="O163" s="138"/>
      <c r="P163" s="202"/>
    </row>
    <row r="164" spans="1:909" s="5" customFormat="1" ht="22.2" thickTop="1" thickBot="1">
      <c r="A164" s="11" t="s">
        <v>108</v>
      </c>
      <c r="B164" s="170">
        <f>'[1]التعليم الابتدائي'!AA368</f>
        <v>0</v>
      </c>
      <c r="C164" s="182"/>
      <c r="D164" s="170">
        <f>'[1]التعليم الابتدائي'!AC368</f>
        <v>0</v>
      </c>
      <c r="E164" s="182"/>
      <c r="F164" s="170">
        <f>'[1]التعليم الابتدائي'!AE368</f>
        <v>0</v>
      </c>
      <c r="G164" s="182"/>
      <c r="H164" s="170">
        <f>'[1]التعليم الابتدائي'!AG368</f>
        <v>0</v>
      </c>
      <c r="I164" s="182"/>
      <c r="J164" s="170">
        <f>'[1]التعليم الابتدائي'!AI368</f>
        <v>0</v>
      </c>
      <c r="K164" s="182"/>
      <c r="L164" s="170">
        <f>'[1]التعليم الابتدائي'!AK368</f>
        <v>0</v>
      </c>
      <c r="M164" s="182"/>
      <c r="N164" s="170">
        <f>L164+J164+H164+F164+D164+B164</f>
        <v>0</v>
      </c>
      <c r="O164" s="181"/>
      <c r="P164" s="193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  <c r="LN164" s="1"/>
      <c r="LO164" s="1"/>
      <c r="LP164" s="1"/>
      <c r="LQ164" s="1"/>
      <c r="LR164" s="1"/>
      <c r="LS164" s="1"/>
      <c r="LT164" s="1"/>
      <c r="LU164" s="1"/>
      <c r="LV164" s="1"/>
      <c r="LW164" s="1"/>
      <c r="LX164" s="1"/>
      <c r="LY164" s="1"/>
      <c r="LZ164" s="1"/>
      <c r="MA164" s="1"/>
      <c r="MB164" s="1"/>
      <c r="MC164" s="1"/>
      <c r="MD164" s="1"/>
      <c r="ME164" s="1"/>
      <c r="MF164" s="1"/>
      <c r="MG164" s="1"/>
      <c r="MH164" s="1"/>
      <c r="MI164" s="1"/>
      <c r="MJ164" s="1"/>
      <c r="MK164" s="1"/>
      <c r="ML164" s="1"/>
      <c r="MM164" s="1"/>
      <c r="MN164" s="1"/>
      <c r="MO164" s="1"/>
      <c r="MP164" s="1"/>
      <c r="MQ164" s="1"/>
      <c r="MR164" s="1"/>
      <c r="MS164" s="1"/>
      <c r="MT164" s="1"/>
      <c r="MU164" s="1"/>
      <c r="MV164" s="1"/>
      <c r="MW164" s="1"/>
      <c r="MX164" s="1"/>
      <c r="MY164" s="1"/>
      <c r="MZ164" s="1"/>
      <c r="NA164" s="1"/>
      <c r="NB164" s="1"/>
      <c r="NC164" s="1"/>
      <c r="ND164" s="1"/>
      <c r="NE164" s="1"/>
      <c r="NF164" s="1"/>
      <c r="NG164" s="1"/>
      <c r="NH164" s="1"/>
      <c r="NI164" s="1"/>
      <c r="NJ164" s="1"/>
      <c r="NK164" s="1"/>
      <c r="NL164" s="1"/>
      <c r="NM164" s="1"/>
      <c r="NN164" s="1"/>
      <c r="NO164" s="1"/>
      <c r="NP164" s="1"/>
      <c r="NQ164" s="1"/>
      <c r="NR164" s="1"/>
      <c r="NS164" s="1"/>
      <c r="NT164" s="1"/>
      <c r="NU164" s="1"/>
      <c r="NV164" s="1"/>
      <c r="NW164" s="1"/>
      <c r="NX164" s="1"/>
      <c r="NY164" s="1"/>
      <c r="NZ164" s="1"/>
      <c r="OA164" s="1"/>
      <c r="OB164" s="1"/>
      <c r="OC164" s="1"/>
      <c r="OD164" s="1"/>
      <c r="OE164" s="1"/>
      <c r="OF164" s="1"/>
      <c r="OG164" s="1"/>
      <c r="OH164" s="1"/>
      <c r="OI164" s="1"/>
      <c r="OJ164" s="1"/>
      <c r="OK164" s="1"/>
      <c r="OL164" s="1"/>
      <c r="OM164" s="1"/>
      <c r="ON164" s="1"/>
      <c r="OO164" s="1"/>
      <c r="OP164" s="1"/>
      <c r="OQ164" s="1"/>
      <c r="OR164" s="1"/>
      <c r="OS164" s="1"/>
      <c r="OT164" s="1"/>
      <c r="OU164" s="1"/>
      <c r="OV164" s="1"/>
      <c r="OW164" s="1"/>
      <c r="OX164" s="1"/>
      <c r="OY164" s="1"/>
      <c r="OZ164" s="1"/>
      <c r="PA164" s="1"/>
      <c r="PB164" s="1"/>
      <c r="PC164" s="1"/>
      <c r="PD164" s="1"/>
      <c r="PE164" s="1"/>
      <c r="PF164" s="1"/>
      <c r="PG164" s="1"/>
      <c r="PH164" s="1"/>
      <c r="PI164" s="1"/>
      <c r="PJ164" s="1"/>
      <c r="PK164" s="1"/>
      <c r="PL164" s="1"/>
      <c r="PM164" s="1"/>
      <c r="PN164" s="1"/>
      <c r="PO164" s="1"/>
      <c r="PP164" s="1"/>
      <c r="PQ164" s="1"/>
      <c r="PR164" s="1"/>
      <c r="PS164" s="1"/>
      <c r="PT164" s="1"/>
      <c r="PU164" s="1"/>
      <c r="PV164" s="1"/>
      <c r="PW164" s="1"/>
      <c r="PX164" s="1"/>
      <c r="PY164" s="1"/>
      <c r="PZ164" s="1"/>
      <c r="QA164" s="1"/>
      <c r="QB164" s="1"/>
      <c r="QC164" s="1"/>
      <c r="QD164" s="1"/>
      <c r="QE164" s="1"/>
      <c r="QF164" s="1"/>
      <c r="QG164" s="1"/>
      <c r="QH164" s="1"/>
      <c r="QI164" s="1"/>
      <c r="QJ164" s="1"/>
      <c r="QK164" s="1"/>
      <c r="QL164" s="1"/>
      <c r="QM164" s="1"/>
      <c r="QN164" s="1"/>
      <c r="QO164" s="1"/>
      <c r="QP164" s="1"/>
      <c r="QQ164" s="1"/>
      <c r="QR164" s="1"/>
      <c r="QS164" s="1"/>
      <c r="QT164" s="1"/>
      <c r="QU164" s="1"/>
      <c r="QV164" s="1"/>
      <c r="QW164" s="1"/>
      <c r="QX164" s="1"/>
      <c r="QY164" s="1"/>
      <c r="QZ164" s="1"/>
      <c r="RA164" s="1"/>
      <c r="RB164" s="1"/>
      <c r="RC164" s="1"/>
      <c r="RD164" s="1"/>
      <c r="RE164" s="1"/>
      <c r="RF164" s="1"/>
      <c r="RG164" s="1"/>
      <c r="RH164" s="1"/>
      <c r="RI164" s="1"/>
      <c r="RJ164" s="1"/>
      <c r="RK164" s="1"/>
      <c r="RL164" s="1"/>
      <c r="RM164" s="1"/>
      <c r="RN164" s="1"/>
      <c r="RO164" s="1"/>
      <c r="RP164" s="1"/>
      <c r="RQ164" s="1"/>
      <c r="RR164" s="1"/>
      <c r="RS164" s="1"/>
      <c r="RT164" s="1"/>
      <c r="RU164" s="1"/>
      <c r="RV164" s="1"/>
      <c r="RW164" s="1"/>
      <c r="RX164" s="1"/>
      <c r="RY164" s="1"/>
      <c r="RZ164" s="1"/>
      <c r="SA164" s="1"/>
      <c r="SB164" s="1"/>
      <c r="SC164" s="1"/>
      <c r="SD164" s="1"/>
      <c r="SE164" s="1"/>
      <c r="SF164" s="1"/>
      <c r="SG164" s="1"/>
      <c r="SH164" s="1"/>
      <c r="SI164" s="1"/>
      <c r="SJ164" s="1"/>
      <c r="SK164" s="1"/>
      <c r="SL164" s="1"/>
      <c r="SM164" s="1"/>
      <c r="SN164" s="1"/>
      <c r="SO164" s="1"/>
      <c r="SP164" s="1"/>
      <c r="SQ164" s="1"/>
      <c r="SR164" s="1"/>
      <c r="SS164" s="1"/>
      <c r="ST164" s="1"/>
      <c r="SU164" s="1"/>
      <c r="SV164" s="1"/>
      <c r="SW164" s="1"/>
      <c r="SX164" s="1"/>
      <c r="SY164" s="1"/>
      <c r="SZ164" s="1"/>
      <c r="TA164" s="1"/>
      <c r="TB164" s="1"/>
      <c r="TC164" s="1"/>
      <c r="TD164" s="1"/>
      <c r="TE164" s="1"/>
      <c r="TF164" s="1"/>
      <c r="TG164" s="1"/>
      <c r="TH164" s="1"/>
      <c r="TI164" s="1"/>
      <c r="TJ164" s="1"/>
      <c r="TK164" s="1"/>
      <c r="TL164" s="1"/>
      <c r="TM164" s="1"/>
      <c r="TN164" s="1"/>
      <c r="TO164" s="1"/>
      <c r="TP164" s="1"/>
      <c r="TQ164" s="1"/>
      <c r="TR164" s="1"/>
      <c r="TS164" s="1"/>
      <c r="TT164" s="1"/>
      <c r="TU164" s="1"/>
      <c r="TV164" s="1"/>
      <c r="TW164" s="1"/>
      <c r="TX164" s="1"/>
      <c r="TY164" s="1"/>
      <c r="TZ164" s="1"/>
      <c r="UA164" s="1"/>
      <c r="UB164" s="1"/>
      <c r="UC164" s="1"/>
      <c r="UD164" s="1"/>
      <c r="UE164" s="1"/>
      <c r="UF164" s="1"/>
      <c r="UG164" s="1"/>
      <c r="UH164" s="1"/>
      <c r="UI164" s="1"/>
      <c r="UJ164" s="1"/>
      <c r="UK164" s="1"/>
      <c r="UL164" s="1"/>
      <c r="UM164" s="1"/>
      <c r="UN164" s="1"/>
      <c r="UO164" s="1"/>
      <c r="UP164" s="1"/>
      <c r="UQ164" s="1"/>
      <c r="UR164" s="1"/>
      <c r="US164" s="1"/>
      <c r="UT164" s="1"/>
      <c r="UU164" s="1"/>
      <c r="UV164" s="1"/>
      <c r="UW164" s="1"/>
      <c r="UX164" s="1"/>
      <c r="UY164" s="1"/>
      <c r="UZ164" s="1"/>
      <c r="VA164" s="1"/>
      <c r="VB164" s="1"/>
      <c r="VC164" s="1"/>
      <c r="VD164" s="1"/>
      <c r="VE164" s="1"/>
      <c r="VF164" s="1"/>
      <c r="VG164" s="1"/>
      <c r="VH164" s="1"/>
      <c r="VI164" s="1"/>
      <c r="VJ164" s="1"/>
      <c r="VK164" s="1"/>
      <c r="VL164" s="1"/>
      <c r="VM164" s="1"/>
      <c r="VN164" s="1"/>
      <c r="VO164" s="1"/>
      <c r="VP164" s="1"/>
      <c r="VQ164" s="1"/>
      <c r="VR164" s="1"/>
      <c r="VS164" s="1"/>
      <c r="VT164" s="1"/>
      <c r="VU164" s="1"/>
      <c r="VV164" s="1"/>
      <c r="VW164" s="1"/>
      <c r="VX164" s="1"/>
      <c r="VY164" s="1"/>
      <c r="VZ164" s="1"/>
      <c r="WA164" s="1"/>
      <c r="WB164" s="1"/>
      <c r="WC164" s="1"/>
      <c r="WD164" s="1"/>
      <c r="WE164" s="1"/>
      <c r="WF164" s="1"/>
      <c r="WG164" s="1"/>
      <c r="WH164" s="1"/>
      <c r="WI164" s="1"/>
      <c r="WJ164" s="1"/>
      <c r="WK164" s="1"/>
      <c r="WL164" s="1"/>
      <c r="WM164" s="1"/>
      <c r="WN164" s="1"/>
      <c r="WO164" s="1"/>
      <c r="WP164" s="1"/>
      <c r="WQ164" s="1"/>
      <c r="WR164" s="1"/>
      <c r="WS164" s="1"/>
      <c r="WT164" s="1"/>
      <c r="WU164" s="1"/>
      <c r="WV164" s="1"/>
      <c r="WW164" s="1"/>
      <c r="WX164" s="1"/>
      <c r="WY164" s="1"/>
      <c r="WZ164" s="1"/>
      <c r="XA164" s="1"/>
      <c r="XB164" s="1"/>
      <c r="XC164" s="1"/>
      <c r="XD164" s="1"/>
      <c r="XE164" s="1"/>
      <c r="XF164" s="1"/>
      <c r="XG164" s="1"/>
      <c r="XH164" s="1"/>
      <c r="XI164" s="1"/>
      <c r="XJ164" s="1"/>
      <c r="XK164" s="1"/>
      <c r="XL164" s="1"/>
      <c r="XM164" s="1"/>
      <c r="XN164" s="1"/>
      <c r="XO164" s="1"/>
      <c r="XP164" s="1"/>
      <c r="XQ164" s="1"/>
      <c r="XR164" s="1"/>
      <c r="XS164" s="1"/>
      <c r="XT164" s="1"/>
      <c r="XU164" s="1"/>
      <c r="XV164" s="1"/>
      <c r="XW164" s="1"/>
      <c r="XX164" s="1"/>
      <c r="XY164" s="1"/>
      <c r="XZ164" s="1"/>
      <c r="YA164" s="1"/>
      <c r="YB164" s="1"/>
      <c r="YC164" s="1"/>
      <c r="YD164" s="1"/>
      <c r="YE164" s="1"/>
      <c r="YF164" s="1"/>
      <c r="YG164" s="1"/>
      <c r="YH164" s="1"/>
      <c r="YI164" s="1"/>
      <c r="YJ164" s="1"/>
      <c r="YK164" s="1"/>
      <c r="YL164" s="1"/>
      <c r="YM164" s="1"/>
      <c r="YN164" s="1"/>
      <c r="YO164" s="1"/>
      <c r="YP164" s="1"/>
      <c r="YQ164" s="1"/>
      <c r="YR164" s="1"/>
      <c r="YS164" s="1"/>
      <c r="YT164" s="1"/>
      <c r="YU164" s="1"/>
      <c r="YV164" s="1"/>
      <c r="YW164" s="1"/>
      <c r="YX164" s="1"/>
      <c r="YY164" s="1"/>
      <c r="YZ164" s="1"/>
      <c r="ZA164" s="1"/>
      <c r="ZB164" s="1"/>
      <c r="ZC164" s="1"/>
      <c r="ZD164" s="1"/>
      <c r="ZE164" s="1"/>
      <c r="ZF164" s="1"/>
      <c r="ZG164" s="1"/>
      <c r="ZH164" s="1"/>
      <c r="ZI164" s="1"/>
      <c r="ZJ164" s="1"/>
      <c r="ZK164" s="1"/>
      <c r="ZL164" s="1"/>
      <c r="ZM164" s="1"/>
      <c r="ZN164" s="1"/>
      <c r="ZO164" s="1"/>
      <c r="ZP164" s="1"/>
      <c r="ZQ164" s="1"/>
      <c r="ZR164" s="1"/>
      <c r="ZS164" s="1"/>
      <c r="ZT164" s="1"/>
      <c r="ZU164" s="1"/>
      <c r="ZV164" s="1"/>
      <c r="ZW164" s="1"/>
      <c r="ZX164" s="1"/>
      <c r="ZY164" s="1"/>
      <c r="ZZ164" s="1"/>
      <c r="AAA164" s="1"/>
      <c r="AAB164" s="1"/>
      <c r="AAC164" s="1"/>
      <c r="AAD164" s="1"/>
      <c r="AAE164" s="1"/>
      <c r="AAF164" s="1"/>
      <c r="AAG164" s="1"/>
      <c r="AAH164" s="1"/>
      <c r="AAI164" s="1"/>
      <c r="AAJ164" s="1"/>
      <c r="AAK164" s="1"/>
      <c r="AAL164" s="1"/>
      <c r="AAM164" s="1"/>
      <c r="AAN164" s="1"/>
      <c r="AAO164" s="1"/>
      <c r="AAP164" s="1"/>
      <c r="AAQ164" s="1"/>
      <c r="AAR164" s="1"/>
      <c r="AAS164" s="1"/>
      <c r="AAT164" s="1"/>
      <c r="AAU164" s="1"/>
      <c r="AAV164" s="1"/>
      <c r="AAW164" s="1"/>
      <c r="AAX164" s="1"/>
      <c r="AAY164" s="1"/>
      <c r="AAZ164" s="1"/>
      <c r="ABA164" s="1"/>
      <c r="ABB164" s="1"/>
      <c r="ABC164" s="1"/>
      <c r="ABD164" s="1"/>
      <c r="ABE164" s="1"/>
      <c r="ABF164" s="1"/>
      <c r="ABG164" s="1"/>
      <c r="ABH164" s="1"/>
      <c r="ABI164" s="1"/>
      <c r="ABJ164" s="1"/>
      <c r="ABK164" s="1"/>
      <c r="ABL164" s="1"/>
      <c r="ABM164" s="1"/>
      <c r="ABN164" s="1"/>
      <c r="ABO164" s="1"/>
      <c r="ABP164" s="1"/>
      <c r="ABQ164" s="1"/>
      <c r="ABR164" s="1"/>
      <c r="ABS164" s="1"/>
      <c r="ABT164" s="1"/>
      <c r="ABU164" s="1"/>
      <c r="ABV164" s="1"/>
      <c r="ABW164" s="1"/>
      <c r="ABX164" s="1"/>
      <c r="ABY164" s="1"/>
      <c r="ABZ164" s="1"/>
      <c r="ACA164" s="1"/>
      <c r="ACB164" s="1"/>
      <c r="ACC164" s="1"/>
      <c r="ACD164" s="1"/>
      <c r="ACE164" s="1"/>
      <c r="ACF164" s="1"/>
      <c r="ACG164" s="1"/>
      <c r="ACH164" s="1"/>
      <c r="ACI164" s="1"/>
      <c r="ACJ164" s="1"/>
      <c r="ACK164" s="1"/>
      <c r="ACL164" s="1"/>
      <c r="ACM164" s="1"/>
      <c r="ACN164" s="1"/>
      <c r="ACO164" s="1"/>
      <c r="ACP164" s="1"/>
      <c r="ACQ164" s="1"/>
      <c r="ACR164" s="1"/>
      <c r="ACS164" s="1"/>
      <c r="ACT164" s="1"/>
      <c r="ACU164" s="1"/>
      <c r="ACV164" s="1"/>
      <c r="ACW164" s="1"/>
      <c r="ACX164" s="1"/>
      <c r="ACY164" s="1"/>
      <c r="ACZ164" s="1"/>
      <c r="ADA164" s="1"/>
      <c r="ADB164" s="1"/>
      <c r="ADC164" s="1"/>
      <c r="ADD164" s="1"/>
      <c r="ADE164" s="1"/>
      <c r="ADF164" s="1"/>
      <c r="ADG164" s="1"/>
      <c r="ADH164" s="1"/>
      <c r="ADI164" s="1"/>
      <c r="ADJ164" s="1"/>
      <c r="ADK164" s="1"/>
      <c r="ADL164" s="1"/>
      <c r="ADM164" s="1"/>
      <c r="ADN164" s="1"/>
      <c r="ADO164" s="1"/>
      <c r="ADP164" s="1"/>
      <c r="ADQ164" s="1"/>
      <c r="ADR164" s="1"/>
      <c r="ADS164" s="1"/>
      <c r="ADT164" s="1"/>
      <c r="ADU164" s="1"/>
      <c r="ADV164" s="1"/>
      <c r="ADW164" s="1"/>
      <c r="ADX164" s="1"/>
      <c r="ADY164" s="1"/>
      <c r="ADZ164" s="1"/>
      <c r="AEA164" s="1"/>
      <c r="AEB164" s="1"/>
      <c r="AEC164" s="1"/>
      <c r="AED164" s="1"/>
      <c r="AEE164" s="1"/>
      <c r="AEF164" s="1"/>
      <c r="AEG164" s="1"/>
      <c r="AEH164" s="1"/>
      <c r="AEI164" s="1"/>
      <c r="AEJ164" s="1"/>
      <c r="AEK164" s="1"/>
      <c r="AEL164" s="1"/>
      <c r="AEM164" s="1"/>
      <c r="AEN164" s="1"/>
      <c r="AEO164" s="1"/>
      <c r="AEP164" s="1"/>
      <c r="AEQ164" s="1"/>
      <c r="AER164" s="1"/>
      <c r="AES164" s="1"/>
      <c r="AET164" s="1"/>
      <c r="AEU164" s="1"/>
      <c r="AEV164" s="1"/>
      <c r="AEW164" s="1"/>
      <c r="AEX164" s="1"/>
      <c r="AEY164" s="1"/>
      <c r="AEZ164" s="1"/>
      <c r="AFA164" s="1"/>
      <c r="AFB164" s="1"/>
      <c r="AFC164" s="1"/>
      <c r="AFD164" s="1"/>
      <c r="AFE164" s="1"/>
      <c r="AFF164" s="1"/>
      <c r="AFG164" s="1"/>
      <c r="AFH164" s="1"/>
      <c r="AFI164" s="1"/>
      <c r="AFJ164" s="1"/>
      <c r="AFK164" s="1"/>
      <c r="AFL164" s="1"/>
      <c r="AFM164" s="1"/>
      <c r="AFN164" s="1"/>
      <c r="AFO164" s="1"/>
      <c r="AFP164" s="1"/>
      <c r="AFQ164" s="1"/>
      <c r="AFR164" s="1"/>
      <c r="AFS164" s="1"/>
      <c r="AFT164" s="1"/>
      <c r="AFU164" s="1"/>
      <c r="AFV164" s="1"/>
      <c r="AFW164" s="1"/>
      <c r="AFX164" s="1"/>
      <c r="AFY164" s="1"/>
      <c r="AFZ164" s="1"/>
      <c r="AGA164" s="1"/>
      <c r="AGB164" s="1"/>
      <c r="AGC164" s="1"/>
      <c r="AGD164" s="1"/>
      <c r="AGE164" s="1"/>
      <c r="AGF164" s="1"/>
      <c r="AGG164" s="1"/>
      <c r="AGH164" s="1"/>
      <c r="AGI164" s="1"/>
      <c r="AGJ164" s="1"/>
      <c r="AGK164" s="1"/>
      <c r="AGL164" s="1"/>
      <c r="AGM164" s="1"/>
      <c r="AGN164" s="1"/>
      <c r="AGO164" s="1"/>
      <c r="AGP164" s="1"/>
      <c r="AGQ164" s="1"/>
      <c r="AGR164" s="1"/>
      <c r="AGS164" s="1"/>
      <c r="AGT164" s="1"/>
      <c r="AGU164" s="1"/>
      <c r="AGV164" s="1"/>
      <c r="AGW164" s="1"/>
      <c r="AGX164" s="1"/>
      <c r="AGY164" s="1"/>
      <c r="AGZ164" s="1"/>
      <c r="AHA164" s="1"/>
      <c r="AHB164" s="1"/>
      <c r="AHC164" s="1"/>
      <c r="AHD164" s="1"/>
      <c r="AHE164" s="1"/>
      <c r="AHF164" s="1"/>
      <c r="AHG164" s="1"/>
      <c r="AHH164" s="1"/>
      <c r="AHI164" s="1"/>
      <c r="AHJ164" s="1"/>
      <c r="AHK164" s="1"/>
      <c r="AHL164" s="1"/>
      <c r="AHM164" s="1"/>
      <c r="AHN164" s="1"/>
      <c r="AHO164" s="1"/>
      <c r="AHP164" s="1"/>
      <c r="AHQ164" s="1"/>
      <c r="AHR164" s="1"/>
      <c r="AHS164" s="1"/>
      <c r="AHT164" s="1"/>
      <c r="AHU164" s="1"/>
      <c r="AHV164" s="1"/>
      <c r="AHW164" s="1"/>
      <c r="AHX164" s="1"/>
      <c r="AHY164" s="1"/>
    </row>
    <row r="165" spans="1:909" s="5" customFormat="1" ht="22.2" thickTop="1" thickBot="1">
      <c r="A165" s="11" t="s">
        <v>109</v>
      </c>
      <c r="B165" s="170">
        <f>'[1]التعليم الابتدائي'!AB368</f>
        <v>0</v>
      </c>
      <c r="C165" s="182"/>
      <c r="D165" s="170">
        <f>'[1]التعليم الابتدائي'!AD368</f>
        <v>0</v>
      </c>
      <c r="E165" s="182"/>
      <c r="F165" s="170">
        <f>'[1]التعليم الابتدائي'!AF368</f>
        <v>0</v>
      </c>
      <c r="G165" s="182"/>
      <c r="H165" s="170">
        <f>'[1]التعليم الابتدائي'!AH368</f>
        <v>0</v>
      </c>
      <c r="I165" s="182"/>
      <c r="J165" s="170">
        <f>'[1]التعليم الابتدائي'!AJ368</f>
        <v>0</v>
      </c>
      <c r="K165" s="182"/>
      <c r="L165" s="170">
        <f>'[1]التعليم الابتدائي'!AL368</f>
        <v>0</v>
      </c>
      <c r="M165" s="182"/>
      <c r="N165" s="170">
        <f>L165+J165+H165+F165+D165+B165</f>
        <v>0</v>
      </c>
      <c r="O165" s="181"/>
      <c r="P165" s="193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  <c r="LN165" s="1"/>
      <c r="LO165" s="1"/>
      <c r="LP165" s="1"/>
      <c r="LQ165" s="1"/>
      <c r="LR165" s="1"/>
      <c r="LS165" s="1"/>
      <c r="LT165" s="1"/>
      <c r="LU165" s="1"/>
      <c r="LV165" s="1"/>
      <c r="LW165" s="1"/>
      <c r="LX165" s="1"/>
      <c r="LY165" s="1"/>
      <c r="LZ165" s="1"/>
      <c r="MA165" s="1"/>
      <c r="MB165" s="1"/>
      <c r="MC165" s="1"/>
      <c r="MD165" s="1"/>
      <c r="ME165" s="1"/>
      <c r="MF165" s="1"/>
      <c r="MG165" s="1"/>
      <c r="MH165" s="1"/>
      <c r="MI165" s="1"/>
      <c r="MJ165" s="1"/>
      <c r="MK165" s="1"/>
      <c r="ML165" s="1"/>
      <c r="MM165" s="1"/>
      <c r="MN165" s="1"/>
      <c r="MO165" s="1"/>
      <c r="MP165" s="1"/>
      <c r="MQ165" s="1"/>
      <c r="MR165" s="1"/>
      <c r="MS165" s="1"/>
      <c r="MT165" s="1"/>
      <c r="MU165" s="1"/>
      <c r="MV165" s="1"/>
      <c r="MW165" s="1"/>
      <c r="MX165" s="1"/>
      <c r="MY165" s="1"/>
      <c r="MZ165" s="1"/>
      <c r="NA165" s="1"/>
      <c r="NB165" s="1"/>
      <c r="NC165" s="1"/>
      <c r="ND165" s="1"/>
      <c r="NE165" s="1"/>
      <c r="NF165" s="1"/>
      <c r="NG165" s="1"/>
      <c r="NH165" s="1"/>
      <c r="NI165" s="1"/>
      <c r="NJ165" s="1"/>
      <c r="NK165" s="1"/>
      <c r="NL165" s="1"/>
      <c r="NM165" s="1"/>
      <c r="NN165" s="1"/>
      <c r="NO165" s="1"/>
      <c r="NP165" s="1"/>
      <c r="NQ165" s="1"/>
      <c r="NR165" s="1"/>
      <c r="NS165" s="1"/>
      <c r="NT165" s="1"/>
      <c r="NU165" s="1"/>
      <c r="NV165" s="1"/>
      <c r="NW165" s="1"/>
      <c r="NX165" s="1"/>
      <c r="NY165" s="1"/>
      <c r="NZ165" s="1"/>
      <c r="OA165" s="1"/>
      <c r="OB165" s="1"/>
      <c r="OC165" s="1"/>
      <c r="OD165" s="1"/>
      <c r="OE165" s="1"/>
      <c r="OF165" s="1"/>
      <c r="OG165" s="1"/>
      <c r="OH165" s="1"/>
      <c r="OI165" s="1"/>
      <c r="OJ165" s="1"/>
      <c r="OK165" s="1"/>
      <c r="OL165" s="1"/>
      <c r="OM165" s="1"/>
      <c r="ON165" s="1"/>
      <c r="OO165" s="1"/>
      <c r="OP165" s="1"/>
      <c r="OQ165" s="1"/>
      <c r="OR165" s="1"/>
      <c r="OS165" s="1"/>
      <c r="OT165" s="1"/>
      <c r="OU165" s="1"/>
      <c r="OV165" s="1"/>
      <c r="OW165" s="1"/>
      <c r="OX165" s="1"/>
      <c r="OY165" s="1"/>
      <c r="OZ165" s="1"/>
      <c r="PA165" s="1"/>
      <c r="PB165" s="1"/>
      <c r="PC165" s="1"/>
      <c r="PD165" s="1"/>
      <c r="PE165" s="1"/>
      <c r="PF165" s="1"/>
      <c r="PG165" s="1"/>
      <c r="PH165" s="1"/>
      <c r="PI165" s="1"/>
      <c r="PJ165" s="1"/>
      <c r="PK165" s="1"/>
      <c r="PL165" s="1"/>
      <c r="PM165" s="1"/>
      <c r="PN165" s="1"/>
      <c r="PO165" s="1"/>
      <c r="PP165" s="1"/>
      <c r="PQ165" s="1"/>
      <c r="PR165" s="1"/>
      <c r="PS165" s="1"/>
      <c r="PT165" s="1"/>
      <c r="PU165" s="1"/>
      <c r="PV165" s="1"/>
      <c r="PW165" s="1"/>
      <c r="PX165" s="1"/>
      <c r="PY165" s="1"/>
      <c r="PZ165" s="1"/>
      <c r="QA165" s="1"/>
      <c r="QB165" s="1"/>
      <c r="QC165" s="1"/>
      <c r="QD165" s="1"/>
      <c r="QE165" s="1"/>
      <c r="QF165" s="1"/>
      <c r="QG165" s="1"/>
      <c r="QH165" s="1"/>
      <c r="QI165" s="1"/>
      <c r="QJ165" s="1"/>
      <c r="QK165" s="1"/>
      <c r="QL165" s="1"/>
      <c r="QM165" s="1"/>
      <c r="QN165" s="1"/>
      <c r="QO165" s="1"/>
      <c r="QP165" s="1"/>
      <c r="QQ165" s="1"/>
      <c r="QR165" s="1"/>
      <c r="QS165" s="1"/>
      <c r="QT165" s="1"/>
      <c r="QU165" s="1"/>
      <c r="QV165" s="1"/>
      <c r="QW165" s="1"/>
      <c r="QX165" s="1"/>
      <c r="QY165" s="1"/>
      <c r="QZ165" s="1"/>
      <c r="RA165" s="1"/>
      <c r="RB165" s="1"/>
      <c r="RC165" s="1"/>
      <c r="RD165" s="1"/>
      <c r="RE165" s="1"/>
      <c r="RF165" s="1"/>
      <c r="RG165" s="1"/>
      <c r="RH165" s="1"/>
      <c r="RI165" s="1"/>
      <c r="RJ165" s="1"/>
      <c r="RK165" s="1"/>
      <c r="RL165" s="1"/>
      <c r="RM165" s="1"/>
      <c r="RN165" s="1"/>
      <c r="RO165" s="1"/>
      <c r="RP165" s="1"/>
      <c r="RQ165" s="1"/>
      <c r="RR165" s="1"/>
      <c r="RS165" s="1"/>
      <c r="RT165" s="1"/>
      <c r="RU165" s="1"/>
      <c r="RV165" s="1"/>
      <c r="RW165" s="1"/>
      <c r="RX165" s="1"/>
      <c r="RY165" s="1"/>
      <c r="RZ165" s="1"/>
      <c r="SA165" s="1"/>
      <c r="SB165" s="1"/>
      <c r="SC165" s="1"/>
      <c r="SD165" s="1"/>
      <c r="SE165" s="1"/>
      <c r="SF165" s="1"/>
      <c r="SG165" s="1"/>
      <c r="SH165" s="1"/>
      <c r="SI165" s="1"/>
      <c r="SJ165" s="1"/>
      <c r="SK165" s="1"/>
      <c r="SL165" s="1"/>
      <c r="SM165" s="1"/>
      <c r="SN165" s="1"/>
      <c r="SO165" s="1"/>
      <c r="SP165" s="1"/>
      <c r="SQ165" s="1"/>
      <c r="SR165" s="1"/>
      <c r="SS165" s="1"/>
      <c r="ST165" s="1"/>
      <c r="SU165" s="1"/>
      <c r="SV165" s="1"/>
      <c r="SW165" s="1"/>
      <c r="SX165" s="1"/>
      <c r="SY165" s="1"/>
      <c r="SZ165" s="1"/>
      <c r="TA165" s="1"/>
      <c r="TB165" s="1"/>
      <c r="TC165" s="1"/>
      <c r="TD165" s="1"/>
      <c r="TE165" s="1"/>
      <c r="TF165" s="1"/>
      <c r="TG165" s="1"/>
      <c r="TH165" s="1"/>
      <c r="TI165" s="1"/>
      <c r="TJ165" s="1"/>
      <c r="TK165" s="1"/>
      <c r="TL165" s="1"/>
      <c r="TM165" s="1"/>
      <c r="TN165" s="1"/>
      <c r="TO165" s="1"/>
      <c r="TP165" s="1"/>
      <c r="TQ165" s="1"/>
      <c r="TR165" s="1"/>
      <c r="TS165" s="1"/>
      <c r="TT165" s="1"/>
      <c r="TU165" s="1"/>
      <c r="TV165" s="1"/>
      <c r="TW165" s="1"/>
      <c r="TX165" s="1"/>
      <c r="TY165" s="1"/>
      <c r="TZ165" s="1"/>
      <c r="UA165" s="1"/>
      <c r="UB165" s="1"/>
      <c r="UC165" s="1"/>
      <c r="UD165" s="1"/>
      <c r="UE165" s="1"/>
      <c r="UF165" s="1"/>
      <c r="UG165" s="1"/>
      <c r="UH165" s="1"/>
      <c r="UI165" s="1"/>
      <c r="UJ165" s="1"/>
      <c r="UK165" s="1"/>
      <c r="UL165" s="1"/>
      <c r="UM165" s="1"/>
      <c r="UN165" s="1"/>
      <c r="UO165" s="1"/>
      <c r="UP165" s="1"/>
      <c r="UQ165" s="1"/>
      <c r="UR165" s="1"/>
      <c r="US165" s="1"/>
      <c r="UT165" s="1"/>
      <c r="UU165" s="1"/>
      <c r="UV165" s="1"/>
      <c r="UW165" s="1"/>
      <c r="UX165" s="1"/>
      <c r="UY165" s="1"/>
      <c r="UZ165" s="1"/>
      <c r="VA165" s="1"/>
      <c r="VB165" s="1"/>
      <c r="VC165" s="1"/>
      <c r="VD165" s="1"/>
      <c r="VE165" s="1"/>
      <c r="VF165" s="1"/>
      <c r="VG165" s="1"/>
      <c r="VH165" s="1"/>
      <c r="VI165" s="1"/>
      <c r="VJ165" s="1"/>
      <c r="VK165" s="1"/>
      <c r="VL165" s="1"/>
      <c r="VM165" s="1"/>
      <c r="VN165" s="1"/>
      <c r="VO165" s="1"/>
      <c r="VP165" s="1"/>
      <c r="VQ165" s="1"/>
      <c r="VR165" s="1"/>
      <c r="VS165" s="1"/>
      <c r="VT165" s="1"/>
      <c r="VU165" s="1"/>
      <c r="VV165" s="1"/>
      <c r="VW165" s="1"/>
      <c r="VX165" s="1"/>
      <c r="VY165" s="1"/>
      <c r="VZ165" s="1"/>
      <c r="WA165" s="1"/>
      <c r="WB165" s="1"/>
      <c r="WC165" s="1"/>
      <c r="WD165" s="1"/>
      <c r="WE165" s="1"/>
      <c r="WF165" s="1"/>
      <c r="WG165" s="1"/>
      <c r="WH165" s="1"/>
      <c r="WI165" s="1"/>
      <c r="WJ165" s="1"/>
      <c r="WK165" s="1"/>
      <c r="WL165" s="1"/>
      <c r="WM165" s="1"/>
      <c r="WN165" s="1"/>
      <c r="WO165" s="1"/>
      <c r="WP165" s="1"/>
      <c r="WQ165" s="1"/>
      <c r="WR165" s="1"/>
      <c r="WS165" s="1"/>
      <c r="WT165" s="1"/>
      <c r="WU165" s="1"/>
      <c r="WV165" s="1"/>
      <c r="WW165" s="1"/>
      <c r="WX165" s="1"/>
      <c r="WY165" s="1"/>
      <c r="WZ165" s="1"/>
      <c r="XA165" s="1"/>
      <c r="XB165" s="1"/>
      <c r="XC165" s="1"/>
      <c r="XD165" s="1"/>
      <c r="XE165" s="1"/>
      <c r="XF165" s="1"/>
      <c r="XG165" s="1"/>
      <c r="XH165" s="1"/>
      <c r="XI165" s="1"/>
      <c r="XJ165" s="1"/>
      <c r="XK165" s="1"/>
      <c r="XL165" s="1"/>
      <c r="XM165" s="1"/>
      <c r="XN165" s="1"/>
      <c r="XO165" s="1"/>
      <c r="XP165" s="1"/>
      <c r="XQ165" s="1"/>
      <c r="XR165" s="1"/>
      <c r="XS165" s="1"/>
      <c r="XT165" s="1"/>
      <c r="XU165" s="1"/>
      <c r="XV165" s="1"/>
      <c r="XW165" s="1"/>
      <c r="XX165" s="1"/>
      <c r="XY165" s="1"/>
      <c r="XZ165" s="1"/>
      <c r="YA165" s="1"/>
      <c r="YB165" s="1"/>
      <c r="YC165" s="1"/>
      <c r="YD165" s="1"/>
      <c r="YE165" s="1"/>
      <c r="YF165" s="1"/>
      <c r="YG165" s="1"/>
      <c r="YH165" s="1"/>
      <c r="YI165" s="1"/>
      <c r="YJ165" s="1"/>
      <c r="YK165" s="1"/>
      <c r="YL165" s="1"/>
      <c r="YM165" s="1"/>
      <c r="YN165" s="1"/>
      <c r="YO165" s="1"/>
      <c r="YP165" s="1"/>
      <c r="YQ165" s="1"/>
      <c r="YR165" s="1"/>
      <c r="YS165" s="1"/>
      <c r="YT165" s="1"/>
      <c r="YU165" s="1"/>
      <c r="YV165" s="1"/>
      <c r="YW165" s="1"/>
      <c r="YX165" s="1"/>
      <c r="YY165" s="1"/>
      <c r="YZ165" s="1"/>
      <c r="ZA165" s="1"/>
      <c r="ZB165" s="1"/>
      <c r="ZC165" s="1"/>
      <c r="ZD165" s="1"/>
      <c r="ZE165" s="1"/>
      <c r="ZF165" s="1"/>
      <c r="ZG165" s="1"/>
      <c r="ZH165" s="1"/>
      <c r="ZI165" s="1"/>
      <c r="ZJ165" s="1"/>
      <c r="ZK165" s="1"/>
      <c r="ZL165" s="1"/>
      <c r="ZM165" s="1"/>
      <c r="ZN165" s="1"/>
      <c r="ZO165" s="1"/>
      <c r="ZP165" s="1"/>
      <c r="ZQ165" s="1"/>
      <c r="ZR165" s="1"/>
      <c r="ZS165" s="1"/>
      <c r="ZT165" s="1"/>
      <c r="ZU165" s="1"/>
      <c r="ZV165" s="1"/>
      <c r="ZW165" s="1"/>
      <c r="ZX165" s="1"/>
      <c r="ZY165" s="1"/>
      <c r="ZZ165" s="1"/>
      <c r="AAA165" s="1"/>
      <c r="AAB165" s="1"/>
      <c r="AAC165" s="1"/>
      <c r="AAD165" s="1"/>
      <c r="AAE165" s="1"/>
      <c r="AAF165" s="1"/>
      <c r="AAG165" s="1"/>
      <c r="AAH165" s="1"/>
      <c r="AAI165" s="1"/>
      <c r="AAJ165" s="1"/>
      <c r="AAK165" s="1"/>
      <c r="AAL165" s="1"/>
      <c r="AAM165" s="1"/>
      <c r="AAN165" s="1"/>
      <c r="AAO165" s="1"/>
      <c r="AAP165" s="1"/>
      <c r="AAQ165" s="1"/>
      <c r="AAR165" s="1"/>
      <c r="AAS165" s="1"/>
      <c r="AAT165" s="1"/>
      <c r="AAU165" s="1"/>
      <c r="AAV165" s="1"/>
      <c r="AAW165" s="1"/>
      <c r="AAX165" s="1"/>
      <c r="AAY165" s="1"/>
      <c r="AAZ165" s="1"/>
      <c r="ABA165" s="1"/>
      <c r="ABB165" s="1"/>
      <c r="ABC165" s="1"/>
      <c r="ABD165" s="1"/>
      <c r="ABE165" s="1"/>
      <c r="ABF165" s="1"/>
      <c r="ABG165" s="1"/>
      <c r="ABH165" s="1"/>
      <c r="ABI165" s="1"/>
      <c r="ABJ165" s="1"/>
      <c r="ABK165" s="1"/>
      <c r="ABL165" s="1"/>
      <c r="ABM165" s="1"/>
      <c r="ABN165" s="1"/>
      <c r="ABO165" s="1"/>
      <c r="ABP165" s="1"/>
      <c r="ABQ165" s="1"/>
      <c r="ABR165" s="1"/>
      <c r="ABS165" s="1"/>
      <c r="ABT165" s="1"/>
      <c r="ABU165" s="1"/>
      <c r="ABV165" s="1"/>
      <c r="ABW165" s="1"/>
      <c r="ABX165" s="1"/>
      <c r="ABY165" s="1"/>
      <c r="ABZ165" s="1"/>
      <c r="ACA165" s="1"/>
      <c r="ACB165" s="1"/>
      <c r="ACC165" s="1"/>
      <c r="ACD165" s="1"/>
      <c r="ACE165" s="1"/>
      <c r="ACF165" s="1"/>
      <c r="ACG165" s="1"/>
      <c r="ACH165" s="1"/>
      <c r="ACI165" s="1"/>
      <c r="ACJ165" s="1"/>
      <c r="ACK165" s="1"/>
      <c r="ACL165" s="1"/>
      <c r="ACM165" s="1"/>
      <c r="ACN165" s="1"/>
      <c r="ACO165" s="1"/>
      <c r="ACP165" s="1"/>
      <c r="ACQ165" s="1"/>
      <c r="ACR165" s="1"/>
      <c r="ACS165" s="1"/>
      <c r="ACT165" s="1"/>
      <c r="ACU165" s="1"/>
      <c r="ACV165" s="1"/>
      <c r="ACW165" s="1"/>
      <c r="ACX165" s="1"/>
      <c r="ACY165" s="1"/>
      <c r="ACZ165" s="1"/>
      <c r="ADA165" s="1"/>
      <c r="ADB165" s="1"/>
      <c r="ADC165" s="1"/>
      <c r="ADD165" s="1"/>
      <c r="ADE165" s="1"/>
      <c r="ADF165" s="1"/>
      <c r="ADG165" s="1"/>
      <c r="ADH165" s="1"/>
      <c r="ADI165" s="1"/>
      <c r="ADJ165" s="1"/>
      <c r="ADK165" s="1"/>
      <c r="ADL165" s="1"/>
      <c r="ADM165" s="1"/>
      <c r="ADN165" s="1"/>
      <c r="ADO165" s="1"/>
      <c r="ADP165" s="1"/>
      <c r="ADQ165" s="1"/>
      <c r="ADR165" s="1"/>
      <c r="ADS165" s="1"/>
      <c r="ADT165" s="1"/>
      <c r="ADU165" s="1"/>
      <c r="ADV165" s="1"/>
      <c r="ADW165" s="1"/>
      <c r="ADX165" s="1"/>
      <c r="ADY165" s="1"/>
      <c r="ADZ165" s="1"/>
      <c r="AEA165" s="1"/>
      <c r="AEB165" s="1"/>
      <c r="AEC165" s="1"/>
      <c r="AED165" s="1"/>
      <c r="AEE165" s="1"/>
      <c r="AEF165" s="1"/>
      <c r="AEG165" s="1"/>
      <c r="AEH165" s="1"/>
      <c r="AEI165" s="1"/>
      <c r="AEJ165" s="1"/>
      <c r="AEK165" s="1"/>
      <c r="AEL165" s="1"/>
      <c r="AEM165" s="1"/>
      <c r="AEN165" s="1"/>
      <c r="AEO165" s="1"/>
      <c r="AEP165" s="1"/>
      <c r="AEQ165" s="1"/>
      <c r="AER165" s="1"/>
      <c r="AES165" s="1"/>
      <c r="AET165" s="1"/>
      <c r="AEU165" s="1"/>
      <c r="AEV165" s="1"/>
      <c r="AEW165" s="1"/>
      <c r="AEX165" s="1"/>
      <c r="AEY165" s="1"/>
      <c r="AEZ165" s="1"/>
      <c r="AFA165" s="1"/>
      <c r="AFB165" s="1"/>
      <c r="AFC165" s="1"/>
      <c r="AFD165" s="1"/>
      <c r="AFE165" s="1"/>
      <c r="AFF165" s="1"/>
      <c r="AFG165" s="1"/>
      <c r="AFH165" s="1"/>
      <c r="AFI165" s="1"/>
      <c r="AFJ165" s="1"/>
      <c r="AFK165" s="1"/>
      <c r="AFL165" s="1"/>
      <c r="AFM165" s="1"/>
      <c r="AFN165" s="1"/>
      <c r="AFO165" s="1"/>
      <c r="AFP165" s="1"/>
      <c r="AFQ165" s="1"/>
      <c r="AFR165" s="1"/>
      <c r="AFS165" s="1"/>
      <c r="AFT165" s="1"/>
      <c r="AFU165" s="1"/>
      <c r="AFV165" s="1"/>
      <c r="AFW165" s="1"/>
      <c r="AFX165" s="1"/>
      <c r="AFY165" s="1"/>
      <c r="AFZ165" s="1"/>
      <c r="AGA165" s="1"/>
      <c r="AGB165" s="1"/>
      <c r="AGC165" s="1"/>
      <c r="AGD165" s="1"/>
      <c r="AGE165" s="1"/>
      <c r="AGF165" s="1"/>
      <c r="AGG165" s="1"/>
      <c r="AGH165" s="1"/>
      <c r="AGI165" s="1"/>
      <c r="AGJ165" s="1"/>
      <c r="AGK165" s="1"/>
      <c r="AGL165" s="1"/>
      <c r="AGM165" s="1"/>
      <c r="AGN165" s="1"/>
      <c r="AGO165" s="1"/>
      <c r="AGP165" s="1"/>
      <c r="AGQ165" s="1"/>
      <c r="AGR165" s="1"/>
      <c r="AGS165" s="1"/>
      <c r="AGT165" s="1"/>
      <c r="AGU165" s="1"/>
      <c r="AGV165" s="1"/>
      <c r="AGW165" s="1"/>
      <c r="AGX165" s="1"/>
      <c r="AGY165" s="1"/>
      <c r="AGZ165" s="1"/>
      <c r="AHA165" s="1"/>
      <c r="AHB165" s="1"/>
      <c r="AHC165" s="1"/>
      <c r="AHD165" s="1"/>
      <c r="AHE165" s="1"/>
      <c r="AHF165" s="1"/>
      <c r="AHG165" s="1"/>
      <c r="AHH165" s="1"/>
      <c r="AHI165" s="1"/>
      <c r="AHJ165" s="1"/>
      <c r="AHK165" s="1"/>
      <c r="AHL165" s="1"/>
      <c r="AHM165" s="1"/>
      <c r="AHN165" s="1"/>
      <c r="AHO165" s="1"/>
      <c r="AHP165" s="1"/>
      <c r="AHQ165" s="1"/>
      <c r="AHR165" s="1"/>
      <c r="AHS165" s="1"/>
      <c r="AHT165" s="1"/>
      <c r="AHU165" s="1"/>
      <c r="AHV165" s="1"/>
      <c r="AHW165" s="1"/>
      <c r="AHX165" s="1"/>
      <c r="AHY165" s="1"/>
    </row>
    <row r="166" spans="1:909" s="5" customFormat="1" ht="22.2" thickTop="1" thickBot="1">
      <c r="A166" s="6" t="s">
        <v>110</v>
      </c>
      <c r="B166" s="194">
        <f>SUM(B164:B165)</f>
        <v>0</v>
      </c>
      <c r="C166" s="195"/>
      <c r="D166" s="194">
        <f>SUM(D164:D165)</f>
        <v>0</v>
      </c>
      <c r="E166" s="195"/>
      <c r="F166" s="194">
        <f>SUM(F164:F165)</f>
        <v>0</v>
      </c>
      <c r="G166" s="195"/>
      <c r="H166" s="194">
        <f>SUM(H164:H165)</f>
        <v>0</v>
      </c>
      <c r="I166" s="195"/>
      <c r="J166" s="194">
        <f>SUM(J164:J165)</f>
        <v>0</v>
      </c>
      <c r="K166" s="195"/>
      <c r="L166" s="194">
        <f>SUM(L164:L165)</f>
        <v>0</v>
      </c>
      <c r="M166" s="195"/>
      <c r="N166" s="194">
        <f>L166+J166+H166+F166+D166+B166</f>
        <v>0</v>
      </c>
      <c r="O166" s="196"/>
      <c r="P166" s="197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  <c r="LN166" s="1"/>
      <c r="LO166" s="1"/>
      <c r="LP166" s="1"/>
      <c r="LQ166" s="1"/>
      <c r="LR166" s="1"/>
      <c r="LS166" s="1"/>
      <c r="LT166" s="1"/>
      <c r="LU166" s="1"/>
      <c r="LV166" s="1"/>
      <c r="LW166" s="1"/>
      <c r="LX166" s="1"/>
      <c r="LY166" s="1"/>
      <c r="LZ166" s="1"/>
      <c r="MA166" s="1"/>
      <c r="MB166" s="1"/>
      <c r="MC166" s="1"/>
      <c r="MD166" s="1"/>
      <c r="ME166" s="1"/>
      <c r="MF166" s="1"/>
      <c r="MG166" s="1"/>
      <c r="MH166" s="1"/>
      <c r="MI166" s="1"/>
      <c r="MJ166" s="1"/>
      <c r="MK166" s="1"/>
      <c r="ML166" s="1"/>
      <c r="MM166" s="1"/>
      <c r="MN166" s="1"/>
      <c r="MO166" s="1"/>
      <c r="MP166" s="1"/>
      <c r="MQ166" s="1"/>
      <c r="MR166" s="1"/>
      <c r="MS166" s="1"/>
      <c r="MT166" s="1"/>
      <c r="MU166" s="1"/>
      <c r="MV166" s="1"/>
      <c r="MW166" s="1"/>
      <c r="MX166" s="1"/>
      <c r="MY166" s="1"/>
      <c r="MZ166" s="1"/>
      <c r="NA166" s="1"/>
      <c r="NB166" s="1"/>
      <c r="NC166" s="1"/>
      <c r="ND166" s="1"/>
      <c r="NE166" s="1"/>
      <c r="NF166" s="1"/>
      <c r="NG166" s="1"/>
      <c r="NH166" s="1"/>
      <c r="NI166" s="1"/>
      <c r="NJ166" s="1"/>
      <c r="NK166" s="1"/>
      <c r="NL166" s="1"/>
      <c r="NM166" s="1"/>
      <c r="NN166" s="1"/>
      <c r="NO166" s="1"/>
      <c r="NP166" s="1"/>
      <c r="NQ166" s="1"/>
      <c r="NR166" s="1"/>
      <c r="NS166" s="1"/>
      <c r="NT166" s="1"/>
      <c r="NU166" s="1"/>
      <c r="NV166" s="1"/>
      <c r="NW166" s="1"/>
      <c r="NX166" s="1"/>
      <c r="NY166" s="1"/>
      <c r="NZ166" s="1"/>
      <c r="OA166" s="1"/>
      <c r="OB166" s="1"/>
      <c r="OC166" s="1"/>
      <c r="OD166" s="1"/>
      <c r="OE166" s="1"/>
      <c r="OF166" s="1"/>
      <c r="OG166" s="1"/>
      <c r="OH166" s="1"/>
      <c r="OI166" s="1"/>
      <c r="OJ166" s="1"/>
      <c r="OK166" s="1"/>
      <c r="OL166" s="1"/>
      <c r="OM166" s="1"/>
      <c r="ON166" s="1"/>
      <c r="OO166" s="1"/>
      <c r="OP166" s="1"/>
      <c r="OQ166" s="1"/>
      <c r="OR166" s="1"/>
      <c r="OS166" s="1"/>
      <c r="OT166" s="1"/>
      <c r="OU166" s="1"/>
      <c r="OV166" s="1"/>
      <c r="OW166" s="1"/>
      <c r="OX166" s="1"/>
      <c r="OY166" s="1"/>
      <c r="OZ166" s="1"/>
      <c r="PA166" s="1"/>
      <c r="PB166" s="1"/>
      <c r="PC166" s="1"/>
      <c r="PD166" s="1"/>
      <c r="PE166" s="1"/>
      <c r="PF166" s="1"/>
      <c r="PG166" s="1"/>
      <c r="PH166" s="1"/>
      <c r="PI166" s="1"/>
      <c r="PJ166" s="1"/>
      <c r="PK166" s="1"/>
      <c r="PL166" s="1"/>
      <c r="PM166" s="1"/>
      <c r="PN166" s="1"/>
      <c r="PO166" s="1"/>
      <c r="PP166" s="1"/>
      <c r="PQ166" s="1"/>
      <c r="PR166" s="1"/>
      <c r="PS166" s="1"/>
      <c r="PT166" s="1"/>
      <c r="PU166" s="1"/>
      <c r="PV166" s="1"/>
      <c r="PW166" s="1"/>
      <c r="PX166" s="1"/>
      <c r="PY166" s="1"/>
      <c r="PZ166" s="1"/>
      <c r="QA166" s="1"/>
      <c r="QB166" s="1"/>
      <c r="QC166" s="1"/>
      <c r="QD166" s="1"/>
      <c r="QE166" s="1"/>
      <c r="QF166" s="1"/>
      <c r="QG166" s="1"/>
      <c r="QH166" s="1"/>
      <c r="QI166" s="1"/>
      <c r="QJ166" s="1"/>
      <c r="QK166" s="1"/>
      <c r="QL166" s="1"/>
      <c r="QM166" s="1"/>
      <c r="QN166" s="1"/>
      <c r="QO166" s="1"/>
      <c r="QP166" s="1"/>
      <c r="QQ166" s="1"/>
      <c r="QR166" s="1"/>
      <c r="QS166" s="1"/>
      <c r="QT166" s="1"/>
      <c r="QU166" s="1"/>
      <c r="QV166" s="1"/>
      <c r="QW166" s="1"/>
      <c r="QX166" s="1"/>
      <c r="QY166" s="1"/>
      <c r="QZ166" s="1"/>
      <c r="RA166" s="1"/>
      <c r="RB166" s="1"/>
      <c r="RC166" s="1"/>
      <c r="RD166" s="1"/>
      <c r="RE166" s="1"/>
      <c r="RF166" s="1"/>
      <c r="RG166" s="1"/>
      <c r="RH166" s="1"/>
      <c r="RI166" s="1"/>
      <c r="RJ166" s="1"/>
      <c r="RK166" s="1"/>
      <c r="RL166" s="1"/>
      <c r="RM166" s="1"/>
      <c r="RN166" s="1"/>
      <c r="RO166" s="1"/>
      <c r="RP166" s="1"/>
      <c r="RQ166" s="1"/>
      <c r="RR166" s="1"/>
      <c r="RS166" s="1"/>
      <c r="RT166" s="1"/>
      <c r="RU166" s="1"/>
      <c r="RV166" s="1"/>
      <c r="RW166" s="1"/>
      <c r="RX166" s="1"/>
      <c r="RY166" s="1"/>
      <c r="RZ166" s="1"/>
      <c r="SA166" s="1"/>
      <c r="SB166" s="1"/>
      <c r="SC166" s="1"/>
      <c r="SD166" s="1"/>
      <c r="SE166" s="1"/>
      <c r="SF166" s="1"/>
      <c r="SG166" s="1"/>
      <c r="SH166" s="1"/>
      <c r="SI166" s="1"/>
      <c r="SJ166" s="1"/>
      <c r="SK166" s="1"/>
      <c r="SL166" s="1"/>
      <c r="SM166" s="1"/>
      <c r="SN166" s="1"/>
      <c r="SO166" s="1"/>
      <c r="SP166" s="1"/>
      <c r="SQ166" s="1"/>
      <c r="SR166" s="1"/>
      <c r="SS166" s="1"/>
      <c r="ST166" s="1"/>
      <c r="SU166" s="1"/>
      <c r="SV166" s="1"/>
      <c r="SW166" s="1"/>
      <c r="SX166" s="1"/>
      <c r="SY166" s="1"/>
      <c r="SZ166" s="1"/>
      <c r="TA166" s="1"/>
      <c r="TB166" s="1"/>
      <c r="TC166" s="1"/>
      <c r="TD166" s="1"/>
      <c r="TE166" s="1"/>
      <c r="TF166" s="1"/>
      <c r="TG166" s="1"/>
      <c r="TH166" s="1"/>
      <c r="TI166" s="1"/>
      <c r="TJ166" s="1"/>
      <c r="TK166" s="1"/>
      <c r="TL166" s="1"/>
      <c r="TM166" s="1"/>
      <c r="TN166" s="1"/>
      <c r="TO166" s="1"/>
      <c r="TP166" s="1"/>
      <c r="TQ166" s="1"/>
      <c r="TR166" s="1"/>
      <c r="TS166" s="1"/>
      <c r="TT166" s="1"/>
      <c r="TU166" s="1"/>
      <c r="TV166" s="1"/>
      <c r="TW166" s="1"/>
      <c r="TX166" s="1"/>
      <c r="TY166" s="1"/>
      <c r="TZ166" s="1"/>
      <c r="UA166" s="1"/>
      <c r="UB166" s="1"/>
      <c r="UC166" s="1"/>
      <c r="UD166" s="1"/>
      <c r="UE166" s="1"/>
      <c r="UF166" s="1"/>
      <c r="UG166" s="1"/>
      <c r="UH166" s="1"/>
      <c r="UI166" s="1"/>
      <c r="UJ166" s="1"/>
      <c r="UK166" s="1"/>
      <c r="UL166" s="1"/>
      <c r="UM166" s="1"/>
      <c r="UN166" s="1"/>
      <c r="UO166" s="1"/>
      <c r="UP166" s="1"/>
      <c r="UQ166" s="1"/>
      <c r="UR166" s="1"/>
      <c r="US166" s="1"/>
      <c r="UT166" s="1"/>
      <c r="UU166" s="1"/>
      <c r="UV166" s="1"/>
      <c r="UW166" s="1"/>
      <c r="UX166" s="1"/>
      <c r="UY166" s="1"/>
      <c r="UZ166" s="1"/>
      <c r="VA166" s="1"/>
      <c r="VB166" s="1"/>
      <c r="VC166" s="1"/>
      <c r="VD166" s="1"/>
      <c r="VE166" s="1"/>
      <c r="VF166" s="1"/>
      <c r="VG166" s="1"/>
      <c r="VH166" s="1"/>
      <c r="VI166" s="1"/>
      <c r="VJ166" s="1"/>
      <c r="VK166" s="1"/>
      <c r="VL166" s="1"/>
      <c r="VM166" s="1"/>
      <c r="VN166" s="1"/>
      <c r="VO166" s="1"/>
      <c r="VP166" s="1"/>
      <c r="VQ166" s="1"/>
      <c r="VR166" s="1"/>
      <c r="VS166" s="1"/>
      <c r="VT166" s="1"/>
      <c r="VU166" s="1"/>
      <c r="VV166" s="1"/>
      <c r="VW166" s="1"/>
      <c r="VX166" s="1"/>
      <c r="VY166" s="1"/>
      <c r="VZ166" s="1"/>
      <c r="WA166" s="1"/>
      <c r="WB166" s="1"/>
      <c r="WC166" s="1"/>
      <c r="WD166" s="1"/>
      <c r="WE166" s="1"/>
      <c r="WF166" s="1"/>
      <c r="WG166" s="1"/>
      <c r="WH166" s="1"/>
      <c r="WI166" s="1"/>
      <c r="WJ166" s="1"/>
      <c r="WK166" s="1"/>
      <c r="WL166" s="1"/>
      <c r="WM166" s="1"/>
      <c r="WN166" s="1"/>
      <c r="WO166" s="1"/>
      <c r="WP166" s="1"/>
      <c r="WQ166" s="1"/>
      <c r="WR166" s="1"/>
      <c r="WS166" s="1"/>
      <c r="WT166" s="1"/>
      <c r="WU166" s="1"/>
      <c r="WV166" s="1"/>
      <c r="WW166" s="1"/>
      <c r="WX166" s="1"/>
      <c r="WY166" s="1"/>
      <c r="WZ166" s="1"/>
      <c r="XA166" s="1"/>
      <c r="XB166" s="1"/>
      <c r="XC166" s="1"/>
      <c r="XD166" s="1"/>
      <c r="XE166" s="1"/>
      <c r="XF166" s="1"/>
      <c r="XG166" s="1"/>
      <c r="XH166" s="1"/>
      <c r="XI166" s="1"/>
      <c r="XJ166" s="1"/>
      <c r="XK166" s="1"/>
      <c r="XL166" s="1"/>
      <c r="XM166" s="1"/>
      <c r="XN166" s="1"/>
      <c r="XO166" s="1"/>
      <c r="XP166" s="1"/>
      <c r="XQ166" s="1"/>
      <c r="XR166" s="1"/>
      <c r="XS166" s="1"/>
      <c r="XT166" s="1"/>
      <c r="XU166" s="1"/>
      <c r="XV166" s="1"/>
      <c r="XW166" s="1"/>
      <c r="XX166" s="1"/>
      <c r="XY166" s="1"/>
      <c r="XZ166" s="1"/>
      <c r="YA166" s="1"/>
      <c r="YB166" s="1"/>
      <c r="YC166" s="1"/>
      <c r="YD166" s="1"/>
      <c r="YE166" s="1"/>
      <c r="YF166" s="1"/>
      <c r="YG166" s="1"/>
      <c r="YH166" s="1"/>
      <c r="YI166" s="1"/>
      <c r="YJ166" s="1"/>
      <c r="YK166" s="1"/>
      <c r="YL166" s="1"/>
      <c r="YM166" s="1"/>
      <c r="YN166" s="1"/>
      <c r="YO166" s="1"/>
      <c r="YP166" s="1"/>
      <c r="YQ166" s="1"/>
      <c r="YR166" s="1"/>
      <c r="YS166" s="1"/>
      <c r="YT166" s="1"/>
      <c r="YU166" s="1"/>
      <c r="YV166" s="1"/>
      <c r="YW166" s="1"/>
      <c r="YX166" s="1"/>
      <c r="YY166" s="1"/>
      <c r="YZ166" s="1"/>
      <c r="ZA166" s="1"/>
      <c r="ZB166" s="1"/>
      <c r="ZC166" s="1"/>
      <c r="ZD166" s="1"/>
      <c r="ZE166" s="1"/>
      <c r="ZF166" s="1"/>
      <c r="ZG166" s="1"/>
      <c r="ZH166" s="1"/>
      <c r="ZI166" s="1"/>
      <c r="ZJ166" s="1"/>
      <c r="ZK166" s="1"/>
      <c r="ZL166" s="1"/>
      <c r="ZM166" s="1"/>
      <c r="ZN166" s="1"/>
      <c r="ZO166" s="1"/>
      <c r="ZP166" s="1"/>
      <c r="ZQ166" s="1"/>
      <c r="ZR166" s="1"/>
      <c r="ZS166" s="1"/>
      <c r="ZT166" s="1"/>
      <c r="ZU166" s="1"/>
      <c r="ZV166" s="1"/>
      <c r="ZW166" s="1"/>
      <c r="ZX166" s="1"/>
      <c r="ZY166" s="1"/>
      <c r="ZZ166" s="1"/>
      <c r="AAA166" s="1"/>
      <c r="AAB166" s="1"/>
      <c r="AAC166" s="1"/>
      <c r="AAD166" s="1"/>
      <c r="AAE166" s="1"/>
      <c r="AAF166" s="1"/>
      <c r="AAG166" s="1"/>
      <c r="AAH166" s="1"/>
      <c r="AAI166" s="1"/>
      <c r="AAJ166" s="1"/>
      <c r="AAK166" s="1"/>
      <c r="AAL166" s="1"/>
      <c r="AAM166" s="1"/>
      <c r="AAN166" s="1"/>
      <c r="AAO166" s="1"/>
      <c r="AAP166" s="1"/>
      <c r="AAQ166" s="1"/>
      <c r="AAR166" s="1"/>
      <c r="AAS166" s="1"/>
      <c r="AAT166" s="1"/>
      <c r="AAU166" s="1"/>
      <c r="AAV166" s="1"/>
      <c r="AAW166" s="1"/>
      <c r="AAX166" s="1"/>
      <c r="AAY166" s="1"/>
      <c r="AAZ166" s="1"/>
      <c r="ABA166" s="1"/>
      <c r="ABB166" s="1"/>
      <c r="ABC166" s="1"/>
      <c r="ABD166" s="1"/>
      <c r="ABE166" s="1"/>
      <c r="ABF166" s="1"/>
      <c r="ABG166" s="1"/>
      <c r="ABH166" s="1"/>
      <c r="ABI166" s="1"/>
      <c r="ABJ166" s="1"/>
      <c r="ABK166" s="1"/>
      <c r="ABL166" s="1"/>
      <c r="ABM166" s="1"/>
      <c r="ABN166" s="1"/>
      <c r="ABO166" s="1"/>
      <c r="ABP166" s="1"/>
      <c r="ABQ166" s="1"/>
      <c r="ABR166" s="1"/>
      <c r="ABS166" s="1"/>
      <c r="ABT166" s="1"/>
      <c r="ABU166" s="1"/>
      <c r="ABV166" s="1"/>
      <c r="ABW166" s="1"/>
      <c r="ABX166" s="1"/>
      <c r="ABY166" s="1"/>
      <c r="ABZ166" s="1"/>
      <c r="ACA166" s="1"/>
      <c r="ACB166" s="1"/>
      <c r="ACC166" s="1"/>
      <c r="ACD166" s="1"/>
      <c r="ACE166" s="1"/>
      <c r="ACF166" s="1"/>
      <c r="ACG166" s="1"/>
      <c r="ACH166" s="1"/>
      <c r="ACI166" s="1"/>
      <c r="ACJ166" s="1"/>
      <c r="ACK166" s="1"/>
      <c r="ACL166" s="1"/>
      <c r="ACM166" s="1"/>
      <c r="ACN166" s="1"/>
      <c r="ACO166" s="1"/>
      <c r="ACP166" s="1"/>
      <c r="ACQ166" s="1"/>
      <c r="ACR166" s="1"/>
      <c r="ACS166" s="1"/>
      <c r="ACT166" s="1"/>
      <c r="ACU166" s="1"/>
      <c r="ACV166" s="1"/>
      <c r="ACW166" s="1"/>
      <c r="ACX166" s="1"/>
      <c r="ACY166" s="1"/>
      <c r="ACZ166" s="1"/>
      <c r="ADA166" s="1"/>
      <c r="ADB166" s="1"/>
      <c r="ADC166" s="1"/>
      <c r="ADD166" s="1"/>
      <c r="ADE166" s="1"/>
      <c r="ADF166" s="1"/>
      <c r="ADG166" s="1"/>
      <c r="ADH166" s="1"/>
      <c r="ADI166" s="1"/>
      <c r="ADJ166" s="1"/>
      <c r="ADK166" s="1"/>
      <c r="ADL166" s="1"/>
      <c r="ADM166" s="1"/>
      <c r="ADN166" s="1"/>
      <c r="ADO166" s="1"/>
      <c r="ADP166" s="1"/>
      <c r="ADQ166" s="1"/>
      <c r="ADR166" s="1"/>
      <c r="ADS166" s="1"/>
      <c r="ADT166" s="1"/>
      <c r="ADU166" s="1"/>
      <c r="ADV166" s="1"/>
      <c r="ADW166" s="1"/>
      <c r="ADX166" s="1"/>
      <c r="ADY166" s="1"/>
      <c r="ADZ166" s="1"/>
      <c r="AEA166" s="1"/>
      <c r="AEB166" s="1"/>
      <c r="AEC166" s="1"/>
      <c r="AED166" s="1"/>
      <c r="AEE166" s="1"/>
      <c r="AEF166" s="1"/>
      <c r="AEG166" s="1"/>
      <c r="AEH166" s="1"/>
      <c r="AEI166" s="1"/>
      <c r="AEJ166" s="1"/>
      <c r="AEK166" s="1"/>
      <c r="AEL166" s="1"/>
      <c r="AEM166" s="1"/>
      <c r="AEN166" s="1"/>
      <c r="AEO166" s="1"/>
      <c r="AEP166" s="1"/>
      <c r="AEQ166" s="1"/>
      <c r="AER166" s="1"/>
      <c r="AES166" s="1"/>
      <c r="AET166" s="1"/>
      <c r="AEU166" s="1"/>
      <c r="AEV166" s="1"/>
      <c r="AEW166" s="1"/>
      <c r="AEX166" s="1"/>
      <c r="AEY166" s="1"/>
      <c r="AEZ166" s="1"/>
      <c r="AFA166" s="1"/>
      <c r="AFB166" s="1"/>
      <c r="AFC166" s="1"/>
      <c r="AFD166" s="1"/>
      <c r="AFE166" s="1"/>
      <c r="AFF166" s="1"/>
      <c r="AFG166" s="1"/>
      <c r="AFH166" s="1"/>
      <c r="AFI166" s="1"/>
      <c r="AFJ166" s="1"/>
      <c r="AFK166" s="1"/>
      <c r="AFL166" s="1"/>
      <c r="AFM166" s="1"/>
      <c r="AFN166" s="1"/>
      <c r="AFO166" s="1"/>
      <c r="AFP166" s="1"/>
      <c r="AFQ166" s="1"/>
      <c r="AFR166" s="1"/>
      <c r="AFS166" s="1"/>
      <c r="AFT166" s="1"/>
      <c r="AFU166" s="1"/>
      <c r="AFV166" s="1"/>
      <c r="AFW166" s="1"/>
      <c r="AFX166" s="1"/>
      <c r="AFY166" s="1"/>
      <c r="AFZ166" s="1"/>
      <c r="AGA166" s="1"/>
      <c r="AGB166" s="1"/>
      <c r="AGC166" s="1"/>
      <c r="AGD166" s="1"/>
      <c r="AGE166" s="1"/>
      <c r="AGF166" s="1"/>
      <c r="AGG166" s="1"/>
      <c r="AGH166" s="1"/>
      <c r="AGI166" s="1"/>
      <c r="AGJ166" s="1"/>
      <c r="AGK166" s="1"/>
      <c r="AGL166" s="1"/>
      <c r="AGM166" s="1"/>
      <c r="AGN166" s="1"/>
      <c r="AGO166" s="1"/>
      <c r="AGP166" s="1"/>
      <c r="AGQ166" s="1"/>
      <c r="AGR166" s="1"/>
      <c r="AGS166" s="1"/>
      <c r="AGT166" s="1"/>
      <c r="AGU166" s="1"/>
      <c r="AGV166" s="1"/>
      <c r="AGW166" s="1"/>
      <c r="AGX166" s="1"/>
      <c r="AGY166" s="1"/>
      <c r="AGZ166" s="1"/>
      <c r="AHA166" s="1"/>
      <c r="AHB166" s="1"/>
      <c r="AHC166" s="1"/>
      <c r="AHD166" s="1"/>
      <c r="AHE166" s="1"/>
      <c r="AHF166" s="1"/>
      <c r="AHG166" s="1"/>
      <c r="AHH166" s="1"/>
      <c r="AHI166" s="1"/>
      <c r="AHJ166" s="1"/>
      <c r="AHK166" s="1"/>
      <c r="AHL166" s="1"/>
      <c r="AHM166" s="1"/>
      <c r="AHN166" s="1"/>
      <c r="AHO166" s="1"/>
      <c r="AHP166" s="1"/>
      <c r="AHQ166" s="1"/>
      <c r="AHR166" s="1"/>
      <c r="AHS166" s="1"/>
      <c r="AHT166" s="1"/>
      <c r="AHU166" s="1"/>
      <c r="AHV166" s="1"/>
      <c r="AHW166" s="1"/>
      <c r="AHX166" s="1"/>
      <c r="AHY166" s="1"/>
    </row>
    <row r="167" spans="1:909" s="5" customFormat="1" ht="21.6" thickTop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  <c r="LE167" s="1"/>
      <c r="LF167" s="1"/>
      <c r="LG167" s="1"/>
      <c r="LH167" s="1"/>
      <c r="LI167" s="1"/>
      <c r="LJ167" s="1"/>
      <c r="LK167" s="1"/>
      <c r="LL167" s="1"/>
      <c r="LM167" s="1"/>
      <c r="LN167" s="1"/>
      <c r="LO167" s="1"/>
      <c r="LP167" s="1"/>
      <c r="LQ167" s="1"/>
      <c r="LR167" s="1"/>
      <c r="LS167" s="1"/>
      <c r="LT167" s="1"/>
      <c r="LU167" s="1"/>
      <c r="LV167" s="1"/>
      <c r="LW167" s="1"/>
      <c r="LX167" s="1"/>
      <c r="LY167" s="1"/>
      <c r="LZ167" s="1"/>
      <c r="MA167" s="1"/>
      <c r="MB167" s="1"/>
      <c r="MC167" s="1"/>
      <c r="MD167" s="1"/>
      <c r="ME167" s="1"/>
      <c r="MF167" s="1"/>
      <c r="MG167" s="1"/>
      <c r="MH167" s="1"/>
      <c r="MI167" s="1"/>
      <c r="MJ167" s="1"/>
      <c r="MK167" s="1"/>
      <c r="ML167" s="1"/>
      <c r="MM167" s="1"/>
      <c r="MN167" s="1"/>
      <c r="MO167" s="1"/>
      <c r="MP167" s="1"/>
      <c r="MQ167" s="1"/>
      <c r="MR167" s="1"/>
      <c r="MS167" s="1"/>
      <c r="MT167" s="1"/>
      <c r="MU167" s="1"/>
      <c r="MV167" s="1"/>
      <c r="MW167" s="1"/>
      <c r="MX167" s="1"/>
      <c r="MY167" s="1"/>
      <c r="MZ167" s="1"/>
      <c r="NA167" s="1"/>
      <c r="NB167" s="1"/>
      <c r="NC167" s="1"/>
      <c r="ND167" s="1"/>
      <c r="NE167" s="1"/>
      <c r="NF167" s="1"/>
      <c r="NG167" s="1"/>
      <c r="NH167" s="1"/>
      <c r="NI167" s="1"/>
      <c r="NJ167" s="1"/>
      <c r="NK167" s="1"/>
      <c r="NL167" s="1"/>
      <c r="NM167" s="1"/>
      <c r="NN167" s="1"/>
      <c r="NO167" s="1"/>
      <c r="NP167" s="1"/>
      <c r="NQ167" s="1"/>
      <c r="NR167" s="1"/>
      <c r="NS167" s="1"/>
      <c r="NT167" s="1"/>
      <c r="NU167" s="1"/>
      <c r="NV167" s="1"/>
      <c r="NW167" s="1"/>
      <c r="NX167" s="1"/>
      <c r="NY167" s="1"/>
      <c r="NZ167" s="1"/>
      <c r="OA167" s="1"/>
      <c r="OB167" s="1"/>
      <c r="OC167" s="1"/>
      <c r="OD167" s="1"/>
      <c r="OE167" s="1"/>
      <c r="OF167" s="1"/>
      <c r="OG167" s="1"/>
      <c r="OH167" s="1"/>
      <c r="OI167" s="1"/>
      <c r="OJ167" s="1"/>
      <c r="OK167" s="1"/>
      <c r="OL167" s="1"/>
      <c r="OM167" s="1"/>
      <c r="ON167" s="1"/>
      <c r="OO167" s="1"/>
      <c r="OP167" s="1"/>
      <c r="OQ167" s="1"/>
      <c r="OR167" s="1"/>
      <c r="OS167" s="1"/>
      <c r="OT167" s="1"/>
      <c r="OU167" s="1"/>
      <c r="OV167" s="1"/>
      <c r="OW167" s="1"/>
      <c r="OX167" s="1"/>
      <c r="OY167" s="1"/>
      <c r="OZ167" s="1"/>
      <c r="PA167" s="1"/>
      <c r="PB167" s="1"/>
      <c r="PC167" s="1"/>
      <c r="PD167" s="1"/>
      <c r="PE167" s="1"/>
      <c r="PF167" s="1"/>
      <c r="PG167" s="1"/>
      <c r="PH167" s="1"/>
      <c r="PI167" s="1"/>
      <c r="PJ167" s="1"/>
      <c r="PK167" s="1"/>
      <c r="PL167" s="1"/>
      <c r="PM167" s="1"/>
      <c r="PN167" s="1"/>
      <c r="PO167" s="1"/>
      <c r="PP167" s="1"/>
      <c r="PQ167" s="1"/>
      <c r="PR167" s="1"/>
      <c r="PS167" s="1"/>
      <c r="PT167" s="1"/>
      <c r="PU167" s="1"/>
      <c r="PV167" s="1"/>
      <c r="PW167" s="1"/>
      <c r="PX167" s="1"/>
      <c r="PY167" s="1"/>
      <c r="PZ167" s="1"/>
      <c r="QA167" s="1"/>
      <c r="QB167" s="1"/>
      <c r="QC167" s="1"/>
      <c r="QD167" s="1"/>
      <c r="QE167" s="1"/>
      <c r="QF167" s="1"/>
      <c r="QG167" s="1"/>
      <c r="QH167" s="1"/>
      <c r="QI167" s="1"/>
      <c r="QJ167" s="1"/>
      <c r="QK167" s="1"/>
      <c r="QL167" s="1"/>
      <c r="QM167" s="1"/>
      <c r="QN167" s="1"/>
      <c r="QO167" s="1"/>
      <c r="QP167" s="1"/>
      <c r="QQ167" s="1"/>
      <c r="QR167" s="1"/>
      <c r="QS167" s="1"/>
      <c r="QT167" s="1"/>
      <c r="QU167" s="1"/>
      <c r="QV167" s="1"/>
      <c r="QW167" s="1"/>
      <c r="QX167" s="1"/>
      <c r="QY167" s="1"/>
      <c r="QZ167" s="1"/>
      <c r="RA167" s="1"/>
      <c r="RB167" s="1"/>
      <c r="RC167" s="1"/>
      <c r="RD167" s="1"/>
      <c r="RE167" s="1"/>
      <c r="RF167" s="1"/>
      <c r="RG167" s="1"/>
      <c r="RH167" s="1"/>
      <c r="RI167" s="1"/>
      <c r="RJ167" s="1"/>
      <c r="RK167" s="1"/>
      <c r="RL167" s="1"/>
      <c r="RM167" s="1"/>
      <c r="RN167" s="1"/>
      <c r="RO167" s="1"/>
      <c r="RP167" s="1"/>
      <c r="RQ167" s="1"/>
      <c r="RR167" s="1"/>
      <c r="RS167" s="1"/>
      <c r="RT167" s="1"/>
      <c r="RU167" s="1"/>
      <c r="RV167" s="1"/>
      <c r="RW167" s="1"/>
      <c r="RX167" s="1"/>
      <c r="RY167" s="1"/>
      <c r="RZ167" s="1"/>
      <c r="SA167" s="1"/>
      <c r="SB167" s="1"/>
      <c r="SC167" s="1"/>
      <c r="SD167" s="1"/>
      <c r="SE167" s="1"/>
      <c r="SF167" s="1"/>
      <c r="SG167" s="1"/>
      <c r="SH167" s="1"/>
      <c r="SI167" s="1"/>
      <c r="SJ167" s="1"/>
      <c r="SK167" s="1"/>
      <c r="SL167" s="1"/>
      <c r="SM167" s="1"/>
      <c r="SN167" s="1"/>
      <c r="SO167" s="1"/>
      <c r="SP167" s="1"/>
      <c r="SQ167" s="1"/>
      <c r="SR167" s="1"/>
      <c r="SS167" s="1"/>
      <c r="ST167" s="1"/>
      <c r="SU167" s="1"/>
      <c r="SV167" s="1"/>
      <c r="SW167" s="1"/>
      <c r="SX167" s="1"/>
      <c r="SY167" s="1"/>
      <c r="SZ167" s="1"/>
      <c r="TA167" s="1"/>
      <c r="TB167" s="1"/>
      <c r="TC167" s="1"/>
      <c r="TD167" s="1"/>
      <c r="TE167" s="1"/>
      <c r="TF167" s="1"/>
      <c r="TG167" s="1"/>
      <c r="TH167" s="1"/>
      <c r="TI167" s="1"/>
      <c r="TJ167" s="1"/>
      <c r="TK167" s="1"/>
      <c r="TL167" s="1"/>
      <c r="TM167" s="1"/>
      <c r="TN167" s="1"/>
      <c r="TO167" s="1"/>
      <c r="TP167" s="1"/>
      <c r="TQ167" s="1"/>
      <c r="TR167" s="1"/>
      <c r="TS167" s="1"/>
      <c r="TT167" s="1"/>
      <c r="TU167" s="1"/>
      <c r="TV167" s="1"/>
      <c r="TW167" s="1"/>
      <c r="TX167" s="1"/>
      <c r="TY167" s="1"/>
      <c r="TZ167" s="1"/>
      <c r="UA167" s="1"/>
      <c r="UB167" s="1"/>
      <c r="UC167" s="1"/>
      <c r="UD167" s="1"/>
      <c r="UE167" s="1"/>
      <c r="UF167" s="1"/>
      <c r="UG167" s="1"/>
      <c r="UH167" s="1"/>
      <c r="UI167" s="1"/>
      <c r="UJ167" s="1"/>
      <c r="UK167" s="1"/>
      <c r="UL167" s="1"/>
      <c r="UM167" s="1"/>
      <c r="UN167" s="1"/>
      <c r="UO167" s="1"/>
      <c r="UP167" s="1"/>
      <c r="UQ167" s="1"/>
      <c r="UR167" s="1"/>
      <c r="US167" s="1"/>
      <c r="UT167" s="1"/>
      <c r="UU167" s="1"/>
      <c r="UV167" s="1"/>
      <c r="UW167" s="1"/>
      <c r="UX167" s="1"/>
      <c r="UY167" s="1"/>
      <c r="UZ167" s="1"/>
      <c r="VA167" s="1"/>
      <c r="VB167" s="1"/>
      <c r="VC167" s="1"/>
      <c r="VD167" s="1"/>
      <c r="VE167" s="1"/>
      <c r="VF167" s="1"/>
      <c r="VG167" s="1"/>
      <c r="VH167" s="1"/>
      <c r="VI167" s="1"/>
      <c r="VJ167" s="1"/>
      <c r="VK167" s="1"/>
      <c r="VL167" s="1"/>
      <c r="VM167" s="1"/>
      <c r="VN167" s="1"/>
      <c r="VO167" s="1"/>
      <c r="VP167" s="1"/>
      <c r="VQ167" s="1"/>
      <c r="VR167" s="1"/>
      <c r="VS167" s="1"/>
      <c r="VT167" s="1"/>
      <c r="VU167" s="1"/>
      <c r="VV167" s="1"/>
      <c r="VW167" s="1"/>
      <c r="VX167" s="1"/>
      <c r="VY167" s="1"/>
      <c r="VZ167" s="1"/>
      <c r="WA167" s="1"/>
      <c r="WB167" s="1"/>
      <c r="WC167" s="1"/>
      <c r="WD167" s="1"/>
      <c r="WE167" s="1"/>
      <c r="WF167" s="1"/>
      <c r="WG167" s="1"/>
      <c r="WH167" s="1"/>
      <c r="WI167" s="1"/>
      <c r="WJ167" s="1"/>
      <c r="WK167" s="1"/>
      <c r="WL167" s="1"/>
      <c r="WM167" s="1"/>
      <c r="WN167" s="1"/>
      <c r="WO167" s="1"/>
      <c r="WP167" s="1"/>
      <c r="WQ167" s="1"/>
      <c r="WR167" s="1"/>
      <c r="WS167" s="1"/>
      <c r="WT167" s="1"/>
      <c r="WU167" s="1"/>
      <c r="WV167" s="1"/>
      <c r="WW167" s="1"/>
      <c r="WX167" s="1"/>
      <c r="WY167" s="1"/>
      <c r="WZ167" s="1"/>
      <c r="XA167" s="1"/>
      <c r="XB167" s="1"/>
      <c r="XC167" s="1"/>
      <c r="XD167" s="1"/>
      <c r="XE167" s="1"/>
      <c r="XF167" s="1"/>
      <c r="XG167" s="1"/>
      <c r="XH167" s="1"/>
      <c r="XI167" s="1"/>
      <c r="XJ167" s="1"/>
      <c r="XK167" s="1"/>
      <c r="XL167" s="1"/>
      <c r="XM167" s="1"/>
      <c r="XN167" s="1"/>
      <c r="XO167" s="1"/>
      <c r="XP167" s="1"/>
      <c r="XQ167" s="1"/>
      <c r="XR167" s="1"/>
      <c r="XS167" s="1"/>
      <c r="XT167" s="1"/>
      <c r="XU167" s="1"/>
      <c r="XV167" s="1"/>
      <c r="XW167" s="1"/>
      <c r="XX167" s="1"/>
      <c r="XY167" s="1"/>
      <c r="XZ167" s="1"/>
      <c r="YA167" s="1"/>
      <c r="YB167" s="1"/>
      <c r="YC167" s="1"/>
      <c r="YD167" s="1"/>
      <c r="YE167" s="1"/>
      <c r="YF167" s="1"/>
      <c r="YG167" s="1"/>
      <c r="YH167" s="1"/>
      <c r="YI167" s="1"/>
      <c r="YJ167" s="1"/>
      <c r="YK167" s="1"/>
      <c r="YL167" s="1"/>
      <c r="YM167" s="1"/>
      <c r="YN167" s="1"/>
      <c r="YO167" s="1"/>
      <c r="YP167" s="1"/>
      <c r="YQ167" s="1"/>
      <c r="YR167" s="1"/>
      <c r="YS167" s="1"/>
      <c r="YT167" s="1"/>
      <c r="YU167" s="1"/>
      <c r="YV167" s="1"/>
      <c r="YW167" s="1"/>
      <c r="YX167" s="1"/>
      <c r="YY167" s="1"/>
      <c r="YZ167" s="1"/>
      <c r="ZA167" s="1"/>
      <c r="ZB167" s="1"/>
      <c r="ZC167" s="1"/>
      <c r="ZD167" s="1"/>
      <c r="ZE167" s="1"/>
      <c r="ZF167" s="1"/>
      <c r="ZG167" s="1"/>
      <c r="ZH167" s="1"/>
      <c r="ZI167" s="1"/>
      <c r="ZJ167" s="1"/>
      <c r="ZK167" s="1"/>
      <c r="ZL167" s="1"/>
      <c r="ZM167" s="1"/>
      <c r="ZN167" s="1"/>
      <c r="ZO167" s="1"/>
      <c r="ZP167" s="1"/>
      <c r="ZQ167" s="1"/>
      <c r="ZR167" s="1"/>
      <c r="ZS167" s="1"/>
      <c r="ZT167" s="1"/>
      <c r="ZU167" s="1"/>
      <c r="ZV167" s="1"/>
      <c r="ZW167" s="1"/>
      <c r="ZX167" s="1"/>
      <c r="ZY167" s="1"/>
      <c r="ZZ167" s="1"/>
      <c r="AAA167" s="1"/>
      <c r="AAB167" s="1"/>
      <c r="AAC167" s="1"/>
      <c r="AAD167" s="1"/>
      <c r="AAE167" s="1"/>
      <c r="AAF167" s="1"/>
      <c r="AAG167" s="1"/>
      <c r="AAH167" s="1"/>
      <c r="AAI167" s="1"/>
      <c r="AAJ167" s="1"/>
      <c r="AAK167" s="1"/>
      <c r="AAL167" s="1"/>
      <c r="AAM167" s="1"/>
      <c r="AAN167" s="1"/>
      <c r="AAO167" s="1"/>
      <c r="AAP167" s="1"/>
      <c r="AAQ167" s="1"/>
      <c r="AAR167" s="1"/>
      <c r="AAS167" s="1"/>
      <c r="AAT167" s="1"/>
      <c r="AAU167" s="1"/>
      <c r="AAV167" s="1"/>
      <c r="AAW167" s="1"/>
      <c r="AAX167" s="1"/>
      <c r="AAY167" s="1"/>
      <c r="AAZ167" s="1"/>
      <c r="ABA167" s="1"/>
      <c r="ABB167" s="1"/>
      <c r="ABC167" s="1"/>
      <c r="ABD167" s="1"/>
      <c r="ABE167" s="1"/>
      <c r="ABF167" s="1"/>
      <c r="ABG167" s="1"/>
      <c r="ABH167" s="1"/>
      <c r="ABI167" s="1"/>
      <c r="ABJ167" s="1"/>
      <c r="ABK167" s="1"/>
      <c r="ABL167" s="1"/>
      <c r="ABM167" s="1"/>
      <c r="ABN167" s="1"/>
      <c r="ABO167" s="1"/>
      <c r="ABP167" s="1"/>
      <c r="ABQ167" s="1"/>
      <c r="ABR167" s="1"/>
      <c r="ABS167" s="1"/>
      <c r="ABT167" s="1"/>
      <c r="ABU167" s="1"/>
      <c r="ABV167" s="1"/>
      <c r="ABW167" s="1"/>
      <c r="ABX167" s="1"/>
      <c r="ABY167" s="1"/>
      <c r="ABZ167" s="1"/>
      <c r="ACA167" s="1"/>
      <c r="ACB167" s="1"/>
      <c r="ACC167" s="1"/>
      <c r="ACD167" s="1"/>
      <c r="ACE167" s="1"/>
      <c r="ACF167" s="1"/>
      <c r="ACG167" s="1"/>
      <c r="ACH167" s="1"/>
      <c r="ACI167" s="1"/>
      <c r="ACJ167" s="1"/>
      <c r="ACK167" s="1"/>
      <c r="ACL167" s="1"/>
      <c r="ACM167" s="1"/>
      <c r="ACN167" s="1"/>
      <c r="ACO167" s="1"/>
      <c r="ACP167" s="1"/>
      <c r="ACQ167" s="1"/>
      <c r="ACR167" s="1"/>
      <c r="ACS167" s="1"/>
      <c r="ACT167" s="1"/>
      <c r="ACU167" s="1"/>
      <c r="ACV167" s="1"/>
      <c r="ACW167" s="1"/>
      <c r="ACX167" s="1"/>
      <c r="ACY167" s="1"/>
      <c r="ACZ167" s="1"/>
      <c r="ADA167" s="1"/>
      <c r="ADB167" s="1"/>
      <c r="ADC167" s="1"/>
      <c r="ADD167" s="1"/>
      <c r="ADE167" s="1"/>
      <c r="ADF167" s="1"/>
      <c r="ADG167" s="1"/>
      <c r="ADH167" s="1"/>
      <c r="ADI167" s="1"/>
      <c r="ADJ167" s="1"/>
      <c r="ADK167" s="1"/>
      <c r="ADL167" s="1"/>
      <c r="ADM167" s="1"/>
      <c r="ADN167" s="1"/>
      <c r="ADO167" s="1"/>
      <c r="ADP167" s="1"/>
      <c r="ADQ167" s="1"/>
      <c r="ADR167" s="1"/>
      <c r="ADS167" s="1"/>
      <c r="ADT167" s="1"/>
      <c r="ADU167" s="1"/>
      <c r="ADV167" s="1"/>
      <c r="ADW167" s="1"/>
      <c r="ADX167" s="1"/>
      <c r="ADY167" s="1"/>
      <c r="ADZ167" s="1"/>
      <c r="AEA167" s="1"/>
      <c r="AEB167" s="1"/>
      <c r="AEC167" s="1"/>
      <c r="AED167" s="1"/>
      <c r="AEE167" s="1"/>
      <c r="AEF167" s="1"/>
      <c r="AEG167" s="1"/>
      <c r="AEH167" s="1"/>
      <c r="AEI167" s="1"/>
      <c r="AEJ167" s="1"/>
      <c r="AEK167" s="1"/>
      <c r="AEL167" s="1"/>
      <c r="AEM167" s="1"/>
      <c r="AEN167" s="1"/>
      <c r="AEO167" s="1"/>
      <c r="AEP167" s="1"/>
      <c r="AEQ167" s="1"/>
      <c r="AER167" s="1"/>
      <c r="AES167" s="1"/>
      <c r="AET167" s="1"/>
      <c r="AEU167" s="1"/>
      <c r="AEV167" s="1"/>
      <c r="AEW167" s="1"/>
      <c r="AEX167" s="1"/>
      <c r="AEY167" s="1"/>
      <c r="AEZ167" s="1"/>
      <c r="AFA167" s="1"/>
      <c r="AFB167" s="1"/>
      <c r="AFC167" s="1"/>
      <c r="AFD167" s="1"/>
      <c r="AFE167" s="1"/>
      <c r="AFF167" s="1"/>
      <c r="AFG167" s="1"/>
      <c r="AFH167" s="1"/>
      <c r="AFI167" s="1"/>
      <c r="AFJ167" s="1"/>
      <c r="AFK167" s="1"/>
      <c r="AFL167" s="1"/>
      <c r="AFM167" s="1"/>
      <c r="AFN167" s="1"/>
      <c r="AFO167" s="1"/>
      <c r="AFP167" s="1"/>
      <c r="AFQ167" s="1"/>
      <c r="AFR167" s="1"/>
      <c r="AFS167" s="1"/>
      <c r="AFT167" s="1"/>
      <c r="AFU167" s="1"/>
      <c r="AFV167" s="1"/>
      <c r="AFW167" s="1"/>
      <c r="AFX167" s="1"/>
      <c r="AFY167" s="1"/>
      <c r="AFZ167" s="1"/>
      <c r="AGA167" s="1"/>
      <c r="AGB167" s="1"/>
      <c r="AGC167" s="1"/>
      <c r="AGD167" s="1"/>
      <c r="AGE167" s="1"/>
      <c r="AGF167" s="1"/>
      <c r="AGG167" s="1"/>
      <c r="AGH167" s="1"/>
      <c r="AGI167" s="1"/>
      <c r="AGJ167" s="1"/>
      <c r="AGK167" s="1"/>
      <c r="AGL167" s="1"/>
      <c r="AGM167" s="1"/>
      <c r="AGN167" s="1"/>
      <c r="AGO167" s="1"/>
      <c r="AGP167" s="1"/>
      <c r="AGQ167" s="1"/>
      <c r="AGR167" s="1"/>
      <c r="AGS167" s="1"/>
      <c r="AGT167" s="1"/>
      <c r="AGU167" s="1"/>
      <c r="AGV167" s="1"/>
      <c r="AGW167" s="1"/>
      <c r="AGX167" s="1"/>
      <c r="AGY167" s="1"/>
      <c r="AGZ167" s="1"/>
      <c r="AHA167" s="1"/>
      <c r="AHB167" s="1"/>
      <c r="AHC167" s="1"/>
      <c r="AHD167" s="1"/>
      <c r="AHE167" s="1"/>
      <c r="AHF167" s="1"/>
      <c r="AHG167" s="1"/>
      <c r="AHH167" s="1"/>
      <c r="AHI167" s="1"/>
      <c r="AHJ167" s="1"/>
      <c r="AHK167" s="1"/>
      <c r="AHL167" s="1"/>
      <c r="AHM167" s="1"/>
      <c r="AHN167" s="1"/>
      <c r="AHO167" s="1"/>
      <c r="AHP167" s="1"/>
      <c r="AHQ167" s="1"/>
      <c r="AHR167" s="1"/>
      <c r="AHS167" s="1"/>
      <c r="AHT167" s="1"/>
      <c r="AHU167" s="1"/>
      <c r="AHV167" s="1"/>
      <c r="AHW167" s="1"/>
      <c r="AHX167" s="1"/>
      <c r="AHY167" s="1"/>
    </row>
    <row r="168" spans="1:909" s="1" customFormat="1" ht="21">
      <c r="A168" s="156" t="s">
        <v>135</v>
      </c>
      <c r="B168" s="156"/>
      <c r="C168" s="156"/>
      <c r="D168" s="156"/>
      <c r="E168" s="156"/>
      <c r="F168" s="156"/>
      <c r="G168" s="156"/>
      <c r="H168" s="156"/>
      <c r="I168" s="156"/>
      <c r="J168" s="156"/>
      <c r="K168" s="156"/>
      <c r="L168" s="156"/>
      <c r="M168" s="156"/>
      <c r="N168" s="156"/>
      <c r="O168" s="156"/>
      <c r="P168" s="156"/>
      <c r="Q168" s="10"/>
    </row>
    <row r="169" spans="1:909" s="1" customFormat="1" ht="21">
      <c r="A169" s="156" t="s">
        <v>136</v>
      </c>
      <c r="B169" s="156"/>
      <c r="C169" s="156"/>
      <c r="D169" s="156"/>
      <c r="E169" s="156"/>
      <c r="F169" s="156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</row>
    <row r="170" spans="1:909" s="1" customFormat="1" ht="21">
      <c r="A170" s="189" t="s">
        <v>113</v>
      </c>
      <c r="B170" s="189"/>
      <c r="C170" s="189"/>
      <c r="D170" s="189"/>
      <c r="E170" s="189"/>
      <c r="F170" s="189"/>
      <c r="G170" s="189"/>
      <c r="H170" s="189"/>
      <c r="I170" s="189"/>
      <c r="J170" s="189"/>
      <c r="K170" s="189"/>
      <c r="L170" s="189"/>
      <c r="M170" s="189"/>
      <c r="N170" s="189"/>
      <c r="O170" s="189"/>
      <c r="P170" s="189"/>
    </row>
    <row r="171" spans="1:909" s="1" customFormat="1" ht="21.6" thickBot="1">
      <c r="F171" s="13"/>
      <c r="G171" s="13"/>
      <c r="H171" s="13"/>
      <c r="I171" s="13"/>
      <c r="J171" s="13"/>
      <c r="K171" s="13"/>
    </row>
    <row r="172" spans="1:909" s="1" customFormat="1" ht="22.2" thickTop="1" thickBot="1">
      <c r="A172" s="190"/>
      <c r="B172" s="183" t="s">
        <v>114</v>
      </c>
      <c r="C172" s="192"/>
      <c r="D172" s="183" t="s">
        <v>115</v>
      </c>
      <c r="E172" s="192"/>
      <c r="F172" s="183" t="s">
        <v>116</v>
      </c>
      <c r="G172" s="192"/>
      <c r="H172" s="183" t="s">
        <v>117</v>
      </c>
      <c r="I172" s="192"/>
      <c r="J172" s="183" t="s">
        <v>118</v>
      </c>
      <c r="K172" s="192"/>
      <c r="L172" s="183" t="s">
        <v>119</v>
      </c>
      <c r="M172" s="192"/>
      <c r="N172" s="183" t="s">
        <v>120</v>
      </c>
      <c r="O172" s="184"/>
      <c r="P172" s="185"/>
    </row>
    <row r="173" spans="1:909" s="1" customFormat="1" ht="22.2" thickTop="1" thickBot="1">
      <c r="A173" s="191"/>
      <c r="B173" s="4" t="s">
        <v>76</v>
      </c>
      <c r="C173" s="4" t="s">
        <v>121</v>
      </c>
      <c r="D173" s="4" t="s">
        <v>76</v>
      </c>
      <c r="E173" s="4" t="s">
        <v>121</v>
      </c>
      <c r="F173" s="4" t="s">
        <v>76</v>
      </c>
      <c r="G173" s="4" t="s">
        <v>121</v>
      </c>
      <c r="H173" s="4" t="s">
        <v>76</v>
      </c>
      <c r="I173" s="4" t="s">
        <v>121</v>
      </c>
      <c r="J173" s="4" t="s">
        <v>76</v>
      </c>
      <c r="K173" s="4" t="s">
        <v>121</v>
      </c>
      <c r="L173" s="4" t="s">
        <v>76</v>
      </c>
      <c r="M173" s="4" t="s">
        <v>121</v>
      </c>
      <c r="N173" s="4" t="s">
        <v>76</v>
      </c>
      <c r="O173" s="4" t="s">
        <v>121</v>
      </c>
      <c r="P173" s="14" t="s">
        <v>122</v>
      </c>
    </row>
    <row r="174" spans="1:909" s="1" customFormat="1" ht="22.2" thickTop="1" thickBot="1">
      <c r="A174" s="11" t="s">
        <v>123</v>
      </c>
      <c r="B174" s="4">
        <f>'[1]التعليم الابتدائي'!AP368</f>
        <v>0</v>
      </c>
      <c r="C174" s="4">
        <f>'[1]التعليم الابتدائي'!AQ368</f>
        <v>0</v>
      </c>
      <c r="D174" s="177"/>
      <c r="E174" s="178"/>
      <c r="F174" s="178"/>
      <c r="G174" s="178"/>
      <c r="H174" s="178"/>
      <c r="I174" s="178"/>
      <c r="J174" s="178"/>
      <c r="K174" s="178"/>
      <c r="L174" s="178"/>
      <c r="M174" s="186"/>
      <c r="N174" s="4">
        <f>B174</f>
        <v>0</v>
      </c>
      <c r="O174" s="4">
        <f>C174</f>
        <v>0</v>
      </c>
      <c r="P174" s="14">
        <f t="shared" ref="P174:P184" si="10">O174+N174</f>
        <v>0</v>
      </c>
    </row>
    <row r="175" spans="1:909" s="1" customFormat="1" ht="22.2" thickTop="1" thickBot="1">
      <c r="A175" s="11" t="s">
        <v>124</v>
      </c>
      <c r="B175" s="4">
        <f>'[1]التعليم الابتدائي'!AR368</f>
        <v>0</v>
      </c>
      <c r="C175" s="4">
        <f>'[1]التعليم الابتدائي'!AS368</f>
        <v>0</v>
      </c>
      <c r="D175" s="137"/>
      <c r="E175" s="138"/>
      <c r="F175" s="180"/>
      <c r="G175" s="180"/>
      <c r="H175" s="180"/>
      <c r="I175" s="180"/>
      <c r="J175" s="180"/>
      <c r="K175" s="180"/>
      <c r="L175" s="180"/>
      <c r="M175" s="187"/>
      <c r="N175" s="4">
        <f>B175</f>
        <v>0</v>
      </c>
      <c r="O175" s="4">
        <f>C175</f>
        <v>0</v>
      </c>
      <c r="P175" s="14">
        <f t="shared" si="10"/>
        <v>0</v>
      </c>
    </row>
    <row r="176" spans="1:909" s="1" customFormat="1" ht="22.2" thickTop="1" thickBot="1">
      <c r="A176" s="11" t="s">
        <v>125</v>
      </c>
      <c r="B176" s="4">
        <f>'[1]التعليم الابتدائي'!AT368</f>
        <v>0</v>
      </c>
      <c r="C176" s="4">
        <f>'[1]التعليم الابتدائي'!AU368</f>
        <v>0</v>
      </c>
      <c r="D176" s="4">
        <f>'[1]التعليم الابتدائي'!BE368</f>
        <v>0</v>
      </c>
      <c r="E176" s="4">
        <f>'[1]التعليم الابتدائي'!BF368</f>
        <v>0</v>
      </c>
      <c r="F176" s="138"/>
      <c r="G176" s="138"/>
      <c r="H176" s="180"/>
      <c r="I176" s="180"/>
      <c r="J176" s="180"/>
      <c r="K176" s="180"/>
      <c r="L176" s="180"/>
      <c r="M176" s="187"/>
      <c r="N176" s="4">
        <f>D176+B176</f>
        <v>0</v>
      </c>
      <c r="O176" s="4">
        <f>E176+C176</f>
        <v>0</v>
      </c>
      <c r="P176" s="14">
        <f t="shared" si="10"/>
        <v>0</v>
      </c>
    </row>
    <row r="177" spans="1:17" s="1" customFormat="1" ht="22.2" thickTop="1" thickBot="1">
      <c r="A177" s="11" t="s">
        <v>126</v>
      </c>
      <c r="B177" s="4">
        <f>'[1]التعليم الابتدائي'!AV368</f>
        <v>0</v>
      </c>
      <c r="C177" s="4">
        <f>'[1]التعليم الابتدائي'!AW368</f>
        <v>0</v>
      </c>
      <c r="D177" s="4">
        <f>'[1]التعليم الابتدائي'!BG368</f>
        <v>0</v>
      </c>
      <c r="E177" s="4">
        <f>'[1]التعليم الابتدائي'!BH368</f>
        <v>0</v>
      </c>
      <c r="F177" s="4">
        <f>'[1]التعليم الابتدائي'!BR368</f>
        <v>0</v>
      </c>
      <c r="G177" s="4">
        <f>'[1]التعليم الابتدائي'!BS368</f>
        <v>0</v>
      </c>
      <c r="H177" s="138"/>
      <c r="I177" s="138"/>
      <c r="J177" s="180"/>
      <c r="K177" s="180"/>
      <c r="L177" s="180"/>
      <c r="M177" s="187"/>
      <c r="N177" s="4">
        <f>F177+D177+B177</f>
        <v>0</v>
      </c>
      <c r="O177" s="4">
        <f>G177+E177+C177</f>
        <v>0</v>
      </c>
      <c r="P177" s="14">
        <f t="shared" si="10"/>
        <v>0</v>
      </c>
    </row>
    <row r="178" spans="1:17" s="1" customFormat="1" ht="22.2" thickTop="1" thickBot="1">
      <c r="A178" s="11" t="s">
        <v>106</v>
      </c>
      <c r="B178" s="4">
        <f>'[1]التعليم الابتدائي'!AX368</f>
        <v>0</v>
      </c>
      <c r="C178" s="4">
        <f>'[1]التعليم الابتدائي'!AY368</f>
        <v>0</v>
      </c>
      <c r="D178" s="4">
        <f>'[1]التعليم الابتدائي'!BI368</f>
        <v>0</v>
      </c>
      <c r="E178" s="4">
        <f>'[1]التعليم الابتدائي'!BJ368</f>
        <v>0</v>
      </c>
      <c r="F178" s="4">
        <f>'[1]التعليم الابتدائي'!BT368</f>
        <v>0</v>
      </c>
      <c r="G178" s="4">
        <f>'[1]التعليم الابتدائي'!BU368</f>
        <v>0</v>
      </c>
      <c r="H178" s="4">
        <f>'[1]التعليم الابتدائي'!CE368</f>
        <v>0</v>
      </c>
      <c r="I178" s="4">
        <f>'[1]التعليم الابتدائي'!CF368</f>
        <v>0</v>
      </c>
      <c r="J178" s="138"/>
      <c r="K178" s="138"/>
      <c r="L178" s="180"/>
      <c r="M178" s="187"/>
      <c r="N178" s="4">
        <f>B178+D178+F178+H178</f>
        <v>0</v>
      </c>
      <c r="O178" s="4">
        <f>I178+G178+E178+C178</f>
        <v>0</v>
      </c>
      <c r="P178" s="14">
        <f t="shared" si="10"/>
        <v>0</v>
      </c>
    </row>
    <row r="179" spans="1:17" s="1" customFormat="1" ht="22.2" thickTop="1" thickBot="1">
      <c r="A179" s="11" t="s">
        <v>127</v>
      </c>
      <c r="B179" s="4">
        <f>'[1]التعليم الابتدائي'!AZ368</f>
        <v>0</v>
      </c>
      <c r="C179" s="4">
        <f>'[1]التعليم الابتدائي'!BA368</f>
        <v>0</v>
      </c>
      <c r="D179" s="4">
        <f>'[1]التعليم الابتدائي'!BK368</f>
        <v>0</v>
      </c>
      <c r="E179" s="4">
        <f>'[1]التعليم الابتدائي'!BL368</f>
        <v>0</v>
      </c>
      <c r="F179" s="4">
        <f>'[1]التعليم الابتدائي'!BV368</f>
        <v>0</v>
      </c>
      <c r="G179" s="4">
        <f>'[1]التعليم الابتدائي'!BW368</f>
        <v>0</v>
      </c>
      <c r="H179" s="4">
        <f>'[1]التعليم الابتدائي'!CG368</f>
        <v>0</v>
      </c>
      <c r="I179" s="4">
        <f>'[1]التعليم الابتدائي'!CH368</f>
        <v>0</v>
      </c>
      <c r="J179" s="4">
        <f>'[1]التعليم الابتدائي'!CR368</f>
        <v>0</v>
      </c>
      <c r="K179" s="4">
        <f>'[1]التعليم الابتدائي'!CS368</f>
        <v>0</v>
      </c>
      <c r="L179" s="138"/>
      <c r="M179" s="139"/>
      <c r="N179" s="4">
        <f>B179+D179+F179+H179+J179</f>
        <v>0</v>
      </c>
      <c r="O179" s="4">
        <f>K179+I179+G179+E179+C179</f>
        <v>0</v>
      </c>
      <c r="P179" s="14">
        <f t="shared" si="10"/>
        <v>0</v>
      </c>
    </row>
    <row r="180" spans="1:17" s="1" customFormat="1" ht="22.2" thickTop="1" thickBot="1">
      <c r="A180" s="11" t="s">
        <v>128</v>
      </c>
      <c r="B180" s="177"/>
      <c r="C180" s="178"/>
      <c r="D180" s="4">
        <f>'[1]التعليم الابتدائي'!BM368</f>
        <v>0</v>
      </c>
      <c r="E180" s="4">
        <f>'[1]التعليم الابتدائي'!BN368</f>
        <v>0</v>
      </c>
      <c r="F180" s="4">
        <f>'[1]التعليم الابتدائي'!BX368</f>
        <v>0</v>
      </c>
      <c r="G180" s="4">
        <f>'[1]التعليم الابتدائي'!BY368</f>
        <v>0</v>
      </c>
      <c r="H180" s="4">
        <f>'[1]التعليم الابتدائي'!CI368</f>
        <v>0</v>
      </c>
      <c r="I180" s="4">
        <f>'[1]التعليم الابتدائي'!CJ368</f>
        <v>0</v>
      </c>
      <c r="J180" s="4">
        <f>'[1]التعليم الابتدائي'!CT368</f>
        <v>0</v>
      </c>
      <c r="K180" s="4">
        <f>'[1]التعليم الابتدائي'!CU368</f>
        <v>0</v>
      </c>
      <c r="L180" s="4">
        <f>'[1]التعليم الابتدائي'!DE368</f>
        <v>0</v>
      </c>
      <c r="M180" s="4">
        <f>'[1]التعليم الابتدائي'!DF368</f>
        <v>0</v>
      </c>
      <c r="N180" s="4">
        <f>D180+F180+H180+J180+L180</f>
        <v>0</v>
      </c>
      <c r="O180" s="4">
        <f>M180+K180+I180+G180+E180</f>
        <v>0</v>
      </c>
      <c r="P180" s="14">
        <f t="shared" si="10"/>
        <v>0</v>
      </c>
    </row>
    <row r="181" spans="1:17" s="1" customFormat="1" ht="22.2" thickTop="1" thickBot="1">
      <c r="A181" s="11" t="s">
        <v>129</v>
      </c>
      <c r="B181" s="179"/>
      <c r="C181" s="180"/>
      <c r="D181" s="178"/>
      <c r="E181" s="178"/>
      <c r="F181" s="4">
        <f>'[1]التعليم الابتدائي'!BZ368</f>
        <v>0</v>
      </c>
      <c r="G181" s="4">
        <f>'[1]التعليم الابتدائي'!CA368</f>
        <v>0</v>
      </c>
      <c r="H181" s="4">
        <f>'[1]التعليم الابتدائي'!CK368</f>
        <v>0</v>
      </c>
      <c r="I181" s="4">
        <f>'[1]التعليم الابتدائي'!CL368</f>
        <v>0</v>
      </c>
      <c r="J181" s="4">
        <f>'[1]التعليم الابتدائي'!CV368</f>
        <v>0</v>
      </c>
      <c r="K181" s="4">
        <f>'[1]التعليم الابتدائي'!CW368</f>
        <v>0</v>
      </c>
      <c r="L181" s="4">
        <f>'[1]التعليم الابتدائي'!DG368</f>
        <v>0</v>
      </c>
      <c r="M181" s="4">
        <f>'[1]التعليم الابتدائي'!DH368</f>
        <v>0</v>
      </c>
      <c r="N181" s="4">
        <f>L181+J181+H181+F181</f>
        <v>0</v>
      </c>
      <c r="O181" s="4">
        <f>M181+K181+I181+G181</f>
        <v>0</v>
      </c>
      <c r="P181" s="14">
        <f t="shared" si="10"/>
        <v>0</v>
      </c>
    </row>
    <row r="182" spans="1:17" s="1" customFormat="1" ht="22.2" thickTop="1" thickBot="1">
      <c r="A182" s="11" t="s">
        <v>130</v>
      </c>
      <c r="B182" s="179"/>
      <c r="C182" s="180"/>
      <c r="D182" s="180"/>
      <c r="E182" s="180"/>
      <c r="F182" s="178"/>
      <c r="G182" s="178"/>
      <c r="H182" s="4">
        <f>'[1]التعليم الابتدائي'!CM368</f>
        <v>0</v>
      </c>
      <c r="I182" s="4">
        <f>'[1]التعليم الابتدائي'!CN368</f>
        <v>0</v>
      </c>
      <c r="J182" s="4">
        <f>'[1]التعليم الابتدائي'!CX368</f>
        <v>0</v>
      </c>
      <c r="K182" s="4">
        <f>'[1]التعليم الابتدائي'!CY368</f>
        <v>0</v>
      </c>
      <c r="L182" s="4">
        <f>'[1]التعليم الابتدائي'!DI368</f>
        <v>0</v>
      </c>
      <c r="M182" s="4">
        <f>'[1]التعليم الابتدائي'!DJ368</f>
        <v>0</v>
      </c>
      <c r="N182" s="4">
        <f>L182+J182+H182</f>
        <v>0</v>
      </c>
      <c r="O182" s="4">
        <f>M182+K182+I182</f>
        <v>0</v>
      </c>
      <c r="P182" s="14">
        <f t="shared" si="10"/>
        <v>0</v>
      </c>
    </row>
    <row r="183" spans="1:17" s="1" customFormat="1" ht="22.2" thickTop="1" thickBot="1">
      <c r="A183" s="11" t="s">
        <v>131</v>
      </c>
      <c r="B183" s="179"/>
      <c r="C183" s="180"/>
      <c r="D183" s="180"/>
      <c r="E183" s="180"/>
      <c r="F183" s="180"/>
      <c r="G183" s="180"/>
      <c r="H183" s="178"/>
      <c r="I183" s="178"/>
      <c r="J183" s="4">
        <f>'[1]التعليم الابتدائي'!CZ368</f>
        <v>0</v>
      </c>
      <c r="K183" s="4">
        <f>'[1]التعليم الابتدائي'!DA368</f>
        <v>0</v>
      </c>
      <c r="L183" s="4">
        <f>'[1]التعليم الابتدائي'!DK368</f>
        <v>0</v>
      </c>
      <c r="M183" s="4">
        <f>'[1]التعليم الابتدائي'!DL368</f>
        <v>0</v>
      </c>
      <c r="N183" s="4">
        <f>L183+J183</f>
        <v>0</v>
      </c>
      <c r="O183" s="4">
        <f>M183+K183</f>
        <v>0</v>
      </c>
      <c r="P183" s="14">
        <f t="shared" si="10"/>
        <v>0</v>
      </c>
    </row>
    <row r="184" spans="1:17" s="1" customFormat="1" ht="22.2" thickTop="1" thickBot="1">
      <c r="A184" s="11" t="s">
        <v>132</v>
      </c>
      <c r="B184" s="137"/>
      <c r="C184" s="138"/>
      <c r="D184" s="138"/>
      <c r="E184" s="138"/>
      <c r="F184" s="138"/>
      <c r="G184" s="138"/>
      <c r="H184" s="138"/>
      <c r="I184" s="138"/>
      <c r="J184" s="181"/>
      <c r="K184" s="182"/>
      <c r="L184" s="4">
        <f>'[1]التعليم الابتدائي'!DM368</f>
        <v>0</v>
      </c>
      <c r="M184" s="4">
        <f>'[1]التعليم الابتدائي'!DN368</f>
        <v>0</v>
      </c>
      <c r="N184" s="4">
        <f>L184</f>
        <v>0</v>
      </c>
      <c r="O184" s="4">
        <f>M184</f>
        <v>0</v>
      </c>
      <c r="P184" s="14">
        <f t="shared" si="10"/>
        <v>0</v>
      </c>
    </row>
    <row r="185" spans="1:17" s="1" customFormat="1" ht="22.2" thickTop="1" thickBot="1">
      <c r="A185" s="6" t="s">
        <v>122</v>
      </c>
      <c r="B185" s="7">
        <f>SUM(B174:B184)</f>
        <v>0</v>
      </c>
      <c r="C185" s="7">
        <f>SUM(C174:C184)</f>
        <v>0</v>
      </c>
      <c r="D185" s="7">
        <f>D180+D179+D178+D177+D176</f>
        <v>0</v>
      </c>
      <c r="E185" s="7">
        <f t="shared" ref="E185:P185" si="11">SUM(E174:E184)</f>
        <v>0</v>
      </c>
      <c r="F185" s="7">
        <f t="shared" si="11"/>
        <v>0</v>
      </c>
      <c r="G185" s="7">
        <f t="shared" si="11"/>
        <v>0</v>
      </c>
      <c r="H185" s="7">
        <f t="shared" si="11"/>
        <v>0</v>
      </c>
      <c r="I185" s="7">
        <f t="shared" si="11"/>
        <v>0</v>
      </c>
      <c r="J185" s="7">
        <f t="shared" si="11"/>
        <v>0</v>
      </c>
      <c r="K185" s="7">
        <f t="shared" si="11"/>
        <v>0</v>
      </c>
      <c r="L185" s="7">
        <f t="shared" si="11"/>
        <v>0</v>
      </c>
      <c r="M185" s="7">
        <f t="shared" si="11"/>
        <v>0</v>
      </c>
      <c r="N185" s="7">
        <f t="shared" si="11"/>
        <v>0</v>
      </c>
      <c r="O185" s="7">
        <f t="shared" si="11"/>
        <v>0</v>
      </c>
      <c r="P185" s="8">
        <f t="shared" si="11"/>
        <v>0</v>
      </c>
    </row>
    <row r="186" spans="1:17" s="3" customFormat="1" ht="21.6" thickTop="1"/>
    <row r="187" spans="1:17" s="1" customFormat="1" ht="21">
      <c r="A187" s="156" t="s">
        <v>62</v>
      </c>
      <c r="B187" s="156"/>
      <c r="C187" s="156"/>
      <c r="D187" s="156"/>
      <c r="E187" s="156"/>
      <c r="O187" s="2" t="s">
        <v>88</v>
      </c>
      <c r="P187" s="2"/>
      <c r="Q187" s="2"/>
    </row>
    <row r="188" spans="1:17" s="1" customFormat="1" ht="21">
      <c r="A188" s="156" t="s">
        <v>64</v>
      </c>
      <c r="B188" s="156"/>
      <c r="C188" s="156"/>
      <c r="D188" s="156"/>
      <c r="E188" s="156"/>
      <c r="O188" s="2" t="s">
        <v>65</v>
      </c>
      <c r="P188" s="2"/>
      <c r="Q188" s="2"/>
    </row>
    <row r="189" spans="1:17" s="1" customFormat="1" ht="21">
      <c r="A189" s="156" t="s">
        <v>99</v>
      </c>
      <c r="B189" s="156"/>
      <c r="C189" s="156"/>
      <c r="D189" s="156"/>
      <c r="E189" s="156"/>
      <c r="F189" s="156"/>
      <c r="G189" s="156"/>
      <c r="H189" s="156"/>
      <c r="I189" s="156"/>
      <c r="J189" s="156"/>
      <c r="K189" s="156"/>
      <c r="L189" s="156"/>
      <c r="M189" s="156"/>
      <c r="N189" s="156"/>
      <c r="O189" s="156"/>
      <c r="P189" s="156"/>
      <c r="Q189" s="2"/>
    </row>
    <row r="190" spans="1:17" s="1" customFormat="1" ht="21">
      <c r="A190" s="156" t="s">
        <v>136</v>
      </c>
      <c r="B190" s="156"/>
      <c r="C190" s="156"/>
      <c r="D190" s="156"/>
      <c r="E190" s="156"/>
      <c r="F190" s="156"/>
      <c r="G190" s="156"/>
      <c r="H190" s="156"/>
      <c r="I190" s="156"/>
      <c r="J190" s="156"/>
      <c r="K190" s="156"/>
      <c r="L190" s="156"/>
      <c r="M190" s="156"/>
      <c r="N190" s="156"/>
      <c r="O190" s="156"/>
      <c r="P190" s="156"/>
      <c r="Q190" s="156"/>
    </row>
    <row r="191" spans="1:17" s="1" customFormat="1" ht="21">
      <c r="A191" s="156" t="s">
        <v>101</v>
      </c>
      <c r="B191" s="156"/>
      <c r="C191" s="156"/>
      <c r="D191" s="156"/>
      <c r="E191" s="156"/>
      <c r="F191" s="156"/>
      <c r="G191" s="156"/>
      <c r="H191" s="156"/>
      <c r="I191" s="156"/>
      <c r="J191" s="156"/>
      <c r="K191" s="156"/>
      <c r="L191" s="156"/>
      <c r="M191" s="156"/>
      <c r="N191" s="156"/>
      <c r="O191" s="156"/>
      <c r="P191" s="156"/>
      <c r="Q191" s="2"/>
    </row>
    <row r="192" spans="1:17" s="1" customFormat="1" ht="21.6" thickBot="1">
      <c r="G192" s="198"/>
      <c r="H192" s="198"/>
      <c r="I192" s="198"/>
      <c r="J192" s="198"/>
      <c r="K192" s="198"/>
    </row>
    <row r="193" spans="1:909" s="1" customFormat="1" ht="21.6" thickTop="1">
      <c r="A193" s="199"/>
      <c r="B193" s="147" t="s">
        <v>102</v>
      </c>
      <c r="C193" s="149"/>
      <c r="D193" s="147" t="s">
        <v>103</v>
      </c>
      <c r="E193" s="149"/>
      <c r="F193" s="147" t="s">
        <v>104</v>
      </c>
      <c r="G193" s="149"/>
      <c r="H193" s="147" t="s">
        <v>105</v>
      </c>
      <c r="I193" s="149"/>
      <c r="J193" s="147" t="s">
        <v>106</v>
      </c>
      <c r="K193" s="149"/>
      <c r="L193" s="147" t="s">
        <v>107</v>
      </c>
      <c r="M193" s="149"/>
      <c r="N193" s="147" t="s">
        <v>58</v>
      </c>
      <c r="O193" s="148"/>
      <c r="P193" s="201"/>
    </row>
    <row r="194" spans="1:909" s="1" customFormat="1" ht="21.6" thickBot="1">
      <c r="A194" s="200"/>
      <c r="B194" s="137"/>
      <c r="C194" s="139"/>
      <c r="D194" s="137"/>
      <c r="E194" s="139"/>
      <c r="F194" s="137"/>
      <c r="G194" s="139"/>
      <c r="H194" s="137"/>
      <c r="I194" s="139"/>
      <c r="J194" s="137"/>
      <c r="K194" s="139"/>
      <c r="L194" s="137"/>
      <c r="M194" s="139"/>
      <c r="N194" s="137"/>
      <c r="O194" s="138"/>
      <c r="P194" s="202"/>
    </row>
    <row r="195" spans="1:909" s="5" customFormat="1" ht="22.2" thickTop="1" thickBot="1">
      <c r="A195" s="11" t="s">
        <v>108</v>
      </c>
      <c r="B195" s="170">
        <f>'[1]التعليم الابتدائي'!AA376</f>
        <v>0</v>
      </c>
      <c r="C195" s="182"/>
      <c r="D195" s="170">
        <f>'[1]التعليم الابتدائي'!AC376</f>
        <v>0</v>
      </c>
      <c r="E195" s="182"/>
      <c r="F195" s="170">
        <f>'[1]التعليم الابتدائي'!AE376</f>
        <v>0</v>
      </c>
      <c r="G195" s="182"/>
      <c r="H195" s="170">
        <f>'[1]التعليم الابتدائي'!AG376</f>
        <v>0</v>
      </c>
      <c r="I195" s="182"/>
      <c r="J195" s="170">
        <f>'[1]التعليم الابتدائي'!AI376</f>
        <v>0</v>
      </c>
      <c r="K195" s="182"/>
      <c r="L195" s="170">
        <f>'[1]التعليم الابتدائي'!AK376</f>
        <v>0</v>
      </c>
      <c r="M195" s="182"/>
      <c r="N195" s="170">
        <f>L195+J195+H195+F195+D195+B195</f>
        <v>0</v>
      </c>
      <c r="O195" s="181"/>
      <c r="P195" s="193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  <c r="LA195" s="1"/>
      <c r="LB195" s="1"/>
      <c r="LC195" s="1"/>
      <c r="LD195" s="1"/>
      <c r="LE195" s="1"/>
      <c r="LF195" s="1"/>
      <c r="LG195" s="1"/>
      <c r="LH195" s="1"/>
      <c r="LI195" s="1"/>
      <c r="LJ195" s="1"/>
      <c r="LK195" s="1"/>
      <c r="LL195" s="1"/>
      <c r="LM195" s="1"/>
      <c r="LN195" s="1"/>
      <c r="LO195" s="1"/>
      <c r="LP195" s="1"/>
      <c r="LQ195" s="1"/>
      <c r="LR195" s="1"/>
      <c r="LS195" s="1"/>
      <c r="LT195" s="1"/>
      <c r="LU195" s="1"/>
      <c r="LV195" s="1"/>
      <c r="LW195" s="1"/>
      <c r="LX195" s="1"/>
      <c r="LY195" s="1"/>
      <c r="LZ195" s="1"/>
      <c r="MA195" s="1"/>
      <c r="MB195" s="1"/>
      <c r="MC195" s="1"/>
      <c r="MD195" s="1"/>
      <c r="ME195" s="1"/>
      <c r="MF195" s="1"/>
      <c r="MG195" s="1"/>
      <c r="MH195" s="1"/>
      <c r="MI195" s="1"/>
      <c r="MJ195" s="1"/>
      <c r="MK195" s="1"/>
      <c r="ML195" s="1"/>
      <c r="MM195" s="1"/>
      <c r="MN195" s="1"/>
      <c r="MO195" s="1"/>
      <c r="MP195" s="1"/>
      <c r="MQ195" s="1"/>
      <c r="MR195" s="1"/>
      <c r="MS195" s="1"/>
      <c r="MT195" s="1"/>
      <c r="MU195" s="1"/>
      <c r="MV195" s="1"/>
      <c r="MW195" s="1"/>
      <c r="MX195" s="1"/>
      <c r="MY195" s="1"/>
      <c r="MZ195" s="1"/>
      <c r="NA195" s="1"/>
      <c r="NB195" s="1"/>
      <c r="NC195" s="1"/>
      <c r="ND195" s="1"/>
      <c r="NE195" s="1"/>
      <c r="NF195" s="1"/>
      <c r="NG195" s="1"/>
      <c r="NH195" s="1"/>
      <c r="NI195" s="1"/>
      <c r="NJ195" s="1"/>
      <c r="NK195" s="1"/>
      <c r="NL195" s="1"/>
      <c r="NM195" s="1"/>
      <c r="NN195" s="1"/>
      <c r="NO195" s="1"/>
      <c r="NP195" s="1"/>
      <c r="NQ195" s="1"/>
      <c r="NR195" s="1"/>
      <c r="NS195" s="1"/>
      <c r="NT195" s="1"/>
      <c r="NU195" s="1"/>
      <c r="NV195" s="1"/>
      <c r="NW195" s="1"/>
      <c r="NX195" s="1"/>
      <c r="NY195" s="1"/>
      <c r="NZ195" s="1"/>
      <c r="OA195" s="1"/>
      <c r="OB195" s="1"/>
      <c r="OC195" s="1"/>
      <c r="OD195" s="1"/>
      <c r="OE195" s="1"/>
      <c r="OF195" s="1"/>
      <c r="OG195" s="1"/>
      <c r="OH195" s="1"/>
      <c r="OI195" s="1"/>
      <c r="OJ195" s="1"/>
      <c r="OK195" s="1"/>
      <c r="OL195" s="1"/>
      <c r="OM195" s="1"/>
      <c r="ON195" s="1"/>
      <c r="OO195" s="1"/>
      <c r="OP195" s="1"/>
      <c r="OQ195" s="1"/>
      <c r="OR195" s="1"/>
      <c r="OS195" s="1"/>
      <c r="OT195" s="1"/>
      <c r="OU195" s="1"/>
      <c r="OV195" s="1"/>
      <c r="OW195" s="1"/>
      <c r="OX195" s="1"/>
      <c r="OY195" s="1"/>
      <c r="OZ195" s="1"/>
      <c r="PA195" s="1"/>
      <c r="PB195" s="1"/>
      <c r="PC195" s="1"/>
      <c r="PD195" s="1"/>
      <c r="PE195" s="1"/>
      <c r="PF195" s="1"/>
      <c r="PG195" s="1"/>
      <c r="PH195" s="1"/>
      <c r="PI195" s="1"/>
      <c r="PJ195" s="1"/>
      <c r="PK195" s="1"/>
      <c r="PL195" s="1"/>
      <c r="PM195" s="1"/>
      <c r="PN195" s="1"/>
      <c r="PO195" s="1"/>
      <c r="PP195" s="1"/>
      <c r="PQ195" s="1"/>
      <c r="PR195" s="1"/>
      <c r="PS195" s="1"/>
      <c r="PT195" s="1"/>
      <c r="PU195" s="1"/>
      <c r="PV195" s="1"/>
      <c r="PW195" s="1"/>
      <c r="PX195" s="1"/>
      <c r="PY195" s="1"/>
      <c r="PZ195" s="1"/>
      <c r="QA195" s="1"/>
      <c r="QB195" s="1"/>
      <c r="QC195" s="1"/>
      <c r="QD195" s="1"/>
      <c r="QE195" s="1"/>
      <c r="QF195" s="1"/>
      <c r="QG195" s="1"/>
      <c r="QH195" s="1"/>
      <c r="QI195" s="1"/>
      <c r="QJ195" s="1"/>
      <c r="QK195" s="1"/>
      <c r="QL195" s="1"/>
      <c r="QM195" s="1"/>
      <c r="QN195" s="1"/>
      <c r="QO195" s="1"/>
      <c r="QP195" s="1"/>
      <c r="QQ195" s="1"/>
      <c r="QR195" s="1"/>
      <c r="QS195" s="1"/>
      <c r="QT195" s="1"/>
      <c r="QU195" s="1"/>
      <c r="QV195" s="1"/>
      <c r="QW195" s="1"/>
      <c r="QX195" s="1"/>
      <c r="QY195" s="1"/>
      <c r="QZ195" s="1"/>
      <c r="RA195" s="1"/>
      <c r="RB195" s="1"/>
      <c r="RC195" s="1"/>
      <c r="RD195" s="1"/>
      <c r="RE195" s="1"/>
      <c r="RF195" s="1"/>
      <c r="RG195" s="1"/>
      <c r="RH195" s="1"/>
      <c r="RI195" s="1"/>
      <c r="RJ195" s="1"/>
      <c r="RK195" s="1"/>
      <c r="RL195" s="1"/>
      <c r="RM195" s="1"/>
      <c r="RN195" s="1"/>
      <c r="RO195" s="1"/>
      <c r="RP195" s="1"/>
      <c r="RQ195" s="1"/>
      <c r="RR195" s="1"/>
      <c r="RS195" s="1"/>
      <c r="RT195" s="1"/>
      <c r="RU195" s="1"/>
      <c r="RV195" s="1"/>
      <c r="RW195" s="1"/>
      <c r="RX195" s="1"/>
      <c r="RY195" s="1"/>
      <c r="RZ195" s="1"/>
      <c r="SA195" s="1"/>
      <c r="SB195" s="1"/>
      <c r="SC195" s="1"/>
      <c r="SD195" s="1"/>
      <c r="SE195" s="1"/>
      <c r="SF195" s="1"/>
      <c r="SG195" s="1"/>
      <c r="SH195" s="1"/>
      <c r="SI195" s="1"/>
      <c r="SJ195" s="1"/>
      <c r="SK195" s="1"/>
      <c r="SL195" s="1"/>
      <c r="SM195" s="1"/>
      <c r="SN195" s="1"/>
      <c r="SO195" s="1"/>
      <c r="SP195" s="1"/>
      <c r="SQ195" s="1"/>
      <c r="SR195" s="1"/>
      <c r="SS195" s="1"/>
      <c r="ST195" s="1"/>
      <c r="SU195" s="1"/>
      <c r="SV195" s="1"/>
      <c r="SW195" s="1"/>
      <c r="SX195" s="1"/>
      <c r="SY195" s="1"/>
      <c r="SZ195" s="1"/>
      <c r="TA195" s="1"/>
      <c r="TB195" s="1"/>
      <c r="TC195" s="1"/>
      <c r="TD195" s="1"/>
      <c r="TE195" s="1"/>
      <c r="TF195" s="1"/>
      <c r="TG195" s="1"/>
      <c r="TH195" s="1"/>
      <c r="TI195" s="1"/>
      <c r="TJ195" s="1"/>
      <c r="TK195" s="1"/>
      <c r="TL195" s="1"/>
      <c r="TM195" s="1"/>
      <c r="TN195" s="1"/>
      <c r="TO195" s="1"/>
      <c r="TP195" s="1"/>
      <c r="TQ195" s="1"/>
      <c r="TR195" s="1"/>
      <c r="TS195" s="1"/>
      <c r="TT195" s="1"/>
      <c r="TU195" s="1"/>
      <c r="TV195" s="1"/>
      <c r="TW195" s="1"/>
      <c r="TX195" s="1"/>
      <c r="TY195" s="1"/>
      <c r="TZ195" s="1"/>
      <c r="UA195" s="1"/>
      <c r="UB195" s="1"/>
      <c r="UC195" s="1"/>
      <c r="UD195" s="1"/>
      <c r="UE195" s="1"/>
      <c r="UF195" s="1"/>
      <c r="UG195" s="1"/>
      <c r="UH195" s="1"/>
      <c r="UI195" s="1"/>
      <c r="UJ195" s="1"/>
      <c r="UK195" s="1"/>
      <c r="UL195" s="1"/>
      <c r="UM195" s="1"/>
      <c r="UN195" s="1"/>
      <c r="UO195" s="1"/>
      <c r="UP195" s="1"/>
      <c r="UQ195" s="1"/>
      <c r="UR195" s="1"/>
      <c r="US195" s="1"/>
      <c r="UT195" s="1"/>
      <c r="UU195" s="1"/>
      <c r="UV195" s="1"/>
      <c r="UW195" s="1"/>
      <c r="UX195" s="1"/>
      <c r="UY195" s="1"/>
      <c r="UZ195" s="1"/>
      <c r="VA195" s="1"/>
      <c r="VB195" s="1"/>
      <c r="VC195" s="1"/>
      <c r="VD195" s="1"/>
      <c r="VE195" s="1"/>
      <c r="VF195" s="1"/>
      <c r="VG195" s="1"/>
      <c r="VH195" s="1"/>
      <c r="VI195" s="1"/>
      <c r="VJ195" s="1"/>
      <c r="VK195" s="1"/>
      <c r="VL195" s="1"/>
      <c r="VM195" s="1"/>
      <c r="VN195" s="1"/>
      <c r="VO195" s="1"/>
      <c r="VP195" s="1"/>
      <c r="VQ195" s="1"/>
      <c r="VR195" s="1"/>
      <c r="VS195" s="1"/>
      <c r="VT195" s="1"/>
      <c r="VU195" s="1"/>
      <c r="VV195" s="1"/>
      <c r="VW195" s="1"/>
      <c r="VX195" s="1"/>
      <c r="VY195" s="1"/>
      <c r="VZ195" s="1"/>
      <c r="WA195" s="1"/>
      <c r="WB195" s="1"/>
      <c r="WC195" s="1"/>
      <c r="WD195" s="1"/>
      <c r="WE195" s="1"/>
      <c r="WF195" s="1"/>
      <c r="WG195" s="1"/>
      <c r="WH195" s="1"/>
      <c r="WI195" s="1"/>
      <c r="WJ195" s="1"/>
      <c r="WK195" s="1"/>
      <c r="WL195" s="1"/>
      <c r="WM195" s="1"/>
      <c r="WN195" s="1"/>
      <c r="WO195" s="1"/>
      <c r="WP195" s="1"/>
      <c r="WQ195" s="1"/>
      <c r="WR195" s="1"/>
      <c r="WS195" s="1"/>
      <c r="WT195" s="1"/>
      <c r="WU195" s="1"/>
      <c r="WV195" s="1"/>
      <c r="WW195" s="1"/>
      <c r="WX195" s="1"/>
      <c r="WY195" s="1"/>
      <c r="WZ195" s="1"/>
      <c r="XA195" s="1"/>
      <c r="XB195" s="1"/>
      <c r="XC195" s="1"/>
      <c r="XD195" s="1"/>
      <c r="XE195" s="1"/>
      <c r="XF195" s="1"/>
      <c r="XG195" s="1"/>
      <c r="XH195" s="1"/>
      <c r="XI195" s="1"/>
      <c r="XJ195" s="1"/>
      <c r="XK195" s="1"/>
      <c r="XL195" s="1"/>
      <c r="XM195" s="1"/>
      <c r="XN195" s="1"/>
      <c r="XO195" s="1"/>
      <c r="XP195" s="1"/>
      <c r="XQ195" s="1"/>
      <c r="XR195" s="1"/>
      <c r="XS195" s="1"/>
      <c r="XT195" s="1"/>
      <c r="XU195" s="1"/>
      <c r="XV195" s="1"/>
      <c r="XW195" s="1"/>
      <c r="XX195" s="1"/>
      <c r="XY195" s="1"/>
      <c r="XZ195" s="1"/>
      <c r="YA195" s="1"/>
      <c r="YB195" s="1"/>
      <c r="YC195" s="1"/>
      <c r="YD195" s="1"/>
      <c r="YE195" s="1"/>
      <c r="YF195" s="1"/>
      <c r="YG195" s="1"/>
      <c r="YH195" s="1"/>
      <c r="YI195" s="1"/>
      <c r="YJ195" s="1"/>
      <c r="YK195" s="1"/>
      <c r="YL195" s="1"/>
      <c r="YM195" s="1"/>
      <c r="YN195" s="1"/>
      <c r="YO195" s="1"/>
      <c r="YP195" s="1"/>
      <c r="YQ195" s="1"/>
      <c r="YR195" s="1"/>
      <c r="YS195" s="1"/>
      <c r="YT195" s="1"/>
      <c r="YU195" s="1"/>
      <c r="YV195" s="1"/>
      <c r="YW195" s="1"/>
      <c r="YX195" s="1"/>
      <c r="YY195" s="1"/>
      <c r="YZ195" s="1"/>
      <c r="ZA195" s="1"/>
      <c r="ZB195" s="1"/>
      <c r="ZC195" s="1"/>
      <c r="ZD195" s="1"/>
      <c r="ZE195" s="1"/>
      <c r="ZF195" s="1"/>
      <c r="ZG195" s="1"/>
      <c r="ZH195" s="1"/>
      <c r="ZI195" s="1"/>
      <c r="ZJ195" s="1"/>
      <c r="ZK195" s="1"/>
      <c r="ZL195" s="1"/>
      <c r="ZM195" s="1"/>
      <c r="ZN195" s="1"/>
      <c r="ZO195" s="1"/>
      <c r="ZP195" s="1"/>
      <c r="ZQ195" s="1"/>
      <c r="ZR195" s="1"/>
      <c r="ZS195" s="1"/>
      <c r="ZT195" s="1"/>
      <c r="ZU195" s="1"/>
      <c r="ZV195" s="1"/>
      <c r="ZW195" s="1"/>
      <c r="ZX195" s="1"/>
      <c r="ZY195" s="1"/>
      <c r="ZZ195" s="1"/>
      <c r="AAA195" s="1"/>
      <c r="AAB195" s="1"/>
      <c r="AAC195" s="1"/>
      <c r="AAD195" s="1"/>
      <c r="AAE195" s="1"/>
      <c r="AAF195" s="1"/>
      <c r="AAG195" s="1"/>
      <c r="AAH195" s="1"/>
      <c r="AAI195" s="1"/>
      <c r="AAJ195" s="1"/>
      <c r="AAK195" s="1"/>
      <c r="AAL195" s="1"/>
      <c r="AAM195" s="1"/>
      <c r="AAN195" s="1"/>
      <c r="AAO195" s="1"/>
      <c r="AAP195" s="1"/>
      <c r="AAQ195" s="1"/>
      <c r="AAR195" s="1"/>
      <c r="AAS195" s="1"/>
      <c r="AAT195" s="1"/>
      <c r="AAU195" s="1"/>
      <c r="AAV195" s="1"/>
      <c r="AAW195" s="1"/>
      <c r="AAX195" s="1"/>
      <c r="AAY195" s="1"/>
      <c r="AAZ195" s="1"/>
      <c r="ABA195" s="1"/>
      <c r="ABB195" s="1"/>
      <c r="ABC195" s="1"/>
      <c r="ABD195" s="1"/>
      <c r="ABE195" s="1"/>
      <c r="ABF195" s="1"/>
      <c r="ABG195" s="1"/>
      <c r="ABH195" s="1"/>
      <c r="ABI195" s="1"/>
      <c r="ABJ195" s="1"/>
      <c r="ABK195" s="1"/>
      <c r="ABL195" s="1"/>
      <c r="ABM195" s="1"/>
      <c r="ABN195" s="1"/>
      <c r="ABO195" s="1"/>
      <c r="ABP195" s="1"/>
      <c r="ABQ195" s="1"/>
      <c r="ABR195" s="1"/>
      <c r="ABS195" s="1"/>
      <c r="ABT195" s="1"/>
      <c r="ABU195" s="1"/>
      <c r="ABV195" s="1"/>
      <c r="ABW195" s="1"/>
      <c r="ABX195" s="1"/>
      <c r="ABY195" s="1"/>
      <c r="ABZ195" s="1"/>
      <c r="ACA195" s="1"/>
      <c r="ACB195" s="1"/>
      <c r="ACC195" s="1"/>
      <c r="ACD195" s="1"/>
      <c r="ACE195" s="1"/>
      <c r="ACF195" s="1"/>
      <c r="ACG195" s="1"/>
      <c r="ACH195" s="1"/>
      <c r="ACI195" s="1"/>
      <c r="ACJ195" s="1"/>
      <c r="ACK195" s="1"/>
      <c r="ACL195" s="1"/>
      <c r="ACM195" s="1"/>
      <c r="ACN195" s="1"/>
      <c r="ACO195" s="1"/>
      <c r="ACP195" s="1"/>
      <c r="ACQ195" s="1"/>
      <c r="ACR195" s="1"/>
      <c r="ACS195" s="1"/>
      <c r="ACT195" s="1"/>
      <c r="ACU195" s="1"/>
      <c r="ACV195" s="1"/>
      <c r="ACW195" s="1"/>
      <c r="ACX195" s="1"/>
      <c r="ACY195" s="1"/>
      <c r="ACZ195" s="1"/>
      <c r="ADA195" s="1"/>
      <c r="ADB195" s="1"/>
      <c r="ADC195" s="1"/>
      <c r="ADD195" s="1"/>
      <c r="ADE195" s="1"/>
      <c r="ADF195" s="1"/>
      <c r="ADG195" s="1"/>
      <c r="ADH195" s="1"/>
      <c r="ADI195" s="1"/>
      <c r="ADJ195" s="1"/>
      <c r="ADK195" s="1"/>
      <c r="ADL195" s="1"/>
      <c r="ADM195" s="1"/>
      <c r="ADN195" s="1"/>
      <c r="ADO195" s="1"/>
      <c r="ADP195" s="1"/>
      <c r="ADQ195" s="1"/>
      <c r="ADR195" s="1"/>
      <c r="ADS195" s="1"/>
      <c r="ADT195" s="1"/>
      <c r="ADU195" s="1"/>
      <c r="ADV195" s="1"/>
      <c r="ADW195" s="1"/>
      <c r="ADX195" s="1"/>
      <c r="ADY195" s="1"/>
      <c r="ADZ195" s="1"/>
      <c r="AEA195" s="1"/>
      <c r="AEB195" s="1"/>
      <c r="AEC195" s="1"/>
      <c r="AED195" s="1"/>
      <c r="AEE195" s="1"/>
      <c r="AEF195" s="1"/>
      <c r="AEG195" s="1"/>
      <c r="AEH195" s="1"/>
      <c r="AEI195" s="1"/>
      <c r="AEJ195" s="1"/>
      <c r="AEK195" s="1"/>
      <c r="AEL195" s="1"/>
      <c r="AEM195" s="1"/>
      <c r="AEN195" s="1"/>
      <c r="AEO195" s="1"/>
      <c r="AEP195" s="1"/>
      <c r="AEQ195" s="1"/>
      <c r="AER195" s="1"/>
      <c r="AES195" s="1"/>
      <c r="AET195" s="1"/>
      <c r="AEU195" s="1"/>
      <c r="AEV195" s="1"/>
      <c r="AEW195" s="1"/>
      <c r="AEX195" s="1"/>
      <c r="AEY195" s="1"/>
      <c r="AEZ195" s="1"/>
      <c r="AFA195" s="1"/>
      <c r="AFB195" s="1"/>
      <c r="AFC195" s="1"/>
      <c r="AFD195" s="1"/>
      <c r="AFE195" s="1"/>
      <c r="AFF195" s="1"/>
      <c r="AFG195" s="1"/>
      <c r="AFH195" s="1"/>
      <c r="AFI195" s="1"/>
      <c r="AFJ195" s="1"/>
      <c r="AFK195" s="1"/>
      <c r="AFL195" s="1"/>
      <c r="AFM195" s="1"/>
      <c r="AFN195" s="1"/>
      <c r="AFO195" s="1"/>
      <c r="AFP195" s="1"/>
      <c r="AFQ195" s="1"/>
      <c r="AFR195" s="1"/>
      <c r="AFS195" s="1"/>
      <c r="AFT195" s="1"/>
      <c r="AFU195" s="1"/>
      <c r="AFV195" s="1"/>
      <c r="AFW195" s="1"/>
      <c r="AFX195" s="1"/>
      <c r="AFY195" s="1"/>
      <c r="AFZ195" s="1"/>
      <c r="AGA195" s="1"/>
      <c r="AGB195" s="1"/>
      <c r="AGC195" s="1"/>
      <c r="AGD195" s="1"/>
      <c r="AGE195" s="1"/>
      <c r="AGF195" s="1"/>
      <c r="AGG195" s="1"/>
      <c r="AGH195" s="1"/>
      <c r="AGI195" s="1"/>
      <c r="AGJ195" s="1"/>
      <c r="AGK195" s="1"/>
      <c r="AGL195" s="1"/>
      <c r="AGM195" s="1"/>
      <c r="AGN195" s="1"/>
      <c r="AGO195" s="1"/>
      <c r="AGP195" s="1"/>
      <c r="AGQ195" s="1"/>
      <c r="AGR195" s="1"/>
      <c r="AGS195" s="1"/>
      <c r="AGT195" s="1"/>
      <c r="AGU195" s="1"/>
      <c r="AGV195" s="1"/>
      <c r="AGW195" s="1"/>
      <c r="AGX195" s="1"/>
      <c r="AGY195" s="1"/>
      <c r="AGZ195" s="1"/>
      <c r="AHA195" s="1"/>
      <c r="AHB195" s="1"/>
      <c r="AHC195" s="1"/>
      <c r="AHD195" s="1"/>
      <c r="AHE195" s="1"/>
      <c r="AHF195" s="1"/>
      <c r="AHG195" s="1"/>
      <c r="AHH195" s="1"/>
      <c r="AHI195" s="1"/>
      <c r="AHJ195" s="1"/>
      <c r="AHK195" s="1"/>
      <c r="AHL195" s="1"/>
      <c r="AHM195" s="1"/>
      <c r="AHN195" s="1"/>
      <c r="AHO195" s="1"/>
      <c r="AHP195" s="1"/>
      <c r="AHQ195" s="1"/>
      <c r="AHR195" s="1"/>
      <c r="AHS195" s="1"/>
      <c r="AHT195" s="1"/>
      <c r="AHU195" s="1"/>
      <c r="AHV195" s="1"/>
      <c r="AHW195" s="1"/>
      <c r="AHX195" s="1"/>
      <c r="AHY195" s="1"/>
    </row>
    <row r="196" spans="1:909" s="5" customFormat="1" ht="22.2" thickTop="1" thickBot="1">
      <c r="A196" s="11" t="s">
        <v>109</v>
      </c>
      <c r="B196" s="170">
        <f>'[1]التعليم الابتدائي'!AB376</f>
        <v>0</v>
      </c>
      <c r="C196" s="182"/>
      <c r="D196" s="170">
        <f>'[1]التعليم الابتدائي'!AD376</f>
        <v>0</v>
      </c>
      <c r="E196" s="182"/>
      <c r="F196" s="170">
        <f>'[1]التعليم الابتدائي'!AF376</f>
        <v>0</v>
      </c>
      <c r="G196" s="182"/>
      <c r="H196" s="170">
        <f>'[1]التعليم الابتدائي'!AH376</f>
        <v>0</v>
      </c>
      <c r="I196" s="182"/>
      <c r="J196" s="170">
        <f>'[1]التعليم الابتدائي'!AJ376</f>
        <v>0</v>
      </c>
      <c r="K196" s="182"/>
      <c r="L196" s="170">
        <f>'[1]التعليم الابتدائي'!AL376</f>
        <v>0</v>
      </c>
      <c r="M196" s="182"/>
      <c r="N196" s="170">
        <f>L196+J196+H196+F196+D196+B196</f>
        <v>0</v>
      </c>
      <c r="O196" s="181"/>
      <c r="P196" s="193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  <c r="LE196" s="1"/>
      <c r="LF196" s="1"/>
      <c r="LG196" s="1"/>
      <c r="LH196" s="1"/>
      <c r="LI196" s="1"/>
      <c r="LJ196" s="1"/>
      <c r="LK196" s="1"/>
      <c r="LL196" s="1"/>
      <c r="LM196" s="1"/>
      <c r="LN196" s="1"/>
      <c r="LO196" s="1"/>
      <c r="LP196" s="1"/>
      <c r="LQ196" s="1"/>
      <c r="LR196" s="1"/>
      <c r="LS196" s="1"/>
      <c r="LT196" s="1"/>
      <c r="LU196" s="1"/>
      <c r="LV196" s="1"/>
      <c r="LW196" s="1"/>
      <c r="LX196" s="1"/>
      <c r="LY196" s="1"/>
      <c r="LZ196" s="1"/>
      <c r="MA196" s="1"/>
      <c r="MB196" s="1"/>
      <c r="MC196" s="1"/>
      <c r="MD196" s="1"/>
      <c r="ME196" s="1"/>
      <c r="MF196" s="1"/>
      <c r="MG196" s="1"/>
      <c r="MH196" s="1"/>
      <c r="MI196" s="1"/>
      <c r="MJ196" s="1"/>
      <c r="MK196" s="1"/>
      <c r="ML196" s="1"/>
      <c r="MM196" s="1"/>
      <c r="MN196" s="1"/>
      <c r="MO196" s="1"/>
      <c r="MP196" s="1"/>
      <c r="MQ196" s="1"/>
      <c r="MR196" s="1"/>
      <c r="MS196" s="1"/>
      <c r="MT196" s="1"/>
      <c r="MU196" s="1"/>
      <c r="MV196" s="1"/>
      <c r="MW196" s="1"/>
      <c r="MX196" s="1"/>
      <c r="MY196" s="1"/>
      <c r="MZ196" s="1"/>
      <c r="NA196" s="1"/>
      <c r="NB196" s="1"/>
      <c r="NC196" s="1"/>
      <c r="ND196" s="1"/>
      <c r="NE196" s="1"/>
      <c r="NF196" s="1"/>
      <c r="NG196" s="1"/>
      <c r="NH196" s="1"/>
      <c r="NI196" s="1"/>
      <c r="NJ196" s="1"/>
      <c r="NK196" s="1"/>
      <c r="NL196" s="1"/>
      <c r="NM196" s="1"/>
      <c r="NN196" s="1"/>
      <c r="NO196" s="1"/>
      <c r="NP196" s="1"/>
      <c r="NQ196" s="1"/>
      <c r="NR196" s="1"/>
      <c r="NS196" s="1"/>
      <c r="NT196" s="1"/>
      <c r="NU196" s="1"/>
      <c r="NV196" s="1"/>
      <c r="NW196" s="1"/>
      <c r="NX196" s="1"/>
      <c r="NY196" s="1"/>
      <c r="NZ196" s="1"/>
      <c r="OA196" s="1"/>
      <c r="OB196" s="1"/>
      <c r="OC196" s="1"/>
      <c r="OD196" s="1"/>
      <c r="OE196" s="1"/>
      <c r="OF196" s="1"/>
      <c r="OG196" s="1"/>
      <c r="OH196" s="1"/>
      <c r="OI196" s="1"/>
      <c r="OJ196" s="1"/>
      <c r="OK196" s="1"/>
      <c r="OL196" s="1"/>
      <c r="OM196" s="1"/>
      <c r="ON196" s="1"/>
      <c r="OO196" s="1"/>
      <c r="OP196" s="1"/>
      <c r="OQ196" s="1"/>
      <c r="OR196" s="1"/>
      <c r="OS196" s="1"/>
      <c r="OT196" s="1"/>
      <c r="OU196" s="1"/>
      <c r="OV196" s="1"/>
      <c r="OW196" s="1"/>
      <c r="OX196" s="1"/>
      <c r="OY196" s="1"/>
      <c r="OZ196" s="1"/>
      <c r="PA196" s="1"/>
      <c r="PB196" s="1"/>
      <c r="PC196" s="1"/>
      <c r="PD196" s="1"/>
      <c r="PE196" s="1"/>
      <c r="PF196" s="1"/>
      <c r="PG196" s="1"/>
      <c r="PH196" s="1"/>
      <c r="PI196" s="1"/>
      <c r="PJ196" s="1"/>
      <c r="PK196" s="1"/>
      <c r="PL196" s="1"/>
      <c r="PM196" s="1"/>
      <c r="PN196" s="1"/>
      <c r="PO196" s="1"/>
      <c r="PP196" s="1"/>
      <c r="PQ196" s="1"/>
      <c r="PR196" s="1"/>
      <c r="PS196" s="1"/>
      <c r="PT196" s="1"/>
      <c r="PU196" s="1"/>
      <c r="PV196" s="1"/>
      <c r="PW196" s="1"/>
      <c r="PX196" s="1"/>
      <c r="PY196" s="1"/>
      <c r="PZ196" s="1"/>
      <c r="QA196" s="1"/>
      <c r="QB196" s="1"/>
      <c r="QC196" s="1"/>
      <c r="QD196" s="1"/>
      <c r="QE196" s="1"/>
      <c r="QF196" s="1"/>
      <c r="QG196" s="1"/>
      <c r="QH196" s="1"/>
      <c r="QI196" s="1"/>
      <c r="QJ196" s="1"/>
      <c r="QK196" s="1"/>
      <c r="QL196" s="1"/>
      <c r="QM196" s="1"/>
      <c r="QN196" s="1"/>
      <c r="QO196" s="1"/>
      <c r="QP196" s="1"/>
      <c r="QQ196" s="1"/>
      <c r="QR196" s="1"/>
      <c r="QS196" s="1"/>
      <c r="QT196" s="1"/>
      <c r="QU196" s="1"/>
      <c r="QV196" s="1"/>
      <c r="QW196" s="1"/>
      <c r="QX196" s="1"/>
      <c r="QY196" s="1"/>
      <c r="QZ196" s="1"/>
      <c r="RA196" s="1"/>
      <c r="RB196" s="1"/>
      <c r="RC196" s="1"/>
      <c r="RD196" s="1"/>
      <c r="RE196" s="1"/>
      <c r="RF196" s="1"/>
      <c r="RG196" s="1"/>
      <c r="RH196" s="1"/>
      <c r="RI196" s="1"/>
      <c r="RJ196" s="1"/>
      <c r="RK196" s="1"/>
      <c r="RL196" s="1"/>
      <c r="RM196" s="1"/>
      <c r="RN196" s="1"/>
      <c r="RO196" s="1"/>
      <c r="RP196" s="1"/>
      <c r="RQ196" s="1"/>
      <c r="RR196" s="1"/>
      <c r="RS196" s="1"/>
      <c r="RT196" s="1"/>
      <c r="RU196" s="1"/>
      <c r="RV196" s="1"/>
      <c r="RW196" s="1"/>
      <c r="RX196" s="1"/>
      <c r="RY196" s="1"/>
      <c r="RZ196" s="1"/>
      <c r="SA196" s="1"/>
      <c r="SB196" s="1"/>
      <c r="SC196" s="1"/>
      <c r="SD196" s="1"/>
      <c r="SE196" s="1"/>
      <c r="SF196" s="1"/>
      <c r="SG196" s="1"/>
      <c r="SH196" s="1"/>
      <c r="SI196" s="1"/>
      <c r="SJ196" s="1"/>
      <c r="SK196" s="1"/>
      <c r="SL196" s="1"/>
      <c r="SM196" s="1"/>
      <c r="SN196" s="1"/>
      <c r="SO196" s="1"/>
      <c r="SP196" s="1"/>
      <c r="SQ196" s="1"/>
      <c r="SR196" s="1"/>
      <c r="SS196" s="1"/>
      <c r="ST196" s="1"/>
      <c r="SU196" s="1"/>
      <c r="SV196" s="1"/>
      <c r="SW196" s="1"/>
      <c r="SX196" s="1"/>
      <c r="SY196" s="1"/>
      <c r="SZ196" s="1"/>
      <c r="TA196" s="1"/>
      <c r="TB196" s="1"/>
      <c r="TC196" s="1"/>
      <c r="TD196" s="1"/>
      <c r="TE196" s="1"/>
      <c r="TF196" s="1"/>
      <c r="TG196" s="1"/>
      <c r="TH196" s="1"/>
      <c r="TI196" s="1"/>
      <c r="TJ196" s="1"/>
      <c r="TK196" s="1"/>
      <c r="TL196" s="1"/>
      <c r="TM196" s="1"/>
      <c r="TN196" s="1"/>
      <c r="TO196" s="1"/>
      <c r="TP196" s="1"/>
      <c r="TQ196" s="1"/>
      <c r="TR196" s="1"/>
      <c r="TS196" s="1"/>
      <c r="TT196" s="1"/>
      <c r="TU196" s="1"/>
      <c r="TV196" s="1"/>
      <c r="TW196" s="1"/>
      <c r="TX196" s="1"/>
      <c r="TY196" s="1"/>
      <c r="TZ196" s="1"/>
      <c r="UA196" s="1"/>
      <c r="UB196" s="1"/>
      <c r="UC196" s="1"/>
      <c r="UD196" s="1"/>
      <c r="UE196" s="1"/>
      <c r="UF196" s="1"/>
      <c r="UG196" s="1"/>
      <c r="UH196" s="1"/>
      <c r="UI196" s="1"/>
      <c r="UJ196" s="1"/>
      <c r="UK196" s="1"/>
      <c r="UL196" s="1"/>
      <c r="UM196" s="1"/>
      <c r="UN196" s="1"/>
      <c r="UO196" s="1"/>
      <c r="UP196" s="1"/>
      <c r="UQ196" s="1"/>
      <c r="UR196" s="1"/>
      <c r="US196" s="1"/>
      <c r="UT196" s="1"/>
      <c r="UU196" s="1"/>
      <c r="UV196" s="1"/>
      <c r="UW196" s="1"/>
      <c r="UX196" s="1"/>
      <c r="UY196" s="1"/>
      <c r="UZ196" s="1"/>
      <c r="VA196" s="1"/>
      <c r="VB196" s="1"/>
      <c r="VC196" s="1"/>
      <c r="VD196" s="1"/>
      <c r="VE196" s="1"/>
      <c r="VF196" s="1"/>
      <c r="VG196" s="1"/>
      <c r="VH196" s="1"/>
      <c r="VI196" s="1"/>
      <c r="VJ196" s="1"/>
      <c r="VK196" s="1"/>
      <c r="VL196" s="1"/>
      <c r="VM196" s="1"/>
      <c r="VN196" s="1"/>
      <c r="VO196" s="1"/>
      <c r="VP196" s="1"/>
      <c r="VQ196" s="1"/>
      <c r="VR196" s="1"/>
      <c r="VS196" s="1"/>
      <c r="VT196" s="1"/>
      <c r="VU196" s="1"/>
      <c r="VV196" s="1"/>
      <c r="VW196" s="1"/>
      <c r="VX196" s="1"/>
      <c r="VY196" s="1"/>
      <c r="VZ196" s="1"/>
      <c r="WA196" s="1"/>
      <c r="WB196" s="1"/>
      <c r="WC196" s="1"/>
      <c r="WD196" s="1"/>
      <c r="WE196" s="1"/>
      <c r="WF196" s="1"/>
      <c r="WG196" s="1"/>
      <c r="WH196" s="1"/>
      <c r="WI196" s="1"/>
      <c r="WJ196" s="1"/>
      <c r="WK196" s="1"/>
      <c r="WL196" s="1"/>
      <c r="WM196" s="1"/>
      <c r="WN196" s="1"/>
      <c r="WO196" s="1"/>
      <c r="WP196" s="1"/>
      <c r="WQ196" s="1"/>
      <c r="WR196" s="1"/>
      <c r="WS196" s="1"/>
      <c r="WT196" s="1"/>
      <c r="WU196" s="1"/>
      <c r="WV196" s="1"/>
      <c r="WW196" s="1"/>
      <c r="WX196" s="1"/>
      <c r="WY196" s="1"/>
      <c r="WZ196" s="1"/>
      <c r="XA196" s="1"/>
      <c r="XB196" s="1"/>
      <c r="XC196" s="1"/>
      <c r="XD196" s="1"/>
      <c r="XE196" s="1"/>
      <c r="XF196" s="1"/>
      <c r="XG196" s="1"/>
      <c r="XH196" s="1"/>
      <c r="XI196" s="1"/>
      <c r="XJ196" s="1"/>
      <c r="XK196" s="1"/>
      <c r="XL196" s="1"/>
      <c r="XM196" s="1"/>
      <c r="XN196" s="1"/>
      <c r="XO196" s="1"/>
      <c r="XP196" s="1"/>
      <c r="XQ196" s="1"/>
      <c r="XR196" s="1"/>
      <c r="XS196" s="1"/>
      <c r="XT196" s="1"/>
      <c r="XU196" s="1"/>
      <c r="XV196" s="1"/>
      <c r="XW196" s="1"/>
      <c r="XX196" s="1"/>
      <c r="XY196" s="1"/>
      <c r="XZ196" s="1"/>
      <c r="YA196" s="1"/>
      <c r="YB196" s="1"/>
      <c r="YC196" s="1"/>
      <c r="YD196" s="1"/>
      <c r="YE196" s="1"/>
      <c r="YF196" s="1"/>
      <c r="YG196" s="1"/>
      <c r="YH196" s="1"/>
      <c r="YI196" s="1"/>
      <c r="YJ196" s="1"/>
      <c r="YK196" s="1"/>
      <c r="YL196" s="1"/>
      <c r="YM196" s="1"/>
      <c r="YN196" s="1"/>
      <c r="YO196" s="1"/>
      <c r="YP196" s="1"/>
      <c r="YQ196" s="1"/>
      <c r="YR196" s="1"/>
      <c r="YS196" s="1"/>
      <c r="YT196" s="1"/>
      <c r="YU196" s="1"/>
      <c r="YV196" s="1"/>
      <c r="YW196" s="1"/>
      <c r="YX196" s="1"/>
      <c r="YY196" s="1"/>
      <c r="YZ196" s="1"/>
      <c r="ZA196" s="1"/>
      <c r="ZB196" s="1"/>
      <c r="ZC196" s="1"/>
      <c r="ZD196" s="1"/>
      <c r="ZE196" s="1"/>
      <c r="ZF196" s="1"/>
      <c r="ZG196" s="1"/>
      <c r="ZH196" s="1"/>
      <c r="ZI196" s="1"/>
      <c r="ZJ196" s="1"/>
      <c r="ZK196" s="1"/>
      <c r="ZL196" s="1"/>
      <c r="ZM196" s="1"/>
      <c r="ZN196" s="1"/>
      <c r="ZO196" s="1"/>
      <c r="ZP196" s="1"/>
      <c r="ZQ196" s="1"/>
      <c r="ZR196" s="1"/>
      <c r="ZS196" s="1"/>
      <c r="ZT196" s="1"/>
      <c r="ZU196" s="1"/>
      <c r="ZV196" s="1"/>
      <c r="ZW196" s="1"/>
      <c r="ZX196" s="1"/>
      <c r="ZY196" s="1"/>
      <c r="ZZ196" s="1"/>
      <c r="AAA196" s="1"/>
      <c r="AAB196" s="1"/>
      <c r="AAC196" s="1"/>
      <c r="AAD196" s="1"/>
      <c r="AAE196" s="1"/>
      <c r="AAF196" s="1"/>
      <c r="AAG196" s="1"/>
      <c r="AAH196" s="1"/>
      <c r="AAI196" s="1"/>
      <c r="AAJ196" s="1"/>
      <c r="AAK196" s="1"/>
      <c r="AAL196" s="1"/>
      <c r="AAM196" s="1"/>
      <c r="AAN196" s="1"/>
      <c r="AAO196" s="1"/>
      <c r="AAP196" s="1"/>
      <c r="AAQ196" s="1"/>
      <c r="AAR196" s="1"/>
      <c r="AAS196" s="1"/>
      <c r="AAT196" s="1"/>
      <c r="AAU196" s="1"/>
      <c r="AAV196" s="1"/>
      <c r="AAW196" s="1"/>
      <c r="AAX196" s="1"/>
      <c r="AAY196" s="1"/>
      <c r="AAZ196" s="1"/>
      <c r="ABA196" s="1"/>
      <c r="ABB196" s="1"/>
      <c r="ABC196" s="1"/>
      <c r="ABD196" s="1"/>
      <c r="ABE196" s="1"/>
      <c r="ABF196" s="1"/>
      <c r="ABG196" s="1"/>
      <c r="ABH196" s="1"/>
      <c r="ABI196" s="1"/>
      <c r="ABJ196" s="1"/>
      <c r="ABK196" s="1"/>
      <c r="ABL196" s="1"/>
      <c r="ABM196" s="1"/>
      <c r="ABN196" s="1"/>
      <c r="ABO196" s="1"/>
      <c r="ABP196" s="1"/>
      <c r="ABQ196" s="1"/>
      <c r="ABR196" s="1"/>
      <c r="ABS196" s="1"/>
      <c r="ABT196" s="1"/>
      <c r="ABU196" s="1"/>
      <c r="ABV196" s="1"/>
      <c r="ABW196" s="1"/>
      <c r="ABX196" s="1"/>
      <c r="ABY196" s="1"/>
      <c r="ABZ196" s="1"/>
      <c r="ACA196" s="1"/>
      <c r="ACB196" s="1"/>
      <c r="ACC196" s="1"/>
      <c r="ACD196" s="1"/>
      <c r="ACE196" s="1"/>
      <c r="ACF196" s="1"/>
      <c r="ACG196" s="1"/>
      <c r="ACH196" s="1"/>
      <c r="ACI196" s="1"/>
      <c r="ACJ196" s="1"/>
      <c r="ACK196" s="1"/>
      <c r="ACL196" s="1"/>
      <c r="ACM196" s="1"/>
      <c r="ACN196" s="1"/>
      <c r="ACO196" s="1"/>
      <c r="ACP196" s="1"/>
      <c r="ACQ196" s="1"/>
      <c r="ACR196" s="1"/>
      <c r="ACS196" s="1"/>
      <c r="ACT196" s="1"/>
      <c r="ACU196" s="1"/>
      <c r="ACV196" s="1"/>
      <c r="ACW196" s="1"/>
      <c r="ACX196" s="1"/>
      <c r="ACY196" s="1"/>
      <c r="ACZ196" s="1"/>
      <c r="ADA196" s="1"/>
      <c r="ADB196" s="1"/>
      <c r="ADC196" s="1"/>
      <c r="ADD196" s="1"/>
      <c r="ADE196" s="1"/>
      <c r="ADF196" s="1"/>
      <c r="ADG196" s="1"/>
      <c r="ADH196" s="1"/>
      <c r="ADI196" s="1"/>
      <c r="ADJ196" s="1"/>
      <c r="ADK196" s="1"/>
      <c r="ADL196" s="1"/>
      <c r="ADM196" s="1"/>
      <c r="ADN196" s="1"/>
      <c r="ADO196" s="1"/>
      <c r="ADP196" s="1"/>
      <c r="ADQ196" s="1"/>
      <c r="ADR196" s="1"/>
      <c r="ADS196" s="1"/>
      <c r="ADT196" s="1"/>
      <c r="ADU196" s="1"/>
      <c r="ADV196" s="1"/>
      <c r="ADW196" s="1"/>
      <c r="ADX196" s="1"/>
      <c r="ADY196" s="1"/>
      <c r="ADZ196" s="1"/>
      <c r="AEA196" s="1"/>
      <c r="AEB196" s="1"/>
      <c r="AEC196" s="1"/>
      <c r="AED196" s="1"/>
      <c r="AEE196" s="1"/>
      <c r="AEF196" s="1"/>
      <c r="AEG196" s="1"/>
      <c r="AEH196" s="1"/>
      <c r="AEI196" s="1"/>
      <c r="AEJ196" s="1"/>
      <c r="AEK196" s="1"/>
      <c r="AEL196" s="1"/>
      <c r="AEM196" s="1"/>
      <c r="AEN196" s="1"/>
      <c r="AEO196" s="1"/>
      <c r="AEP196" s="1"/>
      <c r="AEQ196" s="1"/>
      <c r="AER196" s="1"/>
      <c r="AES196" s="1"/>
      <c r="AET196" s="1"/>
      <c r="AEU196" s="1"/>
      <c r="AEV196" s="1"/>
      <c r="AEW196" s="1"/>
      <c r="AEX196" s="1"/>
      <c r="AEY196" s="1"/>
      <c r="AEZ196" s="1"/>
      <c r="AFA196" s="1"/>
      <c r="AFB196" s="1"/>
      <c r="AFC196" s="1"/>
      <c r="AFD196" s="1"/>
      <c r="AFE196" s="1"/>
      <c r="AFF196" s="1"/>
      <c r="AFG196" s="1"/>
      <c r="AFH196" s="1"/>
      <c r="AFI196" s="1"/>
      <c r="AFJ196" s="1"/>
      <c r="AFK196" s="1"/>
      <c r="AFL196" s="1"/>
      <c r="AFM196" s="1"/>
      <c r="AFN196" s="1"/>
      <c r="AFO196" s="1"/>
      <c r="AFP196" s="1"/>
      <c r="AFQ196" s="1"/>
      <c r="AFR196" s="1"/>
      <c r="AFS196" s="1"/>
      <c r="AFT196" s="1"/>
      <c r="AFU196" s="1"/>
      <c r="AFV196" s="1"/>
      <c r="AFW196" s="1"/>
      <c r="AFX196" s="1"/>
      <c r="AFY196" s="1"/>
      <c r="AFZ196" s="1"/>
      <c r="AGA196" s="1"/>
      <c r="AGB196" s="1"/>
      <c r="AGC196" s="1"/>
      <c r="AGD196" s="1"/>
      <c r="AGE196" s="1"/>
      <c r="AGF196" s="1"/>
      <c r="AGG196" s="1"/>
      <c r="AGH196" s="1"/>
      <c r="AGI196" s="1"/>
      <c r="AGJ196" s="1"/>
      <c r="AGK196" s="1"/>
      <c r="AGL196" s="1"/>
      <c r="AGM196" s="1"/>
      <c r="AGN196" s="1"/>
      <c r="AGO196" s="1"/>
      <c r="AGP196" s="1"/>
      <c r="AGQ196" s="1"/>
      <c r="AGR196" s="1"/>
      <c r="AGS196" s="1"/>
      <c r="AGT196" s="1"/>
      <c r="AGU196" s="1"/>
      <c r="AGV196" s="1"/>
      <c r="AGW196" s="1"/>
      <c r="AGX196" s="1"/>
      <c r="AGY196" s="1"/>
      <c r="AGZ196" s="1"/>
      <c r="AHA196" s="1"/>
      <c r="AHB196" s="1"/>
      <c r="AHC196" s="1"/>
      <c r="AHD196" s="1"/>
      <c r="AHE196" s="1"/>
      <c r="AHF196" s="1"/>
      <c r="AHG196" s="1"/>
      <c r="AHH196" s="1"/>
      <c r="AHI196" s="1"/>
      <c r="AHJ196" s="1"/>
      <c r="AHK196" s="1"/>
      <c r="AHL196" s="1"/>
      <c r="AHM196" s="1"/>
      <c r="AHN196" s="1"/>
      <c r="AHO196" s="1"/>
      <c r="AHP196" s="1"/>
      <c r="AHQ196" s="1"/>
      <c r="AHR196" s="1"/>
      <c r="AHS196" s="1"/>
      <c r="AHT196" s="1"/>
      <c r="AHU196" s="1"/>
      <c r="AHV196" s="1"/>
      <c r="AHW196" s="1"/>
      <c r="AHX196" s="1"/>
      <c r="AHY196" s="1"/>
    </row>
    <row r="197" spans="1:909" s="5" customFormat="1" ht="22.2" thickTop="1" thickBot="1">
      <c r="A197" s="6" t="s">
        <v>110</v>
      </c>
      <c r="B197" s="194">
        <f>SUM(B195:B196)</f>
        <v>0</v>
      </c>
      <c r="C197" s="195"/>
      <c r="D197" s="194">
        <f>SUM(D195:D196)</f>
        <v>0</v>
      </c>
      <c r="E197" s="195"/>
      <c r="F197" s="194">
        <f>SUM(F195:F196)</f>
        <v>0</v>
      </c>
      <c r="G197" s="195"/>
      <c r="H197" s="194">
        <f>SUM(H195:H196)</f>
        <v>0</v>
      </c>
      <c r="I197" s="195"/>
      <c r="J197" s="194">
        <f>SUM(J195:J196)</f>
        <v>0</v>
      </c>
      <c r="K197" s="195"/>
      <c r="L197" s="194">
        <f>SUM(L195:L196)</f>
        <v>0</v>
      </c>
      <c r="M197" s="195"/>
      <c r="N197" s="194">
        <f>L197+J197+H197+F197+D197+B197</f>
        <v>0</v>
      </c>
      <c r="O197" s="196"/>
      <c r="P197" s="197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/>
      <c r="JZ197" s="1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  <c r="LA197" s="1"/>
      <c r="LB197" s="1"/>
      <c r="LC197" s="1"/>
      <c r="LD197" s="1"/>
      <c r="LE197" s="1"/>
      <c r="LF197" s="1"/>
      <c r="LG197" s="1"/>
      <c r="LH197" s="1"/>
      <c r="LI197" s="1"/>
      <c r="LJ197" s="1"/>
      <c r="LK197" s="1"/>
      <c r="LL197" s="1"/>
      <c r="LM197" s="1"/>
      <c r="LN197" s="1"/>
      <c r="LO197" s="1"/>
      <c r="LP197" s="1"/>
      <c r="LQ197" s="1"/>
      <c r="LR197" s="1"/>
      <c r="LS197" s="1"/>
      <c r="LT197" s="1"/>
      <c r="LU197" s="1"/>
      <c r="LV197" s="1"/>
      <c r="LW197" s="1"/>
      <c r="LX197" s="1"/>
      <c r="LY197" s="1"/>
      <c r="LZ197" s="1"/>
      <c r="MA197" s="1"/>
      <c r="MB197" s="1"/>
      <c r="MC197" s="1"/>
      <c r="MD197" s="1"/>
      <c r="ME197" s="1"/>
      <c r="MF197" s="1"/>
      <c r="MG197" s="1"/>
      <c r="MH197" s="1"/>
      <c r="MI197" s="1"/>
      <c r="MJ197" s="1"/>
      <c r="MK197" s="1"/>
      <c r="ML197" s="1"/>
      <c r="MM197" s="1"/>
      <c r="MN197" s="1"/>
      <c r="MO197" s="1"/>
      <c r="MP197" s="1"/>
      <c r="MQ197" s="1"/>
      <c r="MR197" s="1"/>
      <c r="MS197" s="1"/>
      <c r="MT197" s="1"/>
      <c r="MU197" s="1"/>
      <c r="MV197" s="1"/>
      <c r="MW197" s="1"/>
      <c r="MX197" s="1"/>
      <c r="MY197" s="1"/>
      <c r="MZ197" s="1"/>
      <c r="NA197" s="1"/>
      <c r="NB197" s="1"/>
      <c r="NC197" s="1"/>
      <c r="ND197" s="1"/>
      <c r="NE197" s="1"/>
      <c r="NF197" s="1"/>
      <c r="NG197" s="1"/>
      <c r="NH197" s="1"/>
      <c r="NI197" s="1"/>
      <c r="NJ197" s="1"/>
      <c r="NK197" s="1"/>
      <c r="NL197" s="1"/>
      <c r="NM197" s="1"/>
      <c r="NN197" s="1"/>
      <c r="NO197" s="1"/>
      <c r="NP197" s="1"/>
      <c r="NQ197" s="1"/>
      <c r="NR197" s="1"/>
      <c r="NS197" s="1"/>
      <c r="NT197" s="1"/>
      <c r="NU197" s="1"/>
      <c r="NV197" s="1"/>
      <c r="NW197" s="1"/>
      <c r="NX197" s="1"/>
      <c r="NY197" s="1"/>
      <c r="NZ197" s="1"/>
      <c r="OA197" s="1"/>
      <c r="OB197" s="1"/>
      <c r="OC197" s="1"/>
      <c r="OD197" s="1"/>
      <c r="OE197" s="1"/>
      <c r="OF197" s="1"/>
      <c r="OG197" s="1"/>
      <c r="OH197" s="1"/>
      <c r="OI197" s="1"/>
      <c r="OJ197" s="1"/>
      <c r="OK197" s="1"/>
      <c r="OL197" s="1"/>
      <c r="OM197" s="1"/>
      <c r="ON197" s="1"/>
      <c r="OO197" s="1"/>
      <c r="OP197" s="1"/>
      <c r="OQ197" s="1"/>
      <c r="OR197" s="1"/>
      <c r="OS197" s="1"/>
      <c r="OT197" s="1"/>
      <c r="OU197" s="1"/>
      <c r="OV197" s="1"/>
      <c r="OW197" s="1"/>
      <c r="OX197" s="1"/>
      <c r="OY197" s="1"/>
      <c r="OZ197" s="1"/>
      <c r="PA197" s="1"/>
      <c r="PB197" s="1"/>
      <c r="PC197" s="1"/>
      <c r="PD197" s="1"/>
      <c r="PE197" s="1"/>
      <c r="PF197" s="1"/>
      <c r="PG197" s="1"/>
      <c r="PH197" s="1"/>
      <c r="PI197" s="1"/>
      <c r="PJ197" s="1"/>
      <c r="PK197" s="1"/>
      <c r="PL197" s="1"/>
      <c r="PM197" s="1"/>
      <c r="PN197" s="1"/>
      <c r="PO197" s="1"/>
      <c r="PP197" s="1"/>
      <c r="PQ197" s="1"/>
      <c r="PR197" s="1"/>
      <c r="PS197" s="1"/>
      <c r="PT197" s="1"/>
      <c r="PU197" s="1"/>
      <c r="PV197" s="1"/>
      <c r="PW197" s="1"/>
      <c r="PX197" s="1"/>
      <c r="PY197" s="1"/>
      <c r="PZ197" s="1"/>
      <c r="QA197" s="1"/>
      <c r="QB197" s="1"/>
      <c r="QC197" s="1"/>
      <c r="QD197" s="1"/>
      <c r="QE197" s="1"/>
      <c r="QF197" s="1"/>
      <c r="QG197" s="1"/>
      <c r="QH197" s="1"/>
      <c r="QI197" s="1"/>
      <c r="QJ197" s="1"/>
      <c r="QK197" s="1"/>
      <c r="QL197" s="1"/>
      <c r="QM197" s="1"/>
      <c r="QN197" s="1"/>
      <c r="QO197" s="1"/>
      <c r="QP197" s="1"/>
      <c r="QQ197" s="1"/>
      <c r="QR197" s="1"/>
      <c r="QS197" s="1"/>
      <c r="QT197" s="1"/>
      <c r="QU197" s="1"/>
      <c r="QV197" s="1"/>
      <c r="QW197" s="1"/>
      <c r="QX197" s="1"/>
      <c r="QY197" s="1"/>
      <c r="QZ197" s="1"/>
      <c r="RA197" s="1"/>
      <c r="RB197" s="1"/>
      <c r="RC197" s="1"/>
      <c r="RD197" s="1"/>
      <c r="RE197" s="1"/>
      <c r="RF197" s="1"/>
      <c r="RG197" s="1"/>
      <c r="RH197" s="1"/>
      <c r="RI197" s="1"/>
      <c r="RJ197" s="1"/>
      <c r="RK197" s="1"/>
      <c r="RL197" s="1"/>
      <c r="RM197" s="1"/>
      <c r="RN197" s="1"/>
      <c r="RO197" s="1"/>
      <c r="RP197" s="1"/>
      <c r="RQ197" s="1"/>
      <c r="RR197" s="1"/>
      <c r="RS197" s="1"/>
      <c r="RT197" s="1"/>
      <c r="RU197" s="1"/>
      <c r="RV197" s="1"/>
      <c r="RW197" s="1"/>
      <c r="RX197" s="1"/>
      <c r="RY197" s="1"/>
      <c r="RZ197" s="1"/>
      <c r="SA197" s="1"/>
      <c r="SB197" s="1"/>
      <c r="SC197" s="1"/>
      <c r="SD197" s="1"/>
      <c r="SE197" s="1"/>
      <c r="SF197" s="1"/>
      <c r="SG197" s="1"/>
      <c r="SH197" s="1"/>
      <c r="SI197" s="1"/>
      <c r="SJ197" s="1"/>
      <c r="SK197" s="1"/>
      <c r="SL197" s="1"/>
      <c r="SM197" s="1"/>
      <c r="SN197" s="1"/>
      <c r="SO197" s="1"/>
      <c r="SP197" s="1"/>
      <c r="SQ197" s="1"/>
      <c r="SR197" s="1"/>
      <c r="SS197" s="1"/>
      <c r="ST197" s="1"/>
      <c r="SU197" s="1"/>
      <c r="SV197" s="1"/>
      <c r="SW197" s="1"/>
      <c r="SX197" s="1"/>
      <c r="SY197" s="1"/>
      <c r="SZ197" s="1"/>
      <c r="TA197" s="1"/>
      <c r="TB197" s="1"/>
      <c r="TC197" s="1"/>
      <c r="TD197" s="1"/>
      <c r="TE197" s="1"/>
      <c r="TF197" s="1"/>
      <c r="TG197" s="1"/>
      <c r="TH197" s="1"/>
      <c r="TI197" s="1"/>
      <c r="TJ197" s="1"/>
      <c r="TK197" s="1"/>
      <c r="TL197" s="1"/>
      <c r="TM197" s="1"/>
      <c r="TN197" s="1"/>
      <c r="TO197" s="1"/>
      <c r="TP197" s="1"/>
      <c r="TQ197" s="1"/>
      <c r="TR197" s="1"/>
      <c r="TS197" s="1"/>
      <c r="TT197" s="1"/>
      <c r="TU197" s="1"/>
      <c r="TV197" s="1"/>
      <c r="TW197" s="1"/>
      <c r="TX197" s="1"/>
      <c r="TY197" s="1"/>
      <c r="TZ197" s="1"/>
      <c r="UA197" s="1"/>
      <c r="UB197" s="1"/>
      <c r="UC197" s="1"/>
      <c r="UD197" s="1"/>
      <c r="UE197" s="1"/>
      <c r="UF197" s="1"/>
      <c r="UG197" s="1"/>
      <c r="UH197" s="1"/>
      <c r="UI197" s="1"/>
      <c r="UJ197" s="1"/>
      <c r="UK197" s="1"/>
      <c r="UL197" s="1"/>
      <c r="UM197" s="1"/>
      <c r="UN197" s="1"/>
      <c r="UO197" s="1"/>
      <c r="UP197" s="1"/>
      <c r="UQ197" s="1"/>
      <c r="UR197" s="1"/>
      <c r="US197" s="1"/>
      <c r="UT197" s="1"/>
      <c r="UU197" s="1"/>
      <c r="UV197" s="1"/>
      <c r="UW197" s="1"/>
      <c r="UX197" s="1"/>
      <c r="UY197" s="1"/>
      <c r="UZ197" s="1"/>
      <c r="VA197" s="1"/>
      <c r="VB197" s="1"/>
      <c r="VC197" s="1"/>
      <c r="VD197" s="1"/>
      <c r="VE197" s="1"/>
      <c r="VF197" s="1"/>
      <c r="VG197" s="1"/>
      <c r="VH197" s="1"/>
      <c r="VI197" s="1"/>
      <c r="VJ197" s="1"/>
      <c r="VK197" s="1"/>
      <c r="VL197" s="1"/>
      <c r="VM197" s="1"/>
      <c r="VN197" s="1"/>
      <c r="VO197" s="1"/>
      <c r="VP197" s="1"/>
      <c r="VQ197" s="1"/>
      <c r="VR197" s="1"/>
      <c r="VS197" s="1"/>
      <c r="VT197" s="1"/>
      <c r="VU197" s="1"/>
      <c r="VV197" s="1"/>
      <c r="VW197" s="1"/>
      <c r="VX197" s="1"/>
      <c r="VY197" s="1"/>
      <c r="VZ197" s="1"/>
      <c r="WA197" s="1"/>
      <c r="WB197" s="1"/>
      <c r="WC197" s="1"/>
      <c r="WD197" s="1"/>
      <c r="WE197" s="1"/>
      <c r="WF197" s="1"/>
      <c r="WG197" s="1"/>
      <c r="WH197" s="1"/>
      <c r="WI197" s="1"/>
      <c r="WJ197" s="1"/>
      <c r="WK197" s="1"/>
      <c r="WL197" s="1"/>
      <c r="WM197" s="1"/>
      <c r="WN197" s="1"/>
      <c r="WO197" s="1"/>
      <c r="WP197" s="1"/>
      <c r="WQ197" s="1"/>
      <c r="WR197" s="1"/>
      <c r="WS197" s="1"/>
      <c r="WT197" s="1"/>
      <c r="WU197" s="1"/>
      <c r="WV197" s="1"/>
      <c r="WW197" s="1"/>
      <c r="WX197" s="1"/>
      <c r="WY197" s="1"/>
      <c r="WZ197" s="1"/>
      <c r="XA197" s="1"/>
      <c r="XB197" s="1"/>
      <c r="XC197" s="1"/>
      <c r="XD197" s="1"/>
      <c r="XE197" s="1"/>
      <c r="XF197" s="1"/>
      <c r="XG197" s="1"/>
      <c r="XH197" s="1"/>
      <c r="XI197" s="1"/>
      <c r="XJ197" s="1"/>
      <c r="XK197" s="1"/>
      <c r="XL197" s="1"/>
      <c r="XM197" s="1"/>
      <c r="XN197" s="1"/>
      <c r="XO197" s="1"/>
      <c r="XP197" s="1"/>
      <c r="XQ197" s="1"/>
      <c r="XR197" s="1"/>
      <c r="XS197" s="1"/>
      <c r="XT197" s="1"/>
      <c r="XU197" s="1"/>
      <c r="XV197" s="1"/>
      <c r="XW197" s="1"/>
      <c r="XX197" s="1"/>
      <c r="XY197" s="1"/>
      <c r="XZ197" s="1"/>
      <c r="YA197" s="1"/>
      <c r="YB197" s="1"/>
      <c r="YC197" s="1"/>
      <c r="YD197" s="1"/>
      <c r="YE197" s="1"/>
      <c r="YF197" s="1"/>
      <c r="YG197" s="1"/>
      <c r="YH197" s="1"/>
      <c r="YI197" s="1"/>
      <c r="YJ197" s="1"/>
      <c r="YK197" s="1"/>
      <c r="YL197" s="1"/>
      <c r="YM197" s="1"/>
      <c r="YN197" s="1"/>
      <c r="YO197" s="1"/>
      <c r="YP197" s="1"/>
      <c r="YQ197" s="1"/>
      <c r="YR197" s="1"/>
      <c r="YS197" s="1"/>
      <c r="YT197" s="1"/>
      <c r="YU197" s="1"/>
      <c r="YV197" s="1"/>
      <c r="YW197" s="1"/>
      <c r="YX197" s="1"/>
      <c r="YY197" s="1"/>
      <c r="YZ197" s="1"/>
      <c r="ZA197" s="1"/>
      <c r="ZB197" s="1"/>
      <c r="ZC197" s="1"/>
      <c r="ZD197" s="1"/>
      <c r="ZE197" s="1"/>
      <c r="ZF197" s="1"/>
      <c r="ZG197" s="1"/>
      <c r="ZH197" s="1"/>
      <c r="ZI197" s="1"/>
      <c r="ZJ197" s="1"/>
      <c r="ZK197" s="1"/>
      <c r="ZL197" s="1"/>
      <c r="ZM197" s="1"/>
      <c r="ZN197" s="1"/>
      <c r="ZO197" s="1"/>
      <c r="ZP197" s="1"/>
      <c r="ZQ197" s="1"/>
      <c r="ZR197" s="1"/>
      <c r="ZS197" s="1"/>
      <c r="ZT197" s="1"/>
      <c r="ZU197" s="1"/>
      <c r="ZV197" s="1"/>
      <c r="ZW197" s="1"/>
      <c r="ZX197" s="1"/>
      <c r="ZY197" s="1"/>
      <c r="ZZ197" s="1"/>
      <c r="AAA197" s="1"/>
      <c r="AAB197" s="1"/>
      <c r="AAC197" s="1"/>
      <c r="AAD197" s="1"/>
      <c r="AAE197" s="1"/>
      <c r="AAF197" s="1"/>
      <c r="AAG197" s="1"/>
      <c r="AAH197" s="1"/>
      <c r="AAI197" s="1"/>
      <c r="AAJ197" s="1"/>
      <c r="AAK197" s="1"/>
      <c r="AAL197" s="1"/>
      <c r="AAM197" s="1"/>
      <c r="AAN197" s="1"/>
      <c r="AAO197" s="1"/>
      <c r="AAP197" s="1"/>
      <c r="AAQ197" s="1"/>
      <c r="AAR197" s="1"/>
      <c r="AAS197" s="1"/>
      <c r="AAT197" s="1"/>
      <c r="AAU197" s="1"/>
      <c r="AAV197" s="1"/>
      <c r="AAW197" s="1"/>
      <c r="AAX197" s="1"/>
      <c r="AAY197" s="1"/>
      <c r="AAZ197" s="1"/>
      <c r="ABA197" s="1"/>
      <c r="ABB197" s="1"/>
      <c r="ABC197" s="1"/>
      <c r="ABD197" s="1"/>
      <c r="ABE197" s="1"/>
      <c r="ABF197" s="1"/>
      <c r="ABG197" s="1"/>
      <c r="ABH197" s="1"/>
      <c r="ABI197" s="1"/>
      <c r="ABJ197" s="1"/>
      <c r="ABK197" s="1"/>
      <c r="ABL197" s="1"/>
      <c r="ABM197" s="1"/>
      <c r="ABN197" s="1"/>
      <c r="ABO197" s="1"/>
      <c r="ABP197" s="1"/>
      <c r="ABQ197" s="1"/>
      <c r="ABR197" s="1"/>
      <c r="ABS197" s="1"/>
      <c r="ABT197" s="1"/>
      <c r="ABU197" s="1"/>
      <c r="ABV197" s="1"/>
      <c r="ABW197" s="1"/>
      <c r="ABX197" s="1"/>
      <c r="ABY197" s="1"/>
      <c r="ABZ197" s="1"/>
      <c r="ACA197" s="1"/>
      <c r="ACB197" s="1"/>
      <c r="ACC197" s="1"/>
      <c r="ACD197" s="1"/>
      <c r="ACE197" s="1"/>
      <c r="ACF197" s="1"/>
      <c r="ACG197" s="1"/>
      <c r="ACH197" s="1"/>
      <c r="ACI197" s="1"/>
      <c r="ACJ197" s="1"/>
      <c r="ACK197" s="1"/>
      <c r="ACL197" s="1"/>
      <c r="ACM197" s="1"/>
      <c r="ACN197" s="1"/>
      <c r="ACO197" s="1"/>
      <c r="ACP197" s="1"/>
      <c r="ACQ197" s="1"/>
      <c r="ACR197" s="1"/>
      <c r="ACS197" s="1"/>
      <c r="ACT197" s="1"/>
      <c r="ACU197" s="1"/>
      <c r="ACV197" s="1"/>
      <c r="ACW197" s="1"/>
      <c r="ACX197" s="1"/>
      <c r="ACY197" s="1"/>
      <c r="ACZ197" s="1"/>
      <c r="ADA197" s="1"/>
      <c r="ADB197" s="1"/>
      <c r="ADC197" s="1"/>
      <c r="ADD197" s="1"/>
      <c r="ADE197" s="1"/>
      <c r="ADF197" s="1"/>
      <c r="ADG197" s="1"/>
      <c r="ADH197" s="1"/>
      <c r="ADI197" s="1"/>
      <c r="ADJ197" s="1"/>
      <c r="ADK197" s="1"/>
      <c r="ADL197" s="1"/>
      <c r="ADM197" s="1"/>
      <c r="ADN197" s="1"/>
      <c r="ADO197" s="1"/>
      <c r="ADP197" s="1"/>
      <c r="ADQ197" s="1"/>
      <c r="ADR197" s="1"/>
      <c r="ADS197" s="1"/>
      <c r="ADT197" s="1"/>
      <c r="ADU197" s="1"/>
      <c r="ADV197" s="1"/>
      <c r="ADW197" s="1"/>
      <c r="ADX197" s="1"/>
      <c r="ADY197" s="1"/>
      <c r="ADZ197" s="1"/>
      <c r="AEA197" s="1"/>
      <c r="AEB197" s="1"/>
      <c r="AEC197" s="1"/>
      <c r="AED197" s="1"/>
      <c r="AEE197" s="1"/>
      <c r="AEF197" s="1"/>
      <c r="AEG197" s="1"/>
      <c r="AEH197" s="1"/>
      <c r="AEI197" s="1"/>
      <c r="AEJ197" s="1"/>
      <c r="AEK197" s="1"/>
      <c r="AEL197" s="1"/>
      <c r="AEM197" s="1"/>
      <c r="AEN197" s="1"/>
      <c r="AEO197" s="1"/>
      <c r="AEP197" s="1"/>
      <c r="AEQ197" s="1"/>
      <c r="AER197" s="1"/>
      <c r="AES197" s="1"/>
      <c r="AET197" s="1"/>
      <c r="AEU197" s="1"/>
      <c r="AEV197" s="1"/>
      <c r="AEW197" s="1"/>
      <c r="AEX197" s="1"/>
      <c r="AEY197" s="1"/>
      <c r="AEZ197" s="1"/>
      <c r="AFA197" s="1"/>
      <c r="AFB197" s="1"/>
      <c r="AFC197" s="1"/>
      <c r="AFD197" s="1"/>
      <c r="AFE197" s="1"/>
      <c r="AFF197" s="1"/>
      <c r="AFG197" s="1"/>
      <c r="AFH197" s="1"/>
      <c r="AFI197" s="1"/>
      <c r="AFJ197" s="1"/>
      <c r="AFK197" s="1"/>
      <c r="AFL197" s="1"/>
      <c r="AFM197" s="1"/>
      <c r="AFN197" s="1"/>
      <c r="AFO197" s="1"/>
      <c r="AFP197" s="1"/>
      <c r="AFQ197" s="1"/>
      <c r="AFR197" s="1"/>
      <c r="AFS197" s="1"/>
      <c r="AFT197" s="1"/>
      <c r="AFU197" s="1"/>
      <c r="AFV197" s="1"/>
      <c r="AFW197" s="1"/>
      <c r="AFX197" s="1"/>
      <c r="AFY197" s="1"/>
      <c r="AFZ197" s="1"/>
      <c r="AGA197" s="1"/>
      <c r="AGB197" s="1"/>
      <c r="AGC197" s="1"/>
      <c r="AGD197" s="1"/>
      <c r="AGE197" s="1"/>
      <c r="AGF197" s="1"/>
      <c r="AGG197" s="1"/>
      <c r="AGH197" s="1"/>
      <c r="AGI197" s="1"/>
      <c r="AGJ197" s="1"/>
      <c r="AGK197" s="1"/>
      <c r="AGL197" s="1"/>
      <c r="AGM197" s="1"/>
      <c r="AGN197" s="1"/>
      <c r="AGO197" s="1"/>
      <c r="AGP197" s="1"/>
      <c r="AGQ197" s="1"/>
      <c r="AGR197" s="1"/>
      <c r="AGS197" s="1"/>
      <c r="AGT197" s="1"/>
      <c r="AGU197" s="1"/>
      <c r="AGV197" s="1"/>
      <c r="AGW197" s="1"/>
      <c r="AGX197" s="1"/>
      <c r="AGY197" s="1"/>
      <c r="AGZ197" s="1"/>
      <c r="AHA197" s="1"/>
      <c r="AHB197" s="1"/>
      <c r="AHC197" s="1"/>
      <c r="AHD197" s="1"/>
      <c r="AHE197" s="1"/>
      <c r="AHF197" s="1"/>
      <c r="AHG197" s="1"/>
      <c r="AHH197" s="1"/>
      <c r="AHI197" s="1"/>
      <c r="AHJ197" s="1"/>
      <c r="AHK197" s="1"/>
      <c r="AHL197" s="1"/>
      <c r="AHM197" s="1"/>
      <c r="AHN197" s="1"/>
      <c r="AHO197" s="1"/>
      <c r="AHP197" s="1"/>
      <c r="AHQ197" s="1"/>
      <c r="AHR197" s="1"/>
      <c r="AHS197" s="1"/>
      <c r="AHT197" s="1"/>
      <c r="AHU197" s="1"/>
      <c r="AHV197" s="1"/>
      <c r="AHW197" s="1"/>
      <c r="AHX197" s="1"/>
      <c r="AHY197" s="1"/>
    </row>
    <row r="198" spans="1:909" s="5" customFormat="1" ht="21.6" thickTop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/>
      <c r="JZ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/>
      <c r="KZ198" s="1"/>
      <c r="LA198" s="1"/>
      <c r="LB198" s="1"/>
      <c r="LC198" s="1"/>
      <c r="LD198" s="1"/>
      <c r="LE198" s="1"/>
      <c r="LF198" s="1"/>
      <c r="LG198" s="1"/>
      <c r="LH198" s="1"/>
      <c r="LI198" s="1"/>
      <c r="LJ198" s="1"/>
      <c r="LK198" s="1"/>
      <c r="LL198" s="1"/>
      <c r="LM198" s="1"/>
      <c r="LN198" s="1"/>
      <c r="LO198" s="1"/>
      <c r="LP198" s="1"/>
      <c r="LQ198" s="1"/>
      <c r="LR198" s="1"/>
      <c r="LS198" s="1"/>
      <c r="LT198" s="1"/>
      <c r="LU198" s="1"/>
      <c r="LV198" s="1"/>
      <c r="LW198" s="1"/>
      <c r="LX198" s="1"/>
      <c r="LY198" s="1"/>
      <c r="LZ198" s="1"/>
      <c r="MA198" s="1"/>
      <c r="MB198" s="1"/>
      <c r="MC198" s="1"/>
      <c r="MD198" s="1"/>
      <c r="ME198" s="1"/>
      <c r="MF198" s="1"/>
      <c r="MG198" s="1"/>
      <c r="MH198" s="1"/>
      <c r="MI198" s="1"/>
      <c r="MJ198" s="1"/>
      <c r="MK198" s="1"/>
      <c r="ML198" s="1"/>
      <c r="MM198" s="1"/>
      <c r="MN198" s="1"/>
      <c r="MO198" s="1"/>
      <c r="MP198" s="1"/>
      <c r="MQ198" s="1"/>
      <c r="MR198" s="1"/>
      <c r="MS198" s="1"/>
      <c r="MT198" s="1"/>
      <c r="MU198" s="1"/>
      <c r="MV198" s="1"/>
      <c r="MW198" s="1"/>
      <c r="MX198" s="1"/>
      <c r="MY198" s="1"/>
      <c r="MZ198" s="1"/>
      <c r="NA198" s="1"/>
      <c r="NB198" s="1"/>
      <c r="NC198" s="1"/>
      <c r="ND198" s="1"/>
      <c r="NE198" s="1"/>
      <c r="NF198" s="1"/>
      <c r="NG198" s="1"/>
      <c r="NH198" s="1"/>
      <c r="NI198" s="1"/>
      <c r="NJ198" s="1"/>
      <c r="NK198" s="1"/>
      <c r="NL198" s="1"/>
      <c r="NM198" s="1"/>
      <c r="NN198" s="1"/>
      <c r="NO198" s="1"/>
      <c r="NP198" s="1"/>
      <c r="NQ198" s="1"/>
      <c r="NR198" s="1"/>
      <c r="NS198" s="1"/>
      <c r="NT198" s="1"/>
      <c r="NU198" s="1"/>
      <c r="NV198" s="1"/>
      <c r="NW198" s="1"/>
      <c r="NX198" s="1"/>
      <c r="NY198" s="1"/>
      <c r="NZ198" s="1"/>
      <c r="OA198" s="1"/>
      <c r="OB198" s="1"/>
      <c r="OC198" s="1"/>
      <c r="OD198" s="1"/>
      <c r="OE198" s="1"/>
      <c r="OF198" s="1"/>
      <c r="OG198" s="1"/>
      <c r="OH198" s="1"/>
      <c r="OI198" s="1"/>
      <c r="OJ198" s="1"/>
      <c r="OK198" s="1"/>
      <c r="OL198" s="1"/>
      <c r="OM198" s="1"/>
      <c r="ON198" s="1"/>
      <c r="OO198" s="1"/>
      <c r="OP198" s="1"/>
      <c r="OQ198" s="1"/>
      <c r="OR198" s="1"/>
      <c r="OS198" s="1"/>
      <c r="OT198" s="1"/>
      <c r="OU198" s="1"/>
      <c r="OV198" s="1"/>
      <c r="OW198" s="1"/>
      <c r="OX198" s="1"/>
      <c r="OY198" s="1"/>
      <c r="OZ198" s="1"/>
      <c r="PA198" s="1"/>
      <c r="PB198" s="1"/>
      <c r="PC198" s="1"/>
      <c r="PD198" s="1"/>
      <c r="PE198" s="1"/>
      <c r="PF198" s="1"/>
      <c r="PG198" s="1"/>
      <c r="PH198" s="1"/>
      <c r="PI198" s="1"/>
      <c r="PJ198" s="1"/>
      <c r="PK198" s="1"/>
      <c r="PL198" s="1"/>
      <c r="PM198" s="1"/>
      <c r="PN198" s="1"/>
      <c r="PO198" s="1"/>
      <c r="PP198" s="1"/>
      <c r="PQ198" s="1"/>
      <c r="PR198" s="1"/>
      <c r="PS198" s="1"/>
      <c r="PT198" s="1"/>
      <c r="PU198" s="1"/>
      <c r="PV198" s="1"/>
      <c r="PW198" s="1"/>
      <c r="PX198" s="1"/>
      <c r="PY198" s="1"/>
      <c r="PZ198" s="1"/>
      <c r="QA198" s="1"/>
      <c r="QB198" s="1"/>
      <c r="QC198" s="1"/>
      <c r="QD198" s="1"/>
      <c r="QE198" s="1"/>
      <c r="QF198" s="1"/>
      <c r="QG198" s="1"/>
      <c r="QH198" s="1"/>
      <c r="QI198" s="1"/>
      <c r="QJ198" s="1"/>
      <c r="QK198" s="1"/>
      <c r="QL198" s="1"/>
      <c r="QM198" s="1"/>
      <c r="QN198" s="1"/>
      <c r="QO198" s="1"/>
      <c r="QP198" s="1"/>
      <c r="QQ198" s="1"/>
      <c r="QR198" s="1"/>
      <c r="QS198" s="1"/>
      <c r="QT198" s="1"/>
      <c r="QU198" s="1"/>
      <c r="QV198" s="1"/>
      <c r="QW198" s="1"/>
      <c r="QX198" s="1"/>
      <c r="QY198" s="1"/>
      <c r="QZ198" s="1"/>
      <c r="RA198" s="1"/>
      <c r="RB198" s="1"/>
      <c r="RC198" s="1"/>
      <c r="RD198" s="1"/>
      <c r="RE198" s="1"/>
      <c r="RF198" s="1"/>
      <c r="RG198" s="1"/>
      <c r="RH198" s="1"/>
      <c r="RI198" s="1"/>
      <c r="RJ198" s="1"/>
      <c r="RK198" s="1"/>
      <c r="RL198" s="1"/>
      <c r="RM198" s="1"/>
      <c r="RN198" s="1"/>
      <c r="RO198" s="1"/>
      <c r="RP198" s="1"/>
      <c r="RQ198" s="1"/>
      <c r="RR198" s="1"/>
      <c r="RS198" s="1"/>
      <c r="RT198" s="1"/>
      <c r="RU198" s="1"/>
      <c r="RV198" s="1"/>
      <c r="RW198" s="1"/>
      <c r="RX198" s="1"/>
      <c r="RY198" s="1"/>
      <c r="RZ198" s="1"/>
      <c r="SA198" s="1"/>
      <c r="SB198" s="1"/>
      <c r="SC198" s="1"/>
      <c r="SD198" s="1"/>
      <c r="SE198" s="1"/>
      <c r="SF198" s="1"/>
      <c r="SG198" s="1"/>
      <c r="SH198" s="1"/>
      <c r="SI198" s="1"/>
      <c r="SJ198" s="1"/>
      <c r="SK198" s="1"/>
      <c r="SL198" s="1"/>
      <c r="SM198" s="1"/>
      <c r="SN198" s="1"/>
      <c r="SO198" s="1"/>
      <c r="SP198" s="1"/>
      <c r="SQ198" s="1"/>
      <c r="SR198" s="1"/>
      <c r="SS198" s="1"/>
      <c r="ST198" s="1"/>
      <c r="SU198" s="1"/>
      <c r="SV198" s="1"/>
      <c r="SW198" s="1"/>
      <c r="SX198" s="1"/>
      <c r="SY198" s="1"/>
      <c r="SZ198" s="1"/>
      <c r="TA198" s="1"/>
      <c r="TB198" s="1"/>
      <c r="TC198" s="1"/>
      <c r="TD198" s="1"/>
      <c r="TE198" s="1"/>
      <c r="TF198" s="1"/>
      <c r="TG198" s="1"/>
      <c r="TH198" s="1"/>
      <c r="TI198" s="1"/>
      <c r="TJ198" s="1"/>
      <c r="TK198" s="1"/>
      <c r="TL198" s="1"/>
      <c r="TM198" s="1"/>
      <c r="TN198" s="1"/>
      <c r="TO198" s="1"/>
      <c r="TP198" s="1"/>
      <c r="TQ198" s="1"/>
      <c r="TR198" s="1"/>
      <c r="TS198" s="1"/>
      <c r="TT198" s="1"/>
      <c r="TU198" s="1"/>
      <c r="TV198" s="1"/>
      <c r="TW198" s="1"/>
      <c r="TX198" s="1"/>
      <c r="TY198" s="1"/>
      <c r="TZ198" s="1"/>
      <c r="UA198" s="1"/>
      <c r="UB198" s="1"/>
      <c r="UC198" s="1"/>
      <c r="UD198" s="1"/>
      <c r="UE198" s="1"/>
      <c r="UF198" s="1"/>
      <c r="UG198" s="1"/>
      <c r="UH198" s="1"/>
      <c r="UI198" s="1"/>
      <c r="UJ198" s="1"/>
      <c r="UK198" s="1"/>
      <c r="UL198" s="1"/>
      <c r="UM198" s="1"/>
      <c r="UN198" s="1"/>
      <c r="UO198" s="1"/>
      <c r="UP198" s="1"/>
      <c r="UQ198" s="1"/>
      <c r="UR198" s="1"/>
      <c r="US198" s="1"/>
      <c r="UT198" s="1"/>
      <c r="UU198" s="1"/>
      <c r="UV198" s="1"/>
      <c r="UW198" s="1"/>
      <c r="UX198" s="1"/>
      <c r="UY198" s="1"/>
      <c r="UZ198" s="1"/>
      <c r="VA198" s="1"/>
      <c r="VB198" s="1"/>
      <c r="VC198" s="1"/>
      <c r="VD198" s="1"/>
      <c r="VE198" s="1"/>
      <c r="VF198" s="1"/>
      <c r="VG198" s="1"/>
      <c r="VH198" s="1"/>
      <c r="VI198" s="1"/>
      <c r="VJ198" s="1"/>
      <c r="VK198" s="1"/>
      <c r="VL198" s="1"/>
      <c r="VM198" s="1"/>
      <c r="VN198" s="1"/>
      <c r="VO198" s="1"/>
      <c r="VP198" s="1"/>
      <c r="VQ198" s="1"/>
      <c r="VR198" s="1"/>
      <c r="VS198" s="1"/>
      <c r="VT198" s="1"/>
      <c r="VU198" s="1"/>
      <c r="VV198" s="1"/>
      <c r="VW198" s="1"/>
      <c r="VX198" s="1"/>
      <c r="VY198" s="1"/>
      <c r="VZ198" s="1"/>
      <c r="WA198" s="1"/>
      <c r="WB198" s="1"/>
      <c r="WC198" s="1"/>
      <c r="WD198" s="1"/>
      <c r="WE198" s="1"/>
      <c r="WF198" s="1"/>
      <c r="WG198" s="1"/>
      <c r="WH198" s="1"/>
      <c r="WI198" s="1"/>
      <c r="WJ198" s="1"/>
      <c r="WK198" s="1"/>
      <c r="WL198" s="1"/>
      <c r="WM198" s="1"/>
      <c r="WN198" s="1"/>
      <c r="WO198" s="1"/>
      <c r="WP198" s="1"/>
      <c r="WQ198" s="1"/>
      <c r="WR198" s="1"/>
      <c r="WS198" s="1"/>
      <c r="WT198" s="1"/>
      <c r="WU198" s="1"/>
      <c r="WV198" s="1"/>
      <c r="WW198" s="1"/>
      <c r="WX198" s="1"/>
      <c r="WY198" s="1"/>
      <c r="WZ198" s="1"/>
      <c r="XA198" s="1"/>
      <c r="XB198" s="1"/>
      <c r="XC198" s="1"/>
      <c r="XD198" s="1"/>
      <c r="XE198" s="1"/>
      <c r="XF198" s="1"/>
      <c r="XG198" s="1"/>
      <c r="XH198" s="1"/>
      <c r="XI198" s="1"/>
      <c r="XJ198" s="1"/>
      <c r="XK198" s="1"/>
      <c r="XL198" s="1"/>
      <c r="XM198" s="1"/>
      <c r="XN198" s="1"/>
      <c r="XO198" s="1"/>
      <c r="XP198" s="1"/>
      <c r="XQ198" s="1"/>
      <c r="XR198" s="1"/>
      <c r="XS198" s="1"/>
      <c r="XT198" s="1"/>
      <c r="XU198" s="1"/>
      <c r="XV198" s="1"/>
      <c r="XW198" s="1"/>
      <c r="XX198" s="1"/>
      <c r="XY198" s="1"/>
      <c r="XZ198" s="1"/>
      <c r="YA198" s="1"/>
      <c r="YB198" s="1"/>
      <c r="YC198" s="1"/>
      <c r="YD198" s="1"/>
      <c r="YE198" s="1"/>
      <c r="YF198" s="1"/>
      <c r="YG198" s="1"/>
      <c r="YH198" s="1"/>
      <c r="YI198" s="1"/>
      <c r="YJ198" s="1"/>
      <c r="YK198" s="1"/>
      <c r="YL198" s="1"/>
      <c r="YM198" s="1"/>
      <c r="YN198" s="1"/>
      <c r="YO198" s="1"/>
      <c r="YP198" s="1"/>
      <c r="YQ198" s="1"/>
      <c r="YR198" s="1"/>
      <c r="YS198" s="1"/>
      <c r="YT198" s="1"/>
      <c r="YU198" s="1"/>
      <c r="YV198" s="1"/>
      <c r="YW198" s="1"/>
      <c r="YX198" s="1"/>
      <c r="YY198" s="1"/>
      <c r="YZ198" s="1"/>
      <c r="ZA198" s="1"/>
      <c r="ZB198" s="1"/>
      <c r="ZC198" s="1"/>
      <c r="ZD198" s="1"/>
      <c r="ZE198" s="1"/>
      <c r="ZF198" s="1"/>
      <c r="ZG198" s="1"/>
      <c r="ZH198" s="1"/>
      <c r="ZI198" s="1"/>
      <c r="ZJ198" s="1"/>
      <c r="ZK198" s="1"/>
      <c r="ZL198" s="1"/>
      <c r="ZM198" s="1"/>
      <c r="ZN198" s="1"/>
      <c r="ZO198" s="1"/>
      <c r="ZP198" s="1"/>
      <c r="ZQ198" s="1"/>
      <c r="ZR198" s="1"/>
      <c r="ZS198" s="1"/>
      <c r="ZT198" s="1"/>
      <c r="ZU198" s="1"/>
      <c r="ZV198" s="1"/>
      <c r="ZW198" s="1"/>
      <c r="ZX198" s="1"/>
      <c r="ZY198" s="1"/>
      <c r="ZZ198" s="1"/>
      <c r="AAA198" s="1"/>
      <c r="AAB198" s="1"/>
      <c r="AAC198" s="1"/>
      <c r="AAD198" s="1"/>
      <c r="AAE198" s="1"/>
      <c r="AAF198" s="1"/>
      <c r="AAG198" s="1"/>
      <c r="AAH198" s="1"/>
      <c r="AAI198" s="1"/>
      <c r="AAJ198" s="1"/>
      <c r="AAK198" s="1"/>
      <c r="AAL198" s="1"/>
      <c r="AAM198" s="1"/>
      <c r="AAN198" s="1"/>
      <c r="AAO198" s="1"/>
      <c r="AAP198" s="1"/>
      <c r="AAQ198" s="1"/>
      <c r="AAR198" s="1"/>
      <c r="AAS198" s="1"/>
      <c r="AAT198" s="1"/>
      <c r="AAU198" s="1"/>
      <c r="AAV198" s="1"/>
      <c r="AAW198" s="1"/>
      <c r="AAX198" s="1"/>
      <c r="AAY198" s="1"/>
      <c r="AAZ198" s="1"/>
      <c r="ABA198" s="1"/>
      <c r="ABB198" s="1"/>
      <c r="ABC198" s="1"/>
      <c r="ABD198" s="1"/>
      <c r="ABE198" s="1"/>
      <c r="ABF198" s="1"/>
      <c r="ABG198" s="1"/>
      <c r="ABH198" s="1"/>
      <c r="ABI198" s="1"/>
      <c r="ABJ198" s="1"/>
      <c r="ABK198" s="1"/>
      <c r="ABL198" s="1"/>
      <c r="ABM198" s="1"/>
      <c r="ABN198" s="1"/>
      <c r="ABO198" s="1"/>
      <c r="ABP198" s="1"/>
      <c r="ABQ198" s="1"/>
      <c r="ABR198" s="1"/>
      <c r="ABS198" s="1"/>
      <c r="ABT198" s="1"/>
      <c r="ABU198" s="1"/>
      <c r="ABV198" s="1"/>
      <c r="ABW198" s="1"/>
      <c r="ABX198" s="1"/>
      <c r="ABY198" s="1"/>
      <c r="ABZ198" s="1"/>
      <c r="ACA198" s="1"/>
      <c r="ACB198" s="1"/>
      <c r="ACC198" s="1"/>
      <c r="ACD198" s="1"/>
      <c r="ACE198" s="1"/>
      <c r="ACF198" s="1"/>
      <c r="ACG198" s="1"/>
      <c r="ACH198" s="1"/>
      <c r="ACI198" s="1"/>
      <c r="ACJ198" s="1"/>
      <c r="ACK198" s="1"/>
      <c r="ACL198" s="1"/>
      <c r="ACM198" s="1"/>
      <c r="ACN198" s="1"/>
      <c r="ACO198" s="1"/>
      <c r="ACP198" s="1"/>
      <c r="ACQ198" s="1"/>
      <c r="ACR198" s="1"/>
      <c r="ACS198" s="1"/>
      <c r="ACT198" s="1"/>
      <c r="ACU198" s="1"/>
      <c r="ACV198" s="1"/>
      <c r="ACW198" s="1"/>
      <c r="ACX198" s="1"/>
      <c r="ACY198" s="1"/>
      <c r="ACZ198" s="1"/>
      <c r="ADA198" s="1"/>
      <c r="ADB198" s="1"/>
      <c r="ADC198" s="1"/>
      <c r="ADD198" s="1"/>
      <c r="ADE198" s="1"/>
      <c r="ADF198" s="1"/>
      <c r="ADG198" s="1"/>
      <c r="ADH198" s="1"/>
      <c r="ADI198" s="1"/>
      <c r="ADJ198" s="1"/>
      <c r="ADK198" s="1"/>
      <c r="ADL198" s="1"/>
      <c r="ADM198" s="1"/>
      <c r="ADN198" s="1"/>
      <c r="ADO198" s="1"/>
      <c r="ADP198" s="1"/>
      <c r="ADQ198" s="1"/>
      <c r="ADR198" s="1"/>
      <c r="ADS198" s="1"/>
      <c r="ADT198" s="1"/>
      <c r="ADU198" s="1"/>
      <c r="ADV198" s="1"/>
      <c r="ADW198" s="1"/>
      <c r="ADX198" s="1"/>
      <c r="ADY198" s="1"/>
      <c r="ADZ198" s="1"/>
      <c r="AEA198" s="1"/>
      <c r="AEB198" s="1"/>
      <c r="AEC198" s="1"/>
      <c r="AED198" s="1"/>
      <c r="AEE198" s="1"/>
      <c r="AEF198" s="1"/>
      <c r="AEG198" s="1"/>
      <c r="AEH198" s="1"/>
      <c r="AEI198" s="1"/>
      <c r="AEJ198" s="1"/>
      <c r="AEK198" s="1"/>
      <c r="AEL198" s="1"/>
      <c r="AEM198" s="1"/>
      <c r="AEN198" s="1"/>
      <c r="AEO198" s="1"/>
      <c r="AEP198" s="1"/>
      <c r="AEQ198" s="1"/>
      <c r="AER198" s="1"/>
      <c r="AES198" s="1"/>
      <c r="AET198" s="1"/>
      <c r="AEU198" s="1"/>
      <c r="AEV198" s="1"/>
      <c r="AEW198" s="1"/>
      <c r="AEX198" s="1"/>
      <c r="AEY198" s="1"/>
      <c r="AEZ198" s="1"/>
      <c r="AFA198" s="1"/>
      <c r="AFB198" s="1"/>
      <c r="AFC198" s="1"/>
      <c r="AFD198" s="1"/>
      <c r="AFE198" s="1"/>
      <c r="AFF198" s="1"/>
      <c r="AFG198" s="1"/>
      <c r="AFH198" s="1"/>
      <c r="AFI198" s="1"/>
      <c r="AFJ198" s="1"/>
      <c r="AFK198" s="1"/>
      <c r="AFL198" s="1"/>
      <c r="AFM198" s="1"/>
      <c r="AFN198" s="1"/>
      <c r="AFO198" s="1"/>
      <c r="AFP198" s="1"/>
      <c r="AFQ198" s="1"/>
      <c r="AFR198" s="1"/>
      <c r="AFS198" s="1"/>
      <c r="AFT198" s="1"/>
      <c r="AFU198" s="1"/>
      <c r="AFV198" s="1"/>
      <c r="AFW198" s="1"/>
      <c r="AFX198" s="1"/>
      <c r="AFY198" s="1"/>
      <c r="AFZ198" s="1"/>
      <c r="AGA198" s="1"/>
      <c r="AGB198" s="1"/>
      <c r="AGC198" s="1"/>
      <c r="AGD198" s="1"/>
      <c r="AGE198" s="1"/>
      <c r="AGF198" s="1"/>
      <c r="AGG198" s="1"/>
      <c r="AGH198" s="1"/>
      <c r="AGI198" s="1"/>
      <c r="AGJ198" s="1"/>
      <c r="AGK198" s="1"/>
      <c r="AGL198" s="1"/>
      <c r="AGM198" s="1"/>
      <c r="AGN198" s="1"/>
      <c r="AGO198" s="1"/>
      <c r="AGP198" s="1"/>
      <c r="AGQ198" s="1"/>
      <c r="AGR198" s="1"/>
      <c r="AGS198" s="1"/>
      <c r="AGT198" s="1"/>
      <c r="AGU198" s="1"/>
      <c r="AGV198" s="1"/>
      <c r="AGW198" s="1"/>
      <c r="AGX198" s="1"/>
      <c r="AGY198" s="1"/>
      <c r="AGZ198" s="1"/>
      <c r="AHA198" s="1"/>
      <c r="AHB198" s="1"/>
      <c r="AHC198" s="1"/>
      <c r="AHD198" s="1"/>
      <c r="AHE198" s="1"/>
      <c r="AHF198" s="1"/>
      <c r="AHG198" s="1"/>
      <c r="AHH198" s="1"/>
      <c r="AHI198" s="1"/>
      <c r="AHJ198" s="1"/>
      <c r="AHK198" s="1"/>
      <c r="AHL198" s="1"/>
      <c r="AHM198" s="1"/>
      <c r="AHN198" s="1"/>
      <c r="AHO198" s="1"/>
      <c r="AHP198" s="1"/>
      <c r="AHQ198" s="1"/>
      <c r="AHR198" s="1"/>
      <c r="AHS198" s="1"/>
      <c r="AHT198" s="1"/>
      <c r="AHU198" s="1"/>
      <c r="AHV198" s="1"/>
      <c r="AHW198" s="1"/>
      <c r="AHX198" s="1"/>
      <c r="AHY198" s="1"/>
    </row>
    <row r="199" spans="1:909" s="1" customFormat="1" ht="21">
      <c r="A199" s="156" t="s">
        <v>135</v>
      </c>
      <c r="B199" s="156"/>
      <c r="C199" s="156"/>
      <c r="D199" s="156"/>
      <c r="E199" s="156"/>
      <c r="F199" s="156"/>
      <c r="G199" s="156"/>
      <c r="H199" s="156"/>
      <c r="I199" s="156"/>
      <c r="J199" s="156"/>
      <c r="K199" s="156"/>
      <c r="L199" s="156"/>
      <c r="M199" s="156"/>
      <c r="N199" s="156"/>
      <c r="O199" s="156"/>
      <c r="P199" s="156"/>
      <c r="Q199" s="10"/>
    </row>
    <row r="200" spans="1:909" s="1" customFormat="1" ht="21">
      <c r="A200" s="156" t="s">
        <v>136</v>
      </c>
      <c r="B200" s="156"/>
      <c r="C200" s="156"/>
      <c r="D200" s="156"/>
      <c r="E200" s="156"/>
      <c r="F200" s="156"/>
      <c r="G200" s="156"/>
      <c r="H200" s="156"/>
      <c r="I200" s="156"/>
      <c r="J200" s="156"/>
      <c r="K200" s="156"/>
      <c r="L200" s="156"/>
      <c r="M200" s="156"/>
      <c r="N200" s="156"/>
      <c r="O200" s="156"/>
      <c r="P200" s="156"/>
      <c r="Q200" s="156"/>
    </row>
    <row r="201" spans="1:909" s="1" customFormat="1" ht="21">
      <c r="A201" s="189" t="s">
        <v>113</v>
      </c>
      <c r="B201" s="189"/>
      <c r="C201" s="189"/>
      <c r="D201" s="189"/>
      <c r="E201" s="189"/>
      <c r="F201" s="189"/>
      <c r="G201" s="189"/>
      <c r="H201" s="189"/>
      <c r="I201" s="189"/>
      <c r="J201" s="189"/>
      <c r="K201" s="189"/>
      <c r="L201" s="189"/>
      <c r="M201" s="189"/>
      <c r="N201" s="189"/>
      <c r="O201" s="189"/>
      <c r="P201" s="189"/>
    </row>
    <row r="202" spans="1:909" s="1" customFormat="1" ht="21.6" thickBot="1">
      <c r="F202" s="13"/>
      <c r="G202" s="13"/>
      <c r="H202" s="13"/>
      <c r="I202" s="13"/>
      <c r="J202" s="13"/>
      <c r="K202" s="13"/>
    </row>
    <row r="203" spans="1:909" s="1" customFormat="1" ht="22.2" thickTop="1" thickBot="1">
      <c r="A203" s="190"/>
      <c r="B203" s="183" t="s">
        <v>114</v>
      </c>
      <c r="C203" s="192"/>
      <c r="D203" s="183" t="s">
        <v>115</v>
      </c>
      <c r="E203" s="192"/>
      <c r="F203" s="183" t="s">
        <v>116</v>
      </c>
      <c r="G203" s="192"/>
      <c r="H203" s="183" t="s">
        <v>117</v>
      </c>
      <c r="I203" s="192"/>
      <c r="J203" s="183" t="s">
        <v>118</v>
      </c>
      <c r="K203" s="192"/>
      <c r="L203" s="183" t="s">
        <v>119</v>
      </c>
      <c r="M203" s="192"/>
      <c r="N203" s="183" t="s">
        <v>120</v>
      </c>
      <c r="O203" s="184"/>
      <c r="P203" s="185"/>
    </row>
    <row r="204" spans="1:909" s="1" customFormat="1" ht="22.2" thickTop="1" thickBot="1">
      <c r="A204" s="191"/>
      <c r="B204" s="4" t="s">
        <v>76</v>
      </c>
      <c r="C204" s="4" t="s">
        <v>121</v>
      </c>
      <c r="D204" s="4" t="s">
        <v>76</v>
      </c>
      <c r="E204" s="4" t="s">
        <v>121</v>
      </c>
      <c r="F204" s="4" t="s">
        <v>76</v>
      </c>
      <c r="G204" s="4" t="s">
        <v>121</v>
      </c>
      <c r="H204" s="4" t="s">
        <v>76</v>
      </c>
      <c r="I204" s="4" t="s">
        <v>121</v>
      </c>
      <c r="J204" s="4" t="s">
        <v>76</v>
      </c>
      <c r="K204" s="4" t="s">
        <v>121</v>
      </c>
      <c r="L204" s="4" t="s">
        <v>76</v>
      </c>
      <c r="M204" s="4" t="s">
        <v>121</v>
      </c>
      <c r="N204" s="4" t="s">
        <v>76</v>
      </c>
      <c r="O204" s="4" t="s">
        <v>121</v>
      </c>
      <c r="P204" s="14" t="s">
        <v>122</v>
      </c>
    </row>
    <row r="205" spans="1:909" s="1" customFormat="1" ht="22.2" thickTop="1" thickBot="1">
      <c r="A205" s="11" t="s">
        <v>123</v>
      </c>
      <c r="B205" s="4">
        <f>'[1]التعليم الابتدائي'!AP376</f>
        <v>0</v>
      </c>
      <c r="C205" s="4">
        <f>'[1]التعليم الابتدائي'!AQ376</f>
        <v>0</v>
      </c>
      <c r="D205" s="177"/>
      <c r="E205" s="178"/>
      <c r="F205" s="178"/>
      <c r="G205" s="178"/>
      <c r="H205" s="178"/>
      <c r="I205" s="178"/>
      <c r="J205" s="178"/>
      <c r="K205" s="178"/>
      <c r="L205" s="178"/>
      <c r="M205" s="186"/>
      <c r="N205" s="4">
        <f>B205</f>
        <v>0</v>
      </c>
      <c r="O205" s="4">
        <f>C205</f>
        <v>0</v>
      </c>
      <c r="P205" s="14">
        <f t="shared" ref="P205:P215" si="12">O205+N205</f>
        <v>0</v>
      </c>
    </row>
    <row r="206" spans="1:909" s="1" customFormat="1" ht="22.2" thickTop="1" thickBot="1">
      <c r="A206" s="11" t="s">
        <v>124</v>
      </c>
      <c r="B206" s="4">
        <f>'[1]التعليم الابتدائي'!AR376</f>
        <v>0</v>
      </c>
      <c r="C206" s="4">
        <f>'[1]التعليم الابتدائي'!AS376</f>
        <v>0</v>
      </c>
      <c r="D206" s="137"/>
      <c r="E206" s="138"/>
      <c r="F206" s="180"/>
      <c r="G206" s="180"/>
      <c r="H206" s="180"/>
      <c r="I206" s="180"/>
      <c r="J206" s="180"/>
      <c r="K206" s="180"/>
      <c r="L206" s="180"/>
      <c r="M206" s="187"/>
      <c r="N206" s="4">
        <f>B206</f>
        <v>0</v>
      </c>
      <c r="O206" s="4">
        <f>C206</f>
        <v>0</v>
      </c>
      <c r="P206" s="14">
        <f t="shared" si="12"/>
        <v>0</v>
      </c>
    </row>
    <row r="207" spans="1:909" s="1" customFormat="1" ht="22.2" thickTop="1" thickBot="1">
      <c r="A207" s="11" t="s">
        <v>125</v>
      </c>
      <c r="B207" s="4">
        <f>'[1]التعليم الابتدائي'!AT376</f>
        <v>0</v>
      </c>
      <c r="C207" s="4">
        <f>'[1]التعليم الابتدائي'!AU376</f>
        <v>0</v>
      </c>
      <c r="D207" s="4">
        <f>'[1]التعليم الابتدائي'!BE376</f>
        <v>0</v>
      </c>
      <c r="E207" s="4">
        <f>'[1]التعليم الابتدائي'!BF376</f>
        <v>0</v>
      </c>
      <c r="F207" s="138"/>
      <c r="G207" s="138"/>
      <c r="H207" s="180"/>
      <c r="I207" s="180"/>
      <c r="J207" s="180"/>
      <c r="K207" s="180"/>
      <c r="L207" s="180"/>
      <c r="M207" s="187"/>
      <c r="N207" s="4">
        <f>D207+B207</f>
        <v>0</v>
      </c>
      <c r="O207" s="4">
        <f>E207+C207</f>
        <v>0</v>
      </c>
      <c r="P207" s="14">
        <f t="shared" si="12"/>
        <v>0</v>
      </c>
    </row>
    <row r="208" spans="1:909" s="1" customFormat="1" ht="22.2" thickTop="1" thickBot="1">
      <c r="A208" s="11" t="s">
        <v>126</v>
      </c>
      <c r="B208" s="4">
        <f>'[1]التعليم الابتدائي'!AV376</f>
        <v>0</v>
      </c>
      <c r="C208" s="4">
        <f>'[1]التعليم الابتدائي'!AW376</f>
        <v>0</v>
      </c>
      <c r="D208" s="4">
        <f>'[1]التعليم الابتدائي'!BG376</f>
        <v>0</v>
      </c>
      <c r="E208" s="4">
        <f>'[1]التعليم الابتدائي'!BH376</f>
        <v>0</v>
      </c>
      <c r="F208" s="4">
        <f>'[1]التعليم الابتدائي'!BR376</f>
        <v>0</v>
      </c>
      <c r="G208" s="4">
        <f>'[1]التعليم الابتدائي'!BS376</f>
        <v>0</v>
      </c>
      <c r="H208" s="138"/>
      <c r="I208" s="138"/>
      <c r="J208" s="180"/>
      <c r="K208" s="180"/>
      <c r="L208" s="180"/>
      <c r="M208" s="187"/>
      <c r="N208" s="4">
        <f>F208+D208+B208</f>
        <v>0</v>
      </c>
      <c r="O208" s="4">
        <f>G208+E208+C208</f>
        <v>0</v>
      </c>
      <c r="P208" s="14">
        <f t="shared" si="12"/>
        <v>0</v>
      </c>
    </row>
    <row r="209" spans="1:17" s="1" customFormat="1" ht="22.2" thickTop="1" thickBot="1">
      <c r="A209" s="11" t="s">
        <v>106</v>
      </c>
      <c r="B209" s="4">
        <f>'[1]التعليم الابتدائي'!AX376</f>
        <v>0</v>
      </c>
      <c r="C209" s="4">
        <f>'[1]التعليم الابتدائي'!AY376</f>
        <v>0</v>
      </c>
      <c r="D209" s="4">
        <f>'[1]التعليم الابتدائي'!BI376</f>
        <v>0</v>
      </c>
      <c r="E209" s="4">
        <f>'[1]التعليم الابتدائي'!BJ376</f>
        <v>0</v>
      </c>
      <c r="F209" s="4">
        <f>'[1]التعليم الابتدائي'!BT376</f>
        <v>0</v>
      </c>
      <c r="G209" s="4">
        <f>'[1]التعليم الابتدائي'!BU376</f>
        <v>0</v>
      </c>
      <c r="H209" s="4">
        <f>'[1]التعليم الابتدائي'!CE376</f>
        <v>0</v>
      </c>
      <c r="I209" s="4">
        <f>'[1]التعليم الابتدائي'!CF376</f>
        <v>0</v>
      </c>
      <c r="J209" s="138"/>
      <c r="K209" s="138"/>
      <c r="L209" s="180"/>
      <c r="M209" s="187"/>
      <c r="N209" s="4">
        <f>B209+D209+F209+H209</f>
        <v>0</v>
      </c>
      <c r="O209" s="4">
        <f>I209+G209+E209+C209</f>
        <v>0</v>
      </c>
      <c r="P209" s="14">
        <f t="shared" si="12"/>
        <v>0</v>
      </c>
    </row>
    <row r="210" spans="1:17" s="1" customFormat="1" ht="22.2" thickTop="1" thickBot="1">
      <c r="A210" s="11" t="s">
        <v>127</v>
      </c>
      <c r="B210" s="4">
        <f>'[1]التعليم الابتدائي'!AZ376</f>
        <v>0</v>
      </c>
      <c r="C210" s="4">
        <f>'[1]التعليم الابتدائي'!BA376</f>
        <v>0</v>
      </c>
      <c r="D210" s="4">
        <f>'[1]التعليم الابتدائي'!BK376</f>
        <v>0</v>
      </c>
      <c r="E210" s="4">
        <f>'[1]التعليم الابتدائي'!BL376</f>
        <v>0</v>
      </c>
      <c r="F210" s="4">
        <f>'[1]التعليم الابتدائي'!BV376</f>
        <v>0</v>
      </c>
      <c r="G210" s="4">
        <f>'[1]التعليم الابتدائي'!BW376</f>
        <v>0</v>
      </c>
      <c r="H210" s="4">
        <f>'[1]التعليم الابتدائي'!CG376</f>
        <v>0</v>
      </c>
      <c r="I210" s="4">
        <f>'[1]التعليم الابتدائي'!CH376</f>
        <v>0</v>
      </c>
      <c r="J210" s="4">
        <f>'[1]التعليم الابتدائي'!CR376</f>
        <v>0</v>
      </c>
      <c r="K210" s="4">
        <f>'[1]التعليم الابتدائي'!CS376</f>
        <v>0</v>
      </c>
      <c r="L210" s="138"/>
      <c r="M210" s="139"/>
      <c r="N210" s="4">
        <f>B210+D210+F210+H210+J210</f>
        <v>0</v>
      </c>
      <c r="O210" s="4">
        <f>K210+I210+G210+E210+C210</f>
        <v>0</v>
      </c>
      <c r="P210" s="14">
        <f t="shared" si="12"/>
        <v>0</v>
      </c>
    </row>
    <row r="211" spans="1:17" s="1" customFormat="1" ht="22.2" thickTop="1" thickBot="1">
      <c r="A211" s="11" t="s">
        <v>128</v>
      </c>
      <c r="B211" s="177"/>
      <c r="C211" s="178"/>
      <c r="D211" s="4">
        <f>'[1]التعليم الابتدائي'!BM376</f>
        <v>0</v>
      </c>
      <c r="E211" s="4">
        <f>'[1]التعليم الابتدائي'!BN376</f>
        <v>0</v>
      </c>
      <c r="F211" s="4">
        <f>'[1]التعليم الابتدائي'!BX376</f>
        <v>0</v>
      </c>
      <c r="G211" s="4">
        <f>'[1]التعليم الابتدائي'!BY376</f>
        <v>0</v>
      </c>
      <c r="H211" s="4">
        <f>'[1]التعليم الابتدائي'!CI376</f>
        <v>0</v>
      </c>
      <c r="I211" s="4">
        <f>'[1]التعليم الابتدائي'!CJ376</f>
        <v>0</v>
      </c>
      <c r="J211" s="4">
        <f>'[1]التعليم الابتدائي'!CT376</f>
        <v>0</v>
      </c>
      <c r="K211" s="4">
        <f>'[1]التعليم الابتدائي'!CU376</f>
        <v>0</v>
      </c>
      <c r="L211" s="4">
        <f>'[1]التعليم الابتدائي'!DE376</f>
        <v>0</v>
      </c>
      <c r="M211" s="4">
        <f>'[1]التعليم الابتدائي'!DF376</f>
        <v>0</v>
      </c>
      <c r="N211" s="4">
        <f>D211+F211+H211+J211+L211</f>
        <v>0</v>
      </c>
      <c r="O211" s="4">
        <f>M211+K211+I211+G211+E211</f>
        <v>0</v>
      </c>
      <c r="P211" s="14">
        <f t="shared" si="12"/>
        <v>0</v>
      </c>
    </row>
    <row r="212" spans="1:17" s="1" customFormat="1" ht="22.2" thickTop="1" thickBot="1">
      <c r="A212" s="11" t="s">
        <v>129</v>
      </c>
      <c r="B212" s="179"/>
      <c r="C212" s="180"/>
      <c r="D212" s="178"/>
      <c r="E212" s="178"/>
      <c r="F212" s="4">
        <f>'[1]التعليم الابتدائي'!BZ376</f>
        <v>0</v>
      </c>
      <c r="G212" s="4">
        <f>'[1]التعليم الابتدائي'!CA376</f>
        <v>0</v>
      </c>
      <c r="H212" s="4">
        <f>'[1]التعليم الابتدائي'!CK376</f>
        <v>0</v>
      </c>
      <c r="I212" s="4">
        <f>'[1]التعليم الابتدائي'!CL376</f>
        <v>0</v>
      </c>
      <c r="J212" s="4">
        <f>'[1]التعليم الابتدائي'!CV376</f>
        <v>0</v>
      </c>
      <c r="K212" s="4">
        <f>'[1]التعليم الابتدائي'!CW376</f>
        <v>0</v>
      </c>
      <c r="L212" s="4">
        <f>'[1]التعليم الابتدائي'!DG376</f>
        <v>0</v>
      </c>
      <c r="M212" s="4">
        <f>'[1]التعليم الابتدائي'!DH376</f>
        <v>0</v>
      </c>
      <c r="N212" s="4">
        <f>L212+J212+H212+F212</f>
        <v>0</v>
      </c>
      <c r="O212" s="4">
        <f>M212+K212+I212+G212</f>
        <v>0</v>
      </c>
      <c r="P212" s="14">
        <f t="shared" si="12"/>
        <v>0</v>
      </c>
    </row>
    <row r="213" spans="1:17" s="1" customFormat="1" ht="22.2" thickTop="1" thickBot="1">
      <c r="A213" s="11" t="s">
        <v>130</v>
      </c>
      <c r="B213" s="179"/>
      <c r="C213" s="180"/>
      <c r="D213" s="180"/>
      <c r="E213" s="180"/>
      <c r="F213" s="178"/>
      <c r="G213" s="178"/>
      <c r="H213" s="4">
        <f>'[1]التعليم الابتدائي'!CM376</f>
        <v>0</v>
      </c>
      <c r="I213" s="4">
        <f>'[1]التعليم الابتدائي'!CN376</f>
        <v>0</v>
      </c>
      <c r="J213" s="4">
        <f>'[1]التعليم الابتدائي'!CX376</f>
        <v>0</v>
      </c>
      <c r="K213" s="4">
        <f>'[1]التعليم الابتدائي'!CY376</f>
        <v>0</v>
      </c>
      <c r="L213" s="4">
        <f>'[1]التعليم الابتدائي'!DI376</f>
        <v>0</v>
      </c>
      <c r="M213" s="4">
        <f>'[1]التعليم الابتدائي'!DJ376</f>
        <v>0</v>
      </c>
      <c r="N213" s="4">
        <f>L213+J213+H213</f>
        <v>0</v>
      </c>
      <c r="O213" s="4">
        <f>M213+K213+I213</f>
        <v>0</v>
      </c>
      <c r="P213" s="14">
        <f t="shared" si="12"/>
        <v>0</v>
      </c>
    </row>
    <row r="214" spans="1:17" s="1" customFormat="1" ht="22.2" thickTop="1" thickBot="1">
      <c r="A214" s="11" t="s">
        <v>131</v>
      </c>
      <c r="B214" s="179"/>
      <c r="C214" s="180"/>
      <c r="D214" s="180"/>
      <c r="E214" s="180"/>
      <c r="F214" s="180"/>
      <c r="G214" s="180"/>
      <c r="H214" s="178"/>
      <c r="I214" s="178"/>
      <c r="J214" s="4">
        <f>'[1]التعليم الابتدائي'!CZ376</f>
        <v>0</v>
      </c>
      <c r="K214" s="4">
        <f>'[1]التعليم الابتدائي'!DA376</f>
        <v>0</v>
      </c>
      <c r="L214" s="4">
        <f>'[1]التعليم الابتدائي'!DK376</f>
        <v>0</v>
      </c>
      <c r="M214" s="4">
        <f>'[1]التعليم الابتدائي'!DL376</f>
        <v>0</v>
      </c>
      <c r="N214" s="4">
        <f>L214+J214</f>
        <v>0</v>
      </c>
      <c r="O214" s="4">
        <f>M214+K214</f>
        <v>0</v>
      </c>
      <c r="P214" s="14">
        <f t="shared" si="12"/>
        <v>0</v>
      </c>
    </row>
    <row r="215" spans="1:17" s="1" customFormat="1" ht="22.2" thickTop="1" thickBot="1">
      <c r="A215" s="11" t="s">
        <v>132</v>
      </c>
      <c r="B215" s="137"/>
      <c r="C215" s="138"/>
      <c r="D215" s="138"/>
      <c r="E215" s="138"/>
      <c r="F215" s="138"/>
      <c r="G215" s="138"/>
      <c r="H215" s="138"/>
      <c r="I215" s="138"/>
      <c r="J215" s="181"/>
      <c r="K215" s="182"/>
      <c r="L215" s="4">
        <f>'[1]التعليم الابتدائي'!DM376</f>
        <v>0</v>
      </c>
      <c r="M215" s="4">
        <f>'[1]التعليم الابتدائي'!DN376</f>
        <v>0</v>
      </c>
      <c r="N215" s="4">
        <f>L215</f>
        <v>0</v>
      </c>
      <c r="O215" s="4">
        <f>M215</f>
        <v>0</v>
      </c>
      <c r="P215" s="14">
        <f t="shared" si="12"/>
        <v>0</v>
      </c>
    </row>
    <row r="216" spans="1:17" s="1" customFormat="1" ht="22.2" thickTop="1" thickBot="1">
      <c r="A216" s="6" t="s">
        <v>122</v>
      </c>
      <c r="B216" s="7">
        <f>SUM(B205:B215)</f>
        <v>0</v>
      </c>
      <c r="C216" s="7">
        <f>SUM(C205:C215)</f>
        <v>0</v>
      </c>
      <c r="D216" s="7">
        <f>D211+D210+D209+D208+D207</f>
        <v>0</v>
      </c>
      <c r="E216" s="7">
        <f t="shared" ref="E216:P216" si="13">SUM(E205:E215)</f>
        <v>0</v>
      </c>
      <c r="F216" s="7">
        <f t="shared" si="13"/>
        <v>0</v>
      </c>
      <c r="G216" s="7">
        <f t="shared" si="13"/>
        <v>0</v>
      </c>
      <c r="H216" s="7">
        <f t="shared" si="13"/>
        <v>0</v>
      </c>
      <c r="I216" s="7">
        <f t="shared" si="13"/>
        <v>0</v>
      </c>
      <c r="J216" s="7">
        <f t="shared" si="13"/>
        <v>0</v>
      </c>
      <c r="K216" s="7">
        <f t="shared" si="13"/>
        <v>0</v>
      </c>
      <c r="L216" s="7">
        <f t="shared" si="13"/>
        <v>0</v>
      </c>
      <c r="M216" s="7">
        <f t="shared" si="13"/>
        <v>0</v>
      </c>
      <c r="N216" s="7">
        <f t="shared" si="13"/>
        <v>0</v>
      </c>
      <c r="O216" s="7">
        <f t="shared" si="13"/>
        <v>0</v>
      </c>
      <c r="P216" s="8">
        <f t="shared" si="13"/>
        <v>0</v>
      </c>
    </row>
    <row r="217" spans="1:17" s="1" customFormat="1" ht="21.6" thickTop="1">
      <c r="A217" s="156" t="s">
        <v>62</v>
      </c>
      <c r="B217" s="156"/>
      <c r="C217" s="156"/>
      <c r="D217" s="156"/>
      <c r="E217" s="156"/>
      <c r="N217" s="2" t="s">
        <v>89</v>
      </c>
      <c r="O217" s="2"/>
      <c r="P217" s="2"/>
    </row>
    <row r="218" spans="1:17" s="1" customFormat="1" ht="21">
      <c r="A218" s="156" t="s">
        <v>64</v>
      </c>
      <c r="B218" s="156"/>
      <c r="C218" s="156"/>
      <c r="D218" s="156"/>
      <c r="E218" s="156"/>
      <c r="N218" s="2" t="s">
        <v>65</v>
      </c>
      <c r="O218" s="2"/>
      <c r="P218" s="2"/>
    </row>
    <row r="219" spans="1:17" s="1" customFormat="1" ht="21">
      <c r="A219" s="156" t="s">
        <v>99</v>
      </c>
      <c r="B219" s="156"/>
      <c r="C219" s="156"/>
      <c r="D219" s="156"/>
      <c r="E219" s="156"/>
      <c r="F219" s="156"/>
      <c r="G219" s="156"/>
      <c r="H219" s="156"/>
      <c r="I219" s="156"/>
      <c r="J219" s="156"/>
      <c r="K219" s="156"/>
      <c r="L219" s="156"/>
      <c r="M219" s="156"/>
      <c r="N219" s="156"/>
      <c r="O219" s="156"/>
      <c r="P219" s="156"/>
      <c r="Q219" s="2"/>
    </row>
    <row r="220" spans="1:17" s="1" customFormat="1" ht="21">
      <c r="A220" s="156" t="s">
        <v>136</v>
      </c>
      <c r="B220" s="156"/>
      <c r="C220" s="156"/>
      <c r="D220" s="156"/>
      <c r="E220" s="156"/>
      <c r="F220" s="156"/>
      <c r="G220" s="156"/>
      <c r="H220" s="156"/>
      <c r="I220" s="156"/>
      <c r="J220" s="156"/>
      <c r="K220" s="156"/>
      <c r="L220" s="156"/>
      <c r="M220" s="156"/>
      <c r="N220" s="156"/>
      <c r="O220" s="156"/>
      <c r="P220" s="156"/>
      <c r="Q220" s="156"/>
    </row>
    <row r="221" spans="1:17" s="1" customFormat="1" ht="21">
      <c r="A221" s="156" t="s">
        <v>101</v>
      </c>
      <c r="B221" s="156"/>
      <c r="C221" s="156"/>
      <c r="D221" s="156"/>
      <c r="E221" s="156"/>
      <c r="F221" s="156"/>
      <c r="G221" s="156"/>
      <c r="H221" s="156"/>
      <c r="I221" s="156"/>
      <c r="J221" s="156"/>
      <c r="K221" s="156"/>
      <c r="L221" s="156"/>
      <c r="M221" s="156"/>
      <c r="N221" s="156"/>
      <c r="O221" s="156"/>
      <c r="P221" s="156"/>
      <c r="Q221" s="2"/>
    </row>
    <row r="222" spans="1:17" s="1" customFormat="1" ht="21.6" thickBot="1">
      <c r="G222" s="198"/>
      <c r="H222" s="198"/>
      <c r="I222" s="198"/>
      <c r="J222" s="198"/>
      <c r="K222" s="198"/>
    </row>
    <row r="223" spans="1:17" s="1" customFormat="1" ht="21.6" thickTop="1">
      <c r="A223" s="199"/>
      <c r="B223" s="147" t="s">
        <v>102</v>
      </c>
      <c r="C223" s="149"/>
      <c r="D223" s="147" t="s">
        <v>103</v>
      </c>
      <c r="E223" s="149"/>
      <c r="F223" s="147" t="s">
        <v>104</v>
      </c>
      <c r="G223" s="149"/>
      <c r="H223" s="147" t="s">
        <v>105</v>
      </c>
      <c r="I223" s="149"/>
      <c r="J223" s="147" t="s">
        <v>106</v>
      </c>
      <c r="K223" s="149"/>
      <c r="L223" s="147" t="s">
        <v>107</v>
      </c>
      <c r="M223" s="149"/>
      <c r="N223" s="147" t="s">
        <v>58</v>
      </c>
      <c r="O223" s="148"/>
      <c r="P223" s="201"/>
    </row>
    <row r="224" spans="1:17" s="1" customFormat="1" ht="21.6" thickBot="1">
      <c r="A224" s="200"/>
      <c r="B224" s="137"/>
      <c r="C224" s="139"/>
      <c r="D224" s="137"/>
      <c r="E224" s="139"/>
      <c r="F224" s="137"/>
      <c r="G224" s="139"/>
      <c r="H224" s="137"/>
      <c r="I224" s="139"/>
      <c r="J224" s="137"/>
      <c r="K224" s="139"/>
      <c r="L224" s="137"/>
      <c r="M224" s="139"/>
      <c r="N224" s="137"/>
      <c r="O224" s="138"/>
      <c r="P224" s="202"/>
    </row>
    <row r="225" spans="1:10872" s="5" customFormat="1" ht="27.75" customHeight="1" thickTop="1" thickBot="1">
      <c r="A225" s="11" t="s">
        <v>138</v>
      </c>
      <c r="B225" s="170">
        <f>'[1]التعليم الابتدائي'!AA581</f>
        <v>0</v>
      </c>
      <c r="C225" s="182"/>
      <c r="D225" s="170">
        <f>'[1]التعليم الابتدائي'!AC581</f>
        <v>0</v>
      </c>
      <c r="E225" s="182"/>
      <c r="F225" s="170">
        <f>'[1]التعليم الابتدائي'!AE581</f>
        <v>0</v>
      </c>
      <c r="G225" s="182"/>
      <c r="H225" s="170">
        <f>'[1]التعليم الابتدائي'!AG581</f>
        <v>0</v>
      </c>
      <c r="I225" s="182"/>
      <c r="J225" s="170">
        <f>'[1]التعليم الابتدائي'!AI581</f>
        <v>0</v>
      </c>
      <c r="K225" s="182"/>
      <c r="L225" s="170">
        <f>'[1]التعليم الابتدائي'!AK581</f>
        <v>0</v>
      </c>
      <c r="M225" s="182"/>
      <c r="N225" s="170">
        <f>L225+J225+H225+F225+D225+B225</f>
        <v>0</v>
      </c>
      <c r="O225" s="181"/>
      <c r="P225" s="193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  <c r="KS225" s="1"/>
      <c r="KT225" s="1"/>
      <c r="KU225" s="1"/>
      <c r="KV225" s="1"/>
      <c r="KW225" s="1"/>
      <c r="KX225" s="1"/>
      <c r="KY225" s="1"/>
      <c r="KZ225" s="1"/>
      <c r="LA225" s="1"/>
      <c r="LB225" s="1"/>
      <c r="LC225" s="1"/>
      <c r="LD225" s="1"/>
      <c r="LE225" s="1"/>
      <c r="LF225" s="1"/>
      <c r="LG225" s="1"/>
      <c r="LH225" s="1"/>
      <c r="LI225" s="1"/>
      <c r="LJ225" s="1"/>
      <c r="LK225" s="1"/>
      <c r="LL225" s="1"/>
      <c r="LM225" s="1"/>
      <c r="LN225" s="1"/>
      <c r="LO225" s="1"/>
      <c r="LP225" s="1"/>
      <c r="LQ225" s="1"/>
      <c r="LR225" s="1"/>
      <c r="LS225" s="1"/>
      <c r="LT225" s="1"/>
      <c r="LU225" s="1"/>
      <c r="LV225" s="1"/>
      <c r="LW225" s="1"/>
      <c r="LX225" s="1"/>
      <c r="LY225" s="1"/>
      <c r="LZ225" s="1"/>
      <c r="MA225" s="1"/>
      <c r="MB225" s="1"/>
      <c r="MC225" s="1"/>
      <c r="MD225" s="1"/>
      <c r="ME225" s="1"/>
      <c r="MF225" s="1"/>
      <c r="MG225" s="1"/>
      <c r="MH225" s="1"/>
      <c r="MI225" s="1"/>
      <c r="MJ225" s="1"/>
      <c r="MK225" s="1"/>
      <c r="ML225" s="1"/>
      <c r="MM225" s="1"/>
      <c r="MN225" s="1"/>
      <c r="MO225" s="1"/>
      <c r="MP225" s="1"/>
      <c r="MQ225" s="1"/>
      <c r="MR225" s="1"/>
      <c r="MS225" s="1"/>
      <c r="MT225" s="1"/>
      <c r="MU225" s="1"/>
      <c r="MV225" s="1"/>
      <c r="MW225" s="1"/>
      <c r="MX225" s="1"/>
      <c r="MY225" s="1"/>
      <c r="MZ225" s="1"/>
      <c r="NA225" s="1"/>
      <c r="NB225" s="1"/>
      <c r="NC225" s="1"/>
      <c r="ND225" s="1"/>
      <c r="NE225" s="1"/>
      <c r="NF225" s="1"/>
      <c r="NG225" s="1"/>
      <c r="NH225" s="1"/>
      <c r="NI225" s="1"/>
      <c r="NJ225" s="1"/>
      <c r="NK225" s="1"/>
      <c r="NL225" s="1"/>
      <c r="NM225" s="1"/>
      <c r="NN225" s="1"/>
      <c r="NO225" s="1"/>
      <c r="NP225" s="1"/>
      <c r="NQ225" s="1"/>
      <c r="NR225" s="1"/>
      <c r="NS225" s="1"/>
      <c r="NT225" s="1"/>
      <c r="NU225" s="1"/>
      <c r="NV225" s="1"/>
      <c r="NW225" s="1"/>
      <c r="NX225" s="1"/>
      <c r="NY225" s="1"/>
      <c r="NZ225" s="1"/>
      <c r="OA225" s="1"/>
      <c r="OB225" s="1"/>
      <c r="OC225" s="1"/>
      <c r="OD225" s="1"/>
      <c r="OE225" s="1"/>
      <c r="OF225" s="1"/>
      <c r="OG225" s="1"/>
      <c r="OH225" s="1"/>
      <c r="OI225" s="1"/>
      <c r="OJ225" s="1"/>
      <c r="OK225" s="1"/>
      <c r="OL225" s="1"/>
      <c r="OM225" s="1"/>
      <c r="ON225" s="1"/>
      <c r="OO225" s="1"/>
      <c r="OP225" s="1"/>
      <c r="OQ225" s="1"/>
      <c r="OR225" s="1"/>
      <c r="OS225" s="1"/>
      <c r="OT225" s="1"/>
      <c r="OU225" s="1"/>
      <c r="OV225" s="1"/>
      <c r="OW225" s="1"/>
      <c r="OX225" s="1"/>
      <c r="OY225" s="1"/>
      <c r="OZ225" s="1"/>
      <c r="PA225" s="1"/>
      <c r="PB225" s="1"/>
      <c r="PC225" s="1"/>
      <c r="PD225" s="1"/>
      <c r="PE225" s="1"/>
      <c r="PF225" s="1"/>
      <c r="PG225" s="1"/>
      <c r="PH225" s="1"/>
      <c r="PI225" s="1"/>
      <c r="PJ225" s="1"/>
      <c r="PK225" s="1"/>
      <c r="PL225" s="1"/>
      <c r="PM225" s="1"/>
      <c r="PN225" s="1"/>
      <c r="PO225" s="1"/>
      <c r="PP225" s="1"/>
      <c r="PQ225" s="1"/>
      <c r="PR225" s="1"/>
      <c r="PS225" s="1"/>
      <c r="PT225" s="1"/>
      <c r="PU225" s="1"/>
      <c r="PV225" s="1"/>
      <c r="PW225" s="1"/>
      <c r="PX225" s="1"/>
      <c r="PY225" s="1"/>
      <c r="PZ225" s="1"/>
      <c r="QA225" s="1"/>
      <c r="QB225" s="1"/>
      <c r="QC225" s="1"/>
      <c r="QD225" s="1"/>
      <c r="QE225" s="1"/>
      <c r="QF225" s="1"/>
      <c r="QG225" s="1"/>
      <c r="QH225" s="1"/>
      <c r="QI225" s="1"/>
      <c r="QJ225" s="1"/>
      <c r="QK225" s="1"/>
      <c r="QL225" s="1"/>
      <c r="QM225" s="1"/>
      <c r="QN225" s="1"/>
      <c r="QO225" s="1"/>
      <c r="QP225" s="1"/>
      <c r="QQ225" s="1"/>
      <c r="QR225" s="1"/>
      <c r="QS225" s="1"/>
      <c r="QT225" s="1"/>
      <c r="QU225" s="1"/>
      <c r="QV225" s="1"/>
      <c r="QW225" s="1"/>
      <c r="QX225" s="1"/>
      <c r="QY225" s="1"/>
      <c r="QZ225" s="1"/>
      <c r="RA225" s="1"/>
      <c r="RB225" s="1"/>
      <c r="RC225" s="1"/>
      <c r="RD225" s="1"/>
      <c r="RE225" s="1"/>
      <c r="RF225" s="1"/>
      <c r="RG225" s="1"/>
      <c r="RH225" s="1"/>
      <c r="RI225" s="1"/>
      <c r="RJ225" s="1"/>
      <c r="RK225" s="1"/>
      <c r="RL225" s="1"/>
      <c r="RM225" s="1"/>
      <c r="RN225" s="1"/>
      <c r="RO225" s="1"/>
      <c r="RP225" s="1"/>
      <c r="RQ225" s="1"/>
      <c r="RR225" s="1"/>
      <c r="RS225" s="1"/>
      <c r="RT225" s="1"/>
      <c r="RU225" s="1"/>
      <c r="RV225" s="1"/>
      <c r="RW225" s="1"/>
      <c r="RX225" s="1"/>
      <c r="RY225" s="1"/>
      <c r="RZ225" s="1"/>
      <c r="SA225" s="1"/>
      <c r="SB225" s="1"/>
      <c r="SC225" s="1"/>
      <c r="SD225" s="1"/>
      <c r="SE225" s="1"/>
      <c r="SF225" s="1"/>
      <c r="SG225" s="1"/>
      <c r="SH225" s="1"/>
      <c r="SI225" s="1"/>
      <c r="SJ225" s="1"/>
      <c r="SK225" s="1"/>
      <c r="SL225" s="1"/>
      <c r="SM225" s="1"/>
      <c r="SN225" s="1"/>
      <c r="SO225" s="1"/>
      <c r="SP225" s="1"/>
      <c r="SQ225" s="1"/>
      <c r="SR225" s="1"/>
      <c r="SS225" s="1"/>
      <c r="ST225" s="1"/>
      <c r="SU225" s="1"/>
      <c r="SV225" s="1"/>
      <c r="SW225" s="1"/>
      <c r="SX225" s="1"/>
      <c r="SY225" s="1"/>
      <c r="SZ225" s="1"/>
      <c r="TA225" s="1"/>
      <c r="TB225" s="1"/>
      <c r="TC225" s="1"/>
      <c r="TD225" s="1"/>
      <c r="TE225" s="1"/>
      <c r="TF225" s="1"/>
      <c r="TG225" s="1"/>
      <c r="TH225" s="1"/>
      <c r="TI225" s="1"/>
      <c r="TJ225" s="1"/>
      <c r="TK225" s="1"/>
      <c r="TL225" s="1"/>
      <c r="TM225" s="1"/>
      <c r="TN225" s="1"/>
      <c r="TO225" s="1"/>
      <c r="TP225" s="1"/>
      <c r="TQ225" s="1"/>
      <c r="TR225" s="1"/>
      <c r="TS225" s="1"/>
      <c r="TT225" s="1"/>
      <c r="TU225" s="1"/>
      <c r="TV225" s="1"/>
      <c r="TW225" s="1"/>
      <c r="TX225" s="1"/>
      <c r="TY225" s="1"/>
      <c r="TZ225" s="1"/>
      <c r="UA225" s="1"/>
      <c r="UB225" s="1"/>
      <c r="UC225" s="1"/>
      <c r="UD225" s="1"/>
      <c r="UE225" s="1"/>
      <c r="UF225" s="1"/>
      <c r="UG225" s="1"/>
      <c r="UH225" s="1"/>
      <c r="UI225" s="1"/>
      <c r="UJ225" s="1"/>
      <c r="UK225" s="1"/>
      <c r="UL225" s="1"/>
      <c r="UM225" s="1"/>
      <c r="UN225" s="1"/>
      <c r="UO225" s="1"/>
      <c r="UP225" s="1"/>
      <c r="UQ225" s="1"/>
      <c r="UR225" s="1"/>
      <c r="US225" s="1"/>
      <c r="UT225" s="1"/>
      <c r="UU225" s="1"/>
      <c r="UV225" s="1"/>
      <c r="UW225" s="1"/>
      <c r="UX225" s="1"/>
      <c r="UY225" s="1"/>
      <c r="UZ225" s="1"/>
      <c r="VA225" s="1"/>
      <c r="VB225" s="1"/>
      <c r="VC225" s="1"/>
      <c r="VD225" s="1"/>
      <c r="VE225" s="1"/>
      <c r="VF225" s="1"/>
      <c r="VG225" s="1"/>
      <c r="VH225" s="1"/>
      <c r="VI225" s="1"/>
      <c r="VJ225" s="1"/>
      <c r="VK225" s="1"/>
      <c r="VL225" s="1"/>
      <c r="VM225" s="1"/>
      <c r="VN225" s="1"/>
      <c r="VO225" s="1"/>
      <c r="VP225" s="1"/>
      <c r="VQ225" s="1"/>
      <c r="VR225" s="1"/>
      <c r="VS225" s="1"/>
      <c r="VT225" s="1"/>
      <c r="VU225" s="1"/>
      <c r="VV225" s="1"/>
      <c r="VW225" s="1"/>
      <c r="VX225" s="1"/>
      <c r="VY225" s="1"/>
      <c r="VZ225" s="1"/>
      <c r="WA225" s="1"/>
      <c r="WB225" s="1"/>
      <c r="WC225" s="1"/>
      <c r="WD225" s="1"/>
      <c r="WE225" s="1"/>
      <c r="WF225" s="1"/>
      <c r="WG225" s="1"/>
      <c r="WH225" s="1"/>
      <c r="WI225" s="1"/>
      <c r="WJ225" s="1"/>
      <c r="WK225" s="1"/>
      <c r="WL225" s="1"/>
      <c r="WM225" s="1"/>
      <c r="WN225" s="1"/>
      <c r="WO225" s="1"/>
      <c r="WP225" s="1"/>
      <c r="WQ225" s="1"/>
      <c r="WR225" s="1"/>
      <c r="WS225" s="1"/>
      <c r="WT225" s="1"/>
      <c r="WU225" s="1"/>
      <c r="WV225" s="1"/>
      <c r="WW225" s="1"/>
      <c r="WX225" s="1"/>
      <c r="WY225" s="1"/>
      <c r="WZ225" s="1"/>
      <c r="XA225" s="1"/>
      <c r="XB225" s="1"/>
      <c r="XC225" s="1"/>
      <c r="XD225" s="1"/>
      <c r="XE225" s="1"/>
      <c r="XF225" s="1"/>
      <c r="XG225" s="1"/>
      <c r="XH225" s="1"/>
      <c r="XI225" s="1"/>
      <c r="XJ225" s="1"/>
      <c r="XK225" s="1"/>
      <c r="XL225" s="1"/>
      <c r="XM225" s="1"/>
      <c r="XN225" s="1"/>
      <c r="XO225" s="1"/>
      <c r="XP225" s="1"/>
      <c r="XQ225" s="1"/>
      <c r="XR225" s="1"/>
      <c r="XS225" s="1"/>
      <c r="XT225" s="1"/>
      <c r="XU225" s="1"/>
      <c r="XV225" s="1"/>
      <c r="XW225" s="1"/>
      <c r="XX225" s="1"/>
      <c r="XY225" s="1"/>
      <c r="XZ225" s="1"/>
      <c r="YA225" s="1"/>
      <c r="YB225" s="1"/>
      <c r="YC225" s="1"/>
      <c r="YD225" s="1"/>
      <c r="YE225" s="1"/>
      <c r="YF225" s="1"/>
      <c r="YG225" s="1"/>
      <c r="YH225" s="1"/>
      <c r="YI225" s="1"/>
      <c r="YJ225" s="1"/>
      <c r="YK225" s="1"/>
      <c r="YL225" s="1"/>
      <c r="YM225" s="1"/>
      <c r="YN225" s="1"/>
      <c r="YO225" s="1"/>
      <c r="YP225" s="1"/>
      <c r="YQ225" s="1"/>
      <c r="YR225" s="1"/>
      <c r="YS225" s="1"/>
      <c r="YT225" s="1"/>
      <c r="YU225" s="1"/>
      <c r="YV225" s="1"/>
      <c r="YW225" s="1"/>
      <c r="YX225" s="1"/>
      <c r="YY225" s="1"/>
      <c r="YZ225" s="1"/>
      <c r="ZA225" s="1"/>
      <c r="ZB225" s="1"/>
      <c r="ZC225" s="1"/>
      <c r="ZD225" s="1"/>
      <c r="ZE225" s="1"/>
      <c r="ZF225" s="1"/>
      <c r="ZG225" s="1"/>
      <c r="ZH225" s="1"/>
      <c r="ZI225" s="1"/>
      <c r="ZJ225" s="1"/>
      <c r="ZK225" s="1"/>
      <c r="ZL225" s="1"/>
      <c r="ZM225" s="1"/>
      <c r="ZN225" s="1"/>
      <c r="ZO225" s="1"/>
      <c r="ZP225" s="1"/>
      <c r="ZQ225" s="1"/>
      <c r="ZR225" s="1"/>
      <c r="ZS225" s="1"/>
      <c r="ZT225" s="1"/>
      <c r="ZU225" s="1"/>
      <c r="ZV225" s="1"/>
      <c r="ZW225" s="1"/>
      <c r="ZX225" s="1"/>
      <c r="ZY225" s="1"/>
      <c r="ZZ225" s="1"/>
      <c r="AAA225" s="1"/>
      <c r="AAB225" s="1"/>
      <c r="AAC225" s="1"/>
      <c r="AAD225" s="1"/>
      <c r="AAE225" s="1"/>
      <c r="AAF225" s="1"/>
      <c r="AAG225" s="1"/>
      <c r="AAH225" s="1"/>
      <c r="AAI225" s="1"/>
      <c r="AAJ225" s="1"/>
      <c r="AAK225" s="1"/>
      <c r="AAL225" s="1"/>
      <c r="AAM225" s="1"/>
      <c r="AAN225" s="1"/>
      <c r="AAO225" s="1"/>
      <c r="AAP225" s="1"/>
      <c r="AAQ225" s="1"/>
      <c r="AAR225" s="1"/>
      <c r="AAS225" s="1"/>
      <c r="AAT225" s="1"/>
      <c r="AAU225" s="1"/>
      <c r="AAV225" s="1"/>
      <c r="AAW225" s="1"/>
      <c r="AAX225" s="1"/>
      <c r="AAY225" s="1"/>
      <c r="AAZ225" s="1"/>
      <c r="ABA225" s="1"/>
      <c r="ABB225" s="1"/>
      <c r="ABC225" s="1"/>
      <c r="ABD225" s="1"/>
      <c r="ABE225" s="1"/>
      <c r="ABF225" s="1"/>
      <c r="ABG225" s="1"/>
      <c r="ABH225" s="1"/>
      <c r="ABI225" s="1"/>
      <c r="ABJ225" s="1"/>
      <c r="ABK225" s="1"/>
      <c r="ABL225" s="1"/>
      <c r="ABM225" s="1"/>
      <c r="ABN225" s="1"/>
      <c r="ABO225" s="1"/>
      <c r="ABP225" s="1"/>
      <c r="ABQ225" s="1"/>
      <c r="ABR225" s="1"/>
      <c r="ABS225" s="1"/>
      <c r="ABT225" s="1"/>
      <c r="ABU225" s="1"/>
      <c r="ABV225" s="1"/>
      <c r="ABW225" s="1"/>
      <c r="ABX225" s="1"/>
      <c r="ABY225" s="1"/>
      <c r="ABZ225" s="1"/>
      <c r="ACA225" s="1"/>
      <c r="ACB225" s="1"/>
      <c r="ACC225" s="1"/>
      <c r="ACD225" s="1"/>
      <c r="ACE225" s="1"/>
      <c r="ACF225" s="1"/>
      <c r="ACG225" s="1"/>
      <c r="ACH225" s="1"/>
      <c r="ACI225" s="1"/>
      <c r="ACJ225" s="1"/>
      <c r="ACK225" s="1"/>
      <c r="ACL225" s="1"/>
      <c r="ACM225" s="1"/>
      <c r="ACN225" s="1"/>
      <c r="ACO225" s="1"/>
      <c r="ACP225" s="1"/>
      <c r="ACQ225" s="1"/>
      <c r="ACR225" s="1"/>
      <c r="ACS225" s="1"/>
      <c r="ACT225" s="1"/>
      <c r="ACU225" s="1"/>
      <c r="ACV225" s="1"/>
      <c r="ACW225" s="1"/>
      <c r="ACX225" s="1"/>
      <c r="ACY225" s="1"/>
      <c r="ACZ225" s="1"/>
      <c r="ADA225" s="1"/>
      <c r="ADB225" s="1"/>
      <c r="ADC225" s="1"/>
      <c r="ADD225" s="1"/>
      <c r="ADE225" s="1"/>
      <c r="ADF225" s="1"/>
      <c r="ADG225" s="1"/>
      <c r="ADH225" s="1"/>
      <c r="ADI225" s="1"/>
      <c r="ADJ225" s="1"/>
      <c r="ADK225" s="1"/>
      <c r="ADL225" s="1"/>
      <c r="ADM225" s="1"/>
      <c r="ADN225" s="1"/>
      <c r="ADO225" s="1"/>
      <c r="ADP225" s="1"/>
      <c r="ADQ225" s="1"/>
      <c r="ADR225" s="1"/>
      <c r="ADS225" s="1"/>
      <c r="ADT225" s="1"/>
      <c r="ADU225" s="1"/>
      <c r="ADV225" s="1"/>
      <c r="ADW225" s="1"/>
      <c r="ADX225" s="1"/>
      <c r="ADY225" s="1"/>
      <c r="ADZ225" s="1"/>
      <c r="AEA225" s="1"/>
      <c r="AEB225" s="1"/>
      <c r="AEC225" s="1"/>
      <c r="AED225" s="1"/>
      <c r="AEE225" s="1"/>
      <c r="AEF225" s="1"/>
      <c r="AEG225" s="1"/>
      <c r="AEH225" s="1"/>
      <c r="AEI225" s="1"/>
      <c r="AEJ225" s="1"/>
      <c r="AEK225" s="1"/>
      <c r="AEL225" s="1"/>
      <c r="AEM225" s="1"/>
      <c r="AEN225" s="1"/>
      <c r="AEO225" s="1"/>
      <c r="AEP225" s="1"/>
      <c r="AEQ225" s="1"/>
      <c r="AER225" s="1"/>
      <c r="AES225" s="1"/>
      <c r="AET225" s="1"/>
      <c r="AEU225" s="1"/>
      <c r="AEV225" s="1"/>
      <c r="AEW225" s="1"/>
      <c r="AEX225" s="1"/>
      <c r="AEY225" s="1"/>
      <c r="AEZ225" s="1"/>
      <c r="AFA225" s="1"/>
      <c r="AFB225" s="1"/>
      <c r="AFC225" s="1"/>
      <c r="AFD225" s="1"/>
      <c r="AFE225" s="1"/>
      <c r="AFF225" s="1"/>
      <c r="AFG225" s="1"/>
      <c r="AFH225" s="1"/>
      <c r="AFI225" s="1"/>
      <c r="AFJ225" s="1"/>
      <c r="AFK225" s="1"/>
      <c r="AFL225" s="1"/>
      <c r="AFM225" s="1"/>
      <c r="AFN225" s="1"/>
      <c r="AFO225" s="1"/>
      <c r="AFP225" s="1"/>
      <c r="AFQ225" s="1"/>
      <c r="AFR225" s="1"/>
      <c r="AFS225" s="1"/>
      <c r="AFT225" s="1"/>
      <c r="AFU225" s="1"/>
      <c r="AFV225" s="1"/>
      <c r="AFW225" s="1"/>
      <c r="AFX225" s="1"/>
      <c r="AFY225" s="1"/>
      <c r="AFZ225" s="1"/>
      <c r="AGA225" s="1"/>
      <c r="AGB225" s="1"/>
      <c r="AGC225" s="1"/>
      <c r="AGD225" s="1"/>
      <c r="AGE225" s="1"/>
      <c r="AGF225" s="1"/>
      <c r="AGG225" s="1"/>
      <c r="AGH225" s="1"/>
      <c r="AGI225" s="1"/>
      <c r="AGJ225" s="1"/>
      <c r="AGK225" s="1"/>
      <c r="AGL225" s="1"/>
      <c r="AGM225" s="1"/>
      <c r="AGN225" s="1"/>
      <c r="AGO225" s="1"/>
      <c r="AGP225" s="1"/>
      <c r="AGQ225" s="1"/>
      <c r="AGR225" s="1"/>
      <c r="AGS225" s="1"/>
      <c r="AGT225" s="1"/>
      <c r="AGU225" s="1"/>
      <c r="AGV225" s="1"/>
      <c r="AGW225" s="1"/>
      <c r="AGX225" s="1"/>
      <c r="AGY225" s="1"/>
      <c r="AGZ225" s="1"/>
      <c r="AHA225" s="1"/>
      <c r="AHB225" s="1"/>
      <c r="AHC225" s="1"/>
      <c r="AHD225" s="1"/>
      <c r="AHE225" s="1"/>
      <c r="AHF225" s="1"/>
      <c r="AHG225" s="1"/>
      <c r="AHH225" s="1"/>
      <c r="AHI225" s="1"/>
      <c r="AHJ225" s="1"/>
      <c r="AHK225" s="1"/>
      <c r="AHL225" s="1"/>
      <c r="AHM225" s="1"/>
      <c r="AHN225" s="1"/>
      <c r="AHO225" s="1"/>
      <c r="AHP225" s="1"/>
      <c r="AHQ225" s="1"/>
      <c r="AHR225" s="1"/>
      <c r="AHS225" s="1"/>
      <c r="AHT225" s="1"/>
      <c r="AHU225" s="1"/>
      <c r="AHV225" s="1"/>
      <c r="AHW225" s="1"/>
      <c r="AHX225" s="1"/>
      <c r="AHY225" s="1"/>
    </row>
    <row r="226" spans="1:10872" s="5" customFormat="1" ht="27.75" customHeight="1" thickTop="1" thickBot="1">
      <c r="A226" s="11" t="s">
        <v>139</v>
      </c>
      <c r="B226" s="170">
        <f>'[1]التعليم الابتدائي'!AB581</f>
        <v>0</v>
      </c>
      <c r="C226" s="182"/>
      <c r="D226" s="170">
        <f>'[1]التعليم الابتدائي'!AD581</f>
        <v>0</v>
      </c>
      <c r="E226" s="182"/>
      <c r="F226" s="170">
        <f>'[1]التعليم الابتدائي'!AF581</f>
        <v>0</v>
      </c>
      <c r="G226" s="182"/>
      <c r="H226" s="170">
        <f>'[1]التعليم الابتدائي'!AH581</f>
        <v>0</v>
      </c>
      <c r="I226" s="182"/>
      <c r="J226" s="170">
        <f>'[1]التعليم الابتدائي'!AJ581</f>
        <v>0</v>
      </c>
      <c r="K226" s="182"/>
      <c r="L226" s="170">
        <f>'[1]التعليم الابتدائي'!AL581</f>
        <v>0</v>
      </c>
      <c r="M226" s="182"/>
      <c r="N226" s="170">
        <f>L226+J226+H226+F226+D226+B226</f>
        <v>0</v>
      </c>
      <c r="O226" s="181"/>
      <c r="P226" s="193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/>
      <c r="JZ226" s="1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P226" s="1"/>
      <c r="KQ226" s="1"/>
      <c r="KR226" s="1"/>
      <c r="KS226" s="1"/>
      <c r="KT226" s="1"/>
      <c r="KU226" s="1"/>
      <c r="KV226" s="1"/>
      <c r="KW226" s="1"/>
      <c r="KX226" s="1"/>
      <c r="KY226" s="1"/>
      <c r="KZ226" s="1"/>
      <c r="LA226" s="1"/>
      <c r="LB226" s="1"/>
      <c r="LC226" s="1"/>
      <c r="LD226" s="1"/>
      <c r="LE226" s="1"/>
      <c r="LF226" s="1"/>
      <c r="LG226" s="1"/>
      <c r="LH226" s="1"/>
      <c r="LI226" s="1"/>
      <c r="LJ226" s="1"/>
      <c r="LK226" s="1"/>
      <c r="LL226" s="1"/>
      <c r="LM226" s="1"/>
      <c r="LN226" s="1"/>
      <c r="LO226" s="1"/>
      <c r="LP226" s="1"/>
      <c r="LQ226" s="1"/>
      <c r="LR226" s="1"/>
      <c r="LS226" s="1"/>
      <c r="LT226" s="1"/>
      <c r="LU226" s="1"/>
      <c r="LV226" s="1"/>
      <c r="LW226" s="1"/>
      <c r="LX226" s="1"/>
      <c r="LY226" s="1"/>
      <c r="LZ226" s="1"/>
      <c r="MA226" s="1"/>
      <c r="MB226" s="1"/>
      <c r="MC226" s="1"/>
      <c r="MD226" s="1"/>
      <c r="ME226" s="1"/>
      <c r="MF226" s="1"/>
      <c r="MG226" s="1"/>
      <c r="MH226" s="1"/>
      <c r="MI226" s="1"/>
      <c r="MJ226" s="1"/>
      <c r="MK226" s="1"/>
      <c r="ML226" s="1"/>
      <c r="MM226" s="1"/>
      <c r="MN226" s="1"/>
      <c r="MO226" s="1"/>
      <c r="MP226" s="1"/>
      <c r="MQ226" s="1"/>
      <c r="MR226" s="1"/>
      <c r="MS226" s="1"/>
      <c r="MT226" s="1"/>
      <c r="MU226" s="1"/>
      <c r="MV226" s="1"/>
      <c r="MW226" s="1"/>
      <c r="MX226" s="1"/>
      <c r="MY226" s="1"/>
      <c r="MZ226" s="1"/>
      <c r="NA226" s="1"/>
      <c r="NB226" s="1"/>
      <c r="NC226" s="1"/>
      <c r="ND226" s="1"/>
      <c r="NE226" s="1"/>
      <c r="NF226" s="1"/>
      <c r="NG226" s="1"/>
      <c r="NH226" s="1"/>
      <c r="NI226" s="1"/>
      <c r="NJ226" s="1"/>
      <c r="NK226" s="1"/>
      <c r="NL226" s="1"/>
      <c r="NM226" s="1"/>
      <c r="NN226" s="1"/>
      <c r="NO226" s="1"/>
      <c r="NP226" s="1"/>
      <c r="NQ226" s="1"/>
      <c r="NR226" s="1"/>
      <c r="NS226" s="1"/>
      <c r="NT226" s="1"/>
      <c r="NU226" s="1"/>
      <c r="NV226" s="1"/>
      <c r="NW226" s="1"/>
      <c r="NX226" s="1"/>
      <c r="NY226" s="1"/>
      <c r="NZ226" s="1"/>
      <c r="OA226" s="1"/>
      <c r="OB226" s="1"/>
      <c r="OC226" s="1"/>
      <c r="OD226" s="1"/>
      <c r="OE226" s="1"/>
      <c r="OF226" s="1"/>
      <c r="OG226" s="1"/>
      <c r="OH226" s="1"/>
      <c r="OI226" s="1"/>
      <c r="OJ226" s="1"/>
      <c r="OK226" s="1"/>
      <c r="OL226" s="1"/>
      <c r="OM226" s="1"/>
      <c r="ON226" s="1"/>
      <c r="OO226" s="1"/>
      <c r="OP226" s="1"/>
      <c r="OQ226" s="1"/>
      <c r="OR226" s="1"/>
      <c r="OS226" s="1"/>
      <c r="OT226" s="1"/>
      <c r="OU226" s="1"/>
      <c r="OV226" s="1"/>
      <c r="OW226" s="1"/>
      <c r="OX226" s="1"/>
      <c r="OY226" s="1"/>
      <c r="OZ226" s="1"/>
      <c r="PA226" s="1"/>
      <c r="PB226" s="1"/>
      <c r="PC226" s="1"/>
      <c r="PD226" s="1"/>
      <c r="PE226" s="1"/>
      <c r="PF226" s="1"/>
      <c r="PG226" s="1"/>
      <c r="PH226" s="1"/>
      <c r="PI226" s="1"/>
      <c r="PJ226" s="1"/>
      <c r="PK226" s="1"/>
      <c r="PL226" s="1"/>
      <c r="PM226" s="1"/>
      <c r="PN226" s="1"/>
      <c r="PO226" s="1"/>
      <c r="PP226" s="1"/>
      <c r="PQ226" s="1"/>
      <c r="PR226" s="1"/>
      <c r="PS226" s="1"/>
      <c r="PT226" s="1"/>
      <c r="PU226" s="1"/>
      <c r="PV226" s="1"/>
      <c r="PW226" s="1"/>
      <c r="PX226" s="1"/>
      <c r="PY226" s="1"/>
      <c r="PZ226" s="1"/>
      <c r="QA226" s="1"/>
      <c r="QB226" s="1"/>
      <c r="QC226" s="1"/>
      <c r="QD226" s="1"/>
      <c r="QE226" s="1"/>
      <c r="QF226" s="1"/>
      <c r="QG226" s="1"/>
      <c r="QH226" s="1"/>
      <c r="QI226" s="1"/>
      <c r="QJ226" s="1"/>
      <c r="QK226" s="1"/>
      <c r="QL226" s="1"/>
      <c r="QM226" s="1"/>
      <c r="QN226" s="1"/>
      <c r="QO226" s="1"/>
      <c r="QP226" s="1"/>
      <c r="QQ226" s="1"/>
      <c r="QR226" s="1"/>
      <c r="QS226" s="1"/>
      <c r="QT226" s="1"/>
      <c r="QU226" s="1"/>
      <c r="QV226" s="1"/>
      <c r="QW226" s="1"/>
      <c r="QX226" s="1"/>
      <c r="QY226" s="1"/>
      <c r="QZ226" s="1"/>
      <c r="RA226" s="1"/>
      <c r="RB226" s="1"/>
      <c r="RC226" s="1"/>
      <c r="RD226" s="1"/>
      <c r="RE226" s="1"/>
      <c r="RF226" s="1"/>
      <c r="RG226" s="1"/>
      <c r="RH226" s="1"/>
      <c r="RI226" s="1"/>
      <c r="RJ226" s="1"/>
      <c r="RK226" s="1"/>
      <c r="RL226" s="1"/>
      <c r="RM226" s="1"/>
      <c r="RN226" s="1"/>
      <c r="RO226" s="1"/>
      <c r="RP226" s="1"/>
      <c r="RQ226" s="1"/>
      <c r="RR226" s="1"/>
      <c r="RS226" s="1"/>
      <c r="RT226" s="1"/>
      <c r="RU226" s="1"/>
      <c r="RV226" s="1"/>
      <c r="RW226" s="1"/>
      <c r="RX226" s="1"/>
      <c r="RY226" s="1"/>
      <c r="RZ226" s="1"/>
      <c r="SA226" s="1"/>
      <c r="SB226" s="1"/>
      <c r="SC226" s="1"/>
      <c r="SD226" s="1"/>
      <c r="SE226" s="1"/>
      <c r="SF226" s="1"/>
      <c r="SG226" s="1"/>
      <c r="SH226" s="1"/>
      <c r="SI226" s="1"/>
      <c r="SJ226" s="1"/>
      <c r="SK226" s="1"/>
      <c r="SL226" s="1"/>
      <c r="SM226" s="1"/>
      <c r="SN226" s="1"/>
      <c r="SO226" s="1"/>
      <c r="SP226" s="1"/>
      <c r="SQ226" s="1"/>
      <c r="SR226" s="1"/>
      <c r="SS226" s="1"/>
      <c r="ST226" s="1"/>
      <c r="SU226" s="1"/>
      <c r="SV226" s="1"/>
      <c r="SW226" s="1"/>
      <c r="SX226" s="1"/>
      <c r="SY226" s="1"/>
      <c r="SZ226" s="1"/>
      <c r="TA226" s="1"/>
      <c r="TB226" s="1"/>
      <c r="TC226" s="1"/>
      <c r="TD226" s="1"/>
      <c r="TE226" s="1"/>
      <c r="TF226" s="1"/>
      <c r="TG226" s="1"/>
      <c r="TH226" s="1"/>
      <c r="TI226" s="1"/>
      <c r="TJ226" s="1"/>
      <c r="TK226" s="1"/>
      <c r="TL226" s="1"/>
      <c r="TM226" s="1"/>
      <c r="TN226" s="1"/>
      <c r="TO226" s="1"/>
      <c r="TP226" s="1"/>
      <c r="TQ226" s="1"/>
      <c r="TR226" s="1"/>
      <c r="TS226" s="1"/>
      <c r="TT226" s="1"/>
      <c r="TU226" s="1"/>
      <c r="TV226" s="1"/>
      <c r="TW226" s="1"/>
      <c r="TX226" s="1"/>
      <c r="TY226" s="1"/>
      <c r="TZ226" s="1"/>
      <c r="UA226" s="1"/>
      <c r="UB226" s="1"/>
      <c r="UC226" s="1"/>
      <c r="UD226" s="1"/>
      <c r="UE226" s="1"/>
      <c r="UF226" s="1"/>
      <c r="UG226" s="1"/>
      <c r="UH226" s="1"/>
      <c r="UI226" s="1"/>
      <c r="UJ226" s="1"/>
      <c r="UK226" s="1"/>
      <c r="UL226" s="1"/>
      <c r="UM226" s="1"/>
      <c r="UN226" s="1"/>
      <c r="UO226" s="1"/>
      <c r="UP226" s="1"/>
      <c r="UQ226" s="1"/>
      <c r="UR226" s="1"/>
      <c r="US226" s="1"/>
      <c r="UT226" s="1"/>
      <c r="UU226" s="1"/>
      <c r="UV226" s="1"/>
      <c r="UW226" s="1"/>
      <c r="UX226" s="1"/>
      <c r="UY226" s="1"/>
      <c r="UZ226" s="1"/>
      <c r="VA226" s="1"/>
      <c r="VB226" s="1"/>
      <c r="VC226" s="1"/>
      <c r="VD226" s="1"/>
      <c r="VE226" s="1"/>
      <c r="VF226" s="1"/>
      <c r="VG226" s="1"/>
      <c r="VH226" s="1"/>
      <c r="VI226" s="1"/>
      <c r="VJ226" s="1"/>
      <c r="VK226" s="1"/>
      <c r="VL226" s="1"/>
      <c r="VM226" s="1"/>
      <c r="VN226" s="1"/>
      <c r="VO226" s="1"/>
      <c r="VP226" s="1"/>
      <c r="VQ226" s="1"/>
      <c r="VR226" s="1"/>
      <c r="VS226" s="1"/>
      <c r="VT226" s="1"/>
      <c r="VU226" s="1"/>
      <c r="VV226" s="1"/>
      <c r="VW226" s="1"/>
      <c r="VX226" s="1"/>
      <c r="VY226" s="1"/>
      <c r="VZ226" s="1"/>
      <c r="WA226" s="1"/>
      <c r="WB226" s="1"/>
      <c r="WC226" s="1"/>
      <c r="WD226" s="1"/>
      <c r="WE226" s="1"/>
      <c r="WF226" s="1"/>
      <c r="WG226" s="1"/>
      <c r="WH226" s="1"/>
      <c r="WI226" s="1"/>
      <c r="WJ226" s="1"/>
      <c r="WK226" s="1"/>
      <c r="WL226" s="1"/>
      <c r="WM226" s="1"/>
      <c r="WN226" s="1"/>
      <c r="WO226" s="1"/>
      <c r="WP226" s="1"/>
      <c r="WQ226" s="1"/>
      <c r="WR226" s="1"/>
      <c r="WS226" s="1"/>
      <c r="WT226" s="1"/>
      <c r="WU226" s="1"/>
      <c r="WV226" s="1"/>
      <c r="WW226" s="1"/>
      <c r="WX226" s="1"/>
      <c r="WY226" s="1"/>
      <c r="WZ226" s="1"/>
      <c r="XA226" s="1"/>
      <c r="XB226" s="1"/>
      <c r="XC226" s="1"/>
      <c r="XD226" s="1"/>
      <c r="XE226" s="1"/>
      <c r="XF226" s="1"/>
      <c r="XG226" s="1"/>
      <c r="XH226" s="1"/>
      <c r="XI226" s="1"/>
      <c r="XJ226" s="1"/>
      <c r="XK226" s="1"/>
      <c r="XL226" s="1"/>
      <c r="XM226" s="1"/>
      <c r="XN226" s="1"/>
      <c r="XO226" s="1"/>
      <c r="XP226" s="1"/>
      <c r="XQ226" s="1"/>
      <c r="XR226" s="1"/>
      <c r="XS226" s="1"/>
      <c r="XT226" s="1"/>
      <c r="XU226" s="1"/>
      <c r="XV226" s="1"/>
      <c r="XW226" s="1"/>
      <c r="XX226" s="1"/>
      <c r="XY226" s="1"/>
      <c r="XZ226" s="1"/>
      <c r="YA226" s="1"/>
      <c r="YB226" s="1"/>
      <c r="YC226" s="1"/>
      <c r="YD226" s="1"/>
      <c r="YE226" s="1"/>
      <c r="YF226" s="1"/>
      <c r="YG226" s="1"/>
      <c r="YH226" s="1"/>
      <c r="YI226" s="1"/>
      <c r="YJ226" s="1"/>
      <c r="YK226" s="1"/>
      <c r="YL226" s="1"/>
      <c r="YM226" s="1"/>
      <c r="YN226" s="1"/>
      <c r="YO226" s="1"/>
      <c r="YP226" s="1"/>
      <c r="YQ226" s="1"/>
      <c r="YR226" s="1"/>
      <c r="YS226" s="1"/>
      <c r="YT226" s="1"/>
      <c r="YU226" s="1"/>
      <c r="YV226" s="1"/>
      <c r="YW226" s="1"/>
      <c r="YX226" s="1"/>
      <c r="YY226" s="1"/>
      <c r="YZ226" s="1"/>
      <c r="ZA226" s="1"/>
      <c r="ZB226" s="1"/>
      <c r="ZC226" s="1"/>
      <c r="ZD226" s="1"/>
      <c r="ZE226" s="1"/>
      <c r="ZF226" s="1"/>
      <c r="ZG226" s="1"/>
      <c r="ZH226" s="1"/>
      <c r="ZI226" s="1"/>
      <c r="ZJ226" s="1"/>
      <c r="ZK226" s="1"/>
      <c r="ZL226" s="1"/>
      <c r="ZM226" s="1"/>
      <c r="ZN226" s="1"/>
      <c r="ZO226" s="1"/>
      <c r="ZP226" s="1"/>
      <c r="ZQ226" s="1"/>
      <c r="ZR226" s="1"/>
      <c r="ZS226" s="1"/>
      <c r="ZT226" s="1"/>
      <c r="ZU226" s="1"/>
      <c r="ZV226" s="1"/>
      <c r="ZW226" s="1"/>
      <c r="ZX226" s="1"/>
      <c r="ZY226" s="1"/>
      <c r="ZZ226" s="1"/>
      <c r="AAA226" s="1"/>
      <c r="AAB226" s="1"/>
      <c r="AAC226" s="1"/>
      <c r="AAD226" s="1"/>
      <c r="AAE226" s="1"/>
      <c r="AAF226" s="1"/>
      <c r="AAG226" s="1"/>
      <c r="AAH226" s="1"/>
      <c r="AAI226" s="1"/>
      <c r="AAJ226" s="1"/>
      <c r="AAK226" s="1"/>
      <c r="AAL226" s="1"/>
      <c r="AAM226" s="1"/>
      <c r="AAN226" s="1"/>
      <c r="AAO226" s="1"/>
      <c r="AAP226" s="1"/>
      <c r="AAQ226" s="1"/>
      <c r="AAR226" s="1"/>
      <c r="AAS226" s="1"/>
      <c r="AAT226" s="1"/>
      <c r="AAU226" s="1"/>
      <c r="AAV226" s="1"/>
      <c r="AAW226" s="1"/>
      <c r="AAX226" s="1"/>
      <c r="AAY226" s="1"/>
      <c r="AAZ226" s="1"/>
      <c r="ABA226" s="1"/>
      <c r="ABB226" s="1"/>
      <c r="ABC226" s="1"/>
      <c r="ABD226" s="1"/>
      <c r="ABE226" s="1"/>
      <c r="ABF226" s="1"/>
      <c r="ABG226" s="1"/>
      <c r="ABH226" s="1"/>
      <c r="ABI226" s="1"/>
      <c r="ABJ226" s="1"/>
      <c r="ABK226" s="1"/>
      <c r="ABL226" s="1"/>
      <c r="ABM226" s="1"/>
      <c r="ABN226" s="1"/>
      <c r="ABO226" s="1"/>
      <c r="ABP226" s="1"/>
      <c r="ABQ226" s="1"/>
      <c r="ABR226" s="1"/>
      <c r="ABS226" s="1"/>
      <c r="ABT226" s="1"/>
      <c r="ABU226" s="1"/>
      <c r="ABV226" s="1"/>
      <c r="ABW226" s="1"/>
      <c r="ABX226" s="1"/>
      <c r="ABY226" s="1"/>
      <c r="ABZ226" s="1"/>
      <c r="ACA226" s="1"/>
      <c r="ACB226" s="1"/>
      <c r="ACC226" s="1"/>
      <c r="ACD226" s="1"/>
      <c r="ACE226" s="1"/>
      <c r="ACF226" s="1"/>
      <c r="ACG226" s="1"/>
      <c r="ACH226" s="1"/>
      <c r="ACI226" s="1"/>
      <c r="ACJ226" s="1"/>
      <c r="ACK226" s="1"/>
      <c r="ACL226" s="1"/>
      <c r="ACM226" s="1"/>
      <c r="ACN226" s="1"/>
      <c r="ACO226" s="1"/>
      <c r="ACP226" s="1"/>
      <c r="ACQ226" s="1"/>
      <c r="ACR226" s="1"/>
      <c r="ACS226" s="1"/>
      <c r="ACT226" s="1"/>
      <c r="ACU226" s="1"/>
      <c r="ACV226" s="1"/>
      <c r="ACW226" s="1"/>
      <c r="ACX226" s="1"/>
      <c r="ACY226" s="1"/>
      <c r="ACZ226" s="1"/>
      <c r="ADA226" s="1"/>
      <c r="ADB226" s="1"/>
      <c r="ADC226" s="1"/>
      <c r="ADD226" s="1"/>
      <c r="ADE226" s="1"/>
      <c r="ADF226" s="1"/>
      <c r="ADG226" s="1"/>
      <c r="ADH226" s="1"/>
      <c r="ADI226" s="1"/>
      <c r="ADJ226" s="1"/>
      <c r="ADK226" s="1"/>
      <c r="ADL226" s="1"/>
      <c r="ADM226" s="1"/>
      <c r="ADN226" s="1"/>
      <c r="ADO226" s="1"/>
      <c r="ADP226" s="1"/>
      <c r="ADQ226" s="1"/>
      <c r="ADR226" s="1"/>
      <c r="ADS226" s="1"/>
      <c r="ADT226" s="1"/>
      <c r="ADU226" s="1"/>
      <c r="ADV226" s="1"/>
      <c r="ADW226" s="1"/>
      <c r="ADX226" s="1"/>
      <c r="ADY226" s="1"/>
      <c r="ADZ226" s="1"/>
      <c r="AEA226" s="1"/>
      <c r="AEB226" s="1"/>
      <c r="AEC226" s="1"/>
      <c r="AED226" s="1"/>
      <c r="AEE226" s="1"/>
      <c r="AEF226" s="1"/>
      <c r="AEG226" s="1"/>
      <c r="AEH226" s="1"/>
      <c r="AEI226" s="1"/>
      <c r="AEJ226" s="1"/>
      <c r="AEK226" s="1"/>
      <c r="AEL226" s="1"/>
      <c r="AEM226" s="1"/>
      <c r="AEN226" s="1"/>
      <c r="AEO226" s="1"/>
      <c r="AEP226" s="1"/>
      <c r="AEQ226" s="1"/>
      <c r="AER226" s="1"/>
      <c r="AES226" s="1"/>
      <c r="AET226" s="1"/>
      <c r="AEU226" s="1"/>
      <c r="AEV226" s="1"/>
      <c r="AEW226" s="1"/>
      <c r="AEX226" s="1"/>
      <c r="AEY226" s="1"/>
      <c r="AEZ226" s="1"/>
      <c r="AFA226" s="1"/>
      <c r="AFB226" s="1"/>
      <c r="AFC226" s="1"/>
      <c r="AFD226" s="1"/>
      <c r="AFE226" s="1"/>
      <c r="AFF226" s="1"/>
      <c r="AFG226" s="1"/>
      <c r="AFH226" s="1"/>
      <c r="AFI226" s="1"/>
      <c r="AFJ226" s="1"/>
      <c r="AFK226" s="1"/>
      <c r="AFL226" s="1"/>
      <c r="AFM226" s="1"/>
      <c r="AFN226" s="1"/>
      <c r="AFO226" s="1"/>
      <c r="AFP226" s="1"/>
      <c r="AFQ226" s="1"/>
      <c r="AFR226" s="1"/>
      <c r="AFS226" s="1"/>
      <c r="AFT226" s="1"/>
      <c r="AFU226" s="1"/>
      <c r="AFV226" s="1"/>
      <c r="AFW226" s="1"/>
      <c r="AFX226" s="1"/>
      <c r="AFY226" s="1"/>
      <c r="AFZ226" s="1"/>
      <c r="AGA226" s="1"/>
      <c r="AGB226" s="1"/>
      <c r="AGC226" s="1"/>
      <c r="AGD226" s="1"/>
      <c r="AGE226" s="1"/>
      <c r="AGF226" s="1"/>
      <c r="AGG226" s="1"/>
      <c r="AGH226" s="1"/>
      <c r="AGI226" s="1"/>
      <c r="AGJ226" s="1"/>
      <c r="AGK226" s="1"/>
      <c r="AGL226" s="1"/>
      <c r="AGM226" s="1"/>
      <c r="AGN226" s="1"/>
      <c r="AGO226" s="1"/>
      <c r="AGP226" s="1"/>
      <c r="AGQ226" s="1"/>
      <c r="AGR226" s="1"/>
      <c r="AGS226" s="1"/>
      <c r="AGT226" s="1"/>
      <c r="AGU226" s="1"/>
      <c r="AGV226" s="1"/>
      <c r="AGW226" s="1"/>
      <c r="AGX226" s="1"/>
      <c r="AGY226" s="1"/>
      <c r="AGZ226" s="1"/>
      <c r="AHA226" s="1"/>
      <c r="AHB226" s="1"/>
      <c r="AHC226" s="1"/>
      <c r="AHD226" s="1"/>
      <c r="AHE226" s="1"/>
      <c r="AHF226" s="1"/>
      <c r="AHG226" s="1"/>
      <c r="AHH226" s="1"/>
      <c r="AHI226" s="1"/>
      <c r="AHJ226" s="1"/>
      <c r="AHK226" s="1"/>
      <c r="AHL226" s="1"/>
      <c r="AHM226" s="1"/>
      <c r="AHN226" s="1"/>
      <c r="AHO226" s="1"/>
      <c r="AHP226" s="1"/>
      <c r="AHQ226" s="1"/>
      <c r="AHR226" s="1"/>
      <c r="AHS226" s="1"/>
      <c r="AHT226" s="1"/>
      <c r="AHU226" s="1"/>
      <c r="AHV226" s="1"/>
      <c r="AHW226" s="1"/>
      <c r="AHX226" s="1"/>
      <c r="AHY226" s="1"/>
    </row>
    <row r="227" spans="1:10872" s="5" customFormat="1" ht="27.75" customHeight="1" thickTop="1" thickBot="1">
      <c r="A227" s="6" t="s">
        <v>140</v>
      </c>
      <c r="B227" s="194">
        <f>SUM(B225:B226)</f>
        <v>0</v>
      </c>
      <c r="C227" s="195"/>
      <c r="D227" s="194">
        <f>SUM(D225:D226)</f>
        <v>0</v>
      </c>
      <c r="E227" s="195"/>
      <c r="F227" s="194">
        <f>SUM(F225:F226)</f>
        <v>0</v>
      </c>
      <c r="G227" s="195"/>
      <c r="H227" s="194">
        <f>SUM(H225:H226)</f>
        <v>0</v>
      </c>
      <c r="I227" s="195"/>
      <c r="J227" s="194">
        <f>SUM(J225:J226)</f>
        <v>0</v>
      </c>
      <c r="K227" s="195"/>
      <c r="L227" s="194">
        <f>SUM(L225:L226)</f>
        <v>0</v>
      </c>
      <c r="M227" s="195"/>
      <c r="N227" s="194">
        <f>L227+J227+H227+F227+D227+B227</f>
        <v>0</v>
      </c>
      <c r="O227" s="196"/>
      <c r="P227" s="197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A227" s="1"/>
      <c r="LB227" s="1"/>
      <c r="LC227" s="1"/>
      <c r="LD227" s="1"/>
      <c r="LE227" s="1"/>
      <c r="LF227" s="1"/>
      <c r="LG227" s="1"/>
      <c r="LH227" s="1"/>
      <c r="LI227" s="1"/>
      <c r="LJ227" s="1"/>
      <c r="LK227" s="1"/>
      <c r="LL227" s="1"/>
      <c r="LM227" s="1"/>
      <c r="LN227" s="1"/>
      <c r="LO227" s="1"/>
      <c r="LP227" s="1"/>
      <c r="LQ227" s="1"/>
      <c r="LR227" s="1"/>
      <c r="LS227" s="1"/>
      <c r="LT227" s="1"/>
      <c r="LU227" s="1"/>
      <c r="LV227" s="1"/>
      <c r="LW227" s="1"/>
      <c r="LX227" s="1"/>
      <c r="LY227" s="1"/>
      <c r="LZ227" s="1"/>
      <c r="MA227" s="1"/>
      <c r="MB227" s="1"/>
      <c r="MC227" s="1"/>
      <c r="MD227" s="1"/>
      <c r="ME227" s="1"/>
      <c r="MF227" s="1"/>
      <c r="MG227" s="1"/>
      <c r="MH227" s="1"/>
      <c r="MI227" s="1"/>
      <c r="MJ227" s="1"/>
      <c r="MK227" s="1"/>
      <c r="ML227" s="1"/>
      <c r="MM227" s="1"/>
      <c r="MN227" s="1"/>
      <c r="MO227" s="1"/>
      <c r="MP227" s="1"/>
      <c r="MQ227" s="1"/>
      <c r="MR227" s="1"/>
      <c r="MS227" s="1"/>
      <c r="MT227" s="1"/>
      <c r="MU227" s="1"/>
      <c r="MV227" s="1"/>
      <c r="MW227" s="1"/>
      <c r="MX227" s="1"/>
      <c r="MY227" s="1"/>
      <c r="MZ227" s="1"/>
      <c r="NA227" s="1"/>
      <c r="NB227" s="1"/>
      <c r="NC227" s="1"/>
      <c r="ND227" s="1"/>
      <c r="NE227" s="1"/>
      <c r="NF227" s="1"/>
      <c r="NG227" s="1"/>
      <c r="NH227" s="1"/>
      <c r="NI227" s="1"/>
      <c r="NJ227" s="1"/>
      <c r="NK227" s="1"/>
      <c r="NL227" s="1"/>
      <c r="NM227" s="1"/>
      <c r="NN227" s="1"/>
      <c r="NO227" s="1"/>
      <c r="NP227" s="1"/>
      <c r="NQ227" s="1"/>
      <c r="NR227" s="1"/>
      <c r="NS227" s="1"/>
      <c r="NT227" s="1"/>
      <c r="NU227" s="1"/>
      <c r="NV227" s="1"/>
      <c r="NW227" s="1"/>
      <c r="NX227" s="1"/>
      <c r="NY227" s="1"/>
      <c r="NZ227" s="1"/>
      <c r="OA227" s="1"/>
      <c r="OB227" s="1"/>
      <c r="OC227" s="1"/>
      <c r="OD227" s="1"/>
      <c r="OE227" s="1"/>
      <c r="OF227" s="1"/>
      <c r="OG227" s="1"/>
      <c r="OH227" s="1"/>
      <c r="OI227" s="1"/>
      <c r="OJ227" s="1"/>
      <c r="OK227" s="1"/>
      <c r="OL227" s="1"/>
      <c r="OM227" s="1"/>
      <c r="ON227" s="1"/>
      <c r="OO227" s="1"/>
      <c r="OP227" s="1"/>
      <c r="OQ227" s="1"/>
      <c r="OR227" s="1"/>
      <c r="OS227" s="1"/>
      <c r="OT227" s="1"/>
      <c r="OU227" s="1"/>
      <c r="OV227" s="1"/>
      <c r="OW227" s="1"/>
      <c r="OX227" s="1"/>
      <c r="OY227" s="1"/>
      <c r="OZ227" s="1"/>
      <c r="PA227" s="1"/>
      <c r="PB227" s="1"/>
      <c r="PC227" s="1"/>
      <c r="PD227" s="1"/>
      <c r="PE227" s="1"/>
      <c r="PF227" s="1"/>
      <c r="PG227" s="1"/>
      <c r="PH227" s="1"/>
      <c r="PI227" s="1"/>
      <c r="PJ227" s="1"/>
      <c r="PK227" s="1"/>
      <c r="PL227" s="1"/>
      <c r="PM227" s="1"/>
      <c r="PN227" s="1"/>
      <c r="PO227" s="1"/>
      <c r="PP227" s="1"/>
      <c r="PQ227" s="1"/>
      <c r="PR227" s="1"/>
      <c r="PS227" s="1"/>
      <c r="PT227" s="1"/>
      <c r="PU227" s="1"/>
      <c r="PV227" s="1"/>
      <c r="PW227" s="1"/>
      <c r="PX227" s="1"/>
      <c r="PY227" s="1"/>
      <c r="PZ227" s="1"/>
      <c r="QA227" s="1"/>
      <c r="QB227" s="1"/>
      <c r="QC227" s="1"/>
      <c r="QD227" s="1"/>
      <c r="QE227" s="1"/>
      <c r="QF227" s="1"/>
      <c r="QG227" s="1"/>
      <c r="QH227" s="1"/>
      <c r="QI227" s="1"/>
      <c r="QJ227" s="1"/>
      <c r="QK227" s="1"/>
      <c r="QL227" s="1"/>
      <c r="QM227" s="1"/>
      <c r="QN227" s="1"/>
      <c r="QO227" s="1"/>
      <c r="QP227" s="1"/>
      <c r="QQ227" s="1"/>
      <c r="QR227" s="1"/>
      <c r="QS227" s="1"/>
      <c r="QT227" s="1"/>
      <c r="QU227" s="1"/>
      <c r="QV227" s="1"/>
      <c r="QW227" s="1"/>
      <c r="QX227" s="1"/>
      <c r="QY227" s="1"/>
      <c r="QZ227" s="1"/>
      <c r="RA227" s="1"/>
      <c r="RB227" s="1"/>
      <c r="RC227" s="1"/>
      <c r="RD227" s="1"/>
      <c r="RE227" s="1"/>
      <c r="RF227" s="1"/>
      <c r="RG227" s="1"/>
      <c r="RH227" s="1"/>
      <c r="RI227" s="1"/>
      <c r="RJ227" s="1"/>
      <c r="RK227" s="1"/>
      <c r="RL227" s="1"/>
      <c r="RM227" s="1"/>
      <c r="RN227" s="1"/>
      <c r="RO227" s="1"/>
      <c r="RP227" s="1"/>
      <c r="RQ227" s="1"/>
      <c r="RR227" s="1"/>
      <c r="RS227" s="1"/>
      <c r="RT227" s="1"/>
      <c r="RU227" s="1"/>
      <c r="RV227" s="1"/>
      <c r="RW227" s="1"/>
      <c r="RX227" s="1"/>
      <c r="RY227" s="1"/>
      <c r="RZ227" s="1"/>
      <c r="SA227" s="1"/>
      <c r="SB227" s="1"/>
      <c r="SC227" s="1"/>
      <c r="SD227" s="1"/>
      <c r="SE227" s="1"/>
      <c r="SF227" s="1"/>
      <c r="SG227" s="1"/>
      <c r="SH227" s="1"/>
      <c r="SI227" s="1"/>
      <c r="SJ227" s="1"/>
      <c r="SK227" s="1"/>
      <c r="SL227" s="1"/>
      <c r="SM227" s="1"/>
      <c r="SN227" s="1"/>
      <c r="SO227" s="1"/>
      <c r="SP227" s="1"/>
      <c r="SQ227" s="1"/>
      <c r="SR227" s="1"/>
      <c r="SS227" s="1"/>
      <c r="ST227" s="1"/>
      <c r="SU227" s="1"/>
      <c r="SV227" s="1"/>
      <c r="SW227" s="1"/>
      <c r="SX227" s="1"/>
      <c r="SY227" s="1"/>
      <c r="SZ227" s="1"/>
      <c r="TA227" s="1"/>
      <c r="TB227" s="1"/>
      <c r="TC227" s="1"/>
      <c r="TD227" s="1"/>
      <c r="TE227" s="1"/>
      <c r="TF227" s="1"/>
      <c r="TG227" s="1"/>
      <c r="TH227" s="1"/>
      <c r="TI227" s="1"/>
      <c r="TJ227" s="1"/>
      <c r="TK227" s="1"/>
      <c r="TL227" s="1"/>
      <c r="TM227" s="1"/>
      <c r="TN227" s="1"/>
      <c r="TO227" s="1"/>
      <c r="TP227" s="1"/>
      <c r="TQ227" s="1"/>
      <c r="TR227" s="1"/>
      <c r="TS227" s="1"/>
      <c r="TT227" s="1"/>
      <c r="TU227" s="1"/>
      <c r="TV227" s="1"/>
      <c r="TW227" s="1"/>
      <c r="TX227" s="1"/>
      <c r="TY227" s="1"/>
      <c r="TZ227" s="1"/>
      <c r="UA227" s="1"/>
      <c r="UB227" s="1"/>
      <c r="UC227" s="1"/>
      <c r="UD227" s="1"/>
      <c r="UE227" s="1"/>
      <c r="UF227" s="1"/>
      <c r="UG227" s="1"/>
      <c r="UH227" s="1"/>
      <c r="UI227" s="1"/>
      <c r="UJ227" s="1"/>
      <c r="UK227" s="1"/>
      <c r="UL227" s="1"/>
      <c r="UM227" s="1"/>
      <c r="UN227" s="1"/>
      <c r="UO227" s="1"/>
      <c r="UP227" s="1"/>
      <c r="UQ227" s="1"/>
      <c r="UR227" s="1"/>
      <c r="US227" s="1"/>
      <c r="UT227" s="1"/>
      <c r="UU227" s="1"/>
      <c r="UV227" s="1"/>
      <c r="UW227" s="1"/>
      <c r="UX227" s="1"/>
      <c r="UY227" s="1"/>
      <c r="UZ227" s="1"/>
      <c r="VA227" s="1"/>
      <c r="VB227" s="1"/>
      <c r="VC227" s="1"/>
      <c r="VD227" s="1"/>
      <c r="VE227" s="1"/>
      <c r="VF227" s="1"/>
      <c r="VG227" s="1"/>
      <c r="VH227" s="1"/>
      <c r="VI227" s="1"/>
      <c r="VJ227" s="1"/>
      <c r="VK227" s="1"/>
      <c r="VL227" s="1"/>
      <c r="VM227" s="1"/>
      <c r="VN227" s="1"/>
      <c r="VO227" s="1"/>
      <c r="VP227" s="1"/>
      <c r="VQ227" s="1"/>
      <c r="VR227" s="1"/>
      <c r="VS227" s="1"/>
      <c r="VT227" s="1"/>
      <c r="VU227" s="1"/>
      <c r="VV227" s="1"/>
      <c r="VW227" s="1"/>
      <c r="VX227" s="1"/>
      <c r="VY227" s="1"/>
      <c r="VZ227" s="1"/>
      <c r="WA227" s="1"/>
      <c r="WB227" s="1"/>
      <c r="WC227" s="1"/>
      <c r="WD227" s="1"/>
      <c r="WE227" s="1"/>
      <c r="WF227" s="1"/>
      <c r="WG227" s="1"/>
      <c r="WH227" s="1"/>
      <c r="WI227" s="1"/>
      <c r="WJ227" s="1"/>
      <c r="WK227" s="1"/>
      <c r="WL227" s="1"/>
      <c r="WM227" s="1"/>
      <c r="WN227" s="1"/>
      <c r="WO227" s="1"/>
      <c r="WP227" s="1"/>
      <c r="WQ227" s="1"/>
      <c r="WR227" s="1"/>
      <c r="WS227" s="1"/>
      <c r="WT227" s="1"/>
      <c r="WU227" s="1"/>
      <c r="WV227" s="1"/>
      <c r="WW227" s="1"/>
      <c r="WX227" s="1"/>
      <c r="WY227" s="1"/>
      <c r="WZ227" s="1"/>
      <c r="XA227" s="1"/>
      <c r="XB227" s="1"/>
      <c r="XC227" s="1"/>
      <c r="XD227" s="1"/>
      <c r="XE227" s="1"/>
      <c r="XF227" s="1"/>
      <c r="XG227" s="1"/>
      <c r="XH227" s="1"/>
      <c r="XI227" s="1"/>
      <c r="XJ227" s="1"/>
      <c r="XK227" s="1"/>
      <c r="XL227" s="1"/>
      <c r="XM227" s="1"/>
      <c r="XN227" s="1"/>
      <c r="XO227" s="1"/>
      <c r="XP227" s="1"/>
      <c r="XQ227" s="1"/>
      <c r="XR227" s="1"/>
      <c r="XS227" s="1"/>
      <c r="XT227" s="1"/>
      <c r="XU227" s="1"/>
      <c r="XV227" s="1"/>
      <c r="XW227" s="1"/>
      <c r="XX227" s="1"/>
      <c r="XY227" s="1"/>
      <c r="XZ227" s="1"/>
      <c r="YA227" s="1"/>
      <c r="YB227" s="1"/>
      <c r="YC227" s="1"/>
      <c r="YD227" s="1"/>
      <c r="YE227" s="1"/>
      <c r="YF227" s="1"/>
      <c r="YG227" s="1"/>
      <c r="YH227" s="1"/>
      <c r="YI227" s="1"/>
      <c r="YJ227" s="1"/>
      <c r="YK227" s="1"/>
      <c r="YL227" s="1"/>
      <c r="YM227" s="1"/>
      <c r="YN227" s="1"/>
      <c r="YO227" s="1"/>
      <c r="YP227" s="1"/>
      <c r="YQ227" s="1"/>
      <c r="YR227" s="1"/>
      <c r="YS227" s="1"/>
      <c r="YT227" s="1"/>
      <c r="YU227" s="1"/>
      <c r="YV227" s="1"/>
      <c r="YW227" s="1"/>
      <c r="YX227" s="1"/>
      <c r="YY227" s="1"/>
      <c r="YZ227" s="1"/>
      <c r="ZA227" s="1"/>
      <c r="ZB227" s="1"/>
      <c r="ZC227" s="1"/>
      <c r="ZD227" s="1"/>
      <c r="ZE227" s="1"/>
      <c r="ZF227" s="1"/>
      <c r="ZG227" s="1"/>
      <c r="ZH227" s="1"/>
      <c r="ZI227" s="1"/>
      <c r="ZJ227" s="1"/>
      <c r="ZK227" s="1"/>
      <c r="ZL227" s="1"/>
      <c r="ZM227" s="1"/>
      <c r="ZN227" s="1"/>
      <c r="ZO227" s="1"/>
      <c r="ZP227" s="1"/>
      <c r="ZQ227" s="1"/>
      <c r="ZR227" s="1"/>
      <c r="ZS227" s="1"/>
      <c r="ZT227" s="1"/>
      <c r="ZU227" s="1"/>
      <c r="ZV227" s="1"/>
      <c r="ZW227" s="1"/>
      <c r="ZX227" s="1"/>
      <c r="ZY227" s="1"/>
      <c r="ZZ227" s="1"/>
      <c r="AAA227" s="1"/>
      <c r="AAB227" s="1"/>
      <c r="AAC227" s="1"/>
      <c r="AAD227" s="1"/>
      <c r="AAE227" s="1"/>
      <c r="AAF227" s="1"/>
      <c r="AAG227" s="1"/>
      <c r="AAH227" s="1"/>
      <c r="AAI227" s="1"/>
      <c r="AAJ227" s="1"/>
      <c r="AAK227" s="1"/>
      <c r="AAL227" s="1"/>
      <c r="AAM227" s="1"/>
      <c r="AAN227" s="1"/>
      <c r="AAO227" s="1"/>
      <c r="AAP227" s="1"/>
      <c r="AAQ227" s="1"/>
      <c r="AAR227" s="1"/>
      <c r="AAS227" s="1"/>
      <c r="AAT227" s="1"/>
      <c r="AAU227" s="1"/>
      <c r="AAV227" s="1"/>
      <c r="AAW227" s="1"/>
      <c r="AAX227" s="1"/>
      <c r="AAY227" s="1"/>
      <c r="AAZ227" s="1"/>
      <c r="ABA227" s="1"/>
      <c r="ABB227" s="1"/>
      <c r="ABC227" s="1"/>
      <c r="ABD227" s="1"/>
      <c r="ABE227" s="1"/>
      <c r="ABF227" s="1"/>
      <c r="ABG227" s="1"/>
      <c r="ABH227" s="1"/>
      <c r="ABI227" s="1"/>
      <c r="ABJ227" s="1"/>
      <c r="ABK227" s="1"/>
      <c r="ABL227" s="1"/>
      <c r="ABM227" s="1"/>
      <c r="ABN227" s="1"/>
      <c r="ABO227" s="1"/>
      <c r="ABP227" s="1"/>
      <c r="ABQ227" s="1"/>
      <c r="ABR227" s="1"/>
      <c r="ABS227" s="1"/>
      <c r="ABT227" s="1"/>
      <c r="ABU227" s="1"/>
      <c r="ABV227" s="1"/>
      <c r="ABW227" s="1"/>
      <c r="ABX227" s="1"/>
      <c r="ABY227" s="1"/>
      <c r="ABZ227" s="1"/>
      <c r="ACA227" s="1"/>
      <c r="ACB227" s="1"/>
      <c r="ACC227" s="1"/>
      <c r="ACD227" s="1"/>
      <c r="ACE227" s="1"/>
      <c r="ACF227" s="1"/>
      <c r="ACG227" s="1"/>
      <c r="ACH227" s="1"/>
      <c r="ACI227" s="1"/>
      <c r="ACJ227" s="1"/>
      <c r="ACK227" s="1"/>
      <c r="ACL227" s="1"/>
      <c r="ACM227" s="1"/>
      <c r="ACN227" s="1"/>
      <c r="ACO227" s="1"/>
      <c r="ACP227" s="1"/>
      <c r="ACQ227" s="1"/>
      <c r="ACR227" s="1"/>
      <c r="ACS227" s="1"/>
      <c r="ACT227" s="1"/>
      <c r="ACU227" s="1"/>
      <c r="ACV227" s="1"/>
      <c r="ACW227" s="1"/>
      <c r="ACX227" s="1"/>
      <c r="ACY227" s="1"/>
      <c r="ACZ227" s="1"/>
      <c r="ADA227" s="1"/>
      <c r="ADB227" s="1"/>
      <c r="ADC227" s="1"/>
      <c r="ADD227" s="1"/>
      <c r="ADE227" s="1"/>
      <c r="ADF227" s="1"/>
      <c r="ADG227" s="1"/>
      <c r="ADH227" s="1"/>
      <c r="ADI227" s="1"/>
      <c r="ADJ227" s="1"/>
      <c r="ADK227" s="1"/>
      <c r="ADL227" s="1"/>
      <c r="ADM227" s="1"/>
      <c r="ADN227" s="1"/>
      <c r="ADO227" s="1"/>
      <c r="ADP227" s="1"/>
      <c r="ADQ227" s="1"/>
      <c r="ADR227" s="1"/>
      <c r="ADS227" s="1"/>
      <c r="ADT227" s="1"/>
      <c r="ADU227" s="1"/>
      <c r="ADV227" s="1"/>
      <c r="ADW227" s="1"/>
      <c r="ADX227" s="1"/>
      <c r="ADY227" s="1"/>
      <c r="ADZ227" s="1"/>
      <c r="AEA227" s="1"/>
      <c r="AEB227" s="1"/>
      <c r="AEC227" s="1"/>
      <c r="AED227" s="1"/>
      <c r="AEE227" s="1"/>
      <c r="AEF227" s="1"/>
      <c r="AEG227" s="1"/>
      <c r="AEH227" s="1"/>
      <c r="AEI227" s="1"/>
      <c r="AEJ227" s="1"/>
      <c r="AEK227" s="1"/>
      <c r="AEL227" s="1"/>
      <c r="AEM227" s="1"/>
      <c r="AEN227" s="1"/>
      <c r="AEO227" s="1"/>
      <c r="AEP227" s="1"/>
      <c r="AEQ227" s="1"/>
      <c r="AER227" s="1"/>
      <c r="AES227" s="1"/>
      <c r="AET227" s="1"/>
      <c r="AEU227" s="1"/>
      <c r="AEV227" s="1"/>
      <c r="AEW227" s="1"/>
      <c r="AEX227" s="1"/>
      <c r="AEY227" s="1"/>
      <c r="AEZ227" s="1"/>
      <c r="AFA227" s="1"/>
      <c r="AFB227" s="1"/>
      <c r="AFC227" s="1"/>
      <c r="AFD227" s="1"/>
      <c r="AFE227" s="1"/>
      <c r="AFF227" s="1"/>
      <c r="AFG227" s="1"/>
      <c r="AFH227" s="1"/>
      <c r="AFI227" s="1"/>
      <c r="AFJ227" s="1"/>
      <c r="AFK227" s="1"/>
      <c r="AFL227" s="1"/>
      <c r="AFM227" s="1"/>
      <c r="AFN227" s="1"/>
      <c r="AFO227" s="1"/>
      <c r="AFP227" s="1"/>
      <c r="AFQ227" s="1"/>
      <c r="AFR227" s="1"/>
      <c r="AFS227" s="1"/>
      <c r="AFT227" s="1"/>
      <c r="AFU227" s="1"/>
      <c r="AFV227" s="1"/>
      <c r="AFW227" s="1"/>
      <c r="AFX227" s="1"/>
      <c r="AFY227" s="1"/>
      <c r="AFZ227" s="1"/>
      <c r="AGA227" s="1"/>
      <c r="AGB227" s="1"/>
      <c r="AGC227" s="1"/>
      <c r="AGD227" s="1"/>
      <c r="AGE227" s="1"/>
      <c r="AGF227" s="1"/>
      <c r="AGG227" s="1"/>
      <c r="AGH227" s="1"/>
      <c r="AGI227" s="1"/>
      <c r="AGJ227" s="1"/>
      <c r="AGK227" s="1"/>
      <c r="AGL227" s="1"/>
      <c r="AGM227" s="1"/>
      <c r="AGN227" s="1"/>
      <c r="AGO227" s="1"/>
      <c r="AGP227" s="1"/>
      <c r="AGQ227" s="1"/>
      <c r="AGR227" s="1"/>
      <c r="AGS227" s="1"/>
      <c r="AGT227" s="1"/>
      <c r="AGU227" s="1"/>
      <c r="AGV227" s="1"/>
      <c r="AGW227" s="1"/>
      <c r="AGX227" s="1"/>
      <c r="AGY227" s="1"/>
      <c r="AGZ227" s="1"/>
      <c r="AHA227" s="1"/>
      <c r="AHB227" s="1"/>
      <c r="AHC227" s="1"/>
      <c r="AHD227" s="1"/>
      <c r="AHE227" s="1"/>
      <c r="AHF227" s="1"/>
      <c r="AHG227" s="1"/>
      <c r="AHH227" s="1"/>
      <c r="AHI227" s="1"/>
      <c r="AHJ227" s="1"/>
      <c r="AHK227" s="1"/>
      <c r="AHL227" s="1"/>
      <c r="AHM227" s="1"/>
      <c r="AHN227" s="1"/>
      <c r="AHO227" s="1"/>
      <c r="AHP227" s="1"/>
      <c r="AHQ227" s="1"/>
      <c r="AHR227" s="1"/>
      <c r="AHS227" s="1"/>
      <c r="AHT227" s="1"/>
      <c r="AHU227" s="1"/>
      <c r="AHV227" s="1"/>
      <c r="AHW227" s="1"/>
      <c r="AHX227" s="1"/>
      <c r="AHY227" s="1"/>
    </row>
    <row r="228" spans="1:10872" s="5" customFormat="1" ht="27.75" customHeight="1" thickTop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/>
      <c r="KV228" s="1"/>
      <c r="KW228" s="1"/>
      <c r="KX228" s="1"/>
      <c r="KY228" s="1"/>
      <c r="KZ228" s="1"/>
      <c r="LA228" s="1"/>
      <c r="LB228" s="1"/>
      <c r="LC228" s="1"/>
      <c r="LD228" s="1"/>
      <c r="LE228" s="1"/>
      <c r="LF228" s="1"/>
      <c r="LG228" s="1"/>
      <c r="LH228" s="1"/>
      <c r="LI228" s="1"/>
      <c r="LJ228" s="1"/>
      <c r="LK228" s="1"/>
      <c r="LL228" s="1"/>
      <c r="LM228" s="1"/>
      <c r="LN228" s="1"/>
      <c r="LO228" s="1"/>
      <c r="LP228" s="1"/>
      <c r="LQ228" s="1"/>
      <c r="LR228" s="1"/>
      <c r="LS228" s="1"/>
      <c r="LT228" s="1"/>
      <c r="LU228" s="1"/>
      <c r="LV228" s="1"/>
      <c r="LW228" s="1"/>
      <c r="LX228" s="1"/>
      <c r="LY228" s="1"/>
      <c r="LZ228" s="1"/>
      <c r="MA228" s="1"/>
      <c r="MB228" s="1"/>
      <c r="MC228" s="1"/>
      <c r="MD228" s="1"/>
      <c r="ME228" s="1"/>
      <c r="MF228" s="1"/>
      <c r="MG228" s="1"/>
      <c r="MH228" s="1"/>
      <c r="MI228" s="1"/>
      <c r="MJ228" s="1"/>
      <c r="MK228" s="1"/>
      <c r="ML228" s="1"/>
      <c r="MM228" s="1"/>
      <c r="MN228" s="1"/>
      <c r="MO228" s="1"/>
      <c r="MP228" s="1"/>
      <c r="MQ228" s="1"/>
      <c r="MR228" s="1"/>
      <c r="MS228" s="1"/>
      <c r="MT228" s="1"/>
      <c r="MU228" s="1"/>
      <c r="MV228" s="1"/>
      <c r="MW228" s="1"/>
      <c r="MX228" s="1"/>
      <c r="MY228" s="1"/>
      <c r="MZ228" s="1"/>
      <c r="NA228" s="1"/>
      <c r="NB228" s="1"/>
      <c r="NC228" s="1"/>
      <c r="ND228" s="1"/>
      <c r="NE228" s="1"/>
      <c r="NF228" s="1"/>
      <c r="NG228" s="1"/>
      <c r="NH228" s="1"/>
      <c r="NI228" s="1"/>
      <c r="NJ228" s="1"/>
      <c r="NK228" s="1"/>
      <c r="NL228" s="1"/>
      <c r="NM228" s="1"/>
      <c r="NN228" s="1"/>
      <c r="NO228" s="1"/>
      <c r="NP228" s="1"/>
      <c r="NQ228" s="1"/>
      <c r="NR228" s="1"/>
      <c r="NS228" s="1"/>
      <c r="NT228" s="1"/>
      <c r="NU228" s="1"/>
      <c r="NV228" s="1"/>
      <c r="NW228" s="1"/>
      <c r="NX228" s="1"/>
      <c r="NY228" s="1"/>
      <c r="NZ228" s="1"/>
      <c r="OA228" s="1"/>
      <c r="OB228" s="1"/>
      <c r="OC228" s="1"/>
      <c r="OD228" s="1"/>
      <c r="OE228" s="1"/>
      <c r="OF228" s="1"/>
      <c r="OG228" s="1"/>
      <c r="OH228" s="1"/>
      <c r="OI228" s="1"/>
      <c r="OJ228" s="1"/>
      <c r="OK228" s="1"/>
      <c r="OL228" s="1"/>
      <c r="OM228" s="1"/>
      <c r="ON228" s="1"/>
      <c r="OO228" s="1"/>
      <c r="OP228" s="1"/>
      <c r="OQ228" s="1"/>
      <c r="OR228" s="1"/>
      <c r="OS228" s="1"/>
      <c r="OT228" s="1"/>
      <c r="OU228" s="1"/>
      <c r="OV228" s="1"/>
      <c r="OW228" s="1"/>
      <c r="OX228" s="1"/>
      <c r="OY228" s="1"/>
      <c r="OZ228" s="1"/>
      <c r="PA228" s="1"/>
      <c r="PB228" s="1"/>
      <c r="PC228" s="1"/>
      <c r="PD228" s="1"/>
      <c r="PE228" s="1"/>
      <c r="PF228" s="1"/>
      <c r="PG228" s="1"/>
      <c r="PH228" s="1"/>
      <c r="PI228" s="1"/>
      <c r="PJ228" s="1"/>
      <c r="PK228" s="1"/>
      <c r="PL228" s="1"/>
      <c r="PM228" s="1"/>
      <c r="PN228" s="1"/>
      <c r="PO228" s="1"/>
      <c r="PP228" s="1"/>
      <c r="PQ228" s="1"/>
      <c r="PR228" s="1"/>
      <c r="PS228" s="1"/>
      <c r="PT228" s="1"/>
      <c r="PU228" s="1"/>
      <c r="PV228" s="1"/>
      <c r="PW228" s="1"/>
      <c r="PX228" s="1"/>
      <c r="PY228" s="1"/>
      <c r="PZ228" s="1"/>
      <c r="QA228" s="1"/>
      <c r="QB228" s="1"/>
      <c r="QC228" s="1"/>
      <c r="QD228" s="1"/>
      <c r="QE228" s="1"/>
      <c r="QF228" s="1"/>
      <c r="QG228" s="1"/>
      <c r="QH228" s="1"/>
      <c r="QI228" s="1"/>
      <c r="QJ228" s="1"/>
      <c r="QK228" s="1"/>
      <c r="QL228" s="1"/>
      <c r="QM228" s="1"/>
      <c r="QN228" s="1"/>
      <c r="QO228" s="1"/>
      <c r="QP228" s="1"/>
      <c r="QQ228" s="1"/>
      <c r="QR228" s="1"/>
      <c r="QS228" s="1"/>
      <c r="QT228" s="1"/>
      <c r="QU228" s="1"/>
      <c r="QV228" s="1"/>
      <c r="QW228" s="1"/>
      <c r="QX228" s="1"/>
      <c r="QY228" s="1"/>
      <c r="QZ228" s="1"/>
      <c r="RA228" s="1"/>
      <c r="RB228" s="1"/>
      <c r="RC228" s="1"/>
      <c r="RD228" s="1"/>
      <c r="RE228" s="1"/>
      <c r="RF228" s="1"/>
      <c r="RG228" s="1"/>
      <c r="RH228" s="1"/>
      <c r="RI228" s="1"/>
      <c r="RJ228" s="1"/>
      <c r="RK228" s="1"/>
      <c r="RL228" s="1"/>
      <c r="RM228" s="1"/>
      <c r="RN228" s="1"/>
      <c r="RO228" s="1"/>
      <c r="RP228" s="1"/>
      <c r="RQ228" s="1"/>
      <c r="RR228" s="1"/>
      <c r="RS228" s="1"/>
      <c r="RT228" s="1"/>
      <c r="RU228" s="1"/>
      <c r="RV228" s="1"/>
      <c r="RW228" s="1"/>
      <c r="RX228" s="1"/>
      <c r="RY228" s="1"/>
      <c r="RZ228" s="1"/>
      <c r="SA228" s="1"/>
      <c r="SB228" s="1"/>
      <c r="SC228" s="1"/>
      <c r="SD228" s="1"/>
      <c r="SE228" s="1"/>
      <c r="SF228" s="1"/>
      <c r="SG228" s="1"/>
      <c r="SH228" s="1"/>
      <c r="SI228" s="1"/>
      <c r="SJ228" s="1"/>
      <c r="SK228" s="1"/>
      <c r="SL228" s="1"/>
      <c r="SM228" s="1"/>
      <c r="SN228" s="1"/>
      <c r="SO228" s="1"/>
      <c r="SP228" s="1"/>
      <c r="SQ228" s="1"/>
      <c r="SR228" s="1"/>
      <c r="SS228" s="1"/>
      <c r="ST228" s="1"/>
      <c r="SU228" s="1"/>
      <c r="SV228" s="1"/>
      <c r="SW228" s="1"/>
      <c r="SX228" s="1"/>
      <c r="SY228" s="1"/>
      <c r="SZ228" s="1"/>
      <c r="TA228" s="1"/>
      <c r="TB228" s="1"/>
      <c r="TC228" s="1"/>
      <c r="TD228" s="1"/>
      <c r="TE228" s="1"/>
      <c r="TF228" s="1"/>
      <c r="TG228" s="1"/>
      <c r="TH228" s="1"/>
      <c r="TI228" s="1"/>
      <c r="TJ228" s="1"/>
      <c r="TK228" s="1"/>
      <c r="TL228" s="1"/>
      <c r="TM228" s="1"/>
      <c r="TN228" s="1"/>
      <c r="TO228" s="1"/>
      <c r="TP228" s="1"/>
      <c r="TQ228" s="1"/>
      <c r="TR228" s="1"/>
      <c r="TS228" s="1"/>
      <c r="TT228" s="1"/>
      <c r="TU228" s="1"/>
      <c r="TV228" s="1"/>
      <c r="TW228" s="1"/>
      <c r="TX228" s="1"/>
      <c r="TY228" s="1"/>
      <c r="TZ228" s="1"/>
      <c r="UA228" s="1"/>
      <c r="UB228" s="1"/>
      <c r="UC228" s="1"/>
      <c r="UD228" s="1"/>
      <c r="UE228" s="1"/>
      <c r="UF228" s="1"/>
      <c r="UG228" s="1"/>
      <c r="UH228" s="1"/>
      <c r="UI228" s="1"/>
      <c r="UJ228" s="1"/>
      <c r="UK228" s="1"/>
      <c r="UL228" s="1"/>
      <c r="UM228" s="1"/>
      <c r="UN228" s="1"/>
      <c r="UO228" s="1"/>
      <c r="UP228" s="1"/>
      <c r="UQ228" s="1"/>
      <c r="UR228" s="1"/>
      <c r="US228" s="1"/>
      <c r="UT228" s="1"/>
      <c r="UU228" s="1"/>
      <c r="UV228" s="1"/>
      <c r="UW228" s="1"/>
      <c r="UX228" s="1"/>
      <c r="UY228" s="1"/>
      <c r="UZ228" s="1"/>
      <c r="VA228" s="1"/>
      <c r="VB228" s="1"/>
      <c r="VC228" s="1"/>
      <c r="VD228" s="1"/>
      <c r="VE228" s="1"/>
      <c r="VF228" s="1"/>
      <c r="VG228" s="1"/>
      <c r="VH228" s="1"/>
      <c r="VI228" s="1"/>
      <c r="VJ228" s="1"/>
      <c r="VK228" s="1"/>
      <c r="VL228" s="1"/>
      <c r="VM228" s="1"/>
      <c r="VN228" s="1"/>
      <c r="VO228" s="1"/>
      <c r="VP228" s="1"/>
      <c r="VQ228" s="1"/>
      <c r="VR228" s="1"/>
      <c r="VS228" s="1"/>
      <c r="VT228" s="1"/>
      <c r="VU228" s="1"/>
      <c r="VV228" s="1"/>
      <c r="VW228" s="1"/>
      <c r="VX228" s="1"/>
      <c r="VY228" s="1"/>
      <c r="VZ228" s="1"/>
      <c r="WA228" s="1"/>
      <c r="WB228" s="1"/>
      <c r="WC228" s="1"/>
      <c r="WD228" s="1"/>
      <c r="WE228" s="1"/>
      <c r="WF228" s="1"/>
      <c r="WG228" s="1"/>
      <c r="WH228" s="1"/>
      <c r="WI228" s="1"/>
      <c r="WJ228" s="1"/>
      <c r="WK228" s="1"/>
      <c r="WL228" s="1"/>
      <c r="WM228" s="1"/>
      <c r="WN228" s="1"/>
      <c r="WO228" s="1"/>
      <c r="WP228" s="1"/>
      <c r="WQ228" s="1"/>
      <c r="WR228" s="1"/>
      <c r="WS228" s="1"/>
      <c r="WT228" s="1"/>
      <c r="WU228" s="1"/>
      <c r="WV228" s="1"/>
      <c r="WW228" s="1"/>
      <c r="WX228" s="1"/>
      <c r="WY228" s="1"/>
      <c r="WZ228" s="1"/>
      <c r="XA228" s="1"/>
      <c r="XB228" s="1"/>
      <c r="XC228" s="1"/>
      <c r="XD228" s="1"/>
      <c r="XE228" s="1"/>
      <c r="XF228" s="1"/>
      <c r="XG228" s="1"/>
      <c r="XH228" s="1"/>
      <c r="XI228" s="1"/>
      <c r="XJ228" s="1"/>
      <c r="XK228" s="1"/>
      <c r="XL228" s="1"/>
      <c r="XM228" s="1"/>
      <c r="XN228" s="1"/>
      <c r="XO228" s="1"/>
      <c r="XP228" s="1"/>
      <c r="XQ228" s="1"/>
      <c r="XR228" s="1"/>
      <c r="XS228" s="1"/>
      <c r="XT228" s="1"/>
      <c r="XU228" s="1"/>
      <c r="XV228" s="1"/>
      <c r="XW228" s="1"/>
      <c r="XX228" s="1"/>
      <c r="XY228" s="1"/>
      <c r="XZ228" s="1"/>
      <c r="YA228" s="1"/>
      <c r="YB228" s="1"/>
      <c r="YC228" s="1"/>
      <c r="YD228" s="1"/>
      <c r="YE228" s="1"/>
      <c r="YF228" s="1"/>
      <c r="YG228" s="1"/>
      <c r="YH228" s="1"/>
      <c r="YI228" s="1"/>
      <c r="YJ228" s="1"/>
      <c r="YK228" s="1"/>
      <c r="YL228" s="1"/>
      <c r="YM228" s="1"/>
      <c r="YN228" s="1"/>
      <c r="YO228" s="1"/>
      <c r="YP228" s="1"/>
      <c r="YQ228" s="1"/>
      <c r="YR228" s="1"/>
      <c r="YS228" s="1"/>
      <c r="YT228" s="1"/>
      <c r="YU228" s="1"/>
      <c r="YV228" s="1"/>
      <c r="YW228" s="1"/>
      <c r="YX228" s="1"/>
      <c r="YY228" s="1"/>
      <c r="YZ228" s="1"/>
      <c r="ZA228" s="1"/>
      <c r="ZB228" s="1"/>
      <c r="ZC228" s="1"/>
      <c r="ZD228" s="1"/>
      <c r="ZE228" s="1"/>
      <c r="ZF228" s="1"/>
      <c r="ZG228" s="1"/>
      <c r="ZH228" s="1"/>
      <c r="ZI228" s="1"/>
      <c r="ZJ228" s="1"/>
      <c r="ZK228" s="1"/>
      <c r="ZL228" s="1"/>
      <c r="ZM228" s="1"/>
      <c r="ZN228" s="1"/>
      <c r="ZO228" s="1"/>
      <c r="ZP228" s="1"/>
      <c r="ZQ228" s="1"/>
      <c r="ZR228" s="1"/>
      <c r="ZS228" s="1"/>
      <c r="ZT228" s="1"/>
      <c r="ZU228" s="1"/>
      <c r="ZV228" s="1"/>
      <c r="ZW228" s="1"/>
      <c r="ZX228" s="1"/>
      <c r="ZY228" s="1"/>
      <c r="ZZ228" s="1"/>
      <c r="AAA228" s="1"/>
      <c r="AAB228" s="1"/>
      <c r="AAC228" s="1"/>
      <c r="AAD228" s="1"/>
      <c r="AAE228" s="1"/>
      <c r="AAF228" s="1"/>
      <c r="AAG228" s="1"/>
      <c r="AAH228" s="1"/>
      <c r="AAI228" s="1"/>
      <c r="AAJ228" s="1"/>
      <c r="AAK228" s="1"/>
      <c r="AAL228" s="1"/>
      <c r="AAM228" s="1"/>
      <c r="AAN228" s="1"/>
      <c r="AAO228" s="1"/>
      <c r="AAP228" s="1"/>
      <c r="AAQ228" s="1"/>
      <c r="AAR228" s="1"/>
      <c r="AAS228" s="1"/>
      <c r="AAT228" s="1"/>
      <c r="AAU228" s="1"/>
      <c r="AAV228" s="1"/>
      <c r="AAW228" s="1"/>
      <c r="AAX228" s="1"/>
      <c r="AAY228" s="1"/>
      <c r="AAZ228" s="1"/>
      <c r="ABA228" s="1"/>
      <c r="ABB228" s="1"/>
      <c r="ABC228" s="1"/>
      <c r="ABD228" s="1"/>
      <c r="ABE228" s="1"/>
      <c r="ABF228" s="1"/>
      <c r="ABG228" s="1"/>
      <c r="ABH228" s="1"/>
      <c r="ABI228" s="1"/>
      <c r="ABJ228" s="1"/>
      <c r="ABK228" s="1"/>
      <c r="ABL228" s="1"/>
      <c r="ABM228" s="1"/>
      <c r="ABN228" s="1"/>
      <c r="ABO228" s="1"/>
      <c r="ABP228" s="1"/>
      <c r="ABQ228" s="1"/>
      <c r="ABR228" s="1"/>
      <c r="ABS228" s="1"/>
      <c r="ABT228" s="1"/>
      <c r="ABU228" s="1"/>
      <c r="ABV228" s="1"/>
      <c r="ABW228" s="1"/>
      <c r="ABX228" s="1"/>
      <c r="ABY228" s="1"/>
      <c r="ABZ228" s="1"/>
      <c r="ACA228" s="1"/>
      <c r="ACB228" s="1"/>
      <c r="ACC228" s="1"/>
      <c r="ACD228" s="1"/>
      <c r="ACE228" s="1"/>
      <c r="ACF228" s="1"/>
      <c r="ACG228" s="1"/>
      <c r="ACH228" s="1"/>
      <c r="ACI228" s="1"/>
      <c r="ACJ228" s="1"/>
      <c r="ACK228" s="1"/>
      <c r="ACL228" s="1"/>
      <c r="ACM228" s="1"/>
      <c r="ACN228" s="1"/>
      <c r="ACO228" s="1"/>
      <c r="ACP228" s="1"/>
      <c r="ACQ228" s="1"/>
      <c r="ACR228" s="1"/>
      <c r="ACS228" s="1"/>
      <c r="ACT228" s="1"/>
      <c r="ACU228" s="1"/>
      <c r="ACV228" s="1"/>
      <c r="ACW228" s="1"/>
      <c r="ACX228" s="1"/>
      <c r="ACY228" s="1"/>
      <c r="ACZ228" s="1"/>
      <c r="ADA228" s="1"/>
      <c r="ADB228" s="1"/>
      <c r="ADC228" s="1"/>
      <c r="ADD228" s="1"/>
      <c r="ADE228" s="1"/>
      <c r="ADF228" s="1"/>
      <c r="ADG228" s="1"/>
      <c r="ADH228" s="1"/>
      <c r="ADI228" s="1"/>
      <c r="ADJ228" s="1"/>
      <c r="ADK228" s="1"/>
      <c r="ADL228" s="1"/>
      <c r="ADM228" s="1"/>
      <c r="ADN228" s="1"/>
      <c r="ADO228" s="1"/>
      <c r="ADP228" s="1"/>
      <c r="ADQ228" s="1"/>
      <c r="ADR228" s="1"/>
      <c r="ADS228" s="1"/>
      <c r="ADT228" s="1"/>
      <c r="ADU228" s="1"/>
      <c r="ADV228" s="1"/>
      <c r="ADW228" s="1"/>
      <c r="ADX228" s="1"/>
      <c r="ADY228" s="1"/>
      <c r="ADZ228" s="1"/>
      <c r="AEA228" s="1"/>
      <c r="AEB228" s="1"/>
      <c r="AEC228" s="1"/>
      <c r="AED228" s="1"/>
      <c r="AEE228" s="1"/>
      <c r="AEF228" s="1"/>
      <c r="AEG228" s="1"/>
      <c r="AEH228" s="1"/>
      <c r="AEI228" s="1"/>
      <c r="AEJ228" s="1"/>
      <c r="AEK228" s="1"/>
      <c r="AEL228" s="1"/>
      <c r="AEM228" s="1"/>
      <c r="AEN228" s="1"/>
      <c r="AEO228" s="1"/>
      <c r="AEP228" s="1"/>
      <c r="AEQ228" s="1"/>
      <c r="AER228" s="1"/>
      <c r="AES228" s="1"/>
      <c r="AET228" s="1"/>
      <c r="AEU228" s="1"/>
      <c r="AEV228" s="1"/>
      <c r="AEW228" s="1"/>
      <c r="AEX228" s="1"/>
      <c r="AEY228" s="1"/>
      <c r="AEZ228" s="1"/>
      <c r="AFA228" s="1"/>
      <c r="AFB228" s="1"/>
      <c r="AFC228" s="1"/>
      <c r="AFD228" s="1"/>
      <c r="AFE228" s="1"/>
      <c r="AFF228" s="1"/>
      <c r="AFG228" s="1"/>
      <c r="AFH228" s="1"/>
      <c r="AFI228" s="1"/>
      <c r="AFJ228" s="1"/>
      <c r="AFK228" s="1"/>
      <c r="AFL228" s="1"/>
      <c r="AFM228" s="1"/>
      <c r="AFN228" s="1"/>
      <c r="AFO228" s="1"/>
      <c r="AFP228" s="1"/>
      <c r="AFQ228" s="1"/>
      <c r="AFR228" s="1"/>
      <c r="AFS228" s="1"/>
      <c r="AFT228" s="1"/>
      <c r="AFU228" s="1"/>
      <c r="AFV228" s="1"/>
      <c r="AFW228" s="1"/>
      <c r="AFX228" s="1"/>
      <c r="AFY228" s="1"/>
      <c r="AFZ228" s="1"/>
      <c r="AGA228" s="1"/>
      <c r="AGB228" s="1"/>
      <c r="AGC228" s="1"/>
      <c r="AGD228" s="1"/>
      <c r="AGE228" s="1"/>
      <c r="AGF228" s="1"/>
      <c r="AGG228" s="1"/>
      <c r="AGH228" s="1"/>
      <c r="AGI228" s="1"/>
      <c r="AGJ228" s="1"/>
      <c r="AGK228" s="1"/>
      <c r="AGL228" s="1"/>
      <c r="AGM228" s="1"/>
      <c r="AGN228" s="1"/>
      <c r="AGO228" s="1"/>
      <c r="AGP228" s="1"/>
      <c r="AGQ228" s="1"/>
      <c r="AGR228" s="1"/>
      <c r="AGS228" s="1"/>
      <c r="AGT228" s="1"/>
      <c r="AGU228" s="1"/>
      <c r="AGV228" s="1"/>
      <c r="AGW228" s="1"/>
      <c r="AGX228" s="1"/>
      <c r="AGY228" s="1"/>
      <c r="AGZ228" s="1"/>
      <c r="AHA228" s="1"/>
      <c r="AHB228" s="1"/>
      <c r="AHC228" s="1"/>
      <c r="AHD228" s="1"/>
      <c r="AHE228" s="1"/>
      <c r="AHF228" s="1"/>
      <c r="AHG228" s="1"/>
      <c r="AHH228" s="1"/>
      <c r="AHI228" s="1"/>
      <c r="AHJ228" s="1"/>
      <c r="AHK228" s="1"/>
      <c r="AHL228" s="1"/>
      <c r="AHM228" s="1"/>
      <c r="AHN228" s="1"/>
      <c r="AHO228" s="1"/>
      <c r="AHP228" s="1"/>
      <c r="AHQ228" s="1"/>
      <c r="AHR228" s="1"/>
      <c r="AHS228" s="1"/>
      <c r="AHT228" s="1"/>
      <c r="AHU228" s="1"/>
      <c r="AHV228" s="1"/>
      <c r="AHW228" s="1"/>
      <c r="AHX228" s="1"/>
      <c r="AHY228" s="1"/>
    </row>
    <row r="229" spans="1:10872" s="1" customFormat="1" ht="27.75" customHeight="1">
      <c r="A229" s="2"/>
      <c r="B229" s="2"/>
      <c r="C229" s="2"/>
      <c r="D229" s="2"/>
      <c r="E229" s="2"/>
      <c r="F229" s="2"/>
      <c r="G229" s="2" t="s">
        <v>141</v>
      </c>
      <c r="H229" s="2"/>
      <c r="I229" s="2"/>
      <c r="J229" s="2"/>
      <c r="K229" s="2"/>
      <c r="L229" s="2"/>
      <c r="M229" s="2"/>
      <c r="N229" s="2"/>
      <c r="O229" s="2"/>
      <c r="P229" s="2"/>
      <c r="Q229" s="10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  <c r="GZ229" s="2"/>
      <c r="HA229" s="2"/>
      <c r="HB229" s="2"/>
      <c r="HC229" s="2"/>
      <c r="HD229" s="2"/>
      <c r="HE229" s="2"/>
      <c r="HF229" s="2"/>
      <c r="HG229" s="2"/>
      <c r="HH229" s="2"/>
      <c r="HI229" s="2"/>
      <c r="HJ229" s="2"/>
      <c r="HK229" s="2"/>
      <c r="HL229" s="2"/>
      <c r="HM229" s="2"/>
      <c r="HN229" s="2"/>
      <c r="HO229" s="2"/>
      <c r="HP229" s="2"/>
      <c r="HQ229" s="2"/>
      <c r="HR229" s="2"/>
      <c r="HS229" s="2"/>
      <c r="HT229" s="2"/>
      <c r="HU229" s="2"/>
      <c r="HV229" s="2"/>
      <c r="HW229" s="2"/>
      <c r="HX229" s="2"/>
      <c r="HY229" s="2"/>
      <c r="HZ229" s="2"/>
      <c r="IA229" s="2"/>
      <c r="IB229" s="2"/>
      <c r="IC229" s="2"/>
      <c r="ID229" s="2"/>
      <c r="IE229" s="2"/>
      <c r="IF229" s="2"/>
      <c r="IG229" s="2"/>
      <c r="IH229" s="2"/>
      <c r="II229" s="2"/>
      <c r="IJ229" s="2"/>
      <c r="IK229" s="2"/>
      <c r="IL229" s="2"/>
      <c r="AHZ229" s="2"/>
      <c r="AIA229" s="2"/>
      <c r="AIB229" s="2"/>
      <c r="AIC229" s="2"/>
      <c r="AID229" s="2"/>
      <c r="AIE229" s="2"/>
      <c r="AIF229" s="2"/>
      <c r="AIG229" s="2"/>
      <c r="AIH229" s="2"/>
      <c r="AII229" s="2"/>
      <c r="AIJ229" s="2"/>
      <c r="AIK229" s="2"/>
      <c r="AIL229" s="2"/>
      <c r="AIM229" s="2"/>
      <c r="AIN229" s="2"/>
      <c r="AIO229" s="2"/>
      <c r="AIP229" s="2"/>
      <c r="AIQ229" s="2"/>
      <c r="AIR229" s="2"/>
      <c r="AIS229" s="2"/>
      <c r="AIT229" s="2"/>
      <c r="AIU229" s="2"/>
      <c r="AIV229" s="2"/>
      <c r="AIW229" s="2"/>
      <c r="AIX229" s="2"/>
      <c r="AIY229" s="2"/>
      <c r="AIZ229" s="2"/>
      <c r="AJA229" s="2"/>
      <c r="AJB229" s="2"/>
      <c r="AJC229" s="2"/>
      <c r="AJD229" s="2"/>
      <c r="AJE229" s="2"/>
      <c r="AJF229" s="2"/>
      <c r="AJG229" s="2"/>
      <c r="AJH229" s="2"/>
      <c r="AJI229" s="2"/>
      <c r="AJJ229" s="2"/>
      <c r="AJK229" s="2"/>
      <c r="AJL229" s="2"/>
      <c r="AJM229" s="2"/>
      <c r="AJN229" s="2"/>
      <c r="AJO229" s="2"/>
      <c r="AJP229" s="2"/>
      <c r="AJQ229" s="2"/>
      <c r="AJR229" s="2"/>
      <c r="AJS229" s="2"/>
      <c r="AJT229" s="2"/>
      <c r="AJU229" s="2"/>
      <c r="AJV229" s="2"/>
      <c r="AJW229" s="2"/>
      <c r="AJX229" s="2"/>
      <c r="AJY229" s="2"/>
      <c r="AJZ229" s="2"/>
      <c r="AKA229" s="2"/>
      <c r="AKB229" s="2"/>
      <c r="AKC229" s="2"/>
      <c r="AKD229" s="2"/>
      <c r="AKE229" s="2"/>
      <c r="AKF229" s="2"/>
      <c r="AKG229" s="2"/>
      <c r="AKH229" s="2"/>
      <c r="AKI229" s="2"/>
      <c r="AKJ229" s="2"/>
      <c r="AKK229" s="2"/>
      <c r="AKL229" s="2"/>
      <c r="AKM229" s="2"/>
      <c r="AKN229" s="2"/>
      <c r="AKO229" s="2"/>
      <c r="AKP229" s="2"/>
      <c r="AKQ229" s="2"/>
      <c r="AKR229" s="2"/>
      <c r="AKS229" s="2"/>
      <c r="AKT229" s="2"/>
      <c r="AKU229" s="2"/>
      <c r="AKV229" s="2"/>
      <c r="AKW229" s="2"/>
      <c r="AKX229" s="2"/>
      <c r="AKY229" s="2"/>
      <c r="AKZ229" s="2"/>
      <c r="ALA229" s="2"/>
      <c r="ALB229" s="2"/>
      <c r="ALC229" s="2"/>
      <c r="ALD229" s="2"/>
      <c r="ALE229" s="2"/>
      <c r="ALF229" s="2"/>
      <c r="ALG229" s="2"/>
      <c r="ALH229" s="2"/>
      <c r="ALI229" s="2"/>
      <c r="ALJ229" s="2"/>
      <c r="ALK229" s="2"/>
      <c r="ALL229" s="2"/>
      <c r="ALM229" s="2"/>
      <c r="ALN229" s="2"/>
      <c r="ALO229" s="2"/>
      <c r="ALP229" s="2"/>
      <c r="ALQ229" s="2"/>
      <c r="ALR229" s="2"/>
      <c r="ALS229" s="2"/>
      <c r="ALT229" s="2"/>
      <c r="ALU229" s="2"/>
      <c r="ALV229" s="2"/>
      <c r="ALW229" s="2"/>
      <c r="ALX229" s="2"/>
      <c r="ALY229" s="2"/>
      <c r="ALZ229" s="2"/>
      <c r="AMA229" s="2"/>
      <c r="AMB229" s="2"/>
      <c r="AMC229" s="2"/>
      <c r="AMD229" s="2"/>
      <c r="AME229" s="2"/>
      <c r="AMF229" s="2"/>
      <c r="AMG229" s="2"/>
      <c r="AMH229" s="2"/>
      <c r="AMI229" s="2"/>
      <c r="AMJ229" s="2"/>
      <c r="AMK229" s="2"/>
      <c r="AML229" s="2"/>
      <c r="AMM229" s="2"/>
      <c r="AMN229" s="2"/>
      <c r="AMO229" s="2"/>
      <c r="AMP229" s="2"/>
      <c r="AMQ229" s="2"/>
      <c r="AMR229" s="2"/>
      <c r="AMS229" s="2"/>
      <c r="AMT229" s="2"/>
      <c r="AMU229" s="2"/>
      <c r="AMV229" s="2"/>
      <c r="AMW229" s="2"/>
      <c r="AMX229" s="2"/>
      <c r="AMY229" s="2"/>
      <c r="AMZ229" s="2"/>
      <c r="ANA229" s="2"/>
      <c r="ANB229" s="2"/>
      <c r="ANC229" s="2"/>
      <c r="AND229" s="2"/>
      <c r="ANE229" s="2"/>
      <c r="ANF229" s="2"/>
      <c r="ANG229" s="2"/>
      <c r="ANH229" s="2"/>
      <c r="ANI229" s="2"/>
      <c r="ANJ229" s="2"/>
      <c r="ANK229" s="2"/>
      <c r="ANL229" s="2"/>
      <c r="ANM229" s="2"/>
      <c r="ANN229" s="2"/>
      <c r="ANO229" s="2"/>
      <c r="ANP229" s="2"/>
      <c r="ANQ229" s="2"/>
      <c r="ANR229" s="2"/>
      <c r="ANS229" s="2"/>
      <c r="ANT229" s="2"/>
      <c r="ANU229" s="2"/>
      <c r="ANV229" s="2"/>
      <c r="ANW229" s="2"/>
      <c r="ANX229" s="2"/>
      <c r="ANY229" s="2"/>
      <c r="ANZ229" s="2"/>
      <c r="AOA229" s="2"/>
      <c r="AOB229" s="2"/>
      <c r="AOC229" s="2"/>
      <c r="AOD229" s="2"/>
      <c r="AOE229" s="2"/>
      <c r="AOF229" s="2"/>
      <c r="AOG229" s="2"/>
      <c r="AOH229" s="2"/>
      <c r="AOI229" s="2"/>
      <c r="AOJ229" s="2"/>
      <c r="AOK229" s="2"/>
      <c r="AOL229" s="2"/>
      <c r="AOM229" s="2"/>
      <c r="AON229" s="2"/>
      <c r="AOO229" s="2"/>
      <c r="AOP229" s="2"/>
      <c r="AOQ229" s="2"/>
      <c r="AOR229" s="2"/>
      <c r="AOS229" s="2"/>
      <c r="AOT229" s="2"/>
      <c r="AOU229" s="2"/>
      <c r="AOV229" s="2"/>
      <c r="AOW229" s="2"/>
      <c r="AOX229" s="2"/>
      <c r="AOY229" s="2"/>
      <c r="AOZ229" s="2"/>
      <c r="APA229" s="2"/>
      <c r="APB229" s="2"/>
      <c r="APC229" s="2"/>
      <c r="APD229" s="2"/>
      <c r="APE229" s="2"/>
      <c r="APF229" s="2"/>
      <c r="APG229" s="2"/>
      <c r="APH229" s="2"/>
      <c r="API229" s="2"/>
      <c r="APJ229" s="2"/>
      <c r="APK229" s="2"/>
      <c r="APL229" s="2"/>
      <c r="APM229" s="2"/>
      <c r="APN229" s="2"/>
      <c r="APO229" s="2"/>
      <c r="APP229" s="2"/>
      <c r="APQ229" s="2"/>
      <c r="APR229" s="2"/>
      <c r="APS229" s="2"/>
      <c r="APT229" s="2"/>
      <c r="APU229" s="2"/>
      <c r="APV229" s="2"/>
      <c r="APW229" s="2"/>
      <c r="APX229" s="2"/>
      <c r="APY229" s="2"/>
      <c r="APZ229" s="2"/>
      <c r="AQA229" s="2"/>
      <c r="AQB229" s="2"/>
      <c r="AQC229" s="2"/>
      <c r="AQD229" s="2"/>
      <c r="AQE229" s="2"/>
      <c r="AQF229" s="2"/>
      <c r="AQG229" s="2"/>
      <c r="AQH229" s="2"/>
      <c r="AQI229" s="2"/>
      <c r="AQJ229" s="2"/>
      <c r="AQK229" s="2"/>
      <c r="AQL229" s="2"/>
      <c r="AQM229" s="2"/>
      <c r="AQN229" s="2"/>
      <c r="AQO229" s="2"/>
      <c r="AQP229" s="2"/>
      <c r="AQQ229" s="2"/>
      <c r="AQR229" s="2"/>
      <c r="AQS229" s="2"/>
      <c r="AQT229" s="2"/>
      <c r="AQU229" s="2"/>
      <c r="AQV229" s="2"/>
      <c r="AQW229" s="2"/>
      <c r="AQX229" s="2"/>
      <c r="AQY229" s="2"/>
      <c r="AQZ229" s="2"/>
      <c r="ARA229" s="2"/>
      <c r="ARB229" s="2"/>
      <c r="ARC229" s="2"/>
      <c r="ARD229" s="2"/>
      <c r="ARE229" s="2"/>
      <c r="ARF229" s="2"/>
      <c r="ARG229" s="2"/>
      <c r="ARH229" s="2"/>
      <c r="ARI229" s="2"/>
      <c r="ARJ229" s="2"/>
      <c r="ARK229" s="2"/>
      <c r="ARL229" s="2"/>
      <c r="ARM229" s="2"/>
      <c r="ARN229" s="2"/>
      <c r="ARO229" s="2"/>
      <c r="ARP229" s="2"/>
      <c r="ARQ229" s="2"/>
      <c r="ARR229" s="2"/>
      <c r="ARS229" s="2"/>
      <c r="ART229" s="2"/>
      <c r="ARU229" s="2"/>
      <c r="ARV229" s="2"/>
      <c r="ARW229" s="2"/>
      <c r="ARX229" s="2"/>
      <c r="ARY229" s="2"/>
      <c r="ARZ229" s="2"/>
      <c r="ASA229" s="2"/>
      <c r="ASB229" s="2"/>
      <c r="ASC229" s="2"/>
      <c r="ASD229" s="2"/>
      <c r="ASE229" s="2"/>
      <c r="ASF229" s="2"/>
      <c r="ASG229" s="2"/>
      <c r="ASH229" s="2"/>
      <c r="ASI229" s="2"/>
      <c r="ASJ229" s="2"/>
      <c r="ASK229" s="2"/>
      <c r="ASL229" s="2"/>
      <c r="ASM229" s="2"/>
      <c r="ASN229" s="2"/>
      <c r="ASO229" s="2"/>
      <c r="ASP229" s="2"/>
      <c r="ASQ229" s="2"/>
      <c r="ASR229" s="2"/>
      <c r="ASS229" s="2"/>
      <c r="AST229" s="2"/>
      <c r="ASU229" s="2"/>
      <c r="ASV229" s="2"/>
      <c r="ASW229" s="2"/>
      <c r="ASX229" s="2"/>
      <c r="ASY229" s="2"/>
      <c r="ASZ229" s="2"/>
      <c r="ATA229" s="2"/>
      <c r="ATB229" s="2"/>
      <c r="ATC229" s="2"/>
      <c r="ATD229" s="2"/>
      <c r="ATE229" s="2"/>
      <c r="ATF229" s="2"/>
      <c r="ATG229" s="2"/>
      <c r="ATH229" s="2"/>
      <c r="ATI229" s="2"/>
      <c r="ATJ229" s="2"/>
      <c r="ATK229" s="2"/>
      <c r="ATL229" s="2"/>
      <c r="ATM229" s="2"/>
      <c r="ATN229" s="2"/>
      <c r="ATO229" s="2"/>
      <c r="ATP229" s="2"/>
      <c r="ATQ229" s="2"/>
      <c r="ATR229" s="2"/>
      <c r="ATS229" s="2"/>
      <c r="ATT229" s="2"/>
      <c r="ATU229" s="2"/>
      <c r="ATV229" s="2"/>
      <c r="ATW229" s="2"/>
      <c r="ATX229" s="2"/>
      <c r="ATY229" s="2"/>
      <c r="ATZ229" s="2"/>
      <c r="AUA229" s="2"/>
      <c r="AUB229" s="2"/>
      <c r="AUC229" s="2"/>
      <c r="AUD229" s="2"/>
      <c r="AUE229" s="2"/>
      <c r="AUF229" s="2"/>
      <c r="AUG229" s="2"/>
      <c r="AUH229" s="2"/>
      <c r="AUI229" s="2"/>
      <c r="AUJ229" s="2"/>
      <c r="AUK229" s="2"/>
      <c r="AUL229" s="2"/>
      <c r="AUM229" s="2"/>
      <c r="AUN229" s="2"/>
      <c r="AUO229" s="2"/>
      <c r="AUP229" s="2"/>
      <c r="AUQ229" s="2"/>
      <c r="AUR229" s="2"/>
      <c r="AUS229" s="2"/>
      <c r="AUT229" s="2"/>
      <c r="AUU229" s="2"/>
      <c r="AUV229" s="2"/>
      <c r="AUW229" s="2"/>
      <c r="AUX229" s="2"/>
      <c r="AUY229" s="2"/>
      <c r="AUZ229" s="2"/>
      <c r="AVA229" s="2"/>
      <c r="AVB229" s="2"/>
      <c r="AVC229" s="2"/>
      <c r="AVD229" s="2"/>
      <c r="AVE229" s="2"/>
      <c r="AVF229" s="2"/>
      <c r="AVG229" s="2"/>
      <c r="AVH229" s="2"/>
      <c r="AVI229" s="2"/>
      <c r="AVJ229" s="2"/>
      <c r="AVK229" s="2"/>
      <c r="AVL229" s="2"/>
      <c r="AVM229" s="2"/>
      <c r="AVN229" s="2"/>
      <c r="AVO229" s="2"/>
      <c r="AVP229" s="2"/>
      <c r="AVQ229" s="2"/>
      <c r="AVR229" s="2"/>
      <c r="AVS229" s="2"/>
      <c r="AVT229" s="2"/>
      <c r="AVU229" s="2"/>
      <c r="AVV229" s="2"/>
      <c r="AVW229" s="2"/>
      <c r="AVX229" s="2"/>
      <c r="AVY229" s="2"/>
      <c r="AVZ229" s="2"/>
      <c r="AWA229" s="2"/>
      <c r="AWB229" s="2"/>
      <c r="AWC229" s="2"/>
      <c r="AWD229" s="2"/>
      <c r="AWE229" s="2"/>
      <c r="AWF229" s="2"/>
      <c r="AWG229" s="2"/>
      <c r="AWH229" s="2"/>
      <c r="AWI229" s="2"/>
      <c r="AWJ229" s="2"/>
      <c r="AWK229" s="2"/>
      <c r="AWL229" s="2"/>
      <c r="AWM229" s="2"/>
      <c r="AWN229" s="2"/>
      <c r="AWO229" s="2"/>
      <c r="AWP229" s="2"/>
      <c r="AWQ229" s="2"/>
      <c r="AWR229" s="2"/>
      <c r="AWS229" s="2"/>
      <c r="AWT229" s="2"/>
      <c r="AWU229" s="2"/>
      <c r="AWV229" s="2"/>
      <c r="AWW229" s="2"/>
      <c r="AWX229" s="2"/>
      <c r="AWY229" s="2"/>
      <c r="AWZ229" s="2"/>
      <c r="AXA229" s="2"/>
      <c r="AXB229" s="2"/>
      <c r="AXC229" s="2"/>
      <c r="AXD229" s="2"/>
      <c r="AXE229" s="2"/>
      <c r="AXF229" s="2"/>
      <c r="AXG229" s="2"/>
      <c r="AXH229" s="2"/>
      <c r="AXI229" s="2"/>
      <c r="AXJ229" s="2"/>
      <c r="AXK229" s="2"/>
      <c r="AXL229" s="2"/>
      <c r="AXM229" s="2"/>
      <c r="AXN229" s="2"/>
      <c r="AXO229" s="2"/>
      <c r="AXP229" s="2"/>
      <c r="AXQ229" s="2"/>
      <c r="AXR229" s="2"/>
      <c r="AXS229" s="2"/>
      <c r="AXT229" s="2"/>
      <c r="AXU229" s="2"/>
      <c r="AXV229" s="2"/>
      <c r="AXW229" s="2"/>
      <c r="AXX229" s="2"/>
      <c r="AXY229" s="2"/>
      <c r="AXZ229" s="2"/>
      <c r="AYA229" s="2"/>
      <c r="AYB229" s="2"/>
      <c r="AYC229" s="2"/>
      <c r="AYD229" s="2"/>
      <c r="AYE229" s="2"/>
      <c r="AYF229" s="2"/>
      <c r="AYG229" s="2"/>
      <c r="AYH229" s="2"/>
      <c r="AYI229" s="2"/>
      <c r="AYJ229" s="2"/>
      <c r="AYK229" s="2"/>
      <c r="AYL229" s="2"/>
      <c r="AYM229" s="2"/>
      <c r="AYN229" s="2"/>
      <c r="AYO229" s="2"/>
      <c r="AYP229" s="2"/>
      <c r="AYQ229" s="2"/>
      <c r="AYR229" s="2"/>
      <c r="AYS229" s="2"/>
      <c r="AYT229" s="2"/>
      <c r="AYU229" s="2"/>
      <c r="AYV229" s="2"/>
      <c r="AYW229" s="2"/>
      <c r="AYX229" s="2"/>
      <c r="AYY229" s="2"/>
      <c r="AYZ229" s="2"/>
      <c r="AZA229" s="2"/>
      <c r="AZB229" s="2"/>
      <c r="AZC229" s="2"/>
      <c r="AZD229" s="2"/>
      <c r="AZE229" s="2"/>
      <c r="AZF229" s="2"/>
      <c r="AZG229" s="2"/>
      <c r="AZH229" s="2"/>
      <c r="AZI229" s="2"/>
      <c r="AZJ229" s="2"/>
      <c r="AZK229" s="2"/>
      <c r="AZL229" s="2"/>
      <c r="AZM229" s="2"/>
      <c r="AZN229" s="2"/>
      <c r="AZO229" s="2"/>
      <c r="AZP229" s="2"/>
      <c r="AZQ229" s="2"/>
      <c r="AZR229" s="2"/>
      <c r="AZS229" s="2"/>
      <c r="AZT229" s="2"/>
      <c r="AZU229" s="2"/>
      <c r="AZV229" s="2"/>
      <c r="AZW229" s="2"/>
      <c r="AZX229" s="2"/>
      <c r="AZY229" s="2"/>
      <c r="AZZ229" s="2"/>
      <c r="BAA229" s="2"/>
      <c r="BAB229" s="2"/>
      <c r="BAC229" s="2"/>
      <c r="BAD229" s="2"/>
      <c r="BAE229" s="2"/>
      <c r="BAF229" s="2"/>
      <c r="BAG229" s="2"/>
      <c r="BAH229" s="2"/>
      <c r="BAI229" s="2"/>
      <c r="BAJ229" s="2"/>
      <c r="BAK229" s="2"/>
      <c r="BAL229" s="2"/>
      <c r="BAM229" s="2"/>
      <c r="BAN229" s="2"/>
      <c r="BAO229" s="2"/>
      <c r="BAP229" s="2"/>
      <c r="BAQ229" s="2"/>
      <c r="BAR229" s="2"/>
      <c r="BAS229" s="2"/>
      <c r="BAT229" s="2"/>
      <c r="BAU229" s="2"/>
      <c r="BAV229" s="2"/>
      <c r="BAW229" s="2"/>
      <c r="BAX229" s="2"/>
      <c r="BAY229" s="2"/>
      <c r="BAZ229" s="2"/>
      <c r="BBA229" s="2"/>
      <c r="BBB229" s="2"/>
      <c r="BBC229" s="2"/>
      <c r="BBD229" s="2"/>
      <c r="BBE229" s="2"/>
      <c r="BBF229" s="2"/>
      <c r="BBG229" s="2"/>
      <c r="BBH229" s="2"/>
      <c r="BBI229" s="2"/>
      <c r="BBJ229" s="2"/>
      <c r="BBK229" s="2"/>
      <c r="BBL229" s="2"/>
      <c r="BBM229" s="2"/>
      <c r="BBN229" s="2"/>
      <c r="BBO229" s="2"/>
      <c r="BBP229" s="2"/>
      <c r="BBQ229" s="2"/>
      <c r="BBR229" s="2"/>
      <c r="BBS229" s="2"/>
      <c r="BBT229" s="2"/>
      <c r="BBU229" s="2"/>
      <c r="BBV229" s="2"/>
      <c r="BBW229" s="2"/>
      <c r="BBX229" s="2"/>
      <c r="BBY229" s="2"/>
      <c r="BBZ229" s="2"/>
      <c r="BCA229" s="2"/>
      <c r="BCB229" s="2"/>
      <c r="BCC229" s="2"/>
      <c r="BCD229" s="2"/>
      <c r="BCE229" s="2"/>
      <c r="BCF229" s="2"/>
      <c r="BCG229" s="2"/>
      <c r="BCH229" s="2"/>
      <c r="BCI229" s="2"/>
      <c r="BCJ229" s="2"/>
      <c r="BCK229" s="2"/>
      <c r="BCL229" s="2"/>
      <c r="BCM229" s="2"/>
      <c r="BCN229" s="2"/>
      <c r="BCO229" s="2"/>
      <c r="BCP229" s="2"/>
      <c r="BCQ229" s="2"/>
      <c r="BCR229" s="2"/>
      <c r="BCS229" s="2"/>
      <c r="BCT229" s="2"/>
      <c r="BCU229" s="2"/>
      <c r="BCV229" s="2"/>
      <c r="BCW229" s="2"/>
      <c r="BCX229" s="2"/>
      <c r="BCY229" s="2"/>
      <c r="BCZ229" s="2"/>
      <c r="BDA229" s="2"/>
      <c r="BDB229" s="2"/>
      <c r="BDC229" s="2"/>
      <c r="BDD229" s="2"/>
      <c r="BDE229" s="2"/>
      <c r="BDF229" s="2"/>
      <c r="BDG229" s="2"/>
      <c r="BDH229" s="2"/>
      <c r="BDI229" s="2"/>
      <c r="BDJ229" s="2"/>
      <c r="BDK229" s="2"/>
      <c r="BDL229" s="2"/>
      <c r="BDM229" s="2"/>
      <c r="BDN229" s="2"/>
      <c r="BDO229" s="2"/>
      <c r="BDP229" s="2"/>
      <c r="BDQ229" s="2"/>
      <c r="BDR229" s="2"/>
      <c r="BDS229" s="2"/>
      <c r="BDT229" s="2"/>
      <c r="BDU229" s="2"/>
      <c r="BDV229" s="2"/>
      <c r="BDW229" s="2"/>
      <c r="BDX229" s="2"/>
      <c r="BDY229" s="2"/>
      <c r="BDZ229" s="2"/>
      <c r="BEA229" s="2"/>
      <c r="BEB229" s="2"/>
      <c r="BEC229" s="2"/>
      <c r="BED229" s="2"/>
      <c r="BEE229" s="2"/>
      <c r="BEF229" s="2"/>
      <c r="BEG229" s="2"/>
      <c r="BEH229" s="2"/>
      <c r="BEI229" s="2"/>
      <c r="BEJ229" s="2"/>
      <c r="BEK229" s="2"/>
      <c r="BEL229" s="2"/>
      <c r="BEM229" s="2"/>
      <c r="BEN229" s="2"/>
      <c r="BEO229" s="2"/>
      <c r="BEP229" s="2"/>
      <c r="BEQ229" s="2"/>
      <c r="BER229" s="2"/>
      <c r="BES229" s="2"/>
      <c r="BET229" s="2"/>
      <c r="BEU229" s="2"/>
      <c r="BEV229" s="2"/>
      <c r="BEW229" s="2"/>
      <c r="BEX229" s="2"/>
      <c r="BEY229" s="2"/>
      <c r="BEZ229" s="2"/>
      <c r="BFA229" s="2"/>
      <c r="BFB229" s="2"/>
      <c r="BFC229" s="2"/>
      <c r="BFD229" s="2"/>
      <c r="BFE229" s="2"/>
      <c r="BFF229" s="2"/>
      <c r="BFG229" s="2"/>
      <c r="BFH229" s="2"/>
      <c r="BFI229" s="2"/>
      <c r="BFJ229" s="2"/>
      <c r="BFK229" s="2"/>
      <c r="BFL229" s="2"/>
      <c r="BFM229" s="2"/>
      <c r="BFN229" s="2"/>
      <c r="BFO229" s="2"/>
      <c r="BFP229" s="2"/>
      <c r="BFQ229" s="2"/>
      <c r="BFR229" s="2"/>
      <c r="BFS229" s="2"/>
      <c r="BFT229" s="2"/>
      <c r="BFU229" s="2"/>
      <c r="BFV229" s="2"/>
      <c r="BFW229" s="2"/>
      <c r="BFX229" s="2"/>
      <c r="BFY229" s="2"/>
      <c r="BFZ229" s="2"/>
      <c r="BGA229" s="2"/>
      <c r="BGB229" s="2"/>
      <c r="BGC229" s="2"/>
      <c r="BGD229" s="2"/>
      <c r="BGE229" s="2"/>
      <c r="BGF229" s="2"/>
      <c r="BGG229" s="2"/>
      <c r="BGH229" s="2"/>
      <c r="BGI229" s="2"/>
      <c r="BGJ229" s="2"/>
      <c r="BGK229" s="2"/>
      <c r="BGL229" s="2"/>
      <c r="BGM229" s="2"/>
      <c r="BGN229" s="2"/>
      <c r="BGO229" s="2"/>
      <c r="BGP229" s="2"/>
      <c r="BGQ229" s="2"/>
      <c r="BGR229" s="2"/>
      <c r="BGS229" s="2"/>
      <c r="BGT229" s="2"/>
      <c r="BGU229" s="2"/>
      <c r="BGV229" s="2"/>
      <c r="BGW229" s="2"/>
      <c r="BGX229" s="2"/>
      <c r="BGY229" s="2"/>
      <c r="BGZ229" s="2"/>
      <c r="BHA229" s="2"/>
      <c r="BHB229" s="2"/>
      <c r="BHC229" s="2"/>
      <c r="BHD229" s="2"/>
      <c r="BHE229" s="2"/>
      <c r="BHF229" s="2"/>
      <c r="BHG229" s="2"/>
      <c r="BHH229" s="2"/>
      <c r="BHI229" s="2"/>
      <c r="BHJ229" s="2"/>
      <c r="BHK229" s="2"/>
      <c r="BHL229" s="2"/>
      <c r="BHM229" s="2"/>
      <c r="BHN229" s="2"/>
      <c r="BHO229" s="2"/>
      <c r="BHP229" s="2"/>
      <c r="BHQ229" s="2"/>
      <c r="BHR229" s="2"/>
      <c r="BHS229" s="2"/>
      <c r="BHT229" s="2"/>
      <c r="BHU229" s="2"/>
      <c r="BHV229" s="2"/>
      <c r="BHW229" s="2"/>
      <c r="BHX229" s="2"/>
      <c r="BHY229" s="2"/>
      <c r="BHZ229" s="2"/>
      <c r="BIA229" s="2"/>
      <c r="BIB229" s="2"/>
      <c r="BIC229" s="2"/>
      <c r="BID229" s="2"/>
      <c r="BIE229" s="2"/>
      <c r="BIF229" s="2"/>
      <c r="BIG229" s="2"/>
      <c r="BIH229" s="2"/>
      <c r="BII229" s="2"/>
      <c r="BIJ229" s="2"/>
      <c r="BIK229" s="2"/>
      <c r="BIL229" s="2"/>
      <c r="BIM229" s="2"/>
      <c r="BIN229" s="2"/>
      <c r="BIO229" s="2"/>
      <c r="BIP229" s="2"/>
      <c r="BIQ229" s="2"/>
      <c r="BIR229" s="2"/>
      <c r="BIS229" s="2"/>
      <c r="BIT229" s="2"/>
      <c r="BIU229" s="2"/>
      <c r="BIV229" s="2"/>
      <c r="BIW229" s="2"/>
      <c r="BIX229" s="2"/>
      <c r="BIY229" s="2"/>
      <c r="BIZ229" s="2"/>
      <c r="BJA229" s="2"/>
      <c r="BJB229" s="2"/>
      <c r="BJC229" s="2"/>
      <c r="BJD229" s="2"/>
      <c r="BJE229" s="2"/>
      <c r="BJF229" s="2"/>
      <c r="BJG229" s="2"/>
      <c r="BJH229" s="2"/>
      <c r="BJI229" s="2"/>
      <c r="BJJ229" s="2"/>
      <c r="BJK229" s="2"/>
      <c r="BJL229" s="2"/>
      <c r="BJM229" s="2"/>
      <c r="BJN229" s="2"/>
      <c r="BJO229" s="2"/>
      <c r="BJP229" s="2"/>
      <c r="BJQ229" s="2"/>
      <c r="BJR229" s="2"/>
      <c r="BJS229" s="2"/>
      <c r="BJT229" s="2"/>
      <c r="BJU229" s="2"/>
      <c r="BJV229" s="2"/>
      <c r="BJW229" s="2"/>
      <c r="BJX229" s="2"/>
      <c r="BJY229" s="2"/>
      <c r="BJZ229" s="2"/>
      <c r="BKA229" s="2"/>
      <c r="BKB229" s="2"/>
      <c r="BKC229" s="2"/>
      <c r="BKD229" s="2"/>
      <c r="BKE229" s="2"/>
      <c r="BKF229" s="2"/>
      <c r="BKG229" s="2"/>
      <c r="BKH229" s="2"/>
      <c r="BKI229" s="2"/>
      <c r="BKJ229" s="2"/>
      <c r="BKK229" s="2"/>
      <c r="BKL229" s="2"/>
      <c r="BKM229" s="2"/>
      <c r="BKN229" s="2"/>
      <c r="BKO229" s="2"/>
      <c r="BKP229" s="2"/>
      <c r="BKQ229" s="2"/>
      <c r="BKR229" s="2"/>
      <c r="BKS229" s="2"/>
      <c r="BKT229" s="2"/>
      <c r="BKU229" s="2"/>
      <c r="BKV229" s="2"/>
      <c r="BKW229" s="2"/>
      <c r="BKX229" s="2"/>
      <c r="BKY229" s="2"/>
      <c r="BKZ229" s="2"/>
      <c r="BLA229" s="2"/>
      <c r="BLB229" s="2"/>
      <c r="BLC229" s="2"/>
      <c r="BLD229" s="2"/>
      <c r="BLE229" s="2"/>
      <c r="BLF229" s="2"/>
      <c r="BLG229" s="2"/>
      <c r="BLH229" s="2"/>
      <c r="BLI229" s="2"/>
      <c r="BLJ229" s="2"/>
      <c r="BLK229" s="2"/>
      <c r="BLL229" s="2"/>
      <c r="BLM229" s="2"/>
      <c r="BLN229" s="2"/>
      <c r="BLO229" s="2"/>
      <c r="BLP229" s="2"/>
      <c r="BLQ229" s="2"/>
      <c r="BLR229" s="2"/>
      <c r="BLS229" s="2"/>
      <c r="BLT229" s="2"/>
      <c r="BLU229" s="2"/>
      <c r="BLV229" s="2"/>
      <c r="BLW229" s="2"/>
      <c r="BLX229" s="2"/>
      <c r="BLY229" s="2"/>
      <c r="BLZ229" s="2"/>
      <c r="BMA229" s="2"/>
      <c r="BMB229" s="2"/>
      <c r="BMC229" s="2"/>
      <c r="BMD229" s="2"/>
      <c r="BME229" s="2"/>
      <c r="BMF229" s="2"/>
      <c r="BMG229" s="2"/>
      <c r="BMH229" s="2"/>
      <c r="BMI229" s="2"/>
      <c r="BMJ229" s="2"/>
      <c r="BMK229" s="2"/>
      <c r="BML229" s="2"/>
      <c r="BMM229" s="2"/>
      <c r="BMN229" s="2"/>
      <c r="BMO229" s="2"/>
      <c r="BMP229" s="2"/>
      <c r="BMQ229" s="2"/>
      <c r="BMR229" s="2"/>
      <c r="BMS229" s="2"/>
      <c r="BMT229" s="2"/>
      <c r="BMU229" s="2"/>
      <c r="BMV229" s="2"/>
      <c r="BMW229" s="2"/>
      <c r="BMX229" s="2"/>
      <c r="BMY229" s="2"/>
      <c r="BMZ229" s="2"/>
      <c r="BNA229" s="2"/>
      <c r="BNB229" s="2"/>
      <c r="BNC229" s="2"/>
      <c r="BND229" s="2"/>
      <c r="BNE229" s="2"/>
      <c r="BNF229" s="2"/>
      <c r="BNG229" s="2"/>
      <c r="BNH229" s="2"/>
      <c r="BNI229" s="2"/>
      <c r="BNJ229" s="2"/>
      <c r="BNK229" s="2"/>
      <c r="BNL229" s="2"/>
      <c r="BNM229" s="2"/>
      <c r="BNN229" s="2"/>
      <c r="BNO229" s="2"/>
      <c r="BNP229" s="2"/>
      <c r="BNQ229" s="2"/>
      <c r="BNR229" s="2"/>
      <c r="BNS229" s="2"/>
      <c r="BNT229" s="2"/>
      <c r="BNU229" s="2"/>
      <c r="BNV229" s="2"/>
      <c r="BNW229" s="2"/>
      <c r="BNX229" s="2"/>
      <c r="BNY229" s="2"/>
      <c r="BNZ229" s="2"/>
      <c r="BOA229" s="2"/>
      <c r="BOB229" s="2"/>
      <c r="BOC229" s="2"/>
      <c r="BOD229" s="2"/>
      <c r="BOE229" s="2"/>
      <c r="BOF229" s="2"/>
      <c r="BOG229" s="2"/>
      <c r="BOH229" s="2"/>
      <c r="BOI229" s="2"/>
      <c r="BOJ229" s="2"/>
      <c r="BOK229" s="2"/>
      <c r="BOL229" s="2"/>
      <c r="BOM229" s="2"/>
      <c r="BON229" s="2"/>
      <c r="BOO229" s="2"/>
      <c r="BOP229" s="2"/>
      <c r="BOQ229" s="2"/>
      <c r="BOR229" s="2"/>
      <c r="BOS229" s="2"/>
      <c r="BOT229" s="2"/>
      <c r="BOU229" s="2"/>
      <c r="BOV229" s="2"/>
      <c r="BOW229" s="2"/>
      <c r="BOX229" s="2"/>
      <c r="BOY229" s="2"/>
      <c r="BOZ229" s="2"/>
      <c r="BPA229" s="2"/>
      <c r="BPB229" s="2"/>
      <c r="BPC229" s="2"/>
      <c r="BPD229" s="2"/>
      <c r="BPE229" s="2"/>
      <c r="BPF229" s="2"/>
      <c r="BPG229" s="2"/>
      <c r="BPH229" s="2"/>
      <c r="BPI229" s="2"/>
      <c r="BPJ229" s="2"/>
      <c r="BPK229" s="2"/>
      <c r="BPL229" s="2"/>
      <c r="BPM229" s="2"/>
      <c r="BPN229" s="2"/>
      <c r="BPO229" s="2"/>
      <c r="BPP229" s="2"/>
      <c r="BPQ229" s="2"/>
      <c r="BPR229" s="2"/>
      <c r="BPS229" s="2"/>
      <c r="BPT229" s="2"/>
      <c r="BPU229" s="2"/>
      <c r="BPV229" s="2"/>
      <c r="BPW229" s="2"/>
      <c r="BPX229" s="2"/>
      <c r="BPY229" s="2"/>
      <c r="BPZ229" s="2"/>
      <c r="BQA229" s="2"/>
      <c r="BQB229" s="2"/>
      <c r="BQC229" s="2"/>
      <c r="BQD229" s="2"/>
      <c r="BQE229" s="2"/>
      <c r="BQF229" s="2"/>
      <c r="BQG229" s="2"/>
      <c r="BQH229" s="2"/>
      <c r="BQI229" s="2"/>
      <c r="BQJ229" s="2"/>
      <c r="BQK229" s="2"/>
      <c r="BQL229" s="2"/>
      <c r="BQM229" s="2"/>
      <c r="BQN229" s="2"/>
      <c r="BQO229" s="2"/>
      <c r="BQP229" s="2"/>
      <c r="BQQ229" s="2"/>
      <c r="BQR229" s="2"/>
      <c r="BQS229" s="2"/>
      <c r="BQT229" s="2"/>
      <c r="BQU229" s="2"/>
      <c r="BQV229" s="2"/>
      <c r="BQW229" s="2"/>
      <c r="BQX229" s="2"/>
      <c r="BQY229" s="2"/>
      <c r="BQZ229" s="2"/>
      <c r="BRA229" s="2"/>
      <c r="BRB229" s="2"/>
      <c r="BRC229" s="2"/>
      <c r="BRD229" s="2"/>
      <c r="BRE229" s="2"/>
      <c r="BRF229" s="2"/>
      <c r="BRG229" s="2"/>
      <c r="BRH229" s="2"/>
      <c r="BRI229" s="2"/>
      <c r="BRJ229" s="2"/>
      <c r="BRK229" s="2"/>
      <c r="BRL229" s="2"/>
      <c r="BRM229" s="2"/>
      <c r="BRN229" s="2"/>
      <c r="BRO229" s="2"/>
      <c r="BRP229" s="2"/>
      <c r="BRQ229" s="2"/>
      <c r="BRR229" s="2"/>
      <c r="BRS229" s="2"/>
      <c r="BRT229" s="2"/>
      <c r="BRU229" s="2"/>
      <c r="BRV229" s="2"/>
      <c r="BRW229" s="2"/>
      <c r="BRX229" s="2"/>
      <c r="BRY229" s="2"/>
      <c r="BRZ229" s="2"/>
      <c r="BSA229" s="2"/>
      <c r="BSB229" s="2"/>
      <c r="BSC229" s="2"/>
      <c r="BSD229" s="2"/>
      <c r="BSE229" s="2"/>
      <c r="BSF229" s="2"/>
      <c r="BSG229" s="2"/>
      <c r="BSH229" s="2"/>
      <c r="BSI229" s="2"/>
      <c r="BSJ229" s="2"/>
      <c r="BSK229" s="2"/>
      <c r="BSL229" s="2"/>
      <c r="BSM229" s="2"/>
      <c r="BSN229" s="2"/>
      <c r="BSO229" s="2"/>
      <c r="BSP229" s="2"/>
      <c r="BSQ229" s="2"/>
      <c r="BSR229" s="2"/>
      <c r="BSS229" s="2"/>
      <c r="BST229" s="2"/>
      <c r="BSU229" s="2"/>
      <c r="BSV229" s="2"/>
      <c r="BSW229" s="2"/>
      <c r="BSX229" s="2"/>
      <c r="BSY229" s="2"/>
      <c r="BSZ229" s="2"/>
      <c r="BTA229" s="2"/>
      <c r="BTB229" s="2"/>
      <c r="BTC229" s="2"/>
      <c r="BTD229" s="2"/>
      <c r="BTE229" s="2"/>
      <c r="BTF229" s="2"/>
      <c r="BTG229" s="2"/>
      <c r="BTH229" s="2"/>
      <c r="BTI229" s="2"/>
      <c r="BTJ229" s="2"/>
      <c r="BTK229" s="2"/>
      <c r="BTL229" s="2"/>
      <c r="BTM229" s="2"/>
      <c r="BTN229" s="2"/>
      <c r="BTO229" s="2"/>
      <c r="BTP229" s="2"/>
      <c r="BTQ229" s="2"/>
      <c r="BTR229" s="2"/>
      <c r="BTS229" s="2"/>
      <c r="BTT229" s="2"/>
      <c r="BTU229" s="2"/>
      <c r="BTV229" s="2"/>
      <c r="BTW229" s="2"/>
      <c r="BTX229" s="2"/>
      <c r="BTY229" s="2"/>
      <c r="BTZ229" s="2"/>
      <c r="BUA229" s="2"/>
      <c r="BUB229" s="2"/>
      <c r="BUC229" s="2"/>
      <c r="BUD229" s="2"/>
      <c r="BUE229" s="2"/>
      <c r="BUF229" s="2"/>
      <c r="BUG229" s="2"/>
      <c r="BUH229" s="2"/>
      <c r="BUI229" s="2"/>
      <c r="BUJ229" s="2"/>
      <c r="BUK229" s="2"/>
      <c r="BUL229" s="2"/>
      <c r="BUM229" s="2"/>
      <c r="BUN229" s="2"/>
      <c r="BUO229" s="2"/>
      <c r="BUP229" s="2"/>
      <c r="BUQ229" s="2"/>
      <c r="BUR229" s="2"/>
      <c r="BUS229" s="2"/>
      <c r="BUT229" s="2"/>
      <c r="BUU229" s="2"/>
      <c r="BUV229" s="2"/>
      <c r="BUW229" s="2"/>
      <c r="BUX229" s="2"/>
      <c r="BUY229" s="2"/>
      <c r="BUZ229" s="2"/>
      <c r="BVA229" s="2"/>
      <c r="BVB229" s="2"/>
      <c r="BVC229" s="2"/>
      <c r="BVD229" s="10"/>
      <c r="BVE229" s="2"/>
      <c r="BVF229" s="2"/>
      <c r="BVG229" s="2"/>
      <c r="BVH229" s="2"/>
      <c r="BVI229" s="2"/>
      <c r="BVJ229" s="2"/>
      <c r="BVK229" s="2"/>
      <c r="BVL229" s="2"/>
      <c r="BVM229" s="2"/>
      <c r="BVN229" s="2"/>
      <c r="BVO229" s="2"/>
      <c r="BVP229" s="2"/>
      <c r="BVQ229" s="2"/>
      <c r="BVR229" s="2"/>
      <c r="BVS229" s="2"/>
      <c r="BVT229" s="2"/>
      <c r="BVU229" s="2"/>
      <c r="BVV229" s="2"/>
      <c r="BVW229" s="2"/>
      <c r="BVX229" s="2"/>
      <c r="BVY229" s="2"/>
      <c r="BVZ229" s="2"/>
      <c r="BWA229" s="2"/>
      <c r="BWB229" s="2"/>
      <c r="BWC229" s="2"/>
      <c r="BWD229" s="2"/>
      <c r="BWE229" s="2"/>
      <c r="BWF229" s="2"/>
      <c r="BWG229" s="2"/>
      <c r="BWH229" s="2"/>
      <c r="BWI229" s="2"/>
      <c r="BWJ229" s="2"/>
      <c r="BWK229" s="2"/>
      <c r="BWL229" s="2"/>
      <c r="BWM229" s="2"/>
      <c r="BWN229" s="2"/>
      <c r="BWO229" s="2"/>
      <c r="BWP229" s="2"/>
      <c r="BWQ229" s="2"/>
      <c r="BWR229" s="2"/>
      <c r="BWS229" s="2"/>
      <c r="BWT229" s="2"/>
      <c r="BWU229" s="2"/>
      <c r="BWV229" s="2"/>
      <c r="BWW229" s="2"/>
      <c r="BWX229" s="2"/>
      <c r="BWY229" s="2"/>
      <c r="BWZ229" s="2"/>
      <c r="BXA229" s="2"/>
      <c r="BXB229" s="2"/>
      <c r="BXC229" s="2"/>
      <c r="BXD229" s="2"/>
      <c r="BXE229" s="2"/>
      <c r="BXF229" s="2"/>
      <c r="BXG229" s="2"/>
      <c r="BXH229" s="2"/>
      <c r="BXI229" s="2"/>
      <c r="BXJ229" s="2"/>
      <c r="BXK229" s="2"/>
      <c r="BXL229" s="2"/>
      <c r="BXM229" s="2"/>
      <c r="BXN229" s="2"/>
      <c r="BXO229" s="2"/>
      <c r="BXP229" s="2"/>
      <c r="BXQ229" s="2"/>
      <c r="BXR229" s="2"/>
      <c r="BXS229" s="2"/>
      <c r="BXT229" s="2"/>
      <c r="BXU229" s="2"/>
      <c r="BXV229" s="2"/>
      <c r="BXW229" s="2"/>
      <c r="BXX229" s="2"/>
      <c r="BXY229" s="2"/>
      <c r="BXZ229" s="2"/>
      <c r="BYA229" s="2"/>
      <c r="BYB229" s="2"/>
      <c r="BYC229" s="2"/>
      <c r="BYD229" s="2"/>
      <c r="BYE229" s="2"/>
      <c r="BYF229" s="2"/>
      <c r="BYG229" s="2"/>
      <c r="BYH229" s="2"/>
      <c r="BYI229" s="2"/>
      <c r="BYJ229" s="2"/>
      <c r="BYK229" s="2"/>
      <c r="BYL229" s="2"/>
      <c r="BYM229" s="2"/>
      <c r="BYN229" s="2"/>
      <c r="BYO229" s="2"/>
      <c r="BYP229" s="2"/>
      <c r="BYQ229" s="2"/>
      <c r="BYR229" s="2"/>
      <c r="BYS229" s="2"/>
      <c r="BYT229" s="2"/>
      <c r="BYU229" s="2"/>
      <c r="BYV229" s="2"/>
      <c r="BYW229" s="2"/>
      <c r="BYX229" s="2"/>
      <c r="BYY229" s="2"/>
      <c r="BYZ229" s="2"/>
      <c r="BZA229" s="2"/>
      <c r="BZB229" s="2"/>
      <c r="BZC229" s="2"/>
      <c r="BZD229" s="2"/>
      <c r="BZE229" s="2"/>
      <c r="BZF229" s="2"/>
      <c r="BZG229" s="2"/>
      <c r="BZH229" s="2"/>
      <c r="BZI229" s="2"/>
      <c r="BZJ229" s="2"/>
      <c r="BZK229" s="2"/>
      <c r="BZL229" s="2"/>
      <c r="BZM229" s="2"/>
      <c r="BZN229" s="2"/>
      <c r="BZO229" s="2"/>
      <c r="BZP229" s="2"/>
      <c r="BZQ229" s="2"/>
      <c r="BZR229" s="2"/>
      <c r="BZS229" s="2"/>
      <c r="BZT229" s="2"/>
      <c r="BZU229" s="2"/>
      <c r="BZV229" s="2"/>
      <c r="BZW229" s="2"/>
      <c r="BZX229" s="2"/>
      <c r="BZY229" s="2"/>
      <c r="BZZ229" s="2"/>
      <c r="CAA229" s="2"/>
      <c r="CAB229" s="2"/>
      <c r="CAC229" s="2"/>
      <c r="CAD229" s="2"/>
      <c r="CAE229" s="2"/>
      <c r="CAF229" s="2"/>
      <c r="CAG229" s="2"/>
      <c r="CAH229" s="2"/>
      <c r="CAI229" s="2"/>
      <c r="CAJ229" s="2"/>
      <c r="CAK229" s="2"/>
      <c r="CAL229" s="2"/>
      <c r="CAM229" s="2"/>
      <c r="CAN229" s="2"/>
      <c r="CAO229" s="2"/>
      <c r="CAP229" s="2"/>
      <c r="CAQ229" s="2"/>
      <c r="CAR229" s="2"/>
      <c r="CAS229" s="2"/>
      <c r="CAT229" s="2"/>
      <c r="CAU229" s="2"/>
      <c r="CAV229" s="2"/>
      <c r="CAW229" s="2"/>
      <c r="CAX229" s="2"/>
      <c r="CAY229" s="2"/>
      <c r="CAZ229" s="2"/>
      <c r="CBA229" s="2"/>
      <c r="CBB229" s="2"/>
      <c r="CBC229" s="2"/>
      <c r="CBD229" s="2"/>
      <c r="CBE229" s="2"/>
      <c r="CBF229" s="2"/>
      <c r="CBG229" s="2"/>
      <c r="CBH229" s="2"/>
      <c r="CBI229" s="2"/>
      <c r="CBJ229" s="2"/>
      <c r="CBK229" s="2"/>
      <c r="CBL229" s="2"/>
      <c r="CBM229" s="2"/>
      <c r="CBN229" s="2"/>
      <c r="CBO229" s="2"/>
      <c r="CBP229" s="2"/>
      <c r="CBQ229" s="2"/>
      <c r="CBR229" s="2"/>
      <c r="CBS229" s="2"/>
      <c r="CBT229" s="2"/>
      <c r="CBU229" s="2"/>
      <c r="CBV229" s="2"/>
      <c r="CBW229" s="2"/>
      <c r="CBX229" s="2"/>
      <c r="CBY229" s="2"/>
      <c r="CBZ229" s="2"/>
      <c r="CCA229" s="2"/>
      <c r="CCB229" s="2"/>
      <c r="CCC229" s="2"/>
      <c r="CCD229" s="2"/>
      <c r="CCE229" s="2"/>
      <c r="CCF229" s="2"/>
      <c r="CCG229" s="2"/>
      <c r="CCH229" s="2"/>
      <c r="CCI229" s="2"/>
      <c r="CCJ229" s="2"/>
      <c r="CCK229" s="2"/>
      <c r="CCL229" s="2"/>
      <c r="CCM229" s="2"/>
      <c r="CCN229" s="2"/>
      <c r="CCO229" s="2"/>
      <c r="CCP229" s="2"/>
      <c r="CCQ229" s="2"/>
      <c r="CCR229" s="2"/>
      <c r="CCS229" s="2"/>
      <c r="CCT229" s="2"/>
      <c r="CCU229" s="2"/>
      <c r="CCV229" s="2"/>
      <c r="CCW229" s="2"/>
      <c r="CCX229" s="2"/>
      <c r="CCY229" s="2"/>
      <c r="CCZ229" s="2"/>
      <c r="CDA229" s="2"/>
      <c r="CDB229" s="2"/>
      <c r="CDC229" s="2"/>
      <c r="CDD229" s="2"/>
      <c r="CDE229" s="2"/>
      <c r="CDF229" s="2"/>
      <c r="CDG229" s="2"/>
      <c r="CDH229" s="2"/>
      <c r="CDI229" s="2"/>
      <c r="CDJ229" s="2"/>
      <c r="CDK229" s="2"/>
      <c r="CDL229" s="2"/>
      <c r="CDM229" s="2"/>
      <c r="CDN229" s="2"/>
      <c r="CDO229" s="2"/>
      <c r="CDP229" s="2"/>
      <c r="CDQ229" s="2"/>
      <c r="CDR229" s="2"/>
      <c r="CDS229" s="2"/>
      <c r="CDT229" s="2"/>
      <c r="CDU229" s="2"/>
      <c r="CDV229" s="2"/>
      <c r="CDW229" s="2"/>
      <c r="CDX229" s="2"/>
      <c r="CDY229" s="2"/>
      <c r="CDZ229" s="2"/>
      <c r="CEA229" s="2"/>
      <c r="CEB229" s="2"/>
      <c r="CEC229" s="2"/>
      <c r="CED229" s="2"/>
      <c r="CEE229" s="2"/>
      <c r="CEF229" s="2"/>
      <c r="CEG229" s="2"/>
      <c r="CEH229" s="2"/>
      <c r="CEI229" s="2"/>
      <c r="CEJ229" s="2"/>
      <c r="CEK229" s="2"/>
      <c r="CEL229" s="2"/>
      <c r="CEM229" s="2"/>
      <c r="CEN229" s="2"/>
      <c r="CEO229" s="2"/>
      <c r="CEP229" s="2"/>
      <c r="CEQ229" s="2"/>
      <c r="CER229" s="2"/>
      <c r="CES229" s="2"/>
      <c r="CET229" s="2"/>
      <c r="CEU229" s="2"/>
      <c r="CEV229" s="2"/>
      <c r="CEW229" s="2"/>
      <c r="CEX229" s="2"/>
      <c r="CEY229" s="2"/>
      <c r="CEZ229" s="2"/>
      <c r="CFA229" s="2"/>
      <c r="CFB229" s="2"/>
      <c r="CFC229" s="2"/>
      <c r="CFD229" s="2"/>
      <c r="CFE229" s="2"/>
      <c r="CFF229" s="2"/>
      <c r="CFG229" s="2"/>
      <c r="CFH229" s="2"/>
      <c r="CFI229" s="2"/>
      <c r="CFJ229" s="2"/>
      <c r="CFK229" s="2"/>
      <c r="CFL229" s="2"/>
      <c r="CFM229" s="2"/>
      <c r="CFN229" s="2"/>
      <c r="CFO229" s="2"/>
      <c r="CFP229" s="2"/>
      <c r="CFQ229" s="2"/>
      <c r="CFR229" s="2"/>
      <c r="CFS229" s="2"/>
      <c r="CFT229" s="2"/>
      <c r="CFU229" s="2"/>
      <c r="CFV229" s="2"/>
      <c r="CFW229" s="2"/>
      <c r="CFX229" s="2"/>
      <c r="CFY229" s="2"/>
      <c r="CFZ229" s="2"/>
      <c r="CGA229" s="2"/>
      <c r="CGB229" s="2"/>
      <c r="CGC229" s="2"/>
      <c r="CGD229" s="2"/>
      <c r="CGE229" s="2"/>
      <c r="CGF229" s="2"/>
      <c r="CGG229" s="2"/>
      <c r="CGH229" s="2"/>
      <c r="CGI229" s="2"/>
      <c r="CGJ229" s="2"/>
      <c r="CGK229" s="2"/>
      <c r="CGL229" s="2"/>
      <c r="CGM229" s="2"/>
      <c r="CGN229" s="2"/>
      <c r="CGO229" s="2"/>
      <c r="CGP229" s="2"/>
      <c r="CGQ229" s="2"/>
      <c r="CGR229" s="2"/>
      <c r="CGS229" s="2"/>
      <c r="CGT229" s="2"/>
      <c r="CGU229" s="2"/>
      <c r="CGV229" s="2"/>
      <c r="CGW229" s="2"/>
      <c r="CGX229" s="2"/>
      <c r="CGY229" s="2"/>
      <c r="CGZ229" s="2"/>
      <c r="CHA229" s="2"/>
      <c r="CHB229" s="2"/>
      <c r="CHC229" s="2"/>
      <c r="CHD229" s="2"/>
      <c r="CHE229" s="2"/>
      <c r="CHF229" s="2"/>
      <c r="CHG229" s="2"/>
      <c r="CHH229" s="2"/>
      <c r="CHI229" s="2"/>
      <c r="CHJ229" s="2"/>
      <c r="CHK229" s="2"/>
      <c r="CHL229" s="2"/>
      <c r="CHM229" s="2"/>
      <c r="CHN229" s="2"/>
      <c r="CHO229" s="2"/>
      <c r="CHP229" s="2"/>
      <c r="CHQ229" s="2"/>
      <c r="CHR229" s="2"/>
      <c r="CHS229" s="2"/>
      <c r="CHT229" s="2"/>
      <c r="CHU229" s="2"/>
      <c r="CHV229" s="2"/>
      <c r="CHW229" s="2"/>
      <c r="CHX229" s="2"/>
      <c r="CHY229" s="2"/>
      <c r="CHZ229" s="2"/>
      <c r="CIA229" s="2"/>
      <c r="CIB229" s="2"/>
      <c r="CIC229" s="2"/>
      <c r="CID229" s="2"/>
      <c r="CIE229" s="2"/>
      <c r="CIF229" s="2"/>
      <c r="CIG229" s="2"/>
      <c r="CIH229" s="2"/>
      <c r="CII229" s="2"/>
      <c r="CIJ229" s="2"/>
      <c r="CIK229" s="2"/>
      <c r="CIL229" s="2"/>
      <c r="CIM229" s="2"/>
      <c r="CIN229" s="2"/>
      <c r="CIO229" s="2"/>
      <c r="CIP229" s="2"/>
      <c r="CIQ229" s="2"/>
      <c r="CIR229" s="2"/>
      <c r="CIS229" s="2"/>
      <c r="CIT229" s="2"/>
      <c r="CIU229" s="2"/>
      <c r="CIV229" s="2"/>
      <c r="CIW229" s="2"/>
      <c r="CIX229" s="2"/>
      <c r="CIY229" s="2"/>
      <c r="CIZ229" s="2"/>
      <c r="CJA229" s="2"/>
      <c r="CJB229" s="2"/>
      <c r="CJC229" s="2"/>
      <c r="CJD229" s="2"/>
      <c r="CJE229" s="2"/>
      <c r="CJF229" s="2"/>
      <c r="CJG229" s="2"/>
      <c r="CJH229" s="2"/>
      <c r="CJI229" s="2"/>
      <c r="CJJ229" s="2"/>
      <c r="CJK229" s="2"/>
      <c r="CJL229" s="2"/>
      <c r="CJM229" s="2"/>
      <c r="CJN229" s="2"/>
      <c r="CJO229" s="2"/>
      <c r="CJP229" s="2"/>
      <c r="CJQ229" s="2"/>
      <c r="CJR229" s="2"/>
      <c r="CJS229" s="2"/>
      <c r="CJT229" s="2"/>
      <c r="CJU229" s="2"/>
      <c r="CJV229" s="2"/>
      <c r="CJW229" s="2"/>
      <c r="CJX229" s="2"/>
      <c r="CJY229" s="2"/>
      <c r="CJZ229" s="2"/>
      <c r="CKA229" s="2"/>
      <c r="CKB229" s="2"/>
      <c r="CKC229" s="2"/>
      <c r="CKD229" s="2"/>
      <c r="CKE229" s="2"/>
      <c r="CKF229" s="2"/>
      <c r="CKG229" s="2"/>
      <c r="CKH229" s="2"/>
      <c r="CKI229" s="2"/>
      <c r="CKJ229" s="2"/>
      <c r="CKK229" s="2"/>
      <c r="CKL229" s="2"/>
      <c r="CKM229" s="2"/>
      <c r="CKN229" s="2"/>
      <c r="CKO229" s="2"/>
      <c r="CKP229" s="2"/>
      <c r="CKQ229" s="2"/>
      <c r="CKR229" s="2"/>
      <c r="CKS229" s="2"/>
      <c r="CKT229" s="2"/>
      <c r="CKU229" s="2"/>
      <c r="CKV229" s="2"/>
      <c r="CKW229" s="2"/>
      <c r="CKX229" s="2"/>
      <c r="CKY229" s="2"/>
      <c r="CKZ229" s="2"/>
      <c r="CLA229" s="2"/>
      <c r="CLB229" s="2"/>
      <c r="CLC229" s="2"/>
      <c r="CLD229" s="2"/>
      <c r="CLE229" s="2"/>
      <c r="CLF229" s="2"/>
      <c r="CLG229" s="2"/>
      <c r="CLH229" s="2"/>
      <c r="CLI229" s="2"/>
      <c r="CLJ229" s="2"/>
      <c r="CLK229" s="2"/>
      <c r="CLL229" s="2"/>
      <c r="CLM229" s="2"/>
      <c r="CLN229" s="2"/>
      <c r="CLO229" s="2"/>
      <c r="CLP229" s="2"/>
      <c r="CLQ229" s="2"/>
      <c r="CLR229" s="2"/>
      <c r="CLS229" s="2"/>
      <c r="CLT229" s="2"/>
      <c r="CLU229" s="2"/>
      <c r="CLV229" s="2"/>
      <c r="CLW229" s="2"/>
      <c r="CLX229" s="2"/>
      <c r="CLY229" s="2"/>
      <c r="CLZ229" s="2"/>
      <c r="CMA229" s="2"/>
      <c r="CMB229" s="2"/>
      <c r="CMC229" s="2"/>
      <c r="CMD229" s="2"/>
      <c r="CME229" s="2"/>
      <c r="CMF229" s="2"/>
      <c r="CMG229" s="2"/>
      <c r="CMH229" s="2"/>
      <c r="CMI229" s="2"/>
      <c r="CMJ229" s="2"/>
      <c r="CMK229" s="2"/>
      <c r="CML229" s="2"/>
      <c r="CMM229" s="2"/>
      <c r="CMN229" s="2"/>
      <c r="CMO229" s="2"/>
      <c r="CMP229" s="2"/>
      <c r="CMQ229" s="2"/>
      <c r="CMR229" s="2"/>
      <c r="CMS229" s="2"/>
      <c r="CMT229" s="2"/>
      <c r="CMU229" s="2"/>
      <c r="CMV229" s="2"/>
      <c r="CMW229" s="2"/>
      <c r="CMX229" s="2"/>
      <c r="CMY229" s="2"/>
      <c r="CMZ229" s="2"/>
      <c r="CNA229" s="2"/>
      <c r="CNB229" s="2"/>
      <c r="CNC229" s="2"/>
      <c r="CND229" s="2"/>
      <c r="CNE229" s="2"/>
      <c r="CNF229" s="2"/>
      <c r="CNG229" s="2"/>
      <c r="CNH229" s="2"/>
      <c r="CNI229" s="2"/>
      <c r="CNJ229" s="2"/>
      <c r="CNK229" s="2"/>
      <c r="CNL229" s="2"/>
      <c r="CNM229" s="2"/>
      <c r="CNN229" s="2"/>
      <c r="CNO229" s="2"/>
      <c r="CNP229" s="2"/>
      <c r="CNQ229" s="2"/>
      <c r="CNR229" s="2"/>
      <c r="CNS229" s="2"/>
      <c r="CNT229" s="2"/>
      <c r="CNU229" s="2"/>
      <c r="CNV229" s="2"/>
      <c r="CNW229" s="2"/>
      <c r="CNX229" s="2"/>
      <c r="CNY229" s="2"/>
      <c r="CNZ229" s="2"/>
      <c r="COA229" s="2"/>
      <c r="COB229" s="2"/>
      <c r="COC229" s="2"/>
      <c r="COD229" s="2"/>
      <c r="COE229" s="2"/>
      <c r="COF229" s="2"/>
      <c r="COG229" s="2"/>
      <c r="COH229" s="2"/>
      <c r="COI229" s="2"/>
      <c r="COJ229" s="2"/>
      <c r="COK229" s="2"/>
      <c r="COL229" s="2"/>
      <c r="COM229" s="2"/>
      <c r="CON229" s="2"/>
      <c r="COO229" s="2"/>
      <c r="COP229" s="2"/>
      <c r="COQ229" s="2"/>
      <c r="COR229" s="2"/>
      <c r="COS229" s="2"/>
      <c r="COT229" s="2"/>
      <c r="COU229" s="2"/>
      <c r="COV229" s="2"/>
      <c r="COW229" s="2"/>
      <c r="COX229" s="2"/>
      <c r="COY229" s="2"/>
      <c r="COZ229" s="2"/>
      <c r="CPA229" s="2"/>
      <c r="CPB229" s="2"/>
      <c r="CPC229" s="2"/>
      <c r="CPD229" s="2"/>
      <c r="CPE229" s="2"/>
      <c r="CPF229" s="2"/>
      <c r="CPG229" s="2"/>
      <c r="CPH229" s="2"/>
      <c r="CPI229" s="2"/>
      <c r="CPJ229" s="2"/>
      <c r="CPK229" s="2"/>
      <c r="CPL229" s="2"/>
      <c r="CPM229" s="2"/>
      <c r="CPN229" s="2"/>
      <c r="CPO229" s="2"/>
      <c r="CPP229" s="2"/>
      <c r="CPQ229" s="2"/>
      <c r="CPR229" s="2"/>
      <c r="CPS229" s="2"/>
      <c r="CPT229" s="2"/>
      <c r="CPU229" s="2"/>
      <c r="CPV229" s="2"/>
      <c r="CPW229" s="2"/>
      <c r="CPX229" s="2"/>
      <c r="CPY229" s="2"/>
      <c r="CPZ229" s="2"/>
      <c r="CQA229" s="2"/>
      <c r="CQB229" s="2"/>
      <c r="CQC229" s="2"/>
      <c r="CQD229" s="2"/>
      <c r="CQE229" s="2"/>
      <c r="CQF229" s="2"/>
      <c r="CQG229" s="2"/>
      <c r="CQH229" s="2"/>
      <c r="CQI229" s="2"/>
      <c r="CQJ229" s="2"/>
      <c r="CQK229" s="2"/>
      <c r="CQL229" s="2"/>
      <c r="CQM229" s="2"/>
      <c r="CQN229" s="2"/>
      <c r="CQO229" s="2"/>
      <c r="CQP229" s="2"/>
      <c r="CQQ229" s="2"/>
      <c r="CQR229" s="2"/>
      <c r="CQS229" s="2"/>
      <c r="CQT229" s="2"/>
      <c r="CQU229" s="2"/>
      <c r="CQV229" s="2"/>
      <c r="CQW229" s="2"/>
      <c r="CQX229" s="2"/>
      <c r="CQY229" s="2"/>
      <c r="CQZ229" s="2"/>
      <c r="CRA229" s="2"/>
      <c r="CRB229" s="2"/>
      <c r="CRC229" s="2"/>
      <c r="CRD229" s="2"/>
      <c r="CRE229" s="2"/>
      <c r="CRF229" s="2"/>
      <c r="CRG229" s="2"/>
      <c r="CRH229" s="2"/>
      <c r="CRI229" s="2"/>
      <c r="CRJ229" s="2"/>
      <c r="CRK229" s="2"/>
      <c r="CRL229" s="2"/>
      <c r="CRM229" s="2"/>
      <c r="CRN229" s="2"/>
      <c r="CRO229" s="2"/>
      <c r="CRP229" s="2"/>
      <c r="CRQ229" s="2"/>
      <c r="CRR229" s="2"/>
      <c r="CRS229" s="2"/>
      <c r="CRT229" s="2"/>
      <c r="CRU229" s="2"/>
      <c r="CRV229" s="2"/>
      <c r="CRW229" s="2"/>
      <c r="CRX229" s="2"/>
      <c r="CRY229" s="2"/>
      <c r="CRZ229" s="2"/>
      <c r="CSA229" s="2"/>
      <c r="CSB229" s="2"/>
      <c r="CSC229" s="2"/>
      <c r="CSD229" s="2"/>
      <c r="CSE229" s="2"/>
      <c r="CSF229" s="2"/>
      <c r="CSG229" s="2"/>
      <c r="CSH229" s="2"/>
      <c r="CSI229" s="2"/>
      <c r="CSJ229" s="2"/>
      <c r="CSK229" s="2"/>
      <c r="CSL229" s="2"/>
      <c r="CSM229" s="2"/>
      <c r="CSN229" s="2"/>
      <c r="CSO229" s="2"/>
      <c r="CSP229" s="2"/>
      <c r="CSQ229" s="2"/>
      <c r="CSR229" s="2"/>
      <c r="CSS229" s="2"/>
      <c r="CST229" s="2"/>
      <c r="CSU229" s="2"/>
      <c r="CSV229" s="2"/>
      <c r="CSW229" s="2"/>
      <c r="CSX229" s="2"/>
      <c r="CSY229" s="2"/>
      <c r="CSZ229" s="2"/>
      <c r="CTA229" s="2"/>
      <c r="CTB229" s="2"/>
      <c r="CTC229" s="2"/>
      <c r="CTD229" s="2"/>
      <c r="CTE229" s="2"/>
      <c r="CTF229" s="2"/>
      <c r="CTG229" s="2"/>
      <c r="CTH229" s="2"/>
      <c r="CTI229" s="2"/>
      <c r="CTJ229" s="2"/>
      <c r="CTK229" s="2"/>
      <c r="CTL229" s="2"/>
      <c r="CTM229" s="2"/>
      <c r="CTN229" s="2"/>
      <c r="CTO229" s="2"/>
      <c r="CTP229" s="2"/>
      <c r="CTQ229" s="2"/>
      <c r="CTR229" s="2"/>
      <c r="CTS229" s="2"/>
      <c r="CTT229" s="2"/>
      <c r="CTU229" s="2"/>
      <c r="CTV229" s="2"/>
      <c r="CTW229" s="2"/>
      <c r="CTX229" s="2"/>
      <c r="CTY229" s="2"/>
      <c r="CTZ229" s="2"/>
      <c r="CUA229" s="2"/>
      <c r="CUB229" s="2"/>
      <c r="CUC229" s="2"/>
      <c r="CUD229" s="2"/>
      <c r="CUE229" s="2"/>
      <c r="CUF229" s="2"/>
      <c r="CUG229" s="2"/>
      <c r="CUH229" s="2"/>
      <c r="CUI229" s="2"/>
      <c r="CUJ229" s="2"/>
      <c r="CUK229" s="2"/>
      <c r="CUL229" s="2"/>
      <c r="CUM229" s="2"/>
      <c r="CUN229" s="2"/>
      <c r="CUO229" s="2"/>
      <c r="CUP229" s="2"/>
      <c r="CUQ229" s="2"/>
      <c r="CUR229" s="2"/>
      <c r="CUS229" s="2"/>
      <c r="CUT229" s="2"/>
      <c r="CUU229" s="2"/>
      <c r="CUV229" s="2"/>
      <c r="CUW229" s="2"/>
      <c r="CUX229" s="2"/>
      <c r="CUY229" s="2"/>
      <c r="CUZ229" s="2"/>
      <c r="CVA229" s="2"/>
      <c r="CVB229" s="2"/>
      <c r="CVC229" s="2"/>
      <c r="CVD229" s="2"/>
      <c r="CVE229" s="2"/>
      <c r="CVF229" s="2"/>
      <c r="CVG229" s="2"/>
      <c r="CVH229" s="2"/>
      <c r="CVI229" s="2"/>
      <c r="CVJ229" s="2"/>
      <c r="CVK229" s="2"/>
      <c r="CVL229" s="2"/>
      <c r="CVM229" s="2"/>
      <c r="CVN229" s="2"/>
      <c r="CVO229" s="2"/>
      <c r="CVP229" s="2"/>
      <c r="CVQ229" s="2"/>
      <c r="CVR229" s="2"/>
      <c r="CVS229" s="2"/>
      <c r="CVT229" s="2"/>
      <c r="CVU229" s="2"/>
      <c r="CVV229" s="2"/>
      <c r="CVW229" s="2"/>
      <c r="CVX229" s="2"/>
      <c r="CVY229" s="2"/>
      <c r="CVZ229" s="2"/>
      <c r="CWA229" s="2"/>
      <c r="CWB229" s="2"/>
      <c r="CWC229" s="2"/>
      <c r="CWD229" s="2"/>
      <c r="CWE229" s="2"/>
      <c r="CWF229" s="2"/>
      <c r="CWG229" s="2"/>
      <c r="CWH229" s="2"/>
      <c r="CWI229" s="2"/>
      <c r="CWJ229" s="2"/>
      <c r="CWK229" s="2"/>
      <c r="CWL229" s="2"/>
      <c r="CWM229" s="2"/>
      <c r="CWN229" s="2"/>
      <c r="CWO229" s="2"/>
      <c r="CWP229" s="2"/>
      <c r="CWQ229" s="2"/>
      <c r="CWR229" s="2"/>
      <c r="CWS229" s="2"/>
      <c r="CWT229" s="2"/>
      <c r="CWU229" s="2"/>
      <c r="CWV229" s="2"/>
      <c r="CWW229" s="2"/>
      <c r="CWX229" s="2"/>
      <c r="CWY229" s="2"/>
      <c r="CWZ229" s="2"/>
      <c r="CXA229" s="2"/>
      <c r="CXB229" s="2"/>
      <c r="CXC229" s="2"/>
      <c r="CXD229" s="2"/>
      <c r="CXE229" s="2"/>
      <c r="CXF229" s="2"/>
      <c r="CXG229" s="2"/>
      <c r="CXH229" s="2"/>
      <c r="CXI229" s="2"/>
      <c r="CXJ229" s="2"/>
      <c r="CXK229" s="2"/>
      <c r="CXL229" s="2"/>
      <c r="CXM229" s="2"/>
      <c r="CXN229" s="2"/>
      <c r="CXO229" s="2"/>
      <c r="CXP229" s="2"/>
      <c r="CXQ229" s="2"/>
      <c r="CXR229" s="2"/>
      <c r="CXS229" s="2"/>
      <c r="CXT229" s="2"/>
      <c r="CXU229" s="2"/>
      <c r="CXV229" s="2"/>
      <c r="CXW229" s="2"/>
      <c r="CXX229" s="2"/>
      <c r="CXY229" s="2"/>
      <c r="CXZ229" s="2"/>
      <c r="CYA229" s="2"/>
      <c r="CYB229" s="2"/>
      <c r="CYC229" s="2"/>
      <c r="CYD229" s="2"/>
      <c r="CYE229" s="2"/>
      <c r="CYF229" s="2"/>
      <c r="CYG229" s="2"/>
      <c r="CYH229" s="2"/>
      <c r="CYI229" s="2"/>
      <c r="CYJ229" s="2"/>
      <c r="CYK229" s="2"/>
      <c r="CYL229" s="2"/>
      <c r="CYM229" s="2"/>
      <c r="CYN229" s="2"/>
      <c r="CYO229" s="2"/>
      <c r="CYP229" s="2"/>
      <c r="CYQ229" s="2"/>
      <c r="CYR229" s="2"/>
      <c r="CYS229" s="2"/>
      <c r="CYT229" s="2"/>
      <c r="CYU229" s="2"/>
      <c r="CYV229" s="2"/>
      <c r="CYW229" s="2"/>
      <c r="CYX229" s="2"/>
      <c r="CYY229" s="2"/>
      <c r="CYZ229" s="2"/>
      <c r="CZA229" s="2"/>
      <c r="CZB229" s="2"/>
      <c r="CZC229" s="2"/>
      <c r="CZD229" s="2"/>
      <c r="CZE229" s="2"/>
      <c r="CZF229" s="2"/>
      <c r="CZG229" s="2"/>
      <c r="CZH229" s="2"/>
      <c r="CZI229" s="2"/>
      <c r="CZJ229" s="2"/>
      <c r="CZK229" s="2"/>
      <c r="CZL229" s="2"/>
      <c r="CZM229" s="2"/>
      <c r="CZN229" s="2"/>
      <c r="CZO229" s="2"/>
      <c r="CZP229" s="2"/>
      <c r="CZQ229" s="2"/>
      <c r="CZR229" s="2"/>
      <c r="CZS229" s="2"/>
      <c r="CZT229" s="2"/>
      <c r="CZU229" s="2"/>
      <c r="CZV229" s="2"/>
      <c r="CZW229" s="2"/>
      <c r="CZX229" s="2"/>
      <c r="CZY229" s="2"/>
      <c r="CZZ229" s="2"/>
      <c r="DAA229" s="2"/>
      <c r="DAB229" s="2"/>
      <c r="DAC229" s="2"/>
      <c r="DAD229" s="2"/>
      <c r="DAE229" s="2"/>
      <c r="DAF229" s="2"/>
      <c r="DAG229" s="2"/>
      <c r="DAH229" s="2"/>
      <c r="DAI229" s="2"/>
      <c r="DAJ229" s="2"/>
      <c r="DAK229" s="2"/>
      <c r="DAL229" s="2"/>
      <c r="DAM229" s="2"/>
      <c r="DAN229" s="2"/>
      <c r="DAO229" s="2"/>
      <c r="DAP229" s="2"/>
      <c r="DAQ229" s="2"/>
      <c r="DAR229" s="2"/>
      <c r="DAS229" s="2"/>
      <c r="DAT229" s="2"/>
      <c r="DAU229" s="2"/>
      <c r="DAV229" s="2"/>
      <c r="DAW229" s="2"/>
      <c r="DAX229" s="2"/>
      <c r="DAY229" s="2"/>
      <c r="DAZ229" s="2"/>
      <c r="DBA229" s="2"/>
      <c r="DBB229" s="2"/>
      <c r="DBC229" s="2"/>
      <c r="DBD229" s="2"/>
      <c r="DBE229" s="2"/>
      <c r="DBF229" s="2"/>
      <c r="DBG229" s="2"/>
      <c r="DBH229" s="2"/>
      <c r="DBI229" s="2"/>
      <c r="DBJ229" s="2"/>
      <c r="DBK229" s="2"/>
      <c r="DBL229" s="2"/>
      <c r="DBM229" s="2"/>
      <c r="DBN229" s="2"/>
      <c r="DBO229" s="2"/>
      <c r="DBP229" s="2"/>
      <c r="DBQ229" s="2"/>
      <c r="DBR229" s="2"/>
      <c r="DBS229" s="2"/>
      <c r="DBT229" s="2"/>
      <c r="DBU229" s="2"/>
      <c r="DBV229" s="2"/>
      <c r="DBW229" s="2"/>
      <c r="DBX229" s="2"/>
      <c r="DBY229" s="2"/>
      <c r="DBZ229" s="2"/>
      <c r="DCA229" s="2"/>
      <c r="DCB229" s="2"/>
      <c r="DCC229" s="2"/>
      <c r="DCD229" s="2"/>
      <c r="DCE229" s="2"/>
      <c r="DCF229" s="2"/>
      <c r="DCG229" s="2"/>
      <c r="DCH229" s="2"/>
      <c r="DCI229" s="2"/>
      <c r="DCJ229" s="2"/>
      <c r="DCK229" s="2"/>
      <c r="DCL229" s="2"/>
      <c r="DCM229" s="2"/>
      <c r="DCN229" s="2"/>
      <c r="DCO229" s="2"/>
      <c r="DCP229" s="2"/>
      <c r="DCQ229" s="2"/>
      <c r="DCR229" s="2"/>
      <c r="DCS229" s="2"/>
      <c r="DCT229" s="2"/>
      <c r="DCU229" s="2"/>
      <c r="DCV229" s="2"/>
      <c r="DCW229" s="2"/>
      <c r="DCX229" s="2"/>
      <c r="DCY229" s="2"/>
      <c r="DCZ229" s="2"/>
      <c r="DDA229" s="2"/>
      <c r="DDB229" s="2"/>
      <c r="DDC229" s="2"/>
      <c r="DDD229" s="2"/>
      <c r="DDE229" s="2"/>
      <c r="DDF229" s="2"/>
      <c r="DDG229" s="2"/>
      <c r="DDH229" s="2"/>
      <c r="DDI229" s="2"/>
      <c r="DDJ229" s="2"/>
      <c r="DDK229" s="2"/>
      <c r="DDL229" s="2"/>
      <c r="DDM229" s="2"/>
      <c r="DDN229" s="2"/>
      <c r="DDO229" s="2"/>
      <c r="DDP229" s="2"/>
      <c r="DDQ229" s="2"/>
      <c r="DDR229" s="2"/>
      <c r="DDS229" s="2"/>
      <c r="DDT229" s="2"/>
      <c r="DDU229" s="2"/>
      <c r="DDV229" s="2"/>
      <c r="DDW229" s="2"/>
      <c r="DDX229" s="2"/>
      <c r="DDY229" s="2"/>
      <c r="DDZ229" s="2"/>
      <c r="DEA229" s="2"/>
      <c r="DEB229" s="2"/>
      <c r="DEC229" s="2"/>
      <c r="DED229" s="2"/>
      <c r="DEE229" s="2"/>
      <c r="DEF229" s="2"/>
      <c r="DEG229" s="2"/>
      <c r="DEH229" s="2"/>
      <c r="DEI229" s="2"/>
      <c r="DEJ229" s="2"/>
      <c r="DEK229" s="2"/>
      <c r="DEL229" s="2"/>
      <c r="DEM229" s="2"/>
      <c r="DEN229" s="2"/>
      <c r="DEO229" s="2"/>
      <c r="DEP229" s="2"/>
      <c r="DEQ229" s="2"/>
      <c r="DER229" s="2"/>
      <c r="DES229" s="2"/>
      <c r="DET229" s="2"/>
      <c r="DEU229" s="2"/>
      <c r="DEV229" s="2"/>
      <c r="DEW229" s="2"/>
      <c r="DEX229" s="2"/>
      <c r="DEY229" s="2"/>
      <c r="DEZ229" s="2"/>
      <c r="DFA229" s="2"/>
      <c r="DFB229" s="2"/>
      <c r="DFC229" s="2"/>
      <c r="DFD229" s="2"/>
      <c r="DFE229" s="2"/>
      <c r="DFF229" s="2"/>
      <c r="DFG229" s="2"/>
      <c r="DFH229" s="2"/>
      <c r="DFI229" s="2"/>
      <c r="DFJ229" s="2"/>
      <c r="DFK229" s="2"/>
      <c r="DFL229" s="2"/>
      <c r="DFM229" s="2"/>
      <c r="DFN229" s="2"/>
      <c r="DFO229" s="2"/>
      <c r="DFP229" s="2"/>
      <c r="DFQ229" s="2"/>
      <c r="DFR229" s="2"/>
      <c r="DFS229" s="2"/>
      <c r="DFT229" s="2"/>
      <c r="DFU229" s="2"/>
      <c r="DFV229" s="2"/>
      <c r="DFW229" s="2"/>
      <c r="DFX229" s="2"/>
      <c r="DFY229" s="2"/>
      <c r="DFZ229" s="2"/>
      <c r="DGA229" s="2"/>
      <c r="DGB229" s="2"/>
      <c r="DGC229" s="2"/>
      <c r="DGD229" s="2"/>
      <c r="DGE229" s="2"/>
      <c r="DGF229" s="2"/>
      <c r="DGG229" s="2"/>
      <c r="DGH229" s="2"/>
      <c r="DGI229" s="2"/>
      <c r="DGJ229" s="2"/>
      <c r="DGK229" s="2"/>
      <c r="DGL229" s="2"/>
      <c r="DGM229" s="2"/>
      <c r="DGN229" s="2"/>
      <c r="DGO229" s="2"/>
      <c r="DGP229" s="2"/>
      <c r="DGQ229" s="2"/>
      <c r="DGR229" s="2"/>
      <c r="DGS229" s="2"/>
      <c r="DGT229" s="2"/>
      <c r="DGU229" s="2"/>
      <c r="DGV229" s="2"/>
      <c r="DGW229" s="2"/>
      <c r="DGX229" s="2"/>
      <c r="DGY229" s="2"/>
      <c r="DGZ229" s="2"/>
      <c r="DHA229" s="2"/>
      <c r="DHB229" s="2"/>
      <c r="DHC229" s="2"/>
      <c r="DHD229" s="2"/>
      <c r="DHE229" s="2"/>
      <c r="DHF229" s="2"/>
      <c r="DHG229" s="2"/>
      <c r="DHH229" s="2"/>
      <c r="DHI229" s="2"/>
      <c r="DHJ229" s="2"/>
      <c r="DHK229" s="2"/>
      <c r="DHL229" s="2"/>
      <c r="DHM229" s="2"/>
      <c r="DHN229" s="2"/>
      <c r="DHO229" s="2"/>
      <c r="DHP229" s="2"/>
      <c r="DHQ229" s="2"/>
      <c r="DHR229" s="2"/>
      <c r="DHS229" s="2"/>
      <c r="DHT229" s="2"/>
      <c r="DHU229" s="2"/>
      <c r="DHV229" s="2"/>
      <c r="DHW229" s="2"/>
      <c r="DHX229" s="2"/>
      <c r="DHY229" s="2"/>
      <c r="DHZ229" s="2"/>
      <c r="DIA229" s="2"/>
      <c r="DIB229" s="2"/>
      <c r="DIC229" s="2"/>
      <c r="DID229" s="2"/>
      <c r="DIE229" s="2"/>
      <c r="DIF229" s="2"/>
      <c r="DIG229" s="2"/>
      <c r="DIH229" s="2"/>
      <c r="DII229" s="2"/>
      <c r="DIJ229" s="2"/>
      <c r="DIK229" s="2"/>
      <c r="DIL229" s="2"/>
      <c r="DIM229" s="2"/>
      <c r="DIN229" s="2"/>
      <c r="DIO229" s="2"/>
      <c r="DIP229" s="2"/>
      <c r="DIQ229" s="2"/>
      <c r="DIR229" s="2"/>
      <c r="DIS229" s="2"/>
      <c r="DIT229" s="2"/>
      <c r="DIU229" s="2"/>
      <c r="DIV229" s="2"/>
      <c r="DIW229" s="2"/>
      <c r="DIX229" s="2"/>
      <c r="DIY229" s="2"/>
      <c r="DIZ229" s="2"/>
      <c r="DJA229" s="2"/>
      <c r="DJB229" s="2"/>
      <c r="DJC229" s="2"/>
      <c r="DJD229" s="2"/>
      <c r="DJE229" s="2"/>
      <c r="DJF229" s="2"/>
      <c r="DJG229" s="2"/>
      <c r="DJH229" s="2"/>
      <c r="DJI229" s="2"/>
      <c r="DJJ229" s="2"/>
      <c r="DJK229" s="2"/>
      <c r="DJL229" s="2"/>
      <c r="DJM229" s="2"/>
      <c r="DJN229" s="2"/>
      <c r="DJO229" s="2"/>
      <c r="DJP229" s="2"/>
      <c r="DJQ229" s="2"/>
      <c r="DJR229" s="2"/>
      <c r="DJS229" s="2"/>
      <c r="DJT229" s="2"/>
      <c r="DJU229" s="2"/>
      <c r="DJV229" s="2"/>
      <c r="DJW229" s="2"/>
      <c r="DJX229" s="2"/>
      <c r="DJY229" s="2"/>
      <c r="DJZ229" s="2"/>
      <c r="DKA229" s="2"/>
      <c r="DKB229" s="2"/>
      <c r="DKC229" s="2"/>
      <c r="DKD229" s="2"/>
      <c r="DKE229" s="2"/>
      <c r="DKF229" s="2"/>
      <c r="DKG229" s="2"/>
      <c r="DKH229" s="2"/>
      <c r="DKI229" s="2"/>
      <c r="DKJ229" s="2"/>
      <c r="DKK229" s="2"/>
      <c r="DKL229" s="2"/>
      <c r="DKM229" s="2"/>
      <c r="DKN229" s="2"/>
      <c r="DKO229" s="2"/>
      <c r="DKP229" s="2"/>
      <c r="DKQ229" s="2"/>
      <c r="DKR229" s="2"/>
      <c r="DKS229" s="2"/>
      <c r="DKT229" s="2"/>
      <c r="DKU229" s="2"/>
      <c r="DKV229" s="2"/>
      <c r="DKW229" s="2"/>
      <c r="DKX229" s="2"/>
      <c r="DKY229" s="2"/>
      <c r="DKZ229" s="2"/>
      <c r="DLA229" s="2"/>
      <c r="DLB229" s="2"/>
      <c r="DLC229" s="2"/>
      <c r="DLD229" s="2"/>
      <c r="DLE229" s="2"/>
      <c r="DLF229" s="2"/>
      <c r="DLG229" s="2"/>
      <c r="DLH229" s="2"/>
      <c r="DLI229" s="2"/>
      <c r="DLJ229" s="2"/>
      <c r="DLK229" s="2"/>
      <c r="DLL229" s="2"/>
      <c r="DLM229" s="2"/>
      <c r="DLN229" s="2"/>
      <c r="DLO229" s="2"/>
      <c r="DLP229" s="2"/>
      <c r="DLQ229" s="2"/>
      <c r="DLR229" s="2"/>
      <c r="DLS229" s="2"/>
      <c r="DLT229" s="2"/>
      <c r="DLU229" s="2"/>
      <c r="DLV229" s="2"/>
      <c r="DLW229" s="2"/>
      <c r="DLX229" s="2"/>
      <c r="DLY229" s="2"/>
      <c r="DLZ229" s="2"/>
      <c r="DMA229" s="2"/>
      <c r="DMB229" s="2"/>
      <c r="DMC229" s="2"/>
      <c r="DMD229" s="2"/>
      <c r="DME229" s="2"/>
      <c r="DMF229" s="2"/>
      <c r="DMG229" s="2"/>
      <c r="DMH229" s="2"/>
      <c r="DMI229" s="2"/>
      <c r="DMJ229" s="2"/>
      <c r="DMK229" s="2"/>
      <c r="DML229" s="2"/>
      <c r="DMM229" s="2"/>
      <c r="DMN229" s="2"/>
      <c r="DMO229" s="2"/>
      <c r="DMP229" s="2"/>
      <c r="DMQ229" s="2"/>
      <c r="DMR229" s="2"/>
      <c r="DMS229" s="2"/>
      <c r="DMT229" s="2"/>
      <c r="DMU229" s="2"/>
      <c r="DMV229" s="2"/>
      <c r="DMW229" s="2"/>
      <c r="DMX229" s="2"/>
      <c r="DMY229" s="2"/>
      <c r="DMZ229" s="2"/>
      <c r="DNA229" s="2"/>
      <c r="DNB229" s="2"/>
      <c r="DNC229" s="2"/>
      <c r="DND229" s="2"/>
      <c r="DNE229" s="2"/>
      <c r="DNF229" s="2"/>
      <c r="DNG229" s="2"/>
      <c r="DNH229" s="2"/>
      <c r="DNI229" s="2"/>
      <c r="DNJ229" s="2"/>
      <c r="DNK229" s="2"/>
      <c r="DNL229" s="2"/>
      <c r="DNM229" s="2"/>
      <c r="DNN229" s="2"/>
      <c r="DNO229" s="2"/>
      <c r="DNP229" s="2"/>
      <c r="DNQ229" s="2"/>
      <c r="DNR229" s="2"/>
      <c r="DNS229" s="2"/>
      <c r="DNT229" s="2"/>
      <c r="DNU229" s="2"/>
      <c r="DNV229" s="2"/>
      <c r="DNW229" s="2"/>
      <c r="DNX229" s="2"/>
      <c r="DNY229" s="2"/>
      <c r="DNZ229" s="2"/>
      <c r="DOA229" s="2"/>
      <c r="DOB229" s="2"/>
      <c r="DOC229" s="2"/>
      <c r="DOD229" s="2"/>
      <c r="DOE229" s="2"/>
      <c r="DOF229" s="2"/>
      <c r="DOG229" s="2"/>
      <c r="DOH229" s="2"/>
      <c r="DOI229" s="2"/>
      <c r="DOJ229" s="2"/>
      <c r="DOK229" s="2"/>
      <c r="DOL229" s="2"/>
      <c r="DOM229" s="2"/>
      <c r="DON229" s="2"/>
      <c r="DOO229" s="2"/>
      <c r="DOP229" s="2"/>
      <c r="DOQ229" s="2"/>
      <c r="DOR229" s="2"/>
      <c r="DOS229" s="2"/>
      <c r="DOT229" s="2"/>
      <c r="DOU229" s="2"/>
      <c r="DOV229" s="2"/>
      <c r="DOW229" s="2"/>
      <c r="DOX229" s="2"/>
      <c r="DOY229" s="2"/>
      <c r="DOZ229" s="2"/>
      <c r="DPA229" s="2"/>
      <c r="DPB229" s="2"/>
      <c r="DPC229" s="2"/>
      <c r="DPD229" s="2"/>
      <c r="DPE229" s="2"/>
      <c r="DPF229" s="2"/>
      <c r="DPG229" s="2"/>
      <c r="DPH229" s="2"/>
      <c r="DPI229" s="2"/>
      <c r="DPJ229" s="2"/>
      <c r="DPK229" s="2"/>
      <c r="DPL229" s="2"/>
      <c r="DPM229" s="2"/>
      <c r="DPN229" s="2"/>
      <c r="DPO229" s="2"/>
      <c r="DPP229" s="2"/>
      <c r="DPQ229" s="2"/>
      <c r="DPR229" s="2"/>
      <c r="DPS229" s="2"/>
      <c r="DPT229" s="2"/>
      <c r="DPU229" s="2"/>
      <c r="DPV229" s="2"/>
      <c r="DPW229" s="2"/>
      <c r="DPX229" s="2"/>
      <c r="DPY229" s="2"/>
      <c r="DPZ229" s="2"/>
      <c r="DQA229" s="2"/>
      <c r="DQB229" s="2"/>
      <c r="DQC229" s="2"/>
      <c r="DQD229" s="2"/>
      <c r="DQE229" s="2"/>
      <c r="DQF229" s="2"/>
      <c r="DQG229" s="2"/>
      <c r="DQH229" s="2"/>
      <c r="DQI229" s="2"/>
      <c r="DQJ229" s="2"/>
      <c r="DQK229" s="2"/>
      <c r="DQL229" s="2"/>
      <c r="DQM229" s="2"/>
      <c r="DQN229" s="2"/>
      <c r="DQO229" s="2"/>
      <c r="DQP229" s="2"/>
      <c r="DQQ229" s="2"/>
      <c r="DQR229" s="2"/>
      <c r="DQS229" s="2"/>
      <c r="DQT229" s="2"/>
      <c r="DQU229" s="2"/>
      <c r="DQV229" s="2"/>
      <c r="DQW229" s="2"/>
      <c r="DQX229" s="2"/>
      <c r="DQY229" s="2"/>
      <c r="DQZ229" s="2"/>
      <c r="DRA229" s="2"/>
      <c r="DRB229" s="2"/>
      <c r="DRC229" s="2"/>
      <c r="DRD229" s="2"/>
      <c r="DRE229" s="2"/>
      <c r="DRF229" s="2"/>
      <c r="DRG229" s="2"/>
      <c r="DRH229" s="2"/>
      <c r="DRI229" s="2"/>
      <c r="DRJ229" s="2"/>
      <c r="DRK229" s="2"/>
      <c r="DRL229" s="2"/>
      <c r="DRM229" s="2"/>
      <c r="DRN229" s="2"/>
      <c r="DRO229" s="2"/>
      <c r="DRP229" s="2"/>
      <c r="DRQ229" s="2"/>
      <c r="DRR229" s="2"/>
      <c r="DRS229" s="2"/>
      <c r="DRT229" s="2"/>
      <c r="DRU229" s="2"/>
      <c r="DRV229" s="2"/>
      <c r="DRW229" s="2"/>
      <c r="DRX229" s="2"/>
      <c r="DRY229" s="2"/>
      <c r="DRZ229" s="2"/>
      <c r="DSA229" s="2"/>
      <c r="DSB229" s="2"/>
      <c r="DSC229" s="2"/>
      <c r="DSD229" s="2"/>
      <c r="DSE229" s="2"/>
      <c r="DSF229" s="2"/>
      <c r="DSG229" s="2"/>
      <c r="DSH229" s="2"/>
      <c r="DSI229" s="2"/>
      <c r="DSJ229" s="2"/>
      <c r="DSK229" s="2"/>
      <c r="DSL229" s="2"/>
      <c r="DSM229" s="2"/>
      <c r="DSN229" s="2"/>
      <c r="DSO229" s="2"/>
      <c r="DSP229" s="2"/>
      <c r="DSQ229" s="2"/>
      <c r="DSR229" s="2"/>
      <c r="DSS229" s="2"/>
      <c r="DST229" s="2"/>
      <c r="DSU229" s="2"/>
      <c r="DSV229" s="2"/>
      <c r="DSW229" s="2"/>
      <c r="DSX229" s="2"/>
      <c r="DSY229" s="2"/>
      <c r="DSZ229" s="2"/>
      <c r="DTA229" s="2"/>
      <c r="DTB229" s="2"/>
      <c r="DTC229" s="2"/>
      <c r="DTD229" s="2"/>
      <c r="DTE229" s="2"/>
      <c r="DTF229" s="2"/>
      <c r="DTG229" s="2"/>
      <c r="DTH229" s="2"/>
      <c r="DTI229" s="2"/>
      <c r="DTJ229" s="2"/>
      <c r="DTK229" s="2"/>
      <c r="DTL229" s="2"/>
      <c r="DTM229" s="2"/>
      <c r="DTN229" s="2"/>
      <c r="DTO229" s="2"/>
      <c r="DTP229" s="2"/>
      <c r="DTQ229" s="2"/>
      <c r="DTR229" s="2"/>
      <c r="DTS229" s="2"/>
      <c r="DTT229" s="2"/>
      <c r="DTU229" s="2"/>
      <c r="DTV229" s="2"/>
      <c r="DTW229" s="2"/>
      <c r="DTX229" s="2"/>
      <c r="DTY229" s="2"/>
      <c r="DTZ229" s="2"/>
      <c r="DUA229" s="2"/>
      <c r="DUB229" s="2"/>
      <c r="DUC229" s="2"/>
      <c r="DUD229" s="2"/>
      <c r="DUE229" s="2"/>
      <c r="DUF229" s="2"/>
      <c r="DUG229" s="2"/>
      <c r="DUH229" s="2"/>
      <c r="DUI229" s="2"/>
      <c r="DUJ229" s="2"/>
      <c r="DUK229" s="2"/>
      <c r="DUL229" s="2"/>
      <c r="DUM229" s="2"/>
      <c r="DUN229" s="2"/>
      <c r="DUO229" s="2"/>
      <c r="DUP229" s="2"/>
      <c r="DUQ229" s="2"/>
      <c r="DUR229" s="2"/>
      <c r="DUS229" s="2"/>
      <c r="DUT229" s="2"/>
      <c r="DUU229" s="2"/>
      <c r="DUV229" s="2"/>
      <c r="DUW229" s="2"/>
      <c r="DUX229" s="2"/>
      <c r="DUY229" s="2"/>
      <c r="DUZ229" s="2"/>
      <c r="DVA229" s="2"/>
      <c r="DVB229" s="2"/>
      <c r="DVC229" s="2"/>
      <c r="DVD229" s="2"/>
      <c r="DVE229" s="2"/>
      <c r="DVF229" s="2"/>
      <c r="DVG229" s="2"/>
      <c r="DVH229" s="2"/>
      <c r="DVI229" s="2"/>
      <c r="DVJ229" s="2"/>
      <c r="DVK229" s="2"/>
      <c r="DVL229" s="2"/>
      <c r="DVM229" s="2"/>
      <c r="DVN229" s="2"/>
      <c r="DVO229" s="2"/>
      <c r="DVP229" s="2"/>
      <c r="DVQ229" s="2"/>
      <c r="DVR229" s="2"/>
      <c r="DVS229" s="2"/>
      <c r="DVT229" s="2"/>
      <c r="DVU229" s="2"/>
      <c r="DVV229" s="2"/>
      <c r="DVW229" s="2"/>
      <c r="DVX229" s="2"/>
      <c r="DVY229" s="2"/>
      <c r="DVZ229" s="2"/>
      <c r="DWA229" s="2"/>
      <c r="DWB229" s="2"/>
      <c r="DWC229" s="2"/>
      <c r="DWD229" s="2"/>
      <c r="DWE229" s="2"/>
      <c r="DWF229" s="2"/>
      <c r="DWG229" s="2"/>
      <c r="DWH229" s="2"/>
      <c r="DWI229" s="2"/>
      <c r="DWJ229" s="2"/>
      <c r="DWK229" s="2"/>
      <c r="DWL229" s="2"/>
      <c r="DWM229" s="2"/>
      <c r="DWN229" s="2"/>
      <c r="DWO229" s="2"/>
      <c r="DWP229" s="2"/>
      <c r="DWQ229" s="2"/>
      <c r="DWR229" s="2"/>
      <c r="DWS229" s="2"/>
      <c r="DWT229" s="2"/>
      <c r="DWU229" s="2"/>
      <c r="DWV229" s="2"/>
      <c r="DWW229" s="2"/>
      <c r="DWX229" s="2"/>
      <c r="DWY229" s="2"/>
      <c r="DWZ229" s="2"/>
      <c r="DXA229" s="2"/>
      <c r="DXB229" s="2"/>
      <c r="DXC229" s="2"/>
      <c r="DXD229" s="2"/>
      <c r="DXE229" s="2"/>
      <c r="DXF229" s="2"/>
      <c r="DXG229" s="2"/>
      <c r="DXH229" s="2"/>
      <c r="DXI229" s="2"/>
      <c r="DXJ229" s="2"/>
      <c r="DXK229" s="2"/>
      <c r="DXL229" s="2"/>
      <c r="DXM229" s="2"/>
      <c r="DXN229" s="2"/>
      <c r="DXO229" s="2"/>
      <c r="DXP229" s="2"/>
      <c r="DXQ229" s="2"/>
      <c r="DXR229" s="2"/>
      <c r="DXS229" s="2"/>
      <c r="DXT229" s="2"/>
      <c r="DXU229" s="2"/>
      <c r="DXV229" s="2"/>
      <c r="DXW229" s="2"/>
      <c r="DXX229" s="2"/>
      <c r="DXY229" s="2"/>
      <c r="DXZ229" s="2"/>
      <c r="DYA229" s="2"/>
      <c r="DYB229" s="2"/>
      <c r="DYC229" s="2"/>
      <c r="DYD229" s="2"/>
      <c r="DYE229" s="2"/>
      <c r="DYF229" s="2"/>
      <c r="DYG229" s="2"/>
      <c r="DYH229" s="2"/>
      <c r="DYI229" s="2"/>
      <c r="DYJ229" s="2"/>
      <c r="DYK229" s="2"/>
      <c r="DYL229" s="2"/>
      <c r="DYM229" s="2"/>
      <c r="DYN229" s="2"/>
      <c r="DYO229" s="2"/>
      <c r="DYP229" s="2"/>
      <c r="DYQ229" s="2"/>
      <c r="DYR229" s="2"/>
      <c r="DYS229" s="2"/>
      <c r="DYT229" s="2"/>
      <c r="DYU229" s="2"/>
      <c r="DYV229" s="2"/>
      <c r="DYW229" s="2"/>
      <c r="DYX229" s="2"/>
      <c r="DYY229" s="2"/>
      <c r="DYZ229" s="2"/>
      <c r="DZA229" s="2"/>
      <c r="DZB229" s="2"/>
      <c r="DZC229" s="2"/>
      <c r="DZD229" s="2"/>
      <c r="DZE229" s="2"/>
      <c r="DZF229" s="2"/>
      <c r="DZG229" s="2"/>
      <c r="DZH229" s="2"/>
      <c r="DZI229" s="2"/>
      <c r="DZJ229" s="2"/>
      <c r="DZK229" s="2"/>
      <c r="DZL229" s="2"/>
      <c r="DZM229" s="2"/>
      <c r="DZN229" s="2"/>
      <c r="DZO229" s="2"/>
      <c r="DZP229" s="2"/>
      <c r="DZQ229" s="2"/>
      <c r="DZR229" s="2"/>
      <c r="DZS229" s="2"/>
      <c r="DZT229" s="2"/>
      <c r="DZU229" s="2"/>
      <c r="DZV229" s="2"/>
      <c r="DZW229" s="2"/>
      <c r="DZX229" s="2"/>
      <c r="DZY229" s="2"/>
      <c r="DZZ229" s="2"/>
      <c r="EAA229" s="2"/>
      <c r="EAB229" s="2"/>
      <c r="EAC229" s="2"/>
      <c r="EAD229" s="2"/>
      <c r="EAE229" s="2"/>
      <c r="EAF229" s="2"/>
      <c r="EAG229" s="2"/>
      <c r="EAH229" s="2"/>
      <c r="EAI229" s="2"/>
      <c r="EAJ229" s="2"/>
      <c r="EAK229" s="2"/>
      <c r="EAL229" s="2"/>
      <c r="EAM229" s="2"/>
      <c r="EAN229" s="2"/>
      <c r="EAO229" s="2"/>
      <c r="EAP229" s="2"/>
      <c r="EAQ229" s="2"/>
      <c r="EAR229" s="2"/>
      <c r="EAS229" s="2"/>
      <c r="EAT229" s="2"/>
      <c r="EAU229" s="2"/>
      <c r="EAV229" s="2"/>
      <c r="EAW229" s="2"/>
      <c r="EAX229" s="2"/>
      <c r="EAY229" s="2"/>
      <c r="EAZ229" s="2"/>
      <c r="EBA229" s="2"/>
      <c r="EBB229" s="2"/>
      <c r="EBC229" s="2"/>
      <c r="EBD229" s="2"/>
      <c r="EBE229" s="2"/>
      <c r="EBF229" s="2"/>
      <c r="EBG229" s="2"/>
      <c r="EBH229" s="2"/>
      <c r="EBI229" s="2"/>
      <c r="EBJ229" s="2"/>
      <c r="EBK229" s="2"/>
      <c r="EBL229" s="2"/>
      <c r="EBM229" s="2"/>
      <c r="EBN229" s="2"/>
      <c r="EBO229" s="2"/>
      <c r="EBP229" s="2"/>
      <c r="EBQ229" s="2"/>
      <c r="EBR229" s="2"/>
      <c r="EBS229" s="2"/>
      <c r="EBT229" s="2"/>
      <c r="EBU229" s="2"/>
      <c r="EBV229" s="2"/>
      <c r="EBW229" s="2"/>
      <c r="EBX229" s="2"/>
      <c r="EBY229" s="2"/>
      <c r="EBZ229" s="2"/>
      <c r="ECA229" s="2"/>
      <c r="ECB229" s="2"/>
      <c r="ECC229" s="2"/>
      <c r="ECD229" s="2"/>
      <c r="ECE229" s="2"/>
      <c r="ECF229" s="2"/>
      <c r="ECG229" s="2"/>
      <c r="ECH229" s="2"/>
      <c r="ECI229" s="2"/>
      <c r="ECJ229" s="2"/>
      <c r="ECK229" s="2"/>
      <c r="ECL229" s="2"/>
      <c r="ECM229" s="2"/>
      <c r="ECN229" s="2"/>
      <c r="ECO229" s="2"/>
      <c r="ECP229" s="2"/>
      <c r="ECQ229" s="2"/>
      <c r="ECR229" s="2"/>
      <c r="ECS229" s="2"/>
      <c r="ECT229" s="2"/>
      <c r="ECU229" s="2"/>
      <c r="ECV229" s="2"/>
      <c r="ECW229" s="2"/>
      <c r="ECX229" s="2"/>
      <c r="ECY229" s="2"/>
      <c r="ECZ229" s="2"/>
      <c r="EDA229" s="2"/>
      <c r="EDB229" s="2"/>
      <c r="EDC229" s="2"/>
      <c r="EDD229" s="2"/>
      <c r="EDE229" s="2"/>
      <c r="EDF229" s="2"/>
      <c r="EDG229" s="2"/>
      <c r="EDH229" s="2"/>
      <c r="EDI229" s="2"/>
      <c r="EDJ229" s="2"/>
      <c r="EDK229" s="2"/>
      <c r="EDL229" s="2"/>
      <c r="EDM229" s="2"/>
      <c r="EDN229" s="2"/>
      <c r="EDO229" s="2"/>
      <c r="EDP229" s="2"/>
      <c r="EDQ229" s="2"/>
      <c r="EDR229" s="2"/>
      <c r="EDS229" s="2"/>
      <c r="EDT229" s="2"/>
      <c r="EDU229" s="2"/>
      <c r="EDV229" s="2"/>
      <c r="EDW229" s="2"/>
      <c r="EDX229" s="2"/>
      <c r="EDY229" s="2"/>
      <c r="EDZ229" s="2"/>
      <c r="EEA229" s="2"/>
      <c r="EEB229" s="2"/>
      <c r="EEC229" s="2"/>
      <c r="EED229" s="2"/>
      <c r="EEE229" s="2"/>
      <c r="EEF229" s="2"/>
      <c r="EEG229" s="2"/>
      <c r="EEH229" s="2"/>
      <c r="EEI229" s="2"/>
      <c r="EEJ229" s="2"/>
      <c r="EEK229" s="2"/>
      <c r="EEL229" s="2"/>
      <c r="EEM229" s="2"/>
      <c r="EEN229" s="2"/>
      <c r="EEO229" s="2"/>
      <c r="EEP229" s="2"/>
      <c r="EEQ229" s="2"/>
      <c r="EER229" s="2"/>
      <c r="EES229" s="2"/>
      <c r="EET229" s="2"/>
      <c r="EEU229" s="2"/>
      <c r="EEV229" s="2"/>
      <c r="EEW229" s="2"/>
      <c r="EEX229" s="2"/>
      <c r="EEY229" s="2"/>
      <c r="EEZ229" s="2"/>
      <c r="EFA229" s="2"/>
      <c r="EFB229" s="2"/>
      <c r="EFC229" s="2"/>
      <c r="EFD229" s="2"/>
      <c r="EFE229" s="2"/>
      <c r="EFF229" s="2"/>
      <c r="EFG229" s="2"/>
      <c r="EFH229" s="2"/>
      <c r="EFI229" s="2"/>
      <c r="EFJ229" s="2"/>
      <c r="EFK229" s="2"/>
      <c r="EFL229" s="2"/>
      <c r="EFM229" s="2"/>
      <c r="EFN229" s="2"/>
      <c r="EFO229" s="2"/>
      <c r="EFP229" s="2"/>
      <c r="EFQ229" s="2"/>
      <c r="EFR229" s="2"/>
      <c r="EFS229" s="2"/>
      <c r="EFT229" s="2"/>
      <c r="EFU229" s="2"/>
      <c r="EFV229" s="2"/>
      <c r="EFW229" s="2"/>
      <c r="EFX229" s="2"/>
      <c r="EFY229" s="2"/>
      <c r="EFZ229" s="2"/>
      <c r="EGA229" s="2"/>
      <c r="EGB229" s="2"/>
      <c r="EGC229" s="2"/>
      <c r="EGD229" s="2"/>
      <c r="EGE229" s="2"/>
      <c r="EGF229" s="2"/>
      <c r="EGG229" s="2"/>
      <c r="EGH229" s="2"/>
      <c r="EGI229" s="2"/>
      <c r="EGJ229" s="2"/>
      <c r="EGK229" s="2"/>
      <c r="EGL229" s="2"/>
      <c r="EGM229" s="2"/>
      <c r="EGN229" s="2"/>
      <c r="EGO229" s="2"/>
      <c r="EGP229" s="2"/>
      <c r="EGQ229" s="2"/>
      <c r="EGR229" s="2"/>
      <c r="EGS229" s="2"/>
      <c r="EGT229" s="2"/>
      <c r="EGU229" s="2"/>
      <c r="EGV229" s="2"/>
      <c r="EGW229" s="2"/>
      <c r="EGX229" s="2"/>
      <c r="EGY229" s="2"/>
      <c r="EGZ229" s="2"/>
      <c r="EHA229" s="2"/>
      <c r="EHB229" s="2"/>
      <c r="EHC229" s="2"/>
      <c r="EHD229" s="2"/>
      <c r="EHE229" s="2"/>
      <c r="EHF229" s="2"/>
      <c r="EHG229" s="2"/>
      <c r="EHH229" s="2"/>
      <c r="EHI229" s="2"/>
      <c r="EHJ229" s="2"/>
      <c r="EHK229" s="2"/>
      <c r="EHL229" s="2"/>
      <c r="EHM229" s="2"/>
      <c r="EHN229" s="2"/>
      <c r="EHO229" s="2"/>
      <c r="EHP229" s="2"/>
      <c r="EHQ229" s="2"/>
      <c r="EHR229" s="2"/>
      <c r="EHS229" s="2"/>
      <c r="EHT229" s="2"/>
      <c r="EHU229" s="2"/>
      <c r="EHV229" s="2"/>
      <c r="EHW229" s="2"/>
      <c r="EHX229" s="2"/>
      <c r="EHY229" s="2"/>
      <c r="EHZ229" s="2"/>
      <c r="EIA229" s="2"/>
      <c r="EIB229" s="2"/>
      <c r="EIC229" s="2"/>
      <c r="EID229" s="2"/>
      <c r="EIE229" s="2"/>
      <c r="EIF229" s="2"/>
      <c r="EIG229" s="2"/>
      <c r="EIH229" s="2"/>
      <c r="EII229" s="2"/>
      <c r="EIJ229" s="2"/>
      <c r="EIK229" s="2"/>
      <c r="EIL229" s="2"/>
      <c r="EIM229" s="2"/>
      <c r="EIN229" s="2"/>
      <c r="EIO229" s="2"/>
      <c r="EIP229" s="2"/>
      <c r="EIQ229" s="2"/>
      <c r="EIR229" s="2"/>
      <c r="EIS229" s="2"/>
      <c r="EIT229" s="2"/>
      <c r="EIU229" s="2"/>
      <c r="EIV229" s="2"/>
      <c r="EIW229" s="2"/>
      <c r="EIX229" s="2"/>
      <c r="EIY229" s="2"/>
      <c r="EIZ229" s="2"/>
      <c r="EJA229" s="2"/>
      <c r="EJB229" s="2"/>
      <c r="EJC229" s="2"/>
      <c r="EJD229" s="2"/>
      <c r="EJE229" s="2"/>
      <c r="EJF229" s="2"/>
      <c r="EJG229" s="2"/>
      <c r="EJH229" s="2"/>
      <c r="EJI229" s="2"/>
      <c r="EJJ229" s="2"/>
      <c r="EJK229" s="2"/>
      <c r="EJL229" s="2"/>
      <c r="EJM229" s="2"/>
      <c r="EJN229" s="2"/>
      <c r="EJO229" s="2"/>
      <c r="EJP229" s="2"/>
      <c r="EJQ229" s="2"/>
      <c r="EJR229" s="2"/>
      <c r="EJS229" s="2"/>
      <c r="EJT229" s="2"/>
      <c r="EJU229" s="2"/>
      <c r="EJV229" s="2"/>
      <c r="EJW229" s="2"/>
      <c r="EJX229" s="2"/>
      <c r="EJY229" s="2"/>
      <c r="EJZ229" s="2"/>
      <c r="EKA229" s="2"/>
      <c r="EKB229" s="2"/>
      <c r="EKC229" s="2"/>
      <c r="EKD229" s="2"/>
      <c r="EKE229" s="2"/>
      <c r="EKF229" s="2"/>
      <c r="EKG229" s="2"/>
      <c r="EKH229" s="2"/>
      <c r="EKI229" s="2"/>
      <c r="EKJ229" s="2"/>
      <c r="EKK229" s="2"/>
      <c r="EKL229" s="2"/>
      <c r="EKM229" s="2"/>
      <c r="EKN229" s="2"/>
      <c r="EKO229" s="2"/>
      <c r="EKP229" s="2"/>
      <c r="EKQ229" s="2"/>
      <c r="EKR229" s="2"/>
      <c r="EKS229" s="2"/>
      <c r="EKT229" s="2"/>
      <c r="EKU229" s="2"/>
      <c r="EKV229" s="2"/>
      <c r="EKW229" s="2"/>
      <c r="EKX229" s="2"/>
      <c r="EKY229" s="2"/>
      <c r="EKZ229" s="2"/>
      <c r="ELA229" s="2"/>
      <c r="ELB229" s="2"/>
      <c r="ELC229" s="2"/>
      <c r="ELD229" s="2"/>
      <c r="ELE229" s="2"/>
      <c r="ELF229" s="2"/>
      <c r="ELG229" s="2"/>
      <c r="ELH229" s="2"/>
      <c r="ELI229" s="2"/>
      <c r="ELJ229" s="2"/>
      <c r="ELK229" s="2"/>
      <c r="ELL229" s="2"/>
      <c r="ELM229" s="2"/>
      <c r="ELN229" s="2"/>
      <c r="ELO229" s="2"/>
      <c r="ELP229" s="2"/>
      <c r="ELQ229" s="2"/>
      <c r="ELR229" s="2"/>
      <c r="ELS229" s="2"/>
      <c r="ELT229" s="2"/>
      <c r="ELU229" s="2"/>
      <c r="ELV229" s="2"/>
      <c r="ELW229" s="2"/>
      <c r="ELX229" s="2"/>
      <c r="ELY229" s="2"/>
      <c r="ELZ229" s="2"/>
      <c r="EMA229" s="2"/>
      <c r="EMB229" s="2"/>
      <c r="EMC229" s="2"/>
      <c r="EMD229" s="2"/>
      <c r="EME229" s="2"/>
      <c r="EMF229" s="2"/>
      <c r="EMG229" s="2"/>
      <c r="EMH229" s="2"/>
      <c r="EMI229" s="2"/>
      <c r="EMJ229" s="2"/>
      <c r="EMK229" s="2"/>
      <c r="EML229" s="2"/>
      <c r="EMM229" s="2"/>
      <c r="EMN229" s="2"/>
      <c r="EMO229" s="2"/>
      <c r="EMP229" s="2"/>
      <c r="EMQ229" s="2"/>
      <c r="EMR229" s="2"/>
      <c r="EMS229" s="2"/>
      <c r="EMT229" s="2"/>
      <c r="EMU229" s="2"/>
      <c r="EMV229" s="2"/>
      <c r="EMW229" s="2"/>
      <c r="EMX229" s="2"/>
      <c r="EMY229" s="2"/>
      <c r="EMZ229" s="2"/>
      <c r="ENA229" s="2"/>
      <c r="ENB229" s="2"/>
      <c r="ENC229" s="2"/>
      <c r="END229" s="2"/>
      <c r="ENE229" s="2"/>
      <c r="ENF229" s="2"/>
      <c r="ENG229" s="2"/>
      <c r="ENH229" s="2"/>
      <c r="ENI229" s="2"/>
      <c r="ENJ229" s="2"/>
      <c r="ENK229" s="2"/>
      <c r="ENL229" s="2"/>
      <c r="ENM229" s="2"/>
      <c r="ENN229" s="2"/>
      <c r="ENO229" s="2"/>
      <c r="ENP229" s="2"/>
      <c r="ENQ229" s="2"/>
      <c r="ENR229" s="2"/>
      <c r="ENS229" s="2"/>
      <c r="ENT229" s="2"/>
      <c r="ENU229" s="2"/>
      <c r="ENV229" s="2"/>
      <c r="ENW229" s="2"/>
      <c r="ENX229" s="2"/>
      <c r="ENY229" s="2"/>
      <c r="ENZ229" s="2"/>
      <c r="EOA229" s="2"/>
      <c r="EOB229" s="2"/>
      <c r="EOC229" s="2"/>
      <c r="EOD229" s="2"/>
      <c r="EOE229" s="2"/>
      <c r="EOF229" s="2"/>
      <c r="EOG229" s="2"/>
      <c r="EOH229" s="2"/>
      <c r="EOI229" s="2"/>
      <c r="EOJ229" s="2"/>
      <c r="EOK229" s="2"/>
      <c r="EOL229" s="2"/>
      <c r="EOM229" s="2"/>
      <c r="EON229" s="2"/>
      <c r="EOO229" s="2"/>
      <c r="EOP229" s="2"/>
      <c r="EOQ229" s="2"/>
      <c r="EOR229" s="2"/>
      <c r="EOS229" s="2"/>
      <c r="EOT229" s="2"/>
      <c r="EOU229" s="2"/>
      <c r="EOV229" s="2"/>
      <c r="EOW229" s="2"/>
      <c r="EOX229" s="2"/>
      <c r="EOY229" s="2"/>
      <c r="EOZ229" s="2"/>
      <c r="EPA229" s="2"/>
      <c r="EPB229" s="2"/>
      <c r="EPC229" s="2"/>
      <c r="EPD229" s="2"/>
      <c r="EPE229" s="2"/>
      <c r="EPF229" s="2"/>
      <c r="EPG229" s="2"/>
      <c r="EPH229" s="2"/>
      <c r="EPI229" s="2"/>
      <c r="EPJ229" s="2"/>
      <c r="EPK229" s="2"/>
      <c r="EPL229" s="2"/>
      <c r="EPM229" s="2"/>
      <c r="EPN229" s="2"/>
      <c r="EPO229" s="2"/>
      <c r="EPP229" s="2"/>
      <c r="EPQ229" s="2"/>
      <c r="EPR229" s="2"/>
      <c r="EPS229" s="2"/>
      <c r="EPT229" s="2"/>
      <c r="EPU229" s="2"/>
      <c r="EPV229" s="2"/>
      <c r="EPW229" s="2"/>
      <c r="EPX229" s="2"/>
      <c r="EPY229" s="2"/>
      <c r="EPZ229" s="2"/>
      <c r="EQA229" s="2"/>
      <c r="EQB229" s="2"/>
      <c r="EQC229" s="2"/>
      <c r="EQD229" s="2"/>
      <c r="EQE229" s="2"/>
      <c r="EQF229" s="2"/>
      <c r="EQG229" s="2"/>
      <c r="EQH229" s="2"/>
      <c r="EQI229" s="2"/>
      <c r="EQJ229" s="2"/>
      <c r="EQK229" s="2"/>
      <c r="EQL229" s="2"/>
      <c r="EQM229" s="2"/>
      <c r="EQN229" s="2"/>
      <c r="EQO229" s="2"/>
      <c r="EQP229" s="2"/>
      <c r="EQQ229" s="2"/>
      <c r="EQR229" s="2"/>
      <c r="EQS229" s="2"/>
      <c r="EQT229" s="2"/>
      <c r="EQU229" s="2"/>
      <c r="EQV229" s="2"/>
      <c r="EQW229" s="2"/>
      <c r="EQX229" s="2"/>
      <c r="EQY229" s="2"/>
      <c r="EQZ229" s="2"/>
      <c r="ERA229" s="2"/>
      <c r="ERB229" s="2"/>
      <c r="ERC229" s="2"/>
      <c r="ERD229" s="2"/>
      <c r="ERE229" s="2"/>
      <c r="ERF229" s="2"/>
      <c r="ERG229" s="2"/>
      <c r="ERH229" s="2"/>
      <c r="ERI229" s="2"/>
      <c r="ERJ229" s="2"/>
      <c r="ERK229" s="2"/>
      <c r="ERL229" s="2"/>
      <c r="ERM229" s="2"/>
      <c r="ERN229" s="2"/>
      <c r="ERO229" s="2"/>
      <c r="ERP229" s="2"/>
      <c r="ERQ229" s="2"/>
      <c r="ERR229" s="2"/>
      <c r="ERS229" s="2"/>
      <c r="ERT229" s="2"/>
      <c r="ERU229" s="2"/>
      <c r="ERV229" s="2"/>
      <c r="ERW229" s="2"/>
      <c r="ERX229" s="2"/>
      <c r="ERY229" s="2"/>
      <c r="ERZ229" s="2"/>
      <c r="ESA229" s="2"/>
      <c r="ESB229" s="2"/>
      <c r="ESC229" s="2"/>
      <c r="ESD229" s="2"/>
      <c r="ESE229" s="2"/>
      <c r="ESF229" s="2"/>
      <c r="ESG229" s="2"/>
      <c r="ESH229" s="2"/>
      <c r="ESI229" s="2"/>
      <c r="ESJ229" s="2"/>
      <c r="ESK229" s="2"/>
      <c r="ESL229" s="2"/>
      <c r="ESM229" s="2"/>
      <c r="ESN229" s="2"/>
      <c r="ESO229" s="2"/>
      <c r="ESP229" s="2"/>
      <c r="ESQ229" s="2"/>
      <c r="ESR229" s="2"/>
      <c r="ESS229" s="2"/>
      <c r="EST229" s="2"/>
      <c r="ESU229" s="2"/>
      <c r="ESV229" s="2"/>
      <c r="ESW229" s="2"/>
      <c r="ESX229" s="2"/>
      <c r="ESY229" s="2"/>
      <c r="ESZ229" s="2"/>
      <c r="ETA229" s="2"/>
      <c r="ETB229" s="2"/>
      <c r="ETC229" s="2"/>
      <c r="ETD229" s="2"/>
      <c r="ETE229" s="2"/>
      <c r="ETF229" s="2"/>
      <c r="ETG229" s="2"/>
      <c r="ETH229" s="2"/>
      <c r="ETI229" s="2"/>
      <c r="ETJ229" s="2"/>
      <c r="ETK229" s="2"/>
      <c r="ETL229" s="2"/>
      <c r="ETM229" s="2"/>
      <c r="ETN229" s="2"/>
      <c r="ETO229" s="2"/>
      <c r="ETP229" s="2"/>
      <c r="ETQ229" s="2"/>
      <c r="ETR229" s="2"/>
      <c r="ETS229" s="2"/>
      <c r="ETT229" s="2"/>
      <c r="ETU229" s="2"/>
      <c r="ETV229" s="2"/>
      <c r="ETW229" s="2"/>
      <c r="ETX229" s="2"/>
      <c r="ETY229" s="2"/>
      <c r="ETZ229" s="2"/>
      <c r="EUA229" s="2"/>
      <c r="EUB229" s="2"/>
      <c r="EUC229" s="2"/>
      <c r="EUD229" s="2"/>
      <c r="EUE229" s="2"/>
      <c r="EUF229" s="2"/>
      <c r="EUG229" s="2"/>
      <c r="EUH229" s="2"/>
      <c r="EUI229" s="2"/>
      <c r="EUJ229" s="2"/>
      <c r="EUK229" s="2"/>
      <c r="EUL229" s="2"/>
      <c r="EUM229" s="2"/>
      <c r="EUN229" s="2"/>
      <c r="EUO229" s="2"/>
      <c r="EUP229" s="2"/>
      <c r="EUQ229" s="2"/>
      <c r="EUR229" s="2"/>
      <c r="EUS229" s="2"/>
      <c r="EUT229" s="2"/>
      <c r="EUU229" s="2"/>
      <c r="EUV229" s="2"/>
      <c r="EUW229" s="2"/>
      <c r="EUX229" s="2"/>
      <c r="EUY229" s="2"/>
      <c r="EUZ229" s="2"/>
      <c r="EVA229" s="2"/>
      <c r="EVB229" s="2"/>
      <c r="EVC229" s="2"/>
      <c r="EVD229" s="2"/>
      <c r="EVE229" s="2"/>
      <c r="EVF229" s="2"/>
      <c r="EVG229" s="2"/>
      <c r="EVH229" s="2"/>
      <c r="EVI229" s="2"/>
      <c r="EVJ229" s="2"/>
      <c r="EVK229" s="2"/>
      <c r="EVL229" s="2"/>
      <c r="EVM229" s="2"/>
      <c r="EVN229" s="2"/>
      <c r="EVO229" s="2"/>
      <c r="EVP229" s="2"/>
      <c r="EVQ229" s="2"/>
      <c r="EVR229" s="2"/>
      <c r="EVS229" s="2"/>
      <c r="EVT229" s="2"/>
      <c r="EVU229" s="2"/>
      <c r="EVV229" s="2"/>
      <c r="EVW229" s="2"/>
      <c r="EVX229" s="2"/>
      <c r="EVY229" s="2"/>
      <c r="EVZ229" s="2"/>
      <c r="EWA229" s="2"/>
      <c r="EWB229" s="2"/>
      <c r="EWC229" s="2"/>
      <c r="EWD229" s="2"/>
      <c r="EWE229" s="2"/>
      <c r="EWF229" s="2"/>
      <c r="EWG229" s="2"/>
      <c r="EWH229" s="2"/>
      <c r="EWI229" s="2"/>
      <c r="EWJ229" s="2"/>
      <c r="EWK229" s="2"/>
      <c r="EWL229" s="2"/>
      <c r="EWM229" s="2"/>
      <c r="EWN229" s="2"/>
      <c r="EWO229" s="2"/>
      <c r="EWP229" s="2"/>
      <c r="EWQ229" s="2"/>
      <c r="EWR229" s="2"/>
      <c r="EWS229" s="2"/>
      <c r="EWT229" s="2"/>
      <c r="EWU229" s="2"/>
      <c r="EWV229" s="2"/>
      <c r="EWW229" s="2"/>
      <c r="EWX229" s="2"/>
      <c r="EWY229" s="2"/>
      <c r="EWZ229" s="2"/>
      <c r="EXA229" s="2"/>
      <c r="EXB229" s="2"/>
      <c r="EXC229" s="2"/>
      <c r="EXD229" s="2"/>
      <c r="EXE229" s="2"/>
      <c r="EXF229" s="2"/>
      <c r="EXG229" s="2"/>
      <c r="EXH229" s="2"/>
      <c r="EXI229" s="2"/>
      <c r="EXJ229" s="2"/>
      <c r="EXK229" s="2"/>
      <c r="EXL229" s="2"/>
      <c r="EXM229" s="2"/>
      <c r="EXN229" s="2"/>
      <c r="EXO229" s="2"/>
      <c r="EXP229" s="2"/>
      <c r="EXQ229" s="2"/>
      <c r="EXR229" s="2"/>
      <c r="EXS229" s="2"/>
      <c r="EXT229" s="2"/>
      <c r="EXU229" s="2"/>
      <c r="EXV229" s="2"/>
      <c r="EXW229" s="2"/>
      <c r="EXX229" s="2"/>
      <c r="EXY229" s="2"/>
      <c r="EXZ229" s="2"/>
      <c r="EYA229" s="2"/>
      <c r="EYB229" s="2"/>
      <c r="EYC229" s="2"/>
      <c r="EYD229" s="2"/>
      <c r="EYE229" s="2"/>
      <c r="EYF229" s="2"/>
      <c r="EYG229" s="2"/>
      <c r="EYH229" s="2"/>
      <c r="EYI229" s="2"/>
      <c r="EYJ229" s="2"/>
      <c r="EYK229" s="2"/>
      <c r="EYL229" s="2"/>
      <c r="EYM229" s="2"/>
      <c r="EYN229" s="2"/>
      <c r="EYO229" s="2"/>
      <c r="EYP229" s="2"/>
      <c r="EYQ229" s="2"/>
      <c r="EYR229" s="2"/>
      <c r="EYS229" s="2"/>
      <c r="EYT229" s="2"/>
      <c r="EYU229" s="2"/>
      <c r="EYV229" s="2"/>
      <c r="EYW229" s="2"/>
      <c r="EYX229" s="2"/>
      <c r="EYY229" s="2"/>
      <c r="EYZ229" s="2"/>
      <c r="EZA229" s="2"/>
      <c r="EZB229" s="2"/>
      <c r="EZC229" s="2"/>
      <c r="EZD229" s="2"/>
      <c r="EZE229" s="2"/>
      <c r="EZF229" s="2"/>
      <c r="EZG229" s="2"/>
      <c r="EZH229" s="2"/>
      <c r="EZI229" s="2"/>
      <c r="EZJ229" s="2"/>
      <c r="EZK229" s="2"/>
      <c r="EZL229" s="2"/>
      <c r="EZM229" s="2"/>
      <c r="EZN229" s="2"/>
      <c r="EZO229" s="2"/>
      <c r="EZP229" s="2"/>
      <c r="EZQ229" s="2"/>
      <c r="EZR229" s="2"/>
      <c r="EZS229" s="2"/>
      <c r="EZT229" s="2"/>
      <c r="EZU229" s="2"/>
      <c r="EZV229" s="2"/>
      <c r="EZW229" s="2"/>
      <c r="EZX229" s="2"/>
      <c r="EZY229" s="2"/>
      <c r="EZZ229" s="2"/>
      <c r="FAA229" s="2"/>
      <c r="FAB229" s="2"/>
      <c r="FAC229" s="2"/>
      <c r="FAD229" s="2"/>
      <c r="FAE229" s="2"/>
      <c r="FAF229" s="2"/>
      <c r="FAG229" s="2"/>
      <c r="FAH229" s="2"/>
      <c r="FAI229" s="2"/>
      <c r="FAJ229" s="2"/>
      <c r="FAK229" s="2"/>
      <c r="FAL229" s="2"/>
      <c r="FAM229" s="2"/>
      <c r="FAN229" s="2"/>
      <c r="FAO229" s="2"/>
      <c r="FAP229" s="2"/>
      <c r="FAQ229" s="2"/>
      <c r="FAR229" s="2"/>
      <c r="FAS229" s="2"/>
      <c r="FAT229" s="2"/>
      <c r="FAU229" s="2"/>
      <c r="FAV229" s="2"/>
      <c r="FAW229" s="2"/>
      <c r="FAX229" s="2"/>
      <c r="FAY229" s="2"/>
      <c r="FAZ229" s="2"/>
      <c r="FBA229" s="2"/>
      <c r="FBB229" s="2"/>
      <c r="FBC229" s="2"/>
      <c r="FBD229" s="2"/>
      <c r="FBE229" s="2"/>
      <c r="FBF229" s="2"/>
      <c r="FBG229" s="2"/>
      <c r="FBH229" s="2"/>
      <c r="FBI229" s="2"/>
      <c r="FBJ229" s="2"/>
      <c r="FBK229" s="2"/>
      <c r="FBL229" s="2"/>
      <c r="FBM229" s="2"/>
      <c r="FBN229" s="2"/>
      <c r="FBO229" s="2"/>
      <c r="FBP229" s="2"/>
      <c r="FBQ229" s="2"/>
      <c r="FBR229" s="2"/>
      <c r="FBS229" s="2"/>
      <c r="FBT229" s="2"/>
      <c r="FBU229" s="2"/>
      <c r="FBV229" s="2"/>
      <c r="FBW229" s="2"/>
      <c r="FBX229" s="2"/>
      <c r="FBY229" s="2"/>
      <c r="FBZ229" s="2"/>
      <c r="FCA229" s="2"/>
      <c r="FCB229" s="2"/>
      <c r="FCC229" s="2"/>
      <c r="FCD229" s="2"/>
      <c r="FCE229" s="2"/>
      <c r="FCF229" s="2"/>
      <c r="FCG229" s="2"/>
      <c r="FCH229" s="2"/>
      <c r="FCI229" s="2"/>
      <c r="FCJ229" s="2"/>
      <c r="FCK229" s="2"/>
      <c r="FCL229" s="2"/>
      <c r="FCM229" s="2"/>
      <c r="FCN229" s="2"/>
      <c r="FCO229" s="2"/>
      <c r="FCP229" s="2"/>
      <c r="FCQ229" s="2"/>
      <c r="FCR229" s="2"/>
      <c r="FCS229" s="2"/>
      <c r="FCT229" s="2"/>
      <c r="FCU229" s="2"/>
      <c r="FCV229" s="2"/>
      <c r="FCW229" s="2"/>
      <c r="FCX229" s="2"/>
      <c r="FCY229" s="2"/>
      <c r="FCZ229" s="2"/>
      <c r="FDA229" s="2"/>
      <c r="FDB229" s="2"/>
      <c r="FDC229" s="2"/>
      <c r="FDD229" s="2"/>
      <c r="FDE229" s="2"/>
      <c r="FDF229" s="2"/>
      <c r="FDG229" s="2"/>
      <c r="FDH229" s="2"/>
      <c r="FDI229" s="2"/>
      <c r="FDJ229" s="2"/>
      <c r="FDK229" s="2"/>
      <c r="FDL229" s="2"/>
      <c r="FDM229" s="2"/>
      <c r="FDN229" s="2"/>
      <c r="FDO229" s="2"/>
      <c r="FDP229" s="2"/>
      <c r="FDQ229" s="2"/>
      <c r="FDR229" s="2"/>
      <c r="FDS229" s="2"/>
      <c r="FDT229" s="2"/>
      <c r="FDU229" s="2"/>
      <c r="FDV229" s="2"/>
      <c r="FDW229" s="2"/>
      <c r="FDX229" s="2"/>
      <c r="FDY229" s="2"/>
      <c r="FDZ229" s="2"/>
      <c r="FEA229" s="2"/>
      <c r="FEB229" s="2"/>
      <c r="FEC229" s="2"/>
      <c r="FED229" s="2"/>
      <c r="FEE229" s="2"/>
      <c r="FEF229" s="2"/>
      <c r="FEG229" s="2"/>
      <c r="FEH229" s="2"/>
      <c r="FEI229" s="2"/>
      <c r="FEJ229" s="2"/>
      <c r="FEK229" s="2"/>
      <c r="FEL229" s="2"/>
      <c r="FEM229" s="2"/>
      <c r="FEN229" s="2"/>
      <c r="FEO229" s="2"/>
      <c r="FEP229" s="2"/>
      <c r="FEQ229" s="2"/>
      <c r="FER229" s="2"/>
      <c r="FES229" s="2"/>
      <c r="FET229" s="2"/>
      <c r="FEU229" s="2"/>
      <c r="FEV229" s="2"/>
      <c r="FEW229" s="2"/>
      <c r="FEX229" s="2"/>
      <c r="FEY229" s="2"/>
      <c r="FEZ229" s="2"/>
      <c r="FFA229" s="2"/>
      <c r="FFB229" s="2"/>
      <c r="FFC229" s="2"/>
      <c r="FFD229" s="2"/>
      <c r="FFE229" s="2"/>
      <c r="FFF229" s="2"/>
      <c r="FFG229" s="2"/>
      <c r="FFH229" s="2"/>
      <c r="FFI229" s="2"/>
      <c r="FFJ229" s="2"/>
      <c r="FFK229" s="2"/>
      <c r="FFL229" s="2"/>
      <c r="FFM229" s="2"/>
      <c r="FFN229" s="2"/>
      <c r="FFO229" s="2"/>
      <c r="FFP229" s="2"/>
      <c r="FFQ229" s="2"/>
      <c r="FFR229" s="2"/>
      <c r="FFS229" s="2"/>
      <c r="FFT229" s="2"/>
      <c r="FFU229" s="2"/>
      <c r="FFV229" s="2"/>
      <c r="FFW229" s="2"/>
      <c r="FFX229" s="2"/>
      <c r="FFY229" s="2"/>
      <c r="FFZ229" s="2"/>
      <c r="FGA229" s="2"/>
      <c r="FGB229" s="2"/>
      <c r="FGC229" s="2"/>
      <c r="FGD229" s="2"/>
      <c r="FGE229" s="2"/>
      <c r="FGF229" s="2"/>
      <c r="FGG229" s="2"/>
      <c r="FGH229" s="2"/>
      <c r="FGI229" s="2"/>
      <c r="FGJ229" s="2"/>
      <c r="FGK229" s="2"/>
      <c r="FGL229" s="2"/>
      <c r="FGM229" s="2"/>
      <c r="FGN229" s="2"/>
      <c r="FGO229" s="2"/>
      <c r="FGP229" s="2"/>
      <c r="FGQ229" s="2"/>
      <c r="FGR229" s="2"/>
      <c r="FGS229" s="2"/>
      <c r="FGT229" s="2"/>
      <c r="FGU229" s="2"/>
      <c r="FGV229" s="2"/>
      <c r="FGW229" s="2"/>
      <c r="FGX229" s="2"/>
      <c r="FGY229" s="2"/>
      <c r="FGZ229" s="2"/>
      <c r="FHA229" s="2"/>
      <c r="FHB229" s="2"/>
      <c r="FHC229" s="2"/>
      <c r="FHD229" s="2"/>
      <c r="FHE229" s="2"/>
      <c r="FHF229" s="2"/>
      <c r="FHG229" s="2"/>
      <c r="FHH229" s="2"/>
      <c r="FHI229" s="2"/>
      <c r="FHJ229" s="2"/>
      <c r="FHK229" s="2"/>
      <c r="FHL229" s="2"/>
      <c r="FHM229" s="2"/>
      <c r="FHN229" s="2"/>
      <c r="FHO229" s="2"/>
      <c r="FHP229" s="2"/>
      <c r="FHQ229" s="2"/>
      <c r="FHR229" s="2"/>
      <c r="FHS229" s="2"/>
      <c r="FHT229" s="2"/>
      <c r="FHU229" s="2"/>
      <c r="FHV229" s="2"/>
      <c r="FHW229" s="2"/>
      <c r="FHX229" s="2"/>
      <c r="FHY229" s="2"/>
      <c r="FHZ229" s="2"/>
      <c r="FIA229" s="2"/>
      <c r="FIB229" s="2"/>
      <c r="FIC229" s="2"/>
      <c r="FID229" s="2"/>
      <c r="FIE229" s="2"/>
      <c r="FIF229" s="2"/>
      <c r="FIG229" s="2"/>
      <c r="FIH229" s="2"/>
      <c r="FII229" s="2"/>
      <c r="FIJ229" s="2"/>
      <c r="FIK229" s="2"/>
      <c r="FIL229" s="2"/>
      <c r="FIM229" s="2"/>
      <c r="FIN229" s="2"/>
      <c r="FIO229" s="2"/>
      <c r="FIP229" s="2"/>
      <c r="FIQ229" s="2"/>
      <c r="FIR229" s="2"/>
      <c r="FIS229" s="2"/>
      <c r="FIT229" s="2"/>
      <c r="FIU229" s="2"/>
      <c r="FIV229" s="2"/>
      <c r="FIW229" s="2"/>
      <c r="FIX229" s="2"/>
      <c r="FIY229" s="2"/>
      <c r="FIZ229" s="2"/>
      <c r="FJA229" s="2"/>
      <c r="FJB229" s="2"/>
      <c r="FJC229" s="2"/>
      <c r="FJD229" s="2"/>
      <c r="FJE229" s="2"/>
      <c r="FJF229" s="2"/>
      <c r="FJG229" s="2"/>
      <c r="FJH229" s="2"/>
      <c r="FJI229" s="2"/>
      <c r="FJJ229" s="2"/>
      <c r="FJK229" s="2"/>
      <c r="FJL229" s="2"/>
      <c r="FJM229" s="2"/>
      <c r="FJN229" s="2"/>
      <c r="FJO229" s="2"/>
      <c r="FJP229" s="2"/>
      <c r="FJQ229" s="2"/>
      <c r="FJR229" s="2"/>
      <c r="FJS229" s="2"/>
      <c r="FJT229" s="2"/>
      <c r="FJU229" s="2"/>
      <c r="FJV229" s="2"/>
      <c r="FJW229" s="2"/>
      <c r="FJX229" s="2"/>
      <c r="FJY229" s="2"/>
      <c r="FJZ229" s="2"/>
      <c r="FKA229" s="2"/>
      <c r="FKB229" s="2"/>
      <c r="FKC229" s="2"/>
      <c r="FKD229" s="2"/>
      <c r="FKE229" s="2"/>
      <c r="FKF229" s="2"/>
      <c r="FKG229" s="2"/>
      <c r="FKH229" s="2"/>
      <c r="FKI229" s="2"/>
      <c r="FKJ229" s="2"/>
      <c r="FKK229" s="2"/>
      <c r="FKL229" s="2"/>
      <c r="FKM229" s="2"/>
      <c r="FKN229" s="2"/>
      <c r="FKO229" s="2"/>
      <c r="FKP229" s="2"/>
      <c r="FKQ229" s="2"/>
      <c r="FKR229" s="2"/>
      <c r="FKS229" s="2"/>
      <c r="FKT229" s="2"/>
      <c r="FKU229" s="2"/>
      <c r="FKV229" s="2"/>
      <c r="FKW229" s="2"/>
      <c r="FKX229" s="2"/>
      <c r="FKY229" s="2"/>
      <c r="FKZ229" s="2"/>
      <c r="FLA229" s="2"/>
      <c r="FLB229" s="2"/>
      <c r="FLC229" s="2"/>
      <c r="FLD229" s="2"/>
      <c r="FLE229" s="2"/>
      <c r="FLF229" s="2"/>
      <c r="FLG229" s="2"/>
      <c r="FLH229" s="2"/>
      <c r="FLI229" s="2"/>
      <c r="FLJ229" s="2"/>
      <c r="FLK229" s="2"/>
      <c r="FLL229" s="2"/>
      <c r="FLM229" s="2"/>
      <c r="FLN229" s="2"/>
      <c r="FLO229" s="2"/>
      <c r="FLP229" s="2"/>
      <c r="FLQ229" s="2"/>
      <c r="FLR229" s="2"/>
      <c r="FLS229" s="2"/>
      <c r="FLT229" s="2"/>
      <c r="FLU229" s="2"/>
      <c r="FLV229" s="2"/>
      <c r="FLW229" s="2"/>
      <c r="FLX229" s="2"/>
      <c r="FLY229" s="2"/>
      <c r="FLZ229" s="2"/>
      <c r="FMA229" s="2"/>
      <c r="FMB229" s="2"/>
      <c r="FMC229" s="2"/>
      <c r="FMD229" s="2"/>
      <c r="FME229" s="2"/>
      <c r="FMF229" s="2"/>
      <c r="FMG229" s="2"/>
      <c r="FMH229" s="2"/>
      <c r="FMI229" s="2"/>
      <c r="FMJ229" s="2"/>
      <c r="FMK229" s="2"/>
      <c r="FML229" s="2"/>
      <c r="FMM229" s="2"/>
      <c r="FMN229" s="2"/>
      <c r="FMO229" s="2"/>
      <c r="FMP229" s="2"/>
      <c r="FMQ229" s="2"/>
      <c r="FMR229" s="2"/>
      <c r="FMS229" s="2"/>
      <c r="FMT229" s="2"/>
      <c r="FMU229" s="2"/>
      <c r="FMV229" s="2"/>
      <c r="FMW229" s="2"/>
      <c r="FMX229" s="2"/>
      <c r="FMY229" s="2"/>
      <c r="FMZ229" s="2"/>
      <c r="FNA229" s="2"/>
      <c r="FNB229" s="2"/>
      <c r="FNC229" s="2"/>
      <c r="FND229" s="2"/>
      <c r="FNE229" s="2"/>
      <c r="FNF229" s="2"/>
      <c r="FNG229" s="2"/>
      <c r="FNH229" s="2"/>
      <c r="FNI229" s="2"/>
      <c r="FNJ229" s="2"/>
      <c r="FNK229" s="2"/>
      <c r="FNL229" s="2"/>
      <c r="FNM229" s="2"/>
      <c r="FNN229" s="2"/>
      <c r="FNO229" s="2"/>
      <c r="FNP229" s="2"/>
      <c r="FNQ229" s="2"/>
      <c r="FNR229" s="2"/>
      <c r="FNS229" s="2"/>
      <c r="FNT229" s="2"/>
      <c r="FNU229" s="2"/>
      <c r="FNV229" s="2"/>
      <c r="FNW229" s="2"/>
      <c r="FNX229" s="2"/>
      <c r="FNY229" s="2"/>
      <c r="FNZ229" s="2"/>
      <c r="FOA229" s="2"/>
      <c r="FOB229" s="2"/>
      <c r="FOC229" s="2"/>
      <c r="FOD229" s="2"/>
      <c r="FOE229" s="2"/>
      <c r="FOF229" s="2"/>
      <c r="FOG229" s="2"/>
      <c r="FOH229" s="2"/>
      <c r="FOI229" s="2"/>
      <c r="FOJ229" s="2"/>
      <c r="FOK229" s="2"/>
      <c r="FOL229" s="2"/>
      <c r="FOM229" s="2"/>
      <c r="FON229" s="2"/>
      <c r="FOO229" s="2"/>
      <c r="FOP229" s="2"/>
      <c r="FOQ229" s="2"/>
      <c r="FOR229" s="2"/>
      <c r="FOS229" s="2"/>
      <c r="FOT229" s="2"/>
      <c r="FOU229" s="2"/>
      <c r="FOV229" s="2"/>
      <c r="FOW229" s="2"/>
      <c r="FOX229" s="2"/>
      <c r="FOY229" s="2"/>
      <c r="FOZ229" s="2"/>
      <c r="FPA229" s="2"/>
      <c r="FPB229" s="2"/>
      <c r="FPC229" s="2"/>
      <c r="FPD229" s="2"/>
      <c r="FPE229" s="2"/>
      <c r="FPF229" s="2"/>
      <c r="FPG229" s="2"/>
      <c r="FPH229" s="2"/>
      <c r="FPI229" s="2"/>
      <c r="FPJ229" s="2"/>
      <c r="FPK229" s="2"/>
      <c r="FPL229" s="2"/>
      <c r="FPM229" s="2"/>
      <c r="FPN229" s="2"/>
      <c r="FPO229" s="2"/>
      <c r="FPP229" s="2"/>
      <c r="FPQ229" s="2"/>
      <c r="FPR229" s="2"/>
      <c r="FPS229" s="2"/>
      <c r="FPT229" s="2"/>
      <c r="FPU229" s="2"/>
      <c r="FPV229" s="2"/>
      <c r="FPW229" s="2"/>
      <c r="FPX229" s="2"/>
      <c r="FPY229" s="2"/>
      <c r="FPZ229" s="2"/>
      <c r="FQA229" s="2"/>
      <c r="FQB229" s="2"/>
      <c r="FQC229" s="2"/>
      <c r="FQD229" s="2"/>
      <c r="FQE229" s="2"/>
      <c r="FQF229" s="2"/>
      <c r="FQG229" s="2"/>
      <c r="FQH229" s="2"/>
      <c r="FQI229" s="2"/>
      <c r="FQJ229" s="2"/>
      <c r="FQK229" s="2"/>
      <c r="FQL229" s="2"/>
      <c r="FQM229" s="2"/>
      <c r="FQN229" s="2"/>
      <c r="FQO229" s="2"/>
      <c r="FQP229" s="2"/>
      <c r="FQQ229" s="2"/>
      <c r="FQR229" s="2"/>
      <c r="FQS229" s="2"/>
      <c r="FQT229" s="2"/>
      <c r="FQU229" s="2"/>
      <c r="FQV229" s="2"/>
      <c r="FQW229" s="2"/>
      <c r="FQX229" s="2"/>
      <c r="FQY229" s="2"/>
      <c r="FQZ229" s="2"/>
      <c r="FRA229" s="2"/>
      <c r="FRB229" s="2"/>
      <c r="FRC229" s="2"/>
      <c r="FRD229" s="2"/>
      <c r="FRE229" s="2"/>
      <c r="FRF229" s="2"/>
      <c r="FRG229" s="2"/>
      <c r="FRH229" s="2"/>
      <c r="FRI229" s="2"/>
      <c r="FRJ229" s="2"/>
      <c r="FRK229" s="2"/>
      <c r="FRL229" s="2"/>
      <c r="FRM229" s="2"/>
      <c r="FRN229" s="2"/>
      <c r="FRO229" s="2"/>
      <c r="FRP229" s="2"/>
      <c r="FRQ229" s="2"/>
      <c r="FRR229" s="2"/>
      <c r="FRS229" s="2"/>
      <c r="FRT229" s="2"/>
      <c r="FRU229" s="2"/>
      <c r="FRV229" s="2"/>
      <c r="FRW229" s="2"/>
      <c r="FRX229" s="2"/>
      <c r="FRY229" s="2"/>
      <c r="FRZ229" s="2"/>
      <c r="FSA229" s="2"/>
      <c r="FSB229" s="2"/>
      <c r="FSC229" s="2"/>
      <c r="FSD229" s="2"/>
      <c r="FSE229" s="2"/>
      <c r="FSF229" s="2"/>
      <c r="FSG229" s="2"/>
      <c r="FSH229" s="2"/>
      <c r="FSI229" s="2"/>
      <c r="FSJ229" s="2"/>
      <c r="FSK229" s="2"/>
      <c r="FSL229" s="2"/>
      <c r="FSM229" s="2"/>
      <c r="FSN229" s="2"/>
      <c r="FSO229" s="2"/>
      <c r="FSP229" s="2"/>
      <c r="FSQ229" s="2"/>
      <c r="FSR229" s="2"/>
      <c r="FSS229" s="2"/>
      <c r="FST229" s="2"/>
      <c r="FSU229" s="2"/>
      <c r="FSV229" s="2"/>
      <c r="FSW229" s="2"/>
      <c r="FSX229" s="2"/>
      <c r="FSY229" s="2"/>
      <c r="FSZ229" s="2"/>
      <c r="FTA229" s="2"/>
      <c r="FTB229" s="2"/>
      <c r="FTC229" s="2"/>
      <c r="FTD229" s="2"/>
      <c r="FTE229" s="2"/>
      <c r="FTF229" s="2"/>
      <c r="FTG229" s="2"/>
      <c r="FTH229" s="2"/>
      <c r="FTI229" s="2"/>
      <c r="FTJ229" s="2"/>
      <c r="FTK229" s="2"/>
      <c r="FTL229" s="2"/>
      <c r="FTM229" s="2"/>
      <c r="FTN229" s="2"/>
      <c r="FTO229" s="2"/>
      <c r="FTP229" s="2"/>
      <c r="FTQ229" s="2"/>
      <c r="FTR229" s="2"/>
      <c r="FTS229" s="2"/>
      <c r="FTT229" s="2"/>
      <c r="FTU229" s="2"/>
      <c r="FTV229" s="2"/>
      <c r="FTW229" s="2"/>
      <c r="FTX229" s="2"/>
      <c r="FTY229" s="2"/>
      <c r="FTZ229" s="2"/>
      <c r="FUA229" s="2"/>
      <c r="FUB229" s="2"/>
      <c r="FUC229" s="2"/>
      <c r="FUD229" s="2"/>
      <c r="FUE229" s="2"/>
      <c r="FUF229" s="2"/>
      <c r="FUG229" s="2"/>
      <c r="FUH229" s="2"/>
      <c r="FUI229" s="2"/>
      <c r="FUJ229" s="2"/>
      <c r="FUK229" s="2"/>
      <c r="FUL229" s="2"/>
      <c r="FUM229" s="2"/>
      <c r="FUN229" s="2"/>
      <c r="FUO229" s="2"/>
      <c r="FUP229" s="2"/>
      <c r="FUQ229" s="2"/>
      <c r="FUR229" s="2"/>
      <c r="FUS229" s="2"/>
      <c r="FUT229" s="2"/>
      <c r="FUU229" s="2"/>
      <c r="FUV229" s="2"/>
      <c r="FUW229" s="2"/>
      <c r="FUX229" s="2"/>
      <c r="FUY229" s="2"/>
      <c r="FUZ229" s="2"/>
      <c r="FVA229" s="2"/>
      <c r="FVB229" s="2"/>
      <c r="FVC229" s="2"/>
      <c r="FVD229" s="2"/>
      <c r="FVE229" s="2"/>
      <c r="FVF229" s="2"/>
      <c r="FVG229" s="2"/>
      <c r="FVH229" s="2"/>
      <c r="FVI229" s="2"/>
      <c r="FVJ229" s="2"/>
      <c r="FVK229" s="2"/>
      <c r="FVL229" s="2"/>
      <c r="FVM229" s="2"/>
      <c r="FVN229" s="2"/>
      <c r="FVO229" s="2"/>
      <c r="FVP229" s="2"/>
      <c r="FVQ229" s="2"/>
      <c r="FVR229" s="2"/>
      <c r="FVS229" s="2"/>
      <c r="FVT229" s="2"/>
      <c r="FVU229" s="2"/>
      <c r="FVV229" s="2"/>
      <c r="FVW229" s="2"/>
      <c r="FVX229" s="2"/>
      <c r="FVY229" s="2"/>
      <c r="FVZ229" s="2"/>
      <c r="FWA229" s="2"/>
      <c r="FWB229" s="2"/>
      <c r="FWC229" s="2"/>
      <c r="FWD229" s="2"/>
      <c r="FWE229" s="2"/>
      <c r="FWF229" s="2"/>
      <c r="FWG229" s="2"/>
      <c r="FWH229" s="2"/>
      <c r="FWI229" s="2"/>
      <c r="FWJ229" s="2"/>
      <c r="FWK229" s="2"/>
      <c r="FWL229" s="2"/>
      <c r="FWM229" s="2"/>
      <c r="FWN229" s="2"/>
      <c r="FWO229" s="2"/>
      <c r="FWP229" s="2"/>
      <c r="FWQ229" s="2"/>
      <c r="FWR229" s="2"/>
      <c r="FWS229" s="2"/>
      <c r="FWT229" s="2"/>
      <c r="FWU229" s="2"/>
      <c r="FWV229" s="2"/>
      <c r="FWW229" s="2"/>
      <c r="FWX229" s="2"/>
      <c r="FWY229" s="2"/>
      <c r="FWZ229" s="2"/>
      <c r="FXA229" s="2"/>
      <c r="FXB229" s="2"/>
      <c r="FXC229" s="2"/>
      <c r="FXD229" s="2"/>
      <c r="FXE229" s="2"/>
      <c r="FXF229" s="2"/>
      <c r="FXG229" s="2"/>
      <c r="FXH229" s="2"/>
      <c r="FXI229" s="2"/>
      <c r="FXJ229" s="2"/>
      <c r="FXK229" s="2"/>
      <c r="FXL229" s="2"/>
      <c r="FXM229" s="2"/>
      <c r="FXN229" s="2"/>
      <c r="FXO229" s="2"/>
      <c r="FXP229" s="2"/>
      <c r="FXQ229" s="2"/>
      <c r="FXR229" s="2"/>
      <c r="FXS229" s="2"/>
      <c r="FXT229" s="2"/>
      <c r="FXU229" s="2"/>
      <c r="FXV229" s="2"/>
      <c r="FXW229" s="2"/>
      <c r="FXX229" s="2"/>
      <c r="FXY229" s="2"/>
      <c r="FXZ229" s="2"/>
      <c r="FYA229" s="2"/>
      <c r="FYB229" s="2"/>
      <c r="FYC229" s="2"/>
      <c r="FYD229" s="2"/>
      <c r="FYE229" s="2"/>
      <c r="FYF229" s="2"/>
      <c r="FYG229" s="2"/>
      <c r="FYH229" s="2"/>
      <c r="FYI229" s="2"/>
      <c r="FYJ229" s="2"/>
      <c r="FYK229" s="2"/>
      <c r="FYL229" s="2"/>
      <c r="FYM229" s="2"/>
      <c r="FYN229" s="2"/>
      <c r="FYO229" s="2"/>
      <c r="FYP229" s="2"/>
      <c r="FYQ229" s="2"/>
      <c r="FYR229" s="2"/>
      <c r="FYS229" s="2"/>
      <c r="FYT229" s="2"/>
      <c r="FYU229" s="2"/>
      <c r="FYV229" s="2"/>
      <c r="FYW229" s="2"/>
      <c r="FYX229" s="2"/>
      <c r="FYY229" s="2"/>
      <c r="FYZ229" s="2"/>
      <c r="FZA229" s="2"/>
      <c r="FZB229" s="2"/>
      <c r="FZC229" s="2"/>
      <c r="FZD229" s="2"/>
      <c r="FZE229" s="2"/>
      <c r="FZF229" s="2"/>
      <c r="FZG229" s="2"/>
      <c r="FZH229" s="2"/>
      <c r="FZI229" s="2"/>
      <c r="FZJ229" s="2"/>
      <c r="FZK229" s="2"/>
      <c r="FZL229" s="2"/>
      <c r="FZM229" s="2"/>
      <c r="FZN229" s="2"/>
      <c r="FZO229" s="2"/>
      <c r="FZP229" s="2"/>
      <c r="FZQ229" s="2"/>
      <c r="FZR229" s="2"/>
      <c r="FZS229" s="2"/>
      <c r="FZT229" s="2"/>
      <c r="FZU229" s="2"/>
      <c r="FZV229" s="2"/>
      <c r="FZW229" s="2"/>
      <c r="FZX229" s="2"/>
      <c r="FZY229" s="2"/>
      <c r="FZZ229" s="2"/>
      <c r="GAA229" s="2"/>
      <c r="GAB229" s="2"/>
      <c r="GAC229" s="2"/>
      <c r="GAD229" s="2"/>
      <c r="GAE229" s="2"/>
      <c r="GAF229" s="2"/>
      <c r="GAG229" s="2"/>
      <c r="GAH229" s="2"/>
      <c r="GAI229" s="2"/>
      <c r="GAJ229" s="2"/>
      <c r="GAK229" s="2"/>
      <c r="GAL229" s="2"/>
      <c r="GAM229" s="2"/>
      <c r="GAN229" s="2"/>
      <c r="GAO229" s="2"/>
      <c r="GAP229" s="2"/>
      <c r="GAQ229" s="2"/>
      <c r="GAR229" s="2"/>
      <c r="GAS229" s="2"/>
      <c r="GAT229" s="2"/>
      <c r="GAU229" s="2"/>
      <c r="GAV229" s="2"/>
      <c r="GAW229" s="2"/>
      <c r="GAX229" s="2"/>
      <c r="GAY229" s="2"/>
      <c r="GAZ229" s="2"/>
      <c r="GBA229" s="2"/>
      <c r="GBB229" s="2"/>
      <c r="GBC229" s="2"/>
      <c r="GBD229" s="2"/>
      <c r="GBE229" s="2"/>
      <c r="GBF229" s="2"/>
      <c r="GBG229" s="2"/>
      <c r="GBH229" s="2"/>
      <c r="GBI229" s="2"/>
      <c r="GBJ229" s="2"/>
      <c r="GBK229" s="2"/>
      <c r="GBL229" s="2"/>
      <c r="GBM229" s="2"/>
      <c r="GBN229" s="2"/>
      <c r="GBO229" s="2"/>
      <c r="GBP229" s="2"/>
      <c r="GBQ229" s="2"/>
      <c r="GBR229" s="2"/>
      <c r="GBS229" s="2"/>
      <c r="GBT229" s="2"/>
      <c r="GBU229" s="2"/>
      <c r="GBV229" s="2"/>
      <c r="GBW229" s="2"/>
      <c r="GBX229" s="2"/>
      <c r="GBY229" s="2"/>
      <c r="GBZ229" s="2"/>
      <c r="GCA229" s="2"/>
      <c r="GCB229" s="2"/>
      <c r="GCC229" s="2"/>
      <c r="GCD229" s="2"/>
      <c r="GCE229" s="2"/>
      <c r="GCF229" s="2"/>
      <c r="GCG229" s="2"/>
      <c r="GCH229" s="2"/>
      <c r="GCI229" s="2"/>
      <c r="GCJ229" s="2"/>
      <c r="GCK229" s="2"/>
      <c r="GCL229" s="2"/>
      <c r="GCM229" s="2"/>
      <c r="GCN229" s="2"/>
      <c r="GCO229" s="2"/>
      <c r="GCP229" s="2"/>
      <c r="GCQ229" s="2"/>
      <c r="GCR229" s="2"/>
      <c r="GCS229" s="2"/>
      <c r="GCT229" s="2"/>
      <c r="GCU229" s="2"/>
      <c r="GCV229" s="2"/>
      <c r="GCW229" s="2"/>
      <c r="GCX229" s="2"/>
      <c r="GCY229" s="2"/>
      <c r="GCZ229" s="2"/>
      <c r="GDA229" s="2"/>
      <c r="GDB229" s="2"/>
      <c r="GDC229" s="2"/>
      <c r="GDD229" s="2"/>
      <c r="GDE229" s="2"/>
      <c r="GDF229" s="2"/>
      <c r="GDG229" s="2"/>
      <c r="GDH229" s="2"/>
      <c r="GDI229" s="2"/>
      <c r="GDJ229" s="2"/>
      <c r="GDK229" s="2"/>
      <c r="GDL229" s="2"/>
      <c r="GDM229" s="2"/>
      <c r="GDN229" s="2"/>
      <c r="GDO229" s="2"/>
      <c r="GDP229" s="2"/>
      <c r="GDQ229" s="2"/>
      <c r="GDR229" s="2"/>
      <c r="GDS229" s="2"/>
      <c r="GDT229" s="2"/>
      <c r="GDU229" s="2"/>
      <c r="GDV229" s="2"/>
      <c r="GDW229" s="2"/>
      <c r="GDX229" s="2"/>
      <c r="GDY229" s="2"/>
      <c r="GDZ229" s="2"/>
      <c r="GEA229" s="2"/>
      <c r="GEB229" s="2"/>
      <c r="GEC229" s="2"/>
      <c r="GED229" s="2"/>
      <c r="GEE229" s="2"/>
      <c r="GEF229" s="2"/>
      <c r="GEG229" s="2"/>
      <c r="GEH229" s="2"/>
      <c r="GEI229" s="2"/>
      <c r="GEJ229" s="2"/>
      <c r="GEK229" s="2"/>
      <c r="GEL229" s="2"/>
      <c r="GEM229" s="2"/>
      <c r="GEN229" s="2"/>
      <c r="GEO229" s="2"/>
      <c r="GEP229" s="2"/>
      <c r="GEQ229" s="2"/>
      <c r="GER229" s="2"/>
      <c r="GES229" s="2"/>
      <c r="GET229" s="2"/>
      <c r="GEU229" s="2"/>
      <c r="GEV229" s="2"/>
      <c r="GEW229" s="2"/>
      <c r="GEX229" s="2"/>
      <c r="GEY229" s="2"/>
      <c r="GEZ229" s="2"/>
      <c r="GFA229" s="2"/>
      <c r="GFB229" s="2"/>
      <c r="GFC229" s="2"/>
      <c r="GFD229" s="2"/>
      <c r="GFE229" s="2"/>
      <c r="GFF229" s="2"/>
      <c r="GFG229" s="2"/>
      <c r="GFH229" s="2"/>
      <c r="GFI229" s="2"/>
      <c r="GFJ229" s="2"/>
      <c r="GFK229" s="2"/>
      <c r="GFL229" s="2"/>
      <c r="GFM229" s="2"/>
      <c r="GFN229" s="2"/>
      <c r="GFO229" s="2"/>
      <c r="GFP229" s="2"/>
      <c r="GFQ229" s="2"/>
      <c r="GFR229" s="2"/>
      <c r="GFS229" s="2"/>
      <c r="GFT229" s="2"/>
      <c r="GFU229" s="2"/>
      <c r="GFV229" s="2"/>
      <c r="GFW229" s="2"/>
      <c r="GFX229" s="2"/>
      <c r="GFY229" s="2"/>
      <c r="GFZ229" s="2"/>
      <c r="GGA229" s="2"/>
      <c r="GGB229" s="2"/>
      <c r="GGC229" s="2"/>
      <c r="GGD229" s="2"/>
      <c r="GGE229" s="2"/>
      <c r="GGF229" s="2"/>
      <c r="GGG229" s="2"/>
      <c r="GGH229" s="2"/>
      <c r="GGI229" s="2"/>
      <c r="GGJ229" s="2"/>
      <c r="GGK229" s="2"/>
      <c r="GGL229" s="2"/>
      <c r="GGM229" s="2"/>
      <c r="GGN229" s="2"/>
      <c r="GGO229" s="2"/>
      <c r="GGP229" s="2"/>
      <c r="GGQ229" s="2"/>
      <c r="GGR229" s="2"/>
      <c r="GGS229" s="2"/>
      <c r="GGT229" s="2"/>
      <c r="GGU229" s="2"/>
      <c r="GGV229" s="2"/>
      <c r="GGW229" s="2"/>
      <c r="GGX229" s="2"/>
      <c r="GGY229" s="2"/>
      <c r="GGZ229" s="2"/>
      <c r="GHA229" s="2"/>
      <c r="GHB229" s="2"/>
      <c r="GHC229" s="2"/>
      <c r="GHD229" s="2"/>
      <c r="GHE229" s="2"/>
      <c r="GHF229" s="2"/>
      <c r="GHG229" s="2"/>
      <c r="GHH229" s="2"/>
      <c r="GHI229" s="2"/>
      <c r="GHJ229" s="2"/>
      <c r="GHK229" s="2"/>
      <c r="GHL229" s="2"/>
      <c r="GHM229" s="2"/>
      <c r="GHN229" s="2"/>
      <c r="GHO229" s="2"/>
      <c r="GHP229" s="2"/>
      <c r="GHQ229" s="2"/>
      <c r="GHR229" s="2"/>
      <c r="GHS229" s="2"/>
      <c r="GHT229" s="2"/>
      <c r="GHU229" s="2"/>
      <c r="GHV229" s="2"/>
      <c r="GHW229" s="2"/>
      <c r="GHX229" s="2"/>
      <c r="GHY229" s="2"/>
      <c r="GHZ229" s="2"/>
      <c r="GIA229" s="2"/>
      <c r="GIB229" s="2"/>
      <c r="GIC229" s="2"/>
      <c r="GID229" s="2"/>
      <c r="GIE229" s="2"/>
      <c r="GIF229" s="2"/>
      <c r="GIG229" s="2"/>
      <c r="GIH229" s="2"/>
      <c r="GII229" s="2"/>
      <c r="GIJ229" s="2"/>
      <c r="GIK229" s="2"/>
      <c r="GIL229" s="2"/>
      <c r="GIM229" s="2"/>
      <c r="GIN229" s="2"/>
      <c r="GIO229" s="2"/>
      <c r="GIP229" s="2"/>
      <c r="GIQ229" s="2"/>
      <c r="GIR229" s="2"/>
      <c r="GIS229" s="2"/>
      <c r="GIT229" s="2"/>
      <c r="GIU229" s="2"/>
      <c r="GIV229" s="2"/>
      <c r="GIW229" s="2"/>
      <c r="GIX229" s="2"/>
      <c r="GIY229" s="2"/>
      <c r="GIZ229" s="2"/>
      <c r="GJA229" s="2"/>
      <c r="GJB229" s="2"/>
      <c r="GJC229" s="2"/>
      <c r="GJD229" s="2"/>
      <c r="GJE229" s="2"/>
      <c r="GJF229" s="2"/>
      <c r="GJG229" s="2"/>
      <c r="GJH229" s="2"/>
      <c r="GJI229" s="2"/>
      <c r="GJJ229" s="2"/>
      <c r="GJK229" s="2"/>
      <c r="GJL229" s="2"/>
      <c r="GJM229" s="2"/>
      <c r="GJN229" s="2"/>
      <c r="GJO229" s="2"/>
      <c r="GJP229" s="2"/>
      <c r="GJQ229" s="2"/>
      <c r="GJR229" s="2"/>
      <c r="GJS229" s="2"/>
      <c r="GJT229" s="2"/>
      <c r="GJU229" s="2"/>
      <c r="GJV229" s="2"/>
      <c r="GJW229" s="2"/>
      <c r="GJX229" s="2"/>
      <c r="GJY229" s="2"/>
      <c r="GJZ229" s="2"/>
      <c r="GKA229" s="2"/>
      <c r="GKB229" s="2"/>
      <c r="GKC229" s="2"/>
      <c r="GKD229" s="2"/>
      <c r="GKE229" s="2"/>
      <c r="GKF229" s="2"/>
      <c r="GKG229" s="2"/>
      <c r="GKH229" s="2"/>
      <c r="GKI229" s="2"/>
      <c r="GKJ229" s="2"/>
      <c r="GKK229" s="2"/>
      <c r="GKL229" s="2"/>
      <c r="GKM229" s="2"/>
      <c r="GKN229" s="2"/>
      <c r="GKO229" s="2"/>
      <c r="GKP229" s="2"/>
      <c r="GKQ229" s="2"/>
      <c r="GKR229" s="2"/>
      <c r="GKS229" s="2"/>
      <c r="GKT229" s="2"/>
      <c r="GKU229" s="2"/>
      <c r="GKV229" s="2"/>
      <c r="GKW229" s="2"/>
      <c r="GKX229" s="2"/>
      <c r="GKY229" s="2"/>
      <c r="GKZ229" s="2"/>
      <c r="GLA229" s="2"/>
      <c r="GLB229" s="2"/>
      <c r="GLC229" s="2"/>
      <c r="GLD229" s="2"/>
      <c r="GLE229" s="2"/>
      <c r="GLF229" s="2"/>
      <c r="GLG229" s="2"/>
      <c r="GLH229" s="2"/>
      <c r="GLI229" s="2"/>
      <c r="GLJ229" s="2"/>
      <c r="GLK229" s="2"/>
      <c r="GLL229" s="2"/>
      <c r="GLM229" s="2"/>
      <c r="GLN229" s="2"/>
      <c r="GLO229" s="2"/>
      <c r="GLP229" s="2"/>
      <c r="GLQ229" s="2"/>
      <c r="GLR229" s="2"/>
      <c r="GLS229" s="2"/>
      <c r="GLT229" s="2"/>
      <c r="GLU229" s="2"/>
      <c r="GLV229" s="2"/>
      <c r="GLW229" s="2"/>
      <c r="GLX229" s="2"/>
      <c r="GLY229" s="2"/>
      <c r="GLZ229" s="2"/>
      <c r="GMA229" s="2"/>
      <c r="GMB229" s="2"/>
      <c r="GMC229" s="2"/>
      <c r="GMD229" s="2"/>
      <c r="GME229" s="2"/>
      <c r="GMF229" s="2"/>
      <c r="GMG229" s="2"/>
      <c r="GMH229" s="2"/>
      <c r="GMI229" s="2"/>
      <c r="GMJ229" s="2"/>
      <c r="GMK229" s="2"/>
      <c r="GML229" s="2"/>
      <c r="GMM229" s="2"/>
      <c r="GMN229" s="2"/>
      <c r="GMO229" s="2"/>
      <c r="GMP229" s="2"/>
      <c r="GMQ229" s="2"/>
      <c r="GMR229" s="2"/>
      <c r="GMS229" s="2"/>
      <c r="GMT229" s="2"/>
      <c r="GMU229" s="2"/>
      <c r="GMV229" s="2"/>
      <c r="GMW229" s="2"/>
      <c r="GMX229" s="2"/>
      <c r="GMY229" s="2"/>
      <c r="GMZ229" s="2"/>
      <c r="GNA229" s="2"/>
      <c r="GNB229" s="2"/>
      <c r="GNC229" s="2"/>
      <c r="GND229" s="2"/>
      <c r="GNE229" s="2"/>
      <c r="GNF229" s="2"/>
      <c r="GNG229" s="2"/>
      <c r="GNH229" s="2"/>
      <c r="GNI229" s="2"/>
      <c r="GNJ229" s="2"/>
      <c r="GNK229" s="2"/>
      <c r="GNL229" s="2"/>
      <c r="GNM229" s="2"/>
      <c r="GNN229" s="2"/>
      <c r="GNO229" s="2"/>
      <c r="GNP229" s="2"/>
      <c r="GNQ229" s="2"/>
      <c r="GNR229" s="2"/>
      <c r="GNS229" s="2"/>
      <c r="GNT229" s="2"/>
      <c r="GNU229" s="2"/>
      <c r="GNV229" s="2"/>
      <c r="GNW229" s="2"/>
      <c r="GNX229" s="2"/>
      <c r="GNY229" s="2"/>
      <c r="GNZ229" s="2"/>
      <c r="GOA229" s="2"/>
      <c r="GOB229" s="2"/>
      <c r="GOC229" s="2"/>
      <c r="GOD229" s="2"/>
      <c r="GOE229" s="2"/>
      <c r="GOF229" s="2"/>
      <c r="GOG229" s="2"/>
      <c r="GOH229" s="2"/>
      <c r="GOI229" s="2"/>
      <c r="GOJ229" s="2"/>
      <c r="GOK229" s="2"/>
      <c r="GOL229" s="2"/>
      <c r="GOM229" s="2"/>
      <c r="GON229" s="2"/>
      <c r="GOO229" s="2"/>
      <c r="GOP229" s="2"/>
      <c r="GOQ229" s="2"/>
      <c r="GOR229" s="2"/>
      <c r="GOS229" s="2"/>
      <c r="GOT229" s="2"/>
      <c r="GOU229" s="2"/>
      <c r="GOV229" s="2"/>
      <c r="GOW229" s="2"/>
      <c r="GOX229" s="2"/>
      <c r="GOY229" s="2"/>
      <c r="GOZ229" s="2"/>
      <c r="GPA229" s="2"/>
      <c r="GPB229" s="2"/>
      <c r="GPC229" s="2"/>
      <c r="GPD229" s="2"/>
      <c r="GPE229" s="2"/>
      <c r="GPF229" s="2"/>
      <c r="GPG229" s="2"/>
      <c r="GPH229" s="2"/>
      <c r="GPI229" s="2"/>
      <c r="GPJ229" s="2"/>
      <c r="GPK229" s="2"/>
      <c r="GPL229" s="2"/>
      <c r="GPM229" s="2"/>
      <c r="GPN229" s="2"/>
      <c r="GPO229" s="2"/>
      <c r="GPP229" s="2"/>
      <c r="GPQ229" s="2"/>
      <c r="GPR229" s="2"/>
      <c r="GPS229" s="2"/>
      <c r="GPT229" s="2"/>
      <c r="GPU229" s="2"/>
      <c r="GPV229" s="2"/>
      <c r="GPW229" s="2"/>
      <c r="GPX229" s="2"/>
      <c r="GPY229" s="2"/>
      <c r="GPZ229" s="2"/>
      <c r="GQA229" s="2"/>
      <c r="GQB229" s="2"/>
      <c r="GQC229" s="2"/>
      <c r="GQD229" s="2"/>
      <c r="GQE229" s="2"/>
      <c r="GQF229" s="2"/>
      <c r="GQG229" s="2"/>
      <c r="GQH229" s="2"/>
      <c r="GQI229" s="2"/>
      <c r="GQJ229" s="2"/>
      <c r="GQK229" s="2"/>
      <c r="GQL229" s="2"/>
      <c r="GQM229" s="2"/>
      <c r="GQN229" s="2"/>
      <c r="GQO229" s="2"/>
      <c r="GQP229" s="2"/>
      <c r="GQQ229" s="2"/>
      <c r="GQR229" s="2"/>
      <c r="GQS229" s="2"/>
      <c r="GQT229" s="2"/>
      <c r="GQU229" s="2"/>
      <c r="GQV229" s="2"/>
      <c r="GQW229" s="2"/>
      <c r="GQX229" s="2"/>
      <c r="GQY229" s="2"/>
      <c r="GQZ229" s="2"/>
      <c r="GRA229" s="2"/>
      <c r="GRB229" s="2"/>
      <c r="GRC229" s="2"/>
      <c r="GRD229" s="2"/>
      <c r="GRE229" s="2"/>
      <c r="GRF229" s="2"/>
      <c r="GRG229" s="2"/>
      <c r="GRH229" s="2"/>
      <c r="GRI229" s="2"/>
      <c r="GRJ229" s="2"/>
      <c r="GRK229" s="2"/>
      <c r="GRL229" s="2"/>
      <c r="GRM229" s="2"/>
      <c r="GRN229" s="2"/>
      <c r="GRO229" s="2"/>
      <c r="GRP229" s="2"/>
      <c r="GRQ229" s="2"/>
      <c r="GRR229" s="2"/>
      <c r="GRS229" s="2"/>
      <c r="GRT229" s="2"/>
      <c r="GRU229" s="2"/>
      <c r="GRV229" s="2"/>
      <c r="GRW229" s="2"/>
      <c r="GRX229" s="2"/>
      <c r="GRY229" s="2"/>
      <c r="GRZ229" s="2"/>
      <c r="GSA229" s="2"/>
      <c r="GSB229" s="2"/>
      <c r="GSC229" s="2"/>
      <c r="GSD229" s="2"/>
      <c r="GSE229" s="2"/>
      <c r="GSF229" s="2"/>
      <c r="GSG229" s="2"/>
      <c r="GSH229" s="2"/>
      <c r="GSI229" s="2"/>
      <c r="GSJ229" s="2"/>
      <c r="GSK229" s="2"/>
      <c r="GSL229" s="2"/>
      <c r="GSM229" s="2"/>
      <c r="GSN229" s="2"/>
      <c r="GSO229" s="2"/>
      <c r="GSP229" s="2"/>
      <c r="GSQ229" s="2"/>
      <c r="GSR229" s="2"/>
      <c r="GSS229" s="2"/>
      <c r="GST229" s="2"/>
      <c r="GSU229" s="2"/>
      <c r="GSV229" s="2"/>
      <c r="GSW229" s="2"/>
      <c r="GSX229" s="2"/>
      <c r="GSY229" s="2"/>
      <c r="GSZ229" s="2"/>
      <c r="GTA229" s="2"/>
      <c r="GTB229" s="2"/>
      <c r="GTC229" s="2"/>
      <c r="GTD229" s="2"/>
      <c r="GTE229" s="2"/>
      <c r="GTF229" s="2"/>
      <c r="GTG229" s="2"/>
      <c r="GTH229" s="2"/>
      <c r="GTI229" s="2"/>
      <c r="GTJ229" s="2"/>
      <c r="GTK229" s="2"/>
      <c r="GTL229" s="2"/>
      <c r="GTM229" s="2"/>
      <c r="GTN229" s="2"/>
      <c r="GTO229" s="2"/>
      <c r="GTP229" s="2"/>
      <c r="GTQ229" s="2"/>
      <c r="GTR229" s="2"/>
      <c r="GTS229" s="2"/>
      <c r="GTT229" s="2"/>
      <c r="GTU229" s="2"/>
      <c r="GTV229" s="2"/>
      <c r="GTW229" s="2"/>
      <c r="GTX229" s="2"/>
      <c r="GTY229" s="2"/>
      <c r="GTZ229" s="2"/>
      <c r="GUA229" s="2"/>
      <c r="GUB229" s="2"/>
      <c r="GUC229" s="2"/>
      <c r="GUD229" s="2"/>
      <c r="GUE229" s="2"/>
      <c r="GUF229" s="2"/>
      <c r="GUG229" s="2"/>
      <c r="GUH229" s="2"/>
      <c r="GUI229" s="2"/>
      <c r="GUJ229" s="2"/>
      <c r="GUK229" s="2"/>
      <c r="GUL229" s="2"/>
      <c r="GUM229" s="2"/>
      <c r="GUN229" s="2"/>
      <c r="GUO229" s="2"/>
      <c r="GUP229" s="2"/>
      <c r="GUQ229" s="2"/>
      <c r="GUR229" s="2"/>
      <c r="GUS229" s="2"/>
      <c r="GUT229" s="2"/>
      <c r="GUU229" s="2"/>
      <c r="GUV229" s="2"/>
      <c r="GUW229" s="2"/>
      <c r="GUX229" s="2"/>
      <c r="GUY229" s="2"/>
      <c r="GUZ229" s="2"/>
      <c r="GVA229" s="2"/>
      <c r="GVB229" s="2"/>
      <c r="GVC229" s="2"/>
      <c r="GVD229" s="2"/>
      <c r="GVE229" s="2"/>
      <c r="GVF229" s="2"/>
      <c r="GVG229" s="2"/>
      <c r="GVH229" s="2"/>
      <c r="GVI229" s="2"/>
      <c r="GVJ229" s="2"/>
      <c r="GVK229" s="2"/>
      <c r="GVL229" s="2"/>
      <c r="GVM229" s="2"/>
      <c r="GVN229" s="2"/>
      <c r="GVO229" s="2"/>
      <c r="GVP229" s="2"/>
      <c r="GVQ229" s="2"/>
      <c r="GVR229" s="2"/>
      <c r="GVS229" s="2"/>
      <c r="GVT229" s="2"/>
      <c r="GVU229" s="2"/>
      <c r="GVV229" s="2"/>
      <c r="GVW229" s="2"/>
      <c r="GVX229" s="2"/>
      <c r="GVY229" s="2"/>
      <c r="GVZ229" s="2"/>
      <c r="GWA229" s="2"/>
      <c r="GWB229" s="2"/>
      <c r="GWC229" s="2"/>
      <c r="GWD229" s="2"/>
      <c r="GWE229" s="2"/>
      <c r="GWF229" s="2"/>
      <c r="GWG229" s="2"/>
      <c r="GWH229" s="2"/>
      <c r="GWI229" s="2"/>
      <c r="GWJ229" s="2"/>
      <c r="GWK229" s="2"/>
      <c r="GWL229" s="2"/>
      <c r="GWM229" s="2"/>
      <c r="GWN229" s="2"/>
      <c r="GWO229" s="2"/>
      <c r="GWP229" s="2"/>
      <c r="GWQ229" s="2"/>
      <c r="GWR229" s="2"/>
      <c r="GWS229" s="2"/>
      <c r="GWT229" s="2"/>
      <c r="GWU229" s="2"/>
      <c r="GWV229" s="2"/>
      <c r="GWW229" s="2"/>
      <c r="GWX229" s="2"/>
      <c r="GWY229" s="2"/>
      <c r="GWZ229" s="2"/>
      <c r="GXA229" s="2"/>
      <c r="GXB229" s="2"/>
      <c r="GXC229" s="2"/>
      <c r="GXD229" s="2"/>
      <c r="GXE229" s="2"/>
      <c r="GXF229" s="2"/>
      <c r="GXG229" s="2"/>
      <c r="GXH229" s="2"/>
      <c r="GXI229" s="2"/>
      <c r="GXJ229" s="2"/>
      <c r="GXK229" s="2"/>
      <c r="GXL229" s="2"/>
      <c r="GXM229" s="2"/>
      <c r="GXN229" s="2"/>
      <c r="GXO229" s="2"/>
      <c r="GXP229" s="2"/>
      <c r="GXQ229" s="2"/>
      <c r="GXR229" s="2"/>
      <c r="GXS229" s="2"/>
      <c r="GXT229" s="2"/>
      <c r="GXU229" s="2"/>
      <c r="GXV229" s="2"/>
      <c r="GXW229" s="2"/>
      <c r="GXX229" s="2"/>
      <c r="GXY229" s="2"/>
      <c r="GXZ229" s="2"/>
      <c r="GYA229" s="2"/>
      <c r="GYB229" s="2"/>
      <c r="GYC229" s="2"/>
      <c r="GYD229" s="2"/>
      <c r="GYE229" s="2"/>
      <c r="GYF229" s="2"/>
      <c r="GYG229" s="2"/>
      <c r="GYH229" s="2"/>
      <c r="GYI229" s="2"/>
      <c r="GYJ229" s="2"/>
      <c r="GYK229" s="2"/>
      <c r="GYL229" s="2"/>
      <c r="GYM229" s="2"/>
      <c r="GYN229" s="2"/>
      <c r="GYO229" s="2"/>
      <c r="GYP229" s="2"/>
      <c r="GYQ229" s="2"/>
      <c r="GYR229" s="2"/>
      <c r="GYS229" s="2"/>
      <c r="GYT229" s="2"/>
      <c r="GYU229" s="2"/>
      <c r="GYV229" s="2"/>
      <c r="GYW229" s="2"/>
      <c r="GYX229" s="2"/>
      <c r="GYY229" s="2"/>
      <c r="GYZ229" s="2"/>
      <c r="GZA229" s="2"/>
      <c r="GZB229" s="2"/>
      <c r="GZC229" s="2"/>
      <c r="GZD229" s="2"/>
      <c r="GZE229" s="2"/>
      <c r="GZF229" s="2"/>
      <c r="GZG229" s="2"/>
      <c r="GZH229" s="2"/>
      <c r="GZI229" s="2"/>
      <c r="GZJ229" s="2"/>
      <c r="GZK229" s="2"/>
      <c r="GZL229" s="2"/>
      <c r="GZM229" s="2"/>
      <c r="GZN229" s="2"/>
      <c r="GZO229" s="2"/>
      <c r="GZP229" s="2"/>
      <c r="GZQ229" s="2"/>
      <c r="GZR229" s="2"/>
      <c r="GZS229" s="2"/>
      <c r="GZT229" s="2"/>
      <c r="GZU229" s="2"/>
      <c r="GZV229" s="2"/>
      <c r="GZW229" s="2"/>
      <c r="GZX229" s="2"/>
      <c r="GZY229" s="2"/>
      <c r="GZZ229" s="2"/>
      <c r="HAA229" s="2"/>
      <c r="HAB229" s="2"/>
      <c r="HAC229" s="2"/>
      <c r="HAD229" s="2"/>
      <c r="HAE229" s="2"/>
      <c r="HAF229" s="2"/>
      <c r="HAG229" s="2"/>
      <c r="HAH229" s="2"/>
      <c r="HAI229" s="2"/>
      <c r="HAJ229" s="2"/>
      <c r="HAK229" s="2"/>
      <c r="HAL229" s="2"/>
      <c r="HAM229" s="2"/>
      <c r="HAN229" s="2"/>
      <c r="HAO229" s="2"/>
      <c r="HAP229" s="2"/>
      <c r="HAQ229" s="2"/>
      <c r="HAR229" s="2"/>
      <c r="HAS229" s="2"/>
      <c r="HAT229" s="2"/>
      <c r="HAU229" s="2"/>
      <c r="HAV229" s="2"/>
      <c r="HAW229" s="2"/>
      <c r="HAX229" s="2"/>
      <c r="HAY229" s="2"/>
      <c r="HAZ229" s="2"/>
      <c r="HBA229" s="2"/>
      <c r="HBB229" s="2"/>
      <c r="HBC229" s="2"/>
      <c r="HBD229" s="2"/>
      <c r="HBE229" s="2"/>
      <c r="HBF229" s="2"/>
      <c r="HBG229" s="2"/>
      <c r="HBH229" s="2"/>
      <c r="HBI229" s="2"/>
      <c r="HBJ229" s="2"/>
      <c r="HBK229" s="2"/>
      <c r="HBL229" s="2"/>
      <c r="HBM229" s="2"/>
      <c r="HBN229" s="2"/>
      <c r="HBO229" s="2"/>
      <c r="HBP229" s="2"/>
      <c r="HBQ229" s="2"/>
      <c r="HBR229" s="2"/>
      <c r="HBS229" s="2"/>
      <c r="HBT229" s="2"/>
      <c r="HBU229" s="2"/>
      <c r="HBV229" s="2"/>
      <c r="HBW229" s="2"/>
      <c r="HBX229" s="2"/>
      <c r="HBY229" s="2"/>
      <c r="HBZ229" s="2"/>
      <c r="HCA229" s="2"/>
      <c r="HCB229" s="2"/>
      <c r="HCC229" s="2"/>
      <c r="HCD229" s="2"/>
      <c r="HCE229" s="2"/>
      <c r="HCF229" s="2"/>
      <c r="HCG229" s="2"/>
      <c r="HCH229" s="2"/>
      <c r="HCI229" s="2"/>
      <c r="HCJ229" s="2"/>
      <c r="HCK229" s="2"/>
      <c r="HCL229" s="2"/>
      <c r="HCM229" s="2"/>
      <c r="HCN229" s="2"/>
      <c r="HCO229" s="2"/>
      <c r="HCP229" s="2"/>
      <c r="HCQ229" s="2"/>
      <c r="HCR229" s="2"/>
      <c r="HCS229" s="2"/>
      <c r="HCT229" s="2"/>
      <c r="HCU229" s="2"/>
      <c r="HCV229" s="2"/>
      <c r="HCW229" s="2"/>
      <c r="HCX229" s="2"/>
      <c r="HCY229" s="2"/>
      <c r="HCZ229" s="2"/>
      <c r="HDA229" s="2"/>
      <c r="HDB229" s="2"/>
      <c r="HDC229" s="2"/>
      <c r="HDD229" s="2"/>
      <c r="HDE229" s="2"/>
      <c r="HDF229" s="2"/>
      <c r="HDG229" s="2"/>
      <c r="HDH229" s="2"/>
      <c r="HDI229" s="2"/>
      <c r="HDJ229" s="2"/>
      <c r="HDK229" s="2"/>
      <c r="HDL229" s="2"/>
      <c r="HDM229" s="2"/>
      <c r="HDN229" s="2"/>
      <c r="HDO229" s="2"/>
      <c r="HDP229" s="2"/>
      <c r="HDQ229" s="2"/>
      <c r="HDR229" s="2"/>
      <c r="HDS229" s="2"/>
      <c r="HDT229" s="2"/>
      <c r="HDU229" s="2"/>
      <c r="HDV229" s="2"/>
      <c r="HDW229" s="2"/>
      <c r="HDX229" s="2"/>
      <c r="HDY229" s="2"/>
      <c r="HDZ229" s="2"/>
      <c r="HEA229" s="2"/>
      <c r="HEB229" s="2"/>
      <c r="HEC229" s="2"/>
      <c r="HED229" s="2"/>
      <c r="HEE229" s="2"/>
      <c r="HEF229" s="2"/>
      <c r="HEG229" s="2"/>
      <c r="HEH229" s="2"/>
      <c r="HEI229" s="2"/>
      <c r="HEJ229" s="2"/>
      <c r="HEK229" s="2"/>
      <c r="HEL229" s="2"/>
      <c r="HEM229" s="2"/>
      <c r="HEN229" s="2"/>
      <c r="HEO229" s="2"/>
      <c r="HEP229" s="2"/>
      <c r="HEQ229" s="2"/>
      <c r="HER229" s="2"/>
      <c r="HES229" s="2"/>
      <c r="HET229" s="2"/>
      <c r="HEU229" s="2"/>
      <c r="HEV229" s="2"/>
      <c r="HEW229" s="2"/>
      <c r="HEX229" s="2"/>
      <c r="HEY229" s="2"/>
      <c r="HEZ229" s="2"/>
      <c r="HFA229" s="2"/>
      <c r="HFB229" s="2"/>
      <c r="HFC229" s="2"/>
      <c r="HFD229" s="2"/>
      <c r="HFE229" s="2"/>
      <c r="HFF229" s="2"/>
      <c r="HFG229" s="2"/>
      <c r="HFH229" s="2"/>
      <c r="HFI229" s="2"/>
      <c r="HFJ229" s="2"/>
      <c r="HFK229" s="2"/>
      <c r="HFL229" s="2"/>
      <c r="HFM229" s="2"/>
      <c r="HFN229" s="2"/>
      <c r="HFO229" s="2"/>
      <c r="HFP229" s="2"/>
      <c r="HFQ229" s="2"/>
      <c r="HFR229" s="2"/>
      <c r="HFS229" s="2"/>
      <c r="HFT229" s="2"/>
      <c r="HFU229" s="2"/>
      <c r="HFV229" s="2"/>
      <c r="HFW229" s="2"/>
      <c r="HFX229" s="2"/>
      <c r="HFY229" s="2"/>
      <c r="HFZ229" s="2"/>
      <c r="HGA229" s="2"/>
      <c r="HGB229" s="2"/>
      <c r="HGC229" s="2"/>
      <c r="HGD229" s="2"/>
      <c r="HGE229" s="2"/>
      <c r="HGF229" s="2"/>
      <c r="HGG229" s="2"/>
      <c r="HGH229" s="2"/>
      <c r="HGI229" s="2"/>
      <c r="HGJ229" s="2"/>
      <c r="HGK229" s="2"/>
      <c r="HGL229" s="2"/>
      <c r="HGM229" s="2"/>
      <c r="HGN229" s="2"/>
      <c r="HGO229" s="2"/>
      <c r="HGP229" s="2"/>
      <c r="HGQ229" s="2"/>
      <c r="HGR229" s="2"/>
      <c r="HGS229" s="2"/>
      <c r="HGT229" s="2"/>
      <c r="HGU229" s="2"/>
      <c r="HGV229" s="2"/>
      <c r="HGW229" s="2"/>
      <c r="HGX229" s="2"/>
      <c r="HGY229" s="2"/>
      <c r="HGZ229" s="2"/>
      <c r="HHA229" s="2"/>
      <c r="HHB229" s="2"/>
      <c r="HHC229" s="2"/>
      <c r="HHD229" s="2"/>
      <c r="HHE229" s="2"/>
      <c r="HHF229" s="2"/>
      <c r="HHG229" s="2"/>
      <c r="HHH229" s="2"/>
      <c r="HHI229" s="2"/>
      <c r="HHJ229" s="2"/>
      <c r="HHK229" s="2"/>
      <c r="HHL229" s="2"/>
      <c r="HHM229" s="2"/>
      <c r="HHN229" s="2"/>
      <c r="HHO229" s="2"/>
      <c r="HHP229" s="2"/>
      <c r="HHQ229" s="2"/>
      <c r="HHR229" s="2"/>
      <c r="HHS229" s="2"/>
      <c r="HHT229" s="2"/>
      <c r="HHU229" s="2"/>
      <c r="HHV229" s="2"/>
      <c r="HHW229" s="2"/>
      <c r="HHX229" s="2"/>
      <c r="HHY229" s="2"/>
      <c r="HHZ229" s="2"/>
      <c r="HIA229" s="2"/>
      <c r="HIB229" s="2"/>
      <c r="HIC229" s="2"/>
      <c r="HID229" s="2"/>
      <c r="HIE229" s="2"/>
      <c r="HIF229" s="2"/>
      <c r="HIG229" s="2"/>
      <c r="HIH229" s="2"/>
      <c r="HII229" s="2"/>
      <c r="HIJ229" s="2"/>
      <c r="HIK229" s="2"/>
      <c r="HIL229" s="2"/>
      <c r="HIM229" s="2"/>
      <c r="HIN229" s="2"/>
      <c r="HIO229" s="2"/>
      <c r="HIP229" s="2"/>
      <c r="HIQ229" s="2"/>
      <c r="HIR229" s="2"/>
      <c r="HIS229" s="2"/>
      <c r="HIT229" s="2"/>
      <c r="HIU229" s="2"/>
      <c r="HIV229" s="2"/>
      <c r="HIW229" s="2"/>
      <c r="HIX229" s="2"/>
      <c r="HIY229" s="2"/>
      <c r="HIZ229" s="2"/>
      <c r="HJA229" s="2"/>
      <c r="HJB229" s="2"/>
      <c r="HJC229" s="2"/>
      <c r="HJD229" s="2"/>
      <c r="HJE229" s="2"/>
      <c r="HJF229" s="2"/>
      <c r="HJG229" s="2"/>
      <c r="HJH229" s="2"/>
      <c r="HJI229" s="2"/>
      <c r="HJJ229" s="2"/>
      <c r="HJK229" s="2"/>
      <c r="HJL229" s="2"/>
      <c r="HJM229" s="2"/>
      <c r="HJN229" s="2"/>
      <c r="HJO229" s="2"/>
      <c r="HJP229" s="2"/>
      <c r="HJQ229" s="2"/>
      <c r="HJR229" s="2"/>
      <c r="HJS229" s="2"/>
      <c r="HJT229" s="2"/>
      <c r="HJU229" s="2"/>
      <c r="HJV229" s="2"/>
      <c r="HJW229" s="2"/>
      <c r="HJX229" s="2"/>
      <c r="HJY229" s="2"/>
      <c r="HJZ229" s="2"/>
      <c r="HKA229" s="2"/>
      <c r="HKB229" s="2"/>
      <c r="HKC229" s="2"/>
      <c r="HKD229" s="2"/>
      <c r="HKE229" s="2"/>
      <c r="HKF229" s="2"/>
      <c r="HKG229" s="2"/>
      <c r="HKH229" s="2"/>
      <c r="HKI229" s="2"/>
      <c r="HKJ229" s="2"/>
      <c r="HKK229" s="2"/>
      <c r="HKL229" s="2"/>
      <c r="HKM229" s="2"/>
      <c r="HKN229" s="2"/>
      <c r="HKO229" s="2"/>
      <c r="HKP229" s="2"/>
      <c r="HKQ229" s="2"/>
      <c r="HKR229" s="2"/>
      <c r="HKS229" s="2"/>
      <c r="HKT229" s="2"/>
      <c r="HKU229" s="2"/>
      <c r="HKV229" s="2"/>
      <c r="HKW229" s="2"/>
      <c r="HKX229" s="2"/>
      <c r="HKY229" s="2"/>
      <c r="HKZ229" s="2"/>
      <c r="HLA229" s="2"/>
      <c r="HLB229" s="2"/>
      <c r="HLC229" s="2"/>
      <c r="HLD229" s="2"/>
      <c r="HLE229" s="2"/>
      <c r="HLF229" s="2"/>
      <c r="HLG229" s="2"/>
      <c r="HLH229" s="2"/>
      <c r="HLI229" s="2"/>
      <c r="HLJ229" s="2"/>
      <c r="HLK229" s="2"/>
      <c r="HLL229" s="2"/>
      <c r="HLM229" s="2"/>
      <c r="HLN229" s="2"/>
      <c r="HLO229" s="2"/>
      <c r="HLP229" s="2"/>
      <c r="HLQ229" s="2"/>
      <c r="HLR229" s="2"/>
      <c r="HLS229" s="2"/>
      <c r="HLT229" s="2"/>
      <c r="HLU229" s="2"/>
      <c r="HLV229" s="2"/>
      <c r="HLW229" s="2"/>
      <c r="HLX229" s="2"/>
      <c r="HLY229" s="2"/>
      <c r="HLZ229" s="2"/>
      <c r="HMA229" s="2"/>
      <c r="HMB229" s="2"/>
      <c r="HMC229" s="2"/>
      <c r="HMD229" s="2"/>
      <c r="HME229" s="2"/>
      <c r="HMF229" s="2"/>
      <c r="HMG229" s="2"/>
      <c r="HMH229" s="2"/>
      <c r="HMI229" s="2"/>
      <c r="HMJ229" s="2"/>
      <c r="HMK229" s="2"/>
      <c r="HML229" s="2"/>
      <c r="HMM229" s="2"/>
      <c r="HMN229" s="2"/>
      <c r="HMO229" s="2"/>
      <c r="HMP229" s="2"/>
      <c r="HMQ229" s="2"/>
      <c r="HMR229" s="2"/>
      <c r="HMS229" s="2"/>
      <c r="HMT229" s="2"/>
      <c r="HMU229" s="2"/>
      <c r="HMV229" s="2"/>
      <c r="HMW229" s="2"/>
      <c r="HMX229" s="2"/>
      <c r="HMY229" s="2"/>
      <c r="HMZ229" s="2"/>
      <c r="HNA229" s="2"/>
      <c r="HNB229" s="2"/>
      <c r="HNC229" s="2"/>
      <c r="HND229" s="2"/>
      <c r="HNE229" s="2"/>
      <c r="HNF229" s="2"/>
      <c r="HNG229" s="2"/>
      <c r="HNH229" s="2"/>
      <c r="HNI229" s="2"/>
      <c r="HNJ229" s="2"/>
      <c r="HNK229" s="2"/>
      <c r="HNL229" s="2"/>
      <c r="HNM229" s="2"/>
      <c r="HNN229" s="2"/>
      <c r="HNO229" s="2"/>
      <c r="HNP229" s="2"/>
      <c r="HNQ229" s="2"/>
      <c r="HNR229" s="2"/>
      <c r="HNS229" s="2"/>
      <c r="HNT229" s="2"/>
      <c r="HNU229" s="2"/>
      <c r="HNV229" s="2"/>
      <c r="HNW229" s="2"/>
      <c r="HNX229" s="2"/>
      <c r="HNY229" s="2"/>
      <c r="HNZ229" s="2"/>
      <c r="HOA229" s="2"/>
      <c r="HOB229" s="2"/>
      <c r="HOC229" s="2"/>
      <c r="HOD229" s="2"/>
      <c r="HOE229" s="2"/>
      <c r="HOF229" s="2"/>
      <c r="HOG229" s="2"/>
      <c r="HOH229" s="2"/>
      <c r="HOI229" s="2"/>
      <c r="HOJ229" s="2"/>
      <c r="HOK229" s="2"/>
      <c r="HOL229" s="2"/>
      <c r="HOM229" s="2"/>
      <c r="HON229" s="2"/>
      <c r="HOO229" s="2"/>
      <c r="HOP229" s="2"/>
      <c r="HOQ229" s="2"/>
      <c r="HOR229" s="2"/>
      <c r="HOS229" s="2"/>
      <c r="HOT229" s="2"/>
      <c r="HOU229" s="2"/>
      <c r="HOV229" s="2"/>
      <c r="HOW229" s="2"/>
      <c r="HOX229" s="2"/>
      <c r="HOY229" s="2"/>
      <c r="HOZ229" s="2"/>
      <c r="HPA229" s="2"/>
      <c r="HPB229" s="2"/>
      <c r="HPC229" s="2"/>
      <c r="HPD229" s="2"/>
      <c r="HPE229" s="2"/>
      <c r="HPF229" s="2"/>
      <c r="HPG229" s="2"/>
      <c r="HPH229" s="2"/>
      <c r="HPI229" s="2"/>
      <c r="HPJ229" s="2"/>
      <c r="HPK229" s="2"/>
      <c r="HPL229" s="2"/>
      <c r="HPM229" s="2"/>
      <c r="HPN229" s="2"/>
      <c r="HPO229" s="2"/>
      <c r="HPP229" s="2"/>
      <c r="HPQ229" s="2"/>
      <c r="HPR229" s="2"/>
      <c r="HPS229" s="2"/>
      <c r="HPT229" s="2"/>
      <c r="HPU229" s="2"/>
      <c r="HPV229" s="2"/>
      <c r="HPW229" s="2"/>
      <c r="HPX229" s="2"/>
      <c r="HPY229" s="2"/>
      <c r="HPZ229" s="2"/>
      <c r="HQA229" s="2"/>
      <c r="HQB229" s="2"/>
      <c r="HQC229" s="2"/>
      <c r="HQD229" s="2"/>
      <c r="HQE229" s="2"/>
      <c r="HQF229" s="2"/>
      <c r="HQG229" s="2"/>
      <c r="HQH229" s="2"/>
      <c r="HQI229" s="2"/>
      <c r="HQJ229" s="2"/>
      <c r="HQK229" s="2"/>
      <c r="HQL229" s="2"/>
      <c r="HQM229" s="2"/>
      <c r="HQN229" s="2"/>
      <c r="HQO229" s="2"/>
      <c r="HQP229" s="2"/>
      <c r="HQQ229" s="2"/>
      <c r="HQR229" s="2"/>
      <c r="HQS229" s="2"/>
      <c r="HQT229" s="2"/>
      <c r="HQU229" s="2"/>
      <c r="HQV229" s="2"/>
      <c r="HQW229" s="2"/>
      <c r="HQX229" s="2"/>
      <c r="HQY229" s="2"/>
      <c r="HQZ229" s="2"/>
      <c r="HRA229" s="2"/>
      <c r="HRB229" s="2"/>
      <c r="HRC229" s="2"/>
      <c r="HRD229" s="2"/>
      <c r="HRE229" s="2"/>
      <c r="HRF229" s="2"/>
      <c r="HRG229" s="2"/>
      <c r="HRH229" s="2"/>
      <c r="HRI229" s="2"/>
      <c r="HRJ229" s="2"/>
      <c r="HRK229" s="2"/>
      <c r="HRL229" s="2"/>
      <c r="HRM229" s="2"/>
      <c r="HRN229" s="2"/>
      <c r="HRO229" s="2"/>
      <c r="HRP229" s="2"/>
      <c r="HRQ229" s="2"/>
      <c r="HRR229" s="2"/>
      <c r="HRS229" s="2"/>
      <c r="HRT229" s="2"/>
      <c r="HRU229" s="2"/>
      <c r="HRV229" s="2"/>
      <c r="HRW229" s="2"/>
      <c r="HRX229" s="2"/>
      <c r="HRY229" s="2"/>
      <c r="HRZ229" s="2"/>
      <c r="HSA229" s="2"/>
      <c r="HSB229" s="2"/>
      <c r="HSC229" s="2"/>
      <c r="HSD229" s="2"/>
      <c r="HSE229" s="2"/>
      <c r="HSF229" s="2"/>
      <c r="HSG229" s="2"/>
      <c r="HSH229" s="2"/>
      <c r="HSI229" s="2"/>
      <c r="HSJ229" s="2"/>
      <c r="HSK229" s="2"/>
      <c r="HSL229" s="2"/>
      <c r="HSM229" s="2"/>
      <c r="HSN229" s="2"/>
      <c r="HSO229" s="2"/>
      <c r="HSP229" s="2"/>
      <c r="HSQ229" s="2"/>
      <c r="HSR229" s="2"/>
      <c r="HSS229" s="2"/>
      <c r="HST229" s="2"/>
      <c r="HSU229" s="2"/>
      <c r="HSV229" s="2"/>
      <c r="HSW229" s="2"/>
      <c r="HSX229" s="2"/>
      <c r="HSY229" s="2"/>
      <c r="HSZ229" s="2"/>
      <c r="HTA229" s="2"/>
      <c r="HTB229" s="2"/>
      <c r="HTC229" s="2"/>
      <c r="HTD229" s="2"/>
      <c r="HTE229" s="2"/>
      <c r="HTF229" s="2"/>
      <c r="HTG229" s="2"/>
      <c r="HTH229" s="2"/>
      <c r="HTI229" s="2"/>
      <c r="HTJ229" s="2"/>
      <c r="HTK229" s="2"/>
      <c r="HTL229" s="2"/>
      <c r="HTM229" s="2"/>
      <c r="HTN229" s="2"/>
      <c r="HTO229" s="2"/>
      <c r="HTP229" s="2"/>
      <c r="HTQ229" s="2"/>
      <c r="HTR229" s="2"/>
      <c r="HTS229" s="2"/>
      <c r="HTT229" s="2"/>
      <c r="HTU229" s="2"/>
      <c r="HTV229" s="2"/>
      <c r="HTW229" s="2"/>
      <c r="HTX229" s="2"/>
      <c r="HTY229" s="2"/>
      <c r="HTZ229" s="2"/>
      <c r="HUA229" s="2"/>
      <c r="HUB229" s="2"/>
      <c r="HUC229" s="2"/>
      <c r="HUD229" s="2"/>
      <c r="HUE229" s="2"/>
      <c r="HUF229" s="2"/>
      <c r="HUG229" s="2"/>
      <c r="HUH229" s="2"/>
      <c r="HUI229" s="2"/>
      <c r="HUJ229" s="2"/>
      <c r="HUK229" s="2"/>
      <c r="HUL229" s="2"/>
      <c r="HUM229" s="2"/>
      <c r="HUN229" s="2"/>
      <c r="HUO229" s="2"/>
      <c r="HUP229" s="2"/>
      <c r="HUQ229" s="2"/>
      <c r="HUR229" s="2"/>
      <c r="HUS229" s="2"/>
      <c r="HUT229" s="2"/>
      <c r="HUU229" s="2"/>
      <c r="HUV229" s="2"/>
      <c r="HUW229" s="2"/>
      <c r="HUX229" s="2"/>
      <c r="HUY229" s="2"/>
      <c r="HUZ229" s="2"/>
      <c r="HVA229" s="2"/>
      <c r="HVB229" s="2"/>
      <c r="HVC229" s="2"/>
      <c r="HVD229" s="2"/>
      <c r="HVE229" s="2"/>
      <c r="HVF229" s="2"/>
      <c r="HVG229" s="2"/>
      <c r="HVH229" s="2"/>
      <c r="HVI229" s="2"/>
      <c r="HVJ229" s="2"/>
      <c r="HVK229" s="2"/>
      <c r="HVL229" s="2"/>
      <c r="HVM229" s="2"/>
      <c r="HVN229" s="2"/>
      <c r="HVO229" s="2"/>
      <c r="HVP229" s="2"/>
      <c r="HVQ229" s="2"/>
      <c r="HVR229" s="2"/>
      <c r="HVS229" s="2"/>
      <c r="HVT229" s="2"/>
      <c r="HVU229" s="2"/>
      <c r="HVV229" s="2"/>
      <c r="HVW229" s="2"/>
      <c r="HVX229" s="2"/>
      <c r="HVY229" s="2"/>
      <c r="HVZ229" s="2"/>
      <c r="HWA229" s="2"/>
      <c r="HWB229" s="2"/>
      <c r="HWC229" s="2"/>
      <c r="HWD229" s="2"/>
      <c r="HWE229" s="2"/>
      <c r="HWF229" s="2"/>
      <c r="HWG229" s="2"/>
      <c r="HWH229" s="2"/>
      <c r="HWI229" s="2"/>
      <c r="HWJ229" s="2"/>
      <c r="HWK229" s="2"/>
      <c r="HWL229" s="2"/>
      <c r="HWM229" s="2"/>
      <c r="HWN229" s="2"/>
      <c r="HWO229" s="2"/>
      <c r="HWP229" s="2"/>
      <c r="HWQ229" s="2"/>
      <c r="HWR229" s="2"/>
      <c r="HWS229" s="2"/>
      <c r="HWT229" s="2"/>
      <c r="HWU229" s="2"/>
      <c r="HWV229" s="2"/>
      <c r="HWW229" s="2"/>
      <c r="HWX229" s="2"/>
      <c r="HWY229" s="2"/>
      <c r="HWZ229" s="2"/>
      <c r="HXA229" s="2"/>
      <c r="HXB229" s="2"/>
      <c r="HXC229" s="2"/>
      <c r="HXD229" s="2"/>
      <c r="HXE229" s="2"/>
      <c r="HXF229" s="2"/>
      <c r="HXG229" s="2"/>
      <c r="HXH229" s="2"/>
      <c r="HXI229" s="2"/>
      <c r="HXJ229" s="2"/>
      <c r="HXK229" s="2"/>
      <c r="HXL229" s="2"/>
      <c r="HXM229" s="2"/>
      <c r="HXN229" s="2"/>
      <c r="HXO229" s="2"/>
      <c r="HXP229" s="2"/>
      <c r="HXQ229" s="2"/>
      <c r="HXR229" s="2"/>
      <c r="HXS229" s="2"/>
      <c r="HXT229" s="2"/>
      <c r="HXU229" s="2"/>
      <c r="HXV229" s="2"/>
      <c r="HXW229" s="2"/>
      <c r="HXX229" s="2"/>
      <c r="HXY229" s="2"/>
      <c r="HXZ229" s="2"/>
      <c r="HYA229" s="2"/>
      <c r="HYB229" s="2"/>
      <c r="HYC229" s="2"/>
      <c r="HYD229" s="2"/>
      <c r="HYE229" s="2"/>
      <c r="HYF229" s="2"/>
      <c r="HYG229" s="2"/>
      <c r="HYH229" s="2"/>
      <c r="HYI229" s="2"/>
      <c r="HYJ229" s="2"/>
      <c r="HYK229" s="2"/>
      <c r="HYL229" s="2"/>
      <c r="HYM229" s="2"/>
      <c r="HYN229" s="2"/>
      <c r="HYO229" s="2"/>
      <c r="HYP229" s="2"/>
      <c r="HYQ229" s="2"/>
      <c r="HYR229" s="2"/>
      <c r="HYS229" s="2"/>
      <c r="HYT229" s="2"/>
      <c r="HYU229" s="2"/>
      <c r="HYV229" s="2"/>
      <c r="HYW229" s="2"/>
      <c r="HYX229" s="2"/>
      <c r="HYY229" s="2"/>
      <c r="HYZ229" s="2"/>
      <c r="HZA229" s="2"/>
      <c r="HZB229" s="2"/>
      <c r="HZC229" s="2"/>
      <c r="HZD229" s="2"/>
      <c r="HZE229" s="2"/>
      <c r="HZF229" s="2"/>
      <c r="HZG229" s="2"/>
      <c r="HZH229" s="2"/>
      <c r="HZI229" s="2"/>
      <c r="HZJ229" s="2"/>
      <c r="HZK229" s="2"/>
      <c r="HZL229" s="2"/>
      <c r="HZM229" s="2"/>
      <c r="HZN229" s="2"/>
      <c r="HZO229" s="2"/>
      <c r="HZP229" s="2"/>
      <c r="HZQ229" s="2"/>
      <c r="HZR229" s="2"/>
      <c r="HZS229" s="2"/>
      <c r="HZT229" s="2"/>
      <c r="HZU229" s="2"/>
      <c r="HZV229" s="2"/>
      <c r="HZW229" s="2"/>
      <c r="HZX229" s="2"/>
      <c r="HZY229" s="2"/>
      <c r="HZZ229" s="2"/>
      <c r="IAA229" s="2"/>
      <c r="IAB229" s="2"/>
      <c r="IAC229" s="2"/>
      <c r="IAD229" s="2"/>
      <c r="IAE229" s="2"/>
      <c r="IAF229" s="2"/>
      <c r="IAG229" s="2"/>
      <c r="IAH229" s="2"/>
      <c r="IAI229" s="2"/>
      <c r="IAJ229" s="2"/>
      <c r="IAK229" s="2"/>
      <c r="IAL229" s="2"/>
      <c r="IAM229" s="2"/>
      <c r="IAN229" s="2"/>
      <c r="IAO229" s="2"/>
      <c r="IAP229" s="2"/>
      <c r="IAQ229" s="2"/>
      <c r="IAR229" s="2"/>
      <c r="IAS229" s="2"/>
      <c r="IAT229" s="2"/>
      <c r="IAU229" s="2"/>
      <c r="IAV229" s="2"/>
      <c r="IAW229" s="2"/>
      <c r="IAX229" s="2"/>
      <c r="IAY229" s="2"/>
      <c r="IAZ229" s="2"/>
      <c r="IBA229" s="2"/>
      <c r="IBB229" s="2"/>
      <c r="IBC229" s="2"/>
      <c r="IBD229" s="2"/>
      <c r="IBE229" s="2"/>
      <c r="IBF229" s="2"/>
      <c r="IBG229" s="2"/>
      <c r="IBH229" s="2"/>
      <c r="IBI229" s="2"/>
      <c r="IBJ229" s="2"/>
      <c r="IBK229" s="2"/>
      <c r="IBL229" s="2"/>
      <c r="IBM229" s="2"/>
      <c r="IBN229" s="2"/>
      <c r="IBO229" s="2"/>
      <c r="IBP229" s="2"/>
      <c r="IBQ229" s="2"/>
      <c r="IBR229" s="2"/>
      <c r="IBS229" s="2"/>
      <c r="IBT229" s="2"/>
      <c r="IBU229" s="2"/>
      <c r="IBV229" s="2"/>
      <c r="IBW229" s="2"/>
      <c r="IBX229" s="2"/>
      <c r="IBY229" s="2"/>
      <c r="IBZ229" s="2"/>
      <c r="ICA229" s="2"/>
      <c r="ICB229" s="2"/>
      <c r="ICC229" s="2"/>
      <c r="ICD229" s="2"/>
      <c r="ICE229" s="2"/>
      <c r="ICF229" s="2"/>
      <c r="ICG229" s="2"/>
      <c r="ICH229" s="2"/>
      <c r="ICI229" s="2"/>
      <c r="ICJ229" s="2"/>
      <c r="ICK229" s="2"/>
      <c r="ICL229" s="2"/>
      <c r="ICM229" s="2"/>
      <c r="ICN229" s="2"/>
      <c r="ICO229" s="2"/>
      <c r="ICP229" s="2"/>
      <c r="ICQ229" s="2"/>
      <c r="ICR229" s="2"/>
      <c r="ICS229" s="2"/>
      <c r="ICT229" s="2"/>
      <c r="ICU229" s="2"/>
      <c r="ICV229" s="2"/>
      <c r="ICW229" s="2"/>
      <c r="ICX229" s="2"/>
      <c r="ICY229" s="2"/>
      <c r="ICZ229" s="2"/>
      <c r="IDA229" s="2"/>
      <c r="IDB229" s="2"/>
      <c r="IDC229" s="2"/>
      <c r="IDD229" s="2"/>
      <c r="IDE229" s="2"/>
      <c r="IDF229" s="2"/>
      <c r="IDG229" s="2"/>
      <c r="IDH229" s="2"/>
      <c r="IDI229" s="2"/>
      <c r="IDJ229" s="2"/>
      <c r="IDK229" s="2"/>
      <c r="IDL229" s="2"/>
      <c r="IDM229" s="2"/>
      <c r="IDN229" s="2"/>
      <c r="IDO229" s="2"/>
      <c r="IDP229" s="2"/>
      <c r="IDQ229" s="2"/>
      <c r="IDR229" s="2"/>
      <c r="IDS229" s="2"/>
      <c r="IDT229" s="2"/>
      <c r="IDU229" s="2"/>
      <c r="IDV229" s="2"/>
      <c r="IDW229" s="2"/>
      <c r="IDX229" s="2"/>
      <c r="IDY229" s="2"/>
      <c r="IDZ229" s="2"/>
      <c r="IEA229" s="2"/>
      <c r="IEB229" s="2"/>
      <c r="IEC229" s="2"/>
      <c r="IED229" s="2"/>
      <c r="IEE229" s="2"/>
      <c r="IEF229" s="2"/>
      <c r="IEG229" s="2"/>
      <c r="IEH229" s="2"/>
      <c r="IEI229" s="2"/>
      <c r="IEJ229" s="2"/>
      <c r="IEK229" s="2"/>
      <c r="IEL229" s="2"/>
      <c r="IEM229" s="2"/>
      <c r="IEN229" s="2"/>
      <c r="IEO229" s="2"/>
      <c r="IEP229" s="2"/>
      <c r="IEQ229" s="2"/>
      <c r="IER229" s="2"/>
      <c r="IES229" s="2"/>
      <c r="IET229" s="2"/>
      <c r="IEU229" s="2"/>
      <c r="IEV229" s="2"/>
      <c r="IEW229" s="2"/>
      <c r="IEX229" s="2"/>
      <c r="IEY229" s="2"/>
      <c r="IEZ229" s="2"/>
      <c r="IFA229" s="2"/>
      <c r="IFB229" s="2"/>
      <c r="IFC229" s="2"/>
      <c r="IFD229" s="2"/>
      <c r="IFE229" s="2"/>
      <c r="IFF229" s="2"/>
      <c r="IFG229" s="2"/>
      <c r="IFH229" s="2"/>
      <c r="IFI229" s="2"/>
      <c r="IFJ229" s="2"/>
      <c r="IFK229" s="2"/>
      <c r="IFL229" s="2"/>
      <c r="IFM229" s="2"/>
      <c r="IFN229" s="2"/>
      <c r="IFO229" s="2"/>
      <c r="IFP229" s="2"/>
      <c r="IFQ229" s="2"/>
      <c r="IFR229" s="2"/>
      <c r="IFS229" s="2"/>
      <c r="IFT229" s="2"/>
      <c r="IFU229" s="2"/>
      <c r="IFV229" s="2"/>
      <c r="IFW229" s="2"/>
      <c r="IFX229" s="2"/>
      <c r="IFY229" s="2"/>
      <c r="IFZ229" s="2"/>
      <c r="IGA229" s="2"/>
      <c r="IGB229" s="2"/>
      <c r="IGC229" s="2"/>
      <c r="IGD229" s="2"/>
      <c r="IGE229" s="2"/>
      <c r="IGF229" s="2"/>
      <c r="IGG229" s="2"/>
      <c r="IGH229" s="2"/>
      <c r="IGI229" s="2"/>
      <c r="IGJ229" s="2"/>
      <c r="IGK229" s="2"/>
      <c r="IGL229" s="2"/>
      <c r="IGM229" s="2"/>
      <c r="IGN229" s="2"/>
      <c r="IGO229" s="2"/>
      <c r="IGP229" s="2"/>
      <c r="IGQ229" s="2"/>
      <c r="IGR229" s="2"/>
      <c r="IGS229" s="2"/>
      <c r="IGT229" s="2"/>
      <c r="IGU229" s="2"/>
      <c r="IGV229" s="2"/>
      <c r="IGW229" s="2"/>
      <c r="IGX229" s="2"/>
      <c r="IGY229" s="2"/>
      <c r="IGZ229" s="2"/>
      <c r="IHA229" s="2"/>
      <c r="IHB229" s="2"/>
      <c r="IHC229" s="2"/>
      <c r="IHD229" s="2"/>
      <c r="IHE229" s="2"/>
      <c r="IHF229" s="2"/>
      <c r="IHG229" s="2"/>
      <c r="IHH229" s="2"/>
      <c r="IHI229" s="2"/>
      <c r="IHJ229" s="2"/>
      <c r="IHK229" s="2"/>
      <c r="IHL229" s="2"/>
      <c r="IHM229" s="2"/>
      <c r="IHN229" s="2"/>
      <c r="IHO229" s="2"/>
      <c r="IHP229" s="2"/>
      <c r="IHQ229" s="2"/>
      <c r="IHR229" s="2"/>
      <c r="IHS229" s="2"/>
      <c r="IHT229" s="2"/>
      <c r="IHU229" s="2"/>
      <c r="IHV229" s="2"/>
      <c r="IHW229" s="2"/>
      <c r="IHX229" s="2"/>
      <c r="IHY229" s="2"/>
      <c r="IHZ229" s="2"/>
      <c r="IIA229" s="2"/>
      <c r="IIB229" s="2"/>
      <c r="IIC229" s="2"/>
      <c r="IID229" s="2"/>
      <c r="IIE229" s="2"/>
      <c r="IIF229" s="2"/>
      <c r="IIG229" s="2"/>
      <c r="IIH229" s="2"/>
      <c r="III229" s="2"/>
      <c r="IIJ229" s="2"/>
      <c r="IIK229" s="2"/>
      <c r="IIL229" s="2"/>
      <c r="IIM229" s="2"/>
      <c r="IIN229" s="2"/>
      <c r="IIO229" s="2"/>
      <c r="IIP229" s="2"/>
      <c r="IIQ229" s="2"/>
      <c r="IIR229" s="2"/>
      <c r="IIS229" s="2"/>
      <c r="IIT229" s="2"/>
      <c r="IIU229" s="2"/>
      <c r="IIV229" s="2"/>
      <c r="IIW229" s="2"/>
      <c r="IIX229" s="2"/>
      <c r="IIY229" s="2"/>
      <c r="IIZ229" s="2"/>
      <c r="IJA229" s="2"/>
      <c r="IJB229" s="2"/>
      <c r="IJC229" s="2"/>
      <c r="IJD229" s="2"/>
      <c r="IJE229" s="2"/>
      <c r="IJF229" s="2"/>
      <c r="IJG229" s="2"/>
      <c r="IJH229" s="2"/>
      <c r="IJI229" s="2"/>
      <c r="IJJ229" s="2"/>
      <c r="IJK229" s="2"/>
      <c r="IJL229" s="2"/>
      <c r="IJM229" s="2"/>
      <c r="IJN229" s="2"/>
      <c r="IJO229" s="2"/>
      <c r="IJP229" s="2"/>
      <c r="IJQ229" s="2"/>
      <c r="IJR229" s="2"/>
      <c r="IJS229" s="2"/>
      <c r="IJT229" s="2"/>
      <c r="IJU229" s="2"/>
      <c r="IJV229" s="2"/>
      <c r="IJW229" s="2"/>
      <c r="IJX229" s="2"/>
      <c r="IJY229" s="2"/>
      <c r="IJZ229" s="2"/>
      <c r="IKA229" s="2"/>
      <c r="IKB229" s="2"/>
      <c r="IKC229" s="2"/>
      <c r="IKD229" s="2"/>
      <c r="IKE229" s="2"/>
      <c r="IKF229" s="2"/>
      <c r="IKG229" s="2"/>
      <c r="IKH229" s="2"/>
      <c r="IKI229" s="2"/>
      <c r="IKJ229" s="2"/>
      <c r="IKK229" s="2"/>
      <c r="IKL229" s="2"/>
      <c r="IKM229" s="2"/>
      <c r="IKN229" s="2"/>
      <c r="IKO229" s="2"/>
      <c r="IKP229" s="2"/>
      <c r="IKQ229" s="2"/>
      <c r="IKR229" s="2"/>
      <c r="IKS229" s="2"/>
      <c r="IKT229" s="2"/>
      <c r="IKU229" s="2"/>
      <c r="IKV229" s="2"/>
      <c r="IKW229" s="2"/>
      <c r="IKX229" s="2"/>
      <c r="IKY229" s="2"/>
      <c r="IKZ229" s="2"/>
      <c r="ILA229" s="2"/>
      <c r="ILB229" s="2"/>
      <c r="ILC229" s="2"/>
      <c r="ILD229" s="2"/>
      <c r="ILE229" s="2"/>
      <c r="ILF229" s="2"/>
      <c r="ILG229" s="2"/>
      <c r="ILH229" s="2"/>
      <c r="ILI229" s="2"/>
      <c r="ILJ229" s="2"/>
      <c r="ILK229" s="2"/>
      <c r="ILL229" s="2"/>
      <c r="ILM229" s="2"/>
      <c r="ILN229" s="2"/>
      <c r="ILO229" s="2"/>
      <c r="ILP229" s="2"/>
      <c r="ILQ229" s="2"/>
      <c r="ILR229" s="2"/>
      <c r="ILS229" s="2"/>
      <c r="ILT229" s="2"/>
      <c r="ILU229" s="2"/>
      <c r="ILV229" s="2"/>
      <c r="ILW229" s="2"/>
      <c r="ILX229" s="2"/>
      <c r="ILY229" s="2"/>
      <c r="ILZ229" s="2"/>
      <c r="IMA229" s="2"/>
      <c r="IMB229" s="2"/>
      <c r="IMC229" s="2"/>
      <c r="IMD229" s="2"/>
      <c r="IME229" s="2"/>
      <c r="IMF229" s="2"/>
      <c r="IMG229" s="2"/>
      <c r="IMH229" s="2"/>
      <c r="IMI229" s="2"/>
      <c r="IMJ229" s="2"/>
      <c r="IMK229" s="2"/>
      <c r="IML229" s="2"/>
      <c r="IMM229" s="2"/>
      <c r="IMN229" s="2"/>
      <c r="IMO229" s="2"/>
      <c r="IMP229" s="2"/>
      <c r="IMQ229" s="2"/>
      <c r="IMR229" s="2"/>
      <c r="IMS229" s="2"/>
      <c r="IMT229" s="2"/>
      <c r="IMU229" s="2"/>
      <c r="IMV229" s="2"/>
      <c r="IMW229" s="2"/>
      <c r="IMX229" s="2"/>
      <c r="IMY229" s="2"/>
      <c r="IMZ229" s="2"/>
      <c r="INA229" s="2"/>
      <c r="INB229" s="2"/>
      <c r="INC229" s="2"/>
      <c r="IND229" s="2"/>
      <c r="INE229" s="2"/>
      <c r="INF229" s="2"/>
      <c r="ING229" s="2"/>
      <c r="INH229" s="2"/>
      <c r="INI229" s="2"/>
      <c r="INJ229" s="2"/>
      <c r="INK229" s="2"/>
      <c r="INL229" s="2"/>
      <c r="INM229" s="2"/>
      <c r="INN229" s="2"/>
      <c r="INO229" s="2"/>
      <c r="INP229" s="2"/>
      <c r="INQ229" s="2"/>
      <c r="INR229" s="2"/>
      <c r="INS229" s="2"/>
      <c r="INT229" s="2"/>
      <c r="INU229" s="2"/>
      <c r="INV229" s="2"/>
      <c r="INW229" s="2"/>
      <c r="INX229" s="2"/>
      <c r="INY229" s="2"/>
      <c r="INZ229" s="2"/>
      <c r="IOA229" s="2"/>
      <c r="IOB229" s="2"/>
      <c r="IOC229" s="2"/>
      <c r="IOD229" s="2"/>
      <c r="IOE229" s="2"/>
      <c r="IOF229" s="2"/>
      <c r="IOG229" s="2"/>
      <c r="IOH229" s="2"/>
      <c r="IOI229" s="2"/>
      <c r="IOJ229" s="2"/>
      <c r="IOK229" s="2"/>
      <c r="IOL229" s="2"/>
      <c r="IOM229" s="2"/>
      <c r="ION229" s="2"/>
      <c r="IOO229" s="2"/>
      <c r="IOP229" s="2"/>
      <c r="IOQ229" s="2"/>
      <c r="IOR229" s="2"/>
      <c r="IOS229" s="2"/>
      <c r="IOT229" s="2"/>
      <c r="IOU229" s="2"/>
      <c r="IOV229" s="2"/>
      <c r="IOW229" s="2"/>
      <c r="IOX229" s="2"/>
      <c r="IOY229" s="2"/>
      <c r="IOZ229" s="2"/>
      <c r="IPA229" s="2"/>
      <c r="IPB229" s="2"/>
      <c r="IPC229" s="2"/>
      <c r="IPD229" s="2"/>
      <c r="IPE229" s="2"/>
      <c r="IPF229" s="2"/>
      <c r="IPG229" s="2"/>
      <c r="IPH229" s="2"/>
      <c r="IPI229" s="2"/>
      <c r="IPJ229" s="2"/>
      <c r="IPK229" s="2"/>
      <c r="IPL229" s="2"/>
      <c r="IPM229" s="2"/>
      <c r="IPN229" s="2"/>
      <c r="IPO229" s="2"/>
      <c r="IPP229" s="2"/>
      <c r="IPQ229" s="2"/>
      <c r="IPR229" s="2"/>
      <c r="IPS229" s="2"/>
      <c r="IPT229" s="2"/>
      <c r="IPU229" s="2"/>
      <c r="IPV229" s="2"/>
      <c r="IPW229" s="2"/>
      <c r="IPX229" s="2"/>
      <c r="IPY229" s="2"/>
      <c r="IPZ229" s="2"/>
      <c r="IQA229" s="2"/>
      <c r="IQB229" s="2"/>
      <c r="IQC229" s="2"/>
      <c r="IQD229" s="2"/>
      <c r="IQE229" s="2"/>
      <c r="IQF229" s="2"/>
      <c r="IQG229" s="2"/>
      <c r="IQH229" s="2"/>
      <c r="IQI229" s="2"/>
      <c r="IQJ229" s="2"/>
      <c r="IQK229" s="2"/>
      <c r="IQL229" s="2"/>
      <c r="IQM229" s="2"/>
      <c r="IQN229" s="2"/>
      <c r="IQO229" s="2"/>
      <c r="IQP229" s="2"/>
      <c r="IQQ229" s="2"/>
      <c r="IQR229" s="2"/>
      <c r="IQS229" s="2"/>
      <c r="IQT229" s="2"/>
      <c r="IQU229" s="2"/>
      <c r="IQV229" s="2"/>
      <c r="IQW229" s="2"/>
      <c r="IQX229" s="2"/>
      <c r="IQY229" s="2"/>
      <c r="IQZ229" s="2"/>
      <c r="IRA229" s="2"/>
      <c r="IRB229" s="2"/>
      <c r="IRC229" s="2"/>
      <c r="IRD229" s="2"/>
      <c r="IRE229" s="2"/>
      <c r="IRF229" s="2"/>
      <c r="IRG229" s="2"/>
      <c r="IRH229" s="2"/>
      <c r="IRI229" s="2"/>
      <c r="IRJ229" s="2"/>
      <c r="IRK229" s="2"/>
      <c r="IRL229" s="2"/>
      <c r="IRM229" s="2"/>
      <c r="IRN229" s="2"/>
      <c r="IRO229" s="2"/>
      <c r="IRP229" s="2"/>
      <c r="IRQ229" s="2"/>
      <c r="IRR229" s="2"/>
      <c r="IRS229" s="2"/>
      <c r="IRT229" s="2"/>
      <c r="IRU229" s="2"/>
      <c r="IRV229" s="2"/>
      <c r="IRW229" s="2"/>
      <c r="IRX229" s="2"/>
      <c r="IRY229" s="2"/>
      <c r="IRZ229" s="2"/>
      <c r="ISA229" s="2"/>
      <c r="ISB229" s="2"/>
      <c r="ISC229" s="2"/>
      <c r="ISD229" s="2"/>
      <c r="ISE229" s="2"/>
      <c r="ISF229" s="2"/>
      <c r="ISG229" s="2"/>
      <c r="ISH229" s="2"/>
      <c r="ISI229" s="2"/>
      <c r="ISJ229" s="2"/>
      <c r="ISK229" s="2"/>
      <c r="ISL229" s="2"/>
      <c r="ISM229" s="2"/>
      <c r="ISN229" s="2"/>
      <c r="ISO229" s="2"/>
      <c r="ISP229" s="2"/>
      <c r="ISQ229" s="2"/>
      <c r="ISR229" s="2"/>
      <c r="ISS229" s="2"/>
      <c r="IST229" s="2"/>
      <c r="ISU229" s="2"/>
      <c r="ISV229" s="2"/>
      <c r="ISW229" s="2"/>
      <c r="ISX229" s="2"/>
      <c r="ISY229" s="2"/>
      <c r="ISZ229" s="2"/>
      <c r="ITA229" s="2"/>
      <c r="ITB229" s="2"/>
      <c r="ITC229" s="2"/>
      <c r="ITD229" s="2"/>
      <c r="ITE229" s="2"/>
      <c r="ITF229" s="2"/>
      <c r="ITG229" s="2"/>
      <c r="ITH229" s="2"/>
      <c r="ITI229" s="2"/>
      <c r="ITJ229" s="2"/>
      <c r="ITK229" s="2"/>
      <c r="ITL229" s="2"/>
      <c r="ITM229" s="2"/>
      <c r="ITN229" s="2"/>
      <c r="ITO229" s="2"/>
      <c r="ITP229" s="2"/>
      <c r="ITQ229" s="2"/>
      <c r="ITR229" s="2"/>
      <c r="ITS229" s="2"/>
      <c r="ITT229" s="2"/>
      <c r="ITU229" s="2"/>
      <c r="ITV229" s="2"/>
      <c r="ITW229" s="2"/>
      <c r="ITX229" s="2"/>
      <c r="ITY229" s="2"/>
      <c r="ITZ229" s="2"/>
      <c r="IUA229" s="2"/>
      <c r="IUB229" s="2"/>
      <c r="IUC229" s="2"/>
      <c r="IUD229" s="2"/>
      <c r="IUE229" s="2"/>
      <c r="IUF229" s="2"/>
      <c r="IUG229" s="2"/>
      <c r="IUH229" s="2"/>
      <c r="IUI229" s="2"/>
      <c r="IUJ229" s="2"/>
      <c r="IUK229" s="2"/>
      <c r="IUL229" s="2"/>
      <c r="IUM229" s="2"/>
      <c r="IUN229" s="2"/>
      <c r="IUO229" s="2"/>
      <c r="IUP229" s="2"/>
      <c r="IUQ229" s="2"/>
      <c r="IUR229" s="2"/>
      <c r="IUS229" s="2"/>
      <c r="IUT229" s="2"/>
      <c r="IUU229" s="2"/>
      <c r="IUV229" s="2"/>
      <c r="IUW229" s="2"/>
      <c r="IUX229" s="2"/>
      <c r="IUY229" s="2"/>
      <c r="IUZ229" s="2"/>
      <c r="IVA229" s="2"/>
      <c r="IVB229" s="2"/>
      <c r="IVC229" s="2"/>
      <c r="IVD229" s="2"/>
      <c r="IVE229" s="2"/>
      <c r="IVF229" s="2"/>
      <c r="IVG229" s="2"/>
      <c r="IVH229" s="2"/>
      <c r="IVI229" s="2"/>
      <c r="IVJ229" s="2"/>
      <c r="IVK229" s="2"/>
      <c r="IVL229" s="2"/>
      <c r="IVM229" s="2"/>
      <c r="IVN229" s="2"/>
      <c r="IVO229" s="2"/>
      <c r="IVP229" s="2"/>
      <c r="IVQ229" s="2"/>
      <c r="IVR229" s="2"/>
      <c r="IVS229" s="2"/>
      <c r="IVT229" s="2"/>
      <c r="IVU229" s="2"/>
      <c r="IVV229" s="2"/>
      <c r="IVW229" s="2"/>
      <c r="IVX229" s="2"/>
      <c r="IVY229" s="2"/>
      <c r="IVZ229" s="2"/>
      <c r="IWA229" s="2"/>
      <c r="IWB229" s="2"/>
      <c r="IWC229" s="2"/>
      <c r="IWD229" s="2"/>
      <c r="IWE229" s="2"/>
      <c r="IWF229" s="2"/>
      <c r="IWG229" s="2"/>
      <c r="IWH229" s="2"/>
      <c r="IWI229" s="2"/>
      <c r="IWJ229" s="2"/>
      <c r="IWK229" s="2"/>
      <c r="IWL229" s="2"/>
      <c r="IWM229" s="2"/>
      <c r="IWN229" s="2"/>
      <c r="IWO229" s="2"/>
      <c r="IWP229" s="2"/>
      <c r="IWQ229" s="2"/>
      <c r="IWR229" s="2"/>
      <c r="IWS229" s="2"/>
      <c r="IWT229" s="2"/>
      <c r="IWU229" s="2"/>
      <c r="IWV229" s="2"/>
      <c r="IWW229" s="2"/>
      <c r="IWX229" s="2"/>
      <c r="IWY229" s="2"/>
      <c r="IWZ229" s="2"/>
      <c r="IXA229" s="2"/>
      <c r="IXB229" s="2"/>
      <c r="IXC229" s="2"/>
      <c r="IXD229" s="2"/>
      <c r="IXE229" s="2"/>
      <c r="IXF229" s="2"/>
      <c r="IXG229" s="2"/>
      <c r="IXH229" s="2"/>
      <c r="IXI229" s="2"/>
      <c r="IXJ229" s="2"/>
      <c r="IXK229" s="2"/>
      <c r="IXL229" s="2"/>
      <c r="IXM229" s="2"/>
      <c r="IXN229" s="2"/>
      <c r="IXO229" s="2"/>
      <c r="IXP229" s="2"/>
      <c r="IXQ229" s="2"/>
      <c r="IXR229" s="2"/>
      <c r="IXS229" s="2"/>
      <c r="IXT229" s="2"/>
      <c r="IXU229" s="2"/>
      <c r="IXV229" s="2"/>
      <c r="IXW229" s="2"/>
      <c r="IXX229" s="2"/>
      <c r="IXY229" s="2"/>
      <c r="IXZ229" s="2"/>
      <c r="IYA229" s="2"/>
      <c r="IYB229" s="2"/>
      <c r="IYC229" s="2"/>
      <c r="IYD229" s="2"/>
      <c r="IYE229" s="2"/>
      <c r="IYF229" s="2"/>
      <c r="IYG229" s="2"/>
      <c r="IYH229" s="2"/>
      <c r="IYI229" s="2"/>
      <c r="IYJ229" s="2"/>
      <c r="IYK229" s="2"/>
      <c r="IYL229" s="2"/>
      <c r="IYM229" s="2"/>
      <c r="IYN229" s="2"/>
      <c r="IYO229" s="2"/>
      <c r="IYP229" s="2"/>
      <c r="IYQ229" s="2"/>
      <c r="IYR229" s="2"/>
      <c r="IYS229" s="2"/>
      <c r="IYT229" s="2"/>
      <c r="IYU229" s="2"/>
      <c r="IYV229" s="2"/>
      <c r="IYW229" s="2"/>
      <c r="IYX229" s="2"/>
      <c r="IYY229" s="2"/>
      <c r="IYZ229" s="2"/>
      <c r="IZA229" s="2"/>
      <c r="IZB229" s="2"/>
      <c r="IZC229" s="2"/>
      <c r="IZD229" s="2"/>
      <c r="IZE229" s="2"/>
      <c r="IZF229" s="2"/>
      <c r="IZG229" s="2"/>
      <c r="IZH229" s="2"/>
      <c r="IZI229" s="2"/>
      <c r="IZJ229" s="2"/>
      <c r="IZK229" s="2"/>
      <c r="IZL229" s="2"/>
      <c r="IZM229" s="2"/>
      <c r="IZN229" s="2"/>
      <c r="IZO229" s="2"/>
      <c r="IZP229" s="2"/>
      <c r="IZQ229" s="2"/>
      <c r="IZR229" s="2"/>
      <c r="IZS229" s="2"/>
      <c r="IZT229" s="2"/>
      <c r="IZU229" s="2"/>
      <c r="IZV229" s="2"/>
      <c r="IZW229" s="2"/>
      <c r="IZX229" s="2"/>
      <c r="IZY229" s="2"/>
      <c r="IZZ229" s="2"/>
      <c r="JAA229" s="2"/>
      <c r="JAB229" s="2"/>
      <c r="JAC229" s="2"/>
      <c r="JAD229" s="2"/>
      <c r="JAE229" s="2"/>
      <c r="JAF229" s="2"/>
      <c r="JAG229" s="2"/>
      <c r="JAH229" s="2"/>
      <c r="JAI229" s="2"/>
      <c r="JAJ229" s="2"/>
      <c r="JAK229" s="2"/>
      <c r="JAL229" s="2"/>
      <c r="JAM229" s="2"/>
      <c r="JAN229" s="2"/>
      <c r="JAO229" s="2"/>
      <c r="JAP229" s="2"/>
      <c r="JAQ229" s="2"/>
      <c r="JAR229" s="2"/>
      <c r="JAS229" s="2"/>
      <c r="JAT229" s="2"/>
      <c r="JAU229" s="2"/>
      <c r="JAV229" s="2"/>
      <c r="JAW229" s="2"/>
      <c r="JAX229" s="2"/>
      <c r="JAY229" s="2"/>
      <c r="JAZ229" s="2"/>
      <c r="JBA229" s="2"/>
      <c r="JBB229" s="2"/>
      <c r="JBC229" s="2"/>
      <c r="JBD229" s="2"/>
      <c r="JBE229" s="2"/>
      <c r="JBF229" s="2"/>
      <c r="JBG229" s="2"/>
      <c r="JBH229" s="2"/>
      <c r="JBI229" s="2"/>
      <c r="JBJ229" s="2"/>
      <c r="JBK229" s="2"/>
      <c r="JBL229" s="2"/>
      <c r="JBM229" s="2"/>
      <c r="JBN229" s="2"/>
      <c r="JBO229" s="2"/>
      <c r="JBP229" s="2"/>
      <c r="JBQ229" s="2"/>
      <c r="JBR229" s="2"/>
      <c r="JBS229" s="2"/>
      <c r="JBT229" s="2"/>
      <c r="JBU229" s="2"/>
      <c r="JBV229" s="2"/>
      <c r="JBW229" s="2"/>
      <c r="JBX229" s="2"/>
      <c r="JBY229" s="2"/>
      <c r="JBZ229" s="2"/>
      <c r="JCA229" s="2"/>
      <c r="JCB229" s="2"/>
      <c r="JCC229" s="2"/>
      <c r="JCD229" s="2"/>
      <c r="JCE229" s="2"/>
      <c r="JCF229" s="2"/>
      <c r="JCG229" s="2"/>
      <c r="JCH229" s="2"/>
      <c r="JCI229" s="2"/>
      <c r="JCJ229" s="2"/>
      <c r="JCK229" s="2"/>
      <c r="JCL229" s="2"/>
      <c r="JCM229" s="2"/>
      <c r="JCN229" s="2"/>
      <c r="JCO229" s="2"/>
      <c r="JCP229" s="2"/>
      <c r="JCQ229" s="2"/>
      <c r="JCR229" s="2"/>
      <c r="JCS229" s="2"/>
      <c r="JCT229" s="2"/>
      <c r="JCU229" s="2"/>
      <c r="JCV229" s="2"/>
      <c r="JCW229" s="2"/>
      <c r="JCX229" s="2"/>
      <c r="JCY229" s="2"/>
      <c r="JCZ229" s="2"/>
      <c r="JDA229" s="2"/>
      <c r="JDB229" s="2"/>
      <c r="JDC229" s="2"/>
      <c r="JDD229" s="2"/>
      <c r="JDE229" s="2"/>
      <c r="JDF229" s="2"/>
      <c r="JDG229" s="2"/>
      <c r="JDH229" s="2"/>
      <c r="JDI229" s="2"/>
      <c r="JDJ229" s="2"/>
      <c r="JDK229" s="2"/>
      <c r="JDL229" s="2"/>
      <c r="JDM229" s="2"/>
      <c r="JDN229" s="2"/>
      <c r="JDO229" s="2"/>
      <c r="JDP229" s="2"/>
      <c r="JDQ229" s="2"/>
      <c r="JDR229" s="2"/>
      <c r="JDS229" s="2"/>
      <c r="JDT229" s="2"/>
      <c r="JDU229" s="2"/>
      <c r="JDV229" s="2"/>
      <c r="JDW229" s="2"/>
      <c r="JDX229" s="2"/>
      <c r="JDY229" s="2"/>
      <c r="JDZ229" s="2"/>
      <c r="JEA229" s="2"/>
      <c r="JEB229" s="2"/>
      <c r="JEC229" s="2"/>
      <c r="JED229" s="2"/>
      <c r="JEE229" s="2"/>
      <c r="JEF229" s="2"/>
      <c r="JEG229" s="2"/>
      <c r="JEH229" s="2"/>
      <c r="JEI229" s="2"/>
      <c r="JEJ229" s="2"/>
      <c r="JEK229" s="2"/>
      <c r="JEL229" s="2"/>
      <c r="JEM229" s="2"/>
      <c r="JEN229" s="2"/>
      <c r="JEO229" s="2"/>
      <c r="JEP229" s="2"/>
      <c r="JEQ229" s="2"/>
      <c r="JER229" s="2"/>
      <c r="JES229" s="2"/>
      <c r="JET229" s="2"/>
      <c r="JEU229" s="2"/>
      <c r="JEV229" s="2"/>
      <c r="JEW229" s="2"/>
      <c r="JEX229" s="2"/>
      <c r="JEY229" s="2"/>
      <c r="JEZ229" s="2"/>
      <c r="JFA229" s="2"/>
      <c r="JFB229" s="2"/>
      <c r="JFC229" s="2"/>
      <c r="JFD229" s="2"/>
      <c r="JFE229" s="2"/>
      <c r="JFF229" s="2"/>
      <c r="JFG229" s="2"/>
      <c r="JFH229" s="2"/>
      <c r="JFI229" s="2"/>
      <c r="JFJ229" s="2"/>
      <c r="JFK229" s="2"/>
      <c r="JFL229" s="2"/>
      <c r="JFM229" s="2"/>
      <c r="JFN229" s="2"/>
      <c r="JFO229" s="2"/>
      <c r="JFP229" s="2"/>
      <c r="JFQ229" s="2"/>
      <c r="JFR229" s="2"/>
      <c r="JFS229" s="2"/>
      <c r="JFT229" s="2"/>
      <c r="JFU229" s="2"/>
      <c r="JFV229" s="2"/>
      <c r="JFW229" s="2"/>
      <c r="JFX229" s="2"/>
      <c r="JFY229" s="2"/>
      <c r="JFZ229" s="2"/>
      <c r="JGA229" s="2"/>
      <c r="JGB229" s="2"/>
      <c r="JGC229" s="2"/>
      <c r="JGD229" s="2"/>
      <c r="JGE229" s="2"/>
      <c r="JGF229" s="2"/>
      <c r="JGG229" s="2"/>
      <c r="JGH229" s="2"/>
      <c r="JGI229" s="2"/>
      <c r="JGJ229" s="2"/>
      <c r="JGK229" s="2"/>
      <c r="JGL229" s="2"/>
      <c r="JGM229" s="2"/>
      <c r="JGN229" s="2"/>
      <c r="JGO229" s="2"/>
      <c r="JGP229" s="2"/>
      <c r="JGQ229" s="2"/>
      <c r="JGR229" s="2"/>
      <c r="JGS229" s="2"/>
      <c r="JGT229" s="2"/>
      <c r="JGU229" s="2"/>
      <c r="JGV229" s="2"/>
      <c r="JGW229" s="2"/>
      <c r="JGX229" s="2"/>
      <c r="JGY229" s="2"/>
      <c r="JGZ229" s="2"/>
      <c r="JHA229" s="2"/>
      <c r="JHB229" s="2"/>
      <c r="JHC229" s="2"/>
      <c r="JHD229" s="2"/>
      <c r="JHE229" s="2"/>
      <c r="JHF229" s="2"/>
      <c r="JHG229" s="2"/>
      <c r="JHH229" s="2"/>
      <c r="JHI229" s="2"/>
      <c r="JHJ229" s="2"/>
      <c r="JHK229" s="2"/>
      <c r="JHL229" s="2"/>
      <c r="JHM229" s="2"/>
      <c r="JHN229" s="2"/>
      <c r="JHO229" s="2"/>
      <c r="JHP229" s="2"/>
      <c r="JHQ229" s="2"/>
      <c r="JHR229" s="2"/>
      <c r="JHS229" s="2"/>
      <c r="JHT229" s="2"/>
      <c r="JHU229" s="2"/>
      <c r="JHV229" s="2"/>
      <c r="JHW229" s="2"/>
      <c r="JHX229" s="2"/>
      <c r="JHY229" s="2"/>
      <c r="JHZ229" s="2"/>
      <c r="JIA229" s="2"/>
      <c r="JIB229" s="2"/>
      <c r="JIC229" s="2"/>
      <c r="JID229" s="2"/>
      <c r="JIE229" s="2"/>
      <c r="JIF229" s="2"/>
      <c r="JIG229" s="2"/>
      <c r="JIH229" s="2"/>
      <c r="JII229" s="2"/>
      <c r="JIJ229" s="2"/>
      <c r="JIK229" s="2"/>
      <c r="JIL229" s="2"/>
      <c r="JIM229" s="2"/>
      <c r="JIN229" s="2"/>
      <c r="JIO229" s="2"/>
      <c r="JIP229" s="2"/>
      <c r="JIQ229" s="2"/>
      <c r="JIR229" s="2"/>
      <c r="JIS229" s="2"/>
      <c r="JIT229" s="2"/>
      <c r="JIU229" s="2"/>
      <c r="JIV229" s="2"/>
      <c r="JIW229" s="2"/>
      <c r="JIX229" s="2"/>
      <c r="JIY229" s="2"/>
      <c r="JIZ229" s="2"/>
      <c r="JJA229" s="2"/>
      <c r="JJB229" s="2"/>
      <c r="JJC229" s="2"/>
      <c r="JJD229" s="2"/>
      <c r="JJE229" s="2"/>
      <c r="JJF229" s="2"/>
      <c r="JJG229" s="2"/>
      <c r="JJH229" s="2"/>
      <c r="JJI229" s="2"/>
      <c r="JJJ229" s="2"/>
      <c r="JJK229" s="2"/>
      <c r="JJL229" s="2"/>
      <c r="JJM229" s="2"/>
      <c r="JJN229" s="2"/>
      <c r="JJO229" s="2"/>
      <c r="JJP229" s="2"/>
      <c r="JJQ229" s="2"/>
      <c r="JJR229" s="2"/>
      <c r="JJS229" s="2"/>
      <c r="JJT229" s="2"/>
      <c r="JJU229" s="2"/>
      <c r="JJV229" s="2"/>
      <c r="JJW229" s="2"/>
      <c r="JJX229" s="2"/>
      <c r="JJY229" s="2"/>
      <c r="JJZ229" s="2"/>
      <c r="JKA229" s="2"/>
      <c r="JKB229" s="2"/>
      <c r="JKC229" s="2"/>
      <c r="JKD229" s="2"/>
      <c r="JKE229" s="2"/>
      <c r="JKF229" s="2"/>
      <c r="JKG229" s="2"/>
      <c r="JKH229" s="2"/>
      <c r="JKI229" s="2"/>
      <c r="JKJ229" s="2"/>
      <c r="JKK229" s="2"/>
      <c r="JKL229" s="2"/>
      <c r="JKM229" s="2"/>
      <c r="JKN229" s="2"/>
      <c r="JKO229" s="2"/>
      <c r="JKP229" s="2"/>
      <c r="JKQ229" s="2"/>
      <c r="JKR229" s="2"/>
      <c r="JKS229" s="2"/>
      <c r="JKT229" s="2"/>
      <c r="JKU229" s="2"/>
      <c r="JKV229" s="2"/>
      <c r="JKW229" s="2"/>
      <c r="JKX229" s="2"/>
      <c r="JKY229" s="2"/>
      <c r="JKZ229" s="2"/>
      <c r="JLA229" s="2"/>
      <c r="JLB229" s="2"/>
      <c r="JLC229" s="2"/>
      <c r="JLD229" s="2"/>
      <c r="JLE229" s="2"/>
      <c r="JLF229" s="2"/>
      <c r="JLG229" s="2"/>
      <c r="JLH229" s="2"/>
      <c r="JLI229" s="2"/>
      <c r="JLJ229" s="2"/>
      <c r="JLK229" s="2"/>
      <c r="JLL229" s="2"/>
      <c r="JLM229" s="2"/>
      <c r="JLN229" s="2"/>
      <c r="JLO229" s="2"/>
      <c r="JLP229" s="2"/>
      <c r="JLQ229" s="2"/>
      <c r="JLR229" s="2"/>
      <c r="JLS229" s="2"/>
      <c r="JLT229" s="2"/>
      <c r="JLU229" s="2"/>
      <c r="JLV229" s="2"/>
      <c r="JLW229" s="2"/>
      <c r="JLX229" s="2"/>
      <c r="JLY229" s="2"/>
      <c r="JLZ229" s="2"/>
      <c r="JMA229" s="2"/>
      <c r="JMB229" s="2"/>
      <c r="JMC229" s="2"/>
      <c r="JMD229" s="2"/>
      <c r="JME229" s="2"/>
      <c r="JMF229" s="2"/>
      <c r="JMG229" s="2"/>
      <c r="JMH229" s="2"/>
      <c r="JMI229" s="2"/>
      <c r="JMJ229" s="2"/>
      <c r="JMK229" s="2"/>
      <c r="JML229" s="2"/>
      <c r="JMM229" s="2"/>
      <c r="JMN229" s="2"/>
      <c r="JMO229" s="2"/>
      <c r="JMP229" s="2"/>
      <c r="JMQ229" s="2"/>
      <c r="JMR229" s="2"/>
      <c r="JMS229" s="2"/>
      <c r="JMT229" s="2"/>
      <c r="JMU229" s="2"/>
      <c r="JMV229" s="2"/>
      <c r="JMW229" s="2"/>
      <c r="JMX229" s="2"/>
      <c r="JMY229" s="2"/>
      <c r="JMZ229" s="2"/>
      <c r="JNA229" s="2"/>
      <c r="JNB229" s="2"/>
      <c r="JNC229" s="2"/>
      <c r="JND229" s="2"/>
      <c r="JNE229" s="2"/>
      <c r="JNF229" s="2"/>
      <c r="JNG229" s="2"/>
      <c r="JNH229" s="2"/>
      <c r="JNI229" s="2"/>
      <c r="JNJ229" s="2"/>
      <c r="JNK229" s="2"/>
      <c r="JNL229" s="2"/>
      <c r="JNM229" s="2"/>
      <c r="JNN229" s="2"/>
      <c r="JNO229" s="2"/>
      <c r="JNP229" s="2"/>
      <c r="JNQ229" s="2"/>
      <c r="JNR229" s="2"/>
      <c r="JNS229" s="2"/>
      <c r="JNT229" s="2"/>
      <c r="JNU229" s="2"/>
      <c r="JNV229" s="2"/>
      <c r="JNW229" s="2"/>
      <c r="JNX229" s="2"/>
      <c r="JNY229" s="2"/>
      <c r="JNZ229" s="2"/>
      <c r="JOA229" s="2"/>
      <c r="JOB229" s="2"/>
      <c r="JOC229" s="2"/>
      <c r="JOD229" s="2"/>
      <c r="JOE229" s="2"/>
      <c r="JOF229" s="2"/>
      <c r="JOG229" s="2"/>
      <c r="JOH229" s="2"/>
      <c r="JOI229" s="2"/>
      <c r="JOJ229" s="2"/>
      <c r="JOK229" s="2"/>
      <c r="JOL229" s="2"/>
      <c r="JOM229" s="2"/>
      <c r="JON229" s="2"/>
      <c r="JOO229" s="2"/>
      <c r="JOP229" s="2"/>
      <c r="JOQ229" s="2"/>
      <c r="JOR229" s="2"/>
      <c r="JOS229" s="2"/>
      <c r="JOT229" s="2"/>
      <c r="JOU229" s="2"/>
      <c r="JOV229" s="2"/>
      <c r="JOW229" s="2"/>
      <c r="JOX229" s="2"/>
      <c r="JOY229" s="2"/>
      <c r="JOZ229" s="2"/>
      <c r="JPA229" s="2"/>
      <c r="JPB229" s="2"/>
      <c r="JPC229" s="2"/>
      <c r="JPD229" s="2"/>
      <c r="JPE229" s="2"/>
      <c r="JPF229" s="2"/>
      <c r="JPG229" s="2"/>
      <c r="JPH229" s="2"/>
      <c r="JPI229" s="2"/>
      <c r="JPJ229" s="2"/>
      <c r="JPK229" s="2"/>
      <c r="JPL229" s="2"/>
      <c r="JPM229" s="2"/>
      <c r="JPN229" s="2"/>
      <c r="JPO229" s="2"/>
      <c r="JPP229" s="2"/>
      <c r="JPQ229" s="2"/>
      <c r="JPR229" s="2"/>
      <c r="JPS229" s="2"/>
      <c r="JPT229" s="2"/>
      <c r="JPU229" s="2"/>
      <c r="JPV229" s="2"/>
      <c r="JPW229" s="2"/>
      <c r="JPX229" s="2"/>
      <c r="JPY229" s="2"/>
      <c r="JPZ229" s="2"/>
      <c r="JQA229" s="2"/>
      <c r="JQB229" s="2"/>
      <c r="JQC229" s="2"/>
      <c r="JQD229" s="2"/>
      <c r="JQE229" s="2"/>
      <c r="JQF229" s="2"/>
      <c r="JQG229" s="2"/>
      <c r="JQH229" s="2"/>
      <c r="JQI229" s="2"/>
      <c r="JQJ229" s="2"/>
      <c r="JQK229" s="2"/>
      <c r="JQL229" s="2"/>
      <c r="JQM229" s="2"/>
      <c r="JQN229" s="2"/>
      <c r="JQO229" s="2"/>
      <c r="JQP229" s="2"/>
      <c r="JQQ229" s="2"/>
      <c r="JQR229" s="2"/>
      <c r="JQS229" s="2"/>
      <c r="JQT229" s="2"/>
      <c r="JQU229" s="2"/>
      <c r="JQV229" s="2"/>
      <c r="JQW229" s="2"/>
      <c r="JQX229" s="2"/>
      <c r="JQY229" s="2"/>
      <c r="JQZ229" s="2"/>
      <c r="JRA229" s="2"/>
      <c r="JRB229" s="2"/>
      <c r="JRC229" s="2"/>
      <c r="JRD229" s="2"/>
      <c r="JRE229" s="2"/>
      <c r="JRF229" s="2"/>
      <c r="JRG229" s="2"/>
      <c r="JRH229" s="2"/>
      <c r="JRI229" s="2"/>
      <c r="JRJ229" s="2"/>
      <c r="JRK229" s="2"/>
      <c r="JRL229" s="2"/>
      <c r="JRM229" s="2"/>
      <c r="JRN229" s="2"/>
      <c r="JRO229" s="2"/>
      <c r="JRP229" s="2"/>
      <c r="JRQ229" s="2"/>
      <c r="JRR229" s="2"/>
      <c r="JRS229" s="2"/>
      <c r="JRT229" s="2"/>
      <c r="JRU229" s="2"/>
      <c r="JRV229" s="2"/>
      <c r="JRW229" s="2"/>
      <c r="JRX229" s="2"/>
      <c r="JRY229" s="2"/>
      <c r="JRZ229" s="2"/>
      <c r="JSA229" s="2"/>
      <c r="JSB229" s="2"/>
      <c r="JSC229" s="2"/>
      <c r="JSD229" s="2"/>
      <c r="JSE229" s="2"/>
      <c r="JSF229" s="2"/>
      <c r="JSG229" s="2"/>
      <c r="JSH229" s="2"/>
      <c r="JSI229" s="2"/>
      <c r="JSJ229" s="2"/>
      <c r="JSK229" s="2"/>
      <c r="JSL229" s="2"/>
      <c r="JSM229" s="2"/>
      <c r="JSN229" s="2"/>
      <c r="JSO229" s="2"/>
      <c r="JSP229" s="2"/>
      <c r="JSQ229" s="2"/>
      <c r="JSR229" s="2"/>
      <c r="JSS229" s="2"/>
      <c r="JST229" s="2"/>
      <c r="JSU229" s="2"/>
      <c r="JSV229" s="2"/>
      <c r="JSW229" s="2"/>
      <c r="JSX229" s="2"/>
      <c r="JSY229" s="2"/>
      <c r="JSZ229" s="2"/>
      <c r="JTA229" s="2"/>
      <c r="JTB229" s="2"/>
      <c r="JTC229" s="2"/>
      <c r="JTD229" s="2"/>
      <c r="JTE229" s="2"/>
      <c r="JTF229" s="2"/>
      <c r="JTG229" s="2"/>
      <c r="JTH229" s="2"/>
      <c r="JTI229" s="2"/>
      <c r="JTJ229" s="2"/>
      <c r="JTK229" s="2"/>
      <c r="JTL229" s="2"/>
      <c r="JTM229" s="2"/>
      <c r="JTN229" s="2"/>
      <c r="JTO229" s="2"/>
      <c r="JTP229" s="2"/>
      <c r="JTQ229" s="2"/>
      <c r="JTR229" s="2"/>
      <c r="JTS229" s="2"/>
      <c r="JTT229" s="2"/>
      <c r="JTU229" s="2"/>
      <c r="JTV229" s="2"/>
      <c r="JTW229" s="2"/>
      <c r="JTX229" s="2"/>
      <c r="JTY229" s="2"/>
      <c r="JTZ229" s="2"/>
      <c r="JUA229" s="2"/>
      <c r="JUB229" s="2"/>
      <c r="JUC229" s="2"/>
      <c r="JUD229" s="2"/>
      <c r="JUE229" s="2"/>
      <c r="JUF229" s="2"/>
      <c r="JUG229" s="2"/>
      <c r="JUH229" s="2"/>
      <c r="JUI229" s="2"/>
      <c r="JUJ229" s="2"/>
      <c r="JUK229" s="2"/>
      <c r="JUL229" s="2"/>
      <c r="JUM229" s="2"/>
      <c r="JUN229" s="2"/>
      <c r="JUO229" s="2"/>
      <c r="JUP229" s="2"/>
      <c r="JUQ229" s="2"/>
      <c r="JUR229" s="2"/>
      <c r="JUS229" s="2"/>
      <c r="JUT229" s="2"/>
      <c r="JUU229" s="2"/>
      <c r="JUV229" s="2"/>
      <c r="JUW229" s="2"/>
      <c r="JUX229" s="2"/>
      <c r="JUY229" s="2"/>
      <c r="JUZ229" s="2"/>
      <c r="JVA229" s="2"/>
      <c r="JVB229" s="2"/>
      <c r="JVC229" s="2"/>
      <c r="JVD229" s="2"/>
      <c r="JVE229" s="2"/>
      <c r="JVF229" s="2"/>
      <c r="JVG229" s="2"/>
      <c r="JVH229" s="2"/>
      <c r="JVI229" s="2"/>
      <c r="JVJ229" s="2"/>
      <c r="JVK229" s="2"/>
      <c r="JVL229" s="2"/>
      <c r="JVM229" s="2"/>
      <c r="JVN229" s="2"/>
      <c r="JVO229" s="2"/>
      <c r="JVP229" s="2"/>
      <c r="JVQ229" s="2"/>
      <c r="JVR229" s="2"/>
      <c r="JVS229" s="2"/>
      <c r="JVT229" s="2"/>
      <c r="JVU229" s="2"/>
      <c r="JVV229" s="2"/>
      <c r="JVW229" s="2"/>
      <c r="JVX229" s="2"/>
      <c r="JVY229" s="2"/>
      <c r="JVZ229" s="2"/>
      <c r="JWA229" s="2"/>
      <c r="JWB229" s="2"/>
      <c r="JWC229" s="2"/>
      <c r="JWD229" s="2"/>
      <c r="JWE229" s="2"/>
      <c r="JWF229" s="2"/>
      <c r="JWG229" s="2"/>
      <c r="JWH229" s="2"/>
      <c r="JWI229" s="2"/>
      <c r="JWJ229" s="2"/>
      <c r="JWK229" s="2"/>
      <c r="JWL229" s="2"/>
      <c r="JWM229" s="2"/>
      <c r="JWN229" s="2"/>
      <c r="JWO229" s="2"/>
      <c r="JWP229" s="2"/>
      <c r="JWQ229" s="2"/>
      <c r="JWR229" s="2"/>
      <c r="JWS229" s="2"/>
      <c r="JWT229" s="2"/>
      <c r="JWU229" s="2"/>
      <c r="JWV229" s="2"/>
      <c r="JWW229" s="2"/>
      <c r="JWX229" s="2"/>
      <c r="JWY229" s="2"/>
      <c r="JWZ229" s="2"/>
      <c r="JXA229" s="2"/>
      <c r="JXB229" s="2"/>
      <c r="JXC229" s="2"/>
      <c r="JXD229" s="2"/>
      <c r="JXE229" s="2"/>
      <c r="JXF229" s="2"/>
      <c r="JXG229" s="2"/>
      <c r="JXH229" s="2"/>
      <c r="JXI229" s="2"/>
      <c r="JXJ229" s="2"/>
      <c r="JXK229" s="2"/>
      <c r="JXL229" s="2"/>
      <c r="JXM229" s="2"/>
      <c r="JXN229" s="2"/>
      <c r="JXO229" s="2"/>
      <c r="JXP229" s="2"/>
      <c r="JXQ229" s="2"/>
      <c r="JXR229" s="2"/>
      <c r="JXS229" s="2"/>
      <c r="JXT229" s="2"/>
      <c r="JXU229" s="2"/>
      <c r="JXV229" s="2"/>
      <c r="JXW229" s="2"/>
      <c r="JXX229" s="2"/>
      <c r="JXY229" s="2"/>
      <c r="JXZ229" s="2"/>
      <c r="JYA229" s="2"/>
      <c r="JYB229" s="2"/>
      <c r="JYC229" s="2"/>
      <c r="JYD229" s="2"/>
      <c r="JYE229" s="2"/>
      <c r="JYF229" s="2"/>
      <c r="JYG229" s="2"/>
      <c r="JYH229" s="2"/>
      <c r="JYI229" s="2"/>
      <c r="JYJ229" s="2"/>
      <c r="JYK229" s="2"/>
      <c r="JYL229" s="2"/>
      <c r="JYM229" s="2"/>
      <c r="JYN229" s="2"/>
      <c r="JYO229" s="2"/>
      <c r="JYP229" s="2"/>
      <c r="JYQ229" s="2"/>
      <c r="JYR229" s="2"/>
      <c r="JYS229" s="2"/>
      <c r="JYT229" s="2"/>
      <c r="JYU229" s="2"/>
      <c r="JYV229" s="2"/>
      <c r="JYW229" s="2"/>
      <c r="JYX229" s="2"/>
      <c r="JYY229" s="2"/>
      <c r="JYZ229" s="2"/>
      <c r="JZA229" s="2"/>
      <c r="JZB229" s="2"/>
      <c r="JZC229" s="2"/>
      <c r="JZD229" s="2"/>
      <c r="JZE229" s="2"/>
      <c r="JZF229" s="2"/>
      <c r="JZG229" s="2"/>
      <c r="JZH229" s="2"/>
      <c r="JZI229" s="2"/>
      <c r="JZJ229" s="2"/>
      <c r="JZK229" s="2"/>
      <c r="JZL229" s="2"/>
      <c r="JZM229" s="2"/>
      <c r="JZN229" s="2"/>
      <c r="JZO229" s="2"/>
      <c r="JZP229" s="2"/>
      <c r="JZQ229" s="2"/>
      <c r="JZR229" s="2"/>
      <c r="JZS229" s="2"/>
      <c r="JZT229" s="2"/>
      <c r="JZU229" s="2"/>
      <c r="JZV229" s="2"/>
      <c r="JZW229" s="2"/>
      <c r="JZX229" s="2"/>
      <c r="JZY229" s="2"/>
      <c r="JZZ229" s="2"/>
      <c r="KAA229" s="2"/>
      <c r="KAB229" s="2"/>
      <c r="KAC229" s="2"/>
      <c r="KAD229" s="2"/>
      <c r="KAE229" s="2"/>
      <c r="KAF229" s="2"/>
      <c r="KAG229" s="2"/>
      <c r="KAH229" s="2"/>
      <c r="KAI229" s="2"/>
      <c r="KAJ229" s="2"/>
      <c r="KAK229" s="2"/>
      <c r="KAL229" s="2"/>
      <c r="KAM229" s="2"/>
      <c r="KAN229" s="2"/>
      <c r="KAO229" s="2"/>
      <c r="KAP229" s="2"/>
      <c r="KAQ229" s="2"/>
      <c r="KAR229" s="2"/>
      <c r="KAS229" s="2"/>
      <c r="KAT229" s="2"/>
      <c r="KAU229" s="2"/>
      <c r="KAV229" s="2"/>
      <c r="KAW229" s="2"/>
      <c r="KAX229" s="2"/>
      <c r="KAY229" s="2"/>
      <c r="KAZ229" s="2"/>
      <c r="KBA229" s="2"/>
      <c r="KBB229" s="2"/>
      <c r="KBC229" s="2"/>
      <c r="KBD229" s="2"/>
      <c r="KBE229" s="2"/>
      <c r="KBF229" s="2"/>
      <c r="KBG229" s="2"/>
      <c r="KBH229" s="2"/>
      <c r="KBI229" s="2"/>
      <c r="KBJ229" s="2"/>
      <c r="KBK229" s="2"/>
      <c r="KBL229" s="2"/>
      <c r="KBM229" s="2"/>
      <c r="KBN229" s="2"/>
      <c r="KBO229" s="2"/>
      <c r="KBP229" s="2"/>
      <c r="KBQ229" s="2"/>
      <c r="KBR229" s="2"/>
      <c r="KBS229" s="2"/>
      <c r="KBT229" s="2"/>
      <c r="KBU229" s="2"/>
      <c r="KBV229" s="2"/>
      <c r="KBW229" s="2"/>
      <c r="KBX229" s="2"/>
      <c r="KBY229" s="2"/>
      <c r="KBZ229" s="2"/>
      <c r="KCA229" s="2"/>
      <c r="KCB229" s="2"/>
      <c r="KCC229" s="2"/>
      <c r="KCD229" s="2"/>
      <c r="KCE229" s="2"/>
      <c r="KCF229" s="2"/>
      <c r="KCG229" s="2"/>
      <c r="KCH229" s="2"/>
      <c r="KCI229" s="2"/>
      <c r="KCJ229" s="2"/>
      <c r="KCK229" s="2"/>
      <c r="KCL229" s="2"/>
      <c r="KCM229" s="2"/>
      <c r="KCN229" s="2"/>
      <c r="KCO229" s="2"/>
      <c r="KCP229" s="2"/>
      <c r="KCQ229" s="2"/>
      <c r="KCR229" s="2"/>
      <c r="KCS229" s="2"/>
      <c r="KCT229" s="2"/>
      <c r="KCU229" s="2"/>
      <c r="KCV229" s="2"/>
      <c r="KCW229" s="2"/>
      <c r="KCX229" s="2"/>
      <c r="KCY229" s="2"/>
      <c r="KCZ229" s="2"/>
      <c r="KDA229" s="2"/>
      <c r="KDB229" s="2"/>
      <c r="KDC229" s="2"/>
      <c r="KDD229" s="2"/>
      <c r="KDE229" s="2"/>
      <c r="KDF229" s="2"/>
      <c r="KDG229" s="2"/>
      <c r="KDH229" s="2"/>
      <c r="KDI229" s="2"/>
      <c r="KDJ229" s="2"/>
      <c r="KDK229" s="2"/>
      <c r="KDL229" s="2"/>
      <c r="KDM229" s="2"/>
      <c r="KDN229" s="2"/>
      <c r="KDO229" s="2"/>
      <c r="KDP229" s="2"/>
      <c r="KDQ229" s="2"/>
      <c r="KDR229" s="2"/>
      <c r="KDS229" s="2"/>
      <c r="KDT229" s="2"/>
      <c r="KDU229" s="2"/>
      <c r="KDV229" s="2"/>
      <c r="KDW229" s="2"/>
      <c r="KDX229" s="2"/>
      <c r="KDY229" s="2"/>
      <c r="KDZ229" s="2"/>
      <c r="KEA229" s="2"/>
      <c r="KEB229" s="2"/>
      <c r="KEC229" s="2"/>
      <c r="KED229" s="2"/>
      <c r="KEE229" s="2"/>
      <c r="KEF229" s="2"/>
      <c r="KEG229" s="2"/>
      <c r="KEH229" s="2"/>
      <c r="KEI229" s="2"/>
      <c r="KEJ229" s="2"/>
      <c r="KEK229" s="2"/>
      <c r="KEL229" s="2"/>
      <c r="KEM229" s="2"/>
      <c r="KEN229" s="2"/>
      <c r="KEO229" s="2"/>
      <c r="KEP229" s="2"/>
      <c r="KEQ229" s="2"/>
      <c r="KER229" s="2"/>
      <c r="KES229" s="2"/>
      <c r="KET229" s="2"/>
      <c r="KEU229" s="2"/>
      <c r="KEV229" s="2"/>
      <c r="KEW229" s="2"/>
      <c r="KEX229" s="2"/>
      <c r="KEY229" s="2"/>
      <c r="KEZ229" s="2"/>
      <c r="KFA229" s="2"/>
      <c r="KFB229" s="2"/>
      <c r="KFC229" s="2"/>
      <c r="KFD229" s="2"/>
      <c r="KFE229" s="2"/>
      <c r="KFF229" s="2"/>
      <c r="KFG229" s="2"/>
      <c r="KFH229" s="2"/>
      <c r="KFI229" s="2"/>
      <c r="KFJ229" s="2"/>
      <c r="KFK229" s="2"/>
      <c r="KFL229" s="2"/>
      <c r="KFM229" s="2"/>
      <c r="KFN229" s="2"/>
      <c r="KFO229" s="2"/>
      <c r="KFP229" s="2"/>
      <c r="KFQ229" s="2"/>
      <c r="KFR229" s="2"/>
      <c r="KFS229" s="2"/>
      <c r="KFT229" s="2"/>
      <c r="KFU229" s="2"/>
      <c r="KFV229" s="2"/>
      <c r="KFW229" s="2"/>
      <c r="KFX229" s="2"/>
      <c r="KFY229" s="2"/>
      <c r="KFZ229" s="2"/>
      <c r="KGA229" s="2"/>
      <c r="KGB229" s="2"/>
      <c r="KGC229" s="2"/>
      <c r="KGD229" s="2"/>
      <c r="KGE229" s="2"/>
      <c r="KGF229" s="2"/>
      <c r="KGG229" s="2"/>
      <c r="KGH229" s="2"/>
      <c r="KGI229" s="2"/>
      <c r="KGJ229" s="2"/>
      <c r="KGK229" s="2"/>
      <c r="KGL229" s="2"/>
      <c r="KGM229" s="2"/>
      <c r="KGN229" s="2"/>
      <c r="KGO229" s="2"/>
      <c r="KGP229" s="2"/>
      <c r="KGQ229" s="2"/>
      <c r="KGR229" s="2"/>
      <c r="KGS229" s="2"/>
      <c r="KGT229" s="2"/>
      <c r="KGU229" s="2"/>
      <c r="KGV229" s="2"/>
      <c r="KGW229" s="2"/>
      <c r="KGX229" s="2"/>
      <c r="KGY229" s="2"/>
      <c r="KGZ229" s="2"/>
      <c r="KHA229" s="2"/>
      <c r="KHB229" s="2"/>
      <c r="KHC229" s="2"/>
      <c r="KHD229" s="2"/>
      <c r="KHE229" s="2"/>
      <c r="KHF229" s="2"/>
      <c r="KHG229" s="2"/>
      <c r="KHH229" s="2"/>
      <c r="KHI229" s="2"/>
      <c r="KHJ229" s="2"/>
      <c r="KHK229" s="2"/>
      <c r="KHL229" s="2"/>
      <c r="KHM229" s="2"/>
      <c r="KHN229" s="2"/>
      <c r="KHO229" s="2"/>
      <c r="KHP229" s="2"/>
      <c r="KHQ229" s="2"/>
      <c r="KHR229" s="2"/>
      <c r="KHS229" s="2"/>
      <c r="KHT229" s="2"/>
      <c r="KHU229" s="2"/>
      <c r="KHV229" s="2"/>
      <c r="KHW229" s="2"/>
      <c r="KHX229" s="2"/>
      <c r="KHY229" s="2"/>
      <c r="KHZ229" s="2"/>
      <c r="KIA229" s="2"/>
      <c r="KIB229" s="2"/>
      <c r="KIC229" s="2"/>
      <c r="KID229" s="2"/>
      <c r="KIE229" s="2"/>
      <c r="KIF229" s="2"/>
      <c r="KIG229" s="2"/>
      <c r="KIH229" s="2"/>
      <c r="KII229" s="2"/>
      <c r="KIJ229" s="2"/>
      <c r="KIK229" s="2"/>
      <c r="KIL229" s="2"/>
      <c r="KIM229" s="2"/>
      <c r="KIN229" s="2"/>
      <c r="KIO229" s="2"/>
      <c r="KIP229" s="2"/>
      <c r="KIQ229" s="2"/>
      <c r="KIR229" s="2"/>
      <c r="KIS229" s="2"/>
      <c r="KIT229" s="2"/>
      <c r="KIU229" s="2"/>
      <c r="KIV229" s="2"/>
      <c r="KIW229" s="2"/>
      <c r="KIX229" s="2"/>
      <c r="KIY229" s="2"/>
      <c r="KIZ229" s="2"/>
      <c r="KJA229" s="2"/>
      <c r="KJB229" s="2"/>
      <c r="KJC229" s="2"/>
      <c r="KJD229" s="2"/>
      <c r="KJE229" s="2"/>
      <c r="KJF229" s="2"/>
      <c r="KJG229" s="2"/>
      <c r="KJH229" s="2"/>
      <c r="KJI229" s="2"/>
      <c r="KJJ229" s="2"/>
      <c r="KJK229" s="2"/>
      <c r="KJL229" s="2"/>
      <c r="KJM229" s="2"/>
      <c r="KJN229" s="2"/>
      <c r="KJO229" s="2"/>
      <c r="KJP229" s="2"/>
      <c r="KJQ229" s="2"/>
      <c r="KJR229" s="2"/>
      <c r="KJS229" s="2"/>
      <c r="KJT229" s="2"/>
      <c r="KJU229" s="2"/>
      <c r="KJV229" s="2"/>
      <c r="KJW229" s="2"/>
      <c r="KJX229" s="2"/>
      <c r="KJY229" s="2"/>
      <c r="KJZ229" s="2"/>
      <c r="KKA229" s="2"/>
      <c r="KKB229" s="2"/>
      <c r="KKC229" s="2"/>
      <c r="KKD229" s="2"/>
      <c r="KKE229" s="2"/>
      <c r="KKF229" s="2"/>
      <c r="KKG229" s="2"/>
      <c r="KKH229" s="2"/>
      <c r="KKI229" s="2"/>
      <c r="KKJ229" s="2"/>
      <c r="KKK229" s="2"/>
      <c r="KKL229" s="2"/>
      <c r="KKM229" s="2"/>
      <c r="KKN229" s="2"/>
      <c r="KKO229" s="2"/>
      <c r="KKP229" s="2"/>
      <c r="KKQ229" s="2"/>
      <c r="KKR229" s="2"/>
      <c r="KKS229" s="2"/>
      <c r="KKT229" s="2"/>
      <c r="KKU229" s="2"/>
      <c r="KKV229" s="2"/>
      <c r="KKW229" s="2"/>
      <c r="KKX229" s="2"/>
      <c r="KKY229" s="2"/>
      <c r="KKZ229" s="2"/>
      <c r="KLA229" s="2"/>
      <c r="KLB229" s="2"/>
      <c r="KLC229" s="2"/>
      <c r="KLD229" s="2"/>
      <c r="KLE229" s="2"/>
      <c r="KLF229" s="2"/>
      <c r="KLG229" s="2"/>
      <c r="KLH229" s="2"/>
      <c r="KLI229" s="2"/>
      <c r="KLJ229" s="2"/>
      <c r="KLK229" s="2"/>
      <c r="KLL229" s="2"/>
      <c r="KLM229" s="2"/>
      <c r="KLN229" s="2"/>
      <c r="KLO229" s="2"/>
      <c r="KLP229" s="2"/>
      <c r="KLQ229" s="2"/>
      <c r="KLR229" s="2"/>
      <c r="KLS229" s="2"/>
      <c r="KLT229" s="2"/>
      <c r="KLU229" s="2"/>
      <c r="KLV229" s="2"/>
      <c r="KLW229" s="2"/>
      <c r="KLX229" s="2"/>
      <c r="KLY229" s="2"/>
      <c r="KLZ229" s="2"/>
      <c r="KMA229" s="2"/>
      <c r="KMB229" s="2"/>
      <c r="KMC229" s="2"/>
      <c r="KMD229" s="2"/>
      <c r="KME229" s="2"/>
      <c r="KMF229" s="2"/>
      <c r="KMG229" s="2"/>
      <c r="KMH229" s="2"/>
      <c r="KMI229" s="2"/>
      <c r="KMJ229" s="2"/>
      <c r="KMK229" s="2"/>
      <c r="KML229" s="2"/>
      <c r="KMM229" s="2"/>
      <c r="KMN229" s="2"/>
      <c r="KMO229" s="2"/>
      <c r="KMP229" s="2"/>
      <c r="KMQ229" s="2"/>
      <c r="KMR229" s="2"/>
      <c r="KMS229" s="2"/>
      <c r="KMT229" s="2"/>
      <c r="KMU229" s="2"/>
      <c r="KMV229" s="2"/>
      <c r="KMW229" s="2"/>
      <c r="KMX229" s="2"/>
      <c r="KMY229" s="2"/>
      <c r="KMZ229" s="2"/>
      <c r="KNA229" s="2"/>
      <c r="KNB229" s="2"/>
      <c r="KNC229" s="2"/>
      <c r="KND229" s="2"/>
      <c r="KNE229" s="2"/>
      <c r="KNF229" s="2"/>
      <c r="KNG229" s="2"/>
      <c r="KNH229" s="2"/>
      <c r="KNI229" s="2"/>
      <c r="KNJ229" s="2"/>
      <c r="KNK229" s="2"/>
      <c r="KNL229" s="2"/>
      <c r="KNM229" s="2"/>
      <c r="KNN229" s="2"/>
      <c r="KNO229" s="2"/>
      <c r="KNP229" s="2"/>
      <c r="KNQ229" s="2"/>
      <c r="KNR229" s="2"/>
      <c r="KNS229" s="2"/>
      <c r="KNT229" s="2"/>
      <c r="KNU229" s="2"/>
      <c r="KNV229" s="2"/>
      <c r="KNW229" s="2"/>
      <c r="KNX229" s="2"/>
      <c r="KNY229" s="2"/>
      <c r="KNZ229" s="2"/>
      <c r="KOA229" s="2"/>
      <c r="KOB229" s="2"/>
      <c r="KOC229" s="2"/>
      <c r="KOD229" s="2"/>
      <c r="KOE229" s="2"/>
      <c r="KOF229" s="2"/>
      <c r="KOG229" s="2"/>
      <c r="KOH229" s="2"/>
      <c r="KOI229" s="2"/>
      <c r="KOJ229" s="2"/>
      <c r="KOK229" s="2"/>
      <c r="KOL229" s="2"/>
      <c r="KOM229" s="2"/>
      <c r="KON229" s="2"/>
      <c r="KOO229" s="2"/>
      <c r="KOP229" s="2"/>
      <c r="KOQ229" s="2"/>
      <c r="KOR229" s="2"/>
      <c r="KOS229" s="2"/>
      <c r="KOT229" s="2"/>
      <c r="KOU229" s="2"/>
      <c r="KOV229" s="2"/>
      <c r="KOW229" s="2"/>
      <c r="KOX229" s="2"/>
      <c r="KOY229" s="2"/>
      <c r="KOZ229" s="2"/>
      <c r="KPA229" s="2"/>
      <c r="KPB229" s="2"/>
      <c r="KPC229" s="2"/>
      <c r="KPD229" s="2"/>
      <c r="KPE229" s="2"/>
      <c r="KPF229" s="2"/>
      <c r="KPG229" s="2"/>
      <c r="KPH229" s="2"/>
      <c r="KPI229" s="2"/>
      <c r="KPJ229" s="2"/>
      <c r="KPK229" s="2"/>
      <c r="KPL229" s="2"/>
      <c r="KPM229" s="2"/>
      <c r="KPN229" s="2"/>
      <c r="KPO229" s="2"/>
      <c r="KPP229" s="2"/>
      <c r="KPQ229" s="2"/>
      <c r="KPR229" s="2"/>
      <c r="KPS229" s="2"/>
      <c r="KPT229" s="2"/>
      <c r="KPU229" s="2"/>
      <c r="KPV229" s="2"/>
      <c r="KPW229" s="2"/>
      <c r="KPX229" s="2"/>
      <c r="KPY229" s="2"/>
      <c r="KPZ229" s="2"/>
      <c r="KQA229" s="2"/>
      <c r="KQB229" s="2"/>
      <c r="KQC229" s="2"/>
      <c r="KQD229" s="2"/>
      <c r="KQE229" s="2"/>
      <c r="KQF229" s="2"/>
      <c r="KQG229" s="2"/>
      <c r="KQH229" s="2"/>
      <c r="KQI229" s="2"/>
      <c r="KQJ229" s="2"/>
      <c r="KQK229" s="2"/>
      <c r="KQL229" s="2"/>
      <c r="KQM229" s="2"/>
      <c r="KQN229" s="2"/>
      <c r="KQO229" s="2"/>
      <c r="KQP229" s="2"/>
      <c r="KQQ229" s="2"/>
      <c r="KQR229" s="2"/>
      <c r="KQS229" s="2"/>
      <c r="KQT229" s="2"/>
      <c r="KQU229" s="2"/>
      <c r="KQV229" s="2"/>
      <c r="KQW229" s="2"/>
      <c r="KQX229" s="2"/>
      <c r="KQY229" s="2"/>
      <c r="KQZ229" s="2"/>
      <c r="KRA229" s="2"/>
      <c r="KRB229" s="2"/>
      <c r="KRC229" s="2"/>
      <c r="KRD229" s="2"/>
      <c r="KRE229" s="2"/>
      <c r="KRF229" s="2"/>
      <c r="KRG229" s="2"/>
      <c r="KRH229" s="2"/>
      <c r="KRI229" s="2"/>
      <c r="KRJ229" s="2"/>
      <c r="KRK229" s="2"/>
      <c r="KRL229" s="2"/>
      <c r="KRM229" s="2"/>
      <c r="KRN229" s="2"/>
      <c r="KRO229" s="2"/>
      <c r="KRP229" s="2"/>
      <c r="KRQ229" s="2"/>
      <c r="KRR229" s="2"/>
      <c r="KRS229" s="2"/>
      <c r="KRT229" s="2"/>
      <c r="KRU229" s="2"/>
      <c r="KRV229" s="2"/>
      <c r="KRW229" s="2"/>
      <c r="KRX229" s="2"/>
      <c r="KRY229" s="2"/>
      <c r="KRZ229" s="2"/>
      <c r="KSA229" s="2"/>
      <c r="KSB229" s="2"/>
      <c r="KSC229" s="2"/>
      <c r="KSD229" s="2"/>
      <c r="KSE229" s="2"/>
      <c r="KSF229" s="2"/>
      <c r="KSG229" s="2"/>
      <c r="KSH229" s="2"/>
      <c r="KSI229" s="2"/>
      <c r="KSJ229" s="2"/>
      <c r="KSK229" s="2"/>
      <c r="KSL229" s="2"/>
      <c r="KSM229" s="2"/>
      <c r="KSN229" s="2"/>
      <c r="KSO229" s="2"/>
      <c r="KSP229" s="2"/>
      <c r="KSQ229" s="2"/>
      <c r="KSR229" s="2"/>
      <c r="KSS229" s="2"/>
      <c r="KST229" s="2"/>
      <c r="KSU229" s="2"/>
      <c r="KSV229" s="2"/>
      <c r="KSW229" s="2"/>
      <c r="KSX229" s="2"/>
      <c r="KSY229" s="2"/>
      <c r="KSZ229" s="2"/>
      <c r="KTA229" s="2"/>
      <c r="KTB229" s="2"/>
      <c r="KTC229" s="2"/>
      <c r="KTD229" s="2"/>
      <c r="KTE229" s="2"/>
      <c r="KTF229" s="2"/>
      <c r="KTG229" s="2"/>
      <c r="KTH229" s="2"/>
      <c r="KTI229" s="2"/>
      <c r="KTJ229" s="2"/>
      <c r="KTK229" s="2"/>
      <c r="KTL229" s="2"/>
      <c r="KTM229" s="2"/>
      <c r="KTN229" s="2"/>
      <c r="KTO229" s="2"/>
      <c r="KTP229" s="2"/>
      <c r="KTQ229" s="2"/>
      <c r="KTR229" s="2"/>
      <c r="KTS229" s="2"/>
      <c r="KTT229" s="2"/>
      <c r="KTU229" s="2"/>
      <c r="KTV229" s="2"/>
      <c r="KTW229" s="2"/>
      <c r="KTX229" s="2"/>
      <c r="KTY229" s="2"/>
      <c r="KTZ229" s="2"/>
      <c r="KUA229" s="2"/>
      <c r="KUB229" s="2"/>
      <c r="KUC229" s="2"/>
      <c r="KUD229" s="2"/>
      <c r="KUE229" s="2"/>
      <c r="KUF229" s="2"/>
      <c r="KUG229" s="2"/>
      <c r="KUH229" s="2"/>
      <c r="KUI229" s="2"/>
      <c r="KUJ229" s="2"/>
      <c r="KUK229" s="2"/>
      <c r="KUL229" s="2"/>
      <c r="KUM229" s="2"/>
      <c r="KUN229" s="2"/>
      <c r="KUO229" s="2"/>
      <c r="KUP229" s="2"/>
      <c r="KUQ229" s="2"/>
      <c r="KUR229" s="2"/>
      <c r="KUS229" s="2"/>
      <c r="KUT229" s="2"/>
      <c r="KUU229" s="2"/>
      <c r="KUV229" s="2"/>
      <c r="KUW229" s="2"/>
      <c r="KUX229" s="2"/>
      <c r="KUY229" s="2"/>
      <c r="KUZ229" s="2"/>
      <c r="KVA229" s="2"/>
      <c r="KVB229" s="2"/>
      <c r="KVC229" s="2"/>
      <c r="KVD229" s="2"/>
      <c r="KVE229" s="2"/>
      <c r="KVF229" s="2"/>
      <c r="KVG229" s="2"/>
      <c r="KVH229" s="2"/>
      <c r="KVI229" s="2"/>
      <c r="KVJ229" s="2"/>
      <c r="KVK229" s="2"/>
      <c r="KVL229" s="2"/>
      <c r="KVM229" s="2"/>
      <c r="KVN229" s="2"/>
      <c r="KVO229" s="2"/>
      <c r="KVP229" s="2"/>
      <c r="KVQ229" s="2"/>
      <c r="KVR229" s="2"/>
      <c r="KVS229" s="2"/>
      <c r="KVT229" s="2"/>
      <c r="KVU229" s="2"/>
      <c r="KVV229" s="2"/>
      <c r="KVW229" s="2"/>
      <c r="KVX229" s="2"/>
      <c r="KVY229" s="2"/>
      <c r="KVZ229" s="2"/>
      <c r="KWA229" s="2"/>
      <c r="KWB229" s="2"/>
      <c r="KWC229" s="2"/>
      <c r="KWD229" s="2"/>
      <c r="KWE229" s="2"/>
      <c r="KWF229" s="2"/>
      <c r="KWG229" s="2"/>
      <c r="KWH229" s="2"/>
      <c r="KWI229" s="2"/>
      <c r="KWJ229" s="2"/>
      <c r="KWK229" s="2"/>
      <c r="KWL229" s="2"/>
      <c r="KWM229" s="2"/>
      <c r="KWN229" s="2"/>
      <c r="KWO229" s="2"/>
      <c r="KWP229" s="2"/>
      <c r="KWQ229" s="2"/>
      <c r="KWR229" s="2"/>
      <c r="KWS229" s="2"/>
      <c r="KWT229" s="2"/>
      <c r="KWU229" s="2"/>
      <c r="KWV229" s="2"/>
      <c r="KWW229" s="2"/>
      <c r="KWX229" s="2"/>
      <c r="KWY229" s="2"/>
      <c r="KWZ229" s="2"/>
      <c r="KXA229" s="2"/>
      <c r="KXB229" s="2"/>
      <c r="KXC229" s="2"/>
      <c r="KXD229" s="2"/>
      <c r="KXE229" s="2"/>
      <c r="KXF229" s="2"/>
      <c r="KXG229" s="2"/>
      <c r="KXH229" s="2"/>
      <c r="KXI229" s="2"/>
      <c r="KXJ229" s="2"/>
      <c r="KXK229" s="2"/>
      <c r="KXL229" s="2"/>
      <c r="KXM229" s="2"/>
      <c r="KXN229" s="2"/>
      <c r="KXO229" s="2"/>
      <c r="KXP229" s="2"/>
      <c r="KXQ229" s="2"/>
      <c r="KXR229" s="2"/>
      <c r="KXS229" s="2"/>
      <c r="KXT229" s="2"/>
      <c r="KXU229" s="2"/>
      <c r="KXV229" s="2"/>
      <c r="KXW229" s="2"/>
      <c r="KXX229" s="2"/>
      <c r="KXY229" s="2"/>
      <c r="KXZ229" s="2"/>
      <c r="KYA229" s="2"/>
      <c r="KYB229" s="2"/>
      <c r="KYC229" s="2"/>
      <c r="KYD229" s="2"/>
      <c r="KYE229" s="2"/>
      <c r="KYF229" s="2"/>
      <c r="KYG229" s="2"/>
      <c r="KYH229" s="2"/>
      <c r="KYI229" s="2"/>
      <c r="KYJ229" s="2"/>
      <c r="KYK229" s="2"/>
      <c r="KYL229" s="2"/>
      <c r="KYM229" s="2"/>
      <c r="KYN229" s="2"/>
      <c r="KYO229" s="2"/>
      <c r="KYP229" s="2"/>
      <c r="KYQ229" s="2"/>
      <c r="KYR229" s="2"/>
      <c r="KYS229" s="2"/>
      <c r="KYT229" s="2"/>
      <c r="KYU229" s="2"/>
      <c r="KYV229" s="2"/>
      <c r="KYW229" s="2"/>
      <c r="KYX229" s="2"/>
      <c r="KYY229" s="2"/>
      <c r="KYZ229" s="2"/>
      <c r="KZA229" s="2"/>
      <c r="KZB229" s="2"/>
      <c r="KZC229" s="2"/>
      <c r="KZD229" s="2"/>
      <c r="KZE229" s="2"/>
      <c r="KZF229" s="2"/>
      <c r="KZG229" s="2"/>
      <c r="KZH229" s="2"/>
      <c r="KZI229" s="2"/>
      <c r="KZJ229" s="2"/>
      <c r="KZK229" s="2"/>
      <c r="KZL229" s="2"/>
      <c r="KZM229" s="2"/>
      <c r="KZN229" s="2"/>
      <c r="KZO229" s="2"/>
      <c r="KZP229" s="2"/>
      <c r="KZQ229" s="2"/>
      <c r="KZR229" s="2"/>
      <c r="KZS229" s="2"/>
      <c r="KZT229" s="2"/>
      <c r="KZU229" s="2"/>
      <c r="KZV229" s="2"/>
      <c r="KZW229" s="2"/>
      <c r="KZX229" s="2"/>
      <c r="KZY229" s="2"/>
      <c r="KZZ229" s="2"/>
      <c r="LAA229" s="2"/>
      <c r="LAB229" s="2"/>
      <c r="LAC229" s="2"/>
      <c r="LAD229" s="2"/>
      <c r="LAE229" s="2"/>
      <c r="LAF229" s="2"/>
      <c r="LAG229" s="2"/>
      <c r="LAH229" s="2"/>
      <c r="LAI229" s="2"/>
      <c r="LAJ229" s="2"/>
      <c r="LAK229" s="2"/>
      <c r="LAL229" s="2"/>
      <c r="LAM229" s="2"/>
      <c r="LAN229" s="2"/>
      <c r="LAO229" s="2"/>
      <c r="LAP229" s="2"/>
      <c r="LAQ229" s="2"/>
      <c r="LAR229" s="2"/>
      <c r="LAS229" s="2"/>
      <c r="LAT229" s="2"/>
      <c r="LAU229" s="2"/>
      <c r="LAV229" s="2"/>
      <c r="LAW229" s="2"/>
      <c r="LAX229" s="2"/>
      <c r="LAY229" s="2"/>
      <c r="LAZ229" s="2"/>
      <c r="LBA229" s="2"/>
      <c r="LBB229" s="2"/>
      <c r="LBC229" s="2"/>
      <c r="LBD229" s="2"/>
      <c r="LBE229" s="2"/>
      <c r="LBF229" s="2"/>
      <c r="LBG229" s="2"/>
      <c r="LBH229" s="2"/>
      <c r="LBI229" s="2"/>
      <c r="LBJ229" s="2"/>
      <c r="LBK229" s="2"/>
      <c r="LBL229" s="2"/>
      <c r="LBM229" s="2"/>
      <c r="LBN229" s="2"/>
      <c r="LBO229" s="2"/>
      <c r="LBP229" s="2"/>
      <c r="LBQ229" s="2"/>
      <c r="LBR229" s="2"/>
      <c r="LBS229" s="2"/>
      <c r="LBT229" s="2"/>
      <c r="LBU229" s="2"/>
      <c r="LBV229" s="2"/>
      <c r="LBW229" s="2"/>
      <c r="LBX229" s="2"/>
      <c r="LBY229" s="2"/>
      <c r="LBZ229" s="2"/>
      <c r="LCA229" s="2"/>
      <c r="LCB229" s="2"/>
      <c r="LCC229" s="2"/>
      <c r="LCD229" s="2"/>
      <c r="LCE229" s="2"/>
      <c r="LCF229" s="2"/>
      <c r="LCG229" s="2"/>
      <c r="LCH229" s="2"/>
      <c r="LCI229" s="2"/>
      <c r="LCJ229" s="2"/>
      <c r="LCK229" s="2"/>
      <c r="LCL229" s="2"/>
      <c r="LCM229" s="2"/>
      <c r="LCN229" s="2"/>
      <c r="LCO229" s="2"/>
      <c r="LCP229" s="2"/>
      <c r="LCQ229" s="2"/>
      <c r="LCR229" s="2"/>
      <c r="LCS229" s="2"/>
      <c r="LCT229" s="2"/>
      <c r="LCU229" s="2"/>
      <c r="LCV229" s="2"/>
      <c r="LCW229" s="2"/>
      <c r="LCX229" s="2"/>
      <c r="LCY229" s="2"/>
      <c r="LCZ229" s="2"/>
      <c r="LDA229" s="2"/>
      <c r="LDB229" s="2"/>
      <c r="LDC229" s="2"/>
      <c r="LDD229" s="2"/>
      <c r="LDE229" s="2"/>
      <c r="LDF229" s="2"/>
      <c r="LDG229" s="2"/>
      <c r="LDH229" s="2"/>
      <c r="LDI229" s="2"/>
      <c r="LDJ229" s="2"/>
      <c r="LDK229" s="2"/>
      <c r="LDL229" s="2"/>
      <c r="LDM229" s="2"/>
      <c r="LDN229" s="2"/>
      <c r="LDO229" s="2"/>
      <c r="LDP229" s="2"/>
      <c r="LDQ229" s="2"/>
      <c r="LDR229" s="2"/>
      <c r="LDS229" s="2"/>
      <c r="LDT229" s="2"/>
      <c r="LDU229" s="2"/>
      <c r="LDV229" s="2"/>
      <c r="LDW229" s="2"/>
      <c r="LDX229" s="2"/>
      <c r="LDY229" s="2"/>
      <c r="LDZ229" s="2"/>
      <c r="LEA229" s="2"/>
      <c r="LEB229" s="2"/>
      <c r="LEC229" s="2"/>
      <c r="LED229" s="2"/>
      <c r="LEE229" s="2"/>
      <c r="LEF229" s="2"/>
      <c r="LEG229" s="2"/>
      <c r="LEH229" s="2"/>
      <c r="LEI229" s="2"/>
      <c r="LEJ229" s="2"/>
      <c r="LEK229" s="2"/>
      <c r="LEL229" s="2"/>
      <c r="LEM229" s="2"/>
      <c r="LEN229" s="2"/>
      <c r="LEO229" s="2"/>
      <c r="LEP229" s="2"/>
      <c r="LEQ229" s="2"/>
      <c r="LER229" s="2"/>
      <c r="LES229" s="2"/>
      <c r="LET229" s="2"/>
      <c r="LEU229" s="2"/>
      <c r="LEV229" s="2"/>
      <c r="LEW229" s="2"/>
      <c r="LEX229" s="2"/>
      <c r="LEY229" s="2"/>
      <c r="LEZ229" s="2"/>
      <c r="LFA229" s="2"/>
      <c r="LFB229" s="2"/>
      <c r="LFC229" s="2"/>
      <c r="LFD229" s="2"/>
      <c r="LFE229" s="2"/>
      <c r="LFF229" s="2"/>
      <c r="LFG229" s="2"/>
      <c r="LFH229" s="2"/>
      <c r="LFI229" s="2"/>
      <c r="LFJ229" s="2"/>
      <c r="LFK229" s="2"/>
      <c r="LFL229" s="2"/>
      <c r="LFM229" s="2"/>
      <c r="LFN229" s="2"/>
      <c r="LFO229" s="2"/>
      <c r="LFP229" s="2"/>
      <c r="LFQ229" s="2"/>
      <c r="LFR229" s="2"/>
      <c r="LFS229" s="2"/>
      <c r="LFT229" s="2"/>
      <c r="LFU229" s="2"/>
      <c r="LFV229" s="2"/>
      <c r="LFW229" s="2"/>
      <c r="LFX229" s="2"/>
      <c r="LFY229" s="2"/>
      <c r="LFZ229" s="2"/>
      <c r="LGA229" s="2"/>
      <c r="LGB229" s="2"/>
      <c r="LGC229" s="2"/>
      <c r="LGD229" s="2"/>
      <c r="LGE229" s="2"/>
      <c r="LGF229" s="2"/>
      <c r="LGG229" s="2"/>
      <c r="LGH229" s="2"/>
      <c r="LGI229" s="2"/>
      <c r="LGJ229" s="2"/>
      <c r="LGK229" s="2"/>
      <c r="LGL229" s="2"/>
      <c r="LGM229" s="2"/>
      <c r="LGN229" s="2"/>
      <c r="LGO229" s="2"/>
      <c r="LGP229" s="2"/>
      <c r="LGQ229" s="2"/>
      <c r="LGR229" s="2"/>
      <c r="LGS229" s="2"/>
      <c r="LGT229" s="2"/>
      <c r="LGU229" s="2"/>
      <c r="LGV229" s="2"/>
      <c r="LGW229" s="2"/>
      <c r="LGX229" s="2"/>
      <c r="LGY229" s="2"/>
      <c r="LGZ229" s="2"/>
      <c r="LHA229" s="2"/>
      <c r="LHB229" s="2"/>
      <c r="LHC229" s="2"/>
      <c r="LHD229" s="2"/>
      <c r="LHE229" s="2"/>
      <c r="LHF229" s="2"/>
      <c r="LHG229" s="2"/>
      <c r="LHH229" s="2"/>
      <c r="LHI229" s="2"/>
      <c r="LHJ229" s="2"/>
      <c r="LHK229" s="2"/>
      <c r="LHL229" s="2"/>
      <c r="LHM229" s="2"/>
      <c r="LHN229" s="2"/>
      <c r="LHO229" s="2"/>
      <c r="LHP229" s="2"/>
      <c r="LHQ229" s="2"/>
      <c r="LHR229" s="2"/>
      <c r="LHS229" s="2"/>
      <c r="LHT229" s="2"/>
      <c r="LHU229" s="2"/>
      <c r="LHV229" s="2"/>
      <c r="LHW229" s="2"/>
      <c r="LHX229" s="2"/>
      <c r="LHY229" s="2"/>
      <c r="LHZ229" s="2"/>
      <c r="LIA229" s="2"/>
      <c r="LIB229" s="2"/>
      <c r="LIC229" s="2"/>
      <c r="LID229" s="2"/>
      <c r="LIE229" s="2"/>
      <c r="LIF229" s="2"/>
      <c r="LIG229" s="2"/>
      <c r="LIH229" s="2"/>
      <c r="LII229" s="2"/>
      <c r="LIJ229" s="2"/>
      <c r="LIK229" s="2"/>
      <c r="LIL229" s="2"/>
      <c r="LIM229" s="2"/>
      <c r="LIN229" s="2"/>
      <c r="LIO229" s="2"/>
      <c r="LIP229" s="2"/>
      <c r="LIQ229" s="2"/>
      <c r="LIR229" s="2"/>
      <c r="LIS229" s="2"/>
      <c r="LIT229" s="2"/>
      <c r="LIU229" s="2"/>
      <c r="LIV229" s="2"/>
      <c r="LIW229" s="2"/>
      <c r="LIX229" s="2"/>
      <c r="LIY229" s="2"/>
      <c r="LIZ229" s="2"/>
      <c r="LJA229" s="2"/>
      <c r="LJB229" s="2"/>
      <c r="LJC229" s="2"/>
      <c r="LJD229" s="2"/>
      <c r="LJE229" s="2"/>
      <c r="LJF229" s="2"/>
      <c r="LJG229" s="2"/>
      <c r="LJH229" s="2"/>
      <c r="LJI229" s="2"/>
      <c r="LJJ229" s="2"/>
      <c r="LJK229" s="2"/>
      <c r="LJL229" s="2"/>
      <c r="LJM229" s="2"/>
      <c r="LJN229" s="2"/>
      <c r="LJO229" s="2"/>
      <c r="LJP229" s="2"/>
      <c r="LJQ229" s="2"/>
      <c r="LJR229" s="2"/>
      <c r="LJS229" s="2"/>
      <c r="LJT229" s="2"/>
      <c r="LJU229" s="2"/>
      <c r="LJV229" s="2"/>
      <c r="LJW229" s="2"/>
      <c r="LJX229" s="2"/>
      <c r="LJY229" s="2"/>
      <c r="LJZ229" s="2"/>
      <c r="LKA229" s="2"/>
      <c r="LKB229" s="2"/>
      <c r="LKC229" s="2"/>
      <c r="LKD229" s="2"/>
      <c r="LKE229" s="2"/>
      <c r="LKF229" s="2"/>
      <c r="LKG229" s="2"/>
      <c r="LKH229" s="2"/>
      <c r="LKI229" s="2"/>
      <c r="LKJ229" s="2"/>
      <c r="LKK229" s="2"/>
      <c r="LKL229" s="2"/>
      <c r="LKM229" s="2"/>
      <c r="LKN229" s="2"/>
      <c r="LKO229" s="2"/>
      <c r="LKP229" s="2"/>
      <c r="LKQ229" s="2"/>
      <c r="LKR229" s="2"/>
      <c r="LKS229" s="2"/>
      <c r="LKT229" s="2"/>
      <c r="LKU229" s="2"/>
      <c r="LKV229" s="2"/>
      <c r="LKW229" s="2"/>
      <c r="LKX229" s="2"/>
      <c r="LKY229" s="2"/>
      <c r="LKZ229" s="2"/>
      <c r="LLA229" s="2"/>
      <c r="LLB229" s="2"/>
      <c r="LLC229" s="2"/>
      <c r="LLD229" s="2"/>
      <c r="LLE229" s="2"/>
      <c r="LLF229" s="2"/>
      <c r="LLG229" s="2"/>
      <c r="LLH229" s="2"/>
      <c r="LLI229" s="2"/>
      <c r="LLJ229" s="2"/>
      <c r="LLK229" s="2"/>
      <c r="LLL229" s="2"/>
      <c r="LLM229" s="2"/>
      <c r="LLN229" s="2"/>
      <c r="LLO229" s="2"/>
      <c r="LLP229" s="2"/>
      <c r="LLQ229" s="2"/>
      <c r="LLR229" s="2"/>
      <c r="LLS229" s="2"/>
      <c r="LLT229" s="2"/>
      <c r="LLU229" s="2"/>
      <c r="LLV229" s="2"/>
      <c r="LLW229" s="2"/>
      <c r="LLX229" s="2"/>
      <c r="LLY229" s="2"/>
      <c r="LLZ229" s="2"/>
      <c r="LMA229" s="2"/>
      <c r="LMB229" s="2"/>
      <c r="LMC229" s="2"/>
      <c r="LMD229" s="2"/>
      <c r="LME229" s="2"/>
      <c r="LMF229" s="2"/>
      <c r="LMG229" s="2"/>
      <c r="LMH229" s="2"/>
      <c r="LMI229" s="2"/>
      <c r="LMJ229" s="2"/>
      <c r="LMK229" s="2"/>
      <c r="LML229" s="2"/>
      <c r="LMM229" s="2"/>
      <c r="LMN229" s="2"/>
      <c r="LMO229" s="2"/>
      <c r="LMP229" s="2"/>
      <c r="LMQ229" s="2"/>
      <c r="LMR229" s="2"/>
      <c r="LMS229" s="2"/>
      <c r="LMT229" s="2"/>
      <c r="LMU229" s="2"/>
      <c r="LMV229" s="2"/>
      <c r="LMW229" s="2"/>
      <c r="LMX229" s="2"/>
      <c r="LMY229" s="2"/>
      <c r="LMZ229" s="2"/>
      <c r="LNA229" s="2"/>
      <c r="LNB229" s="2"/>
      <c r="LNC229" s="2"/>
      <c r="LND229" s="2"/>
      <c r="LNE229" s="2"/>
      <c r="LNF229" s="2"/>
      <c r="LNG229" s="2"/>
      <c r="LNH229" s="2"/>
      <c r="LNI229" s="2"/>
      <c r="LNJ229" s="2"/>
      <c r="LNK229" s="2"/>
      <c r="LNL229" s="2"/>
      <c r="LNM229" s="2"/>
      <c r="LNN229" s="2"/>
      <c r="LNO229" s="2"/>
      <c r="LNP229" s="2"/>
      <c r="LNQ229" s="2"/>
      <c r="LNR229" s="2"/>
      <c r="LNS229" s="2"/>
      <c r="LNT229" s="2"/>
      <c r="LNU229" s="2"/>
      <c r="LNV229" s="2"/>
      <c r="LNW229" s="2"/>
      <c r="LNX229" s="2"/>
      <c r="LNY229" s="2"/>
      <c r="LNZ229" s="2"/>
      <c r="LOA229" s="2"/>
      <c r="LOB229" s="2"/>
      <c r="LOC229" s="2"/>
      <c r="LOD229" s="2"/>
      <c r="LOE229" s="2"/>
      <c r="LOF229" s="2"/>
      <c r="LOG229" s="2"/>
      <c r="LOH229" s="2"/>
      <c r="LOI229" s="2"/>
      <c r="LOJ229" s="2"/>
      <c r="LOK229" s="2"/>
      <c r="LOL229" s="2"/>
      <c r="LOM229" s="2"/>
      <c r="LON229" s="2"/>
      <c r="LOO229" s="2"/>
      <c r="LOP229" s="2"/>
      <c r="LOQ229" s="2"/>
      <c r="LOR229" s="2"/>
      <c r="LOS229" s="2"/>
      <c r="LOT229" s="2"/>
      <c r="LOU229" s="2"/>
      <c r="LOV229" s="2"/>
      <c r="LOW229" s="2"/>
      <c r="LOX229" s="2"/>
      <c r="LOY229" s="2"/>
      <c r="LOZ229" s="2"/>
      <c r="LPA229" s="2"/>
      <c r="LPB229" s="2"/>
      <c r="LPC229" s="2"/>
      <c r="LPD229" s="2"/>
      <c r="LPE229" s="2"/>
      <c r="LPF229" s="2"/>
      <c r="LPG229" s="2"/>
      <c r="LPH229" s="2"/>
      <c r="LPI229" s="2"/>
      <c r="LPJ229" s="2"/>
      <c r="LPK229" s="2"/>
      <c r="LPL229" s="2"/>
      <c r="LPM229" s="2"/>
      <c r="LPN229" s="2"/>
      <c r="LPO229" s="2"/>
      <c r="LPP229" s="2"/>
      <c r="LPQ229" s="2"/>
      <c r="LPR229" s="2"/>
      <c r="LPS229" s="2"/>
      <c r="LPT229" s="2"/>
      <c r="LPU229" s="2"/>
      <c r="LPV229" s="2"/>
      <c r="LPW229" s="2"/>
      <c r="LPX229" s="2"/>
      <c r="LPY229" s="2"/>
      <c r="LPZ229" s="2"/>
      <c r="LQA229" s="2"/>
      <c r="LQB229" s="2"/>
      <c r="LQC229" s="2"/>
      <c r="LQD229" s="2"/>
      <c r="LQE229" s="2"/>
      <c r="LQF229" s="2"/>
      <c r="LQG229" s="2"/>
      <c r="LQH229" s="2"/>
      <c r="LQI229" s="2"/>
      <c r="LQJ229" s="2"/>
      <c r="LQK229" s="2"/>
      <c r="LQL229" s="2"/>
      <c r="LQM229" s="2"/>
      <c r="LQN229" s="2"/>
      <c r="LQO229" s="2"/>
      <c r="LQP229" s="2"/>
      <c r="LQQ229" s="2"/>
      <c r="LQR229" s="2"/>
      <c r="LQS229" s="2"/>
      <c r="LQT229" s="2"/>
      <c r="LQU229" s="2"/>
      <c r="LQV229" s="2"/>
      <c r="LQW229" s="2"/>
      <c r="LQX229" s="2"/>
      <c r="LQY229" s="2"/>
      <c r="LQZ229" s="2"/>
      <c r="LRA229" s="2"/>
      <c r="LRB229" s="2"/>
      <c r="LRC229" s="2"/>
      <c r="LRD229" s="2"/>
      <c r="LRE229" s="2"/>
      <c r="LRF229" s="2"/>
      <c r="LRG229" s="2"/>
      <c r="LRH229" s="2"/>
      <c r="LRI229" s="2"/>
      <c r="LRJ229" s="2"/>
      <c r="LRK229" s="2"/>
      <c r="LRL229" s="2"/>
      <c r="LRM229" s="2"/>
      <c r="LRN229" s="2"/>
      <c r="LRO229" s="2"/>
      <c r="LRP229" s="2"/>
      <c r="LRQ229" s="2"/>
      <c r="LRR229" s="2"/>
      <c r="LRS229" s="2"/>
      <c r="LRT229" s="2"/>
      <c r="LRU229" s="2"/>
      <c r="LRV229" s="2"/>
      <c r="LRW229" s="2"/>
      <c r="LRX229" s="2"/>
      <c r="LRY229" s="2"/>
      <c r="LRZ229" s="2"/>
      <c r="LSA229" s="2"/>
      <c r="LSB229" s="2"/>
      <c r="LSC229" s="2"/>
      <c r="LSD229" s="2"/>
      <c r="LSE229" s="2"/>
      <c r="LSF229" s="2"/>
      <c r="LSG229" s="2"/>
      <c r="LSH229" s="2"/>
      <c r="LSI229" s="2"/>
      <c r="LSJ229" s="2"/>
      <c r="LSK229" s="2"/>
      <c r="LSL229" s="2"/>
      <c r="LSM229" s="2"/>
      <c r="LSN229" s="2"/>
      <c r="LSO229" s="2"/>
      <c r="LSP229" s="2"/>
      <c r="LSQ229" s="2"/>
      <c r="LSR229" s="2"/>
      <c r="LSS229" s="2"/>
      <c r="LST229" s="2"/>
      <c r="LSU229" s="2"/>
      <c r="LSV229" s="2"/>
      <c r="LSW229" s="2"/>
      <c r="LSX229" s="2"/>
      <c r="LSY229" s="2"/>
      <c r="LSZ229" s="2"/>
      <c r="LTA229" s="2"/>
      <c r="LTB229" s="2"/>
      <c r="LTC229" s="2"/>
      <c r="LTD229" s="2"/>
      <c r="LTE229" s="2"/>
      <c r="LTF229" s="2"/>
      <c r="LTG229" s="2"/>
      <c r="LTH229" s="2"/>
      <c r="LTI229" s="2"/>
      <c r="LTJ229" s="2"/>
      <c r="LTK229" s="2"/>
      <c r="LTL229" s="2"/>
      <c r="LTM229" s="2"/>
      <c r="LTN229" s="2"/>
      <c r="LTO229" s="2"/>
      <c r="LTP229" s="2"/>
      <c r="LTQ229" s="2"/>
      <c r="LTR229" s="2"/>
      <c r="LTS229" s="2"/>
      <c r="LTT229" s="2"/>
      <c r="LTU229" s="2"/>
      <c r="LTV229" s="2"/>
      <c r="LTW229" s="2"/>
      <c r="LTX229" s="2"/>
      <c r="LTY229" s="2"/>
      <c r="LTZ229" s="2"/>
      <c r="LUA229" s="2"/>
      <c r="LUB229" s="2"/>
      <c r="LUC229" s="2"/>
      <c r="LUD229" s="2"/>
      <c r="LUE229" s="2"/>
      <c r="LUF229" s="2"/>
      <c r="LUG229" s="2"/>
      <c r="LUH229" s="2"/>
      <c r="LUI229" s="2"/>
      <c r="LUJ229" s="2"/>
      <c r="LUK229" s="2"/>
      <c r="LUL229" s="2"/>
      <c r="LUM229" s="2"/>
      <c r="LUN229" s="2"/>
      <c r="LUO229" s="2"/>
      <c r="LUP229" s="2"/>
      <c r="LUQ229" s="2"/>
      <c r="LUR229" s="2"/>
      <c r="LUS229" s="2"/>
      <c r="LUT229" s="2"/>
      <c r="LUU229" s="2"/>
      <c r="LUV229" s="2"/>
      <c r="LUW229" s="2"/>
      <c r="LUX229" s="2"/>
      <c r="LUY229" s="2"/>
      <c r="LUZ229" s="2"/>
      <c r="LVA229" s="2"/>
      <c r="LVB229" s="2"/>
      <c r="LVC229" s="2"/>
      <c r="LVD229" s="2"/>
      <c r="LVE229" s="2"/>
      <c r="LVF229" s="2"/>
      <c r="LVG229" s="2"/>
      <c r="LVH229" s="2"/>
      <c r="LVI229" s="2"/>
      <c r="LVJ229" s="2"/>
      <c r="LVK229" s="2"/>
      <c r="LVL229" s="2"/>
      <c r="LVM229" s="2"/>
      <c r="LVN229" s="2"/>
      <c r="LVO229" s="2"/>
      <c r="LVP229" s="2"/>
      <c r="LVQ229" s="2"/>
      <c r="LVR229" s="2"/>
      <c r="LVS229" s="2"/>
      <c r="LVT229" s="2"/>
      <c r="LVU229" s="2"/>
      <c r="LVV229" s="2"/>
      <c r="LVW229" s="2"/>
      <c r="LVX229" s="2"/>
      <c r="LVY229" s="2"/>
      <c r="LVZ229" s="2"/>
      <c r="LWA229" s="2"/>
      <c r="LWB229" s="2"/>
      <c r="LWC229" s="2"/>
      <c r="LWD229" s="2"/>
      <c r="LWE229" s="2"/>
      <c r="LWF229" s="2"/>
      <c r="LWG229" s="2"/>
      <c r="LWH229" s="2"/>
      <c r="LWI229" s="2"/>
      <c r="LWJ229" s="2"/>
      <c r="LWK229" s="2"/>
      <c r="LWL229" s="2"/>
      <c r="LWM229" s="2"/>
      <c r="LWN229" s="2"/>
      <c r="LWO229" s="2"/>
      <c r="LWP229" s="2"/>
      <c r="LWQ229" s="2"/>
      <c r="LWR229" s="2"/>
      <c r="LWS229" s="2"/>
      <c r="LWT229" s="2"/>
      <c r="LWU229" s="2"/>
      <c r="LWV229" s="2"/>
      <c r="LWW229" s="2"/>
      <c r="LWX229" s="2"/>
      <c r="LWY229" s="2"/>
      <c r="LWZ229" s="2"/>
      <c r="LXA229" s="2"/>
      <c r="LXB229" s="2"/>
      <c r="LXC229" s="2"/>
      <c r="LXD229" s="2"/>
      <c r="LXE229" s="2"/>
      <c r="LXF229" s="2"/>
      <c r="LXG229" s="2"/>
      <c r="LXH229" s="2"/>
      <c r="LXI229" s="2"/>
      <c r="LXJ229" s="2"/>
      <c r="LXK229" s="2"/>
      <c r="LXL229" s="2"/>
      <c r="LXM229" s="2"/>
      <c r="LXN229" s="2"/>
      <c r="LXO229" s="2"/>
      <c r="LXP229" s="2"/>
      <c r="LXQ229" s="2"/>
      <c r="LXR229" s="2"/>
      <c r="LXS229" s="2"/>
      <c r="LXT229" s="2"/>
      <c r="LXU229" s="2"/>
      <c r="LXV229" s="2"/>
      <c r="LXW229" s="2"/>
      <c r="LXX229" s="2"/>
      <c r="LXY229" s="2"/>
      <c r="LXZ229" s="2"/>
      <c r="LYA229" s="2"/>
      <c r="LYB229" s="2"/>
      <c r="LYC229" s="2"/>
      <c r="LYD229" s="2"/>
      <c r="LYE229" s="2"/>
      <c r="LYF229" s="2"/>
      <c r="LYG229" s="2"/>
      <c r="LYH229" s="2"/>
      <c r="LYI229" s="2"/>
      <c r="LYJ229" s="2"/>
      <c r="LYK229" s="2"/>
      <c r="LYL229" s="2"/>
      <c r="LYM229" s="2"/>
      <c r="LYN229" s="2"/>
      <c r="LYO229" s="2"/>
      <c r="LYP229" s="2"/>
      <c r="LYQ229" s="2"/>
      <c r="LYR229" s="2"/>
      <c r="LYS229" s="2"/>
      <c r="LYT229" s="2"/>
      <c r="LYU229" s="2"/>
      <c r="LYV229" s="2"/>
      <c r="LYW229" s="2"/>
      <c r="LYX229" s="2"/>
      <c r="LYY229" s="2"/>
      <c r="LYZ229" s="2"/>
      <c r="LZA229" s="2"/>
      <c r="LZB229" s="2"/>
      <c r="LZC229" s="2"/>
      <c r="LZD229" s="2"/>
      <c r="LZE229" s="2"/>
      <c r="LZF229" s="2"/>
      <c r="LZG229" s="2"/>
      <c r="LZH229" s="2"/>
      <c r="LZI229" s="2"/>
      <c r="LZJ229" s="2"/>
      <c r="LZK229" s="2"/>
      <c r="LZL229" s="2"/>
      <c r="LZM229" s="2"/>
      <c r="LZN229" s="2"/>
      <c r="LZO229" s="2"/>
      <c r="LZP229" s="2"/>
      <c r="LZQ229" s="2"/>
      <c r="LZR229" s="2"/>
      <c r="LZS229" s="2"/>
      <c r="LZT229" s="2"/>
      <c r="LZU229" s="2"/>
      <c r="LZV229" s="2"/>
      <c r="LZW229" s="2"/>
      <c r="LZX229" s="2"/>
      <c r="LZY229" s="2"/>
      <c r="LZZ229" s="2"/>
      <c r="MAA229" s="2"/>
      <c r="MAB229" s="2"/>
      <c r="MAC229" s="2"/>
      <c r="MAD229" s="2"/>
      <c r="MAE229" s="2"/>
      <c r="MAF229" s="2"/>
      <c r="MAG229" s="2"/>
      <c r="MAH229" s="2"/>
      <c r="MAI229" s="2"/>
      <c r="MAJ229" s="2"/>
      <c r="MAK229" s="2"/>
      <c r="MAL229" s="2"/>
      <c r="MAM229" s="2"/>
      <c r="MAN229" s="2"/>
      <c r="MAO229" s="2"/>
      <c r="MAP229" s="2"/>
      <c r="MAQ229" s="2"/>
      <c r="MAR229" s="2"/>
      <c r="MAS229" s="2"/>
      <c r="MAT229" s="2"/>
      <c r="MAU229" s="2"/>
      <c r="MAV229" s="2"/>
      <c r="MAW229" s="2"/>
      <c r="MAX229" s="2"/>
      <c r="MAY229" s="2"/>
      <c r="MAZ229" s="2"/>
      <c r="MBA229" s="2"/>
      <c r="MBB229" s="2"/>
      <c r="MBC229" s="2"/>
      <c r="MBD229" s="2"/>
      <c r="MBE229" s="2"/>
      <c r="MBF229" s="2"/>
      <c r="MBG229" s="2"/>
      <c r="MBH229" s="2"/>
      <c r="MBI229" s="2"/>
      <c r="MBJ229" s="2"/>
      <c r="MBK229" s="2"/>
      <c r="MBL229" s="2"/>
      <c r="MBM229" s="2"/>
      <c r="MBN229" s="2"/>
      <c r="MBO229" s="2"/>
      <c r="MBP229" s="2"/>
      <c r="MBQ229" s="2"/>
      <c r="MBR229" s="2"/>
      <c r="MBS229" s="2"/>
      <c r="MBT229" s="2"/>
      <c r="MBU229" s="2"/>
      <c r="MBV229" s="2"/>
      <c r="MBW229" s="2"/>
      <c r="MBX229" s="2"/>
      <c r="MBY229" s="2"/>
      <c r="MBZ229" s="2"/>
      <c r="MCA229" s="2"/>
      <c r="MCB229" s="2"/>
      <c r="MCC229" s="2"/>
      <c r="MCD229" s="2"/>
      <c r="MCE229" s="2"/>
      <c r="MCF229" s="2"/>
      <c r="MCG229" s="2"/>
      <c r="MCH229" s="2"/>
      <c r="MCI229" s="2"/>
      <c r="MCJ229" s="2"/>
      <c r="MCK229" s="2"/>
      <c r="MCL229" s="2"/>
      <c r="MCM229" s="2"/>
      <c r="MCN229" s="2"/>
      <c r="MCO229" s="2"/>
      <c r="MCP229" s="2"/>
      <c r="MCQ229" s="2"/>
      <c r="MCR229" s="2"/>
      <c r="MCS229" s="2"/>
      <c r="MCT229" s="2"/>
      <c r="MCU229" s="2"/>
      <c r="MCV229" s="2"/>
      <c r="MCW229" s="2"/>
      <c r="MCX229" s="2"/>
      <c r="MCY229" s="2"/>
      <c r="MCZ229" s="2"/>
      <c r="MDA229" s="2"/>
      <c r="MDB229" s="2"/>
      <c r="MDC229" s="2"/>
      <c r="MDD229" s="2"/>
      <c r="MDE229" s="2"/>
      <c r="MDF229" s="2"/>
      <c r="MDG229" s="2"/>
      <c r="MDH229" s="2"/>
      <c r="MDI229" s="2"/>
      <c r="MDJ229" s="2"/>
      <c r="MDK229" s="2"/>
      <c r="MDL229" s="2"/>
      <c r="MDM229" s="2"/>
      <c r="MDN229" s="2"/>
      <c r="MDO229" s="2"/>
      <c r="MDP229" s="2"/>
      <c r="MDQ229" s="2"/>
      <c r="MDR229" s="2"/>
      <c r="MDS229" s="2"/>
      <c r="MDT229" s="2"/>
      <c r="MDU229" s="2"/>
      <c r="MDV229" s="2"/>
      <c r="MDW229" s="2"/>
      <c r="MDX229" s="2"/>
      <c r="MDY229" s="2"/>
      <c r="MDZ229" s="2"/>
      <c r="MEA229" s="2"/>
      <c r="MEB229" s="2"/>
      <c r="MEC229" s="2"/>
      <c r="MED229" s="2"/>
      <c r="MEE229" s="2"/>
      <c r="MEF229" s="2"/>
      <c r="MEG229" s="2"/>
      <c r="MEH229" s="2"/>
      <c r="MEI229" s="2"/>
      <c r="MEJ229" s="2"/>
      <c r="MEK229" s="2"/>
      <c r="MEL229" s="2"/>
      <c r="MEM229" s="2"/>
      <c r="MEN229" s="2"/>
      <c r="MEO229" s="2"/>
      <c r="MEP229" s="2"/>
      <c r="MEQ229" s="2"/>
      <c r="MER229" s="2"/>
      <c r="MES229" s="2"/>
      <c r="MET229" s="2"/>
      <c r="MEU229" s="2"/>
      <c r="MEV229" s="2"/>
      <c r="MEW229" s="2"/>
      <c r="MEX229" s="2"/>
      <c r="MEY229" s="2"/>
      <c r="MEZ229" s="2"/>
      <c r="MFA229" s="2"/>
      <c r="MFB229" s="2"/>
      <c r="MFC229" s="2"/>
      <c r="MFD229" s="2"/>
      <c r="MFE229" s="2"/>
      <c r="MFF229" s="2"/>
      <c r="MFG229" s="2"/>
      <c r="MFH229" s="2"/>
      <c r="MFI229" s="2"/>
      <c r="MFJ229" s="2"/>
      <c r="MFK229" s="2"/>
      <c r="MFL229" s="2"/>
      <c r="MFM229" s="2"/>
      <c r="MFN229" s="2"/>
      <c r="MFO229" s="2"/>
      <c r="MFP229" s="2"/>
      <c r="MFQ229" s="2"/>
      <c r="MFR229" s="2"/>
      <c r="MFS229" s="2"/>
      <c r="MFT229" s="2"/>
      <c r="MFU229" s="2"/>
      <c r="MFV229" s="2"/>
      <c r="MFW229" s="2"/>
      <c r="MFX229" s="2"/>
      <c r="MFY229" s="2"/>
      <c r="MFZ229" s="2"/>
      <c r="MGA229" s="2"/>
      <c r="MGB229" s="2"/>
      <c r="MGC229" s="2"/>
      <c r="MGD229" s="2"/>
      <c r="MGE229" s="2"/>
      <c r="MGF229" s="2"/>
      <c r="MGG229" s="2"/>
      <c r="MGH229" s="2"/>
      <c r="MGI229" s="2"/>
      <c r="MGJ229" s="2"/>
      <c r="MGK229" s="2"/>
      <c r="MGL229" s="2"/>
      <c r="MGM229" s="2"/>
      <c r="MGN229" s="2"/>
      <c r="MGO229" s="2"/>
      <c r="MGP229" s="2"/>
      <c r="MGQ229" s="2"/>
      <c r="MGR229" s="2"/>
      <c r="MGS229" s="2"/>
      <c r="MGT229" s="2"/>
      <c r="MGU229" s="2"/>
      <c r="MGV229" s="2"/>
      <c r="MGW229" s="2"/>
      <c r="MGX229" s="2"/>
      <c r="MGY229" s="2"/>
      <c r="MGZ229" s="2"/>
      <c r="MHA229" s="2"/>
      <c r="MHB229" s="2"/>
      <c r="MHC229" s="2"/>
      <c r="MHD229" s="2"/>
      <c r="MHE229" s="2"/>
      <c r="MHF229" s="2"/>
      <c r="MHG229" s="2"/>
      <c r="MHH229" s="2"/>
      <c r="MHI229" s="2"/>
      <c r="MHJ229" s="2"/>
      <c r="MHK229" s="2"/>
      <c r="MHL229" s="2"/>
      <c r="MHM229" s="2"/>
      <c r="MHN229" s="2"/>
      <c r="MHO229" s="2"/>
      <c r="MHP229" s="2"/>
      <c r="MHQ229" s="2"/>
      <c r="MHR229" s="2"/>
      <c r="MHS229" s="2"/>
      <c r="MHT229" s="2"/>
      <c r="MHU229" s="2"/>
      <c r="MHV229" s="2"/>
      <c r="MHW229" s="2"/>
      <c r="MHX229" s="2"/>
      <c r="MHY229" s="2"/>
      <c r="MHZ229" s="2"/>
      <c r="MIA229" s="2"/>
      <c r="MIB229" s="2"/>
      <c r="MIC229" s="2"/>
      <c r="MID229" s="2"/>
      <c r="MIE229" s="2"/>
      <c r="MIF229" s="2"/>
      <c r="MIG229" s="2"/>
      <c r="MIH229" s="2"/>
      <c r="MII229" s="2"/>
      <c r="MIJ229" s="2"/>
      <c r="MIK229" s="2"/>
      <c r="MIL229" s="2"/>
      <c r="MIM229" s="2"/>
      <c r="MIN229" s="2"/>
      <c r="MIO229" s="2"/>
      <c r="MIP229" s="2"/>
      <c r="MIQ229" s="2"/>
      <c r="MIR229" s="2"/>
      <c r="MIS229" s="2"/>
      <c r="MIT229" s="2"/>
      <c r="MIU229" s="2"/>
      <c r="MIV229" s="2"/>
      <c r="MIW229" s="2"/>
      <c r="MIX229" s="2"/>
      <c r="MIY229" s="2"/>
      <c r="MIZ229" s="2"/>
      <c r="MJA229" s="2"/>
      <c r="MJB229" s="2"/>
      <c r="MJC229" s="2"/>
      <c r="MJD229" s="2"/>
      <c r="MJE229" s="2"/>
      <c r="MJF229" s="2"/>
      <c r="MJG229" s="2"/>
      <c r="MJH229" s="2"/>
      <c r="MJI229" s="2"/>
      <c r="MJJ229" s="2"/>
      <c r="MJK229" s="2"/>
      <c r="MJL229" s="2"/>
      <c r="MJM229" s="2"/>
      <c r="MJN229" s="2"/>
      <c r="MJO229" s="2"/>
      <c r="MJP229" s="2"/>
      <c r="MJQ229" s="2"/>
      <c r="MJR229" s="2"/>
      <c r="MJS229" s="2"/>
      <c r="MJT229" s="2"/>
      <c r="MJU229" s="2"/>
      <c r="MJV229" s="2"/>
      <c r="MJW229" s="2"/>
      <c r="MJX229" s="2"/>
      <c r="MJY229" s="2"/>
      <c r="MJZ229" s="2"/>
      <c r="MKA229" s="2"/>
      <c r="MKB229" s="2"/>
      <c r="MKC229" s="2"/>
      <c r="MKD229" s="2"/>
      <c r="MKE229" s="2"/>
      <c r="MKF229" s="2"/>
      <c r="MKG229" s="2"/>
      <c r="MKH229" s="2"/>
      <c r="MKI229" s="2"/>
      <c r="MKJ229" s="2"/>
      <c r="MKK229" s="2"/>
      <c r="MKL229" s="2"/>
      <c r="MKM229" s="2"/>
      <c r="MKN229" s="2"/>
      <c r="MKO229" s="2"/>
      <c r="MKP229" s="2"/>
      <c r="MKQ229" s="2"/>
      <c r="MKR229" s="2"/>
      <c r="MKS229" s="2"/>
      <c r="MKT229" s="2"/>
      <c r="MKU229" s="2"/>
      <c r="MKV229" s="2"/>
      <c r="MKW229" s="2"/>
      <c r="MKX229" s="2"/>
      <c r="MKY229" s="2"/>
      <c r="MKZ229" s="2"/>
      <c r="MLA229" s="2"/>
      <c r="MLB229" s="2"/>
      <c r="MLC229" s="2"/>
      <c r="MLD229" s="2"/>
      <c r="MLE229" s="2"/>
      <c r="MLF229" s="2"/>
      <c r="MLG229" s="2"/>
      <c r="MLH229" s="2"/>
      <c r="MLI229" s="2"/>
      <c r="MLJ229" s="2"/>
      <c r="MLK229" s="2"/>
      <c r="MLL229" s="2"/>
      <c r="MLM229" s="2"/>
      <c r="MLN229" s="2"/>
      <c r="MLO229" s="2"/>
      <c r="MLP229" s="2"/>
      <c r="MLQ229" s="2"/>
      <c r="MLR229" s="2"/>
      <c r="MLS229" s="2"/>
      <c r="MLT229" s="2"/>
      <c r="MLU229" s="2"/>
      <c r="MLV229" s="2"/>
      <c r="MLW229" s="2"/>
      <c r="MLX229" s="2"/>
      <c r="MLY229" s="2"/>
      <c r="MLZ229" s="2"/>
      <c r="MMA229" s="2"/>
      <c r="MMB229" s="2"/>
      <c r="MMC229" s="2"/>
      <c r="MMD229" s="2"/>
      <c r="MME229" s="2"/>
      <c r="MMF229" s="2"/>
      <c r="MMG229" s="2"/>
      <c r="MMH229" s="2"/>
      <c r="MMI229" s="2"/>
      <c r="MMJ229" s="2"/>
      <c r="MMK229" s="2"/>
      <c r="MML229" s="2"/>
      <c r="MMM229" s="2"/>
      <c r="MMN229" s="2"/>
      <c r="MMO229" s="2"/>
      <c r="MMP229" s="2"/>
      <c r="MMQ229" s="2"/>
      <c r="MMR229" s="2"/>
      <c r="MMS229" s="2"/>
      <c r="MMT229" s="2"/>
      <c r="MMU229" s="2"/>
      <c r="MMV229" s="2"/>
      <c r="MMW229" s="2"/>
      <c r="MMX229" s="2"/>
      <c r="MMY229" s="2"/>
      <c r="MMZ229" s="2"/>
      <c r="MNA229" s="2"/>
      <c r="MNB229" s="2"/>
      <c r="MNC229" s="2"/>
      <c r="MND229" s="2"/>
      <c r="MNE229" s="2"/>
      <c r="MNF229" s="2"/>
      <c r="MNG229" s="2"/>
      <c r="MNH229" s="2"/>
      <c r="MNI229" s="2"/>
      <c r="MNJ229" s="2"/>
      <c r="MNK229" s="2"/>
      <c r="MNL229" s="2"/>
      <c r="MNM229" s="2"/>
      <c r="MNN229" s="2"/>
      <c r="MNO229" s="2"/>
      <c r="MNP229" s="2"/>
      <c r="MNQ229" s="2"/>
      <c r="MNR229" s="2"/>
      <c r="MNS229" s="2"/>
      <c r="MNT229" s="2"/>
      <c r="MNU229" s="2"/>
      <c r="MNV229" s="2"/>
      <c r="MNW229" s="2"/>
      <c r="MNX229" s="2"/>
      <c r="MNY229" s="2"/>
      <c r="MNZ229" s="2"/>
      <c r="MOA229" s="2"/>
      <c r="MOB229" s="2"/>
      <c r="MOC229" s="2"/>
      <c r="MOD229" s="2"/>
      <c r="MOE229" s="2"/>
      <c r="MOF229" s="2"/>
      <c r="MOG229" s="2"/>
      <c r="MOH229" s="2"/>
      <c r="MOI229" s="2"/>
      <c r="MOJ229" s="2"/>
      <c r="MOK229" s="2"/>
      <c r="MOL229" s="2"/>
      <c r="MOM229" s="2"/>
      <c r="MON229" s="2"/>
      <c r="MOO229" s="2"/>
      <c r="MOP229" s="2"/>
      <c r="MOQ229" s="2"/>
      <c r="MOR229" s="2"/>
      <c r="MOS229" s="2"/>
      <c r="MOT229" s="2"/>
      <c r="MOU229" s="2"/>
      <c r="MOV229" s="2"/>
      <c r="MOW229" s="2"/>
      <c r="MOX229" s="2"/>
      <c r="MOY229" s="2"/>
      <c r="MOZ229" s="2"/>
      <c r="MPA229" s="2"/>
      <c r="MPB229" s="2"/>
      <c r="MPC229" s="2"/>
      <c r="MPD229" s="2"/>
      <c r="MPE229" s="2"/>
      <c r="MPF229" s="2"/>
      <c r="MPG229" s="2"/>
      <c r="MPH229" s="2"/>
      <c r="MPI229" s="2"/>
      <c r="MPJ229" s="2"/>
      <c r="MPK229" s="2"/>
      <c r="MPL229" s="2"/>
      <c r="MPM229" s="2"/>
      <c r="MPN229" s="2"/>
      <c r="MPO229" s="2"/>
      <c r="MPP229" s="2"/>
      <c r="MPQ229" s="2"/>
      <c r="MPR229" s="2"/>
      <c r="MPS229" s="2"/>
      <c r="MPT229" s="2"/>
      <c r="MPU229" s="2"/>
      <c r="MPV229" s="2"/>
      <c r="MPW229" s="2"/>
      <c r="MPX229" s="2"/>
      <c r="MPY229" s="2"/>
      <c r="MPZ229" s="2"/>
      <c r="MQA229" s="2"/>
      <c r="MQB229" s="2"/>
      <c r="MQC229" s="2"/>
      <c r="MQD229" s="2"/>
      <c r="MQE229" s="2"/>
      <c r="MQF229" s="2"/>
      <c r="MQG229" s="2"/>
      <c r="MQH229" s="2"/>
      <c r="MQI229" s="2"/>
      <c r="MQJ229" s="2"/>
      <c r="MQK229" s="2"/>
      <c r="MQL229" s="2"/>
      <c r="MQM229" s="2"/>
      <c r="MQN229" s="2"/>
      <c r="MQO229" s="2"/>
      <c r="MQP229" s="2"/>
      <c r="MQQ229" s="2"/>
      <c r="MQR229" s="2"/>
      <c r="MQS229" s="2"/>
      <c r="MQT229" s="2"/>
      <c r="MQU229" s="2"/>
      <c r="MQV229" s="2"/>
      <c r="MQW229" s="2"/>
      <c r="MQX229" s="2"/>
      <c r="MQY229" s="2"/>
      <c r="MQZ229" s="2"/>
      <c r="MRA229" s="2"/>
      <c r="MRB229" s="2"/>
      <c r="MRC229" s="2"/>
      <c r="MRD229" s="2"/>
      <c r="MRE229" s="2"/>
      <c r="MRF229" s="2"/>
      <c r="MRG229" s="2"/>
      <c r="MRH229" s="2"/>
      <c r="MRI229" s="2"/>
      <c r="MRJ229" s="2"/>
      <c r="MRK229" s="2"/>
      <c r="MRL229" s="2"/>
      <c r="MRM229" s="2"/>
      <c r="MRN229" s="2"/>
      <c r="MRO229" s="2"/>
      <c r="MRP229" s="2"/>
      <c r="MRQ229" s="2"/>
      <c r="MRR229" s="2"/>
      <c r="MRS229" s="2"/>
      <c r="MRT229" s="2"/>
      <c r="MRU229" s="2"/>
      <c r="MRV229" s="2"/>
      <c r="MRW229" s="2"/>
      <c r="MRX229" s="2"/>
      <c r="MRY229" s="2"/>
      <c r="MRZ229" s="2"/>
      <c r="MSA229" s="2"/>
      <c r="MSB229" s="2"/>
      <c r="MSC229" s="2"/>
      <c r="MSD229" s="2"/>
      <c r="MSE229" s="2"/>
      <c r="MSF229" s="2"/>
      <c r="MSG229" s="2"/>
      <c r="MSH229" s="2"/>
      <c r="MSI229" s="2"/>
      <c r="MSJ229" s="2"/>
      <c r="MSK229" s="2"/>
      <c r="MSL229" s="2"/>
      <c r="MSM229" s="2"/>
      <c r="MSN229" s="2"/>
      <c r="MSO229" s="2"/>
      <c r="MSP229" s="2"/>
      <c r="MSQ229" s="2"/>
      <c r="MSR229" s="2"/>
      <c r="MSS229" s="2"/>
      <c r="MST229" s="2"/>
      <c r="MSU229" s="2"/>
      <c r="MSV229" s="2"/>
      <c r="MSW229" s="2"/>
      <c r="MSX229" s="2"/>
      <c r="MSY229" s="2"/>
      <c r="MSZ229" s="2"/>
      <c r="MTA229" s="2"/>
      <c r="MTB229" s="2"/>
      <c r="MTC229" s="2"/>
      <c r="MTD229" s="2"/>
      <c r="MTE229" s="2"/>
      <c r="MTF229" s="2"/>
      <c r="MTG229" s="2"/>
      <c r="MTH229" s="2"/>
      <c r="MTI229" s="2"/>
      <c r="MTJ229" s="2"/>
      <c r="MTK229" s="2"/>
      <c r="MTL229" s="2"/>
      <c r="MTM229" s="2"/>
      <c r="MTN229" s="2"/>
      <c r="MTO229" s="2"/>
      <c r="MTP229" s="2"/>
      <c r="MTQ229" s="2"/>
      <c r="MTR229" s="2"/>
      <c r="MTS229" s="2"/>
      <c r="MTT229" s="2"/>
      <c r="MTU229" s="2"/>
      <c r="MTV229" s="2"/>
      <c r="MTW229" s="2"/>
      <c r="MTX229" s="2"/>
      <c r="MTY229" s="2"/>
      <c r="MTZ229" s="2"/>
      <c r="MUA229" s="2"/>
      <c r="MUB229" s="2"/>
      <c r="MUC229" s="2"/>
      <c r="MUD229" s="2"/>
      <c r="MUE229" s="2"/>
      <c r="MUF229" s="2"/>
      <c r="MUG229" s="2"/>
      <c r="MUH229" s="2"/>
      <c r="MUI229" s="2"/>
      <c r="MUJ229" s="2"/>
      <c r="MUK229" s="2"/>
      <c r="MUL229" s="2"/>
      <c r="MUM229" s="2"/>
      <c r="MUN229" s="2"/>
      <c r="MUO229" s="2"/>
      <c r="MUP229" s="2"/>
      <c r="MUQ229" s="2"/>
      <c r="MUR229" s="2"/>
      <c r="MUS229" s="2"/>
      <c r="MUT229" s="2"/>
      <c r="MUU229" s="2"/>
      <c r="MUV229" s="2"/>
      <c r="MUW229" s="2"/>
      <c r="MUX229" s="2"/>
      <c r="MUY229" s="2"/>
      <c r="MUZ229" s="2"/>
      <c r="MVA229" s="2"/>
      <c r="MVB229" s="2"/>
      <c r="MVC229" s="2"/>
      <c r="MVD229" s="2"/>
      <c r="MVE229" s="2"/>
      <c r="MVF229" s="2"/>
      <c r="MVG229" s="2"/>
      <c r="MVH229" s="2"/>
      <c r="MVI229" s="2"/>
      <c r="MVJ229" s="2"/>
      <c r="MVK229" s="2"/>
      <c r="MVL229" s="2"/>
      <c r="MVM229" s="2"/>
      <c r="MVN229" s="2"/>
      <c r="MVO229" s="2"/>
      <c r="MVP229" s="2"/>
      <c r="MVQ229" s="2"/>
      <c r="MVR229" s="2"/>
      <c r="MVS229" s="2"/>
      <c r="MVT229" s="2"/>
      <c r="MVU229" s="2"/>
      <c r="MVV229" s="2"/>
      <c r="MVW229" s="2"/>
      <c r="MVX229" s="2"/>
      <c r="MVY229" s="2"/>
      <c r="MVZ229" s="2"/>
      <c r="MWA229" s="2"/>
      <c r="MWB229" s="2"/>
      <c r="MWC229" s="2"/>
      <c r="MWD229" s="2"/>
      <c r="MWE229" s="2"/>
      <c r="MWF229" s="2"/>
      <c r="MWG229" s="2"/>
      <c r="MWH229" s="2"/>
      <c r="MWI229" s="2"/>
      <c r="MWJ229" s="2"/>
      <c r="MWK229" s="2"/>
      <c r="MWL229" s="2"/>
      <c r="MWM229" s="2"/>
      <c r="MWN229" s="2"/>
      <c r="MWO229" s="2"/>
      <c r="MWP229" s="2"/>
      <c r="MWQ229" s="2"/>
      <c r="MWR229" s="2"/>
      <c r="MWS229" s="2"/>
      <c r="MWT229" s="2"/>
      <c r="MWU229" s="2"/>
      <c r="MWV229" s="2"/>
      <c r="MWW229" s="2"/>
      <c r="MWX229" s="2"/>
      <c r="MWY229" s="2"/>
      <c r="MWZ229" s="2"/>
      <c r="MXA229" s="2"/>
      <c r="MXB229" s="2"/>
      <c r="MXC229" s="2"/>
      <c r="MXD229" s="2"/>
      <c r="MXE229" s="2"/>
      <c r="MXF229" s="2"/>
      <c r="MXG229" s="2"/>
      <c r="MXH229" s="2"/>
      <c r="MXI229" s="2"/>
      <c r="MXJ229" s="2"/>
      <c r="MXK229" s="2"/>
      <c r="MXL229" s="2"/>
      <c r="MXM229" s="2"/>
      <c r="MXN229" s="2"/>
      <c r="MXO229" s="2"/>
      <c r="MXP229" s="2"/>
      <c r="MXQ229" s="2"/>
      <c r="MXR229" s="2"/>
      <c r="MXS229" s="2"/>
      <c r="MXT229" s="2"/>
      <c r="MXU229" s="2"/>
      <c r="MXV229" s="2"/>
      <c r="MXW229" s="2"/>
      <c r="MXX229" s="2"/>
      <c r="MXY229" s="2"/>
      <c r="MXZ229" s="2"/>
      <c r="MYA229" s="2"/>
      <c r="MYB229" s="2"/>
      <c r="MYC229" s="2"/>
      <c r="MYD229" s="2"/>
      <c r="MYE229" s="2"/>
      <c r="MYF229" s="2"/>
      <c r="MYG229" s="2"/>
      <c r="MYH229" s="2"/>
      <c r="MYI229" s="2"/>
      <c r="MYJ229" s="2"/>
      <c r="MYK229" s="2"/>
      <c r="MYL229" s="2"/>
      <c r="MYM229" s="2"/>
      <c r="MYN229" s="2"/>
      <c r="MYO229" s="2"/>
      <c r="MYP229" s="2"/>
      <c r="MYQ229" s="2"/>
      <c r="MYR229" s="2"/>
      <c r="MYS229" s="2"/>
      <c r="MYT229" s="2"/>
      <c r="MYU229" s="2"/>
      <c r="MYV229" s="2"/>
      <c r="MYW229" s="2"/>
      <c r="MYX229" s="2"/>
      <c r="MYY229" s="2"/>
      <c r="MYZ229" s="2"/>
      <c r="MZA229" s="2"/>
      <c r="MZB229" s="2"/>
      <c r="MZC229" s="2"/>
      <c r="MZD229" s="2"/>
      <c r="MZE229" s="2"/>
      <c r="MZF229" s="2"/>
      <c r="MZG229" s="2"/>
      <c r="MZH229" s="2"/>
      <c r="MZI229" s="2"/>
      <c r="MZJ229" s="2"/>
      <c r="MZK229" s="2"/>
      <c r="MZL229" s="2"/>
      <c r="MZM229" s="2"/>
      <c r="MZN229" s="2"/>
      <c r="MZO229" s="2"/>
      <c r="MZP229" s="2"/>
      <c r="MZQ229" s="2"/>
      <c r="MZR229" s="2"/>
      <c r="MZS229" s="2"/>
      <c r="MZT229" s="2"/>
      <c r="MZU229" s="2"/>
      <c r="MZV229" s="2"/>
      <c r="MZW229" s="2"/>
      <c r="MZX229" s="2"/>
      <c r="MZY229" s="2"/>
      <c r="MZZ229" s="2"/>
      <c r="NAA229" s="2"/>
      <c r="NAB229" s="2"/>
      <c r="NAC229" s="2"/>
      <c r="NAD229" s="2"/>
      <c r="NAE229" s="2"/>
      <c r="NAF229" s="2"/>
      <c r="NAG229" s="2"/>
      <c r="NAH229" s="2"/>
      <c r="NAI229" s="2"/>
      <c r="NAJ229" s="2"/>
      <c r="NAK229" s="2"/>
      <c r="NAL229" s="2"/>
      <c r="NAM229" s="2"/>
      <c r="NAN229" s="2"/>
      <c r="NAO229" s="2"/>
      <c r="NAP229" s="2"/>
      <c r="NAQ229" s="2"/>
      <c r="NAR229" s="2"/>
      <c r="NAS229" s="2"/>
      <c r="NAT229" s="2"/>
      <c r="NAU229" s="2"/>
      <c r="NAV229" s="2"/>
      <c r="NAW229" s="2"/>
      <c r="NAX229" s="2"/>
      <c r="NAY229" s="2"/>
      <c r="NAZ229" s="2"/>
      <c r="NBA229" s="2"/>
      <c r="NBB229" s="2"/>
      <c r="NBC229" s="2"/>
      <c r="NBD229" s="2"/>
      <c r="NBE229" s="2"/>
      <c r="NBF229" s="2"/>
      <c r="NBG229" s="2"/>
      <c r="NBH229" s="2"/>
      <c r="NBI229" s="2"/>
      <c r="NBJ229" s="2"/>
      <c r="NBK229" s="2"/>
      <c r="NBL229" s="2"/>
      <c r="NBM229" s="2"/>
      <c r="NBN229" s="2"/>
      <c r="NBO229" s="2"/>
      <c r="NBP229" s="2"/>
      <c r="NBQ229" s="2"/>
      <c r="NBR229" s="2"/>
      <c r="NBS229" s="2"/>
      <c r="NBT229" s="2"/>
      <c r="NBU229" s="2"/>
      <c r="NBV229" s="2"/>
      <c r="NBW229" s="2"/>
      <c r="NBX229" s="2"/>
      <c r="NBY229" s="2"/>
      <c r="NBZ229" s="2"/>
      <c r="NCA229" s="2"/>
      <c r="NCB229" s="2"/>
      <c r="NCC229" s="2"/>
      <c r="NCD229" s="2"/>
      <c r="NCE229" s="2"/>
      <c r="NCF229" s="2"/>
      <c r="NCG229" s="2"/>
      <c r="NCH229" s="2"/>
      <c r="NCI229" s="2"/>
      <c r="NCJ229" s="2"/>
      <c r="NCK229" s="2"/>
      <c r="NCL229" s="2"/>
      <c r="NCM229" s="2"/>
      <c r="NCN229" s="2"/>
      <c r="NCO229" s="2"/>
      <c r="NCP229" s="2"/>
      <c r="NCQ229" s="2"/>
      <c r="NCR229" s="2"/>
      <c r="NCS229" s="2"/>
      <c r="NCT229" s="2"/>
      <c r="NCU229" s="2"/>
      <c r="NCV229" s="2"/>
      <c r="NCW229" s="2"/>
      <c r="NCX229" s="2"/>
      <c r="NCY229" s="2"/>
      <c r="NCZ229" s="2"/>
      <c r="NDA229" s="2"/>
      <c r="NDB229" s="2"/>
      <c r="NDC229" s="2"/>
      <c r="NDD229" s="2"/>
      <c r="NDE229" s="2"/>
      <c r="NDF229" s="2"/>
      <c r="NDG229" s="2"/>
      <c r="NDH229" s="2"/>
      <c r="NDI229" s="2"/>
      <c r="NDJ229" s="2"/>
      <c r="NDK229" s="2"/>
      <c r="NDL229" s="2"/>
      <c r="NDM229" s="2"/>
      <c r="NDN229" s="2"/>
      <c r="NDO229" s="2"/>
      <c r="NDP229" s="2"/>
      <c r="NDQ229" s="2"/>
      <c r="NDR229" s="2"/>
      <c r="NDS229" s="2"/>
      <c r="NDT229" s="2"/>
      <c r="NDU229" s="2"/>
      <c r="NDV229" s="2"/>
      <c r="NDW229" s="2"/>
      <c r="NDX229" s="2"/>
      <c r="NDY229" s="2"/>
      <c r="NDZ229" s="2"/>
      <c r="NEA229" s="2"/>
      <c r="NEB229" s="2"/>
      <c r="NEC229" s="2"/>
      <c r="NED229" s="2"/>
      <c r="NEE229" s="2"/>
      <c r="NEF229" s="2"/>
      <c r="NEG229" s="2"/>
      <c r="NEH229" s="2"/>
      <c r="NEI229" s="2"/>
      <c r="NEJ229" s="2"/>
      <c r="NEK229" s="2"/>
      <c r="NEL229" s="2"/>
      <c r="NEM229" s="2"/>
      <c r="NEN229" s="2"/>
      <c r="NEO229" s="2"/>
      <c r="NEP229" s="2"/>
      <c r="NEQ229" s="2"/>
      <c r="NER229" s="2"/>
      <c r="NES229" s="2"/>
      <c r="NET229" s="2"/>
      <c r="NEU229" s="2"/>
      <c r="NEV229" s="2"/>
      <c r="NEW229" s="2"/>
      <c r="NEX229" s="2"/>
      <c r="NEY229" s="2"/>
      <c r="NEZ229" s="2"/>
      <c r="NFA229" s="2"/>
      <c r="NFB229" s="2"/>
      <c r="NFC229" s="2"/>
      <c r="NFD229" s="2"/>
      <c r="NFE229" s="2"/>
      <c r="NFF229" s="2"/>
      <c r="NFG229" s="2"/>
      <c r="NFH229" s="2"/>
      <c r="NFI229" s="2"/>
      <c r="NFJ229" s="2"/>
      <c r="NFK229" s="2"/>
      <c r="NFL229" s="2"/>
      <c r="NFM229" s="2"/>
      <c r="NFN229" s="2"/>
      <c r="NFO229" s="2"/>
      <c r="NFP229" s="2"/>
      <c r="NFQ229" s="2"/>
      <c r="NFR229" s="2"/>
      <c r="NFS229" s="2"/>
      <c r="NFT229" s="2"/>
      <c r="NFU229" s="2"/>
      <c r="NFV229" s="2"/>
      <c r="NFW229" s="2"/>
      <c r="NFX229" s="2"/>
      <c r="NFY229" s="2"/>
      <c r="NFZ229" s="2"/>
      <c r="NGA229" s="2"/>
      <c r="NGB229" s="2"/>
      <c r="NGC229" s="2"/>
      <c r="NGD229" s="2"/>
      <c r="NGE229" s="2"/>
      <c r="NGF229" s="2"/>
      <c r="NGG229" s="2"/>
      <c r="NGH229" s="2"/>
      <c r="NGI229" s="2"/>
      <c r="NGJ229" s="2"/>
      <c r="NGK229" s="2"/>
      <c r="NGL229" s="2"/>
      <c r="NGM229" s="2"/>
      <c r="NGN229" s="2"/>
      <c r="NGO229" s="2"/>
      <c r="NGP229" s="2"/>
      <c r="NGQ229" s="2"/>
      <c r="NGR229" s="2"/>
      <c r="NGS229" s="2"/>
      <c r="NGT229" s="2"/>
      <c r="NGU229" s="2"/>
      <c r="NGV229" s="2"/>
      <c r="NGW229" s="2"/>
      <c r="NGX229" s="2"/>
      <c r="NGY229" s="2"/>
      <c r="NGZ229" s="2"/>
      <c r="NHA229" s="2"/>
      <c r="NHB229" s="2"/>
      <c r="NHC229" s="2"/>
      <c r="NHD229" s="2"/>
      <c r="NHE229" s="2"/>
      <c r="NHF229" s="2"/>
      <c r="NHG229" s="2"/>
      <c r="NHH229" s="2"/>
      <c r="NHI229" s="2"/>
      <c r="NHJ229" s="2"/>
      <c r="NHK229" s="2"/>
      <c r="NHL229" s="2"/>
      <c r="NHM229" s="2"/>
      <c r="NHN229" s="2"/>
      <c r="NHO229" s="2"/>
      <c r="NHP229" s="2"/>
      <c r="NHQ229" s="2"/>
      <c r="NHR229" s="2"/>
      <c r="NHS229" s="2"/>
      <c r="NHT229" s="2"/>
      <c r="NHU229" s="2"/>
      <c r="NHV229" s="2"/>
      <c r="NHW229" s="2"/>
      <c r="NHX229" s="2"/>
      <c r="NHY229" s="2"/>
      <c r="NHZ229" s="2"/>
      <c r="NIA229" s="2"/>
      <c r="NIB229" s="2"/>
      <c r="NIC229" s="2"/>
      <c r="NID229" s="2"/>
      <c r="NIE229" s="2"/>
      <c r="NIF229" s="2"/>
      <c r="NIG229" s="2"/>
      <c r="NIH229" s="2"/>
      <c r="NII229" s="2"/>
      <c r="NIJ229" s="2"/>
      <c r="NIK229" s="2"/>
      <c r="NIL229" s="2"/>
      <c r="NIM229" s="2"/>
      <c r="NIN229" s="2"/>
      <c r="NIO229" s="2"/>
      <c r="NIP229" s="2"/>
      <c r="NIQ229" s="2"/>
      <c r="NIR229" s="2"/>
      <c r="NIS229" s="2"/>
      <c r="NIT229" s="2"/>
      <c r="NIU229" s="2"/>
      <c r="NIV229" s="2"/>
      <c r="NIW229" s="2"/>
      <c r="NIX229" s="2"/>
      <c r="NIY229" s="2"/>
      <c r="NIZ229" s="2"/>
      <c r="NJA229" s="2"/>
      <c r="NJB229" s="2"/>
      <c r="NJC229" s="2"/>
      <c r="NJD229" s="2"/>
      <c r="NJE229" s="2"/>
      <c r="NJF229" s="2"/>
      <c r="NJG229" s="2"/>
      <c r="NJH229" s="2"/>
      <c r="NJI229" s="2"/>
      <c r="NJJ229" s="2"/>
      <c r="NJK229" s="2"/>
      <c r="NJL229" s="2"/>
      <c r="NJM229" s="2"/>
      <c r="NJN229" s="2"/>
      <c r="NJO229" s="2"/>
      <c r="NJP229" s="2"/>
      <c r="NJQ229" s="2"/>
      <c r="NJR229" s="2"/>
      <c r="NJS229" s="2"/>
      <c r="NJT229" s="2"/>
      <c r="NJU229" s="2"/>
      <c r="NJV229" s="2"/>
      <c r="NJW229" s="2"/>
      <c r="NJX229" s="2"/>
      <c r="NJY229" s="2"/>
      <c r="NJZ229" s="2"/>
      <c r="NKA229" s="2"/>
      <c r="NKB229" s="2"/>
      <c r="NKC229" s="2"/>
      <c r="NKD229" s="2"/>
      <c r="NKE229" s="2"/>
      <c r="NKF229" s="2"/>
      <c r="NKG229" s="2"/>
      <c r="NKH229" s="2"/>
      <c r="NKI229" s="2"/>
      <c r="NKJ229" s="2"/>
      <c r="NKK229" s="2"/>
      <c r="NKL229" s="2"/>
      <c r="NKM229" s="2"/>
      <c r="NKN229" s="2"/>
      <c r="NKO229" s="2"/>
      <c r="NKP229" s="2"/>
      <c r="NKQ229" s="2"/>
      <c r="NKR229" s="2"/>
      <c r="NKS229" s="2"/>
      <c r="NKT229" s="2"/>
      <c r="NKU229" s="2"/>
      <c r="NKV229" s="2"/>
      <c r="NKW229" s="2"/>
      <c r="NKX229" s="2"/>
      <c r="NKY229" s="2"/>
      <c r="NKZ229" s="2"/>
      <c r="NLA229" s="2"/>
      <c r="NLB229" s="2"/>
      <c r="NLC229" s="2"/>
      <c r="NLD229" s="2"/>
      <c r="NLE229" s="2"/>
      <c r="NLF229" s="2"/>
      <c r="NLG229" s="2"/>
      <c r="NLH229" s="2"/>
      <c r="NLI229" s="2"/>
      <c r="NLJ229" s="2"/>
      <c r="NLK229" s="2"/>
      <c r="NLL229" s="2"/>
      <c r="NLM229" s="2"/>
      <c r="NLN229" s="2"/>
      <c r="NLO229" s="2"/>
      <c r="NLP229" s="2"/>
      <c r="NLQ229" s="2"/>
      <c r="NLR229" s="2"/>
      <c r="NLS229" s="2"/>
      <c r="NLT229" s="2"/>
      <c r="NLU229" s="2"/>
      <c r="NLV229" s="2"/>
      <c r="NLW229" s="2"/>
      <c r="NLX229" s="2"/>
      <c r="NLY229" s="2"/>
      <c r="NLZ229" s="2"/>
      <c r="NMA229" s="2"/>
      <c r="NMB229" s="2"/>
      <c r="NMC229" s="2"/>
      <c r="NMD229" s="2"/>
      <c r="NME229" s="2"/>
      <c r="NMF229" s="2"/>
      <c r="NMG229" s="2"/>
      <c r="NMH229" s="2"/>
      <c r="NMI229" s="2"/>
      <c r="NMJ229" s="2"/>
      <c r="NMK229" s="2"/>
      <c r="NML229" s="2"/>
      <c r="NMM229" s="2"/>
      <c r="NMN229" s="2"/>
      <c r="NMO229" s="2"/>
      <c r="NMP229" s="2"/>
      <c r="NMQ229" s="2"/>
      <c r="NMR229" s="2"/>
      <c r="NMS229" s="2"/>
      <c r="NMT229" s="2"/>
      <c r="NMU229" s="2"/>
      <c r="NMV229" s="2"/>
      <c r="NMW229" s="2"/>
      <c r="NMX229" s="2"/>
      <c r="NMY229" s="2"/>
      <c r="NMZ229" s="2"/>
      <c r="NNA229" s="2"/>
      <c r="NNB229" s="2"/>
      <c r="NNC229" s="2"/>
      <c r="NND229" s="2"/>
      <c r="NNE229" s="2"/>
      <c r="NNF229" s="2"/>
      <c r="NNG229" s="2"/>
      <c r="NNH229" s="2"/>
      <c r="NNI229" s="2"/>
      <c r="NNJ229" s="2"/>
      <c r="NNK229" s="2"/>
      <c r="NNL229" s="2"/>
      <c r="NNM229" s="2"/>
      <c r="NNN229" s="2"/>
      <c r="NNO229" s="2"/>
      <c r="NNP229" s="2"/>
      <c r="NNQ229" s="2"/>
      <c r="NNR229" s="2"/>
      <c r="NNS229" s="2"/>
      <c r="NNT229" s="2"/>
      <c r="NNU229" s="2"/>
      <c r="NNV229" s="2"/>
      <c r="NNW229" s="2"/>
      <c r="NNX229" s="2"/>
      <c r="NNY229" s="2"/>
      <c r="NNZ229" s="2"/>
      <c r="NOA229" s="2"/>
      <c r="NOB229" s="2"/>
      <c r="NOC229" s="2"/>
      <c r="NOD229" s="2"/>
      <c r="NOE229" s="2"/>
      <c r="NOF229" s="2"/>
      <c r="NOG229" s="2"/>
      <c r="NOH229" s="2"/>
      <c r="NOI229" s="2"/>
      <c r="NOJ229" s="2"/>
      <c r="NOK229" s="2"/>
      <c r="NOL229" s="2"/>
      <c r="NOM229" s="2"/>
      <c r="NON229" s="2"/>
      <c r="NOO229" s="2"/>
      <c r="NOP229" s="2"/>
      <c r="NOQ229" s="2"/>
      <c r="NOR229" s="2"/>
      <c r="NOS229" s="2"/>
      <c r="NOT229" s="2"/>
      <c r="NOU229" s="2"/>
      <c r="NOV229" s="2"/>
      <c r="NOW229" s="2"/>
      <c r="NOX229" s="2"/>
      <c r="NOY229" s="2"/>
      <c r="NOZ229" s="2"/>
      <c r="NPA229" s="2"/>
      <c r="NPB229" s="2"/>
      <c r="NPC229" s="2"/>
      <c r="NPD229" s="2"/>
      <c r="NPE229" s="2"/>
      <c r="NPF229" s="2"/>
      <c r="NPG229" s="2"/>
      <c r="NPH229" s="2"/>
      <c r="NPI229" s="2"/>
      <c r="NPJ229" s="2"/>
      <c r="NPK229" s="2"/>
      <c r="NPL229" s="2"/>
      <c r="NPM229" s="2"/>
      <c r="NPN229" s="2"/>
      <c r="NPO229" s="2"/>
      <c r="NPP229" s="2"/>
      <c r="NPQ229" s="2"/>
      <c r="NPR229" s="2"/>
      <c r="NPS229" s="2"/>
      <c r="NPT229" s="2"/>
      <c r="NPU229" s="2"/>
      <c r="NPV229" s="2"/>
      <c r="NPW229" s="2"/>
      <c r="NPX229" s="2"/>
      <c r="NPY229" s="2"/>
      <c r="NPZ229" s="2"/>
      <c r="NQA229" s="2"/>
      <c r="NQB229" s="2"/>
      <c r="NQC229" s="2"/>
      <c r="NQD229" s="2"/>
      <c r="NQE229" s="2"/>
      <c r="NQF229" s="2"/>
      <c r="NQG229" s="2"/>
      <c r="NQH229" s="2"/>
      <c r="NQI229" s="2"/>
      <c r="NQJ229" s="2"/>
      <c r="NQK229" s="2"/>
      <c r="NQL229" s="2"/>
      <c r="NQM229" s="2"/>
      <c r="NQN229" s="2"/>
      <c r="NQO229" s="2"/>
      <c r="NQP229" s="2"/>
      <c r="NQQ229" s="2"/>
      <c r="NQR229" s="2"/>
      <c r="NQS229" s="2"/>
      <c r="NQT229" s="2"/>
      <c r="NQU229" s="2"/>
      <c r="NQV229" s="2"/>
      <c r="NQW229" s="2"/>
      <c r="NQX229" s="2"/>
      <c r="NQY229" s="2"/>
      <c r="NQZ229" s="2"/>
      <c r="NRA229" s="2"/>
      <c r="NRB229" s="2"/>
      <c r="NRC229" s="2"/>
      <c r="NRD229" s="2"/>
      <c r="NRE229" s="2"/>
      <c r="NRF229" s="2"/>
      <c r="NRG229" s="2"/>
      <c r="NRH229" s="2"/>
      <c r="NRI229" s="2"/>
      <c r="NRJ229" s="2"/>
      <c r="NRK229" s="2"/>
      <c r="NRL229" s="2"/>
      <c r="NRM229" s="2"/>
      <c r="NRN229" s="2"/>
      <c r="NRO229" s="2"/>
      <c r="NRP229" s="2"/>
      <c r="NRQ229" s="2"/>
      <c r="NRR229" s="2"/>
      <c r="NRS229" s="2"/>
      <c r="NRT229" s="2"/>
      <c r="NRU229" s="2"/>
      <c r="NRV229" s="2"/>
      <c r="NRW229" s="2"/>
      <c r="NRX229" s="2"/>
      <c r="NRY229" s="2"/>
      <c r="NRZ229" s="2"/>
      <c r="NSA229" s="2"/>
      <c r="NSB229" s="2"/>
      <c r="NSC229" s="2"/>
      <c r="NSD229" s="2"/>
      <c r="NSE229" s="2"/>
      <c r="NSF229" s="2"/>
      <c r="NSG229" s="2"/>
      <c r="NSH229" s="2"/>
      <c r="NSI229" s="2"/>
      <c r="NSJ229" s="2"/>
      <c r="NSK229" s="2"/>
      <c r="NSL229" s="2"/>
      <c r="NSM229" s="2"/>
      <c r="NSN229" s="2"/>
      <c r="NSO229" s="2"/>
      <c r="NSP229" s="2"/>
      <c r="NSQ229" s="2"/>
      <c r="NSR229" s="2"/>
      <c r="NSS229" s="2"/>
      <c r="NST229" s="2"/>
      <c r="NSU229" s="2"/>
      <c r="NSV229" s="2"/>
      <c r="NSW229" s="2"/>
      <c r="NSX229" s="2"/>
      <c r="NSY229" s="2"/>
      <c r="NSZ229" s="2"/>
      <c r="NTA229" s="2"/>
      <c r="NTB229" s="2"/>
      <c r="NTC229" s="2"/>
      <c r="NTD229" s="2"/>
      <c r="NTE229" s="2"/>
      <c r="NTF229" s="2"/>
      <c r="NTG229" s="2"/>
      <c r="NTH229" s="2"/>
      <c r="NTI229" s="2"/>
      <c r="NTJ229" s="2"/>
      <c r="NTK229" s="2"/>
      <c r="NTL229" s="2"/>
      <c r="NTM229" s="2"/>
      <c r="NTN229" s="2"/>
      <c r="NTO229" s="2"/>
      <c r="NTP229" s="2"/>
      <c r="NTQ229" s="2"/>
      <c r="NTR229" s="2"/>
      <c r="NTS229" s="2"/>
      <c r="NTT229" s="2"/>
      <c r="NTU229" s="2"/>
      <c r="NTV229" s="2"/>
      <c r="NTW229" s="2"/>
      <c r="NTX229" s="2"/>
      <c r="NTY229" s="2"/>
      <c r="NTZ229" s="2"/>
      <c r="NUA229" s="2"/>
      <c r="NUB229" s="2"/>
      <c r="NUC229" s="2"/>
      <c r="NUD229" s="2"/>
      <c r="NUE229" s="2"/>
      <c r="NUF229" s="2"/>
      <c r="NUG229" s="2"/>
      <c r="NUH229" s="2"/>
      <c r="NUI229" s="2"/>
      <c r="NUJ229" s="2"/>
      <c r="NUK229" s="2"/>
      <c r="NUL229" s="2"/>
      <c r="NUM229" s="2"/>
      <c r="NUN229" s="2"/>
      <c r="NUO229" s="2"/>
      <c r="NUP229" s="2"/>
      <c r="NUQ229" s="2"/>
      <c r="NUR229" s="2"/>
      <c r="NUS229" s="2"/>
      <c r="NUT229" s="2"/>
      <c r="NUU229" s="2"/>
      <c r="NUV229" s="2"/>
      <c r="NUW229" s="2"/>
      <c r="NUX229" s="2"/>
      <c r="NUY229" s="2"/>
      <c r="NUZ229" s="2"/>
      <c r="NVA229" s="2"/>
      <c r="NVB229" s="2"/>
      <c r="NVC229" s="2"/>
      <c r="NVD229" s="2"/>
      <c r="NVE229" s="2"/>
      <c r="NVF229" s="2"/>
      <c r="NVG229" s="2"/>
      <c r="NVH229" s="2"/>
      <c r="NVI229" s="2"/>
      <c r="NVJ229" s="2"/>
      <c r="NVK229" s="2"/>
      <c r="NVL229" s="2"/>
      <c r="NVM229" s="2"/>
      <c r="NVN229" s="2"/>
      <c r="NVO229" s="2"/>
      <c r="NVP229" s="2"/>
      <c r="NVQ229" s="2"/>
      <c r="NVR229" s="2"/>
      <c r="NVS229" s="2"/>
      <c r="NVT229" s="2"/>
      <c r="NVU229" s="2"/>
      <c r="NVV229" s="2"/>
      <c r="NVW229" s="2"/>
      <c r="NVX229" s="2"/>
      <c r="NVY229" s="2"/>
      <c r="NVZ229" s="2"/>
      <c r="NWA229" s="2"/>
      <c r="NWB229" s="2"/>
      <c r="NWC229" s="2"/>
      <c r="NWD229" s="2"/>
      <c r="NWE229" s="2"/>
      <c r="NWF229" s="2"/>
      <c r="NWG229" s="2"/>
      <c r="NWH229" s="2"/>
      <c r="NWI229" s="2"/>
      <c r="NWJ229" s="2"/>
      <c r="NWK229" s="2"/>
      <c r="NWL229" s="2"/>
      <c r="NWM229" s="2"/>
      <c r="NWN229" s="2"/>
      <c r="NWO229" s="2"/>
      <c r="NWP229" s="2"/>
      <c r="NWQ229" s="2"/>
      <c r="NWR229" s="2"/>
      <c r="NWS229" s="2"/>
      <c r="NWT229" s="2"/>
      <c r="NWU229" s="2"/>
      <c r="NWV229" s="2"/>
      <c r="NWW229" s="2"/>
      <c r="NWX229" s="2"/>
      <c r="NWY229" s="2"/>
      <c r="NWZ229" s="2"/>
      <c r="NXA229" s="2"/>
      <c r="NXB229" s="2"/>
      <c r="NXC229" s="2"/>
      <c r="NXD229" s="2"/>
      <c r="NXE229" s="2"/>
      <c r="NXF229" s="2"/>
      <c r="NXG229" s="2"/>
      <c r="NXH229" s="2"/>
      <c r="NXI229" s="2"/>
      <c r="NXJ229" s="2"/>
      <c r="NXK229" s="2"/>
      <c r="NXL229" s="2"/>
      <c r="NXM229" s="2"/>
      <c r="NXN229" s="2"/>
      <c r="NXO229" s="2"/>
      <c r="NXP229" s="2"/>
      <c r="NXQ229" s="2"/>
      <c r="NXR229" s="2"/>
      <c r="NXS229" s="2"/>
      <c r="NXT229" s="2"/>
      <c r="NXU229" s="2"/>
      <c r="NXV229" s="2"/>
      <c r="NXW229" s="2"/>
      <c r="NXX229" s="2"/>
      <c r="NXY229" s="2"/>
      <c r="NXZ229" s="2"/>
      <c r="NYA229" s="2"/>
      <c r="NYB229" s="2"/>
      <c r="NYC229" s="2"/>
      <c r="NYD229" s="2"/>
      <c r="NYE229" s="2"/>
      <c r="NYF229" s="2"/>
      <c r="NYG229" s="2"/>
      <c r="NYH229" s="2"/>
      <c r="NYI229" s="2"/>
      <c r="NYJ229" s="2"/>
      <c r="NYK229" s="2"/>
      <c r="NYL229" s="2"/>
      <c r="NYM229" s="2"/>
      <c r="NYN229" s="2"/>
      <c r="NYO229" s="2"/>
      <c r="NYP229" s="2"/>
      <c r="NYQ229" s="2"/>
      <c r="NYR229" s="2"/>
      <c r="NYS229" s="2"/>
      <c r="NYT229" s="2"/>
      <c r="NYU229" s="2"/>
      <c r="NYV229" s="2"/>
      <c r="NYW229" s="2"/>
      <c r="NYX229" s="2"/>
      <c r="NYY229" s="2"/>
      <c r="NYZ229" s="2"/>
      <c r="NZA229" s="2"/>
      <c r="NZB229" s="2"/>
      <c r="NZC229" s="2"/>
      <c r="NZD229" s="2"/>
      <c r="NZE229" s="2"/>
      <c r="NZF229" s="2"/>
      <c r="NZG229" s="2"/>
      <c r="NZH229" s="2"/>
      <c r="NZI229" s="2"/>
      <c r="NZJ229" s="2"/>
      <c r="NZK229" s="2"/>
      <c r="NZL229" s="2"/>
      <c r="NZM229" s="2"/>
      <c r="NZN229" s="2"/>
      <c r="NZO229" s="2"/>
      <c r="NZP229" s="2"/>
      <c r="NZQ229" s="2"/>
      <c r="NZR229" s="2"/>
      <c r="NZS229" s="2"/>
      <c r="NZT229" s="2"/>
      <c r="NZU229" s="2"/>
      <c r="NZV229" s="2"/>
      <c r="NZW229" s="2"/>
      <c r="NZX229" s="2"/>
      <c r="NZY229" s="2"/>
      <c r="NZZ229" s="2"/>
      <c r="OAA229" s="2"/>
      <c r="OAB229" s="2"/>
      <c r="OAC229" s="2"/>
      <c r="OAD229" s="2"/>
      <c r="OAE229" s="2"/>
      <c r="OAF229" s="2"/>
      <c r="OAG229" s="2"/>
      <c r="OAH229" s="2"/>
      <c r="OAI229" s="2"/>
      <c r="OAJ229" s="2"/>
      <c r="OAK229" s="2"/>
      <c r="OAL229" s="2"/>
      <c r="OAM229" s="2"/>
      <c r="OAN229" s="2"/>
      <c r="OAO229" s="2"/>
      <c r="OAP229" s="2"/>
      <c r="OAQ229" s="2"/>
      <c r="OAR229" s="2"/>
      <c r="OAS229" s="2"/>
      <c r="OAT229" s="2"/>
      <c r="OAU229" s="2"/>
      <c r="OAV229" s="2"/>
      <c r="OAW229" s="2"/>
      <c r="OAX229" s="2"/>
      <c r="OAY229" s="2"/>
      <c r="OAZ229" s="2"/>
      <c r="OBA229" s="2"/>
      <c r="OBB229" s="2"/>
      <c r="OBC229" s="2"/>
      <c r="OBD229" s="2"/>
      <c r="OBE229" s="2"/>
      <c r="OBF229" s="2"/>
      <c r="OBG229" s="2"/>
      <c r="OBH229" s="2"/>
      <c r="OBI229" s="2"/>
      <c r="OBJ229" s="2"/>
      <c r="OBK229" s="2"/>
      <c r="OBL229" s="2"/>
      <c r="OBM229" s="2"/>
      <c r="OBN229" s="2"/>
      <c r="OBO229" s="2"/>
      <c r="OBP229" s="2"/>
      <c r="OBQ229" s="2"/>
      <c r="OBR229" s="2"/>
      <c r="OBS229" s="2"/>
      <c r="OBT229" s="2"/>
      <c r="OBU229" s="2"/>
      <c r="OBV229" s="2"/>
      <c r="OBW229" s="2"/>
      <c r="OBX229" s="2"/>
      <c r="OBY229" s="2"/>
      <c r="OBZ229" s="2"/>
      <c r="OCA229" s="2"/>
      <c r="OCB229" s="2"/>
      <c r="OCC229" s="2"/>
      <c r="OCD229" s="2"/>
      <c r="OCE229" s="2"/>
      <c r="OCF229" s="2"/>
      <c r="OCG229" s="2"/>
      <c r="OCH229" s="2"/>
      <c r="OCI229" s="2"/>
      <c r="OCJ229" s="2"/>
      <c r="OCK229" s="2"/>
      <c r="OCL229" s="2"/>
      <c r="OCM229" s="2"/>
      <c r="OCN229" s="2"/>
      <c r="OCO229" s="2"/>
      <c r="OCP229" s="2"/>
      <c r="OCQ229" s="2"/>
      <c r="OCR229" s="2"/>
      <c r="OCS229" s="2"/>
      <c r="OCT229" s="2"/>
      <c r="OCU229" s="2"/>
      <c r="OCV229" s="2"/>
      <c r="OCW229" s="2"/>
      <c r="OCX229" s="2"/>
      <c r="OCY229" s="2"/>
      <c r="OCZ229" s="2"/>
      <c r="ODA229" s="2"/>
      <c r="ODB229" s="2"/>
      <c r="ODC229" s="2"/>
      <c r="ODD229" s="2"/>
      <c r="ODE229" s="2"/>
      <c r="ODF229" s="2"/>
      <c r="ODG229" s="2"/>
      <c r="ODH229" s="2"/>
      <c r="ODI229" s="2"/>
      <c r="ODJ229" s="2"/>
      <c r="ODK229" s="2"/>
      <c r="ODL229" s="2"/>
      <c r="ODM229" s="2"/>
      <c r="ODN229" s="2"/>
      <c r="ODO229" s="2"/>
      <c r="ODP229" s="2"/>
      <c r="ODQ229" s="2"/>
      <c r="ODR229" s="2"/>
      <c r="ODS229" s="2"/>
      <c r="ODT229" s="2"/>
      <c r="ODU229" s="2"/>
      <c r="ODV229" s="2"/>
      <c r="ODW229" s="2"/>
      <c r="ODX229" s="2"/>
      <c r="ODY229" s="2"/>
      <c r="ODZ229" s="2"/>
      <c r="OEA229" s="2"/>
      <c r="OEB229" s="2"/>
      <c r="OEC229" s="2"/>
      <c r="OED229" s="2"/>
      <c r="OEE229" s="2"/>
      <c r="OEF229" s="2"/>
      <c r="OEG229" s="2"/>
      <c r="OEH229" s="2"/>
      <c r="OEI229" s="2"/>
      <c r="OEJ229" s="2"/>
      <c r="OEK229" s="2"/>
      <c r="OEL229" s="2"/>
      <c r="OEM229" s="2"/>
      <c r="OEN229" s="2"/>
      <c r="OEO229" s="2"/>
      <c r="OEP229" s="2"/>
      <c r="OEQ229" s="2"/>
      <c r="OER229" s="2"/>
      <c r="OES229" s="2"/>
      <c r="OET229" s="2"/>
      <c r="OEU229" s="2"/>
      <c r="OEV229" s="2"/>
      <c r="OEW229" s="2"/>
      <c r="OEX229" s="2"/>
      <c r="OEY229" s="2"/>
      <c r="OEZ229" s="2"/>
      <c r="OFA229" s="2"/>
      <c r="OFB229" s="2"/>
      <c r="OFC229" s="2"/>
      <c r="OFD229" s="2"/>
      <c r="OFE229" s="2"/>
      <c r="OFF229" s="2"/>
      <c r="OFG229" s="2"/>
      <c r="OFH229" s="2"/>
      <c r="OFI229" s="2"/>
      <c r="OFJ229" s="2"/>
      <c r="OFK229" s="2"/>
      <c r="OFL229" s="2"/>
      <c r="OFM229" s="2"/>
      <c r="OFN229" s="2"/>
      <c r="OFO229" s="2"/>
      <c r="OFP229" s="2"/>
      <c r="OFQ229" s="2"/>
      <c r="OFR229" s="2"/>
      <c r="OFS229" s="2"/>
      <c r="OFT229" s="2"/>
      <c r="OFU229" s="2"/>
      <c r="OFV229" s="2"/>
      <c r="OFW229" s="2"/>
      <c r="OFX229" s="2"/>
      <c r="OFY229" s="2"/>
      <c r="OFZ229" s="2"/>
      <c r="OGA229" s="2"/>
      <c r="OGB229" s="2"/>
      <c r="OGC229" s="2"/>
      <c r="OGD229" s="2"/>
      <c r="OGE229" s="2"/>
      <c r="OGF229" s="2"/>
      <c r="OGG229" s="2"/>
      <c r="OGH229" s="2"/>
      <c r="OGI229" s="2"/>
      <c r="OGJ229" s="2"/>
      <c r="OGK229" s="2"/>
      <c r="OGL229" s="2"/>
      <c r="OGM229" s="2"/>
      <c r="OGN229" s="2"/>
      <c r="OGO229" s="2"/>
      <c r="OGP229" s="2"/>
      <c r="OGQ229" s="2"/>
      <c r="OGR229" s="2"/>
      <c r="OGS229" s="2"/>
      <c r="OGT229" s="2"/>
      <c r="OGU229" s="2"/>
      <c r="OGV229" s="2"/>
      <c r="OGW229" s="2"/>
      <c r="OGX229" s="2"/>
      <c r="OGY229" s="2"/>
      <c r="OGZ229" s="2"/>
      <c r="OHA229" s="2"/>
      <c r="OHB229" s="2"/>
      <c r="OHC229" s="2"/>
      <c r="OHD229" s="2"/>
      <c r="OHE229" s="2"/>
      <c r="OHF229" s="2"/>
      <c r="OHG229" s="2"/>
      <c r="OHH229" s="2"/>
      <c r="OHI229" s="2"/>
      <c r="OHJ229" s="2"/>
      <c r="OHK229" s="2"/>
      <c r="OHL229" s="2"/>
      <c r="OHM229" s="2"/>
      <c r="OHN229" s="2"/>
      <c r="OHO229" s="2"/>
      <c r="OHP229" s="2"/>
      <c r="OHQ229" s="2"/>
      <c r="OHR229" s="2"/>
      <c r="OHS229" s="2"/>
      <c r="OHT229" s="2"/>
      <c r="OHU229" s="2"/>
      <c r="OHV229" s="2"/>
      <c r="OHW229" s="2"/>
      <c r="OHX229" s="2"/>
      <c r="OHY229" s="2"/>
      <c r="OHZ229" s="2"/>
      <c r="OIA229" s="2"/>
      <c r="OIB229" s="2"/>
      <c r="OIC229" s="2"/>
      <c r="OID229" s="2"/>
      <c r="OIE229" s="2"/>
      <c r="OIF229" s="2"/>
      <c r="OIG229" s="2"/>
      <c r="OIH229" s="2"/>
      <c r="OII229" s="2"/>
      <c r="OIJ229" s="2"/>
      <c r="OIK229" s="2"/>
      <c r="OIL229" s="2"/>
      <c r="OIM229" s="2"/>
      <c r="OIN229" s="2"/>
      <c r="OIO229" s="2"/>
      <c r="OIP229" s="2"/>
      <c r="OIQ229" s="2"/>
      <c r="OIR229" s="2"/>
      <c r="OIS229" s="2"/>
      <c r="OIT229" s="2"/>
      <c r="OIU229" s="2"/>
      <c r="OIV229" s="2"/>
      <c r="OIW229" s="2"/>
      <c r="OIX229" s="2"/>
      <c r="OIY229" s="2"/>
      <c r="OIZ229" s="2"/>
      <c r="OJA229" s="2"/>
      <c r="OJB229" s="2"/>
      <c r="OJC229" s="2"/>
      <c r="OJD229" s="2"/>
      <c r="OJE229" s="2"/>
      <c r="OJF229" s="2"/>
      <c r="OJG229" s="2"/>
      <c r="OJH229" s="2"/>
      <c r="OJI229" s="2"/>
      <c r="OJJ229" s="2"/>
      <c r="OJK229" s="2"/>
      <c r="OJL229" s="2"/>
      <c r="OJM229" s="2"/>
      <c r="OJN229" s="2"/>
      <c r="OJO229" s="2"/>
      <c r="OJP229" s="2"/>
      <c r="OJQ229" s="2"/>
      <c r="OJR229" s="2"/>
      <c r="OJS229" s="2"/>
      <c r="OJT229" s="2"/>
      <c r="OJU229" s="2"/>
      <c r="OJV229" s="2"/>
      <c r="OJW229" s="2"/>
      <c r="OJX229" s="2"/>
      <c r="OJY229" s="2"/>
      <c r="OJZ229" s="2"/>
      <c r="OKA229" s="2"/>
      <c r="OKB229" s="2"/>
      <c r="OKC229" s="2"/>
      <c r="OKD229" s="2"/>
      <c r="OKE229" s="2"/>
      <c r="OKF229" s="2"/>
      <c r="OKG229" s="2"/>
      <c r="OKH229" s="2"/>
      <c r="OKI229" s="2"/>
      <c r="OKJ229" s="2"/>
      <c r="OKK229" s="2"/>
      <c r="OKL229" s="2"/>
      <c r="OKM229" s="2"/>
      <c r="OKN229" s="2"/>
      <c r="OKO229" s="2"/>
      <c r="OKP229" s="2"/>
      <c r="OKQ229" s="2"/>
      <c r="OKR229" s="2"/>
      <c r="OKS229" s="2"/>
      <c r="OKT229" s="2"/>
      <c r="OKU229" s="2"/>
      <c r="OKV229" s="2"/>
      <c r="OKW229" s="2"/>
      <c r="OKX229" s="2"/>
      <c r="OKY229" s="2"/>
      <c r="OKZ229" s="2"/>
      <c r="OLA229" s="2"/>
      <c r="OLB229" s="2"/>
      <c r="OLC229" s="2"/>
      <c r="OLD229" s="2"/>
      <c r="OLE229" s="2"/>
      <c r="OLF229" s="2"/>
      <c r="OLG229" s="2"/>
      <c r="OLH229" s="2"/>
      <c r="OLI229" s="2"/>
      <c r="OLJ229" s="2"/>
      <c r="OLK229" s="2"/>
      <c r="OLL229" s="2"/>
      <c r="OLM229" s="2"/>
      <c r="OLN229" s="2"/>
      <c r="OLO229" s="2"/>
      <c r="OLP229" s="2"/>
      <c r="OLQ229" s="2"/>
      <c r="OLR229" s="2"/>
      <c r="OLS229" s="2"/>
      <c r="OLT229" s="2"/>
      <c r="OLU229" s="2"/>
      <c r="OLV229" s="2"/>
      <c r="OLW229" s="2"/>
      <c r="OLX229" s="2"/>
      <c r="OLY229" s="2"/>
      <c r="OLZ229" s="2"/>
      <c r="OMA229" s="2"/>
      <c r="OMB229" s="2"/>
      <c r="OMC229" s="2"/>
      <c r="OMD229" s="2"/>
      <c r="OME229" s="2"/>
      <c r="OMF229" s="2"/>
      <c r="OMG229" s="2"/>
      <c r="OMH229" s="2"/>
      <c r="OMI229" s="2"/>
      <c r="OMJ229" s="2"/>
      <c r="OMK229" s="2"/>
      <c r="OML229" s="2"/>
      <c r="OMM229" s="2"/>
      <c r="OMN229" s="2"/>
      <c r="OMO229" s="2"/>
      <c r="OMP229" s="2"/>
      <c r="OMQ229" s="2"/>
      <c r="OMR229" s="2"/>
      <c r="OMS229" s="2"/>
      <c r="OMT229" s="2"/>
      <c r="OMU229" s="2"/>
      <c r="OMV229" s="2"/>
      <c r="OMW229" s="2"/>
      <c r="OMX229" s="2"/>
      <c r="OMY229" s="2"/>
      <c r="OMZ229" s="2"/>
      <c r="ONA229" s="2"/>
      <c r="ONB229" s="2"/>
      <c r="ONC229" s="2"/>
      <c r="OND229" s="2"/>
      <c r="ONE229" s="2"/>
      <c r="ONF229" s="2"/>
      <c r="ONG229" s="2"/>
      <c r="ONH229" s="2"/>
      <c r="ONI229" s="2"/>
      <c r="ONJ229" s="2"/>
      <c r="ONK229" s="2"/>
      <c r="ONL229" s="2"/>
      <c r="ONM229" s="2"/>
      <c r="ONN229" s="2"/>
      <c r="ONO229" s="2"/>
      <c r="ONP229" s="2"/>
      <c r="ONQ229" s="2"/>
      <c r="ONR229" s="2"/>
      <c r="ONS229" s="2"/>
      <c r="ONT229" s="2"/>
      <c r="ONU229" s="2"/>
      <c r="ONV229" s="2"/>
      <c r="ONW229" s="2"/>
      <c r="ONX229" s="2"/>
      <c r="ONY229" s="2"/>
      <c r="ONZ229" s="2"/>
      <c r="OOA229" s="2"/>
      <c r="OOB229" s="2"/>
      <c r="OOC229" s="2"/>
      <c r="OOD229" s="2"/>
      <c r="OOE229" s="2"/>
      <c r="OOF229" s="2"/>
      <c r="OOG229" s="2"/>
      <c r="OOH229" s="2"/>
      <c r="OOI229" s="2"/>
      <c r="OOJ229" s="2"/>
      <c r="OOK229" s="2"/>
      <c r="OOL229" s="2"/>
      <c r="OOM229" s="2"/>
      <c r="OON229" s="2"/>
      <c r="OOO229" s="2"/>
      <c r="OOP229" s="2"/>
      <c r="OOQ229" s="2"/>
      <c r="OOR229" s="2"/>
      <c r="OOS229" s="2"/>
      <c r="OOT229" s="2"/>
      <c r="OOU229" s="2"/>
      <c r="OOV229" s="2"/>
      <c r="OOW229" s="2"/>
      <c r="OOX229" s="2"/>
      <c r="OOY229" s="2"/>
      <c r="OOZ229" s="2"/>
      <c r="OPA229" s="2"/>
      <c r="OPB229" s="2"/>
      <c r="OPC229" s="2"/>
      <c r="OPD229" s="2"/>
      <c r="OPE229" s="2"/>
      <c r="OPF229" s="2"/>
      <c r="OPG229" s="2"/>
      <c r="OPH229" s="2"/>
      <c r="OPI229" s="2"/>
      <c r="OPJ229" s="2"/>
      <c r="OPK229" s="2"/>
      <c r="OPL229" s="2"/>
      <c r="OPM229" s="2"/>
      <c r="OPN229" s="2"/>
      <c r="OPO229" s="2"/>
      <c r="OPP229" s="2"/>
      <c r="OPQ229" s="2"/>
      <c r="OPR229" s="2"/>
      <c r="OPS229" s="2"/>
      <c r="OPT229" s="2"/>
      <c r="OPU229" s="2"/>
      <c r="OPV229" s="2"/>
      <c r="OPW229" s="2"/>
      <c r="OPX229" s="2"/>
      <c r="OPY229" s="2"/>
      <c r="OPZ229" s="2"/>
      <c r="OQA229" s="2"/>
      <c r="OQB229" s="2"/>
      <c r="OQC229" s="2"/>
      <c r="OQD229" s="2"/>
      <c r="OQE229" s="2"/>
      <c r="OQF229" s="2"/>
      <c r="OQG229" s="2"/>
      <c r="OQH229" s="2"/>
      <c r="OQI229" s="2"/>
      <c r="OQJ229" s="2"/>
      <c r="OQK229" s="2"/>
      <c r="OQL229" s="2"/>
      <c r="OQM229" s="2"/>
      <c r="OQN229" s="2"/>
      <c r="OQO229" s="2"/>
      <c r="OQP229" s="2"/>
      <c r="OQQ229" s="2"/>
      <c r="OQR229" s="2"/>
      <c r="OQS229" s="2"/>
      <c r="OQT229" s="2"/>
      <c r="OQU229" s="2"/>
      <c r="OQV229" s="2"/>
      <c r="OQW229" s="2"/>
      <c r="OQX229" s="2"/>
      <c r="OQY229" s="2"/>
      <c r="OQZ229" s="2"/>
      <c r="ORA229" s="2"/>
      <c r="ORB229" s="2"/>
      <c r="ORC229" s="2"/>
      <c r="ORD229" s="2"/>
      <c r="ORE229" s="2"/>
      <c r="ORF229" s="2"/>
      <c r="ORG229" s="2"/>
      <c r="ORH229" s="2"/>
      <c r="ORI229" s="2"/>
      <c r="ORJ229" s="2"/>
      <c r="ORK229" s="2"/>
      <c r="ORL229" s="2"/>
      <c r="ORM229" s="2"/>
      <c r="ORN229" s="2"/>
      <c r="ORO229" s="2"/>
      <c r="ORP229" s="2"/>
      <c r="ORQ229" s="2"/>
      <c r="ORR229" s="2"/>
      <c r="ORS229" s="2"/>
      <c r="ORT229" s="2"/>
      <c r="ORU229" s="2"/>
      <c r="ORV229" s="2"/>
      <c r="ORW229" s="2"/>
      <c r="ORX229" s="2"/>
      <c r="ORY229" s="2"/>
      <c r="ORZ229" s="2"/>
      <c r="OSA229" s="2"/>
      <c r="OSB229" s="2"/>
      <c r="OSC229" s="2"/>
      <c r="OSD229" s="2"/>
      <c r="OSE229" s="2"/>
      <c r="OSF229" s="2"/>
      <c r="OSG229" s="2"/>
      <c r="OSH229" s="2"/>
      <c r="OSI229" s="2"/>
      <c r="OSJ229" s="2"/>
      <c r="OSK229" s="2"/>
      <c r="OSL229" s="2"/>
      <c r="OSM229" s="2"/>
      <c r="OSN229" s="2"/>
      <c r="OSO229" s="2"/>
      <c r="OSP229" s="2"/>
      <c r="OSQ229" s="2"/>
      <c r="OSR229" s="2"/>
      <c r="OSS229" s="2"/>
      <c r="OST229" s="2"/>
      <c r="OSU229" s="2"/>
      <c r="OSV229" s="2"/>
      <c r="OSW229" s="2"/>
      <c r="OSX229" s="2"/>
      <c r="OSY229" s="2"/>
      <c r="OSZ229" s="2"/>
      <c r="OTA229" s="2"/>
      <c r="OTB229" s="2"/>
      <c r="OTC229" s="2"/>
      <c r="OTD229" s="2"/>
      <c r="OTE229" s="2"/>
      <c r="OTF229" s="2"/>
      <c r="OTG229" s="2"/>
      <c r="OTH229" s="2"/>
      <c r="OTI229" s="2"/>
      <c r="OTJ229" s="2"/>
      <c r="OTK229" s="2"/>
      <c r="OTL229" s="2"/>
      <c r="OTM229" s="2"/>
      <c r="OTN229" s="2"/>
      <c r="OTO229" s="2"/>
      <c r="OTP229" s="2"/>
      <c r="OTQ229" s="2"/>
      <c r="OTR229" s="2"/>
      <c r="OTS229" s="2"/>
      <c r="OTT229" s="2"/>
      <c r="OTU229" s="2"/>
      <c r="OTV229" s="2"/>
      <c r="OTW229" s="2"/>
      <c r="OTX229" s="2"/>
      <c r="OTY229" s="2"/>
      <c r="OTZ229" s="2"/>
      <c r="OUA229" s="2"/>
      <c r="OUB229" s="2"/>
      <c r="OUC229" s="2"/>
      <c r="OUD229" s="2"/>
      <c r="OUE229" s="2"/>
      <c r="OUF229" s="2"/>
      <c r="OUG229" s="2"/>
      <c r="OUH229" s="2"/>
      <c r="OUI229" s="2"/>
      <c r="OUJ229" s="2"/>
      <c r="OUK229" s="2"/>
      <c r="OUL229" s="2"/>
      <c r="OUM229" s="2"/>
      <c r="OUN229" s="2"/>
      <c r="OUO229" s="2"/>
      <c r="OUP229" s="2"/>
      <c r="OUQ229" s="2"/>
      <c r="OUR229" s="2"/>
      <c r="OUS229" s="2"/>
      <c r="OUT229" s="2"/>
      <c r="OUU229" s="2"/>
      <c r="OUV229" s="2"/>
      <c r="OUW229" s="2"/>
      <c r="OUX229" s="2"/>
      <c r="OUY229" s="2"/>
      <c r="OUZ229" s="2"/>
      <c r="OVA229" s="2"/>
      <c r="OVB229" s="2"/>
      <c r="OVC229" s="2"/>
      <c r="OVD229" s="2"/>
      <c r="OVE229" s="2"/>
      <c r="OVF229" s="2"/>
      <c r="OVG229" s="2"/>
      <c r="OVH229" s="2"/>
      <c r="OVI229" s="2"/>
      <c r="OVJ229" s="2"/>
      <c r="OVK229" s="2"/>
      <c r="OVL229" s="2"/>
      <c r="OVM229" s="2"/>
      <c r="OVN229" s="2"/>
      <c r="OVO229" s="2"/>
      <c r="OVP229" s="2"/>
      <c r="OVQ229" s="2"/>
      <c r="OVR229" s="2"/>
      <c r="OVS229" s="2"/>
      <c r="OVT229" s="2"/>
      <c r="OVU229" s="2"/>
      <c r="OVV229" s="2"/>
      <c r="OVW229" s="2"/>
      <c r="OVX229" s="2"/>
      <c r="OVY229" s="2"/>
      <c r="OVZ229" s="2"/>
      <c r="OWA229" s="2"/>
      <c r="OWB229" s="2"/>
      <c r="OWC229" s="2"/>
      <c r="OWD229" s="2"/>
      <c r="OWE229" s="2"/>
      <c r="OWF229" s="2"/>
      <c r="OWG229" s="2"/>
      <c r="OWH229" s="2"/>
      <c r="OWI229" s="2"/>
      <c r="OWJ229" s="2"/>
      <c r="OWK229" s="2"/>
      <c r="OWL229" s="2"/>
      <c r="OWM229" s="2"/>
      <c r="OWN229" s="2"/>
      <c r="OWO229" s="2"/>
      <c r="OWP229" s="2"/>
      <c r="OWQ229" s="2"/>
      <c r="OWR229" s="2"/>
      <c r="OWS229" s="2"/>
      <c r="OWT229" s="2"/>
      <c r="OWU229" s="2"/>
      <c r="OWV229" s="2"/>
      <c r="OWW229" s="2"/>
      <c r="OWX229" s="2"/>
      <c r="OWY229" s="2"/>
      <c r="OWZ229" s="2"/>
      <c r="OXA229" s="2"/>
      <c r="OXB229" s="2"/>
      <c r="OXC229" s="2"/>
      <c r="OXD229" s="2"/>
      <c r="OXE229" s="2"/>
      <c r="OXF229" s="2"/>
      <c r="OXG229" s="2"/>
      <c r="OXH229" s="2"/>
      <c r="OXI229" s="2"/>
      <c r="OXJ229" s="2"/>
      <c r="OXK229" s="2"/>
      <c r="OXL229" s="2"/>
      <c r="OXM229" s="2"/>
      <c r="OXN229" s="2"/>
      <c r="OXO229" s="2"/>
      <c r="OXP229" s="2"/>
      <c r="OXQ229" s="2"/>
      <c r="OXR229" s="2"/>
      <c r="OXS229" s="2"/>
      <c r="OXT229" s="2"/>
      <c r="OXU229" s="2"/>
      <c r="OXV229" s="2"/>
      <c r="OXW229" s="2"/>
      <c r="OXX229" s="2"/>
      <c r="OXY229" s="2"/>
      <c r="OXZ229" s="2"/>
      <c r="OYA229" s="2"/>
      <c r="OYB229" s="2"/>
      <c r="OYC229" s="2"/>
      <c r="OYD229" s="2"/>
      <c r="OYE229" s="2"/>
      <c r="OYF229" s="2"/>
      <c r="OYG229" s="2"/>
      <c r="OYH229" s="2"/>
      <c r="OYI229" s="2"/>
      <c r="OYJ229" s="2"/>
      <c r="OYK229" s="2"/>
      <c r="OYL229" s="2"/>
      <c r="OYM229" s="2"/>
      <c r="OYN229" s="2"/>
      <c r="OYO229" s="2"/>
      <c r="OYP229" s="2"/>
      <c r="OYQ229" s="2"/>
      <c r="OYR229" s="2"/>
      <c r="OYS229" s="2"/>
      <c r="OYT229" s="2"/>
      <c r="OYU229" s="2"/>
      <c r="OYV229" s="2"/>
      <c r="OYW229" s="2"/>
      <c r="OYX229" s="2"/>
      <c r="OYY229" s="2"/>
      <c r="OYZ229" s="2"/>
      <c r="OZA229" s="2"/>
      <c r="OZB229" s="2"/>
      <c r="OZC229" s="2"/>
      <c r="OZD229" s="2"/>
      <c r="OZE229" s="2"/>
      <c r="OZF229" s="2"/>
      <c r="OZG229" s="2"/>
      <c r="OZH229" s="2"/>
      <c r="OZI229" s="2"/>
      <c r="OZJ229" s="2"/>
      <c r="OZK229" s="2"/>
      <c r="OZL229" s="2"/>
      <c r="OZM229" s="2"/>
      <c r="OZN229" s="2"/>
      <c r="OZO229" s="2"/>
      <c r="OZP229" s="2"/>
      <c r="OZQ229" s="2"/>
      <c r="OZR229" s="2"/>
      <c r="OZS229" s="2"/>
      <c r="OZT229" s="2"/>
      <c r="OZU229" s="2"/>
      <c r="OZV229" s="2"/>
      <c r="OZW229" s="2"/>
      <c r="OZX229" s="2"/>
      <c r="OZY229" s="2"/>
      <c r="OZZ229" s="2"/>
      <c r="PAA229" s="2"/>
      <c r="PAB229" s="2"/>
      <c r="PAC229" s="2"/>
      <c r="PAD229" s="2"/>
      <c r="PAE229" s="2"/>
      <c r="PAF229" s="2"/>
      <c r="PAG229" s="2"/>
      <c r="PAH229" s="2"/>
      <c r="PAI229" s="2"/>
      <c r="PAJ229" s="2"/>
      <c r="PAK229" s="2"/>
      <c r="PAL229" s="2"/>
      <c r="PAM229" s="2"/>
      <c r="PAN229" s="2"/>
      <c r="PAO229" s="2"/>
      <c r="PAP229" s="2"/>
      <c r="PAQ229" s="2"/>
      <c r="PAR229" s="2"/>
      <c r="PAS229" s="2"/>
      <c r="PAT229" s="2"/>
      <c r="PAU229" s="2"/>
      <c r="PAV229" s="2"/>
      <c r="PAW229" s="2"/>
      <c r="PAX229" s="2"/>
      <c r="PAY229" s="2"/>
      <c r="PAZ229" s="2"/>
      <c r="PBA229" s="2"/>
      <c r="PBB229" s="2"/>
      <c r="PBC229" s="2"/>
      <c r="PBD229" s="2"/>
    </row>
    <row r="230" spans="1:10872" s="1" customFormat="1" ht="27.75" customHeight="1">
      <c r="A230" s="156" t="s">
        <v>136</v>
      </c>
      <c r="B230" s="156"/>
      <c r="C230" s="156"/>
      <c r="D230" s="156"/>
      <c r="E230" s="156"/>
      <c r="F230" s="156"/>
      <c r="G230" s="156"/>
      <c r="H230" s="156"/>
      <c r="I230" s="156"/>
      <c r="J230" s="156"/>
      <c r="K230" s="156"/>
      <c r="L230" s="156"/>
      <c r="M230" s="156"/>
      <c r="N230" s="156"/>
      <c r="O230" s="156"/>
      <c r="P230" s="156"/>
      <c r="Q230" s="156"/>
    </row>
    <row r="231" spans="1:10872" s="1" customFormat="1" ht="27.75" customHeight="1">
      <c r="A231" s="189" t="s">
        <v>113</v>
      </c>
      <c r="B231" s="189"/>
      <c r="C231" s="189"/>
      <c r="D231" s="189"/>
      <c r="E231" s="189"/>
      <c r="F231" s="189"/>
      <c r="G231" s="189"/>
      <c r="H231" s="189"/>
      <c r="I231" s="189"/>
      <c r="J231" s="189"/>
      <c r="K231" s="189"/>
      <c r="L231" s="189"/>
      <c r="M231" s="189"/>
      <c r="N231" s="189"/>
      <c r="O231" s="189"/>
      <c r="P231" s="189"/>
    </row>
    <row r="232" spans="1:10872" s="1" customFormat="1" ht="27.75" customHeight="1" thickBot="1">
      <c r="F232" s="13"/>
      <c r="G232" s="13"/>
      <c r="H232" s="13"/>
      <c r="I232" s="13"/>
      <c r="J232" s="13"/>
      <c r="K232" s="13"/>
    </row>
    <row r="233" spans="1:10872" s="1" customFormat="1" ht="27.75" customHeight="1" thickTop="1" thickBot="1">
      <c r="A233" s="190"/>
      <c r="B233" s="183" t="s">
        <v>114</v>
      </c>
      <c r="C233" s="192"/>
      <c r="D233" s="183" t="s">
        <v>115</v>
      </c>
      <c r="E233" s="192"/>
      <c r="F233" s="183" t="s">
        <v>116</v>
      </c>
      <c r="G233" s="192"/>
      <c r="H233" s="183" t="s">
        <v>117</v>
      </c>
      <c r="I233" s="192"/>
      <c r="J233" s="183" t="s">
        <v>118</v>
      </c>
      <c r="K233" s="192"/>
      <c r="L233" s="183" t="s">
        <v>119</v>
      </c>
      <c r="M233" s="192"/>
      <c r="N233" s="183" t="s">
        <v>120</v>
      </c>
      <c r="O233" s="184"/>
      <c r="P233" s="185"/>
    </row>
    <row r="234" spans="1:10872" s="1" customFormat="1" ht="27.75" customHeight="1" thickTop="1" thickBot="1">
      <c r="A234" s="191"/>
      <c r="B234" s="4" t="s">
        <v>76</v>
      </c>
      <c r="C234" s="4" t="s">
        <v>121</v>
      </c>
      <c r="D234" s="4" t="s">
        <v>76</v>
      </c>
      <c r="E234" s="4" t="s">
        <v>121</v>
      </c>
      <c r="F234" s="4" t="s">
        <v>76</v>
      </c>
      <c r="G234" s="4" t="s">
        <v>121</v>
      </c>
      <c r="H234" s="4" t="s">
        <v>76</v>
      </c>
      <c r="I234" s="4" t="s">
        <v>121</v>
      </c>
      <c r="J234" s="4" t="s">
        <v>76</v>
      </c>
      <c r="K234" s="4" t="s">
        <v>121</v>
      </c>
      <c r="L234" s="4" t="s">
        <v>76</v>
      </c>
      <c r="M234" s="4" t="s">
        <v>121</v>
      </c>
      <c r="N234" s="4" t="s">
        <v>76</v>
      </c>
      <c r="O234" s="4" t="s">
        <v>121</v>
      </c>
      <c r="P234" s="14" t="s">
        <v>122</v>
      </c>
    </row>
    <row r="235" spans="1:10872" s="1" customFormat="1" ht="27.75" customHeight="1" thickTop="1" thickBot="1">
      <c r="A235" s="11" t="s">
        <v>123</v>
      </c>
      <c r="B235" s="4">
        <f>'[1]التعليم الابتدائي'!AP581</f>
        <v>0</v>
      </c>
      <c r="C235" s="4">
        <f>'[1]التعليم الابتدائي'!AQ581</f>
        <v>0</v>
      </c>
      <c r="D235" s="177"/>
      <c r="E235" s="178"/>
      <c r="F235" s="178"/>
      <c r="G235" s="178"/>
      <c r="H235" s="178"/>
      <c r="I235" s="178"/>
      <c r="J235" s="178"/>
      <c r="K235" s="178"/>
      <c r="L235" s="178"/>
      <c r="M235" s="186"/>
      <c r="N235" s="4">
        <f>B235</f>
        <v>0</v>
      </c>
      <c r="O235" s="4">
        <f>C235</f>
        <v>0</v>
      </c>
      <c r="P235" s="14">
        <f t="shared" ref="P235:P245" si="14">O235+N235</f>
        <v>0</v>
      </c>
    </row>
    <row r="236" spans="1:10872" s="1" customFormat="1" ht="27.75" customHeight="1" thickTop="1" thickBot="1">
      <c r="A236" s="11" t="s">
        <v>124</v>
      </c>
      <c r="B236" s="4">
        <f>'[1]التعليم الابتدائي'!AR581</f>
        <v>0</v>
      </c>
      <c r="C236" s="4">
        <f>'[1]التعليم الابتدائي'!AS581</f>
        <v>0</v>
      </c>
      <c r="D236" s="137"/>
      <c r="E236" s="138"/>
      <c r="F236" s="180"/>
      <c r="G236" s="180"/>
      <c r="H236" s="180"/>
      <c r="I236" s="180"/>
      <c r="J236" s="180"/>
      <c r="K236" s="180"/>
      <c r="L236" s="180"/>
      <c r="M236" s="187"/>
      <c r="N236" s="4">
        <f>B236</f>
        <v>0</v>
      </c>
      <c r="O236" s="4">
        <f>C236</f>
        <v>0</v>
      </c>
      <c r="P236" s="14">
        <f t="shared" si="14"/>
        <v>0</v>
      </c>
    </row>
    <row r="237" spans="1:10872" s="1" customFormat="1" ht="27.75" customHeight="1" thickTop="1" thickBot="1">
      <c r="A237" s="11" t="s">
        <v>125</v>
      </c>
      <c r="B237" s="4">
        <f>'[1]التعليم الابتدائي'!AT581</f>
        <v>0</v>
      </c>
      <c r="C237" s="4">
        <f>'[1]التعليم الابتدائي'!AU581</f>
        <v>0</v>
      </c>
      <c r="D237" s="4">
        <f>'[1]التعليم الابتدائي'!BE581</f>
        <v>0</v>
      </c>
      <c r="E237" s="4">
        <f>'[1]التعليم الابتدائي'!BF581</f>
        <v>0</v>
      </c>
      <c r="F237" s="138"/>
      <c r="G237" s="138"/>
      <c r="H237" s="180"/>
      <c r="I237" s="180"/>
      <c r="J237" s="180"/>
      <c r="K237" s="180"/>
      <c r="L237" s="180"/>
      <c r="M237" s="187"/>
      <c r="N237" s="4">
        <f>D237+B237</f>
        <v>0</v>
      </c>
      <c r="O237" s="4">
        <f>E237+C237</f>
        <v>0</v>
      </c>
      <c r="P237" s="14">
        <f t="shared" si="14"/>
        <v>0</v>
      </c>
    </row>
    <row r="238" spans="1:10872" s="1" customFormat="1" ht="27.75" customHeight="1" thickTop="1" thickBot="1">
      <c r="A238" s="11" t="s">
        <v>126</v>
      </c>
      <c r="B238" s="4">
        <f>'[1]التعليم الابتدائي'!AV581</f>
        <v>0</v>
      </c>
      <c r="C238" s="4">
        <f>'[1]التعليم الابتدائي'!AW581</f>
        <v>0</v>
      </c>
      <c r="D238" s="4">
        <f>'[1]التعليم الابتدائي'!BG581</f>
        <v>0</v>
      </c>
      <c r="E238" s="4">
        <f>'[1]التعليم الابتدائي'!BH581</f>
        <v>0</v>
      </c>
      <c r="F238" s="4">
        <f>'[1]التعليم الابتدائي'!BR581</f>
        <v>0</v>
      </c>
      <c r="G238" s="4">
        <f>'[1]التعليم الابتدائي'!BS581</f>
        <v>0</v>
      </c>
      <c r="H238" s="138"/>
      <c r="I238" s="138"/>
      <c r="J238" s="180"/>
      <c r="K238" s="180"/>
      <c r="L238" s="180"/>
      <c r="M238" s="187"/>
      <c r="N238" s="4">
        <f>F238+D238+B238</f>
        <v>0</v>
      </c>
      <c r="O238" s="4">
        <f>G238+E238+C238</f>
        <v>0</v>
      </c>
      <c r="P238" s="14">
        <f t="shared" si="14"/>
        <v>0</v>
      </c>
    </row>
    <row r="239" spans="1:10872" s="1" customFormat="1" ht="27.75" customHeight="1" thickTop="1" thickBot="1">
      <c r="A239" s="11" t="s">
        <v>106</v>
      </c>
      <c r="B239" s="4">
        <f>'[1]التعليم الابتدائي'!AX581</f>
        <v>0</v>
      </c>
      <c r="C239" s="4">
        <f>'[1]التعليم الابتدائي'!AY581</f>
        <v>0</v>
      </c>
      <c r="D239" s="4">
        <f>'[1]التعليم الابتدائي'!BI581</f>
        <v>0</v>
      </c>
      <c r="E239" s="4">
        <f>'[1]التعليم الابتدائي'!BJ581</f>
        <v>0</v>
      </c>
      <c r="F239" s="4">
        <f>'[1]التعليم الابتدائي'!BT581</f>
        <v>0</v>
      </c>
      <c r="G239" s="4">
        <f>'[1]التعليم الابتدائي'!BU581</f>
        <v>0</v>
      </c>
      <c r="H239" s="4">
        <f>'[1]التعليم الابتدائي'!CE581</f>
        <v>0</v>
      </c>
      <c r="I239" s="4">
        <f>'[1]التعليم الابتدائي'!CF581</f>
        <v>0</v>
      </c>
      <c r="J239" s="138"/>
      <c r="K239" s="138"/>
      <c r="L239" s="180"/>
      <c r="M239" s="187"/>
      <c r="N239" s="4">
        <f>B239+D239+F239+H239</f>
        <v>0</v>
      </c>
      <c r="O239" s="4">
        <f>I239+G239+E239+C239</f>
        <v>0</v>
      </c>
      <c r="P239" s="14">
        <f t="shared" si="14"/>
        <v>0</v>
      </c>
    </row>
    <row r="240" spans="1:10872" s="1" customFormat="1" ht="27.75" customHeight="1" thickTop="1" thickBot="1">
      <c r="A240" s="11" t="s">
        <v>127</v>
      </c>
      <c r="B240" s="4">
        <f>'[1]التعليم الابتدائي'!AZ581</f>
        <v>0</v>
      </c>
      <c r="C240" s="4">
        <f>'[1]التعليم الابتدائي'!BA581</f>
        <v>0</v>
      </c>
      <c r="D240" s="4">
        <f>'[1]التعليم الابتدائي'!BK581</f>
        <v>0</v>
      </c>
      <c r="E240" s="4">
        <f>'[1]التعليم الابتدائي'!BL581</f>
        <v>0</v>
      </c>
      <c r="F240" s="4">
        <f>'[1]التعليم الابتدائي'!BV581</f>
        <v>0</v>
      </c>
      <c r="G240" s="4">
        <f>'[1]التعليم الابتدائي'!BW581</f>
        <v>0</v>
      </c>
      <c r="H240" s="4">
        <f>'[1]التعليم الابتدائي'!CG581</f>
        <v>0</v>
      </c>
      <c r="I240" s="4">
        <f>'[1]التعليم الابتدائي'!CH581</f>
        <v>0</v>
      </c>
      <c r="J240" s="4">
        <f>'[1]التعليم الابتدائي'!CR581</f>
        <v>0</v>
      </c>
      <c r="K240" s="4">
        <f>'[1]التعليم الابتدائي'!CS581</f>
        <v>0</v>
      </c>
      <c r="L240" s="138"/>
      <c r="M240" s="139"/>
      <c r="N240" s="4">
        <f>B240+D240+F240+H240+J240</f>
        <v>0</v>
      </c>
      <c r="O240" s="4">
        <f>K240+I240+G240+E240+C240</f>
        <v>0</v>
      </c>
      <c r="P240" s="14">
        <f t="shared" si="14"/>
        <v>0</v>
      </c>
    </row>
    <row r="241" spans="1:909" s="1" customFormat="1" ht="22.2" thickTop="1" thickBot="1">
      <c r="A241" s="11" t="s">
        <v>128</v>
      </c>
      <c r="B241" s="177"/>
      <c r="C241" s="178"/>
      <c r="D241" s="4">
        <f>'[1]التعليم الابتدائي'!BM581</f>
        <v>0</v>
      </c>
      <c r="E241" s="4">
        <f>'[1]التعليم الابتدائي'!BN581</f>
        <v>0</v>
      </c>
      <c r="F241" s="4">
        <f>'[1]التعليم الابتدائي'!BX581</f>
        <v>0</v>
      </c>
      <c r="G241" s="4">
        <f>'[1]التعليم الابتدائي'!BY581</f>
        <v>0</v>
      </c>
      <c r="H241" s="4">
        <f>'[1]التعليم الابتدائي'!CI581</f>
        <v>0</v>
      </c>
      <c r="I241" s="4">
        <f>'[1]التعليم الابتدائي'!CJ581</f>
        <v>0</v>
      </c>
      <c r="J241" s="4">
        <f>'[1]التعليم الابتدائي'!CT581</f>
        <v>0</v>
      </c>
      <c r="K241" s="4">
        <f>'[1]التعليم الابتدائي'!CU581</f>
        <v>0</v>
      </c>
      <c r="L241" s="4">
        <f>'[1]التعليم الابتدائي'!DE581</f>
        <v>0</v>
      </c>
      <c r="M241" s="4">
        <f>'[1]التعليم الابتدائي'!DF581</f>
        <v>0</v>
      </c>
      <c r="N241" s="4">
        <f>D241+F241+H241+J241+L241</f>
        <v>0</v>
      </c>
      <c r="O241" s="4">
        <f>M241+K241+I241+G241+E241</f>
        <v>0</v>
      </c>
      <c r="P241" s="14">
        <f t="shared" si="14"/>
        <v>0</v>
      </c>
    </row>
    <row r="242" spans="1:909" s="1" customFormat="1" ht="22.2" thickTop="1" thickBot="1">
      <c r="A242" s="11" t="s">
        <v>129</v>
      </c>
      <c r="B242" s="179"/>
      <c r="C242" s="180"/>
      <c r="D242" s="178"/>
      <c r="E242" s="178"/>
      <c r="F242" s="4">
        <f>'[1]التعليم الابتدائي'!BZ581</f>
        <v>0</v>
      </c>
      <c r="G242" s="4">
        <f>'[1]التعليم الابتدائي'!CA581</f>
        <v>0</v>
      </c>
      <c r="H242" s="4">
        <f>'[1]التعليم الابتدائي'!CK581</f>
        <v>0</v>
      </c>
      <c r="I242" s="4">
        <f>'[1]التعليم الابتدائي'!CL581</f>
        <v>0</v>
      </c>
      <c r="J242" s="4">
        <f>'[1]التعليم الابتدائي'!CV581</f>
        <v>0</v>
      </c>
      <c r="K242" s="4">
        <f>'[1]التعليم الابتدائي'!CW581</f>
        <v>0</v>
      </c>
      <c r="L242" s="4">
        <f>'[1]التعليم الابتدائي'!DG581</f>
        <v>0</v>
      </c>
      <c r="M242" s="4">
        <f>'[1]التعليم الابتدائي'!DH581</f>
        <v>0</v>
      </c>
      <c r="N242" s="4">
        <f>L242+J242+H242+F242</f>
        <v>0</v>
      </c>
      <c r="O242" s="4">
        <f>M242+K242+I242+G242</f>
        <v>0</v>
      </c>
      <c r="P242" s="14">
        <f t="shared" si="14"/>
        <v>0</v>
      </c>
    </row>
    <row r="243" spans="1:909" s="1" customFormat="1" ht="22.2" thickTop="1" thickBot="1">
      <c r="A243" s="11" t="s">
        <v>130</v>
      </c>
      <c r="B243" s="179"/>
      <c r="C243" s="180"/>
      <c r="D243" s="180"/>
      <c r="E243" s="180"/>
      <c r="F243" s="178"/>
      <c r="G243" s="178"/>
      <c r="H243" s="4">
        <f>'[1]التعليم الابتدائي'!CM581</f>
        <v>0</v>
      </c>
      <c r="I243" s="4">
        <f>'[1]التعليم الابتدائي'!CN581</f>
        <v>0</v>
      </c>
      <c r="J243" s="4">
        <f>'[1]التعليم الابتدائي'!CX581</f>
        <v>0</v>
      </c>
      <c r="K243" s="4">
        <f>'[1]التعليم الابتدائي'!CY581</f>
        <v>0</v>
      </c>
      <c r="L243" s="4">
        <f>'[1]التعليم الابتدائي'!DI581</f>
        <v>0</v>
      </c>
      <c r="M243" s="4">
        <f>'[1]التعليم الابتدائي'!DJ581</f>
        <v>0</v>
      </c>
      <c r="N243" s="4">
        <f>L243+J243+H243</f>
        <v>0</v>
      </c>
      <c r="O243" s="4">
        <f>M243+K243+I243</f>
        <v>0</v>
      </c>
      <c r="P243" s="14">
        <f t="shared" si="14"/>
        <v>0</v>
      </c>
    </row>
    <row r="244" spans="1:909" s="1" customFormat="1" ht="22.2" thickTop="1" thickBot="1">
      <c r="A244" s="11" t="s">
        <v>131</v>
      </c>
      <c r="B244" s="179"/>
      <c r="C244" s="180"/>
      <c r="D244" s="180"/>
      <c r="E244" s="180"/>
      <c r="F244" s="180"/>
      <c r="G244" s="180"/>
      <c r="H244" s="178"/>
      <c r="I244" s="178"/>
      <c r="J244" s="4">
        <f>'[1]التعليم الابتدائي'!CZ581</f>
        <v>0</v>
      </c>
      <c r="K244" s="4">
        <f>'[1]التعليم الابتدائي'!DA581</f>
        <v>0</v>
      </c>
      <c r="L244" s="4">
        <f>'[1]التعليم الابتدائي'!DK581</f>
        <v>0</v>
      </c>
      <c r="M244" s="4">
        <f>'[1]التعليم الابتدائي'!DL581</f>
        <v>0</v>
      </c>
      <c r="N244" s="4">
        <f>L244+J244</f>
        <v>0</v>
      </c>
      <c r="O244" s="4">
        <f>M244+K244</f>
        <v>0</v>
      </c>
      <c r="P244" s="14">
        <f t="shared" si="14"/>
        <v>0</v>
      </c>
    </row>
    <row r="245" spans="1:909" s="1" customFormat="1" ht="22.2" thickTop="1" thickBot="1">
      <c r="A245" s="11" t="s">
        <v>132</v>
      </c>
      <c r="B245" s="137"/>
      <c r="C245" s="138"/>
      <c r="D245" s="138"/>
      <c r="E245" s="138"/>
      <c r="F245" s="138"/>
      <c r="G245" s="138"/>
      <c r="H245" s="138"/>
      <c r="I245" s="138"/>
      <c r="J245" s="181"/>
      <c r="K245" s="182"/>
      <c r="L245" s="4">
        <f>'[1]التعليم الابتدائي'!DM581</f>
        <v>0</v>
      </c>
      <c r="M245" s="4">
        <f>'[1]التعليم الابتدائي'!DN581</f>
        <v>0</v>
      </c>
      <c r="N245" s="4">
        <f>L245</f>
        <v>0</v>
      </c>
      <c r="O245" s="4">
        <f>M245</f>
        <v>0</v>
      </c>
      <c r="P245" s="14">
        <f t="shared" si="14"/>
        <v>0</v>
      </c>
    </row>
    <row r="246" spans="1:909" s="1" customFormat="1" ht="22.2" thickTop="1" thickBot="1">
      <c r="A246" s="6" t="s">
        <v>122</v>
      </c>
      <c r="B246" s="7">
        <f>SUM(B235:B245)</f>
        <v>0</v>
      </c>
      <c r="C246" s="7">
        <f>SUM(C235:C245)</f>
        <v>0</v>
      </c>
      <c r="D246" s="7">
        <f>D241+D240+D239+D238+D237</f>
        <v>0</v>
      </c>
      <c r="E246" s="7">
        <f t="shared" ref="E246:P246" si="15">SUM(E235:E245)</f>
        <v>0</v>
      </c>
      <c r="F246" s="7">
        <f t="shared" si="15"/>
        <v>0</v>
      </c>
      <c r="G246" s="7">
        <f t="shared" si="15"/>
        <v>0</v>
      </c>
      <c r="H246" s="7">
        <f t="shared" si="15"/>
        <v>0</v>
      </c>
      <c r="I246" s="7">
        <f t="shared" si="15"/>
        <v>0</v>
      </c>
      <c r="J246" s="7">
        <f t="shared" si="15"/>
        <v>0</v>
      </c>
      <c r="K246" s="7">
        <f t="shared" si="15"/>
        <v>0</v>
      </c>
      <c r="L246" s="7">
        <f t="shared" si="15"/>
        <v>0</v>
      </c>
      <c r="M246" s="7">
        <f t="shared" si="15"/>
        <v>0</v>
      </c>
      <c r="N246" s="7">
        <f t="shared" si="15"/>
        <v>0</v>
      </c>
      <c r="O246" s="7">
        <f t="shared" si="15"/>
        <v>0</v>
      </c>
      <c r="P246" s="8">
        <f t="shared" si="15"/>
        <v>0</v>
      </c>
    </row>
    <row r="247" spans="1:909" ht="21.6" thickTop="1"/>
    <row r="248" spans="1:909" s="1" customFormat="1" ht="21">
      <c r="A248" s="156" t="s">
        <v>62</v>
      </c>
      <c r="B248" s="156"/>
      <c r="C248" s="156"/>
      <c r="D248" s="156"/>
      <c r="E248" s="156"/>
      <c r="N248" s="2" t="s">
        <v>90</v>
      </c>
      <c r="O248" s="2"/>
      <c r="P248" s="2"/>
    </row>
    <row r="249" spans="1:909" s="1" customFormat="1" ht="21">
      <c r="A249" s="156" t="s">
        <v>64</v>
      </c>
      <c r="B249" s="156"/>
      <c r="C249" s="156"/>
      <c r="D249" s="156"/>
      <c r="E249" s="156"/>
      <c r="N249" s="2" t="s">
        <v>65</v>
      </c>
      <c r="O249" s="2"/>
      <c r="P249" s="2"/>
    </row>
    <row r="250" spans="1:909" s="1" customFormat="1" ht="21">
      <c r="A250" s="156" t="s">
        <v>99</v>
      </c>
      <c r="B250" s="156"/>
      <c r="C250" s="156"/>
      <c r="D250" s="156"/>
      <c r="E250" s="156"/>
      <c r="F250" s="156"/>
      <c r="G250" s="156"/>
      <c r="H250" s="156"/>
      <c r="I250" s="156"/>
      <c r="J250" s="156"/>
      <c r="K250" s="156"/>
      <c r="L250" s="156"/>
      <c r="M250" s="156"/>
      <c r="N250" s="156"/>
      <c r="O250" s="156"/>
      <c r="P250" s="156"/>
      <c r="Q250" s="2"/>
    </row>
    <row r="251" spans="1:909" s="1" customFormat="1" ht="21">
      <c r="A251" s="156" t="s">
        <v>136</v>
      </c>
      <c r="B251" s="156"/>
      <c r="C251" s="156"/>
      <c r="D251" s="156"/>
      <c r="E251" s="156"/>
      <c r="F251" s="156"/>
      <c r="G251" s="156"/>
      <c r="H251" s="156"/>
      <c r="I251" s="156"/>
      <c r="J251" s="156"/>
      <c r="K251" s="156"/>
      <c r="L251" s="156"/>
      <c r="M251" s="156"/>
      <c r="N251" s="156"/>
      <c r="O251" s="156"/>
      <c r="P251" s="156"/>
      <c r="Q251" s="156"/>
    </row>
    <row r="252" spans="1:909" s="1" customFormat="1" ht="21">
      <c r="A252" s="156" t="s">
        <v>101</v>
      </c>
      <c r="B252" s="156"/>
      <c r="C252" s="156"/>
      <c r="D252" s="156"/>
      <c r="E252" s="156"/>
      <c r="F252" s="156"/>
      <c r="G252" s="156"/>
      <c r="H252" s="156"/>
      <c r="I252" s="156"/>
      <c r="J252" s="156"/>
      <c r="K252" s="156"/>
      <c r="L252" s="156"/>
      <c r="M252" s="156"/>
      <c r="N252" s="156"/>
      <c r="O252" s="156"/>
      <c r="P252" s="156"/>
      <c r="Q252" s="2"/>
    </row>
    <row r="253" spans="1:909" s="1" customFormat="1" ht="21.6" thickBot="1">
      <c r="G253" s="198"/>
      <c r="H253" s="198"/>
      <c r="I253" s="198"/>
      <c r="J253" s="198"/>
      <c r="K253" s="198"/>
    </row>
    <row r="254" spans="1:909" s="1" customFormat="1" ht="21.6" thickTop="1">
      <c r="A254" s="199"/>
      <c r="B254" s="147" t="s">
        <v>102</v>
      </c>
      <c r="C254" s="149"/>
      <c r="D254" s="147" t="s">
        <v>103</v>
      </c>
      <c r="E254" s="149"/>
      <c r="F254" s="147" t="s">
        <v>104</v>
      </c>
      <c r="G254" s="149"/>
      <c r="H254" s="147" t="s">
        <v>105</v>
      </c>
      <c r="I254" s="149"/>
      <c r="J254" s="147" t="s">
        <v>106</v>
      </c>
      <c r="K254" s="149"/>
      <c r="L254" s="147" t="s">
        <v>107</v>
      </c>
      <c r="M254" s="149"/>
      <c r="N254" s="147" t="s">
        <v>58</v>
      </c>
      <c r="O254" s="148"/>
      <c r="P254" s="201"/>
    </row>
    <row r="255" spans="1:909" s="1" customFormat="1" ht="21.6" thickBot="1">
      <c r="A255" s="200"/>
      <c r="B255" s="137"/>
      <c r="C255" s="139"/>
      <c r="D255" s="137"/>
      <c r="E255" s="139"/>
      <c r="F255" s="137"/>
      <c r="G255" s="139"/>
      <c r="H255" s="137"/>
      <c r="I255" s="139"/>
      <c r="J255" s="137"/>
      <c r="K255" s="139"/>
      <c r="L255" s="137"/>
      <c r="M255" s="139"/>
      <c r="N255" s="137"/>
      <c r="O255" s="138"/>
      <c r="P255" s="202"/>
    </row>
    <row r="256" spans="1:909" s="5" customFormat="1" ht="22.2" thickTop="1" thickBot="1">
      <c r="A256" s="11" t="s">
        <v>108</v>
      </c>
      <c r="B256" s="170">
        <f>'[1]التعليم الابتدائي'!AA480</f>
        <v>0</v>
      </c>
      <c r="C256" s="182"/>
      <c r="D256" s="170">
        <f>'[1]التعليم الابتدائي'!AC480</f>
        <v>0</v>
      </c>
      <c r="E256" s="182"/>
      <c r="F256" s="170">
        <f>'[1]التعليم الابتدائي'!AE480</f>
        <v>0</v>
      </c>
      <c r="G256" s="182"/>
      <c r="H256" s="170">
        <f>'[1]التعليم الابتدائي'!AG480</f>
        <v>0</v>
      </c>
      <c r="I256" s="182"/>
      <c r="J256" s="170">
        <f>'[1]التعليم الابتدائي'!AI480</f>
        <v>0</v>
      </c>
      <c r="K256" s="182"/>
      <c r="L256" s="170">
        <f>'[1]التعليم الابتدائي'!AK480</f>
        <v>0</v>
      </c>
      <c r="M256" s="182"/>
      <c r="N256" s="170">
        <f>L256+J256+H256+F256+D256+B256</f>
        <v>0</v>
      </c>
      <c r="O256" s="181"/>
      <c r="P256" s="193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1"/>
      <c r="KG256" s="1"/>
      <c r="KH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  <c r="KS256" s="1"/>
      <c r="KT256" s="1"/>
      <c r="KU256" s="1"/>
      <c r="KV256" s="1"/>
      <c r="KW256" s="1"/>
      <c r="KX256" s="1"/>
      <c r="KY256" s="1"/>
      <c r="KZ256" s="1"/>
      <c r="LA256" s="1"/>
      <c r="LB256" s="1"/>
      <c r="LC256" s="1"/>
      <c r="LD256" s="1"/>
      <c r="LE256" s="1"/>
      <c r="LF256" s="1"/>
      <c r="LG256" s="1"/>
      <c r="LH256" s="1"/>
      <c r="LI256" s="1"/>
      <c r="LJ256" s="1"/>
      <c r="LK256" s="1"/>
      <c r="LL256" s="1"/>
      <c r="LM256" s="1"/>
      <c r="LN256" s="1"/>
      <c r="LO256" s="1"/>
      <c r="LP256" s="1"/>
      <c r="LQ256" s="1"/>
      <c r="LR256" s="1"/>
      <c r="LS256" s="1"/>
      <c r="LT256" s="1"/>
      <c r="LU256" s="1"/>
      <c r="LV256" s="1"/>
      <c r="LW256" s="1"/>
      <c r="LX256" s="1"/>
      <c r="LY256" s="1"/>
      <c r="LZ256" s="1"/>
      <c r="MA256" s="1"/>
      <c r="MB256" s="1"/>
      <c r="MC256" s="1"/>
      <c r="MD256" s="1"/>
      <c r="ME256" s="1"/>
      <c r="MF256" s="1"/>
      <c r="MG256" s="1"/>
      <c r="MH256" s="1"/>
      <c r="MI256" s="1"/>
      <c r="MJ256" s="1"/>
      <c r="MK256" s="1"/>
      <c r="ML256" s="1"/>
      <c r="MM256" s="1"/>
      <c r="MN256" s="1"/>
      <c r="MO256" s="1"/>
      <c r="MP256" s="1"/>
      <c r="MQ256" s="1"/>
      <c r="MR256" s="1"/>
      <c r="MS256" s="1"/>
      <c r="MT256" s="1"/>
      <c r="MU256" s="1"/>
      <c r="MV256" s="1"/>
      <c r="MW256" s="1"/>
      <c r="MX256" s="1"/>
      <c r="MY256" s="1"/>
      <c r="MZ256" s="1"/>
      <c r="NA256" s="1"/>
      <c r="NB256" s="1"/>
      <c r="NC256" s="1"/>
      <c r="ND256" s="1"/>
      <c r="NE256" s="1"/>
      <c r="NF256" s="1"/>
      <c r="NG256" s="1"/>
      <c r="NH256" s="1"/>
      <c r="NI256" s="1"/>
      <c r="NJ256" s="1"/>
      <c r="NK256" s="1"/>
      <c r="NL256" s="1"/>
      <c r="NM256" s="1"/>
      <c r="NN256" s="1"/>
      <c r="NO256" s="1"/>
      <c r="NP256" s="1"/>
      <c r="NQ256" s="1"/>
      <c r="NR256" s="1"/>
      <c r="NS256" s="1"/>
      <c r="NT256" s="1"/>
      <c r="NU256" s="1"/>
      <c r="NV256" s="1"/>
      <c r="NW256" s="1"/>
      <c r="NX256" s="1"/>
      <c r="NY256" s="1"/>
      <c r="NZ256" s="1"/>
      <c r="OA256" s="1"/>
      <c r="OB256" s="1"/>
      <c r="OC256" s="1"/>
      <c r="OD256" s="1"/>
      <c r="OE256" s="1"/>
      <c r="OF256" s="1"/>
      <c r="OG256" s="1"/>
      <c r="OH256" s="1"/>
      <c r="OI256" s="1"/>
      <c r="OJ256" s="1"/>
      <c r="OK256" s="1"/>
      <c r="OL256" s="1"/>
      <c r="OM256" s="1"/>
      <c r="ON256" s="1"/>
      <c r="OO256" s="1"/>
      <c r="OP256" s="1"/>
      <c r="OQ256" s="1"/>
      <c r="OR256" s="1"/>
      <c r="OS256" s="1"/>
      <c r="OT256" s="1"/>
      <c r="OU256" s="1"/>
      <c r="OV256" s="1"/>
      <c r="OW256" s="1"/>
      <c r="OX256" s="1"/>
      <c r="OY256" s="1"/>
      <c r="OZ256" s="1"/>
      <c r="PA256" s="1"/>
      <c r="PB256" s="1"/>
      <c r="PC256" s="1"/>
      <c r="PD256" s="1"/>
      <c r="PE256" s="1"/>
      <c r="PF256" s="1"/>
      <c r="PG256" s="1"/>
      <c r="PH256" s="1"/>
      <c r="PI256" s="1"/>
      <c r="PJ256" s="1"/>
      <c r="PK256" s="1"/>
      <c r="PL256" s="1"/>
      <c r="PM256" s="1"/>
      <c r="PN256" s="1"/>
      <c r="PO256" s="1"/>
      <c r="PP256" s="1"/>
      <c r="PQ256" s="1"/>
      <c r="PR256" s="1"/>
      <c r="PS256" s="1"/>
      <c r="PT256" s="1"/>
      <c r="PU256" s="1"/>
      <c r="PV256" s="1"/>
      <c r="PW256" s="1"/>
      <c r="PX256" s="1"/>
      <c r="PY256" s="1"/>
      <c r="PZ256" s="1"/>
      <c r="QA256" s="1"/>
      <c r="QB256" s="1"/>
      <c r="QC256" s="1"/>
      <c r="QD256" s="1"/>
      <c r="QE256" s="1"/>
      <c r="QF256" s="1"/>
      <c r="QG256" s="1"/>
      <c r="QH256" s="1"/>
      <c r="QI256" s="1"/>
      <c r="QJ256" s="1"/>
      <c r="QK256" s="1"/>
      <c r="QL256" s="1"/>
      <c r="QM256" s="1"/>
      <c r="QN256" s="1"/>
      <c r="QO256" s="1"/>
      <c r="QP256" s="1"/>
      <c r="QQ256" s="1"/>
      <c r="QR256" s="1"/>
      <c r="QS256" s="1"/>
      <c r="QT256" s="1"/>
      <c r="QU256" s="1"/>
      <c r="QV256" s="1"/>
      <c r="QW256" s="1"/>
      <c r="QX256" s="1"/>
      <c r="QY256" s="1"/>
      <c r="QZ256" s="1"/>
      <c r="RA256" s="1"/>
      <c r="RB256" s="1"/>
      <c r="RC256" s="1"/>
      <c r="RD256" s="1"/>
      <c r="RE256" s="1"/>
      <c r="RF256" s="1"/>
      <c r="RG256" s="1"/>
      <c r="RH256" s="1"/>
      <c r="RI256" s="1"/>
      <c r="RJ256" s="1"/>
      <c r="RK256" s="1"/>
      <c r="RL256" s="1"/>
      <c r="RM256" s="1"/>
      <c r="RN256" s="1"/>
      <c r="RO256" s="1"/>
      <c r="RP256" s="1"/>
      <c r="RQ256" s="1"/>
      <c r="RR256" s="1"/>
      <c r="RS256" s="1"/>
      <c r="RT256" s="1"/>
      <c r="RU256" s="1"/>
      <c r="RV256" s="1"/>
      <c r="RW256" s="1"/>
      <c r="RX256" s="1"/>
      <c r="RY256" s="1"/>
      <c r="RZ256" s="1"/>
      <c r="SA256" s="1"/>
      <c r="SB256" s="1"/>
      <c r="SC256" s="1"/>
      <c r="SD256" s="1"/>
      <c r="SE256" s="1"/>
      <c r="SF256" s="1"/>
      <c r="SG256" s="1"/>
      <c r="SH256" s="1"/>
      <c r="SI256" s="1"/>
      <c r="SJ256" s="1"/>
      <c r="SK256" s="1"/>
      <c r="SL256" s="1"/>
      <c r="SM256" s="1"/>
      <c r="SN256" s="1"/>
      <c r="SO256" s="1"/>
      <c r="SP256" s="1"/>
      <c r="SQ256" s="1"/>
      <c r="SR256" s="1"/>
      <c r="SS256" s="1"/>
      <c r="ST256" s="1"/>
      <c r="SU256" s="1"/>
      <c r="SV256" s="1"/>
      <c r="SW256" s="1"/>
      <c r="SX256" s="1"/>
      <c r="SY256" s="1"/>
      <c r="SZ256" s="1"/>
      <c r="TA256" s="1"/>
      <c r="TB256" s="1"/>
      <c r="TC256" s="1"/>
      <c r="TD256" s="1"/>
      <c r="TE256" s="1"/>
      <c r="TF256" s="1"/>
      <c r="TG256" s="1"/>
      <c r="TH256" s="1"/>
      <c r="TI256" s="1"/>
      <c r="TJ256" s="1"/>
      <c r="TK256" s="1"/>
      <c r="TL256" s="1"/>
      <c r="TM256" s="1"/>
      <c r="TN256" s="1"/>
      <c r="TO256" s="1"/>
      <c r="TP256" s="1"/>
      <c r="TQ256" s="1"/>
      <c r="TR256" s="1"/>
      <c r="TS256" s="1"/>
      <c r="TT256" s="1"/>
      <c r="TU256" s="1"/>
      <c r="TV256" s="1"/>
      <c r="TW256" s="1"/>
      <c r="TX256" s="1"/>
      <c r="TY256" s="1"/>
      <c r="TZ256" s="1"/>
      <c r="UA256" s="1"/>
      <c r="UB256" s="1"/>
      <c r="UC256" s="1"/>
      <c r="UD256" s="1"/>
      <c r="UE256" s="1"/>
      <c r="UF256" s="1"/>
      <c r="UG256" s="1"/>
      <c r="UH256" s="1"/>
      <c r="UI256" s="1"/>
      <c r="UJ256" s="1"/>
      <c r="UK256" s="1"/>
      <c r="UL256" s="1"/>
      <c r="UM256" s="1"/>
      <c r="UN256" s="1"/>
      <c r="UO256" s="1"/>
      <c r="UP256" s="1"/>
      <c r="UQ256" s="1"/>
      <c r="UR256" s="1"/>
      <c r="US256" s="1"/>
      <c r="UT256" s="1"/>
      <c r="UU256" s="1"/>
      <c r="UV256" s="1"/>
      <c r="UW256" s="1"/>
      <c r="UX256" s="1"/>
      <c r="UY256" s="1"/>
      <c r="UZ256" s="1"/>
      <c r="VA256" s="1"/>
      <c r="VB256" s="1"/>
      <c r="VC256" s="1"/>
      <c r="VD256" s="1"/>
      <c r="VE256" s="1"/>
      <c r="VF256" s="1"/>
      <c r="VG256" s="1"/>
      <c r="VH256" s="1"/>
      <c r="VI256" s="1"/>
      <c r="VJ256" s="1"/>
      <c r="VK256" s="1"/>
      <c r="VL256" s="1"/>
      <c r="VM256" s="1"/>
      <c r="VN256" s="1"/>
      <c r="VO256" s="1"/>
      <c r="VP256" s="1"/>
      <c r="VQ256" s="1"/>
      <c r="VR256" s="1"/>
      <c r="VS256" s="1"/>
      <c r="VT256" s="1"/>
      <c r="VU256" s="1"/>
      <c r="VV256" s="1"/>
      <c r="VW256" s="1"/>
      <c r="VX256" s="1"/>
      <c r="VY256" s="1"/>
      <c r="VZ256" s="1"/>
      <c r="WA256" s="1"/>
      <c r="WB256" s="1"/>
      <c r="WC256" s="1"/>
      <c r="WD256" s="1"/>
      <c r="WE256" s="1"/>
      <c r="WF256" s="1"/>
      <c r="WG256" s="1"/>
      <c r="WH256" s="1"/>
      <c r="WI256" s="1"/>
      <c r="WJ256" s="1"/>
      <c r="WK256" s="1"/>
      <c r="WL256" s="1"/>
      <c r="WM256" s="1"/>
      <c r="WN256" s="1"/>
      <c r="WO256" s="1"/>
      <c r="WP256" s="1"/>
      <c r="WQ256" s="1"/>
      <c r="WR256" s="1"/>
      <c r="WS256" s="1"/>
      <c r="WT256" s="1"/>
      <c r="WU256" s="1"/>
      <c r="WV256" s="1"/>
      <c r="WW256" s="1"/>
      <c r="WX256" s="1"/>
      <c r="WY256" s="1"/>
      <c r="WZ256" s="1"/>
      <c r="XA256" s="1"/>
      <c r="XB256" s="1"/>
      <c r="XC256" s="1"/>
      <c r="XD256" s="1"/>
      <c r="XE256" s="1"/>
      <c r="XF256" s="1"/>
      <c r="XG256" s="1"/>
      <c r="XH256" s="1"/>
      <c r="XI256" s="1"/>
      <c r="XJ256" s="1"/>
      <c r="XK256" s="1"/>
      <c r="XL256" s="1"/>
      <c r="XM256" s="1"/>
      <c r="XN256" s="1"/>
      <c r="XO256" s="1"/>
      <c r="XP256" s="1"/>
      <c r="XQ256" s="1"/>
      <c r="XR256" s="1"/>
      <c r="XS256" s="1"/>
      <c r="XT256" s="1"/>
      <c r="XU256" s="1"/>
      <c r="XV256" s="1"/>
      <c r="XW256" s="1"/>
      <c r="XX256" s="1"/>
      <c r="XY256" s="1"/>
      <c r="XZ256" s="1"/>
      <c r="YA256" s="1"/>
      <c r="YB256" s="1"/>
      <c r="YC256" s="1"/>
      <c r="YD256" s="1"/>
      <c r="YE256" s="1"/>
      <c r="YF256" s="1"/>
      <c r="YG256" s="1"/>
      <c r="YH256" s="1"/>
      <c r="YI256" s="1"/>
      <c r="YJ256" s="1"/>
      <c r="YK256" s="1"/>
      <c r="YL256" s="1"/>
      <c r="YM256" s="1"/>
      <c r="YN256" s="1"/>
      <c r="YO256" s="1"/>
      <c r="YP256" s="1"/>
      <c r="YQ256" s="1"/>
      <c r="YR256" s="1"/>
      <c r="YS256" s="1"/>
      <c r="YT256" s="1"/>
      <c r="YU256" s="1"/>
      <c r="YV256" s="1"/>
      <c r="YW256" s="1"/>
      <c r="YX256" s="1"/>
      <c r="YY256" s="1"/>
      <c r="YZ256" s="1"/>
      <c r="ZA256" s="1"/>
      <c r="ZB256" s="1"/>
      <c r="ZC256" s="1"/>
      <c r="ZD256" s="1"/>
      <c r="ZE256" s="1"/>
      <c r="ZF256" s="1"/>
      <c r="ZG256" s="1"/>
      <c r="ZH256" s="1"/>
      <c r="ZI256" s="1"/>
      <c r="ZJ256" s="1"/>
      <c r="ZK256" s="1"/>
      <c r="ZL256" s="1"/>
      <c r="ZM256" s="1"/>
      <c r="ZN256" s="1"/>
      <c r="ZO256" s="1"/>
      <c r="ZP256" s="1"/>
      <c r="ZQ256" s="1"/>
      <c r="ZR256" s="1"/>
      <c r="ZS256" s="1"/>
      <c r="ZT256" s="1"/>
      <c r="ZU256" s="1"/>
      <c r="ZV256" s="1"/>
      <c r="ZW256" s="1"/>
      <c r="ZX256" s="1"/>
      <c r="ZY256" s="1"/>
      <c r="ZZ256" s="1"/>
      <c r="AAA256" s="1"/>
      <c r="AAB256" s="1"/>
      <c r="AAC256" s="1"/>
      <c r="AAD256" s="1"/>
      <c r="AAE256" s="1"/>
      <c r="AAF256" s="1"/>
      <c r="AAG256" s="1"/>
      <c r="AAH256" s="1"/>
      <c r="AAI256" s="1"/>
      <c r="AAJ256" s="1"/>
      <c r="AAK256" s="1"/>
      <c r="AAL256" s="1"/>
      <c r="AAM256" s="1"/>
      <c r="AAN256" s="1"/>
      <c r="AAO256" s="1"/>
      <c r="AAP256" s="1"/>
      <c r="AAQ256" s="1"/>
      <c r="AAR256" s="1"/>
      <c r="AAS256" s="1"/>
      <c r="AAT256" s="1"/>
      <c r="AAU256" s="1"/>
      <c r="AAV256" s="1"/>
      <c r="AAW256" s="1"/>
      <c r="AAX256" s="1"/>
      <c r="AAY256" s="1"/>
      <c r="AAZ256" s="1"/>
      <c r="ABA256" s="1"/>
      <c r="ABB256" s="1"/>
      <c r="ABC256" s="1"/>
      <c r="ABD256" s="1"/>
      <c r="ABE256" s="1"/>
      <c r="ABF256" s="1"/>
      <c r="ABG256" s="1"/>
      <c r="ABH256" s="1"/>
      <c r="ABI256" s="1"/>
      <c r="ABJ256" s="1"/>
      <c r="ABK256" s="1"/>
      <c r="ABL256" s="1"/>
      <c r="ABM256" s="1"/>
      <c r="ABN256" s="1"/>
      <c r="ABO256" s="1"/>
      <c r="ABP256" s="1"/>
      <c r="ABQ256" s="1"/>
      <c r="ABR256" s="1"/>
      <c r="ABS256" s="1"/>
      <c r="ABT256" s="1"/>
      <c r="ABU256" s="1"/>
      <c r="ABV256" s="1"/>
      <c r="ABW256" s="1"/>
      <c r="ABX256" s="1"/>
      <c r="ABY256" s="1"/>
      <c r="ABZ256" s="1"/>
      <c r="ACA256" s="1"/>
      <c r="ACB256" s="1"/>
      <c r="ACC256" s="1"/>
      <c r="ACD256" s="1"/>
      <c r="ACE256" s="1"/>
      <c r="ACF256" s="1"/>
      <c r="ACG256" s="1"/>
      <c r="ACH256" s="1"/>
      <c r="ACI256" s="1"/>
      <c r="ACJ256" s="1"/>
      <c r="ACK256" s="1"/>
      <c r="ACL256" s="1"/>
      <c r="ACM256" s="1"/>
      <c r="ACN256" s="1"/>
      <c r="ACO256" s="1"/>
      <c r="ACP256" s="1"/>
      <c r="ACQ256" s="1"/>
      <c r="ACR256" s="1"/>
      <c r="ACS256" s="1"/>
      <c r="ACT256" s="1"/>
      <c r="ACU256" s="1"/>
      <c r="ACV256" s="1"/>
      <c r="ACW256" s="1"/>
      <c r="ACX256" s="1"/>
      <c r="ACY256" s="1"/>
      <c r="ACZ256" s="1"/>
      <c r="ADA256" s="1"/>
      <c r="ADB256" s="1"/>
      <c r="ADC256" s="1"/>
      <c r="ADD256" s="1"/>
      <c r="ADE256" s="1"/>
      <c r="ADF256" s="1"/>
      <c r="ADG256" s="1"/>
      <c r="ADH256" s="1"/>
      <c r="ADI256" s="1"/>
      <c r="ADJ256" s="1"/>
      <c r="ADK256" s="1"/>
      <c r="ADL256" s="1"/>
      <c r="ADM256" s="1"/>
      <c r="ADN256" s="1"/>
      <c r="ADO256" s="1"/>
      <c r="ADP256" s="1"/>
      <c r="ADQ256" s="1"/>
      <c r="ADR256" s="1"/>
      <c r="ADS256" s="1"/>
      <c r="ADT256" s="1"/>
      <c r="ADU256" s="1"/>
      <c r="ADV256" s="1"/>
      <c r="ADW256" s="1"/>
      <c r="ADX256" s="1"/>
      <c r="ADY256" s="1"/>
      <c r="ADZ256" s="1"/>
      <c r="AEA256" s="1"/>
      <c r="AEB256" s="1"/>
      <c r="AEC256" s="1"/>
      <c r="AED256" s="1"/>
      <c r="AEE256" s="1"/>
      <c r="AEF256" s="1"/>
      <c r="AEG256" s="1"/>
      <c r="AEH256" s="1"/>
      <c r="AEI256" s="1"/>
      <c r="AEJ256" s="1"/>
      <c r="AEK256" s="1"/>
      <c r="AEL256" s="1"/>
      <c r="AEM256" s="1"/>
      <c r="AEN256" s="1"/>
      <c r="AEO256" s="1"/>
      <c r="AEP256" s="1"/>
      <c r="AEQ256" s="1"/>
      <c r="AER256" s="1"/>
      <c r="AES256" s="1"/>
      <c r="AET256" s="1"/>
      <c r="AEU256" s="1"/>
      <c r="AEV256" s="1"/>
      <c r="AEW256" s="1"/>
      <c r="AEX256" s="1"/>
      <c r="AEY256" s="1"/>
      <c r="AEZ256" s="1"/>
      <c r="AFA256" s="1"/>
      <c r="AFB256" s="1"/>
      <c r="AFC256" s="1"/>
      <c r="AFD256" s="1"/>
      <c r="AFE256" s="1"/>
      <c r="AFF256" s="1"/>
      <c r="AFG256" s="1"/>
      <c r="AFH256" s="1"/>
      <c r="AFI256" s="1"/>
      <c r="AFJ256" s="1"/>
      <c r="AFK256" s="1"/>
      <c r="AFL256" s="1"/>
      <c r="AFM256" s="1"/>
      <c r="AFN256" s="1"/>
      <c r="AFO256" s="1"/>
      <c r="AFP256" s="1"/>
      <c r="AFQ256" s="1"/>
      <c r="AFR256" s="1"/>
      <c r="AFS256" s="1"/>
      <c r="AFT256" s="1"/>
      <c r="AFU256" s="1"/>
      <c r="AFV256" s="1"/>
      <c r="AFW256" s="1"/>
      <c r="AFX256" s="1"/>
      <c r="AFY256" s="1"/>
      <c r="AFZ256" s="1"/>
      <c r="AGA256" s="1"/>
      <c r="AGB256" s="1"/>
      <c r="AGC256" s="1"/>
      <c r="AGD256" s="1"/>
      <c r="AGE256" s="1"/>
      <c r="AGF256" s="1"/>
      <c r="AGG256" s="1"/>
      <c r="AGH256" s="1"/>
      <c r="AGI256" s="1"/>
      <c r="AGJ256" s="1"/>
      <c r="AGK256" s="1"/>
      <c r="AGL256" s="1"/>
      <c r="AGM256" s="1"/>
      <c r="AGN256" s="1"/>
      <c r="AGO256" s="1"/>
      <c r="AGP256" s="1"/>
      <c r="AGQ256" s="1"/>
      <c r="AGR256" s="1"/>
      <c r="AGS256" s="1"/>
      <c r="AGT256" s="1"/>
      <c r="AGU256" s="1"/>
      <c r="AGV256" s="1"/>
      <c r="AGW256" s="1"/>
      <c r="AGX256" s="1"/>
      <c r="AGY256" s="1"/>
      <c r="AGZ256" s="1"/>
      <c r="AHA256" s="1"/>
      <c r="AHB256" s="1"/>
      <c r="AHC256" s="1"/>
      <c r="AHD256" s="1"/>
      <c r="AHE256" s="1"/>
      <c r="AHF256" s="1"/>
      <c r="AHG256" s="1"/>
      <c r="AHH256" s="1"/>
      <c r="AHI256" s="1"/>
      <c r="AHJ256" s="1"/>
      <c r="AHK256" s="1"/>
      <c r="AHL256" s="1"/>
      <c r="AHM256" s="1"/>
      <c r="AHN256" s="1"/>
      <c r="AHO256" s="1"/>
      <c r="AHP256" s="1"/>
      <c r="AHQ256" s="1"/>
      <c r="AHR256" s="1"/>
      <c r="AHS256" s="1"/>
      <c r="AHT256" s="1"/>
      <c r="AHU256" s="1"/>
      <c r="AHV256" s="1"/>
      <c r="AHW256" s="1"/>
      <c r="AHX256" s="1"/>
      <c r="AHY256" s="1"/>
    </row>
    <row r="257" spans="1:909" s="5" customFormat="1" ht="22.2" thickTop="1" thickBot="1">
      <c r="A257" s="11" t="s">
        <v>109</v>
      </c>
      <c r="B257" s="170">
        <f>'[1]التعليم الابتدائي'!AB480</f>
        <v>0</v>
      </c>
      <c r="C257" s="182"/>
      <c r="D257" s="170">
        <f>'[1]التعليم الابتدائي'!AD480</f>
        <v>0</v>
      </c>
      <c r="E257" s="182"/>
      <c r="F257" s="170">
        <f>'[1]التعليم الابتدائي'!AF480</f>
        <v>0</v>
      </c>
      <c r="G257" s="182"/>
      <c r="H257" s="170">
        <f>'[1]التعليم الابتدائي'!AH480</f>
        <v>0</v>
      </c>
      <c r="I257" s="182"/>
      <c r="J257" s="170">
        <f>'[1]التعليم الابتدائي'!AJ480</f>
        <v>0</v>
      </c>
      <c r="K257" s="182"/>
      <c r="L257" s="170">
        <f>'[1]التعليم الابتدائي'!AL480</f>
        <v>0</v>
      </c>
      <c r="M257" s="182"/>
      <c r="N257" s="170">
        <f>L257+J257+H257+F257+D257+B257</f>
        <v>0</v>
      </c>
      <c r="O257" s="181"/>
      <c r="P257" s="193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1"/>
      <c r="KG257" s="1"/>
      <c r="KH257" s="1"/>
      <c r="KI257" s="1"/>
      <c r="KJ257" s="1"/>
      <c r="KK257" s="1"/>
      <c r="KL257" s="1"/>
      <c r="KM257" s="1"/>
      <c r="KN257" s="1"/>
      <c r="KO257" s="1"/>
      <c r="KP257" s="1"/>
      <c r="KQ257" s="1"/>
      <c r="KR257" s="1"/>
      <c r="KS257" s="1"/>
      <c r="KT257" s="1"/>
      <c r="KU257" s="1"/>
      <c r="KV257" s="1"/>
      <c r="KW257" s="1"/>
      <c r="KX257" s="1"/>
      <c r="KY257" s="1"/>
      <c r="KZ257" s="1"/>
      <c r="LA257" s="1"/>
      <c r="LB257" s="1"/>
      <c r="LC257" s="1"/>
      <c r="LD257" s="1"/>
      <c r="LE257" s="1"/>
      <c r="LF257" s="1"/>
      <c r="LG257" s="1"/>
      <c r="LH257" s="1"/>
      <c r="LI257" s="1"/>
      <c r="LJ257" s="1"/>
      <c r="LK257" s="1"/>
      <c r="LL257" s="1"/>
      <c r="LM257" s="1"/>
      <c r="LN257" s="1"/>
      <c r="LO257" s="1"/>
      <c r="LP257" s="1"/>
      <c r="LQ257" s="1"/>
      <c r="LR257" s="1"/>
      <c r="LS257" s="1"/>
      <c r="LT257" s="1"/>
      <c r="LU257" s="1"/>
      <c r="LV257" s="1"/>
      <c r="LW257" s="1"/>
      <c r="LX257" s="1"/>
      <c r="LY257" s="1"/>
      <c r="LZ257" s="1"/>
      <c r="MA257" s="1"/>
      <c r="MB257" s="1"/>
      <c r="MC257" s="1"/>
      <c r="MD257" s="1"/>
      <c r="ME257" s="1"/>
      <c r="MF257" s="1"/>
      <c r="MG257" s="1"/>
      <c r="MH257" s="1"/>
      <c r="MI257" s="1"/>
      <c r="MJ257" s="1"/>
      <c r="MK257" s="1"/>
      <c r="ML257" s="1"/>
      <c r="MM257" s="1"/>
      <c r="MN257" s="1"/>
      <c r="MO257" s="1"/>
      <c r="MP257" s="1"/>
      <c r="MQ257" s="1"/>
      <c r="MR257" s="1"/>
      <c r="MS257" s="1"/>
      <c r="MT257" s="1"/>
      <c r="MU257" s="1"/>
      <c r="MV257" s="1"/>
      <c r="MW257" s="1"/>
      <c r="MX257" s="1"/>
      <c r="MY257" s="1"/>
      <c r="MZ257" s="1"/>
      <c r="NA257" s="1"/>
      <c r="NB257" s="1"/>
      <c r="NC257" s="1"/>
      <c r="ND257" s="1"/>
      <c r="NE257" s="1"/>
      <c r="NF257" s="1"/>
      <c r="NG257" s="1"/>
      <c r="NH257" s="1"/>
      <c r="NI257" s="1"/>
      <c r="NJ257" s="1"/>
      <c r="NK257" s="1"/>
      <c r="NL257" s="1"/>
      <c r="NM257" s="1"/>
      <c r="NN257" s="1"/>
      <c r="NO257" s="1"/>
      <c r="NP257" s="1"/>
      <c r="NQ257" s="1"/>
      <c r="NR257" s="1"/>
      <c r="NS257" s="1"/>
      <c r="NT257" s="1"/>
      <c r="NU257" s="1"/>
      <c r="NV257" s="1"/>
      <c r="NW257" s="1"/>
      <c r="NX257" s="1"/>
      <c r="NY257" s="1"/>
      <c r="NZ257" s="1"/>
      <c r="OA257" s="1"/>
      <c r="OB257" s="1"/>
      <c r="OC257" s="1"/>
      <c r="OD257" s="1"/>
      <c r="OE257" s="1"/>
      <c r="OF257" s="1"/>
      <c r="OG257" s="1"/>
      <c r="OH257" s="1"/>
      <c r="OI257" s="1"/>
      <c r="OJ257" s="1"/>
      <c r="OK257" s="1"/>
      <c r="OL257" s="1"/>
      <c r="OM257" s="1"/>
      <c r="ON257" s="1"/>
      <c r="OO257" s="1"/>
      <c r="OP257" s="1"/>
      <c r="OQ257" s="1"/>
      <c r="OR257" s="1"/>
      <c r="OS257" s="1"/>
      <c r="OT257" s="1"/>
      <c r="OU257" s="1"/>
      <c r="OV257" s="1"/>
      <c r="OW257" s="1"/>
      <c r="OX257" s="1"/>
      <c r="OY257" s="1"/>
      <c r="OZ257" s="1"/>
      <c r="PA257" s="1"/>
      <c r="PB257" s="1"/>
      <c r="PC257" s="1"/>
      <c r="PD257" s="1"/>
      <c r="PE257" s="1"/>
      <c r="PF257" s="1"/>
      <c r="PG257" s="1"/>
      <c r="PH257" s="1"/>
      <c r="PI257" s="1"/>
      <c r="PJ257" s="1"/>
      <c r="PK257" s="1"/>
      <c r="PL257" s="1"/>
      <c r="PM257" s="1"/>
      <c r="PN257" s="1"/>
      <c r="PO257" s="1"/>
      <c r="PP257" s="1"/>
      <c r="PQ257" s="1"/>
      <c r="PR257" s="1"/>
      <c r="PS257" s="1"/>
      <c r="PT257" s="1"/>
      <c r="PU257" s="1"/>
      <c r="PV257" s="1"/>
      <c r="PW257" s="1"/>
      <c r="PX257" s="1"/>
      <c r="PY257" s="1"/>
      <c r="PZ257" s="1"/>
      <c r="QA257" s="1"/>
      <c r="QB257" s="1"/>
      <c r="QC257" s="1"/>
      <c r="QD257" s="1"/>
      <c r="QE257" s="1"/>
      <c r="QF257" s="1"/>
      <c r="QG257" s="1"/>
      <c r="QH257" s="1"/>
      <c r="QI257" s="1"/>
      <c r="QJ257" s="1"/>
      <c r="QK257" s="1"/>
      <c r="QL257" s="1"/>
      <c r="QM257" s="1"/>
      <c r="QN257" s="1"/>
      <c r="QO257" s="1"/>
      <c r="QP257" s="1"/>
      <c r="QQ257" s="1"/>
      <c r="QR257" s="1"/>
      <c r="QS257" s="1"/>
      <c r="QT257" s="1"/>
      <c r="QU257" s="1"/>
      <c r="QV257" s="1"/>
      <c r="QW257" s="1"/>
      <c r="QX257" s="1"/>
      <c r="QY257" s="1"/>
      <c r="QZ257" s="1"/>
      <c r="RA257" s="1"/>
      <c r="RB257" s="1"/>
      <c r="RC257" s="1"/>
      <c r="RD257" s="1"/>
      <c r="RE257" s="1"/>
      <c r="RF257" s="1"/>
      <c r="RG257" s="1"/>
      <c r="RH257" s="1"/>
      <c r="RI257" s="1"/>
      <c r="RJ257" s="1"/>
      <c r="RK257" s="1"/>
      <c r="RL257" s="1"/>
      <c r="RM257" s="1"/>
      <c r="RN257" s="1"/>
      <c r="RO257" s="1"/>
      <c r="RP257" s="1"/>
      <c r="RQ257" s="1"/>
      <c r="RR257" s="1"/>
      <c r="RS257" s="1"/>
      <c r="RT257" s="1"/>
      <c r="RU257" s="1"/>
      <c r="RV257" s="1"/>
      <c r="RW257" s="1"/>
      <c r="RX257" s="1"/>
      <c r="RY257" s="1"/>
      <c r="RZ257" s="1"/>
      <c r="SA257" s="1"/>
      <c r="SB257" s="1"/>
      <c r="SC257" s="1"/>
      <c r="SD257" s="1"/>
      <c r="SE257" s="1"/>
      <c r="SF257" s="1"/>
      <c r="SG257" s="1"/>
      <c r="SH257" s="1"/>
      <c r="SI257" s="1"/>
      <c r="SJ257" s="1"/>
      <c r="SK257" s="1"/>
      <c r="SL257" s="1"/>
      <c r="SM257" s="1"/>
      <c r="SN257" s="1"/>
      <c r="SO257" s="1"/>
      <c r="SP257" s="1"/>
      <c r="SQ257" s="1"/>
      <c r="SR257" s="1"/>
      <c r="SS257" s="1"/>
      <c r="ST257" s="1"/>
      <c r="SU257" s="1"/>
      <c r="SV257" s="1"/>
      <c r="SW257" s="1"/>
      <c r="SX257" s="1"/>
      <c r="SY257" s="1"/>
      <c r="SZ257" s="1"/>
      <c r="TA257" s="1"/>
      <c r="TB257" s="1"/>
      <c r="TC257" s="1"/>
      <c r="TD257" s="1"/>
      <c r="TE257" s="1"/>
      <c r="TF257" s="1"/>
      <c r="TG257" s="1"/>
      <c r="TH257" s="1"/>
      <c r="TI257" s="1"/>
      <c r="TJ257" s="1"/>
      <c r="TK257" s="1"/>
      <c r="TL257" s="1"/>
      <c r="TM257" s="1"/>
      <c r="TN257" s="1"/>
      <c r="TO257" s="1"/>
      <c r="TP257" s="1"/>
      <c r="TQ257" s="1"/>
      <c r="TR257" s="1"/>
      <c r="TS257" s="1"/>
      <c r="TT257" s="1"/>
      <c r="TU257" s="1"/>
      <c r="TV257" s="1"/>
      <c r="TW257" s="1"/>
      <c r="TX257" s="1"/>
      <c r="TY257" s="1"/>
      <c r="TZ257" s="1"/>
      <c r="UA257" s="1"/>
      <c r="UB257" s="1"/>
      <c r="UC257" s="1"/>
      <c r="UD257" s="1"/>
      <c r="UE257" s="1"/>
      <c r="UF257" s="1"/>
      <c r="UG257" s="1"/>
      <c r="UH257" s="1"/>
      <c r="UI257" s="1"/>
      <c r="UJ257" s="1"/>
      <c r="UK257" s="1"/>
      <c r="UL257" s="1"/>
      <c r="UM257" s="1"/>
      <c r="UN257" s="1"/>
      <c r="UO257" s="1"/>
      <c r="UP257" s="1"/>
      <c r="UQ257" s="1"/>
      <c r="UR257" s="1"/>
      <c r="US257" s="1"/>
      <c r="UT257" s="1"/>
      <c r="UU257" s="1"/>
      <c r="UV257" s="1"/>
      <c r="UW257" s="1"/>
      <c r="UX257" s="1"/>
      <c r="UY257" s="1"/>
      <c r="UZ257" s="1"/>
      <c r="VA257" s="1"/>
      <c r="VB257" s="1"/>
      <c r="VC257" s="1"/>
      <c r="VD257" s="1"/>
      <c r="VE257" s="1"/>
      <c r="VF257" s="1"/>
      <c r="VG257" s="1"/>
      <c r="VH257" s="1"/>
      <c r="VI257" s="1"/>
      <c r="VJ257" s="1"/>
      <c r="VK257" s="1"/>
      <c r="VL257" s="1"/>
      <c r="VM257" s="1"/>
      <c r="VN257" s="1"/>
      <c r="VO257" s="1"/>
      <c r="VP257" s="1"/>
      <c r="VQ257" s="1"/>
      <c r="VR257" s="1"/>
      <c r="VS257" s="1"/>
      <c r="VT257" s="1"/>
      <c r="VU257" s="1"/>
      <c r="VV257" s="1"/>
      <c r="VW257" s="1"/>
      <c r="VX257" s="1"/>
      <c r="VY257" s="1"/>
      <c r="VZ257" s="1"/>
      <c r="WA257" s="1"/>
      <c r="WB257" s="1"/>
      <c r="WC257" s="1"/>
      <c r="WD257" s="1"/>
      <c r="WE257" s="1"/>
      <c r="WF257" s="1"/>
      <c r="WG257" s="1"/>
      <c r="WH257" s="1"/>
      <c r="WI257" s="1"/>
      <c r="WJ257" s="1"/>
      <c r="WK257" s="1"/>
      <c r="WL257" s="1"/>
      <c r="WM257" s="1"/>
      <c r="WN257" s="1"/>
      <c r="WO257" s="1"/>
      <c r="WP257" s="1"/>
      <c r="WQ257" s="1"/>
      <c r="WR257" s="1"/>
      <c r="WS257" s="1"/>
      <c r="WT257" s="1"/>
      <c r="WU257" s="1"/>
      <c r="WV257" s="1"/>
      <c r="WW257" s="1"/>
      <c r="WX257" s="1"/>
      <c r="WY257" s="1"/>
      <c r="WZ257" s="1"/>
      <c r="XA257" s="1"/>
      <c r="XB257" s="1"/>
      <c r="XC257" s="1"/>
      <c r="XD257" s="1"/>
      <c r="XE257" s="1"/>
      <c r="XF257" s="1"/>
      <c r="XG257" s="1"/>
      <c r="XH257" s="1"/>
      <c r="XI257" s="1"/>
      <c r="XJ257" s="1"/>
      <c r="XK257" s="1"/>
      <c r="XL257" s="1"/>
      <c r="XM257" s="1"/>
      <c r="XN257" s="1"/>
      <c r="XO257" s="1"/>
      <c r="XP257" s="1"/>
      <c r="XQ257" s="1"/>
      <c r="XR257" s="1"/>
      <c r="XS257" s="1"/>
      <c r="XT257" s="1"/>
      <c r="XU257" s="1"/>
      <c r="XV257" s="1"/>
      <c r="XW257" s="1"/>
      <c r="XX257" s="1"/>
      <c r="XY257" s="1"/>
      <c r="XZ257" s="1"/>
      <c r="YA257" s="1"/>
      <c r="YB257" s="1"/>
      <c r="YC257" s="1"/>
      <c r="YD257" s="1"/>
      <c r="YE257" s="1"/>
      <c r="YF257" s="1"/>
      <c r="YG257" s="1"/>
      <c r="YH257" s="1"/>
      <c r="YI257" s="1"/>
      <c r="YJ257" s="1"/>
      <c r="YK257" s="1"/>
      <c r="YL257" s="1"/>
      <c r="YM257" s="1"/>
      <c r="YN257" s="1"/>
      <c r="YO257" s="1"/>
      <c r="YP257" s="1"/>
      <c r="YQ257" s="1"/>
      <c r="YR257" s="1"/>
      <c r="YS257" s="1"/>
      <c r="YT257" s="1"/>
      <c r="YU257" s="1"/>
      <c r="YV257" s="1"/>
      <c r="YW257" s="1"/>
      <c r="YX257" s="1"/>
      <c r="YY257" s="1"/>
      <c r="YZ257" s="1"/>
      <c r="ZA257" s="1"/>
      <c r="ZB257" s="1"/>
      <c r="ZC257" s="1"/>
      <c r="ZD257" s="1"/>
      <c r="ZE257" s="1"/>
      <c r="ZF257" s="1"/>
      <c r="ZG257" s="1"/>
      <c r="ZH257" s="1"/>
      <c r="ZI257" s="1"/>
      <c r="ZJ257" s="1"/>
      <c r="ZK257" s="1"/>
      <c r="ZL257" s="1"/>
      <c r="ZM257" s="1"/>
      <c r="ZN257" s="1"/>
      <c r="ZO257" s="1"/>
      <c r="ZP257" s="1"/>
      <c r="ZQ257" s="1"/>
      <c r="ZR257" s="1"/>
      <c r="ZS257" s="1"/>
      <c r="ZT257" s="1"/>
      <c r="ZU257" s="1"/>
      <c r="ZV257" s="1"/>
      <c r="ZW257" s="1"/>
      <c r="ZX257" s="1"/>
      <c r="ZY257" s="1"/>
      <c r="ZZ257" s="1"/>
      <c r="AAA257" s="1"/>
      <c r="AAB257" s="1"/>
      <c r="AAC257" s="1"/>
      <c r="AAD257" s="1"/>
      <c r="AAE257" s="1"/>
      <c r="AAF257" s="1"/>
      <c r="AAG257" s="1"/>
      <c r="AAH257" s="1"/>
      <c r="AAI257" s="1"/>
      <c r="AAJ257" s="1"/>
      <c r="AAK257" s="1"/>
      <c r="AAL257" s="1"/>
      <c r="AAM257" s="1"/>
      <c r="AAN257" s="1"/>
      <c r="AAO257" s="1"/>
      <c r="AAP257" s="1"/>
      <c r="AAQ257" s="1"/>
      <c r="AAR257" s="1"/>
      <c r="AAS257" s="1"/>
      <c r="AAT257" s="1"/>
      <c r="AAU257" s="1"/>
      <c r="AAV257" s="1"/>
      <c r="AAW257" s="1"/>
      <c r="AAX257" s="1"/>
      <c r="AAY257" s="1"/>
      <c r="AAZ257" s="1"/>
      <c r="ABA257" s="1"/>
      <c r="ABB257" s="1"/>
      <c r="ABC257" s="1"/>
      <c r="ABD257" s="1"/>
      <c r="ABE257" s="1"/>
      <c r="ABF257" s="1"/>
      <c r="ABG257" s="1"/>
      <c r="ABH257" s="1"/>
      <c r="ABI257" s="1"/>
      <c r="ABJ257" s="1"/>
      <c r="ABK257" s="1"/>
      <c r="ABL257" s="1"/>
      <c r="ABM257" s="1"/>
      <c r="ABN257" s="1"/>
      <c r="ABO257" s="1"/>
      <c r="ABP257" s="1"/>
      <c r="ABQ257" s="1"/>
      <c r="ABR257" s="1"/>
      <c r="ABS257" s="1"/>
      <c r="ABT257" s="1"/>
      <c r="ABU257" s="1"/>
      <c r="ABV257" s="1"/>
      <c r="ABW257" s="1"/>
      <c r="ABX257" s="1"/>
      <c r="ABY257" s="1"/>
      <c r="ABZ257" s="1"/>
      <c r="ACA257" s="1"/>
      <c r="ACB257" s="1"/>
      <c r="ACC257" s="1"/>
      <c r="ACD257" s="1"/>
      <c r="ACE257" s="1"/>
      <c r="ACF257" s="1"/>
      <c r="ACG257" s="1"/>
      <c r="ACH257" s="1"/>
      <c r="ACI257" s="1"/>
      <c r="ACJ257" s="1"/>
      <c r="ACK257" s="1"/>
      <c r="ACL257" s="1"/>
      <c r="ACM257" s="1"/>
      <c r="ACN257" s="1"/>
      <c r="ACO257" s="1"/>
      <c r="ACP257" s="1"/>
      <c r="ACQ257" s="1"/>
      <c r="ACR257" s="1"/>
      <c r="ACS257" s="1"/>
      <c r="ACT257" s="1"/>
      <c r="ACU257" s="1"/>
      <c r="ACV257" s="1"/>
      <c r="ACW257" s="1"/>
      <c r="ACX257" s="1"/>
      <c r="ACY257" s="1"/>
      <c r="ACZ257" s="1"/>
      <c r="ADA257" s="1"/>
      <c r="ADB257" s="1"/>
      <c r="ADC257" s="1"/>
      <c r="ADD257" s="1"/>
      <c r="ADE257" s="1"/>
      <c r="ADF257" s="1"/>
      <c r="ADG257" s="1"/>
      <c r="ADH257" s="1"/>
      <c r="ADI257" s="1"/>
      <c r="ADJ257" s="1"/>
      <c r="ADK257" s="1"/>
      <c r="ADL257" s="1"/>
      <c r="ADM257" s="1"/>
      <c r="ADN257" s="1"/>
      <c r="ADO257" s="1"/>
      <c r="ADP257" s="1"/>
      <c r="ADQ257" s="1"/>
      <c r="ADR257" s="1"/>
      <c r="ADS257" s="1"/>
      <c r="ADT257" s="1"/>
      <c r="ADU257" s="1"/>
      <c r="ADV257" s="1"/>
      <c r="ADW257" s="1"/>
      <c r="ADX257" s="1"/>
      <c r="ADY257" s="1"/>
      <c r="ADZ257" s="1"/>
      <c r="AEA257" s="1"/>
      <c r="AEB257" s="1"/>
      <c r="AEC257" s="1"/>
      <c r="AED257" s="1"/>
      <c r="AEE257" s="1"/>
      <c r="AEF257" s="1"/>
      <c r="AEG257" s="1"/>
      <c r="AEH257" s="1"/>
      <c r="AEI257" s="1"/>
      <c r="AEJ257" s="1"/>
      <c r="AEK257" s="1"/>
      <c r="AEL257" s="1"/>
      <c r="AEM257" s="1"/>
      <c r="AEN257" s="1"/>
      <c r="AEO257" s="1"/>
      <c r="AEP257" s="1"/>
      <c r="AEQ257" s="1"/>
      <c r="AER257" s="1"/>
      <c r="AES257" s="1"/>
      <c r="AET257" s="1"/>
      <c r="AEU257" s="1"/>
      <c r="AEV257" s="1"/>
      <c r="AEW257" s="1"/>
      <c r="AEX257" s="1"/>
      <c r="AEY257" s="1"/>
      <c r="AEZ257" s="1"/>
      <c r="AFA257" s="1"/>
      <c r="AFB257" s="1"/>
      <c r="AFC257" s="1"/>
      <c r="AFD257" s="1"/>
      <c r="AFE257" s="1"/>
      <c r="AFF257" s="1"/>
      <c r="AFG257" s="1"/>
      <c r="AFH257" s="1"/>
      <c r="AFI257" s="1"/>
      <c r="AFJ257" s="1"/>
      <c r="AFK257" s="1"/>
      <c r="AFL257" s="1"/>
      <c r="AFM257" s="1"/>
      <c r="AFN257" s="1"/>
      <c r="AFO257" s="1"/>
      <c r="AFP257" s="1"/>
      <c r="AFQ257" s="1"/>
      <c r="AFR257" s="1"/>
      <c r="AFS257" s="1"/>
      <c r="AFT257" s="1"/>
      <c r="AFU257" s="1"/>
      <c r="AFV257" s="1"/>
      <c r="AFW257" s="1"/>
      <c r="AFX257" s="1"/>
      <c r="AFY257" s="1"/>
      <c r="AFZ257" s="1"/>
      <c r="AGA257" s="1"/>
      <c r="AGB257" s="1"/>
      <c r="AGC257" s="1"/>
      <c r="AGD257" s="1"/>
      <c r="AGE257" s="1"/>
      <c r="AGF257" s="1"/>
      <c r="AGG257" s="1"/>
      <c r="AGH257" s="1"/>
      <c r="AGI257" s="1"/>
      <c r="AGJ257" s="1"/>
      <c r="AGK257" s="1"/>
      <c r="AGL257" s="1"/>
      <c r="AGM257" s="1"/>
      <c r="AGN257" s="1"/>
      <c r="AGO257" s="1"/>
      <c r="AGP257" s="1"/>
      <c r="AGQ257" s="1"/>
      <c r="AGR257" s="1"/>
      <c r="AGS257" s="1"/>
      <c r="AGT257" s="1"/>
      <c r="AGU257" s="1"/>
      <c r="AGV257" s="1"/>
      <c r="AGW257" s="1"/>
      <c r="AGX257" s="1"/>
      <c r="AGY257" s="1"/>
      <c r="AGZ257" s="1"/>
      <c r="AHA257" s="1"/>
      <c r="AHB257" s="1"/>
      <c r="AHC257" s="1"/>
      <c r="AHD257" s="1"/>
      <c r="AHE257" s="1"/>
      <c r="AHF257" s="1"/>
      <c r="AHG257" s="1"/>
      <c r="AHH257" s="1"/>
      <c r="AHI257" s="1"/>
      <c r="AHJ257" s="1"/>
      <c r="AHK257" s="1"/>
      <c r="AHL257" s="1"/>
      <c r="AHM257" s="1"/>
      <c r="AHN257" s="1"/>
      <c r="AHO257" s="1"/>
      <c r="AHP257" s="1"/>
      <c r="AHQ257" s="1"/>
      <c r="AHR257" s="1"/>
      <c r="AHS257" s="1"/>
      <c r="AHT257" s="1"/>
      <c r="AHU257" s="1"/>
      <c r="AHV257" s="1"/>
      <c r="AHW257" s="1"/>
      <c r="AHX257" s="1"/>
      <c r="AHY257" s="1"/>
    </row>
    <row r="258" spans="1:909" s="5" customFormat="1" ht="22.2" thickTop="1" thickBot="1">
      <c r="A258" s="6" t="s">
        <v>110</v>
      </c>
      <c r="B258" s="194">
        <f>SUM(B256:B257)</f>
        <v>0</v>
      </c>
      <c r="C258" s="195"/>
      <c r="D258" s="194">
        <f>SUM(D256:D257)</f>
        <v>0</v>
      </c>
      <c r="E258" s="195"/>
      <c r="F258" s="194">
        <f>SUM(F256:F257)</f>
        <v>0</v>
      </c>
      <c r="G258" s="195"/>
      <c r="H258" s="194">
        <f>SUM(H256:H257)</f>
        <v>0</v>
      </c>
      <c r="I258" s="195"/>
      <c r="J258" s="194">
        <f>SUM(J256:J257)</f>
        <v>0</v>
      </c>
      <c r="K258" s="195"/>
      <c r="L258" s="194">
        <f>SUM(L256:L257)</f>
        <v>0</v>
      </c>
      <c r="M258" s="195"/>
      <c r="N258" s="194">
        <f>L258+J258+H258+F258+D258+B258</f>
        <v>0</v>
      </c>
      <c r="O258" s="196"/>
      <c r="P258" s="197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1"/>
      <c r="KG258" s="1"/>
      <c r="KH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KS258" s="1"/>
      <c r="KT258" s="1"/>
      <c r="KU258" s="1"/>
      <c r="KV258" s="1"/>
      <c r="KW258" s="1"/>
      <c r="KX258" s="1"/>
      <c r="KY258" s="1"/>
      <c r="KZ258" s="1"/>
      <c r="LA258" s="1"/>
      <c r="LB258" s="1"/>
      <c r="LC258" s="1"/>
      <c r="LD258" s="1"/>
      <c r="LE258" s="1"/>
      <c r="LF258" s="1"/>
      <c r="LG258" s="1"/>
      <c r="LH258" s="1"/>
      <c r="LI258" s="1"/>
      <c r="LJ258" s="1"/>
      <c r="LK258" s="1"/>
      <c r="LL258" s="1"/>
      <c r="LM258" s="1"/>
      <c r="LN258" s="1"/>
      <c r="LO258" s="1"/>
      <c r="LP258" s="1"/>
      <c r="LQ258" s="1"/>
      <c r="LR258" s="1"/>
      <c r="LS258" s="1"/>
      <c r="LT258" s="1"/>
      <c r="LU258" s="1"/>
      <c r="LV258" s="1"/>
      <c r="LW258" s="1"/>
      <c r="LX258" s="1"/>
      <c r="LY258" s="1"/>
      <c r="LZ258" s="1"/>
      <c r="MA258" s="1"/>
      <c r="MB258" s="1"/>
      <c r="MC258" s="1"/>
      <c r="MD258" s="1"/>
      <c r="ME258" s="1"/>
      <c r="MF258" s="1"/>
      <c r="MG258" s="1"/>
      <c r="MH258" s="1"/>
      <c r="MI258" s="1"/>
      <c r="MJ258" s="1"/>
      <c r="MK258" s="1"/>
      <c r="ML258" s="1"/>
      <c r="MM258" s="1"/>
      <c r="MN258" s="1"/>
      <c r="MO258" s="1"/>
      <c r="MP258" s="1"/>
      <c r="MQ258" s="1"/>
      <c r="MR258" s="1"/>
      <c r="MS258" s="1"/>
      <c r="MT258" s="1"/>
      <c r="MU258" s="1"/>
      <c r="MV258" s="1"/>
      <c r="MW258" s="1"/>
      <c r="MX258" s="1"/>
      <c r="MY258" s="1"/>
      <c r="MZ258" s="1"/>
      <c r="NA258" s="1"/>
      <c r="NB258" s="1"/>
      <c r="NC258" s="1"/>
      <c r="ND258" s="1"/>
      <c r="NE258" s="1"/>
      <c r="NF258" s="1"/>
      <c r="NG258" s="1"/>
      <c r="NH258" s="1"/>
      <c r="NI258" s="1"/>
      <c r="NJ258" s="1"/>
      <c r="NK258" s="1"/>
      <c r="NL258" s="1"/>
      <c r="NM258" s="1"/>
      <c r="NN258" s="1"/>
      <c r="NO258" s="1"/>
      <c r="NP258" s="1"/>
      <c r="NQ258" s="1"/>
      <c r="NR258" s="1"/>
      <c r="NS258" s="1"/>
      <c r="NT258" s="1"/>
      <c r="NU258" s="1"/>
      <c r="NV258" s="1"/>
      <c r="NW258" s="1"/>
      <c r="NX258" s="1"/>
      <c r="NY258" s="1"/>
      <c r="NZ258" s="1"/>
      <c r="OA258" s="1"/>
      <c r="OB258" s="1"/>
      <c r="OC258" s="1"/>
      <c r="OD258" s="1"/>
      <c r="OE258" s="1"/>
      <c r="OF258" s="1"/>
      <c r="OG258" s="1"/>
      <c r="OH258" s="1"/>
      <c r="OI258" s="1"/>
      <c r="OJ258" s="1"/>
      <c r="OK258" s="1"/>
      <c r="OL258" s="1"/>
      <c r="OM258" s="1"/>
      <c r="ON258" s="1"/>
      <c r="OO258" s="1"/>
      <c r="OP258" s="1"/>
      <c r="OQ258" s="1"/>
      <c r="OR258" s="1"/>
      <c r="OS258" s="1"/>
      <c r="OT258" s="1"/>
      <c r="OU258" s="1"/>
      <c r="OV258" s="1"/>
      <c r="OW258" s="1"/>
      <c r="OX258" s="1"/>
      <c r="OY258" s="1"/>
      <c r="OZ258" s="1"/>
      <c r="PA258" s="1"/>
      <c r="PB258" s="1"/>
      <c r="PC258" s="1"/>
      <c r="PD258" s="1"/>
      <c r="PE258" s="1"/>
      <c r="PF258" s="1"/>
      <c r="PG258" s="1"/>
      <c r="PH258" s="1"/>
      <c r="PI258" s="1"/>
      <c r="PJ258" s="1"/>
      <c r="PK258" s="1"/>
      <c r="PL258" s="1"/>
      <c r="PM258" s="1"/>
      <c r="PN258" s="1"/>
      <c r="PO258" s="1"/>
      <c r="PP258" s="1"/>
      <c r="PQ258" s="1"/>
      <c r="PR258" s="1"/>
      <c r="PS258" s="1"/>
      <c r="PT258" s="1"/>
      <c r="PU258" s="1"/>
      <c r="PV258" s="1"/>
      <c r="PW258" s="1"/>
      <c r="PX258" s="1"/>
      <c r="PY258" s="1"/>
      <c r="PZ258" s="1"/>
      <c r="QA258" s="1"/>
      <c r="QB258" s="1"/>
      <c r="QC258" s="1"/>
      <c r="QD258" s="1"/>
      <c r="QE258" s="1"/>
      <c r="QF258" s="1"/>
      <c r="QG258" s="1"/>
      <c r="QH258" s="1"/>
      <c r="QI258" s="1"/>
      <c r="QJ258" s="1"/>
      <c r="QK258" s="1"/>
      <c r="QL258" s="1"/>
      <c r="QM258" s="1"/>
      <c r="QN258" s="1"/>
      <c r="QO258" s="1"/>
      <c r="QP258" s="1"/>
      <c r="QQ258" s="1"/>
      <c r="QR258" s="1"/>
      <c r="QS258" s="1"/>
      <c r="QT258" s="1"/>
      <c r="QU258" s="1"/>
      <c r="QV258" s="1"/>
      <c r="QW258" s="1"/>
      <c r="QX258" s="1"/>
      <c r="QY258" s="1"/>
      <c r="QZ258" s="1"/>
      <c r="RA258" s="1"/>
      <c r="RB258" s="1"/>
      <c r="RC258" s="1"/>
      <c r="RD258" s="1"/>
      <c r="RE258" s="1"/>
      <c r="RF258" s="1"/>
      <c r="RG258" s="1"/>
      <c r="RH258" s="1"/>
      <c r="RI258" s="1"/>
      <c r="RJ258" s="1"/>
      <c r="RK258" s="1"/>
      <c r="RL258" s="1"/>
      <c r="RM258" s="1"/>
      <c r="RN258" s="1"/>
      <c r="RO258" s="1"/>
      <c r="RP258" s="1"/>
      <c r="RQ258" s="1"/>
      <c r="RR258" s="1"/>
      <c r="RS258" s="1"/>
      <c r="RT258" s="1"/>
      <c r="RU258" s="1"/>
      <c r="RV258" s="1"/>
      <c r="RW258" s="1"/>
      <c r="RX258" s="1"/>
      <c r="RY258" s="1"/>
      <c r="RZ258" s="1"/>
      <c r="SA258" s="1"/>
      <c r="SB258" s="1"/>
      <c r="SC258" s="1"/>
      <c r="SD258" s="1"/>
      <c r="SE258" s="1"/>
      <c r="SF258" s="1"/>
      <c r="SG258" s="1"/>
      <c r="SH258" s="1"/>
      <c r="SI258" s="1"/>
      <c r="SJ258" s="1"/>
      <c r="SK258" s="1"/>
      <c r="SL258" s="1"/>
      <c r="SM258" s="1"/>
      <c r="SN258" s="1"/>
      <c r="SO258" s="1"/>
      <c r="SP258" s="1"/>
      <c r="SQ258" s="1"/>
      <c r="SR258" s="1"/>
      <c r="SS258" s="1"/>
      <c r="ST258" s="1"/>
      <c r="SU258" s="1"/>
      <c r="SV258" s="1"/>
      <c r="SW258" s="1"/>
      <c r="SX258" s="1"/>
      <c r="SY258" s="1"/>
      <c r="SZ258" s="1"/>
      <c r="TA258" s="1"/>
      <c r="TB258" s="1"/>
      <c r="TC258" s="1"/>
      <c r="TD258" s="1"/>
      <c r="TE258" s="1"/>
      <c r="TF258" s="1"/>
      <c r="TG258" s="1"/>
      <c r="TH258" s="1"/>
      <c r="TI258" s="1"/>
      <c r="TJ258" s="1"/>
      <c r="TK258" s="1"/>
      <c r="TL258" s="1"/>
      <c r="TM258" s="1"/>
      <c r="TN258" s="1"/>
      <c r="TO258" s="1"/>
      <c r="TP258" s="1"/>
      <c r="TQ258" s="1"/>
      <c r="TR258" s="1"/>
      <c r="TS258" s="1"/>
      <c r="TT258" s="1"/>
      <c r="TU258" s="1"/>
      <c r="TV258" s="1"/>
      <c r="TW258" s="1"/>
      <c r="TX258" s="1"/>
      <c r="TY258" s="1"/>
      <c r="TZ258" s="1"/>
      <c r="UA258" s="1"/>
      <c r="UB258" s="1"/>
      <c r="UC258" s="1"/>
      <c r="UD258" s="1"/>
      <c r="UE258" s="1"/>
      <c r="UF258" s="1"/>
      <c r="UG258" s="1"/>
      <c r="UH258" s="1"/>
      <c r="UI258" s="1"/>
      <c r="UJ258" s="1"/>
      <c r="UK258" s="1"/>
      <c r="UL258" s="1"/>
      <c r="UM258" s="1"/>
      <c r="UN258" s="1"/>
      <c r="UO258" s="1"/>
      <c r="UP258" s="1"/>
      <c r="UQ258" s="1"/>
      <c r="UR258" s="1"/>
      <c r="US258" s="1"/>
      <c r="UT258" s="1"/>
      <c r="UU258" s="1"/>
      <c r="UV258" s="1"/>
      <c r="UW258" s="1"/>
      <c r="UX258" s="1"/>
      <c r="UY258" s="1"/>
      <c r="UZ258" s="1"/>
      <c r="VA258" s="1"/>
      <c r="VB258" s="1"/>
      <c r="VC258" s="1"/>
      <c r="VD258" s="1"/>
      <c r="VE258" s="1"/>
      <c r="VF258" s="1"/>
      <c r="VG258" s="1"/>
      <c r="VH258" s="1"/>
      <c r="VI258" s="1"/>
      <c r="VJ258" s="1"/>
      <c r="VK258" s="1"/>
      <c r="VL258" s="1"/>
      <c r="VM258" s="1"/>
      <c r="VN258" s="1"/>
      <c r="VO258" s="1"/>
      <c r="VP258" s="1"/>
      <c r="VQ258" s="1"/>
      <c r="VR258" s="1"/>
      <c r="VS258" s="1"/>
      <c r="VT258" s="1"/>
      <c r="VU258" s="1"/>
      <c r="VV258" s="1"/>
      <c r="VW258" s="1"/>
      <c r="VX258" s="1"/>
      <c r="VY258" s="1"/>
      <c r="VZ258" s="1"/>
      <c r="WA258" s="1"/>
      <c r="WB258" s="1"/>
      <c r="WC258" s="1"/>
      <c r="WD258" s="1"/>
      <c r="WE258" s="1"/>
      <c r="WF258" s="1"/>
      <c r="WG258" s="1"/>
      <c r="WH258" s="1"/>
      <c r="WI258" s="1"/>
      <c r="WJ258" s="1"/>
      <c r="WK258" s="1"/>
      <c r="WL258" s="1"/>
      <c r="WM258" s="1"/>
      <c r="WN258" s="1"/>
      <c r="WO258" s="1"/>
      <c r="WP258" s="1"/>
      <c r="WQ258" s="1"/>
      <c r="WR258" s="1"/>
      <c r="WS258" s="1"/>
      <c r="WT258" s="1"/>
      <c r="WU258" s="1"/>
      <c r="WV258" s="1"/>
      <c r="WW258" s="1"/>
      <c r="WX258" s="1"/>
      <c r="WY258" s="1"/>
      <c r="WZ258" s="1"/>
      <c r="XA258" s="1"/>
      <c r="XB258" s="1"/>
      <c r="XC258" s="1"/>
      <c r="XD258" s="1"/>
      <c r="XE258" s="1"/>
      <c r="XF258" s="1"/>
      <c r="XG258" s="1"/>
      <c r="XH258" s="1"/>
      <c r="XI258" s="1"/>
      <c r="XJ258" s="1"/>
      <c r="XK258" s="1"/>
      <c r="XL258" s="1"/>
      <c r="XM258" s="1"/>
      <c r="XN258" s="1"/>
      <c r="XO258" s="1"/>
      <c r="XP258" s="1"/>
      <c r="XQ258" s="1"/>
      <c r="XR258" s="1"/>
      <c r="XS258" s="1"/>
      <c r="XT258" s="1"/>
      <c r="XU258" s="1"/>
      <c r="XV258" s="1"/>
      <c r="XW258" s="1"/>
      <c r="XX258" s="1"/>
      <c r="XY258" s="1"/>
      <c r="XZ258" s="1"/>
      <c r="YA258" s="1"/>
      <c r="YB258" s="1"/>
      <c r="YC258" s="1"/>
      <c r="YD258" s="1"/>
      <c r="YE258" s="1"/>
      <c r="YF258" s="1"/>
      <c r="YG258" s="1"/>
      <c r="YH258" s="1"/>
      <c r="YI258" s="1"/>
      <c r="YJ258" s="1"/>
      <c r="YK258" s="1"/>
      <c r="YL258" s="1"/>
      <c r="YM258" s="1"/>
      <c r="YN258" s="1"/>
      <c r="YO258" s="1"/>
      <c r="YP258" s="1"/>
      <c r="YQ258" s="1"/>
      <c r="YR258" s="1"/>
      <c r="YS258" s="1"/>
      <c r="YT258" s="1"/>
      <c r="YU258" s="1"/>
      <c r="YV258" s="1"/>
      <c r="YW258" s="1"/>
      <c r="YX258" s="1"/>
      <c r="YY258" s="1"/>
      <c r="YZ258" s="1"/>
      <c r="ZA258" s="1"/>
      <c r="ZB258" s="1"/>
      <c r="ZC258" s="1"/>
      <c r="ZD258" s="1"/>
      <c r="ZE258" s="1"/>
      <c r="ZF258" s="1"/>
      <c r="ZG258" s="1"/>
      <c r="ZH258" s="1"/>
      <c r="ZI258" s="1"/>
      <c r="ZJ258" s="1"/>
      <c r="ZK258" s="1"/>
      <c r="ZL258" s="1"/>
      <c r="ZM258" s="1"/>
      <c r="ZN258" s="1"/>
      <c r="ZO258" s="1"/>
      <c r="ZP258" s="1"/>
      <c r="ZQ258" s="1"/>
      <c r="ZR258" s="1"/>
      <c r="ZS258" s="1"/>
      <c r="ZT258" s="1"/>
      <c r="ZU258" s="1"/>
      <c r="ZV258" s="1"/>
      <c r="ZW258" s="1"/>
      <c r="ZX258" s="1"/>
      <c r="ZY258" s="1"/>
      <c r="ZZ258" s="1"/>
      <c r="AAA258" s="1"/>
      <c r="AAB258" s="1"/>
      <c r="AAC258" s="1"/>
      <c r="AAD258" s="1"/>
      <c r="AAE258" s="1"/>
      <c r="AAF258" s="1"/>
      <c r="AAG258" s="1"/>
      <c r="AAH258" s="1"/>
      <c r="AAI258" s="1"/>
      <c r="AAJ258" s="1"/>
      <c r="AAK258" s="1"/>
      <c r="AAL258" s="1"/>
      <c r="AAM258" s="1"/>
      <c r="AAN258" s="1"/>
      <c r="AAO258" s="1"/>
      <c r="AAP258" s="1"/>
      <c r="AAQ258" s="1"/>
      <c r="AAR258" s="1"/>
      <c r="AAS258" s="1"/>
      <c r="AAT258" s="1"/>
      <c r="AAU258" s="1"/>
      <c r="AAV258" s="1"/>
      <c r="AAW258" s="1"/>
      <c r="AAX258" s="1"/>
      <c r="AAY258" s="1"/>
      <c r="AAZ258" s="1"/>
      <c r="ABA258" s="1"/>
      <c r="ABB258" s="1"/>
      <c r="ABC258" s="1"/>
      <c r="ABD258" s="1"/>
      <c r="ABE258" s="1"/>
      <c r="ABF258" s="1"/>
      <c r="ABG258" s="1"/>
      <c r="ABH258" s="1"/>
      <c r="ABI258" s="1"/>
      <c r="ABJ258" s="1"/>
      <c r="ABK258" s="1"/>
      <c r="ABL258" s="1"/>
      <c r="ABM258" s="1"/>
      <c r="ABN258" s="1"/>
      <c r="ABO258" s="1"/>
      <c r="ABP258" s="1"/>
      <c r="ABQ258" s="1"/>
      <c r="ABR258" s="1"/>
      <c r="ABS258" s="1"/>
      <c r="ABT258" s="1"/>
      <c r="ABU258" s="1"/>
      <c r="ABV258" s="1"/>
      <c r="ABW258" s="1"/>
      <c r="ABX258" s="1"/>
      <c r="ABY258" s="1"/>
      <c r="ABZ258" s="1"/>
      <c r="ACA258" s="1"/>
      <c r="ACB258" s="1"/>
      <c r="ACC258" s="1"/>
      <c r="ACD258" s="1"/>
      <c r="ACE258" s="1"/>
      <c r="ACF258" s="1"/>
      <c r="ACG258" s="1"/>
      <c r="ACH258" s="1"/>
      <c r="ACI258" s="1"/>
      <c r="ACJ258" s="1"/>
      <c r="ACK258" s="1"/>
      <c r="ACL258" s="1"/>
      <c r="ACM258" s="1"/>
      <c r="ACN258" s="1"/>
      <c r="ACO258" s="1"/>
      <c r="ACP258" s="1"/>
      <c r="ACQ258" s="1"/>
      <c r="ACR258" s="1"/>
      <c r="ACS258" s="1"/>
      <c r="ACT258" s="1"/>
      <c r="ACU258" s="1"/>
      <c r="ACV258" s="1"/>
      <c r="ACW258" s="1"/>
      <c r="ACX258" s="1"/>
      <c r="ACY258" s="1"/>
      <c r="ACZ258" s="1"/>
      <c r="ADA258" s="1"/>
      <c r="ADB258" s="1"/>
      <c r="ADC258" s="1"/>
      <c r="ADD258" s="1"/>
      <c r="ADE258" s="1"/>
      <c r="ADF258" s="1"/>
      <c r="ADG258" s="1"/>
      <c r="ADH258" s="1"/>
      <c r="ADI258" s="1"/>
      <c r="ADJ258" s="1"/>
      <c r="ADK258" s="1"/>
      <c r="ADL258" s="1"/>
      <c r="ADM258" s="1"/>
      <c r="ADN258" s="1"/>
      <c r="ADO258" s="1"/>
      <c r="ADP258" s="1"/>
      <c r="ADQ258" s="1"/>
      <c r="ADR258" s="1"/>
      <c r="ADS258" s="1"/>
      <c r="ADT258" s="1"/>
      <c r="ADU258" s="1"/>
      <c r="ADV258" s="1"/>
      <c r="ADW258" s="1"/>
      <c r="ADX258" s="1"/>
      <c r="ADY258" s="1"/>
      <c r="ADZ258" s="1"/>
      <c r="AEA258" s="1"/>
      <c r="AEB258" s="1"/>
      <c r="AEC258" s="1"/>
      <c r="AED258" s="1"/>
      <c r="AEE258" s="1"/>
      <c r="AEF258" s="1"/>
      <c r="AEG258" s="1"/>
      <c r="AEH258" s="1"/>
      <c r="AEI258" s="1"/>
      <c r="AEJ258" s="1"/>
      <c r="AEK258" s="1"/>
      <c r="AEL258" s="1"/>
      <c r="AEM258" s="1"/>
      <c r="AEN258" s="1"/>
      <c r="AEO258" s="1"/>
      <c r="AEP258" s="1"/>
      <c r="AEQ258" s="1"/>
      <c r="AER258" s="1"/>
      <c r="AES258" s="1"/>
      <c r="AET258" s="1"/>
      <c r="AEU258" s="1"/>
      <c r="AEV258" s="1"/>
      <c r="AEW258" s="1"/>
      <c r="AEX258" s="1"/>
      <c r="AEY258" s="1"/>
      <c r="AEZ258" s="1"/>
      <c r="AFA258" s="1"/>
      <c r="AFB258" s="1"/>
      <c r="AFC258" s="1"/>
      <c r="AFD258" s="1"/>
      <c r="AFE258" s="1"/>
      <c r="AFF258" s="1"/>
      <c r="AFG258" s="1"/>
      <c r="AFH258" s="1"/>
      <c r="AFI258" s="1"/>
      <c r="AFJ258" s="1"/>
      <c r="AFK258" s="1"/>
      <c r="AFL258" s="1"/>
      <c r="AFM258" s="1"/>
      <c r="AFN258" s="1"/>
      <c r="AFO258" s="1"/>
      <c r="AFP258" s="1"/>
      <c r="AFQ258" s="1"/>
      <c r="AFR258" s="1"/>
      <c r="AFS258" s="1"/>
      <c r="AFT258" s="1"/>
      <c r="AFU258" s="1"/>
      <c r="AFV258" s="1"/>
      <c r="AFW258" s="1"/>
      <c r="AFX258" s="1"/>
      <c r="AFY258" s="1"/>
      <c r="AFZ258" s="1"/>
      <c r="AGA258" s="1"/>
      <c r="AGB258" s="1"/>
      <c r="AGC258" s="1"/>
      <c r="AGD258" s="1"/>
      <c r="AGE258" s="1"/>
      <c r="AGF258" s="1"/>
      <c r="AGG258" s="1"/>
      <c r="AGH258" s="1"/>
      <c r="AGI258" s="1"/>
      <c r="AGJ258" s="1"/>
      <c r="AGK258" s="1"/>
      <c r="AGL258" s="1"/>
      <c r="AGM258" s="1"/>
      <c r="AGN258" s="1"/>
      <c r="AGO258" s="1"/>
      <c r="AGP258" s="1"/>
      <c r="AGQ258" s="1"/>
      <c r="AGR258" s="1"/>
      <c r="AGS258" s="1"/>
      <c r="AGT258" s="1"/>
      <c r="AGU258" s="1"/>
      <c r="AGV258" s="1"/>
      <c r="AGW258" s="1"/>
      <c r="AGX258" s="1"/>
      <c r="AGY258" s="1"/>
      <c r="AGZ258" s="1"/>
      <c r="AHA258" s="1"/>
      <c r="AHB258" s="1"/>
      <c r="AHC258" s="1"/>
      <c r="AHD258" s="1"/>
      <c r="AHE258" s="1"/>
      <c r="AHF258" s="1"/>
      <c r="AHG258" s="1"/>
      <c r="AHH258" s="1"/>
      <c r="AHI258" s="1"/>
      <c r="AHJ258" s="1"/>
      <c r="AHK258" s="1"/>
      <c r="AHL258" s="1"/>
      <c r="AHM258" s="1"/>
      <c r="AHN258" s="1"/>
      <c r="AHO258" s="1"/>
      <c r="AHP258" s="1"/>
      <c r="AHQ258" s="1"/>
      <c r="AHR258" s="1"/>
      <c r="AHS258" s="1"/>
      <c r="AHT258" s="1"/>
      <c r="AHU258" s="1"/>
      <c r="AHV258" s="1"/>
      <c r="AHW258" s="1"/>
      <c r="AHX258" s="1"/>
      <c r="AHY258" s="1"/>
    </row>
    <row r="259" spans="1:909" s="5" customFormat="1" ht="21.6" thickTop="1">
      <c r="A259" s="9"/>
      <c r="B259" s="9" t="s">
        <v>142</v>
      </c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1"/>
      <c r="KG259" s="1"/>
      <c r="KH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/>
      <c r="KS259" s="1"/>
      <c r="KT259" s="1"/>
      <c r="KU259" s="1"/>
      <c r="KV259" s="1"/>
      <c r="KW259" s="1"/>
      <c r="KX259" s="1"/>
      <c r="KY259" s="1"/>
      <c r="KZ259" s="1"/>
      <c r="LA259" s="1"/>
      <c r="LB259" s="1"/>
      <c r="LC259" s="1"/>
      <c r="LD259" s="1"/>
      <c r="LE259" s="1"/>
      <c r="LF259" s="1"/>
      <c r="LG259" s="1"/>
      <c r="LH259" s="1"/>
      <c r="LI259" s="1"/>
      <c r="LJ259" s="1"/>
      <c r="LK259" s="1"/>
      <c r="LL259" s="1"/>
      <c r="LM259" s="1"/>
      <c r="LN259" s="1"/>
      <c r="LO259" s="1"/>
      <c r="LP259" s="1"/>
      <c r="LQ259" s="1"/>
      <c r="LR259" s="1"/>
      <c r="LS259" s="1"/>
      <c r="LT259" s="1"/>
      <c r="LU259" s="1"/>
      <c r="LV259" s="1"/>
      <c r="LW259" s="1"/>
      <c r="LX259" s="1"/>
      <c r="LY259" s="1"/>
      <c r="LZ259" s="1"/>
      <c r="MA259" s="1"/>
      <c r="MB259" s="1"/>
      <c r="MC259" s="1"/>
      <c r="MD259" s="1"/>
      <c r="ME259" s="1"/>
      <c r="MF259" s="1"/>
      <c r="MG259" s="1"/>
      <c r="MH259" s="1"/>
      <c r="MI259" s="1"/>
      <c r="MJ259" s="1"/>
      <c r="MK259" s="1"/>
      <c r="ML259" s="1"/>
      <c r="MM259" s="1"/>
      <c r="MN259" s="1"/>
      <c r="MO259" s="1"/>
      <c r="MP259" s="1"/>
      <c r="MQ259" s="1"/>
      <c r="MR259" s="1"/>
      <c r="MS259" s="1"/>
      <c r="MT259" s="1"/>
      <c r="MU259" s="1"/>
      <c r="MV259" s="1"/>
      <c r="MW259" s="1"/>
      <c r="MX259" s="1"/>
      <c r="MY259" s="1"/>
      <c r="MZ259" s="1"/>
      <c r="NA259" s="1"/>
      <c r="NB259" s="1"/>
      <c r="NC259" s="1"/>
      <c r="ND259" s="1"/>
      <c r="NE259" s="1"/>
      <c r="NF259" s="1"/>
      <c r="NG259" s="1"/>
      <c r="NH259" s="1"/>
      <c r="NI259" s="1"/>
      <c r="NJ259" s="1"/>
      <c r="NK259" s="1"/>
      <c r="NL259" s="1"/>
      <c r="NM259" s="1"/>
      <c r="NN259" s="1"/>
      <c r="NO259" s="1"/>
      <c r="NP259" s="1"/>
      <c r="NQ259" s="1"/>
      <c r="NR259" s="1"/>
      <c r="NS259" s="1"/>
      <c r="NT259" s="1"/>
      <c r="NU259" s="1"/>
      <c r="NV259" s="1"/>
      <c r="NW259" s="1"/>
      <c r="NX259" s="1"/>
      <c r="NY259" s="1"/>
      <c r="NZ259" s="1"/>
      <c r="OA259" s="1"/>
      <c r="OB259" s="1"/>
      <c r="OC259" s="1"/>
      <c r="OD259" s="1"/>
      <c r="OE259" s="1"/>
      <c r="OF259" s="1"/>
      <c r="OG259" s="1"/>
      <c r="OH259" s="1"/>
      <c r="OI259" s="1"/>
      <c r="OJ259" s="1"/>
      <c r="OK259" s="1"/>
      <c r="OL259" s="1"/>
      <c r="OM259" s="1"/>
      <c r="ON259" s="1"/>
      <c r="OO259" s="1"/>
      <c r="OP259" s="1"/>
      <c r="OQ259" s="1"/>
      <c r="OR259" s="1"/>
      <c r="OS259" s="1"/>
      <c r="OT259" s="1"/>
      <c r="OU259" s="1"/>
      <c r="OV259" s="1"/>
      <c r="OW259" s="1"/>
      <c r="OX259" s="1"/>
      <c r="OY259" s="1"/>
      <c r="OZ259" s="1"/>
      <c r="PA259" s="1"/>
      <c r="PB259" s="1"/>
      <c r="PC259" s="1"/>
      <c r="PD259" s="1"/>
      <c r="PE259" s="1"/>
      <c r="PF259" s="1"/>
      <c r="PG259" s="1"/>
      <c r="PH259" s="1"/>
      <c r="PI259" s="1"/>
      <c r="PJ259" s="1"/>
      <c r="PK259" s="1"/>
      <c r="PL259" s="1"/>
      <c r="PM259" s="1"/>
      <c r="PN259" s="1"/>
      <c r="PO259" s="1"/>
      <c r="PP259" s="1"/>
      <c r="PQ259" s="1"/>
      <c r="PR259" s="1"/>
      <c r="PS259" s="1"/>
      <c r="PT259" s="1"/>
      <c r="PU259" s="1"/>
      <c r="PV259" s="1"/>
      <c r="PW259" s="1"/>
      <c r="PX259" s="1"/>
      <c r="PY259" s="1"/>
      <c r="PZ259" s="1"/>
      <c r="QA259" s="1"/>
      <c r="QB259" s="1"/>
      <c r="QC259" s="1"/>
      <c r="QD259" s="1"/>
      <c r="QE259" s="1"/>
      <c r="QF259" s="1"/>
      <c r="QG259" s="1"/>
      <c r="QH259" s="1"/>
      <c r="QI259" s="1"/>
      <c r="QJ259" s="1"/>
      <c r="QK259" s="1"/>
      <c r="QL259" s="1"/>
      <c r="QM259" s="1"/>
      <c r="QN259" s="1"/>
      <c r="QO259" s="1"/>
      <c r="QP259" s="1"/>
      <c r="QQ259" s="1"/>
      <c r="QR259" s="1"/>
      <c r="QS259" s="1"/>
      <c r="QT259" s="1"/>
      <c r="QU259" s="1"/>
      <c r="QV259" s="1"/>
      <c r="QW259" s="1"/>
      <c r="QX259" s="1"/>
      <c r="QY259" s="1"/>
      <c r="QZ259" s="1"/>
      <c r="RA259" s="1"/>
      <c r="RB259" s="1"/>
      <c r="RC259" s="1"/>
      <c r="RD259" s="1"/>
      <c r="RE259" s="1"/>
      <c r="RF259" s="1"/>
      <c r="RG259" s="1"/>
      <c r="RH259" s="1"/>
      <c r="RI259" s="1"/>
      <c r="RJ259" s="1"/>
      <c r="RK259" s="1"/>
      <c r="RL259" s="1"/>
      <c r="RM259" s="1"/>
      <c r="RN259" s="1"/>
      <c r="RO259" s="1"/>
      <c r="RP259" s="1"/>
      <c r="RQ259" s="1"/>
      <c r="RR259" s="1"/>
      <c r="RS259" s="1"/>
      <c r="RT259" s="1"/>
      <c r="RU259" s="1"/>
      <c r="RV259" s="1"/>
      <c r="RW259" s="1"/>
      <c r="RX259" s="1"/>
      <c r="RY259" s="1"/>
      <c r="RZ259" s="1"/>
      <c r="SA259" s="1"/>
      <c r="SB259" s="1"/>
      <c r="SC259" s="1"/>
      <c r="SD259" s="1"/>
      <c r="SE259" s="1"/>
      <c r="SF259" s="1"/>
      <c r="SG259" s="1"/>
      <c r="SH259" s="1"/>
      <c r="SI259" s="1"/>
      <c r="SJ259" s="1"/>
      <c r="SK259" s="1"/>
      <c r="SL259" s="1"/>
      <c r="SM259" s="1"/>
      <c r="SN259" s="1"/>
      <c r="SO259" s="1"/>
      <c r="SP259" s="1"/>
      <c r="SQ259" s="1"/>
      <c r="SR259" s="1"/>
      <c r="SS259" s="1"/>
      <c r="ST259" s="1"/>
      <c r="SU259" s="1"/>
      <c r="SV259" s="1"/>
      <c r="SW259" s="1"/>
      <c r="SX259" s="1"/>
      <c r="SY259" s="1"/>
      <c r="SZ259" s="1"/>
      <c r="TA259" s="1"/>
      <c r="TB259" s="1"/>
      <c r="TC259" s="1"/>
      <c r="TD259" s="1"/>
      <c r="TE259" s="1"/>
      <c r="TF259" s="1"/>
      <c r="TG259" s="1"/>
      <c r="TH259" s="1"/>
      <c r="TI259" s="1"/>
      <c r="TJ259" s="1"/>
      <c r="TK259" s="1"/>
      <c r="TL259" s="1"/>
      <c r="TM259" s="1"/>
      <c r="TN259" s="1"/>
      <c r="TO259" s="1"/>
      <c r="TP259" s="1"/>
      <c r="TQ259" s="1"/>
      <c r="TR259" s="1"/>
      <c r="TS259" s="1"/>
      <c r="TT259" s="1"/>
      <c r="TU259" s="1"/>
      <c r="TV259" s="1"/>
      <c r="TW259" s="1"/>
      <c r="TX259" s="1"/>
      <c r="TY259" s="1"/>
      <c r="TZ259" s="1"/>
      <c r="UA259" s="1"/>
      <c r="UB259" s="1"/>
      <c r="UC259" s="1"/>
      <c r="UD259" s="1"/>
      <c r="UE259" s="1"/>
      <c r="UF259" s="1"/>
      <c r="UG259" s="1"/>
      <c r="UH259" s="1"/>
      <c r="UI259" s="1"/>
      <c r="UJ259" s="1"/>
      <c r="UK259" s="1"/>
      <c r="UL259" s="1"/>
      <c r="UM259" s="1"/>
      <c r="UN259" s="1"/>
      <c r="UO259" s="1"/>
      <c r="UP259" s="1"/>
      <c r="UQ259" s="1"/>
      <c r="UR259" s="1"/>
      <c r="US259" s="1"/>
      <c r="UT259" s="1"/>
      <c r="UU259" s="1"/>
      <c r="UV259" s="1"/>
      <c r="UW259" s="1"/>
      <c r="UX259" s="1"/>
      <c r="UY259" s="1"/>
      <c r="UZ259" s="1"/>
      <c r="VA259" s="1"/>
      <c r="VB259" s="1"/>
      <c r="VC259" s="1"/>
      <c r="VD259" s="1"/>
      <c r="VE259" s="1"/>
      <c r="VF259" s="1"/>
      <c r="VG259" s="1"/>
      <c r="VH259" s="1"/>
      <c r="VI259" s="1"/>
      <c r="VJ259" s="1"/>
      <c r="VK259" s="1"/>
      <c r="VL259" s="1"/>
      <c r="VM259" s="1"/>
      <c r="VN259" s="1"/>
      <c r="VO259" s="1"/>
      <c r="VP259" s="1"/>
      <c r="VQ259" s="1"/>
      <c r="VR259" s="1"/>
      <c r="VS259" s="1"/>
      <c r="VT259" s="1"/>
      <c r="VU259" s="1"/>
      <c r="VV259" s="1"/>
      <c r="VW259" s="1"/>
      <c r="VX259" s="1"/>
      <c r="VY259" s="1"/>
      <c r="VZ259" s="1"/>
      <c r="WA259" s="1"/>
      <c r="WB259" s="1"/>
      <c r="WC259" s="1"/>
      <c r="WD259" s="1"/>
      <c r="WE259" s="1"/>
      <c r="WF259" s="1"/>
      <c r="WG259" s="1"/>
      <c r="WH259" s="1"/>
      <c r="WI259" s="1"/>
      <c r="WJ259" s="1"/>
      <c r="WK259" s="1"/>
      <c r="WL259" s="1"/>
      <c r="WM259" s="1"/>
      <c r="WN259" s="1"/>
      <c r="WO259" s="1"/>
      <c r="WP259" s="1"/>
      <c r="WQ259" s="1"/>
      <c r="WR259" s="1"/>
      <c r="WS259" s="1"/>
      <c r="WT259" s="1"/>
      <c r="WU259" s="1"/>
      <c r="WV259" s="1"/>
      <c r="WW259" s="1"/>
      <c r="WX259" s="1"/>
      <c r="WY259" s="1"/>
      <c r="WZ259" s="1"/>
      <c r="XA259" s="1"/>
      <c r="XB259" s="1"/>
      <c r="XC259" s="1"/>
      <c r="XD259" s="1"/>
      <c r="XE259" s="1"/>
      <c r="XF259" s="1"/>
      <c r="XG259" s="1"/>
      <c r="XH259" s="1"/>
      <c r="XI259" s="1"/>
      <c r="XJ259" s="1"/>
      <c r="XK259" s="1"/>
      <c r="XL259" s="1"/>
      <c r="XM259" s="1"/>
      <c r="XN259" s="1"/>
      <c r="XO259" s="1"/>
      <c r="XP259" s="1"/>
      <c r="XQ259" s="1"/>
      <c r="XR259" s="1"/>
      <c r="XS259" s="1"/>
      <c r="XT259" s="1"/>
      <c r="XU259" s="1"/>
      <c r="XV259" s="1"/>
      <c r="XW259" s="1"/>
      <c r="XX259" s="1"/>
      <c r="XY259" s="1"/>
      <c r="XZ259" s="1"/>
      <c r="YA259" s="1"/>
      <c r="YB259" s="1"/>
      <c r="YC259" s="1"/>
      <c r="YD259" s="1"/>
      <c r="YE259" s="1"/>
      <c r="YF259" s="1"/>
      <c r="YG259" s="1"/>
      <c r="YH259" s="1"/>
      <c r="YI259" s="1"/>
      <c r="YJ259" s="1"/>
      <c r="YK259" s="1"/>
      <c r="YL259" s="1"/>
      <c r="YM259" s="1"/>
      <c r="YN259" s="1"/>
      <c r="YO259" s="1"/>
      <c r="YP259" s="1"/>
      <c r="YQ259" s="1"/>
      <c r="YR259" s="1"/>
      <c r="YS259" s="1"/>
      <c r="YT259" s="1"/>
      <c r="YU259" s="1"/>
      <c r="YV259" s="1"/>
      <c r="YW259" s="1"/>
      <c r="YX259" s="1"/>
      <c r="YY259" s="1"/>
      <c r="YZ259" s="1"/>
      <c r="ZA259" s="1"/>
      <c r="ZB259" s="1"/>
      <c r="ZC259" s="1"/>
      <c r="ZD259" s="1"/>
      <c r="ZE259" s="1"/>
      <c r="ZF259" s="1"/>
      <c r="ZG259" s="1"/>
      <c r="ZH259" s="1"/>
      <c r="ZI259" s="1"/>
      <c r="ZJ259" s="1"/>
      <c r="ZK259" s="1"/>
      <c r="ZL259" s="1"/>
      <c r="ZM259" s="1"/>
      <c r="ZN259" s="1"/>
      <c r="ZO259" s="1"/>
      <c r="ZP259" s="1"/>
      <c r="ZQ259" s="1"/>
      <c r="ZR259" s="1"/>
      <c r="ZS259" s="1"/>
      <c r="ZT259" s="1"/>
      <c r="ZU259" s="1"/>
      <c r="ZV259" s="1"/>
      <c r="ZW259" s="1"/>
      <c r="ZX259" s="1"/>
      <c r="ZY259" s="1"/>
      <c r="ZZ259" s="1"/>
      <c r="AAA259" s="1"/>
      <c r="AAB259" s="1"/>
      <c r="AAC259" s="1"/>
      <c r="AAD259" s="1"/>
      <c r="AAE259" s="1"/>
      <c r="AAF259" s="1"/>
      <c r="AAG259" s="1"/>
      <c r="AAH259" s="1"/>
      <c r="AAI259" s="1"/>
      <c r="AAJ259" s="1"/>
      <c r="AAK259" s="1"/>
      <c r="AAL259" s="1"/>
      <c r="AAM259" s="1"/>
      <c r="AAN259" s="1"/>
      <c r="AAO259" s="1"/>
      <c r="AAP259" s="1"/>
      <c r="AAQ259" s="1"/>
      <c r="AAR259" s="1"/>
      <c r="AAS259" s="1"/>
      <c r="AAT259" s="1"/>
      <c r="AAU259" s="1"/>
      <c r="AAV259" s="1"/>
      <c r="AAW259" s="1"/>
      <c r="AAX259" s="1"/>
      <c r="AAY259" s="1"/>
      <c r="AAZ259" s="1"/>
      <c r="ABA259" s="1"/>
      <c r="ABB259" s="1"/>
      <c r="ABC259" s="1"/>
      <c r="ABD259" s="1"/>
      <c r="ABE259" s="1"/>
      <c r="ABF259" s="1"/>
      <c r="ABG259" s="1"/>
      <c r="ABH259" s="1"/>
      <c r="ABI259" s="1"/>
      <c r="ABJ259" s="1"/>
      <c r="ABK259" s="1"/>
      <c r="ABL259" s="1"/>
      <c r="ABM259" s="1"/>
      <c r="ABN259" s="1"/>
      <c r="ABO259" s="1"/>
      <c r="ABP259" s="1"/>
      <c r="ABQ259" s="1"/>
      <c r="ABR259" s="1"/>
      <c r="ABS259" s="1"/>
      <c r="ABT259" s="1"/>
      <c r="ABU259" s="1"/>
      <c r="ABV259" s="1"/>
      <c r="ABW259" s="1"/>
      <c r="ABX259" s="1"/>
      <c r="ABY259" s="1"/>
      <c r="ABZ259" s="1"/>
      <c r="ACA259" s="1"/>
      <c r="ACB259" s="1"/>
      <c r="ACC259" s="1"/>
      <c r="ACD259" s="1"/>
      <c r="ACE259" s="1"/>
      <c r="ACF259" s="1"/>
      <c r="ACG259" s="1"/>
      <c r="ACH259" s="1"/>
      <c r="ACI259" s="1"/>
      <c r="ACJ259" s="1"/>
      <c r="ACK259" s="1"/>
      <c r="ACL259" s="1"/>
      <c r="ACM259" s="1"/>
      <c r="ACN259" s="1"/>
      <c r="ACO259" s="1"/>
      <c r="ACP259" s="1"/>
      <c r="ACQ259" s="1"/>
      <c r="ACR259" s="1"/>
      <c r="ACS259" s="1"/>
      <c r="ACT259" s="1"/>
      <c r="ACU259" s="1"/>
      <c r="ACV259" s="1"/>
      <c r="ACW259" s="1"/>
      <c r="ACX259" s="1"/>
      <c r="ACY259" s="1"/>
      <c r="ACZ259" s="1"/>
      <c r="ADA259" s="1"/>
      <c r="ADB259" s="1"/>
      <c r="ADC259" s="1"/>
      <c r="ADD259" s="1"/>
      <c r="ADE259" s="1"/>
      <c r="ADF259" s="1"/>
      <c r="ADG259" s="1"/>
      <c r="ADH259" s="1"/>
      <c r="ADI259" s="1"/>
      <c r="ADJ259" s="1"/>
      <c r="ADK259" s="1"/>
      <c r="ADL259" s="1"/>
      <c r="ADM259" s="1"/>
      <c r="ADN259" s="1"/>
      <c r="ADO259" s="1"/>
      <c r="ADP259" s="1"/>
      <c r="ADQ259" s="1"/>
      <c r="ADR259" s="1"/>
      <c r="ADS259" s="1"/>
      <c r="ADT259" s="1"/>
      <c r="ADU259" s="1"/>
      <c r="ADV259" s="1"/>
      <c r="ADW259" s="1"/>
      <c r="ADX259" s="1"/>
      <c r="ADY259" s="1"/>
      <c r="ADZ259" s="1"/>
      <c r="AEA259" s="1"/>
      <c r="AEB259" s="1"/>
      <c r="AEC259" s="1"/>
      <c r="AED259" s="1"/>
      <c r="AEE259" s="1"/>
      <c r="AEF259" s="1"/>
      <c r="AEG259" s="1"/>
      <c r="AEH259" s="1"/>
      <c r="AEI259" s="1"/>
      <c r="AEJ259" s="1"/>
      <c r="AEK259" s="1"/>
      <c r="AEL259" s="1"/>
      <c r="AEM259" s="1"/>
      <c r="AEN259" s="1"/>
      <c r="AEO259" s="1"/>
      <c r="AEP259" s="1"/>
      <c r="AEQ259" s="1"/>
      <c r="AER259" s="1"/>
      <c r="AES259" s="1"/>
      <c r="AET259" s="1"/>
      <c r="AEU259" s="1"/>
      <c r="AEV259" s="1"/>
      <c r="AEW259" s="1"/>
      <c r="AEX259" s="1"/>
      <c r="AEY259" s="1"/>
      <c r="AEZ259" s="1"/>
      <c r="AFA259" s="1"/>
      <c r="AFB259" s="1"/>
      <c r="AFC259" s="1"/>
      <c r="AFD259" s="1"/>
      <c r="AFE259" s="1"/>
      <c r="AFF259" s="1"/>
      <c r="AFG259" s="1"/>
      <c r="AFH259" s="1"/>
      <c r="AFI259" s="1"/>
      <c r="AFJ259" s="1"/>
      <c r="AFK259" s="1"/>
      <c r="AFL259" s="1"/>
      <c r="AFM259" s="1"/>
      <c r="AFN259" s="1"/>
      <c r="AFO259" s="1"/>
      <c r="AFP259" s="1"/>
      <c r="AFQ259" s="1"/>
      <c r="AFR259" s="1"/>
      <c r="AFS259" s="1"/>
      <c r="AFT259" s="1"/>
      <c r="AFU259" s="1"/>
      <c r="AFV259" s="1"/>
      <c r="AFW259" s="1"/>
      <c r="AFX259" s="1"/>
      <c r="AFY259" s="1"/>
      <c r="AFZ259" s="1"/>
      <c r="AGA259" s="1"/>
      <c r="AGB259" s="1"/>
      <c r="AGC259" s="1"/>
      <c r="AGD259" s="1"/>
      <c r="AGE259" s="1"/>
      <c r="AGF259" s="1"/>
      <c r="AGG259" s="1"/>
      <c r="AGH259" s="1"/>
      <c r="AGI259" s="1"/>
      <c r="AGJ259" s="1"/>
      <c r="AGK259" s="1"/>
      <c r="AGL259" s="1"/>
      <c r="AGM259" s="1"/>
      <c r="AGN259" s="1"/>
      <c r="AGO259" s="1"/>
      <c r="AGP259" s="1"/>
      <c r="AGQ259" s="1"/>
      <c r="AGR259" s="1"/>
      <c r="AGS259" s="1"/>
      <c r="AGT259" s="1"/>
      <c r="AGU259" s="1"/>
      <c r="AGV259" s="1"/>
      <c r="AGW259" s="1"/>
      <c r="AGX259" s="1"/>
      <c r="AGY259" s="1"/>
      <c r="AGZ259" s="1"/>
      <c r="AHA259" s="1"/>
      <c r="AHB259" s="1"/>
      <c r="AHC259" s="1"/>
      <c r="AHD259" s="1"/>
      <c r="AHE259" s="1"/>
      <c r="AHF259" s="1"/>
      <c r="AHG259" s="1"/>
      <c r="AHH259" s="1"/>
      <c r="AHI259" s="1"/>
      <c r="AHJ259" s="1"/>
      <c r="AHK259" s="1"/>
      <c r="AHL259" s="1"/>
      <c r="AHM259" s="1"/>
      <c r="AHN259" s="1"/>
      <c r="AHO259" s="1"/>
      <c r="AHP259" s="1"/>
      <c r="AHQ259" s="1"/>
      <c r="AHR259" s="1"/>
      <c r="AHS259" s="1"/>
      <c r="AHT259" s="1"/>
      <c r="AHU259" s="1"/>
      <c r="AHV259" s="1"/>
      <c r="AHW259" s="1"/>
      <c r="AHX259" s="1"/>
      <c r="AHY259" s="1"/>
    </row>
    <row r="260" spans="1:909" s="1" customFormat="1" ht="21">
      <c r="A260" s="156" t="s">
        <v>135</v>
      </c>
      <c r="B260" s="156"/>
      <c r="C260" s="156"/>
      <c r="D260" s="156"/>
      <c r="E260" s="156"/>
      <c r="F260" s="156"/>
      <c r="G260" s="156"/>
      <c r="H260" s="156"/>
      <c r="I260" s="156"/>
      <c r="J260" s="156"/>
      <c r="K260" s="156"/>
      <c r="L260" s="156"/>
      <c r="M260" s="156"/>
      <c r="N260" s="156"/>
      <c r="O260" s="156"/>
      <c r="P260" s="156"/>
      <c r="Q260" s="2"/>
    </row>
    <row r="261" spans="1:909" s="1" customFormat="1" ht="21">
      <c r="A261" s="156" t="s">
        <v>136</v>
      </c>
      <c r="B261" s="156"/>
      <c r="C261" s="156"/>
      <c r="D261" s="156"/>
      <c r="E261" s="156"/>
      <c r="F261" s="156"/>
      <c r="G261" s="156"/>
      <c r="H261" s="156"/>
      <c r="I261" s="156"/>
      <c r="J261" s="156"/>
      <c r="K261" s="156"/>
      <c r="L261" s="156"/>
      <c r="M261" s="156"/>
      <c r="N261" s="156"/>
      <c r="O261" s="156"/>
      <c r="P261" s="156"/>
      <c r="Q261" s="156"/>
    </row>
    <row r="262" spans="1:909" s="1" customFormat="1" ht="21">
      <c r="A262" s="189" t="s">
        <v>113</v>
      </c>
      <c r="B262" s="189"/>
      <c r="C262" s="189"/>
      <c r="D262" s="189"/>
      <c r="E262" s="189"/>
      <c r="F262" s="189"/>
      <c r="G262" s="189"/>
      <c r="H262" s="189"/>
      <c r="I262" s="189"/>
      <c r="J262" s="189"/>
      <c r="K262" s="189"/>
      <c r="L262" s="189"/>
      <c r="M262" s="189"/>
      <c r="N262" s="189"/>
      <c r="O262" s="189"/>
      <c r="P262" s="189"/>
    </row>
    <row r="263" spans="1:909" s="1" customFormat="1" ht="21.6" thickBot="1">
      <c r="F263" s="13"/>
      <c r="G263" s="13"/>
      <c r="H263" s="13"/>
      <c r="I263" s="13"/>
      <c r="J263" s="13"/>
      <c r="K263" s="13"/>
    </row>
    <row r="264" spans="1:909" s="1" customFormat="1" ht="22.2" thickTop="1" thickBot="1">
      <c r="A264" s="190"/>
      <c r="B264" s="183" t="s">
        <v>114</v>
      </c>
      <c r="C264" s="192"/>
      <c r="D264" s="183" t="s">
        <v>115</v>
      </c>
      <c r="E264" s="192"/>
      <c r="F264" s="183" t="s">
        <v>116</v>
      </c>
      <c r="G264" s="192"/>
      <c r="H264" s="183" t="s">
        <v>117</v>
      </c>
      <c r="I264" s="192"/>
      <c r="J264" s="183" t="s">
        <v>118</v>
      </c>
      <c r="K264" s="192"/>
      <c r="L264" s="183" t="s">
        <v>119</v>
      </c>
      <c r="M264" s="192"/>
      <c r="N264" s="183" t="s">
        <v>120</v>
      </c>
      <c r="O264" s="184"/>
      <c r="P264" s="185"/>
    </row>
    <row r="265" spans="1:909" s="1" customFormat="1" ht="22.2" thickTop="1" thickBot="1">
      <c r="A265" s="191"/>
      <c r="B265" s="4" t="s">
        <v>76</v>
      </c>
      <c r="C265" s="4" t="s">
        <v>121</v>
      </c>
      <c r="D265" s="4" t="s">
        <v>76</v>
      </c>
      <c r="E265" s="4" t="s">
        <v>121</v>
      </c>
      <c r="F265" s="4" t="s">
        <v>76</v>
      </c>
      <c r="G265" s="4" t="s">
        <v>121</v>
      </c>
      <c r="H265" s="4" t="s">
        <v>76</v>
      </c>
      <c r="I265" s="4" t="s">
        <v>121</v>
      </c>
      <c r="J265" s="4" t="s">
        <v>76</v>
      </c>
      <c r="K265" s="4" t="s">
        <v>121</v>
      </c>
      <c r="L265" s="4" t="s">
        <v>76</v>
      </c>
      <c r="M265" s="4" t="s">
        <v>121</v>
      </c>
      <c r="N265" s="4" t="s">
        <v>76</v>
      </c>
      <c r="O265" s="4" t="s">
        <v>121</v>
      </c>
      <c r="P265" s="14" t="s">
        <v>122</v>
      </c>
    </row>
    <row r="266" spans="1:909" s="1" customFormat="1" ht="22.2" thickTop="1" thickBot="1">
      <c r="A266" s="11" t="s">
        <v>123</v>
      </c>
      <c r="B266" s="4">
        <f>'[1]التعليم الابتدائي'!AP480</f>
        <v>0</v>
      </c>
      <c r="C266" s="4">
        <f>'[1]التعليم الابتدائي'!AQ480</f>
        <v>0</v>
      </c>
      <c r="D266" s="177"/>
      <c r="E266" s="178"/>
      <c r="F266" s="178"/>
      <c r="G266" s="178"/>
      <c r="H266" s="178"/>
      <c r="I266" s="178"/>
      <c r="J266" s="178"/>
      <c r="K266" s="178"/>
      <c r="L266" s="178"/>
      <c r="M266" s="186"/>
      <c r="N266" s="4">
        <f>B266</f>
        <v>0</v>
      </c>
      <c r="O266" s="4">
        <f>C266</f>
        <v>0</v>
      </c>
      <c r="P266" s="14">
        <f t="shared" ref="P266:P276" si="16">O266+N266</f>
        <v>0</v>
      </c>
    </row>
    <row r="267" spans="1:909" s="1" customFormat="1" ht="22.2" thickTop="1" thickBot="1">
      <c r="A267" s="11" t="s">
        <v>124</v>
      </c>
      <c r="B267" s="4">
        <f>'[1]التعليم الابتدائي'!AR480</f>
        <v>0</v>
      </c>
      <c r="C267" s="4">
        <f>'[1]التعليم الابتدائي'!AS480</f>
        <v>0</v>
      </c>
      <c r="D267" s="137"/>
      <c r="E267" s="138"/>
      <c r="F267" s="180"/>
      <c r="G267" s="180"/>
      <c r="H267" s="180"/>
      <c r="I267" s="180"/>
      <c r="J267" s="180"/>
      <c r="K267" s="180"/>
      <c r="L267" s="180"/>
      <c r="M267" s="187"/>
      <c r="N267" s="4">
        <f>B267</f>
        <v>0</v>
      </c>
      <c r="O267" s="4">
        <f>C267</f>
        <v>0</v>
      </c>
      <c r="P267" s="14">
        <f t="shared" si="16"/>
        <v>0</v>
      </c>
    </row>
    <row r="268" spans="1:909" s="1" customFormat="1" ht="22.2" thickTop="1" thickBot="1">
      <c r="A268" s="11" t="s">
        <v>125</v>
      </c>
      <c r="B268" s="4">
        <f>'[1]التعليم الابتدائي'!AT480</f>
        <v>0</v>
      </c>
      <c r="C268" s="4">
        <f>'[1]التعليم الابتدائي'!AU480</f>
        <v>0</v>
      </c>
      <c r="D268" s="4">
        <f>'[1]التعليم الابتدائي'!BE480</f>
        <v>0</v>
      </c>
      <c r="E268" s="4">
        <f>'[1]التعليم الابتدائي'!BF480</f>
        <v>0</v>
      </c>
      <c r="F268" s="138"/>
      <c r="G268" s="138"/>
      <c r="H268" s="180"/>
      <c r="I268" s="180"/>
      <c r="J268" s="180"/>
      <c r="K268" s="180"/>
      <c r="L268" s="180"/>
      <c r="M268" s="187"/>
      <c r="N268" s="4">
        <f>D268+B268</f>
        <v>0</v>
      </c>
      <c r="O268" s="4">
        <f>E268+C268</f>
        <v>0</v>
      </c>
      <c r="P268" s="14">
        <f t="shared" si="16"/>
        <v>0</v>
      </c>
    </row>
    <row r="269" spans="1:909" s="1" customFormat="1" ht="22.2" thickTop="1" thickBot="1">
      <c r="A269" s="11" t="s">
        <v>126</v>
      </c>
      <c r="B269" s="4">
        <f>'[1]التعليم الابتدائي'!AV480</f>
        <v>0</v>
      </c>
      <c r="C269" s="4">
        <f>'[1]التعليم الابتدائي'!AW480</f>
        <v>0</v>
      </c>
      <c r="D269" s="4">
        <f>'[1]التعليم الابتدائي'!BG480</f>
        <v>0</v>
      </c>
      <c r="E269" s="4">
        <f>'[1]التعليم الابتدائي'!BH480</f>
        <v>0</v>
      </c>
      <c r="F269" s="4">
        <f>'[1]التعليم الابتدائي'!BR480</f>
        <v>0</v>
      </c>
      <c r="G269" s="4">
        <f>'[1]التعليم الابتدائي'!BS480</f>
        <v>0</v>
      </c>
      <c r="H269" s="138"/>
      <c r="I269" s="138"/>
      <c r="J269" s="180"/>
      <c r="K269" s="180"/>
      <c r="L269" s="180"/>
      <c r="M269" s="187"/>
      <c r="N269" s="4">
        <f>F269+D269+B269</f>
        <v>0</v>
      </c>
      <c r="O269" s="4">
        <f>G269+E269+C269</f>
        <v>0</v>
      </c>
      <c r="P269" s="14">
        <f t="shared" si="16"/>
        <v>0</v>
      </c>
    </row>
    <row r="270" spans="1:909" s="1" customFormat="1" ht="22.2" thickTop="1" thickBot="1">
      <c r="A270" s="11" t="s">
        <v>106</v>
      </c>
      <c r="B270" s="4">
        <f>'[1]التعليم الابتدائي'!AX480</f>
        <v>0</v>
      </c>
      <c r="C270" s="4">
        <f>'[1]التعليم الابتدائي'!AY480</f>
        <v>0</v>
      </c>
      <c r="D270" s="4">
        <f>'[1]التعليم الابتدائي'!BI480</f>
        <v>0</v>
      </c>
      <c r="E270" s="4">
        <f>'[1]التعليم الابتدائي'!BJ480</f>
        <v>0</v>
      </c>
      <c r="F270" s="4">
        <f>'[1]التعليم الابتدائي'!BT480</f>
        <v>0</v>
      </c>
      <c r="G270" s="4">
        <f>'[1]التعليم الابتدائي'!BU480</f>
        <v>0</v>
      </c>
      <c r="H270" s="4">
        <f>'[1]التعليم الابتدائي'!CE480</f>
        <v>0</v>
      </c>
      <c r="I270" s="4">
        <f>'[1]التعليم الابتدائي'!CF480</f>
        <v>0</v>
      </c>
      <c r="J270" s="138"/>
      <c r="K270" s="138"/>
      <c r="L270" s="180"/>
      <c r="M270" s="187"/>
      <c r="N270" s="4">
        <f>B270+D270+F270+H270</f>
        <v>0</v>
      </c>
      <c r="O270" s="4">
        <f>I270+G270+E270+C270</f>
        <v>0</v>
      </c>
      <c r="P270" s="14">
        <f t="shared" si="16"/>
        <v>0</v>
      </c>
    </row>
    <row r="271" spans="1:909" s="1" customFormat="1" ht="22.2" thickTop="1" thickBot="1">
      <c r="A271" s="11" t="s">
        <v>127</v>
      </c>
      <c r="B271" s="4">
        <f>'[1]التعليم الابتدائي'!AZ480</f>
        <v>0</v>
      </c>
      <c r="C271" s="4">
        <f>'[1]التعليم الابتدائي'!BA480</f>
        <v>0</v>
      </c>
      <c r="D271" s="4">
        <f>'[1]التعليم الابتدائي'!BK480</f>
        <v>0</v>
      </c>
      <c r="E271" s="4">
        <f>'[1]التعليم الابتدائي'!BL480</f>
        <v>0</v>
      </c>
      <c r="F271" s="4">
        <f>'[1]التعليم الابتدائي'!BV480</f>
        <v>0</v>
      </c>
      <c r="G271" s="4">
        <f>'[1]التعليم الابتدائي'!BW480</f>
        <v>0</v>
      </c>
      <c r="H271" s="4">
        <f>'[1]التعليم الابتدائي'!CG480</f>
        <v>0</v>
      </c>
      <c r="I271" s="4">
        <f>'[1]التعليم الابتدائي'!CH480</f>
        <v>0</v>
      </c>
      <c r="J271" s="4">
        <f>'[1]التعليم الابتدائي'!CR480</f>
        <v>0</v>
      </c>
      <c r="K271" s="4">
        <f>'[1]التعليم الابتدائي'!CS480</f>
        <v>0</v>
      </c>
      <c r="L271" s="138"/>
      <c r="M271" s="139"/>
      <c r="N271" s="4">
        <f>B271+D271+F271+H271+J271</f>
        <v>0</v>
      </c>
      <c r="O271" s="4">
        <f>K271+I271+G271+E271+C271</f>
        <v>0</v>
      </c>
      <c r="P271" s="14">
        <f t="shared" si="16"/>
        <v>0</v>
      </c>
    </row>
    <row r="272" spans="1:909" s="1" customFormat="1" ht="22.2" thickTop="1" thickBot="1">
      <c r="A272" s="11" t="s">
        <v>128</v>
      </c>
      <c r="B272" s="177"/>
      <c r="C272" s="178"/>
      <c r="D272" s="4">
        <f>'[1]التعليم الابتدائي'!BM480</f>
        <v>0</v>
      </c>
      <c r="E272" s="4">
        <f>'[1]التعليم الابتدائي'!BN480</f>
        <v>0</v>
      </c>
      <c r="F272" s="4">
        <f>'[1]التعليم الابتدائي'!BX480</f>
        <v>0</v>
      </c>
      <c r="G272" s="4">
        <f>'[1]التعليم الابتدائي'!BY480</f>
        <v>0</v>
      </c>
      <c r="H272" s="4">
        <f>'[1]التعليم الابتدائي'!CI480</f>
        <v>0</v>
      </c>
      <c r="I272" s="4">
        <f>'[1]التعليم الابتدائي'!CJ480</f>
        <v>0</v>
      </c>
      <c r="J272" s="4">
        <f>'[1]التعليم الابتدائي'!CT480</f>
        <v>0</v>
      </c>
      <c r="K272" s="4">
        <f>'[1]التعليم الابتدائي'!CU480</f>
        <v>0</v>
      </c>
      <c r="L272" s="4">
        <f>'[1]التعليم الابتدائي'!DE480</f>
        <v>0</v>
      </c>
      <c r="M272" s="4">
        <f>'[1]التعليم الابتدائي'!DF480</f>
        <v>0</v>
      </c>
      <c r="N272" s="4">
        <f>D272+F272+H272+J272+L272</f>
        <v>0</v>
      </c>
      <c r="O272" s="4">
        <f>M272+K272+I272+G272+E272</f>
        <v>0</v>
      </c>
      <c r="P272" s="14">
        <f t="shared" si="16"/>
        <v>0</v>
      </c>
    </row>
    <row r="273" spans="1:909" s="1" customFormat="1" ht="22.2" thickTop="1" thickBot="1">
      <c r="A273" s="11" t="s">
        <v>129</v>
      </c>
      <c r="B273" s="179"/>
      <c r="C273" s="180"/>
      <c r="D273" s="178"/>
      <c r="E273" s="178"/>
      <c r="F273" s="4">
        <f>'[1]التعليم الابتدائي'!BZ480</f>
        <v>0</v>
      </c>
      <c r="G273" s="4">
        <f>'[1]التعليم الابتدائي'!CA480</f>
        <v>0</v>
      </c>
      <c r="H273" s="4">
        <f>'[1]التعليم الابتدائي'!CK480</f>
        <v>0</v>
      </c>
      <c r="I273" s="4">
        <f>'[1]التعليم الابتدائي'!CL480</f>
        <v>0</v>
      </c>
      <c r="J273" s="4">
        <f>'[1]التعليم الابتدائي'!CV480</f>
        <v>0</v>
      </c>
      <c r="K273" s="4">
        <f>'[1]التعليم الابتدائي'!CW480</f>
        <v>0</v>
      </c>
      <c r="L273" s="4">
        <f>'[1]التعليم الابتدائي'!DG480</f>
        <v>0</v>
      </c>
      <c r="M273" s="4">
        <f>'[1]التعليم الابتدائي'!DH480</f>
        <v>0</v>
      </c>
      <c r="N273" s="4">
        <f>L273+J273+H273+F273</f>
        <v>0</v>
      </c>
      <c r="O273" s="4">
        <f>M273+K273+I273+G273</f>
        <v>0</v>
      </c>
      <c r="P273" s="14">
        <f t="shared" si="16"/>
        <v>0</v>
      </c>
    </row>
    <row r="274" spans="1:909" s="1" customFormat="1" ht="22.2" thickTop="1" thickBot="1">
      <c r="A274" s="11" t="s">
        <v>130</v>
      </c>
      <c r="B274" s="179"/>
      <c r="C274" s="180"/>
      <c r="D274" s="180"/>
      <c r="E274" s="180"/>
      <c r="F274" s="178"/>
      <c r="G274" s="178"/>
      <c r="H274" s="4">
        <f>'[1]التعليم الابتدائي'!CM480</f>
        <v>0</v>
      </c>
      <c r="I274" s="4">
        <f>'[1]التعليم الابتدائي'!CN480</f>
        <v>0</v>
      </c>
      <c r="J274" s="4">
        <f>'[1]التعليم الابتدائي'!CX480</f>
        <v>0</v>
      </c>
      <c r="K274" s="4">
        <f>'[1]التعليم الابتدائي'!CY480</f>
        <v>0</v>
      </c>
      <c r="L274" s="4">
        <f>'[1]التعليم الابتدائي'!DI480</f>
        <v>0</v>
      </c>
      <c r="M274" s="4">
        <f>'[1]التعليم الابتدائي'!DJ480</f>
        <v>0</v>
      </c>
      <c r="N274" s="4">
        <f>L274+J274+H274</f>
        <v>0</v>
      </c>
      <c r="O274" s="4">
        <f>M274+K274+I274</f>
        <v>0</v>
      </c>
      <c r="P274" s="14">
        <f t="shared" si="16"/>
        <v>0</v>
      </c>
    </row>
    <row r="275" spans="1:909" s="1" customFormat="1" ht="22.2" thickTop="1" thickBot="1">
      <c r="A275" s="11" t="s">
        <v>131</v>
      </c>
      <c r="B275" s="179"/>
      <c r="C275" s="180"/>
      <c r="D275" s="180"/>
      <c r="E275" s="180"/>
      <c r="F275" s="180"/>
      <c r="G275" s="180"/>
      <c r="H275" s="178"/>
      <c r="I275" s="178"/>
      <c r="J275" s="4">
        <f>'[1]التعليم الابتدائي'!CZ480</f>
        <v>0</v>
      </c>
      <c r="K275" s="4">
        <f>'[1]التعليم الابتدائي'!DA480</f>
        <v>0</v>
      </c>
      <c r="L275" s="4">
        <f>'[1]التعليم الابتدائي'!DK480</f>
        <v>0</v>
      </c>
      <c r="M275" s="4">
        <f>'[1]التعليم الابتدائي'!DL480</f>
        <v>0</v>
      </c>
      <c r="N275" s="4">
        <f>L275+J275</f>
        <v>0</v>
      </c>
      <c r="O275" s="4">
        <f>M275+K275</f>
        <v>0</v>
      </c>
      <c r="P275" s="14">
        <f t="shared" si="16"/>
        <v>0</v>
      </c>
    </row>
    <row r="276" spans="1:909" s="1" customFormat="1" ht="22.2" thickTop="1" thickBot="1">
      <c r="A276" s="11" t="s">
        <v>132</v>
      </c>
      <c r="B276" s="137"/>
      <c r="C276" s="138"/>
      <c r="D276" s="138"/>
      <c r="E276" s="138"/>
      <c r="F276" s="138"/>
      <c r="G276" s="138"/>
      <c r="H276" s="138"/>
      <c r="I276" s="138"/>
      <c r="J276" s="181"/>
      <c r="K276" s="182"/>
      <c r="L276" s="4">
        <f>'[1]التعليم الابتدائي'!DM480</f>
        <v>0</v>
      </c>
      <c r="M276" s="4">
        <f>'[1]التعليم الابتدائي'!DN480</f>
        <v>0</v>
      </c>
      <c r="N276" s="4">
        <f>L276</f>
        <v>0</v>
      </c>
      <c r="O276" s="4">
        <f>M276</f>
        <v>0</v>
      </c>
      <c r="P276" s="14">
        <f t="shared" si="16"/>
        <v>0</v>
      </c>
    </row>
    <row r="277" spans="1:909" s="1" customFormat="1" ht="22.2" thickTop="1" thickBot="1">
      <c r="A277" s="6" t="s">
        <v>122</v>
      </c>
      <c r="B277" s="7">
        <f>SUM(B266:B276)</f>
        <v>0</v>
      </c>
      <c r="C277" s="7">
        <f>SUM(C266:C276)</f>
        <v>0</v>
      </c>
      <c r="D277" s="7">
        <f>D272+D271+D270+D269+D268</f>
        <v>0</v>
      </c>
      <c r="E277" s="7">
        <f t="shared" ref="E277:P277" si="17">SUM(E266:E276)</f>
        <v>0</v>
      </c>
      <c r="F277" s="7">
        <f t="shared" si="17"/>
        <v>0</v>
      </c>
      <c r="G277" s="7">
        <f t="shared" si="17"/>
        <v>0</v>
      </c>
      <c r="H277" s="7">
        <f t="shared" si="17"/>
        <v>0</v>
      </c>
      <c r="I277" s="7">
        <f t="shared" si="17"/>
        <v>0</v>
      </c>
      <c r="J277" s="7">
        <f t="shared" si="17"/>
        <v>0</v>
      </c>
      <c r="K277" s="7">
        <f t="shared" si="17"/>
        <v>0</v>
      </c>
      <c r="L277" s="7">
        <f t="shared" si="17"/>
        <v>0</v>
      </c>
      <c r="M277" s="7">
        <f t="shared" si="17"/>
        <v>0</v>
      </c>
      <c r="N277" s="7">
        <f t="shared" si="17"/>
        <v>0</v>
      </c>
      <c r="O277" s="7">
        <f t="shared" si="17"/>
        <v>0</v>
      </c>
      <c r="P277" s="8">
        <f t="shared" si="17"/>
        <v>0</v>
      </c>
    </row>
    <row r="278" spans="1:909" ht="21.6" thickTop="1"/>
    <row r="279" spans="1:909" s="1" customFormat="1" ht="21">
      <c r="A279" s="156" t="s">
        <v>62</v>
      </c>
      <c r="B279" s="156"/>
      <c r="C279" s="156"/>
      <c r="D279" s="156"/>
      <c r="E279" s="156"/>
      <c r="M279" s="156" t="s">
        <v>91</v>
      </c>
      <c r="N279" s="156"/>
      <c r="O279" s="156"/>
      <c r="P279" s="156"/>
    </row>
    <row r="280" spans="1:909" s="1" customFormat="1" ht="21">
      <c r="A280" s="156" t="s">
        <v>64</v>
      </c>
      <c r="B280" s="156"/>
      <c r="C280" s="156"/>
      <c r="D280" s="156"/>
      <c r="E280" s="156"/>
      <c r="M280" s="156" t="s">
        <v>65</v>
      </c>
      <c r="N280" s="156"/>
      <c r="O280" s="156"/>
      <c r="P280" s="156"/>
    </row>
    <row r="281" spans="1:909" s="1" customFormat="1" ht="21">
      <c r="A281" s="156" t="s">
        <v>99</v>
      </c>
      <c r="B281" s="156"/>
      <c r="C281" s="156"/>
      <c r="D281" s="156"/>
      <c r="E281" s="156"/>
      <c r="F281" s="156"/>
      <c r="G281" s="156"/>
      <c r="H281" s="156"/>
      <c r="I281" s="156"/>
      <c r="J281" s="156"/>
      <c r="K281" s="156"/>
      <c r="L281" s="156"/>
      <c r="M281" s="156"/>
      <c r="N281" s="156"/>
      <c r="O281" s="156"/>
      <c r="P281" s="156"/>
      <c r="Q281" s="2"/>
    </row>
    <row r="282" spans="1:909" s="1" customFormat="1" ht="21">
      <c r="A282" s="156" t="s">
        <v>136</v>
      </c>
      <c r="B282" s="156"/>
      <c r="C282" s="156"/>
      <c r="D282" s="156"/>
      <c r="E282" s="156"/>
      <c r="F282" s="156"/>
      <c r="G282" s="156"/>
      <c r="H282" s="156"/>
      <c r="I282" s="156"/>
      <c r="J282" s="156"/>
      <c r="K282" s="156"/>
      <c r="L282" s="156"/>
      <c r="M282" s="156"/>
      <c r="N282" s="156"/>
      <c r="O282" s="156"/>
      <c r="P282" s="156"/>
      <c r="Q282" s="156"/>
    </row>
    <row r="283" spans="1:909" s="1" customFormat="1" ht="21">
      <c r="A283" s="156" t="s">
        <v>101</v>
      </c>
      <c r="B283" s="156"/>
      <c r="C283" s="156"/>
      <c r="D283" s="156"/>
      <c r="E283" s="156"/>
      <c r="F283" s="156"/>
      <c r="G283" s="156"/>
      <c r="H283" s="156"/>
      <c r="I283" s="156"/>
      <c r="J283" s="156"/>
      <c r="K283" s="156"/>
      <c r="L283" s="156"/>
      <c r="M283" s="156"/>
      <c r="N283" s="156"/>
      <c r="O283" s="156"/>
      <c r="P283" s="156"/>
      <c r="Q283" s="2"/>
    </row>
    <row r="284" spans="1:909" s="1" customFormat="1" ht="21.6" thickBot="1">
      <c r="G284" s="198"/>
      <c r="H284" s="198"/>
      <c r="I284" s="198"/>
      <c r="J284" s="198"/>
      <c r="K284" s="198"/>
    </row>
    <row r="285" spans="1:909" s="1" customFormat="1" ht="21.6" thickTop="1">
      <c r="A285" s="199"/>
      <c r="B285" s="147" t="s">
        <v>102</v>
      </c>
      <c r="C285" s="149"/>
      <c r="D285" s="147" t="s">
        <v>103</v>
      </c>
      <c r="E285" s="149"/>
      <c r="F285" s="147" t="s">
        <v>104</v>
      </c>
      <c r="G285" s="149"/>
      <c r="H285" s="147" t="s">
        <v>105</v>
      </c>
      <c r="I285" s="149"/>
      <c r="J285" s="147" t="s">
        <v>106</v>
      </c>
      <c r="K285" s="149"/>
      <c r="L285" s="147" t="s">
        <v>107</v>
      </c>
      <c r="M285" s="149"/>
      <c r="N285" s="147" t="s">
        <v>58</v>
      </c>
      <c r="O285" s="148"/>
      <c r="P285" s="201"/>
    </row>
    <row r="286" spans="1:909" s="1" customFormat="1" ht="21.6" thickBot="1">
      <c r="A286" s="200"/>
      <c r="B286" s="137"/>
      <c r="C286" s="139"/>
      <c r="D286" s="137"/>
      <c r="E286" s="139"/>
      <c r="F286" s="137"/>
      <c r="G286" s="139"/>
      <c r="H286" s="137"/>
      <c r="I286" s="139"/>
      <c r="J286" s="137"/>
      <c r="K286" s="139"/>
      <c r="L286" s="137"/>
      <c r="M286" s="139"/>
      <c r="N286" s="137"/>
      <c r="O286" s="138"/>
      <c r="P286" s="202"/>
    </row>
    <row r="287" spans="1:909" s="5" customFormat="1" ht="22.2" thickTop="1" thickBot="1">
      <c r="A287" s="11" t="s">
        <v>108</v>
      </c>
      <c r="B287" s="170">
        <f>'[1]التعليم الابتدائي'!AA558</f>
        <v>0</v>
      </c>
      <c r="C287" s="182"/>
      <c r="D287" s="170">
        <f>'[1]التعليم الابتدائي'!AC558</f>
        <v>0</v>
      </c>
      <c r="E287" s="182"/>
      <c r="F287" s="170">
        <f>'[1]التعليم الابتدائي'!AE558</f>
        <v>0</v>
      </c>
      <c r="G287" s="182"/>
      <c r="H287" s="170">
        <f>'[1]التعليم الابتدائي'!AG558</f>
        <v>0</v>
      </c>
      <c r="I287" s="182"/>
      <c r="J287" s="170">
        <f>'[1]التعليم الابتدائي'!AI558</f>
        <v>0</v>
      </c>
      <c r="K287" s="182"/>
      <c r="L287" s="170">
        <f>'[1]التعليم الابتدائي'!AK558</f>
        <v>0</v>
      </c>
      <c r="M287" s="182"/>
      <c r="N287" s="170">
        <f>L287+J287+H287+F287+D287+B287</f>
        <v>0</v>
      </c>
      <c r="O287" s="181"/>
      <c r="P287" s="193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O287" s="1"/>
      <c r="JP287" s="1"/>
      <c r="JQ287" s="1"/>
      <c r="JR287" s="1"/>
      <c r="JS287" s="1"/>
      <c r="JT287" s="1"/>
      <c r="JU287" s="1"/>
      <c r="JV287" s="1"/>
      <c r="JW287" s="1"/>
      <c r="JX287" s="1"/>
      <c r="JY287" s="1"/>
      <c r="JZ287" s="1"/>
      <c r="KA287" s="1"/>
      <c r="KB287" s="1"/>
      <c r="KC287" s="1"/>
      <c r="KD287" s="1"/>
      <c r="KE287" s="1"/>
      <c r="KF287" s="1"/>
      <c r="KG287" s="1"/>
      <c r="KH287" s="1"/>
      <c r="KI287" s="1"/>
      <c r="KJ287" s="1"/>
      <c r="KK287" s="1"/>
      <c r="KL287" s="1"/>
      <c r="KM287" s="1"/>
      <c r="KN287" s="1"/>
      <c r="KO287" s="1"/>
      <c r="KP287" s="1"/>
      <c r="KQ287" s="1"/>
      <c r="KR287" s="1"/>
      <c r="KS287" s="1"/>
      <c r="KT287" s="1"/>
      <c r="KU287" s="1"/>
      <c r="KV287" s="1"/>
      <c r="KW287" s="1"/>
      <c r="KX287" s="1"/>
      <c r="KY287" s="1"/>
      <c r="KZ287" s="1"/>
      <c r="LA287" s="1"/>
      <c r="LB287" s="1"/>
      <c r="LC287" s="1"/>
      <c r="LD287" s="1"/>
      <c r="LE287" s="1"/>
      <c r="LF287" s="1"/>
      <c r="LG287" s="1"/>
      <c r="LH287" s="1"/>
      <c r="LI287" s="1"/>
      <c r="LJ287" s="1"/>
      <c r="LK287" s="1"/>
      <c r="LL287" s="1"/>
      <c r="LM287" s="1"/>
      <c r="LN287" s="1"/>
      <c r="LO287" s="1"/>
      <c r="LP287" s="1"/>
      <c r="LQ287" s="1"/>
      <c r="LR287" s="1"/>
      <c r="LS287" s="1"/>
      <c r="LT287" s="1"/>
      <c r="LU287" s="1"/>
      <c r="LV287" s="1"/>
      <c r="LW287" s="1"/>
      <c r="LX287" s="1"/>
      <c r="LY287" s="1"/>
      <c r="LZ287" s="1"/>
      <c r="MA287" s="1"/>
      <c r="MB287" s="1"/>
      <c r="MC287" s="1"/>
      <c r="MD287" s="1"/>
      <c r="ME287" s="1"/>
      <c r="MF287" s="1"/>
      <c r="MG287" s="1"/>
      <c r="MH287" s="1"/>
      <c r="MI287" s="1"/>
      <c r="MJ287" s="1"/>
      <c r="MK287" s="1"/>
      <c r="ML287" s="1"/>
      <c r="MM287" s="1"/>
      <c r="MN287" s="1"/>
      <c r="MO287" s="1"/>
      <c r="MP287" s="1"/>
      <c r="MQ287" s="1"/>
      <c r="MR287" s="1"/>
      <c r="MS287" s="1"/>
      <c r="MT287" s="1"/>
      <c r="MU287" s="1"/>
      <c r="MV287" s="1"/>
      <c r="MW287" s="1"/>
      <c r="MX287" s="1"/>
      <c r="MY287" s="1"/>
      <c r="MZ287" s="1"/>
      <c r="NA287" s="1"/>
      <c r="NB287" s="1"/>
      <c r="NC287" s="1"/>
      <c r="ND287" s="1"/>
      <c r="NE287" s="1"/>
      <c r="NF287" s="1"/>
      <c r="NG287" s="1"/>
      <c r="NH287" s="1"/>
      <c r="NI287" s="1"/>
      <c r="NJ287" s="1"/>
      <c r="NK287" s="1"/>
      <c r="NL287" s="1"/>
      <c r="NM287" s="1"/>
      <c r="NN287" s="1"/>
      <c r="NO287" s="1"/>
      <c r="NP287" s="1"/>
      <c r="NQ287" s="1"/>
      <c r="NR287" s="1"/>
      <c r="NS287" s="1"/>
      <c r="NT287" s="1"/>
      <c r="NU287" s="1"/>
      <c r="NV287" s="1"/>
      <c r="NW287" s="1"/>
      <c r="NX287" s="1"/>
      <c r="NY287" s="1"/>
      <c r="NZ287" s="1"/>
      <c r="OA287" s="1"/>
      <c r="OB287" s="1"/>
      <c r="OC287" s="1"/>
      <c r="OD287" s="1"/>
      <c r="OE287" s="1"/>
      <c r="OF287" s="1"/>
      <c r="OG287" s="1"/>
      <c r="OH287" s="1"/>
      <c r="OI287" s="1"/>
      <c r="OJ287" s="1"/>
      <c r="OK287" s="1"/>
      <c r="OL287" s="1"/>
      <c r="OM287" s="1"/>
      <c r="ON287" s="1"/>
      <c r="OO287" s="1"/>
      <c r="OP287" s="1"/>
      <c r="OQ287" s="1"/>
      <c r="OR287" s="1"/>
      <c r="OS287" s="1"/>
      <c r="OT287" s="1"/>
      <c r="OU287" s="1"/>
      <c r="OV287" s="1"/>
      <c r="OW287" s="1"/>
      <c r="OX287" s="1"/>
      <c r="OY287" s="1"/>
      <c r="OZ287" s="1"/>
      <c r="PA287" s="1"/>
      <c r="PB287" s="1"/>
      <c r="PC287" s="1"/>
      <c r="PD287" s="1"/>
      <c r="PE287" s="1"/>
      <c r="PF287" s="1"/>
      <c r="PG287" s="1"/>
      <c r="PH287" s="1"/>
      <c r="PI287" s="1"/>
      <c r="PJ287" s="1"/>
      <c r="PK287" s="1"/>
      <c r="PL287" s="1"/>
      <c r="PM287" s="1"/>
      <c r="PN287" s="1"/>
      <c r="PO287" s="1"/>
      <c r="PP287" s="1"/>
      <c r="PQ287" s="1"/>
      <c r="PR287" s="1"/>
      <c r="PS287" s="1"/>
      <c r="PT287" s="1"/>
      <c r="PU287" s="1"/>
      <c r="PV287" s="1"/>
      <c r="PW287" s="1"/>
      <c r="PX287" s="1"/>
      <c r="PY287" s="1"/>
      <c r="PZ287" s="1"/>
      <c r="QA287" s="1"/>
      <c r="QB287" s="1"/>
      <c r="QC287" s="1"/>
      <c r="QD287" s="1"/>
      <c r="QE287" s="1"/>
      <c r="QF287" s="1"/>
      <c r="QG287" s="1"/>
      <c r="QH287" s="1"/>
      <c r="QI287" s="1"/>
      <c r="QJ287" s="1"/>
      <c r="QK287" s="1"/>
      <c r="QL287" s="1"/>
      <c r="QM287" s="1"/>
      <c r="QN287" s="1"/>
      <c r="QO287" s="1"/>
      <c r="QP287" s="1"/>
      <c r="QQ287" s="1"/>
      <c r="QR287" s="1"/>
      <c r="QS287" s="1"/>
      <c r="QT287" s="1"/>
      <c r="QU287" s="1"/>
      <c r="QV287" s="1"/>
      <c r="QW287" s="1"/>
      <c r="QX287" s="1"/>
      <c r="QY287" s="1"/>
      <c r="QZ287" s="1"/>
      <c r="RA287" s="1"/>
      <c r="RB287" s="1"/>
      <c r="RC287" s="1"/>
      <c r="RD287" s="1"/>
      <c r="RE287" s="1"/>
      <c r="RF287" s="1"/>
      <c r="RG287" s="1"/>
      <c r="RH287" s="1"/>
      <c r="RI287" s="1"/>
      <c r="RJ287" s="1"/>
      <c r="RK287" s="1"/>
      <c r="RL287" s="1"/>
      <c r="RM287" s="1"/>
      <c r="RN287" s="1"/>
      <c r="RO287" s="1"/>
      <c r="RP287" s="1"/>
      <c r="RQ287" s="1"/>
      <c r="RR287" s="1"/>
      <c r="RS287" s="1"/>
      <c r="RT287" s="1"/>
      <c r="RU287" s="1"/>
      <c r="RV287" s="1"/>
      <c r="RW287" s="1"/>
      <c r="RX287" s="1"/>
      <c r="RY287" s="1"/>
      <c r="RZ287" s="1"/>
      <c r="SA287" s="1"/>
      <c r="SB287" s="1"/>
      <c r="SC287" s="1"/>
      <c r="SD287" s="1"/>
      <c r="SE287" s="1"/>
      <c r="SF287" s="1"/>
      <c r="SG287" s="1"/>
      <c r="SH287" s="1"/>
      <c r="SI287" s="1"/>
      <c r="SJ287" s="1"/>
      <c r="SK287" s="1"/>
      <c r="SL287" s="1"/>
      <c r="SM287" s="1"/>
      <c r="SN287" s="1"/>
      <c r="SO287" s="1"/>
      <c r="SP287" s="1"/>
      <c r="SQ287" s="1"/>
      <c r="SR287" s="1"/>
      <c r="SS287" s="1"/>
      <c r="ST287" s="1"/>
      <c r="SU287" s="1"/>
      <c r="SV287" s="1"/>
      <c r="SW287" s="1"/>
      <c r="SX287" s="1"/>
      <c r="SY287" s="1"/>
      <c r="SZ287" s="1"/>
      <c r="TA287" s="1"/>
      <c r="TB287" s="1"/>
      <c r="TC287" s="1"/>
      <c r="TD287" s="1"/>
      <c r="TE287" s="1"/>
      <c r="TF287" s="1"/>
      <c r="TG287" s="1"/>
      <c r="TH287" s="1"/>
      <c r="TI287" s="1"/>
      <c r="TJ287" s="1"/>
      <c r="TK287" s="1"/>
      <c r="TL287" s="1"/>
      <c r="TM287" s="1"/>
      <c r="TN287" s="1"/>
      <c r="TO287" s="1"/>
      <c r="TP287" s="1"/>
      <c r="TQ287" s="1"/>
      <c r="TR287" s="1"/>
      <c r="TS287" s="1"/>
      <c r="TT287" s="1"/>
      <c r="TU287" s="1"/>
      <c r="TV287" s="1"/>
      <c r="TW287" s="1"/>
      <c r="TX287" s="1"/>
      <c r="TY287" s="1"/>
      <c r="TZ287" s="1"/>
      <c r="UA287" s="1"/>
      <c r="UB287" s="1"/>
      <c r="UC287" s="1"/>
      <c r="UD287" s="1"/>
      <c r="UE287" s="1"/>
      <c r="UF287" s="1"/>
      <c r="UG287" s="1"/>
      <c r="UH287" s="1"/>
      <c r="UI287" s="1"/>
      <c r="UJ287" s="1"/>
      <c r="UK287" s="1"/>
      <c r="UL287" s="1"/>
      <c r="UM287" s="1"/>
      <c r="UN287" s="1"/>
      <c r="UO287" s="1"/>
      <c r="UP287" s="1"/>
      <c r="UQ287" s="1"/>
      <c r="UR287" s="1"/>
      <c r="US287" s="1"/>
      <c r="UT287" s="1"/>
      <c r="UU287" s="1"/>
      <c r="UV287" s="1"/>
      <c r="UW287" s="1"/>
      <c r="UX287" s="1"/>
      <c r="UY287" s="1"/>
      <c r="UZ287" s="1"/>
      <c r="VA287" s="1"/>
      <c r="VB287" s="1"/>
      <c r="VC287" s="1"/>
      <c r="VD287" s="1"/>
      <c r="VE287" s="1"/>
      <c r="VF287" s="1"/>
      <c r="VG287" s="1"/>
      <c r="VH287" s="1"/>
      <c r="VI287" s="1"/>
      <c r="VJ287" s="1"/>
      <c r="VK287" s="1"/>
      <c r="VL287" s="1"/>
      <c r="VM287" s="1"/>
      <c r="VN287" s="1"/>
      <c r="VO287" s="1"/>
      <c r="VP287" s="1"/>
      <c r="VQ287" s="1"/>
      <c r="VR287" s="1"/>
      <c r="VS287" s="1"/>
      <c r="VT287" s="1"/>
      <c r="VU287" s="1"/>
      <c r="VV287" s="1"/>
      <c r="VW287" s="1"/>
      <c r="VX287" s="1"/>
      <c r="VY287" s="1"/>
      <c r="VZ287" s="1"/>
      <c r="WA287" s="1"/>
      <c r="WB287" s="1"/>
      <c r="WC287" s="1"/>
      <c r="WD287" s="1"/>
      <c r="WE287" s="1"/>
      <c r="WF287" s="1"/>
      <c r="WG287" s="1"/>
      <c r="WH287" s="1"/>
      <c r="WI287" s="1"/>
      <c r="WJ287" s="1"/>
      <c r="WK287" s="1"/>
      <c r="WL287" s="1"/>
      <c r="WM287" s="1"/>
      <c r="WN287" s="1"/>
      <c r="WO287" s="1"/>
      <c r="WP287" s="1"/>
      <c r="WQ287" s="1"/>
      <c r="WR287" s="1"/>
      <c r="WS287" s="1"/>
      <c r="WT287" s="1"/>
      <c r="WU287" s="1"/>
      <c r="WV287" s="1"/>
      <c r="WW287" s="1"/>
      <c r="WX287" s="1"/>
      <c r="WY287" s="1"/>
      <c r="WZ287" s="1"/>
      <c r="XA287" s="1"/>
      <c r="XB287" s="1"/>
      <c r="XC287" s="1"/>
      <c r="XD287" s="1"/>
      <c r="XE287" s="1"/>
      <c r="XF287" s="1"/>
      <c r="XG287" s="1"/>
      <c r="XH287" s="1"/>
      <c r="XI287" s="1"/>
      <c r="XJ287" s="1"/>
      <c r="XK287" s="1"/>
      <c r="XL287" s="1"/>
      <c r="XM287" s="1"/>
      <c r="XN287" s="1"/>
      <c r="XO287" s="1"/>
      <c r="XP287" s="1"/>
      <c r="XQ287" s="1"/>
      <c r="XR287" s="1"/>
      <c r="XS287" s="1"/>
      <c r="XT287" s="1"/>
      <c r="XU287" s="1"/>
      <c r="XV287" s="1"/>
      <c r="XW287" s="1"/>
      <c r="XX287" s="1"/>
      <c r="XY287" s="1"/>
      <c r="XZ287" s="1"/>
      <c r="YA287" s="1"/>
      <c r="YB287" s="1"/>
      <c r="YC287" s="1"/>
      <c r="YD287" s="1"/>
      <c r="YE287" s="1"/>
      <c r="YF287" s="1"/>
      <c r="YG287" s="1"/>
      <c r="YH287" s="1"/>
      <c r="YI287" s="1"/>
      <c r="YJ287" s="1"/>
      <c r="YK287" s="1"/>
      <c r="YL287" s="1"/>
      <c r="YM287" s="1"/>
      <c r="YN287" s="1"/>
      <c r="YO287" s="1"/>
      <c r="YP287" s="1"/>
      <c r="YQ287" s="1"/>
      <c r="YR287" s="1"/>
      <c r="YS287" s="1"/>
      <c r="YT287" s="1"/>
      <c r="YU287" s="1"/>
      <c r="YV287" s="1"/>
      <c r="YW287" s="1"/>
      <c r="YX287" s="1"/>
      <c r="YY287" s="1"/>
      <c r="YZ287" s="1"/>
      <c r="ZA287" s="1"/>
      <c r="ZB287" s="1"/>
      <c r="ZC287" s="1"/>
      <c r="ZD287" s="1"/>
      <c r="ZE287" s="1"/>
      <c r="ZF287" s="1"/>
      <c r="ZG287" s="1"/>
      <c r="ZH287" s="1"/>
      <c r="ZI287" s="1"/>
      <c r="ZJ287" s="1"/>
      <c r="ZK287" s="1"/>
      <c r="ZL287" s="1"/>
      <c r="ZM287" s="1"/>
      <c r="ZN287" s="1"/>
      <c r="ZO287" s="1"/>
      <c r="ZP287" s="1"/>
      <c r="ZQ287" s="1"/>
      <c r="ZR287" s="1"/>
      <c r="ZS287" s="1"/>
      <c r="ZT287" s="1"/>
      <c r="ZU287" s="1"/>
      <c r="ZV287" s="1"/>
      <c r="ZW287" s="1"/>
      <c r="ZX287" s="1"/>
      <c r="ZY287" s="1"/>
      <c r="ZZ287" s="1"/>
      <c r="AAA287" s="1"/>
      <c r="AAB287" s="1"/>
      <c r="AAC287" s="1"/>
      <c r="AAD287" s="1"/>
      <c r="AAE287" s="1"/>
      <c r="AAF287" s="1"/>
      <c r="AAG287" s="1"/>
      <c r="AAH287" s="1"/>
      <c r="AAI287" s="1"/>
      <c r="AAJ287" s="1"/>
      <c r="AAK287" s="1"/>
      <c r="AAL287" s="1"/>
      <c r="AAM287" s="1"/>
      <c r="AAN287" s="1"/>
      <c r="AAO287" s="1"/>
      <c r="AAP287" s="1"/>
      <c r="AAQ287" s="1"/>
      <c r="AAR287" s="1"/>
      <c r="AAS287" s="1"/>
      <c r="AAT287" s="1"/>
      <c r="AAU287" s="1"/>
      <c r="AAV287" s="1"/>
      <c r="AAW287" s="1"/>
      <c r="AAX287" s="1"/>
      <c r="AAY287" s="1"/>
      <c r="AAZ287" s="1"/>
      <c r="ABA287" s="1"/>
      <c r="ABB287" s="1"/>
      <c r="ABC287" s="1"/>
      <c r="ABD287" s="1"/>
      <c r="ABE287" s="1"/>
      <c r="ABF287" s="1"/>
      <c r="ABG287" s="1"/>
      <c r="ABH287" s="1"/>
      <c r="ABI287" s="1"/>
      <c r="ABJ287" s="1"/>
      <c r="ABK287" s="1"/>
      <c r="ABL287" s="1"/>
      <c r="ABM287" s="1"/>
      <c r="ABN287" s="1"/>
      <c r="ABO287" s="1"/>
      <c r="ABP287" s="1"/>
      <c r="ABQ287" s="1"/>
      <c r="ABR287" s="1"/>
      <c r="ABS287" s="1"/>
      <c r="ABT287" s="1"/>
      <c r="ABU287" s="1"/>
      <c r="ABV287" s="1"/>
      <c r="ABW287" s="1"/>
      <c r="ABX287" s="1"/>
      <c r="ABY287" s="1"/>
      <c r="ABZ287" s="1"/>
      <c r="ACA287" s="1"/>
      <c r="ACB287" s="1"/>
      <c r="ACC287" s="1"/>
      <c r="ACD287" s="1"/>
      <c r="ACE287" s="1"/>
      <c r="ACF287" s="1"/>
      <c r="ACG287" s="1"/>
      <c r="ACH287" s="1"/>
      <c r="ACI287" s="1"/>
      <c r="ACJ287" s="1"/>
      <c r="ACK287" s="1"/>
      <c r="ACL287" s="1"/>
      <c r="ACM287" s="1"/>
      <c r="ACN287" s="1"/>
      <c r="ACO287" s="1"/>
      <c r="ACP287" s="1"/>
      <c r="ACQ287" s="1"/>
      <c r="ACR287" s="1"/>
      <c r="ACS287" s="1"/>
      <c r="ACT287" s="1"/>
      <c r="ACU287" s="1"/>
      <c r="ACV287" s="1"/>
      <c r="ACW287" s="1"/>
      <c r="ACX287" s="1"/>
      <c r="ACY287" s="1"/>
      <c r="ACZ287" s="1"/>
      <c r="ADA287" s="1"/>
      <c r="ADB287" s="1"/>
      <c r="ADC287" s="1"/>
      <c r="ADD287" s="1"/>
      <c r="ADE287" s="1"/>
      <c r="ADF287" s="1"/>
      <c r="ADG287" s="1"/>
      <c r="ADH287" s="1"/>
      <c r="ADI287" s="1"/>
      <c r="ADJ287" s="1"/>
      <c r="ADK287" s="1"/>
      <c r="ADL287" s="1"/>
      <c r="ADM287" s="1"/>
      <c r="ADN287" s="1"/>
      <c r="ADO287" s="1"/>
      <c r="ADP287" s="1"/>
      <c r="ADQ287" s="1"/>
      <c r="ADR287" s="1"/>
      <c r="ADS287" s="1"/>
      <c r="ADT287" s="1"/>
      <c r="ADU287" s="1"/>
      <c r="ADV287" s="1"/>
      <c r="ADW287" s="1"/>
      <c r="ADX287" s="1"/>
      <c r="ADY287" s="1"/>
      <c r="ADZ287" s="1"/>
      <c r="AEA287" s="1"/>
      <c r="AEB287" s="1"/>
      <c r="AEC287" s="1"/>
      <c r="AED287" s="1"/>
      <c r="AEE287" s="1"/>
      <c r="AEF287" s="1"/>
      <c r="AEG287" s="1"/>
      <c r="AEH287" s="1"/>
      <c r="AEI287" s="1"/>
      <c r="AEJ287" s="1"/>
      <c r="AEK287" s="1"/>
      <c r="AEL287" s="1"/>
      <c r="AEM287" s="1"/>
      <c r="AEN287" s="1"/>
      <c r="AEO287" s="1"/>
      <c r="AEP287" s="1"/>
      <c r="AEQ287" s="1"/>
      <c r="AER287" s="1"/>
      <c r="AES287" s="1"/>
      <c r="AET287" s="1"/>
      <c r="AEU287" s="1"/>
      <c r="AEV287" s="1"/>
      <c r="AEW287" s="1"/>
      <c r="AEX287" s="1"/>
      <c r="AEY287" s="1"/>
      <c r="AEZ287" s="1"/>
      <c r="AFA287" s="1"/>
      <c r="AFB287" s="1"/>
      <c r="AFC287" s="1"/>
      <c r="AFD287" s="1"/>
      <c r="AFE287" s="1"/>
      <c r="AFF287" s="1"/>
      <c r="AFG287" s="1"/>
      <c r="AFH287" s="1"/>
      <c r="AFI287" s="1"/>
      <c r="AFJ287" s="1"/>
      <c r="AFK287" s="1"/>
      <c r="AFL287" s="1"/>
      <c r="AFM287" s="1"/>
      <c r="AFN287" s="1"/>
      <c r="AFO287" s="1"/>
      <c r="AFP287" s="1"/>
      <c r="AFQ287" s="1"/>
      <c r="AFR287" s="1"/>
      <c r="AFS287" s="1"/>
      <c r="AFT287" s="1"/>
      <c r="AFU287" s="1"/>
      <c r="AFV287" s="1"/>
      <c r="AFW287" s="1"/>
      <c r="AFX287" s="1"/>
      <c r="AFY287" s="1"/>
      <c r="AFZ287" s="1"/>
      <c r="AGA287" s="1"/>
      <c r="AGB287" s="1"/>
      <c r="AGC287" s="1"/>
      <c r="AGD287" s="1"/>
      <c r="AGE287" s="1"/>
      <c r="AGF287" s="1"/>
      <c r="AGG287" s="1"/>
      <c r="AGH287" s="1"/>
      <c r="AGI287" s="1"/>
      <c r="AGJ287" s="1"/>
      <c r="AGK287" s="1"/>
      <c r="AGL287" s="1"/>
      <c r="AGM287" s="1"/>
      <c r="AGN287" s="1"/>
      <c r="AGO287" s="1"/>
      <c r="AGP287" s="1"/>
      <c r="AGQ287" s="1"/>
      <c r="AGR287" s="1"/>
      <c r="AGS287" s="1"/>
      <c r="AGT287" s="1"/>
      <c r="AGU287" s="1"/>
      <c r="AGV287" s="1"/>
      <c r="AGW287" s="1"/>
      <c r="AGX287" s="1"/>
      <c r="AGY287" s="1"/>
      <c r="AGZ287" s="1"/>
      <c r="AHA287" s="1"/>
      <c r="AHB287" s="1"/>
      <c r="AHC287" s="1"/>
      <c r="AHD287" s="1"/>
      <c r="AHE287" s="1"/>
      <c r="AHF287" s="1"/>
      <c r="AHG287" s="1"/>
      <c r="AHH287" s="1"/>
      <c r="AHI287" s="1"/>
      <c r="AHJ287" s="1"/>
      <c r="AHK287" s="1"/>
      <c r="AHL287" s="1"/>
      <c r="AHM287" s="1"/>
      <c r="AHN287" s="1"/>
      <c r="AHO287" s="1"/>
      <c r="AHP287" s="1"/>
      <c r="AHQ287" s="1"/>
      <c r="AHR287" s="1"/>
      <c r="AHS287" s="1"/>
      <c r="AHT287" s="1"/>
      <c r="AHU287" s="1"/>
      <c r="AHV287" s="1"/>
      <c r="AHW287" s="1"/>
      <c r="AHX287" s="1"/>
      <c r="AHY287" s="1"/>
    </row>
    <row r="288" spans="1:909" s="5" customFormat="1" ht="22.2" thickTop="1" thickBot="1">
      <c r="A288" s="11" t="s">
        <v>109</v>
      </c>
      <c r="B288" s="170">
        <f>'[1]التعليم الابتدائي'!AB558</f>
        <v>0</v>
      </c>
      <c r="C288" s="182"/>
      <c r="D288" s="170">
        <f>'[1]التعليم الابتدائي'!AD558</f>
        <v>0</v>
      </c>
      <c r="E288" s="182"/>
      <c r="F288" s="170">
        <f>'[1]التعليم الابتدائي'!AF558</f>
        <v>0</v>
      </c>
      <c r="G288" s="182"/>
      <c r="H288" s="170">
        <f>'[1]التعليم الابتدائي'!AH558</f>
        <v>0</v>
      </c>
      <c r="I288" s="182"/>
      <c r="J288" s="170">
        <f>'[1]التعليم الابتدائي'!AJ558</f>
        <v>0</v>
      </c>
      <c r="K288" s="182"/>
      <c r="L288" s="170">
        <f>'[1]التعليم الابتدائي'!AL558</f>
        <v>0</v>
      </c>
      <c r="M288" s="182"/>
      <c r="N288" s="170">
        <f>L288+J288+H288+F288+D288+B288</f>
        <v>0</v>
      </c>
      <c r="O288" s="181"/>
      <c r="P288" s="193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O288" s="1"/>
      <c r="JP288" s="1"/>
      <c r="JQ288" s="1"/>
      <c r="JR288" s="1"/>
      <c r="JS288" s="1"/>
      <c r="JT288" s="1"/>
      <c r="JU288" s="1"/>
      <c r="JV288" s="1"/>
      <c r="JW288" s="1"/>
      <c r="JX288" s="1"/>
      <c r="JY288" s="1"/>
      <c r="JZ288" s="1"/>
      <c r="KA288" s="1"/>
      <c r="KB288" s="1"/>
      <c r="KC288" s="1"/>
      <c r="KD288" s="1"/>
      <c r="KE288" s="1"/>
      <c r="KF288" s="1"/>
      <c r="KG288" s="1"/>
      <c r="KH288" s="1"/>
      <c r="KI288" s="1"/>
      <c r="KJ288" s="1"/>
      <c r="KK288" s="1"/>
      <c r="KL288" s="1"/>
      <c r="KM288" s="1"/>
      <c r="KN288" s="1"/>
      <c r="KO288" s="1"/>
      <c r="KP288" s="1"/>
      <c r="KQ288" s="1"/>
      <c r="KR288" s="1"/>
      <c r="KS288" s="1"/>
      <c r="KT288" s="1"/>
      <c r="KU288" s="1"/>
      <c r="KV288" s="1"/>
      <c r="KW288" s="1"/>
      <c r="KX288" s="1"/>
      <c r="KY288" s="1"/>
      <c r="KZ288" s="1"/>
      <c r="LA288" s="1"/>
      <c r="LB288" s="1"/>
      <c r="LC288" s="1"/>
      <c r="LD288" s="1"/>
      <c r="LE288" s="1"/>
      <c r="LF288" s="1"/>
      <c r="LG288" s="1"/>
      <c r="LH288" s="1"/>
      <c r="LI288" s="1"/>
      <c r="LJ288" s="1"/>
      <c r="LK288" s="1"/>
      <c r="LL288" s="1"/>
      <c r="LM288" s="1"/>
      <c r="LN288" s="1"/>
      <c r="LO288" s="1"/>
      <c r="LP288" s="1"/>
      <c r="LQ288" s="1"/>
      <c r="LR288" s="1"/>
      <c r="LS288" s="1"/>
      <c r="LT288" s="1"/>
      <c r="LU288" s="1"/>
      <c r="LV288" s="1"/>
      <c r="LW288" s="1"/>
      <c r="LX288" s="1"/>
      <c r="LY288" s="1"/>
      <c r="LZ288" s="1"/>
      <c r="MA288" s="1"/>
      <c r="MB288" s="1"/>
      <c r="MC288" s="1"/>
      <c r="MD288" s="1"/>
      <c r="ME288" s="1"/>
      <c r="MF288" s="1"/>
      <c r="MG288" s="1"/>
      <c r="MH288" s="1"/>
      <c r="MI288" s="1"/>
      <c r="MJ288" s="1"/>
      <c r="MK288" s="1"/>
      <c r="ML288" s="1"/>
      <c r="MM288" s="1"/>
      <c r="MN288" s="1"/>
      <c r="MO288" s="1"/>
      <c r="MP288" s="1"/>
      <c r="MQ288" s="1"/>
      <c r="MR288" s="1"/>
      <c r="MS288" s="1"/>
      <c r="MT288" s="1"/>
      <c r="MU288" s="1"/>
      <c r="MV288" s="1"/>
      <c r="MW288" s="1"/>
      <c r="MX288" s="1"/>
      <c r="MY288" s="1"/>
      <c r="MZ288" s="1"/>
      <c r="NA288" s="1"/>
      <c r="NB288" s="1"/>
      <c r="NC288" s="1"/>
      <c r="ND288" s="1"/>
      <c r="NE288" s="1"/>
      <c r="NF288" s="1"/>
      <c r="NG288" s="1"/>
      <c r="NH288" s="1"/>
      <c r="NI288" s="1"/>
      <c r="NJ288" s="1"/>
      <c r="NK288" s="1"/>
      <c r="NL288" s="1"/>
      <c r="NM288" s="1"/>
      <c r="NN288" s="1"/>
      <c r="NO288" s="1"/>
      <c r="NP288" s="1"/>
      <c r="NQ288" s="1"/>
      <c r="NR288" s="1"/>
      <c r="NS288" s="1"/>
      <c r="NT288" s="1"/>
      <c r="NU288" s="1"/>
      <c r="NV288" s="1"/>
      <c r="NW288" s="1"/>
      <c r="NX288" s="1"/>
      <c r="NY288" s="1"/>
      <c r="NZ288" s="1"/>
      <c r="OA288" s="1"/>
      <c r="OB288" s="1"/>
      <c r="OC288" s="1"/>
      <c r="OD288" s="1"/>
      <c r="OE288" s="1"/>
      <c r="OF288" s="1"/>
      <c r="OG288" s="1"/>
      <c r="OH288" s="1"/>
      <c r="OI288" s="1"/>
      <c r="OJ288" s="1"/>
      <c r="OK288" s="1"/>
      <c r="OL288" s="1"/>
      <c r="OM288" s="1"/>
      <c r="ON288" s="1"/>
      <c r="OO288" s="1"/>
      <c r="OP288" s="1"/>
      <c r="OQ288" s="1"/>
      <c r="OR288" s="1"/>
      <c r="OS288" s="1"/>
      <c r="OT288" s="1"/>
      <c r="OU288" s="1"/>
      <c r="OV288" s="1"/>
      <c r="OW288" s="1"/>
      <c r="OX288" s="1"/>
      <c r="OY288" s="1"/>
      <c r="OZ288" s="1"/>
      <c r="PA288" s="1"/>
      <c r="PB288" s="1"/>
      <c r="PC288" s="1"/>
      <c r="PD288" s="1"/>
      <c r="PE288" s="1"/>
      <c r="PF288" s="1"/>
      <c r="PG288" s="1"/>
      <c r="PH288" s="1"/>
      <c r="PI288" s="1"/>
      <c r="PJ288" s="1"/>
      <c r="PK288" s="1"/>
      <c r="PL288" s="1"/>
      <c r="PM288" s="1"/>
      <c r="PN288" s="1"/>
      <c r="PO288" s="1"/>
      <c r="PP288" s="1"/>
      <c r="PQ288" s="1"/>
      <c r="PR288" s="1"/>
      <c r="PS288" s="1"/>
      <c r="PT288" s="1"/>
      <c r="PU288" s="1"/>
      <c r="PV288" s="1"/>
      <c r="PW288" s="1"/>
      <c r="PX288" s="1"/>
      <c r="PY288" s="1"/>
      <c r="PZ288" s="1"/>
      <c r="QA288" s="1"/>
      <c r="QB288" s="1"/>
      <c r="QC288" s="1"/>
      <c r="QD288" s="1"/>
      <c r="QE288" s="1"/>
      <c r="QF288" s="1"/>
      <c r="QG288" s="1"/>
      <c r="QH288" s="1"/>
      <c r="QI288" s="1"/>
      <c r="QJ288" s="1"/>
      <c r="QK288" s="1"/>
      <c r="QL288" s="1"/>
      <c r="QM288" s="1"/>
      <c r="QN288" s="1"/>
      <c r="QO288" s="1"/>
      <c r="QP288" s="1"/>
      <c r="QQ288" s="1"/>
      <c r="QR288" s="1"/>
      <c r="QS288" s="1"/>
      <c r="QT288" s="1"/>
      <c r="QU288" s="1"/>
      <c r="QV288" s="1"/>
      <c r="QW288" s="1"/>
      <c r="QX288" s="1"/>
      <c r="QY288" s="1"/>
      <c r="QZ288" s="1"/>
      <c r="RA288" s="1"/>
      <c r="RB288" s="1"/>
      <c r="RC288" s="1"/>
      <c r="RD288" s="1"/>
      <c r="RE288" s="1"/>
      <c r="RF288" s="1"/>
      <c r="RG288" s="1"/>
      <c r="RH288" s="1"/>
      <c r="RI288" s="1"/>
      <c r="RJ288" s="1"/>
      <c r="RK288" s="1"/>
      <c r="RL288" s="1"/>
      <c r="RM288" s="1"/>
      <c r="RN288" s="1"/>
      <c r="RO288" s="1"/>
      <c r="RP288" s="1"/>
      <c r="RQ288" s="1"/>
      <c r="RR288" s="1"/>
      <c r="RS288" s="1"/>
      <c r="RT288" s="1"/>
      <c r="RU288" s="1"/>
      <c r="RV288" s="1"/>
      <c r="RW288" s="1"/>
      <c r="RX288" s="1"/>
      <c r="RY288" s="1"/>
      <c r="RZ288" s="1"/>
      <c r="SA288" s="1"/>
      <c r="SB288" s="1"/>
      <c r="SC288" s="1"/>
      <c r="SD288" s="1"/>
      <c r="SE288" s="1"/>
      <c r="SF288" s="1"/>
      <c r="SG288" s="1"/>
      <c r="SH288" s="1"/>
      <c r="SI288" s="1"/>
      <c r="SJ288" s="1"/>
      <c r="SK288" s="1"/>
      <c r="SL288" s="1"/>
      <c r="SM288" s="1"/>
      <c r="SN288" s="1"/>
      <c r="SO288" s="1"/>
      <c r="SP288" s="1"/>
      <c r="SQ288" s="1"/>
      <c r="SR288" s="1"/>
      <c r="SS288" s="1"/>
      <c r="ST288" s="1"/>
      <c r="SU288" s="1"/>
      <c r="SV288" s="1"/>
      <c r="SW288" s="1"/>
      <c r="SX288" s="1"/>
      <c r="SY288" s="1"/>
      <c r="SZ288" s="1"/>
      <c r="TA288" s="1"/>
      <c r="TB288" s="1"/>
      <c r="TC288" s="1"/>
      <c r="TD288" s="1"/>
      <c r="TE288" s="1"/>
      <c r="TF288" s="1"/>
      <c r="TG288" s="1"/>
      <c r="TH288" s="1"/>
      <c r="TI288" s="1"/>
      <c r="TJ288" s="1"/>
      <c r="TK288" s="1"/>
      <c r="TL288" s="1"/>
      <c r="TM288" s="1"/>
      <c r="TN288" s="1"/>
      <c r="TO288" s="1"/>
      <c r="TP288" s="1"/>
      <c r="TQ288" s="1"/>
      <c r="TR288" s="1"/>
      <c r="TS288" s="1"/>
      <c r="TT288" s="1"/>
      <c r="TU288" s="1"/>
      <c r="TV288" s="1"/>
      <c r="TW288" s="1"/>
      <c r="TX288" s="1"/>
      <c r="TY288" s="1"/>
      <c r="TZ288" s="1"/>
      <c r="UA288" s="1"/>
      <c r="UB288" s="1"/>
      <c r="UC288" s="1"/>
      <c r="UD288" s="1"/>
      <c r="UE288" s="1"/>
      <c r="UF288" s="1"/>
      <c r="UG288" s="1"/>
      <c r="UH288" s="1"/>
      <c r="UI288" s="1"/>
      <c r="UJ288" s="1"/>
      <c r="UK288" s="1"/>
      <c r="UL288" s="1"/>
      <c r="UM288" s="1"/>
      <c r="UN288" s="1"/>
      <c r="UO288" s="1"/>
      <c r="UP288" s="1"/>
      <c r="UQ288" s="1"/>
      <c r="UR288" s="1"/>
      <c r="US288" s="1"/>
      <c r="UT288" s="1"/>
      <c r="UU288" s="1"/>
      <c r="UV288" s="1"/>
      <c r="UW288" s="1"/>
      <c r="UX288" s="1"/>
      <c r="UY288" s="1"/>
      <c r="UZ288" s="1"/>
      <c r="VA288" s="1"/>
      <c r="VB288" s="1"/>
      <c r="VC288" s="1"/>
      <c r="VD288" s="1"/>
      <c r="VE288" s="1"/>
      <c r="VF288" s="1"/>
      <c r="VG288" s="1"/>
      <c r="VH288" s="1"/>
      <c r="VI288" s="1"/>
      <c r="VJ288" s="1"/>
      <c r="VK288" s="1"/>
      <c r="VL288" s="1"/>
      <c r="VM288" s="1"/>
      <c r="VN288" s="1"/>
      <c r="VO288" s="1"/>
      <c r="VP288" s="1"/>
      <c r="VQ288" s="1"/>
      <c r="VR288" s="1"/>
      <c r="VS288" s="1"/>
      <c r="VT288" s="1"/>
      <c r="VU288" s="1"/>
      <c r="VV288" s="1"/>
      <c r="VW288" s="1"/>
      <c r="VX288" s="1"/>
      <c r="VY288" s="1"/>
      <c r="VZ288" s="1"/>
      <c r="WA288" s="1"/>
      <c r="WB288" s="1"/>
      <c r="WC288" s="1"/>
      <c r="WD288" s="1"/>
      <c r="WE288" s="1"/>
      <c r="WF288" s="1"/>
      <c r="WG288" s="1"/>
      <c r="WH288" s="1"/>
      <c r="WI288" s="1"/>
      <c r="WJ288" s="1"/>
      <c r="WK288" s="1"/>
      <c r="WL288" s="1"/>
      <c r="WM288" s="1"/>
      <c r="WN288" s="1"/>
      <c r="WO288" s="1"/>
      <c r="WP288" s="1"/>
      <c r="WQ288" s="1"/>
      <c r="WR288" s="1"/>
      <c r="WS288" s="1"/>
      <c r="WT288" s="1"/>
      <c r="WU288" s="1"/>
      <c r="WV288" s="1"/>
      <c r="WW288" s="1"/>
      <c r="WX288" s="1"/>
      <c r="WY288" s="1"/>
      <c r="WZ288" s="1"/>
      <c r="XA288" s="1"/>
      <c r="XB288" s="1"/>
      <c r="XC288" s="1"/>
      <c r="XD288" s="1"/>
      <c r="XE288" s="1"/>
      <c r="XF288" s="1"/>
      <c r="XG288" s="1"/>
      <c r="XH288" s="1"/>
      <c r="XI288" s="1"/>
      <c r="XJ288" s="1"/>
      <c r="XK288" s="1"/>
      <c r="XL288" s="1"/>
      <c r="XM288" s="1"/>
      <c r="XN288" s="1"/>
      <c r="XO288" s="1"/>
      <c r="XP288" s="1"/>
      <c r="XQ288" s="1"/>
      <c r="XR288" s="1"/>
      <c r="XS288" s="1"/>
      <c r="XT288" s="1"/>
      <c r="XU288" s="1"/>
      <c r="XV288" s="1"/>
      <c r="XW288" s="1"/>
      <c r="XX288" s="1"/>
      <c r="XY288" s="1"/>
      <c r="XZ288" s="1"/>
      <c r="YA288" s="1"/>
      <c r="YB288" s="1"/>
      <c r="YC288" s="1"/>
      <c r="YD288" s="1"/>
      <c r="YE288" s="1"/>
      <c r="YF288" s="1"/>
      <c r="YG288" s="1"/>
      <c r="YH288" s="1"/>
      <c r="YI288" s="1"/>
      <c r="YJ288" s="1"/>
      <c r="YK288" s="1"/>
      <c r="YL288" s="1"/>
      <c r="YM288" s="1"/>
      <c r="YN288" s="1"/>
      <c r="YO288" s="1"/>
      <c r="YP288" s="1"/>
      <c r="YQ288" s="1"/>
      <c r="YR288" s="1"/>
      <c r="YS288" s="1"/>
      <c r="YT288" s="1"/>
      <c r="YU288" s="1"/>
      <c r="YV288" s="1"/>
      <c r="YW288" s="1"/>
      <c r="YX288" s="1"/>
      <c r="YY288" s="1"/>
      <c r="YZ288" s="1"/>
      <c r="ZA288" s="1"/>
      <c r="ZB288" s="1"/>
      <c r="ZC288" s="1"/>
      <c r="ZD288" s="1"/>
      <c r="ZE288" s="1"/>
      <c r="ZF288" s="1"/>
      <c r="ZG288" s="1"/>
      <c r="ZH288" s="1"/>
      <c r="ZI288" s="1"/>
      <c r="ZJ288" s="1"/>
      <c r="ZK288" s="1"/>
      <c r="ZL288" s="1"/>
      <c r="ZM288" s="1"/>
      <c r="ZN288" s="1"/>
      <c r="ZO288" s="1"/>
      <c r="ZP288" s="1"/>
      <c r="ZQ288" s="1"/>
      <c r="ZR288" s="1"/>
      <c r="ZS288" s="1"/>
      <c r="ZT288" s="1"/>
      <c r="ZU288" s="1"/>
      <c r="ZV288" s="1"/>
      <c r="ZW288" s="1"/>
      <c r="ZX288" s="1"/>
      <c r="ZY288" s="1"/>
      <c r="ZZ288" s="1"/>
      <c r="AAA288" s="1"/>
      <c r="AAB288" s="1"/>
      <c r="AAC288" s="1"/>
      <c r="AAD288" s="1"/>
      <c r="AAE288" s="1"/>
      <c r="AAF288" s="1"/>
      <c r="AAG288" s="1"/>
      <c r="AAH288" s="1"/>
      <c r="AAI288" s="1"/>
      <c r="AAJ288" s="1"/>
      <c r="AAK288" s="1"/>
      <c r="AAL288" s="1"/>
      <c r="AAM288" s="1"/>
      <c r="AAN288" s="1"/>
      <c r="AAO288" s="1"/>
      <c r="AAP288" s="1"/>
      <c r="AAQ288" s="1"/>
      <c r="AAR288" s="1"/>
      <c r="AAS288" s="1"/>
      <c r="AAT288" s="1"/>
      <c r="AAU288" s="1"/>
      <c r="AAV288" s="1"/>
      <c r="AAW288" s="1"/>
      <c r="AAX288" s="1"/>
      <c r="AAY288" s="1"/>
      <c r="AAZ288" s="1"/>
      <c r="ABA288" s="1"/>
      <c r="ABB288" s="1"/>
      <c r="ABC288" s="1"/>
      <c r="ABD288" s="1"/>
      <c r="ABE288" s="1"/>
      <c r="ABF288" s="1"/>
      <c r="ABG288" s="1"/>
      <c r="ABH288" s="1"/>
      <c r="ABI288" s="1"/>
      <c r="ABJ288" s="1"/>
      <c r="ABK288" s="1"/>
      <c r="ABL288" s="1"/>
      <c r="ABM288" s="1"/>
      <c r="ABN288" s="1"/>
      <c r="ABO288" s="1"/>
      <c r="ABP288" s="1"/>
      <c r="ABQ288" s="1"/>
      <c r="ABR288" s="1"/>
      <c r="ABS288" s="1"/>
      <c r="ABT288" s="1"/>
      <c r="ABU288" s="1"/>
      <c r="ABV288" s="1"/>
      <c r="ABW288" s="1"/>
      <c r="ABX288" s="1"/>
      <c r="ABY288" s="1"/>
      <c r="ABZ288" s="1"/>
      <c r="ACA288" s="1"/>
      <c r="ACB288" s="1"/>
      <c r="ACC288" s="1"/>
      <c r="ACD288" s="1"/>
      <c r="ACE288" s="1"/>
      <c r="ACF288" s="1"/>
      <c r="ACG288" s="1"/>
      <c r="ACH288" s="1"/>
      <c r="ACI288" s="1"/>
      <c r="ACJ288" s="1"/>
      <c r="ACK288" s="1"/>
      <c r="ACL288" s="1"/>
      <c r="ACM288" s="1"/>
      <c r="ACN288" s="1"/>
      <c r="ACO288" s="1"/>
      <c r="ACP288" s="1"/>
      <c r="ACQ288" s="1"/>
      <c r="ACR288" s="1"/>
      <c r="ACS288" s="1"/>
      <c r="ACT288" s="1"/>
      <c r="ACU288" s="1"/>
      <c r="ACV288" s="1"/>
      <c r="ACW288" s="1"/>
      <c r="ACX288" s="1"/>
      <c r="ACY288" s="1"/>
      <c r="ACZ288" s="1"/>
      <c r="ADA288" s="1"/>
      <c r="ADB288" s="1"/>
      <c r="ADC288" s="1"/>
      <c r="ADD288" s="1"/>
      <c r="ADE288" s="1"/>
      <c r="ADF288" s="1"/>
      <c r="ADG288" s="1"/>
      <c r="ADH288" s="1"/>
      <c r="ADI288" s="1"/>
      <c r="ADJ288" s="1"/>
      <c r="ADK288" s="1"/>
      <c r="ADL288" s="1"/>
      <c r="ADM288" s="1"/>
      <c r="ADN288" s="1"/>
      <c r="ADO288" s="1"/>
      <c r="ADP288" s="1"/>
      <c r="ADQ288" s="1"/>
      <c r="ADR288" s="1"/>
      <c r="ADS288" s="1"/>
      <c r="ADT288" s="1"/>
      <c r="ADU288" s="1"/>
      <c r="ADV288" s="1"/>
      <c r="ADW288" s="1"/>
      <c r="ADX288" s="1"/>
      <c r="ADY288" s="1"/>
      <c r="ADZ288" s="1"/>
      <c r="AEA288" s="1"/>
      <c r="AEB288" s="1"/>
      <c r="AEC288" s="1"/>
      <c r="AED288" s="1"/>
      <c r="AEE288" s="1"/>
      <c r="AEF288" s="1"/>
      <c r="AEG288" s="1"/>
      <c r="AEH288" s="1"/>
      <c r="AEI288" s="1"/>
      <c r="AEJ288" s="1"/>
      <c r="AEK288" s="1"/>
      <c r="AEL288" s="1"/>
      <c r="AEM288" s="1"/>
      <c r="AEN288" s="1"/>
      <c r="AEO288" s="1"/>
      <c r="AEP288" s="1"/>
      <c r="AEQ288" s="1"/>
      <c r="AER288" s="1"/>
      <c r="AES288" s="1"/>
      <c r="AET288" s="1"/>
      <c r="AEU288" s="1"/>
      <c r="AEV288" s="1"/>
      <c r="AEW288" s="1"/>
      <c r="AEX288" s="1"/>
      <c r="AEY288" s="1"/>
      <c r="AEZ288" s="1"/>
      <c r="AFA288" s="1"/>
      <c r="AFB288" s="1"/>
      <c r="AFC288" s="1"/>
      <c r="AFD288" s="1"/>
      <c r="AFE288" s="1"/>
      <c r="AFF288" s="1"/>
      <c r="AFG288" s="1"/>
      <c r="AFH288" s="1"/>
      <c r="AFI288" s="1"/>
      <c r="AFJ288" s="1"/>
      <c r="AFK288" s="1"/>
      <c r="AFL288" s="1"/>
      <c r="AFM288" s="1"/>
      <c r="AFN288" s="1"/>
      <c r="AFO288" s="1"/>
      <c r="AFP288" s="1"/>
      <c r="AFQ288" s="1"/>
      <c r="AFR288" s="1"/>
      <c r="AFS288" s="1"/>
      <c r="AFT288" s="1"/>
      <c r="AFU288" s="1"/>
      <c r="AFV288" s="1"/>
      <c r="AFW288" s="1"/>
      <c r="AFX288" s="1"/>
      <c r="AFY288" s="1"/>
      <c r="AFZ288" s="1"/>
      <c r="AGA288" s="1"/>
      <c r="AGB288" s="1"/>
      <c r="AGC288" s="1"/>
      <c r="AGD288" s="1"/>
      <c r="AGE288" s="1"/>
      <c r="AGF288" s="1"/>
      <c r="AGG288" s="1"/>
      <c r="AGH288" s="1"/>
      <c r="AGI288" s="1"/>
      <c r="AGJ288" s="1"/>
      <c r="AGK288" s="1"/>
      <c r="AGL288" s="1"/>
      <c r="AGM288" s="1"/>
      <c r="AGN288" s="1"/>
      <c r="AGO288" s="1"/>
      <c r="AGP288" s="1"/>
      <c r="AGQ288" s="1"/>
      <c r="AGR288" s="1"/>
      <c r="AGS288" s="1"/>
      <c r="AGT288" s="1"/>
      <c r="AGU288" s="1"/>
      <c r="AGV288" s="1"/>
      <c r="AGW288" s="1"/>
      <c r="AGX288" s="1"/>
      <c r="AGY288" s="1"/>
      <c r="AGZ288" s="1"/>
      <c r="AHA288" s="1"/>
      <c r="AHB288" s="1"/>
      <c r="AHC288" s="1"/>
      <c r="AHD288" s="1"/>
      <c r="AHE288" s="1"/>
      <c r="AHF288" s="1"/>
      <c r="AHG288" s="1"/>
      <c r="AHH288" s="1"/>
      <c r="AHI288" s="1"/>
      <c r="AHJ288" s="1"/>
      <c r="AHK288" s="1"/>
      <c r="AHL288" s="1"/>
      <c r="AHM288" s="1"/>
      <c r="AHN288" s="1"/>
      <c r="AHO288" s="1"/>
      <c r="AHP288" s="1"/>
      <c r="AHQ288" s="1"/>
      <c r="AHR288" s="1"/>
      <c r="AHS288" s="1"/>
      <c r="AHT288" s="1"/>
      <c r="AHU288" s="1"/>
      <c r="AHV288" s="1"/>
      <c r="AHW288" s="1"/>
      <c r="AHX288" s="1"/>
      <c r="AHY288" s="1"/>
    </row>
    <row r="289" spans="1:909" s="5" customFormat="1" ht="22.2" thickTop="1" thickBot="1">
      <c r="A289" s="6" t="s">
        <v>110</v>
      </c>
      <c r="B289" s="194">
        <f>SUM(B287:B288)</f>
        <v>0</v>
      </c>
      <c r="C289" s="195"/>
      <c r="D289" s="194">
        <f>SUM(D287:D288)</f>
        <v>0</v>
      </c>
      <c r="E289" s="195"/>
      <c r="F289" s="194">
        <f>SUM(F287:F288)</f>
        <v>0</v>
      </c>
      <c r="G289" s="195"/>
      <c r="H289" s="194">
        <f>SUM(H287:H288)</f>
        <v>0</v>
      </c>
      <c r="I289" s="195"/>
      <c r="J289" s="194">
        <f>SUM(J287:J288)</f>
        <v>0</v>
      </c>
      <c r="K289" s="195"/>
      <c r="L289" s="194">
        <f>SUM(L287:L288)</f>
        <v>0</v>
      </c>
      <c r="M289" s="195"/>
      <c r="N289" s="194">
        <f>L289+J289+H289+F289+D289+B289</f>
        <v>0</v>
      </c>
      <c r="O289" s="196"/>
      <c r="P289" s="197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  <c r="JR289" s="1"/>
      <c r="JS289" s="1"/>
      <c r="JT289" s="1"/>
      <c r="JU289" s="1"/>
      <c r="JV289" s="1"/>
      <c r="JW289" s="1"/>
      <c r="JX289" s="1"/>
      <c r="JY289" s="1"/>
      <c r="JZ289" s="1"/>
      <c r="KA289" s="1"/>
      <c r="KB289" s="1"/>
      <c r="KC289" s="1"/>
      <c r="KD289" s="1"/>
      <c r="KE289" s="1"/>
      <c r="KF289" s="1"/>
      <c r="KG289" s="1"/>
      <c r="KH289" s="1"/>
      <c r="KI289" s="1"/>
      <c r="KJ289" s="1"/>
      <c r="KK289" s="1"/>
      <c r="KL289" s="1"/>
      <c r="KM289" s="1"/>
      <c r="KN289" s="1"/>
      <c r="KO289" s="1"/>
      <c r="KP289" s="1"/>
      <c r="KQ289" s="1"/>
      <c r="KR289" s="1"/>
      <c r="KS289" s="1"/>
      <c r="KT289" s="1"/>
      <c r="KU289" s="1"/>
      <c r="KV289" s="1"/>
      <c r="KW289" s="1"/>
      <c r="KX289" s="1"/>
      <c r="KY289" s="1"/>
      <c r="KZ289" s="1"/>
      <c r="LA289" s="1"/>
      <c r="LB289" s="1"/>
      <c r="LC289" s="1"/>
      <c r="LD289" s="1"/>
      <c r="LE289" s="1"/>
      <c r="LF289" s="1"/>
      <c r="LG289" s="1"/>
      <c r="LH289" s="1"/>
      <c r="LI289" s="1"/>
      <c r="LJ289" s="1"/>
      <c r="LK289" s="1"/>
      <c r="LL289" s="1"/>
      <c r="LM289" s="1"/>
      <c r="LN289" s="1"/>
      <c r="LO289" s="1"/>
      <c r="LP289" s="1"/>
      <c r="LQ289" s="1"/>
      <c r="LR289" s="1"/>
      <c r="LS289" s="1"/>
      <c r="LT289" s="1"/>
      <c r="LU289" s="1"/>
      <c r="LV289" s="1"/>
      <c r="LW289" s="1"/>
      <c r="LX289" s="1"/>
      <c r="LY289" s="1"/>
      <c r="LZ289" s="1"/>
      <c r="MA289" s="1"/>
      <c r="MB289" s="1"/>
      <c r="MC289" s="1"/>
      <c r="MD289" s="1"/>
      <c r="ME289" s="1"/>
      <c r="MF289" s="1"/>
      <c r="MG289" s="1"/>
      <c r="MH289" s="1"/>
      <c r="MI289" s="1"/>
      <c r="MJ289" s="1"/>
      <c r="MK289" s="1"/>
      <c r="ML289" s="1"/>
      <c r="MM289" s="1"/>
      <c r="MN289" s="1"/>
      <c r="MO289" s="1"/>
      <c r="MP289" s="1"/>
      <c r="MQ289" s="1"/>
      <c r="MR289" s="1"/>
      <c r="MS289" s="1"/>
      <c r="MT289" s="1"/>
      <c r="MU289" s="1"/>
      <c r="MV289" s="1"/>
      <c r="MW289" s="1"/>
      <c r="MX289" s="1"/>
      <c r="MY289" s="1"/>
      <c r="MZ289" s="1"/>
      <c r="NA289" s="1"/>
      <c r="NB289" s="1"/>
      <c r="NC289" s="1"/>
      <c r="ND289" s="1"/>
      <c r="NE289" s="1"/>
      <c r="NF289" s="1"/>
      <c r="NG289" s="1"/>
      <c r="NH289" s="1"/>
      <c r="NI289" s="1"/>
      <c r="NJ289" s="1"/>
      <c r="NK289" s="1"/>
      <c r="NL289" s="1"/>
      <c r="NM289" s="1"/>
      <c r="NN289" s="1"/>
      <c r="NO289" s="1"/>
      <c r="NP289" s="1"/>
      <c r="NQ289" s="1"/>
      <c r="NR289" s="1"/>
      <c r="NS289" s="1"/>
      <c r="NT289" s="1"/>
      <c r="NU289" s="1"/>
      <c r="NV289" s="1"/>
      <c r="NW289" s="1"/>
      <c r="NX289" s="1"/>
      <c r="NY289" s="1"/>
      <c r="NZ289" s="1"/>
      <c r="OA289" s="1"/>
      <c r="OB289" s="1"/>
      <c r="OC289" s="1"/>
      <c r="OD289" s="1"/>
      <c r="OE289" s="1"/>
      <c r="OF289" s="1"/>
      <c r="OG289" s="1"/>
      <c r="OH289" s="1"/>
      <c r="OI289" s="1"/>
      <c r="OJ289" s="1"/>
      <c r="OK289" s="1"/>
      <c r="OL289" s="1"/>
      <c r="OM289" s="1"/>
      <c r="ON289" s="1"/>
      <c r="OO289" s="1"/>
      <c r="OP289" s="1"/>
      <c r="OQ289" s="1"/>
      <c r="OR289" s="1"/>
      <c r="OS289" s="1"/>
      <c r="OT289" s="1"/>
      <c r="OU289" s="1"/>
      <c r="OV289" s="1"/>
      <c r="OW289" s="1"/>
      <c r="OX289" s="1"/>
      <c r="OY289" s="1"/>
      <c r="OZ289" s="1"/>
      <c r="PA289" s="1"/>
      <c r="PB289" s="1"/>
      <c r="PC289" s="1"/>
      <c r="PD289" s="1"/>
      <c r="PE289" s="1"/>
      <c r="PF289" s="1"/>
      <c r="PG289" s="1"/>
      <c r="PH289" s="1"/>
      <c r="PI289" s="1"/>
      <c r="PJ289" s="1"/>
      <c r="PK289" s="1"/>
      <c r="PL289" s="1"/>
      <c r="PM289" s="1"/>
      <c r="PN289" s="1"/>
      <c r="PO289" s="1"/>
      <c r="PP289" s="1"/>
      <c r="PQ289" s="1"/>
      <c r="PR289" s="1"/>
      <c r="PS289" s="1"/>
      <c r="PT289" s="1"/>
      <c r="PU289" s="1"/>
      <c r="PV289" s="1"/>
      <c r="PW289" s="1"/>
      <c r="PX289" s="1"/>
      <c r="PY289" s="1"/>
      <c r="PZ289" s="1"/>
      <c r="QA289" s="1"/>
      <c r="QB289" s="1"/>
      <c r="QC289" s="1"/>
      <c r="QD289" s="1"/>
      <c r="QE289" s="1"/>
      <c r="QF289" s="1"/>
      <c r="QG289" s="1"/>
      <c r="QH289" s="1"/>
      <c r="QI289" s="1"/>
      <c r="QJ289" s="1"/>
      <c r="QK289" s="1"/>
      <c r="QL289" s="1"/>
      <c r="QM289" s="1"/>
      <c r="QN289" s="1"/>
      <c r="QO289" s="1"/>
      <c r="QP289" s="1"/>
      <c r="QQ289" s="1"/>
      <c r="QR289" s="1"/>
      <c r="QS289" s="1"/>
      <c r="QT289" s="1"/>
      <c r="QU289" s="1"/>
      <c r="QV289" s="1"/>
      <c r="QW289" s="1"/>
      <c r="QX289" s="1"/>
      <c r="QY289" s="1"/>
      <c r="QZ289" s="1"/>
      <c r="RA289" s="1"/>
      <c r="RB289" s="1"/>
      <c r="RC289" s="1"/>
      <c r="RD289" s="1"/>
      <c r="RE289" s="1"/>
      <c r="RF289" s="1"/>
      <c r="RG289" s="1"/>
      <c r="RH289" s="1"/>
      <c r="RI289" s="1"/>
      <c r="RJ289" s="1"/>
      <c r="RK289" s="1"/>
      <c r="RL289" s="1"/>
      <c r="RM289" s="1"/>
      <c r="RN289" s="1"/>
      <c r="RO289" s="1"/>
      <c r="RP289" s="1"/>
      <c r="RQ289" s="1"/>
      <c r="RR289" s="1"/>
      <c r="RS289" s="1"/>
      <c r="RT289" s="1"/>
      <c r="RU289" s="1"/>
      <c r="RV289" s="1"/>
      <c r="RW289" s="1"/>
      <c r="RX289" s="1"/>
      <c r="RY289" s="1"/>
      <c r="RZ289" s="1"/>
      <c r="SA289" s="1"/>
      <c r="SB289" s="1"/>
      <c r="SC289" s="1"/>
      <c r="SD289" s="1"/>
      <c r="SE289" s="1"/>
      <c r="SF289" s="1"/>
      <c r="SG289" s="1"/>
      <c r="SH289" s="1"/>
      <c r="SI289" s="1"/>
      <c r="SJ289" s="1"/>
      <c r="SK289" s="1"/>
      <c r="SL289" s="1"/>
      <c r="SM289" s="1"/>
      <c r="SN289" s="1"/>
      <c r="SO289" s="1"/>
      <c r="SP289" s="1"/>
      <c r="SQ289" s="1"/>
      <c r="SR289" s="1"/>
      <c r="SS289" s="1"/>
      <c r="ST289" s="1"/>
      <c r="SU289" s="1"/>
      <c r="SV289" s="1"/>
      <c r="SW289" s="1"/>
      <c r="SX289" s="1"/>
      <c r="SY289" s="1"/>
      <c r="SZ289" s="1"/>
      <c r="TA289" s="1"/>
      <c r="TB289" s="1"/>
      <c r="TC289" s="1"/>
      <c r="TD289" s="1"/>
      <c r="TE289" s="1"/>
      <c r="TF289" s="1"/>
      <c r="TG289" s="1"/>
      <c r="TH289" s="1"/>
      <c r="TI289" s="1"/>
      <c r="TJ289" s="1"/>
      <c r="TK289" s="1"/>
      <c r="TL289" s="1"/>
      <c r="TM289" s="1"/>
      <c r="TN289" s="1"/>
      <c r="TO289" s="1"/>
      <c r="TP289" s="1"/>
      <c r="TQ289" s="1"/>
      <c r="TR289" s="1"/>
      <c r="TS289" s="1"/>
      <c r="TT289" s="1"/>
      <c r="TU289" s="1"/>
      <c r="TV289" s="1"/>
      <c r="TW289" s="1"/>
      <c r="TX289" s="1"/>
      <c r="TY289" s="1"/>
      <c r="TZ289" s="1"/>
      <c r="UA289" s="1"/>
      <c r="UB289" s="1"/>
      <c r="UC289" s="1"/>
      <c r="UD289" s="1"/>
      <c r="UE289" s="1"/>
      <c r="UF289" s="1"/>
      <c r="UG289" s="1"/>
      <c r="UH289" s="1"/>
      <c r="UI289" s="1"/>
      <c r="UJ289" s="1"/>
      <c r="UK289" s="1"/>
      <c r="UL289" s="1"/>
      <c r="UM289" s="1"/>
      <c r="UN289" s="1"/>
      <c r="UO289" s="1"/>
      <c r="UP289" s="1"/>
      <c r="UQ289" s="1"/>
      <c r="UR289" s="1"/>
      <c r="US289" s="1"/>
      <c r="UT289" s="1"/>
      <c r="UU289" s="1"/>
      <c r="UV289" s="1"/>
      <c r="UW289" s="1"/>
      <c r="UX289" s="1"/>
      <c r="UY289" s="1"/>
      <c r="UZ289" s="1"/>
      <c r="VA289" s="1"/>
      <c r="VB289" s="1"/>
      <c r="VC289" s="1"/>
      <c r="VD289" s="1"/>
      <c r="VE289" s="1"/>
      <c r="VF289" s="1"/>
      <c r="VG289" s="1"/>
      <c r="VH289" s="1"/>
      <c r="VI289" s="1"/>
      <c r="VJ289" s="1"/>
      <c r="VK289" s="1"/>
      <c r="VL289" s="1"/>
      <c r="VM289" s="1"/>
      <c r="VN289" s="1"/>
      <c r="VO289" s="1"/>
      <c r="VP289" s="1"/>
      <c r="VQ289" s="1"/>
      <c r="VR289" s="1"/>
      <c r="VS289" s="1"/>
      <c r="VT289" s="1"/>
      <c r="VU289" s="1"/>
      <c r="VV289" s="1"/>
      <c r="VW289" s="1"/>
      <c r="VX289" s="1"/>
      <c r="VY289" s="1"/>
      <c r="VZ289" s="1"/>
      <c r="WA289" s="1"/>
      <c r="WB289" s="1"/>
      <c r="WC289" s="1"/>
      <c r="WD289" s="1"/>
      <c r="WE289" s="1"/>
      <c r="WF289" s="1"/>
      <c r="WG289" s="1"/>
      <c r="WH289" s="1"/>
      <c r="WI289" s="1"/>
      <c r="WJ289" s="1"/>
      <c r="WK289" s="1"/>
      <c r="WL289" s="1"/>
      <c r="WM289" s="1"/>
      <c r="WN289" s="1"/>
      <c r="WO289" s="1"/>
      <c r="WP289" s="1"/>
      <c r="WQ289" s="1"/>
      <c r="WR289" s="1"/>
      <c r="WS289" s="1"/>
      <c r="WT289" s="1"/>
      <c r="WU289" s="1"/>
      <c r="WV289" s="1"/>
      <c r="WW289" s="1"/>
      <c r="WX289" s="1"/>
      <c r="WY289" s="1"/>
      <c r="WZ289" s="1"/>
      <c r="XA289" s="1"/>
      <c r="XB289" s="1"/>
      <c r="XC289" s="1"/>
      <c r="XD289" s="1"/>
      <c r="XE289" s="1"/>
      <c r="XF289" s="1"/>
      <c r="XG289" s="1"/>
      <c r="XH289" s="1"/>
      <c r="XI289" s="1"/>
      <c r="XJ289" s="1"/>
      <c r="XK289" s="1"/>
      <c r="XL289" s="1"/>
      <c r="XM289" s="1"/>
      <c r="XN289" s="1"/>
      <c r="XO289" s="1"/>
      <c r="XP289" s="1"/>
      <c r="XQ289" s="1"/>
      <c r="XR289" s="1"/>
      <c r="XS289" s="1"/>
      <c r="XT289" s="1"/>
      <c r="XU289" s="1"/>
      <c r="XV289" s="1"/>
      <c r="XW289" s="1"/>
      <c r="XX289" s="1"/>
      <c r="XY289" s="1"/>
      <c r="XZ289" s="1"/>
      <c r="YA289" s="1"/>
      <c r="YB289" s="1"/>
      <c r="YC289" s="1"/>
      <c r="YD289" s="1"/>
      <c r="YE289" s="1"/>
      <c r="YF289" s="1"/>
      <c r="YG289" s="1"/>
      <c r="YH289" s="1"/>
      <c r="YI289" s="1"/>
      <c r="YJ289" s="1"/>
      <c r="YK289" s="1"/>
      <c r="YL289" s="1"/>
      <c r="YM289" s="1"/>
      <c r="YN289" s="1"/>
      <c r="YO289" s="1"/>
      <c r="YP289" s="1"/>
      <c r="YQ289" s="1"/>
      <c r="YR289" s="1"/>
      <c r="YS289" s="1"/>
      <c r="YT289" s="1"/>
      <c r="YU289" s="1"/>
      <c r="YV289" s="1"/>
      <c r="YW289" s="1"/>
      <c r="YX289" s="1"/>
      <c r="YY289" s="1"/>
      <c r="YZ289" s="1"/>
      <c r="ZA289" s="1"/>
      <c r="ZB289" s="1"/>
      <c r="ZC289" s="1"/>
      <c r="ZD289" s="1"/>
      <c r="ZE289" s="1"/>
      <c r="ZF289" s="1"/>
      <c r="ZG289" s="1"/>
      <c r="ZH289" s="1"/>
      <c r="ZI289" s="1"/>
      <c r="ZJ289" s="1"/>
      <c r="ZK289" s="1"/>
      <c r="ZL289" s="1"/>
      <c r="ZM289" s="1"/>
      <c r="ZN289" s="1"/>
      <c r="ZO289" s="1"/>
      <c r="ZP289" s="1"/>
      <c r="ZQ289" s="1"/>
      <c r="ZR289" s="1"/>
      <c r="ZS289" s="1"/>
      <c r="ZT289" s="1"/>
      <c r="ZU289" s="1"/>
      <c r="ZV289" s="1"/>
      <c r="ZW289" s="1"/>
      <c r="ZX289" s="1"/>
      <c r="ZY289" s="1"/>
      <c r="ZZ289" s="1"/>
      <c r="AAA289" s="1"/>
      <c r="AAB289" s="1"/>
      <c r="AAC289" s="1"/>
      <c r="AAD289" s="1"/>
      <c r="AAE289" s="1"/>
      <c r="AAF289" s="1"/>
      <c r="AAG289" s="1"/>
      <c r="AAH289" s="1"/>
      <c r="AAI289" s="1"/>
      <c r="AAJ289" s="1"/>
      <c r="AAK289" s="1"/>
      <c r="AAL289" s="1"/>
      <c r="AAM289" s="1"/>
      <c r="AAN289" s="1"/>
      <c r="AAO289" s="1"/>
      <c r="AAP289" s="1"/>
      <c r="AAQ289" s="1"/>
      <c r="AAR289" s="1"/>
      <c r="AAS289" s="1"/>
      <c r="AAT289" s="1"/>
      <c r="AAU289" s="1"/>
      <c r="AAV289" s="1"/>
      <c r="AAW289" s="1"/>
      <c r="AAX289" s="1"/>
      <c r="AAY289" s="1"/>
      <c r="AAZ289" s="1"/>
      <c r="ABA289" s="1"/>
      <c r="ABB289" s="1"/>
      <c r="ABC289" s="1"/>
      <c r="ABD289" s="1"/>
      <c r="ABE289" s="1"/>
      <c r="ABF289" s="1"/>
      <c r="ABG289" s="1"/>
      <c r="ABH289" s="1"/>
      <c r="ABI289" s="1"/>
      <c r="ABJ289" s="1"/>
      <c r="ABK289" s="1"/>
      <c r="ABL289" s="1"/>
      <c r="ABM289" s="1"/>
      <c r="ABN289" s="1"/>
      <c r="ABO289" s="1"/>
      <c r="ABP289" s="1"/>
      <c r="ABQ289" s="1"/>
      <c r="ABR289" s="1"/>
      <c r="ABS289" s="1"/>
      <c r="ABT289" s="1"/>
      <c r="ABU289" s="1"/>
      <c r="ABV289" s="1"/>
      <c r="ABW289" s="1"/>
      <c r="ABX289" s="1"/>
      <c r="ABY289" s="1"/>
      <c r="ABZ289" s="1"/>
      <c r="ACA289" s="1"/>
      <c r="ACB289" s="1"/>
      <c r="ACC289" s="1"/>
      <c r="ACD289" s="1"/>
      <c r="ACE289" s="1"/>
      <c r="ACF289" s="1"/>
      <c r="ACG289" s="1"/>
      <c r="ACH289" s="1"/>
      <c r="ACI289" s="1"/>
      <c r="ACJ289" s="1"/>
      <c r="ACK289" s="1"/>
      <c r="ACL289" s="1"/>
      <c r="ACM289" s="1"/>
      <c r="ACN289" s="1"/>
      <c r="ACO289" s="1"/>
      <c r="ACP289" s="1"/>
      <c r="ACQ289" s="1"/>
      <c r="ACR289" s="1"/>
      <c r="ACS289" s="1"/>
      <c r="ACT289" s="1"/>
      <c r="ACU289" s="1"/>
      <c r="ACV289" s="1"/>
      <c r="ACW289" s="1"/>
      <c r="ACX289" s="1"/>
      <c r="ACY289" s="1"/>
      <c r="ACZ289" s="1"/>
      <c r="ADA289" s="1"/>
      <c r="ADB289" s="1"/>
      <c r="ADC289" s="1"/>
      <c r="ADD289" s="1"/>
      <c r="ADE289" s="1"/>
      <c r="ADF289" s="1"/>
      <c r="ADG289" s="1"/>
      <c r="ADH289" s="1"/>
      <c r="ADI289" s="1"/>
      <c r="ADJ289" s="1"/>
      <c r="ADK289" s="1"/>
      <c r="ADL289" s="1"/>
      <c r="ADM289" s="1"/>
      <c r="ADN289" s="1"/>
      <c r="ADO289" s="1"/>
      <c r="ADP289" s="1"/>
      <c r="ADQ289" s="1"/>
      <c r="ADR289" s="1"/>
      <c r="ADS289" s="1"/>
      <c r="ADT289" s="1"/>
      <c r="ADU289" s="1"/>
      <c r="ADV289" s="1"/>
      <c r="ADW289" s="1"/>
      <c r="ADX289" s="1"/>
      <c r="ADY289" s="1"/>
      <c r="ADZ289" s="1"/>
      <c r="AEA289" s="1"/>
      <c r="AEB289" s="1"/>
      <c r="AEC289" s="1"/>
      <c r="AED289" s="1"/>
      <c r="AEE289" s="1"/>
      <c r="AEF289" s="1"/>
      <c r="AEG289" s="1"/>
      <c r="AEH289" s="1"/>
      <c r="AEI289" s="1"/>
      <c r="AEJ289" s="1"/>
      <c r="AEK289" s="1"/>
      <c r="AEL289" s="1"/>
      <c r="AEM289" s="1"/>
      <c r="AEN289" s="1"/>
      <c r="AEO289" s="1"/>
      <c r="AEP289" s="1"/>
      <c r="AEQ289" s="1"/>
      <c r="AER289" s="1"/>
      <c r="AES289" s="1"/>
      <c r="AET289" s="1"/>
      <c r="AEU289" s="1"/>
      <c r="AEV289" s="1"/>
      <c r="AEW289" s="1"/>
      <c r="AEX289" s="1"/>
      <c r="AEY289" s="1"/>
      <c r="AEZ289" s="1"/>
      <c r="AFA289" s="1"/>
      <c r="AFB289" s="1"/>
      <c r="AFC289" s="1"/>
      <c r="AFD289" s="1"/>
      <c r="AFE289" s="1"/>
      <c r="AFF289" s="1"/>
      <c r="AFG289" s="1"/>
      <c r="AFH289" s="1"/>
      <c r="AFI289" s="1"/>
      <c r="AFJ289" s="1"/>
      <c r="AFK289" s="1"/>
      <c r="AFL289" s="1"/>
      <c r="AFM289" s="1"/>
      <c r="AFN289" s="1"/>
      <c r="AFO289" s="1"/>
      <c r="AFP289" s="1"/>
      <c r="AFQ289" s="1"/>
      <c r="AFR289" s="1"/>
      <c r="AFS289" s="1"/>
      <c r="AFT289" s="1"/>
      <c r="AFU289" s="1"/>
      <c r="AFV289" s="1"/>
      <c r="AFW289" s="1"/>
      <c r="AFX289" s="1"/>
      <c r="AFY289" s="1"/>
      <c r="AFZ289" s="1"/>
      <c r="AGA289" s="1"/>
      <c r="AGB289" s="1"/>
      <c r="AGC289" s="1"/>
      <c r="AGD289" s="1"/>
      <c r="AGE289" s="1"/>
      <c r="AGF289" s="1"/>
      <c r="AGG289" s="1"/>
      <c r="AGH289" s="1"/>
      <c r="AGI289" s="1"/>
      <c r="AGJ289" s="1"/>
      <c r="AGK289" s="1"/>
      <c r="AGL289" s="1"/>
      <c r="AGM289" s="1"/>
      <c r="AGN289" s="1"/>
      <c r="AGO289" s="1"/>
      <c r="AGP289" s="1"/>
      <c r="AGQ289" s="1"/>
      <c r="AGR289" s="1"/>
      <c r="AGS289" s="1"/>
      <c r="AGT289" s="1"/>
      <c r="AGU289" s="1"/>
      <c r="AGV289" s="1"/>
      <c r="AGW289" s="1"/>
      <c r="AGX289" s="1"/>
      <c r="AGY289" s="1"/>
      <c r="AGZ289" s="1"/>
      <c r="AHA289" s="1"/>
      <c r="AHB289" s="1"/>
      <c r="AHC289" s="1"/>
      <c r="AHD289" s="1"/>
      <c r="AHE289" s="1"/>
      <c r="AHF289" s="1"/>
      <c r="AHG289" s="1"/>
      <c r="AHH289" s="1"/>
      <c r="AHI289" s="1"/>
      <c r="AHJ289" s="1"/>
      <c r="AHK289" s="1"/>
      <c r="AHL289" s="1"/>
      <c r="AHM289" s="1"/>
      <c r="AHN289" s="1"/>
      <c r="AHO289" s="1"/>
      <c r="AHP289" s="1"/>
      <c r="AHQ289" s="1"/>
      <c r="AHR289" s="1"/>
      <c r="AHS289" s="1"/>
      <c r="AHT289" s="1"/>
      <c r="AHU289" s="1"/>
      <c r="AHV289" s="1"/>
      <c r="AHW289" s="1"/>
      <c r="AHX289" s="1"/>
      <c r="AHY289" s="1"/>
    </row>
    <row r="290" spans="1:909" s="5" customFormat="1" ht="21.6" thickTop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1"/>
      <c r="KG290" s="1"/>
      <c r="KH290" s="1"/>
      <c r="KI290" s="1"/>
      <c r="KJ290" s="1"/>
      <c r="KK290" s="1"/>
      <c r="KL290" s="1"/>
      <c r="KM290" s="1"/>
      <c r="KN290" s="1"/>
      <c r="KO290" s="1"/>
      <c r="KP290" s="1"/>
      <c r="KQ290" s="1"/>
      <c r="KR290" s="1"/>
      <c r="KS290" s="1"/>
      <c r="KT290" s="1"/>
      <c r="KU290" s="1"/>
      <c r="KV290" s="1"/>
      <c r="KW290" s="1"/>
      <c r="KX290" s="1"/>
      <c r="KY290" s="1"/>
      <c r="KZ290" s="1"/>
      <c r="LA290" s="1"/>
      <c r="LB290" s="1"/>
      <c r="LC290" s="1"/>
      <c r="LD290" s="1"/>
      <c r="LE290" s="1"/>
      <c r="LF290" s="1"/>
      <c r="LG290" s="1"/>
      <c r="LH290" s="1"/>
      <c r="LI290" s="1"/>
      <c r="LJ290" s="1"/>
      <c r="LK290" s="1"/>
      <c r="LL290" s="1"/>
      <c r="LM290" s="1"/>
      <c r="LN290" s="1"/>
      <c r="LO290" s="1"/>
      <c r="LP290" s="1"/>
      <c r="LQ290" s="1"/>
      <c r="LR290" s="1"/>
      <c r="LS290" s="1"/>
      <c r="LT290" s="1"/>
      <c r="LU290" s="1"/>
      <c r="LV290" s="1"/>
      <c r="LW290" s="1"/>
      <c r="LX290" s="1"/>
      <c r="LY290" s="1"/>
      <c r="LZ290" s="1"/>
      <c r="MA290" s="1"/>
      <c r="MB290" s="1"/>
      <c r="MC290" s="1"/>
      <c r="MD290" s="1"/>
      <c r="ME290" s="1"/>
      <c r="MF290" s="1"/>
      <c r="MG290" s="1"/>
      <c r="MH290" s="1"/>
      <c r="MI290" s="1"/>
      <c r="MJ290" s="1"/>
      <c r="MK290" s="1"/>
      <c r="ML290" s="1"/>
      <c r="MM290" s="1"/>
      <c r="MN290" s="1"/>
      <c r="MO290" s="1"/>
      <c r="MP290" s="1"/>
      <c r="MQ290" s="1"/>
      <c r="MR290" s="1"/>
      <c r="MS290" s="1"/>
      <c r="MT290" s="1"/>
      <c r="MU290" s="1"/>
      <c r="MV290" s="1"/>
      <c r="MW290" s="1"/>
      <c r="MX290" s="1"/>
      <c r="MY290" s="1"/>
      <c r="MZ290" s="1"/>
      <c r="NA290" s="1"/>
      <c r="NB290" s="1"/>
      <c r="NC290" s="1"/>
      <c r="ND290" s="1"/>
      <c r="NE290" s="1"/>
      <c r="NF290" s="1"/>
      <c r="NG290" s="1"/>
      <c r="NH290" s="1"/>
      <c r="NI290" s="1"/>
      <c r="NJ290" s="1"/>
      <c r="NK290" s="1"/>
      <c r="NL290" s="1"/>
      <c r="NM290" s="1"/>
      <c r="NN290" s="1"/>
      <c r="NO290" s="1"/>
      <c r="NP290" s="1"/>
      <c r="NQ290" s="1"/>
      <c r="NR290" s="1"/>
      <c r="NS290" s="1"/>
      <c r="NT290" s="1"/>
      <c r="NU290" s="1"/>
      <c r="NV290" s="1"/>
      <c r="NW290" s="1"/>
      <c r="NX290" s="1"/>
      <c r="NY290" s="1"/>
      <c r="NZ290" s="1"/>
      <c r="OA290" s="1"/>
      <c r="OB290" s="1"/>
      <c r="OC290" s="1"/>
      <c r="OD290" s="1"/>
      <c r="OE290" s="1"/>
      <c r="OF290" s="1"/>
      <c r="OG290" s="1"/>
      <c r="OH290" s="1"/>
      <c r="OI290" s="1"/>
      <c r="OJ290" s="1"/>
      <c r="OK290" s="1"/>
      <c r="OL290" s="1"/>
      <c r="OM290" s="1"/>
      <c r="ON290" s="1"/>
      <c r="OO290" s="1"/>
      <c r="OP290" s="1"/>
      <c r="OQ290" s="1"/>
      <c r="OR290" s="1"/>
      <c r="OS290" s="1"/>
      <c r="OT290" s="1"/>
      <c r="OU290" s="1"/>
      <c r="OV290" s="1"/>
      <c r="OW290" s="1"/>
      <c r="OX290" s="1"/>
      <c r="OY290" s="1"/>
      <c r="OZ290" s="1"/>
      <c r="PA290" s="1"/>
      <c r="PB290" s="1"/>
      <c r="PC290" s="1"/>
      <c r="PD290" s="1"/>
      <c r="PE290" s="1"/>
      <c r="PF290" s="1"/>
      <c r="PG290" s="1"/>
      <c r="PH290" s="1"/>
      <c r="PI290" s="1"/>
      <c r="PJ290" s="1"/>
      <c r="PK290" s="1"/>
      <c r="PL290" s="1"/>
      <c r="PM290" s="1"/>
      <c r="PN290" s="1"/>
      <c r="PO290" s="1"/>
      <c r="PP290" s="1"/>
      <c r="PQ290" s="1"/>
      <c r="PR290" s="1"/>
      <c r="PS290" s="1"/>
      <c r="PT290" s="1"/>
      <c r="PU290" s="1"/>
      <c r="PV290" s="1"/>
      <c r="PW290" s="1"/>
      <c r="PX290" s="1"/>
      <c r="PY290" s="1"/>
      <c r="PZ290" s="1"/>
      <c r="QA290" s="1"/>
      <c r="QB290" s="1"/>
      <c r="QC290" s="1"/>
      <c r="QD290" s="1"/>
      <c r="QE290" s="1"/>
      <c r="QF290" s="1"/>
      <c r="QG290" s="1"/>
      <c r="QH290" s="1"/>
      <c r="QI290" s="1"/>
      <c r="QJ290" s="1"/>
      <c r="QK290" s="1"/>
      <c r="QL290" s="1"/>
      <c r="QM290" s="1"/>
      <c r="QN290" s="1"/>
      <c r="QO290" s="1"/>
      <c r="QP290" s="1"/>
      <c r="QQ290" s="1"/>
      <c r="QR290" s="1"/>
      <c r="QS290" s="1"/>
      <c r="QT290" s="1"/>
      <c r="QU290" s="1"/>
      <c r="QV290" s="1"/>
      <c r="QW290" s="1"/>
      <c r="QX290" s="1"/>
      <c r="QY290" s="1"/>
      <c r="QZ290" s="1"/>
      <c r="RA290" s="1"/>
      <c r="RB290" s="1"/>
      <c r="RC290" s="1"/>
      <c r="RD290" s="1"/>
      <c r="RE290" s="1"/>
      <c r="RF290" s="1"/>
      <c r="RG290" s="1"/>
      <c r="RH290" s="1"/>
      <c r="RI290" s="1"/>
      <c r="RJ290" s="1"/>
      <c r="RK290" s="1"/>
      <c r="RL290" s="1"/>
      <c r="RM290" s="1"/>
      <c r="RN290" s="1"/>
      <c r="RO290" s="1"/>
      <c r="RP290" s="1"/>
      <c r="RQ290" s="1"/>
      <c r="RR290" s="1"/>
      <c r="RS290" s="1"/>
      <c r="RT290" s="1"/>
      <c r="RU290" s="1"/>
      <c r="RV290" s="1"/>
      <c r="RW290" s="1"/>
      <c r="RX290" s="1"/>
      <c r="RY290" s="1"/>
      <c r="RZ290" s="1"/>
      <c r="SA290" s="1"/>
      <c r="SB290" s="1"/>
      <c r="SC290" s="1"/>
      <c r="SD290" s="1"/>
      <c r="SE290" s="1"/>
      <c r="SF290" s="1"/>
      <c r="SG290" s="1"/>
      <c r="SH290" s="1"/>
      <c r="SI290" s="1"/>
      <c r="SJ290" s="1"/>
      <c r="SK290" s="1"/>
      <c r="SL290" s="1"/>
      <c r="SM290" s="1"/>
      <c r="SN290" s="1"/>
      <c r="SO290" s="1"/>
      <c r="SP290" s="1"/>
      <c r="SQ290" s="1"/>
      <c r="SR290" s="1"/>
      <c r="SS290" s="1"/>
      <c r="ST290" s="1"/>
      <c r="SU290" s="1"/>
      <c r="SV290" s="1"/>
      <c r="SW290" s="1"/>
      <c r="SX290" s="1"/>
      <c r="SY290" s="1"/>
      <c r="SZ290" s="1"/>
      <c r="TA290" s="1"/>
      <c r="TB290" s="1"/>
      <c r="TC290" s="1"/>
      <c r="TD290" s="1"/>
      <c r="TE290" s="1"/>
      <c r="TF290" s="1"/>
      <c r="TG290" s="1"/>
      <c r="TH290" s="1"/>
      <c r="TI290" s="1"/>
      <c r="TJ290" s="1"/>
      <c r="TK290" s="1"/>
      <c r="TL290" s="1"/>
      <c r="TM290" s="1"/>
      <c r="TN290" s="1"/>
      <c r="TO290" s="1"/>
      <c r="TP290" s="1"/>
      <c r="TQ290" s="1"/>
      <c r="TR290" s="1"/>
      <c r="TS290" s="1"/>
      <c r="TT290" s="1"/>
      <c r="TU290" s="1"/>
      <c r="TV290" s="1"/>
      <c r="TW290" s="1"/>
      <c r="TX290" s="1"/>
      <c r="TY290" s="1"/>
      <c r="TZ290" s="1"/>
      <c r="UA290" s="1"/>
      <c r="UB290" s="1"/>
      <c r="UC290" s="1"/>
      <c r="UD290" s="1"/>
      <c r="UE290" s="1"/>
      <c r="UF290" s="1"/>
      <c r="UG290" s="1"/>
      <c r="UH290" s="1"/>
      <c r="UI290" s="1"/>
      <c r="UJ290" s="1"/>
      <c r="UK290" s="1"/>
      <c r="UL290" s="1"/>
      <c r="UM290" s="1"/>
      <c r="UN290" s="1"/>
      <c r="UO290" s="1"/>
      <c r="UP290" s="1"/>
      <c r="UQ290" s="1"/>
      <c r="UR290" s="1"/>
      <c r="US290" s="1"/>
      <c r="UT290" s="1"/>
      <c r="UU290" s="1"/>
      <c r="UV290" s="1"/>
      <c r="UW290" s="1"/>
      <c r="UX290" s="1"/>
      <c r="UY290" s="1"/>
      <c r="UZ290" s="1"/>
      <c r="VA290" s="1"/>
      <c r="VB290" s="1"/>
      <c r="VC290" s="1"/>
      <c r="VD290" s="1"/>
      <c r="VE290" s="1"/>
      <c r="VF290" s="1"/>
      <c r="VG290" s="1"/>
      <c r="VH290" s="1"/>
      <c r="VI290" s="1"/>
      <c r="VJ290" s="1"/>
      <c r="VK290" s="1"/>
      <c r="VL290" s="1"/>
      <c r="VM290" s="1"/>
      <c r="VN290" s="1"/>
      <c r="VO290" s="1"/>
      <c r="VP290" s="1"/>
      <c r="VQ290" s="1"/>
      <c r="VR290" s="1"/>
      <c r="VS290" s="1"/>
      <c r="VT290" s="1"/>
      <c r="VU290" s="1"/>
      <c r="VV290" s="1"/>
      <c r="VW290" s="1"/>
      <c r="VX290" s="1"/>
      <c r="VY290" s="1"/>
      <c r="VZ290" s="1"/>
      <c r="WA290" s="1"/>
      <c r="WB290" s="1"/>
      <c r="WC290" s="1"/>
      <c r="WD290" s="1"/>
      <c r="WE290" s="1"/>
      <c r="WF290" s="1"/>
      <c r="WG290" s="1"/>
      <c r="WH290" s="1"/>
      <c r="WI290" s="1"/>
      <c r="WJ290" s="1"/>
      <c r="WK290" s="1"/>
      <c r="WL290" s="1"/>
      <c r="WM290" s="1"/>
      <c r="WN290" s="1"/>
      <c r="WO290" s="1"/>
      <c r="WP290" s="1"/>
      <c r="WQ290" s="1"/>
      <c r="WR290" s="1"/>
      <c r="WS290" s="1"/>
      <c r="WT290" s="1"/>
      <c r="WU290" s="1"/>
      <c r="WV290" s="1"/>
      <c r="WW290" s="1"/>
      <c r="WX290" s="1"/>
      <c r="WY290" s="1"/>
      <c r="WZ290" s="1"/>
      <c r="XA290" s="1"/>
      <c r="XB290" s="1"/>
      <c r="XC290" s="1"/>
      <c r="XD290" s="1"/>
      <c r="XE290" s="1"/>
      <c r="XF290" s="1"/>
      <c r="XG290" s="1"/>
      <c r="XH290" s="1"/>
      <c r="XI290" s="1"/>
      <c r="XJ290" s="1"/>
      <c r="XK290" s="1"/>
      <c r="XL290" s="1"/>
      <c r="XM290" s="1"/>
      <c r="XN290" s="1"/>
      <c r="XO290" s="1"/>
      <c r="XP290" s="1"/>
      <c r="XQ290" s="1"/>
      <c r="XR290" s="1"/>
      <c r="XS290" s="1"/>
      <c r="XT290" s="1"/>
      <c r="XU290" s="1"/>
      <c r="XV290" s="1"/>
      <c r="XW290" s="1"/>
      <c r="XX290" s="1"/>
      <c r="XY290" s="1"/>
      <c r="XZ290" s="1"/>
      <c r="YA290" s="1"/>
      <c r="YB290" s="1"/>
      <c r="YC290" s="1"/>
      <c r="YD290" s="1"/>
      <c r="YE290" s="1"/>
      <c r="YF290" s="1"/>
      <c r="YG290" s="1"/>
      <c r="YH290" s="1"/>
      <c r="YI290" s="1"/>
      <c r="YJ290" s="1"/>
      <c r="YK290" s="1"/>
      <c r="YL290" s="1"/>
      <c r="YM290" s="1"/>
      <c r="YN290" s="1"/>
      <c r="YO290" s="1"/>
      <c r="YP290" s="1"/>
      <c r="YQ290" s="1"/>
      <c r="YR290" s="1"/>
      <c r="YS290" s="1"/>
      <c r="YT290" s="1"/>
      <c r="YU290" s="1"/>
      <c r="YV290" s="1"/>
      <c r="YW290" s="1"/>
      <c r="YX290" s="1"/>
      <c r="YY290" s="1"/>
      <c r="YZ290" s="1"/>
      <c r="ZA290" s="1"/>
      <c r="ZB290" s="1"/>
      <c r="ZC290" s="1"/>
      <c r="ZD290" s="1"/>
      <c r="ZE290" s="1"/>
      <c r="ZF290" s="1"/>
      <c r="ZG290" s="1"/>
      <c r="ZH290" s="1"/>
      <c r="ZI290" s="1"/>
      <c r="ZJ290" s="1"/>
      <c r="ZK290" s="1"/>
      <c r="ZL290" s="1"/>
      <c r="ZM290" s="1"/>
      <c r="ZN290" s="1"/>
      <c r="ZO290" s="1"/>
      <c r="ZP290" s="1"/>
      <c r="ZQ290" s="1"/>
      <c r="ZR290" s="1"/>
      <c r="ZS290" s="1"/>
      <c r="ZT290" s="1"/>
      <c r="ZU290" s="1"/>
      <c r="ZV290" s="1"/>
      <c r="ZW290" s="1"/>
      <c r="ZX290" s="1"/>
      <c r="ZY290" s="1"/>
      <c r="ZZ290" s="1"/>
      <c r="AAA290" s="1"/>
      <c r="AAB290" s="1"/>
      <c r="AAC290" s="1"/>
      <c r="AAD290" s="1"/>
      <c r="AAE290" s="1"/>
      <c r="AAF290" s="1"/>
      <c r="AAG290" s="1"/>
      <c r="AAH290" s="1"/>
      <c r="AAI290" s="1"/>
      <c r="AAJ290" s="1"/>
      <c r="AAK290" s="1"/>
      <c r="AAL290" s="1"/>
      <c r="AAM290" s="1"/>
      <c r="AAN290" s="1"/>
      <c r="AAO290" s="1"/>
      <c r="AAP290" s="1"/>
      <c r="AAQ290" s="1"/>
      <c r="AAR290" s="1"/>
      <c r="AAS290" s="1"/>
      <c r="AAT290" s="1"/>
      <c r="AAU290" s="1"/>
      <c r="AAV290" s="1"/>
      <c r="AAW290" s="1"/>
      <c r="AAX290" s="1"/>
      <c r="AAY290" s="1"/>
      <c r="AAZ290" s="1"/>
      <c r="ABA290" s="1"/>
      <c r="ABB290" s="1"/>
      <c r="ABC290" s="1"/>
      <c r="ABD290" s="1"/>
      <c r="ABE290" s="1"/>
      <c r="ABF290" s="1"/>
      <c r="ABG290" s="1"/>
      <c r="ABH290" s="1"/>
      <c r="ABI290" s="1"/>
      <c r="ABJ290" s="1"/>
      <c r="ABK290" s="1"/>
      <c r="ABL290" s="1"/>
      <c r="ABM290" s="1"/>
      <c r="ABN290" s="1"/>
      <c r="ABO290" s="1"/>
      <c r="ABP290" s="1"/>
      <c r="ABQ290" s="1"/>
      <c r="ABR290" s="1"/>
      <c r="ABS290" s="1"/>
      <c r="ABT290" s="1"/>
      <c r="ABU290" s="1"/>
      <c r="ABV290" s="1"/>
      <c r="ABW290" s="1"/>
      <c r="ABX290" s="1"/>
      <c r="ABY290" s="1"/>
      <c r="ABZ290" s="1"/>
      <c r="ACA290" s="1"/>
      <c r="ACB290" s="1"/>
      <c r="ACC290" s="1"/>
      <c r="ACD290" s="1"/>
      <c r="ACE290" s="1"/>
      <c r="ACF290" s="1"/>
      <c r="ACG290" s="1"/>
      <c r="ACH290" s="1"/>
      <c r="ACI290" s="1"/>
      <c r="ACJ290" s="1"/>
      <c r="ACK290" s="1"/>
      <c r="ACL290" s="1"/>
      <c r="ACM290" s="1"/>
      <c r="ACN290" s="1"/>
      <c r="ACO290" s="1"/>
      <c r="ACP290" s="1"/>
      <c r="ACQ290" s="1"/>
      <c r="ACR290" s="1"/>
      <c r="ACS290" s="1"/>
      <c r="ACT290" s="1"/>
      <c r="ACU290" s="1"/>
      <c r="ACV290" s="1"/>
      <c r="ACW290" s="1"/>
      <c r="ACX290" s="1"/>
      <c r="ACY290" s="1"/>
      <c r="ACZ290" s="1"/>
      <c r="ADA290" s="1"/>
      <c r="ADB290" s="1"/>
      <c r="ADC290" s="1"/>
      <c r="ADD290" s="1"/>
      <c r="ADE290" s="1"/>
      <c r="ADF290" s="1"/>
      <c r="ADG290" s="1"/>
      <c r="ADH290" s="1"/>
      <c r="ADI290" s="1"/>
      <c r="ADJ290" s="1"/>
      <c r="ADK290" s="1"/>
      <c r="ADL290" s="1"/>
      <c r="ADM290" s="1"/>
      <c r="ADN290" s="1"/>
      <c r="ADO290" s="1"/>
      <c r="ADP290" s="1"/>
      <c r="ADQ290" s="1"/>
      <c r="ADR290" s="1"/>
      <c r="ADS290" s="1"/>
      <c r="ADT290" s="1"/>
      <c r="ADU290" s="1"/>
      <c r="ADV290" s="1"/>
      <c r="ADW290" s="1"/>
      <c r="ADX290" s="1"/>
      <c r="ADY290" s="1"/>
      <c r="ADZ290" s="1"/>
      <c r="AEA290" s="1"/>
      <c r="AEB290" s="1"/>
      <c r="AEC290" s="1"/>
      <c r="AED290" s="1"/>
      <c r="AEE290" s="1"/>
      <c r="AEF290" s="1"/>
      <c r="AEG290" s="1"/>
      <c r="AEH290" s="1"/>
      <c r="AEI290" s="1"/>
      <c r="AEJ290" s="1"/>
      <c r="AEK290" s="1"/>
      <c r="AEL290" s="1"/>
      <c r="AEM290" s="1"/>
      <c r="AEN290" s="1"/>
      <c r="AEO290" s="1"/>
      <c r="AEP290" s="1"/>
      <c r="AEQ290" s="1"/>
      <c r="AER290" s="1"/>
      <c r="AES290" s="1"/>
      <c r="AET290" s="1"/>
      <c r="AEU290" s="1"/>
      <c r="AEV290" s="1"/>
      <c r="AEW290" s="1"/>
      <c r="AEX290" s="1"/>
      <c r="AEY290" s="1"/>
      <c r="AEZ290" s="1"/>
      <c r="AFA290" s="1"/>
      <c r="AFB290" s="1"/>
      <c r="AFC290" s="1"/>
      <c r="AFD290" s="1"/>
      <c r="AFE290" s="1"/>
      <c r="AFF290" s="1"/>
      <c r="AFG290" s="1"/>
      <c r="AFH290" s="1"/>
      <c r="AFI290" s="1"/>
      <c r="AFJ290" s="1"/>
      <c r="AFK290" s="1"/>
      <c r="AFL290" s="1"/>
      <c r="AFM290" s="1"/>
      <c r="AFN290" s="1"/>
      <c r="AFO290" s="1"/>
      <c r="AFP290" s="1"/>
      <c r="AFQ290" s="1"/>
      <c r="AFR290" s="1"/>
      <c r="AFS290" s="1"/>
      <c r="AFT290" s="1"/>
      <c r="AFU290" s="1"/>
      <c r="AFV290" s="1"/>
      <c r="AFW290" s="1"/>
      <c r="AFX290" s="1"/>
      <c r="AFY290" s="1"/>
      <c r="AFZ290" s="1"/>
      <c r="AGA290" s="1"/>
      <c r="AGB290" s="1"/>
      <c r="AGC290" s="1"/>
      <c r="AGD290" s="1"/>
      <c r="AGE290" s="1"/>
      <c r="AGF290" s="1"/>
      <c r="AGG290" s="1"/>
      <c r="AGH290" s="1"/>
      <c r="AGI290" s="1"/>
      <c r="AGJ290" s="1"/>
      <c r="AGK290" s="1"/>
      <c r="AGL290" s="1"/>
      <c r="AGM290" s="1"/>
      <c r="AGN290" s="1"/>
      <c r="AGO290" s="1"/>
      <c r="AGP290" s="1"/>
      <c r="AGQ290" s="1"/>
      <c r="AGR290" s="1"/>
      <c r="AGS290" s="1"/>
      <c r="AGT290" s="1"/>
      <c r="AGU290" s="1"/>
      <c r="AGV290" s="1"/>
      <c r="AGW290" s="1"/>
      <c r="AGX290" s="1"/>
      <c r="AGY290" s="1"/>
      <c r="AGZ290" s="1"/>
      <c r="AHA290" s="1"/>
      <c r="AHB290" s="1"/>
      <c r="AHC290" s="1"/>
      <c r="AHD290" s="1"/>
      <c r="AHE290" s="1"/>
      <c r="AHF290" s="1"/>
      <c r="AHG290" s="1"/>
      <c r="AHH290" s="1"/>
      <c r="AHI290" s="1"/>
      <c r="AHJ290" s="1"/>
      <c r="AHK290" s="1"/>
      <c r="AHL290" s="1"/>
      <c r="AHM290" s="1"/>
      <c r="AHN290" s="1"/>
      <c r="AHO290" s="1"/>
      <c r="AHP290" s="1"/>
      <c r="AHQ290" s="1"/>
      <c r="AHR290" s="1"/>
      <c r="AHS290" s="1"/>
      <c r="AHT290" s="1"/>
      <c r="AHU290" s="1"/>
      <c r="AHV290" s="1"/>
      <c r="AHW290" s="1"/>
      <c r="AHX290" s="1"/>
      <c r="AHY290" s="1"/>
    </row>
    <row r="291" spans="1:909" s="1" customFormat="1" ht="21">
      <c r="A291" s="156" t="s">
        <v>135</v>
      </c>
      <c r="B291" s="156"/>
      <c r="C291" s="156"/>
      <c r="D291" s="156"/>
      <c r="E291" s="156"/>
      <c r="F291" s="156"/>
      <c r="G291" s="156"/>
      <c r="H291" s="156"/>
      <c r="I291" s="156"/>
      <c r="J291" s="156"/>
      <c r="K291" s="156"/>
      <c r="L291" s="156"/>
      <c r="M291" s="156"/>
      <c r="N291" s="156"/>
      <c r="O291" s="156"/>
      <c r="P291" s="156"/>
      <c r="Q291" s="2"/>
    </row>
    <row r="292" spans="1:909" s="1" customFormat="1" ht="21">
      <c r="A292" s="156" t="s">
        <v>136</v>
      </c>
      <c r="B292" s="156"/>
      <c r="C292" s="156"/>
      <c r="D292" s="156"/>
      <c r="E292" s="156"/>
      <c r="F292" s="156"/>
      <c r="G292" s="156"/>
      <c r="H292" s="156"/>
      <c r="I292" s="156"/>
      <c r="J292" s="156"/>
      <c r="K292" s="156"/>
      <c r="L292" s="156"/>
      <c r="M292" s="156"/>
      <c r="N292" s="156"/>
      <c r="O292" s="156"/>
      <c r="P292" s="156"/>
      <c r="Q292" s="156"/>
    </row>
    <row r="293" spans="1:909" s="1" customFormat="1" ht="21">
      <c r="A293" s="189" t="s">
        <v>113</v>
      </c>
      <c r="B293" s="189"/>
      <c r="C293" s="189"/>
      <c r="D293" s="189"/>
      <c r="E293" s="189"/>
      <c r="F293" s="189"/>
      <c r="G293" s="189"/>
      <c r="H293" s="189"/>
      <c r="I293" s="189"/>
      <c r="J293" s="189"/>
      <c r="K293" s="189"/>
      <c r="L293" s="189"/>
      <c r="M293" s="189"/>
      <c r="N293" s="189"/>
      <c r="O293" s="189"/>
      <c r="P293" s="189"/>
    </row>
    <row r="294" spans="1:909" s="1" customFormat="1" ht="21.6" thickBot="1">
      <c r="F294" s="13"/>
      <c r="G294" s="13"/>
      <c r="H294" s="13"/>
      <c r="I294" s="13"/>
      <c r="J294" s="13"/>
      <c r="K294" s="13"/>
    </row>
    <row r="295" spans="1:909" s="1" customFormat="1" ht="22.2" thickTop="1" thickBot="1">
      <c r="A295" s="190"/>
      <c r="B295" s="183" t="s">
        <v>114</v>
      </c>
      <c r="C295" s="192"/>
      <c r="D295" s="183" t="s">
        <v>115</v>
      </c>
      <c r="E295" s="192"/>
      <c r="F295" s="183" t="s">
        <v>116</v>
      </c>
      <c r="G295" s="192"/>
      <c r="H295" s="183" t="s">
        <v>117</v>
      </c>
      <c r="I295" s="192"/>
      <c r="J295" s="183" t="s">
        <v>118</v>
      </c>
      <c r="K295" s="192"/>
      <c r="L295" s="183" t="s">
        <v>119</v>
      </c>
      <c r="M295" s="192"/>
      <c r="N295" s="183" t="s">
        <v>120</v>
      </c>
      <c r="O295" s="184"/>
      <c r="P295" s="185"/>
    </row>
    <row r="296" spans="1:909" s="1" customFormat="1" ht="22.2" thickTop="1" thickBot="1">
      <c r="A296" s="191"/>
      <c r="B296" s="4" t="s">
        <v>76</v>
      </c>
      <c r="C296" s="4" t="s">
        <v>121</v>
      </c>
      <c r="D296" s="4" t="s">
        <v>76</v>
      </c>
      <c r="E296" s="4" t="s">
        <v>121</v>
      </c>
      <c r="F296" s="4" t="s">
        <v>76</v>
      </c>
      <c r="G296" s="4" t="s">
        <v>121</v>
      </c>
      <c r="H296" s="4" t="s">
        <v>76</v>
      </c>
      <c r="I296" s="4" t="s">
        <v>121</v>
      </c>
      <c r="J296" s="4" t="s">
        <v>76</v>
      </c>
      <c r="K296" s="4" t="s">
        <v>121</v>
      </c>
      <c r="L296" s="4" t="s">
        <v>76</v>
      </c>
      <c r="M296" s="4" t="s">
        <v>121</v>
      </c>
      <c r="N296" s="4" t="s">
        <v>76</v>
      </c>
      <c r="O296" s="4" t="s">
        <v>121</v>
      </c>
      <c r="P296" s="14" t="s">
        <v>122</v>
      </c>
    </row>
    <row r="297" spans="1:909" s="1" customFormat="1" ht="22.2" thickTop="1" thickBot="1">
      <c r="A297" s="11" t="s">
        <v>123</v>
      </c>
      <c r="B297" s="4">
        <f>'[1]التعليم الابتدائي'!AP558</f>
        <v>0</v>
      </c>
      <c r="C297" s="4">
        <f>'[1]التعليم الابتدائي'!AQ558</f>
        <v>0</v>
      </c>
      <c r="D297" s="177"/>
      <c r="E297" s="178"/>
      <c r="F297" s="178"/>
      <c r="G297" s="178"/>
      <c r="H297" s="178"/>
      <c r="I297" s="178"/>
      <c r="J297" s="178"/>
      <c r="K297" s="178"/>
      <c r="L297" s="178"/>
      <c r="M297" s="186"/>
      <c r="N297" s="4">
        <f>B297</f>
        <v>0</v>
      </c>
      <c r="O297" s="4">
        <f>C297</f>
        <v>0</v>
      </c>
      <c r="P297" s="14">
        <f t="shared" ref="P297:P307" si="18">O297+N297</f>
        <v>0</v>
      </c>
    </row>
    <row r="298" spans="1:909" s="1" customFormat="1" ht="22.2" thickTop="1" thickBot="1">
      <c r="A298" s="11" t="s">
        <v>124</v>
      </c>
      <c r="B298" s="4">
        <f>'[1]التعليم الابتدائي'!AR558</f>
        <v>0</v>
      </c>
      <c r="C298" s="4">
        <f>'[1]التعليم الابتدائي'!AS558</f>
        <v>0</v>
      </c>
      <c r="D298" s="137"/>
      <c r="E298" s="138"/>
      <c r="F298" s="180"/>
      <c r="G298" s="180"/>
      <c r="H298" s="180"/>
      <c r="I298" s="180"/>
      <c r="J298" s="180"/>
      <c r="K298" s="180"/>
      <c r="L298" s="180"/>
      <c r="M298" s="187"/>
      <c r="N298" s="4">
        <f>B298</f>
        <v>0</v>
      </c>
      <c r="O298" s="4">
        <f>C298</f>
        <v>0</v>
      </c>
      <c r="P298" s="14">
        <f t="shared" si="18"/>
        <v>0</v>
      </c>
    </row>
    <row r="299" spans="1:909" s="1" customFormat="1" ht="22.2" thickTop="1" thickBot="1">
      <c r="A299" s="11" t="s">
        <v>125</v>
      </c>
      <c r="B299" s="4">
        <f>'[1]التعليم الابتدائي'!AT558</f>
        <v>0</v>
      </c>
      <c r="C299" s="4">
        <f>'[1]التعليم الابتدائي'!AU558</f>
        <v>0</v>
      </c>
      <c r="D299" s="4">
        <f>'[1]التعليم الابتدائي'!BE558</f>
        <v>0</v>
      </c>
      <c r="E299" s="4">
        <f>'[1]التعليم الابتدائي'!BF558</f>
        <v>0</v>
      </c>
      <c r="F299" s="138"/>
      <c r="G299" s="138"/>
      <c r="H299" s="180"/>
      <c r="I299" s="180"/>
      <c r="J299" s="180"/>
      <c r="K299" s="180"/>
      <c r="L299" s="180"/>
      <c r="M299" s="187"/>
      <c r="N299" s="4">
        <f>D299+B299</f>
        <v>0</v>
      </c>
      <c r="O299" s="4">
        <f>E299+C299</f>
        <v>0</v>
      </c>
      <c r="P299" s="14">
        <f t="shared" si="18"/>
        <v>0</v>
      </c>
    </row>
    <row r="300" spans="1:909" s="1" customFormat="1" ht="22.2" thickTop="1" thickBot="1">
      <c r="A300" s="11" t="s">
        <v>126</v>
      </c>
      <c r="B300" s="4">
        <f>'[1]التعليم الابتدائي'!AV558</f>
        <v>0</v>
      </c>
      <c r="C300" s="4">
        <f>'[1]التعليم الابتدائي'!AW558</f>
        <v>0</v>
      </c>
      <c r="D300" s="4">
        <f>'[1]التعليم الابتدائي'!BG558</f>
        <v>0</v>
      </c>
      <c r="E300" s="4">
        <f>'[1]التعليم الابتدائي'!BH558</f>
        <v>0</v>
      </c>
      <c r="F300" s="4">
        <f>'[1]التعليم الابتدائي'!BR558</f>
        <v>0</v>
      </c>
      <c r="G300" s="4">
        <f>'[1]التعليم الابتدائي'!BS558</f>
        <v>0</v>
      </c>
      <c r="H300" s="138"/>
      <c r="I300" s="138"/>
      <c r="J300" s="180"/>
      <c r="K300" s="180"/>
      <c r="L300" s="180"/>
      <c r="M300" s="187"/>
      <c r="N300" s="4">
        <f>F300+D300+B300</f>
        <v>0</v>
      </c>
      <c r="O300" s="4">
        <f>G300+E300+C300</f>
        <v>0</v>
      </c>
      <c r="P300" s="14">
        <f t="shared" si="18"/>
        <v>0</v>
      </c>
    </row>
    <row r="301" spans="1:909" s="1" customFormat="1" ht="22.2" thickTop="1" thickBot="1">
      <c r="A301" s="11" t="s">
        <v>106</v>
      </c>
      <c r="B301" s="4">
        <f>'[1]التعليم الابتدائي'!AX558</f>
        <v>0</v>
      </c>
      <c r="C301" s="4">
        <f>'[1]التعليم الابتدائي'!AY558</f>
        <v>0</v>
      </c>
      <c r="D301" s="4">
        <f>'[1]التعليم الابتدائي'!BI558</f>
        <v>0</v>
      </c>
      <c r="E301" s="4">
        <f>'[1]التعليم الابتدائي'!BJ558</f>
        <v>0</v>
      </c>
      <c r="F301" s="4">
        <f>'[1]التعليم الابتدائي'!BT558</f>
        <v>0</v>
      </c>
      <c r="G301" s="4">
        <f>'[1]التعليم الابتدائي'!BU558</f>
        <v>0</v>
      </c>
      <c r="H301" s="4">
        <f>'[1]التعليم الابتدائي'!CE558</f>
        <v>0</v>
      </c>
      <c r="I301" s="4">
        <f>'[1]التعليم الابتدائي'!CF558</f>
        <v>0</v>
      </c>
      <c r="J301" s="138"/>
      <c r="K301" s="138"/>
      <c r="L301" s="180"/>
      <c r="M301" s="187"/>
      <c r="N301" s="4">
        <f>B301+D301+F301+H301</f>
        <v>0</v>
      </c>
      <c r="O301" s="4">
        <f>I301+G301+E301+C301</f>
        <v>0</v>
      </c>
      <c r="P301" s="14">
        <f t="shared" si="18"/>
        <v>0</v>
      </c>
    </row>
    <row r="302" spans="1:909" s="1" customFormat="1" ht="22.2" thickTop="1" thickBot="1">
      <c r="A302" s="11" t="s">
        <v>127</v>
      </c>
      <c r="B302" s="4">
        <f>'[1]التعليم الابتدائي'!AZ558</f>
        <v>0</v>
      </c>
      <c r="C302" s="4">
        <f>'[1]التعليم الابتدائي'!BA558</f>
        <v>0</v>
      </c>
      <c r="D302" s="4">
        <f>'[1]التعليم الابتدائي'!BK558</f>
        <v>0</v>
      </c>
      <c r="E302" s="4">
        <f>'[1]التعليم الابتدائي'!BL558</f>
        <v>0</v>
      </c>
      <c r="F302" s="4">
        <f>'[1]التعليم الابتدائي'!BV558</f>
        <v>0</v>
      </c>
      <c r="G302" s="4">
        <f>'[1]التعليم الابتدائي'!BW558</f>
        <v>0</v>
      </c>
      <c r="H302" s="4">
        <f>'[1]التعليم الابتدائي'!CG558</f>
        <v>0</v>
      </c>
      <c r="I302" s="4">
        <f>'[1]التعليم الابتدائي'!CH558</f>
        <v>0</v>
      </c>
      <c r="J302" s="4">
        <f>'[1]التعليم الابتدائي'!CR558</f>
        <v>0</v>
      </c>
      <c r="K302" s="4">
        <f>'[1]التعليم الابتدائي'!CS558</f>
        <v>0</v>
      </c>
      <c r="L302" s="138"/>
      <c r="M302" s="139"/>
      <c r="N302" s="4">
        <f>B302+D302+F302+H302+J302</f>
        <v>0</v>
      </c>
      <c r="O302" s="4">
        <f>K302+I302+G302+E302+C302</f>
        <v>0</v>
      </c>
      <c r="P302" s="14">
        <f t="shared" si="18"/>
        <v>0</v>
      </c>
    </row>
    <row r="303" spans="1:909" s="1" customFormat="1" ht="22.2" thickTop="1" thickBot="1">
      <c r="A303" s="11" t="s">
        <v>128</v>
      </c>
      <c r="B303" s="177"/>
      <c r="C303" s="178"/>
      <c r="D303" s="4">
        <f>'[1]التعليم الابتدائي'!BM558</f>
        <v>0</v>
      </c>
      <c r="E303" s="4">
        <f>'[1]التعليم الابتدائي'!BN558</f>
        <v>0</v>
      </c>
      <c r="F303" s="4">
        <f>'[1]التعليم الابتدائي'!BX558</f>
        <v>0</v>
      </c>
      <c r="G303" s="4">
        <f>'[1]التعليم الابتدائي'!BY558</f>
        <v>0</v>
      </c>
      <c r="H303" s="4">
        <f>'[1]التعليم الابتدائي'!CI558</f>
        <v>0</v>
      </c>
      <c r="I303" s="4">
        <f>'[1]التعليم الابتدائي'!CJ558</f>
        <v>0</v>
      </c>
      <c r="J303" s="4">
        <f>'[1]التعليم الابتدائي'!CT558</f>
        <v>0</v>
      </c>
      <c r="K303" s="4">
        <f>'[1]التعليم الابتدائي'!CU558</f>
        <v>0</v>
      </c>
      <c r="L303" s="4">
        <f>'[1]التعليم الابتدائي'!DE558</f>
        <v>0</v>
      </c>
      <c r="M303" s="4">
        <f>'[1]التعليم الابتدائي'!DF558</f>
        <v>0</v>
      </c>
      <c r="N303" s="4">
        <f>D303+F303+H303+J303+L303</f>
        <v>0</v>
      </c>
      <c r="O303" s="4">
        <f>M303+K303+I303+G303+E303</f>
        <v>0</v>
      </c>
      <c r="P303" s="14">
        <f t="shared" si="18"/>
        <v>0</v>
      </c>
    </row>
    <row r="304" spans="1:909" s="1" customFormat="1" ht="22.2" thickTop="1" thickBot="1">
      <c r="A304" s="11" t="s">
        <v>129</v>
      </c>
      <c r="B304" s="179"/>
      <c r="C304" s="180"/>
      <c r="D304" s="178"/>
      <c r="E304" s="178"/>
      <c r="F304" s="4">
        <f>'[1]التعليم الابتدائي'!BZ558</f>
        <v>0</v>
      </c>
      <c r="G304" s="4">
        <f>'[1]التعليم الابتدائي'!CA558</f>
        <v>0</v>
      </c>
      <c r="H304" s="4">
        <f>'[1]التعليم الابتدائي'!CK558</f>
        <v>0</v>
      </c>
      <c r="I304" s="4">
        <f>'[1]التعليم الابتدائي'!CL558</f>
        <v>0</v>
      </c>
      <c r="J304" s="4">
        <f>'[1]التعليم الابتدائي'!CV558</f>
        <v>0</v>
      </c>
      <c r="K304" s="4">
        <f>'[1]التعليم الابتدائي'!CW558</f>
        <v>0</v>
      </c>
      <c r="L304" s="4">
        <f>'[1]التعليم الابتدائي'!DG558</f>
        <v>0</v>
      </c>
      <c r="M304" s="4">
        <f>'[1]التعليم الابتدائي'!DH558</f>
        <v>0</v>
      </c>
      <c r="N304" s="4">
        <f>L304+J304+H304+F304</f>
        <v>0</v>
      </c>
      <c r="O304" s="4">
        <f>M304+K304+I304+G304</f>
        <v>0</v>
      </c>
      <c r="P304" s="14">
        <f t="shared" si="18"/>
        <v>0</v>
      </c>
    </row>
    <row r="305" spans="1:909" s="1" customFormat="1" ht="22.2" thickTop="1" thickBot="1">
      <c r="A305" s="11" t="s">
        <v>130</v>
      </c>
      <c r="B305" s="179"/>
      <c r="C305" s="180"/>
      <c r="D305" s="180"/>
      <c r="E305" s="180"/>
      <c r="F305" s="178"/>
      <c r="G305" s="178"/>
      <c r="H305" s="4">
        <f>'[1]التعليم الابتدائي'!CM558</f>
        <v>0</v>
      </c>
      <c r="I305" s="4">
        <f>'[1]التعليم الابتدائي'!CN558</f>
        <v>0</v>
      </c>
      <c r="J305" s="4">
        <f>'[1]التعليم الابتدائي'!CX558</f>
        <v>0</v>
      </c>
      <c r="K305" s="4">
        <f>'[1]التعليم الابتدائي'!CY558</f>
        <v>0</v>
      </c>
      <c r="L305" s="4">
        <f>'[1]التعليم الابتدائي'!DI558</f>
        <v>0</v>
      </c>
      <c r="M305" s="4">
        <f>'[1]التعليم الابتدائي'!DJ558</f>
        <v>0</v>
      </c>
      <c r="N305" s="4">
        <f>L305+J305+H305</f>
        <v>0</v>
      </c>
      <c r="O305" s="4">
        <f>M305+K305+I305</f>
        <v>0</v>
      </c>
      <c r="P305" s="14">
        <f t="shared" si="18"/>
        <v>0</v>
      </c>
    </row>
    <row r="306" spans="1:909" s="1" customFormat="1" ht="22.2" thickTop="1" thickBot="1">
      <c r="A306" s="11" t="s">
        <v>131</v>
      </c>
      <c r="B306" s="179"/>
      <c r="C306" s="180"/>
      <c r="D306" s="180"/>
      <c r="E306" s="180"/>
      <c r="F306" s="180"/>
      <c r="G306" s="180"/>
      <c r="H306" s="178"/>
      <c r="I306" s="178"/>
      <c r="J306" s="4">
        <f>'[1]التعليم الابتدائي'!CZ558</f>
        <v>0</v>
      </c>
      <c r="K306" s="4">
        <f>'[1]التعليم الابتدائي'!DA558</f>
        <v>0</v>
      </c>
      <c r="L306" s="4">
        <f>'[1]التعليم الابتدائي'!DK558</f>
        <v>0</v>
      </c>
      <c r="M306" s="4">
        <f>'[1]التعليم الابتدائي'!DL558</f>
        <v>0</v>
      </c>
      <c r="N306" s="4">
        <f>L306+J306</f>
        <v>0</v>
      </c>
      <c r="O306" s="4">
        <f>M306+K306</f>
        <v>0</v>
      </c>
      <c r="P306" s="14">
        <f t="shared" si="18"/>
        <v>0</v>
      </c>
    </row>
    <row r="307" spans="1:909" s="1" customFormat="1" ht="22.2" thickTop="1" thickBot="1">
      <c r="A307" s="11" t="s">
        <v>132</v>
      </c>
      <c r="B307" s="137"/>
      <c r="C307" s="138"/>
      <c r="D307" s="138"/>
      <c r="E307" s="138"/>
      <c r="F307" s="138"/>
      <c r="G307" s="138"/>
      <c r="H307" s="138"/>
      <c r="I307" s="138"/>
      <c r="J307" s="181"/>
      <c r="K307" s="182"/>
      <c r="L307" s="4">
        <f>'[1]التعليم الابتدائي'!DM558</f>
        <v>0</v>
      </c>
      <c r="M307" s="4">
        <f>'[1]التعليم الابتدائي'!DN558</f>
        <v>0</v>
      </c>
      <c r="N307" s="4">
        <f>L307</f>
        <v>0</v>
      </c>
      <c r="O307" s="4">
        <f>M307</f>
        <v>0</v>
      </c>
      <c r="P307" s="14">
        <f t="shared" si="18"/>
        <v>0</v>
      </c>
    </row>
    <row r="308" spans="1:909" s="1" customFormat="1" ht="22.2" thickTop="1" thickBot="1">
      <c r="A308" s="6" t="s">
        <v>122</v>
      </c>
      <c r="B308" s="7">
        <f>SUM(B297:B307)</f>
        <v>0</v>
      </c>
      <c r="C308" s="7">
        <f>SUM(C297:C307)</f>
        <v>0</v>
      </c>
      <c r="D308" s="7">
        <f>D303+D302+D301+D300+D299</f>
        <v>0</v>
      </c>
      <c r="E308" s="7">
        <f t="shared" ref="E308:P308" si="19">SUM(E297:E307)</f>
        <v>0</v>
      </c>
      <c r="F308" s="7">
        <f t="shared" si="19"/>
        <v>0</v>
      </c>
      <c r="G308" s="7">
        <f t="shared" si="19"/>
        <v>0</v>
      </c>
      <c r="H308" s="7">
        <f t="shared" si="19"/>
        <v>0</v>
      </c>
      <c r="I308" s="7">
        <f t="shared" si="19"/>
        <v>0</v>
      </c>
      <c r="J308" s="7">
        <f t="shared" si="19"/>
        <v>0</v>
      </c>
      <c r="K308" s="7">
        <f t="shared" si="19"/>
        <v>0</v>
      </c>
      <c r="L308" s="7">
        <f t="shared" si="19"/>
        <v>0</v>
      </c>
      <c r="M308" s="7">
        <f t="shared" si="19"/>
        <v>0</v>
      </c>
      <c r="N308" s="7">
        <f t="shared" si="19"/>
        <v>0</v>
      </c>
      <c r="O308" s="7">
        <f t="shared" si="19"/>
        <v>0</v>
      </c>
      <c r="P308" s="8">
        <f t="shared" si="19"/>
        <v>0</v>
      </c>
    </row>
    <row r="309" spans="1:909" ht="21.6" thickTop="1"/>
    <row r="310" spans="1:909" s="1" customFormat="1" ht="21">
      <c r="A310" s="156" t="s">
        <v>62</v>
      </c>
      <c r="B310" s="156"/>
      <c r="C310" s="156"/>
      <c r="D310" s="156"/>
      <c r="E310" s="156"/>
      <c r="M310" s="156" t="s">
        <v>92</v>
      </c>
      <c r="N310" s="156"/>
      <c r="O310" s="156"/>
      <c r="P310" s="156"/>
    </row>
    <row r="311" spans="1:909" s="1" customFormat="1" ht="21">
      <c r="A311" s="156" t="s">
        <v>64</v>
      </c>
      <c r="B311" s="156"/>
      <c r="C311" s="156"/>
      <c r="D311" s="156"/>
      <c r="E311" s="156"/>
      <c r="M311" s="156" t="s">
        <v>65</v>
      </c>
      <c r="N311" s="156"/>
      <c r="O311" s="156"/>
      <c r="P311" s="156"/>
    </row>
    <row r="312" spans="1:909" s="1" customFormat="1" ht="21">
      <c r="A312" s="156" t="s">
        <v>99</v>
      </c>
      <c r="B312" s="156"/>
      <c r="C312" s="156"/>
      <c r="D312" s="156"/>
      <c r="E312" s="156"/>
      <c r="F312" s="156"/>
      <c r="G312" s="156"/>
      <c r="H312" s="156"/>
      <c r="I312" s="156"/>
      <c r="J312" s="156"/>
      <c r="K312" s="156"/>
      <c r="L312" s="156"/>
      <c r="M312" s="156"/>
      <c r="N312" s="156"/>
      <c r="O312" s="156"/>
      <c r="P312" s="156"/>
      <c r="Q312" s="2"/>
    </row>
    <row r="313" spans="1:909" s="1" customFormat="1" ht="21">
      <c r="A313" s="156" t="s">
        <v>136</v>
      </c>
      <c r="B313" s="156"/>
      <c r="C313" s="156"/>
      <c r="D313" s="156"/>
      <c r="E313" s="156"/>
      <c r="F313" s="156"/>
      <c r="G313" s="156"/>
      <c r="H313" s="156"/>
      <c r="I313" s="156"/>
      <c r="J313" s="156"/>
      <c r="K313" s="156"/>
      <c r="L313" s="156"/>
      <c r="M313" s="156"/>
      <c r="N313" s="156"/>
      <c r="O313" s="156"/>
      <c r="P313" s="156"/>
      <c r="Q313" s="156"/>
    </row>
    <row r="314" spans="1:909" s="1" customFormat="1" ht="21">
      <c r="A314" s="156" t="s">
        <v>101</v>
      </c>
      <c r="B314" s="156"/>
      <c r="C314" s="156"/>
      <c r="D314" s="156"/>
      <c r="E314" s="156"/>
      <c r="F314" s="156"/>
      <c r="G314" s="156"/>
      <c r="H314" s="156"/>
      <c r="I314" s="156"/>
      <c r="J314" s="156"/>
      <c r="K314" s="156"/>
      <c r="L314" s="156"/>
      <c r="M314" s="156"/>
      <c r="N314" s="156"/>
      <c r="O314" s="156"/>
      <c r="P314" s="156"/>
      <c r="Q314" s="2"/>
    </row>
    <row r="315" spans="1:909" s="1" customFormat="1" ht="21.6" thickBot="1">
      <c r="G315" s="198"/>
      <c r="H315" s="198"/>
      <c r="I315" s="198"/>
      <c r="J315" s="198"/>
      <c r="K315" s="198"/>
    </row>
    <row r="316" spans="1:909" s="1" customFormat="1" ht="21.6" thickTop="1">
      <c r="A316" s="199"/>
      <c r="B316" s="147" t="s">
        <v>102</v>
      </c>
      <c r="C316" s="149"/>
      <c r="D316" s="147" t="s">
        <v>103</v>
      </c>
      <c r="E316" s="149"/>
      <c r="F316" s="147" t="s">
        <v>104</v>
      </c>
      <c r="G316" s="149"/>
      <c r="H316" s="147" t="s">
        <v>105</v>
      </c>
      <c r="I316" s="149"/>
      <c r="J316" s="147" t="s">
        <v>106</v>
      </c>
      <c r="K316" s="149"/>
      <c r="L316" s="147" t="s">
        <v>107</v>
      </c>
      <c r="M316" s="149"/>
      <c r="N316" s="147" t="s">
        <v>58</v>
      </c>
      <c r="O316" s="148"/>
      <c r="P316" s="201"/>
    </row>
    <row r="317" spans="1:909" s="1" customFormat="1" ht="21.6" thickBot="1">
      <c r="A317" s="200"/>
      <c r="B317" s="137"/>
      <c r="C317" s="139"/>
      <c r="D317" s="137"/>
      <c r="E317" s="139"/>
      <c r="F317" s="137"/>
      <c r="G317" s="139"/>
      <c r="H317" s="137"/>
      <c r="I317" s="139"/>
      <c r="J317" s="137"/>
      <c r="K317" s="139"/>
      <c r="L317" s="137"/>
      <c r="M317" s="139"/>
      <c r="N317" s="137"/>
      <c r="O317" s="138"/>
      <c r="P317" s="202"/>
    </row>
    <row r="318" spans="1:909" s="5" customFormat="1" ht="22.2" thickTop="1" thickBot="1">
      <c r="A318" s="11" t="s">
        <v>108</v>
      </c>
      <c r="B318" s="170">
        <f>'[1]التعليم الابتدائي'!AA580</f>
        <v>0</v>
      </c>
      <c r="C318" s="182"/>
      <c r="D318" s="170">
        <f>'[1]التعليم الابتدائي'!AC580</f>
        <v>0</v>
      </c>
      <c r="E318" s="182"/>
      <c r="F318" s="170">
        <f>'[1]التعليم الابتدائي'!AE580</f>
        <v>0</v>
      </c>
      <c r="G318" s="182"/>
      <c r="H318" s="170">
        <f>'[1]التعليم الابتدائي'!AG580</f>
        <v>0</v>
      </c>
      <c r="I318" s="182"/>
      <c r="J318" s="170">
        <f>'[1]التعليم الابتدائي'!AI580</f>
        <v>0</v>
      </c>
      <c r="K318" s="182"/>
      <c r="L318" s="170">
        <f>'[1]التعليم الابتدائي'!AK580</f>
        <v>0</v>
      </c>
      <c r="M318" s="182"/>
      <c r="N318" s="170">
        <f>L318+J318+H318+F318+D318+B318</f>
        <v>0</v>
      </c>
      <c r="O318" s="181"/>
      <c r="P318" s="193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1"/>
      <c r="KG318" s="1"/>
      <c r="KH318" s="1"/>
      <c r="KI318" s="1"/>
      <c r="KJ318" s="1"/>
      <c r="KK318" s="1"/>
      <c r="KL318" s="1"/>
      <c r="KM318" s="1"/>
      <c r="KN318" s="1"/>
      <c r="KO318" s="1"/>
      <c r="KP318" s="1"/>
      <c r="KQ318" s="1"/>
      <c r="KR318" s="1"/>
      <c r="KS318" s="1"/>
      <c r="KT318" s="1"/>
      <c r="KU318" s="1"/>
      <c r="KV318" s="1"/>
      <c r="KW318" s="1"/>
      <c r="KX318" s="1"/>
      <c r="KY318" s="1"/>
      <c r="KZ318" s="1"/>
      <c r="LA318" s="1"/>
      <c r="LB318" s="1"/>
      <c r="LC318" s="1"/>
      <c r="LD318" s="1"/>
      <c r="LE318" s="1"/>
      <c r="LF318" s="1"/>
      <c r="LG318" s="1"/>
      <c r="LH318" s="1"/>
      <c r="LI318" s="1"/>
      <c r="LJ318" s="1"/>
      <c r="LK318" s="1"/>
      <c r="LL318" s="1"/>
      <c r="LM318" s="1"/>
      <c r="LN318" s="1"/>
      <c r="LO318" s="1"/>
      <c r="LP318" s="1"/>
      <c r="LQ318" s="1"/>
      <c r="LR318" s="1"/>
      <c r="LS318" s="1"/>
      <c r="LT318" s="1"/>
      <c r="LU318" s="1"/>
      <c r="LV318" s="1"/>
      <c r="LW318" s="1"/>
      <c r="LX318" s="1"/>
      <c r="LY318" s="1"/>
      <c r="LZ318" s="1"/>
      <c r="MA318" s="1"/>
      <c r="MB318" s="1"/>
      <c r="MC318" s="1"/>
      <c r="MD318" s="1"/>
      <c r="ME318" s="1"/>
      <c r="MF318" s="1"/>
      <c r="MG318" s="1"/>
      <c r="MH318" s="1"/>
      <c r="MI318" s="1"/>
      <c r="MJ318" s="1"/>
      <c r="MK318" s="1"/>
      <c r="ML318" s="1"/>
      <c r="MM318" s="1"/>
      <c r="MN318" s="1"/>
      <c r="MO318" s="1"/>
      <c r="MP318" s="1"/>
      <c r="MQ318" s="1"/>
      <c r="MR318" s="1"/>
      <c r="MS318" s="1"/>
      <c r="MT318" s="1"/>
      <c r="MU318" s="1"/>
      <c r="MV318" s="1"/>
      <c r="MW318" s="1"/>
      <c r="MX318" s="1"/>
      <c r="MY318" s="1"/>
      <c r="MZ318" s="1"/>
      <c r="NA318" s="1"/>
      <c r="NB318" s="1"/>
      <c r="NC318" s="1"/>
      <c r="ND318" s="1"/>
      <c r="NE318" s="1"/>
      <c r="NF318" s="1"/>
      <c r="NG318" s="1"/>
      <c r="NH318" s="1"/>
      <c r="NI318" s="1"/>
      <c r="NJ318" s="1"/>
      <c r="NK318" s="1"/>
      <c r="NL318" s="1"/>
      <c r="NM318" s="1"/>
      <c r="NN318" s="1"/>
      <c r="NO318" s="1"/>
      <c r="NP318" s="1"/>
      <c r="NQ318" s="1"/>
      <c r="NR318" s="1"/>
      <c r="NS318" s="1"/>
      <c r="NT318" s="1"/>
      <c r="NU318" s="1"/>
      <c r="NV318" s="1"/>
      <c r="NW318" s="1"/>
      <c r="NX318" s="1"/>
      <c r="NY318" s="1"/>
      <c r="NZ318" s="1"/>
      <c r="OA318" s="1"/>
      <c r="OB318" s="1"/>
      <c r="OC318" s="1"/>
      <c r="OD318" s="1"/>
      <c r="OE318" s="1"/>
      <c r="OF318" s="1"/>
      <c r="OG318" s="1"/>
      <c r="OH318" s="1"/>
      <c r="OI318" s="1"/>
      <c r="OJ318" s="1"/>
      <c r="OK318" s="1"/>
      <c r="OL318" s="1"/>
      <c r="OM318" s="1"/>
      <c r="ON318" s="1"/>
      <c r="OO318" s="1"/>
      <c r="OP318" s="1"/>
      <c r="OQ318" s="1"/>
      <c r="OR318" s="1"/>
      <c r="OS318" s="1"/>
      <c r="OT318" s="1"/>
      <c r="OU318" s="1"/>
      <c r="OV318" s="1"/>
      <c r="OW318" s="1"/>
      <c r="OX318" s="1"/>
      <c r="OY318" s="1"/>
      <c r="OZ318" s="1"/>
      <c r="PA318" s="1"/>
      <c r="PB318" s="1"/>
      <c r="PC318" s="1"/>
      <c r="PD318" s="1"/>
      <c r="PE318" s="1"/>
      <c r="PF318" s="1"/>
      <c r="PG318" s="1"/>
      <c r="PH318" s="1"/>
      <c r="PI318" s="1"/>
      <c r="PJ318" s="1"/>
      <c r="PK318" s="1"/>
      <c r="PL318" s="1"/>
      <c r="PM318" s="1"/>
      <c r="PN318" s="1"/>
      <c r="PO318" s="1"/>
      <c r="PP318" s="1"/>
      <c r="PQ318" s="1"/>
      <c r="PR318" s="1"/>
      <c r="PS318" s="1"/>
      <c r="PT318" s="1"/>
      <c r="PU318" s="1"/>
      <c r="PV318" s="1"/>
      <c r="PW318" s="1"/>
      <c r="PX318" s="1"/>
      <c r="PY318" s="1"/>
      <c r="PZ318" s="1"/>
      <c r="QA318" s="1"/>
      <c r="QB318" s="1"/>
      <c r="QC318" s="1"/>
      <c r="QD318" s="1"/>
      <c r="QE318" s="1"/>
      <c r="QF318" s="1"/>
      <c r="QG318" s="1"/>
      <c r="QH318" s="1"/>
      <c r="QI318" s="1"/>
      <c r="QJ318" s="1"/>
      <c r="QK318" s="1"/>
      <c r="QL318" s="1"/>
      <c r="QM318" s="1"/>
      <c r="QN318" s="1"/>
      <c r="QO318" s="1"/>
      <c r="QP318" s="1"/>
      <c r="QQ318" s="1"/>
      <c r="QR318" s="1"/>
      <c r="QS318" s="1"/>
      <c r="QT318" s="1"/>
      <c r="QU318" s="1"/>
      <c r="QV318" s="1"/>
      <c r="QW318" s="1"/>
      <c r="QX318" s="1"/>
      <c r="QY318" s="1"/>
      <c r="QZ318" s="1"/>
      <c r="RA318" s="1"/>
      <c r="RB318" s="1"/>
      <c r="RC318" s="1"/>
      <c r="RD318" s="1"/>
      <c r="RE318" s="1"/>
      <c r="RF318" s="1"/>
      <c r="RG318" s="1"/>
      <c r="RH318" s="1"/>
      <c r="RI318" s="1"/>
      <c r="RJ318" s="1"/>
      <c r="RK318" s="1"/>
      <c r="RL318" s="1"/>
      <c r="RM318" s="1"/>
      <c r="RN318" s="1"/>
      <c r="RO318" s="1"/>
      <c r="RP318" s="1"/>
      <c r="RQ318" s="1"/>
      <c r="RR318" s="1"/>
      <c r="RS318" s="1"/>
      <c r="RT318" s="1"/>
      <c r="RU318" s="1"/>
      <c r="RV318" s="1"/>
      <c r="RW318" s="1"/>
      <c r="RX318" s="1"/>
      <c r="RY318" s="1"/>
      <c r="RZ318" s="1"/>
      <c r="SA318" s="1"/>
      <c r="SB318" s="1"/>
      <c r="SC318" s="1"/>
      <c r="SD318" s="1"/>
      <c r="SE318" s="1"/>
      <c r="SF318" s="1"/>
      <c r="SG318" s="1"/>
      <c r="SH318" s="1"/>
      <c r="SI318" s="1"/>
      <c r="SJ318" s="1"/>
      <c r="SK318" s="1"/>
      <c r="SL318" s="1"/>
      <c r="SM318" s="1"/>
      <c r="SN318" s="1"/>
      <c r="SO318" s="1"/>
      <c r="SP318" s="1"/>
      <c r="SQ318" s="1"/>
      <c r="SR318" s="1"/>
      <c r="SS318" s="1"/>
      <c r="ST318" s="1"/>
      <c r="SU318" s="1"/>
      <c r="SV318" s="1"/>
      <c r="SW318" s="1"/>
      <c r="SX318" s="1"/>
      <c r="SY318" s="1"/>
      <c r="SZ318" s="1"/>
      <c r="TA318" s="1"/>
      <c r="TB318" s="1"/>
      <c r="TC318" s="1"/>
      <c r="TD318" s="1"/>
      <c r="TE318" s="1"/>
      <c r="TF318" s="1"/>
      <c r="TG318" s="1"/>
      <c r="TH318" s="1"/>
      <c r="TI318" s="1"/>
      <c r="TJ318" s="1"/>
      <c r="TK318" s="1"/>
      <c r="TL318" s="1"/>
      <c r="TM318" s="1"/>
      <c r="TN318" s="1"/>
      <c r="TO318" s="1"/>
      <c r="TP318" s="1"/>
      <c r="TQ318" s="1"/>
      <c r="TR318" s="1"/>
      <c r="TS318" s="1"/>
      <c r="TT318" s="1"/>
      <c r="TU318" s="1"/>
      <c r="TV318" s="1"/>
      <c r="TW318" s="1"/>
      <c r="TX318" s="1"/>
      <c r="TY318" s="1"/>
      <c r="TZ318" s="1"/>
      <c r="UA318" s="1"/>
      <c r="UB318" s="1"/>
      <c r="UC318" s="1"/>
      <c r="UD318" s="1"/>
      <c r="UE318" s="1"/>
      <c r="UF318" s="1"/>
      <c r="UG318" s="1"/>
      <c r="UH318" s="1"/>
      <c r="UI318" s="1"/>
      <c r="UJ318" s="1"/>
      <c r="UK318" s="1"/>
      <c r="UL318" s="1"/>
      <c r="UM318" s="1"/>
      <c r="UN318" s="1"/>
      <c r="UO318" s="1"/>
      <c r="UP318" s="1"/>
      <c r="UQ318" s="1"/>
      <c r="UR318" s="1"/>
      <c r="US318" s="1"/>
      <c r="UT318" s="1"/>
      <c r="UU318" s="1"/>
      <c r="UV318" s="1"/>
      <c r="UW318" s="1"/>
      <c r="UX318" s="1"/>
      <c r="UY318" s="1"/>
      <c r="UZ318" s="1"/>
      <c r="VA318" s="1"/>
      <c r="VB318" s="1"/>
      <c r="VC318" s="1"/>
      <c r="VD318" s="1"/>
      <c r="VE318" s="1"/>
      <c r="VF318" s="1"/>
      <c r="VG318" s="1"/>
      <c r="VH318" s="1"/>
      <c r="VI318" s="1"/>
      <c r="VJ318" s="1"/>
      <c r="VK318" s="1"/>
      <c r="VL318" s="1"/>
      <c r="VM318" s="1"/>
      <c r="VN318" s="1"/>
      <c r="VO318" s="1"/>
      <c r="VP318" s="1"/>
      <c r="VQ318" s="1"/>
      <c r="VR318" s="1"/>
      <c r="VS318" s="1"/>
      <c r="VT318" s="1"/>
      <c r="VU318" s="1"/>
      <c r="VV318" s="1"/>
      <c r="VW318" s="1"/>
      <c r="VX318" s="1"/>
      <c r="VY318" s="1"/>
      <c r="VZ318" s="1"/>
      <c r="WA318" s="1"/>
      <c r="WB318" s="1"/>
      <c r="WC318" s="1"/>
      <c r="WD318" s="1"/>
      <c r="WE318" s="1"/>
      <c r="WF318" s="1"/>
      <c r="WG318" s="1"/>
      <c r="WH318" s="1"/>
      <c r="WI318" s="1"/>
      <c r="WJ318" s="1"/>
      <c r="WK318" s="1"/>
      <c r="WL318" s="1"/>
      <c r="WM318" s="1"/>
      <c r="WN318" s="1"/>
      <c r="WO318" s="1"/>
      <c r="WP318" s="1"/>
      <c r="WQ318" s="1"/>
      <c r="WR318" s="1"/>
      <c r="WS318" s="1"/>
      <c r="WT318" s="1"/>
      <c r="WU318" s="1"/>
      <c r="WV318" s="1"/>
      <c r="WW318" s="1"/>
      <c r="WX318" s="1"/>
      <c r="WY318" s="1"/>
      <c r="WZ318" s="1"/>
      <c r="XA318" s="1"/>
      <c r="XB318" s="1"/>
      <c r="XC318" s="1"/>
      <c r="XD318" s="1"/>
      <c r="XE318" s="1"/>
      <c r="XF318" s="1"/>
      <c r="XG318" s="1"/>
      <c r="XH318" s="1"/>
      <c r="XI318" s="1"/>
      <c r="XJ318" s="1"/>
      <c r="XK318" s="1"/>
      <c r="XL318" s="1"/>
      <c r="XM318" s="1"/>
      <c r="XN318" s="1"/>
      <c r="XO318" s="1"/>
      <c r="XP318" s="1"/>
      <c r="XQ318" s="1"/>
      <c r="XR318" s="1"/>
      <c r="XS318" s="1"/>
      <c r="XT318" s="1"/>
      <c r="XU318" s="1"/>
      <c r="XV318" s="1"/>
      <c r="XW318" s="1"/>
      <c r="XX318" s="1"/>
      <c r="XY318" s="1"/>
      <c r="XZ318" s="1"/>
      <c r="YA318" s="1"/>
      <c r="YB318" s="1"/>
      <c r="YC318" s="1"/>
      <c r="YD318" s="1"/>
      <c r="YE318" s="1"/>
      <c r="YF318" s="1"/>
      <c r="YG318" s="1"/>
      <c r="YH318" s="1"/>
      <c r="YI318" s="1"/>
      <c r="YJ318" s="1"/>
      <c r="YK318" s="1"/>
      <c r="YL318" s="1"/>
      <c r="YM318" s="1"/>
      <c r="YN318" s="1"/>
      <c r="YO318" s="1"/>
      <c r="YP318" s="1"/>
      <c r="YQ318" s="1"/>
      <c r="YR318" s="1"/>
      <c r="YS318" s="1"/>
      <c r="YT318" s="1"/>
      <c r="YU318" s="1"/>
      <c r="YV318" s="1"/>
      <c r="YW318" s="1"/>
      <c r="YX318" s="1"/>
      <c r="YY318" s="1"/>
      <c r="YZ318" s="1"/>
      <c r="ZA318" s="1"/>
      <c r="ZB318" s="1"/>
      <c r="ZC318" s="1"/>
      <c r="ZD318" s="1"/>
      <c r="ZE318" s="1"/>
      <c r="ZF318" s="1"/>
      <c r="ZG318" s="1"/>
      <c r="ZH318" s="1"/>
      <c r="ZI318" s="1"/>
      <c r="ZJ318" s="1"/>
      <c r="ZK318" s="1"/>
      <c r="ZL318" s="1"/>
      <c r="ZM318" s="1"/>
      <c r="ZN318" s="1"/>
      <c r="ZO318" s="1"/>
      <c r="ZP318" s="1"/>
      <c r="ZQ318" s="1"/>
      <c r="ZR318" s="1"/>
      <c r="ZS318" s="1"/>
      <c r="ZT318" s="1"/>
      <c r="ZU318" s="1"/>
      <c r="ZV318" s="1"/>
      <c r="ZW318" s="1"/>
      <c r="ZX318" s="1"/>
      <c r="ZY318" s="1"/>
      <c r="ZZ318" s="1"/>
      <c r="AAA318" s="1"/>
      <c r="AAB318" s="1"/>
      <c r="AAC318" s="1"/>
      <c r="AAD318" s="1"/>
      <c r="AAE318" s="1"/>
      <c r="AAF318" s="1"/>
      <c r="AAG318" s="1"/>
      <c r="AAH318" s="1"/>
      <c r="AAI318" s="1"/>
      <c r="AAJ318" s="1"/>
      <c r="AAK318" s="1"/>
      <c r="AAL318" s="1"/>
      <c r="AAM318" s="1"/>
      <c r="AAN318" s="1"/>
      <c r="AAO318" s="1"/>
      <c r="AAP318" s="1"/>
      <c r="AAQ318" s="1"/>
      <c r="AAR318" s="1"/>
      <c r="AAS318" s="1"/>
      <c r="AAT318" s="1"/>
      <c r="AAU318" s="1"/>
      <c r="AAV318" s="1"/>
      <c r="AAW318" s="1"/>
      <c r="AAX318" s="1"/>
      <c r="AAY318" s="1"/>
      <c r="AAZ318" s="1"/>
      <c r="ABA318" s="1"/>
      <c r="ABB318" s="1"/>
      <c r="ABC318" s="1"/>
      <c r="ABD318" s="1"/>
      <c r="ABE318" s="1"/>
      <c r="ABF318" s="1"/>
      <c r="ABG318" s="1"/>
      <c r="ABH318" s="1"/>
      <c r="ABI318" s="1"/>
      <c r="ABJ318" s="1"/>
      <c r="ABK318" s="1"/>
      <c r="ABL318" s="1"/>
      <c r="ABM318" s="1"/>
      <c r="ABN318" s="1"/>
      <c r="ABO318" s="1"/>
      <c r="ABP318" s="1"/>
      <c r="ABQ318" s="1"/>
      <c r="ABR318" s="1"/>
      <c r="ABS318" s="1"/>
      <c r="ABT318" s="1"/>
      <c r="ABU318" s="1"/>
      <c r="ABV318" s="1"/>
      <c r="ABW318" s="1"/>
      <c r="ABX318" s="1"/>
      <c r="ABY318" s="1"/>
      <c r="ABZ318" s="1"/>
      <c r="ACA318" s="1"/>
      <c r="ACB318" s="1"/>
      <c r="ACC318" s="1"/>
      <c r="ACD318" s="1"/>
      <c r="ACE318" s="1"/>
      <c r="ACF318" s="1"/>
      <c r="ACG318" s="1"/>
      <c r="ACH318" s="1"/>
      <c r="ACI318" s="1"/>
      <c r="ACJ318" s="1"/>
      <c r="ACK318" s="1"/>
      <c r="ACL318" s="1"/>
      <c r="ACM318" s="1"/>
      <c r="ACN318" s="1"/>
      <c r="ACO318" s="1"/>
      <c r="ACP318" s="1"/>
      <c r="ACQ318" s="1"/>
      <c r="ACR318" s="1"/>
      <c r="ACS318" s="1"/>
      <c r="ACT318" s="1"/>
      <c r="ACU318" s="1"/>
      <c r="ACV318" s="1"/>
      <c r="ACW318" s="1"/>
      <c r="ACX318" s="1"/>
      <c r="ACY318" s="1"/>
      <c r="ACZ318" s="1"/>
      <c r="ADA318" s="1"/>
      <c r="ADB318" s="1"/>
      <c r="ADC318" s="1"/>
      <c r="ADD318" s="1"/>
      <c r="ADE318" s="1"/>
      <c r="ADF318" s="1"/>
      <c r="ADG318" s="1"/>
      <c r="ADH318" s="1"/>
      <c r="ADI318" s="1"/>
      <c r="ADJ318" s="1"/>
      <c r="ADK318" s="1"/>
      <c r="ADL318" s="1"/>
      <c r="ADM318" s="1"/>
      <c r="ADN318" s="1"/>
      <c r="ADO318" s="1"/>
      <c r="ADP318" s="1"/>
      <c r="ADQ318" s="1"/>
      <c r="ADR318" s="1"/>
      <c r="ADS318" s="1"/>
      <c r="ADT318" s="1"/>
      <c r="ADU318" s="1"/>
      <c r="ADV318" s="1"/>
      <c r="ADW318" s="1"/>
      <c r="ADX318" s="1"/>
      <c r="ADY318" s="1"/>
      <c r="ADZ318" s="1"/>
      <c r="AEA318" s="1"/>
      <c r="AEB318" s="1"/>
      <c r="AEC318" s="1"/>
      <c r="AED318" s="1"/>
      <c r="AEE318" s="1"/>
      <c r="AEF318" s="1"/>
      <c r="AEG318" s="1"/>
      <c r="AEH318" s="1"/>
      <c r="AEI318" s="1"/>
      <c r="AEJ318" s="1"/>
      <c r="AEK318" s="1"/>
      <c r="AEL318" s="1"/>
      <c r="AEM318" s="1"/>
      <c r="AEN318" s="1"/>
      <c r="AEO318" s="1"/>
      <c r="AEP318" s="1"/>
      <c r="AEQ318" s="1"/>
      <c r="AER318" s="1"/>
      <c r="AES318" s="1"/>
      <c r="AET318" s="1"/>
      <c r="AEU318" s="1"/>
      <c r="AEV318" s="1"/>
      <c r="AEW318" s="1"/>
      <c r="AEX318" s="1"/>
      <c r="AEY318" s="1"/>
      <c r="AEZ318" s="1"/>
      <c r="AFA318" s="1"/>
      <c r="AFB318" s="1"/>
      <c r="AFC318" s="1"/>
      <c r="AFD318" s="1"/>
      <c r="AFE318" s="1"/>
      <c r="AFF318" s="1"/>
      <c r="AFG318" s="1"/>
      <c r="AFH318" s="1"/>
      <c r="AFI318" s="1"/>
      <c r="AFJ318" s="1"/>
      <c r="AFK318" s="1"/>
      <c r="AFL318" s="1"/>
      <c r="AFM318" s="1"/>
      <c r="AFN318" s="1"/>
      <c r="AFO318" s="1"/>
      <c r="AFP318" s="1"/>
      <c r="AFQ318" s="1"/>
      <c r="AFR318" s="1"/>
      <c r="AFS318" s="1"/>
      <c r="AFT318" s="1"/>
      <c r="AFU318" s="1"/>
      <c r="AFV318" s="1"/>
      <c r="AFW318" s="1"/>
      <c r="AFX318" s="1"/>
      <c r="AFY318" s="1"/>
      <c r="AFZ318" s="1"/>
      <c r="AGA318" s="1"/>
      <c r="AGB318" s="1"/>
      <c r="AGC318" s="1"/>
      <c r="AGD318" s="1"/>
      <c r="AGE318" s="1"/>
      <c r="AGF318" s="1"/>
      <c r="AGG318" s="1"/>
      <c r="AGH318" s="1"/>
      <c r="AGI318" s="1"/>
      <c r="AGJ318" s="1"/>
      <c r="AGK318" s="1"/>
      <c r="AGL318" s="1"/>
      <c r="AGM318" s="1"/>
      <c r="AGN318" s="1"/>
      <c r="AGO318" s="1"/>
      <c r="AGP318" s="1"/>
      <c r="AGQ318" s="1"/>
      <c r="AGR318" s="1"/>
      <c r="AGS318" s="1"/>
      <c r="AGT318" s="1"/>
      <c r="AGU318" s="1"/>
      <c r="AGV318" s="1"/>
      <c r="AGW318" s="1"/>
      <c r="AGX318" s="1"/>
      <c r="AGY318" s="1"/>
      <c r="AGZ318" s="1"/>
      <c r="AHA318" s="1"/>
      <c r="AHB318" s="1"/>
      <c r="AHC318" s="1"/>
      <c r="AHD318" s="1"/>
      <c r="AHE318" s="1"/>
      <c r="AHF318" s="1"/>
      <c r="AHG318" s="1"/>
      <c r="AHH318" s="1"/>
      <c r="AHI318" s="1"/>
      <c r="AHJ318" s="1"/>
      <c r="AHK318" s="1"/>
      <c r="AHL318" s="1"/>
      <c r="AHM318" s="1"/>
      <c r="AHN318" s="1"/>
      <c r="AHO318" s="1"/>
      <c r="AHP318" s="1"/>
      <c r="AHQ318" s="1"/>
      <c r="AHR318" s="1"/>
      <c r="AHS318" s="1"/>
      <c r="AHT318" s="1"/>
      <c r="AHU318" s="1"/>
      <c r="AHV318" s="1"/>
      <c r="AHW318" s="1"/>
      <c r="AHX318" s="1"/>
      <c r="AHY318" s="1"/>
    </row>
    <row r="319" spans="1:909" s="5" customFormat="1" ht="22.2" thickTop="1" thickBot="1">
      <c r="A319" s="11" t="s">
        <v>109</v>
      </c>
      <c r="B319" s="170">
        <f>'[1]التعليم الابتدائي'!AB580</f>
        <v>0</v>
      </c>
      <c r="C319" s="182"/>
      <c r="D319" s="170">
        <f>'[1]التعليم الابتدائي'!AD580</f>
        <v>0</v>
      </c>
      <c r="E319" s="182"/>
      <c r="F319" s="170">
        <f>'[1]التعليم الابتدائي'!AF580</f>
        <v>0</v>
      </c>
      <c r="G319" s="182"/>
      <c r="H319" s="170">
        <f>'[1]التعليم الابتدائي'!AH580</f>
        <v>0</v>
      </c>
      <c r="I319" s="182"/>
      <c r="J319" s="170">
        <f>'[1]التعليم الابتدائي'!AJ580</f>
        <v>0</v>
      </c>
      <c r="K319" s="182"/>
      <c r="L319" s="170">
        <f>'[1]التعليم الابتدائي'!AL580</f>
        <v>0</v>
      </c>
      <c r="M319" s="182"/>
      <c r="N319" s="170">
        <f>L319+J319+H319+F319+D319+B319</f>
        <v>0</v>
      </c>
      <c r="O319" s="181"/>
      <c r="P319" s="193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1"/>
      <c r="KG319" s="1"/>
      <c r="KH319" s="1"/>
      <c r="KI319" s="1"/>
      <c r="KJ319" s="1"/>
      <c r="KK319" s="1"/>
      <c r="KL319" s="1"/>
      <c r="KM319" s="1"/>
      <c r="KN319" s="1"/>
      <c r="KO319" s="1"/>
      <c r="KP319" s="1"/>
      <c r="KQ319" s="1"/>
      <c r="KR319" s="1"/>
      <c r="KS319" s="1"/>
      <c r="KT319" s="1"/>
      <c r="KU319" s="1"/>
      <c r="KV319" s="1"/>
      <c r="KW319" s="1"/>
      <c r="KX319" s="1"/>
      <c r="KY319" s="1"/>
      <c r="KZ319" s="1"/>
      <c r="LA319" s="1"/>
      <c r="LB319" s="1"/>
      <c r="LC319" s="1"/>
      <c r="LD319" s="1"/>
      <c r="LE319" s="1"/>
      <c r="LF319" s="1"/>
      <c r="LG319" s="1"/>
      <c r="LH319" s="1"/>
      <c r="LI319" s="1"/>
      <c r="LJ319" s="1"/>
      <c r="LK319" s="1"/>
      <c r="LL319" s="1"/>
      <c r="LM319" s="1"/>
      <c r="LN319" s="1"/>
      <c r="LO319" s="1"/>
      <c r="LP319" s="1"/>
      <c r="LQ319" s="1"/>
      <c r="LR319" s="1"/>
      <c r="LS319" s="1"/>
      <c r="LT319" s="1"/>
      <c r="LU319" s="1"/>
      <c r="LV319" s="1"/>
      <c r="LW319" s="1"/>
      <c r="LX319" s="1"/>
      <c r="LY319" s="1"/>
      <c r="LZ319" s="1"/>
      <c r="MA319" s="1"/>
      <c r="MB319" s="1"/>
      <c r="MC319" s="1"/>
      <c r="MD319" s="1"/>
      <c r="ME319" s="1"/>
      <c r="MF319" s="1"/>
      <c r="MG319" s="1"/>
      <c r="MH319" s="1"/>
      <c r="MI319" s="1"/>
      <c r="MJ319" s="1"/>
      <c r="MK319" s="1"/>
      <c r="ML319" s="1"/>
      <c r="MM319" s="1"/>
      <c r="MN319" s="1"/>
      <c r="MO319" s="1"/>
      <c r="MP319" s="1"/>
      <c r="MQ319" s="1"/>
      <c r="MR319" s="1"/>
      <c r="MS319" s="1"/>
      <c r="MT319" s="1"/>
      <c r="MU319" s="1"/>
      <c r="MV319" s="1"/>
      <c r="MW319" s="1"/>
      <c r="MX319" s="1"/>
      <c r="MY319" s="1"/>
      <c r="MZ319" s="1"/>
      <c r="NA319" s="1"/>
      <c r="NB319" s="1"/>
      <c r="NC319" s="1"/>
      <c r="ND319" s="1"/>
      <c r="NE319" s="1"/>
      <c r="NF319" s="1"/>
      <c r="NG319" s="1"/>
      <c r="NH319" s="1"/>
      <c r="NI319" s="1"/>
      <c r="NJ319" s="1"/>
      <c r="NK319" s="1"/>
      <c r="NL319" s="1"/>
      <c r="NM319" s="1"/>
      <c r="NN319" s="1"/>
      <c r="NO319" s="1"/>
      <c r="NP319" s="1"/>
      <c r="NQ319" s="1"/>
      <c r="NR319" s="1"/>
      <c r="NS319" s="1"/>
      <c r="NT319" s="1"/>
      <c r="NU319" s="1"/>
      <c r="NV319" s="1"/>
      <c r="NW319" s="1"/>
      <c r="NX319" s="1"/>
      <c r="NY319" s="1"/>
      <c r="NZ319" s="1"/>
      <c r="OA319" s="1"/>
      <c r="OB319" s="1"/>
      <c r="OC319" s="1"/>
      <c r="OD319" s="1"/>
      <c r="OE319" s="1"/>
      <c r="OF319" s="1"/>
      <c r="OG319" s="1"/>
      <c r="OH319" s="1"/>
      <c r="OI319" s="1"/>
      <c r="OJ319" s="1"/>
      <c r="OK319" s="1"/>
      <c r="OL319" s="1"/>
      <c r="OM319" s="1"/>
      <c r="ON319" s="1"/>
      <c r="OO319" s="1"/>
      <c r="OP319" s="1"/>
      <c r="OQ319" s="1"/>
      <c r="OR319" s="1"/>
      <c r="OS319" s="1"/>
      <c r="OT319" s="1"/>
      <c r="OU319" s="1"/>
      <c r="OV319" s="1"/>
      <c r="OW319" s="1"/>
      <c r="OX319" s="1"/>
      <c r="OY319" s="1"/>
      <c r="OZ319" s="1"/>
      <c r="PA319" s="1"/>
      <c r="PB319" s="1"/>
      <c r="PC319" s="1"/>
      <c r="PD319" s="1"/>
      <c r="PE319" s="1"/>
      <c r="PF319" s="1"/>
      <c r="PG319" s="1"/>
      <c r="PH319" s="1"/>
      <c r="PI319" s="1"/>
      <c r="PJ319" s="1"/>
      <c r="PK319" s="1"/>
      <c r="PL319" s="1"/>
      <c r="PM319" s="1"/>
      <c r="PN319" s="1"/>
      <c r="PO319" s="1"/>
      <c r="PP319" s="1"/>
      <c r="PQ319" s="1"/>
      <c r="PR319" s="1"/>
      <c r="PS319" s="1"/>
      <c r="PT319" s="1"/>
      <c r="PU319" s="1"/>
      <c r="PV319" s="1"/>
      <c r="PW319" s="1"/>
      <c r="PX319" s="1"/>
      <c r="PY319" s="1"/>
      <c r="PZ319" s="1"/>
      <c r="QA319" s="1"/>
      <c r="QB319" s="1"/>
      <c r="QC319" s="1"/>
      <c r="QD319" s="1"/>
      <c r="QE319" s="1"/>
      <c r="QF319" s="1"/>
      <c r="QG319" s="1"/>
      <c r="QH319" s="1"/>
      <c r="QI319" s="1"/>
      <c r="QJ319" s="1"/>
      <c r="QK319" s="1"/>
      <c r="QL319" s="1"/>
      <c r="QM319" s="1"/>
      <c r="QN319" s="1"/>
      <c r="QO319" s="1"/>
      <c r="QP319" s="1"/>
      <c r="QQ319" s="1"/>
      <c r="QR319" s="1"/>
      <c r="QS319" s="1"/>
      <c r="QT319" s="1"/>
      <c r="QU319" s="1"/>
      <c r="QV319" s="1"/>
      <c r="QW319" s="1"/>
      <c r="QX319" s="1"/>
      <c r="QY319" s="1"/>
      <c r="QZ319" s="1"/>
      <c r="RA319" s="1"/>
      <c r="RB319" s="1"/>
      <c r="RC319" s="1"/>
      <c r="RD319" s="1"/>
      <c r="RE319" s="1"/>
      <c r="RF319" s="1"/>
      <c r="RG319" s="1"/>
      <c r="RH319" s="1"/>
      <c r="RI319" s="1"/>
      <c r="RJ319" s="1"/>
      <c r="RK319" s="1"/>
      <c r="RL319" s="1"/>
      <c r="RM319" s="1"/>
      <c r="RN319" s="1"/>
      <c r="RO319" s="1"/>
      <c r="RP319" s="1"/>
      <c r="RQ319" s="1"/>
      <c r="RR319" s="1"/>
      <c r="RS319" s="1"/>
      <c r="RT319" s="1"/>
      <c r="RU319" s="1"/>
      <c r="RV319" s="1"/>
      <c r="RW319" s="1"/>
      <c r="RX319" s="1"/>
      <c r="RY319" s="1"/>
      <c r="RZ319" s="1"/>
      <c r="SA319" s="1"/>
      <c r="SB319" s="1"/>
      <c r="SC319" s="1"/>
      <c r="SD319" s="1"/>
      <c r="SE319" s="1"/>
      <c r="SF319" s="1"/>
      <c r="SG319" s="1"/>
      <c r="SH319" s="1"/>
      <c r="SI319" s="1"/>
      <c r="SJ319" s="1"/>
      <c r="SK319" s="1"/>
      <c r="SL319" s="1"/>
      <c r="SM319" s="1"/>
      <c r="SN319" s="1"/>
      <c r="SO319" s="1"/>
      <c r="SP319" s="1"/>
      <c r="SQ319" s="1"/>
      <c r="SR319" s="1"/>
      <c r="SS319" s="1"/>
      <c r="ST319" s="1"/>
      <c r="SU319" s="1"/>
      <c r="SV319" s="1"/>
      <c r="SW319" s="1"/>
      <c r="SX319" s="1"/>
      <c r="SY319" s="1"/>
      <c r="SZ319" s="1"/>
      <c r="TA319" s="1"/>
      <c r="TB319" s="1"/>
      <c r="TC319" s="1"/>
      <c r="TD319" s="1"/>
      <c r="TE319" s="1"/>
      <c r="TF319" s="1"/>
      <c r="TG319" s="1"/>
      <c r="TH319" s="1"/>
      <c r="TI319" s="1"/>
      <c r="TJ319" s="1"/>
      <c r="TK319" s="1"/>
      <c r="TL319" s="1"/>
      <c r="TM319" s="1"/>
      <c r="TN319" s="1"/>
      <c r="TO319" s="1"/>
      <c r="TP319" s="1"/>
      <c r="TQ319" s="1"/>
      <c r="TR319" s="1"/>
      <c r="TS319" s="1"/>
      <c r="TT319" s="1"/>
      <c r="TU319" s="1"/>
      <c r="TV319" s="1"/>
      <c r="TW319" s="1"/>
      <c r="TX319" s="1"/>
      <c r="TY319" s="1"/>
      <c r="TZ319" s="1"/>
      <c r="UA319" s="1"/>
      <c r="UB319" s="1"/>
      <c r="UC319" s="1"/>
      <c r="UD319" s="1"/>
      <c r="UE319" s="1"/>
      <c r="UF319" s="1"/>
      <c r="UG319" s="1"/>
      <c r="UH319" s="1"/>
      <c r="UI319" s="1"/>
      <c r="UJ319" s="1"/>
      <c r="UK319" s="1"/>
      <c r="UL319" s="1"/>
      <c r="UM319" s="1"/>
      <c r="UN319" s="1"/>
      <c r="UO319" s="1"/>
      <c r="UP319" s="1"/>
      <c r="UQ319" s="1"/>
      <c r="UR319" s="1"/>
      <c r="US319" s="1"/>
      <c r="UT319" s="1"/>
      <c r="UU319" s="1"/>
      <c r="UV319" s="1"/>
      <c r="UW319" s="1"/>
      <c r="UX319" s="1"/>
      <c r="UY319" s="1"/>
      <c r="UZ319" s="1"/>
      <c r="VA319" s="1"/>
      <c r="VB319" s="1"/>
      <c r="VC319" s="1"/>
      <c r="VD319" s="1"/>
      <c r="VE319" s="1"/>
      <c r="VF319" s="1"/>
      <c r="VG319" s="1"/>
      <c r="VH319" s="1"/>
      <c r="VI319" s="1"/>
      <c r="VJ319" s="1"/>
      <c r="VK319" s="1"/>
      <c r="VL319" s="1"/>
      <c r="VM319" s="1"/>
      <c r="VN319" s="1"/>
      <c r="VO319" s="1"/>
      <c r="VP319" s="1"/>
      <c r="VQ319" s="1"/>
      <c r="VR319" s="1"/>
      <c r="VS319" s="1"/>
      <c r="VT319" s="1"/>
      <c r="VU319" s="1"/>
      <c r="VV319" s="1"/>
      <c r="VW319" s="1"/>
      <c r="VX319" s="1"/>
      <c r="VY319" s="1"/>
      <c r="VZ319" s="1"/>
      <c r="WA319" s="1"/>
      <c r="WB319" s="1"/>
      <c r="WC319" s="1"/>
      <c r="WD319" s="1"/>
      <c r="WE319" s="1"/>
      <c r="WF319" s="1"/>
      <c r="WG319" s="1"/>
      <c r="WH319" s="1"/>
      <c r="WI319" s="1"/>
      <c r="WJ319" s="1"/>
      <c r="WK319" s="1"/>
      <c r="WL319" s="1"/>
      <c r="WM319" s="1"/>
      <c r="WN319" s="1"/>
      <c r="WO319" s="1"/>
      <c r="WP319" s="1"/>
      <c r="WQ319" s="1"/>
      <c r="WR319" s="1"/>
      <c r="WS319" s="1"/>
      <c r="WT319" s="1"/>
      <c r="WU319" s="1"/>
      <c r="WV319" s="1"/>
      <c r="WW319" s="1"/>
      <c r="WX319" s="1"/>
      <c r="WY319" s="1"/>
      <c r="WZ319" s="1"/>
      <c r="XA319" s="1"/>
      <c r="XB319" s="1"/>
      <c r="XC319" s="1"/>
      <c r="XD319" s="1"/>
      <c r="XE319" s="1"/>
      <c r="XF319" s="1"/>
      <c r="XG319" s="1"/>
      <c r="XH319" s="1"/>
      <c r="XI319" s="1"/>
      <c r="XJ319" s="1"/>
      <c r="XK319" s="1"/>
      <c r="XL319" s="1"/>
      <c r="XM319" s="1"/>
      <c r="XN319" s="1"/>
      <c r="XO319" s="1"/>
      <c r="XP319" s="1"/>
      <c r="XQ319" s="1"/>
      <c r="XR319" s="1"/>
      <c r="XS319" s="1"/>
      <c r="XT319" s="1"/>
      <c r="XU319" s="1"/>
      <c r="XV319" s="1"/>
      <c r="XW319" s="1"/>
      <c r="XX319" s="1"/>
      <c r="XY319" s="1"/>
      <c r="XZ319" s="1"/>
      <c r="YA319" s="1"/>
      <c r="YB319" s="1"/>
      <c r="YC319" s="1"/>
      <c r="YD319" s="1"/>
      <c r="YE319" s="1"/>
      <c r="YF319" s="1"/>
      <c r="YG319" s="1"/>
      <c r="YH319" s="1"/>
      <c r="YI319" s="1"/>
      <c r="YJ319" s="1"/>
      <c r="YK319" s="1"/>
      <c r="YL319" s="1"/>
      <c r="YM319" s="1"/>
      <c r="YN319" s="1"/>
      <c r="YO319" s="1"/>
      <c r="YP319" s="1"/>
      <c r="YQ319" s="1"/>
      <c r="YR319" s="1"/>
      <c r="YS319" s="1"/>
      <c r="YT319" s="1"/>
      <c r="YU319" s="1"/>
      <c r="YV319" s="1"/>
      <c r="YW319" s="1"/>
      <c r="YX319" s="1"/>
      <c r="YY319" s="1"/>
      <c r="YZ319" s="1"/>
      <c r="ZA319" s="1"/>
      <c r="ZB319" s="1"/>
      <c r="ZC319" s="1"/>
      <c r="ZD319" s="1"/>
      <c r="ZE319" s="1"/>
      <c r="ZF319" s="1"/>
      <c r="ZG319" s="1"/>
      <c r="ZH319" s="1"/>
      <c r="ZI319" s="1"/>
      <c r="ZJ319" s="1"/>
      <c r="ZK319" s="1"/>
      <c r="ZL319" s="1"/>
      <c r="ZM319" s="1"/>
      <c r="ZN319" s="1"/>
      <c r="ZO319" s="1"/>
      <c r="ZP319" s="1"/>
      <c r="ZQ319" s="1"/>
      <c r="ZR319" s="1"/>
      <c r="ZS319" s="1"/>
      <c r="ZT319" s="1"/>
      <c r="ZU319" s="1"/>
      <c r="ZV319" s="1"/>
      <c r="ZW319" s="1"/>
      <c r="ZX319" s="1"/>
      <c r="ZY319" s="1"/>
      <c r="ZZ319" s="1"/>
      <c r="AAA319" s="1"/>
      <c r="AAB319" s="1"/>
      <c r="AAC319" s="1"/>
      <c r="AAD319" s="1"/>
      <c r="AAE319" s="1"/>
      <c r="AAF319" s="1"/>
      <c r="AAG319" s="1"/>
      <c r="AAH319" s="1"/>
      <c r="AAI319" s="1"/>
      <c r="AAJ319" s="1"/>
      <c r="AAK319" s="1"/>
      <c r="AAL319" s="1"/>
      <c r="AAM319" s="1"/>
      <c r="AAN319" s="1"/>
      <c r="AAO319" s="1"/>
      <c r="AAP319" s="1"/>
      <c r="AAQ319" s="1"/>
      <c r="AAR319" s="1"/>
      <c r="AAS319" s="1"/>
      <c r="AAT319" s="1"/>
      <c r="AAU319" s="1"/>
      <c r="AAV319" s="1"/>
      <c r="AAW319" s="1"/>
      <c r="AAX319" s="1"/>
      <c r="AAY319" s="1"/>
      <c r="AAZ319" s="1"/>
      <c r="ABA319" s="1"/>
      <c r="ABB319" s="1"/>
      <c r="ABC319" s="1"/>
      <c r="ABD319" s="1"/>
      <c r="ABE319" s="1"/>
      <c r="ABF319" s="1"/>
      <c r="ABG319" s="1"/>
      <c r="ABH319" s="1"/>
      <c r="ABI319" s="1"/>
      <c r="ABJ319" s="1"/>
      <c r="ABK319" s="1"/>
      <c r="ABL319" s="1"/>
      <c r="ABM319" s="1"/>
      <c r="ABN319" s="1"/>
      <c r="ABO319" s="1"/>
      <c r="ABP319" s="1"/>
      <c r="ABQ319" s="1"/>
      <c r="ABR319" s="1"/>
      <c r="ABS319" s="1"/>
      <c r="ABT319" s="1"/>
      <c r="ABU319" s="1"/>
      <c r="ABV319" s="1"/>
      <c r="ABW319" s="1"/>
      <c r="ABX319" s="1"/>
      <c r="ABY319" s="1"/>
      <c r="ABZ319" s="1"/>
      <c r="ACA319" s="1"/>
      <c r="ACB319" s="1"/>
      <c r="ACC319" s="1"/>
      <c r="ACD319" s="1"/>
      <c r="ACE319" s="1"/>
      <c r="ACF319" s="1"/>
      <c r="ACG319" s="1"/>
      <c r="ACH319" s="1"/>
      <c r="ACI319" s="1"/>
      <c r="ACJ319" s="1"/>
      <c r="ACK319" s="1"/>
      <c r="ACL319" s="1"/>
      <c r="ACM319" s="1"/>
      <c r="ACN319" s="1"/>
      <c r="ACO319" s="1"/>
      <c r="ACP319" s="1"/>
      <c r="ACQ319" s="1"/>
      <c r="ACR319" s="1"/>
      <c r="ACS319" s="1"/>
      <c r="ACT319" s="1"/>
      <c r="ACU319" s="1"/>
      <c r="ACV319" s="1"/>
      <c r="ACW319" s="1"/>
      <c r="ACX319" s="1"/>
      <c r="ACY319" s="1"/>
      <c r="ACZ319" s="1"/>
      <c r="ADA319" s="1"/>
      <c r="ADB319" s="1"/>
      <c r="ADC319" s="1"/>
      <c r="ADD319" s="1"/>
      <c r="ADE319" s="1"/>
      <c r="ADF319" s="1"/>
      <c r="ADG319" s="1"/>
      <c r="ADH319" s="1"/>
      <c r="ADI319" s="1"/>
      <c r="ADJ319" s="1"/>
      <c r="ADK319" s="1"/>
      <c r="ADL319" s="1"/>
      <c r="ADM319" s="1"/>
      <c r="ADN319" s="1"/>
      <c r="ADO319" s="1"/>
      <c r="ADP319" s="1"/>
      <c r="ADQ319" s="1"/>
      <c r="ADR319" s="1"/>
      <c r="ADS319" s="1"/>
      <c r="ADT319" s="1"/>
      <c r="ADU319" s="1"/>
      <c r="ADV319" s="1"/>
      <c r="ADW319" s="1"/>
      <c r="ADX319" s="1"/>
      <c r="ADY319" s="1"/>
      <c r="ADZ319" s="1"/>
      <c r="AEA319" s="1"/>
      <c r="AEB319" s="1"/>
      <c r="AEC319" s="1"/>
      <c r="AED319" s="1"/>
      <c r="AEE319" s="1"/>
      <c r="AEF319" s="1"/>
      <c r="AEG319" s="1"/>
      <c r="AEH319" s="1"/>
      <c r="AEI319" s="1"/>
      <c r="AEJ319" s="1"/>
      <c r="AEK319" s="1"/>
      <c r="AEL319" s="1"/>
      <c r="AEM319" s="1"/>
      <c r="AEN319" s="1"/>
      <c r="AEO319" s="1"/>
      <c r="AEP319" s="1"/>
      <c r="AEQ319" s="1"/>
      <c r="AER319" s="1"/>
      <c r="AES319" s="1"/>
      <c r="AET319" s="1"/>
      <c r="AEU319" s="1"/>
      <c r="AEV319" s="1"/>
      <c r="AEW319" s="1"/>
      <c r="AEX319" s="1"/>
      <c r="AEY319" s="1"/>
      <c r="AEZ319" s="1"/>
      <c r="AFA319" s="1"/>
      <c r="AFB319" s="1"/>
      <c r="AFC319" s="1"/>
      <c r="AFD319" s="1"/>
      <c r="AFE319" s="1"/>
      <c r="AFF319" s="1"/>
      <c r="AFG319" s="1"/>
      <c r="AFH319" s="1"/>
      <c r="AFI319" s="1"/>
      <c r="AFJ319" s="1"/>
      <c r="AFK319" s="1"/>
      <c r="AFL319" s="1"/>
      <c r="AFM319" s="1"/>
      <c r="AFN319" s="1"/>
      <c r="AFO319" s="1"/>
      <c r="AFP319" s="1"/>
      <c r="AFQ319" s="1"/>
      <c r="AFR319" s="1"/>
      <c r="AFS319" s="1"/>
      <c r="AFT319" s="1"/>
      <c r="AFU319" s="1"/>
      <c r="AFV319" s="1"/>
      <c r="AFW319" s="1"/>
      <c r="AFX319" s="1"/>
      <c r="AFY319" s="1"/>
      <c r="AFZ319" s="1"/>
      <c r="AGA319" s="1"/>
      <c r="AGB319" s="1"/>
      <c r="AGC319" s="1"/>
      <c r="AGD319" s="1"/>
      <c r="AGE319" s="1"/>
      <c r="AGF319" s="1"/>
      <c r="AGG319" s="1"/>
      <c r="AGH319" s="1"/>
      <c r="AGI319" s="1"/>
      <c r="AGJ319" s="1"/>
      <c r="AGK319" s="1"/>
      <c r="AGL319" s="1"/>
      <c r="AGM319" s="1"/>
      <c r="AGN319" s="1"/>
      <c r="AGO319" s="1"/>
      <c r="AGP319" s="1"/>
      <c r="AGQ319" s="1"/>
      <c r="AGR319" s="1"/>
      <c r="AGS319" s="1"/>
      <c r="AGT319" s="1"/>
      <c r="AGU319" s="1"/>
      <c r="AGV319" s="1"/>
      <c r="AGW319" s="1"/>
      <c r="AGX319" s="1"/>
      <c r="AGY319" s="1"/>
      <c r="AGZ319" s="1"/>
      <c r="AHA319" s="1"/>
      <c r="AHB319" s="1"/>
      <c r="AHC319" s="1"/>
      <c r="AHD319" s="1"/>
      <c r="AHE319" s="1"/>
      <c r="AHF319" s="1"/>
      <c r="AHG319" s="1"/>
      <c r="AHH319" s="1"/>
      <c r="AHI319" s="1"/>
      <c r="AHJ319" s="1"/>
      <c r="AHK319" s="1"/>
      <c r="AHL319" s="1"/>
      <c r="AHM319" s="1"/>
      <c r="AHN319" s="1"/>
      <c r="AHO319" s="1"/>
      <c r="AHP319" s="1"/>
      <c r="AHQ319" s="1"/>
      <c r="AHR319" s="1"/>
      <c r="AHS319" s="1"/>
      <c r="AHT319" s="1"/>
      <c r="AHU319" s="1"/>
      <c r="AHV319" s="1"/>
      <c r="AHW319" s="1"/>
      <c r="AHX319" s="1"/>
      <c r="AHY319" s="1"/>
    </row>
    <row r="320" spans="1:909" s="5" customFormat="1" ht="22.2" thickTop="1" thickBot="1">
      <c r="A320" s="6" t="s">
        <v>110</v>
      </c>
      <c r="B320" s="194">
        <f>SUM(B318:B319)</f>
        <v>0</v>
      </c>
      <c r="C320" s="195"/>
      <c r="D320" s="194">
        <f>SUM(D318:D319)</f>
        <v>0</v>
      </c>
      <c r="E320" s="195"/>
      <c r="F320" s="194">
        <f>SUM(F318:F319)</f>
        <v>0</v>
      </c>
      <c r="G320" s="195"/>
      <c r="H320" s="194">
        <f>SUM(H318:H319)</f>
        <v>0</v>
      </c>
      <c r="I320" s="195"/>
      <c r="J320" s="194">
        <f>SUM(J318:J319)</f>
        <v>0</v>
      </c>
      <c r="K320" s="195"/>
      <c r="L320" s="194">
        <f>SUM(L318:L319)</f>
        <v>0</v>
      </c>
      <c r="M320" s="195"/>
      <c r="N320" s="194">
        <f>L320+J320+H320+F320+D320+B320</f>
        <v>0</v>
      </c>
      <c r="O320" s="196"/>
      <c r="P320" s="197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1"/>
      <c r="KG320" s="1"/>
      <c r="KH320" s="1"/>
      <c r="KI320" s="1"/>
      <c r="KJ320" s="1"/>
      <c r="KK320" s="1"/>
      <c r="KL320" s="1"/>
      <c r="KM320" s="1"/>
      <c r="KN320" s="1"/>
      <c r="KO320" s="1"/>
      <c r="KP320" s="1"/>
      <c r="KQ320" s="1"/>
      <c r="KR320" s="1"/>
      <c r="KS320" s="1"/>
      <c r="KT320" s="1"/>
      <c r="KU320" s="1"/>
      <c r="KV320" s="1"/>
      <c r="KW320" s="1"/>
      <c r="KX320" s="1"/>
      <c r="KY320" s="1"/>
      <c r="KZ320" s="1"/>
      <c r="LA320" s="1"/>
      <c r="LB320" s="1"/>
      <c r="LC320" s="1"/>
      <c r="LD320" s="1"/>
      <c r="LE320" s="1"/>
      <c r="LF320" s="1"/>
      <c r="LG320" s="1"/>
      <c r="LH320" s="1"/>
      <c r="LI320" s="1"/>
      <c r="LJ320" s="1"/>
      <c r="LK320" s="1"/>
      <c r="LL320" s="1"/>
      <c r="LM320" s="1"/>
      <c r="LN320" s="1"/>
      <c r="LO320" s="1"/>
      <c r="LP320" s="1"/>
      <c r="LQ320" s="1"/>
      <c r="LR320" s="1"/>
      <c r="LS320" s="1"/>
      <c r="LT320" s="1"/>
      <c r="LU320" s="1"/>
      <c r="LV320" s="1"/>
      <c r="LW320" s="1"/>
      <c r="LX320" s="1"/>
      <c r="LY320" s="1"/>
      <c r="LZ320" s="1"/>
      <c r="MA320" s="1"/>
      <c r="MB320" s="1"/>
      <c r="MC320" s="1"/>
      <c r="MD320" s="1"/>
      <c r="ME320" s="1"/>
      <c r="MF320" s="1"/>
      <c r="MG320" s="1"/>
      <c r="MH320" s="1"/>
      <c r="MI320" s="1"/>
      <c r="MJ320" s="1"/>
      <c r="MK320" s="1"/>
      <c r="ML320" s="1"/>
      <c r="MM320" s="1"/>
      <c r="MN320" s="1"/>
      <c r="MO320" s="1"/>
      <c r="MP320" s="1"/>
      <c r="MQ320" s="1"/>
      <c r="MR320" s="1"/>
      <c r="MS320" s="1"/>
      <c r="MT320" s="1"/>
      <c r="MU320" s="1"/>
      <c r="MV320" s="1"/>
      <c r="MW320" s="1"/>
      <c r="MX320" s="1"/>
      <c r="MY320" s="1"/>
      <c r="MZ320" s="1"/>
      <c r="NA320" s="1"/>
      <c r="NB320" s="1"/>
      <c r="NC320" s="1"/>
      <c r="ND320" s="1"/>
      <c r="NE320" s="1"/>
      <c r="NF320" s="1"/>
      <c r="NG320" s="1"/>
      <c r="NH320" s="1"/>
      <c r="NI320" s="1"/>
      <c r="NJ320" s="1"/>
      <c r="NK320" s="1"/>
      <c r="NL320" s="1"/>
      <c r="NM320" s="1"/>
      <c r="NN320" s="1"/>
      <c r="NO320" s="1"/>
      <c r="NP320" s="1"/>
      <c r="NQ320" s="1"/>
      <c r="NR320" s="1"/>
      <c r="NS320" s="1"/>
      <c r="NT320" s="1"/>
      <c r="NU320" s="1"/>
      <c r="NV320" s="1"/>
      <c r="NW320" s="1"/>
      <c r="NX320" s="1"/>
      <c r="NY320" s="1"/>
      <c r="NZ320" s="1"/>
      <c r="OA320" s="1"/>
      <c r="OB320" s="1"/>
      <c r="OC320" s="1"/>
      <c r="OD320" s="1"/>
      <c r="OE320" s="1"/>
      <c r="OF320" s="1"/>
      <c r="OG320" s="1"/>
      <c r="OH320" s="1"/>
      <c r="OI320" s="1"/>
      <c r="OJ320" s="1"/>
      <c r="OK320" s="1"/>
      <c r="OL320" s="1"/>
      <c r="OM320" s="1"/>
      <c r="ON320" s="1"/>
      <c r="OO320" s="1"/>
      <c r="OP320" s="1"/>
      <c r="OQ320" s="1"/>
      <c r="OR320" s="1"/>
      <c r="OS320" s="1"/>
      <c r="OT320" s="1"/>
      <c r="OU320" s="1"/>
      <c r="OV320" s="1"/>
      <c r="OW320" s="1"/>
      <c r="OX320" s="1"/>
      <c r="OY320" s="1"/>
      <c r="OZ320" s="1"/>
      <c r="PA320" s="1"/>
      <c r="PB320" s="1"/>
      <c r="PC320" s="1"/>
      <c r="PD320" s="1"/>
      <c r="PE320" s="1"/>
      <c r="PF320" s="1"/>
      <c r="PG320" s="1"/>
      <c r="PH320" s="1"/>
      <c r="PI320" s="1"/>
      <c r="PJ320" s="1"/>
      <c r="PK320" s="1"/>
      <c r="PL320" s="1"/>
      <c r="PM320" s="1"/>
      <c r="PN320" s="1"/>
      <c r="PO320" s="1"/>
      <c r="PP320" s="1"/>
      <c r="PQ320" s="1"/>
      <c r="PR320" s="1"/>
      <c r="PS320" s="1"/>
      <c r="PT320" s="1"/>
      <c r="PU320" s="1"/>
      <c r="PV320" s="1"/>
      <c r="PW320" s="1"/>
      <c r="PX320" s="1"/>
      <c r="PY320" s="1"/>
      <c r="PZ320" s="1"/>
      <c r="QA320" s="1"/>
      <c r="QB320" s="1"/>
      <c r="QC320" s="1"/>
      <c r="QD320" s="1"/>
      <c r="QE320" s="1"/>
      <c r="QF320" s="1"/>
      <c r="QG320" s="1"/>
      <c r="QH320" s="1"/>
      <c r="QI320" s="1"/>
      <c r="QJ320" s="1"/>
      <c r="QK320" s="1"/>
      <c r="QL320" s="1"/>
      <c r="QM320" s="1"/>
      <c r="QN320" s="1"/>
      <c r="QO320" s="1"/>
      <c r="QP320" s="1"/>
      <c r="QQ320" s="1"/>
      <c r="QR320" s="1"/>
      <c r="QS320" s="1"/>
      <c r="QT320" s="1"/>
      <c r="QU320" s="1"/>
      <c r="QV320" s="1"/>
      <c r="QW320" s="1"/>
      <c r="QX320" s="1"/>
      <c r="QY320" s="1"/>
      <c r="QZ320" s="1"/>
      <c r="RA320" s="1"/>
      <c r="RB320" s="1"/>
      <c r="RC320" s="1"/>
      <c r="RD320" s="1"/>
      <c r="RE320" s="1"/>
      <c r="RF320" s="1"/>
      <c r="RG320" s="1"/>
      <c r="RH320" s="1"/>
      <c r="RI320" s="1"/>
      <c r="RJ320" s="1"/>
      <c r="RK320" s="1"/>
      <c r="RL320" s="1"/>
      <c r="RM320" s="1"/>
      <c r="RN320" s="1"/>
      <c r="RO320" s="1"/>
      <c r="RP320" s="1"/>
      <c r="RQ320" s="1"/>
      <c r="RR320" s="1"/>
      <c r="RS320" s="1"/>
      <c r="RT320" s="1"/>
      <c r="RU320" s="1"/>
      <c r="RV320" s="1"/>
      <c r="RW320" s="1"/>
      <c r="RX320" s="1"/>
      <c r="RY320" s="1"/>
      <c r="RZ320" s="1"/>
      <c r="SA320" s="1"/>
      <c r="SB320" s="1"/>
      <c r="SC320" s="1"/>
      <c r="SD320" s="1"/>
      <c r="SE320" s="1"/>
      <c r="SF320" s="1"/>
      <c r="SG320" s="1"/>
      <c r="SH320" s="1"/>
      <c r="SI320" s="1"/>
      <c r="SJ320" s="1"/>
      <c r="SK320" s="1"/>
      <c r="SL320" s="1"/>
      <c r="SM320" s="1"/>
      <c r="SN320" s="1"/>
      <c r="SO320" s="1"/>
      <c r="SP320" s="1"/>
      <c r="SQ320" s="1"/>
      <c r="SR320" s="1"/>
      <c r="SS320" s="1"/>
      <c r="ST320" s="1"/>
      <c r="SU320" s="1"/>
      <c r="SV320" s="1"/>
      <c r="SW320" s="1"/>
      <c r="SX320" s="1"/>
      <c r="SY320" s="1"/>
      <c r="SZ320" s="1"/>
      <c r="TA320" s="1"/>
      <c r="TB320" s="1"/>
      <c r="TC320" s="1"/>
      <c r="TD320" s="1"/>
      <c r="TE320" s="1"/>
      <c r="TF320" s="1"/>
      <c r="TG320" s="1"/>
      <c r="TH320" s="1"/>
      <c r="TI320" s="1"/>
      <c r="TJ320" s="1"/>
      <c r="TK320" s="1"/>
      <c r="TL320" s="1"/>
      <c r="TM320" s="1"/>
      <c r="TN320" s="1"/>
      <c r="TO320" s="1"/>
      <c r="TP320" s="1"/>
      <c r="TQ320" s="1"/>
      <c r="TR320" s="1"/>
      <c r="TS320" s="1"/>
      <c r="TT320" s="1"/>
      <c r="TU320" s="1"/>
      <c r="TV320" s="1"/>
      <c r="TW320" s="1"/>
      <c r="TX320" s="1"/>
      <c r="TY320" s="1"/>
      <c r="TZ320" s="1"/>
      <c r="UA320" s="1"/>
      <c r="UB320" s="1"/>
      <c r="UC320" s="1"/>
      <c r="UD320" s="1"/>
      <c r="UE320" s="1"/>
      <c r="UF320" s="1"/>
      <c r="UG320" s="1"/>
      <c r="UH320" s="1"/>
      <c r="UI320" s="1"/>
      <c r="UJ320" s="1"/>
      <c r="UK320" s="1"/>
      <c r="UL320" s="1"/>
      <c r="UM320" s="1"/>
      <c r="UN320" s="1"/>
      <c r="UO320" s="1"/>
      <c r="UP320" s="1"/>
      <c r="UQ320" s="1"/>
      <c r="UR320" s="1"/>
      <c r="US320" s="1"/>
      <c r="UT320" s="1"/>
      <c r="UU320" s="1"/>
      <c r="UV320" s="1"/>
      <c r="UW320" s="1"/>
      <c r="UX320" s="1"/>
      <c r="UY320" s="1"/>
      <c r="UZ320" s="1"/>
      <c r="VA320" s="1"/>
      <c r="VB320" s="1"/>
      <c r="VC320" s="1"/>
      <c r="VD320" s="1"/>
      <c r="VE320" s="1"/>
      <c r="VF320" s="1"/>
      <c r="VG320" s="1"/>
      <c r="VH320" s="1"/>
      <c r="VI320" s="1"/>
      <c r="VJ320" s="1"/>
      <c r="VK320" s="1"/>
      <c r="VL320" s="1"/>
      <c r="VM320" s="1"/>
      <c r="VN320" s="1"/>
      <c r="VO320" s="1"/>
      <c r="VP320" s="1"/>
      <c r="VQ320" s="1"/>
      <c r="VR320" s="1"/>
      <c r="VS320" s="1"/>
      <c r="VT320" s="1"/>
      <c r="VU320" s="1"/>
      <c r="VV320" s="1"/>
      <c r="VW320" s="1"/>
      <c r="VX320" s="1"/>
      <c r="VY320" s="1"/>
      <c r="VZ320" s="1"/>
      <c r="WA320" s="1"/>
      <c r="WB320" s="1"/>
      <c r="WC320" s="1"/>
      <c r="WD320" s="1"/>
      <c r="WE320" s="1"/>
      <c r="WF320" s="1"/>
      <c r="WG320" s="1"/>
      <c r="WH320" s="1"/>
      <c r="WI320" s="1"/>
      <c r="WJ320" s="1"/>
      <c r="WK320" s="1"/>
      <c r="WL320" s="1"/>
      <c r="WM320" s="1"/>
      <c r="WN320" s="1"/>
      <c r="WO320" s="1"/>
      <c r="WP320" s="1"/>
      <c r="WQ320" s="1"/>
      <c r="WR320" s="1"/>
      <c r="WS320" s="1"/>
      <c r="WT320" s="1"/>
      <c r="WU320" s="1"/>
      <c r="WV320" s="1"/>
      <c r="WW320" s="1"/>
      <c r="WX320" s="1"/>
      <c r="WY320" s="1"/>
      <c r="WZ320" s="1"/>
      <c r="XA320" s="1"/>
      <c r="XB320" s="1"/>
      <c r="XC320" s="1"/>
      <c r="XD320" s="1"/>
      <c r="XE320" s="1"/>
      <c r="XF320" s="1"/>
      <c r="XG320" s="1"/>
      <c r="XH320" s="1"/>
      <c r="XI320" s="1"/>
      <c r="XJ320" s="1"/>
      <c r="XK320" s="1"/>
      <c r="XL320" s="1"/>
      <c r="XM320" s="1"/>
      <c r="XN320" s="1"/>
      <c r="XO320" s="1"/>
      <c r="XP320" s="1"/>
      <c r="XQ320" s="1"/>
      <c r="XR320" s="1"/>
      <c r="XS320" s="1"/>
      <c r="XT320" s="1"/>
      <c r="XU320" s="1"/>
      <c r="XV320" s="1"/>
      <c r="XW320" s="1"/>
      <c r="XX320" s="1"/>
      <c r="XY320" s="1"/>
      <c r="XZ320" s="1"/>
      <c r="YA320" s="1"/>
      <c r="YB320" s="1"/>
      <c r="YC320" s="1"/>
      <c r="YD320" s="1"/>
      <c r="YE320" s="1"/>
      <c r="YF320" s="1"/>
      <c r="YG320" s="1"/>
      <c r="YH320" s="1"/>
      <c r="YI320" s="1"/>
      <c r="YJ320" s="1"/>
      <c r="YK320" s="1"/>
      <c r="YL320" s="1"/>
      <c r="YM320" s="1"/>
      <c r="YN320" s="1"/>
      <c r="YO320" s="1"/>
      <c r="YP320" s="1"/>
      <c r="YQ320" s="1"/>
      <c r="YR320" s="1"/>
      <c r="YS320" s="1"/>
      <c r="YT320" s="1"/>
      <c r="YU320" s="1"/>
      <c r="YV320" s="1"/>
      <c r="YW320" s="1"/>
      <c r="YX320" s="1"/>
      <c r="YY320" s="1"/>
      <c r="YZ320" s="1"/>
      <c r="ZA320" s="1"/>
      <c r="ZB320" s="1"/>
      <c r="ZC320" s="1"/>
      <c r="ZD320" s="1"/>
      <c r="ZE320" s="1"/>
      <c r="ZF320" s="1"/>
      <c r="ZG320" s="1"/>
      <c r="ZH320" s="1"/>
      <c r="ZI320" s="1"/>
      <c r="ZJ320" s="1"/>
      <c r="ZK320" s="1"/>
      <c r="ZL320" s="1"/>
      <c r="ZM320" s="1"/>
      <c r="ZN320" s="1"/>
      <c r="ZO320" s="1"/>
      <c r="ZP320" s="1"/>
      <c r="ZQ320" s="1"/>
      <c r="ZR320" s="1"/>
      <c r="ZS320" s="1"/>
      <c r="ZT320" s="1"/>
      <c r="ZU320" s="1"/>
      <c r="ZV320" s="1"/>
      <c r="ZW320" s="1"/>
      <c r="ZX320" s="1"/>
      <c r="ZY320" s="1"/>
      <c r="ZZ320" s="1"/>
      <c r="AAA320" s="1"/>
      <c r="AAB320" s="1"/>
      <c r="AAC320" s="1"/>
      <c r="AAD320" s="1"/>
      <c r="AAE320" s="1"/>
      <c r="AAF320" s="1"/>
      <c r="AAG320" s="1"/>
      <c r="AAH320" s="1"/>
      <c r="AAI320" s="1"/>
      <c r="AAJ320" s="1"/>
      <c r="AAK320" s="1"/>
      <c r="AAL320" s="1"/>
      <c r="AAM320" s="1"/>
      <c r="AAN320" s="1"/>
      <c r="AAO320" s="1"/>
      <c r="AAP320" s="1"/>
      <c r="AAQ320" s="1"/>
      <c r="AAR320" s="1"/>
      <c r="AAS320" s="1"/>
      <c r="AAT320" s="1"/>
      <c r="AAU320" s="1"/>
      <c r="AAV320" s="1"/>
      <c r="AAW320" s="1"/>
      <c r="AAX320" s="1"/>
      <c r="AAY320" s="1"/>
      <c r="AAZ320" s="1"/>
      <c r="ABA320" s="1"/>
      <c r="ABB320" s="1"/>
      <c r="ABC320" s="1"/>
      <c r="ABD320" s="1"/>
      <c r="ABE320" s="1"/>
      <c r="ABF320" s="1"/>
      <c r="ABG320" s="1"/>
      <c r="ABH320" s="1"/>
      <c r="ABI320" s="1"/>
      <c r="ABJ320" s="1"/>
      <c r="ABK320" s="1"/>
      <c r="ABL320" s="1"/>
      <c r="ABM320" s="1"/>
      <c r="ABN320" s="1"/>
      <c r="ABO320" s="1"/>
      <c r="ABP320" s="1"/>
      <c r="ABQ320" s="1"/>
      <c r="ABR320" s="1"/>
      <c r="ABS320" s="1"/>
      <c r="ABT320" s="1"/>
      <c r="ABU320" s="1"/>
      <c r="ABV320" s="1"/>
      <c r="ABW320" s="1"/>
      <c r="ABX320" s="1"/>
      <c r="ABY320" s="1"/>
      <c r="ABZ320" s="1"/>
      <c r="ACA320" s="1"/>
      <c r="ACB320" s="1"/>
      <c r="ACC320" s="1"/>
      <c r="ACD320" s="1"/>
      <c r="ACE320" s="1"/>
      <c r="ACF320" s="1"/>
      <c r="ACG320" s="1"/>
      <c r="ACH320" s="1"/>
      <c r="ACI320" s="1"/>
      <c r="ACJ320" s="1"/>
      <c r="ACK320" s="1"/>
      <c r="ACL320" s="1"/>
      <c r="ACM320" s="1"/>
      <c r="ACN320" s="1"/>
      <c r="ACO320" s="1"/>
      <c r="ACP320" s="1"/>
      <c r="ACQ320" s="1"/>
      <c r="ACR320" s="1"/>
      <c r="ACS320" s="1"/>
      <c r="ACT320" s="1"/>
      <c r="ACU320" s="1"/>
      <c r="ACV320" s="1"/>
      <c r="ACW320" s="1"/>
      <c r="ACX320" s="1"/>
      <c r="ACY320" s="1"/>
      <c r="ACZ320" s="1"/>
      <c r="ADA320" s="1"/>
      <c r="ADB320" s="1"/>
      <c r="ADC320" s="1"/>
      <c r="ADD320" s="1"/>
      <c r="ADE320" s="1"/>
      <c r="ADF320" s="1"/>
      <c r="ADG320" s="1"/>
      <c r="ADH320" s="1"/>
      <c r="ADI320" s="1"/>
      <c r="ADJ320" s="1"/>
      <c r="ADK320" s="1"/>
      <c r="ADL320" s="1"/>
      <c r="ADM320" s="1"/>
      <c r="ADN320" s="1"/>
      <c r="ADO320" s="1"/>
      <c r="ADP320" s="1"/>
      <c r="ADQ320" s="1"/>
      <c r="ADR320" s="1"/>
      <c r="ADS320" s="1"/>
      <c r="ADT320" s="1"/>
      <c r="ADU320" s="1"/>
      <c r="ADV320" s="1"/>
      <c r="ADW320" s="1"/>
      <c r="ADX320" s="1"/>
      <c r="ADY320" s="1"/>
      <c r="ADZ320" s="1"/>
      <c r="AEA320" s="1"/>
      <c r="AEB320" s="1"/>
      <c r="AEC320" s="1"/>
      <c r="AED320" s="1"/>
      <c r="AEE320" s="1"/>
      <c r="AEF320" s="1"/>
      <c r="AEG320" s="1"/>
      <c r="AEH320" s="1"/>
      <c r="AEI320" s="1"/>
      <c r="AEJ320" s="1"/>
      <c r="AEK320" s="1"/>
      <c r="AEL320" s="1"/>
      <c r="AEM320" s="1"/>
      <c r="AEN320" s="1"/>
      <c r="AEO320" s="1"/>
      <c r="AEP320" s="1"/>
      <c r="AEQ320" s="1"/>
      <c r="AER320" s="1"/>
      <c r="AES320" s="1"/>
      <c r="AET320" s="1"/>
      <c r="AEU320" s="1"/>
      <c r="AEV320" s="1"/>
      <c r="AEW320" s="1"/>
      <c r="AEX320" s="1"/>
      <c r="AEY320" s="1"/>
      <c r="AEZ320" s="1"/>
      <c r="AFA320" s="1"/>
      <c r="AFB320" s="1"/>
      <c r="AFC320" s="1"/>
      <c r="AFD320" s="1"/>
      <c r="AFE320" s="1"/>
      <c r="AFF320" s="1"/>
      <c r="AFG320" s="1"/>
      <c r="AFH320" s="1"/>
      <c r="AFI320" s="1"/>
      <c r="AFJ320" s="1"/>
      <c r="AFK320" s="1"/>
      <c r="AFL320" s="1"/>
      <c r="AFM320" s="1"/>
      <c r="AFN320" s="1"/>
      <c r="AFO320" s="1"/>
      <c r="AFP320" s="1"/>
      <c r="AFQ320" s="1"/>
      <c r="AFR320" s="1"/>
      <c r="AFS320" s="1"/>
      <c r="AFT320" s="1"/>
      <c r="AFU320" s="1"/>
      <c r="AFV320" s="1"/>
      <c r="AFW320" s="1"/>
      <c r="AFX320" s="1"/>
      <c r="AFY320" s="1"/>
      <c r="AFZ320" s="1"/>
      <c r="AGA320" s="1"/>
      <c r="AGB320" s="1"/>
      <c r="AGC320" s="1"/>
      <c r="AGD320" s="1"/>
      <c r="AGE320" s="1"/>
      <c r="AGF320" s="1"/>
      <c r="AGG320" s="1"/>
      <c r="AGH320" s="1"/>
      <c r="AGI320" s="1"/>
      <c r="AGJ320" s="1"/>
      <c r="AGK320" s="1"/>
      <c r="AGL320" s="1"/>
      <c r="AGM320" s="1"/>
      <c r="AGN320" s="1"/>
      <c r="AGO320" s="1"/>
      <c r="AGP320" s="1"/>
      <c r="AGQ320" s="1"/>
      <c r="AGR320" s="1"/>
      <c r="AGS320" s="1"/>
      <c r="AGT320" s="1"/>
      <c r="AGU320" s="1"/>
      <c r="AGV320" s="1"/>
      <c r="AGW320" s="1"/>
      <c r="AGX320" s="1"/>
      <c r="AGY320" s="1"/>
      <c r="AGZ320" s="1"/>
      <c r="AHA320" s="1"/>
      <c r="AHB320" s="1"/>
      <c r="AHC320" s="1"/>
      <c r="AHD320" s="1"/>
      <c r="AHE320" s="1"/>
      <c r="AHF320" s="1"/>
      <c r="AHG320" s="1"/>
      <c r="AHH320" s="1"/>
      <c r="AHI320" s="1"/>
      <c r="AHJ320" s="1"/>
      <c r="AHK320" s="1"/>
      <c r="AHL320" s="1"/>
      <c r="AHM320" s="1"/>
      <c r="AHN320" s="1"/>
      <c r="AHO320" s="1"/>
      <c r="AHP320" s="1"/>
      <c r="AHQ320" s="1"/>
      <c r="AHR320" s="1"/>
      <c r="AHS320" s="1"/>
      <c r="AHT320" s="1"/>
      <c r="AHU320" s="1"/>
      <c r="AHV320" s="1"/>
      <c r="AHW320" s="1"/>
      <c r="AHX320" s="1"/>
      <c r="AHY320" s="1"/>
    </row>
    <row r="321" spans="1:909" s="5" customFormat="1" ht="21.6" thickTop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/>
      <c r="JZ321" s="1"/>
      <c r="KA321" s="1"/>
      <c r="KB321" s="1"/>
      <c r="KC321" s="1"/>
      <c r="KD321" s="1"/>
      <c r="KE321" s="1"/>
      <c r="KF321" s="1"/>
      <c r="KG321" s="1"/>
      <c r="KH321" s="1"/>
      <c r="KI321" s="1"/>
      <c r="KJ321" s="1"/>
      <c r="KK321" s="1"/>
      <c r="KL321" s="1"/>
      <c r="KM321" s="1"/>
      <c r="KN321" s="1"/>
      <c r="KO321" s="1"/>
      <c r="KP321" s="1"/>
      <c r="KQ321" s="1"/>
      <c r="KR321" s="1"/>
      <c r="KS321" s="1"/>
      <c r="KT321" s="1"/>
      <c r="KU321" s="1"/>
      <c r="KV321" s="1"/>
      <c r="KW321" s="1"/>
      <c r="KX321" s="1"/>
      <c r="KY321" s="1"/>
      <c r="KZ321" s="1"/>
      <c r="LA321" s="1"/>
      <c r="LB321" s="1"/>
      <c r="LC321" s="1"/>
      <c r="LD321" s="1"/>
      <c r="LE321" s="1"/>
      <c r="LF321" s="1"/>
      <c r="LG321" s="1"/>
      <c r="LH321" s="1"/>
      <c r="LI321" s="1"/>
      <c r="LJ321" s="1"/>
      <c r="LK321" s="1"/>
      <c r="LL321" s="1"/>
      <c r="LM321" s="1"/>
      <c r="LN321" s="1"/>
      <c r="LO321" s="1"/>
      <c r="LP321" s="1"/>
      <c r="LQ321" s="1"/>
      <c r="LR321" s="1"/>
      <c r="LS321" s="1"/>
      <c r="LT321" s="1"/>
      <c r="LU321" s="1"/>
      <c r="LV321" s="1"/>
      <c r="LW321" s="1"/>
      <c r="LX321" s="1"/>
      <c r="LY321" s="1"/>
      <c r="LZ321" s="1"/>
      <c r="MA321" s="1"/>
      <c r="MB321" s="1"/>
      <c r="MC321" s="1"/>
      <c r="MD321" s="1"/>
      <c r="ME321" s="1"/>
      <c r="MF321" s="1"/>
      <c r="MG321" s="1"/>
      <c r="MH321" s="1"/>
      <c r="MI321" s="1"/>
      <c r="MJ321" s="1"/>
      <c r="MK321" s="1"/>
      <c r="ML321" s="1"/>
      <c r="MM321" s="1"/>
      <c r="MN321" s="1"/>
      <c r="MO321" s="1"/>
      <c r="MP321" s="1"/>
      <c r="MQ321" s="1"/>
      <c r="MR321" s="1"/>
      <c r="MS321" s="1"/>
      <c r="MT321" s="1"/>
      <c r="MU321" s="1"/>
      <c r="MV321" s="1"/>
      <c r="MW321" s="1"/>
      <c r="MX321" s="1"/>
      <c r="MY321" s="1"/>
      <c r="MZ321" s="1"/>
      <c r="NA321" s="1"/>
      <c r="NB321" s="1"/>
      <c r="NC321" s="1"/>
      <c r="ND321" s="1"/>
      <c r="NE321" s="1"/>
      <c r="NF321" s="1"/>
      <c r="NG321" s="1"/>
      <c r="NH321" s="1"/>
      <c r="NI321" s="1"/>
      <c r="NJ321" s="1"/>
      <c r="NK321" s="1"/>
      <c r="NL321" s="1"/>
      <c r="NM321" s="1"/>
      <c r="NN321" s="1"/>
      <c r="NO321" s="1"/>
      <c r="NP321" s="1"/>
      <c r="NQ321" s="1"/>
      <c r="NR321" s="1"/>
      <c r="NS321" s="1"/>
      <c r="NT321" s="1"/>
      <c r="NU321" s="1"/>
      <c r="NV321" s="1"/>
      <c r="NW321" s="1"/>
      <c r="NX321" s="1"/>
      <c r="NY321" s="1"/>
      <c r="NZ321" s="1"/>
      <c r="OA321" s="1"/>
      <c r="OB321" s="1"/>
      <c r="OC321" s="1"/>
      <c r="OD321" s="1"/>
      <c r="OE321" s="1"/>
      <c r="OF321" s="1"/>
      <c r="OG321" s="1"/>
      <c r="OH321" s="1"/>
      <c r="OI321" s="1"/>
      <c r="OJ321" s="1"/>
      <c r="OK321" s="1"/>
      <c r="OL321" s="1"/>
      <c r="OM321" s="1"/>
      <c r="ON321" s="1"/>
      <c r="OO321" s="1"/>
      <c r="OP321" s="1"/>
      <c r="OQ321" s="1"/>
      <c r="OR321" s="1"/>
      <c r="OS321" s="1"/>
      <c r="OT321" s="1"/>
      <c r="OU321" s="1"/>
      <c r="OV321" s="1"/>
      <c r="OW321" s="1"/>
      <c r="OX321" s="1"/>
      <c r="OY321" s="1"/>
      <c r="OZ321" s="1"/>
      <c r="PA321" s="1"/>
      <c r="PB321" s="1"/>
      <c r="PC321" s="1"/>
      <c r="PD321" s="1"/>
      <c r="PE321" s="1"/>
      <c r="PF321" s="1"/>
      <c r="PG321" s="1"/>
      <c r="PH321" s="1"/>
      <c r="PI321" s="1"/>
      <c r="PJ321" s="1"/>
      <c r="PK321" s="1"/>
      <c r="PL321" s="1"/>
      <c r="PM321" s="1"/>
      <c r="PN321" s="1"/>
      <c r="PO321" s="1"/>
      <c r="PP321" s="1"/>
      <c r="PQ321" s="1"/>
      <c r="PR321" s="1"/>
      <c r="PS321" s="1"/>
      <c r="PT321" s="1"/>
      <c r="PU321" s="1"/>
      <c r="PV321" s="1"/>
      <c r="PW321" s="1"/>
      <c r="PX321" s="1"/>
      <c r="PY321" s="1"/>
      <c r="PZ321" s="1"/>
      <c r="QA321" s="1"/>
      <c r="QB321" s="1"/>
      <c r="QC321" s="1"/>
      <c r="QD321" s="1"/>
      <c r="QE321" s="1"/>
      <c r="QF321" s="1"/>
      <c r="QG321" s="1"/>
      <c r="QH321" s="1"/>
      <c r="QI321" s="1"/>
      <c r="QJ321" s="1"/>
      <c r="QK321" s="1"/>
      <c r="QL321" s="1"/>
      <c r="QM321" s="1"/>
      <c r="QN321" s="1"/>
      <c r="QO321" s="1"/>
      <c r="QP321" s="1"/>
      <c r="QQ321" s="1"/>
      <c r="QR321" s="1"/>
      <c r="QS321" s="1"/>
      <c r="QT321" s="1"/>
      <c r="QU321" s="1"/>
      <c r="QV321" s="1"/>
      <c r="QW321" s="1"/>
      <c r="QX321" s="1"/>
      <c r="QY321" s="1"/>
      <c r="QZ321" s="1"/>
      <c r="RA321" s="1"/>
      <c r="RB321" s="1"/>
      <c r="RC321" s="1"/>
      <c r="RD321" s="1"/>
      <c r="RE321" s="1"/>
      <c r="RF321" s="1"/>
      <c r="RG321" s="1"/>
      <c r="RH321" s="1"/>
      <c r="RI321" s="1"/>
      <c r="RJ321" s="1"/>
      <c r="RK321" s="1"/>
      <c r="RL321" s="1"/>
      <c r="RM321" s="1"/>
      <c r="RN321" s="1"/>
      <c r="RO321" s="1"/>
      <c r="RP321" s="1"/>
      <c r="RQ321" s="1"/>
      <c r="RR321" s="1"/>
      <c r="RS321" s="1"/>
      <c r="RT321" s="1"/>
      <c r="RU321" s="1"/>
      <c r="RV321" s="1"/>
      <c r="RW321" s="1"/>
      <c r="RX321" s="1"/>
      <c r="RY321" s="1"/>
      <c r="RZ321" s="1"/>
      <c r="SA321" s="1"/>
      <c r="SB321" s="1"/>
      <c r="SC321" s="1"/>
      <c r="SD321" s="1"/>
      <c r="SE321" s="1"/>
      <c r="SF321" s="1"/>
      <c r="SG321" s="1"/>
      <c r="SH321" s="1"/>
      <c r="SI321" s="1"/>
      <c r="SJ321" s="1"/>
      <c r="SK321" s="1"/>
      <c r="SL321" s="1"/>
      <c r="SM321" s="1"/>
      <c r="SN321" s="1"/>
      <c r="SO321" s="1"/>
      <c r="SP321" s="1"/>
      <c r="SQ321" s="1"/>
      <c r="SR321" s="1"/>
      <c r="SS321" s="1"/>
      <c r="ST321" s="1"/>
      <c r="SU321" s="1"/>
      <c r="SV321" s="1"/>
      <c r="SW321" s="1"/>
      <c r="SX321" s="1"/>
      <c r="SY321" s="1"/>
      <c r="SZ321" s="1"/>
      <c r="TA321" s="1"/>
      <c r="TB321" s="1"/>
      <c r="TC321" s="1"/>
      <c r="TD321" s="1"/>
      <c r="TE321" s="1"/>
      <c r="TF321" s="1"/>
      <c r="TG321" s="1"/>
      <c r="TH321" s="1"/>
      <c r="TI321" s="1"/>
      <c r="TJ321" s="1"/>
      <c r="TK321" s="1"/>
      <c r="TL321" s="1"/>
      <c r="TM321" s="1"/>
      <c r="TN321" s="1"/>
      <c r="TO321" s="1"/>
      <c r="TP321" s="1"/>
      <c r="TQ321" s="1"/>
      <c r="TR321" s="1"/>
      <c r="TS321" s="1"/>
      <c r="TT321" s="1"/>
      <c r="TU321" s="1"/>
      <c r="TV321" s="1"/>
      <c r="TW321" s="1"/>
      <c r="TX321" s="1"/>
      <c r="TY321" s="1"/>
      <c r="TZ321" s="1"/>
      <c r="UA321" s="1"/>
      <c r="UB321" s="1"/>
      <c r="UC321" s="1"/>
      <c r="UD321" s="1"/>
      <c r="UE321" s="1"/>
      <c r="UF321" s="1"/>
      <c r="UG321" s="1"/>
      <c r="UH321" s="1"/>
      <c r="UI321" s="1"/>
      <c r="UJ321" s="1"/>
      <c r="UK321" s="1"/>
      <c r="UL321" s="1"/>
      <c r="UM321" s="1"/>
      <c r="UN321" s="1"/>
      <c r="UO321" s="1"/>
      <c r="UP321" s="1"/>
      <c r="UQ321" s="1"/>
      <c r="UR321" s="1"/>
      <c r="US321" s="1"/>
      <c r="UT321" s="1"/>
      <c r="UU321" s="1"/>
      <c r="UV321" s="1"/>
      <c r="UW321" s="1"/>
      <c r="UX321" s="1"/>
      <c r="UY321" s="1"/>
      <c r="UZ321" s="1"/>
      <c r="VA321" s="1"/>
      <c r="VB321" s="1"/>
      <c r="VC321" s="1"/>
      <c r="VD321" s="1"/>
      <c r="VE321" s="1"/>
      <c r="VF321" s="1"/>
      <c r="VG321" s="1"/>
      <c r="VH321" s="1"/>
      <c r="VI321" s="1"/>
      <c r="VJ321" s="1"/>
      <c r="VK321" s="1"/>
      <c r="VL321" s="1"/>
      <c r="VM321" s="1"/>
      <c r="VN321" s="1"/>
      <c r="VO321" s="1"/>
      <c r="VP321" s="1"/>
      <c r="VQ321" s="1"/>
      <c r="VR321" s="1"/>
      <c r="VS321" s="1"/>
      <c r="VT321" s="1"/>
      <c r="VU321" s="1"/>
      <c r="VV321" s="1"/>
      <c r="VW321" s="1"/>
      <c r="VX321" s="1"/>
      <c r="VY321" s="1"/>
      <c r="VZ321" s="1"/>
      <c r="WA321" s="1"/>
      <c r="WB321" s="1"/>
      <c r="WC321" s="1"/>
      <c r="WD321" s="1"/>
      <c r="WE321" s="1"/>
      <c r="WF321" s="1"/>
      <c r="WG321" s="1"/>
      <c r="WH321" s="1"/>
      <c r="WI321" s="1"/>
      <c r="WJ321" s="1"/>
      <c r="WK321" s="1"/>
      <c r="WL321" s="1"/>
      <c r="WM321" s="1"/>
      <c r="WN321" s="1"/>
      <c r="WO321" s="1"/>
      <c r="WP321" s="1"/>
      <c r="WQ321" s="1"/>
      <c r="WR321" s="1"/>
      <c r="WS321" s="1"/>
      <c r="WT321" s="1"/>
      <c r="WU321" s="1"/>
      <c r="WV321" s="1"/>
      <c r="WW321" s="1"/>
      <c r="WX321" s="1"/>
      <c r="WY321" s="1"/>
      <c r="WZ321" s="1"/>
      <c r="XA321" s="1"/>
      <c r="XB321" s="1"/>
      <c r="XC321" s="1"/>
      <c r="XD321" s="1"/>
      <c r="XE321" s="1"/>
      <c r="XF321" s="1"/>
      <c r="XG321" s="1"/>
      <c r="XH321" s="1"/>
      <c r="XI321" s="1"/>
      <c r="XJ321" s="1"/>
      <c r="XK321" s="1"/>
      <c r="XL321" s="1"/>
      <c r="XM321" s="1"/>
      <c r="XN321" s="1"/>
      <c r="XO321" s="1"/>
      <c r="XP321" s="1"/>
      <c r="XQ321" s="1"/>
      <c r="XR321" s="1"/>
      <c r="XS321" s="1"/>
      <c r="XT321" s="1"/>
      <c r="XU321" s="1"/>
      <c r="XV321" s="1"/>
      <c r="XW321" s="1"/>
      <c r="XX321" s="1"/>
      <c r="XY321" s="1"/>
      <c r="XZ321" s="1"/>
      <c r="YA321" s="1"/>
      <c r="YB321" s="1"/>
      <c r="YC321" s="1"/>
      <c r="YD321" s="1"/>
      <c r="YE321" s="1"/>
      <c r="YF321" s="1"/>
      <c r="YG321" s="1"/>
      <c r="YH321" s="1"/>
      <c r="YI321" s="1"/>
      <c r="YJ321" s="1"/>
      <c r="YK321" s="1"/>
      <c r="YL321" s="1"/>
      <c r="YM321" s="1"/>
      <c r="YN321" s="1"/>
      <c r="YO321" s="1"/>
      <c r="YP321" s="1"/>
      <c r="YQ321" s="1"/>
      <c r="YR321" s="1"/>
      <c r="YS321" s="1"/>
      <c r="YT321" s="1"/>
      <c r="YU321" s="1"/>
      <c r="YV321" s="1"/>
      <c r="YW321" s="1"/>
      <c r="YX321" s="1"/>
      <c r="YY321" s="1"/>
      <c r="YZ321" s="1"/>
      <c r="ZA321" s="1"/>
      <c r="ZB321" s="1"/>
      <c r="ZC321" s="1"/>
      <c r="ZD321" s="1"/>
      <c r="ZE321" s="1"/>
      <c r="ZF321" s="1"/>
      <c r="ZG321" s="1"/>
      <c r="ZH321" s="1"/>
      <c r="ZI321" s="1"/>
      <c r="ZJ321" s="1"/>
      <c r="ZK321" s="1"/>
      <c r="ZL321" s="1"/>
      <c r="ZM321" s="1"/>
      <c r="ZN321" s="1"/>
      <c r="ZO321" s="1"/>
      <c r="ZP321" s="1"/>
      <c r="ZQ321" s="1"/>
      <c r="ZR321" s="1"/>
      <c r="ZS321" s="1"/>
      <c r="ZT321" s="1"/>
      <c r="ZU321" s="1"/>
      <c r="ZV321" s="1"/>
      <c r="ZW321" s="1"/>
      <c r="ZX321" s="1"/>
      <c r="ZY321" s="1"/>
      <c r="ZZ321" s="1"/>
      <c r="AAA321" s="1"/>
      <c r="AAB321" s="1"/>
      <c r="AAC321" s="1"/>
      <c r="AAD321" s="1"/>
      <c r="AAE321" s="1"/>
      <c r="AAF321" s="1"/>
      <c r="AAG321" s="1"/>
      <c r="AAH321" s="1"/>
      <c r="AAI321" s="1"/>
      <c r="AAJ321" s="1"/>
      <c r="AAK321" s="1"/>
      <c r="AAL321" s="1"/>
      <c r="AAM321" s="1"/>
      <c r="AAN321" s="1"/>
      <c r="AAO321" s="1"/>
      <c r="AAP321" s="1"/>
      <c r="AAQ321" s="1"/>
      <c r="AAR321" s="1"/>
      <c r="AAS321" s="1"/>
      <c r="AAT321" s="1"/>
      <c r="AAU321" s="1"/>
      <c r="AAV321" s="1"/>
      <c r="AAW321" s="1"/>
      <c r="AAX321" s="1"/>
      <c r="AAY321" s="1"/>
      <c r="AAZ321" s="1"/>
      <c r="ABA321" s="1"/>
      <c r="ABB321" s="1"/>
      <c r="ABC321" s="1"/>
      <c r="ABD321" s="1"/>
      <c r="ABE321" s="1"/>
      <c r="ABF321" s="1"/>
      <c r="ABG321" s="1"/>
      <c r="ABH321" s="1"/>
      <c r="ABI321" s="1"/>
      <c r="ABJ321" s="1"/>
      <c r="ABK321" s="1"/>
      <c r="ABL321" s="1"/>
      <c r="ABM321" s="1"/>
      <c r="ABN321" s="1"/>
      <c r="ABO321" s="1"/>
      <c r="ABP321" s="1"/>
      <c r="ABQ321" s="1"/>
      <c r="ABR321" s="1"/>
      <c r="ABS321" s="1"/>
      <c r="ABT321" s="1"/>
      <c r="ABU321" s="1"/>
      <c r="ABV321" s="1"/>
      <c r="ABW321" s="1"/>
      <c r="ABX321" s="1"/>
      <c r="ABY321" s="1"/>
      <c r="ABZ321" s="1"/>
      <c r="ACA321" s="1"/>
      <c r="ACB321" s="1"/>
      <c r="ACC321" s="1"/>
      <c r="ACD321" s="1"/>
      <c r="ACE321" s="1"/>
      <c r="ACF321" s="1"/>
      <c r="ACG321" s="1"/>
      <c r="ACH321" s="1"/>
      <c r="ACI321" s="1"/>
      <c r="ACJ321" s="1"/>
      <c r="ACK321" s="1"/>
      <c r="ACL321" s="1"/>
      <c r="ACM321" s="1"/>
      <c r="ACN321" s="1"/>
      <c r="ACO321" s="1"/>
      <c r="ACP321" s="1"/>
      <c r="ACQ321" s="1"/>
      <c r="ACR321" s="1"/>
      <c r="ACS321" s="1"/>
      <c r="ACT321" s="1"/>
      <c r="ACU321" s="1"/>
      <c r="ACV321" s="1"/>
      <c r="ACW321" s="1"/>
      <c r="ACX321" s="1"/>
      <c r="ACY321" s="1"/>
      <c r="ACZ321" s="1"/>
      <c r="ADA321" s="1"/>
      <c r="ADB321" s="1"/>
      <c r="ADC321" s="1"/>
      <c r="ADD321" s="1"/>
      <c r="ADE321" s="1"/>
      <c r="ADF321" s="1"/>
      <c r="ADG321" s="1"/>
      <c r="ADH321" s="1"/>
      <c r="ADI321" s="1"/>
      <c r="ADJ321" s="1"/>
      <c r="ADK321" s="1"/>
      <c r="ADL321" s="1"/>
      <c r="ADM321" s="1"/>
      <c r="ADN321" s="1"/>
      <c r="ADO321" s="1"/>
      <c r="ADP321" s="1"/>
      <c r="ADQ321" s="1"/>
      <c r="ADR321" s="1"/>
      <c r="ADS321" s="1"/>
      <c r="ADT321" s="1"/>
      <c r="ADU321" s="1"/>
      <c r="ADV321" s="1"/>
      <c r="ADW321" s="1"/>
      <c r="ADX321" s="1"/>
      <c r="ADY321" s="1"/>
      <c r="ADZ321" s="1"/>
      <c r="AEA321" s="1"/>
      <c r="AEB321" s="1"/>
      <c r="AEC321" s="1"/>
      <c r="AED321" s="1"/>
      <c r="AEE321" s="1"/>
      <c r="AEF321" s="1"/>
      <c r="AEG321" s="1"/>
      <c r="AEH321" s="1"/>
      <c r="AEI321" s="1"/>
      <c r="AEJ321" s="1"/>
      <c r="AEK321" s="1"/>
      <c r="AEL321" s="1"/>
      <c r="AEM321" s="1"/>
      <c r="AEN321" s="1"/>
      <c r="AEO321" s="1"/>
      <c r="AEP321" s="1"/>
      <c r="AEQ321" s="1"/>
      <c r="AER321" s="1"/>
      <c r="AES321" s="1"/>
      <c r="AET321" s="1"/>
      <c r="AEU321" s="1"/>
      <c r="AEV321" s="1"/>
      <c r="AEW321" s="1"/>
      <c r="AEX321" s="1"/>
      <c r="AEY321" s="1"/>
      <c r="AEZ321" s="1"/>
      <c r="AFA321" s="1"/>
      <c r="AFB321" s="1"/>
      <c r="AFC321" s="1"/>
      <c r="AFD321" s="1"/>
      <c r="AFE321" s="1"/>
      <c r="AFF321" s="1"/>
      <c r="AFG321" s="1"/>
      <c r="AFH321" s="1"/>
      <c r="AFI321" s="1"/>
      <c r="AFJ321" s="1"/>
      <c r="AFK321" s="1"/>
      <c r="AFL321" s="1"/>
      <c r="AFM321" s="1"/>
      <c r="AFN321" s="1"/>
      <c r="AFO321" s="1"/>
      <c r="AFP321" s="1"/>
      <c r="AFQ321" s="1"/>
      <c r="AFR321" s="1"/>
      <c r="AFS321" s="1"/>
      <c r="AFT321" s="1"/>
      <c r="AFU321" s="1"/>
      <c r="AFV321" s="1"/>
      <c r="AFW321" s="1"/>
      <c r="AFX321" s="1"/>
      <c r="AFY321" s="1"/>
      <c r="AFZ321" s="1"/>
      <c r="AGA321" s="1"/>
      <c r="AGB321" s="1"/>
      <c r="AGC321" s="1"/>
      <c r="AGD321" s="1"/>
      <c r="AGE321" s="1"/>
      <c r="AGF321" s="1"/>
      <c r="AGG321" s="1"/>
      <c r="AGH321" s="1"/>
      <c r="AGI321" s="1"/>
      <c r="AGJ321" s="1"/>
      <c r="AGK321" s="1"/>
      <c r="AGL321" s="1"/>
      <c r="AGM321" s="1"/>
      <c r="AGN321" s="1"/>
      <c r="AGO321" s="1"/>
      <c r="AGP321" s="1"/>
      <c r="AGQ321" s="1"/>
      <c r="AGR321" s="1"/>
      <c r="AGS321" s="1"/>
      <c r="AGT321" s="1"/>
      <c r="AGU321" s="1"/>
      <c r="AGV321" s="1"/>
      <c r="AGW321" s="1"/>
      <c r="AGX321" s="1"/>
      <c r="AGY321" s="1"/>
      <c r="AGZ321" s="1"/>
      <c r="AHA321" s="1"/>
      <c r="AHB321" s="1"/>
      <c r="AHC321" s="1"/>
      <c r="AHD321" s="1"/>
      <c r="AHE321" s="1"/>
      <c r="AHF321" s="1"/>
      <c r="AHG321" s="1"/>
      <c r="AHH321" s="1"/>
      <c r="AHI321" s="1"/>
      <c r="AHJ321" s="1"/>
      <c r="AHK321" s="1"/>
      <c r="AHL321" s="1"/>
      <c r="AHM321" s="1"/>
      <c r="AHN321" s="1"/>
      <c r="AHO321" s="1"/>
      <c r="AHP321" s="1"/>
      <c r="AHQ321" s="1"/>
      <c r="AHR321" s="1"/>
      <c r="AHS321" s="1"/>
      <c r="AHT321" s="1"/>
      <c r="AHU321" s="1"/>
      <c r="AHV321" s="1"/>
      <c r="AHW321" s="1"/>
      <c r="AHX321" s="1"/>
      <c r="AHY321" s="1"/>
    </row>
    <row r="322" spans="1:909" s="1" customFormat="1" ht="21">
      <c r="A322" s="156" t="s">
        <v>135</v>
      </c>
      <c r="B322" s="156"/>
      <c r="C322" s="156"/>
      <c r="D322" s="156"/>
      <c r="E322" s="156"/>
      <c r="F322" s="156"/>
      <c r="G322" s="156"/>
      <c r="H322" s="156"/>
      <c r="I322" s="156"/>
      <c r="J322" s="156"/>
      <c r="K322" s="156"/>
      <c r="L322" s="156"/>
      <c r="M322" s="156"/>
      <c r="N322" s="156"/>
      <c r="O322" s="156"/>
      <c r="P322" s="156"/>
      <c r="Q322" s="2"/>
    </row>
    <row r="323" spans="1:909" s="1" customFormat="1" ht="21">
      <c r="A323" s="156" t="s">
        <v>136</v>
      </c>
      <c r="B323" s="156"/>
      <c r="C323" s="156"/>
      <c r="D323" s="156"/>
      <c r="E323" s="156"/>
      <c r="F323" s="156"/>
      <c r="G323" s="156"/>
      <c r="H323" s="156"/>
      <c r="I323" s="156"/>
      <c r="J323" s="156"/>
      <c r="K323" s="156"/>
      <c r="L323" s="156"/>
      <c r="M323" s="156"/>
      <c r="N323" s="156"/>
      <c r="O323" s="156"/>
      <c r="P323" s="156"/>
      <c r="Q323" s="156"/>
    </row>
    <row r="324" spans="1:909" s="1" customFormat="1" ht="21">
      <c r="A324" s="189" t="s">
        <v>113</v>
      </c>
      <c r="B324" s="189"/>
      <c r="C324" s="189"/>
      <c r="D324" s="189"/>
      <c r="E324" s="189"/>
      <c r="F324" s="189"/>
      <c r="G324" s="189"/>
      <c r="H324" s="189"/>
      <c r="I324" s="189"/>
      <c r="J324" s="189"/>
      <c r="K324" s="189"/>
      <c r="L324" s="189"/>
      <c r="M324" s="189"/>
      <c r="N324" s="189"/>
      <c r="O324" s="189"/>
      <c r="P324" s="189"/>
    </row>
    <row r="325" spans="1:909" s="1" customFormat="1" ht="21.6" thickBot="1">
      <c r="F325" s="13"/>
      <c r="G325" s="13"/>
      <c r="H325" s="13"/>
      <c r="I325" s="13"/>
      <c r="J325" s="13"/>
      <c r="K325" s="13"/>
    </row>
    <row r="326" spans="1:909" s="1" customFormat="1" ht="22.2" thickTop="1" thickBot="1">
      <c r="A326" s="190"/>
      <c r="B326" s="183" t="s">
        <v>114</v>
      </c>
      <c r="C326" s="192"/>
      <c r="D326" s="183" t="s">
        <v>115</v>
      </c>
      <c r="E326" s="192"/>
      <c r="F326" s="183" t="s">
        <v>116</v>
      </c>
      <c r="G326" s="192"/>
      <c r="H326" s="183" t="s">
        <v>117</v>
      </c>
      <c r="I326" s="192"/>
      <c r="J326" s="183" t="s">
        <v>118</v>
      </c>
      <c r="K326" s="192"/>
      <c r="L326" s="183" t="s">
        <v>119</v>
      </c>
      <c r="M326" s="192"/>
      <c r="N326" s="183" t="s">
        <v>120</v>
      </c>
      <c r="O326" s="184"/>
      <c r="P326" s="185"/>
    </row>
    <row r="327" spans="1:909" s="1" customFormat="1" ht="22.2" thickTop="1" thickBot="1">
      <c r="A327" s="191"/>
      <c r="B327" s="4" t="s">
        <v>76</v>
      </c>
      <c r="C327" s="4" t="s">
        <v>121</v>
      </c>
      <c r="D327" s="4" t="s">
        <v>76</v>
      </c>
      <c r="E327" s="4" t="s">
        <v>121</v>
      </c>
      <c r="F327" s="4" t="s">
        <v>76</v>
      </c>
      <c r="G327" s="4" t="s">
        <v>121</v>
      </c>
      <c r="H327" s="4" t="s">
        <v>76</v>
      </c>
      <c r="I327" s="4" t="s">
        <v>121</v>
      </c>
      <c r="J327" s="4" t="s">
        <v>76</v>
      </c>
      <c r="K327" s="4" t="s">
        <v>121</v>
      </c>
      <c r="L327" s="4" t="s">
        <v>76</v>
      </c>
      <c r="M327" s="4" t="s">
        <v>121</v>
      </c>
      <c r="N327" s="4" t="s">
        <v>76</v>
      </c>
      <c r="O327" s="4" t="s">
        <v>121</v>
      </c>
      <c r="P327" s="14" t="s">
        <v>122</v>
      </c>
    </row>
    <row r="328" spans="1:909" s="1" customFormat="1" ht="22.2" thickTop="1" thickBot="1">
      <c r="A328" s="11" t="s">
        <v>123</v>
      </c>
      <c r="B328" s="4">
        <f>'[1]التعليم الابتدائي'!AP580</f>
        <v>0</v>
      </c>
      <c r="C328" s="4">
        <f>'[1]التعليم الابتدائي'!AQ580</f>
        <v>0</v>
      </c>
      <c r="D328" s="177"/>
      <c r="E328" s="178"/>
      <c r="F328" s="178"/>
      <c r="G328" s="178"/>
      <c r="H328" s="178"/>
      <c r="I328" s="178"/>
      <c r="J328" s="178"/>
      <c r="K328" s="178"/>
      <c r="L328" s="178"/>
      <c r="M328" s="186"/>
      <c r="N328" s="4">
        <f>B328</f>
        <v>0</v>
      </c>
      <c r="O328" s="4">
        <f>C328</f>
        <v>0</v>
      </c>
      <c r="P328" s="14">
        <f t="shared" ref="P328:P338" si="20">O328+N328</f>
        <v>0</v>
      </c>
    </row>
    <row r="329" spans="1:909" s="1" customFormat="1" ht="22.2" thickTop="1" thickBot="1">
      <c r="A329" s="11" t="s">
        <v>124</v>
      </c>
      <c r="B329" s="4">
        <f>'[1]التعليم الابتدائي'!AR580</f>
        <v>0</v>
      </c>
      <c r="C329" s="4">
        <f>'[1]التعليم الابتدائي'!AS580</f>
        <v>0</v>
      </c>
      <c r="D329" s="137"/>
      <c r="E329" s="138"/>
      <c r="F329" s="180"/>
      <c r="G329" s="180"/>
      <c r="H329" s="180"/>
      <c r="I329" s="180"/>
      <c r="J329" s="180"/>
      <c r="K329" s="180"/>
      <c r="L329" s="180"/>
      <c r="M329" s="187"/>
      <c r="N329" s="4">
        <f>B329</f>
        <v>0</v>
      </c>
      <c r="O329" s="4">
        <f>C329</f>
        <v>0</v>
      </c>
      <c r="P329" s="14">
        <f t="shared" si="20"/>
        <v>0</v>
      </c>
    </row>
    <row r="330" spans="1:909" s="1" customFormat="1" ht="22.2" thickTop="1" thickBot="1">
      <c r="A330" s="11" t="s">
        <v>125</v>
      </c>
      <c r="B330" s="4">
        <f>'[1]التعليم الابتدائي'!AT580</f>
        <v>0</v>
      </c>
      <c r="C330" s="4">
        <f>'[1]التعليم الابتدائي'!AU580</f>
        <v>0</v>
      </c>
      <c r="D330" s="4">
        <f>'[1]التعليم الابتدائي'!BE580</f>
        <v>0</v>
      </c>
      <c r="E330" s="4">
        <f>'[1]التعليم الابتدائي'!BF580</f>
        <v>0</v>
      </c>
      <c r="F330" s="138"/>
      <c r="G330" s="138"/>
      <c r="H330" s="180"/>
      <c r="I330" s="180"/>
      <c r="J330" s="180"/>
      <c r="K330" s="180"/>
      <c r="L330" s="180"/>
      <c r="M330" s="187"/>
      <c r="N330" s="4">
        <f>D330+B330</f>
        <v>0</v>
      </c>
      <c r="O330" s="4">
        <f>E330+C330</f>
        <v>0</v>
      </c>
      <c r="P330" s="14">
        <f t="shared" si="20"/>
        <v>0</v>
      </c>
    </row>
    <row r="331" spans="1:909" s="1" customFormat="1" ht="22.2" thickTop="1" thickBot="1">
      <c r="A331" s="11" t="s">
        <v>126</v>
      </c>
      <c r="B331" s="4">
        <f>'[1]التعليم الابتدائي'!AV580</f>
        <v>0</v>
      </c>
      <c r="C331" s="4">
        <f>'[1]التعليم الابتدائي'!AW580</f>
        <v>0</v>
      </c>
      <c r="D331" s="4">
        <f>'[1]التعليم الابتدائي'!BG580</f>
        <v>0</v>
      </c>
      <c r="E331" s="4">
        <f>'[1]التعليم الابتدائي'!BH580</f>
        <v>0</v>
      </c>
      <c r="F331" s="4">
        <f>'[1]التعليم الابتدائي'!BR580</f>
        <v>0</v>
      </c>
      <c r="G331" s="4">
        <f>'[1]التعليم الابتدائي'!BS580</f>
        <v>0</v>
      </c>
      <c r="H331" s="138"/>
      <c r="I331" s="138"/>
      <c r="J331" s="180"/>
      <c r="K331" s="180"/>
      <c r="L331" s="180"/>
      <c r="M331" s="187"/>
      <c r="N331" s="4">
        <f>F331+D331+B331</f>
        <v>0</v>
      </c>
      <c r="O331" s="4">
        <f>G331+E331+C331</f>
        <v>0</v>
      </c>
      <c r="P331" s="14">
        <f t="shared" si="20"/>
        <v>0</v>
      </c>
    </row>
    <row r="332" spans="1:909" s="1" customFormat="1" ht="22.2" thickTop="1" thickBot="1">
      <c r="A332" s="11" t="s">
        <v>106</v>
      </c>
      <c r="B332" s="4">
        <f>'[1]التعليم الابتدائي'!AX580</f>
        <v>0</v>
      </c>
      <c r="C332" s="4">
        <f>'[1]التعليم الابتدائي'!AY580</f>
        <v>0</v>
      </c>
      <c r="D332" s="4">
        <f>'[1]التعليم الابتدائي'!BI580</f>
        <v>0</v>
      </c>
      <c r="E332" s="4">
        <f>'[1]التعليم الابتدائي'!BJ580</f>
        <v>0</v>
      </c>
      <c r="F332" s="4">
        <f>'[1]التعليم الابتدائي'!BT580</f>
        <v>0</v>
      </c>
      <c r="G332" s="4">
        <f>'[1]التعليم الابتدائي'!BU580</f>
        <v>0</v>
      </c>
      <c r="H332" s="4">
        <f>'[1]التعليم الابتدائي'!CE580</f>
        <v>0</v>
      </c>
      <c r="I332" s="4">
        <f>'[1]التعليم الابتدائي'!CF580</f>
        <v>0</v>
      </c>
      <c r="J332" s="138"/>
      <c r="K332" s="138"/>
      <c r="L332" s="180"/>
      <c r="M332" s="187"/>
      <c r="N332" s="4">
        <f>B332+D332+F332+H332</f>
        <v>0</v>
      </c>
      <c r="O332" s="4">
        <f>I332+G332+E332+C332</f>
        <v>0</v>
      </c>
      <c r="P332" s="14">
        <f t="shared" si="20"/>
        <v>0</v>
      </c>
    </row>
    <row r="333" spans="1:909" s="1" customFormat="1" ht="22.2" thickTop="1" thickBot="1">
      <c r="A333" s="11" t="s">
        <v>127</v>
      </c>
      <c r="B333" s="4">
        <f>'[1]التعليم الابتدائي'!AZ580</f>
        <v>0</v>
      </c>
      <c r="C333" s="4">
        <f>'[1]التعليم الابتدائي'!BA580</f>
        <v>0</v>
      </c>
      <c r="D333" s="4">
        <f>'[1]التعليم الابتدائي'!BK580</f>
        <v>0</v>
      </c>
      <c r="E333" s="4">
        <f>'[1]التعليم الابتدائي'!BL580</f>
        <v>0</v>
      </c>
      <c r="F333" s="4">
        <f>'[1]التعليم الابتدائي'!BV580</f>
        <v>0</v>
      </c>
      <c r="G333" s="4">
        <f>'[1]التعليم الابتدائي'!BW580</f>
        <v>0</v>
      </c>
      <c r="H333" s="4">
        <f>'[1]التعليم الابتدائي'!CG580</f>
        <v>0</v>
      </c>
      <c r="I333" s="4">
        <f>'[1]التعليم الابتدائي'!CH580</f>
        <v>0</v>
      </c>
      <c r="J333" s="4">
        <f>'[1]التعليم الابتدائي'!CR580</f>
        <v>0</v>
      </c>
      <c r="K333" s="4">
        <f>'[1]التعليم الابتدائي'!CS580</f>
        <v>0</v>
      </c>
      <c r="L333" s="138"/>
      <c r="M333" s="139"/>
      <c r="N333" s="4">
        <f>B333+D333+F333+H333+J333</f>
        <v>0</v>
      </c>
      <c r="O333" s="4">
        <f>K333+I333+G333+E333+C333</f>
        <v>0</v>
      </c>
      <c r="P333" s="14">
        <f t="shared" si="20"/>
        <v>0</v>
      </c>
    </row>
    <row r="334" spans="1:909" s="1" customFormat="1" ht="22.2" thickTop="1" thickBot="1">
      <c r="A334" s="11" t="s">
        <v>128</v>
      </c>
      <c r="B334" s="177"/>
      <c r="C334" s="178"/>
      <c r="D334" s="4">
        <f>'[1]التعليم الابتدائي'!BM580</f>
        <v>0</v>
      </c>
      <c r="E334" s="4">
        <f>'[1]التعليم الابتدائي'!BN580</f>
        <v>0</v>
      </c>
      <c r="F334" s="4">
        <f>'[1]التعليم الابتدائي'!BX580</f>
        <v>0</v>
      </c>
      <c r="G334" s="4">
        <f>'[1]التعليم الابتدائي'!BY580</f>
        <v>0</v>
      </c>
      <c r="H334" s="4">
        <f>'[1]التعليم الابتدائي'!CI580</f>
        <v>0</v>
      </c>
      <c r="I334" s="4">
        <f>'[1]التعليم الابتدائي'!CJ580</f>
        <v>0</v>
      </c>
      <c r="J334" s="4">
        <f>'[1]التعليم الابتدائي'!CT580</f>
        <v>0</v>
      </c>
      <c r="K334" s="4">
        <f>'[1]التعليم الابتدائي'!CU580</f>
        <v>0</v>
      </c>
      <c r="L334" s="4">
        <f>'[1]التعليم الابتدائي'!DE580</f>
        <v>0</v>
      </c>
      <c r="M334" s="4">
        <f>'[1]التعليم الابتدائي'!DF580</f>
        <v>0</v>
      </c>
      <c r="N334" s="4">
        <f>D334+F334+H334+J334+L334</f>
        <v>0</v>
      </c>
      <c r="O334" s="4">
        <f>M334+K334+I334+G334+E334</f>
        <v>0</v>
      </c>
      <c r="P334" s="14">
        <f t="shared" si="20"/>
        <v>0</v>
      </c>
    </row>
    <row r="335" spans="1:909" s="1" customFormat="1" ht="22.2" thickTop="1" thickBot="1">
      <c r="A335" s="11" t="s">
        <v>129</v>
      </c>
      <c r="B335" s="179"/>
      <c r="C335" s="180"/>
      <c r="D335" s="178"/>
      <c r="E335" s="178"/>
      <c r="F335" s="4">
        <f>'[1]التعليم الابتدائي'!BZ580</f>
        <v>0</v>
      </c>
      <c r="G335" s="4">
        <f>'[1]التعليم الابتدائي'!CA580</f>
        <v>0</v>
      </c>
      <c r="H335" s="4">
        <f>'[1]التعليم الابتدائي'!CK580</f>
        <v>0</v>
      </c>
      <c r="I335" s="4">
        <f>'[1]التعليم الابتدائي'!CL580</f>
        <v>0</v>
      </c>
      <c r="J335" s="4">
        <f>'[1]التعليم الابتدائي'!CV580</f>
        <v>0</v>
      </c>
      <c r="K335" s="4">
        <f>'[1]التعليم الابتدائي'!CW580</f>
        <v>0</v>
      </c>
      <c r="L335" s="4">
        <f>'[1]التعليم الابتدائي'!DG580</f>
        <v>0</v>
      </c>
      <c r="M335" s="4">
        <f>'[1]التعليم الابتدائي'!DH580</f>
        <v>0</v>
      </c>
      <c r="N335" s="4">
        <f>L335+J335+H335+F335</f>
        <v>0</v>
      </c>
      <c r="O335" s="4">
        <f>M335+K335+I335+G335</f>
        <v>0</v>
      </c>
      <c r="P335" s="14">
        <f t="shared" si="20"/>
        <v>0</v>
      </c>
    </row>
    <row r="336" spans="1:909" s="1" customFormat="1" ht="22.2" thickTop="1" thickBot="1">
      <c r="A336" s="11" t="s">
        <v>130</v>
      </c>
      <c r="B336" s="179"/>
      <c r="C336" s="180"/>
      <c r="D336" s="180"/>
      <c r="E336" s="180"/>
      <c r="F336" s="178"/>
      <c r="G336" s="178"/>
      <c r="H336" s="4">
        <f>'[1]التعليم الابتدائي'!CM580</f>
        <v>0</v>
      </c>
      <c r="I336" s="4">
        <f>'[1]التعليم الابتدائي'!CN580</f>
        <v>0</v>
      </c>
      <c r="J336" s="4">
        <f>'[1]التعليم الابتدائي'!CX580</f>
        <v>0</v>
      </c>
      <c r="K336" s="4">
        <f>'[1]التعليم الابتدائي'!CY580</f>
        <v>0</v>
      </c>
      <c r="L336" s="4">
        <f>'[1]التعليم الابتدائي'!DI580</f>
        <v>0</v>
      </c>
      <c r="M336" s="4">
        <f>'[1]التعليم الابتدائي'!DJ580</f>
        <v>0</v>
      </c>
      <c r="N336" s="4">
        <f>L336+J336+H336</f>
        <v>0</v>
      </c>
      <c r="O336" s="4">
        <f>M336+K336+I336</f>
        <v>0</v>
      </c>
      <c r="P336" s="14">
        <f t="shared" si="20"/>
        <v>0</v>
      </c>
    </row>
    <row r="337" spans="1:909" s="1" customFormat="1" ht="22.2" thickTop="1" thickBot="1">
      <c r="A337" s="11" t="s">
        <v>131</v>
      </c>
      <c r="B337" s="179"/>
      <c r="C337" s="180"/>
      <c r="D337" s="180"/>
      <c r="E337" s="180"/>
      <c r="F337" s="180"/>
      <c r="G337" s="180"/>
      <c r="H337" s="178"/>
      <c r="I337" s="178"/>
      <c r="J337" s="4">
        <f>'[1]التعليم الابتدائي'!CZ580</f>
        <v>0</v>
      </c>
      <c r="K337" s="4">
        <f>'[1]التعليم الابتدائي'!DA580</f>
        <v>0</v>
      </c>
      <c r="L337" s="4">
        <f>'[1]التعليم الابتدائي'!DK580</f>
        <v>0</v>
      </c>
      <c r="M337" s="4">
        <f>'[1]التعليم الابتدائي'!DL580</f>
        <v>0</v>
      </c>
      <c r="N337" s="4">
        <f>L337+J337</f>
        <v>0</v>
      </c>
      <c r="O337" s="4">
        <f>M337+K337</f>
        <v>0</v>
      </c>
      <c r="P337" s="14">
        <f t="shared" si="20"/>
        <v>0</v>
      </c>
    </row>
    <row r="338" spans="1:909" s="1" customFormat="1" ht="22.2" thickTop="1" thickBot="1">
      <c r="A338" s="11" t="s">
        <v>132</v>
      </c>
      <c r="B338" s="137"/>
      <c r="C338" s="138"/>
      <c r="D338" s="138"/>
      <c r="E338" s="138"/>
      <c r="F338" s="138"/>
      <c r="G338" s="138"/>
      <c r="H338" s="138"/>
      <c r="I338" s="138"/>
      <c r="J338" s="181"/>
      <c r="K338" s="182"/>
      <c r="L338" s="4">
        <f>'[1]التعليم الابتدائي'!DM580</f>
        <v>0</v>
      </c>
      <c r="M338" s="4">
        <f>'[1]التعليم الابتدائي'!DN580</f>
        <v>0</v>
      </c>
      <c r="N338" s="4">
        <f>L338</f>
        <v>0</v>
      </c>
      <c r="O338" s="4">
        <f>M338</f>
        <v>0</v>
      </c>
      <c r="P338" s="14">
        <f t="shared" si="20"/>
        <v>0</v>
      </c>
    </row>
    <row r="339" spans="1:909" s="1" customFormat="1" ht="22.2" thickTop="1" thickBot="1">
      <c r="A339" s="6" t="s">
        <v>122</v>
      </c>
      <c r="B339" s="7">
        <f>SUM(B328:B338)</f>
        <v>0</v>
      </c>
      <c r="C339" s="7">
        <f>SUM(C328:C338)</f>
        <v>0</v>
      </c>
      <c r="D339" s="7">
        <f>D334+D333+D332+D331+D330</f>
        <v>0</v>
      </c>
      <c r="E339" s="7">
        <f t="shared" ref="E339:P339" si="21">SUM(E328:E338)</f>
        <v>0</v>
      </c>
      <c r="F339" s="7">
        <f t="shared" si="21"/>
        <v>0</v>
      </c>
      <c r="G339" s="7">
        <f t="shared" si="21"/>
        <v>0</v>
      </c>
      <c r="H339" s="7">
        <f t="shared" si="21"/>
        <v>0</v>
      </c>
      <c r="I339" s="7">
        <f t="shared" si="21"/>
        <v>0</v>
      </c>
      <c r="J339" s="7">
        <f t="shared" si="21"/>
        <v>0</v>
      </c>
      <c r="K339" s="7">
        <f t="shared" si="21"/>
        <v>0</v>
      </c>
      <c r="L339" s="7">
        <f t="shared" si="21"/>
        <v>0</v>
      </c>
      <c r="M339" s="7">
        <f t="shared" si="21"/>
        <v>0</v>
      </c>
      <c r="N339" s="7">
        <f t="shared" si="21"/>
        <v>0</v>
      </c>
      <c r="O339" s="7">
        <f t="shared" si="21"/>
        <v>0</v>
      </c>
      <c r="P339" s="8">
        <f t="shared" si="21"/>
        <v>0</v>
      </c>
    </row>
    <row r="340" spans="1:909" ht="21.6" thickTop="1"/>
    <row r="341" spans="1:909" s="1" customFormat="1" ht="21">
      <c r="A341" s="156" t="s">
        <v>62</v>
      </c>
      <c r="B341" s="156"/>
      <c r="C341" s="156"/>
      <c r="D341" s="156"/>
      <c r="E341" s="156"/>
      <c r="O341" s="2" t="s">
        <v>93</v>
      </c>
      <c r="P341" s="2"/>
      <c r="Q341" s="2"/>
    </row>
    <row r="342" spans="1:909" s="1" customFormat="1" ht="21">
      <c r="A342" s="156" t="s">
        <v>64</v>
      </c>
      <c r="B342" s="156"/>
      <c r="C342" s="156"/>
      <c r="D342" s="156"/>
      <c r="E342" s="156"/>
      <c r="O342" s="2" t="s">
        <v>65</v>
      </c>
      <c r="P342" s="2"/>
      <c r="Q342" s="2"/>
    </row>
    <row r="343" spans="1:909" s="1" customFormat="1" ht="21">
      <c r="A343" s="156" t="s">
        <v>99</v>
      </c>
      <c r="B343" s="156"/>
      <c r="C343" s="156"/>
      <c r="D343" s="156"/>
      <c r="E343" s="156"/>
      <c r="F343" s="156"/>
      <c r="G343" s="156"/>
      <c r="H343" s="156"/>
      <c r="I343" s="156"/>
      <c r="J343" s="156"/>
      <c r="K343" s="156"/>
      <c r="L343" s="156"/>
      <c r="M343" s="156"/>
      <c r="N343" s="156"/>
      <c r="O343" s="156"/>
      <c r="P343" s="156"/>
      <c r="Q343" s="2"/>
    </row>
    <row r="344" spans="1:909" s="1" customFormat="1" ht="21">
      <c r="A344" s="156" t="s">
        <v>136</v>
      </c>
      <c r="B344" s="156"/>
      <c r="C344" s="156"/>
      <c r="D344" s="156"/>
      <c r="E344" s="156"/>
      <c r="F344" s="156"/>
      <c r="G344" s="156"/>
      <c r="H344" s="156"/>
      <c r="I344" s="156"/>
      <c r="J344" s="156"/>
      <c r="K344" s="156"/>
      <c r="L344" s="156"/>
      <c r="M344" s="156"/>
      <c r="N344" s="156"/>
      <c r="O344" s="156"/>
      <c r="P344" s="156"/>
      <c r="Q344" s="156"/>
    </row>
    <row r="345" spans="1:909" s="1" customFormat="1" ht="21">
      <c r="A345" s="156" t="s">
        <v>101</v>
      </c>
      <c r="B345" s="156"/>
      <c r="C345" s="156"/>
      <c r="D345" s="156"/>
      <c r="E345" s="156"/>
      <c r="F345" s="156"/>
      <c r="G345" s="156"/>
      <c r="H345" s="156"/>
      <c r="I345" s="156"/>
      <c r="J345" s="156"/>
      <c r="K345" s="156"/>
      <c r="L345" s="156"/>
      <c r="M345" s="156"/>
      <c r="N345" s="156"/>
      <c r="O345" s="156"/>
      <c r="P345" s="156"/>
      <c r="Q345" s="2"/>
    </row>
    <row r="346" spans="1:909" s="1" customFormat="1" ht="21.6" thickBot="1">
      <c r="G346" s="198"/>
      <c r="H346" s="198"/>
      <c r="I346" s="198"/>
      <c r="J346" s="198"/>
      <c r="K346" s="198"/>
    </row>
    <row r="347" spans="1:909" s="1" customFormat="1" ht="21.6" thickTop="1">
      <c r="A347" s="199"/>
      <c r="B347" s="147" t="s">
        <v>102</v>
      </c>
      <c r="C347" s="149"/>
      <c r="D347" s="147" t="s">
        <v>103</v>
      </c>
      <c r="E347" s="149"/>
      <c r="F347" s="147" t="s">
        <v>104</v>
      </c>
      <c r="G347" s="149"/>
      <c r="H347" s="147" t="s">
        <v>105</v>
      </c>
      <c r="I347" s="149"/>
      <c r="J347" s="147" t="s">
        <v>106</v>
      </c>
      <c r="K347" s="149"/>
      <c r="L347" s="147" t="s">
        <v>107</v>
      </c>
      <c r="M347" s="149"/>
      <c r="N347" s="147" t="s">
        <v>58</v>
      </c>
      <c r="O347" s="148"/>
      <c r="P347" s="201"/>
    </row>
    <row r="348" spans="1:909" s="1" customFormat="1" ht="21.6" thickBot="1">
      <c r="A348" s="200"/>
      <c r="B348" s="137"/>
      <c r="C348" s="139"/>
      <c r="D348" s="137"/>
      <c r="E348" s="139"/>
      <c r="F348" s="137"/>
      <c r="G348" s="139"/>
      <c r="H348" s="137"/>
      <c r="I348" s="139"/>
      <c r="J348" s="137"/>
      <c r="K348" s="139"/>
      <c r="L348" s="137"/>
      <c r="M348" s="139"/>
      <c r="N348" s="137"/>
      <c r="O348" s="138"/>
      <c r="P348" s="202"/>
    </row>
    <row r="349" spans="1:909" s="5" customFormat="1" ht="22.2" thickTop="1" thickBot="1">
      <c r="A349" s="11" t="s">
        <v>108</v>
      </c>
      <c r="B349" s="170">
        <f>'[1]التعليم الابتدائي'!AA644</f>
        <v>0</v>
      </c>
      <c r="C349" s="182"/>
      <c r="D349" s="170">
        <f>'[1]التعليم الابتدائي'!AC644</f>
        <v>0</v>
      </c>
      <c r="E349" s="182"/>
      <c r="F349" s="170">
        <f>'[1]التعليم الابتدائي'!AE644</f>
        <v>0</v>
      </c>
      <c r="G349" s="182"/>
      <c r="H349" s="170">
        <f>'[1]التعليم الابتدائي'!AG644</f>
        <v>0</v>
      </c>
      <c r="I349" s="182"/>
      <c r="J349" s="170">
        <f>'[1]التعليم الابتدائي'!AI644</f>
        <v>0</v>
      </c>
      <c r="K349" s="182"/>
      <c r="L349" s="170">
        <f>'[1]التعليم الابتدائي'!AK644</f>
        <v>0</v>
      </c>
      <c r="M349" s="182"/>
      <c r="N349" s="170">
        <f>L349+J349+H349+F349+D349+B349</f>
        <v>0</v>
      </c>
      <c r="O349" s="181"/>
      <c r="P349" s="193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  <c r="JW349" s="1"/>
      <c r="JX349" s="1"/>
      <c r="JY349" s="1"/>
      <c r="JZ349" s="1"/>
      <c r="KA349" s="1"/>
      <c r="KB349" s="1"/>
      <c r="KC349" s="1"/>
      <c r="KD349" s="1"/>
      <c r="KE349" s="1"/>
      <c r="KF349" s="1"/>
      <c r="KG349" s="1"/>
      <c r="KH349" s="1"/>
      <c r="KI349" s="1"/>
      <c r="KJ349" s="1"/>
      <c r="KK349" s="1"/>
      <c r="KL349" s="1"/>
      <c r="KM349" s="1"/>
      <c r="KN349" s="1"/>
      <c r="KO349" s="1"/>
      <c r="KP349" s="1"/>
      <c r="KQ349" s="1"/>
      <c r="KR349" s="1"/>
      <c r="KS349" s="1"/>
      <c r="KT349" s="1"/>
      <c r="KU349" s="1"/>
      <c r="KV349" s="1"/>
      <c r="KW349" s="1"/>
      <c r="KX349" s="1"/>
      <c r="KY349" s="1"/>
      <c r="KZ349" s="1"/>
      <c r="LA349" s="1"/>
      <c r="LB349" s="1"/>
      <c r="LC349" s="1"/>
      <c r="LD349" s="1"/>
      <c r="LE349" s="1"/>
      <c r="LF349" s="1"/>
      <c r="LG349" s="1"/>
      <c r="LH349" s="1"/>
      <c r="LI349" s="1"/>
      <c r="LJ349" s="1"/>
      <c r="LK349" s="1"/>
      <c r="LL349" s="1"/>
      <c r="LM349" s="1"/>
      <c r="LN349" s="1"/>
      <c r="LO349" s="1"/>
      <c r="LP349" s="1"/>
      <c r="LQ349" s="1"/>
      <c r="LR349" s="1"/>
      <c r="LS349" s="1"/>
      <c r="LT349" s="1"/>
      <c r="LU349" s="1"/>
      <c r="LV349" s="1"/>
      <c r="LW349" s="1"/>
      <c r="LX349" s="1"/>
      <c r="LY349" s="1"/>
      <c r="LZ349" s="1"/>
      <c r="MA349" s="1"/>
      <c r="MB349" s="1"/>
      <c r="MC349" s="1"/>
      <c r="MD349" s="1"/>
      <c r="ME349" s="1"/>
      <c r="MF349" s="1"/>
      <c r="MG349" s="1"/>
      <c r="MH349" s="1"/>
      <c r="MI349" s="1"/>
      <c r="MJ349" s="1"/>
      <c r="MK349" s="1"/>
      <c r="ML349" s="1"/>
      <c r="MM349" s="1"/>
      <c r="MN349" s="1"/>
      <c r="MO349" s="1"/>
      <c r="MP349" s="1"/>
      <c r="MQ349" s="1"/>
      <c r="MR349" s="1"/>
      <c r="MS349" s="1"/>
      <c r="MT349" s="1"/>
      <c r="MU349" s="1"/>
      <c r="MV349" s="1"/>
      <c r="MW349" s="1"/>
      <c r="MX349" s="1"/>
      <c r="MY349" s="1"/>
      <c r="MZ349" s="1"/>
      <c r="NA349" s="1"/>
      <c r="NB349" s="1"/>
      <c r="NC349" s="1"/>
      <c r="ND349" s="1"/>
      <c r="NE349" s="1"/>
      <c r="NF349" s="1"/>
      <c r="NG349" s="1"/>
      <c r="NH349" s="1"/>
      <c r="NI349" s="1"/>
      <c r="NJ349" s="1"/>
      <c r="NK349" s="1"/>
      <c r="NL349" s="1"/>
      <c r="NM349" s="1"/>
      <c r="NN349" s="1"/>
      <c r="NO349" s="1"/>
      <c r="NP349" s="1"/>
      <c r="NQ349" s="1"/>
      <c r="NR349" s="1"/>
      <c r="NS349" s="1"/>
      <c r="NT349" s="1"/>
      <c r="NU349" s="1"/>
      <c r="NV349" s="1"/>
      <c r="NW349" s="1"/>
      <c r="NX349" s="1"/>
      <c r="NY349" s="1"/>
      <c r="NZ349" s="1"/>
      <c r="OA349" s="1"/>
      <c r="OB349" s="1"/>
      <c r="OC349" s="1"/>
      <c r="OD349" s="1"/>
      <c r="OE349" s="1"/>
      <c r="OF349" s="1"/>
      <c r="OG349" s="1"/>
      <c r="OH349" s="1"/>
      <c r="OI349" s="1"/>
      <c r="OJ349" s="1"/>
      <c r="OK349" s="1"/>
      <c r="OL349" s="1"/>
      <c r="OM349" s="1"/>
      <c r="ON349" s="1"/>
      <c r="OO349" s="1"/>
      <c r="OP349" s="1"/>
      <c r="OQ349" s="1"/>
      <c r="OR349" s="1"/>
      <c r="OS349" s="1"/>
      <c r="OT349" s="1"/>
      <c r="OU349" s="1"/>
      <c r="OV349" s="1"/>
      <c r="OW349" s="1"/>
      <c r="OX349" s="1"/>
      <c r="OY349" s="1"/>
      <c r="OZ349" s="1"/>
      <c r="PA349" s="1"/>
      <c r="PB349" s="1"/>
      <c r="PC349" s="1"/>
      <c r="PD349" s="1"/>
      <c r="PE349" s="1"/>
      <c r="PF349" s="1"/>
      <c r="PG349" s="1"/>
      <c r="PH349" s="1"/>
      <c r="PI349" s="1"/>
      <c r="PJ349" s="1"/>
      <c r="PK349" s="1"/>
      <c r="PL349" s="1"/>
      <c r="PM349" s="1"/>
      <c r="PN349" s="1"/>
      <c r="PO349" s="1"/>
      <c r="PP349" s="1"/>
      <c r="PQ349" s="1"/>
      <c r="PR349" s="1"/>
      <c r="PS349" s="1"/>
      <c r="PT349" s="1"/>
      <c r="PU349" s="1"/>
      <c r="PV349" s="1"/>
      <c r="PW349" s="1"/>
      <c r="PX349" s="1"/>
      <c r="PY349" s="1"/>
      <c r="PZ349" s="1"/>
      <c r="QA349" s="1"/>
      <c r="QB349" s="1"/>
      <c r="QC349" s="1"/>
      <c r="QD349" s="1"/>
      <c r="QE349" s="1"/>
      <c r="QF349" s="1"/>
      <c r="QG349" s="1"/>
      <c r="QH349" s="1"/>
      <c r="QI349" s="1"/>
      <c r="QJ349" s="1"/>
      <c r="QK349" s="1"/>
      <c r="QL349" s="1"/>
      <c r="QM349" s="1"/>
      <c r="QN349" s="1"/>
      <c r="QO349" s="1"/>
      <c r="QP349" s="1"/>
      <c r="QQ349" s="1"/>
      <c r="QR349" s="1"/>
      <c r="QS349" s="1"/>
      <c r="QT349" s="1"/>
      <c r="QU349" s="1"/>
      <c r="QV349" s="1"/>
      <c r="QW349" s="1"/>
      <c r="QX349" s="1"/>
      <c r="QY349" s="1"/>
      <c r="QZ349" s="1"/>
      <c r="RA349" s="1"/>
      <c r="RB349" s="1"/>
      <c r="RC349" s="1"/>
      <c r="RD349" s="1"/>
      <c r="RE349" s="1"/>
      <c r="RF349" s="1"/>
      <c r="RG349" s="1"/>
      <c r="RH349" s="1"/>
      <c r="RI349" s="1"/>
      <c r="RJ349" s="1"/>
      <c r="RK349" s="1"/>
      <c r="RL349" s="1"/>
      <c r="RM349" s="1"/>
      <c r="RN349" s="1"/>
      <c r="RO349" s="1"/>
      <c r="RP349" s="1"/>
      <c r="RQ349" s="1"/>
      <c r="RR349" s="1"/>
      <c r="RS349" s="1"/>
      <c r="RT349" s="1"/>
      <c r="RU349" s="1"/>
      <c r="RV349" s="1"/>
      <c r="RW349" s="1"/>
      <c r="RX349" s="1"/>
      <c r="RY349" s="1"/>
      <c r="RZ349" s="1"/>
      <c r="SA349" s="1"/>
      <c r="SB349" s="1"/>
      <c r="SC349" s="1"/>
      <c r="SD349" s="1"/>
      <c r="SE349" s="1"/>
      <c r="SF349" s="1"/>
      <c r="SG349" s="1"/>
      <c r="SH349" s="1"/>
      <c r="SI349" s="1"/>
      <c r="SJ349" s="1"/>
      <c r="SK349" s="1"/>
      <c r="SL349" s="1"/>
      <c r="SM349" s="1"/>
      <c r="SN349" s="1"/>
      <c r="SO349" s="1"/>
      <c r="SP349" s="1"/>
      <c r="SQ349" s="1"/>
      <c r="SR349" s="1"/>
      <c r="SS349" s="1"/>
      <c r="ST349" s="1"/>
      <c r="SU349" s="1"/>
      <c r="SV349" s="1"/>
      <c r="SW349" s="1"/>
      <c r="SX349" s="1"/>
      <c r="SY349" s="1"/>
      <c r="SZ349" s="1"/>
      <c r="TA349" s="1"/>
      <c r="TB349" s="1"/>
      <c r="TC349" s="1"/>
      <c r="TD349" s="1"/>
      <c r="TE349" s="1"/>
      <c r="TF349" s="1"/>
      <c r="TG349" s="1"/>
      <c r="TH349" s="1"/>
      <c r="TI349" s="1"/>
      <c r="TJ349" s="1"/>
      <c r="TK349" s="1"/>
      <c r="TL349" s="1"/>
      <c r="TM349" s="1"/>
      <c r="TN349" s="1"/>
      <c r="TO349" s="1"/>
      <c r="TP349" s="1"/>
      <c r="TQ349" s="1"/>
      <c r="TR349" s="1"/>
      <c r="TS349" s="1"/>
      <c r="TT349" s="1"/>
      <c r="TU349" s="1"/>
      <c r="TV349" s="1"/>
      <c r="TW349" s="1"/>
      <c r="TX349" s="1"/>
      <c r="TY349" s="1"/>
      <c r="TZ349" s="1"/>
      <c r="UA349" s="1"/>
      <c r="UB349" s="1"/>
      <c r="UC349" s="1"/>
      <c r="UD349" s="1"/>
      <c r="UE349" s="1"/>
      <c r="UF349" s="1"/>
      <c r="UG349" s="1"/>
      <c r="UH349" s="1"/>
      <c r="UI349" s="1"/>
      <c r="UJ349" s="1"/>
      <c r="UK349" s="1"/>
      <c r="UL349" s="1"/>
      <c r="UM349" s="1"/>
      <c r="UN349" s="1"/>
      <c r="UO349" s="1"/>
      <c r="UP349" s="1"/>
      <c r="UQ349" s="1"/>
      <c r="UR349" s="1"/>
      <c r="US349" s="1"/>
      <c r="UT349" s="1"/>
      <c r="UU349" s="1"/>
      <c r="UV349" s="1"/>
      <c r="UW349" s="1"/>
      <c r="UX349" s="1"/>
      <c r="UY349" s="1"/>
      <c r="UZ349" s="1"/>
      <c r="VA349" s="1"/>
      <c r="VB349" s="1"/>
      <c r="VC349" s="1"/>
      <c r="VD349" s="1"/>
      <c r="VE349" s="1"/>
      <c r="VF349" s="1"/>
      <c r="VG349" s="1"/>
      <c r="VH349" s="1"/>
      <c r="VI349" s="1"/>
      <c r="VJ349" s="1"/>
      <c r="VK349" s="1"/>
      <c r="VL349" s="1"/>
      <c r="VM349" s="1"/>
      <c r="VN349" s="1"/>
      <c r="VO349" s="1"/>
      <c r="VP349" s="1"/>
      <c r="VQ349" s="1"/>
      <c r="VR349" s="1"/>
      <c r="VS349" s="1"/>
      <c r="VT349" s="1"/>
      <c r="VU349" s="1"/>
      <c r="VV349" s="1"/>
      <c r="VW349" s="1"/>
      <c r="VX349" s="1"/>
      <c r="VY349" s="1"/>
      <c r="VZ349" s="1"/>
      <c r="WA349" s="1"/>
      <c r="WB349" s="1"/>
      <c r="WC349" s="1"/>
      <c r="WD349" s="1"/>
      <c r="WE349" s="1"/>
      <c r="WF349" s="1"/>
      <c r="WG349" s="1"/>
      <c r="WH349" s="1"/>
      <c r="WI349" s="1"/>
      <c r="WJ349" s="1"/>
      <c r="WK349" s="1"/>
      <c r="WL349" s="1"/>
      <c r="WM349" s="1"/>
      <c r="WN349" s="1"/>
      <c r="WO349" s="1"/>
      <c r="WP349" s="1"/>
      <c r="WQ349" s="1"/>
      <c r="WR349" s="1"/>
      <c r="WS349" s="1"/>
      <c r="WT349" s="1"/>
      <c r="WU349" s="1"/>
      <c r="WV349" s="1"/>
      <c r="WW349" s="1"/>
      <c r="WX349" s="1"/>
      <c r="WY349" s="1"/>
      <c r="WZ349" s="1"/>
      <c r="XA349" s="1"/>
      <c r="XB349" s="1"/>
      <c r="XC349" s="1"/>
      <c r="XD349" s="1"/>
      <c r="XE349" s="1"/>
      <c r="XF349" s="1"/>
      <c r="XG349" s="1"/>
      <c r="XH349" s="1"/>
      <c r="XI349" s="1"/>
      <c r="XJ349" s="1"/>
      <c r="XK349" s="1"/>
      <c r="XL349" s="1"/>
      <c r="XM349" s="1"/>
      <c r="XN349" s="1"/>
      <c r="XO349" s="1"/>
      <c r="XP349" s="1"/>
      <c r="XQ349" s="1"/>
      <c r="XR349" s="1"/>
      <c r="XS349" s="1"/>
      <c r="XT349" s="1"/>
      <c r="XU349" s="1"/>
      <c r="XV349" s="1"/>
      <c r="XW349" s="1"/>
      <c r="XX349" s="1"/>
      <c r="XY349" s="1"/>
      <c r="XZ349" s="1"/>
      <c r="YA349" s="1"/>
      <c r="YB349" s="1"/>
      <c r="YC349" s="1"/>
      <c r="YD349" s="1"/>
      <c r="YE349" s="1"/>
      <c r="YF349" s="1"/>
      <c r="YG349" s="1"/>
      <c r="YH349" s="1"/>
      <c r="YI349" s="1"/>
      <c r="YJ349" s="1"/>
      <c r="YK349" s="1"/>
      <c r="YL349" s="1"/>
      <c r="YM349" s="1"/>
      <c r="YN349" s="1"/>
      <c r="YO349" s="1"/>
      <c r="YP349" s="1"/>
      <c r="YQ349" s="1"/>
      <c r="YR349" s="1"/>
      <c r="YS349" s="1"/>
      <c r="YT349" s="1"/>
      <c r="YU349" s="1"/>
      <c r="YV349" s="1"/>
      <c r="YW349" s="1"/>
      <c r="YX349" s="1"/>
      <c r="YY349" s="1"/>
      <c r="YZ349" s="1"/>
      <c r="ZA349" s="1"/>
      <c r="ZB349" s="1"/>
      <c r="ZC349" s="1"/>
      <c r="ZD349" s="1"/>
      <c r="ZE349" s="1"/>
      <c r="ZF349" s="1"/>
      <c r="ZG349" s="1"/>
      <c r="ZH349" s="1"/>
      <c r="ZI349" s="1"/>
      <c r="ZJ349" s="1"/>
      <c r="ZK349" s="1"/>
      <c r="ZL349" s="1"/>
      <c r="ZM349" s="1"/>
      <c r="ZN349" s="1"/>
      <c r="ZO349" s="1"/>
      <c r="ZP349" s="1"/>
      <c r="ZQ349" s="1"/>
      <c r="ZR349" s="1"/>
      <c r="ZS349" s="1"/>
      <c r="ZT349" s="1"/>
      <c r="ZU349" s="1"/>
      <c r="ZV349" s="1"/>
      <c r="ZW349" s="1"/>
      <c r="ZX349" s="1"/>
      <c r="ZY349" s="1"/>
      <c r="ZZ349" s="1"/>
      <c r="AAA349" s="1"/>
      <c r="AAB349" s="1"/>
      <c r="AAC349" s="1"/>
      <c r="AAD349" s="1"/>
      <c r="AAE349" s="1"/>
      <c r="AAF349" s="1"/>
      <c r="AAG349" s="1"/>
      <c r="AAH349" s="1"/>
      <c r="AAI349" s="1"/>
      <c r="AAJ349" s="1"/>
      <c r="AAK349" s="1"/>
      <c r="AAL349" s="1"/>
      <c r="AAM349" s="1"/>
      <c r="AAN349" s="1"/>
      <c r="AAO349" s="1"/>
      <c r="AAP349" s="1"/>
      <c r="AAQ349" s="1"/>
      <c r="AAR349" s="1"/>
      <c r="AAS349" s="1"/>
      <c r="AAT349" s="1"/>
      <c r="AAU349" s="1"/>
      <c r="AAV349" s="1"/>
      <c r="AAW349" s="1"/>
      <c r="AAX349" s="1"/>
      <c r="AAY349" s="1"/>
      <c r="AAZ349" s="1"/>
      <c r="ABA349" s="1"/>
      <c r="ABB349" s="1"/>
      <c r="ABC349" s="1"/>
      <c r="ABD349" s="1"/>
      <c r="ABE349" s="1"/>
      <c r="ABF349" s="1"/>
      <c r="ABG349" s="1"/>
      <c r="ABH349" s="1"/>
      <c r="ABI349" s="1"/>
      <c r="ABJ349" s="1"/>
      <c r="ABK349" s="1"/>
      <c r="ABL349" s="1"/>
      <c r="ABM349" s="1"/>
      <c r="ABN349" s="1"/>
      <c r="ABO349" s="1"/>
      <c r="ABP349" s="1"/>
      <c r="ABQ349" s="1"/>
      <c r="ABR349" s="1"/>
      <c r="ABS349" s="1"/>
      <c r="ABT349" s="1"/>
      <c r="ABU349" s="1"/>
      <c r="ABV349" s="1"/>
      <c r="ABW349" s="1"/>
      <c r="ABX349" s="1"/>
      <c r="ABY349" s="1"/>
      <c r="ABZ349" s="1"/>
      <c r="ACA349" s="1"/>
      <c r="ACB349" s="1"/>
      <c r="ACC349" s="1"/>
      <c r="ACD349" s="1"/>
      <c r="ACE349" s="1"/>
      <c r="ACF349" s="1"/>
      <c r="ACG349" s="1"/>
      <c r="ACH349" s="1"/>
      <c r="ACI349" s="1"/>
      <c r="ACJ349" s="1"/>
      <c r="ACK349" s="1"/>
      <c r="ACL349" s="1"/>
      <c r="ACM349" s="1"/>
      <c r="ACN349" s="1"/>
      <c r="ACO349" s="1"/>
      <c r="ACP349" s="1"/>
      <c r="ACQ349" s="1"/>
      <c r="ACR349" s="1"/>
      <c r="ACS349" s="1"/>
      <c r="ACT349" s="1"/>
      <c r="ACU349" s="1"/>
      <c r="ACV349" s="1"/>
      <c r="ACW349" s="1"/>
      <c r="ACX349" s="1"/>
      <c r="ACY349" s="1"/>
      <c r="ACZ349" s="1"/>
      <c r="ADA349" s="1"/>
      <c r="ADB349" s="1"/>
      <c r="ADC349" s="1"/>
      <c r="ADD349" s="1"/>
      <c r="ADE349" s="1"/>
      <c r="ADF349" s="1"/>
      <c r="ADG349" s="1"/>
      <c r="ADH349" s="1"/>
      <c r="ADI349" s="1"/>
      <c r="ADJ349" s="1"/>
      <c r="ADK349" s="1"/>
      <c r="ADL349" s="1"/>
      <c r="ADM349" s="1"/>
      <c r="ADN349" s="1"/>
      <c r="ADO349" s="1"/>
      <c r="ADP349" s="1"/>
      <c r="ADQ349" s="1"/>
      <c r="ADR349" s="1"/>
      <c r="ADS349" s="1"/>
      <c r="ADT349" s="1"/>
      <c r="ADU349" s="1"/>
      <c r="ADV349" s="1"/>
      <c r="ADW349" s="1"/>
      <c r="ADX349" s="1"/>
      <c r="ADY349" s="1"/>
      <c r="ADZ349" s="1"/>
      <c r="AEA349" s="1"/>
      <c r="AEB349" s="1"/>
      <c r="AEC349" s="1"/>
      <c r="AED349" s="1"/>
      <c r="AEE349" s="1"/>
      <c r="AEF349" s="1"/>
      <c r="AEG349" s="1"/>
      <c r="AEH349" s="1"/>
      <c r="AEI349" s="1"/>
      <c r="AEJ349" s="1"/>
      <c r="AEK349" s="1"/>
      <c r="AEL349" s="1"/>
      <c r="AEM349" s="1"/>
      <c r="AEN349" s="1"/>
      <c r="AEO349" s="1"/>
      <c r="AEP349" s="1"/>
      <c r="AEQ349" s="1"/>
      <c r="AER349" s="1"/>
      <c r="AES349" s="1"/>
      <c r="AET349" s="1"/>
      <c r="AEU349" s="1"/>
      <c r="AEV349" s="1"/>
      <c r="AEW349" s="1"/>
      <c r="AEX349" s="1"/>
      <c r="AEY349" s="1"/>
      <c r="AEZ349" s="1"/>
      <c r="AFA349" s="1"/>
      <c r="AFB349" s="1"/>
      <c r="AFC349" s="1"/>
      <c r="AFD349" s="1"/>
      <c r="AFE349" s="1"/>
      <c r="AFF349" s="1"/>
      <c r="AFG349" s="1"/>
      <c r="AFH349" s="1"/>
      <c r="AFI349" s="1"/>
      <c r="AFJ349" s="1"/>
      <c r="AFK349" s="1"/>
      <c r="AFL349" s="1"/>
      <c r="AFM349" s="1"/>
      <c r="AFN349" s="1"/>
      <c r="AFO349" s="1"/>
      <c r="AFP349" s="1"/>
      <c r="AFQ349" s="1"/>
      <c r="AFR349" s="1"/>
      <c r="AFS349" s="1"/>
      <c r="AFT349" s="1"/>
      <c r="AFU349" s="1"/>
      <c r="AFV349" s="1"/>
      <c r="AFW349" s="1"/>
      <c r="AFX349" s="1"/>
      <c r="AFY349" s="1"/>
      <c r="AFZ349" s="1"/>
      <c r="AGA349" s="1"/>
      <c r="AGB349" s="1"/>
      <c r="AGC349" s="1"/>
      <c r="AGD349" s="1"/>
      <c r="AGE349" s="1"/>
      <c r="AGF349" s="1"/>
      <c r="AGG349" s="1"/>
      <c r="AGH349" s="1"/>
      <c r="AGI349" s="1"/>
      <c r="AGJ349" s="1"/>
      <c r="AGK349" s="1"/>
      <c r="AGL349" s="1"/>
      <c r="AGM349" s="1"/>
      <c r="AGN349" s="1"/>
      <c r="AGO349" s="1"/>
      <c r="AGP349" s="1"/>
      <c r="AGQ349" s="1"/>
      <c r="AGR349" s="1"/>
      <c r="AGS349" s="1"/>
      <c r="AGT349" s="1"/>
      <c r="AGU349" s="1"/>
      <c r="AGV349" s="1"/>
      <c r="AGW349" s="1"/>
      <c r="AGX349" s="1"/>
      <c r="AGY349" s="1"/>
      <c r="AGZ349" s="1"/>
      <c r="AHA349" s="1"/>
      <c r="AHB349" s="1"/>
      <c r="AHC349" s="1"/>
      <c r="AHD349" s="1"/>
      <c r="AHE349" s="1"/>
      <c r="AHF349" s="1"/>
      <c r="AHG349" s="1"/>
      <c r="AHH349" s="1"/>
      <c r="AHI349" s="1"/>
      <c r="AHJ349" s="1"/>
      <c r="AHK349" s="1"/>
      <c r="AHL349" s="1"/>
      <c r="AHM349" s="1"/>
      <c r="AHN349" s="1"/>
      <c r="AHO349" s="1"/>
      <c r="AHP349" s="1"/>
      <c r="AHQ349" s="1"/>
      <c r="AHR349" s="1"/>
      <c r="AHS349" s="1"/>
      <c r="AHT349" s="1"/>
      <c r="AHU349" s="1"/>
      <c r="AHV349" s="1"/>
      <c r="AHW349" s="1"/>
      <c r="AHX349" s="1"/>
      <c r="AHY349" s="1"/>
    </row>
    <row r="350" spans="1:909" s="5" customFormat="1" ht="22.2" thickTop="1" thickBot="1">
      <c r="A350" s="11" t="s">
        <v>109</v>
      </c>
      <c r="B350" s="170">
        <f>'[1]التعليم الابتدائي'!AB644</f>
        <v>0</v>
      </c>
      <c r="C350" s="182"/>
      <c r="D350" s="170">
        <f>'[1]التعليم الابتدائي'!AD644</f>
        <v>0</v>
      </c>
      <c r="E350" s="182"/>
      <c r="F350" s="170">
        <f>'[1]التعليم الابتدائي'!AF644</f>
        <v>0</v>
      </c>
      <c r="G350" s="182"/>
      <c r="H350" s="170">
        <f>'[1]التعليم الابتدائي'!AH644</f>
        <v>0</v>
      </c>
      <c r="I350" s="182"/>
      <c r="J350" s="170">
        <f>'[1]التعليم الابتدائي'!AJ644</f>
        <v>0</v>
      </c>
      <c r="K350" s="182"/>
      <c r="L350" s="170">
        <f>'[1]التعليم الابتدائي'!AL644</f>
        <v>0</v>
      </c>
      <c r="M350" s="182"/>
      <c r="N350" s="170">
        <f>L350+J350+H350+F350+D350+B350</f>
        <v>0</v>
      </c>
      <c r="O350" s="181"/>
      <c r="P350" s="193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1"/>
      <c r="KG350" s="1"/>
      <c r="KH350" s="1"/>
      <c r="KI350" s="1"/>
      <c r="KJ350" s="1"/>
      <c r="KK350" s="1"/>
      <c r="KL350" s="1"/>
      <c r="KM350" s="1"/>
      <c r="KN350" s="1"/>
      <c r="KO350" s="1"/>
      <c r="KP350" s="1"/>
      <c r="KQ350" s="1"/>
      <c r="KR350" s="1"/>
      <c r="KS350" s="1"/>
      <c r="KT350" s="1"/>
      <c r="KU350" s="1"/>
      <c r="KV350" s="1"/>
      <c r="KW350" s="1"/>
      <c r="KX350" s="1"/>
      <c r="KY350" s="1"/>
      <c r="KZ350" s="1"/>
      <c r="LA350" s="1"/>
      <c r="LB350" s="1"/>
      <c r="LC350" s="1"/>
      <c r="LD350" s="1"/>
      <c r="LE350" s="1"/>
      <c r="LF350" s="1"/>
      <c r="LG350" s="1"/>
      <c r="LH350" s="1"/>
      <c r="LI350" s="1"/>
      <c r="LJ350" s="1"/>
      <c r="LK350" s="1"/>
      <c r="LL350" s="1"/>
      <c r="LM350" s="1"/>
      <c r="LN350" s="1"/>
      <c r="LO350" s="1"/>
      <c r="LP350" s="1"/>
      <c r="LQ350" s="1"/>
      <c r="LR350" s="1"/>
      <c r="LS350" s="1"/>
      <c r="LT350" s="1"/>
      <c r="LU350" s="1"/>
      <c r="LV350" s="1"/>
      <c r="LW350" s="1"/>
      <c r="LX350" s="1"/>
      <c r="LY350" s="1"/>
      <c r="LZ350" s="1"/>
      <c r="MA350" s="1"/>
      <c r="MB350" s="1"/>
      <c r="MC350" s="1"/>
      <c r="MD350" s="1"/>
      <c r="ME350" s="1"/>
      <c r="MF350" s="1"/>
      <c r="MG350" s="1"/>
      <c r="MH350" s="1"/>
      <c r="MI350" s="1"/>
      <c r="MJ350" s="1"/>
      <c r="MK350" s="1"/>
      <c r="ML350" s="1"/>
      <c r="MM350" s="1"/>
      <c r="MN350" s="1"/>
      <c r="MO350" s="1"/>
      <c r="MP350" s="1"/>
      <c r="MQ350" s="1"/>
      <c r="MR350" s="1"/>
      <c r="MS350" s="1"/>
      <c r="MT350" s="1"/>
      <c r="MU350" s="1"/>
      <c r="MV350" s="1"/>
      <c r="MW350" s="1"/>
      <c r="MX350" s="1"/>
      <c r="MY350" s="1"/>
      <c r="MZ350" s="1"/>
      <c r="NA350" s="1"/>
      <c r="NB350" s="1"/>
      <c r="NC350" s="1"/>
      <c r="ND350" s="1"/>
      <c r="NE350" s="1"/>
      <c r="NF350" s="1"/>
      <c r="NG350" s="1"/>
      <c r="NH350" s="1"/>
      <c r="NI350" s="1"/>
      <c r="NJ350" s="1"/>
      <c r="NK350" s="1"/>
      <c r="NL350" s="1"/>
      <c r="NM350" s="1"/>
      <c r="NN350" s="1"/>
      <c r="NO350" s="1"/>
      <c r="NP350" s="1"/>
      <c r="NQ350" s="1"/>
      <c r="NR350" s="1"/>
      <c r="NS350" s="1"/>
      <c r="NT350" s="1"/>
      <c r="NU350" s="1"/>
      <c r="NV350" s="1"/>
      <c r="NW350" s="1"/>
      <c r="NX350" s="1"/>
      <c r="NY350" s="1"/>
      <c r="NZ350" s="1"/>
      <c r="OA350" s="1"/>
      <c r="OB350" s="1"/>
      <c r="OC350" s="1"/>
      <c r="OD350" s="1"/>
      <c r="OE350" s="1"/>
      <c r="OF350" s="1"/>
      <c r="OG350" s="1"/>
      <c r="OH350" s="1"/>
      <c r="OI350" s="1"/>
      <c r="OJ350" s="1"/>
      <c r="OK350" s="1"/>
      <c r="OL350" s="1"/>
      <c r="OM350" s="1"/>
      <c r="ON350" s="1"/>
      <c r="OO350" s="1"/>
      <c r="OP350" s="1"/>
      <c r="OQ350" s="1"/>
      <c r="OR350" s="1"/>
      <c r="OS350" s="1"/>
      <c r="OT350" s="1"/>
      <c r="OU350" s="1"/>
      <c r="OV350" s="1"/>
      <c r="OW350" s="1"/>
      <c r="OX350" s="1"/>
      <c r="OY350" s="1"/>
      <c r="OZ350" s="1"/>
      <c r="PA350" s="1"/>
      <c r="PB350" s="1"/>
      <c r="PC350" s="1"/>
      <c r="PD350" s="1"/>
      <c r="PE350" s="1"/>
      <c r="PF350" s="1"/>
      <c r="PG350" s="1"/>
      <c r="PH350" s="1"/>
      <c r="PI350" s="1"/>
      <c r="PJ350" s="1"/>
      <c r="PK350" s="1"/>
      <c r="PL350" s="1"/>
      <c r="PM350" s="1"/>
      <c r="PN350" s="1"/>
      <c r="PO350" s="1"/>
      <c r="PP350" s="1"/>
      <c r="PQ350" s="1"/>
      <c r="PR350" s="1"/>
      <c r="PS350" s="1"/>
      <c r="PT350" s="1"/>
      <c r="PU350" s="1"/>
      <c r="PV350" s="1"/>
      <c r="PW350" s="1"/>
      <c r="PX350" s="1"/>
      <c r="PY350" s="1"/>
      <c r="PZ350" s="1"/>
      <c r="QA350" s="1"/>
      <c r="QB350" s="1"/>
      <c r="QC350" s="1"/>
      <c r="QD350" s="1"/>
      <c r="QE350" s="1"/>
      <c r="QF350" s="1"/>
      <c r="QG350" s="1"/>
      <c r="QH350" s="1"/>
      <c r="QI350" s="1"/>
      <c r="QJ350" s="1"/>
      <c r="QK350" s="1"/>
      <c r="QL350" s="1"/>
      <c r="QM350" s="1"/>
      <c r="QN350" s="1"/>
      <c r="QO350" s="1"/>
      <c r="QP350" s="1"/>
      <c r="QQ350" s="1"/>
      <c r="QR350" s="1"/>
      <c r="QS350" s="1"/>
      <c r="QT350" s="1"/>
      <c r="QU350" s="1"/>
      <c r="QV350" s="1"/>
      <c r="QW350" s="1"/>
      <c r="QX350" s="1"/>
      <c r="QY350" s="1"/>
      <c r="QZ350" s="1"/>
      <c r="RA350" s="1"/>
      <c r="RB350" s="1"/>
      <c r="RC350" s="1"/>
      <c r="RD350" s="1"/>
      <c r="RE350" s="1"/>
      <c r="RF350" s="1"/>
      <c r="RG350" s="1"/>
      <c r="RH350" s="1"/>
      <c r="RI350" s="1"/>
      <c r="RJ350" s="1"/>
      <c r="RK350" s="1"/>
      <c r="RL350" s="1"/>
      <c r="RM350" s="1"/>
      <c r="RN350" s="1"/>
      <c r="RO350" s="1"/>
      <c r="RP350" s="1"/>
      <c r="RQ350" s="1"/>
      <c r="RR350" s="1"/>
      <c r="RS350" s="1"/>
      <c r="RT350" s="1"/>
      <c r="RU350" s="1"/>
      <c r="RV350" s="1"/>
      <c r="RW350" s="1"/>
      <c r="RX350" s="1"/>
      <c r="RY350" s="1"/>
      <c r="RZ350" s="1"/>
      <c r="SA350" s="1"/>
      <c r="SB350" s="1"/>
      <c r="SC350" s="1"/>
      <c r="SD350" s="1"/>
      <c r="SE350" s="1"/>
      <c r="SF350" s="1"/>
      <c r="SG350" s="1"/>
      <c r="SH350" s="1"/>
      <c r="SI350" s="1"/>
      <c r="SJ350" s="1"/>
      <c r="SK350" s="1"/>
      <c r="SL350" s="1"/>
      <c r="SM350" s="1"/>
      <c r="SN350" s="1"/>
      <c r="SO350" s="1"/>
      <c r="SP350" s="1"/>
      <c r="SQ350" s="1"/>
      <c r="SR350" s="1"/>
      <c r="SS350" s="1"/>
      <c r="ST350" s="1"/>
      <c r="SU350" s="1"/>
      <c r="SV350" s="1"/>
      <c r="SW350" s="1"/>
      <c r="SX350" s="1"/>
      <c r="SY350" s="1"/>
      <c r="SZ350" s="1"/>
      <c r="TA350" s="1"/>
      <c r="TB350" s="1"/>
      <c r="TC350" s="1"/>
      <c r="TD350" s="1"/>
      <c r="TE350" s="1"/>
      <c r="TF350" s="1"/>
      <c r="TG350" s="1"/>
      <c r="TH350" s="1"/>
      <c r="TI350" s="1"/>
      <c r="TJ350" s="1"/>
      <c r="TK350" s="1"/>
      <c r="TL350" s="1"/>
      <c r="TM350" s="1"/>
      <c r="TN350" s="1"/>
      <c r="TO350" s="1"/>
      <c r="TP350" s="1"/>
      <c r="TQ350" s="1"/>
      <c r="TR350" s="1"/>
      <c r="TS350" s="1"/>
      <c r="TT350" s="1"/>
      <c r="TU350" s="1"/>
      <c r="TV350" s="1"/>
      <c r="TW350" s="1"/>
      <c r="TX350" s="1"/>
      <c r="TY350" s="1"/>
      <c r="TZ350" s="1"/>
      <c r="UA350" s="1"/>
      <c r="UB350" s="1"/>
      <c r="UC350" s="1"/>
      <c r="UD350" s="1"/>
      <c r="UE350" s="1"/>
      <c r="UF350" s="1"/>
      <c r="UG350" s="1"/>
      <c r="UH350" s="1"/>
      <c r="UI350" s="1"/>
      <c r="UJ350" s="1"/>
      <c r="UK350" s="1"/>
      <c r="UL350" s="1"/>
      <c r="UM350" s="1"/>
      <c r="UN350" s="1"/>
      <c r="UO350" s="1"/>
      <c r="UP350" s="1"/>
      <c r="UQ350" s="1"/>
      <c r="UR350" s="1"/>
      <c r="US350" s="1"/>
      <c r="UT350" s="1"/>
      <c r="UU350" s="1"/>
      <c r="UV350" s="1"/>
      <c r="UW350" s="1"/>
      <c r="UX350" s="1"/>
      <c r="UY350" s="1"/>
      <c r="UZ350" s="1"/>
      <c r="VA350" s="1"/>
      <c r="VB350" s="1"/>
      <c r="VC350" s="1"/>
      <c r="VD350" s="1"/>
      <c r="VE350" s="1"/>
      <c r="VF350" s="1"/>
      <c r="VG350" s="1"/>
      <c r="VH350" s="1"/>
      <c r="VI350" s="1"/>
      <c r="VJ350" s="1"/>
      <c r="VK350" s="1"/>
      <c r="VL350" s="1"/>
      <c r="VM350" s="1"/>
      <c r="VN350" s="1"/>
      <c r="VO350" s="1"/>
      <c r="VP350" s="1"/>
      <c r="VQ350" s="1"/>
      <c r="VR350" s="1"/>
      <c r="VS350" s="1"/>
      <c r="VT350" s="1"/>
      <c r="VU350" s="1"/>
      <c r="VV350" s="1"/>
      <c r="VW350" s="1"/>
      <c r="VX350" s="1"/>
      <c r="VY350" s="1"/>
      <c r="VZ350" s="1"/>
      <c r="WA350" s="1"/>
      <c r="WB350" s="1"/>
      <c r="WC350" s="1"/>
      <c r="WD350" s="1"/>
      <c r="WE350" s="1"/>
      <c r="WF350" s="1"/>
      <c r="WG350" s="1"/>
      <c r="WH350" s="1"/>
      <c r="WI350" s="1"/>
      <c r="WJ350" s="1"/>
      <c r="WK350" s="1"/>
      <c r="WL350" s="1"/>
      <c r="WM350" s="1"/>
      <c r="WN350" s="1"/>
      <c r="WO350" s="1"/>
      <c r="WP350" s="1"/>
      <c r="WQ350" s="1"/>
      <c r="WR350" s="1"/>
      <c r="WS350" s="1"/>
      <c r="WT350" s="1"/>
      <c r="WU350" s="1"/>
      <c r="WV350" s="1"/>
      <c r="WW350" s="1"/>
      <c r="WX350" s="1"/>
      <c r="WY350" s="1"/>
      <c r="WZ350" s="1"/>
      <c r="XA350" s="1"/>
      <c r="XB350" s="1"/>
      <c r="XC350" s="1"/>
      <c r="XD350" s="1"/>
      <c r="XE350" s="1"/>
      <c r="XF350" s="1"/>
      <c r="XG350" s="1"/>
      <c r="XH350" s="1"/>
      <c r="XI350" s="1"/>
      <c r="XJ350" s="1"/>
      <c r="XK350" s="1"/>
      <c r="XL350" s="1"/>
      <c r="XM350" s="1"/>
      <c r="XN350" s="1"/>
      <c r="XO350" s="1"/>
      <c r="XP350" s="1"/>
      <c r="XQ350" s="1"/>
      <c r="XR350" s="1"/>
      <c r="XS350" s="1"/>
      <c r="XT350" s="1"/>
      <c r="XU350" s="1"/>
      <c r="XV350" s="1"/>
      <c r="XW350" s="1"/>
      <c r="XX350" s="1"/>
      <c r="XY350" s="1"/>
      <c r="XZ350" s="1"/>
      <c r="YA350" s="1"/>
      <c r="YB350" s="1"/>
      <c r="YC350" s="1"/>
      <c r="YD350" s="1"/>
      <c r="YE350" s="1"/>
      <c r="YF350" s="1"/>
      <c r="YG350" s="1"/>
      <c r="YH350" s="1"/>
      <c r="YI350" s="1"/>
      <c r="YJ350" s="1"/>
      <c r="YK350" s="1"/>
      <c r="YL350" s="1"/>
      <c r="YM350" s="1"/>
      <c r="YN350" s="1"/>
      <c r="YO350" s="1"/>
      <c r="YP350" s="1"/>
      <c r="YQ350" s="1"/>
      <c r="YR350" s="1"/>
      <c r="YS350" s="1"/>
      <c r="YT350" s="1"/>
      <c r="YU350" s="1"/>
      <c r="YV350" s="1"/>
      <c r="YW350" s="1"/>
      <c r="YX350" s="1"/>
      <c r="YY350" s="1"/>
      <c r="YZ350" s="1"/>
      <c r="ZA350" s="1"/>
      <c r="ZB350" s="1"/>
      <c r="ZC350" s="1"/>
      <c r="ZD350" s="1"/>
      <c r="ZE350" s="1"/>
      <c r="ZF350" s="1"/>
      <c r="ZG350" s="1"/>
      <c r="ZH350" s="1"/>
      <c r="ZI350" s="1"/>
      <c r="ZJ350" s="1"/>
      <c r="ZK350" s="1"/>
      <c r="ZL350" s="1"/>
      <c r="ZM350" s="1"/>
      <c r="ZN350" s="1"/>
      <c r="ZO350" s="1"/>
      <c r="ZP350" s="1"/>
      <c r="ZQ350" s="1"/>
      <c r="ZR350" s="1"/>
      <c r="ZS350" s="1"/>
      <c r="ZT350" s="1"/>
      <c r="ZU350" s="1"/>
      <c r="ZV350" s="1"/>
      <c r="ZW350" s="1"/>
      <c r="ZX350" s="1"/>
      <c r="ZY350" s="1"/>
      <c r="ZZ350" s="1"/>
      <c r="AAA350" s="1"/>
      <c r="AAB350" s="1"/>
      <c r="AAC350" s="1"/>
      <c r="AAD350" s="1"/>
      <c r="AAE350" s="1"/>
      <c r="AAF350" s="1"/>
      <c r="AAG350" s="1"/>
      <c r="AAH350" s="1"/>
      <c r="AAI350" s="1"/>
      <c r="AAJ350" s="1"/>
      <c r="AAK350" s="1"/>
      <c r="AAL350" s="1"/>
      <c r="AAM350" s="1"/>
      <c r="AAN350" s="1"/>
      <c r="AAO350" s="1"/>
      <c r="AAP350" s="1"/>
      <c r="AAQ350" s="1"/>
      <c r="AAR350" s="1"/>
      <c r="AAS350" s="1"/>
      <c r="AAT350" s="1"/>
      <c r="AAU350" s="1"/>
      <c r="AAV350" s="1"/>
      <c r="AAW350" s="1"/>
      <c r="AAX350" s="1"/>
      <c r="AAY350" s="1"/>
      <c r="AAZ350" s="1"/>
      <c r="ABA350" s="1"/>
      <c r="ABB350" s="1"/>
      <c r="ABC350" s="1"/>
      <c r="ABD350" s="1"/>
      <c r="ABE350" s="1"/>
      <c r="ABF350" s="1"/>
      <c r="ABG350" s="1"/>
      <c r="ABH350" s="1"/>
      <c r="ABI350" s="1"/>
      <c r="ABJ350" s="1"/>
      <c r="ABK350" s="1"/>
      <c r="ABL350" s="1"/>
      <c r="ABM350" s="1"/>
      <c r="ABN350" s="1"/>
      <c r="ABO350" s="1"/>
      <c r="ABP350" s="1"/>
      <c r="ABQ350" s="1"/>
      <c r="ABR350" s="1"/>
      <c r="ABS350" s="1"/>
      <c r="ABT350" s="1"/>
      <c r="ABU350" s="1"/>
      <c r="ABV350" s="1"/>
      <c r="ABW350" s="1"/>
      <c r="ABX350" s="1"/>
      <c r="ABY350" s="1"/>
      <c r="ABZ350" s="1"/>
      <c r="ACA350" s="1"/>
      <c r="ACB350" s="1"/>
      <c r="ACC350" s="1"/>
      <c r="ACD350" s="1"/>
      <c r="ACE350" s="1"/>
      <c r="ACF350" s="1"/>
      <c r="ACG350" s="1"/>
      <c r="ACH350" s="1"/>
      <c r="ACI350" s="1"/>
      <c r="ACJ350" s="1"/>
      <c r="ACK350" s="1"/>
      <c r="ACL350" s="1"/>
      <c r="ACM350" s="1"/>
      <c r="ACN350" s="1"/>
      <c r="ACO350" s="1"/>
      <c r="ACP350" s="1"/>
      <c r="ACQ350" s="1"/>
      <c r="ACR350" s="1"/>
      <c r="ACS350" s="1"/>
      <c r="ACT350" s="1"/>
      <c r="ACU350" s="1"/>
      <c r="ACV350" s="1"/>
      <c r="ACW350" s="1"/>
      <c r="ACX350" s="1"/>
      <c r="ACY350" s="1"/>
      <c r="ACZ350" s="1"/>
      <c r="ADA350" s="1"/>
      <c r="ADB350" s="1"/>
      <c r="ADC350" s="1"/>
      <c r="ADD350" s="1"/>
      <c r="ADE350" s="1"/>
      <c r="ADF350" s="1"/>
      <c r="ADG350" s="1"/>
      <c r="ADH350" s="1"/>
      <c r="ADI350" s="1"/>
      <c r="ADJ350" s="1"/>
      <c r="ADK350" s="1"/>
      <c r="ADL350" s="1"/>
      <c r="ADM350" s="1"/>
      <c r="ADN350" s="1"/>
      <c r="ADO350" s="1"/>
      <c r="ADP350" s="1"/>
      <c r="ADQ350" s="1"/>
      <c r="ADR350" s="1"/>
      <c r="ADS350" s="1"/>
      <c r="ADT350" s="1"/>
      <c r="ADU350" s="1"/>
      <c r="ADV350" s="1"/>
      <c r="ADW350" s="1"/>
      <c r="ADX350" s="1"/>
      <c r="ADY350" s="1"/>
      <c r="ADZ350" s="1"/>
      <c r="AEA350" s="1"/>
      <c r="AEB350" s="1"/>
      <c r="AEC350" s="1"/>
      <c r="AED350" s="1"/>
      <c r="AEE350" s="1"/>
      <c r="AEF350" s="1"/>
      <c r="AEG350" s="1"/>
      <c r="AEH350" s="1"/>
      <c r="AEI350" s="1"/>
      <c r="AEJ350" s="1"/>
      <c r="AEK350" s="1"/>
      <c r="AEL350" s="1"/>
      <c r="AEM350" s="1"/>
      <c r="AEN350" s="1"/>
      <c r="AEO350" s="1"/>
      <c r="AEP350" s="1"/>
      <c r="AEQ350" s="1"/>
      <c r="AER350" s="1"/>
      <c r="AES350" s="1"/>
      <c r="AET350" s="1"/>
      <c r="AEU350" s="1"/>
      <c r="AEV350" s="1"/>
      <c r="AEW350" s="1"/>
      <c r="AEX350" s="1"/>
      <c r="AEY350" s="1"/>
      <c r="AEZ350" s="1"/>
      <c r="AFA350" s="1"/>
      <c r="AFB350" s="1"/>
      <c r="AFC350" s="1"/>
      <c r="AFD350" s="1"/>
      <c r="AFE350" s="1"/>
      <c r="AFF350" s="1"/>
      <c r="AFG350" s="1"/>
      <c r="AFH350" s="1"/>
      <c r="AFI350" s="1"/>
      <c r="AFJ350" s="1"/>
      <c r="AFK350" s="1"/>
      <c r="AFL350" s="1"/>
      <c r="AFM350" s="1"/>
      <c r="AFN350" s="1"/>
      <c r="AFO350" s="1"/>
      <c r="AFP350" s="1"/>
      <c r="AFQ350" s="1"/>
      <c r="AFR350" s="1"/>
      <c r="AFS350" s="1"/>
      <c r="AFT350" s="1"/>
      <c r="AFU350" s="1"/>
      <c r="AFV350" s="1"/>
      <c r="AFW350" s="1"/>
      <c r="AFX350" s="1"/>
      <c r="AFY350" s="1"/>
      <c r="AFZ350" s="1"/>
      <c r="AGA350" s="1"/>
      <c r="AGB350" s="1"/>
      <c r="AGC350" s="1"/>
      <c r="AGD350" s="1"/>
      <c r="AGE350" s="1"/>
      <c r="AGF350" s="1"/>
      <c r="AGG350" s="1"/>
      <c r="AGH350" s="1"/>
      <c r="AGI350" s="1"/>
      <c r="AGJ350" s="1"/>
      <c r="AGK350" s="1"/>
      <c r="AGL350" s="1"/>
      <c r="AGM350" s="1"/>
      <c r="AGN350" s="1"/>
      <c r="AGO350" s="1"/>
      <c r="AGP350" s="1"/>
      <c r="AGQ350" s="1"/>
      <c r="AGR350" s="1"/>
      <c r="AGS350" s="1"/>
      <c r="AGT350" s="1"/>
      <c r="AGU350" s="1"/>
      <c r="AGV350" s="1"/>
      <c r="AGW350" s="1"/>
      <c r="AGX350" s="1"/>
      <c r="AGY350" s="1"/>
      <c r="AGZ350" s="1"/>
      <c r="AHA350" s="1"/>
      <c r="AHB350" s="1"/>
      <c r="AHC350" s="1"/>
      <c r="AHD350" s="1"/>
      <c r="AHE350" s="1"/>
      <c r="AHF350" s="1"/>
      <c r="AHG350" s="1"/>
      <c r="AHH350" s="1"/>
      <c r="AHI350" s="1"/>
      <c r="AHJ350" s="1"/>
      <c r="AHK350" s="1"/>
      <c r="AHL350" s="1"/>
      <c r="AHM350" s="1"/>
      <c r="AHN350" s="1"/>
      <c r="AHO350" s="1"/>
      <c r="AHP350" s="1"/>
      <c r="AHQ350" s="1"/>
      <c r="AHR350" s="1"/>
      <c r="AHS350" s="1"/>
      <c r="AHT350" s="1"/>
      <c r="AHU350" s="1"/>
      <c r="AHV350" s="1"/>
      <c r="AHW350" s="1"/>
      <c r="AHX350" s="1"/>
      <c r="AHY350" s="1"/>
    </row>
    <row r="351" spans="1:909" s="5" customFormat="1" ht="22.2" thickTop="1" thickBot="1">
      <c r="A351" s="6" t="s">
        <v>110</v>
      </c>
      <c r="B351" s="194">
        <f>SUM(B349:B350)</f>
        <v>0</v>
      </c>
      <c r="C351" s="195"/>
      <c r="D351" s="194">
        <f>SUM(D349:D350)</f>
        <v>0</v>
      </c>
      <c r="E351" s="195"/>
      <c r="F351" s="194">
        <f>SUM(F349:F350)</f>
        <v>0</v>
      </c>
      <c r="G351" s="195"/>
      <c r="H351" s="194">
        <f>SUM(H349:H350)</f>
        <v>0</v>
      </c>
      <c r="I351" s="195"/>
      <c r="J351" s="194">
        <f>SUM(J349:J350)</f>
        <v>0</v>
      </c>
      <c r="K351" s="195"/>
      <c r="L351" s="194">
        <f>SUM(L349:L350)</f>
        <v>0</v>
      </c>
      <c r="M351" s="195"/>
      <c r="N351" s="194">
        <f>L351+J351+H351+F351+D351+B351</f>
        <v>0</v>
      </c>
      <c r="O351" s="196"/>
      <c r="P351" s="197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s="1"/>
      <c r="JX351" s="1"/>
      <c r="JY351" s="1"/>
      <c r="JZ351" s="1"/>
      <c r="KA351" s="1"/>
      <c r="KB351" s="1"/>
      <c r="KC351" s="1"/>
      <c r="KD351" s="1"/>
      <c r="KE351" s="1"/>
      <c r="KF351" s="1"/>
      <c r="KG351" s="1"/>
      <c r="KH351" s="1"/>
      <c r="KI351" s="1"/>
      <c r="KJ351" s="1"/>
      <c r="KK351" s="1"/>
      <c r="KL351" s="1"/>
      <c r="KM351" s="1"/>
      <c r="KN351" s="1"/>
      <c r="KO351" s="1"/>
      <c r="KP351" s="1"/>
      <c r="KQ351" s="1"/>
      <c r="KR351" s="1"/>
      <c r="KS351" s="1"/>
      <c r="KT351" s="1"/>
      <c r="KU351" s="1"/>
      <c r="KV351" s="1"/>
      <c r="KW351" s="1"/>
      <c r="KX351" s="1"/>
      <c r="KY351" s="1"/>
      <c r="KZ351" s="1"/>
      <c r="LA351" s="1"/>
      <c r="LB351" s="1"/>
      <c r="LC351" s="1"/>
      <c r="LD351" s="1"/>
      <c r="LE351" s="1"/>
      <c r="LF351" s="1"/>
      <c r="LG351" s="1"/>
      <c r="LH351" s="1"/>
      <c r="LI351" s="1"/>
      <c r="LJ351" s="1"/>
      <c r="LK351" s="1"/>
      <c r="LL351" s="1"/>
      <c r="LM351" s="1"/>
      <c r="LN351" s="1"/>
      <c r="LO351" s="1"/>
      <c r="LP351" s="1"/>
      <c r="LQ351" s="1"/>
      <c r="LR351" s="1"/>
      <c r="LS351" s="1"/>
      <c r="LT351" s="1"/>
      <c r="LU351" s="1"/>
      <c r="LV351" s="1"/>
      <c r="LW351" s="1"/>
      <c r="LX351" s="1"/>
      <c r="LY351" s="1"/>
      <c r="LZ351" s="1"/>
      <c r="MA351" s="1"/>
      <c r="MB351" s="1"/>
      <c r="MC351" s="1"/>
      <c r="MD351" s="1"/>
      <c r="ME351" s="1"/>
      <c r="MF351" s="1"/>
      <c r="MG351" s="1"/>
      <c r="MH351" s="1"/>
      <c r="MI351" s="1"/>
      <c r="MJ351" s="1"/>
      <c r="MK351" s="1"/>
      <c r="ML351" s="1"/>
      <c r="MM351" s="1"/>
      <c r="MN351" s="1"/>
      <c r="MO351" s="1"/>
      <c r="MP351" s="1"/>
      <c r="MQ351" s="1"/>
      <c r="MR351" s="1"/>
      <c r="MS351" s="1"/>
      <c r="MT351" s="1"/>
      <c r="MU351" s="1"/>
      <c r="MV351" s="1"/>
      <c r="MW351" s="1"/>
      <c r="MX351" s="1"/>
      <c r="MY351" s="1"/>
      <c r="MZ351" s="1"/>
      <c r="NA351" s="1"/>
      <c r="NB351" s="1"/>
      <c r="NC351" s="1"/>
      <c r="ND351" s="1"/>
      <c r="NE351" s="1"/>
      <c r="NF351" s="1"/>
      <c r="NG351" s="1"/>
      <c r="NH351" s="1"/>
      <c r="NI351" s="1"/>
      <c r="NJ351" s="1"/>
      <c r="NK351" s="1"/>
      <c r="NL351" s="1"/>
      <c r="NM351" s="1"/>
      <c r="NN351" s="1"/>
      <c r="NO351" s="1"/>
      <c r="NP351" s="1"/>
      <c r="NQ351" s="1"/>
      <c r="NR351" s="1"/>
      <c r="NS351" s="1"/>
      <c r="NT351" s="1"/>
      <c r="NU351" s="1"/>
      <c r="NV351" s="1"/>
      <c r="NW351" s="1"/>
      <c r="NX351" s="1"/>
      <c r="NY351" s="1"/>
      <c r="NZ351" s="1"/>
      <c r="OA351" s="1"/>
      <c r="OB351" s="1"/>
      <c r="OC351" s="1"/>
      <c r="OD351" s="1"/>
      <c r="OE351" s="1"/>
      <c r="OF351" s="1"/>
      <c r="OG351" s="1"/>
      <c r="OH351" s="1"/>
      <c r="OI351" s="1"/>
      <c r="OJ351" s="1"/>
      <c r="OK351" s="1"/>
      <c r="OL351" s="1"/>
      <c r="OM351" s="1"/>
      <c r="ON351" s="1"/>
      <c r="OO351" s="1"/>
      <c r="OP351" s="1"/>
      <c r="OQ351" s="1"/>
      <c r="OR351" s="1"/>
      <c r="OS351" s="1"/>
      <c r="OT351" s="1"/>
      <c r="OU351" s="1"/>
      <c r="OV351" s="1"/>
      <c r="OW351" s="1"/>
      <c r="OX351" s="1"/>
      <c r="OY351" s="1"/>
      <c r="OZ351" s="1"/>
      <c r="PA351" s="1"/>
      <c r="PB351" s="1"/>
      <c r="PC351" s="1"/>
      <c r="PD351" s="1"/>
      <c r="PE351" s="1"/>
      <c r="PF351" s="1"/>
      <c r="PG351" s="1"/>
      <c r="PH351" s="1"/>
      <c r="PI351" s="1"/>
      <c r="PJ351" s="1"/>
      <c r="PK351" s="1"/>
      <c r="PL351" s="1"/>
      <c r="PM351" s="1"/>
      <c r="PN351" s="1"/>
      <c r="PO351" s="1"/>
      <c r="PP351" s="1"/>
      <c r="PQ351" s="1"/>
      <c r="PR351" s="1"/>
      <c r="PS351" s="1"/>
      <c r="PT351" s="1"/>
      <c r="PU351" s="1"/>
      <c r="PV351" s="1"/>
      <c r="PW351" s="1"/>
      <c r="PX351" s="1"/>
      <c r="PY351" s="1"/>
      <c r="PZ351" s="1"/>
      <c r="QA351" s="1"/>
      <c r="QB351" s="1"/>
      <c r="QC351" s="1"/>
      <c r="QD351" s="1"/>
      <c r="QE351" s="1"/>
      <c r="QF351" s="1"/>
      <c r="QG351" s="1"/>
      <c r="QH351" s="1"/>
      <c r="QI351" s="1"/>
      <c r="QJ351" s="1"/>
      <c r="QK351" s="1"/>
      <c r="QL351" s="1"/>
      <c r="QM351" s="1"/>
      <c r="QN351" s="1"/>
      <c r="QO351" s="1"/>
      <c r="QP351" s="1"/>
      <c r="QQ351" s="1"/>
      <c r="QR351" s="1"/>
      <c r="QS351" s="1"/>
      <c r="QT351" s="1"/>
      <c r="QU351" s="1"/>
      <c r="QV351" s="1"/>
      <c r="QW351" s="1"/>
      <c r="QX351" s="1"/>
      <c r="QY351" s="1"/>
      <c r="QZ351" s="1"/>
      <c r="RA351" s="1"/>
      <c r="RB351" s="1"/>
      <c r="RC351" s="1"/>
      <c r="RD351" s="1"/>
      <c r="RE351" s="1"/>
      <c r="RF351" s="1"/>
      <c r="RG351" s="1"/>
      <c r="RH351" s="1"/>
      <c r="RI351" s="1"/>
      <c r="RJ351" s="1"/>
      <c r="RK351" s="1"/>
      <c r="RL351" s="1"/>
      <c r="RM351" s="1"/>
      <c r="RN351" s="1"/>
      <c r="RO351" s="1"/>
      <c r="RP351" s="1"/>
      <c r="RQ351" s="1"/>
      <c r="RR351" s="1"/>
      <c r="RS351" s="1"/>
      <c r="RT351" s="1"/>
      <c r="RU351" s="1"/>
      <c r="RV351" s="1"/>
      <c r="RW351" s="1"/>
      <c r="RX351" s="1"/>
      <c r="RY351" s="1"/>
      <c r="RZ351" s="1"/>
      <c r="SA351" s="1"/>
      <c r="SB351" s="1"/>
      <c r="SC351" s="1"/>
      <c r="SD351" s="1"/>
      <c r="SE351" s="1"/>
      <c r="SF351" s="1"/>
      <c r="SG351" s="1"/>
      <c r="SH351" s="1"/>
      <c r="SI351" s="1"/>
      <c r="SJ351" s="1"/>
      <c r="SK351" s="1"/>
      <c r="SL351" s="1"/>
      <c r="SM351" s="1"/>
      <c r="SN351" s="1"/>
      <c r="SO351" s="1"/>
      <c r="SP351" s="1"/>
      <c r="SQ351" s="1"/>
      <c r="SR351" s="1"/>
      <c r="SS351" s="1"/>
      <c r="ST351" s="1"/>
      <c r="SU351" s="1"/>
      <c r="SV351" s="1"/>
      <c r="SW351" s="1"/>
      <c r="SX351" s="1"/>
      <c r="SY351" s="1"/>
      <c r="SZ351" s="1"/>
      <c r="TA351" s="1"/>
      <c r="TB351" s="1"/>
      <c r="TC351" s="1"/>
      <c r="TD351" s="1"/>
      <c r="TE351" s="1"/>
      <c r="TF351" s="1"/>
      <c r="TG351" s="1"/>
      <c r="TH351" s="1"/>
      <c r="TI351" s="1"/>
      <c r="TJ351" s="1"/>
      <c r="TK351" s="1"/>
      <c r="TL351" s="1"/>
      <c r="TM351" s="1"/>
      <c r="TN351" s="1"/>
      <c r="TO351" s="1"/>
      <c r="TP351" s="1"/>
      <c r="TQ351" s="1"/>
      <c r="TR351" s="1"/>
      <c r="TS351" s="1"/>
      <c r="TT351" s="1"/>
      <c r="TU351" s="1"/>
      <c r="TV351" s="1"/>
      <c r="TW351" s="1"/>
      <c r="TX351" s="1"/>
      <c r="TY351" s="1"/>
      <c r="TZ351" s="1"/>
      <c r="UA351" s="1"/>
      <c r="UB351" s="1"/>
      <c r="UC351" s="1"/>
      <c r="UD351" s="1"/>
      <c r="UE351" s="1"/>
      <c r="UF351" s="1"/>
      <c r="UG351" s="1"/>
      <c r="UH351" s="1"/>
      <c r="UI351" s="1"/>
      <c r="UJ351" s="1"/>
      <c r="UK351" s="1"/>
      <c r="UL351" s="1"/>
      <c r="UM351" s="1"/>
      <c r="UN351" s="1"/>
      <c r="UO351" s="1"/>
      <c r="UP351" s="1"/>
      <c r="UQ351" s="1"/>
      <c r="UR351" s="1"/>
      <c r="US351" s="1"/>
      <c r="UT351" s="1"/>
      <c r="UU351" s="1"/>
      <c r="UV351" s="1"/>
      <c r="UW351" s="1"/>
      <c r="UX351" s="1"/>
      <c r="UY351" s="1"/>
      <c r="UZ351" s="1"/>
      <c r="VA351" s="1"/>
      <c r="VB351" s="1"/>
      <c r="VC351" s="1"/>
      <c r="VD351" s="1"/>
      <c r="VE351" s="1"/>
      <c r="VF351" s="1"/>
      <c r="VG351" s="1"/>
      <c r="VH351" s="1"/>
      <c r="VI351" s="1"/>
      <c r="VJ351" s="1"/>
      <c r="VK351" s="1"/>
      <c r="VL351" s="1"/>
      <c r="VM351" s="1"/>
      <c r="VN351" s="1"/>
      <c r="VO351" s="1"/>
      <c r="VP351" s="1"/>
      <c r="VQ351" s="1"/>
      <c r="VR351" s="1"/>
      <c r="VS351" s="1"/>
      <c r="VT351" s="1"/>
      <c r="VU351" s="1"/>
      <c r="VV351" s="1"/>
      <c r="VW351" s="1"/>
      <c r="VX351" s="1"/>
      <c r="VY351" s="1"/>
      <c r="VZ351" s="1"/>
      <c r="WA351" s="1"/>
      <c r="WB351" s="1"/>
      <c r="WC351" s="1"/>
      <c r="WD351" s="1"/>
      <c r="WE351" s="1"/>
      <c r="WF351" s="1"/>
      <c r="WG351" s="1"/>
      <c r="WH351" s="1"/>
      <c r="WI351" s="1"/>
      <c r="WJ351" s="1"/>
      <c r="WK351" s="1"/>
      <c r="WL351" s="1"/>
      <c r="WM351" s="1"/>
      <c r="WN351" s="1"/>
      <c r="WO351" s="1"/>
      <c r="WP351" s="1"/>
      <c r="WQ351" s="1"/>
      <c r="WR351" s="1"/>
      <c r="WS351" s="1"/>
      <c r="WT351" s="1"/>
      <c r="WU351" s="1"/>
      <c r="WV351" s="1"/>
      <c r="WW351" s="1"/>
      <c r="WX351" s="1"/>
      <c r="WY351" s="1"/>
      <c r="WZ351" s="1"/>
      <c r="XA351" s="1"/>
      <c r="XB351" s="1"/>
      <c r="XC351" s="1"/>
      <c r="XD351" s="1"/>
      <c r="XE351" s="1"/>
      <c r="XF351" s="1"/>
      <c r="XG351" s="1"/>
      <c r="XH351" s="1"/>
      <c r="XI351" s="1"/>
      <c r="XJ351" s="1"/>
      <c r="XK351" s="1"/>
      <c r="XL351" s="1"/>
      <c r="XM351" s="1"/>
      <c r="XN351" s="1"/>
      <c r="XO351" s="1"/>
      <c r="XP351" s="1"/>
      <c r="XQ351" s="1"/>
      <c r="XR351" s="1"/>
      <c r="XS351" s="1"/>
      <c r="XT351" s="1"/>
      <c r="XU351" s="1"/>
      <c r="XV351" s="1"/>
      <c r="XW351" s="1"/>
      <c r="XX351" s="1"/>
      <c r="XY351" s="1"/>
      <c r="XZ351" s="1"/>
      <c r="YA351" s="1"/>
      <c r="YB351" s="1"/>
      <c r="YC351" s="1"/>
      <c r="YD351" s="1"/>
      <c r="YE351" s="1"/>
      <c r="YF351" s="1"/>
      <c r="YG351" s="1"/>
      <c r="YH351" s="1"/>
      <c r="YI351" s="1"/>
      <c r="YJ351" s="1"/>
      <c r="YK351" s="1"/>
      <c r="YL351" s="1"/>
      <c r="YM351" s="1"/>
      <c r="YN351" s="1"/>
      <c r="YO351" s="1"/>
      <c r="YP351" s="1"/>
      <c r="YQ351" s="1"/>
      <c r="YR351" s="1"/>
      <c r="YS351" s="1"/>
      <c r="YT351" s="1"/>
      <c r="YU351" s="1"/>
      <c r="YV351" s="1"/>
      <c r="YW351" s="1"/>
      <c r="YX351" s="1"/>
      <c r="YY351" s="1"/>
      <c r="YZ351" s="1"/>
      <c r="ZA351" s="1"/>
      <c r="ZB351" s="1"/>
      <c r="ZC351" s="1"/>
      <c r="ZD351" s="1"/>
      <c r="ZE351" s="1"/>
      <c r="ZF351" s="1"/>
      <c r="ZG351" s="1"/>
      <c r="ZH351" s="1"/>
      <c r="ZI351" s="1"/>
      <c r="ZJ351" s="1"/>
      <c r="ZK351" s="1"/>
      <c r="ZL351" s="1"/>
      <c r="ZM351" s="1"/>
      <c r="ZN351" s="1"/>
      <c r="ZO351" s="1"/>
      <c r="ZP351" s="1"/>
      <c r="ZQ351" s="1"/>
      <c r="ZR351" s="1"/>
      <c r="ZS351" s="1"/>
      <c r="ZT351" s="1"/>
      <c r="ZU351" s="1"/>
      <c r="ZV351" s="1"/>
      <c r="ZW351" s="1"/>
      <c r="ZX351" s="1"/>
      <c r="ZY351" s="1"/>
      <c r="ZZ351" s="1"/>
      <c r="AAA351" s="1"/>
      <c r="AAB351" s="1"/>
      <c r="AAC351" s="1"/>
      <c r="AAD351" s="1"/>
      <c r="AAE351" s="1"/>
      <c r="AAF351" s="1"/>
      <c r="AAG351" s="1"/>
      <c r="AAH351" s="1"/>
      <c r="AAI351" s="1"/>
      <c r="AAJ351" s="1"/>
      <c r="AAK351" s="1"/>
      <c r="AAL351" s="1"/>
      <c r="AAM351" s="1"/>
      <c r="AAN351" s="1"/>
      <c r="AAO351" s="1"/>
      <c r="AAP351" s="1"/>
      <c r="AAQ351" s="1"/>
      <c r="AAR351" s="1"/>
      <c r="AAS351" s="1"/>
      <c r="AAT351" s="1"/>
      <c r="AAU351" s="1"/>
      <c r="AAV351" s="1"/>
      <c r="AAW351" s="1"/>
      <c r="AAX351" s="1"/>
      <c r="AAY351" s="1"/>
      <c r="AAZ351" s="1"/>
      <c r="ABA351" s="1"/>
      <c r="ABB351" s="1"/>
      <c r="ABC351" s="1"/>
      <c r="ABD351" s="1"/>
      <c r="ABE351" s="1"/>
      <c r="ABF351" s="1"/>
      <c r="ABG351" s="1"/>
      <c r="ABH351" s="1"/>
      <c r="ABI351" s="1"/>
      <c r="ABJ351" s="1"/>
      <c r="ABK351" s="1"/>
      <c r="ABL351" s="1"/>
      <c r="ABM351" s="1"/>
      <c r="ABN351" s="1"/>
      <c r="ABO351" s="1"/>
      <c r="ABP351" s="1"/>
      <c r="ABQ351" s="1"/>
      <c r="ABR351" s="1"/>
      <c r="ABS351" s="1"/>
      <c r="ABT351" s="1"/>
      <c r="ABU351" s="1"/>
      <c r="ABV351" s="1"/>
      <c r="ABW351" s="1"/>
      <c r="ABX351" s="1"/>
      <c r="ABY351" s="1"/>
      <c r="ABZ351" s="1"/>
      <c r="ACA351" s="1"/>
      <c r="ACB351" s="1"/>
      <c r="ACC351" s="1"/>
      <c r="ACD351" s="1"/>
      <c r="ACE351" s="1"/>
      <c r="ACF351" s="1"/>
      <c r="ACG351" s="1"/>
      <c r="ACH351" s="1"/>
      <c r="ACI351" s="1"/>
      <c r="ACJ351" s="1"/>
      <c r="ACK351" s="1"/>
      <c r="ACL351" s="1"/>
      <c r="ACM351" s="1"/>
      <c r="ACN351" s="1"/>
      <c r="ACO351" s="1"/>
      <c r="ACP351" s="1"/>
      <c r="ACQ351" s="1"/>
      <c r="ACR351" s="1"/>
      <c r="ACS351" s="1"/>
      <c r="ACT351" s="1"/>
      <c r="ACU351" s="1"/>
      <c r="ACV351" s="1"/>
      <c r="ACW351" s="1"/>
      <c r="ACX351" s="1"/>
      <c r="ACY351" s="1"/>
      <c r="ACZ351" s="1"/>
      <c r="ADA351" s="1"/>
      <c r="ADB351" s="1"/>
      <c r="ADC351" s="1"/>
      <c r="ADD351" s="1"/>
      <c r="ADE351" s="1"/>
      <c r="ADF351" s="1"/>
      <c r="ADG351" s="1"/>
      <c r="ADH351" s="1"/>
      <c r="ADI351" s="1"/>
      <c r="ADJ351" s="1"/>
      <c r="ADK351" s="1"/>
      <c r="ADL351" s="1"/>
      <c r="ADM351" s="1"/>
      <c r="ADN351" s="1"/>
      <c r="ADO351" s="1"/>
      <c r="ADP351" s="1"/>
      <c r="ADQ351" s="1"/>
      <c r="ADR351" s="1"/>
      <c r="ADS351" s="1"/>
      <c r="ADT351" s="1"/>
      <c r="ADU351" s="1"/>
      <c r="ADV351" s="1"/>
      <c r="ADW351" s="1"/>
      <c r="ADX351" s="1"/>
      <c r="ADY351" s="1"/>
      <c r="ADZ351" s="1"/>
      <c r="AEA351" s="1"/>
      <c r="AEB351" s="1"/>
      <c r="AEC351" s="1"/>
      <c r="AED351" s="1"/>
      <c r="AEE351" s="1"/>
      <c r="AEF351" s="1"/>
      <c r="AEG351" s="1"/>
      <c r="AEH351" s="1"/>
      <c r="AEI351" s="1"/>
      <c r="AEJ351" s="1"/>
      <c r="AEK351" s="1"/>
      <c r="AEL351" s="1"/>
      <c r="AEM351" s="1"/>
      <c r="AEN351" s="1"/>
      <c r="AEO351" s="1"/>
      <c r="AEP351" s="1"/>
      <c r="AEQ351" s="1"/>
      <c r="AER351" s="1"/>
      <c r="AES351" s="1"/>
      <c r="AET351" s="1"/>
      <c r="AEU351" s="1"/>
      <c r="AEV351" s="1"/>
      <c r="AEW351" s="1"/>
      <c r="AEX351" s="1"/>
      <c r="AEY351" s="1"/>
      <c r="AEZ351" s="1"/>
      <c r="AFA351" s="1"/>
      <c r="AFB351" s="1"/>
      <c r="AFC351" s="1"/>
      <c r="AFD351" s="1"/>
      <c r="AFE351" s="1"/>
      <c r="AFF351" s="1"/>
      <c r="AFG351" s="1"/>
      <c r="AFH351" s="1"/>
      <c r="AFI351" s="1"/>
      <c r="AFJ351" s="1"/>
      <c r="AFK351" s="1"/>
      <c r="AFL351" s="1"/>
      <c r="AFM351" s="1"/>
      <c r="AFN351" s="1"/>
      <c r="AFO351" s="1"/>
      <c r="AFP351" s="1"/>
      <c r="AFQ351" s="1"/>
      <c r="AFR351" s="1"/>
      <c r="AFS351" s="1"/>
      <c r="AFT351" s="1"/>
      <c r="AFU351" s="1"/>
      <c r="AFV351" s="1"/>
      <c r="AFW351" s="1"/>
      <c r="AFX351" s="1"/>
      <c r="AFY351" s="1"/>
      <c r="AFZ351" s="1"/>
      <c r="AGA351" s="1"/>
      <c r="AGB351" s="1"/>
      <c r="AGC351" s="1"/>
      <c r="AGD351" s="1"/>
      <c r="AGE351" s="1"/>
      <c r="AGF351" s="1"/>
      <c r="AGG351" s="1"/>
      <c r="AGH351" s="1"/>
      <c r="AGI351" s="1"/>
      <c r="AGJ351" s="1"/>
      <c r="AGK351" s="1"/>
      <c r="AGL351" s="1"/>
      <c r="AGM351" s="1"/>
      <c r="AGN351" s="1"/>
      <c r="AGO351" s="1"/>
      <c r="AGP351" s="1"/>
      <c r="AGQ351" s="1"/>
      <c r="AGR351" s="1"/>
      <c r="AGS351" s="1"/>
      <c r="AGT351" s="1"/>
      <c r="AGU351" s="1"/>
      <c r="AGV351" s="1"/>
      <c r="AGW351" s="1"/>
      <c r="AGX351" s="1"/>
      <c r="AGY351" s="1"/>
      <c r="AGZ351" s="1"/>
      <c r="AHA351" s="1"/>
      <c r="AHB351" s="1"/>
      <c r="AHC351" s="1"/>
      <c r="AHD351" s="1"/>
      <c r="AHE351" s="1"/>
      <c r="AHF351" s="1"/>
      <c r="AHG351" s="1"/>
      <c r="AHH351" s="1"/>
      <c r="AHI351" s="1"/>
      <c r="AHJ351" s="1"/>
      <c r="AHK351" s="1"/>
      <c r="AHL351" s="1"/>
      <c r="AHM351" s="1"/>
      <c r="AHN351" s="1"/>
      <c r="AHO351" s="1"/>
      <c r="AHP351" s="1"/>
      <c r="AHQ351" s="1"/>
      <c r="AHR351" s="1"/>
      <c r="AHS351" s="1"/>
      <c r="AHT351" s="1"/>
      <c r="AHU351" s="1"/>
      <c r="AHV351" s="1"/>
      <c r="AHW351" s="1"/>
      <c r="AHX351" s="1"/>
      <c r="AHY351" s="1"/>
    </row>
    <row r="352" spans="1:909" s="5" customFormat="1" ht="21.6" thickTop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  <c r="JW352" s="1"/>
      <c r="JX352" s="1"/>
      <c r="JY352" s="1"/>
      <c r="JZ352" s="1"/>
      <c r="KA352" s="1"/>
      <c r="KB352" s="1"/>
      <c r="KC352" s="1"/>
      <c r="KD352" s="1"/>
      <c r="KE352" s="1"/>
      <c r="KF352" s="1"/>
      <c r="KG352" s="1"/>
      <c r="KH352" s="1"/>
      <c r="KI352" s="1"/>
      <c r="KJ352" s="1"/>
      <c r="KK352" s="1"/>
      <c r="KL352" s="1"/>
      <c r="KM352" s="1"/>
      <c r="KN352" s="1"/>
      <c r="KO352" s="1"/>
      <c r="KP352" s="1"/>
      <c r="KQ352" s="1"/>
      <c r="KR352" s="1"/>
      <c r="KS352" s="1"/>
      <c r="KT352" s="1"/>
      <c r="KU352" s="1"/>
      <c r="KV352" s="1"/>
      <c r="KW352" s="1"/>
      <c r="KX352" s="1"/>
      <c r="KY352" s="1"/>
      <c r="KZ352" s="1"/>
      <c r="LA352" s="1"/>
      <c r="LB352" s="1"/>
      <c r="LC352" s="1"/>
      <c r="LD352" s="1"/>
      <c r="LE352" s="1"/>
      <c r="LF352" s="1"/>
      <c r="LG352" s="1"/>
      <c r="LH352" s="1"/>
      <c r="LI352" s="1"/>
      <c r="LJ352" s="1"/>
      <c r="LK352" s="1"/>
      <c r="LL352" s="1"/>
      <c r="LM352" s="1"/>
      <c r="LN352" s="1"/>
      <c r="LO352" s="1"/>
      <c r="LP352" s="1"/>
      <c r="LQ352" s="1"/>
      <c r="LR352" s="1"/>
      <c r="LS352" s="1"/>
      <c r="LT352" s="1"/>
      <c r="LU352" s="1"/>
      <c r="LV352" s="1"/>
      <c r="LW352" s="1"/>
      <c r="LX352" s="1"/>
      <c r="LY352" s="1"/>
      <c r="LZ352" s="1"/>
      <c r="MA352" s="1"/>
      <c r="MB352" s="1"/>
      <c r="MC352" s="1"/>
      <c r="MD352" s="1"/>
      <c r="ME352" s="1"/>
      <c r="MF352" s="1"/>
      <c r="MG352" s="1"/>
      <c r="MH352" s="1"/>
      <c r="MI352" s="1"/>
      <c r="MJ352" s="1"/>
      <c r="MK352" s="1"/>
      <c r="ML352" s="1"/>
      <c r="MM352" s="1"/>
      <c r="MN352" s="1"/>
      <c r="MO352" s="1"/>
      <c r="MP352" s="1"/>
      <c r="MQ352" s="1"/>
      <c r="MR352" s="1"/>
      <c r="MS352" s="1"/>
      <c r="MT352" s="1"/>
      <c r="MU352" s="1"/>
      <c r="MV352" s="1"/>
      <c r="MW352" s="1"/>
      <c r="MX352" s="1"/>
      <c r="MY352" s="1"/>
      <c r="MZ352" s="1"/>
      <c r="NA352" s="1"/>
      <c r="NB352" s="1"/>
      <c r="NC352" s="1"/>
      <c r="ND352" s="1"/>
      <c r="NE352" s="1"/>
      <c r="NF352" s="1"/>
      <c r="NG352" s="1"/>
      <c r="NH352" s="1"/>
      <c r="NI352" s="1"/>
      <c r="NJ352" s="1"/>
      <c r="NK352" s="1"/>
      <c r="NL352" s="1"/>
      <c r="NM352" s="1"/>
      <c r="NN352" s="1"/>
      <c r="NO352" s="1"/>
      <c r="NP352" s="1"/>
      <c r="NQ352" s="1"/>
      <c r="NR352" s="1"/>
      <c r="NS352" s="1"/>
      <c r="NT352" s="1"/>
      <c r="NU352" s="1"/>
      <c r="NV352" s="1"/>
      <c r="NW352" s="1"/>
      <c r="NX352" s="1"/>
      <c r="NY352" s="1"/>
      <c r="NZ352" s="1"/>
      <c r="OA352" s="1"/>
      <c r="OB352" s="1"/>
      <c r="OC352" s="1"/>
      <c r="OD352" s="1"/>
      <c r="OE352" s="1"/>
      <c r="OF352" s="1"/>
      <c r="OG352" s="1"/>
      <c r="OH352" s="1"/>
      <c r="OI352" s="1"/>
      <c r="OJ352" s="1"/>
      <c r="OK352" s="1"/>
      <c r="OL352" s="1"/>
      <c r="OM352" s="1"/>
      <c r="ON352" s="1"/>
      <c r="OO352" s="1"/>
      <c r="OP352" s="1"/>
      <c r="OQ352" s="1"/>
      <c r="OR352" s="1"/>
      <c r="OS352" s="1"/>
      <c r="OT352" s="1"/>
      <c r="OU352" s="1"/>
      <c r="OV352" s="1"/>
      <c r="OW352" s="1"/>
      <c r="OX352" s="1"/>
      <c r="OY352" s="1"/>
      <c r="OZ352" s="1"/>
      <c r="PA352" s="1"/>
      <c r="PB352" s="1"/>
      <c r="PC352" s="1"/>
      <c r="PD352" s="1"/>
      <c r="PE352" s="1"/>
      <c r="PF352" s="1"/>
      <c r="PG352" s="1"/>
      <c r="PH352" s="1"/>
      <c r="PI352" s="1"/>
      <c r="PJ352" s="1"/>
      <c r="PK352" s="1"/>
      <c r="PL352" s="1"/>
      <c r="PM352" s="1"/>
      <c r="PN352" s="1"/>
      <c r="PO352" s="1"/>
      <c r="PP352" s="1"/>
      <c r="PQ352" s="1"/>
      <c r="PR352" s="1"/>
      <c r="PS352" s="1"/>
      <c r="PT352" s="1"/>
      <c r="PU352" s="1"/>
      <c r="PV352" s="1"/>
      <c r="PW352" s="1"/>
      <c r="PX352" s="1"/>
      <c r="PY352" s="1"/>
      <c r="PZ352" s="1"/>
      <c r="QA352" s="1"/>
      <c r="QB352" s="1"/>
      <c r="QC352" s="1"/>
      <c r="QD352" s="1"/>
      <c r="QE352" s="1"/>
      <c r="QF352" s="1"/>
      <c r="QG352" s="1"/>
      <c r="QH352" s="1"/>
      <c r="QI352" s="1"/>
      <c r="QJ352" s="1"/>
      <c r="QK352" s="1"/>
      <c r="QL352" s="1"/>
      <c r="QM352" s="1"/>
      <c r="QN352" s="1"/>
      <c r="QO352" s="1"/>
      <c r="QP352" s="1"/>
      <c r="QQ352" s="1"/>
      <c r="QR352" s="1"/>
      <c r="QS352" s="1"/>
      <c r="QT352" s="1"/>
      <c r="QU352" s="1"/>
      <c r="QV352" s="1"/>
      <c r="QW352" s="1"/>
      <c r="QX352" s="1"/>
      <c r="QY352" s="1"/>
      <c r="QZ352" s="1"/>
      <c r="RA352" s="1"/>
      <c r="RB352" s="1"/>
      <c r="RC352" s="1"/>
      <c r="RD352" s="1"/>
      <c r="RE352" s="1"/>
      <c r="RF352" s="1"/>
      <c r="RG352" s="1"/>
      <c r="RH352" s="1"/>
      <c r="RI352" s="1"/>
      <c r="RJ352" s="1"/>
      <c r="RK352" s="1"/>
      <c r="RL352" s="1"/>
      <c r="RM352" s="1"/>
      <c r="RN352" s="1"/>
      <c r="RO352" s="1"/>
      <c r="RP352" s="1"/>
      <c r="RQ352" s="1"/>
      <c r="RR352" s="1"/>
      <c r="RS352" s="1"/>
      <c r="RT352" s="1"/>
      <c r="RU352" s="1"/>
      <c r="RV352" s="1"/>
      <c r="RW352" s="1"/>
      <c r="RX352" s="1"/>
      <c r="RY352" s="1"/>
      <c r="RZ352" s="1"/>
      <c r="SA352" s="1"/>
      <c r="SB352" s="1"/>
      <c r="SC352" s="1"/>
      <c r="SD352" s="1"/>
      <c r="SE352" s="1"/>
      <c r="SF352" s="1"/>
      <c r="SG352" s="1"/>
      <c r="SH352" s="1"/>
      <c r="SI352" s="1"/>
      <c r="SJ352" s="1"/>
      <c r="SK352" s="1"/>
      <c r="SL352" s="1"/>
      <c r="SM352" s="1"/>
      <c r="SN352" s="1"/>
      <c r="SO352" s="1"/>
      <c r="SP352" s="1"/>
      <c r="SQ352" s="1"/>
      <c r="SR352" s="1"/>
      <c r="SS352" s="1"/>
      <c r="ST352" s="1"/>
      <c r="SU352" s="1"/>
      <c r="SV352" s="1"/>
      <c r="SW352" s="1"/>
      <c r="SX352" s="1"/>
      <c r="SY352" s="1"/>
      <c r="SZ352" s="1"/>
      <c r="TA352" s="1"/>
      <c r="TB352" s="1"/>
      <c r="TC352" s="1"/>
      <c r="TD352" s="1"/>
      <c r="TE352" s="1"/>
      <c r="TF352" s="1"/>
      <c r="TG352" s="1"/>
      <c r="TH352" s="1"/>
      <c r="TI352" s="1"/>
      <c r="TJ352" s="1"/>
      <c r="TK352" s="1"/>
      <c r="TL352" s="1"/>
      <c r="TM352" s="1"/>
      <c r="TN352" s="1"/>
      <c r="TO352" s="1"/>
      <c r="TP352" s="1"/>
      <c r="TQ352" s="1"/>
      <c r="TR352" s="1"/>
      <c r="TS352" s="1"/>
      <c r="TT352" s="1"/>
      <c r="TU352" s="1"/>
      <c r="TV352" s="1"/>
      <c r="TW352" s="1"/>
      <c r="TX352" s="1"/>
      <c r="TY352" s="1"/>
      <c r="TZ352" s="1"/>
      <c r="UA352" s="1"/>
      <c r="UB352" s="1"/>
      <c r="UC352" s="1"/>
      <c r="UD352" s="1"/>
      <c r="UE352" s="1"/>
      <c r="UF352" s="1"/>
      <c r="UG352" s="1"/>
      <c r="UH352" s="1"/>
      <c r="UI352" s="1"/>
      <c r="UJ352" s="1"/>
      <c r="UK352" s="1"/>
      <c r="UL352" s="1"/>
      <c r="UM352" s="1"/>
      <c r="UN352" s="1"/>
      <c r="UO352" s="1"/>
      <c r="UP352" s="1"/>
      <c r="UQ352" s="1"/>
      <c r="UR352" s="1"/>
      <c r="US352" s="1"/>
      <c r="UT352" s="1"/>
      <c r="UU352" s="1"/>
      <c r="UV352" s="1"/>
      <c r="UW352" s="1"/>
      <c r="UX352" s="1"/>
      <c r="UY352" s="1"/>
      <c r="UZ352" s="1"/>
      <c r="VA352" s="1"/>
      <c r="VB352" s="1"/>
      <c r="VC352" s="1"/>
      <c r="VD352" s="1"/>
      <c r="VE352" s="1"/>
      <c r="VF352" s="1"/>
      <c r="VG352" s="1"/>
      <c r="VH352" s="1"/>
      <c r="VI352" s="1"/>
      <c r="VJ352" s="1"/>
      <c r="VK352" s="1"/>
      <c r="VL352" s="1"/>
      <c r="VM352" s="1"/>
      <c r="VN352" s="1"/>
      <c r="VO352" s="1"/>
      <c r="VP352" s="1"/>
      <c r="VQ352" s="1"/>
      <c r="VR352" s="1"/>
      <c r="VS352" s="1"/>
      <c r="VT352" s="1"/>
      <c r="VU352" s="1"/>
      <c r="VV352" s="1"/>
      <c r="VW352" s="1"/>
      <c r="VX352" s="1"/>
      <c r="VY352" s="1"/>
      <c r="VZ352" s="1"/>
      <c r="WA352" s="1"/>
      <c r="WB352" s="1"/>
      <c r="WC352" s="1"/>
      <c r="WD352" s="1"/>
      <c r="WE352" s="1"/>
      <c r="WF352" s="1"/>
      <c r="WG352" s="1"/>
      <c r="WH352" s="1"/>
      <c r="WI352" s="1"/>
      <c r="WJ352" s="1"/>
      <c r="WK352" s="1"/>
      <c r="WL352" s="1"/>
      <c r="WM352" s="1"/>
      <c r="WN352" s="1"/>
      <c r="WO352" s="1"/>
      <c r="WP352" s="1"/>
      <c r="WQ352" s="1"/>
      <c r="WR352" s="1"/>
      <c r="WS352" s="1"/>
      <c r="WT352" s="1"/>
      <c r="WU352" s="1"/>
      <c r="WV352" s="1"/>
      <c r="WW352" s="1"/>
      <c r="WX352" s="1"/>
      <c r="WY352" s="1"/>
      <c r="WZ352" s="1"/>
      <c r="XA352" s="1"/>
      <c r="XB352" s="1"/>
      <c r="XC352" s="1"/>
      <c r="XD352" s="1"/>
      <c r="XE352" s="1"/>
      <c r="XF352" s="1"/>
      <c r="XG352" s="1"/>
      <c r="XH352" s="1"/>
      <c r="XI352" s="1"/>
      <c r="XJ352" s="1"/>
      <c r="XK352" s="1"/>
      <c r="XL352" s="1"/>
      <c r="XM352" s="1"/>
      <c r="XN352" s="1"/>
      <c r="XO352" s="1"/>
      <c r="XP352" s="1"/>
      <c r="XQ352" s="1"/>
      <c r="XR352" s="1"/>
      <c r="XS352" s="1"/>
      <c r="XT352" s="1"/>
      <c r="XU352" s="1"/>
      <c r="XV352" s="1"/>
      <c r="XW352" s="1"/>
      <c r="XX352" s="1"/>
      <c r="XY352" s="1"/>
      <c r="XZ352" s="1"/>
      <c r="YA352" s="1"/>
      <c r="YB352" s="1"/>
      <c r="YC352" s="1"/>
      <c r="YD352" s="1"/>
      <c r="YE352" s="1"/>
      <c r="YF352" s="1"/>
      <c r="YG352" s="1"/>
      <c r="YH352" s="1"/>
      <c r="YI352" s="1"/>
      <c r="YJ352" s="1"/>
      <c r="YK352" s="1"/>
      <c r="YL352" s="1"/>
      <c r="YM352" s="1"/>
      <c r="YN352" s="1"/>
      <c r="YO352" s="1"/>
      <c r="YP352" s="1"/>
      <c r="YQ352" s="1"/>
      <c r="YR352" s="1"/>
      <c r="YS352" s="1"/>
      <c r="YT352" s="1"/>
      <c r="YU352" s="1"/>
      <c r="YV352" s="1"/>
      <c r="YW352" s="1"/>
      <c r="YX352" s="1"/>
      <c r="YY352" s="1"/>
      <c r="YZ352" s="1"/>
      <c r="ZA352" s="1"/>
      <c r="ZB352" s="1"/>
      <c r="ZC352" s="1"/>
      <c r="ZD352" s="1"/>
      <c r="ZE352" s="1"/>
      <c r="ZF352" s="1"/>
      <c r="ZG352" s="1"/>
      <c r="ZH352" s="1"/>
      <c r="ZI352" s="1"/>
      <c r="ZJ352" s="1"/>
      <c r="ZK352" s="1"/>
      <c r="ZL352" s="1"/>
      <c r="ZM352" s="1"/>
      <c r="ZN352" s="1"/>
      <c r="ZO352" s="1"/>
      <c r="ZP352" s="1"/>
      <c r="ZQ352" s="1"/>
      <c r="ZR352" s="1"/>
      <c r="ZS352" s="1"/>
      <c r="ZT352" s="1"/>
      <c r="ZU352" s="1"/>
      <c r="ZV352" s="1"/>
      <c r="ZW352" s="1"/>
      <c r="ZX352" s="1"/>
      <c r="ZY352" s="1"/>
      <c r="ZZ352" s="1"/>
      <c r="AAA352" s="1"/>
      <c r="AAB352" s="1"/>
      <c r="AAC352" s="1"/>
      <c r="AAD352" s="1"/>
      <c r="AAE352" s="1"/>
      <c r="AAF352" s="1"/>
      <c r="AAG352" s="1"/>
      <c r="AAH352" s="1"/>
      <c r="AAI352" s="1"/>
      <c r="AAJ352" s="1"/>
      <c r="AAK352" s="1"/>
      <c r="AAL352" s="1"/>
      <c r="AAM352" s="1"/>
      <c r="AAN352" s="1"/>
      <c r="AAO352" s="1"/>
      <c r="AAP352" s="1"/>
      <c r="AAQ352" s="1"/>
      <c r="AAR352" s="1"/>
      <c r="AAS352" s="1"/>
      <c r="AAT352" s="1"/>
      <c r="AAU352" s="1"/>
      <c r="AAV352" s="1"/>
      <c r="AAW352" s="1"/>
      <c r="AAX352" s="1"/>
      <c r="AAY352" s="1"/>
      <c r="AAZ352" s="1"/>
      <c r="ABA352" s="1"/>
      <c r="ABB352" s="1"/>
      <c r="ABC352" s="1"/>
      <c r="ABD352" s="1"/>
      <c r="ABE352" s="1"/>
      <c r="ABF352" s="1"/>
      <c r="ABG352" s="1"/>
      <c r="ABH352" s="1"/>
      <c r="ABI352" s="1"/>
      <c r="ABJ352" s="1"/>
      <c r="ABK352" s="1"/>
      <c r="ABL352" s="1"/>
      <c r="ABM352" s="1"/>
      <c r="ABN352" s="1"/>
      <c r="ABO352" s="1"/>
      <c r="ABP352" s="1"/>
      <c r="ABQ352" s="1"/>
      <c r="ABR352" s="1"/>
      <c r="ABS352" s="1"/>
      <c r="ABT352" s="1"/>
      <c r="ABU352" s="1"/>
      <c r="ABV352" s="1"/>
      <c r="ABW352" s="1"/>
      <c r="ABX352" s="1"/>
      <c r="ABY352" s="1"/>
      <c r="ABZ352" s="1"/>
      <c r="ACA352" s="1"/>
      <c r="ACB352" s="1"/>
      <c r="ACC352" s="1"/>
      <c r="ACD352" s="1"/>
      <c r="ACE352" s="1"/>
      <c r="ACF352" s="1"/>
      <c r="ACG352" s="1"/>
      <c r="ACH352" s="1"/>
      <c r="ACI352" s="1"/>
      <c r="ACJ352" s="1"/>
      <c r="ACK352" s="1"/>
      <c r="ACL352" s="1"/>
      <c r="ACM352" s="1"/>
      <c r="ACN352" s="1"/>
      <c r="ACO352" s="1"/>
      <c r="ACP352" s="1"/>
      <c r="ACQ352" s="1"/>
      <c r="ACR352" s="1"/>
      <c r="ACS352" s="1"/>
      <c r="ACT352" s="1"/>
      <c r="ACU352" s="1"/>
      <c r="ACV352" s="1"/>
      <c r="ACW352" s="1"/>
      <c r="ACX352" s="1"/>
      <c r="ACY352" s="1"/>
      <c r="ACZ352" s="1"/>
      <c r="ADA352" s="1"/>
      <c r="ADB352" s="1"/>
      <c r="ADC352" s="1"/>
      <c r="ADD352" s="1"/>
      <c r="ADE352" s="1"/>
      <c r="ADF352" s="1"/>
      <c r="ADG352" s="1"/>
      <c r="ADH352" s="1"/>
      <c r="ADI352" s="1"/>
      <c r="ADJ352" s="1"/>
      <c r="ADK352" s="1"/>
      <c r="ADL352" s="1"/>
      <c r="ADM352" s="1"/>
      <c r="ADN352" s="1"/>
      <c r="ADO352" s="1"/>
      <c r="ADP352" s="1"/>
      <c r="ADQ352" s="1"/>
      <c r="ADR352" s="1"/>
      <c r="ADS352" s="1"/>
      <c r="ADT352" s="1"/>
      <c r="ADU352" s="1"/>
      <c r="ADV352" s="1"/>
      <c r="ADW352" s="1"/>
      <c r="ADX352" s="1"/>
      <c r="ADY352" s="1"/>
      <c r="ADZ352" s="1"/>
      <c r="AEA352" s="1"/>
      <c r="AEB352" s="1"/>
      <c r="AEC352" s="1"/>
      <c r="AED352" s="1"/>
      <c r="AEE352" s="1"/>
      <c r="AEF352" s="1"/>
      <c r="AEG352" s="1"/>
      <c r="AEH352" s="1"/>
      <c r="AEI352" s="1"/>
      <c r="AEJ352" s="1"/>
      <c r="AEK352" s="1"/>
      <c r="AEL352" s="1"/>
      <c r="AEM352" s="1"/>
      <c r="AEN352" s="1"/>
      <c r="AEO352" s="1"/>
      <c r="AEP352" s="1"/>
      <c r="AEQ352" s="1"/>
      <c r="AER352" s="1"/>
      <c r="AES352" s="1"/>
      <c r="AET352" s="1"/>
      <c r="AEU352" s="1"/>
      <c r="AEV352" s="1"/>
      <c r="AEW352" s="1"/>
      <c r="AEX352" s="1"/>
      <c r="AEY352" s="1"/>
      <c r="AEZ352" s="1"/>
      <c r="AFA352" s="1"/>
      <c r="AFB352" s="1"/>
      <c r="AFC352" s="1"/>
      <c r="AFD352" s="1"/>
      <c r="AFE352" s="1"/>
      <c r="AFF352" s="1"/>
      <c r="AFG352" s="1"/>
      <c r="AFH352" s="1"/>
      <c r="AFI352" s="1"/>
      <c r="AFJ352" s="1"/>
      <c r="AFK352" s="1"/>
      <c r="AFL352" s="1"/>
      <c r="AFM352" s="1"/>
      <c r="AFN352" s="1"/>
      <c r="AFO352" s="1"/>
      <c r="AFP352" s="1"/>
      <c r="AFQ352" s="1"/>
      <c r="AFR352" s="1"/>
      <c r="AFS352" s="1"/>
      <c r="AFT352" s="1"/>
      <c r="AFU352" s="1"/>
      <c r="AFV352" s="1"/>
      <c r="AFW352" s="1"/>
      <c r="AFX352" s="1"/>
      <c r="AFY352" s="1"/>
      <c r="AFZ352" s="1"/>
      <c r="AGA352" s="1"/>
      <c r="AGB352" s="1"/>
      <c r="AGC352" s="1"/>
      <c r="AGD352" s="1"/>
      <c r="AGE352" s="1"/>
      <c r="AGF352" s="1"/>
      <c r="AGG352" s="1"/>
      <c r="AGH352" s="1"/>
      <c r="AGI352" s="1"/>
      <c r="AGJ352" s="1"/>
      <c r="AGK352" s="1"/>
      <c r="AGL352" s="1"/>
      <c r="AGM352" s="1"/>
      <c r="AGN352" s="1"/>
      <c r="AGO352" s="1"/>
      <c r="AGP352" s="1"/>
      <c r="AGQ352" s="1"/>
      <c r="AGR352" s="1"/>
      <c r="AGS352" s="1"/>
      <c r="AGT352" s="1"/>
      <c r="AGU352" s="1"/>
      <c r="AGV352" s="1"/>
      <c r="AGW352" s="1"/>
      <c r="AGX352" s="1"/>
      <c r="AGY352" s="1"/>
      <c r="AGZ352" s="1"/>
      <c r="AHA352" s="1"/>
      <c r="AHB352" s="1"/>
      <c r="AHC352" s="1"/>
      <c r="AHD352" s="1"/>
      <c r="AHE352" s="1"/>
      <c r="AHF352" s="1"/>
      <c r="AHG352" s="1"/>
      <c r="AHH352" s="1"/>
      <c r="AHI352" s="1"/>
      <c r="AHJ352" s="1"/>
      <c r="AHK352" s="1"/>
      <c r="AHL352" s="1"/>
      <c r="AHM352" s="1"/>
      <c r="AHN352" s="1"/>
      <c r="AHO352" s="1"/>
      <c r="AHP352" s="1"/>
      <c r="AHQ352" s="1"/>
      <c r="AHR352" s="1"/>
      <c r="AHS352" s="1"/>
      <c r="AHT352" s="1"/>
      <c r="AHU352" s="1"/>
      <c r="AHV352" s="1"/>
      <c r="AHW352" s="1"/>
      <c r="AHX352" s="1"/>
      <c r="AHY352" s="1"/>
    </row>
    <row r="353" spans="1:17" s="1" customFormat="1" ht="21">
      <c r="A353" s="156" t="s">
        <v>135</v>
      </c>
      <c r="B353" s="156"/>
      <c r="C353" s="156"/>
      <c r="D353" s="156"/>
      <c r="E353" s="156"/>
      <c r="F353" s="156"/>
      <c r="G353" s="156"/>
      <c r="H353" s="156"/>
      <c r="I353" s="156"/>
      <c r="J353" s="156"/>
      <c r="K353" s="156"/>
      <c r="L353" s="156"/>
      <c r="M353" s="156"/>
      <c r="N353" s="156"/>
      <c r="O353" s="156"/>
      <c r="P353" s="156"/>
      <c r="Q353" s="2"/>
    </row>
    <row r="354" spans="1:17" s="1" customFormat="1" ht="21">
      <c r="A354" s="156" t="s">
        <v>136</v>
      </c>
      <c r="B354" s="156"/>
      <c r="C354" s="156"/>
      <c r="D354" s="156"/>
      <c r="E354" s="156"/>
      <c r="F354" s="156"/>
      <c r="G354" s="156"/>
      <c r="H354" s="156"/>
      <c r="I354" s="156"/>
      <c r="J354" s="156"/>
      <c r="K354" s="156"/>
      <c r="L354" s="156"/>
      <c r="M354" s="156"/>
      <c r="N354" s="156"/>
      <c r="O354" s="156"/>
      <c r="P354" s="156"/>
      <c r="Q354" s="156"/>
    </row>
    <row r="355" spans="1:17" s="1" customFormat="1" ht="21">
      <c r="A355" s="189" t="s">
        <v>113</v>
      </c>
      <c r="B355" s="189"/>
      <c r="C355" s="189"/>
      <c r="D355" s="189"/>
      <c r="E355" s="189"/>
      <c r="F355" s="189"/>
      <c r="G355" s="189"/>
      <c r="H355" s="189"/>
      <c r="I355" s="189"/>
      <c r="J355" s="189"/>
      <c r="K355" s="189"/>
      <c r="L355" s="189"/>
      <c r="M355" s="189"/>
      <c r="N355" s="189"/>
      <c r="O355" s="189"/>
      <c r="P355" s="189"/>
    </row>
    <row r="356" spans="1:17" s="1" customFormat="1" ht="21.6" thickBot="1">
      <c r="F356" s="13"/>
      <c r="G356" s="13"/>
      <c r="H356" s="13"/>
      <c r="I356" s="13"/>
      <c r="J356" s="13"/>
      <c r="K356" s="13"/>
    </row>
    <row r="357" spans="1:17" s="1" customFormat="1" ht="22.2" thickTop="1" thickBot="1">
      <c r="A357" s="190"/>
      <c r="B357" s="183" t="s">
        <v>114</v>
      </c>
      <c r="C357" s="192"/>
      <c r="D357" s="183" t="s">
        <v>115</v>
      </c>
      <c r="E357" s="192"/>
      <c r="F357" s="183" t="s">
        <v>116</v>
      </c>
      <c r="G357" s="192"/>
      <c r="H357" s="183" t="s">
        <v>117</v>
      </c>
      <c r="I357" s="192"/>
      <c r="J357" s="183" t="s">
        <v>118</v>
      </c>
      <c r="K357" s="192"/>
      <c r="L357" s="183" t="s">
        <v>119</v>
      </c>
      <c r="M357" s="192"/>
      <c r="N357" s="183" t="s">
        <v>120</v>
      </c>
      <c r="O357" s="184"/>
      <c r="P357" s="185"/>
    </row>
    <row r="358" spans="1:17" s="1" customFormat="1" ht="22.2" thickTop="1" thickBot="1">
      <c r="A358" s="191"/>
      <c r="B358" s="4" t="s">
        <v>76</v>
      </c>
      <c r="C358" s="4" t="s">
        <v>121</v>
      </c>
      <c r="D358" s="4" t="s">
        <v>76</v>
      </c>
      <c r="E358" s="4" t="s">
        <v>121</v>
      </c>
      <c r="F358" s="4" t="s">
        <v>76</v>
      </c>
      <c r="G358" s="4" t="s">
        <v>121</v>
      </c>
      <c r="H358" s="4" t="s">
        <v>76</v>
      </c>
      <c r="I358" s="4" t="s">
        <v>121</v>
      </c>
      <c r="J358" s="4" t="s">
        <v>76</v>
      </c>
      <c r="K358" s="4" t="s">
        <v>121</v>
      </c>
      <c r="L358" s="4" t="s">
        <v>76</v>
      </c>
      <c r="M358" s="4" t="s">
        <v>121</v>
      </c>
      <c r="N358" s="4" t="s">
        <v>76</v>
      </c>
      <c r="O358" s="4" t="s">
        <v>121</v>
      </c>
      <c r="P358" s="14" t="s">
        <v>122</v>
      </c>
    </row>
    <row r="359" spans="1:17" s="1" customFormat="1" ht="22.2" thickTop="1" thickBot="1">
      <c r="A359" s="11" t="s">
        <v>123</v>
      </c>
      <c r="B359" s="4">
        <f>'[1]التعليم الابتدائي'!AP644</f>
        <v>0</v>
      </c>
      <c r="C359" s="4">
        <f>'[1]التعليم الابتدائي'!AQ644</f>
        <v>0</v>
      </c>
      <c r="D359" s="177"/>
      <c r="E359" s="178"/>
      <c r="F359" s="178"/>
      <c r="G359" s="178"/>
      <c r="H359" s="178"/>
      <c r="I359" s="178"/>
      <c r="J359" s="178"/>
      <c r="K359" s="178"/>
      <c r="L359" s="178"/>
      <c r="M359" s="186"/>
      <c r="N359" s="4">
        <f>B359</f>
        <v>0</v>
      </c>
      <c r="O359" s="4">
        <f>C359</f>
        <v>0</v>
      </c>
      <c r="P359" s="14">
        <f t="shared" ref="P359:P369" si="22">O359+N359</f>
        <v>0</v>
      </c>
    </row>
    <row r="360" spans="1:17" s="1" customFormat="1" ht="22.2" thickTop="1" thickBot="1">
      <c r="A360" s="11" t="s">
        <v>124</v>
      </c>
      <c r="B360" s="4">
        <f>'[1]التعليم الابتدائي'!AR644</f>
        <v>0</v>
      </c>
      <c r="C360" s="4">
        <f>'[1]التعليم الابتدائي'!AS644</f>
        <v>0</v>
      </c>
      <c r="D360" s="137"/>
      <c r="E360" s="138"/>
      <c r="F360" s="180"/>
      <c r="G360" s="180"/>
      <c r="H360" s="180"/>
      <c r="I360" s="180"/>
      <c r="J360" s="180"/>
      <c r="K360" s="180"/>
      <c r="L360" s="180"/>
      <c r="M360" s="187"/>
      <c r="N360" s="4">
        <f>B346</f>
        <v>0</v>
      </c>
      <c r="O360" s="4">
        <f>C346</f>
        <v>0</v>
      </c>
      <c r="P360" s="14">
        <f>O346+N346</f>
        <v>0</v>
      </c>
    </row>
    <row r="361" spans="1:17" s="1" customFormat="1" ht="22.2" thickTop="1" thickBot="1">
      <c r="A361" s="11" t="s">
        <v>125</v>
      </c>
      <c r="B361" s="4">
        <f>'[1]التعليم الابتدائي'!AT644</f>
        <v>0</v>
      </c>
      <c r="C361" s="4">
        <f>'[1]التعليم الابتدائي'!AU644</f>
        <v>0</v>
      </c>
      <c r="D361" s="4">
        <f>'[1]التعليم الابتدائي'!BE644</f>
        <v>0</v>
      </c>
      <c r="E361" s="4">
        <f>'[1]التعليم الابتدائي'!BF644</f>
        <v>0</v>
      </c>
      <c r="F361" s="138"/>
      <c r="G361" s="138"/>
      <c r="H361" s="180"/>
      <c r="I361" s="180"/>
      <c r="J361" s="180"/>
      <c r="K361" s="180"/>
      <c r="L361" s="180"/>
      <c r="M361" s="187"/>
      <c r="N361" s="4">
        <f>D361+B361</f>
        <v>0</v>
      </c>
      <c r="O361" s="4">
        <f>E361+C361</f>
        <v>0</v>
      </c>
      <c r="P361" s="14">
        <f t="shared" si="22"/>
        <v>0</v>
      </c>
    </row>
    <row r="362" spans="1:17" s="1" customFormat="1" ht="22.2" thickTop="1" thickBot="1">
      <c r="A362" s="11" t="s">
        <v>126</v>
      </c>
      <c r="B362" s="4">
        <f>'[1]التعليم الابتدائي'!AV644</f>
        <v>0</v>
      </c>
      <c r="C362" s="4">
        <f>'[1]التعليم الابتدائي'!AW644</f>
        <v>0</v>
      </c>
      <c r="D362" s="4">
        <f>'[1]التعليم الابتدائي'!BG644</f>
        <v>0</v>
      </c>
      <c r="E362" s="4">
        <f>'[1]التعليم الابتدائي'!BH644</f>
        <v>0</v>
      </c>
      <c r="F362" s="4">
        <f>'[1]التعليم الابتدائي'!BR644</f>
        <v>0</v>
      </c>
      <c r="G362" s="4">
        <f>'[1]التعليم الابتدائي'!BS644</f>
        <v>0</v>
      </c>
      <c r="H362" s="138"/>
      <c r="I362" s="138"/>
      <c r="J362" s="180"/>
      <c r="K362" s="180"/>
      <c r="L362" s="180"/>
      <c r="M362" s="187"/>
      <c r="N362" s="4">
        <f>F362+D362+B362</f>
        <v>0</v>
      </c>
      <c r="O362" s="4">
        <f>G362+E362+C362</f>
        <v>0</v>
      </c>
      <c r="P362" s="14">
        <f t="shared" si="22"/>
        <v>0</v>
      </c>
    </row>
    <row r="363" spans="1:17" s="1" customFormat="1" ht="22.2" thickTop="1" thickBot="1">
      <c r="A363" s="11" t="s">
        <v>106</v>
      </c>
      <c r="B363" s="4">
        <f>'[1]التعليم الابتدائي'!AX644</f>
        <v>0</v>
      </c>
      <c r="C363" s="4">
        <f>'[1]التعليم الابتدائي'!AY644</f>
        <v>0</v>
      </c>
      <c r="D363" s="4">
        <f>'[1]التعليم الابتدائي'!BI644</f>
        <v>0</v>
      </c>
      <c r="E363" s="4">
        <f>'[1]التعليم الابتدائي'!BJ644</f>
        <v>0</v>
      </c>
      <c r="F363" s="4">
        <f>'[1]التعليم الابتدائي'!BT644</f>
        <v>0</v>
      </c>
      <c r="G363" s="4">
        <f>'[1]التعليم الابتدائي'!BU644</f>
        <v>0</v>
      </c>
      <c r="H363" s="4">
        <f>'[1]التعليم الابتدائي'!CE644</f>
        <v>0</v>
      </c>
      <c r="I363" s="4">
        <f>'[1]التعليم الابتدائي'!CF644</f>
        <v>0</v>
      </c>
      <c r="J363" s="138"/>
      <c r="K363" s="138"/>
      <c r="L363" s="180"/>
      <c r="M363" s="187"/>
      <c r="N363" s="4">
        <f>B363+D363+F363+H363</f>
        <v>0</v>
      </c>
      <c r="O363" s="4">
        <f>I363+G363+E363+C363</f>
        <v>0</v>
      </c>
      <c r="P363" s="14">
        <f t="shared" si="22"/>
        <v>0</v>
      </c>
    </row>
    <row r="364" spans="1:17" s="1" customFormat="1" ht="22.2" thickTop="1" thickBot="1">
      <c r="A364" s="11" t="s">
        <v>127</v>
      </c>
      <c r="B364" s="4">
        <f>'[1]التعليم الابتدائي'!AZ644</f>
        <v>0</v>
      </c>
      <c r="C364" s="4">
        <f>'[1]التعليم الابتدائي'!BA644</f>
        <v>0</v>
      </c>
      <c r="D364" s="4">
        <f>'[1]التعليم الابتدائي'!BK644</f>
        <v>0</v>
      </c>
      <c r="E364" s="4">
        <f>'[1]التعليم الابتدائي'!BL644</f>
        <v>0</v>
      </c>
      <c r="F364" s="4">
        <f>'[1]التعليم الابتدائي'!BV644</f>
        <v>0</v>
      </c>
      <c r="G364" s="4">
        <f>'[1]التعليم الابتدائي'!BW644</f>
        <v>0</v>
      </c>
      <c r="H364" s="4">
        <f>'[1]التعليم الابتدائي'!CG644</f>
        <v>0</v>
      </c>
      <c r="I364" s="4">
        <f>'[1]التعليم الابتدائي'!CH644</f>
        <v>0</v>
      </c>
      <c r="J364" s="4">
        <f>'[1]التعليم الابتدائي'!CR644</f>
        <v>0</v>
      </c>
      <c r="K364" s="4">
        <f>'[1]التعليم الابتدائي'!CS644</f>
        <v>0</v>
      </c>
      <c r="L364" s="138"/>
      <c r="M364" s="139"/>
      <c r="N364" s="4">
        <f>B340+D340+F340+H340+J340</f>
        <v>0</v>
      </c>
      <c r="O364" s="4">
        <f>K340+I340+G340+E340+C340</f>
        <v>0</v>
      </c>
      <c r="P364" s="14">
        <f>O340+N340</f>
        <v>0</v>
      </c>
    </row>
    <row r="365" spans="1:17" s="1" customFormat="1" ht="22.2" thickTop="1" thickBot="1">
      <c r="A365" s="11" t="s">
        <v>128</v>
      </c>
      <c r="B365" s="177"/>
      <c r="C365" s="178"/>
      <c r="D365" s="4">
        <f>'[1]التعليم الابتدائي'!BM644</f>
        <v>0</v>
      </c>
      <c r="E365" s="4">
        <f>'[1]التعليم الابتدائي'!BN644</f>
        <v>0</v>
      </c>
      <c r="F365" s="4">
        <f>'[1]التعليم الابتدائي'!BX644</f>
        <v>0</v>
      </c>
      <c r="G365" s="4">
        <f>'[1]التعليم الابتدائي'!BY644</f>
        <v>0</v>
      </c>
      <c r="H365" s="4">
        <f>'[1]التعليم الابتدائي'!CI644</f>
        <v>0</v>
      </c>
      <c r="I365" s="4">
        <f>'[1]التعليم الابتدائي'!CJ644</f>
        <v>0</v>
      </c>
      <c r="J365" s="4">
        <f>'[1]التعليم الابتدائي'!CT644</f>
        <v>0</v>
      </c>
      <c r="K365" s="4">
        <f>'[1]التعليم الابتدائي'!CU644</f>
        <v>0</v>
      </c>
      <c r="L365" s="4">
        <f>'[1]التعليم الابتدائي'!DE644</f>
        <v>0</v>
      </c>
      <c r="M365" s="4">
        <f>'[1]التعليم الابتدائي'!DF644</f>
        <v>0</v>
      </c>
      <c r="N365" s="4">
        <f>D365+F365+H365+J365+L365</f>
        <v>0</v>
      </c>
      <c r="O365" s="4">
        <f>M365+K365+I365+G365+E365</f>
        <v>0</v>
      </c>
      <c r="P365" s="14">
        <f t="shared" si="22"/>
        <v>0</v>
      </c>
    </row>
    <row r="366" spans="1:17" s="1" customFormat="1" ht="22.2" thickTop="1" thickBot="1">
      <c r="A366" s="11" t="s">
        <v>129</v>
      </c>
      <c r="B366" s="179"/>
      <c r="C366" s="180"/>
      <c r="D366" s="178"/>
      <c r="E366" s="178"/>
      <c r="F366" s="4">
        <f>'[1]التعليم الابتدائي'!BZ644</f>
        <v>0</v>
      </c>
      <c r="G366" s="4">
        <f>'[1]التعليم الابتدائي'!CA644</f>
        <v>0</v>
      </c>
      <c r="H366" s="4">
        <f>'[1]التعليم الابتدائي'!CK644</f>
        <v>0</v>
      </c>
      <c r="I366" s="4">
        <f>'[1]التعليم الابتدائي'!CL644</f>
        <v>0</v>
      </c>
      <c r="J366" s="4">
        <f>'[1]التعليم الابتدائي'!CV644</f>
        <v>0</v>
      </c>
      <c r="K366" s="4">
        <f>'[1]التعليم الابتدائي'!CW644</f>
        <v>0</v>
      </c>
      <c r="L366" s="4">
        <f>'[1]التعليم الابتدائي'!DG644</f>
        <v>0</v>
      </c>
      <c r="M366" s="4">
        <f>'[1]التعليم الابتدائي'!DH644</f>
        <v>0</v>
      </c>
      <c r="N366" s="4">
        <f>L366+J366+H366+F366</f>
        <v>0</v>
      </c>
      <c r="O366" s="4">
        <f>M366+K366+I366+G366</f>
        <v>0</v>
      </c>
      <c r="P366" s="14">
        <f t="shared" si="22"/>
        <v>0</v>
      </c>
    </row>
    <row r="367" spans="1:17" s="1" customFormat="1" ht="22.2" thickTop="1" thickBot="1">
      <c r="A367" s="11" t="s">
        <v>130</v>
      </c>
      <c r="B367" s="179"/>
      <c r="C367" s="180"/>
      <c r="D367" s="180"/>
      <c r="E367" s="180"/>
      <c r="F367" s="178"/>
      <c r="G367" s="178"/>
      <c r="H367" s="4">
        <f>'[1]التعليم الابتدائي'!CM644</f>
        <v>0</v>
      </c>
      <c r="I367" s="4">
        <f>'[1]التعليم الابتدائي'!CN644</f>
        <v>0</v>
      </c>
      <c r="J367" s="4">
        <f>'[1]التعليم الابتدائي'!CX644</f>
        <v>0</v>
      </c>
      <c r="K367" s="4">
        <f>'[1]التعليم الابتدائي'!CY644</f>
        <v>0</v>
      </c>
      <c r="L367" s="4">
        <f>'[1]التعليم الابتدائي'!DI644</f>
        <v>0</v>
      </c>
      <c r="M367" s="4">
        <f>'[1]التعليم الابتدائي'!DJ644</f>
        <v>0</v>
      </c>
      <c r="N367" s="4">
        <f>L367+J367+H367</f>
        <v>0</v>
      </c>
      <c r="O367" s="4">
        <f>M367+K367+I367</f>
        <v>0</v>
      </c>
      <c r="P367" s="14">
        <f t="shared" si="22"/>
        <v>0</v>
      </c>
    </row>
    <row r="368" spans="1:17" s="1" customFormat="1" ht="22.2" thickTop="1" thickBot="1">
      <c r="A368" s="11" t="s">
        <v>131</v>
      </c>
      <c r="B368" s="179"/>
      <c r="C368" s="180"/>
      <c r="D368" s="180"/>
      <c r="E368" s="180"/>
      <c r="F368" s="180"/>
      <c r="G368" s="180"/>
      <c r="H368" s="178"/>
      <c r="I368" s="178"/>
      <c r="J368" s="4">
        <f>'[1]التعليم الابتدائي'!CZ644</f>
        <v>0</v>
      </c>
      <c r="K368" s="4">
        <f>'[1]التعليم الابتدائي'!DA644</f>
        <v>0</v>
      </c>
      <c r="L368" s="4">
        <f>'[1]التعليم الابتدائي'!DK644</f>
        <v>0</v>
      </c>
      <c r="M368" s="4">
        <f>'[1]التعليم الابتدائي'!DL644</f>
        <v>0</v>
      </c>
      <c r="N368" s="4">
        <f>L368+J368</f>
        <v>0</v>
      </c>
      <c r="O368" s="4">
        <f>M368+K368</f>
        <v>0</v>
      </c>
      <c r="P368" s="14">
        <f t="shared" si="22"/>
        <v>0</v>
      </c>
    </row>
    <row r="369" spans="1:909" s="1" customFormat="1" ht="22.2" thickTop="1" thickBot="1">
      <c r="A369" s="11" t="s">
        <v>132</v>
      </c>
      <c r="B369" s="137"/>
      <c r="C369" s="138"/>
      <c r="D369" s="138"/>
      <c r="E369" s="138"/>
      <c r="F369" s="138"/>
      <c r="G369" s="138"/>
      <c r="H369" s="138"/>
      <c r="I369" s="138"/>
      <c r="J369" s="181"/>
      <c r="K369" s="182"/>
      <c r="L369" s="4">
        <f>'[1]التعليم الابتدائي'!DM644</f>
        <v>0</v>
      </c>
      <c r="M369" s="4">
        <f>'[1]التعليم الابتدائي'!DN644</f>
        <v>0</v>
      </c>
      <c r="N369" s="4">
        <f>L369</f>
        <v>0</v>
      </c>
      <c r="O369" s="4">
        <f>M369</f>
        <v>0</v>
      </c>
      <c r="P369" s="14">
        <f t="shared" si="22"/>
        <v>0</v>
      </c>
    </row>
    <row r="370" spans="1:909" s="1" customFormat="1" ht="22.2" thickTop="1" thickBot="1">
      <c r="A370" s="6" t="s">
        <v>122</v>
      </c>
      <c r="B370" s="7">
        <f>SUM(B359:B369)</f>
        <v>0</v>
      </c>
      <c r="C370" s="7">
        <f>SUM(C359:C369)</f>
        <v>0</v>
      </c>
      <c r="D370" s="7">
        <f>D365+D340+D363+D362+D361</f>
        <v>0</v>
      </c>
      <c r="E370" s="7">
        <f t="shared" ref="E370:P370" si="23">SUM(E359:E369)</f>
        <v>0</v>
      </c>
      <c r="F370" s="7">
        <f t="shared" si="23"/>
        <v>0</v>
      </c>
      <c r="G370" s="7">
        <f t="shared" si="23"/>
        <v>0</v>
      </c>
      <c r="H370" s="7">
        <f t="shared" si="23"/>
        <v>0</v>
      </c>
      <c r="I370" s="7">
        <f t="shared" si="23"/>
        <v>0</v>
      </c>
      <c r="J370" s="7">
        <f t="shared" si="23"/>
        <v>0</v>
      </c>
      <c r="K370" s="7">
        <f t="shared" si="23"/>
        <v>0</v>
      </c>
      <c r="L370" s="7">
        <f t="shared" si="23"/>
        <v>0</v>
      </c>
      <c r="M370" s="7">
        <f t="shared" si="23"/>
        <v>0</v>
      </c>
      <c r="N370" s="7">
        <f t="shared" si="23"/>
        <v>0</v>
      </c>
      <c r="O370" s="7">
        <f t="shared" si="23"/>
        <v>0</v>
      </c>
      <c r="P370" s="8">
        <f t="shared" si="23"/>
        <v>0</v>
      </c>
    </row>
    <row r="371" spans="1:909" ht="21.6" thickTop="1"/>
    <row r="372" spans="1:909" s="1" customFormat="1" ht="21">
      <c r="A372" s="156" t="s">
        <v>62</v>
      </c>
      <c r="B372" s="156"/>
      <c r="C372" s="156"/>
      <c r="D372" s="156"/>
      <c r="E372" s="156"/>
      <c r="M372" s="156" t="s">
        <v>94</v>
      </c>
      <c r="N372" s="156"/>
      <c r="O372" s="156"/>
      <c r="P372" s="156"/>
    </row>
    <row r="373" spans="1:909" s="1" customFormat="1" ht="21">
      <c r="A373" s="156" t="s">
        <v>64</v>
      </c>
      <c r="B373" s="156"/>
      <c r="C373" s="156"/>
      <c r="D373" s="156"/>
      <c r="E373" s="156"/>
      <c r="M373" s="156" t="s">
        <v>65</v>
      </c>
      <c r="N373" s="156"/>
      <c r="O373" s="156"/>
      <c r="P373" s="156"/>
    </row>
    <row r="374" spans="1:909" s="1" customFormat="1" ht="21">
      <c r="A374" s="156" t="s">
        <v>99</v>
      </c>
      <c r="B374" s="156"/>
      <c r="C374" s="156"/>
      <c r="D374" s="156"/>
      <c r="E374" s="156"/>
      <c r="F374" s="156"/>
      <c r="G374" s="156"/>
      <c r="H374" s="156"/>
      <c r="I374" s="156"/>
      <c r="J374" s="156"/>
      <c r="K374" s="156"/>
      <c r="L374" s="156"/>
      <c r="M374" s="156"/>
      <c r="N374" s="156"/>
      <c r="O374" s="156"/>
      <c r="P374" s="156"/>
      <c r="Q374" s="2"/>
    </row>
    <row r="375" spans="1:909" s="1" customFormat="1" ht="21">
      <c r="A375" s="156" t="s">
        <v>136</v>
      </c>
      <c r="B375" s="156"/>
      <c r="C375" s="156"/>
      <c r="D375" s="156"/>
      <c r="E375" s="156"/>
      <c r="F375" s="156"/>
      <c r="G375" s="156"/>
      <c r="H375" s="156"/>
      <c r="I375" s="156"/>
      <c r="J375" s="156"/>
      <c r="K375" s="156"/>
      <c r="L375" s="156"/>
      <c r="M375" s="156"/>
      <c r="N375" s="156"/>
      <c r="O375" s="156"/>
      <c r="P375" s="156"/>
      <c r="Q375" s="156"/>
    </row>
    <row r="376" spans="1:909" s="1" customFormat="1" ht="21">
      <c r="A376" s="156" t="s">
        <v>101</v>
      </c>
      <c r="B376" s="156"/>
      <c r="C376" s="156"/>
      <c r="D376" s="156"/>
      <c r="E376" s="156"/>
      <c r="F376" s="156"/>
      <c r="G376" s="156"/>
      <c r="H376" s="156"/>
      <c r="I376" s="156"/>
      <c r="J376" s="156"/>
      <c r="K376" s="156"/>
      <c r="L376" s="156"/>
      <c r="M376" s="156"/>
      <c r="N376" s="156"/>
      <c r="O376" s="156"/>
      <c r="P376" s="156"/>
      <c r="Q376" s="2"/>
    </row>
    <row r="377" spans="1:909" s="1" customFormat="1" ht="21.6" thickBot="1">
      <c r="G377" s="198"/>
      <c r="H377" s="198"/>
      <c r="I377" s="198"/>
      <c r="J377" s="198"/>
      <c r="K377" s="198"/>
    </row>
    <row r="378" spans="1:909" s="1" customFormat="1" ht="21.6" thickTop="1">
      <c r="A378" s="199"/>
      <c r="B378" s="147" t="s">
        <v>102</v>
      </c>
      <c r="C378" s="149"/>
      <c r="D378" s="147" t="s">
        <v>103</v>
      </c>
      <c r="E378" s="149"/>
      <c r="F378" s="147" t="s">
        <v>104</v>
      </c>
      <c r="G378" s="149"/>
      <c r="H378" s="147" t="s">
        <v>105</v>
      </c>
      <c r="I378" s="149"/>
      <c r="J378" s="147" t="s">
        <v>106</v>
      </c>
      <c r="K378" s="149"/>
      <c r="L378" s="147" t="s">
        <v>107</v>
      </c>
      <c r="M378" s="149"/>
      <c r="N378" s="147" t="s">
        <v>58</v>
      </c>
      <c r="O378" s="148"/>
      <c r="P378" s="201"/>
    </row>
    <row r="379" spans="1:909" s="1" customFormat="1" ht="21.6" thickBot="1">
      <c r="A379" s="200"/>
      <c r="B379" s="137"/>
      <c r="C379" s="139"/>
      <c r="D379" s="137"/>
      <c r="E379" s="139"/>
      <c r="F379" s="137"/>
      <c r="G379" s="139"/>
      <c r="H379" s="137"/>
      <c r="I379" s="139"/>
      <c r="J379" s="137"/>
      <c r="K379" s="139"/>
      <c r="L379" s="137"/>
      <c r="M379" s="139"/>
      <c r="N379" s="137"/>
      <c r="O379" s="138"/>
      <c r="P379" s="202"/>
    </row>
    <row r="380" spans="1:909" s="5" customFormat="1" ht="22.2" thickTop="1" thickBot="1">
      <c r="A380" s="11" t="s">
        <v>108</v>
      </c>
      <c r="B380" s="170">
        <f>'[1]التعليم الابتدائي'!AA607</f>
        <v>0</v>
      </c>
      <c r="C380" s="182"/>
      <c r="D380" s="170">
        <f>'[1]التعليم الابتدائي'!AC607</f>
        <v>0</v>
      </c>
      <c r="E380" s="182"/>
      <c r="F380" s="170">
        <f>'[1]التعليم الابتدائي'!AE607</f>
        <v>0</v>
      </c>
      <c r="G380" s="182"/>
      <c r="H380" s="170">
        <f>'[1]التعليم الابتدائي'!AG607</f>
        <v>0</v>
      </c>
      <c r="I380" s="182"/>
      <c r="J380" s="170">
        <f>'[1]التعليم الابتدائي'!AI607</f>
        <v>0</v>
      </c>
      <c r="K380" s="182"/>
      <c r="L380" s="170">
        <f>'[1]التعليم الابتدائي'!AK607</f>
        <v>0</v>
      </c>
      <c r="M380" s="182"/>
      <c r="N380" s="170">
        <f>L380+J380+H380+F380+D380+B380</f>
        <v>0</v>
      </c>
      <c r="O380" s="181"/>
      <c r="P380" s="193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  <c r="JW380" s="1"/>
      <c r="JX380" s="1"/>
      <c r="JY380" s="1"/>
      <c r="JZ380" s="1"/>
      <c r="KA380" s="1"/>
      <c r="KB380" s="1"/>
      <c r="KC380" s="1"/>
      <c r="KD380" s="1"/>
      <c r="KE380" s="1"/>
      <c r="KF380" s="1"/>
      <c r="KG380" s="1"/>
      <c r="KH380" s="1"/>
      <c r="KI380" s="1"/>
      <c r="KJ380" s="1"/>
      <c r="KK380" s="1"/>
      <c r="KL380" s="1"/>
      <c r="KM380" s="1"/>
      <c r="KN380" s="1"/>
      <c r="KO380" s="1"/>
      <c r="KP380" s="1"/>
      <c r="KQ380" s="1"/>
      <c r="KR380" s="1"/>
      <c r="KS380" s="1"/>
      <c r="KT380" s="1"/>
      <c r="KU380" s="1"/>
      <c r="KV380" s="1"/>
      <c r="KW380" s="1"/>
      <c r="KX380" s="1"/>
      <c r="KY380" s="1"/>
      <c r="KZ380" s="1"/>
      <c r="LA380" s="1"/>
      <c r="LB380" s="1"/>
      <c r="LC380" s="1"/>
      <c r="LD380" s="1"/>
      <c r="LE380" s="1"/>
      <c r="LF380" s="1"/>
      <c r="LG380" s="1"/>
      <c r="LH380" s="1"/>
      <c r="LI380" s="1"/>
      <c r="LJ380" s="1"/>
      <c r="LK380" s="1"/>
      <c r="LL380" s="1"/>
      <c r="LM380" s="1"/>
      <c r="LN380" s="1"/>
      <c r="LO380" s="1"/>
      <c r="LP380" s="1"/>
      <c r="LQ380" s="1"/>
      <c r="LR380" s="1"/>
      <c r="LS380" s="1"/>
      <c r="LT380" s="1"/>
      <c r="LU380" s="1"/>
      <c r="LV380" s="1"/>
      <c r="LW380" s="1"/>
      <c r="LX380" s="1"/>
      <c r="LY380" s="1"/>
      <c r="LZ380" s="1"/>
      <c r="MA380" s="1"/>
      <c r="MB380" s="1"/>
      <c r="MC380" s="1"/>
      <c r="MD380" s="1"/>
      <c r="ME380" s="1"/>
      <c r="MF380" s="1"/>
      <c r="MG380" s="1"/>
      <c r="MH380" s="1"/>
      <c r="MI380" s="1"/>
      <c r="MJ380" s="1"/>
      <c r="MK380" s="1"/>
      <c r="ML380" s="1"/>
      <c r="MM380" s="1"/>
      <c r="MN380" s="1"/>
      <c r="MO380" s="1"/>
      <c r="MP380" s="1"/>
      <c r="MQ380" s="1"/>
      <c r="MR380" s="1"/>
      <c r="MS380" s="1"/>
      <c r="MT380" s="1"/>
      <c r="MU380" s="1"/>
      <c r="MV380" s="1"/>
      <c r="MW380" s="1"/>
      <c r="MX380" s="1"/>
      <c r="MY380" s="1"/>
      <c r="MZ380" s="1"/>
      <c r="NA380" s="1"/>
      <c r="NB380" s="1"/>
      <c r="NC380" s="1"/>
      <c r="ND380" s="1"/>
      <c r="NE380" s="1"/>
      <c r="NF380" s="1"/>
      <c r="NG380" s="1"/>
      <c r="NH380" s="1"/>
      <c r="NI380" s="1"/>
      <c r="NJ380" s="1"/>
      <c r="NK380" s="1"/>
      <c r="NL380" s="1"/>
      <c r="NM380" s="1"/>
      <c r="NN380" s="1"/>
      <c r="NO380" s="1"/>
      <c r="NP380" s="1"/>
      <c r="NQ380" s="1"/>
      <c r="NR380" s="1"/>
      <c r="NS380" s="1"/>
      <c r="NT380" s="1"/>
      <c r="NU380" s="1"/>
      <c r="NV380" s="1"/>
      <c r="NW380" s="1"/>
      <c r="NX380" s="1"/>
      <c r="NY380" s="1"/>
      <c r="NZ380" s="1"/>
      <c r="OA380" s="1"/>
      <c r="OB380" s="1"/>
      <c r="OC380" s="1"/>
      <c r="OD380" s="1"/>
      <c r="OE380" s="1"/>
      <c r="OF380" s="1"/>
      <c r="OG380" s="1"/>
      <c r="OH380" s="1"/>
      <c r="OI380" s="1"/>
      <c r="OJ380" s="1"/>
      <c r="OK380" s="1"/>
      <c r="OL380" s="1"/>
      <c r="OM380" s="1"/>
      <c r="ON380" s="1"/>
      <c r="OO380" s="1"/>
      <c r="OP380" s="1"/>
      <c r="OQ380" s="1"/>
      <c r="OR380" s="1"/>
      <c r="OS380" s="1"/>
      <c r="OT380" s="1"/>
      <c r="OU380" s="1"/>
      <c r="OV380" s="1"/>
      <c r="OW380" s="1"/>
      <c r="OX380" s="1"/>
      <c r="OY380" s="1"/>
      <c r="OZ380" s="1"/>
      <c r="PA380" s="1"/>
      <c r="PB380" s="1"/>
      <c r="PC380" s="1"/>
      <c r="PD380" s="1"/>
      <c r="PE380" s="1"/>
      <c r="PF380" s="1"/>
      <c r="PG380" s="1"/>
      <c r="PH380" s="1"/>
      <c r="PI380" s="1"/>
      <c r="PJ380" s="1"/>
      <c r="PK380" s="1"/>
      <c r="PL380" s="1"/>
      <c r="PM380" s="1"/>
      <c r="PN380" s="1"/>
      <c r="PO380" s="1"/>
      <c r="PP380" s="1"/>
      <c r="PQ380" s="1"/>
      <c r="PR380" s="1"/>
      <c r="PS380" s="1"/>
      <c r="PT380" s="1"/>
      <c r="PU380" s="1"/>
      <c r="PV380" s="1"/>
      <c r="PW380" s="1"/>
      <c r="PX380" s="1"/>
      <c r="PY380" s="1"/>
      <c r="PZ380" s="1"/>
      <c r="QA380" s="1"/>
      <c r="QB380" s="1"/>
      <c r="QC380" s="1"/>
      <c r="QD380" s="1"/>
      <c r="QE380" s="1"/>
      <c r="QF380" s="1"/>
      <c r="QG380" s="1"/>
      <c r="QH380" s="1"/>
      <c r="QI380" s="1"/>
      <c r="QJ380" s="1"/>
      <c r="QK380" s="1"/>
      <c r="QL380" s="1"/>
      <c r="QM380" s="1"/>
      <c r="QN380" s="1"/>
      <c r="QO380" s="1"/>
      <c r="QP380" s="1"/>
      <c r="QQ380" s="1"/>
      <c r="QR380" s="1"/>
      <c r="QS380" s="1"/>
      <c r="QT380" s="1"/>
      <c r="QU380" s="1"/>
      <c r="QV380" s="1"/>
      <c r="QW380" s="1"/>
      <c r="QX380" s="1"/>
      <c r="QY380" s="1"/>
      <c r="QZ380" s="1"/>
      <c r="RA380" s="1"/>
      <c r="RB380" s="1"/>
      <c r="RC380" s="1"/>
      <c r="RD380" s="1"/>
      <c r="RE380" s="1"/>
      <c r="RF380" s="1"/>
      <c r="RG380" s="1"/>
      <c r="RH380" s="1"/>
      <c r="RI380" s="1"/>
      <c r="RJ380" s="1"/>
      <c r="RK380" s="1"/>
      <c r="RL380" s="1"/>
      <c r="RM380" s="1"/>
      <c r="RN380" s="1"/>
      <c r="RO380" s="1"/>
      <c r="RP380" s="1"/>
      <c r="RQ380" s="1"/>
      <c r="RR380" s="1"/>
      <c r="RS380" s="1"/>
      <c r="RT380" s="1"/>
      <c r="RU380" s="1"/>
      <c r="RV380" s="1"/>
      <c r="RW380" s="1"/>
      <c r="RX380" s="1"/>
      <c r="RY380" s="1"/>
      <c r="RZ380" s="1"/>
      <c r="SA380" s="1"/>
      <c r="SB380" s="1"/>
      <c r="SC380" s="1"/>
      <c r="SD380" s="1"/>
      <c r="SE380" s="1"/>
      <c r="SF380" s="1"/>
      <c r="SG380" s="1"/>
      <c r="SH380" s="1"/>
      <c r="SI380" s="1"/>
      <c r="SJ380" s="1"/>
      <c r="SK380" s="1"/>
      <c r="SL380" s="1"/>
      <c r="SM380" s="1"/>
      <c r="SN380" s="1"/>
      <c r="SO380" s="1"/>
      <c r="SP380" s="1"/>
      <c r="SQ380" s="1"/>
      <c r="SR380" s="1"/>
      <c r="SS380" s="1"/>
      <c r="ST380" s="1"/>
      <c r="SU380" s="1"/>
      <c r="SV380" s="1"/>
      <c r="SW380" s="1"/>
      <c r="SX380" s="1"/>
      <c r="SY380" s="1"/>
      <c r="SZ380" s="1"/>
      <c r="TA380" s="1"/>
      <c r="TB380" s="1"/>
      <c r="TC380" s="1"/>
      <c r="TD380" s="1"/>
      <c r="TE380" s="1"/>
      <c r="TF380" s="1"/>
      <c r="TG380" s="1"/>
      <c r="TH380" s="1"/>
      <c r="TI380" s="1"/>
      <c r="TJ380" s="1"/>
      <c r="TK380" s="1"/>
      <c r="TL380" s="1"/>
      <c r="TM380" s="1"/>
      <c r="TN380" s="1"/>
      <c r="TO380" s="1"/>
      <c r="TP380" s="1"/>
      <c r="TQ380" s="1"/>
      <c r="TR380" s="1"/>
      <c r="TS380" s="1"/>
      <c r="TT380" s="1"/>
      <c r="TU380" s="1"/>
      <c r="TV380" s="1"/>
      <c r="TW380" s="1"/>
      <c r="TX380" s="1"/>
      <c r="TY380" s="1"/>
      <c r="TZ380" s="1"/>
      <c r="UA380" s="1"/>
      <c r="UB380" s="1"/>
      <c r="UC380" s="1"/>
      <c r="UD380" s="1"/>
      <c r="UE380" s="1"/>
      <c r="UF380" s="1"/>
      <c r="UG380" s="1"/>
      <c r="UH380" s="1"/>
      <c r="UI380" s="1"/>
      <c r="UJ380" s="1"/>
      <c r="UK380" s="1"/>
      <c r="UL380" s="1"/>
      <c r="UM380" s="1"/>
      <c r="UN380" s="1"/>
      <c r="UO380" s="1"/>
      <c r="UP380" s="1"/>
      <c r="UQ380" s="1"/>
      <c r="UR380" s="1"/>
      <c r="US380" s="1"/>
      <c r="UT380" s="1"/>
      <c r="UU380" s="1"/>
      <c r="UV380" s="1"/>
      <c r="UW380" s="1"/>
      <c r="UX380" s="1"/>
      <c r="UY380" s="1"/>
      <c r="UZ380" s="1"/>
      <c r="VA380" s="1"/>
      <c r="VB380" s="1"/>
      <c r="VC380" s="1"/>
      <c r="VD380" s="1"/>
      <c r="VE380" s="1"/>
      <c r="VF380" s="1"/>
      <c r="VG380" s="1"/>
      <c r="VH380" s="1"/>
      <c r="VI380" s="1"/>
      <c r="VJ380" s="1"/>
      <c r="VK380" s="1"/>
      <c r="VL380" s="1"/>
      <c r="VM380" s="1"/>
      <c r="VN380" s="1"/>
      <c r="VO380" s="1"/>
      <c r="VP380" s="1"/>
      <c r="VQ380" s="1"/>
      <c r="VR380" s="1"/>
      <c r="VS380" s="1"/>
      <c r="VT380" s="1"/>
      <c r="VU380" s="1"/>
      <c r="VV380" s="1"/>
      <c r="VW380" s="1"/>
      <c r="VX380" s="1"/>
      <c r="VY380" s="1"/>
      <c r="VZ380" s="1"/>
      <c r="WA380" s="1"/>
      <c r="WB380" s="1"/>
      <c r="WC380" s="1"/>
      <c r="WD380" s="1"/>
      <c r="WE380" s="1"/>
      <c r="WF380" s="1"/>
      <c r="WG380" s="1"/>
      <c r="WH380" s="1"/>
      <c r="WI380" s="1"/>
      <c r="WJ380" s="1"/>
      <c r="WK380" s="1"/>
      <c r="WL380" s="1"/>
      <c r="WM380" s="1"/>
      <c r="WN380" s="1"/>
      <c r="WO380" s="1"/>
      <c r="WP380" s="1"/>
      <c r="WQ380" s="1"/>
      <c r="WR380" s="1"/>
      <c r="WS380" s="1"/>
      <c r="WT380" s="1"/>
      <c r="WU380" s="1"/>
      <c r="WV380" s="1"/>
      <c r="WW380" s="1"/>
      <c r="WX380" s="1"/>
      <c r="WY380" s="1"/>
      <c r="WZ380" s="1"/>
      <c r="XA380" s="1"/>
      <c r="XB380" s="1"/>
      <c r="XC380" s="1"/>
      <c r="XD380" s="1"/>
      <c r="XE380" s="1"/>
      <c r="XF380" s="1"/>
      <c r="XG380" s="1"/>
      <c r="XH380" s="1"/>
      <c r="XI380" s="1"/>
      <c r="XJ380" s="1"/>
      <c r="XK380" s="1"/>
      <c r="XL380" s="1"/>
      <c r="XM380" s="1"/>
      <c r="XN380" s="1"/>
      <c r="XO380" s="1"/>
      <c r="XP380" s="1"/>
      <c r="XQ380" s="1"/>
      <c r="XR380" s="1"/>
      <c r="XS380" s="1"/>
      <c r="XT380" s="1"/>
      <c r="XU380" s="1"/>
      <c r="XV380" s="1"/>
      <c r="XW380" s="1"/>
      <c r="XX380" s="1"/>
      <c r="XY380" s="1"/>
      <c r="XZ380" s="1"/>
      <c r="YA380" s="1"/>
      <c r="YB380" s="1"/>
      <c r="YC380" s="1"/>
      <c r="YD380" s="1"/>
      <c r="YE380" s="1"/>
      <c r="YF380" s="1"/>
      <c r="YG380" s="1"/>
      <c r="YH380" s="1"/>
      <c r="YI380" s="1"/>
      <c r="YJ380" s="1"/>
      <c r="YK380" s="1"/>
      <c r="YL380" s="1"/>
      <c r="YM380" s="1"/>
      <c r="YN380" s="1"/>
      <c r="YO380" s="1"/>
      <c r="YP380" s="1"/>
      <c r="YQ380" s="1"/>
      <c r="YR380" s="1"/>
      <c r="YS380" s="1"/>
      <c r="YT380" s="1"/>
      <c r="YU380" s="1"/>
      <c r="YV380" s="1"/>
      <c r="YW380" s="1"/>
      <c r="YX380" s="1"/>
      <c r="YY380" s="1"/>
      <c r="YZ380" s="1"/>
      <c r="ZA380" s="1"/>
      <c r="ZB380" s="1"/>
      <c r="ZC380" s="1"/>
      <c r="ZD380" s="1"/>
      <c r="ZE380" s="1"/>
      <c r="ZF380" s="1"/>
      <c r="ZG380" s="1"/>
      <c r="ZH380" s="1"/>
      <c r="ZI380" s="1"/>
      <c r="ZJ380" s="1"/>
      <c r="ZK380" s="1"/>
      <c r="ZL380" s="1"/>
      <c r="ZM380" s="1"/>
      <c r="ZN380" s="1"/>
      <c r="ZO380" s="1"/>
      <c r="ZP380" s="1"/>
      <c r="ZQ380" s="1"/>
      <c r="ZR380" s="1"/>
      <c r="ZS380" s="1"/>
      <c r="ZT380" s="1"/>
      <c r="ZU380" s="1"/>
      <c r="ZV380" s="1"/>
      <c r="ZW380" s="1"/>
      <c r="ZX380" s="1"/>
      <c r="ZY380" s="1"/>
      <c r="ZZ380" s="1"/>
      <c r="AAA380" s="1"/>
      <c r="AAB380" s="1"/>
      <c r="AAC380" s="1"/>
      <c r="AAD380" s="1"/>
      <c r="AAE380" s="1"/>
      <c r="AAF380" s="1"/>
      <c r="AAG380" s="1"/>
      <c r="AAH380" s="1"/>
      <c r="AAI380" s="1"/>
      <c r="AAJ380" s="1"/>
      <c r="AAK380" s="1"/>
      <c r="AAL380" s="1"/>
      <c r="AAM380" s="1"/>
      <c r="AAN380" s="1"/>
      <c r="AAO380" s="1"/>
      <c r="AAP380" s="1"/>
      <c r="AAQ380" s="1"/>
      <c r="AAR380" s="1"/>
      <c r="AAS380" s="1"/>
      <c r="AAT380" s="1"/>
      <c r="AAU380" s="1"/>
      <c r="AAV380" s="1"/>
      <c r="AAW380" s="1"/>
      <c r="AAX380" s="1"/>
      <c r="AAY380" s="1"/>
      <c r="AAZ380" s="1"/>
      <c r="ABA380" s="1"/>
      <c r="ABB380" s="1"/>
      <c r="ABC380" s="1"/>
      <c r="ABD380" s="1"/>
      <c r="ABE380" s="1"/>
      <c r="ABF380" s="1"/>
      <c r="ABG380" s="1"/>
      <c r="ABH380" s="1"/>
      <c r="ABI380" s="1"/>
      <c r="ABJ380" s="1"/>
      <c r="ABK380" s="1"/>
      <c r="ABL380" s="1"/>
      <c r="ABM380" s="1"/>
      <c r="ABN380" s="1"/>
      <c r="ABO380" s="1"/>
      <c r="ABP380" s="1"/>
      <c r="ABQ380" s="1"/>
      <c r="ABR380" s="1"/>
      <c r="ABS380" s="1"/>
      <c r="ABT380" s="1"/>
      <c r="ABU380" s="1"/>
      <c r="ABV380" s="1"/>
      <c r="ABW380" s="1"/>
      <c r="ABX380" s="1"/>
      <c r="ABY380" s="1"/>
      <c r="ABZ380" s="1"/>
      <c r="ACA380" s="1"/>
      <c r="ACB380" s="1"/>
      <c r="ACC380" s="1"/>
      <c r="ACD380" s="1"/>
      <c r="ACE380" s="1"/>
      <c r="ACF380" s="1"/>
      <c r="ACG380" s="1"/>
      <c r="ACH380" s="1"/>
      <c r="ACI380" s="1"/>
      <c r="ACJ380" s="1"/>
      <c r="ACK380" s="1"/>
      <c r="ACL380" s="1"/>
      <c r="ACM380" s="1"/>
      <c r="ACN380" s="1"/>
      <c r="ACO380" s="1"/>
      <c r="ACP380" s="1"/>
      <c r="ACQ380" s="1"/>
      <c r="ACR380" s="1"/>
      <c r="ACS380" s="1"/>
      <c r="ACT380" s="1"/>
      <c r="ACU380" s="1"/>
      <c r="ACV380" s="1"/>
      <c r="ACW380" s="1"/>
      <c r="ACX380" s="1"/>
      <c r="ACY380" s="1"/>
      <c r="ACZ380" s="1"/>
      <c r="ADA380" s="1"/>
      <c r="ADB380" s="1"/>
      <c r="ADC380" s="1"/>
      <c r="ADD380" s="1"/>
      <c r="ADE380" s="1"/>
      <c r="ADF380" s="1"/>
      <c r="ADG380" s="1"/>
      <c r="ADH380" s="1"/>
      <c r="ADI380" s="1"/>
      <c r="ADJ380" s="1"/>
      <c r="ADK380" s="1"/>
      <c r="ADL380" s="1"/>
      <c r="ADM380" s="1"/>
      <c r="ADN380" s="1"/>
      <c r="ADO380" s="1"/>
      <c r="ADP380" s="1"/>
      <c r="ADQ380" s="1"/>
      <c r="ADR380" s="1"/>
      <c r="ADS380" s="1"/>
      <c r="ADT380" s="1"/>
      <c r="ADU380" s="1"/>
      <c r="ADV380" s="1"/>
      <c r="ADW380" s="1"/>
      <c r="ADX380" s="1"/>
      <c r="ADY380" s="1"/>
      <c r="ADZ380" s="1"/>
      <c r="AEA380" s="1"/>
      <c r="AEB380" s="1"/>
      <c r="AEC380" s="1"/>
      <c r="AED380" s="1"/>
      <c r="AEE380" s="1"/>
      <c r="AEF380" s="1"/>
      <c r="AEG380" s="1"/>
      <c r="AEH380" s="1"/>
      <c r="AEI380" s="1"/>
      <c r="AEJ380" s="1"/>
      <c r="AEK380" s="1"/>
      <c r="AEL380" s="1"/>
      <c r="AEM380" s="1"/>
      <c r="AEN380" s="1"/>
      <c r="AEO380" s="1"/>
      <c r="AEP380" s="1"/>
      <c r="AEQ380" s="1"/>
      <c r="AER380" s="1"/>
      <c r="AES380" s="1"/>
      <c r="AET380" s="1"/>
      <c r="AEU380" s="1"/>
      <c r="AEV380" s="1"/>
      <c r="AEW380" s="1"/>
      <c r="AEX380" s="1"/>
      <c r="AEY380" s="1"/>
      <c r="AEZ380" s="1"/>
      <c r="AFA380" s="1"/>
      <c r="AFB380" s="1"/>
      <c r="AFC380" s="1"/>
      <c r="AFD380" s="1"/>
      <c r="AFE380" s="1"/>
      <c r="AFF380" s="1"/>
      <c r="AFG380" s="1"/>
      <c r="AFH380" s="1"/>
      <c r="AFI380" s="1"/>
      <c r="AFJ380" s="1"/>
      <c r="AFK380" s="1"/>
      <c r="AFL380" s="1"/>
      <c r="AFM380" s="1"/>
      <c r="AFN380" s="1"/>
      <c r="AFO380" s="1"/>
      <c r="AFP380" s="1"/>
      <c r="AFQ380" s="1"/>
      <c r="AFR380" s="1"/>
      <c r="AFS380" s="1"/>
      <c r="AFT380" s="1"/>
      <c r="AFU380" s="1"/>
      <c r="AFV380" s="1"/>
      <c r="AFW380" s="1"/>
      <c r="AFX380" s="1"/>
      <c r="AFY380" s="1"/>
      <c r="AFZ380" s="1"/>
      <c r="AGA380" s="1"/>
      <c r="AGB380" s="1"/>
      <c r="AGC380" s="1"/>
      <c r="AGD380" s="1"/>
      <c r="AGE380" s="1"/>
      <c r="AGF380" s="1"/>
      <c r="AGG380" s="1"/>
      <c r="AGH380" s="1"/>
      <c r="AGI380" s="1"/>
      <c r="AGJ380" s="1"/>
      <c r="AGK380" s="1"/>
      <c r="AGL380" s="1"/>
      <c r="AGM380" s="1"/>
      <c r="AGN380" s="1"/>
      <c r="AGO380" s="1"/>
      <c r="AGP380" s="1"/>
      <c r="AGQ380" s="1"/>
      <c r="AGR380" s="1"/>
      <c r="AGS380" s="1"/>
      <c r="AGT380" s="1"/>
      <c r="AGU380" s="1"/>
      <c r="AGV380" s="1"/>
      <c r="AGW380" s="1"/>
      <c r="AGX380" s="1"/>
      <c r="AGY380" s="1"/>
      <c r="AGZ380" s="1"/>
      <c r="AHA380" s="1"/>
      <c r="AHB380" s="1"/>
      <c r="AHC380" s="1"/>
      <c r="AHD380" s="1"/>
      <c r="AHE380" s="1"/>
      <c r="AHF380" s="1"/>
      <c r="AHG380" s="1"/>
      <c r="AHH380" s="1"/>
      <c r="AHI380" s="1"/>
      <c r="AHJ380" s="1"/>
      <c r="AHK380" s="1"/>
      <c r="AHL380" s="1"/>
      <c r="AHM380" s="1"/>
      <c r="AHN380" s="1"/>
      <c r="AHO380" s="1"/>
      <c r="AHP380" s="1"/>
      <c r="AHQ380" s="1"/>
      <c r="AHR380" s="1"/>
      <c r="AHS380" s="1"/>
      <c r="AHT380" s="1"/>
      <c r="AHU380" s="1"/>
      <c r="AHV380" s="1"/>
      <c r="AHW380" s="1"/>
      <c r="AHX380" s="1"/>
      <c r="AHY380" s="1"/>
    </row>
    <row r="381" spans="1:909" s="5" customFormat="1" ht="22.2" thickTop="1" thickBot="1">
      <c r="A381" s="11" t="s">
        <v>109</v>
      </c>
      <c r="B381" s="170">
        <f>'[1]التعليم الابتدائي'!AB607</f>
        <v>0</v>
      </c>
      <c r="C381" s="182"/>
      <c r="D381" s="170">
        <f>'[1]التعليم الابتدائي'!AD607</f>
        <v>0</v>
      </c>
      <c r="E381" s="182"/>
      <c r="F381" s="170">
        <f>'[1]التعليم الابتدائي'!AF607</f>
        <v>0</v>
      </c>
      <c r="G381" s="182"/>
      <c r="H381" s="170">
        <f>'[1]التعليم الابتدائي'!AH607</f>
        <v>0</v>
      </c>
      <c r="I381" s="182"/>
      <c r="J381" s="170">
        <f>'[1]التعليم الابتدائي'!AJ607</f>
        <v>0</v>
      </c>
      <c r="K381" s="182"/>
      <c r="L381" s="170">
        <f>'[1]التعليم الابتدائي'!AL607</f>
        <v>0</v>
      </c>
      <c r="M381" s="182"/>
      <c r="N381" s="170">
        <f>L381+J381+H381+F381+D381+B381</f>
        <v>0</v>
      </c>
      <c r="O381" s="181"/>
      <c r="P381" s="193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1"/>
      <c r="KG381" s="1"/>
      <c r="KH381" s="1"/>
      <c r="KI381" s="1"/>
      <c r="KJ381" s="1"/>
      <c r="KK381" s="1"/>
      <c r="KL381" s="1"/>
      <c r="KM381" s="1"/>
      <c r="KN381" s="1"/>
      <c r="KO381" s="1"/>
      <c r="KP381" s="1"/>
      <c r="KQ381" s="1"/>
      <c r="KR381" s="1"/>
      <c r="KS381" s="1"/>
      <c r="KT381" s="1"/>
      <c r="KU381" s="1"/>
      <c r="KV381" s="1"/>
      <c r="KW381" s="1"/>
      <c r="KX381" s="1"/>
      <c r="KY381" s="1"/>
      <c r="KZ381" s="1"/>
      <c r="LA381" s="1"/>
      <c r="LB381" s="1"/>
      <c r="LC381" s="1"/>
      <c r="LD381" s="1"/>
      <c r="LE381" s="1"/>
      <c r="LF381" s="1"/>
      <c r="LG381" s="1"/>
      <c r="LH381" s="1"/>
      <c r="LI381" s="1"/>
      <c r="LJ381" s="1"/>
      <c r="LK381" s="1"/>
      <c r="LL381" s="1"/>
      <c r="LM381" s="1"/>
      <c r="LN381" s="1"/>
      <c r="LO381" s="1"/>
      <c r="LP381" s="1"/>
      <c r="LQ381" s="1"/>
      <c r="LR381" s="1"/>
      <c r="LS381" s="1"/>
      <c r="LT381" s="1"/>
      <c r="LU381" s="1"/>
      <c r="LV381" s="1"/>
      <c r="LW381" s="1"/>
      <c r="LX381" s="1"/>
      <c r="LY381" s="1"/>
      <c r="LZ381" s="1"/>
      <c r="MA381" s="1"/>
      <c r="MB381" s="1"/>
      <c r="MC381" s="1"/>
      <c r="MD381" s="1"/>
      <c r="ME381" s="1"/>
      <c r="MF381" s="1"/>
      <c r="MG381" s="1"/>
      <c r="MH381" s="1"/>
      <c r="MI381" s="1"/>
      <c r="MJ381" s="1"/>
      <c r="MK381" s="1"/>
      <c r="ML381" s="1"/>
      <c r="MM381" s="1"/>
      <c r="MN381" s="1"/>
      <c r="MO381" s="1"/>
      <c r="MP381" s="1"/>
      <c r="MQ381" s="1"/>
      <c r="MR381" s="1"/>
      <c r="MS381" s="1"/>
      <c r="MT381" s="1"/>
      <c r="MU381" s="1"/>
      <c r="MV381" s="1"/>
      <c r="MW381" s="1"/>
      <c r="MX381" s="1"/>
      <c r="MY381" s="1"/>
      <c r="MZ381" s="1"/>
      <c r="NA381" s="1"/>
      <c r="NB381" s="1"/>
      <c r="NC381" s="1"/>
      <c r="ND381" s="1"/>
      <c r="NE381" s="1"/>
      <c r="NF381" s="1"/>
      <c r="NG381" s="1"/>
      <c r="NH381" s="1"/>
      <c r="NI381" s="1"/>
      <c r="NJ381" s="1"/>
      <c r="NK381" s="1"/>
      <c r="NL381" s="1"/>
      <c r="NM381" s="1"/>
      <c r="NN381" s="1"/>
      <c r="NO381" s="1"/>
      <c r="NP381" s="1"/>
      <c r="NQ381" s="1"/>
      <c r="NR381" s="1"/>
      <c r="NS381" s="1"/>
      <c r="NT381" s="1"/>
      <c r="NU381" s="1"/>
      <c r="NV381" s="1"/>
      <c r="NW381" s="1"/>
      <c r="NX381" s="1"/>
      <c r="NY381" s="1"/>
      <c r="NZ381" s="1"/>
      <c r="OA381" s="1"/>
      <c r="OB381" s="1"/>
      <c r="OC381" s="1"/>
      <c r="OD381" s="1"/>
      <c r="OE381" s="1"/>
      <c r="OF381" s="1"/>
      <c r="OG381" s="1"/>
      <c r="OH381" s="1"/>
      <c r="OI381" s="1"/>
      <c r="OJ381" s="1"/>
      <c r="OK381" s="1"/>
      <c r="OL381" s="1"/>
      <c r="OM381" s="1"/>
      <c r="ON381" s="1"/>
      <c r="OO381" s="1"/>
      <c r="OP381" s="1"/>
      <c r="OQ381" s="1"/>
      <c r="OR381" s="1"/>
      <c r="OS381" s="1"/>
      <c r="OT381" s="1"/>
      <c r="OU381" s="1"/>
      <c r="OV381" s="1"/>
      <c r="OW381" s="1"/>
      <c r="OX381" s="1"/>
      <c r="OY381" s="1"/>
      <c r="OZ381" s="1"/>
      <c r="PA381" s="1"/>
      <c r="PB381" s="1"/>
      <c r="PC381" s="1"/>
      <c r="PD381" s="1"/>
      <c r="PE381" s="1"/>
      <c r="PF381" s="1"/>
      <c r="PG381" s="1"/>
      <c r="PH381" s="1"/>
      <c r="PI381" s="1"/>
      <c r="PJ381" s="1"/>
      <c r="PK381" s="1"/>
      <c r="PL381" s="1"/>
      <c r="PM381" s="1"/>
      <c r="PN381" s="1"/>
      <c r="PO381" s="1"/>
      <c r="PP381" s="1"/>
      <c r="PQ381" s="1"/>
      <c r="PR381" s="1"/>
      <c r="PS381" s="1"/>
      <c r="PT381" s="1"/>
      <c r="PU381" s="1"/>
      <c r="PV381" s="1"/>
      <c r="PW381" s="1"/>
      <c r="PX381" s="1"/>
      <c r="PY381" s="1"/>
      <c r="PZ381" s="1"/>
      <c r="QA381" s="1"/>
      <c r="QB381" s="1"/>
      <c r="QC381" s="1"/>
      <c r="QD381" s="1"/>
      <c r="QE381" s="1"/>
      <c r="QF381" s="1"/>
      <c r="QG381" s="1"/>
      <c r="QH381" s="1"/>
      <c r="QI381" s="1"/>
      <c r="QJ381" s="1"/>
      <c r="QK381" s="1"/>
      <c r="QL381" s="1"/>
      <c r="QM381" s="1"/>
      <c r="QN381" s="1"/>
      <c r="QO381" s="1"/>
      <c r="QP381" s="1"/>
      <c r="QQ381" s="1"/>
      <c r="QR381" s="1"/>
      <c r="QS381" s="1"/>
      <c r="QT381" s="1"/>
      <c r="QU381" s="1"/>
      <c r="QV381" s="1"/>
      <c r="QW381" s="1"/>
      <c r="QX381" s="1"/>
      <c r="QY381" s="1"/>
      <c r="QZ381" s="1"/>
      <c r="RA381" s="1"/>
      <c r="RB381" s="1"/>
      <c r="RC381" s="1"/>
      <c r="RD381" s="1"/>
      <c r="RE381" s="1"/>
      <c r="RF381" s="1"/>
      <c r="RG381" s="1"/>
      <c r="RH381" s="1"/>
      <c r="RI381" s="1"/>
      <c r="RJ381" s="1"/>
      <c r="RK381" s="1"/>
      <c r="RL381" s="1"/>
      <c r="RM381" s="1"/>
      <c r="RN381" s="1"/>
      <c r="RO381" s="1"/>
      <c r="RP381" s="1"/>
      <c r="RQ381" s="1"/>
      <c r="RR381" s="1"/>
      <c r="RS381" s="1"/>
      <c r="RT381" s="1"/>
      <c r="RU381" s="1"/>
      <c r="RV381" s="1"/>
      <c r="RW381" s="1"/>
      <c r="RX381" s="1"/>
      <c r="RY381" s="1"/>
      <c r="RZ381" s="1"/>
      <c r="SA381" s="1"/>
      <c r="SB381" s="1"/>
      <c r="SC381" s="1"/>
      <c r="SD381" s="1"/>
      <c r="SE381" s="1"/>
      <c r="SF381" s="1"/>
      <c r="SG381" s="1"/>
      <c r="SH381" s="1"/>
      <c r="SI381" s="1"/>
      <c r="SJ381" s="1"/>
      <c r="SK381" s="1"/>
      <c r="SL381" s="1"/>
      <c r="SM381" s="1"/>
      <c r="SN381" s="1"/>
      <c r="SO381" s="1"/>
      <c r="SP381" s="1"/>
      <c r="SQ381" s="1"/>
      <c r="SR381" s="1"/>
      <c r="SS381" s="1"/>
      <c r="ST381" s="1"/>
      <c r="SU381" s="1"/>
      <c r="SV381" s="1"/>
      <c r="SW381" s="1"/>
      <c r="SX381" s="1"/>
      <c r="SY381" s="1"/>
      <c r="SZ381" s="1"/>
      <c r="TA381" s="1"/>
      <c r="TB381" s="1"/>
      <c r="TC381" s="1"/>
      <c r="TD381" s="1"/>
      <c r="TE381" s="1"/>
      <c r="TF381" s="1"/>
      <c r="TG381" s="1"/>
      <c r="TH381" s="1"/>
      <c r="TI381" s="1"/>
      <c r="TJ381" s="1"/>
      <c r="TK381" s="1"/>
      <c r="TL381" s="1"/>
      <c r="TM381" s="1"/>
      <c r="TN381" s="1"/>
      <c r="TO381" s="1"/>
      <c r="TP381" s="1"/>
      <c r="TQ381" s="1"/>
      <c r="TR381" s="1"/>
      <c r="TS381" s="1"/>
      <c r="TT381" s="1"/>
      <c r="TU381" s="1"/>
      <c r="TV381" s="1"/>
      <c r="TW381" s="1"/>
      <c r="TX381" s="1"/>
      <c r="TY381" s="1"/>
      <c r="TZ381" s="1"/>
      <c r="UA381" s="1"/>
      <c r="UB381" s="1"/>
      <c r="UC381" s="1"/>
      <c r="UD381" s="1"/>
      <c r="UE381" s="1"/>
      <c r="UF381" s="1"/>
      <c r="UG381" s="1"/>
      <c r="UH381" s="1"/>
      <c r="UI381" s="1"/>
      <c r="UJ381" s="1"/>
      <c r="UK381" s="1"/>
      <c r="UL381" s="1"/>
      <c r="UM381" s="1"/>
      <c r="UN381" s="1"/>
      <c r="UO381" s="1"/>
      <c r="UP381" s="1"/>
      <c r="UQ381" s="1"/>
      <c r="UR381" s="1"/>
      <c r="US381" s="1"/>
      <c r="UT381" s="1"/>
      <c r="UU381" s="1"/>
      <c r="UV381" s="1"/>
      <c r="UW381" s="1"/>
      <c r="UX381" s="1"/>
      <c r="UY381" s="1"/>
      <c r="UZ381" s="1"/>
      <c r="VA381" s="1"/>
      <c r="VB381" s="1"/>
      <c r="VC381" s="1"/>
      <c r="VD381" s="1"/>
      <c r="VE381" s="1"/>
      <c r="VF381" s="1"/>
      <c r="VG381" s="1"/>
      <c r="VH381" s="1"/>
      <c r="VI381" s="1"/>
      <c r="VJ381" s="1"/>
      <c r="VK381" s="1"/>
      <c r="VL381" s="1"/>
      <c r="VM381" s="1"/>
      <c r="VN381" s="1"/>
      <c r="VO381" s="1"/>
      <c r="VP381" s="1"/>
      <c r="VQ381" s="1"/>
      <c r="VR381" s="1"/>
      <c r="VS381" s="1"/>
      <c r="VT381" s="1"/>
      <c r="VU381" s="1"/>
      <c r="VV381" s="1"/>
      <c r="VW381" s="1"/>
      <c r="VX381" s="1"/>
      <c r="VY381" s="1"/>
      <c r="VZ381" s="1"/>
      <c r="WA381" s="1"/>
      <c r="WB381" s="1"/>
      <c r="WC381" s="1"/>
      <c r="WD381" s="1"/>
      <c r="WE381" s="1"/>
      <c r="WF381" s="1"/>
      <c r="WG381" s="1"/>
      <c r="WH381" s="1"/>
      <c r="WI381" s="1"/>
      <c r="WJ381" s="1"/>
      <c r="WK381" s="1"/>
      <c r="WL381" s="1"/>
      <c r="WM381" s="1"/>
      <c r="WN381" s="1"/>
      <c r="WO381" s="1"/>
      <c r="WP381" s="1"/>
      <c r="WQ381" s="1"/>
      <c r="WR381" s="1"/>
      <c r="WS381" s="1"/>
      <c r="WT381" s="1"/>
      <c r="WU381" s="1"/>
      <c r="WV381" s="1"/>
      <c r="WW381" s="1"/>
      <c r="WX381" s="1"/>
      <c r="WY381" s="1"/>
      <c r="WZ381" s="1"/>
      <c r="XA381" s="1"/>
      <c r="XB381" s="1"/>
      <c r="XC381" s="1"/>
      <c r="XD381" s="1"/>
      <c r="XE381" s="1"/>
      <c r="XF381" s="1"/>
      <c r="XG381" s="1"/>
      <c r="XH381" s="1"/>
      <c r="XI381" s="1"/>
      <c r="XJ381" s="1"/>
      <c r="XK381" s="1"/>
      <c r="XL381" s="1"/>
      <c r="XM381" s="1"/>
      <c r="XN381" s="1"/>
      <c r="XO381" s="1"/>
      <c r="XP381" s="1"/>
      <c r="XQ381" s="1"/>
      <c r="XR381" s="1"/>
      <c r="XS381" s="1"/>
      <c r="XT381" s="1"/>
      <c r="XU381" s="1"/>
      <c r="XV381" s="1"/>
      <c r="XW381" s="1"/>
      <c r="XX381" s="1"/>
      <c r="XY381" s="1"/>
      <c r="XZ381" s="1"/>
      <c r="YA381" s="1"/>
      <c r="YB381" s="1"/>
      <c r="YC381" s="1"/>
      <c r="YD381" s="1"/>
      <c r="YE381" s="1"/>
      <c r="YF381" s="1"/>
      <c r="YG381" s="1"/>
      <c r="YH381" s="1"/>
      <c r="YI381" s="1"/>
      <c r="YJ381" s="1"/>
      <c r="YK381" s="1"/>
      <c r="YL381" s="1"/>
      <c r="YM381" s="1"/>
      <c r="YN381" s="1"/>
      <c r="YO381" s="1"/>
      <c r="YP381" s="1"/>
      <c r="YQ381" s="1"/>
      <c r="YR381" s="1"/>
      <c r="YS381" s="1"/>
      <c r="YT381" s="1"/>
      <c r="YU381" s="1"/>
      <c r="YV381" s="1"/>
      <c r="YW381" s="1"/>
      <c r="YX381" s="1"/>
      <c r="YY381" s="1"/>
      <c r="YZ381" s="1"/>
      <c r="ZA381" s="1"/>
      <c r="ZB381" s="1"/>
      <c r="ZC381" s="1"/>
      <c r="ZD381" s="1"/>
      <c r="ZE381" s="1"/>
      <c r="ZF381" s="1"/>
      <c r="ZG381" s="1"/>
      <c r="ZH381" s="1"/>
      <c r="ZI381" s="1"/>
      <c r="ZJ381" s="1"/>
      <c r="ZK381" s="1"/>
      <c r="ZL381" s="1"/>
      <c r="ZM381" s="1"/>
      <c r="ZN381" s="1"/>
      <c r="ZO381" s="1"/>
      <c r="ZP381" s="1"/>
      <c r="ZQ381" s="1"/>
      <c r="ZR381" s="1"/>
      <c r="ZS381" s="1"/>
      <c r="ZT381" s="1"/>
      <c r="ZU381" s="1"/>
      <c r="ZV381" s="1"/>
      <c r="ZW381" s="1"/>
      <c r="ZX381" s="1"/>
      <c r="ZY381" s="1"/>
      <c r="ZZ381" s="1"/>
      <c r="AAA381" s="1"/>
      <c r="AAB381" s="1"/>
      <c r="AAC381" s="1"/>
      <c r="AAD381" s="1"/>
      <c r="AAE381" s="1"/>
      <c r="AAF381" s="1"/>
      <c r="AAG381" s="1"/>
      <c r="AAH381" s="1"/>
      <c r="AAI381" s="1"/>
      <c r="AAJ381" s="1"/>
      <c r="AAK381" s="1"/>
      <c r="AAL381" s="1"/>
      <c r="AAM381" s="1"/>
      <c r="AAN381" s="1"/>
      <c r="AAO381" s="1"/>
      <c r="AAP381" s="1"/>
      <c r="AAQ381" s="1"/>
      <c r="AAR381" s="1"/>
      <c r="AAS381" s="1"/>
      <c r="AAT381" s="1"/>
      <c r="AAU381" s="1"/>
      <c r="AAV381" s="1"/>
      <c r="AAW381" s="1"/>
      <c r="AAX381" s="1"/>
      <c r="AAY381" s="1"/>
      <c r="AAZ381" s="1"/>
      <c r="ABA381" s="1"/>
      <c r="ABB381" s="1"/>
      <c r="ABC381" s="1"/>
      <c r="ABD381" s="1"/>
      <c r="ABE381" s="1"/>
      <c r="ABF381" s="1"/>
      <c r="ABG381" s="1"/>
      <c r="ABH381" s="1"/>
      <c r="ABI381" s="1"/>
      <c r="ABJ381" s="1"/>
      <c r="ABK381" s="1"/>
      <c r="ABL381" s="1"/>
      <c r="ABM381" s="1"/>
      <c r="ABN381" s="1"/>
      <c r="ABO381" s="1"/>
      <c r="ABP381" s="1"/>
      <c r="ABQ381" s="1"/>
      <c r="ABR381" s="1"/>
      <c r="ABS381" s="1"/>
      <c r="ABT381" s="1"/>
      <c r="ABU381" s="1"/>
      <c r="ABV381" s="1"/>
      <c r="ABW381" s="1"/>
      <c r="ABX381" s="1"/>
      <c r="ABY381" s="1"/>
      <c r="ABZ381" s="1"/>
      <c r="ACA381" s="1"/>
      <c r="ACB381" s="1"/>
      <c r="ACC381" s="1"/>
      <c r="ACD381" s="1"/>
      <c r="ACE381" s="1"/>
      <c r="ACF381" s="1"/>
      <c r="ACG381" s="1"/>
      <c r="ACH381" s="1"/>
      <c r="ACI381" s="1"/>
      <c r="ACJ381" s="1"/>
      <c r="ACK381" s="1"/>
      <c r="ACL381" s="1"/>
      <c r="ACM381" s="1"/>
      <c r="ACN381" s="1"/>
      <c r="ACO381" s="1"/>
      <c r="ACP381" s="1"/>
      <c r="ACQ381" s="1"/>
      <c r="ACR381" s="1"/>
      <c r="ACS381" s="1"/>
      <c r="ACT381" s="1"/>
      <c r="ACU381" s="1"/>
      <c r="ACV381" s="1"/>
      <c r="ACW381" s="1"/>
      <c r="ACX381" s="1"/>
      <c r="ACY381" s="1"/>
      <c r="ACZ381" s="1"/>
      <c r="ADA381" s="1"/>
      <c r="ADB381" s="1"/>
      <c r="ADC381" s="1"/>
      <c r="ADD381" s="1"/>
      <c r="ADE381" s="1"/>
      <c r="ADF381" s="1"/>
      <c r="ADG381" s="1"/>
      <c r="ADH381" s="1"/>
      <c r="ADI381" s="1"/>
      <c r="ADJ381" s="1"/>
      <c r="ADK381" s="1"/>
      <c r="ADL381" s="1"/>
      <c r="ADM381" s="1"/>
      <c r="ADN381" s="1"/>
      <c r="ADO381" s="1"/>
      <c r="ADP381" s="1"/>
      <c r="ADQ381" s="1"/>
      <c r="ADR381" s="1"/>
      <c r="ADS381" s="1"/>
      <c r="ADT381" s="1"/>
      <c r="ADU381" s="1"/>
      <c r="ADV381" s="1"/>
      <c r="ADW381" s="1"/>
      <c r="ADX381" s="1"/>
      <c r="ADY381" s="1"/>
      <c r="ADZ381" s="1"/>
      <c r="AEA381" s="1"/>
      <c r="AEB381" s="1"/>
      <c r="AEC381" s="1"/>
      <c r="AED381" s="1"/>
      <c r="AEE381" s="1"/>
      <c r="AEF381" s="1"/>
      <c r="AEG381" s="1"/>
      <c r="AEH381" s="1"/>
      <c r="AEI381" s="1"/>
      <c r="AEJ381" s="1"/>
      <c r="AEK381" s="1"/>
      <c r="AEL381" s="1"/>
      <c r="AEM381" s="1"/>
      <c r="AEN381" s="1"/>
      <c r="AEO381" s="1"/>
      <c r="AEP381" s="1"/>
      <c r="AEQ381" s="1"/>
      <c r="AER381" s="1"/>
      <c r="AES381" s="1"/>
      <c r="AET381" s="1"/>
      <c r="AEU381" s="1"/>
      <c r="AEV381" s="1"/>
      <c r="AEW381" s="1"/>
      <c r="AEX381" s="1"/>
      <c r="AEY381" s="1"/>
      <c r="AEZ381" s="1"/>
      <c r="AFA381" s="1"/>
      <c r="AFB381" s="1"/>
      <c r="AFC381" s="1"/>
      <c r="AFD381" s="1"/>
      <c r="AFE381" s="1"/>
      <c r="AFF381" s="1"/>
      <c r="AFG381" s="1"/>
      <c r="AFH381" s="1"/>
      <c r="AFI381" s="1"/>
      <c r="AFJ381" s="1"/>
      <c r="AFK381" s="1"/>
      <c r="AFL381" s="1"/>
      <c r="AFM381" s="1"/>
      <c r="AFN381" s="1"/>
      <c r="AFO381" s="1"/>
      <c r="AFP381" s="1"/>
      <c r="AFQ381" s="1"/>
      <c r="AFR381" s="1"/>
      <c r="AFS381" s="1"/>
      <c r="AFT381" s="1"/>
      <c r="AFU381" s="1"/>
      <c r="AFV381" s="1"/>
      <c r="AFW381" s="1"/>
      <c r="AFX381" s="1"/>
      <c r="AFY381" s="1"/>
      <c r="AFZ381" s="1"/>
      <c r="AGA381" s="1"/>
      <c r="AGB381" s="1"/>
      <c r="AGC381" s="1"/>
      <c r="AGD381" s="1"/>
      <c r="AGE381" s="1"/>
      <c r="AGF381" s="1"/>
      <c r="AGG381" s="1"/>
      <c r="AGH381" s="1"/>
      <c r="AGI381" s="1"/>
      <c r="AGJ381" s="1"/>
      <c r="AGK381" s="1"/>
      <c r="AGL381" s="1"/>
      <c r="AGM381" s="1"/>
      <c r="AGN381" s="1"/>
      <c r="AGO381" s="1"/>
      <c r="AGP381" s="1"/>
      <c r="AGQ381" s="1"/>
      <c r="AGR381" s="1"/>
      <c r="AGS381" s="1"/>
      <c r="AGT381" s="1"/>
      <c r="AGU381" s="1"/>
      <c r="AGV381" s="1"/>
      <c r="AGW381" s="1"/>
      <c r="AGX381" s="1"/>
      <c r="AGY381" s="1"/>
      <c r="AGZ381" s="1"/>
      <c r="AHA381" s="1"/>
      <c r="AHB381" s="1"/>
      <c r="AHC381" s="1"/>
      <c r="AHD381" s="1"/>
      <c r="AHE381" s="1"/>
      <c r="AHF381" s="1"/>
      <c r="AHG381" s="1"/>
      <c r="AHH381" s="1"/>
      <c r="AHI381" s="1"/>
      <c r="AHJ381" s="1"/>
      <c r="AHK381" s="1"/>
      <c r="AHL381" s="1"/>
      <c r="AHM381" s="1"/>
      <c r="AHN381" s="1"/>
      <c r="AHO381" s="1"/>
      <c r="AHP381" s="1"/>
      <c r="AHQ381" s="1"/>
      <c r="AHR381" s="1"/>
      <c r="AHS381" s="1"/>
      <c r="AHT381" s="1"/>
      <c r="AHU381" s="1"/>
      <c r="AHV381" s="1"/>
      <c r="AHW381" s="1"/>
      <c r="AHX381" s="1"/>
      <c r="AHY381" s="1"/>
    </row>
    <row r="382" spans="1:909" s="5" customFormat="1" ht="22.2" thickTop="1" thickBot="1">
      <c r="A382" s="6" t="s">
        <v>110</v>
      </c>
      <c r="B382" s="194">
        <f>SUM(B380:B381)</f>
        <v>0</v>
      </c>
      <c r="C382" s="195"/>
      <c r="D382" s="194">
        <f>SUM(D380:D381)</f>
        <v>0</v>
      </c>
      <c r="E382" s="195"/>
      <c r="F382" s="194">
        <f>SUM(F380:F381)</f>
        <v>0</v>
      </c>
      <c r="G382" s="195"/>
      <c r="H382" s="194">
        <f>SUM(H380:H381)</f>
        <v>0</v>
      </c>
      <c r="I382" s="195"/>
      <c r="J382" s="194">
        <f>SUM(J380:J381)</f>
        <v>0</v>
      </c>
      <c r="K382" s="195"/>
      <c r="L382" s="194">
        <f>SUM(L380:L381)</f>
        <v>0</v>
      </c>
      <c r="M382" s="195"/>
      <c r="N382" s="194">
        <f>L382+J382+H382+F382+D382+B382</f>
        <v>0</v>
      </c>
      <c r="O382" s="196"/>
      <c r="P382" s="197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/>
      <c r="JZ382" s="1"/>
      <c r="KA382" s="1"/>
      <c r="KB382" s="1"/>
      <c r="KC382" s="1"/>
      <c r="KD382" s="1"/>
      <c r="KE382" s="1"/>
      <c r="KF382" s="1"/>
      <c r="KG382" s="1"/>
      <c r="KH382" s="1"/>
      <c r="KI382" s="1"/>
      <c r="KJ382" s="1"/>
      <c r="KK382" s="1"/>
      <c r="KL382" s="1"/>
      <c r="KM382" s="1"/>
      <c r="KN382" s="1"/>
      <c r="KO382" s="1"/>
      <c r="KP382" s="1"/>
      <c r="KQ382" s="1"/>
      <c r="KR382" s="1"/>
      <c r="KS382" s="1"/>
      <c r="KT382" s="1"/>
      <c r="KU382" s="1"/>
      <c r="KV382" s="1"/>
      <c r="KW382" s="1"/>
      <c r="KX382" s="1"/>
      <c r="KY382" s="1"/>
      <c r="KZ382" s="1"/>
      <c r="LA382" s="1"/>
      <c r="LB382" s="1"/>
      <c r="LC382" s="1"/>
      <c r="LD382" s="1"/>
      <c r="LE382" s="1"/>
      <c r="LF382" s="1"/>
      <c r="LG382" s="1"/>
      <c r="LH382" s="1"/>
      <c r="LI382" s="1"/>
      <c r="LJ382" s="1"/>
      <c r="LK382" s="1"/>
      <c r="LL382" s="1"/>
      <c r="LM382" s="1"/>
      <c r="LN382" s="1"/>
      <c r="LO382" s="1"/>
      <c r="LP382" s="1"/>
      <c r="LQ382" s="1"/>
      <c r="LR382" s="1"/>
      <c r="LS382" s="1"/>
      <c r="LT382" s="1"/>
      <c r="LU382" s="1"/>
      <c r="LV382" s="1"/>
      <c r="LW382" s="1"/>
      <c r="LX382" s="1"/>
      <c r="LY382" s="1"/>
      <c r="LZ382" s="1"/>
      <c r="MA382" s="1"/>
      <c r="MB382" s="1"/>
      <c r="MC382" s="1"/>
      <c r="MD382" s="1"/>
      <c r="ME382" s="1"/>
      <c r="MF382" s="1"/>
      <c r="MG382" s="1"/>
      <c r="MH382" s="1"/>
      <c r="MI382" s="1"/>
      <c r="MJ382" s="1"/>
      <c r="MK382" s="1"/>
      <c r="ML382" s="1"/>
      <c r="MM382" s="1"/>
      <c r="MN382" s="1"/>
      <c r="MO382" s="1"/>
      <c r="MP382" s="1"/>
      <c r="MQ382" s="1"/>
      <c r="MR382" s="1"/>
      <c r="MS382" s="1"/>
      <c r="MT382" s="1"/>
      <c r="MU382" s="1"/>
      <c r="MV382" s="1"/>
      <c r="MW382" s="1"/>
      <c r="MX382" s="1"/>
      <c r="MY382" s="1"/>
      <c r="MZ382" s="1"/>
      <c r="NA382" s="1"/>
      <c r="NB382" s="1"/>
      <c r="NC382" s="1"/>
      <c r="ND382" s="1"/>
      <c r="NE382" s="1"/>
      <c r="NF382" s="1"/>
      <c r="NG382" s="1"/>
      <c r="NH382" s="1"/>
      <c r="NI382" s="1"/>
      <c r="NJ382" s="1"/>
      <c r="NK382" s="1"/>
      <c r="NL382" s="1"/>
      <c r="NM382" s="1"/>
      <c r="NN382" s="1"/>
      <c r="NO382" s="1"/>
      <c r="NP382" s="1"/>
      <c r="NQ382" s="1"/>
      <c r="NR382" s="1"/>
      <c r="NS382" s="1"/>
      <c r="NT382" s="1"/>
      <c r="NU382" s="1"/>
      <c r="NV382" s="1"/>
      <c r="NW382" s="1"/>
      <c r="NX382" s="1"/>
      <c r="NY382" s="1"/>
      <c r="NZ382" s="1"/>
      <c r="OA382" s="1"/>
      <c r="OB382" s="1"/>
      <c r="OC382" s="1"/>
      <c r="OD382" s="1"/>
      <c r="OE382" s="1"/>
      <c r="OF382" s="1"/>
      <c r="OG382" s="1"/>
      <c r="OH382" s="1"/>
      <c r="OI382" s="1"/>
      <c r="OJ382" s="1"/>
      <c r="OK382" s="1"/>
      <c r="OL382" s="1"/>
      <c r="OM382" s="1"/>
      <c r="ON382" s="1"/>
      <c r="OO382" s="1"/>
      <c r="OP382" s="1"/>
      <c r="OQ382" s="1"/>
      <c r="OR382" s="1"/>
      <c r="OS382" s="1"/>
      <c r="OT382" s="1"/>
      <c r="OU382" s="1"/>
      <c r="OV382" s="1"/>
      <c r="OW382" s="1"/>
      <c r="OX382" s="1"/>
      <c r="OY382" s="1"/>
      <c r="OZ382" s="1"/>
      <c r="PA382" s="1"/>
      <c r="PB382" s="1"/>
      <c r="PC382" s="1"/>
      <c r="PD382" s="1"/>
      <c r="PE382" s="1"/>
      <c r="PF382" s="1"/>
      <c r="PG382" s="1"/>
      <c r="PH382" s="1"/>
      <c r="PI382" s="1"/>
      <c r="PJ382" s="1"/>
      <c r="PK382" s="1"/>
      <c r="PL382" s="1"/>
      <c r="PM382" s="1"/>
      <c r="PN382" s="1"/>
      <c r="PO382" s="1"/>
      <c r="PP382" s="1"/>
      <c r="PQ382" s="1"/>
      <c r="PR382" s="1"/>
      <c r="PS382" s="1"/>
      <c r="PT382" s="1"/>
      <c r="PU382" s="1"/>
      <c r="PV382" s="1"/>
      <c r="PW382" s="1"/>
      <c r="PX382" s="1"/>
      <c r="PY382" s="1"/>
      <c r="PZ382" s="1"/>
      <c r="QA382" s="1"/>
      <c r="QB382" s="1"/>
      <c r="QC382" s="1"/>
      <c r="QD382" s="1"/>
      <c r="QE382" s="1"/>
      <c r="QF382" s="1"/>
      <c r="QG382" s="1"/>
      <c r="QH382" s="1"/>
      <c r="QI382" s="1"/>
      <c r="QJ382" s="1"/>
      <c r="QK382" s="1"/>
      <c r="QL382" s="1"/>
      <c r="QM382" s="1"/>
      <c r="QN382" s="1"/>
      <c r="QO382" s="1"/>
      <c r="QP382" s="1"/>
      <c r="QQ382" s="1"/>
      <c r="QR382" s="1"/>
      <c r="QS382" s="1"/>
      <c r="QT382" s="1"/>
      <c r="QU382" s="1"/>
      <c r="QV382" s="1"/>
      <c r="QW382" s="1"/>
      <c r="QX382" s="1"/>
      <c r="QY382" s="1"/>
      <c r="QZ382" s="1"/>
      <c r="RA382" s="1"/>
      <c r="RB382" s="1"/>
      <c r="RC382" s="1"/>
      <c r="RD382" s="1"/>
      <c r="RE382" s="1"/>
      <c r="RF382" s="1"/>
      <c r="RG382" s="1"/>
      <c r="RH382" s="1"/>
      <c r="RI382" s="1"/>
      <c r="RJ382" s="1"/>
      <c r="RK382" s="1"/>
      <c r="RL382" s="1"/>
      <c r="RM382" s="1"/>
      <c r="RN382" s="1"/>
      <c r="RO382" s="1"/>
      <c r="RP382" s="1"/>
      <c r="RQ382" s="1"/>
      <c r="RR382" s="1"/>
      <c r="RS382" s="1"/>
      <c r="RT382" s="1"/>
      <c r="RU382" s="1"/>
      <c r="RV382" s="1"/>
      <c r="RW382" s="1"/>
      <c r="RX382" s="1"/>
      <c r="RY382" s="1"/>
      <c r="RZ382" s="1"/>
      <c r="SA382" s="1"/>
      <c r="SB382" s="1"/>
      <c r="SC382" s="1"/>
      <c r="SD382" s="1"/>
      <c r="SE382" s="1"/>
      <c r="SF382" s="1"/>
      <c r="SG382" s="1"/>
      <c r="SH382" s="1"/>
      <c r="SI382" s="1"/>
      <c r="SJ382" s="1"/>
      <c r="SK382" s="1"/>
      <c r="SL382" s="1"/>
      <c r="SM382" s="1"/>
      <c r="SN382" s="1"/>
      <c r="SO382" s="1"/>
      <c r="SP382" s="1"/>
      <c r="SQ382" s="1"/>
      <c r="SR382" s="1"/>
      <c r="SS382" s="1"/>
      <c r="ST382" s="1"/>
      <c r="SU382" s="1"/>
      <c r="SV382" s="1"/>
      <c r="SW382" s="1"/>
      <c r="SX382" s="1"/>
      <c r="SY382" s="1"/>
      <c r="SZ382" s="1"/>
      <c r="TA382" s="1"/>
      <c r="TB382" s="1"/>
      <c r="TC382" s="1"/>
      <c r="TD382" s="1"/>
      <c r="TE382" s="1"/>
      <c r="TF382" s="1"/>
      <c r="TG382" s="1"/>
      <c r="TH382" s="1"/>
      <c r="TI382" s="1"/>
      <c r="TJ382" s="1"/>
      <c r="TK382" s="1"/>
      <c r="TL382" s="1"/>
      <c r="TM382" s="1"/>
      <c r="TN382" s="1"/>
      <c r="TO382" s="1"/>
      <c r="TP382" s="1"/>
      <c r="TQ382" s="1"/>
      <c r="TR382" s="1"/>
      <c r="TS382" s="1"/>
      <c r="TT382" s="1"/>
      <c r="TU382" s="1"/>
      <c r="TV382" s="1"/>
      <c r="TW382" s="1"/>
      <c r="TX382" s="1"/>
      <c r="TY382" s="1"/>
      <c r="TZ382" s="1"/>
      <c r="UA382" s="1"/>
      <c r="UB382" s="1"/>
      <c r="UC382" s="1"/>
      <c r="UD382" s="1"/>
      <c r="UE382" s="1"/>
      <c r="UF382" s="1"/>
      <c r="UG382" s="1"/>
      <c r="UH382" s="1"/>
      <c r="UI382" s="1"/>
      <c r="UJ382" s="1"/>
      <c r="UK382" s="1"/>
      <c r="UL382" s="1"/>
      <c r="UM382" s="1"/>
      <c r="UN382" s="1"/>
      <c r="UO382" s="1"/>
      <c r="UP382" s="1"/>
      <c r="UQ382" s="1"/>
      <c r="UR382" s="1"/>
      <c r="US382" s="1"/>
      <c r="UT382" s="1"/>
      <c r="UU382" s="1"/>
      <c r="UV382" s="1"/>
      <c r="UW382" s="1"/>
      <c r="UX382" s="1"/>
      <c r="UY382" s="1"/>
      <c r="UZ382" s="1"/>
      <c r="VA382" s="1"/>
      <c r="VB382" s="1"/>
      <c r="VC382" s="1"/>
      <c r="VD382" s="1"/>
      <c r="VE382" s="1"/>
      <c r="VF382" s="1"/>
      <c r="VG382" s="1"/>
      <c r="VH382" s="1"/>
      <c r="VI382" s="1"/>
      <c r="VJ382" s="1"/>
      <c r="VK382" s="1"/>
      <c r="VL382" s="1"/>
      <c r="VM382" s="1"/>
      <c r="VN382" s="1"/>
      <c r="VO382" s="1"/>
      <c r="VP382" s="1"/>
      <c r="VQ382" s="1"/>
      <c r="VR382" s="1"/>
      <c r="VS382" s="1"/>
      <c r="VT382" s="1"/>
      <c r="VU382" s="1"/>
      <c r="VV382" s="1"/>
      <c r="VW382" s="1"/>
      <c r="VX382" s="1"/>
      <c r="VY382" s="1"/>
      <c r="VZ382" s="1"/>
      <c r="WA382" s="1"/>
      <c r="WB382" s="1"/>
      <c r="WC382" s="1"/>
      <c r="WD382" s="1"/>
      <c r="WE382" s="1"/>
      <c r="WF382" s="1"/>
      <c r="WG382" s="1"/>
      <c r="WH382" s="1"/>
      <c r="WI382" s="1"/>
      <c r="WJ382" s="1"/>
      <c r="WK382" s="1"/>
      <c r="WL382" s="1"/>
      <c r="WM382" s="1"/>
      <c r="WN382" s="1"/>
      <c r="WO382" s="1"/>
      <c r="WP382" s="1"/>
      <c r="WQ382" s="1"/>
      <c r="WR382" s="1"/>
      <c r="WS382" s="1"/>
      <c r="WT382" s="1"/>
      <c r="WU382" s="1"/>
      <c r="WV382" s="1"/>
      <c r="WW382" s="1"/>
      <c r="WX382" s="1"/>
      <c r="WY382" s="1"/>
      <c r="WZ382" s="1"/>
      <c r="XA382" s="1"/>
      <c r="XB382" s="1"/>
      <c r="XC382" s="1"/>
      <c r="XD382" s="1"/>
      <c r="XE382" s="1"/>
      <c r="XF382" s="1"/>
      <c r="XG382" s="1"/>
      <c r="XH382" s="1"/>
      <c r="XI382" s="1"/>
      <c r="XJ382" s="1"/>
      <c r="XK382" s="1"/>
      <c r="XL382" s="1"/>
      <c r="XM382" s="1"/>
      <c r="XN382" s="1"/>
      <c r="XO382" s="1"/>
      <c r="XP382" s="1"/>
      <c r="XQ382" s="1"/>
      <c r="XR382" s="1"/>
      <c r="XS382" s="1"/>
      <c r="XT382" s="1"/>
      <c r="XU382" s="1"/>
      <c r="XV382" s="1"/>
      <c r="XW382" s="1"/>
      <c r="XX382" s="1"/>
      <c r="XY382" s="1"/>
      <c r="XZ382" s="1"/>
      <c r="YA382" s="1"/>
      <c r="YB382" s="1"/>
      <c r="YC382" s="1"/>
      <c r="YD382" s="1"/>
      <c r="YE382" s="1"/>
      <c r="YF382" s="1"/>
      <c r="YG382" s="1"/>
      <c r="YH382" s="1"/>
      <c r="YI382" s="1"/>
      <c r="YJ382" s="1"/>
      <c r="YK382" s="1"/>
      <c r="YL382" s="1"/>
      <c r="YM382" s="1"/>
      <c r="YN382" s="1"/>
      <c r="YO382" s="1"/>
      <c r="YP382" s="1"/>
      <c r="YQ382" s="1"/>
      <c r="YR382" s="1"/>
      <c r="YS382" s="1"/>
      <c r="YT382" s="1"/>
      <c r="YU382" s="1"/>
      <c r="YV382" s="1"/>
      <c r="YW382" s="1"/>
      <c r="YX382" s="1"/>
      <c r="YY382" s="1"/>
      <c r="YZ382" s="1"/>
      <c r="ZA382" s="1"/>
      <c r="ZB382" s="1"/>
      <c r="ZC382" s="1"/>
      <c r="ZD382" s="1"/>
      <c r="ZE382" s="1"/>
      <c r="ZF382" s="1"/>
      <c r="ZG382" s="1"/>
      <c r="ZH382" s="1"/>
      <c r="ZI382" s="1"/>
      <c r="ZJ382" s="1"/>
      <c r="ZK382" s="1"/>
      <c r="ZL382" s="1"/>
      <c r="ZM382" s="1"/>
      <c r="ZN382" s="1"/>
      <c r="ZO382" s="1"/>
      <c r="ZP382" s="1"/>
      <c r="ZQ382" s="1"/>
      <c r="ZR382" s="1"/>
      <c r="ZS382" s="1"/>
      <c r="ZT382" s="1"/>
      <c r="ZU382" s="1"/>
      <c r="ZV382" s="1"/>
      <c r="ZW382" s="1"/>
      <c r="ZX382" s="1"/>
      <c r="ZY382" s="1"/>
      <c r="ZZ382" s="1"/>
      <c r="AAA382" s="1"/>
      <c r="AAB382" s="1"/>
      <c r="AAC382" s="1"/>
      <c r="AAD382" s="1"/>
      <c r="AAE382" s="1"/>
      <c r="AAF382" s="1"/>
      <c r="AAG382" s="1"/>
      <c r="AAH382" s="1"/>
      <c r="AAI382" s="1"/>
      <c r="AAJ382" s="1"/>
      <c r="AAK382" s="1"/>
      <c r="AAL382" s="1"/>
      <c r="AAM382" s="1"/>
      <c r="AAN382" s="1"/>
      <c r="AAO382" s="1"/>
      <c r="AAP382" s="1"/>
      <c r="AAQ382" s="1"/>
      <c r="AAR382" s="1"/>
      <c r="AAS382" s="1"/>
      <c r="AAT382" s="1"/>
      <c r="AAU382" s="1"/>
      <c r="AAV382" s="1"/>
      <c r="AAW382" s="1"/>
      <c r="AAX382" s="1"/>
      <c r="AAY382" s="1"/>
      <c r="AAZ382" s="1"/>
      <c r="ABA382" s="1"/>
      <c r="ABB382" s="1"/>
      <c r="ABC382" s="1"/>
      <c r="ABD382" s="1"/>
      <c r="ABE382" s="1"/>
      <c r="ABF382" s="1"/>
      <c r="ABG382" s="1"/>
      <c r="ABH382" s="1"/>
      <c r="ABI382" s="1"/>
      <c r="ABJ382" s="1"/>
      <c r="ABK382" s="1"/>
      <c r="ABL382" s="1"/>
      <c r="ABM382" s="1"/>
      <c r="ABN382" s="1"/>
      <c r="ABO382" s="1"/>
      <c r="ABP382" s="1"/>
      <c r="ABQ382" s="1"/>
      <c r="ABR382" s="1"/>
      <c r="ABS382" s="1"/>
      <c r="ABT382" s="1"/>
      <c r="ABU382" s="1"/>
      <c r="ABV382" s="1"/>
      <c r="ABW382" s="1"/>
      <c r="ABX382" s="1"/>
      <c r="ABY382" s="1"/>
      <c r="ABZ382" s="1"/>
      <c r="ACA382" s="1"/>
      <c r="ACB382" s="1"/>
      <c r="ACC382" s="1"/>
      <c r="ACD382" s="1"/>
      <c r="ACE382" s="1"/>
      <c r="ACF382" s="1"/>
      <c r="ACG382" s="1"/>
      <c r="ACH382" s="1"/>
      <c r="ACI382" s="1"/>
      <c r="ACJ382" s="1"/>
      <c r="ACK382" s="1"/>
      <c r="ACL382" s="1"/>
      <c r="ACM382" s="1"/>
      <c r="ACN382" s="1"/>
      <c r="ACO382" s="1"/>
      <c r="ACP382" s="1"/>
      <c r="ACQ382" s="1"/>
      <c r="ACR382" s="1"/>
      <c r="ACS382" s="1"/>
      <c r="ACT382" s="1"/>
      <c r="ACU382" s="1"/>
      <c r="ACV382" s="1"/>
      <c r="ACW382" s="1"/>
      <c r="ACX382" s="1"/>
      <c r="ACY382" s="1"/>
      <c r="ACZ382" s="1"/>
      <c r="ADA382" s="1"/>
      <c r="ADB382" s="1"/>
      <c r="ADC382" s="1"/>
      <c r="ADD382" s="1"/>
      <c r="ADE382" s="1"/>
      <c r="ADF382" s="1"/>
      <c r="ADG382" s="1"/>
      <c r="ADH382" s="1"/>
      <c r="ADI382" s="1"/>
      <c r="ADJ382" s="1"/>
      <c r="ADK382" s="1"/>
      <c r="ADL382" s="1"/>
      <c r="ADM382" s="1"/>
      <c r="ADN382" s="1"/>
      <c r="ADO382" s="1"/>
      <c r="ADP382" s="1"/>
      <c r="ADQ382" s="1"/>
      <c r="ADR382" s="1"/>
      <c r="ADS382" s="1"/>
      <c r="ADT382" s="1"/>
      <c r="ADU382" s="1"/>
      <c r="ADV382" s="1"/>
      <c r="ADW382" s="1"/>
      <c r="ADX382" s="1"/>
      <c r="ADY382" s="1"/>
      <c r="ADZ382" s="1"/>
      <c r="AEA382" s="1"/>
      <c r="AEB382" s="1"/>
      <c r="AEC382" s="1"/>
      <c r="AED382" s="1"/>
      <c r="AEE382" s="1"/>
      <c r="AEF382" s="1"/>
      <c r="AEG382" s="1"/>
      <c r="AEH382" s="1"/>
      <c r="AEI382" s="1"/>
      <c r="AEJ382" s="1"/>
      <c r="AEK382" s="1"/>
      <c r="AEL382" s="1"/>
      <c r="AEM382" s="1"/>
      <c r="AEN382" s="1"/>
      <c r="AEO382" s="1"/>
      <c r="AEP382" s="1"/>
      <c r="AEQ382" s="1"/>
      <c r="AER382" s="1"/>
      <c r="AES382" s="1"/>
      <c r="AET382" s="1"/>
      <c r="AEU382" s="1"/>
      <c r="AEV382" s="1"/>
      <c r="AEW382" s="1"/>
      <c r="AEX382" s="1"/>
      <c r="AEY382" s="1"/>
      <c r="AEZ382" s="1"/>
      <c r="AFA382" s="1"/>
      <c r="AFB382" s="1"/>
      <c r="AFC382" s="1"/>
      <c r="AFD382" s="1"/>
      <c r="AFE382" s="1"/>
      <c r="AFF382" s="1"/>
      <c r="AFG382" s="1"/>
      <c r="AFH382" s="1"/>
      <c r="AFI382" s="1"/>
      <c r="AFJ382" s="1"/>
      <c r="AFK382" s="1"/>
      <c r="AFL382" s="1"/>
      <c r="AFM382" s="1"/>
      <c r="AFN382" s="1"/>
      <c r="AFO382" s="1"/>
      <c r="AFP382" s="1"/>
      <c r="AFQ382" s="1"/>
      <c r="AFR382" s="1"/>
      <c r="AFS382" s="1"/>
      <c r="AFT382" s="1"/>
      <c r="AFU382" s="1"/>
      <c r="AFV382" s="1"/>
      <c r="AFW382" s="1"/>
      <c r="AFX382" s="1"/>
      <c r="AFY382" s="1"/>
      <c r="AFZ382" s="1"/>
      <c r="AGA382" s="1"/>
      <c r="AGB382" s="1"/>
      <c r="AGC382" s="1"/>
      <c r="AGD382" s="1"/>
      <c r="AGE382" s="1"/>
      <c r="AGF382" s="1"/>
      <c r="AGG382" s="1"/>
      <c r="AGH382" s="1"/>
      <c r="AGI382" s="1"/>
      <c r="AGJ382" s="1"/>
      <c r="AGK382" s="1"/>
      <c r="AGL382" s="1"/>
      <c r="AGM382" s="1"/>
      <c r="AGN382" s="1"/>
      <c r="AGO382" s="1"/>
      <c r="AGP382" s="1"/>
      <c r="AGQ382" s="1"/>
      <c r="AGR382" s="1"/>
      <c r="AGS382" s="1"/>
      <c r="AGT382" s="1"/>
      <c r="AGU382" s="1"/>
      <c r="AGV382" s="1"/>
      <c r="AGW382" s="1"/>
      <c r="AGX382" s="1"/>
      <c r="AGY382" s="1"/>
      <c r="AGZ382" s="1"/>
      <c r="AHA382" s="1"/>
      <c r="AHB382" s="1"/>
      <c r="AHC382" s="1"/>
      <c r="AHD382" s="1"/>
      <c r="AHE382" s="1"/>
      <c r="AHF382" s="1"/>
      <c r="AHG382" s="1"/>
      <c r="AHH382" s="1"/>
      <c r="AHI382" s="1"/>
      <c r="AHJ382" s="1"/>
      <c r="AHK382" s="1"/>
      <c r="AHL382" s="1"/>
      <c r="AHM382" s="1"/>
      <c r="AHN382" s="1"/>
      <c r="AHO382" s="1"/>
      <c r="AHP382" s="1"/>
      <c r="AHQ382" s="1"/>
      <c r="AHR382" s="1"/>
      <c r="AHS382" s="1"/>
      <c r="AHT382" s="1"/>
      <c r="AHU382" s="1"/>
      <c r="AHV382" s="1"/>
      <c r="AHW382" s="1"/>
      <c r="AHX382" s="1"/>
      <c r="AHY382" s="1"/>
    </row>
    <row r="383" spans="1:909" s="5" customFormat="1" ht="21.6" thickTop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  <c r="KA383" s="1"/>
      <c r="KB383" s="1"/>
      <c r="KC383" s="1"/>
      <c r="KD383" s="1"/>
      <c r="KE383" s="1"/>
      <c r="KF383" s="1"/>
      <c r="KG383" s="1"/>
      <c r="KH383" s="1"/>
      <c r="KI383" s="1"/>
      <c r="KJ383" s="1"/>
      <c r="KK383" s="1"/>
      <c r="KL383" s="1"/>
      <c r="KM383" s="1"/>
      <c r="KN383" s="1"/>
      <c r="KO383" s="1"/>
      <c r="KP383" s="1"/>
      <c r="KQ383" s="1"/>
      <c r="KR383" s="1"/>
      <c r="KS383" s="1"/>
      <c r="KT383" s="1"/>
      <c r="KU383" s="1"/>
      <c r="KV383" s="1"/>
      <c r="KW383" s="1"/>
      <c r="KX383" s="1"/>
      <c r="KY383" s="1"/>
      <c r="KZ383" s="1"/>
      <c r="LA383" s="1"/>
      <c r="LB383" s="1"/>
      <c r="LC383" s="1"/>
      <c r="LD383" s="1"/>
      <c r="LE383" s="1"/>
      <c r="LF383" s="1"/>
      <c r="LG383" s="1"/>
      <c r="LH383" s="1"/>
      <c r="LI383" s="1"/>
      <c r="LJ383" s="1"/>
      <c r="LK383" s="1"/>
      <c r="LL383" s="1"/>
      <c r="LM383" s="1"/>
      <c r="LN383" s="1"/>
      <c r="LO383" s="1"/>
      <c r="LP383" s="1"/>
      <c r="LQ383" s="1"/>
      <c r="LR383" s="1"/>
      <c r="LS383" s="1"/>
      <c r="LT383" s="1"/>
      <c r="LU383" s="1"/>
      <c r="LV383" s="1"/>
      <c r="LW383" s="1"/>
      <c r="LX383" s="1"/>
      <c r="LY383" s="1"/>
      <c r="LZ383" s="1"/>
      <c r="MA383" s="1"/>
      <c r="MB383" s="1"/>
      <c r="MC383" s="1"/>
      <c r="MD383" s="1"/>
      <c r="ME383" s="1"/>
      <c r="MF383" s="1"/>
      <c r="MG383" s="1"/>
      <c r="MH383" s="1"/>
      <c r="MI383" s="1"/>
      <c r="MJ383" s="1"/>
      <c r="MK383" s="1"/>
      <c r="ML383" s="1"/>
      <c r="MM383" s="1"/>
      <c r="MN383" s="1"/>
      <c r="MO383" s="1"/>
      <c r="MP383" s="1"/>
      <c r="MQ383" s="1"/>
      <c r="MR383" s="1"/>
      <c r="MS383" s="1"/>
      <c r="MT383" s="1"/>
      <c r="MU383" s="1"/>
      <c r="MV383" s="1"/>
      <c r="MW383" s="1"/>
      <c r="MX383" s="1"/>
      <c r="MY383" s="1"/>
      <c r="MZ383" s="1"/>
      <c r="NA383" s="1"/>
      <c r="NB383" s="1"/>
      <c r="NC383" s="1"/>
      <c r="ND383" s="1"/>
      <c r="NE383" s="1"/>
      <c r="NF383" s="1"/>
      <c r="NG383" s="1"/>
      <c r="NH383" s="1"/>
      <c r="NI383" s="1"/>
      <c r="NJ383" s="1"/>
      <c r="NK383" s="1"/>
      <c r="NL383" s="1"/>
      <c r="NM383" s="1"/>
      <c r="NN383" s="1"/>
      <c r="NO383" s="1"/>
      <c r="NP383" s="1"/>
      <c r="NQ383" s="1"/>
      <c r="NR383" s="1"/>
      <c r="NS383" s="1"/>
      <c r="NT383" s="1"/>
      <c r="NU383" s="1"/>
      <c r="NV383" s="1"/>
      <c r="NW383" s="1"/>
      <c r="NX383" s="1"/>
      <c r="NY383" s="1"/>
      <c r="NZ383" s="1"/>
      <c r="OA383" s="1"/>
      <c r="OB383" s="1"/>
      <c r="OC383" s="1"/>
      <c r="OD383" s="1"/>
      <c r="OE383" s="1"/>
      <c r="OF383" s="1"/>
      <c r="OG383" s="1"/>
      <c r="OH383" s="1"/>
      <c r="OI383" s="1"/>
      <c r="OJ383" s="1"/>
      <c r="OK383" s="1"/>
      <c r="OL383" s="1"/>
      <c r="OM383" s="1"/>
      <c r="ON383" s="1"/>
      <c r="OO383" s="1"/>
      <c r="OP383" s="1"/>
      <c r="OQ383" s="1"/>
      <c r="OR383" s="1"/>
      <c r="OS383" s="1"/>
      <c r="OT383" s="1"/>
      <c r="OU383" s="1"/>
      <c r="OV383" s="1"/>
      <c r="OW383" s="1"/>
      <c r="OX383" s="1"/>
      <c r="OY383" s="1"/>
      <c r="OZ383" s="1"/>
      <c r="PA383" s="1"/>
      <c r="PB383" s="1"/>
      <c r="PC383" s="1"/>
      <c r="PD383" s="1"/>
      <c r="PE383" s="1"/>
      <c r="PF383" s="1"/>
      <c r="PG383" s="1"/>
      <c r="PH383" s="1"/>
      <c r="PI383" s="1"/>
      <c r="PJ383" s="1"/>
      <c r="PK383" s="1"/>
      <c r="PL383" s="1"/>
      <c r="PM383" s="1"/>
      <c r="PN383" s="1"/>
      <c r="PO383" s="1"/>
      <c r="PP383" s="1"/>
      <c r="PQ383" s="1"/>
      <c r="PR383" s="1"/>
      <c r="PS383" s="1"/>
      <c r="PT383" s="1"/>
      <c r="PU383" s="1"/>
      <c r="PV383" s="1"/>
      <c r="PW383" s="1"/>
      <c r="PX383" s="1"/>
      <c r="PY383" s="1"/>
      <c r="PZ383" s="1"/>
      <c r="QA383" s="1"/>
      <c r="QB383" s="1"/>
      <c r="QC383" s="1"/>
      <c r="QD383" s="1"/>
      <c r="QE383" s="1"/>
      <c r="QF383" s="1"/>
      <c r="QG383" s="1"/>
      <c r="QH383" s="1"/>
      <c r="QI383" s="1"/>
      <c r="QJ383" s="1"/>
      <c r="QK383" s="1"/>
      <c r="QL383" s="1"/>
      <c r="QM383" s="1"/>
      <c r="QN383" s="1"/>
      <c r="QO383" s="1"/>
      <c r="QP383" s="1"/>
      <c r="QQ383" s="1"/>
      <c r="QR383" s="1"/>
      <c r="QS383" s="1"/>
      <c r="QT383" s="1"/>
      <c r="QU383" s="1"/>
      <c r="QV383" s="1"/>
      <c r="QW383" s="1"/>
      <c r="QX383" s="1"/>
      <c r="QY383" s="1"/>
      <c r="QZ383" s="1"/>
      <c r="RA383" s="1"/>
      <c r="RB383" s="1"/>
      <c r="RC383" s="1"/>
      <c r="RD383" s="1"/>
      <c r="RE383" s="1"/>
      <c r="RF383" s="1"/>
      <c r="RG383" s="1"/>
      <c r="RH383" s="1"/>
      <c r="RI383" s="1"/>
      <c r="RJ383" s="1"/>
      <c r="RK383" s="1"/>
      <c r="RL383" s="1"/>
      <c r="RM383" s="1"/>
      <c r="RN383" s="1"/>
      <c r="RO383" s="1"/>
      <c r="RP383" s="1"/>
      <c r="RQ383" s="1"/>
      <c r="RR383" s="1"/>
      <c r="RS383" s="1"/>
      <c r="RT383" s="1"/>
      <c r="RU383" s="1"/>
      <c r="RV383" s="1"/>
      <c r="RW383" s="1"/>
      <c r="RX383" s="1"/>
      <c r="RY383" s="1"/>
      <c r="RZ383" s="1"/>
      <c r="SA383" s="1"/>
      <c r="SB383" s="1"/>
      <c r="SC383" s="1"/>
      <c r="SD383" s="1"/>
      <c r="SE383" s="1"/>
      <c r="SF383" s="1"/>
      <c r="SG383" s="1"/>
      <c r="SH383" s="1"/>
      <c r="SI383" s="1"/>
      <c r="SJ383" s="1"/>
      <c r="SK383" s="1"/>
      <c r="SL383" s="1"/>
      <c r="SM383" s="1"/>
      <c r="SN383" s="1"/>
      <c r="SO383" s="1"/>
      <c r="SP383" s="1"/>
      <c r="SQ383" s="1"/>
      <c r="SR383" s="1"/>
      <c r="SS383" s="1"/>
      <c r="ST383" s="1"/>
      <c r="SU383" s="1"/>
      <c r="SV383" s="1"/>
      <c r="SW383" s="1"/>
      <c r="SX383" s="1"/>
      <c r="SY383" s="1"/>
      <c r="SZ383" s="1"/>
      <c r="TA383" s="1"/>
      <c r="TB383" s="1"/>
      <c r="TC383" s="1"/>
      <c r="TD383" s="1"/>
      <c r="TE383" s="1"/>
      <c r="TF383" s="1"/>
      <c r="TG383" s="1"/>
      <c r="TH383" s="1"/>
      <c r="TI383" s="1"/>
      <c r="TJ383" s="1"/>
      <c r="TK383" s="1"/>
      <c r="TL383" s="1"/>
      <c r="TM383" s="1"/>
      <c r="TN383" s="1"/>
      <c r="TO383" s="1"/>
      <c r="TP383" s="1"/>
      <c r="TQ383" s="1"/>
      <c r="TR383" s="1"/>
      <c r="TS383" s="1"/>
      <c r="TT383" s="1"/>
      <c r="TU383" s="1"/>
      <c r="TV383" s="1"/>
      <c r="TW383" s="1"/>
      <c r="TX383" s="1"/>
      <c r="TY383" s="1"/>
      <c r="TZ383" s="1"/>
      <c r="UA383" s="1"/>
      <c r="UB383" s="1"/>
      <c r="UC383" s="1"/>
      <c r="UD383" s="1"/>
      <c r="UE383" s="1"/>
      <c r="UF383" s="1"/>
      <c r="UG383" s="1"/>
      <c r="UH383" s="1"/>
      <c r="UI383" s="1"/>
      <c r="UJ383" s="1"/>
      <c r="UK383" s="1"/>
      <c r="UL383" s="1"/>
      <c r="UM383" s="1"/>
      <c r="UN383" s="1"/>
      <c r="UO383" s="1"/>
      <c r="UP383" s="1"/>
      <c r="UQ383" s="1"/>
      <c r="UR383" s="1"/>
      <c r="US383" s="1"/>
      <c r="UT383" s="1"/>
      <c r="UU383" s="1"/>
      <c r="UV383" s="1"/>
      <c r="UW383" s="1"/>
      <c r="UX383" s="1"/>
      <c r="UY383" s="1"/>
      <c r="UZ383" s="1"/>
      <c r="VA383" s="1"/>
      <c r="VB383" s="1"/>
      <c r="VC383" s="1"/>
      <c r="VD383" s="1"/>
      <c r="VE383" s="1"/>
      <c r="VF383" s="1"/>
      <c r="VG383" s="1"/>
      <c r="VH383" s="1"/>
      <c r="VI383" s="1"/>
      <c r="VJ383" s="1"/>
      <c r="VK383" s="1"/>
      <c r="VL383" s="1"/>
      <c r="VM383" s="1"/>
      <c r="VN383" s="1"/>
      <c r="VO383" s="1"/>
      <c r="VP383" s="1"/>
      <c r="VQ383" s="1"/>
      <c r="VR383" s="1"/>
      <c r="VS383" s="1"/>
      <c r="VT383" s="1"/>
      <c r="VU383" s="1"/>
      <c r="VV383" s="1"/>
      <c r="VW383" s="1"/>
      <c r="VX383" s="1"/>
      <c r="VY383" s="1"/>
      <c r="VZ383" s="1"/>
      <c r="WA383" s="1"/>
      <c r="WB383" s="1"/>
      <c r="WC383" s="1"/>
      <c r="WD383" s="1"/>
      <c r="WE383" s="1"/>
      <c r="WF383" s="1"/>
      <c r="WG383" s="1"/>
      <c r="WH383" s="1"/>
      <c r="WI383" s="1"/>
      <c r="WJ383" s="1"/>
      <c r="WK383" s="1"/>
      <c r="WL383" s="1"/>
      <c r="WM383" s="1"/>
      <c r="WN383" s="1"/>
      <c r="WO383" s="1"/>
      <c r="WP383" s="1"/>
      <c r="WQ383" s="1"/>
      <c r="WR383" s="1"/>
      <c r="WS383" s="1"/>
      <c r="WT383" s="1"/>
      <c r="WU383" s="1"/>
      <c r="WV383" s="1"/>
      <c r="WW383" s="1"/>
      <c r="WX383" s="1"/>
      <c r="WY383" s="1"/>
      <c r="WZ383" s="1"/>
      <c r="XA383" s="1"/>
      <c r="XB383" s="1"/>
      <c r="XC383" s="1"/>
      <c r="XD383" s="1"/>
      <c r="XE383" s="1"/>
      <c r="XF383" s="1"/>
      <c r="XG383" s="1"/>
      <c r="XH383" s="1"/>
      <c r="XI383" s="1"/>
      <c r="XJ383" s="1"/>
      <c r="XK383" s="1"/>
      <c r="XL383" s="1"/>
      <c r="XM383" s="1"/>
      <c r="XN383" s="1"/>
      <c r="XO383" s="1"/>
      <c r="XP383" s="1"/>
      <c r="XQ383" s="1"/>
      <c r="XR383" s="1"/>
      <c r="XS383" s="1"/>
      <c r="XT383" s="1"/>
      <c r="XU383" s="1"/>
      <c r="XV383" s="1"/>
      <c r="XW383" s="1"/>
      <c r="XX383" s="1"/>
      <c r="XY383" s="1"/>
      <c r="XZ383" s="1"/>
      <c r="YA383" s="1"/>
      <c r="YB383" s="1"/>
      <c r="YC383" s="1"/>
      <c r="YD383" s="1"/>
      <c r="YE383" s="1"/>
      <c r="YF383" s="1"/>
      <c r="YG383" s="1"/>
      <c r="YH383" s="1"/>
      <c r="YI383" s="1"/>
      <c r="YJ383" s="1"/>
      <c r="YK383" s="1"/>
      <c r="YL383" s="1"/>
      <c r="YM383" s="1"/>
      <c r="YN383" s="1"/>
      <c r="YO383" s="1"/>
      <c r="YP383" s="1"/>
      <c r="YQ383" s="1"/>
      <c r="YR383" s="1"/>
      <c r="YS383" s="1"/>
      <c r="YT383" s="1"/>
      <c r="YU383" s="1"/>
      <c r="YV383" s="1"/>
      <c r="YW383" s="1"/>
      <c r="YX383" s="1"/>
      <c r="YY383" s="1"/>
      <c r="YZ383" s="1"/>
      <c r="ZA383" s="1"/>
      <c r="ZB383" s="1"/>
      <c r="ZC383" s="1"/>
      <c r="ZD383" s="1"/>
      <c r="ZE383" s="1"/>
      <c r="ZF383" s="1"/>
      <c r="ZG383" s="1"/>
      <c r="ZH383" s="1"/>
      <c r="ZI383" s="1"/>
      <c r="ZJ383" s="1"/>
      <c r="ZK383" s="1"/>
      <c r="ZL383" s="1"/>
      <c r="ZM383" s="1"/>
      <c r="ZN383" s="1"/>
      <c r="ZO383" s="1"/>
      <c r="ZP383" s="1"/>
      <c r="ZQ383" s="1"/>
      <c r="ZR383" s="1"/>
      <c r="ZS383" s="1"/>
      <c r="ZT383" s="1"/>
      <c r="ZU383" s="1"/>
      <c r="ZV383" s="1"/>
      <c r="ZW383" s="1"/>
      <c r="ZX383" s="1"/>
      <c r="ZY383" s="1"/>
      <c r="ZZ383" s="1"/>
      <c r="AAA383" s="1"/>
      <c r="AAB383" s="1"/>
      <c r="AAC383" s="1"/>
      <c r="AAD383" s="1"/>
      <c r="AAE383" s="1"/>
      <c r="AAF383" s="1"/>
      <c r="AAG383" s="1"/>
      <c r="AAH383" s="1"/>
      <c r="AAI383" s="1"/>
      <c r="AAJ383" s="1"/>
      <c r="AAK383" s="1"/>
      <c r="AAL383" s="1"/>
      <c r="AAM383" s="1"/>
      <c r="AAN383" s="1"/>
      <c r="AAO383" s="1"/>
      <c r="AAP383" s="1"/>
      <c r="AAQ383" s="1"/>
      <c r="AAR383" s="1"/>
      <c r="AAS383" s="1"/>
      <c r="AAT383" s="1"/>
      <c r="AAU383" s="1"/>
      <c r="AAV383" s="1"/>
      <c r="AAW383" s="1"/>
      <c r="AAX383" s="1"/>
      <c r="AAY383" s="1"/>
      <c r="AAZ383" s="1"/>
      <c r="ABA383" s="1"/>
      <c r="ABB383" s="1"/>
      <c r="ABC383" s="1"/>
      <c r="ABD383" s="1"/>
      <c r="ABE383" s="1"/>
      <c r="ABF383" s="1"/>
      <c r="ABG383" s="1"/>
      <c r="ABH383" s="1"/>
      <c r="ABI383" s="1"/>
      <c r="ABJ383" s="1"/>
      <c r="ABK383" s="1"/>
      <c r="ABL383" s="1"/>
      <c r="ABM383" s="1"/>
      <c r="ABN383" s="1"/>
      <c r="ABO383" s="1"/>
      <c r="ABP383" s="1"/>
      <c r="ABQ383" s="1"/>
      <c r="ABR383" s="1"/>
      <c r="ABS383" s="1"/>
      <c r="ABT383" s="1"/>
      <c r="ABU383" s="1"/>
      <c r="ABV383" s="1"/>
      <c r="ABW383" s="1"/>
      <c r="ABX383" s="1"/>
      <c r="ABY383" s="1"/>
      <c r="ABZ383" s="1"/>
      <c r="ACA383" s="1"/>
      <c r="ACB383" s="1"/>
      <c r="ACC383" s="1"/>
      <c r="ACD383" s="1"/>
      <c r="ACE383" s="1"/>
      <c r="ACF383" s="1"/>
      <c r="ACG383" s="1"/>
      <c r="ACH383" s="1"/>
      <c r="ACI383" s="1"/>
      <c r="ACJ383" s="1"/>
      <c r="ACK383" s="1"/>
      <c r="ACL383" s="1"/>
      <c r="ACM383" s="1"/>
      <c r="ACN383" s="1"/>
      <c r="ACO383" s="1"/>
      <c r="ACP383" s="1"/>
      <c r="ACQ383" s="1"/>
      <c r="ACR383" s="1"/>
      <c r="ACS383" s="1"/>
      <c r="ACT383" s="1"/>
      <c r="ACU383" s="1"/>
      <c r="ACV383" s="1"/>
      <c r="ACW383" s="1"/>
      <c r="ACX383" s="1"/>
      <c r="ACY383" s="1"/>
      <c r="ACZ383" s="1"/>
      <c r="ADA383" s="1"/>
      <c r="ADB383" s="1"/>
      <c r="ADC383" s="1"/>
      <c r="ADD383" s="1"/>
      <c r="ADE383" s="1"/>
      <c r="ADF383" s="1"/>
      <c r="ADG383" s="1"/>
      <c r="ADH383" s="1"/>
      <c r="ADI383" s="1"/>
      <c r="ADJ383" s="1"/>
      <c r="ADK383" s="1"/>
      <c r="ADL383" s="1"/>
      <c r="ADM383" s="1"/>
      <c r="ADN383" s="1"/>
      <c r="ADO383" s="1"/>
      <c r="ADP383" s="1"/>
      <c r="ADQ383" s="1"/>
      <c r="ADR383" s="1"/>
      <c r="ADS383" s="1"/>
      <c r="ADT383" s="1"/>
      <c r="ADU383" s="1"/>
      <c r="ADV383" s="1"/>
      <c r="ADW383" s="1"/>
      <c r="ADX383" s="1"/>
      <c r="ADY383" s="1"/>
      <c r="ADZ383" s="1"/>
      <c r="AEA383" s="1"/>
      <c r="AEB383" s="1"/>
      <c r="AEC383" s="1"/>
      <c r="AED383" s="1"/>
      <c r="AEE383" s="1"/>
      <c r="AEF383" s="1"/>
      <c r="AEG383" s="1"/>
      <c r="AEH383" s="1"/>
      <c r="AEI383" s="1"/>
      <c r="AEJ383" s="1"/>
      <c r="AEK383" s="1"/>
      <c r="AEL383" s="1"/>
      <c r="AEM383" s="1"/>
      <c r="AEN383" s="1"/>
      <c r="AEO383" s="1"/>
      <c r="AEP383" s="1"/>
      <c r="AEQ383" s="1"/>
      <c r="AER383" s="1"/>
      <c r="AES383" s="1"/>
      <c r="AET383" s="1"/>
      <c r="AEU383" s="1"/>
      <c r="AEV383" s="1"/>
      <c r="AEW383" s="1"/>
      <c r="AEX383" s="1"/>
      <c r="AEY383" s="1"/>
      <c r="AEZ383" s="1"/>
      <c r="AFA383" s="1"/>
      <c r="AFB383" s="1"/>
      <c r="AFC383" s="1"/>
      <c r="AFD383" s="1"/>
      <c r="AFE383" s="1"/>
      <c r="AFF383" s="1"/>
      <c r="AFG383" s="1"/>
      <c r="AFH383" s="1"/>
      <c r="AFI383" s="1"/>
      <c r="AFJ383" s="1"/>
      <c r="AFK383" s="1"/>
      <c r="AFL383" s="1"/>
      <c r="AFM383" s="1"/>
      <c r="AFN383" s="1"/>
      <c r="AFO383" s="1"/>
      <c r="AFP383" s="1"/>
      <c r="AFQ383" s="1"/>
      <c r="AFR383" s="1"/>
      <c r="AFS383" s="1"/>
      <c r="AFT383" s="1"/>
      <c r="AFU383" s="1"/>
      <c r="AFV383" s="1"/>
      <c r="AFW383" s="1"/>
      <c r="AFX383" s="1"/>
      <c r="AFY383" s="1"/>
      <c r="AFZ383" s="1"/>
      <c r="AGA383" s="1"/>
      <c r="AGB383" s="1"/>
      <c r="AGC383" s="1"/>
      <c r="AGD383" s="1"/>
      <c r="AGE383" s="1"/>
      <c r="AGF383" s="1"/>
      <c r="AGG383" s="1"/>
      <c r="AGH383" s="1"/>
      <c r="AGI383" s="1"/>
      <c r="AGJ383" s="1"/>
      <c r="AGK383" s="1"/>
      <c r="AGL383" s="1"/>
      <c r="AGM383" s="1"/>
      <c r="AGN383" s="1"/>
      <c r="AGO383" s="1"/>
      <c r="AGP383" s="1"/>
      <c r="AGQ383" s="1"/>
      <c r="AGR383" s="1"/>
      <c r="AGS383" s="1"/>
      <c r="AGT383" s="1"/>
      <c r="AGU383" s="1"/>
      <c r="AGV383" s="1"/>
      <c r="AGW383" s="1"/>
      <c r="AGX383" s="1"/>
      <c r="AGY383" s="1"/>
      <c r="AGZ383" s="1"/>
      <c r="AHA383" s="1"/>
      <c r="AHB383" s="1"/>
      <c r="AHC383" s="1"/>
      <c r="AHD383" s="1"/>
      <c r="AHE383" s="1"/>
      <c r="AHF383" s="1"/>
      <c r="AHG383" s="1"/>
      <c r="AHH383" s="1"/>
      <c r="AHI383" s="1"/>
      <c r="AHJ383" s="1"/>
      <c r="AHK383" s="1"/>
      <c r="AHL383" s="1"/>
      <c r="AHM383" s="1"/>
      <c r="AHN383" s="1"/>
      <c r="AHO383" s="1"/>
      <c r="AHP383" s="1"/>
      <c r="AHQ383" s="1"/>
      <c r="AHR383" s="1"/>
      <c r="AHS383" s="1"/>
      <c r="AHT383" s="1"/>
      <c r="AHU383" s="1"/>
      <c r="AHV383" s="1"/>
      <c r="AHW383" s="1"/>
      <c r="AHX383" s="1"/>
      <c r="AHY383" s="1"/>
    </row>
    <row r="384" spans="1:909" s="1" customFormat="1" ht="21">
      <c r="A384" s="156" t="s">
        <v>135</v>
      </c>
      <c r="B384" s="156"/>
      <c r="C384" s="156"/>
      <c r="D384" s="156"/>
      <c r="E384" s="156"/>
      <c r="F384" s="156"/>
      <c r="G384" s="156"/>
      <c r="H384" s="156"/>
      <c r="I384" s="156"/>
      <c r="J384" s="156"/>
      <c r="K384" s="156"/>
      <c r="L384" s="156"/>
      <c r="M384" s="156"/>
      <c r="N384" s="156"/>
      <c r="O384" s="156"/>
      <c r="P384" s="156"/>
      <c r="Q384" s="2"/>
    </row>
    <row r="385" spans="1:17" s="1" customFormat="1" ht="21">
      <c r="A385" s="156" t="s">
        <v>136</v>
      </c>
      <c r="B385" s="156"/>
      <c r="C385" s="156"/>
      <c r="D385" s="156"/>
      <c r="E385" s="156"/>
      <c r="F385" s="156"/>
      <c r="G385" s="156"/>
      <c r="H385" s="156"/>
      <c r="I385" s="156"/>
      <c r="J385" s="156"/>
      <c r="K385" s="156"/>
      <c r="L385" s="156"/>
      <c r="M385" s="156"/>
      <c r="N385" s="156"/>
      <c r="O385" s="156"/>
      <c r="P385" s="156"/>
      <c r="Q385" s="156"/>
    </row>
    <row r="386" spans="1:17" s="1" customFormat="1" ht="21">
      <c r="A386" s="189" t="s">
        <v>113</v>
      </c>
      <c r="B386" s="189"/>
      <c r="C386" s="189"/>
      <c r="D386" s="189"/>
      <c r="E386" s="189"/>
      <c r="F386" s="189"/>
      <c r="G386" s="189"/>
      <c r="H386" s="189"/>
      <c r="I386" s="189"/>
      <c r="J386" s="189"/>
      <c r="K386" s="189"/>
      <c r="L386" s="189"/>
      <c r="M386" s="189"/>
      <c r="N386" s="189"/>
      <c r="O386" s="189"/>
      <c r="P386" s="189"/>
    </row>
    <row r="387" spans="1:17" s="1" customFormat="1" ht="21.6" thickBot="1">
      <c r="F387" s="13"/>
      <c r="G387" s="13"/>
      <c r="H387" s="13"/>
      <c r="I387" s="13"/>
      <c r="J387" s="13"/>
      <c r="K387" s="13"/>
    </row>
    <row r="388" spans="1:17" s="1" customFormat="1" ht="22.2" thickTop="1" thickBot="1">
      <c r="A388" s="190"/>
      <c r="B388" s="183" t="s">
        <v>114</v>
      </c>
      <c r="C388" s="192"/>
      <c r="D388" s="183" t="s">
        <v>115</v>
      </c>
      <c r="E388" s="192"/>
      <c r="F388" s="183" t="s">
        <v>116</v>
      </c>
      <c r="G388" s="192"/>
      <c r="H388" s="183" t="s">
        <v>117</v>
      </c>
      <c r="I388" s="192"/>
      <c r="J388" s="183" t="s">
        <v>118</v>
      </c>
      <c r="K388" s="192"/>
      <c r="L388" s="183" t="s">
        <v>119</v>
      </c>
      <c r="M388" s="192"/>
      <c r="N388" s="183" t="s">
        <v>120</v>
      </c>
      <c r="O388" s="184"/>
      <c r="P388" s="185"/>
    </row>
    <row r="389" spans="1:17" s="1" customFormat="1" ht="22.2" thickTop="1" thickBot="1">
      <c r="A389" s="191"/>
      <c r="B389" s="4" t="s">
        <v>76</v>
      </c>
      <c r="C389" s="4" t="s">
        <v>121</v>
      </c>
      <c r="D389" s="4" t="s">
        <v>76</v>
      </c>
      <c r="E389" s="4" t="s">
        <v>121</v>
      </c>
      <c r="F389" s="4" t="s">
        <v>76</v>
      </c>
      <c r="G389" s="4" t="s">
        <v>121</v>
      </c>
      <c r="H389" s="4" t="s">
        <v>76</v>
      </c>
      <c r="I389" s="4" t="s">
        <v>121</v>
      </c>
      <c r="J389" s="4" t="s">
        <v>76</v>
      </c>
      <c r="K389" s="4" t="s">
        <v>121</v>
      </c>
      <c r="L389" s="4" t="s">
        <v>76</v>
      </c>
      <c r="M389" s="4" t="s">
        <v>121</v>
      </c>
      <c r="N389" s="4" t="s">
        <v>76</v>
      </c>
      <c r="O389" s="4" t="s">
        <v>121</v>
      </c>
      <c r="P389" s="14" t="s">
        <v>122</v>
      </c>
    </row>
    <row r="390" spans="1:17" s="1" customFormat="1" ht="22.2" thickTop="1" thickBot="1">
      <c r="A390" s="11" t="s">
        <v>123</v>
      </c>
      <c r="B390" s="4">
        <f>'[1]التعليم الابتدائي'!AP607</f>
        <v>0</v>
      </c>
      <c r="C390" s="4">
        <f>'[1]التعليم الابتدائي'!AQ607</f>
        <v>0</v>
      </c>
      <c r="D390" s="177"/>
      <c r="E390" s="178"/>
      <c r="F390" s="178"/>
      <c r="G390" s="178"/>
      <c r="H390" s="178"/>
      <c r="I390" s="178"/>
      <c r="J390" s="178"/>
      <c r="K390" s="178"/>
      <c r="L390" s="178"/>
      <c r="M390" s="186"/>
      <c r="N390" s="4">
        <f>B390</f>
        <v>0</v>
      </c>
      <c r="O390" s="4">
        <f>C390</f>
        <v>0</v>
      </c>
      <c r="P390" s="14">
        <f t="shared" ref="P390:P400" si="24">O390+N390</f>
        <v>0</v>
      </c>
    </row>
    <row r="391" spans="1:17" s="1" customFormat="1" ht="22.2" thickTop="1" thickBot="1">
      <c r="A391" s="11" t="s">
        <v>124</v>
      </c>
      <c r="B391" s="4">
        <f>'[1]التعليم الابتدائي'!AR607</f>
        <v>0</v>
      </c>
      <c r="C391" s="4">
        <f>'[1]التعليم الابتدائي'!AS607</f>
        <v>0</v>
      </c>
      <c r="D391" s="137"/>
      <c r="E391" s="138"/>
      <c r="F391" s="180"/>
      <c r="G391" s="180"/>
      <c r="H391" s="180"/>
      <c r="I391" s="180"/>
      <c r="J391" s="180"/>
      <c r="K391" s="180"/>
      <c r="L391" s="180"/>
      <c r="M391" s="187"/>
      <c r="N391" s="4">
        <f>B391</f>
        <v>0</v>
      </c>
      <c r="O391" s="4">
        <f>C391</f>
        <v>0</v>
      </c>
      <c r="P391" s="14">
        <f t="shared" si="24"/>
        <v>0</v>
      </c>
    </row>
    <row r="392" spans="1:17" s="1" customFormat="1" ht="22.2" thickTop="1" thickBot="1">
      <c r="A392" s="11" t="s">
        <v>125</v>
      </c>
      <c r="B392" s="4">
        <f>'[1]التعليم الابتدائي'!AT607</f>
        <v>0</v>
      </c>
      <c r="C392" s="4">
        <f>'[1]التعليم الابتدائي'!AU607</f>
        <v>0</v>
      </c>
      <c r="D392" s="4">
        <f>'[1]التعليم الابتدائي'!BE607</f>
        <v>0</v>
      </c>
      <c r="E392" s="4">
        <f>'[1]التعليم الابتدائي'!BF607</f>
        <v>0</v>
      </c>
      <c r="F392" s="138"/>
      <c r="G392" s="138"/>
      <c r="H392" s="180"/>
      <c r="I392" s="180"/>
      <c r="J392" s="180"/>
      <c r="K392" s="180"/>
      <c r="L392" s="180"/>
      <c r="M392" s="187"/>
      <c r="N392" s="4">
        <f>D392+B392</f>
        <v>0</v>
      </c>
      <c r="O392" s="4">
        <f>E392+C392</f>
        <v>0</v>
      </c>
      <c r="P392" s="14">
        <f t="shared" si="24"/>
        <v>0</v>
      </c>
    </row>
    <row r="393" spans="1:17" s="1" customFormat="1" ht="22.2" thickTop="1" thickBot="1">
      <c r="A393" s="11" t="s">
        <v>126</v>
      </c>
      <c r="B393" s="4">
        <f>'[1]التعليم الابتدائي'!AV607</f>
        <v>0</v>
      </c>
      <c r="C393" s="4">
        <f>'[1]التعليم الابتدائي'!AW607</f>
        <v>0</v>
      </c>
      <c r="D393" s="4">
        <f>'[1]التعليم الابتدائي'!BG607</f>
        <v>0</v>
      </c>
      <c r="E393" s="4">
        <f>'[1]التعليم الابتدائي'!BH607</f>
        <v>0</v>
      </c>
      <c r="F393" s="4">
        <f>'[1]التعليم الابتدائي'!BR607</f>
        <v>0</v>
      </c>
      <c r="G393" s="4">
        <f>'[1]التعليم الابتدائي'!BS607</f>
        <v>0</v>
      </c>
      <c r="H393" s="138"/>
      <c r="I393" s="138"/>
      <c r="J393" s="180"/>
      <c r="K393" s="180"/>
      <c r="L393" s="180"/>
      <c r="M393" s="187"/>
      <c r="N393" s="4">
        <f>F393+D393+B393</f>
        <v>0</v>
      </c>
      <c r="O393" s="4">
        <f>G393+E393+C393</f>
        <v>0</v>
      </c>
      <c r="P393" s="14">
        <f t="shared" si="24"/>
        <v>0</v>
      </c>
    </row>
    <row r="394" spans="1:17" s="1" customFormat="1" ht="22.2" thickTop="1" thickBot="1">
      <c r="A394" s="11" t="s">
        <v>106</v>
      </c>
      <c r="B394" s="4">
        <f>'[1]التعليم الابتدائي'!AX607</f>
        <v>0</v>
      </c>
      <c r="C394" s="4">
        <f>'[1]التعليم الابتدائي'!AY607</f>
        <v>0</v>
      </c>
      <c r="D394" s="4">
        <f>'[1]التعليم الابتدائي'!BI607</f>
        <v>0</v>
      </c>
      <c r="E394" s="4">
        <f>'[1]التعليم الابتدائي'!BJ607</f>
        <v>0</v>
      </c>
      <c r="F394" s="4">
        <f>'[1]التعليم الابتدائي'!BT607</f>
        <v>0</v>
      </c>
      <c r="G394" s="4">
        <f>'[1]التعليم الابتدائي'!BU607</f>
        <v>0</v>
      </c>
      <c r="H394" s="4">
        <f>'[1]التعليم الابتدائي'!CE607</f>
        <v>0</v>
      </c>
      <c r="I394" s="4">
        <f>'[1]التعليم الابتدائي'!CF607</f>
        <v>0</v>
      </c>
      <c r="J394" s="138"/>
      <c r="K394" s="138"/>
      <c r="L394" s="180"/>
      <c r="M394" s="187"/>
      <c r="N394" s="4">
        <f>B394+D394+F394+H394</f>
        <v>0</v>
      </c>
      <c r="O394" s="4">
        <f>I394+G394+E394+C394</f>
        <v>0</v>
      </c>
      <c r="P394" s="14">
        <f t="shared" si="24"/>
        <v>0</v>
      </c>
    </row>
    <row r="395" spans="1:17" s="1" customFormat="1" ht="22.2" thickTop="1" thickBot="1">
      <c r="A395" s="11" t="s">
        <v>127</v>
      </c>
      <c r="B395" s="4">
        <f>'[1]التعليم الابتدائي'!AZ607</f>
        <v>0</v>
      </c>
      <c r="C395" s="4">
        <f>'[1]التعليم الابتدائي'!BA607</f>
        <v>0</v>
      </c>
      <c r="D395" s="4">
        <f>'[1]التعليم الابتدائي'!BK607</f>
        <v>0</v>
      </c>
      <c r="E395" s="4">
        <f>'[1]التعليم الابتدائي'!BL607</f>
        <v>0</v>
      </c>
      <c r="F395" s="4">
        <f>'[1]التعليم الابتدائي'!BV607</f>
        <v>0</v>
      </c>
      <c r="G395" s="4">
        <f>'[1]التعليم الابتدائي'!BW607</f>
        <v>0</v>
      </c>
      <c r="H395" s="4">
        <f>'[1]التعليم الابتدائي'!CG607</f>
        <v>0</v>
      </c>
      <c r="I395" s="4">
        <f>'[1]التعليم الابتدائي'!CH607</f>
        <v>0</v>
      </c>
      <c r="J395" s="4">
        <f>'[1]التعليم الابتدائي'!CR607</f>
        <v>0</v>
      </c>
      <c r="K395" s="4">
        <f>'[1]التعليم الابتدائي'!CS607</f>
        <v>0</v>
      </c>
      <c r="L395" s="138"/>
      <c r="M395" s="139"/>
      <c r="N395" s="4">
        <f>B395+D395+F395+H395+J395</f>
        <v>0</v>
      </c>
      <c r="O395" s="4">
        <f>K395+I395+G395+E395+C395</f>
        <v>0</v>
      </c>
      <c r="P395" s="14">
        <f t="shared" si="24"/>
        <v>0</v>
      </c>
    </row>
    <row r="396" spans="1:17" s="1" customFormat="1" ht="22.2" thickTop="1" thickBot="1">
      <c r="A396" s="11" t="s">
        <v>128</v>
      </c>
      <c r="B396" s="177"/>
      <c r="C396" s="178"/>
      <c r="D396" s="4">
        <f>'[1]التعليم الابتدائي'!BM607</f>
        <v>0</v>
      </c>
      <c r="E396" s="4">
        <f>'[1]التعليم الابتدائي'!BN607</f>
        <v>0</v>
      </c>
      <c r="F396" s="4">
        <f>'[1]التعليم الابتدائي'!BX607</f>
        <v>0</v>
      </c>
      <c r="G396" s="4">
        <f>'[1]التعليم الابتدائي'!BY607</f>
        <v>0</v>
      </c>
      <c r="H396" s="4">
        <f>'[1]التعليم الابتدائي'!CI607</f>
        <v>0</v>
      </c>
      <c r="I396" s="4">
        <f>'[1]التعليم الابتدائي'!CJ607</f>
        <v>0</v>
      </c>
      <c r="J396" s="4">
        <f>'[1]التعليم الابتدائي'!CT607</f>
        <v>0</v>
      </c>
      <c r="K396" s="4">
        <f>'[1]التعليم الابتدائي'!CU607</f>
        <v>0</v>
      </c>
      <c r="L396" s="4">
        <f>'[1]التعليم الابتدائي'!DE607</f>
        <v>0</v>
      </c>
      <c r="M396" s="4">
        <f>'[1]التعليم الابتدائي'!DF607</f>
        <v>0</v>
      </c>
      <c r="N396" s="4">
        <f>D396+F396+H396+J396+L396</f>
        <v>0</v>
      </c>
      <c r="O396" s="4">
        <f>M396+K396+I396+G396+E396</f>
        <v>0</v>
      </c>
      <c r="P396" s="14">
        <f t="shared" si="24"/>
        <v>0</v>
      </c>
    </row>
    <row r="397" spans="1:17" s="1" customFormat="1" ht="22.2" thickTop="1" thickBot="1">
      <c r="A397" s="11" t="s">
        <v>129</v>
      </c>
      <c r="B397" s="179"/>
      <c r="C397" s="180"/>
      <c r="D397" s="178"/>
      <c r="E397" s="178"/>
      <c r="F397" s="4">
        <f>'[1]التعليم الابتدائي'!BZ607</f>
        <v>0</v>
      </c>
      <c r="G397" s="4">
        <f>'[1]التعليم الابتدائي'!CA607</f>
        <v>0</v>
      </c>
      <c r="H397" s="4">
        <f>'[1]التعليم الابتدائي'!CK607</f>
        <v>0</v>
      </c>
      <c r="I397" s="4">
        <f>'[1]التعليم الابتدائي'!CL607</f>
        <v>0</v>
      </c>
      <c r="J397" s="4">
        <f>'[1]التعليم الابتدائي'!CV607</f>
        <v>0</v>
      </c>
      <c r="K397" s="4">
        <f>'[1]التعليم الابتدائي'!CW607</f>
        <v>0</v>
      </c>
      <c r="L397" s="4">
        <f>'[1]التعليم الابتدائي'!DG607</f>
        <v>0</v>
      </c>
      <c r="M397" s="4">
        <f>'[1]التعليم الابتدائي'!DH607</f>
        <v>0</v>
      </c>
      <c r="N397" s="4">
        <f>L397+J397+H397+F397</f>
        <v>0</v>
      </c>
      <c r="O397" s="4">
        <f>M397+K397+I397+G397</f>
        <v>0</v>
      </c>
      <c r="P397" s="14">
        <f t="shared" si="24"/>
        <v>0</v>
      </c>
    </row>
    <row r="398" spans="1:17" s="1" customFormat="1" ht="22.2" thickTop="1" thickBot="1">
      <c r="A398" s="11" t="s">
        <v>130</v>
      </c>
      <c r="B398" s="179"/>
      <c r="C398" s="180"/>
      <c r="D398" s="180"/>
      <c r="E398" s="180"/>
      <c r="F398" s="178"/>
      <c r="G398" s="178"/>
      <c r="H398" s="4">
        <f>'[1]التعليم الابتدائي'!CM607</f>
        <v>0</v>
      </c>
      <c r="I398" s="4">
        <f>'[1]التعليم الابتدائي'!CN607</f>
        <v>0</v>
      </c>
      <c r="J398" s="4">
        <f>'[1]التعليم الابتدائي'!CX607</f>
        <v>0</v>
      </c>
      <c r="K398" s="4">
        <f>'[1]التعليم الابتدائي'!CY607</f>
        <v>0</v>
      </c>
      <c r="L398" s="4">
        <f>'[1]التعليم الابتدائي'!DI607</f>
        <v>0</v>
      </c>
      <c r="M398" s="4">
        <f>'[1]التعليم الابتدائي'!DJ607</f>
        <v>0</v>
      </c>
      <c r="N398" s="4">
        <f>L398+J398+H398</f>
        <v>0</v>
      </c>
      <c r="O398" s="4">
        <f>M398+K398+I398</f>
        <v>0</v>
      </c>
      <c r="P398" s="14">
        <f t="shared" si="24"/>
        <v>0</v>
      </c>
    </row>
    <row r="399" spans="1:17" s="1" customFormat="1" ht="22.2" thickTop="1" thickBot="1">
      <c r="A399" s="11" t="s">
        <v>131</v>
      </c>
      <c r="B399" s="179"/>
      <c r="C399" s="180"/>
      <c r="D399" s="180"/>
      <c r="E399" s="180"/>
      <c r="F399" s="180"/>
      <c r="G399" s="180"/>
      <c r="H399" s="178"/>
      <c r="I399" s="178"/>
      <c r="J399" s="4">
        <f>'[1]التعليم الابتدائي'!CZ607</f>
        <v>0</v>
      </c>
      <c r="K399" s="4">
        <f>'[1]التعليم الابتدائي'!DA607</f>
        <v>0</v>
      </c>
      <c r="L399" s="4">
        <f>'[1]التعليم الابتدائي'!DK607</f>
        <v>0</v>
      </c>
      <c r="M399" s="4">
        <f>'[1]التعليم الابتدائي'!DL607</f>
        <v>0</v>
      </c>
      <c r="N399" s="4">
        <f>L399+J399</f>
        <v>0</v>
      </c>
      <c r="O399" s="4">
        <f>M399+K399</f>
        <v>0</v>
      </c>
      <c r="P399" s="14">
        <f t="shared" si="24"/>
        <v>0</v>
      </c>
    </row>
    <row r="400" spans="1:17" s="1" customFormat="1" ht="22.2" thickTop="1" thickBot="1">
      <c r="A400" s="11" t="s">
        <v>132</v>
      </c>
      <c r="B400" s="137"/>
      <c r="C400" s="138"/>
      <c r="D400" s="138"/>
      <c r="E400" s="138"/>
      <c r="F400" s="138"/>
      <c r="G400" s="138"/>
      <c r="H400" s="138"/>
      <c r="I400" s="138"/>
      <c r="J400" s="181"/>
      <c r="K400" s="182"/>
      <c r="L400" s="4">
        <f>'[1]التعليم الابتدائي'!DM607</f>
        <v>0</v>
      </c>
      <c r="M400" s="4">
        <f>'[1]التعليم الابتدائي'!DN607</f>
        <v>0</v>
      </c>
      <c r="N400" s="4">
        <f>L400</f>
        <v>0</v>
      </c>
      <c r="O400" s="4">
        <f>M400</f>
        <v>0</v>
      </c>
      <c r="P400" s="14">
        <f t="shared" si="24"/>
        <v>0</v>
      </c>
    </row>
    <row r="401" spans="1:909" s="1" customFormat="1" ht="22.2" thickTop="1" thickBot="1">
      <c r="A401" s="6" t="s">
        <v>122</v>
      </c>
      <c r="B401" s="7">
        <f>SUM(B390:B400)</f>
        <v>0</v>
      </c>
      <c r="C401" s="7">
        <f>SUM(C390:C400)</f>
        <v>0</v>
      </c>
      <c r="D401" s="7">
        <f>D396+D395+D394+D393+D392</f>
        <v>0</v>
      </c>
      <c r="E401" s="7">
        <f t="shared" ref="E401:P401" si="25">SUM(E390:E400)</f>
        <v>0</v>
      </c>
      <c r="F401" s="7">
        <f t="shared" si="25"/>
        <v>0</v>
      </c>
      <c r="G401" s="7">
        <f t="shared" si="25"/>
        <v>0</v>
      </c>
      <c r="H401" s="7">
        <f t="shared" si="25"/>
        <v>0</v>
      </c>
      <c r="I401" s="7">
        <f t="shared" si="25"/>
        <v>0</v>
      </c>
      <c r="J401" s="7">
        <f t="shared" si="25"/>
        <v>0</v>
      </c>
      <c r="K401" s="7">
        <f t="shared" si="25"/>
        <v>0</v>
      </c>
      <c r="L401" s="7">
        <f t="shared" si="25"/>
        <v>0</v>
      </c>
      <c r="M401" s="7">
        <f t="shared" si="25"/>
        <v>0</v>
      </c>
      <c r="N401" s="7">
        <f t="shared" si="25"/>
        <v>0</v>
      </c>
      <c r="O401" s="7">
        <f t="shared" si="25"/>
        <v>0</v>
      </c>
      <c r="P401" s="8">
        <f t="shared" si="25"/>
        <v>0</v>
      </c>
    </row>
    <row r="402" spans="1:909" ht="21.6" thickTop="1"/>
    <row r="403" spans="1:909" s="1" customFormat="1" ht="21">
      <c r="A403" s="156" t="s">
        <v>62</v>
      </c>
      <c r="B403" s="156"/>
      <c r="C403" s="156"/>
      <c r="D403" s="156"/>
      <c r="E403" s="156"/>
      <c r="F403" s="156"/>
      <c r="N403" s="2" t="s">
        <v>95</v>
      </c>
      <c r="O403" s="2"/>
      <c r="P403" s="2"/>
    </row>
    <row r="404" spans="1:909" s="1" customFormat="1" ht="21">
      <c r="A404" s="156" t="s">
        <v>64</v>
      </c>
      <c r="B404" s="156"/>
      <c r="C404" s="156"/>
      <c r="D404" s="156"/>
      <c r="E404" s="156"/>
      <c r="N404" s="2" t="s">
        <v>65</v>
      </c>
      <c r="O404" s="2"/>
      <c r="P404" s="2"/>
    </row>
    <row r="405" spans="1:909" s="1" customFormat="1" ht="21">
      <c r="A405" s="156" t="s">
        <v>99</v>
      </c>
      <c r="B405" s="156"/>
      <c r="C405" s="156"/>
      <c r="D405" s="156"/>
      <c r="E405" s="156"/>
      <c r="F405" s="156"/>
      <c r="G405" s="156"/>
      <c r="H405" s="156"/>
      <c r="I405" s="156"/>
      <c r="J405" s="156"/>
      <c r="K405" s="156"/>
      <c r="L405" s="156"/>
      <c r="M405" s="156"/>
      <c r="N405" s="156"/>
      <c r="O405" s="156"/>
      <c r="P405" s="156"/>
      <c r="Q405" s="2"/>
    </row>
    <row r="406" spans="1:909" s="1" customFormat="1" ht="21">
      <c r="A406" s="156" t="s">
        <v>136</v>
      </c>
      <c r="B406" s="156"/>
      <c r="C406" s="156"/>
      <c r="D406" s="156"/>
      <c r="E406" s="156"/>
      <c r="F406" s="156"/>
      <c r="G406" s="156"/>
      <c r="H406" s="156"/>
      <c r="I406" s="156"/>
      <c r="J406" s="156"/>
      <c r="K406" s="156"/>
      <c r="L406" s="156"/>
      <c r="M406" s="156"/>
      <c r="N406" s="156"/>
      <c r="O406" s="156"/>
      <c r="P406" s="156"/>
      <c r="Q406" s="156"/>
    </row>
    <row r="407" spans="1:909" s="1" customFormat="1" ht="21">
      <c r="A407" s="156" t="s">
        <v>101</v>
      </c>
      <c r="B407" s="156"/>
      <c r="C407" s="156"/>
      <c r="D407" s="156"/>
      <c r="E407" s="156"/>
      <c r="F407" s="156"/>
      <c r="G407" s="156"/>
      <c r="H407" s="156"/>
      <c r="I407" s="156"/>
      <c r="J407" s="156"/>
      <c r="K407" s="156"/>
      <c r="L407" s="156"/>
      <c r="M407" s="156"/>
      <c r="N407" s="156"/>
      <c r="O407" s="156"/>
      <c r="P407" s="156"/>
      <c r="Q407" s="2"/>
    </row>
    <row r="408" spans="1:909" s="1" customFormat="1" ht="21.6" thickBot="1">
      <c r="G408" s="198"/>
      <c r="H408" s="198"/>
      <c r="I408" s="198"/>
      <c r="J408" s="198"/>
      <c r="K408" s="198"/>
    </row>
    <row r="409" spans="1:909" s="1" customFormat="1" ht="21.6" thickTop="1">
      <c r="A409" s="199"/>
      <c r="B409" s="147" t="s">
        <v>102</v>
      </c>
      <c r="C409" s="149"/>
      <c r="D409" s="147" t="s">
        <v>103</v>
      </c>
      <c r="E409" s="149"/>
      <c r="F409" s="147" t="s">
        <v>104</v>
      </c>
      <c r="G409" s="149"/>
      <c r="H409" s="147" t="s">
        <v>105</v>
      </c>
      <c r="I409" s="149"/>
      <c r="J409" s="147" t="s">
        <v>106</v>
      </c>
      <c r="K409" s="149"/>
      <c r="L409" s="147" t="s">
        <v>107</v>
      </c>
      <c r="M409" s="149"/>
      <c r="N409" s="147" t="s">
        <v>58</v>
      </c>
      <c r="O409" s="148"/>
      <c r="P409" s="201"/>
    </row>
    <row r="410" spans="1:909" s="1" customFormat="1" ht="21.6" thickBot="1">
      <c r="A410" s="200"/>
      <c r="B410" s="137"/>
      <c r="C410" s="139"/>
      <c r="D410" s="137"/>
      <c r="E410" s="139"/>
      <c r="F410" s="137"/>
      <c r="G410" s="139"/>
      <c r="H410" s="137"/>
      <c r="I410" s="139"/>
      <c r="J410" s="137"/>
      <c r="K410" s="139"/>
      <c r="L410" s="137"/>
      <c r="M410" s="139"/>
      <c r="N410" s="137"/>
      <c r="O410" s="138"/>
      <c r="P410" s="202"/>
    </row>
    <row r="411" spans="1:909" s="5" customFormat="1" ht="22.2" thickTop="1" thickBot="1">
      <c r="A411" s="11" t="s">
        <v>108</v>
      </c>
      <c r="B411" s="170">
        <f>'[1]التعليم الابتدائي'!AA643</f>
        <v>0</v>
      </c>
      <c r="C411" s="182"/>
      <c r="D411" s="170">
        <f>'[1]التعليم الابتدائي'!AC643</f>
        <v>0</v>
      </c>
      <c r="E411" s="182"/>
      <c r="F411" s="170">
        <f>'[1]التعليم الابتدائي'!AE643</f>
        <v>0</v>
      </c>
      <c r="G411" s="182"/>
      <c r="H411" s="170">
        <f>'[1]التعليم الابتدائي'!AG643</f>
        <v>0</v>
      </c>
      <c r="I411" s="182"/>
      <c r="J411" s="170">
        <f>'[1]التعليم الابتدائي'!AI643</f>
        <v>0</v>
      </c>
      <c r="K411" s="182"/>
      <c r="L411" s="170">
        <f>'[1]التعليم الابتدائي'!AK643</f>
        <v>0</v>
      </c>
      <c r="M411" s="182"/>
      <c r="N411" s="170">
        <f>L411+J411+H411+F411+D411+B411</f>
        <v>0</v>
      </c>
      <c r="O411" s="181"/>
      <c r="P411" s="193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  <c r="KB411" s="1"/>
      <c r="KC411" s="1"/>
      <c r="KD411" s="1"/>
      <c r="KE411" s="1"/>
      <c r="KF411" s="1"/>
      <c r="KG411" s="1"/>
      <c r="KH411" s="1"/>
      <c r="KI411" s="1"/>
      <c r="KJ411" s="1"/>
      <c r="KK411" s="1"/>
      <c r="KL411" s="1"/>
      <c r="KM411" s="1"/>
      <c r="KN411" s="1"/>
      <c r="KO411" s="1"/>
      <c r="KP411" s="1"/>
      <c r="KQ411" s="1"/>
      <c r="KR411" s="1"/>
      <c r="KS411" s="1"/>
      <c r="KT411" s="1"/>
      <c r="KU411" s="1"/>
      <c r="KV411" s="1"/>
      <c r="KW411" s="1"/>
      <c r="KX411" s="1"/>
      <c r="KY411" s="1"/>
      <c r="KZ411" s="1"/>
      <c r="LA411" s="1"/>
      <c r="LB411" s="1"/>
      <c r="LC411" s="1"/>
      <c r="LD411" s="1"/>
      <c r="LE411" s="1"/>
      <c r="LF411" s="1"/>
      <c r="LG411" s="1"/>
      <c r="LH411" s="1"/>
      <c r="LI411" s="1"/>
      <c r="LJ411" s="1"/>
      <c r="LK411" s="1"/>
      <c r="LL411" s="1"/>
      <c r="LM411" s="1"/>
      <c r="LN411" s="1"/>
      <c r="LO411" s="1"/>
      <c r="LP411" s="1"/>
      <c r="LQ411" s="1"/>
      <c r="LR411" s="1"/>
      <c r="LS411" s="1"/>
      <c r="LT411" s="1"/>
      <c r="LU411" s="1"/>
      <c r="LV411" s="1"/>
      <c r="LW411" s="1"/>
      <c r="LX411" s="1"/>
      <c r="LY411" s="1"/>
      <c r="LZ411" s="1"/>
      <c r="MA411" s="1"/>
      <c r="MB411" s="1"/>
      <c r="MC411" s="1"/>
      <c r="MD411" s="1"/>
      <c r="ME411" s="1"/>
      <c r="MF411" s="1"/>
      <c r="MG411" s="1"/>
      <c r="MH411" s="1"/>
      <c r="MI411" s="1"/>
      <c r="MJ411" s="1"/>
      <c r="MK411" s="1"/>
      <c r="ML411" s="1"/>
      <c r="MM411" s="1"/>
      <c r="MN411" s="1"/>
      <c r="MO411" s="1"/>
      <c r="MP411" s="1"/>
      <c r="MQ411" s="1"/>
      <c r="MR411" s="1"/>
      <c r="MS411" s="1"/>
      <c r="MT411" s="1"/>
      <c r="MU411" s="1"/>
      <c r="MV411" s="1"/>
      <c r="MW411" s="1"/>
      <c r="MX411" s="1"/>
      <c r="MY411" s="1"/>
      <c r="MZ411" s="1"/>
      <c r="NA411" s="1"/>
      <c r="NB411" s="1"/>
      <c r="NC411" s="1"/>
      <c r="ND411" s="1"/>
      <c r="NE411" s="1"/>
      <c r="NF411" s="1"/>
      <c r="NG411" s="1"/>
      <c r="NH411" s="1"/>
      <c r="NI411" s="1"/>
      <c r="NJ411" s="1"/>
      <c r="NK411" s="1"/>
      <c r="NL411" s="1"/>
      <c r="NM411" s="1"/>
      <c r="NN411" s="1"/>
      <c r="NO411" s="1"/>
      <c r="NP411" s="1"/>
      <c r="NQ411" s="1"/>
      <c r="NR411" s="1"/>
      <c r="NS411" s="1"/>
      <c r="NT411" s="1"/>
      <c r="NU411" s="1"/>
      <c r="NV411" s="1"/>
      <c r="NW411" s="1"/>
      <c r="NX411" s="1"/>
      <c r="NY411" s="1"/>
      <c r="NZ411" s="1"/>
      <c r="OA411" s="1"/>
      <c r="OB411" s="1"/>
      <c r="OC411" s="1"/>
      <c r="OD411" s="1"/>
      <c r="OE411" s="1"/>
      <c r="OF411" s="1"/>
      <c r="OG411" s="1"/>
      <c r="OH411" s="1"/>
      <c r="OI411" s="1"/>
      <c r="OJ411" s="1"/>
      <c r="OK411" s="1"/>
      <c r="OL411" s="1"/>
      <c r="OM411" s="1"/>
      <c r="ON411" s="1"/>
      <c r="OO411" s="1"/>
      <c r="OP411" s="1"/>
      <c r="OQ411" s="1"/>
      <c r="OR411" s="1"/>
      <c r="OS411" s="1"/>
      <c r="OT411" s="1"/>
      <c r="OU411" s="1"/>
      <c r="OV411" s="1"/>
      <c r="OW411" s="1"/>
      <c r="OX411" s="1"/>
      <c r="OY411" s="1"/>
      <c r="OZ411" s="1"/>
      <c r="PA411" s="1"/>
      <c r="PB411" s="1"/>
      <c r="PC411" s="1"/>
      <c r="PD411" s="1"/>
      <c r="PE411" s="1"/>
      <c r="PF411" s="1"/>
      <c r="PG411" s="1"/>
      <c r="PH411" s="1"/>
      <c r="PI411" s="1"/>
      <c r="PJ411" s="1"/>
      <c r="PK411" s="1"/>
      <c r="PL411" s="1"/>
      <c r="PM411" s="1"/>
      <c r="PN411" s="1"/>
      <c r="PO411" s="1"/>
      <c r="PP411" s="1"/>
      <c r="PQ411" s="1"/>
      <c r="PR411" s="1"/>
      <c r="PS411" s="1"/>
      <c r="PT411" s="1"/>
      <c r="PU411" s="1"/>
      <c r="PV411" s="1"/>
      <c r="PW411" s="1"/>
      <c r="PX411" s="1"/>
      <c r="PY411" s="1"/>
      <c r="PZ411" s="1"/>
      <c r="QA411" s="1"/>
      <c r="QB411" s="1"/>
      <c r="QC411" s="1"/>
      <c r="QD411" s="1"/>
      <c r="QE411" s="1"/>
      <c r="QF411" s="1"/>
      <c r="QG411" s="1"/>
      <c r="QH411" s="1"/>
      <c r="QI411" s="1"/>
      <c r="QJ411" s="1"/>
      <c r="QK411" s="1"/>
      <c r="QL411" s="1"/>
      <c r="QM411" s="1"/>
      <c r="QN411" s="1"/>
      <c r="QO411" s="1"/>
      <c r="QP411" s="1"/>
      <c r="QQ411" s="1"/>
      <c r="QR411" s="1"/>
      <c r="QS411" s="1"/>
      <c r="QT411" s="1"/>
      <c r="QU411" s="1"/>
      <c r="QV411" s="1"/>
      <c r="QW411" s="1"/>
      <c r="QX411" s="1"/>
      <c r="QY411" s="1"/>
      <c r="QZ411" s="1"/>
      <c r="RA411" s="1"/>
      <c r="RB411" s="1"/>
      <c r="RC411" s="1"/>
      <c r="RD411" s="1"/>
      <c r="RE411" s="1"/>
      <c r="RF411" s="1"/>
      <c r="RG411" s="1"/>
      <c r="RH411" s="1"/>
      <c r="RI411" s="1"/>
      <c r="RJ411" s="1"/>
      <c r="RK411" s="1"/>
      <c r="RL411" s="1"/>
      <c r="RM411" s="1"/>
      <c r="RN411" s="1"/>
      <c r="RO411" s="1"/>
      <c r="RP411" s="1"/>
      <c r="RQ411" s="1"/>
      <c r="RR411" s="1"/>
      <c r="RS411" s="1"/>
      <c r="RT411" s="1"/>
      <c r="RU411" s="1"/>
      <c r="RV411" s="1"/>
      <c r="RW411" s="1"/>
      <c r="RX411" s="1"/>
      <c r="RY411" s="1"/>
      <c r="RZ411" s="1"/>
      <c r="SA411" s="1"/>
      <c r="SB411" s="1"/>
      <c r="SC411" s="1"/>
      <c r="SD411" s="1"/>
      <c r="SE411" s="1"/>
      <c r="SF411" s="1"/>
      <c r="SG411" s="1"/>
      <c r="SH411" s="1"/>
      <c r="SI411" s="1"/>
      <c r="SJ411" s="1"/>
      <c r="SK411" s="1"/>
      <c r="SL411" s="1"/>
      <c r="SM411" s="1"/>
      <c r="SN411" s="1"/>
      <c r="SO411" s="1"/>
      <c r="SP411" s="1"/>
      <c r="SQ411" s="1"/>
      <c r="SR411" s="1"/>
      <c r="SS411" s="1"/>
      <c r="ST411" s="1"/>
      <c r="SU411" s="1"/>
      <c r="SV411" s="1"/>
      <c r="SW411" s="1"/>
      <c r="SX411" s="1"/>
      <c r="SY411" s="1"/>
      <c r="SZ411" s="1"/>
      <c r="TA411" s="1"/>
      <c r="TB411" s="1"/>
      <c r="TC411" s="1"/>
      <c r="TD411" s="1"/>
      <c r="TE411" s="1"/>
      <c r="TF411" s="1"/>
      <c r="TG411" s="1"/>
      <c r="TH411" s="1"/>
      <c r="TI411" s="1"/>
      <c r="TJ411" s="1"/>
      <c r="TK411" s="1"/>
      <c r="TL411" s="1"/>
      <c r="TM411" s="1"/>
      <c r="TN411" s="1"/>
      <c r="TO411" s="1"/>
      <c r="TP411" s="1"/>
      <c r="TQ411" s="1"/>
      <c r="TR411" s="1"/>
      <c r="TS411" s="1"/>
      <c r="TT411" s="1"/>
      <c r="TU411" s="1"/>
      <c r="TV411" s="1"/>
      <c r="TW411" s="1"/>
      <c r="TX411" s="1"/>
      <c r="TY411" s="1"/>
      <c r="TZ411" s="1"/>
      <c r="UA411" s="1"/>
      <c r="UB411" s="1"/>
      <c r="UC411" s="1"/>
      <c r="UD411" s="1"/>
      <c r="UE411" s="1"/>
      <c r="UF411" s="1"/>
      <c r="UG411" s="1"/>
      <c r="UH411" s="1"/>
      <c r="UI411" s="1"/>
      <c r="UJ411" s="1"/>
      <c r="UK411" s="1"/>
      <c r="UL411" s="1"/>
      <c r="UM411" s="1"/>
      <c r="UN411" s="1"/>
      <c r="UO411" s="1"/>
      <c r="UP411" s="1"/>
      <c r="UQ411" s="1"/>
      <c r="UR411" s="1"/>
      <c r="US411" s="1"/>
      <c r="UT411" s="1"/>
      <c r="UU411" s="1"/>
      <c r="UV411" s="1"/>
      <c r="UW411" s="1"/>
      <c r="UX411" s="1"/>
      <c r="UY411" s="1"/>
      <c r="UZ411" s="1"/>
      <c r="VA411" s="1"/>
      <c r="VB411" s="1"/>
      <c r="VC411" s="1"/>
      <c r="VD411" s="1"/>
      <c r="VE411" s="1"/>
      <c r="VF411" s="1"/>
      <c r="VG411" s="1"/>
      <c r="VH411" s="1"/>
      <c r="VI411" s="1"/>
      <c r="VJ411" s="1"/>
      <c r="VK411" s="1"/>
      <c r="VL411" s="1"/>
      <c r="VM411" s="1"/>
      <c r="VN411" s="1"/>
      <c r="VO411" s="1"/>
      <c r="VP411" s="1"/>
      <c r="VQ411" s="1"/>
      <c r="VR411" s="1"/>
      <c r="VS411" s="1"/>
      <c r="VT411" s="1"/>
      <c r="VU411" s="1"/>
      <c r="VV411" s="1"/>
      <c r="VW411" s="1"/>
      <c r="VX411" s="1"/>
      <c r="VY411" s="1"/>
      <c r="VZ411" s="1"/>
      <c r="WA411" s="1"/>
      <c r="WB411" s="1"/>
      <c r="WC411" s="1"/>
      <c r="WD411" s="1"/>
      <c r="WE411" s="1"/>
      <c r="WF411" s="1"/>
      <c r="WG411" s="1"/>
      <c r="WH411" s="1"/>
      <c r="WI411" s="1"/>
      <c r="WJ411" s="1"/>
      <c r="WK411" s="1"/>
      <c r="WL411" s="1"/>
      <c r="WM411" s="1"/>
      <c r="WN411" s="1"/>
      <c r="WO411" s="1"/>
      <c r="WP411" s="1"/>
      <c r="WQ411" s="1"/>
      <c r="WR411" s="1"/>
      <c r="WS411" s="1"/>
      <c r="WT411" s="1"/>
      <c r="WU411" s="1"/>
      <c r="WV411" s="1"/>
      <c r="WW411" s="1"/>
      <c r="WX411" s="1"/>
      <c r="WY411" s="1"/>
      <c r="WZ411" s="1"/>
      <c r="XA411" s="1"/>
      <c r="XB411" s="1"/>
      <c r="XC411" s="1"/>
      <c r="XD411" s="1"/>
      <c r="XE411" s="1"/>
      <c r="XF411" s="1"/>
      <c r="XG411" s="1"/>
      <c r="XH411" s="1"/>
      <c r="XI411" s="1"/>
      <c r="XJ411" s="1"/>
      <c r="XK411" s="1"/>
      <c r="XL411" s="1"/>
      <c r="XM411" s="1"/>
      <c r="XN411" s="1"/>
      <c r="XO411" s="1"/>
      <c r="XP411" s="1"/>
      <c r="XQ411" s="1"/>
      <c r="XR411" s="1"/>
      <c r="XS411" s="1"/>
      <c r="XT411" s="1"/>
      <c r="XU411" s="1"/>
      <c r="XV411" s="1"/>
      <c r="XW411" s="1"/>
      <c r="XX411" s="1"/>
      <c r="XY411" s="1"/>
      <c r="XZ411" s="1"/>
      <c r="YA411" s="1"/>
      <c r="YB411" s="1"/>
      <c r="YC411" s="1"/>
      <c r="YD411" s="1"/>
      <c r="YE411" s="1"/>
      <c r="YF411" s="1"/>
      <c r="YG411" s="1"/>
      <c r="YH411" s="1"/>
      <c r="YI411" s="1"/>
      <c r="YJ411" s="1"/>
      <c r="YK411" s="1"/>
      <c r="YL411" s="1"/>
      <c r="YM411" s="1"/>
      <c r="YN411" s="1"/>
      <c r="YO411" s="1"/>
      <c r="YP411" s="1"/>
      <c r="YQ411" s="1"/>
      <c r="YR411" s="1"/>
      <c r="YS411" s="1"/>
      <c r="YT411" s="1"/>
      <c r="YU411" s="1"/>
      <c r="YV411" s="1"/>
      <c r="YW411" s="1"/>
      <c r="YX411" s="1"/>
      <c r="YY411" s="1"/>
      <c r="YZ411" s="1"/>
      <c r="ZA411" s="1"/>
      <c r="ZB411" s="1"/>
      <c r="ZC411" s="1"/>
      <c r="ZD411" s="1"/>
      <c r="ZE411" s="1"/>
      <c r="ZF411" s="1"/>
      <c r="ZG411" s="1"/>
      <c r="ZH411" s="1"/>
      <c r="ZI411" s="1"/>
      <c r="ZJ411" s="1"/>
      <c r="ZK411" s="1"/>
      <c r="ZL411" s="1"/>
      <c r="ZM411" s="1"/>
      <c r="ZN411" s="1"/>
      <c r="ZO411" s="1"/>
      <c r="ZP411" s="1"/>
      <c r="ZQ411" s="1"/>
      <c r="ZR411" s="1"/>
      <c r="ZS411" s="1"/>
      <c r="ZT411" s="1"/>
      <c r="ZU411" s="1"/>
      <c r="ZV411" s="1"/>
      <c r="ZW411" s="1"/>
      <c r="ZX411" s="1"/>
      <c r="ZY411" s="1"/>
      <c r="ZZ411" s="1"/>
      <c r="AAA411" s="1"/>
      <c r="AAB411" s="1"/>
      <c r="AAC411" s="1"/>
      <c r="AAD411" s="1"/>
      <c r="AAE411" s="1"/>
      <c r="AAF411" s="1"/>
      <c r="AAG411" s="1"/>
      <c r="AAH411" s="1"/>
      <c r="AAI411" s="1"/>
      <c r="AAJ411" s="1"/>
      <c r="AAK411" s="1"/>
      <c r="AAL411" s="1"/>
      <c r="AAM411" s="1"/>
      <c r="AAN411" s="1"/>
      <c r="AAO411" s="1"/>
      <c r="AAP411" s="1"/>
      <c r="AAQ411" s="1"/>
      <c r="AAR411" s="1"/>
      <c r="AAS411" s="1"/>
      <c r="AAT411" s="1"/>
      <c r="AAU411" s="1"/>
      <c r="AAV411" s="1"/>
      <c r="AAW411" s="1"/>
      <c r="AAX411" s="1"/>
      <c r="AAY411" s="1"/>
      <c r="AAZ411" s="1"/>
      <c r="ABA411" s="1"/>
      <c r="ABB411" s="1"/>
      <c r="ABC411" s="1"/>
      <c r="ABD411" s="1"/>
      <c r="ABE411" s="1"/>
      <c r="ABF411" s="1"/>
      <c r="ABG411" s="1"/>
      <c r="ABH411" s="1"/>
      <c r="ABI411" s="1"/>
      <c r="ABJ411" s="1"/>
      <c r="ABK411" s="1"/>
      <c r="ABL411" s="1"/>
      <c r="ABM411" s="1"/>
      <c r="ABN411" s="1"/>
      <c r="ABO411" s="1"/>
      <c r="ABP411" s="1"/>
      <c r="ABQ411" s="1"/>
      <c r="ABR411" s="1"/>
      <c r="ABS411" s="1"/>
      <c r="ABT411" s="1"/>
      <c r="ABU411" s="1"/>
      <c r="ABV411" s="1"/>
      <c r="ABW411" s="1"/>
      <c r="ABX411" s="1"/>
      <c r="ABY411" s="1"/>
      <c r="ABZ411" s="1"/>
      <c r="ACA411" s="1"/>
      <c r="ACB411" s="1"/>
      <c r="ACC411" s="1"/>
      <c r="ACD411" s="1"/>
      <c r="ACE411" s="1"/>
      <c r="ACF411" s="1"/>
      <c r="ACG411" s="1"/>
      <c r="ACH411" s="1"/>
      <c r="ACI411" s="1"/>
      <c r="ACJ411" s="1"/>
      <c r="ACK411" s="1"/>
      <c r="ACL411" s="1"/>
      <c r="ACM411" s="1"/>
      <c r="ACN411" s="1"/>
      <c r="ACO411" s="1"/>
      <c r="ACP411" s="1"/>
      <c r="ACQ411" s="1"/>
      <c r="ACR411" s="1"/>
      <c r="ACS411" s="1"/>
      <c r="ACT411" s="1"/>
      <c r="ACU411" s="1"/>
      <c r="ACV411" s="1"/>
      <c r="ACW411" s="1"/>
      <c r="ACX411" s="1"/>
      <c r="ACY411" s="1"/>
      <c r="ACZ411" s="1"/>
      <c r="ADA411" s="1"/>
      <c r="ADB411" s="1"/>
      <c r="ADC411" s="1"/>
      <c r="ADD411" s="1"/>
      <c r="ADE411" s="1"/>
      <c r="ADF411" s="1"/>
      <c r="ADG411" s="1"/>
      <c r="ADH411" s="1"/>
      <c r="ADI411" s="1"/>
      <c r="ADJ411" s="1"/>
      <c r="ADK411" s="1"/>
      <c r="ADL411" s="1"/>
      <c r="ADM411" s="1"/>
      <c r="ADN411" s="1"/>
      <c r="ADO411" s="1"/>
      <c r="ADP411" s="1"/>
      <c r="ADQ411" s="1"/>
      <c r="ADR411" s="1"/>
      <c r="ADS411" s="1"/>
      <c r="ADT411" s="1"/>
      <c r="ADU411" s="1"/>
      <c r="ADV411" s="1"/>
      <c r="ADW411" s="1"/>
      <c r="ADX411" s="1"/>
      <c r="ADY411" s="1"/>
      <c r="ADZ411" s="1"/>
      <c r="AEA411" s="1"/>
      <c r="AEB411" s="1"/>
      <c r="AEC411" s="1"/>
      <c r="AED411" s="1"/>
      <c r="AEE411" s="1"/>
      <c r="AEF411" s="1"/>
      <c r="AEG411" s="1"/>
      <c r="AEH411" s="1"/>
      <c r="AEI411" s="1"/>
      <c r="AEJ411" s="1"/>
      <c r="AEK411" s="1"/>
      <c r="AEL411" s="1"/>
      <c r="AEM411" s="1"/>
      <c r="AEN411" s="1"/>
      <c r="AEO411" s="1"/>
      <c r="AEP411" s="1"/>
      <c r="AEQ411" s="1"/>
      <c r="AER411" s="1"/>
      <c r="AES411" s="1"/>
      <c r="AET411" s="1"/>
      <c r="AEU411" s="1"/>
      <c r="AEV411" s="1"/>
      <c r="AEW411" s="1"/>
      <c r="AEX411" s="1"/>
      <c r="AEY411" s="1"/>
      <c r="AEZ411" s="1"/>
      <c r="AFA411" s="1"/>
      <c r="AFB411" s="1"/>
      <c r="AFC411" s="1"/>
      <c r="AFD411" s="1"/>
      <c r="AFE411" s="1"/>
      <c r="AFF411" s="1"/>
      <c r="AFG411" s="1"/>
      <c r="AFH411" s="1"/>
      <c r="AFI411" s="1"/>
      <c r="AFJ411" s="1"/>
      <c r="AFK411" s="1"/>
      <c r="AFL411" s="1"/>
      <c r="AFM411" s="1"/>
      <c r="AFN411" s="1"/>
      <c r="AFO411" s="1"/>
      <c r="AFP411" s="1"/>
      <c r="AFQ411" s="1"/>
      <c r="AFR411" s="1"/>
      <c r="AFS411" s="1"/>
      <c r="AFT411" s="1"/>
      <c r="AFU411" s="1"/>
      <c r="AFV411" s="1"/>
      <c r="AFW411" s="1"/>
      <c r="AFX411" s="1"/>
      <c r="AFY411" s="1"/>
      <c r="AFZ411" s="1"/>
      <c r="AGA411" s="1"/>
      <c r="AGB411" s="1"/>
      <c r="AGC411" s="1"/>
      <c r="AGD411" s="1"/>
      <c r="AGE411" s="1"/>
      <c r="AGF411" s="1"/>
      <c r="AGG411" s="1"/>
      <c r="AGH411" s="1"/>
      <c r="AGI411" s="1"/>
      <c r="AGJ411" s="1"/>
      <c r="AGK411" s="1"/>
      <c r="AGL411" s="1"/>
      <c r="AGM411" s="1"/>
      <c r="AGN411" s="1"/>
      <c r="AGO411" s="1"/>
      <c r="AGP411" s="1"/>
      <c r="AGQ411" s="1"/>
      <c r="AGR411" s="1"/>
      <c r="AGS411" s="1"/>
      <c r="AGT411" s="1"/>
      <c r="AGU411" s="1"/>
      <c r="AGV411" s="1"/>
      <c r="AGW411" s="1"/>
      <c r="AGX411" s="1"/>
      <c r="AGY411" s="1"/>
      <c r="AGZ411" s="1"/>
      <c r="AHA411" s="1"/>
      <c r="AHB411" s="1"/>
      <c r="AHC411" s="1"/>
      <c r="AHD411" s="1"/>
      <c r="AHE411" s="1"/>
      <c r="AHF411" s="1"/>
      <c r="AHG411" s="1"/>
      <c r="AHH411" s="1"/>
      <c r="AHI411" s="1"/>
      <c r="AHJ411" s="1"/>
      <c r="AHK411" s="1"/>
      <c r="AHL411" s="1"/>
      <c r="AHM411" s="1"/>
      <c r="AHN411" s="1"/>
      <c r="AHO411" s="1"/>
      <c r="AHP411" s="1"/>
      <c r="AHQ411" s="1"/>
      <c r="AHR411" s="1"/>
      <c r="AHS411" s="1"/>
      <c r="AHT411" s="1"/>
      <c r="AHU411" s="1"/>
      <c r="AHV411" s="1"/>
      <c r="AHW411" s="1"/>
      <c r="AHX411" s="1"/>
      <c r="AHY411" s="1"/>
    </row>
    <row r="412" spans="1:909" s="5" customFormat="1" ht="22.2" thickTop="1" thickBot="1">
      <c r="A412" s="11" t="s">
        <v>109</v>
      </c>
      <c r="B412" s="170">
        <f>'[1]التعليم الابتدائي'!AB643</f>
        <v>0</v>
      </c>
      <c r="C412" s="182"/>
      <c r="D412" s="170">
        <f>'[1]التعليم الابتدائي'!AD643</f>
        <v>0</v>
      </c>
      <c r="E412" s="182"/>
      <c r="F412" s="170">
        <f>'[1]التعليم الابتدائي'!AF643</f>
        <v>0</v>
      </c>
      <c r="G412" s="182"/>
      <c r="H412" s="170">
        <f>'[1]التعليم الابتدائي'!AH643</f>
        <v>0</v>
      </c>
      <c r="I412" s="182"/>
      <c r="J412" s="170">
        <f>'[1]التعليم الابتدائي'!AJ643</f>
        <v>0</v>
      </c>
      <c r="K412" s="182"/>
      <c r="L412" s="170">
        <f>'[1]التعليم الابتدائي'!AL643</f>
        <v>0</v>
      </c>
      <c r="M412" s="182"/>
      <c r="N412" s="170">
        <f>L412+J412+H412+F412+D412+B412</f>
        <v>0</v>
      </c>
      <c r="O412" s="181"/>
      <c r="P412" s="193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  <c r="KB412" s="1"/>
      <c r="KC412" s="1"/>
      <c r="KD412" s="1"/>
      <c r="KE412" s="1"/>
      <c r="KF412" s="1"/>
      <c r="KG412" s="1"/>
      <c r="KH412" s="1"/>
      <c r="KI412" s="1"/>
      <c r="KJ412" s="1"/>
      <c r="KK412" s="1"/>
      <c r="KL412" s="1"/>
      <c r="KM412" s="1"/>
      <c r="KN412" s="1"/>
      <c r="KO412" s="1"/>
      <c r="KP412" s="1"/>
      <c r="KQ412" s="1"/>
      <c r="KR412" s="1"/>
      <c r="KS412" s="1"/>
      <c r="KT412" s="1"/>
      <c r="KU412" s="1"/>
      <c r="KV412" s="1"/>
      <c r="KW412" s="1"/>
      <c r="KX412" s="1"/>
      <c r="KY412" s="1"/>
      <c r="KZ412" s="1"/>
      <c r="LA412" s="1"/>
      <c r="LB412" s="1"/>
      <c r="LC412" s="1"/>
      <c r="LD412" s="1"/>
      <c r="LE412" s="1"/>
      <c r="LF412" s="1"/>
      <c r="LG412" s="1"/>
      <c r="LH412" s="1"/>
      <c r="LI412" s="1"/>
      <c r="LJ412" s="1"/>
      <c r="LK412" s="1"/>
      <c r="LL412" s="1"/>
      <c r="LM412" s="1"/>
      <c r="LN412" s="1"/>
      <c r="LO412" s="1"/>
      <c r="LP412" s="1"/>
      <c r="LQ412" s="1"/>
      <c r="LR412" s="1"/>
      <c r="LS412" s="1"/>
      <c r="LT412" s="1"/>
      <c r="LU412" s="1"/>
      <c r="LV412" s="1"/>
      <c r="LW412" s="1"/>
      <c r="LX412" s="1"/>
      <c r="LY412" s="1"/>
      <c r="LZ412" s="1"/>
      <c r="MA412" s="1"/>
      <c r="MB412" s="1"/>
      <c r="MC412" s="1"/>
      <c r="MD412" s="1"/>
      <c r="ME412" s="1"/>
      <c r="MF412" s="1"/>
      <c r="MG412" s="1"/>
      <c r="MH412" s="1"/>
      <c r="MI412" s="1"/>
      <c r="MJ412" s="1"/>
      <c r="MK412" s="1"/>
      <c r="ML412" s="1"/>
      <c r="MM412" s="1"/>
      <c r="MN412" s="1"/>
      <c r="MO412" s="1"/>
      <c r="MP412" s="1"/>
      <c r="MQ412" s="1"/>
      <c r="MR412" s="1"/>
      <c r="MS412" s="1"/>
      <c r="MT412" s="1"/>
      <c r="MU412" s="1"/>
      <c r="MV412" s="1"/>
      <c r="MW412" s="1"/>
      <c r="MX412" s="1"/>
      <c r="MY412" s="1"/>
      <c r="MZ412" s="1"/>
      <c r="NA412" s="1"/>
      <c r="NB412" s="1"/>
      <c r="NC412" s="1"/>
      <c r="ND412" s="1"/>
      <c r="NE412" s="1"/>
      <c r="NF412" s="1"/>
      <c r="NG412" s="1"/>
      <c r="NH412" s="1"/>
      <c r="NI412" s="1"/>
      <c r="NJ412" s="1"/>
      <c r="NK412" s="1"/>
      <c r="NL412" s="1"/>
      <c r="NM412" s="1"/>
      <c r="NN412" s="1"/>
      <c r="NO412" s="1"/>
      <c r="NP412" s="1"/>
      <c r="NQ412" s="1"/>
      <c r="NR412" s="1"/>
      <c r="NS412" s="1"/>
      <c r="NT412" s="1"/>
      <c r="NU412" s="1"/>
      <c r="NV412" s="1"/>
      <c r="NW412" s="1"/>
      <c r="NX412" s="1"/>
      <c r="NY412" s="1"/>
      <c r="NZ412" s="1"/>
      <c r="OA412" s="1"/>
      <c r="OB412" s="1"/>
      <c r="OC412" s="1"/>
      <c r="OD412" s="1"/>
      <c r="OE412" s="1"/>
      <c r="OF412" s="1"/>
      <c r="OG412" s="1"/>
      <c r="OH412" s="1"/>
      <c r="OI412" s="1"/>
      <c r="OJ412" s="1"/>
      <c r="OK412" s="1"/>
      <c r="OL412" s="1"/>
      <c r="OM412" s="1"/>
      <c r="ON412" s="1"/>
      <c r="OO412" s="1"/>
      <c r="OP412" s="1"/>
      <c r="OQ412" s="1"/>
      <c r="OR412" s="1"/>
      <c r="OS412" s="1"/>
      <c r="OT412" s="1"/>
      <c r="OU412" s="1"/>
      <c r="OV412" s="1"/>
      <c r="OW412" s="1"/>
      <c r="OX412" s="1"/>
      <c r="OY412" s="1"/>
      <c r="OZ412" s="1"/>
      <c r="PA412" s="1"/>
      <c r="PB412" s="1"/>
      <c r="PC412" s="1"/>
      <c r="PD412" s="1"/>
      <c r="PE412" s="1"/>
      <c r="PF412" s="1"/>
      <c r="PG412" s="1"/>
      <c r="PH412" s="1"/>
      <c r="PI412" s="1"/>
      <c r="PJ412" s="1"/>
      <c r="PK412" s="1"/>
      <c r="PL412" s="1"/>
      <c r="PM412" s="1"/>
      <c r="PN412" s="1"/>
      <c r="PO412" s="1"/>
      <c r="PP412" s="1"/>
      <c r="PQ412" s="1"/>
      <c r="PR412" s="1"/>
      <c r="PS412" s="1"/>
      <c r="PT412" s="1"/>
      <c r="PU412" s="1"/>
      <c r="PV412" s="1"/>
      <c r="PW412" s="1"/>
      <c r="PX412" s="1"/>
      <c r="PY412" s="1"/>
      <c r="PZ412" s="1"/>
      <c r="QA412" s="1"/>
      <c r="QB412" s="1"/>
      <c r="QC412" s="1"/>
      <c r="QD412" s="1"/>
      <c r="QE412" s="1"/>
      <c r="QF412" s="1"/>
      <c r="QG412" s="1"/>
      <c r="QH412" s="1"/>
      <c r="QI412" s="1"/>
      <c r="QJ412" s="1"/>
      <c r="QK412" s="1"/>
      <c r="QL412" s="1"/>
      <c r="QM412" s="1"/>
      <c r="QN412" s="1"/>
      <c r="QO412" s="1"/>
      <c r="QP412" s="1"/>
      <c r="QQ412" s="1"/>
      <c r="QR412" s="1"/>
      <c r="QS412" s="1"/>
      <c r="QT412" s="1"/>
      <c r="QU412" s="1"/>
      <c r="QV412" s="1"/>
      <c r="QW412" s="1"/>
      <c r="QX412" s="1"/>
      <c r="QY412" s="1"/>
      <c r="QZ412" s="1"/>
      <c r="RA412" s="1"/>
      <c r="RB412" s="1"/>
      <c r="RC412" s="1"/>
      <c r="RD412" s="1"/>
      <c r="RE412" s="1"/>
      <c r="RF412" s="1"/>
      <c r="RG412" s="1"/>
      <c r="RH412" s="1"/>
      <c r="RI412" s="1"/>
      <c r="RJ412" s="1"/>
      <c r="RK412" s="1"/>
      <c r="RL412" s="1"/>
      <c r="RM412" s="1"/>
      <c r="RN412" s="1"/>
      <c r="RO412" s="1"/>
      <c r="RP412" s="1"/>
      <c r="RQ412" s="1"/>
      <c r="RR412" s="1"/>
      <c r="RS412" s="1"/>
      <c r="RT412" s="1"/>
      <c r="RU412" s="1"/>
      <c r="RV412" s="1"/>
      <c r="RW412" s="1"/>
      <c r="RX412" s="1"/>
      <c r="RY412" s="1"/>
      <c r="RZ412" s="1"/>
      <c r="SA412" s="1"/>
      <c r="SB412" s="1"/>
      <c r="SC412" s="1"/>
      <c r="SD412" s="1"/>
      <c r="SE412" s="1"/>
      <c r="SF412" s="1"/>
      <c r="SG412" s="1"/>
      <c r="SH412" s="1"/>
      <c r="SI412" s="1"/>
      <c r="SJ412" s="1"/>
      <c r="SK412" s="1"/>
      <c r="SL412" s="1"/>
      <c r="SM412" s="1"/>
      <c r="SN412" s="1"/>
      <c r="SO412" s="1"/>
      <c r="SP412" s="1"/>
      <c r="SQ412" s="1"/>
      <c r="SR412" s="1"/>
      <c r="SS412" s="1"/>
      <c r="ST412" s="1"/>
      <c r="SU412" s="1"/>
      <c r="SV412" s="1"/>
      <c r="SW412" s="1"/>
      <c r="SX412" s="1"/>
      <c r="SY412" s="1"/>
      <c r="SZ412" s="1"/>
      <c r="TA412" s="1"/>
      <c r="TB412" s="1"/>
      <c r="TC412" s="1"/>
      <c r="TD412" s="1"/>
      <c r="TE412" s="1"/>
      <c r="TF412" s="1"/>
      <c r="TG412" s="1"/>
      <c r="TH412" s="1"/>
      <c r="TI412" s="1"/>
      <c r="TJ412" s="1"/>
      <c r="TK412" s="1"/>
      <c r="TL412" s="1"/>
      <c r="TM412" s="1"/>
      <c r="TN412" s="1"/>
      <c r="TO412" s="1"/>
      <c r="TP412" s="1"/>
      <c r="TQ412" s="1"/>
      <c r="TR412" s="1"/>
      <c r="TS412" s="1"/>
      <c r="TT412" s="1"/>
      <c r="TU412" s="1"/>
      <c r="TV412" s="1"/>
      <c r="TW412" s="1"/>
      <c r="TX412" s="1"/>
      <c r="TY412" s="1"/>
      <c r="TZ412" s="1"/>
      <c r="UA412" s="1"/>
      <c r="UB412" s="1"/>
      <c r="UC412" s="1"/>
      <c r="UD412" s="1"/>
      <c r="UE412" s="1"/>
      <c r="UF412" s="1"/>
      <c r="UG412" s="1"/>
      <c r="UH412" s="1"/>
      <c r="UI412" s="1"/>
      <c r="UJ412" s="1"/>
      <c r="UK412" s="1"/>
      <c r="UL412" s="1"/>
      <c r="UM412" s="1"/>
      <c r="UN412" s="1"/>
      <c r="UO412" s="1"/>
      <c r="UP412" s="1"/>
      <c r="UQ412" s="1"/>
      <c r="UR412" s="1"/>
      <c r="US412" s="1"/>
      <c r="UT412" s="1"/>
      <c r="UU412" s="1"/>
      <c r="UV412" s="1"/>
      <c r="UW412" s="1"/>
      <c r="UX412" s="1"/>
      <c r="UY412" s="1"/>
      <c r="UZ412" s="1"/>
      <c r="VA412" s="1"/>
      <c r="VB412" s="1"/>
      <c r="VC412" s="1"/>
      <c r="VD412" s="1"/>
      <c r="VE412" s="1"/>
      <c r="VF412" s="1"/>
      <c r="VG412" s="1"/>
      <c r="VH412" s="1"/>
      <c r="VI412" s="1"/>
      <c r="VJ412" s="1"/>
      <c r="VK412" s="1"/>
      <c r="VL412" s="1"/>
      <c r="VM412" s="1"/>
      <c r="VN412" s="1"/>
      <c r="VO412" s="1"/>
      <c r="VP412" s="1"/>
      <c r="VQ412" s="1"/>
      <c r="VR412" s="1"/>
      <c r="VS412" s="1"/>
      <c r="VT412" s="1"/>
      <c r="VU412" s="1"/>
      <c r="VV412" s="1"/>
      <c r="VW412" s="1"/>
      <c r="VX412" s="1"/>
      <c r="VY412" s="1"/>
      <c r="VZ412" s="1"/>
      <c r="WA412" s="1"/>
      <c r="WB412" s="1"/>
      <c r="WC412" s="1"/>
      <c r="WD412" s="1"/>
      <c r="WE412" s="1"/>
      <c r="WF412" s="1"/>
      <c r="WG412" s="1"/>
      <c r="WH412" s="1"/>
      <c r="WI412" s="1"/>
      <c r="WJ412" s="1"/>
      <c r="WK412" s="1"/>
      <c r="WL412" s="1"/>
      <c r="WM412" s="1"/>
      <c r="WN412" s="1"/>
      <c r="WO412" s="1"/>
      <c r="WP412" s="1"/>
      <c r="WQ412" s="1"/>
      <c r="WR412" s="1"/>
      <c r="WS412" s="1"/>
      <c r="WT412" s="1"/>
      <c r="WU412" s="1"/>
      <c r="WV412" s="1"/>
      <c r="WW412" s="1"/>
      <c r="WX412" s="1"/>
      <c r="WY412" s="1"/>
      <c r="WZ412" s="1"/>
      <c r="XA412" s="1"/>
      <c r="XB412" s="1"/>
      <c r="XC412" s="1"/>
      <c r="XD412" s="1"/>
      <c r="XE412" s="1"/>
      <c r="XF412" s="1"/>
      <c r="XG412" s="1"/>
      <c r="XH412" s="1"/>
      <c r="XI412" s="1"/>
      <c r="XJ412" s="1"/>
      <c r="XK412" s="1"/>
      <c r="XL412" s="1"/>
      <c r="XM412" s="1"/>
      <c r="XN412" s="1"/>
      <c r="XO412" s="1"/>
      <c r="XP412" s="1"/>
      <c r="XQ412" s="1"/>
      <c r="XR412" s="1"/>
      <c r="XS412" s="1"/>
      <c r="XT412" s="1"/>
      <c r="XU412" s="1"/>
      <c r="XV412" s="1"/>
      <c r="XW412" s="1"/>
      <c r="XX412" s="1"/>
      <c r="XY412" s="1"/>
      <c r="XZ412" s="1"/>
      <c r="YA412" s="1"/>
      <c r="YB412" s="1"/>
      <c r="YC412" s="1"/>
      <c r="YD412" s="1"/>
      <c r="YE412" s="1"/>
      <c r="YF412" s="1"/>
      <c r="YG412" s="1"/>
      <c r="YH412" s="1"/>
      <c r="YI412" s="1"/>
      <c r="YJ412" s="1"/>
      <c r="YK412" s="1"/>
      <c r="YL412" s="1"/>
      <c r="YM412" s="1"/>
      <c r="YN412" s="1"/>
      <c r="YO412" s="1"/>
      <c r="YP412" s="1"/>
      <c r="YQ412" s="1"/>
      <c r="YR412" s="1"/>
      <c r="YS412" s="1"/>
      <c r="YT412" s="1"/>
      <c r="YU412" s="1"/>
      <c r="YV412" s="1"/>
      <c r="YW412" s="1"/>
      <c r="YX412" s="1"/>
      <c r="YY412" s="1"/>
      <c r="YZ412" s="1"/>
      <c r="ZA412" s="1"/>
      <c r="ZB412" s="1"/>
      <c r="ZC412" s="1"/>
      <c r="ZD412" s="1"/>
      <c r="ZE412" s="1"/>
      <c r="ZF412" s="1"/>
      <c r="ZG412" s="1"/>
      <c r="ZH412" s="1"/>
      <c r="ZI412" s="1"/>
      <c r="ZJ412" s="1"/>
      <c r="ZK412" s="1"/>
      <c r="ZL412" s="1"/>
      <c r="ZM412" s="1"/>
      <c r="ZN412" s="1"/>
      <c r="ZO412" s="1"/>
      <c r="ZP412" s="1"/>
      <c r="ZQ412" s="1"/>
      <c r="ZR412" s="1"/>
      <c r="ZS412" s="1"/>
      <c r="ZT412" s="1"/>
      <c r="ZU412" s="1"/>
      <c r="ZV412" s="1"/>
      <c r="ZW412" s="1"/>
      <c r="ZX412" s="1"/>
      <c r="ZY412" s="1"/>
      <c r="ZZ412" s="1"/>
      <c r="AAA412" s="1"/>
      <c r="AAB412" s="1"/>
      <c r="AAC412" s="1"/>
      <c r="AAD412" s="1"/>
      <c r="AAE412" s="1"/>
      <c r="AAF412" s="1"/>
      <c r="AAG412" s="1"/>
      <c r="AAH412" s="1"/>
      <c r="AAI412" s="1"/>
      <c r="AAJ412" s="1"/>
      <c r="AAK412" s="1"/>
      <c r="AAL412" s="1"/>
      <c r="AAM412" s="1"/>
      <c r="AAN412" s="1"/>
      <c r="AAO412" s="1"/>
      <c r="AAP412" s="1"/>
      <c r="AAQ412" s="1"/>
      <c r="AAR412" s="1"/>
      <c r="AAS412" s="1"/>
      <c r="AAT412" s="1"/>
      <c r="AAU412" s="1"/>
      <c r="AAV412" s="1"/>
      <c r="AAW412" s="1"/>
      <c r="AAX412" s="1"/>
      <c r="AAY412" s="1"/>
      <c r="AAZ412" s="1"/>
      <c r="ABA412" s="1"/>
      <c r="ABB412" s="1"/>
      <c r="ABC412" s="1"/>
      <c r="ABD412" s="1"/>
      <c r="ABE412" s="1"/>
      <c r="ABF412" s="1"/>
      <c r="ABG412" s="1"/>
      <c r="ABH412" s="1"/>
      <c r="ABI412" s="1"/>
      <c r="ABJ412" s="1"/>
      <c r="ABK412" s="1"/>
      <c r="ABL412" s="1"/>
      <c r="ABM412" s="1"/>
      <c r="ABN412" s="1"/>
      <c r="ABO412" s="1"/>
      <c r="ABP412" s="1"/>
      <c r="ABQ412" s="1"/>
      <c r="ABR412" s="1"/>
      <c r="ABS412" s="1"/>
      <c r="ABT412" s="1"/>
      <c r="ABU412" s="1"/>
      <c r="ABV412" s="1"/>
      <c r="ABW412" s="1"/>
      <c r="ABX412" s="1"/>
      <c r="ABY412" s="1"/>
      <c r="ABZ412" s="1"/>
      <c r="ACA412" s="1"/>
      <c r="ACB412" s="1"/>
      <c r="ACC412" s="1"/>
      <c r="ACD412" s="1"/>
      <c r="ACE412" s="1"/>
      <c r="ACF412" s="1"/>
      <c r="ACG412" s="1"/>
      <c r="ACH412" s="1"/>
      <c r="ACI412" s="1"/>
      <c r="ACJ412" s="1"/>
      <c r="ACK412" s="1"/>
      <c r="ACL412" s="1"/>
      <c r="ACM412" s="1"/>
      <c r="ACN412" s="1"/>
      <c r="ACO412" s="1"/>
      <c r="ACP412" s="1"/>
      <c r="ACQ412" s="1"/>
      <c r="ACR412" s="1"/>
      <c r="ACS412" s="1"/>
      <c r="ACT412" s="1"/>
      <c r="ACU412" s="1"/>
      <c r="ACV412" s="1"/>
      <c r="ACW412" s="1"/>
      <c r="ACX412" s="1"/>
      <c r="ACY412" s="1"/>
      <c r="ACZ412" s="1"/>
      <c r="ADA412" s="1"/>
      <c r="ADB412" s="1"/>
      <c r="ADC412" s="1"/>
      <c r="ADD412" s="1"/>
      <c r="ADE412" s="1"/>
      <c r="ADF412" s="1"/>
      <c r="ADG412" s="1"/>
      <c r="ADH412" s="1"/>
      <c r="ADI412" s="1"/>
      <c r="ADJ412" s="1"/>
      <c r="ADK412" s="1"/>
      <c r="ADL412" s="1"/>
      <c r="ADM412" s="1"/>
      <c r="ADN412" s="1"/>
      <c r="ADO412" s="1"/>
      <c r="ADP412" s="1"/>
      <c r="ADQ412" s="1"/>
      <c r="ADR412" s="1"/>
      <c r="ADS412" s="1"/>
      <c r="ADT412" s="1"/>
      <c r="ADU412" s="1"/>
      <c r="ADV412" s="1"/>
      <c r="ADW412" s="1"/>
      <c r="ADX412" s="1"/>
      <c r="ADY412" s="1"/>
      <c r="ADZ412" s="1"/>
      <c r="AEA412" s="1"/>
      <c r="AEB412" s="1"/>
      <c r="AEC412" s="1"/>
      <c r="AED412" s="1"/>
      <c r="AEE412" s="1"/>
      <c r="AEF412" s="1"/>
      <c r="AEG412" s="1"/>
      <c r="AEH412" s="1"/>
      <c r="AEI412" s="1"/>
      <c r="AEJ412" s="1"/>
      <c r="AEK412" s="1"/>
      <c r="AEL412" s="1"/>
      <c r="AEM412" s="1"/>
      <c r="AEN412" s="1"/>
      <c r="AEO412" s="1"/>
      <c r="AEP412" s="1"/>
      <c r="AEQ412" s="1"/>
      <c r="AER412" s="1"/>
      <c r="AES412" s="1"/>
      <c r="AET412" s="1"/>
      <c r="AEU412" s="1"/>
      <c r="AEV412" s="1"/>
      <c r="AEW412" s="1"/>
      <c r="AEX412" s="1"/>
      <c r="AEY412" s="1"/>
      <c r="AEZ412" s="1"/>
      <c r="AFA412" s="1"/>
      <c r="AFB412" s="1"/>
      <c r="AFC412" s="1"/>
      <c r="AFD412" s="1"/>
      <c r="AFE412" s="1"/>
      <c r="AFF412" s="1"/>
      <c r="AFG412" s="1"/>
      <c r="AFH412" s="1"/>
      <c r="AFI412" s="1"/>
      <c r="AFJ412" s="1"/>
      <c r="AFK412" s="1"/>
      <c r="AFL412" s="1"/>
      <c r="AFM412" s="1"/>
      <c r="AFN412" s="1"/>
      <c r="AFO412" s="1"/>
      <c r="AFP412" s="1"/>
      <c r="AFQ412" s="1"/>
      <c r="AFR412" s="1"/>
      <c r="AFS412" s="1"/>
      <c r="AFT412" s="1"/>
      <c r="AFU412" s="1"/>
      <c r="AFV412" s="1"/>
      <c r="AFW412" s="1"/>
      <c r="AFX412" s="1"/>
      <c r="AFY412" s="1"/>
      <c r="AFZ412" s="1"/>
      <c r="AGA412" s="1"/>
      <c r="AGB412" s="1"/>
      <c r="AGC412" s="1"/>
      <c r="AGD412" s="1"/>
      <c r="AGE412" s="1"/>
      <c r="AGF412" s="1"/>
      <c r="AGG412" s="1"/>
      <c r="AGH412" s="1"/>
      <c r="AGI412" s="1"/>
      <c r="AGJ412" s="1"/>
      <c r="AGK412" s="1"/>
      <c r="AGL412" s="1"/>
      <c r="AGM412" s="1"/>
      <c r="AGN412" s="1"/>
      <c r="AGO412" s="1"/>
      <c r="AGP412" s="1"/>
      <c r="AGQ412" s="1"/>
      <c r="AGR412" s="1"/>
      <c r="AGS412" s="1"/>
      <c r="AGT412" s="1"/>
      <c r="AGU412" s="1"/>
      <c r="AGV412" s="1"/>
      <c r="AGW412" s="1"/>
      <c r="AGX412" s="1"/>
      <c r="AGY412" s="1"/>
      <c r="AGZ412" s="1"/>
      <c r="AHA412" s="1"/>
      <c r="AHB412" s="1"/>
      <c r="AHC412" s="1"/>
      <c r="AHD412" s="1"/>
      <c r="AHE412" s="1"/>
      <c r="AHF412" s="1"/>
      <c r="AHG412" s="1"/>
      <c r="AHH412" s="1"/>
      <c r="AHI412" s="1"/>
      <c r="AHJ412" s="1"/>
      <c r="AHK412" s="1"/>
      <c r="AHL412" s="1"/>
      <c r="AHM412" s="1"/>
      <c r="AHN412" s="1"/>
      <c r="AHO412" s="1"/>
      <c r="AHP412" s="1"/>
      <c r="AHQ412" s="1"/>
      <c r="AHR412" s="1"/>
      <c r="AHS412" s="1"/>
      <c r="AHT412" s="1"/>
      <c r="AHU412" s="1"/>
      <c r="AHV412" s="1"/>
      <c r="AHW412" s="1"/>
      <c r="AHX412" s="1"/>
      <c r="AHY412" s="1"/>
    </row>
    <row r="413" spans="1:909" s="5" customFormat="1" ht="22.2" thickTop="1" thickBot="1">
      <c r="A413" s="6" t="s">
        <v>110</v>
      </c>
      <c r="B413" s="194">
        <f>SUM(B411:B412)</f>
        <v>0</v>
      </c>
      <c r="C413" s="195"/>
      <c r="D413" s="194">
        <f>SUM(D411:D412)</f>
        <v>0</v>
      </c>
      <c r="E413" s="195"/>
      <c r="F413" s="194">
        <f>SUM(F411:F412)</f>
        <v>0</v>
      </c>
      <c r="G413" s="195"/>
      <c r="H413" s="194">
        <f>SUM(H411:H412)</f>
        <v>0</v>
      </c>
      <c r="I413" s="195"/>
      <c r="J413" s="194">
        <f>SUM(J411:J412)</f>
        <v>0</v>
      </c>
      <c r="K413" s="195"/>
      <c r="L413" s="194">
        <f>SUM(L411:L412)</f>
        <v>0</v>
      </c>
      <c r="M413" s="195"/>
      <c r="N413" s="194">
        <f>L413+J413+H413+F413+D413+B413</f>
        <v>0</v>
      </c>
      <c r="O413" s="196"/>
      <c r="P413" s="197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  <c r="KB413" s="1"/>
      <c r="KC413" s="1"/>
      <c r="KD413" s="1"/>
      <c r="KE413" s="1"/>
      <c r="KF413" s="1"/>
      <c r="KG413" s="1"/>
      <c r="KH413" s="1"/>
      <c r="KI413" s="1"/>
      <c r="KJ413" s="1"/>
      <c r="KK413" s="1"/>
      <c r="KL413" s="1"/>
      <c r="KM413" s="1"/>
      <c r="KN413" s="1"/>
      <c r="KO413" s="1"/>
      <c r="KP413" s="1"/>
      <c r="KQ413" s="1"/>
      <c r="KR413" s="1"/>
      <c r="KS413" s="1"/>
      <c r="KT413" s="1"/>
      <c r="KU413" s="1"/>
      <c r="KV413" s="1"/>
      <c r="KW413" s="1"/>
      <c r="KX413" s="1"/>
      <c r="KY413" s="1"/>
      <c r="KZ413" s="1"/>
      <c r="LA413" s="1"/>
      <c r="LB413" s="1"/>
      <c r="LC413" s="1"/>
      <c r="LD413" s="1"/>
      <c r="LE413" s="1"/>
      <c r="LF413" s="1"/>
      <c r="LG413" s="1"/>
      <c r="LH413" s="1"/>
      <c r="LI413" s="1"/>
      <c r="LJ413" s="1"/>
      <c r="LK413" s="1"/>
      <c r="LL413" s="1"/>
      <c r="LM413" s="1"/>
      <c r="LN413" s="1"/>
      <c r="LO413" s="1"/>
      <c r="LP413" s="1"/>
      <c r="LQ413" s="1"/>
      <c r="LR413" s="1"/>
      <c r="LS413" s="1"/>
      <c r="LT413" s="1"/>
      <c r="LU413" s="1"/>
      <c r="LV413" s="1"/>
      <c r="LW413" s="1"/>
      <c r="LX413" s="1"/>
      <c r="LY413" s="1"/>
      <c r="LZ413" s="1"/>
      <c r="MA413" s="1"/>
      <c r="MB413" s="1"/>
      <c r="MC413" s="1"/>
      <c r="MD413" s="1"/>
      <c r="ME413" s="1"/>
      <c r="MF413" s="1"/>
      <c r="MG413" s="1"/>
      <c r="MH413" s="1"/>
      <c r="MI413" s="1"/>
      <c r="MJ413" s="1"/>
      <c r="MK413" s="1"/>
      <c r="ML413" s="1"/>
      <c r="MM413" s="1"/>
      <c r="MN413" s="1"/>
      <c r="MO413" s="1"/>
      <c r="MP413" s="1"/>
      <c r="MQ413" s="1"/>
      <c r="MR413" s="1"/>
      <c r="MS413" s="1"/>
      <c r="MT413" s="1"/>
      <c r="MU413" s="1"/>
      <c r="MV413" s="1"/>
      <c r="MW413" s="1"/>
      <c r="MX413" s="1"/>
      <c r="MY413" s="1"/>
      <c r="MZ413" s="1"/>
      <c r="NA413" s="1"/>
      <c r="NB413" s="1"/>
      <c r="NC413" s="1"/>
      <c r="ND413" s="1"/>
      <c r="NE413" s="1"/>
      <c r="NF413" s="1"/>
      <c r="NG413" s="1"/>
      <c r="NH413" s="1"/>
      <c r="NI413" s="1"/>
      <c r="NJ413" s="1"/>
      <c r="NK413" s="1"/>
      <c r="NL413" s="1"/>
      <c r="NM413" s="1"/>
      <c r="NN413" s="1"/>
      <c r="NO413" s="1"/>
      <c r="NP413" s="1"/>
      <c r="NQ413" s="1"/>
      <c r="NR413" s="1"/>
      <c r="NS413" s="1"/>
      <c r="NT413" s="1"/>
      <c r="NU413" s="1"/>
      <c r="NV413" s="1"/>
      <c r="NW413" s="1"/>
      <c r="NX413" s="1"/>
      <c r="NY413" s="1"/>
      <c r="NZ413" s="1"/>
      <c r="OA413" s="1"/>
      <c r="OB413" s="1"/>
      <c r="OC413" s="1"/>
      <c r="OD413" s="1"/>
      <c r="OE413" s="1"/>
      <c r="OF413" s="1"/>
      <c r="OG413" s="1"/>
      <c r="OH413" s="1"/>
      <c r="OI413" s="1"/>
      <c r="OJ413" s="1"/>
      <c r="OK413" s="1"/>
      <c r="OL413" s="1"/>
      <c r="OM413" s="1"/>
      <c r="ON413" s="1"/>
      <c r="OO413" s="1"/>
      <c r="OP413" s="1"/>
      <c r="OQ413" s="1"/>
      <c r="OR413" s="1"/>
      <c r="OS413" s="1"/>
      <c r="OT413" s="1"/>
      <c r="OU413" s="1"/>
      <c r="OV413" s="1"/>
      <c r="OW413" s="1"/>
      <c r="OX413" s="1"/>
      <c r="OY413" s="1"/>
      <c r="OZ413" s="1"/>
      <c r="PA413" s="1"/>
      <c r="PB413" s="1"/>
      <c r="PC413" s="1"/>
      <c r="PD413" s="1"/>
      <c r="PE413" s="1"/>
      <c r="PF413" s="1"/>
      <c r="PG413" s="1"/>
      <c r="PH413" s="1"/>
      <c r="PI413" s="1"/>
      <c r="PJ413" s="1"/>
      <c r="PK413" s="1"/>
      <c r="PL413" s="1"/>
      <c r="PM413" s="1"/>
      <c r="PN413" s="1"/>
      <c r="PO413" s="1"/>
      <c r="PP413" s="1"/>
      <c r="PQ413" s="1"/>
      <c r="PR413" s="1"/>
      <c r="PS413" s="1"/>
      <c r="PT413" s="1"/>
      <c r="PU413" s="1"/>
      <c r="PV413" s="1"/>
      <c r="PW413" s="1"/>
      <c r="PX413" s="1"/>
      <c r="PY413" s="1"/>
      <c r="PZ413" s="1"/>
      <c r="QA413" s="1"/>
      <c r="QB413" s="1"/>
      <c r="QC413" s="1"/>
      <c r="QD413" s="1"/>
      <c r="QE413" s="1"/>
      <c r="QF413" s="1"/>
      <c r="QG413" s="1"/>
      <c r="QH413" s="1"/>
      <c r="QI413" s="1"/>
      <c r="QJ413" s="1"/>
      <c r="QK413" s="1"/>
      <c r="QL413" s="1"/>
      <c r="QM413" s="1"/>
      <c r="QN413" s="1"/>
      <c r="QO413" s="1"/>
      <c r="QP413" s="1"/>
      <c r="QQ413" s="1"/>
      <c r="QR413" s="1"/>
      <c r="QS413" s="1"/>
      <c r="QT413" s="1"/>
      <c r="QU413" s="1"/>
      <c r="QV413" s="1"/>
      <c r="QW413" s="1"/>
      <c r="QX413" s="1"/>
      <c r="QY413" s="1"/>
      <c r="QZ413" s="1"/>
      <c r="RA413" s="1"/>
      <c r="RB413" s="1"/>
      <c r="RC413" s="1"/>
      <c r="RD413" s="1"/>
      <c r="RE413" s="1"/>
      <c r="RF413" s="1"/>
      <c r="RG413" s="1"/>
      <c r="RH413" s="1"/>
      <c r="RI413" s="1"/>
      <c r="RJ413" s="1"/>
      <c r="RK413" s="1"/>
      <c r="RL413" s="1"/>
      <c r="RM413" s="1"/>
      <c r="RN413" s="1"/>
      <c r="RO413" s="1"/>
      <c r="RP413" s="1"/>
      <c r="RQ413" s="1"/>
      <c r="RR413" s="1"/>
      <c r="RS413" s="1"/>
      <c r="RT413" s="1"/>
      <c r="RU413" s="1"/>
      <c r="RV413" s="1"/>
      <c r="RW413" s="1"/>
      <c r="RX413" s="1"/>
      <c r="RY413" s="1"/>
      <c r="RZ413" s="1"/>
      <c r="SA413" s="1"/>
      <c r="SB413" s="1"/>
      <c r="SC413" s="1"/>
      <c r="SD413" s="1"/>
      <c r="SE413" s="1"/>
      <c r="SF413" s="1"/>
      <c r="SG413" s="1"/>
      <c r="SH413" s="1"/>
      <c r="SI413" s="1"/>
      <c r="SJ413" s="1"/>
      <c r="SK413" s="1"/>
      <c r="SL413" s="1"/>
      <c r="SM413" s="1"/>
      <c r="SN413" s="1"/>
      <c r="SO413" s="1"/>
      <c r="SP413" s="1"/>
      <c r="SQ413" s="1"/>
      <c r="SR413" s="1"/>
      <c r="SS413" s="1"/>
      <c r="ST413" s="1"/>
      <c r="SU413" s="1"/>
      <c r="SV413" s="1"/>
      <c r="SW413" s="1"/>
      <c r="SX413" s="1"/>
      <c r="SY413" s="1"/>
      <c r="SZ413" s="1"/>
      <c r="TA413" s="1"/>
      <c r="TB413" s="1"/>
      <c r="TC413" s="1"/>
      <c r="TD413" s="1"/>
      <c r="TE413" s="1"/>
      <c r="TF413" s="1"/>
      <c r="TG413" s="1"/>
      <c r="TH413" s="1"/>
      <c r="TI413" s="1"/>
      <c r="TJ413" s="1"/>
      <c r="TK413" s="1"/>
      <c r="TL413" s="1"/>
      <c r="TM413" s="1"/>
      <c r="TN413" s="1"/>
      <c r="TO413" s="1"/>
      <c r="TP413" s="1"/>
      <c r="TQ413" s="1"/>
      <c r="TR413" s="1"/>
      <c r="TS413" s="1"/>
      <c r="TT413" s="1"/>
      <c r="TU413" s="1"/>
      <c r="TV413" s="1"/>
      <c r="TW413" s="1"/>
      <c r="TX413" s="1"/>
      <c r="TY413" s="1"/>
      <c r="TZ413" s="1"/>
      <c r="UA413" s="1"/>
      <c r="UB413" s="1"/>
      <c r="UC413" s="1"/>
      <c r="UD413" s="1"/>
      <c r="UE413" s="1"/>
      <c r="UF413" s="1"/>
      <c r="UG413" s="1"/>
      <c r="UH413" s="1"/>
      <c r="UI413" s="1"/>
      <c r="UJ413" s="1"/>
      <c r="UK413" s="1"/>
      <c r="UL413" s="1"/>
      <c r="UM413" s="1"/>
      <c r="UN413" s="1"/>
      <c r="UO413" s="1"/>
      <c r="UP413" s="1"/>
      <c r="UQ413" s="1"/>
      <c r="UR413" s="1"/>
      <c r="US413" s="1"/>
      <c r="UT413" s="1"/>
      <c r="UU413" s="1"/>
      <c r="UV413" s="1"/>
      <c r="UW413" s="1"/>
      <c r="UX413" s="1"/>
      <c r="UY413" s="1"/>
      <c r="UZ413" s="1"/>
      <c r="VA413" s="1"/>
      <c r="VB413" s="1"/>
      <c r="VC413" s="1"/>
      <c r="VD413" s="1"/>
      <c r="VE413" s="1"/>
      <c r="VF413" s="1"/>
      <c r="VG413" s="1"/>
      <c r="VH413" s="1"/>
      <c r="VI413" s="1"/>
      <c r="VJ413" s="1"/>
      <c r="VK413" s="1"/>
      <c r="VL413" s="1"/>
      <c r="VM413" s="1"/>
      <c r="VN413" s="1"/>
      <c r="VO413" s="1"/>
      <c r="VP413" s="1"/>
      <c r="VQ413" s="1"/>
      <c r="VR413" s="1"/>
      <c r="VS413" s="1"/>
      <c r="VT413" s="1"/>
      <c r="VU413" s="1"/>
      <c r="VV413" s="1"/>
      <c r="VW413" s="1"/>
      <c r="VX413" s="1"/>
      <c r="VY413" s="1"/>
      <c r="VZ413" s="1"/>
      <c r="WA413" s="1"/>
      <c r="WB413" s="1"/>
      <c r="WC413" s="1"/>
      <c r="WD413" s="1"/>
      <c r="WE413" s="1"/>
      <c r="WF413" s="1"/>
      <c r="WG413" s="1"/>
      <c r="WH413" s="1"/>
      <c r="WI413" s="1"/>
      <c r="WJ413" s="1"/>
      <c r="WK413" s="1"/>
      <c r="WL413" s="1"/>
      <c r="WM413" s="1"/>
      <c r="WN413" s="1"/>
      <c r="WO413" s="1"/>
      <c r="WP413" s="1"/>
      <c r="WQ413" s="1"/>
      <c r="WR413" s="1"/>
      <c r="WS413" s="1"/>
      <c r="WT413" s="1"/>
      <c r="WU413" s="1"/>
      <c r="WV413" s="1"/>
      <c r="WW413" s="1"/>
      <c r="WX413" s="1"/>
      <c r="WY413" s="1"/>
      <c r="WZ413" s="1"/>
      <c r="XA413" s="1"/>
      <c r="XB413" s="1"/>
      <c r="XC413" s="1"/>
      <c r="XD413" s="1"/>
      <c r="XE413" s="1"/>
      <c r="XF413" s="1"/>
      <c r="XG413" s="1"/>
      <c r="XH413" s="1"/>
      <c r="XI413" s="1"/>
      <c r="XJ413" s="1"/>
      <c r="XK413" s="1"/>
      <c r="XL413" s="1"/>
      <c r="XM413" s="1"/>
      <c r="XN413" s="1"/>
      <c r="XO413" s="1"/>
      <c r="XP413" s="1"/>
      <c r="XQ413" s="1"/>
      <c r="XR413" s="1"/>
      <c r="XS413" s="1"/>
      <c r="XT413" s="1"/>
      <c r="XU413" s="1"/>
      <c r="XV413" s="1"/>
      <c r="XW413" s="1"/>
      <c r="XX413" s="1"/>
      <c r="XY413" s="1"/>
      <c r="XZ413" s="1"/>
      <c r="YA413" s="1"/>
      <c r="YB413" s="1"/>
      <c r="YC413" s="1"/>
      <c r="YD413" s="1"/>
      <c r="YE413" s="1"/>
      <c r="YF413" s="1"/>
      <c r="YG413" s="1"/>
      <c r="YH413" s="1"/>
      <c r="YI413" s="1"/>
      <c r="YJ413" s="1"/>
      <c r="YK413" s="1"/>
      <c r="YL413" s="1"/>
      <c r="YM413" s="1"/>
      <c r="YN413" s="1"/>
      <c r="YO413" s="1"/>
      <c r="YP413" s="1"/>
      <c r="YQ413" s="1"/>
      <c r="YR413" s="1"/>
      <c r="YS413" s="1"/>
      <c r="YT413" s="1"/>
      <c r="YU413" s="1"/>
      <c r="YV413" s="1"/>
      <c r="YW413" s="1"/>
      <c r="YX413" s="1"/>
      <c r="YY413" s="1"/>
      <c r="YZ413" s="1"/>
      <c r="ZA413" s="1"/>
      <c r="ZB413" s="1"/>
      <c r="ZC413" s="1"/>
      <c r="ZD413" s="1"/>
      <c r="ZE413" s="1"/>
      <c r="ZF413" s="1"/>
      <c r="ZG413" s="1"/>
      <c r="ZH413" s="1"/>
      <c r="ZI413" s="1"/>
      <c r="ZJ413" s="1"/>
      <c r="ZK413" s="1"/>
      <c r="ZL413" s="1"/>
      <c r="ZM413" s="1"/>
      <c r="ZN413" s="1"/>
      <c r="ZO413" s="1"/>
      <c r="ZP413" s="1"/>
      <c r="ZQ413" s="1"/>
      <c r="ZR413" s="1"/>
      <c r="ZS413" s="1"/>
      <c r="ZT413" s="1"/>
      <c r="ZU413" s="1"/>
      <c r="ZV413" s="1"/>
      <c r="ZW413" s="1"/>
      <c r="ZX413" s="1"/>
      <c r="ZY413" s="1"/>
      <c r="ZZ413" s="1"/>
      <c r="AAA413" s="1"/>
      <c r="AAB413" s="1"/>
      <c r="AAC413" s="1"/>
      <c r="AAD413" s="1"/>
      <c r="AAE413" s="1"/>
      <c r="AAF413" s="1"/>
      <c r="AAG413" s="1"/>
      <c r="AAH413" s="1"/>
      <c r="AAI413" s="1"/>
      <c r="AAJ413" s="1"/>
      <c r="AAK413" s="1"/>
      <c r="AAL413" s="1"/>
      <c r="AAM413" s="1"/>
      <c r="AAN413" s="1"/>
      <c r="AAO413" s="1"/>
      <c r="AAP413" s="1"/>
      <c r="AAQ413" s="1"/>
      <c r="AAR413" s="1"/>
      <c r="AAS413" s="1"/>
      <c r="AAT413" s="1"/>
      <c r="AAU413" s="1"/>
      <c r="AAV413" s="1"/>
      <c r="AAW413" s="1"/>
      <c r="AAX413" s="1"/>
      <c r="AAY413" s="1"/>
      <c r="AAZ413" s="1"/>
      <c r="ABA413" s="1"/>
      <c r="ABB413" s="1"/>
      <c r="ABC413" s="1"/>
      <c r="ABD413" s="1"/>
      <c r="ABE413" s="1"/>
      <c r="ABF413" s="1"/>
      <c r="ABG413" s="1"/>
      <c r="ABH413" s="1"/>
      <c r="ABI413" s="1"/>
      <c r="ABJ413" s="1"/>
      <c r="ABK413" s="1"/>
      <c r="ABL413" s="1"/>
      <c r="ABM413" s="1"/>
      <c r="ABN413" s="1"/>
      <c r="ABO413" s="1"/>
      <c r="ABP413" s="1"/>
      <c r="ABQ413" s="1"/>
      <c r="ABR413" s="1"/>
      <c r="ABS413" s="1"/>
      <c r="ABT413" s="1"/>
      <c r="ABU413" s="1"/>
      <c r="ABV413" s="1"/>
      <c r="ABW413" s="1"/>
      <c r="ABX413" s="1"/>
      <c r="ABY413" s="1"/>
      <c r="ABZ413" s="1"/>
      <c r="ACA413" s="1"/>
      <c r="ACB413" s="1"/>
      <c r="ACC413" s="1"/>
      <c r="ACD413" s="1"/>
      <c r="ACE413" s="1"/>
      <c r="ACF413" s="1"/>
      <c r="ACG413" s="1"/>
      <c r="ACH413" s="1"/>
      <c r="ACI413" s="1"/>
      <c r="ACJ413" s="1"/>
      <c r="ACK413" s="1"/>
      <c r="ACL413" s="1"/>
      <c r="ACM413" s="1"/>
      <c r="ACN413" s="1"/>
      <c r="ACO413" s="1"/>
      <c r="ACP413" s="1"/>
      <c r="ACQ413" s="1"/>
      <c r="ACR413" s="1"/>
      <c r="ACS413" s="1"/>
      <c r="ACT413" s="1"/>
      <c r="ACU413" s="1"/>
      <c r="ACV413" s="1"/>
      <c r="ACW413" s="1"/>
      <c r="ACX413" s="1"/>
      <c r="ACY413" s="1"/>
      <c r="ACZ413" s="1"/>
      <c r="ADA413" s="1"/>
      <c r="ADB413" s="1"/>
      <c r="ADC413" s="1"/>
      <c r="ADD413" s="1"/>
      <c r="ADE413" s="1"/>
      <c r="ADF413" s="1"/>
      <c r="ADG413" s="1"/>
      <c r="ADH413" s="1"/>
      <c r="ADI413" s="1"/>
      <c r="ADJ413" s="1"/>
      <c r="ADK413" s="1"/>
      <c r="ADL413" s="1"/>
      <c r="ADM413" s="1"/>
      <c r="ADN413" s="1"/>
      <c r="ADO413" s="1"/>
      <c r="ADP413" s="1"/>
      <c r="ADQ413" s="1"/>
      <c r="ADR413" s="1"/>
      <c r="ADS413" s="1"/>
      <c r="ADT413" s="1"/>
      <c r="ADU413" s="1"/>
      <c r="ADV413" s="1"/>
      <c r="ADW413" s="1"/>
      <c r="ADX413" s="1"/>
      <c r="ADY413" s="1"/>
      <c r="ADZ413" s="1"/>
      <c r="AEA413" s="1"/>
      <c r="AEB413" s="1"/>
      <c r="AEC413" s="1"/>
      <c r="AED413" s="1"/>
      <c r="AEE413" s="1"/>
      <c r="AEF413" s="1"/>
      <c r="AEG413" s="1"/>
      <c r="AEH413" s="1"/>
      <c r="AEI413" s="1"/>
      <c r="AEJ413" s="1"/>
      <c r="AEK413" s="1"/>
      <c r="AEL413" s="1"/>
      <c r="AEM413" s="1"/>
      <c r="AEN413" s="1"/>
      <c r="AEO413" s="1"/>
      <c r="AEP413" s="1"/>
      <c r="AEQ413" s="1"/>
      <c r="AER413" s="1"/>
      <c r="AES413" s="1"/>
      <c r="AET413" s="1"/>
      <c r="AEU413" s="1"/>
      <c r="AEV413" s="1"/>
      <c r="AEW413" s="1"/>
      <c r="AEX413" s="1"/>
      <c r="AEY413" s="1"/>
      <c r="AEZ413" s="1"/>
      <c r="AFA413" s="1"/>
      <c r="AFB413" s="1"/>
      <c r="AFC413" s="1"/>
      <c r="AFD413" s="1"/>
      <c r="AFE413" s="1"/>
      <c r="AFF413" s="1"/>
      <c r="AFG413" s="1"/>
      <c r="AFH413" s="1"/>
      <c r="AFI413" s="1"/>
      <c r="AFJ413" s="1"/>
      <c r="AFK413" s="1"/>
      <c r="AFL413" s="1"/>
      <c r="AFM413" s="1"/>
      <c r="AFN413" s="1"/>
      <c r="AFO413" s="1"/>
      <c r="AFP413" s="1"/>
      <c r="AFQ413" s="1"/>
      <c r="AFR413" s="1"/>
      <c r="AFS413" s="1"/>
      <c r="AFT413" s="1"/>
      <c r="AFU413" s="1"/>
      <c r="AFV413" s="1"/>
      <c r="AFW413" s="1"/>
      <c r="AFX413" s="1"/>
      <c r="AFY413" s="1"/>
      <c r="AFZ413" s="1"/>
      <c r="AGA413" s="1"/>
      <c r="AGB413" s="1"/>
      <c r="AGC413" s="1"/>
      <c r="AGD413" s="1"/>
      <c r="AGE413" s="1"/>
      <c r="AGF413" s="1"/>
      <c r="AGG413" s="1"/>
      <c r="AGH413" s="1"/>
      <c r="AGI413" s="1"/>
      <c r="AGJ413" s="1"/>
      <c r="AGK413" s="1"/>
      <c r="AGL413" s="1"/>
      <c r="AGM413" s="1"/>
      <c r="AGN413" s="1"/>
      <c r="AGO413" s="1"/>
      <c r="AGP413" s="1"/>
      <c r="AGQ413" s="1"/>
      <c r="AGR413" s="1"/>
      <c r="AGS413" s="1"/>
      <c r="AGT413" s="1"/>
      <c r="AGU413" s="1"/>
      <c r="AGV413" s="1"/>
      <c r="AGW413" s="1"/>
      <c r="AGX413" s="1"/>
      <c r="AGY413" s="1"/>
      <c r="AGZ413" s="1"/>
      <c r="AHA413" s="1"/>
      <c r="AHB413" s="1"/>
      <c r="AHC413" s="1"/>
      <c r="AHD413" s="1"/>
      <c r="AHE413" s="1"/>
      <c r="AHF413" s="1"/>
      <c r="AHG413" s="1"/>
      <c r="AHH413" s="1"/>
      <c r="AHI413" s="1"/>
      <c r="AHJ413" s="1"/>
      <c r="AHK413" s="1"/>
      <c r="AHL413" s="1"/>
      <c r="AHM413" s="1"/>
      <c r="AHN413" s="1"/>
      <c r="AHO413" s="1"/>
      <c r="AHP413" s="1"/>
      <c r="AHQ413" s="1"/>
      <c r="AHR413" s="1"/>
      <c r="AHS413" s="1"/>
      <c r="AHT413" s="1"/>
      <c r="AHU413" s="1"/>
      <c r="AHV413" s="1"/>
      <c r="AHW413" s="1"/>
      <c r="AHX413" s="1"/>
      <c r="AHY413" s="1"/>
    </row>
    <row r="414" spans="1:909" s="5" customFormat="1" ht="21.6" thickTop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  <c r="KB414" s="1"/>
      <c r="KC414" s="1"/>
      <c r="KD414" s="1"/>
      <c r="KE414" s="1"/>
      <c r="KF414" s="1"/>
      <c r="KG414" s="1"/>
      <c r="KH414" s="1"/>
      <c r="KI414" s="1"/>
      <c r="KJ414" s="1"/>
      <c r="KK414" s="1"/>
      <c r="KL414" s="1"/>
      <c r="KM414" s="1"/>
      <c r="KN414" s="1"/>
      <c r="KO414" s="1"/>
      <c r="KP414" s="1"/>
      <c r="KQ414" s="1"/>
      <c r="KR414" s="1"/>
      <c r="KS414" s="1"/>
      <c r="KT414" s="1"/>
      <c r="KU414" s="1"/>
      <c r="KV414" s="1"/>
      <c r="KW414" s="1"/>
      <c r="KX414" s="1"/>
      <c r="KY414" s="1"/>
      <c r="KZ414" s="1"/>
      <c r="LA414" s="1"/>
      <c r="LB414" s="1"/>
      <c r="LC414" s="1"/>
      <c r="LD414" s="1"/>
      <c r="LE414" s="1"/>
      <c r="LF414" s="1"/>
      <c r="LG414" s="1"/>
      <c r="LH414" s="1"/>
      <c r="LI414" s="1"/>
      <c r="LJ414" s="1"/>
      <c r="LK414" s="1"/>
      <c r="LL414" s="1"/>
      <c r="LM414" s="1"/>
      <c r="LN414" s="1"/>
      <c r="LO414" s="1"/>
      <c r="LP414" s="1"/>
      <c r="LQ414" s="1"/>
      <c r="LR414" s="1"/>
      <c r="LS414" s="1"/>
      <c r="LT414" s="1"/>
      <c r="LU414" s="1"/>
      <c r="LV414" s="1"/>
      <c r="LW414" s="1"/>
      <c r="LX414" s="1"/>
      <c r="LY414" s="1"/>
      <c r="LZ414" s="1"/>
      <c r="MA414" s="1"/>
      <c r="MB414" s="1"/>
      <c r="MC414" s="1"/>
      <c r="MD414" s="1"/>
      <c r="ME414" s="1"/>
      <c r="MF414" s="1"/>
      <c r="MG414" s="1"/>
      <c r="MH414" s="1"/>
      <c r="MI414" s="1"/>
      <c r="MJ414" s="1"/>
      <c r="MK414" s="1"/>
      <c r="ML414" s="1"/>
      <c r="MM414" s="1"/>
      <c r="MN414" s="1"/>
      <c r="MO414" s="1"/>
      <c r="MP414" s="1"/>
      <c r="MQ414" s="1"/>
      <c r="MR414" s="1"/>
      <c r="MS414" s="1"/>
      <c r="MT414" s="1"/>
      <c r="MU414" s="1"/>
      <c r="MV414" s="1"/>
      <c r="MW414" s="1"/>
      <c r="MX414" s="1"/>
      <c r="MY414" s="1"/>
      <c r="MZ414" s="1"/>
      <c r="NA414" s="1"/>
      <c r="NB414" s="1"/>
      <c r="NC414" s="1"/>
      <c r="ND414" s="1"/>
      <c r="NE414" s="1"/>
      <c r="NF414" s="1"/>
      <c r="NG414" s="1"/>
      <c r="NH414" s="1"/>
      <c r="NI414" s="1"/>
      <c r="NJ414" s="1"/>
      <c r="NK414" s="1"/>
      <c r="NL414" s="1"/>
      <c r="NM414" s="1"/>
      <c r="NN414" s="1"/>
      <c r="NO414" s="1"/>
      <c r="NP414" s="1"/>
      <c r="NQ414" s="1"/>
      <c r="NR414" s="1"/>
      <c r="NS414" s="1"/>
      <c r="NT414" s="1"/>
      <c r="NU414" s="1"/>
      <c r="NV414" s="1"/>
      <c r="NW414" s="1"/>
      <c r="NX414" s="1"/>
      <c r="NY414" s="1"/>
      <c r="NZ414" s="1"/>
      <c r="OA414" s="1"/>
      <c r="OB414" s="1"/>
      <c r="OC414" s="1"/>
      <c r="OD414" s="1"/>
      <c r="OE414" s="1"/>
      <c r="OF414" s="1"/>
      <c r="OG414" s="1"/>
      <c r="OH414" s="1"/>
      <c r="OI414" s="1"/>
      <c r="OJ414" s="1"/>
      <c r="OK414" s="1"/>
      <c r="OL414" s="1"/>
      <c r="OM414" s="1"/>
      <c r="ON414" s="1"/>
      <c r="OO414" s="1"/>
      <c r="OP414" s="1"/>
      <c r="OQ414" s="1"/>
      <c r="OR414" s="1"/>
      <c r="OS414" s="1"/>
      <c r="OT414" s="1"/>
      <c r="OU414" s="1"/>
      <c r="OV414" s="1"/>
      <c r="OW414" s="1"/>
      <c r="OX414" s="1"/>
      <c r="OY414" s="1"/>
      <c r="OZ414" s="1"/>
      <c r="PA414" s="1"/>
      <c r="PB414" s="1"/>
      <c r="PC414" s="1"/>
      <c r="PD414" s="1"/>
      <c r="PE414" s="1"/>
      <c r="PF414" s="1"/>
      <c r="PG414" s="1"/>
      <c r="PH414" s="1"/>
      <c r="PI414" s="1"/>
      <c r="PJ414" s="1"/>
      <c r="PK414" s="1"/>
      <c r="PL414" s="1"/>
      <c r="PM414" s="1"/>
      <c r="PN414" s="1"/>
      <c r="PO414" s="1"/>
      <c r="PP414" s="1"/>
      <c r="PQ414" s="1"/>
      <c r="PR414" s="1"/>
      <c r="PS414" s="1"/>
      <c r="PT414" s="1"/>
      <c r="PU414" s="1"/>
      <c r="PV414" s="1"/>
      <c r="PW414" s="1"/>
      <c r="PX414" s="1"/>
      <c r="PY414" s="1"/>
      <c r="PZ414" s="1"/>
      <c r="QA414" s="1"/>
      <c r="QB414" s="1"/>
      <c r="QC414" s="1"/>
      <c r="QD414" s="1"/>
      <c r="QE414" s="1"/>
      <c r="QF414" s="1"/>
      <c r="QG414" s="1"/>
      <c r="QH414" s="1"/>
      <c r="QI414" s="1"/>
      <c r="QJ414" s="1"/>
      <c r="QK414" s="1"/>
      <c r="QL414" s="1"/>
      <c r="QM414" s="1"/>
      <c r="QN414" s="1"/>
      <c r="QO414" s="1"/>
      <c r="QP414" s="1"/>
      <c r="QQ414" s="1"/>
      <c r="QR414" s="1"/>
      <c r="QS414" s="1"/>
      <c r="QT414" s="1"/>
      <c r="QU414" s="1"/>
      <c r="QV414" s="1"/>
      <c r="QW414" s="1"/>
      <c r="QX414" s="1"/>
      <c r="QY414" s="1"/>
      <c r="QZ414" s="1"/>
      <c r="RA414" s="1"/>
      <c r="RB414" s="1"/>
      <c r="RC414" s="1"/>
      <c r="RD414" s="1"/>
      <c r="RE414" s="1"/>
      <c r="RF414" s="1"/>
      <c r="RG414" s="1"/>
      <c r="RH414" s="1"/>
      <c r="RI414" s="1"/>
      <c r="RJ414" s="1"/>
      <c r="RK414" s="1"/>
      <c r="RL414" s="1"/>
      <c r="RM414" s="1"/>
      <c r="RN414" s="1"/>
      <c r="RO414" s="1"/>
      <c r="RP414" s="1"/>
      <c r="RQ414" s="1"/>
      <c r="RR414" s="1"/>
      <c r="RS414" s="1"/>
      <c r="RT414" s="1"/>
      <c r="RU414" s="1"/>
      <c r="RV414" s="1"/>
      <c r="RW414" s="1"/>
      <c r="RX414" s="1"/>
      <c r="RY414" s="1"/>
      <c r="RZ414" s="1"/>
      <c r="SA414" s="1"/>
      <c r="SB414" s="1"/>
      <c r="SC414" s="1"/>
      <c r="SD414" s="1"/>
      <c r="SE414" s="1"/>
      <c r="SF414" s="1"/>
      <c r="SG414" s="1"/>
      <c r="SH414" s="1"/>
      <c r="SI414" s="1"/>
      <c r="SJ414" s="1"/>
      <c r="SK414" s="1"/>
      <c r="SL414" s="1"/>
      <c r="SM414" s="1"/>
      <c r="SN414" s="1"/>
      <c r="SO414" s="1"/>
      <c r="SP414" s="1"/>
      <c r="SQ414" s="1"/>
      <c r="SR414" s="1"/>
      <c r="SS414" s="1"/>
      <c r="ST414" s="1"/>
      <c r="SU414" s="1"/>
      <c r="SV414" s="1"/>
      <c r="SW414" s="1"/>
      <c r="SX414" s="1"/>
      <c r="SY414" s="1"/>
      <c r="SZ414" s="1"/>
      <c r="TA414" s="1"/>
      <c r="TB414" s="1"/>
      <c r="TC414" s="1"/>
      <c r="TD414" s="1"/>
      <c r="TE414" s="1"/>
      <c r="TF414" s="1"/>
      <c r="TG414" s="1"/>
      <c r="TH414" s="1"/>
      <c r="TI414" s="1"/>
      <c r="TJ414" s="1"/>
      <c r="TK414" s="1"/>
      <c r="TL414" s="1"/>
      <c r="TM414" s="1"/>
      <c r="TN414" s="1"/>
      <c r="TO414" s="1"/>
      <c r="TP414" s="1"/>
      <c r="TQ414" s="1"/>
      <c r="TR414" s="1"/>
      <c r="TS414" s="1"/>
      <c r="TT414" s="1"/>
      <c r="TU414" s="1"/>
      <c r="TV414" s="1"/>
      <c r="TW414" s="1"/>
      <c r="TX414" s="1"/>
      <c r="TY414" s="1"/>
      <c r="TZ414" s="1"/>
      <c r="UA414" s="1"/>
      <c r="UB414" s="1"/>
      <c r="UC414" s="1"/>
      <c r="UD414" s="1"/>
      <c r="UE414" s="1"/>
      <c r="UF414" s="1"/>
      <c r="UG414" s="1"/>
      <c r="UH414" s="1"/>
      <c r="UI414" s="1"/>
      <c r="UJ414" s="1"/>
      <c r="UK414" s="1"/>
      <c r="UL414" s="1"/>
      <c r="UM414" s="1"/>
      <c r="UN414" s="1"/>
      <c r="UO414" s="1"/>
      <c r="UP414" s="1"/>
      <c r="UQ414" s="1"/>
      <c r="UR414" s="1"/>
      <c r="US414" s="1"/>
      <c r="UT414" s="1"/>
      <c r="UU414" s="1"/>
      <c r="UV414" s="1"/>
      <c r="UW414" s="1"/>
      <c r="UX414" s="1"/>
      <c r="UY414" s="1"/>
      <c r="UZ414" s="1"/>
      <c r="VA414" s="1"/>
      <c r="VB414" s="1"/>
      <c r="VC414" s="1"/>
      <c r="VD414" s="1"/>
      <c r="VE414" s="1"/>
      <c r="VF414" s="1"/>
      <c r="VG414" s="1"/>
      <c r="VH414" s="1"/>
      <c r="VI414" s="1"/>
      <c r="VJ414" s="1"/>
      <c r="VK414" s="1"/>
      <c r="VL414" s="1"/>
      <c r="VM414" s="1"/>
      <c r="VN414" s="1"/>
      <c r="VO414" s="1"/>
      <c r="VP414" s="1"/>
      <c r="VQ414" s="1"/>
      <c r="VR414" s="1"/>
      <c r="VS414" s="1"/>
      <c r="VT414" s="1"/>
      <c r="VU414" s="1"/>
      <c r="VV414" s="1"/>
      <c r="VW414" s="1"/>
      <c r="VX414" s="1"/>
      <c r="VY414" s="1"/>
      <c r="VZ414" s="1"/>
      <c r="WA414" s="1"/>
      <c r="WB414" s="1"/>
      <c r="WC414" s="1"/>
      <c r="WD414" s="1"/>
      <c r="WE414" s="1"/>
      <c r="WF414" s="1"/>
      <c r="WG414" s="1"/>
      <c r="WH414" s="1"/>
      <c r="WI414" s="1"/>
      <c r="WJ414" s="1"/>
      <c r="WK414" s="1"/>
      <c r="WL414" s="1"/>
      <c r="WM414" s="1"/>
      <c r="WN414" s="1"/>
      <c r="WO414" s="1"/>
      <c r="WP414" s="1"/>
      <c r="WQ414" s="1"/>
      <c r="WR414" s="1"/>
      <c r="WS414" s="1"/>
      <c r="WT414" s="1"/>
      <c r="WU414" s="1"/>
      <c r="WV414" s="1"/>
      <c r="WW414" s="1"/>
      <c r="WX414" s="1"/>
      <c r="WY414" s="1"/>
      <c r="WZ414" s="1"/>
      <c r="XA414" s="1"/>
      <c r="XB414" s="1"/>
      <c r="XC414" s="1"/>
      <c r="XD414" s="1"/>
      <c r="XE414" s="1"/>
      <c r="XF414" s="1"/>
      <c r="XG414" s="1"/>
      <c r="XH414" s="1"/>
      <c r="XI414" s="1"/>
      <c r="XJ414" s="1"/>
      <c r="XK414" s="1"/>
      <c r="XL414" s="1"/>
      <c r="XM414" s="1"/>
      <c r="XN414" s="1"/>
      <c r="XO414" s="1"/>
      <c r="XP414" s="1"/>
      <c r="XQ414" s="1"/>
      <c r="XR414" s="1"/>
      <c r="XS414" s="1"/>
      <c r="XT414" s="1"/>
      <c r="XU414" s="1"/>
      <c r="XV414" s="1"/>
      <c r="XW414" s="1"/>
      <c r="XX414" s="1"/>
      <c r="XY414" s="1"/>
      <c r="XZ414" s="1"/>
      <c r="YA414" s="1"/>
      <c r="YB414" s="1"/>
      <c r="YC414" s="1"/>
      <c r="YD414" s="1"/>
      <c r="YE414" s="1"/>
      <c r="YF414" s="1"/>
      <c r="YG414" s="1"/>
      <c r="YH414" s="1"/>
      <c r="YI414" s="1"/>
      <c r="YJ414" s="1"/>
      <c r="YK414" s="1"/>
      <c r="YL414" s="1"/>
      <c r="YM414" s="1"/>
      <c r="YN414" s="1"/>
      <c r="YO414" s="1"/>
      <c r="YP414" s="1"/>
      <c r="YQ414" s="1"/>
      <c r="YR414" s="1"/>
      <c r="YS414" s="1"/>
      <c r="YT414" s="1"/>
      <c r="YU414" s="1"/>
      <c r="YV414" s="1"/>
      <c r="YW414" s="1"/>
      <c r="YX414" s="1"/>
      <c r="YY414" s="1"/>
      <c r="YZ414" s="1"/>
      <c r="ZA414" s="1"/>
      <c r="ZB414" s="1"/>
      <c r="ZC414" s="1"/>
      <c r="ZD414" s="1"/>
      <c r="ZE414" s="1"/>
      <c r="ZF414" s="1"/>
      <c r="ZG414" s="1"/>
      <c r="ZH414" s="1"/>
      <c r="ZI414" s="1"/>
      <c r="ZJ414" s="1"/>
      <c r="ZK414" s="1"/>
      <c r="ZL414" s="1"/>
      <c r="ZM414" s="1"/>
      <c r="ZN414" s="1"/>
      <c r="ZO414" s="1"/>
      <c r="ZP414" s="1"/>
      <c r="ZQ414" s="1"/>
      <c r="ZR414" s="1"/>
      <c r="ZS414" s="1"/>
      <c r="ZT414" s="1"/>
      <c r="ZU414" s="1"/>
      <c r="ZV414" s="1"/>
      <c r="ZW414" s="1"/>
      <c r="ZX414" s="1"/>
      <c r="ZY414" s="1"/>
      <c r="ZZ414" s="1"/>
      <c r="AAA414" s="1"/>
      <c r="AAB414" s="1"/>
      <c r="AAC414" s="1"/>
      <c r="AAD414" s="1"/>
      <c r="AAE414" s="1"/>
      <c r="AAF414" s="1"/>
      <c r="AAG414" s="1"/>
      <c r="AAH414" s="1"/>
      <c r="AAI414" s="1"/>
      <c r="AAJ414" s="1"/>
      <c r="AAK414" s="1"/>
      <c r="AAL414" s="1"/>
      <c r="AAM414" s="1"/>
      <c r="AAN414" s="1"/>
      <c r="AAO414" s="1"/>
      <c r="AAP414" s="1"/>
      <c r="AAQ414" s="1"/>
      <c r="AAR414" s="1"/>
      <c r="AAS414" s="1"/>
      <c r="AAT414" s="1"/>
      <c r="AAU414" s="1"/>
      <c r="AAV414" s="1"/>
      <c r="AAW414" s="1"/>
      <c r="AAX414" s="1"/>
      <c r="AAY414" s="1"/>
      <c r="AAZ414" s="1"/>
      <c r="ABA414" s="1"/>
      <c r="ABB414" s="1"/>
      <c r="ABC414" s="1"/>
      <c r="ABD414" s="1"/>
      <c r="ABE414" s="1"/>
      <c r="ABF414" s="1"/>
      <c r="ABG414" s="1"/>
      <c r="ABH414" s="1"/>
      <c r="ABI414" s="1"/>
      <c r="ABJ414" s="1"/>
      <c r="ABK414" s="1"/>
      <c r="ABL414" s="1"/>
      <c r="ABM414" s="1"/>
      <c r="ABN414" s="1"/>
      <c r="ABO414" s="1"/>
      <c r="ABP414" s="1"/>
      <c r="ABQ414" s="1"/>
      <c r="ABR414" s="1"/>
      <c r="ABS414" s="1"/>
      <c r="ABT414" s="1"/>
      <c r="ABU414" s="1"/>
      <c r="ABV414" s="1"/>
      <c r="ABW414" s="1"/>
      <c r="ABX414" s="1"/>
      <c r="ABY414" s="1"/>
      <c r="ABZ414" s="1"/>
      <c r="ACA414" s="1"/>
      <c r="ACB414" s="1"/>
      <c r="ACC414" s="1"/>
      <c r="ACD414" s="1"/>
      <c r="ACE414" s="1"/>
      <c r="ACF414" s="1"/>
      <c r="ACG414" s="1"/>
      <c r="ACH414" s="1"/>
      <c r="ACI414" s="1"/>
      <c r="ACJ414" s="1"/>
      <c r="ACK414" s="1"/>
      <c r="ACL414" s="1"/>
      <c r="ACM414" s="1"/>
      <c r="ACN414" s="1"/>
      <c r="ACO414" s="1"/>
      <c r="ACP414" s="1"/>
      <c r="ACQ414" s="1"/>
      <c r="ACR414" s="1"/>
      <c r="ACS414" s="1"/>
      <c r="ACT414" s="1"/>
      <c r="ACU414" s="1"/>
      <c r="ACV414" s="1"/>
      <c r="ACW414" s="1"/>
      <c r="ACX414" s="1"/>
      <c r="ACY414" s="1"/>
      <c r="ACZ414" s="1"/>
      <c r="ADA414" s="1"/>
      <c r="ADB414" s="1"/>
      <c r="ADC414" s="1"/>
      <c r="ADD414" s="1"/>
      <c r="ADE414" s="1"/>
      <c r="ADF414" s="1"/>
      <c r="ADG414" s="1"/>
      <c r="ADH414" s="1"/>
      <c r="ADI414" s="1"/>
      <c r="ADJ414" s="1"/>
      <c r="ADK414" s="1"/>
      <c r="ADL414" s="1"/>
      <c r="ADM414" s="1"/>
      <c r="ADN414" s="1"/>
      <c r="ADO414" s="1"/>
      <c r="ADP414" s="1"/>
      <c r="ADQ414" s="1"/>
      <c r="ADR414" s="1"/>
      <c r="ADS414" s="1"/>
      <c r="ADT414" s="1"/>
      <c r="ADU414" s="1"/>
      <c r="ADV414" s="1"/>
      <c r="ADW414" s="1"/>
      <c r="ADX414" s="1"/>
      <c r="ADY414" s="1"/>
      <c r="ADZ414" s="1"/>
      <c r="AEA414" s="1"/>
      <c r="AEB414" s="1"/>
      <c r="AEC414" s="1"/>
      <c r="AED414" s="1"/>
      <c r="AEE414" s="1"/>
      <c r="AEF414" s="1"/>
      <c r="AEG414" s="1"/>
      <c r="AEH414" s="1"/>
      <c r="AEI414" s="1"/>
      <c r="AEJ414" s="1"/>
      <c r="AEK414" s="1"/>
      <c r="AEL414" s="1"/>
      <c r="AEM414" s="1"/>
      <c r="AEN414" s="1"/>
      <c r="AEO414" s="1"/>
      <c r="AEP414" s="1"/>
      <c r="AEQ414" s="1"/>
      <c r="AER414" s="1"/>
      <c r="AES414" s="1"/>
      <c r="AET414" s="1"/>
      <c r="AEU414" s="1"/>
      <c r="AEV414" s="1"/>
      <c r="AEW414" s="1"/>
      <c r="AEX414" s="1"/>
      <c r="AEY414" s="1"/>
      <c r="AEZ414" s="1"/>
      <c r="AFA414" s="1"/>
      <c r="AFB414" s="1"/>
      <c r="AFC414" s="1"/>
      <c r="AFD414" s="1"/>
      <c r="AFE414" s="1"/>
      <c r="AFF414" s="1"/>
      <c r="AFG414" s="1"/>
      <c r="AFH414" s="1"/>
      <c r="AFI414" s="1"/>
      <c r="AFJ414" s="1"/>
      <c r="AFK414" s="1"/>
      <c r="AFL414" s="1"/>
      <c r="AFM414" s="1"/>
      <c r="AFN414" s="1"/>
      <c r="AFO414" s="1"/>
      <c r="AFP414" s="1"/>
      <c r="AFQ414" s="1"/>
      <c r="AFR414" s="1"/>
      <c r="AFS414" s="1"/>
      <c r="AFT414" s="1"/>
      <c r="AFU414" s="1"/>
      <c r="AFV414" s="1"/>
      <c r="AFW414" s="1"/>
      <c r="AFX414" s="1"/>
      <c r="AFY414" s="1"/>
      <c r="AFZ414" s="1"/>
      <c r="AGA414" s="1"/>
      <c r="AGB414" s="1"/>
      <c r="AGC414" s="1"/>
      <c r="AGD414" s="1"/>
      <c r="AGE414" s="1"/>
      <c r="AGF414" s="1"/>
      <c r="AGG414" s="1"/>
      <c r="AGH414" s="1"/>
      <c r="AGI414" s="1"/>
      <c r="AGJ414" s="1"/>
      <c r="AGK414" s="1"/>
      <c r="AGL414" s="1"/>
      <c r="AGM414" s="1"/>
      <c r="AGN414" s="1"/>
      <c r="AGO414" s="1"/>
      <c r="AGP414" s="1"/>
      <c r="AGQ414" s="1"/>
      <c r="AGR414" s="1"/>
      <c r="AGS414" s="1"/>
      <c r="AGT414" s="1"/>
      <c r="AGU414" s="1"/>
      <c r="AGV414" s="1"/>
      <c r="AGW414" s="1"/>
      <c r="AGX414" s="1"/>
      <c r="AGY414" s="1"/>
      <c r="AGZ414" s="1"/>
      <c r="AHA414" s="1"/>
      <c r="AHB414" s="1"/>
      <c r="AHC414" s="1"/>
      <c r="AHD414" s="1"/>
      <c r="AHE414" s="1"/>
      <c r="AHF414" s="1"/>
      <c r="AHG414" s="1"/>
      <c r="AHH414" s="1"/>
      <c r="AHI414" s="1"/>
      <c r="AHJ414" s="1"/>
      <c r="AHK414" s="1"/>
      <c r="AHL414" s="1"/>
      <c r="AHM414" s="1"/>
      <c r="AHN414" s="1"/>
      <c r="AHO414" s="1"/>
      <c r="AHP414" s="1"/>
      <c r="AHQ414" s="1"/>
      <c r="AHR414" s="1"/>
      <c r="AHS414" s="1"/>
      <c r="AHT414" s="1"/>
      <c r="AHU414" s="1"/>
      <c r="AHV414" s="1"/>
      <c r="AHW414" s="1"/>
      <c r="AHX414" s="1"/>
      <c r="AHY414" s="1"/>
    </row>
    <row r="415" spans="1:909" s="1" customFormat="1" ht="21">
      <c r="A415" s="156" t="s">
        <v>135</v>
      </c>
      <c r="B415" s="156"/>
      <c r="C415" s="156"/>
      <c r="D415" s="156"/>
      <c r="E415" s="156"/>
      <c r="F415" s="156"/>
      <c r="G415" s="156"/>
      <c r="H415" s="156"/>
      <c r="I415" s="156"/>
      <c r="J415" s="156"/>
      <c r="K415" s="156"/>
      <c r="L415" s="156"/>
      <c r="M415" s="156"/>
      <c r="N415" s="156"/>
      <c r="O415" s="156"/>
      <c r="P415" s="156"/>
      <c r="Q415" s="2"/>
    </row>
    <row r="416" spans="1:909" s="1" customFormat="1" ht="21">
      <c r="A416" s="156" t="s">
        <v>136</v>
      </c>
      <c r="B416" s="156"/>
      <c r="C416" s="156"/>
      <c r="D416" s="156"/>
      <c r="E416" s="156"/>
      <c r="F416" s="156"/>
      <c r="G416" s="156"/>
      <c r="H416" s="156"/>
      <c r="I416" s="156"/>
      <c r="J416" s="156"/>
      <c r="K416" s="156"/>
      <c r="L416" s="156"/>
      <c r="M416" s="156"/>
      <c r="N416" s="156"/>
      <c r="O416" s="156"/>
      <c r="P416" s="156"/>
      <c r="Q416" s="156"/>
    </row>
    <row r="417" spans="1:16" s="1" customFormat="1" ht="21">
      <c r="A417" s="189" t="s">
        <v>113</v>
      </c>
      <c r="B417" s="189"/>
      <c r="C417" s="189"/>
      <c r="D417" s="189"/>
      <c r="E417" s="189"/>
      <c r="F417" s="189"/>
      <c r="G417" s="189"/>
      <c r="H417" s="189"/>
      <c r="I417" s="189"/>
      <c r="J417" s="189"/>
      <c r="K417" s="189"/>
      <c r="L417" s="189"/>
      <c r="M417" s="189"/>
      <c r="N417" s="189"/>
      <c r="O417" s="189"/>
      <c r="P417" s="189"/>
    </row>
    <row r="418" spans="1:16" s="1" customFormat="1" ht="21.6" thickBot="1">
      <c r="F418" s="13"/>
      <c r="G418" s="13"/>
      <c r="H418" s="13"/>
      <c r="I418" s="13"/>
      <c r="J418" s="13"/>
      <c r="K418" s="13"/>
    </row>
    <row r="419" spans="1:16" s="1" customFormat="1" ht="22.2" thickTop="1" thickBot="1">
      <c r="A419" s="190"/>
      <c r="B419" s="183" t="s">
        <v>114</v>
      </c>
      <c r="C419" s="192"/>
      <c r="D419" s="183" t="s">
        <v>115</v>
      </c>
      <c r="E419" s="192"/>
      <c r="F419" s="183" t="s">
        <v>116</v>
      </c>
      <c r="G419" s="192"/>
      <c r="H419" s="183" t="s">
        <v>117</v>
      </c>
      <c r="I419" s="192"/>
      <c r="J419" s="183" t="s">
        <v>118</v>
      </c>
      <c r="K419" s="192"/>
      <c r="L419" s="183" t="s">
        <v>119</v>
      </c>
      <c r="M419" s="192"/>
      <c r="N419" s="183" t="s">
        <v>120</v>
      </c>
      <c r="O419" s="184"/>
      <c r="P419" s="185"/>
    </row>
    <row r="420" spans="1:16" s="1" customFormat="1" ht="22.2" thickTop="1" thickBot="1">
      <c r="A420" s="191"/>
      <c r="B420" s="4" t="s">
        <v>76</v>
      </c>
      <c r="C420" s="4" t="s">
        <v>121</v>
      </c>
      <c r="D420" s="4" t="s">
        <v>76</v>
      </c>
      <c r="E420" s="4" t="s">
        <v>121</v>
      </c>
      <c r="F420" s="4" t="s">
        <v>76</v>
      </c>
      <c r="G420" s="4" t="s">
        <v>121</v>
      </c>
      <c r="H420" s="4" t="s">
        <v>76</v>
      </c>
      <c r="I420" s="4" t="s">
        <v>121</v>
      </c>
      <c r="J420" s="4" t="s">
        <v>76</v>
      </c>
      <c r="K420" s="4" t="s">
        <v>121</v>
      </c>
      <c r="L420" s="4" t="s">
        <v>76</v>
      </c>
      <c r="M420" s="4" t="s">
        <v>121</v>
      </c>
      <c r="N420" s="4" t="s">
        <v>76</v>
      </c>
      <c r="O420" s="4" t="s">
        <v>121</v>
      </c>
      <c r="P420" s="14" t="s">
        <v>122</v>
      </c>
    </row>
    <row r="421" spans="1:16" s="1" customFormat="1" ht="22.2" thickTop="1" thickBot="1">
      <c r="A421" s="11" t="s">
        <v>123</v>
      </c>
      <c r="B421" s="4">
        <f>'[1]التعليم الابتدائي'!AP643</f>
        <v>0</v>
      </c>
      <c r="C421" s="4">
        <f>'[1]التعليم الابتدائي'!AQ643</f>
        <v>0</v>
      </c>
      <c r="D421" s="177"/>
      <c r="E421" s="178"/>
      <c r="F421" s="178"/>
      <c r="G421" s="178"/>
      <c r="H421" s="178"/>
      <c r="I421" s="178"/>
      <c r="J421" s="178"/>
      <c r="K421" s="178"/>
      <c r="L421" s="178"/>
      <c r="M421" s="186"/>
      <c r="N421" s="4">
        <f>B421</f>
        <v>0</v>
      </c>
      <c r="O421" s="4">
        <f>C421</f>
        <v>0</v>
      </c>
      <c r="P421" s="14">
        <f t="shared" ref="P421:P431" si="26">O421+N421</f>
        <v>0</v>
      </c>
    </row>
    <row r="422" spans="1:16" s="1" customFormat="1" ht="22.2" thickTop="1" thickBot="1">
      <c r="A422" s="11" t="s">
        <v>124</v>
      </c>
      <c r="B422" s="4">
        <f>'[1]التعليم الابتدائي'!AR643</f>
        <v>0</v>
      </c>
      <c r="C422" s="4">
        <f>'[1]التعليم الابتدائي'!AS643</f>
        <v>0</v>
      </c>
      <c r="D422" s="137"/>
      <c r="E422" s="138"/>
      <c r="F422" s="180"/>
      <c r="G422" s="180"/>
      <c r="H422" s="180"/>
      <c r="I422" s="180"/>
      <c r="J422" s="180"/>
      <c r="K422" s="180"/>
      <c r="L422" s="180"/>
      <c r="M422" s="187"/>
      <c r="N422" s="4">
        <f>B422</f>
        <v>0</v>
      </c>
      <c r="O422" s="4">
        <f>C422</f>
        <v>0</v>
      </c>
      <c r="P422" s="14">
        <f t="shared" si="26"/>
        <v>0</v>
      </c>
    </row>
    <row r="423" spans="1:16" s="1" customFormat="1" ht="22.2" thickTop="1" thickBot="1">
      <c r="A423" s="11" t="s">
        <v>125</v>
      </c>
      <c r="B423" s="4">
        <f>'[1]التعليم الابتدائي'!AT643</f>
        <v>0</v>
      </c>
      <c r="C423" s="4">
        <f>'[1]التعليم الابتدائي'!AU643</f>
        <v>0</v>
      </c>
      <c r="D423" s="4">
        <f>'[1]التعليم الابتدائي'!BE643</f>
        <v>0</v>
      </c>
      <c r="E423" s="4">
        <f>'[1]التعليم الابتدائي'!BF643</f>
        <v>0</v>
      </c>
      <c r="F423" s="138"/>
      <c r="G423" s="138"/>
      <c r="H423" s="180"/>
      <c r="I423" s="180"/>
      <c r="J423" s="180"/>
      <c r="K423" s="180"/>
      <c r="L423" s="180"/>
      <c r="M423" s="187"/>
      <c r="N423" s="4">
        <f>D423+B423</f>
        <v>0</v>
      </c>
      <c r="O423" s="4">
        <f>E423+C423</f>
        <v>0</v>
      </c>
      <c r="P423" s="14">
        <f t="shared" si="26"/>
        <v>0</v>
      </c>
    </row>
    <row r="424" spans="1:16" s="1" customFormat="1" ht="22.2" thickTop="1" thickBot="1">
      <c r="A424" s="11" t="s">
        <v>126</v>
      </c>
      <c r="B424" s="4">
        <f>'[1]التعليم الابتدائي'!AV643</f>
        <v>0</v>
      </c>
      <c r="C424" s="4">
        <f>'[1]التعليم الابتدائي'!AW643</f>
        <v>0</v>
      </c>
      <c r="D424" s="4">
        <f>'[1]التعليم الابتدائي'!BG643</f>
        <v>0</v>
      </c>
      <c r="E424" s="4">
        <f>'[1]التعليم الابتدائي'!BH643</f>
        <v>0</v>
      </c>
      <c r="F424" s="4">
        <f>'[1]التعليم الابتدائي'!BR643</f>
        <v>0</v>
      </c>
      <c r="G424" s="4">
        <f>'[1]التعليم الابتدائي'!BS643</f>
        <v>0</v>
      </c>
      <c r="H424" s="138"/>
      <c r="I424" s="138"/>
      <c r="J424" s="180"/>
      <c r="K424" s="180"/>
      <c r="L424" s="180"/>
      <c r="M424" s="187"/>
      <c r="N424" s="4">
        <f>F424+D424+B424</f>
        <v>0</v>
      </c>
      <c r="O424" s="4">
        <f>G424+E424+C424</f>
        <v>0</v>
      </c>
      <c r="P424" s="14">
        <f t="shared" si="26"/>
        <v>0</v>
      </c>
    </row>
    <row r="425" spans="1:16" s="1" customFormat="1" ht="22.2" thickTop="1" thickBot="1">
      <c r="A425" s="11" t="s">
        <v>106</v>
      </c>
      <c r="B425" s="4">
        <f>'[1]التعليم الابتدائي'!AX643</f>
        <v>0</v>
      </c>
      <c r="C425" s="4">
        <f>'[1]التعليم الابتدائي'!AY643</f>
        <v>0</v>
      </c>
      <c r="D425" s="4">
        <f>'[1]التعليم الابتدائي'!BI643</f>
        <v>0</v>
      </c>
      <c r="E425" s="4">
        <f>'[1]التعليم الابتدائي'!BJ643</f>
        <v>0</v>
      </c>
      <c r="F425" s="4">
        <f>'[1]التعليم الابتدائي'!BT643</f>
        <v>0</v>
      </c>
      <c r="G425" s="4">
        <f>'[1]التعليم الابتدائي'!BU643</f>
        <v>0</v>
      </c>
      <c r="H425" s="4">
        <f>'[1]التعليم الابتدائي'!CE643</f>
        <v>0</v>
      </c>
      <c r="I425" s="4">
        <f>'[1]التعليم الابتدائي'!CF643</f>
        <v>0</v>
      </c>
      <c r="J425" s="138"/>
      <c r="K425" s="138"/>
      <c r="L425" s="180"/>
      <c r="M425" s="187"/>
      <c r="N425" s="4">
        <f>B425+D425+F425+H425</f>
        <v>0</v>
      </c>
      <c r="O425" s="4">
        <f>I425+G425+E425+C425</f>
        <v>0</v>
      </c>
      <c r="P425" s="14">
        <f t="shared" si="26"/>
        <v>0</v>
      </c>
    </row>
    <row r="426" spans="1:16" s="1" customFormat="1" ht="22.2" thickTop="1" thickBot="1">
      <c r="A426" s="11" t="s">
        <v>127</v>
      </c>
      <c r="B426" s="4">
        <f>'[1]التعليم الابتدائي'!AZ643</f>
        <v>0</v>
      </c>
      <c r="C426" s="4">
        <f>'[1]التعليم الابتدائي'!BA643</f>
        <v>0</v>
      </c>
      <c r="D426" s="4">
        <f>'[1]التعليم الابتدائي'!BK643</f>
        <v>0</v>
      </c>
      <c r="E426" s="4">
        <f>'[1]التعليم الابتدائي'!BL643</f>
        <v>0</v>
      </c>
      <c r="F426" s="4">
        <f>'[1]التعليم الابتدائي'!BV643</f>
        <v>0</v>
      </c>
      <c r="G426" s="4">
        <f>'[1]التعليم الابتدائي'!BW643</f>
        <v>0</v>
      </c>
      <c r="H426" s="4">
        <f>'[1]التعليم الابتدائي'!CG643</f>
        <v>0</v>
      </c>
      <c r="I426" s="4">
        <f>'[1]التعليم الابتدائي'!CH643</f>
        <v>0</v>
      </c>
      <c r="J426" s="4">
        <f>'[1]التعليم الابتدائي'!CR643</f>
        <v>0</v>
      </c>
      <c r="K426" s="4">
        <f>'[1]التعليم الابتدائي'!CS643</f>
        <v>0</v>
      </c>
      <c r="L426" s="138"/>
      <c r="M426" s="139"/>
      <c r="N426" s="4">
        <f>B426+D426+F426+H426+J426</f>
        <v>0</v>
      </c>
      <c r="O426" s="4">
        <f>K426+I426+G426+E426+C426</f>
        <v>0</v>
      </c>
      <c r="P426" s="14">
        <f t="shared" si="26"/>
        <v>0</v>
      </c>
    </row>
    <row r="427" spans="1:16" s="1" customFormat="1" ht="22.2" thickTop="1" thickBot="1">
      <c r="A427" s="11" t="s">
        <v>128</v>
      </c>
      <c r="B427" s="177"/>
      <c r="C427" s="178"/>
      <c r="D427" s="4">
        <f>'[1]التعليم الابتدائي'!BM643</f>
        <v>0</v>
      </c>
      <c r="E427" s="4">
        <f>'[1]التعليم الابتدائي'!BN643</f>
        <v>0</v>
      </c>
      <c r="F427" s="4">
        <f>'[1]التعليم الابتدائي'!BX643</f>
        <v>0</v>
      </c>
      <c r="G427" s="4">
        <f>'[1]التعليم الابتدائي'!BY643</f>
        <v>0</v>
      </c>
      <c r="H427" s="4">
        <f>'[1]التعليم الابتدائي'!CI643</f>
        <v>0</v>
      </c>
      <c r="I427" s="4">
        <f>'[1]التعليم الابتدائي'!CJ643</f>
        <v>0</v>
      </c>
      <c r="J427" s="4">
        <f>'[1]التعليم الابتدائي'!CT643</f>
        <v>0</v>
      </c>
      <c r="K427" s="4">
        <f>'[1]التعليم الابتدائي'!CU643</f>
        <v>0</v>
      </c>
      <c r="L427" s="4">
        <f>'[1]التعليم الابتدائي'!DE643</f>
        <v>0</v>
      </c>
      <c r="M427" s="4">
        <f>'[1]التعليم الابتدائي'!DF643</f>
        <v>0</v>
      </c>
      <c r="N427" s="4">
        <f>D427+F427+H427+J427+L427</f>
        <v>0</v>
      </c>
      <c r="O427" s="4">
        <f>M427+K427+I427+G427+E427</f>
        <v>0</v>
      </c>
      <c r="P427" s="14">
        <f t="shared" si="26"/>
        <v>0</v>
      </c>
    </row>
    <row r="428" spans="1:16" s="1" customFormat="1" ht="22.2" thickTop="1" thickBot="1">
      <c r="A428" s="11" t="s">
        <v>129</v>
      </c>
      <c r="B428" s="179"/>
      <c r="C428" s="180"/>
      <c r="D428" s="178"/>
      <c r="E428" s="178"/>
      <c r="F428" s="4">
        <f>'[1]التعليم الابتدائي'!BZ643</f>
        <v>0</v>
      </c>
      <c r="G428" s="4">
        <f>'[1]التعليم الابتدائي'!CA643</f>
        <v>0</v>
      </c>
      <c r="H428" s="4">
        <f>'[1]التعليم الابتدائي'!CK643</f>
        <v>0</v>
      </c>
      <c r="I428" s="4">
        <f>'[1]التعليم الابتدائي'!CL643</f>
        <v>0</v>
      </c>
      <c r="J428" s="4">
        <f>'[1]التعليم الابتدائي'!CV643</f>
        <v>0</v>
      </c>
      <c r="K428" s="4">
        <f>'[1]التعليم الابتدائي'!CW643</f>
        <v>0</v>
      </c>
      <c r="L428" s="4">
        <f>'[1]التعليم الابتدائي'!DG643</f>
        <v>0</v>
      </c>
      <c r="M428" s="4">
        <f>'[1]التعليم الابتدائي'!DH643</f>
        <v>0</v>
      </c>
      <c r="N428" s="4">
        <f>L428+J428+H428+F428</f>
        <v>0</v>
      </c>
      <c r="O428" s="4">
        <f>M428+K428+I428+G428</f>
        <v>0</v>
      </c>
      <c r="P428" s="14">
        <f t="shared" si="26"/>
        <v>0</v>
      </c>
    </row>
    <row r="429" spans="1:16" s="1" customFormat="1" ht="22.2" thickTop="1" thickBot="1">
      <c r="A429" s="11" t="s">
        <v>130</v>
      </c>
      <c r="B429" s="179"/>
      <c r="C429" s="180"/>
      <c r="D429" s="180"/>
      <c r="E429" s="180"/>
      <c r="F429" s="178"/>
      <c r="G429" s="178"/>
      <c r="H429" s="4">
        <f>'[1]التعليم الابتدائي'!CM643</f>
        <v>0</v>
      </c>
      <c r="I429" s="4">
        <f>'[1]التعليم الابتدائي'!CN643</f>
        <v>0</v>
      </c>
      <c r="J429" s="4">
        <f>'[1]التعليم الابتدائي'!CX643</f>
        <v>0</v>
      </c>
      <c r="K429" s="4">
        <f>'[1]التعليم الابتدائي'!CY643</f>
        <v>0</v>
      </c>
      <c r="L429" s="4">
        <f>'[1]التعليم الابتدائي'!DI643</f>
        <v>0</v>
      </c>
      <c r="M429" s="4">
        <f>'[1]التعليم الابتدائي'!DJ643</f>
        <v>0</v>
      </c>
      <c r="N429" s="4">
        <f>L429+J429+H429</f>
        <v>0</v>
      </c>
      <c r="O429" s="4">
        <f>M429+K429+I429</f>
        <v>0</v>
      </c>
      <c r="P429" s="14">
        <f t="shared" si="26"/>
        <v>0</v>
      </c>
    </row>
    <row r="430" spans="1:16" s="1" customFormat="1" ht="22.2" thickTop="1" thickBot="1">
      <c r="A430" s="11" t="s">
        <v>131</v>
      </c>
      <c r="B430" s="179"/>
      <c r="C430" s="180"/>
      <c r="D430" s="180"/>
      <c r="E430" s="180"/>
      <c r="F430" s="180"/>
      <c r="G430" s="180"/>
      <c r="H430" s="178"/>
      <c r="I430" s="178"/>
      <c r="J430" s="4">
        <f>'[1]التعليم الابتدائي'!CZ643</f>
        <v>0</v>
      </c>
      <c r="K430" s="4">
        <f>'[1]التعليم الابتدائي'!DA643</f>
        <v>0</v>
      </c>
      <c r="L430" s="4">
        <f>'[1]التعليم الابتدائي'!DK643</f>
        <v>0</v>
      </c>
      <c r="M430" s="4">
        <f>'[1]التعليم الابتدائي'!DL643</f>
        <v>0</v>
      </c>
      <c r="N430" s="4">
        <f>L430+J430</f>
        <v>0</v>
      </c>
      <c r="O430" s="4">
        <f>M430+K430</f>
        <v>0</v>
      </c>
      <c r="P430" s="14">
        <f t="shared" si="26"/>
        <v>0</v>
      </c>
    </row>
    <row r="431" spans="1:16" s="1" customFormat="1" ht="22.2" thickTop="1" thickBot="1">
      <c r="A431" s="11" t="s">
        <v>132</v>
      </c>
      <c r="B431" s="137"/>
      <c r="C431" s="138"/>
      <c r="D431" s="138"/>
      <c r="E431" s="138"/>
      <c r="F431" s="138"/>
      <c r="G431" s="138"/>
      <c r="H431" s="138"/>
      <c r="I431" s="138"/>
      <c r="J431" s="181"/>
      <c r="K431" s="182"/>
      <c r="L431" s="4">
        <f>'[1]التعليم الابتدائي'!DM643</f>
        <v>0</v>
      </c>
      <c r="M431" s="4">
        <f>'[1]التعليم الابتدائي'!DN643</f>
        <v>0</v>
      </c>
      <c r="N431" s="4">
        <f>L431</f>
        <v>0</v>
      </c>
      <c r="O431" s="4">
        <f>M431</f>
        <v>0</v>
      </c>
      <c r="P431" s="14">
        <f t="shared" si="26"/>
        <v>0</v>
      </c>
    </row>
    <row r="432" spans="1:16" s="1" customFormat="1" ht="22.2" thickTop="1" thickBot="1">
      <c r="A432" s="6" t="s">
        <v>122</v>
      </c>
      <c r="B432" s="7">
        <f>SUM(B421:B431)</f>
        <v>0</v>
      </c>
      <c r="C432" s="7">
        <f>SUM(C421:C431)</f>
        <v>0</v>
      </c>
      <c r="D432" s="7">
        <f>D427+D426+D425+D424+D423</f>
        <v>0</v>
      </c>
      <c r="E432" s="7">
        <f t="shared" ref="E432:P432" si="27">SUM(E421:E431)</f>
        <v>0</v>
      </c>
      <c r="F432" s="7">
        <f t="shared" si="27"/>
        <v>0</v>
      </c>
      <c r="G432" s="7">
        <f t="shared" si="27"/>
        <v>0</v>
      </c>
      <c r="H432" s="7">
        <f t="shared" si="27"/>
        <v>0</v>
      </c>
      <c r="I432" s="7">
        <f t="shared" si="27"/>
        <v>0</v>
      </c>
      <c r="J432" s="7">
        <f t="shared" si="27"/>
        <v>0</v>
      </c>
      <c r="K432" s="7">
        <f t="shared" si="27"/>
        <v>0</v>
      </c>
      <c r="L432" s="7">
        <f t="shared" si="27"/>
        <v>0</v>
      </c>
      <c r="M432" s="7">
        <f t="shared" si="27"/>
        <v>0</v>
      </c>
      <c r="N432" s="7">
        <f t="shared" si="27"/>
        <v>0</v>
      </c>
      <c r="O432" s="7">
        <f t="shared" si="27"/>
        <v>0</v>
      </c>
      <c r="P432" s="8">
        <f t="shared" si="27"/>
        <v>0</v>
      </c>
    </row>
    <row r="433" spans="1:909" ht="21.6" thickTop="1"/>
    <row r="434" spans="1:909" s="1" customFormat="1" ht="21">
      <c r="A434" s="156" t="s">
        <v>62</v>
      </c>
      <c r="B434" s="156"/>
      <c r="C434" s="156"/>
      <c r="D434" s="156"/>
      <c r="E434" s="156"/>
      <c r="O434" s="2" t="s">
        <v>97</v>
      </c>
      <c r="P434" s="2"/>
      <c r="Q434" s="2"/>
    </row>
    <row r="435" spans="1:909" s="1" customFormat="1" ht="21">
      <c r="A435" s="156" t="s">
        <v>64</v>
      </c>
      <c r="B435" s="156"/>
      <c r="C435" s="156"/>
      <c r="D435" s="156"/>
      <c r="E435" s="156"/>
      <c r="O435" s="2" t="s">
        <v>65</v>
      </c>
      <c r="P435" s="2"/>
      <c r="Q435" s="2"/>
    </row>
    <row r="436" spans="1:909" s="1" customFormat="1" ht="21">
      <c r="A436" s="156" t="s">
        <v>99</v>
      </c>
      <c r="B436" s="156"/>
      <c r="C436" s="156"/>
      <c r="D436" s="156"/>
      <c r="E436" s="156"/>
      <c r="F436" s="156"/>
      <c r="G436" s="156"/>
      <c r="H436" s="156"/>
      <c r="I436" s="156"/>
      <c r="J436" s="156"/>
      <c r="K436" s="156"/>
      <c r="L436" s="156"/>
      <c r="M436" s="156"/>
      <c r="N436" s="156"/>
      <c r="O436" s="156"/>
      <c r="P436" s="156"/>
      <c r="Q436" s="2"/>
    </row>
    <row r="437" spans="1:909" s="1" customFormat="1" ht="21">
      <c r="A437" s="156" t="s">
        <v>136</v>
      </c>
      <c r="B437" s="156"/>
      <c r="C437" s="156"/>
      <c r="D437" s="156"/>
      <c r="E437" s="156"/>
      <c r="F437" s="156"/>
      <c r="G437" s="156"/>
      <c r="H437" s="156"/>
      <c r="I437" s="156"/>
      <c r="J437" s="156"/>
      <c r="K437" s="156"/>
      <c r="L437" s="156"/>
      <c r="M437" s="156"/>
      <c r="N437" s="156"/>
      <c r="O437" s="156"/>
      <c r="P437" s="156"/>
      <c r="Q437" s="156"/>
    </row>
    <row r="438" spans="1:909" s="1" customFormat="1" ht="21">
      <c r="A438" s="156" t="s">
        <v>101</v>
      </c>
      <c r="B438" s="156"/>
      <c r="C438" s="156"/>
      <c r="D438" s="156"/>
      <c r="E438" s="156"/>
      <c r="F438" s="156"/>
      <c r="G438" s="156"/>
      <c r="H438" s="156"/>
      <c r="I438" s="156"/>
      <c r="J438" s="156"/>
      <c r="K438" s="156"/>
      <c r="L438" s="156"/>
      <c r="M438" s="156"/>
      <c r="N438" s="156"/>
      <c r="O438" s="156"/>
      <c r="P438" s="156"/>
      <c r="Q438" s="2"/>
    </row>
    <row r="439" spans="1:909" s="1" customFormat="1" ht="21.6" thickBot="1">
      <c r="G439" s="198"/>
      <c r="H439" s="198"/>
      <c r="I439" s="198"/>
      <c r="J439" s="198"/>
      <c r="K439" s="198"/>
    </row>
    <row r="440" spans="1:909" s="1" customFormat="1" ht="21.6" thickTop="1">
      <c r="A440" s="199"/>
      <c r="B440" s="147" t="s">
        <v>102</v>
      </c>
      <c r="C440" s="149"/>
      <c r="D440" s="147" t="s">
        <v>103</v>
      </c>
      <c r="E440" s="149"/>
      <c r="F440" s="147" t="s">
        <v>104</v>
      </c>
      <c r="G440" s="149"/>
      <c r="H440" s="147" t="s">
        <v>105</v>
      </c>
      <c r="I440" s="149"/>
      <c r="J440" s="147" t="s">
        <v>106</v>
      </c>
      <c r="K440" s="149"/>
      <c r="L440" s="147" t="s">
        <v>107</v>
      </c>
      <c r="M440" s="149"/>
      <c r="N440" s="147" t="s">
        <v>58</v>
      </c>
      <c r="O440" s="148"/>
      <c r="P440" s="201"/>
    </row>
    <row r="441" spans="1:909" s="1" customFormat="1" ht="21.6" thickBot="1">
      <c r="A441" s="200"/>
      <c r="B441" s="137"/>
      <c r="C441" s="139"/>
      <c r="D441" s="137"/>
      <c r="E441" s="139"/>
      <c r="F441" s="137"/>
      <c r="G441" s="139"/>
      <c r="H441" s="137"/>
      <c r="I441" s="139"/>
      <c r="J441" s="137"/>
      <c r="K441" s="139"/>
      <c r="L441" s="137"/>
      <c r="M441" s="139"/>
      <c r="N441" s="137"/>
      <c r="O441" s="138"/>
      <c r="P441" s="202"/>
    </row>
    <row r="442" spans="1:909" s="5" customFormat="1" ht="22.2" thickTop="1" thickBot="1">
      <c r="A442" s="11" t="s">
        <v>108</v>
      </c>
      <c r="B442" s="170">
        <f>'[1]التعليم الابتدائي'!AA711</f>
        <v>0</v>
      </c>
      <c r="C442" s="182"/>
      <c r="D442" s="170">
        <f>'[1]التعليم الابتدائي'!AC711</f>
        <v>0</v>
      </c>
      <c r="E442" s="182"/>
      <c r="F442" s="170">
        <f>'[1]التعليم الابتدائي'!AE711</f>
        <v>0</v>
      </c>
      <c r="G442" s="182"/>
      <c r="H442" s="170">
        <f>'[1]التعليم الابتدائي'!AG711</f>
        <v>0</v>
      </c>
      <c r="I442" s="182"/>
      <c r="J442" s="170">
        <f>'[1]التعليم الابتدائي'!AI711</f>
        <v>0</v>
      </c>
      <c r="K442" s="182"/>
      <c r="L442" s="170">
        <f>'[1]التعليم الابتدائي'!AK711</f>
        <v>0</v>
      </c>
      <c r="M442" s="182"/>
      <c r="N442" s="170">
        <f>L442+J442+H442+F442+D442+B442</f>
        <v>0</v>
      </c>
      <c r="O442" s="181"/>
      <c r="P442" s="193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  <c r="KB442" s="1"/>
      <c r="KC442" s="1"/>
      <c r="KD442" s="1"/>
      <c r="KE442" s="1"/>
      <c r="KF442" s="1"/>
      <c r="KG442" s="1"/>
      <c r="KH442" s="1"/>
      <c r="KI442" s="1"/>
      <c r="KJ442" s="1"/>
      <c r="KK442" s="1"/>
      <c r="KL442" s="1"/>
      <c r="KM442" s="1"/>
      <c r="KN442" s="1"/>
      <c r="KO442" s="1"/>
      <c r="KP442" s="1"/>
      <c r="KQ442" s="1"/>
      <c r="KR442" s="1"/>
      <c r="KS442" s="1"/>
      <c r="KT442" s="1"/>
      <c r="KU442" s="1"/>
      <c r="KV442" s="1"/>
      <c r="KW442" s="1"/>
      <c r="KX442" s="1"/>
      <c r="KY442" s="1"/>
      <c r="KZ442" s="1"/>
      <c r="LA442" s="1"/>
      <c r="LB442" s="1"/>
      <c r="LC442" s="1"/>
      <c r="LD442" s="1"/>
      <c r="LE442" s="1"/>
      <c r="LF442" s="1"/>
      <c r="LG442" s="1"/>
      <c r="LH442" s="1"/>
      <c r="LI442" s="1"/>
      <c r="LJ442" s="1"/>
      <c r="LK442" s="1"/>
      <c r="LL442" s="1"/>
      <c r="LM442" s="1"/>
      <c r="LN442" s="1"/>
      <c r="LO442" s="1"/>
      <c r="LP442" s="1"/>
      <c r="LQ442" s="1"/>
      <c r="LR442" s="1"/>
      <c r="LS442" s="1"/>
      <c r="LT442" s="1"/>
      <c r="LU442" s="1"/>
      <c r="LV442" s="1"/>
      <c r="LW442" s="1"/>
      <c r="LX442" s="1"/>
      <c r="LY442" s="1"/>
      <c r="LZ442" s="1"/>
      <c r="MA442" s="1"/>
      <c r="MB442" s="1"/>
      <c r="MC442" s="1"/>
      <c r="MD442" s="1"/>
      <c r="ME442" s="1"/>
      <c r="MF442" s="1"/>
      <c r="MG442" s="1"/>
      <c r="MH442" s="1"/>
      <c r="MI442" s="1"/>
      <c r="MJ442" s="1"/>
      <c r="MK442" s="1"/>
      <c r="ML442" s="1"/>
      <c r="MM442" s="1"/>
      <c r="MN442" s="1"/>
      <c r="MO442" s="1"/>
      <c r="MP442" s="1"/>
      <c r="MQ442" s="1"/>
      <c r="MR442" s="1"/>
      <c r="MS442" s="1"/>
      <c r="MT442" s="1"/>
      <c r="MU442" s="1"/>
      <c r="MV442" s="1"/>
      <c r="MW442" s="1"/>
      <c r="MX442" s="1"/>
      <c r="MY442" s="1"/>
      <c r="MZ442" s="1"/>
      <c r="NA442" s="1"/>
      <c r="NB442" s="1"/>
      <c r="NC442" s="1"/>
      <c r="ND442" s="1"/>
      <c r="NE442" s="1"/>
      <c r="NF442" s="1"/>
      <c r="NG442" s="1"/>
      <c r="NH442" s="1"/>
      <c r="NI442" s="1"/>
      <c r="NJ442" s="1"/>
      <c r="NK442" s="1"/>
      <c r="NL442" s="1"/>
      <c r="NM442" s="1"/>
      <c r="NN442" s="1"/>
      <c r="NO442" s="1"/>
      <c r="NP442" s="1"/>
      <c r="NQ442" s="1"/>
      <c r="NR442" s="1"/>
      <c r="NS442" s="1"/>
      <c r="NT442" s="1"/>
      <c r="NU442" s="1"/>
      <c r="NV442" s="1"/>
      <c r="NW442" s="1"/>
      <c r="NX442" s="1"/>
      <c r="NY442" s="1"/>
      <c r="NZ442" s="1"/>
      <c r="OA442" s="1"/>
      <c r="OB442" s="1"/>
      <c r="OC442" s="1"/>
      <c r="OD442" s="1"/>
      <c r="OE442" s="1"/>
      <c r="OF442" s="1"/>
      <c r="OG442" s="1"/>
      <c r="OH442" s="1"/>
      <c r="OI442" s="1"/>
      <c r="OJ442" s="1"/>
      <c r="OK442" s="1"/>
      <c r="OL442" s="1"/>
      <c r="OM442" s="1"/>
      <c r="ON442" s="1"/>
      <c r="OO442" s="1"/>
      <c r="OP442" s="1"/>
      <c r="OQ442" s="1"/>
      <c r="OR442" s="1"/>
      <c r="OS442" s="1"/>
      <c r="OT442" s="1"/>
      <c r="OU442" s="1"/>
      <c r="OV442" s="1"/>
      <c r="OW442" s="1"/>
      <c r="OX442" s="1"/>
      <c r="OY442" s="1"/>
      <c r="OZ442" s="1"/>
      <c r="PA442" s="1"/>
      <c r="PB442" s="1"/>
      <c r="PC442" s="1"/>
      <c r="PD442" s="1"/>
      <c r="PE442" s="1"/>
      <c r="PF442" s="1"/>
      <c r="PG442" s="1"/>
      <c r="PH442" s="1"/>
      <c r="PI442" s="1"/>
      <c r="PJ442" s="1"/>
      <c r="PK442" s="1"/>
      <c r="PL442" s="1"/>
      <c r="PM442" s="1"/>
      <c r="PN442" s="1"/>
      <c r="PO442" s="1"/>
      <c r="PP442" s="1"/>
      <c r="PQ442" s="1"/>
      <c r="PR442" s="1"/>
      <c r="PS442" s="1"/>
      <c r="PT442" s="1"/>
      <c r="PU442" s="1"/>
      <c r="PV442" s="1"/>
      <c r="PW442" s="1"/>
      <c r="PX442" s="1"/>
      <c r="PY442" s="1"/>
      <c r="PZ442" s="1"/>
      <c r="QA442" s="1"/>
      <c r="QB442" s="1"/>
      <c r="QC442" s="1"/>
      <c r="QD442" s="1"/>
      <c r="QE442" s="1"/>
      <c r="QF442" s="1"/>
      <c r="QG442" s="1"/>
      <c r="QH442" s="1"/>
      <c r="QI442" s="1"/>
      <c r="QJ442" s="1"/>
      <c r="QK442" s="1"/>
      <c r="QL442" s="1"/>
      <c r="QM442" s="1"/>
      <c r="QN442" s="1"/>
      <c r="QO442" s="1"/>
      <c r="QP442" s="1"/>
      <c r="QQ442" s="1"/>
      <c r="QR442" s="1"/>
      <c r="QS442" s="1"/>
      <c r="QT442" s="1"/>
      <c r="QU442" s="1"/>
      <c r="QV442" s="1"/>
      <c r="QW442" s="1"/>
      <c r="QX442" s="1"/>
      <c r="QY442" s="1"/>
      <c r="QZ442" s="1"/>
      <c r="RA442" s="1"/>
      <c r="RB442" s="1"/>
      <c r="RC442" s="1"/>
      <c r="RD442" s="1"/>
      <c r="RE442" s="1"/>
      <c r="RF442" s="1"/>
      <c r="RG442" s="1"/>
      <c r="RH442" s="1"/>
      <c r="RI442" s="1"/>
      <c r="RJ442" s="1"/>
      <c r="RK442" s="1"/>
      <c r="RL442" s="1"/>
      <c r="RM442" s="1"/>
      <c r="RN442" s="1"/>
      <c r="RO442" s="1"/>
      <c r="RP442" s="1"/>
      <c r="RQ442" s="1"/>
      <c r="RR442" s="1"/>
      <c r="RS442" s="1"/>
      <c r="RT442" s="1"/>
      <c r="RU442" s="1"/>
      <c r="RV442" s="1"/>
      <c r="RW442" s="1"/>
      <c r="RX442" s="1"/>
      <c r="RY442" s="1"/>
      <c r="RZ442" s="1"/>
      <c r="SA442" s="1"/>
      <c r="SB442" s="1"/>
      <c r="SC442" s="1"/>
      <c r="SD442" s="1"/>
      <c r="SE442" s="1"/>
      <c r="SF442" s="1"/>
      <c r="SG442" s="1"/>
      <c r="SH442" s="1"/>
      <c r="SI442" s="1"/>
      <c r="SJ442" s="1"/>
      <c r="SK442" s="1"/>
      <c r="SL442" s="1"/>
      <c r="SM442" s="1"/>
      <c r="SN442" s="1"/>
      <c r="SO442" s="1"/>
      <c r="SP442" s="1"/>
      <c r="SQ442" s="1"/>
      <c r="SR442" s="1"/>
      <c r="SS442" s="1"/>
      <c r="ST442" s="1"/>
      <c r="SU442" s="1"/>
      <c r="SV442" s="1"/>
      <c r="SW442" s="1"/>
      <c r="SX442" s="1"/>
      <c r="SY442" s="1"/>
      <c r="SZ442" s="1"/>
      <c r="TA442" s="1"/>
      <c r="TB442" s="1"/>
      <c r="TC442" s="1"/>
      <c r="TD442" s="1"/>
      <c r="TE442" s="1"/>
      <c r="TF442" s="1"/>
      <c r="TG442" s="1"/>
      <c r="TH442" s="1"/>
      <c r="TI442" s="1"/>
      <c r="TJ442" s="1"/>
      <c r="TK442" s="1"/>
      <c r="TL442" s="1"/>
      <c r="TM442" s="1"/>
      <c r="TN442" s="1"/>
      <c r="TO442" s="1"/>
      <c r="TP442" s="1"/>
      <c r="TQ442" s="1"/>
      <c r="TR442" s="1"/>
      <c r="TS442" s="1"/>
      <c r="TT442" s="1"/>
      <c r="TU442" s="1"/>
      <c r="TV442" s="1"/>
      <c r="TW442" s="1"/>
      <c r="TX442" s="1"/>
      <c r="TY442" s="1"/>
      <c r="TZ442" s="1"/>
      <c r="UA442" s="1"/>
      <c r="UB442" s="1"/>
      <c r="UC442" s="1"/>
      <c r="UD442" s="1"/>
      <c r="UE442" s="1"/>
      <c r="UF442" s="1"/>
      <c r="UG442" s="1"/>
      <c r="UH442" s="1"/>
      <c r="UI442" s="1"/>
      <c r="UJ442" s="1"/>
      <c r="UK442" s="1"/>
      <c r="UL442" s="1"/>
      <c r="UM442" s="1"/>
      <c r="UN442" s="1"/>
      <c r="UO442" s="1"/>
      <c r="UP442" s="1"/>
      <c r="UQ442" s="1"/>
      <c r="UR442" s="1"/>
      <c r="US442" s="1"/>
      <c r="UT442" s="1"/>
      <c r="UU442" s="1"/>
      <c r="UV442" s="1"/>
      <c r="UW442" s="1"/>
      <c r="UX442" s="1"/>
      <c r="UY442" s="1"/>
      <c r="UZ442" s="1"/>
      <c r="VA442" s="1"/>
      <c r="VB442" s="1"/>
      <c r="VC442" s="1"/>
      <c r="VD442" s="1"/>
      <c r="VE442" s="1"/>
      <c r="VF442" s="1"/>
      <c r="VG442" s="1"/>
      <c r="VH442" s="1"/>
      <c r="VI442" s="1"/>
      <c r="VJ442" s="1"/>
      <c r="VK442" s="1"/>
      <c r="VL442" s="1"/>
      <c r="VM442" s="1"/>
      <c r="VN442" s="1"/>
      <c r="VO442" s="1"/>
      <c r="VP442" s="1"/>
      <c r="VQ442" s="1"/>
      <c r="VR442" s="1"/>
      <c r="VS442" s="1"/>
      <c r="VT442" s="1"/>
      <c r="VU442" s="1"/>
      <c r="VV442" s="1"/>
      <c r="VW442" s="1"/>
      <c r="VX442" s="1"/>
      <c r="VY442" s="1"/>
      <c r="VZ442" s="1"/>
      <c r="WA442" s="1"/>
      <c r="WB442" s="1"/>
      <c r="WC442" s="1"/>
      <c r="WD442" s="1"/>
      <c r="WE442" s="1"/>
      <c r="WF442" s="1"/>
      <c r="WG442" s="1"/>
      <c r="WH442" s="1"/>
      <c r="WI442" s="1"/>
      <c r="WJ442" s="1"/>
      <c r="WK442" s="1"/>
      <c r="WL442" s="1"/>
      <c r="WM442" s="1"/>
      <c r="WN442" s="1"/>
      <c r="WO442" s="1"/>
      <c r="WP442" s="1"/>
      <c r="WQ442" s="1"/>
      <c r="WR442" s="1"/>
      <c r="WS442" s="1"/>
      <c r="WT442" s="1"/>
      <c r="WU442" s="1"/>
      <c r="WV442" s="1"/>
      <c r="WW442" s="1"/>
      <c r="WX442" s="1"/>
      <c r="WY442" s="1"/>
      <c r="WZ442" s="1"/>
      <c r="XA442" s="1"/>
      <c r="XB442" s="1"/>
      <c r="XC442" s="1"/>
      <c r="XD442" s="1"/>
      <c r="XE442" s="1"/>
      <c r="XF442" s="1"/>
      <c r="XG442" s="1"/>
      <c r="XH442" s="1"/>
      <c r="XI442" s="1"/>
      <c r="XJ442" s="1"/>
      <c r="XK442" s="1"/>
      <c r="XL442" s="1"/>
      <c r="XM442" s="1"/>
      <c r="XN442" s="1"/>
      <c r="XO442" s="1"/>
      <c r="XP442" s="1"/>
      <c r="XQ442" s="1"/>
      <c r="XR442" s="1"/>
      <c r="XS442" s="1"/>
      <c r="XT442" s="1"/>
      <c r="XU442" s="1"/>
      <c r="XV442" s="1"/>
      <c r="XW442" s="1"/>
      <c r="XX442" s="1"/>
      <c r="XY442" s="1"/>
      <c r="XZ442" s="1"/>
      <c r="YA442" s="1"/>
      <c r="YB442" s="1"/>
      <c r="YC442" s="1"/>
      <c r="YD442" s="1"/>
      <c r="YE442" s="1"/>
      <c r="YF442" s="1"/>
      <c r="YG442" s="1"/>
      <c r="YH442" s="1"/>
      <c r="YI442" s="1"/>
      <c r="YJ442" s="1"/>
      <c r="YK442" s="1"/>
      <c r="YL442" s="1"/>
      <c r="YM442" s="1"/>
      <c r="YN442" s="1"/>
      <c r="YO442" s="1"/>
      <c r="YP442" s="1"/>
      <c r="YQ442" s="1"/>
      <c r="YR442" s="1"/>
      <c r="YS442" s="1"/>
      <c r="YT442" s="1"/>
      <c r="YU442" s="1"/>
      <c r="YV442" s="1"/>
      <c r="YW442" s="1"/>
      <c r="YX442" s="1"/>
      <c r="YY442" s="1"/>
      <c r="YZ442" s="1"/>
      <c r="ZA442" s="1"/>
      <c r="ZB442" s="1"/>
      <c r="ZC442" s="1"/>
      <c r="ZD442" s="1"/>
      <c r="ZE442" s="1"/>
      <c r="ZF442" s="1"/>
      <c r="ZG442" s="1"/>
      <c r="ZH442" s="1"/>
      <c r="ZI442" s="1"/>
      <c r="ZJ442" s="1"/>
      <c r="ZK442" s="1"/>
      <c r="ZL442" s="1"/>
      <c r="ZM442" s="1"/>
      <c r="ZN442" s="1"/>
      <c r="ZO442" s="1"/>
      <c r="ZP442" s="1"/>
      <c r="ZQ442" s="1"/>
      <c r="ZR442" s="1"/>
      <c r="ZS442" s="1"/>
      <c r="ZT442" s="1"/>
      <c r="ZU442" s="1"/>
      <c r="ZV442" s="1"/>
      <c r="ZW442" s="1"/>
      <c r="ZX442" s="1"/>
      <c r="ZY442" s="1"/>
      <c r="ZZ442" s="1"/>
      <c r="AAA442" s="1"/>
      <c r="AAB442" s="1"/>
      <c r="AAC442" s="1"/>
      <c r="AAD442" s="1"/>
      <c r="AAE442" s="1"/>
      <c r="AAF442" s="1"/>
      <c r="AAG442" s="1"/>
      <c r="AAH442" s="1"/>
      <c r="AAI442" s="1"/>
      <c r="AAJ442" s="1"/>
      <c r="AAK442" s="1"/>
      <c r="AAL442" s="1"/>
      <c r="AAM442" s="1"/>
      <c r="AAN442" s="1"/>
      <c r="AAO442" s="1"/>
      <c r="AAP442" s="1"/>
      <c r="AAQ442" s="1"/>
      <c r="AAR442" s="1"/>
      <c r="AAS442" s="1"/>
      <c r="AAT442" s="1"/>
      <c r="AAU442" s="1"/>
      <c r="AAV442" s="1"/>
      <c r="AAW442" s="1"/>
      <c r="AAX442" s="1"/>
      <c r="AAY442" s="1"/>
      <c r="AAZ442" s="1"/>
      <c r="ABA442" s="1"/>
      <c r="ABB442" s="1"/>
      <c r="ABC442" s="1"/>
      <c r="ABD442" s="1"/>
      <c r="ABE442" s="1"/>
      <c r="ABF442" s="1"/>
      <c r="ABG442" s="1"/>
      <c r="ABH442" s="1"/>
      <c r="ABI442" s="1"/>
      <c r="ABJ442" s="1"/>
      <c r="ABK442" s="1"/>
      <c r="ABL442" s="1"/>
      <c r="ABM442" s="1"/>
      <c r="ABN442" s="1"/>
      <c r="ABO442" s="1"/>
      <c r="ABP442" s="1"/>
      <c r="ABQ442" s="1"/>
      <c r="ABR442" s="1"/>
      <c r="ABS442" s="1"/>
      <c r="ABT442" s="1"/>
      <c r="ABU442" s="1"/>
      <c r="ABV442" s="1"/>
      <c r="ABW442" s="1"/>
      <c r="ABX442" s="1"/>
      <c r="ABY442" s="1"/>
      <c r="ABZ442" s="1"/>
      <c r="ACA442" s="1"/>
      <c r="ACB442" s="1"/>
      <c r="ACC442" s="1"/>
      <c r="ACD442" s="1"/>
      <c r="ACE442" s="1"/>
      <c r="ACF442" s="1"/>
      <c r="ACG442" s="1"/>
      <c r="ACH442" s="1"/>
      <c r="ACI442" s="1"/>
      <c r="ACJ442" s="1"/>
      <c r="ACK442" s="1"/>
      <c r="ACL442" s="1"/>
      <c r="ACM442" s="1"/>
      <c r="ACN442" s="1"/>
      <c r="ACO442" s="1"/>
      <c r="ACP442" s="1"/>
      <c r="ACQ442" s="1"/>
      <c r="ACR442" s="1"/>
      <c r="ACS442" s="1"/>
      <c r="ACT442" s="1"/>
      <c r="ACU442" s="1"/>
      <c r="ACV442" s="1"/>
      <c r="ACW442" s="1"/>
      <c r="ACX442" s="1"/>
      <c r="ACY442" s="1"/>
      <c r="ACZ442" s="1"/>
      <c r="ADA442" s="1"/>
      <c r="ADB442" s="1"/>
      <c r="ADC442" s="1"/>
      <c r="ADD442" s="1"/>
      <c r="ADE442" s="1"/>
      <c r="ADF442" s="1"/>
      <c r="ADG442" s="1"/>
      <c r="ADH442" s="1"/>
      <c r="ADI442" s="1"/>
      <c r="ADJ442" s="1"/>
      <c r="ADK442" s="1"/>
      <c r="ADL442" s="1"/>
      <c r="ADM442" s="1"/>
      <c r="ADN442" s="1"/>
      <c r="ADO442" s="1"/>
      <c r="ADP442" s="1"/>
      <c r="ADQ442" s="1"/>
      <c r="ADR442" s="1"/>
      <c r="ADS442" s="1"/>
      <c r="ADT442" s="1"/>
      <c r="ADU442" s="1"/>
      <c r="ADV442" s="1"/>
      <c r="ADW442" s="1"/>
      <c r="ADX442" s="1"/>
      <c r="ADY442" s="1"/>
      <c r="ADZ442" s="1"/>
      <c r="AEA442" s="1"/>
      <c r="AEB442" s="1"/>
      <c r="AEC442" s="1"/>
      <c r="AED442" s="1"/>
      <c r="AEE442" s="1"/>
      <c r="AEF442" s="1"/>
      <c r="AEG442" s="1"/>
      <c r="AEH442" s="1"/>
      <c r="AEI442" s="1"/>
      <c r="AEJ442" s="1"/>
      <c r="AEK442" s="1"/>
      <c r="AEL442" s="1"/>
      <c r="AEM442" s="1"/>
      <c r="AEN442" s="1"/>
      <c r="AEO442" s="1"/>
      <c r="AEP442" s="1"/>
      <c r="AEQ442" s="1"/>
      <c r="AER442" s="1"/>
      <c r="AES442" s="1"/>
      <c r="AET442" s="1"/>
      <c r="AEU442" s="1"/>
      <c r="AEV442" s="1"/>
      <c r="AEW442" s="1"/>
      <c r="AEX442" s="1"/>
      <c r="AEY442" s="1"/>
      <c r="AEZ442" s="1"/>
      <c r="AFA442" s="1"/>
      <c r="AFB442" s="1"/>
      <c r="AFC442" s="1"/>
      <c r="AFD442" s="1"/>
      <c r="AFE442" s="1"/>
      <c r="AFF442" s="1"/>
      <c r="AFG442" s="1"/>
      <c r="AFH442" s="1"/>
      <c r="AFI442" s="1"/>
      <c r="AFJ442" s="1"/>
      <c r="AFK442" s="1"/>
      <c r="AFL442" s="1"/>
      <c r="AFM442" s="1"/>
      <c r="AFN442" s="1"/>
      <c r="AFO442" s="1"/>
      <c r="AFP442" s="1"/>
      <c r="AFQ442" s="1"/>
      <c r="AFR442" s="1"/>
      <c r="AFS442" s="1"/>
      <c r="AFT442" s="1"/>
      <c r="AFU442" s="1"/>
      <c r="AFV442" s="1"/>
      <c r="AFW442" s="1"/>
      <c r="AFX442" s="1"/>
      <c r="AFY442" s="1"/>
      <c r="AFZ442" s="1"/>
      <c r="AGA442" s="1"/>
      <c r="AGB442" s="1"/>
      <c r="AGC442" s="1"/>
      <c r="AGD442" s="1"/>
      <c r="AGE442" s="1"/>
      <c r="AGF442" s="1"/>
      <c r="AGG442" s="1"/>
      <c r="AGH442" s="1"/>
      <c r="AGI442" s="1"/>
      <c r="AGJ442" s="1"/>
      <c r="AGK442" s="1"/>
      <c r="AGL442" s="1"/>
      <c r="AGM442" s="1"/>
      <c r="AGN442" s="1"/>
      <c r="AGO442" s="1"/>
      <c r="AGP442" s="1"/>
      <c r="AGQ442" s="1"/>
      <c r="AGR442" s="1"/>
      <c r="AGS442" s="1"/>
      <c r="AGT442" s="1"/>
      <c r="AGU442" s="1"/>
      <c r="AGV442" s="1"/>
      <c r="AGW442" s="1"/>
      <c r="AGX442" s="1"/>
      <c r="AGY442" s="1"/>
      <c r="AGZ442" s="1"/>
      <c r="AHA442" s="1"/>
      <c r="AHB442" s="1"/>
      <c r="AHC442" s="1"/>
      <c r="AHD442" s="1"/>
      <c r="AHE442" s="1"/>
      <c r="AHF442" s="1"/>
      <c r="AHG442" s="1"/>
      <c r="AHH442" s="1"/>
      <c r="AHI442" s="1"/>
      <c r="AHJ442" s="1"/>
      <c r="AHK442" s="1"/>
      <c r="AHL442" s="1"/>
      <c r="AHM442" s="1"/>
      <c r="AHN442" s="1"/>
      <c r="AHO442" s="1"/>
      <c r="AHP442" s="1"/>
      <c r="AHQ442" s="1"/>
      <c r="AHR442" s="1"/>
      <c r="AHS442" s="1"/>
      <c r="AHT442" s="1"/>
      <c r="AHU442" s="1"/>
      <c r="AHV442" s="1"/>
      <c r="AHW442" s="1"/>
      <c r="AHX442" s="1"/>
      <c r="AHY442" s="1"/>
    </row>
    <row r="443" spans="1:909" s="5" customFormat="1" ht="22.2" thickTop="1" thickBot="1">
      <c r="A443" s="11" t="s">
        <v>109</v>
      </c>
      <c r="B443" s="170">
        <f>'[1]التعليم الابتدائي'!AB711</f>
        <v>0</v>
      </c>
      <c r="C443" s="182"/>
      <c r="D443" s="170">
        <f>'[1]التعليم الابتدائي'!AD711</f>
        <v>0</v>
      </c>
      <c r="E443" s="182"/>
      <c r="F443" s="170">
        <f>'[1]التعليم الابتدائي'!AF711</f>
        <v>0</v>
      </c>
      <c r="G443" s="182"/>
      <c r="H443" s="170">
        <f>'[1]التعليم الابتدائي'!AH711</f>
        <v>0</v>
      </c>
      <c r="I443" s="182"/>
      <c r="J443" s="170">
        <f>'[1]التعليم الابتدائي'!AJ711</f>
        <v>0</v>
      </c>
      <c r="K443" s="182"/>
      <c r="L443" s="170">
        <f>'[1]التعليم الابتدائي'!AL711</f>
        <v>0</v>
      </c>
      <c r="M443" s="182"/>
      <c r="N443" s="170">
        <f>L443+J443+H443+F443+D443+B443</f>
        <v>0</v>
      </c>
      <c r="O443" s="181"/>
      <c r="P443" s="193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  <c r="JW443" s="1"/>
      <c r="JX443" s="1"/>
      <c r="JY443" s="1"/>
      <c r="JZ443" s="1"/>
      <c r="KA443" s="1"/>
      <c r="KB443" s="1"/>
      <c r="KC443" s="1"/>
      <c r="KD443" s="1"/>
      <c r="KE443" s="1"/>
      <c r="KF443" s="1"/>
      <c r="KG443" s="1"/>
      <c r="KH443" s="1"/>
      <c r="KI443" s="1"/>
      <c r="KJ443" s="1"/>
      <c r="KK443" s="1"/>
      <c r="KL443" s="1"/>
      <c r="KM443" s="1"/>
      <c r="KN443" s="1"/>
      <c r="KO443" s="1"/>
      <c r="KP443" s="1"/>
      <c r="KQ443" s="1"/>
      <c r="KR443" s="1"/>
      <c r="KS443" s="1"/>
      <c r="KT443" s="1"/>
      <c r="KU443" s="1"/>
      <c r="KV443" s="1"/>
      <c r="KW443" s="1"/>
      <c r="KX443" s="1"/>
      <c r="KY443" s="1"/>
      <c r="KZ443" s="1"/>
      <c r="LA443" s="1"/>
      <c r="LB443" s="1"/>
      <c r="LC443" s="1"/>
      <c r="LD443" s="1"/>
      <c r="LE443" s="1"/>
      <c r="LF443" s="1"/>
      <c r="LG443" s="1"/>
      <c r="LH443" s="1"/>
      <c r="LI443" s="1"/>
      <c r="LJ443" s="1"/>
      <c r="LK443" s="1"/>
      <c r="LL443" s="1"/>
      <c r="LM443" s="1"/>
      <c r="LN443" s="1"/>
      <c r="LO443" s="1"/>
      <c r="LP443" s="1"/>
      <c r="LQ443" s="1"/>
      <c r="LR443" s="1"/>
      <c r="LS443" s="1"/>
      <c r="LT443" s="1"/>
      <c r="LU443" s="1"/>
      <c r="LV443" s="1"/>
      <c r="LW443" s="1"/>
      <c r="LX443" s="1"/>
      <c r="LY443" s="1"/>
      <c r="LZ443" s="1"/>
      <c r="MA443" s="1"/>
      <c r="MB443" s="1"/>
      <c r="MC443" s="1"/>
      <c r="MD443" s="1"/>
      <c r="ME443" s="1"/>
      <c r="MF443" s="1"/>
      <c r="MG443" s="1"/>
      <c r="MH443" s="1"/>
      <c r="MI443" s="1"/>
      <c r="MJ443" s="1"/>
      <c r="MK443" s="1"/>
      <c r="ML443" s="1"/>
      <c r="MM443" s="1"/>
      <c r="MN443" s="1"/>
      <c r="MO443" s="1"/>
      <c r="MP443" s="1"/>
      <c r="MQ443" s="1"/>
      <c r="MR443" s="1"/>
      <c r="MS443" s="1"/>
      <c r="MT443" s="1"/>
      <c r="MU443" s="1"/>
      <c r="MV443" s="1"/>
      <c r="MW443" s="1"/>
      <c r="MX443" s="1"/>
      <c r="MY443" s="1"/>
      <c r="MZ443" s="1"/>
      <c r="NA443" s="1"/>
      <c r="NB443" s="1"/>
      <c r="NC443" s="1"/>
      <c r="ND443" s="1"/>
      <c r="NE443" s="1"/>
      <c r="NF443" s="1"/>
      <c r="NG443" s="1"/>
      <c r="NH443" s="1"/>
      <c r="NI443" s="1"/>
      <c r="NJ443" s="1"/>
      <c r="NK443" s="1"/>
      <c r="NL443" s="1"/>
      <c r="NM443" s="1"/>
      <c r="NN443" s="1"/>
      <c r="NO443" s="1"/>
      <c r="NP443" s="1"/>
      <c r="NQ443" s="1"/>
      <c r="NR443" s="1"/>
      <c r="NS443" s="1"/>
      <c r="NT443" s="1"/>
      <c r="NU443" s="1"/>
      <c r="NV443" s="1"/>
      <c r="NW443" s="1"/>
      <c r="NX443" s="1"/>
      <c r="NY443" s="1"/>
      <c r="NZ443" s="1"/>
      <c r="OA443" s="1"/>
      <c r="OB443" s="1"/>
      <c r="OC443" s="1"/>
      <c r="OD443" s="1"/>
      <c r="OE443" s="1"/>
      <c r="OF443" s="1"/>
      <c r="OG443" s="1"/>
      <c r="OH443" s="1"/>
      <c r="OI443" s="1"/>
      <c r="OJ443" s="1"/>
      <c r="OK443" s="1"/>
      <c r="OL443" s="1"/>
      <c r="OM443" s="1"/>
      <c r="ON443" s="1"/>
      <c r="OO443" s="1"/>
      <c r="OP443" s="1"/>
      <c r="OQ443" s="1"/>
      <c r="OR443" s="1"/>
      <c r="OS443" s="1"/>
      <c r="OT443" s="1"/>
      <c r="OU443" s="1"/>
      <c r="OV443" s="1"/>
      <c r="OW443" s="1"/>
      <c r="OX443" s="1"/>
      <c r="OY443" s="1"/>
      <c r="OZ443" s="1"/>
      <c r="PA443" s="1"/>
      <c r="PB443" s="1"/>
      <c r="PC443" s="1"/>
      <c r="PD443" s="1"/>
      <c r="PE443" s="1"/>
      <c r="PF443" s="1"/>
      <c r="PG443" s="1"/>
      <c r="PH443" s="1"/>
      <c r="PI443" s="1"/>
      <c r="PJ443" s="1"/>
      <c r="PK443" s="1"/>
      <c r="PL443" s="1"/>
      <c r="PM443" s="1"/>
      <c r="PN443" s="1"/>
      <c r="PO443" s="1"/>
      <c r="PP443" s="1"/>
      <c r="PQ443" s="1"/>
      <c r="PR443" s="1"/>
      <c r="PS443" s="1"/>
      <c r="PT443" s="1"/>
      <c r="PU443" s="1"/>
      <c r="PV443" s="1"/>
      <c r="PW443" s="1"/>
      <c r="PX443" s="1"/>
      <c r="PY443" s="1"/>
      <c r="PZ443" s="1"/>
      <c r="QA443" s="1"/>
      <c r="QB443" s="1"/>
      <c r="QC443" s="1"/>
      <c r="QD443" s="1"/>
      <c r="QE443" s="1"/>
      <c r="QF443" s="1"/>
      <c r="QG443" s="1"/>
      <c r="QH443" s="1"/>
      <c r="QI443" s="1"/>
      <c r="QJ443" s="1"/>
      <c r="QK443" s="1"/>
      <c r="QL443" s="1"/>
      <c r="QM443" s="1"/>
      <c r="QN443" s="1"/>
      <c r="QO443" s="1"/>
      <c r="QP443" s="1"/>
      <c r="QQ443" s="1"/>
      <c r="QR443" s="1"/>
      <c r="QS443" s="1"/>
      <c r="QT443" s="1"/>
      <c r="QU443" s="1"/>
      <c r="QV443" s="1"/>
      <c r="QW443" s="1"/>
      <c r="QX443" s="1"/>
      <c r="QY443" s="1"/>
      <c r="QZ443" s="1"/>
      <c r="RA443" s="1"/>
      <c r="RB443" s="1"/>
      <c r="RC443" s="1"/>
      <c r="RD443" s="1"/>
      <c r="RE443" s="1"/>
      <c r="RF443" s="1"/>
      <c r="RG443" s="1"/>
      <c r="RH443" s="1"/>
      <c r="RI443" s="1"/>
      <c r="RJ443" s="1"/>
      <c r="RK443" s="1"/>
      <c r="RL443" s="1"/>
      <c r="RM443" s="1"/>
      <c r="RN443" s="1"/>
      <c r="RO443" s="1"/>
      <c r="RP443" s="1"/>
      <c r="RQ443" s="1"/>
      <c r="RR443" s="1"/>
      <c r="RS443" s="1"/>
      <c r="RT443" s="1"/>
      <c r="RU443" s="1"/>
      <c r="RV443" s="1"/>
      <c r="RW443" s="1"/>
      <c r="RX443" s="1"/>
      <c r="RY443" s="1"/>
      <c r="RZ443" s="1"/>
      <c r="SA443" s="1"/>
      <c r="SB443" s="1"/>
      <c r="SC443" s="1"/>
      <c r="SD443" s="1"/>
      <c r="SE443" s="1"/>
      <c r="SF443" s="1"/>
      <c r="SG443" s="1"/>
      <c r="SH443" s="1"/>
      <c r="SI443" s="1"/>
      <c r="SJ443" s="1"/>
      <c r="SK443" s="1"/>
      <c r="SL443" s="1"/>
      <c r="SM443" s="1"/>
      <c r="SN443" s="1"/>
      <c r="SO443" s="1"/>
      <c r="SP443" s="1"/>
      <c r="SQ443" s="1"/>
      <c r="SR443" s="1"/>
      <c r="SS443" s="1"/>
      <c r="ST443" s="1"/>
      <c r="SU443" s="1"/>
      <c r="SV443" s="1"/>
      <c r="SW443" s="1"/>
      <c r="SX443" s="1"/>
      <c r="SY443" s="1"/>
      <c r="SZ443" s="1"/>
      <c r="TA443" s="1"/>
      <c r="TB443" s="1"/>
      <c r="TC443" s="1"/>
      <c r="TD443" s="1"/>
      <c r="TE443" s="1"/>
      <c r="TF443" s="1"/>
      <c r="TG443" s="1"/>
      <c r="TH443" s="1"/>
      <c r="TI443" s="1"/>
      <c r="TJ443" s="1"/>
      <c r="TK443" s="1"/>
      <c r="TL443" s="1"/>
      <c r="TM443" s="1"/>
      <c r="TN443" s="1"/>
      <c r="TO443" s="1"/>
      <c r="TP443" s="1"/>
      <c r="TQ443" s="1"/>
      <c r="TR443" s="1"/>
      <c r="TS443" s="1"/>
      <c r="TT443" s="1"/>
      <c r="TU443" s="1"/>
      <c r="TV443" s="1"/>
      <c r="TW443" s="1"/>
      <c r="TX443" s="1"/>
      <c r="TY443" s="1"/>
      <c r="TZ443" s="1"/>
      <c r="UA443" s="1"/>
      <c r="UB443" s="1"/>
      <c r="UC443" s="1"/>
      <c r="UD443" s="1"/>
      <c r="UE443" s="1"/>
      <c r="UF443" s="1"/>
      <c r="UG443" s="1"/>
      <c r="UH443" s="1"/>
      <c r="UI443" s="1"/>
      <c r="UJ443" s="1"/>
      <c r="UK443" s="1"/>
      <c r="UL443" s="1"/>
      <c r="UM443" s="1"/>
      <c r="UN443" s="1"/>
      <c r="UO443" s="1"/>
      <c r="UP443" s="1"/>
      <c r="UQ443" s="1"/>
      <c r="UR443" s="1"/>
      <c r="US443" s="1"/>
      <c r="UT443" s="1"/>
      <c r="UU443" s="1"/>
      <c r="UV443" s="1"/>
      <c r="UW443" s="1"/>
      <c r="UX443" s="1"/>
      <c r="UY443" s="1"/>
      <c r="UZ443" s="1"/>
      <c r="VA443" s="1"/>
      <c r="VB443" s="1"/>
      <c r="VC443" s="1"/>
      <c r="VD443" s="1"/>
      <c r="VE443" s="1"/>
      <c r="VF443" s="1"/>
      <c r="VG443" s="1"/>
      <c r="VH443" s="1"/>
      <c r="VI443" s="1"/>
      <c r="VJ443" s="1"/>
      <c r="VK443" s="1"/>
      <c r="VL443" s="1"/>
      <c r="VM443" s="1"/>
      <c r="VN443" s="1"/>
      <c r="VO443" s="1"/>
      <c r="VP443" s="1"/>
      <c r="VQ443" s="1"/>
      <c r="VR443" s="1"/>
      <c r="VS443" s="1"/>
      <c r="VT443" s="1"/>
      <c r="VU443" s="1"/>
      <c r="VV443" s="1"/>
      <c r="VW443" s="1"/>
      <c r="VX443" s="1"/>
      <c r="VY443" s="1"/>
      <c r="VZ443" s="1"/>
      <c r="WA443" s="1"/>
      <c r="WB443" s="1"/>
      <c r="WC443" s="1"/>
      <c r="WD443" s="1"/>
      <c r="WE443" s="1"/>
      <c r="WF443" s="1"/>
      <c r="WG443" s="1"/>
      <c r="WH443" s="1"/>
      <c r="WI443" s="1"/>
      <c r="WJ443" s="1"/>
      <c r="WK443" s="1"/>
      <c r="WL443" s="1"/>
      <c r="WM443" s="1"/>
      <c r="WN443" s="1"/>
      <c r="WO443" s="1"/>
      <c r="WP443" s="1"/>
      <c r="WQ443" s="1"/>
      <c r="WR443" s="1"/>
      <c r="WS443" s="1"/>
      <c r="WT443" s="1"/>
      <c r="WU443" s="1"/>
      <c r="WV443" s="1"/>
      <c r="WW443" s="1"/>
      <c r="WX443" s="1"/>
      <c r="WY443" s="1"/>
      <c r="WZ443" s="1"/>
      <c r="XA443" s="1"/>
      <c r="XB443" s="1"/>
      <c r="XC443" s="1"/>
      <c r="XD443" s="1"/>
      <c r="XE443" s="1"/>
      <c r="XF443" s="1"/>
      <c r="XG443" s="1"/>
      <c r="XH443" s="1"/>
      <c r="XI443" s="1"/>
      <c r="XJ443" s="1"/>
      <c r="XK443" s="1"/>
      <c r="XL443" s="1"/>
      <c r="XM443" s="1"/>
      <c r="XN443" s="1"/>
      <c r="XO443" s="1"/>
      <c r="XP443" s="1"/>
      <c r="XQ443" s="1"/>
      <c r="XR443" s="1"/>
      <c r="XS443" s="1"/>
      <c r="XT443" s="1"/>
      <c r="XU443" s="1"/>
      <c r="XV443" s="1"/>
      <c r="XW443" s="1"/>
      <c r="XX443" s="1"/>
      <c r="XY443" s="1"/>
      <c r="XZ443" s="1"/>
      <c r="YA443" s="1"/>
      <c r="YB443" s="1"/>
      <c r="YC443" s="1"/>
      <c r="YD443" s="1"/>
      <c r="YE443" s="1"/>
      <c r="YF443" s="1"/>
      <c r="YG443" s="1"/>
      <c r="YH443" s="1"/>
      <c r="YI443" s="1"/>
      <c r="YJ443" s="1"/>
      <c r="YK443" s="1"/>
      <c r="YL443" s="1"/>
      <c r="YM443" s="1"/>
      <c r="YN443" s="1"/>
      <c r="YO443" s="1"/>
      <c r="YP443" s="1"/>
      <c r="YQ443" s="1"/>
      <c r="YR443" s="1"/>
      <c r="YS443" s="1"/>
      <c r="YT443" s="1"/>
      <c r="YU443" s="1"/>
      <c r="YV443" s="1"/>
      <c r="YW443" s="1"/>
      <c r="YX443" s="1"/>
      <c r="YY443" s="1"/>
      <c r="YZ443" s="1"/>
      <c r="ZA443" s="1"/>
      <c r="ZB443" s="1"/>
      <c r="ZC443" s="1"/>
      <c r="ZD443" s="1"/>
      <c r="ZE443" s="1"/>
      <c r="ZF443" s="1"/>
      <c r="ZG443" s="1"/>
      <c r="ZH443" s="1"/>
      <c r="ZI443" s="1"/>
      <c r="ZJ443" s="1"/>
      <c r="ZK443" s="1"/>
      <c r="ZL443" s="1"/>
      <c r="ZM443" s="1"/>
      <c r="ZN443" s="1"/>
      <c r="ZO443" s="1"/>
      <c r="ZP443" s="1"/>
      <c r="ZQ443" s="1"/>
      <c r="ZR443" s="1"/>
      <c r="ZS443" s="1"/>
      <c r="ZT443" s="1"/>
      <c r="ZU443" s="1"/>
      <c r="ZV443" s="1"/>
      <c r="ZW443" s="1"/>
      <c r="ZX443" s="1"/>
      <c r="ZY443" s="1"/>
      <c r="ZZ443" s="1"/>
      <c r="AAA443" s="1"/>
      <c r="AAB443" s="1"/>
      <c r="AAC443" s="1"/>
      <c r="AAD443" s="1"/>
      <c r="AAE443" s="1"/>
      <c r="AAF443" s="1"/>
      <c r="AAG443" s="1"/>
      <c r="AAH443" s="1"/>
      <c r="AAI443" s="1"/>
      <c r="AAJ443" s="1"/>
      <c r="AAK443" s="1"/>
      <c r="AAL443" s="1"/>
      <c r="AAM443" s="1"/>
      <c r="AAN443" s="1"/>
      <c r="AAO443" s="1"/>
      <c r="AAP443" s="1"/>
      <c r="AAQ443" s="1"/>
      <c r="AAR443" s="1"/>
      <c r="AAS443" s="1"/>
      <c r="AAT443" s="1"/>
      <c r="AAU443" s="1"/>
      <c r="AAV443" s="1"/>
      <c r="AAW443" s="1"/>
      <c r="AAX443" s="1"/>
      <c r="AAY443" s="1"/>
      <c r="AAZ443" s="1"/>
      <c r="ABA443" s="1"/>
      <c r="ABB443" s="1"/>
      <c r="ABC443" s="1"/>
      <c r="ABD443" s="1"/>
      <c r="ABE443" s="1"/>
      <c r="ABF443" s="1"/>
      <c r="ABG443" s="1"/>
      <c r="ABH443" s="1"/>
      <c r="ABI443" s="1"/>
      <c r="ABJ443" s="1"/>
      <c r="ABK443" s="1"/>
      <c r="ABL443" s="1"/>
      <c r="ABM443" s="1"/>
      <c r="ABN443" s="1"/>
      <c r="ABO443" s="1"/>
      <c r="ABP443" s="1"/>
      <c r="ABQ443" s="1"/>
      <c r="ABR443" s="1"/>
      <c r="ABS443" s="1"/>
      <c r="ABT443" s="1"/>
      <c r="ABU443" s="1"/>
      <c r="ABV443" s="1"/>
      <c r="ABW443" s="1"/>
      <c r="ABX443" s="1"/>
      <c r="ABY443" s="1"/>
      <c r="ABZ443" s="1"/>
      <c r="ACA443" s="1"/>
      <c r="ACB443" s="1"/>
      <c r="ACC443" s="1"/>
      <c r="ACD443" s="1"/>
      <c r="ACE443" s="1"/>
      <c r="ACF443" s="1"/>
      <c r="ACG443" s="1"/>
      <c r="ACH443" s="1"/>
      <c r="ACI443" s="1"/>
      <c r="ACJ443" s="1"/>
      <c r="ACK443" s="1"/>
      <c r="ACL443" s="1"/>
      <c r="ACM443" s="1"/>
      <c r="ACN443" s="1"/>
      <c r="ACO443" s="1"/>
      <c r="ACP443" s="1"/>
      <c r="ACQ443" s="1"/>
      <c r="ACR443" s="1"/>
      <c r="ACS443" s="1"/>
      <c r="ACT443" s="1"/>
      <c r="ACU443" s="1"/>
      <c r="ACV443" s="1"/>
      <c r="ACW443" s="1"/>
      <c r="ACX443" s="1"/>
      <c r="ACY443" s="1"/>
      <c r="ACZ443" s="1"/>
      <c r="ADA443" s="1"/>
      <c r="ADB443" s="1"/>
      <c r="ADC443" s="1"/>
      <c r="ADD443" s="1"/>
      <c r="ADE443" s="1"/>
      <c r="ADF443" s="1"/>
      <c r="ADG443" s="1"/>
      <c r="ADH443" s="1"/>
      <c r="ADI443" s="1"/>
      <c r="ADJ443" s="1"/>
      <c r="ADK443" s="1"/>
      <c r="ADL443" s="1"/>
      <c r="ADM443" s="1"/>
      <c r="ADN443" s="1"/>
      <c r="ADO443" s="1"/>
      <c r="ADP443" s="1"/>
      <c r="ADQ443" s="1"/>
      <c r="ADR443" s="1"/>
      <c r="ADS443" s="1"/>
      <c r="ADT443" s="1"/>
      <c r="ADU443" s="1"/>
      <c r="ADV443" s="1"/>
      <c r="ADW443" s="1"/>
      <c r="ADX443" s="1"/>
      <c r="ADY443" s="1"/>
      <c r="ADZ443" s="1"/>
      <c r="AEA443" s="1"/>
      <c r="AEB443" s="1"/>
      <c r="AEC443" s="1"/>
      <c r="AED443" s="1"/>
      <c r="AEE443" s="1"/>
      <c r="AEF443" s="1"/>
      <c r="AEG443" s="1"/>
      <c r="AEH443" s="1"/>
      <c r="AEI443" s="1"/>
      <c r="AEJ443" s="1"/>
      <c r="AEK443" s="1"/>
      <c r="AEL443" s="1"/>
      <c r="AEM443" s="1"/>
      <c r="AEN443" s="1"/>
      <c r="AEO443" s="1"/>
      <c r="AEP443" s="1"/>
      <c r="AEQ443" s="1"/>
      <c r="AER443" s="1"/>
      <c r="AES443" s="1"/>
      <c r="AET443" s="1"/>
      <c r="AEU443" s="1"/>
      <c r="AEV443" s="1"/>
      <c r="AEW443" s="1"/>
      <c r="AEX443" s="1"/>
      <c r="AEY443" s="1"/>
      <c r="AEZ443" s="1"/>
      <c r="AFA443" s="1"/>
      <c r="AFB443" s="1"/>
      <c r="AFC443" s="1"/>
      <c r="AFD443" s="1"/>
      <c r="AFE443" s="1"/>
      <c r="AFF443" s="1"/>
      <c r="AFG443" s="1"/>
      <c r="AFH443" s="1"/>
      <c r="AFI443" s="1"/>
      <c r="AFJ443" s="1"/>
      <c r="AFK443" s="1"/>
      <c r="AFL443" s="1"/>
      <c r="AFM443" s="1"/>
      <c r="AFN443" s="1"/>
      <c r="AFO443" s="1"/>
      <c r="AFP443" s="1"/>
      <c r="AFQ443" s="1"/>
      <c r="AFR443" s="1"/>
      <c r="AFS443" s="1"/>
      <c r="AFT443" s="1"/>
      <c r="AFU443" s="1"/>
      <c r="AFV443" s="1"/>
      <c r="AFW443" s="1"/>
      <c r="AFX443" s="1"/>
      <c r="AFY443" s="1"/>
      <c r="AFZ443" s="1"/>
      <c r="AGA443" s="1"/>
      <c r="AGB443" s="1"/>
      <c r="AGC443" s="1"/>
      <c r="AGD443" s="1"/>
      <c r="AGE443" s="1"/>
      <c r="AGF443" s="1"/>
      <c r="AGG443" s="1"/>
      <c r="AGH443" s="1"/>
      <c r="AGI443" s="1"/>
      <c r="AGJ443" s="1"/>
      <c r="AGK443" s="1"/>
      <c r="AGL443" s="1"/>
      <c r="AGM443" s="1"/>
      <c r="AGN443" s="1"/>
      <c r="AGO443" s="1"/>
      <c r="AGP443" s="1"/>
      <c r="AGQ443" s="1"/>
      <c r="AGR443" s="1"/>
      <c r="AGS443" s="1"/>
      <c r="AGT443" s="1"/>
      <c r="AGU443" s="1"/>
      <c r="AGV443" s="1"/>
      <c r="AGW443" s="1"/>
      <c r="AGX443" s="1"/>
      <c r="AGY443" s="1"/>
      <c r="AGZ443" s="1"/>
      <c r="AHA443" s="1"/>
      <c r="AHB443" s="1"/>
      <c r="AHC443" s="1"/>
      <c r="AHD443" s="1"/>
      <c r="AHE443" s="1"/>
      <c r="AHF443" s="1"/>
      <c r="AHG443" s="1"/>
      <c r="AHH443" s="1"/>
      <c r="AHI443" s="1"/>
      <c r="AHJ443" s="1"/>
      <c r="AHK443" s="1"/>
      <c r="AHL443" s="1"/>
      <c r="AHM443" s="1"/>
      <c r="AHN443" s="1"/>
      <c r="AHO443" s="1"/>
      <c r="AHP443" s="1"/>
      <c r="AHQ443" s="1"/>
      <c r="AHR443" s="1"/>
      <c r="AHS443" s="1"/>
      <c r="AHT443" s="1"/>
      <c r="AHU443" s="1"/>
      <c r="AHV443" s="1"/>
      <c r="AHW443" s="1"/>
      <c r="AHX443" s="1"/>
      <c r="AHY443" s="1"/>
    </row>
    <row r="444" spans="1:909" s="5" customFormat="1" ht="22.2" thickTop="1" thickBot="1">
      <c r="A444" s="6" t="s">
        <v>110</v>
      </c>
      <c r="B444" s="194">
        <f>SUM(B442:B443)</f>
        <v>0</v>
      </c>
      <c r="C444" s="195"/>
      <c r="D444" s="194">
        <f>SUM(D442:D443)</f>
        <v>0</v>
      </c>
      <c r="E444" s="195"/>
      <c r="F444" s="194">
        <f>SUM(F442:F443)</f>
        <v>0</v>
      </c>
      <c r="G444" s="195"/>
      <c r="H444" s="194">
        <f>SUM(H442:H443)</f>
        <v>0</v>
      </c>
      <c r="I444" s="195"/>
      <c r="J444" s="194">
        <f>SUM(J442:J443)</f>
        <v>0</v>
      </c>
      <c r="K444" s="195"/>
      <c r="L444" s="194">
        <f>SUM(L442:L443)</f>
        <v>0</v>
      </c>
      <c r="M444" s="195"/>
      <c r="N444" s="194">
        <f>L444+J444+H444+F444+D444+B444</f>
        <v>0</v>
      </c>
      <c r="O444" s="196"/>
      <c r="P444" s="197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  <c r="JX444" s="1"/>
      <c r="JY444" s="1"/>
      <c r="JZ444" s="1"/>
      <c r="KA444" s="1"/>
      <c r="KB444" s="1"/>
      <c r="KC444" s="1"/>
      <c r="KD444" s="1"/>
      <c r="KE444" s="1"/>
      <c r="KF444" s="1"/>
      <c r="KG444" s="1"/>
      <c r="KH444" s="1"/>
      <c r="KI444" s="1"/>
      <c r="KJ444" s="1"/>
      <c r="KK444" s="1"/>
      <c r="KL444" s="1"/>
      <c r="KM444" s="1"/>
      <c r="KN444" s="1"/>
      <c r="KO444" s="1"/>
      <c r="KP444" s="1"/>
      <c r="KQ444" s="1"/>
      <c r="KR444" s="1"/>
      <c r="KS444" s="1"/>
      <c r="KT444" s="1"/>
      <c r="KU444" s="1"/>
      <c r="KV444" s="1"/>
      <c r="KW444" s="1"/>
      <c r="KX444" s="1"/>
      <c r="KY444" s="1"/>
      <c r="KZ444" s="1"/>
      <c r="LA444" s="1"/>
      <c r="LB444" s="1"/>
      <c r="LC444" s="1"/>
      <c r="LD444" s="1"/>
      <c r="LE444" s="1"/>
      <c r="LF444" s="1"/>
      <c r="LG444" s="1"/>
      <c r="LH444" s="1"/>
      <c r="LI444" s="1"/>
      <c r="LJ444" s="1"/>
      <c r="LK444" s="1"/>
      <c r="LL444" s="1"/>
      <c r="LM444" s="1"/>
      <c r="LN444" s="1"/>
      <c r="LO444" s="1"/>
      <c r="LP444" s="1"/>
      <c r="LQ444" s="1"/>
      <c r="LR444" s="1"/>
      <c r="LS444" s="1"/>
      <c r="LT444" s="1"/>
      <c r="LU444" s="1"/>
      <c r="LV444" s="1"/>
      <c r="LW444" s="1"/>
      <c r="LX444" s="1"/>
      <c r="LY444" s="1"/>
      <c r="LZ444" s="1"/>
      <c r="MA444" s="1"/>
      <c r="MB444" s="1"/>
      <c r="MC444" s="1"/>
      <c r="MD444" s="1"/>
      <c r="ME444" s="1"/>
      <c r="MF444" s="1"/>
      <c r="MG444" s="1"/>
      <c r="MH444" s="1"/>
      <c r="MI444" s="1"/>
      <c r="MJ444" s="1"/>
      <c r="MK444" s="1"/>
      <c r="ML444" s="1"/>
      <c r="MM444" s="1"/>
      <c r="MN444" s="1"/>
      <c r="MO444" s="1"/>
      <c r="MP444" s="1"/>
      <c r="MQ444" s="1"/>
      <c r="MR444" s="1"/>
      <c r="MS444" s="1"/>
      <c r="MT444" s="1"/>
      <c r="MU444" s="1"/>
      <c r="MV444" s="1"/>
      <c r="MW444" s="1"/>
      <c r="MX444" s="1"/>
      <c r="MY444" s="1"/>
      <c r="MZ444" s="1"/>
      <c r="NA444" s="1"/>
      <c r="NB444" s="1"/>
      <c r="NC444" s="1"/>
      <c r="ND444" s="1"/>
      <c r="NE444" s="1"/>
      <c r="NF444" s="1"/>
      <c r="NG444" s="1"/>
      <c r="NH444" s="1"/>
      <c r="NI444" s="1"/>
      <c r="NJ444" s="1"/>
      <c r="NK444" s="1"/>
      <c r="NL444" s="1"/>
      <c r="NM444" s="1"/>
      <c r="NN444" s="1"/>
      <c r="NO444" s="1"/>
      <c r="NP444" s="1"/>
      <c r="NQ444" s="1"/>
      <c r="NR444" s="1"/>
      <c r="NS444" s="1"/>
      <c r="NT444" s="1"/>
      <c r="NU444" s="1"/>
      <c r="NV444" s="1"/>
      <c r="NW444" s="1"/>
      <c r="NX444" s="1"/>
      <c r="NY444" s="1"/>
      <c r="NZ444" s="1"/>
      <c r="OA444" s="1"/>
      <c r="OB444" s="1"/>
      <c r="OC444" s="1"/>
      <c r="OD444" s="1"/>
      <c r="OE444" s="1"/>
      <c r="OF444" s="1"/>
      <c r="OG444" s="1"/>
      <c r="OH444" s="1"/>
      <c r="OI444" s="1"/>
      <c r="OJ444" s="1"/>
      <c r="OK444" s="1"/>
      <c r="OL444" s="1"/>
      <c r="OM444" s="1"/>
      <c r="ON444" s="1"/>
      <c r="OO444" s="1"/>
      <c r="OP444" s="1"/>
      <c r="OQ444" s="1"/>
      <c r="OR444" s="1"/>
      <c r="OS444" s="1"/>
      <c r="OT444" s="1"/>
      <c r="OU444" s="1"/>
      <c r="OV444" s="1"/>
      <c r="OW444" s="1"/>
      <c r="OX444" s="1"/>
      <c r="OY444" s="1"/>
      <c r="OZ444" s="1"/>
      <c r="PA444" s="1"/>
      <c r="PB444" s="1"/>
      <c r="PC444" s="1"/>
      <c r="PD444" s="1"/>
      <c r="PE444" s="1"/>
      <c r="PF444" s="1"/>
      <c r="PG444" s="1"/>
      <c r="PH444" s="1"/>
      <c r="PI444" s="1"/>
      <c r="PJ444" s="1"/>
      <c r="PK444" s="1"/>
      <c r="PL444" s="1"/>
      <c r="PM444" s="1"/>
      <c r="PN444" s="1"/>
      <c r="PO444" s="1"/>
      <c r="PP444" s="1"/>
      <c r="PQ444" s="1"/>
      <c r="PR444" s="1"/>
      <c r="PS444" s="1"/>
      <c r="PT444" s="1"/>
      <c r="PU444" s="1"/>
      <c r="PV444" s="1"/>
      <c r="PW444" s="1"/>
      <c r="PX444" s="1"/>
      <c r="PY444" s="1"/>
      <c r="PZ444" s="1"/>
      <c r="QA444" s="1"/>
      <c r="QB444" s="1"/>
      <c r="QC444" s="1"/>
      <c r="QD444" s="1"/>
      <c r="QE444" s="1"/>
      <c r="QF444" s="1"/>
      <c r="QG444" s="1"/>
      <c r="QH444" s="1"/>
      <c r="QI444" s="1"/>
      <c r="QJ444" s="1"/>
      <c r="QK444" s="1"/>
      <c r="QL444" s="1"/>
      <c r="QM444" s="1"/>
      <c r="QN444" s="1"/>
      <c r="QO444" s="1"/>
      <c r="QP444" s="1"/>
      <c r="QQ444" s="1"/>
      <c r="QR444" s="1"/>
      <c r="QS444" s="1"/>
      <c r="QT444" s="1"/>
      <c r="QU444" s="1"/>
      <c r="QV444" s="1"/>
      <c r="QW444" s="1"/>
      <c r="QX444" s="1"/>
      <c r="QY444" s="1"/>
      <c r="QZ444" s="1"/>
      <c r="RA444" s="1"/>
      <c r="RB444" s="1"/>
      <c r="RC444" s="1"/>
      <c r="RD444" s="1"/>
      <c r="RE444" s="1"/>
      <c r="RF444" s="1"/>
      <c r="RG444" s="1"/>
      <c r="RH444" s="1"/>
      <c r="RI444" s="1"/>
      <c r="RJ444" s="1"/>
      <c r="RK444" s="1"/>
      <c r="RL444" s="1"/>
      <c r="RM444" s="1"/>
      <c r="RN444" s="1"/>
      <c r="RO444" s="1"/>
      <c r="RP444" s="1"/>
      <c r="RQ444" s="1"/>
      <c r="RR444" s="1"/>
      <c r="RS444" s="1"/>
      <c r="RT444" s="1"/>
      <c r="RU444" s="1"/>
      <c r="RV444" s="1"/>
      <c r="RW444" s="1"/>
      <c r="RX444" s="1"/>
      <c r="RY444" s="1"/>
      <c r="RZ444" s="1"/>
      <c r="SA444" s="1"/>
      <c r="SB444" s="1"/>
      <c r="SC444" s="1"/>
      <c r="SD444" s="1"/>
      <c r="SE444" s="1"/>
      <c r="SF444" s="1"/>
      <c r="SG444" s="1"/>
      <c r="SH444" s="1"/>
      <c r="SI444" s="1"/>
      <c r="SJ444" s="1"/>
      <c r="SK444" s="1"/>
      <c r="SL444" s="1"/>
      <c r="SM444" s="1"/>
      <c r="SN444" s="1"/>
      <c r="SO444" s="1"/>
      <c r="SP444" s="1"/>
      <c r="SQ444" s="1"/>
      <c r="SR444" s="1"/>
      <c r="SS444" s="1"/>
      <c r="ST444" s="1"/>
      <c r="SU444" s="1"/>
      <c r="SV444" s="1"/>
      <c r="SW444" s="1"/>
      <c r="SX444" s="1"/>
      <c r="SY444" s="1"/>
      <c r="SZ444" s="1"/>
      <c r="TA444" s="1"/>
      <c r="TB444" s="1"/>
      <c r="TC444" s="1"/>
      <c r="TD444" s="1"/>
      <c r="TE444" s="1"/>
      <c r="TF444" s="1"/>
      <c r="TG444" s="1"/>
      <c r="TH444" s="1"/>
      <c r="TI444" s="1"/>
      <c r="TJ444" s="1"/>
      <c r="TK444" s="1"/>
      <c r="TL444" s="1"/>
      <c r="TM444" s="1"/>
      <c r="TN444" s="1"/>
      <c r="TO444" s="1"/>
      <c r="TP444" s="1"/>
      <c r="TQ444" s="1"/>
      <c r="TR444" s="1"/>
      <c r="TS444" s="1"/>
      <c r="TT444" s="1"/>
      <c r="TU444" s="1"/>
      <c r="TV444" s="1"/>
      <c r="TW444" s="1"/>
      <c r="TX444" s="1"/>
      <c r="TY444" s="1"/>
      <c r="TZ444" s="1"/>
      <c r="UA444" s="1"/>
      <c r="UB444" s="1"/>
      <c r="UC444" s="1"/>
      <c r="UD444" s="1"/>
      <c r="UE444" s="1"/>
      <c r="UF444" s="1"/>
      <c r="UG444" s="1"/>
      <c r="UH444" s="1"/>
      <c r="UI444" s="1"/>
      <c r="UJ444" s="1"/>
      <c r="UK444" s="1"/>
      <c r="UL444" s="1"/>
      <c r="UM444" s="1"/>
      <c r="UN444" s="1"/>
      <c r="UO444" s="1"/>
      <c r="UP444" s="1"/>
      <c r="UQ444" s="1"/>
      <c r="UR444" s="1"/>
      <c r="US444" s="1"/>
      <c r="UT444" s="1"/>
      <c r="UU444" s="1"/>
      <c r="UV444" s="1"/>
      <c r="UW444" s="1"/>
      <c r="UX444" s="1"/>
      <c r="UY444" s="1"/>
      <c r="UZ444" s="1"/>
      <c r="VA444" s="1"/>
      <c r="VB444" s="1"/>
      <c r="VC444" s="1"/>
      <c r="VD444" s="1"/>
      <c r="VE444" s="1"/>
      <c r="VF444" s="1"/>
      <c r="VG444" s="1"/>
      <c r="VH444" s="1"/>
      <c r="VI444" s="1"/>
      <c r="VJ444" s="1"/>
      <c r="VK444" s="1"/>
      <c r="VL444" s="1"/>
      <c r="VM444" s="1"/>
      <c r="VN444" s="1"/>
      <c r="VO444" s="1"/>
      <c r="VP444" s="1"/>
      <c r="VQ444" s="1"/>
      <c r="VR444" s="1"/>
      <c r="VS444" s="1"/>
      <c r="VT444" s="1"/>
      <c r="VU444" s="1"/>
      <c r="VV444" s="1"/>
      <c r="VW444" s="1"/>
      <c r="VX444" s="1"/>
      <c r="VY444" s="1"/>
      <c r="VZ444" s="1"/>
      <c r="WA444" s="1"/>
      <c r="WB444" s="1"/>
      <c r="WC444" s="1"/>
      <c r="WD444" s="1"/>
      <c r="WE444" s="1"/>
      <c r="WF444" s="1"/>
      <c r="WG444" s="1"/>
      <c r="WH444" s="1"/>
      <c r="WI444" s="1"/>
      <c r="WJ444" s="1"/>
      <c r="WK444" s="1"/>
      <c r="WL444" s="1"/>
      <c r="WM444" s="1"/>
      <c r="WN444" s="1"/>
      <c r="WO444" s="1"/>
      <c r="WP444" s="1"/>
      <c r="WQ444" s="1"/>
      <c r="WR444" s="1"/>
      <c r="WS444" s="1"/>
      <c r="WT444" s="1"/>
      <c r="WU444" s="1"/>
      <c r="WV444" s="1"/>
      <c r="WW444" s="1"/>
      <c r="WX444" s="1"/>
      <c r="WY444" s="1"/>
      <c r="WZ444" s="1"/>
      <c r="XA444" s="1"/>
      <c r="XB444" s="1"/>
      <c r="XC444" s="1"/>
      <c r="XD444" s="1"/>
      <c r="XE444" s="1"/>
      <c r="XF444" s="1"/>
      <c r="XG444" s="1"/>
      <c r="XH444" s="1"/>
      <c r="XI444" s="1"/>
      <c r="XJ444" s="1"/>
      <c r="XK444" s="1"/>
      <c r="XL444" s="1"/>
      <c r="XM444" s="1"/>
      <c r="XN444" s="1"/>
      <c r="XO444" s="1"/>
      <c r="XP444" s="1"/>
      <c r="XQ444" s="1"/>
      <c r="XR444" s="1"/>
      <c r="XS444" s="1"/>
      <c r="XT444" s="1"/>
      <c r="XU444" s="1"/>
      <c r="XV444" s="1"/>
      <c r="XW444" s="1"/>
      <c r="XX444" s="1"/>
      <c r="XY444" s="1"/>
      <c r="XZ444" s="1"/>
      <c r="YA444" s="1"/>
      <c r="YB444" s="1"/>
      <c r="YC444" s="1"/>
      <c r="YD444" s="1"/>
      <c r="YE444" s="1"/>
      <c r="YF444" s="1"/>
      <c r="YG444" s="1"/>
      <c r="YH444" s="1"/>
      <c r="YI444" s="1"/>
      <c r="YJ444" s="1"/>
      <c r="YK444" s="1"/>
      <c r="YL444" s="1"/>
      <c r="YM444" s="1"/>
      <c r="YN444" s="1"/>
      <c r="YO444" s="1"/>
      <c r="YP444" s="1"/>
      <c r="YQ444" s="1"/>
      <c r="YR444" s="1"/>
      <c r="YS444" s="1"/>
      <c r="YT444" s="1"/>
      <c r="YU444" s="1"/>
      <c r="YV444" s="1"/>
      <c r="YW444" s="1"/>
      <c r="YX444" s="1"/>
      <c r="YY444" s="1"/>
      <c r="YZ444" s="1"/>
      <c r="ZA444" s="1"/>
      <c r="ZB444" s="1"/>
      <c r="ZC444" s="1"/>
      <c r="ZD444" s="1"/>
      <c r="ZE444" s="1"/>
      <c r="ZF444" s="1"/>
      <c r="ZG444" s="1"/>
      <c r="ZH444" s="1"/>
      <c r="ZI444" s="1"/>
      <c r="ZJ444" s="1"/>
      <c r="ZK444" s="1"/>
      <c r="ZL444" s="1"/>
      <c r="ZM444" s="1"/>
      <c r="ZN444" s="1"/>
      <c r="ZO444" s="1"/>
      <c r="ZP444" s="1"/>
      <c r="ZQ444" s="1"/>
      <c r="ZR444" s="1"/>
      <c r="ZS444" s="1"/>
      <c r="ZT444" s="1"/>
      <c r="ZU444" s="1"/>
      <c r="ZV444" s="1"/>
      <c r="ZW444" s="1"/>
      <c r="ZX444" s="1"/>
      <c r="ZY444" s="1"/>
      <c r="ZZ444" s="1"/>
      <c r="AAA444" s="1"/>
      <c r="AAB444" s="1"/>
      <c r="AAC444" s="1"/>
      <c r="AAD444" s="1"/>
      <c r="AAE444" s="1"/>
      <c r="AAF444" s="1"/>
      <c r="AAG444" s="1"/>
      <c r="AAH444" s="1"/>
      <c r="AAI444" s="1"/>
      <c r="AAJ444" s="1"/>
      <c r="AAK444" s="1"/>
      <c r="AAL444" s="1"/>
      <c r="AAM444" s="1"/>
      <c r="AAN444" s="1"/>
      <c r="AAO444" s="1"/>
      <c r="AAP444" s="1"/>
      <c r="AAQ444" s="1"/>
      <c r="AAR444" s="1"/>
      <c r="AAS444" s="1"/>
      <c r="AAT444" s="1"/>
      <c r="AAU444" s="1"/>
      <c r="AAV444" s="1"/>
      <c r="AAW444" s="1"/>
      <c r="AAX444" s="1"/>
      <c r="AAY444" s="1"/>
      <c r="AAZ444" s="1"/>
      <c r="ABA444" s="1"/>
      <c r="ABB444" s="1"/>
      <c r="ABC444" s="1"/>
      <c r="ABD444" s="1"/>
      <c r="ABE444" s="1"/>
      <c r="ABF444" s="1"/>
      <c r="ABG444" s="1"/>
      <c r="ABH444" s="1"/>
      <c r="ABI444" s="1"/>
      <c r="ABJ444" s="1"/>
      <c r="ABK444" s="1"/>
      <c r="ABL444" s="1"/>
      <c r="ABM444" s="1"/>
      <c r="ABN444" s="1"/>
      <c r="ABO444" s="1"/>
      <c r="ABP444" s="1"/>
      <c r="ABQ444" s="1"/>
      <c r="ABR444" s="1"/>
      <c r="ABS444" s="1"/>
      <c r="ABT444" s="1"/>
      <c r="ABU444" s="1"/>
      <c r="ABV444" s="1"/>
      <c r="ABW444" s="1"/>
      <c r="ABX444" s="1"/>
      <c r="ABY444" s="1"/>
      <c r="ABZ444" s="1"/>
      <c r="ACA444" s="1"/>
      <c r="ACB444" s="1"/>
      <c r="ACC444" s="1"/>
      <c r="ACD444" s="1"/>
      <c r="ACE444" s="1"/>
      <c r="ACF444" s="1"/>
      <c r="ACG444" s="1"/>
      <c r="ACH444" s="1"/>
      <c r="ACI444" s="1"/>
      <c r="ACJ444" s="1"/>
      <c r="ACK444" s="1"/>
      <c r="ACL444" s="1"/>
      <c r="ACM444" s="1"/>
      <c r="ACN444" s="1"/>
      <c r="ACO444" s="1"/>
      <c r="ACP444" s="1"/>
      <c r="ACQ444" s="1"/>
      <c r="ACR444" s="1"/>
      <c r="ACS444" s="1"/>
      <c r="ACT444" s="1"/>
      <c r="ACU444" s="1"/>
      <c r="ACV444" s="1"/>
      <c r="ACW444" s="1"/>
      <c r="ACX444" s="1"/>
      <c r="ACY444" s="1"/>
      <c r="ACZ444" s="1"/>
      <c r="ADA444" s="1"/>
      <c r="ADB444" s="1"/>
      <c r="ADC444" s="1"/>
      <c r="ADD444" s="1"/>
      <c r="ADE444" s="1"/>
      <c r="ADF444" s="1"/>
      <c r="ADG444" s="1"/>
      <c r="ADH444" s="1"/>
      <c r="ADI444" s="1"/>
      <c r="ADJ444" s="1"/>
      <c r="ADK444" s="1"/>
      <c r="ADL444" s="1"/>
      <c r="ADM444" s="1"/>
      <c r="ADN444" s="1"/>
      <c r="ADO444" s="1"/>
      <c r="ADP444" s="1"/>
      <c r="ADQ444" s="1"/>
      <c r="ADR444" s="1"/>
      <c r="ADS444" s="1"/>
      <c r="ADT444" s="1"/>
      <c r="ADU444" s="1"/>
      <c r="ADV444" s="1"/>
      <c r="ADW444" s="1"/>
      <c r="ADX444" s="1"/>
      <c r="ADY444" s="1"/>
      <c r="ADZ444" s="1"/>
      <c r="AEA444" s="1"/>
      <c r="AEB444" s="1"/>
      <c r="AEC444" s="1"/>
      <c r="AED444" s="1"/>
      <c r="AEE444" s="1"/>
      <c r="AEF444" s="1"/>
      <c r="AEG444" s="1"/>
      <c r="AEH444" s="1"/>
      <c r="AEI444" s="1"/>
      <c r="AEJ444" s="1"/>
      <c r="AEK444" s="1"/>
      <c r="AEL444" s="1"/>
      <c r="AEM444" s="1"/>
      <c r="AEN444" s="1"/>
      <c r="AEO444" s="1"/>
      <c r="AEP444" s="1"/>
      <c r="AEQ444" s="1"/>
      <c r="AER444" s="1"/>
      <c r="AES444" s="1"/>
      <c r="AET444" s="1"/>
      <c r="AEU444" s="1"/>
      <c r="AEV444" s="1"/>
      <c r="AEW444" s="1"/>
      <c r="AEX444" s="1"/>
      <c r="AEY444" s="1"/>
      <c r="AEZ444" s="1"/>
      <c r="AFA444" s="1"/>
      <c r="AFB444" s="1"/>
      <c r="AFC444" s="1"/>
      <c r="AFD444" s="1"/>
      <c r="AFE444" s="1"/>
      <c r="AFF444" s="1"/>
      <c r="AFG444" s="1"/>
      <c r="AFH444" s="1"/>
      <c r="AFI444" s="1"/>
      <c r="AFJ444" s="1"/>
      <c r="AFK444" s="1"/>
      <c r="AFL444" s="1"/>
      <c r="AFM444" s="1"/>
      <c r="AFN444" s="1"/>
      <c r="AFO444" s="1"/>
      <c r="AFP444" s="1"/>
      <c r="AFQ444" s="1"/>
      <c r="AFR444" s="1"/>
      <c r="AFS444" s="1"/>
      <c r="AFT444" s="1"/>
      <c r="AFU444" s="1"/>
      <c r="AFV444" s="1"/>
      <c r="AFW444" s="1"/>
      <c r="AFX444" s="1"/>
      <c r="AFY444" s="1"/>
      <c r="AFZ444" s="1"/>
      <c r="AGA444" s="1"/>
      <c r="AGB444" s="1"/>
      <c r="AGC444" s="1"/>
      <c r="AGD444" s="1"/>
      <c r="AGE444" s="1"/>
      <c r="AGF444" s="1"/>
      <c r="AGG444" s="1"/>
      <c r="AGH444" s="1"/>
      <c r="AGI444" s="1"/>
      <c r="AGJ444" s="1"/>
      <c r="AGK444" s="1"/>
      <c r="AGL444" s="1"/>
      <c r="AGM444" s="1"/>
      <c r="AGN444" s="1"/>
      <c r="AGO444" s="1"/>
      <c r="AGP444" s="1"/>
      <c r="AGQ444" s="1"/>
      <c r="AGR444" s="1"/>
      <c r="AGS444" s="1"/>
      <c r="AGT444" s="1"/>
      <c r="AGU444" s="1"/>
      <c r="AGV444" s="1"/>
      <c r="AGW444" s="1"/>
      <c r="AGX444" s="1"/>
      <c r="AGY444" s="1"/>
      <c r="AGZ444" s="1"/>
      <c r="AHA444" s="1"/>
      <c r="AHB444" s="1"/>
      <c r="AHC444" s="1"/>
      <c r="AHD444" s="1"/>
      <c r="AHE444" s="1"/>
      <c r="AHF444" s="1"/>
      <c r="AHG444" s="1"/>
      <c r="AHH444" s="1"/>
      <c r="AHI444" s="1"/>
      <c r="AHJ444" s="1"/>
      <c r="AHK444" s="1"/>
      <c r="AHL444" s="1"/>
      <c r="AHM444" s="1"/>
      <c r="AHN444" s="1"/>
      <c r="AHO444" s="1"/>
      <c r="AHP444" s="1"/>
      <c r="AHQ444" s="1"/>
      <c r="AHR444" s="1"/>
      <c r="AHS444" s="1"/>
      <c r="AHT444" s="1"/>
      <c r="AHU444" s="1"/>
      <c r="AHV444" s="1"/>
      <c r="AHW444" s="1"/>
      <c r="AHX444" s="1"/>
      <c r="AHY444" s="1"/>
    </row>
    <row r="445" spans="1:909" s="5" customFormat="1" ht="21.6" thickTop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  <c r="JX445" s="1"/>
      <c r="JY445" s="1"/>
      <c r="JZ445" s="1"/>
      <c r="KA445" s="1"/>
      <c r="KB445" s="1"/>
      <c r="KC445" s="1"/>
      <c r="KD445" s="1"/>
      <c r="KE445" s="1"/>
      <c r="KF445" s="1"/>
      <c r="KG445" s="1"/>
      <c r="KH445" s="1"/>
      <c r="KI445" s="1"/>
      <c r="KJ445" s="1"/>
      <c r="KK445" s="1"/>
      <c r="KL445" s="1"/>
      <c r="KM445" s="1"/>
      <c r="KN445" s="1"/>
      <c r="KO445" s="1"/>
      <c r="KP445" s="1"/>
      <c r="KQ445" s="1"/>
      <c r="KR445" s="1"/>
      <c r="KS445" s="1"/>
      <c r="KT445" s="1"/>
      <c r="KU445" s="1"/>
      <c r="KV445" s="1"/>
      <c r="KW445" s="1"/>
      <c r="KX445" s="1"/>
      <c r="KY445" s="1"/>
      <c r="KZ445" s="1"/>
      <c r="LA445" s="1"/>
      <c r="LB445" s="1"/>
      <c r="LC445" s="1"/>
      <c r="LD445" s="1"/>
      <c r="LE445" s="1"/>
      <c r="LF445" s="1"/>
      <c r="LG445" s="1"/>
      <c r="LH445" s="1"/>
      <c r="LI445" s="1"/>
      <c r="LJ445" s="1"/>
      <c r="LK445" s="1"/>
      <c r="LL445" s="1"/>
      <c r="LM445" s="1"/>
      <c r="LN445" s="1"/>
      <c r="LO445" s="1"/>
      <c r="LP445" s="1"/>
      <c r="LQ445" s="1"/>
      <c r="LR445" s="1"/>
      <c r="LS445" s="1"/>
      <c r="LT445" s="1"/>
      <c r="LU445" s="1"/>
      <c r="LV445" s="1"/>
      <c r="LW445" s="1"/>
      <c r="LX445" s="1"/>
      <c r="LY445" s="1"/>
      <c r="LZ445" s="1"/>
      <c r="MA445" s="1"/>
      <c r="MB445" s="1"/>
      <c r="MC445" s="1"/>
      <c r="MD445" s="1"/>
      <c r="ME445" s="1"/>
      <c r="MF445" s="1"/>
      <c r="MG445" s="1"/>
      <c r="MH445" s="1"/>
      <c r="MI445" s="1"/>
      <c r="MJ445" s="1"/>
      <c r="MK445" s="1"/>
      <c r="ML445" s="1"/>
      <c r="MM445" s="1"/>
      <c r="MN445" s="1"/>
      <c r="MO445" s="1"/>
      <c r="MP445" s="1"/>
      <c r="MQ445" s="1"/>
      <c r="MR445" s="1"/>
      <c r="MS445" s="1"/>
      <c r="MT445" s="1"/>
      <c r="MU445" s="1"/>
      <c r="MV445" s="1"/>
      <c r="MW445" s="1"/>
      <c r="MX445" s="1"/>
      <c r="MY445" s="1"/>
      <c r="MZ445" s="1"/>
      <c r="NA445" s="1"/>
      <c r="NB445" s="1"/>
      <c r="NC445" s="1"/>
      <c r="ND445" s="1"/>
      <c r="NE445" s="1"/>
      <c r="NF445" s="1"/>
      <c r="NG445" s="1"/>
      <c r="NH445" s="1"/>
      <c r="NI445" s="1"/>
      <c r="NJ445" s="1"/>
      <c r="NK445" s="1"/>
      <c r="NL445" s="1"/>
      <c r="NM445" s="1"/>
      <c r="NN445" s="1"/>
      <c r="NO445" s="1"/>
      <c r="NP445" s="1"/>
      <c r="NQ445" s="1"/>
      <c r="NR445" s="1"/>
      <c r="NS445" s="1"/>
      <c r="NT445" s="1"/>
      <c r="NU445" s="1"/>
      <c r="NV445" s="1"/>
      <c r="NW445" s="1"/>
      <c r="NX445" s="1"/>
      <c r="NY445" s="1"/>
      <c r="NZ445" s="1"/>
      <c r="OA445" s="1"/>
      <c r="OB445" s="1"/>
      <c r="OC445" s="1"/>
      <c r="OD445" s="1"/>
      <c r="OE445" s="1"/>
      <c r="OF445" s="1"/>
      <c r="OG445" s="1"/>
      <c r="OH445" s="1"/>
      <c r="OI445" s="1"/>
      <c r="OJ445" s="1"/>
      <c r="OK445" s="1"/>
      <c r="OL445" s="1"/>
      <c r="OM445" s="1"/>
      <c r="ON445" s="1"/>
      <c r="OO445" s="1"/>
      <c r="OP445" s="1"/>
      <c r="OQ445" s="1"/>
      <c r="OR445" s="1"/>
      <c r="OS445" s="1"/>
      <c r="OT445" s="1"/>
      <c r="OU445" s="1"/>
      <c r="OV445" s="1"/>
      <c r="OW445" s="1"/>
      <c r="OX445" s="1"/>
      <c r="OY445" s="1"/>
      <c r="OZ445" s="1"/>
      <c r="PA445" s="1"/>
      <c r="PB445" s="1"/>
      <c r="PC445" s="1"/>
      <c r="PD445" s="1"/>
      <c r="PE445" s="1"/>
      <c r="PF445" s="1"/>
      <c r="PG445" s="1"/>
      <c r="PH445" s="1"/>
      <c r="PI445" s="1"/>
      <c r="PJ445" s="1"/>
      <c r="PK445" s="1"/>
      <c r="PL445" s="1"/>
      <c r="PM445" s="1"/>
      <c r="PN445" s="1"/>
      <c r="PO445" s="1"/>
      <c r="PP445" s="1"/>
      <c r="PQ445" s="1"/>
      <c r="PR445" s="1"/>
      <c r="PS445" s="1"/>
      <c r="PT445" s="1"/>
      <c r="PU445" s="1"/>
      <c r="PV445" s="1"/>
      <c r="PW445" s="1"/>
      <c r="PX445" s="1"/>
      <c r="PY445" s="1"/>
      <c r="PZ445" s="1"/>
      <c r="QA445" s="1"/>
      <c r="QB445" s="1"/>
      <c r="QC445" s="1"/>
      <c r="QD445" s="1"/>
      <c r="QE445" s="1"/>
      <c r="QF445" s="1"/>
      <c r="QG445" s="1"/>
      <c r="QH445" s="1"/>
      <c r="QI445" s="1"/>
      <c r="QJ445" s="1"/>
      <c r="QK445" s="1"/>
      <c r="QL445" s="1"/>
      <c r="QM445" s="1"/>
      <c r="QN445" s="1"/>
      <c r="QO445" s="1"/>
      <c r="QP445" s="1"/>
      <c r="QQ445" s="1"/>
      <c r="QR445" s="1"/>
      <c r="QS445" s="1"/>
      <c r="QT445" s="1"/>
      <c r="QU445" s="1"/>
      <c r="QV445" s="1"/>
      <c r="QW445" s="1"/>
      <c r="QX445" s="1"/>
      <c r="QY445" s="1"/>
      <c r="QZ445" s="1"/>
      <c r="RA445" s="1"/>
      <c r="RB445" s="1"/>
      <c r="RC445" s="1"/>
      <c r="RD445" s="1"/>
      <c r="RE445" s="1"/>
      <c r="RF445" s="1"/>
      <c r="RG445" s="1"/>
      <c r="RH445" s="1"/>
      <c r="RI445" s="1"/>
      <c r="RJ445" s="1"/>
      <c r="RK445" s="1"/>
      <c r="RL445" s="1"/>
      <c r="RM445" s="1"/>
      <c r="RN445" s="1"/>
      <c r="RO445" s="1"/>
      <c r="RP445" s="1"/>
      <c r="RQ445" s="1"/>
      <c r="RR445" s="1"/>
      <c r="RS445" s="1"/>
      <c r="RT445" s="1"/>
      <c r="RU445" s="1"/>
      <c r="RV445" s="1"/>
      <c r="RW445" s="1"/>
      <c r="RX445" s="1"/>
      <c r="RY445" s="1"/>
      <c r="RZ445" s="1"/>
      <c r="SA445" s="1"/>
      <c r="SB445" s="1"/>
      <c r="SC445" s="1"/>
      <c r="SD445" s="1"/>
      <c r="SE445" s="1"/>
      <c r="SF445" s="1"/>
      <c r="SG445" s="1"/>
      <c r="SH445" s="1"/>
      <c r="SI445" s="1"/>
      <c r="SJ445" s="1"/>
      <c r="SK445" s="1"/>
      <c r="SL445" s="1"/>
      <c r="SM445" s="1"/>
      <c r="SN445" s="1"/>
      <c r="SO445" s="1"/>
      <c r="SP445" s="1"/>
      <c r="SQ445" s="1"/>
      <c r="SR445" s="1"/>
      <c r="SS445" s="1"/>
      <c r="ST445" s="1"/>
      <c r="SU445" s="1"/>
      <c r="SV445" s="1"/>
      <c r="SW445" s="1"/>
      <c r="SX445" s="1"/>
      <c r="SY445" s="1"/>
      <c r="SZ445" s="1"/>
      <c r="TA445" s="1"/>
      <c r="TB445" s="1"/>
      <c r="TC445" s="1"/>
      <c r="TD445" s="1"/>
      <c r="TE445" s="1"/>
      <c r="TF445" s="1"/>
      <c r="TG445" s="1"/>
      <c r="TH445" s="1"/>
      <c r="TI445" s="1"/>
      <c r="TJ445" s="1"/>
      <c r="TK445" s="1"/>
      <c r="TL445" s="1"/>
      <c r="TM445" s="1"/>
      <c r="TN445" s="1"/>
      <c r="TO445" s="1"/>
      <c r="TP445" s="1"/>
      <c r="TQ445" s="1"/>
      <c r="TR445" s="1"/>
      <c r="TS445" s="1"/>
      <c r="TT445" s="1"/>
      <c r="TU445" s="1"/>
      <c r="TV445" s="1"/>
      <c r="TW445" s="1"/>
      <c r="TX445" s="1"/>
      <c r="TY445" s="1"/>
      <c r="TZ445" s="1"/>
      <c r="UA445" s="1"/>
      <c r="UB445" s="1"/>
      <c r="UC445" s="1"/>
      <c r="UD445" s="1"/>
      <c r="UE445" s="1"/>
      <c r="UF445" s="1"/>
      <c r="UG445" s="1"/>
      <c r="UH445" s="1"/>
      <c r="UI445" s="1"/>
      <c r="UJ445" s="1"/>
      <c r="UK445" s="1"/>
      <c r="UL445" s="1"/>
      <c r="UM445" s="1"/>
      <c r="UN445" s="1"/>
      <c r="UO445" s="1"/>
      <c r="UP445" s="1"/>
      <c r="UQ445" s="1"/>
      <c r="UR445" s="1"/>
      <c r="US445" s="1"/>
      <c r="UT445" s="1"/>
      <c r="UU445" s="1"/>
      <c r="UV445" s="1"/>
      <c r="UW445" s="1"/>
      <c r="UX445" s="1"/>
      <c r="UY445" s="1"/>
      <c r="UZ445" s="1"/>
      <c r="VA445" s="1"/>
      <c r="VB445" s="1"/>
      <c r="VC445" s="1"/>
      <c r="VD445" s="1"/>
      <c r="VE445" s="1"/>
      <c r="VF445" s="1"/>
      <c r="VG445" s="1"/>
      <c r="VH445" s="1"/>
      <c r="VI445" s="1"/>
      <c r="VJ445" s="1"/>
      <c r="VK445" s="1"/>
      <c r="VL445" s="1"/>
      <c r="VM445" s="1"/>
      <c r="VN445" s="1"/>
      <c r="VO445" s="1"/>
      <c r="VP445" s="1"/>
      <c r="VQ445" s="1"/>
      <c r="VR445" s="1"/>
      <c r="VS445" s="1"/>
      <c r="VT445" s="1"/>
      <c r="VU445" s="1"/>
      <c r="VV445" s="1"/>
      <c r="VW445" s="1"/>
      <c r="VX445" s="1"/>
      <c r="VY445" s="1"/>
      <c r="VZ445" s="1"/>
      <c r="WA445" s="1"/>
      <c r="WB445" s="1"/>
      <c r="WC445" s="1"/>
      <c r="WD445" s="1"/>
      <c r="WE445" s="1"/>
      <c r="WF445" s="1"/>
      <c r="WG445" s="1"/>
      <c r="WH445" s="1"/>
      <c r="WI445" s="1"/>
      <c r="WJ445" s="1"/>
      <c r="WK445" s="1"/>
      <c r="WL445" s="1"/>
      <c r="WM445" s="1"/>
      <c r="WN445" s="1"/>
      <c r="WO445" s="1"/>
      <c r="WP445" s="1"/>
      <c r="WQ445" s="1"/>
      <c r="WR445" s="1"/>
      <c r="WS445" s="1"/>
      <c r="WT445" s="1"/>
      <c r="WU445" s="1"/>
      <c r="WV445" s="1"/>
      <c r="WW445" s="1"/>
      <c r="WX445" s="1"/>
      <c r="WY445" s="1"/>
      <c r="WZ445" s="1"/>
      <c r="XA445" s="1"/>
      <c r="XB445" s="1"/>
      <c r="XC445" s="1"/>
      <c r="XD445" s="1"/>
      <c r="XE445" s="1"/>
      <c r="XF445" s="1"/>
      <c r="XG445" s="1"/>
      <c r="XH445" s="1"/>
      <c r="XI445" s="1"/>
      <c r="XJ445" s="1"/>
      <c r="XK445" s="1"/>
      <c r="XL445" s="1"/>
      <c r="XM445" s="1"/>
      <c r="XN445" s="1"/>
      <c r="XO445" s="1"/>
      <c r="XP445" s="1"/>
      <c r="XQ445" s="1"/>
      <c r="XR445" s="1"/>
      <c r="XS445" s="1"/>
      <c r="XT445" s="1"/>
      <c r="XU445" s="1"/>
      <c r="XV445" s="1"/>
      <c r="XW445" s="1"/>
      <c r="XX445" s="1"/>
      <c r="XY445" s="1"/>
      <c r="XZ445" s="1"/>
      <c r="YA445" s="1"/>
      <c r="YB445" s="1"/>
      <c r="YC445" s="1"/>
      <c r="YD445" s="1"/>
      <c r="YE445" s="1"/>
      <c r="YF445" s="1"/>
      <c r="YG445" s="1"/>
      <c r="YH445" s="1"/>
      <c r="YI445" s="1"/>
      <c r="YJ445" s="1"/>
      <c r="YK445" s="1"/>
      <c r="YL445" s="1"/>
      <c r="YM445" s="1"/>
      <c r="YN445" s="1"/>
      <c r="YO445" s="1"/>
      <c r="YP445" s="1"/>
      <c r="YQ445" s="1"/>
      <c r="YR445" s="1"/>
      <c r="YS445" s="1"/>
      <c r="YT445" s="1"/>
      <c r="YU445" s="1"/>
      <c r="YV445" s="1"/>
      <c r="YW445" s="1"/>
      <c r="YX445" s="1"/>
      <c r="YY445" s="1"/>
      <c r="YZ445" s="1"/>
      <c r="ZA445" s="1"/>
      <c r="ZB445" s="1"/>
      <c r="ZC445" s="1"/>
      <c r="ZD445" s="1"/>
      <c r="ZE445" s="1"/>
      <c r="ZF445" s="1"/>
      <c r="ZG445" s="1"/>
      <c r="ZH445" s="1"/>
      <c r="ZI445" s="1"/>
      <c r="ZJ445" s="1"/>
      <c r="ZK445" s="1"/>
      <c r="ZL445" s="1"/>
      <c r="ZM445" s="1"/>
      <c r="ZN445" s="1"/>
      <c r="ZO445" s="1"/>
      <c r="ZP445" s="1"/>
      <c r="ZQ445" s="1"/>
      <c r="ZR445" s="1"/>
      <c r="ZS445" s="1"/>
      <c r="ZT445" s="1"/>
      <c r="ZU445" s="1"/>
      <c r="ZV445" s="1"/>
      <c r="ZW445" s="1"/>
      <c r="ZX445" s="1"/>
      <c r="ZY445" s="1"/>
      <c r="ZZ445" s="1"/>
      <c r="AAA445" s="1"/>
      <c r="AAB445" s="1"/>
      <c r="AAC445" s="1"/>
      <c r="AAD445" s="1"/>
      <c r="AAE445" s="1"/>
      <c r="AAF445" s="1"/>
      <c r="AAG445" s="1"/>
      <c r="AAH445" s="1"/>
      <c r="AAI445" s="1"/>
      <c r="AAJ445" s="1"/>
      <c r="AAK445" s="1"/>
      <c r="AAL445" s="1"/>
      <c r="AAM445" s="1"/>
      <c r="AAN445" s="1"/>
      <c r="AAO445" s="1"/>
      <c r="AAP445" s="1"/>
      <c r="AAQ445" s="1"/>
      <c r="AAR445" s="1"/>
      <c r="AAS445" s="1"/>
      <c r="AAT445" s="1"/>
      <c r="AAU445" s="1"/>
      <c r="AAV445" s="1"/>
      <c r="AAW445" s="1"/>
      <c r="AAX445" s="1"/>
      <c r="AAY445" s="1"/>
      <c r="AAZ445" s="1"/>
      <c r="ABA445" s="1"/>
      <c r="ABB445" s="1"/>
      <c r="ABC445" s="1"/>
      <c r="ABD445" s="1"/>
      <c r="ABE445" s="1"/>
      <c r="ABF445" s="1"/>
      <c r="ABG445" s="1"/>
      <c r="ABH445" s="1"/>
      <c r="ABI445" s="1"/>
      <c r="ABJ445" s="1"/>
      <c r="ABK445" s="1"/>
      <c r="ABL445" s="1"/>
      <c r="ABM445" s="1"/>
      <c r="ABN445" s="1"/>
      <c r="ABO445" s="1"/>
      <c r="ABP445" s="1"/>
      <c r="ABQ445" s="1"/>
      <c r="ABR445" s="1"/>
      <c r="ABS445" s="1"/>
      <c r="ABT445" s="1"/>
      <c r="ABU445" s="1"/>
      <c r="ABV445" s="1"/>
      <c r="ABW445" s="1"/>
      <c r="ABX445" s="1"/>
      <c r="ABY445" s="1"/>
      <c r="ABZ445" s="1"/>
      <c r="ACA445" s="1"/>
      <c r="ACB445" s="1"/>
      <c r="ACC445" s="1"/>
      <c r="ACD445" s="1"/>
      <c r="ACE445" s="1"/>
      <c r="ACF445" s="1"/>
      <c r="ACG445" s="1"/>
      <c r="ACH445" s="1"/>
      <c r="ACI445" s="1"/>
      <c r="ACJ445" s="1"/>
      <c r="ACK445" s="1"/>
      <c r="ACL445" s="1"/>
      <c r="ACM445" s="1"/>
      <c r="ACN445" s="1"/>
      <c r="ACO445" s="1"/>
      <c r="ACP445" s="1"/>
      <c r="ACQ445" s="1"/>
      <c r="ACR445" s="1"/>
      <c r="ACS445" s="1"/>
      <c r="ACT445" s="1"/>
      <c r="ACU445" s="1"/>
      <c r="ACV445" s="1"/>
      <c r="ACW445" s="1"/>
      <c r="ACX445" s="1"/>
      <c r="ACY445" s="1"/>
      <c r="ACZ445" s="1"/>
      <c r="ADA445" s="1"/>
      <c r="ADB445" s="1"/>
      <c r="ADC445" s="1"/>
      <c r="ADD445" s="1"/>
      <c r="ADE445" s="1"/>
      <c r="ADF445" s="1"/>
      <c r="ADG445" s="1"/>
      <c r="ADH445" s="1"/>
      <c r="ADI445" s="1"/>
      <c r="ADJ445" s="1"/>
      <c r="ADK445" s="1"/>
      <c r="ADL445" s="1"/>
      <c r="ADM445" s="1"/>
      <c r="ADN445" s="1"/>
      <c r="ADO445" s="1"/>
      <c r="ADP445" s="1"/>
      <c r="ADQ445" s="1"/>
      <c r="ADR445" s="1"/>
      <c r="ADS445" s="1"/>
      <c r="ADT445" s="1"/>
      <c r="ADU445" s="1"/>
      <c r="ADV445" s="1"/>
      <c r="ADW445" s="1"/>
      <c r="ADX445" s="1"/>
      <c r="ADY445" s="1"/>
      <c r="ADZ445" s="1"/>
      <c r="AEA445" s="1"/>
      <c r="AEB445" s="1"/>
      <c r="AEC445" s="1"/>
      <c r="AED445" s="1"/>
      <c r="AEE445" s="1"/>
      <c r="AEF445" s="1"/>
      <c r="AEG445" s="1"/>
      <c r="AEH445" s="1"/>
      <c r="AEI445" s="1"/>
      <c r="AEJ445" s="1"/>
      <c r="AEK445" s="1"/>
      <c r="AEL445" s="1"/>
      <c r="AEM445" s="1"/>
      <c r="AEN445" s="1"/>
      <c r="AEO445" s="1"/>
      <c r="AEP445" s="1"/>
      <c r="AEQ445" s="1"/>
      <c r="AER445" s="1"/>
      <c r="AES445" s="1"/>
      <c r="AET445" s="1"/>
      <c r="AEU445" s="1"/>
      <c r="AEV445" s="1"/>
      <c r="AEW445" s="1"/>
      <c r="AEX445" s="1"/>
      <c r="AEY445" s="1"/>
      <c r="AEZ445" s="1"/>
      <c r="AFA445" s="1"/>
      <c r="AFB445" s="1"/>
      <c r="AFC445" s="1"/>
      <c r="AFD445" s="1"/>
      <c r="AFE445" s="1"/>
      <c r="AFF445" s="1"/>
      <c r="AFG445" s="1"/>
      <c r="AFH445" s="1"/>
      <c r="AFI445" s="1"/>
      <c r="AFJ445" s="1"/>
      <c r="AFK445" s="1"/>
      <c r="AFL445" s="1"/>
      <c r="AFM445" s="1"/>
      <c r="AFN445" s="1"/>
      <c r="AFO445" s="1"/>
      <c r="AFP445" s="1"/>
      <c r="AFQ445" s="1"/>
      <c r="AFR445" s="1"/>
      <c r="AFS445" s="1"/>
      <c r="AFT445" s="1"/>
      <c r="AFU445" s="1"/>
      <c r="AFV445" s="1"/>
      <c r="AFW445" s="1"/>
      <c r="AFX445" s="1"/>
      <c r="AFY445" s="1"/>
      <c r="AFZ445" s="1"/>
      <c r="AGA445" s="1"/>
      <c r="AGB445" s="1"/>
      <c r="AGC445" s="1"/>
      <c r="AGD445" s="1"/>
      <c r="AGE445" s="1"/>
      <c r="AGF445" s="1"/>
      <c r="AGG445" s="1"/>
      <c r="AGH445" s="1"/>
      <c r="AGI445" s="1"/>
      <c r="AGJ445" s="1"/>
      <c r="AGK445" s="1"/>
      <c r="AGL445" s="1"/>
      <c r="AGM445" s="1"/>
      <c r="AGN445" s="1"/>
      <c r="AGO445" s="1"/>
      <c r="AGP445" s="1"/>
      <c r="AGQ445" s="1"/>
      <c r="AGR445" s="1"/>
      <c r="AGS445" s="1"/>
      <c r="AGT445" s="1"/>
      <c r="AGU445" s="1"/>
      <c r="AGV445" s="1"/>
      <c r="AGW445" s="1"/>
      <c r="AGX445" s="1"/>
      <c r="AGY445" s="1"/>
      <c r="AGZ445" s="1"/>
      <c r="AHA445" s="1"/>
      <c r="AHB445" s="1"/>
      <c r="AHC445" s="1"/>
      <c r="AHD445" s="1"/>
      <c r="AHE445" s="1"/>
      <c r="AHF445" s="1"/>
      <c r="AHG445" s="1"/>
      <c r="AHH445" s="1"/>
      <c r="AHI445" s="1"/>
      <c r="AHJ445" s="1"/>
      <c r="AHK445" s="1"/>
      <c r="AHL445" s="1"/>
      <c r="AHM445" s="1"/>
      <c r="AHN445" s="1"/>
      <c r="AHO445" s="1"/>
      <c r="AHP445" s="1"/>
      <c r="AHQ445" s="1"/>
      <c r="AHR445" s="1"/>
      <c r="AHS445" s="1"/>
      <c r="AHT445" s="1"/>
      <c r="AHU445" s="1"/>
      <c r="AHV445" s="1"/>
      <c r="AHW445" s="1"/>
      <c r="AHX445" s="1"/>
      <c r="AHY445" s="1"/>
    </row>
    <row r="446" spans="1:909" s="1" customFormat="1" ht="21">
      <c r="A446" s="156" t="s">
        <v>135</v>
      </c>
      <c r="B446" s="156"/>
      <c r="C446" s="156"/>
      <c r="D446" s="156"/>
      <c r="E446" s="156"/>
      <c r="F446" s="156"/>
      <c r="G446" s="156"/>
      <c r="H446" s="156"/>
      <c r="I446" s="156"/>
      <c r="J446" s="156"/>
      <c r="K446" s="156"/>
      <c r="L446" s="156"/>
      <c r="M446" s="156"/>
      <c r="N446" s="156"/>
      <c r="O446" s="156"/>
      <c r="P446" s="156"/>
      <c r="Q446" s="2"/>
    </row>
    <row r="447" spans="1:909" s="1" customFormat="1" ht="21">
      <c r="A447" s="156" t="s">
        <v>136</v>
      </c>
      <c r="B447" s="156"/>
      <c r="C447" s="156"/>
      <c r="D447" s="156"/>
      <c r="E447" s="156"/>
      <c r="F447" s="156"/>
      <c r="G447" s="156"/>
      <c r="H447" s="156"/>
      <c r="I447" s="156"/>
      <c r="J447" s="156"/>
      <c r="K447" s="156"/>
      <c r="L447" s="156"/>
      <c r="M447" s="156"/>
      <c r="N447" s="156"/>
      <c r="O447" s="156"/>
      <c r="P447" s="156"/>
      <c r="Q447" s="156"/>
    </row>
    <row r="448" spans="1:909" s="1" customFormat="1" ht="21">
      <c r="F448" s="189" t="s">
        <v>113</v>
      </c>
      <c r="G448" s="189"/>
      <c r="H448" s="189"/>
      <c r="I448" s="189"/>
      <c r="J448" s="189"/>
      <c r="K448" s="189"/>
    </row>
    <row r="449" spans="1:16" s="1" customFormat="1" ht="21.6" thickBot="1">
      <c r="F449" s="13"/>
      <c r="G449" s="13"/>
      <c r="H449" s="13"/>
      <c r="I449" s="13"/>
      <c r="J449" s="13"/>
      <c r="K449" s="13"/>
    </row>
    <row r="450" spans="1:16" s="1" customFormat="1" ht="22.2" thickTop="1" thickBot="1">
      <c r="A450" s="190"/>
      <c r="B450" s="183" t="s">
        <v>114</v>
      </c>
      <c r="C450" s="192"/>
      <c r="D450" s="183" t="s">
        <v>115</v>
      </c>
      <c r="E450" s="192"/>
      <c r="F450" s="183" t="s">
        <v>116</v>
      </c>
      <c r="G450" s="192"/>
      <c r="H450" s="183" t="s">
        <v>117</v>
      </c>
      <c r="I450" s="192"/>
      <c r="J450" s="183" t="s">
        <v>118</v>
      </c>
      <c r="K450" s="192"/>
      <c r="L450" s="183" t="s">
        <v>119</v>
      </c>
      <c r="M450" s="192"/>
      <c r="N450" s="183" t="s">
        <v>120</v>
      </c>
      <c r="O450" s="184"/>
      <c r="P450" s="185"/>
    </row>
    <row r="451" spans="1:16" s="1" customFormat="1" ht="22.2" thickTop="1" thickBot="1">
      <c r="A451" s="191"/>
      <c r="B451" s="4" t="s">
        <v>76</v>
      </c>
      <c r="C451" s="4" t="s">
        <v>121</v>
      </c>
      <c r="D451" s="4" t="s">
        <v>76</v>
      </c>
      <c r="E451" s="4" t="s">
        <v>121</v>
      </c>
      <c r="F451" s="4" t="s">
        <v>76</v>
      </c>
      <c r="G451" s="4" t="s">
        <v>121</v>
      </c>
      <c r="H451" s="4" t="s">
        <v>76</v>
      </c>
      <c r="I451" s="4" t="s">
        <v>121</v>
      </c>
      <c r="J451" s="4" t="s">
        <v>76</v>
      </c>
      <c r="K451" s="4" t="s">
        <v>121</v>
      </c>
      <c r="L451" s="4" t="s">
        <v>76</v>
      </c>
      <c r="M451" s="4" t="s">
        <v>121</v>
      </c>
      <c r="N451" s="4" t="s">
        <v>76</v>
      </c>
      <c r="O451" s="4" t="s">
        <v>121</v>
      </c>
      <c r="P451" s="14" t="s">
        <v>122</v>
      </c>
    </row>
    <row r="452" spans="1:16" s="1" customFormat="1" ht="22.2" thickTop="1" thickBot="1">
      <c r="A452" s="11" t="s">
        <v>123</v>
      </c>
      <c r="B452" s="4">
        <f>'[1]التعليم الابتدائي'!AP711</f>
        <v>0</v>
      </c>
      <c r="C452" s="4">
        <f>'[1]التعليم الابتدائي'!AQ711</f>
        <v>0</v>
      </c>
      <c r="D452" s="177"/>
      <c r="E452" s="178"/>
      <c r="F452" s="178"/>
      <c r="G452" s="178"/>
      <c r="H452" s="178"/>
      <c r="I452" s="178"/>
      <c r="J452" s="178"/>
      <c r="K452" s="178"/>
      <c r="L452" s="178"/>
      <c r="M452" s="186"/>
      <c r="N452" s="4">
        <f>B452</f>
        <v>0</v>
      </c>
      <c r="O452" s="4">
        <f>C452</f>
        <v>0</v>
      </c>
      <c r="P452" s="14">
        <f t="shared" ref="P452:P462" si="28">O452+N452</f>
        <v>0</v>
      </c>
    </row>
    <row r="453" spans="1:16" s="1" customFormat="1" ht="22.2" thickTop="1" thickBot="1">
      <c r="A453" s="11" t="s">
        <v>124</v>
      </c>
      <c r="B453" s="4">
        <f>'[1]التعليم الابتدائي'!AR711</f>
        <v>0</v>
      </c>
      <c r="C453" s="4">
        <f>'[1]التعليم الابتدائي'!AS711</f>
        <v>0</v>
      </c>
      <c r="D453" s="137"/>
      <c r="E453" s="138"/>
      <c r="F453" s="180"/>
      <c r="G453" s="180"/>
      <c r="H453" s="180"/>
      <c r="I453" s="180"/>
      <c r="J453" s="180"/>
      <c r="K453" s="180"/>
      <c r="L453" s="180"/>
      <c r="M453" s="187"/>
      <c r="N453" s="4">
        <f>B453</f>
        <v>0</v>
      </c>
      <c r="O453" s="4">
        <f>C453</f>
        <v>0</v>
      </c>
      <c r="P453" s="14">
        <f t="shared" si="28"/>
        <v>0</v>
      </c>
    </row>
    <row r="454" spans="1:16" s="1" customFormat="1" ht="22.2" thickTop="1" thickBot="1">
      <c r="A454" s="11" t="s">
        <v>125</v>
      </c>
      <c r="B454" s="4">
        <f>'[1]التعليم الابتدائي'!AT711</f>
        <v>0</v>
      </c>
      <c r="C454" s="4">
        <f>'[1]التعليم الابتدائي'!AU711</f>
        <v>0</v>
      </c>
      <c r="D454" s="4">
        <f>'[1]التعليم الابتدائي'!BE711</f>
        <v>0</v>
      </c>
      <c r="E454" s="4">
        <f>'[1]التعليم الابتدائي'!BF711</f>
        <v>0</v>
      </c>
      <c r="F454" s="138"/>
      <c r="G454" s="138"/>
      <c r="H454" s="180"/>
      <c r="I454" s="180"/>
      <c r="J454" s="180"/>
      <c r="K454" s="180"/>
      <c r="L454" s="180"/>
      <c r="M454" s="187"/>
      <c r="N454" s="4">
        <f>D454+B454</f>
        <v>0</v>
      </c>
      <c r="O454" s="4">
        <f>E454+C454</f>
        <v>0</v>
      </c>
      <c r="P454" s="14">
        <f t="shared" si="28"/>
        <v>0</v>
      </c>
    </row>
    <row r="455" spans="1:16" s="1" customFormat="1" ht="22.2" thickTop="1" thickBot="1">
      <c r="A455" s="11" t="s">
        <v>126</v>
      </c>
      <c r="B455" s="4">
        <f>'[1]التعليم الابتدائي'!AV711</f>
        <v>0</v>
      </c>
      <c r="C455" s="4">
        <f>'[1]التعليم الابتدائي'!AW711</f>
        <v>0</v>
      </c>
      <c r="D455" s="4">
        <f>'[1]التعليم الابتدائي'!BG711</f>
        <v>0</v>
      </c>
      <c r="E455" s="4">
        <f>'[1]التعليم الابتدائي'!BH711</f>
        <v>0</v>
      </c>
      <c r="F455" s="4">
        <f>'[1]التعليم الابتدائي'!BR711</f>
        <v>0</v>
      </c>
      <c r="G455" s="4">
        <f>'[1]التعليم الابتدائي'!BS711</f>
        <v>0</v>
      </c>
      <c r="H455" s="138"/>
      <c r="I455" s="138"/>
      <c r="J455" s="180"/>
      <c r="K455" s="180"/>
      <c r="L455" s="180"/>
      <c r="M455" s="187"/>
      <c r="N455" s="4">
        <f>F455+D455+B455</f>
        <v>0</v>
      </c>
      <c r="O455" s="4">
        <f>G455+E455+C455</f>
        <v>0</v>
      </c>
      <c r="P455" s="14">
        <f t="shared" si="28"/>
        <v>0</v>
      </c>
    </row>
    <row r="456" spans="1:16" s="1" customFormat="1" ht="22.2" thickTop="1" thickBot="1">
      <c r="A456" s="11" t="s">
        <v>106</v>
      </c>
      <c r="B456" s="4">
        <f>'[1]التعليم الابتدائي'!AX711</f>
        <v>0</v>
      </c>
      <c r="C456" s="4">
        <f>'[1]التعليم الابتدائي'!AY711</f>
        <v>0</v>
      </c>
      <c r="D456" s="4">
        <f>'[1]التعليم الابتدائي'!BI711</f>
        <v>0</v>
      </c>
      <c r="E456" s="4">
        <f>'[1]التعليم الابتدائي'!BJ711</f>
        <v>0</v>
      </c>
      <c r="F456" s="4">
        <f>'[1]التعليم الابتدائي'!BT711</f>
        <v>0</v>
      </c>
      <c r="G456" s="4">
        <f>'[1]التعليم الابتدائي'!BU711</f>
        <v>0</v>
      </c>
      <c r="H456" s="4">
        <f>'[1]التعليم الابتدائي'!CE711</f>
        <v>0</v>
      </c>
      <c r="I456" s="4">
        <f>'[1]التعليم الابتدائي'!CF711</f>
        <v>0</v>
      </c>
      <c r="J456" s="138"/>
      <c r="K456" s="138"/>
      <c r="L456" s="180"/>
      <c r="M456" s="187"/>
      <c r="N456" s="4">
        <f>B456+D456+F456+H456</f>
        <v>0</v>
      </c>
      <c r="O456" s="4">
        <f>I456+G456+E456+C456</f>
        <v>0</v>
      </c>
      <c r="P456" s="14">
        <f t="shared" si="28"/>
        <v>0</v>
      </c>
    </row>
    <row r="457" spans="1:16" s="1" customFormat="1" ht="22.2" thickTop="1" thickBot="1">
      <c r="A457" s="11" t="s">
        <v>127</v>
      </c>
      <c r="B457" s="4">
        <f>'[1]التعليم الابتدائي'!AZ711</f>
        <v>0</v>
      </c>
      <c r="C457" s="4">
        <f>'[1]التعليم الابتدائي'!BA711</f>
        <v>0</v>
      </c>
      <c r="D457" s="4">
        <f>'[1]التعليم الابتدائي'!BK711</f>
        <v>0</v>
      </c>
      <c r="E457" s="4">
        <f>'[1]التعليم الابتدائي'!BL711</f>
        <v>0</v>
      </c>
      <c r="F457" s="4">
        <f>'[1]التعليم الابتدائي'!BV711</f>
        <v>0</v>
      </c>
      <c r="G457" s="4">
        <f>'[1]التعليم الابتدائي'!BW711</f>
        <v>0</v>
      </c>
      <c r="H457" s="4">
        <f>'[1]التعليم الابتدائي'!CG711</f>
        <v>0</v>
      </c>
      <c r="I457" s="4">
        <f>'[1]التعليم الابتدائي'!CH711</f>
        <v>0</v>
      </c>
      <c r="J457" s="4">
        <f>'[1]التعليم الابتدائي'!CR711</f>
        <v>0</v>
      </c>
      <c r="K457" s="4">
        <f>'[1]التعليم الابتدائي'!CS711</f>
        <v>0</v>
      </c>
      <c r="L457" s="138"/>
      <c r="M457" s="139"/>
      <c r="N457" s="4">
        <f>B457+D457+F457+H457+J457</f>
        <v>0</v>
      </c>
      <c r="O457" s="4">
        <f>K457+I457+G457+E457+C457</f>
        <v>0</v>
      </c>
      <c r="P457" s="14">
        <f t="shared" si="28"/>
        <v>0</v>
      </c>
    </row>
    <row r="458" spans="1:16" s="1" customFormat="1" ht="22.2" thickTop="1" thickBot="1">
      <c r="A458" s="11" t="s">
        <v>128</v>
      </c>
      <c r="B458" s="177"/>
      <c r="C458" s="178"/>
      <c r="D458" s="4">
        <f>'[1]التعليم الابتدائي'!BM711</f>
        <v>0</v>
      </c>
      <c r="E458" s="4">
        <f>'[1]التعليم الابتدائي'!BN711</f>
        <v>0</v>
      </c>
      <c r="F458" s="4">
        <f>'[1]التعليم الابتدائي'!BX711</f>
        <v>0</v>
      </c>
      <c r="G458" s="4">
        <f>'[1]التعليم الابتدائي'!BY711</f>
        <v>0</v>
      </c>
      <c r="H458" s="4">
        <f>'[1]التعليم الابتدائي'!CI711</f>
        <v>0</v>
      </c>
      <c r="I458" s="4">
        <f>'[1]التعليم الابتدائي'!CJ711</f>
        <v>0</v>
      </c>
      <c r="J458" s="4">
        <f>'[1]التعليم الابتدائي'!CT711</f>
        <v>0</v>
      </c>
      <c r="K458" s="4">
        <f>'[1]التعليم الابتدائي'!CU711</f>
        <v>0</v>
      </c>
      <c r="L458" s="4">
        <f>'[1]التعليم الابتدائي'!DE711</f>
        <v>0</v>
      </c>
      <c r="M458" s="4">
        <f>'[1]التعليم الابتدائي'!DF711</f>
        <v>0</v>
      </c>
      <c r="N458" s="4">
        <f>D458+F458+H458+J458+L458</f>
        <v>0</v>
      </c>
      <c r="O458" s="4">
        <f>M458+K458+I458+G458+E458</f>
        <v>0</v>
      </c>
      <c r="P458" s="14">
        <f t="shared" si="28"/>
        <v>0</v>
      </c>
    </row>
    <row r="459" spans="1:16" s="1" customFormat="1" ht="22.2" thickTop="1" thickBot="1">
      <c r="A459" s="11" t="s">
        <v>129</v>
      </c>
      <c r="B459" s="179"/>
      <c r="C459" s="180"/>
      <c r="D459" s="178"/>
      <c r="E459" s="178"/>
      <c r="F459" s="4">
        <f>'[1]التعليم الابتدائي'!BZ711</f>
        <v>0</v>
      </c>
      <c r="G459" s="4">
        <f>'[1]التعليم الابتدائي'!CA711</f>
        <v>0</v>
      </c>
      <c r="H459" s="4">
        <f>'[1]التعليم الابتدائي'!CK711</f>
        <v>0</v>
      </c>
      <c r="I459" s="4">
        <f>'[1]التعليم الابتدائي'!CL711</f>
        <v>0</v>
      </c>
      <c r="J459" s="4">
        <f>'[1]التعليم الابتدائي'!CV711</f>
        <v>0</v>
      </c>
      <c r="K459" s="4">
        <f>'[1]التعليم الابتدائي'!CW711</f>
        <v>0</v>
      </c>
      <c r="L459" s="4">
        <f>'[1]التعليم الابتدائي'!DG711</f>
        <v>0</v>
      </c>
      <c r="M459" s="4">
        <f>'[1]التعليم الابتدائي'!DH711</f>
        <v>0</v>
      </c>
      <c r="N459" s="4">
        <f>L459+J459+H459+F459</f>
        <v>0</v>
      </c>
      <c r="O459" s="4">
        <f>M459+K459+I459+G459</f>
        <v>0</v>
      </c>
      <c r="P459" s="14">
        <f t="shared" si="28"/>
        <v>0</v>
      </c>
    </row>
    <row r="460" spans="1:16" s="1" customFormat="1" ht="22.2" thickTop="1" thickBot="1">
      <c r="A460" s="11" t="s">
        <v>130</v>
      </c>
      <c r="B460" s="179"/>
      <c r="C460" s="180"/>
      <c r="D460" s="180"/>
      <c r="E460" s="180"/>
      <c r="F460" s="178"/>
      <c r="G460" s="178"/>
      <c r="H460" s="4">
        <f>'[1]التعليم الابتدائي'!CM711</f>
        <v>0</v>
      </c>
      <c r="I460" s="4">
        <f>'[1]التعليم الابتدائي'!CN711</f>
        <v>0</v>
      </c>
      <c r="J460" s="4">
        <f>'[1]التعليم الابتدائي'!CX711</f>
        <v>0</v>
      </c>
      <c r="K460" s="4">
        <f>'[1]التعليم الابتدائي'!CY711</f>
        <v>0</v>
      </c>
      <c r="L460" s="4">
        <f>'[1]التعليم الابتدائي'!DI711</f>
        <v>0</v>
      </c>
      <c r="M460" s="4">
        <f>'[1]التعليم الابتدائي'!DJ711</f>
        <v>0</v>
      </c>
      <c r="N460" s="4">
        <f>L460+J460+H460</f>
        <v>0</v>
      </c>
      <c r="O460" s="4">
        <f>M460+K460+I460</f>
        <v>0</v>
      </c>
      <c r="P460" s="14">
        <f t="shared" si="28"/>
        <v>0</v>
      </c>
    </row>
    <row r="461" spans="1:16" s="1" customFormat="1" ht="22.2" thickTop="1" thickBot="1">
      <c r="A461" s="11" t="s">
        <v>131</v>
      </c>
      <c r="B461" s="179"/>
      <c r="C461" s="180"/>
      <c r="D461" s="180"/>
      <c r="E461" s="180"/>
      <c r="F461" s="180"/>
      <c r="G461" s="180"/>
      <c r="H461" s="178"/>
      <c r="I461" s="178"/>
      <c r="J461" s="4">
        <f>'[1]التعليم الابتدائي'!CZ711</f>
        <v>0</v>
      </c>
      <c r="K461" s="4">
        <f>'[1]التعليم الابتدائي'!DA711</f>
        <v>0</v>
      </c>
      <c r="L461" s="4">
        <f>'[1]التعليم الابتدائي'!DK711</f>
        <v>0</v>
      </c>
      <c r="M461" s="4">
        <f>'[1]التعليم الابتدائي'!DL711</f>
        <v>0</v>
      </c>
      <c r="N461" s="4">
        <f>L461+J461</f>
        <v>0</v>
      </c>
      <c r="O461" s="4">
        <f>M461+K461</f>
        <v>0</v>
      </c>
      <c r="P461" s="14">
        <f t="shared" si="28"/>
        <v>0</v>
      </c>
    </row>
    <row r="462" spans="1:16" s="1" customFormat="1" ht="22.2" thickTop="1" thickBot="1">
      <c r="A462" s="11" t="s">
        <v>132</v>
      </c>
      <c r="B462" s="137"/>
      <c r="C462" s="138"/>
      <c r="D462" s="138"/>
      <c r="E462" s="138"/>
      <c r="F462" s="138"/>
      <c r="G462" s="138"/>
      <c r="H462" s="138"/>
      <c r="I462" s="138"/>
      <c r="J462" s="181"/>
      <c r="K462" s="182"/>
      <c r="L462" s="4">
        <f>'[1]التعليم الابتدائي'!DM711</f>
        <v>0</v>
      </c>
      <c r="M462" s="4">
        <f>'[1]التعليم الابتدائي'!DN711</f>
        <v>0</v>
      </c>
      <c r="N462" s="4">
        <f>L462</f>
        <v>0</v>
      </c>
      <c r="O462" s="4">
        <f>M462</f>
        <v>0</v>
      </c>
      <c r="P462" s="14">
        <f t="shared" si="28"/>
        <v>0</v>
      </c>
    </row>
    <row r="463" spans="1:16" s="1" customFormat="1" ht="22.2" thickTop="1" thickBot="1">
      <c r="A463" s="6" t="s">
        <v>122</v>
      </c>
      <c r="B463" s="7">
        <f>SUM(B452:B462)</f>
        <v>0</v>
      </c>
      <c r="C463" s="7">
        <f>SUM(C452:C462)</f>
        <v>0</v>
      </c>
      <c r="D463" s="7">
        <f>D458+D457+D456+D455+D454</f>
        <v>0</v>
      </c>
      <c r="E463" s="7">
        <f t="shared" ref="E463:P463" si="29">SUM(E452:E462)</f>
        <v>0</v>
      </c>
      <c r="F463" s="7">
        <f t="shared" si="29"/>
        <v>0</v>
      </c>
      <c r="G463" s="7">
        <f t="shared" si="29"/>
        <v>0</v>
      </c>
      <c r="H463" s="7">
        <f t="shared" si="29"/>
        <v>0</v>
      </c>
      <c r="I463" s="7">
        <f t="shared" si="29"/>
        <v>0</v>
      </c>
      <c r="J463" s="7">
        <f t="shared" si="29"/>
        <v>0</v>
      </c>
      <c r="K463" s="7">
        <f t="shared" si="29"/>
        <v>0</v>
      </c>
      <c r="L463" s="7">
        <f t="shared" si="29"/>
        <v>0</v>
      </c>
      <c r="M463" s="7">
        <f t="shared" si="29"/>
        <v>0</v>
      </c>
      <c r="N463" s="7">
        <f t="shared" si="29"/>
        <v>0</v>
      </c>
      <c r="O463" s="7">
        <f t="shared" si="29"/>
        <v>0</v>
      </c>
      <c r="P463" s="8">
        <f t="shared" si="29"/>
        <v>0</v>
      </c>
    </row>
    <row r="464" spans="1:16" s="3" customFormat="1" ht="21.6" thickTop="1"/>
    <row r="465" spans="1:909" s="1" customFormat="1" ht="21">
      <c r="A465" s="156" t="s">
        <v>62</v>
      </c>
      <c r="B465" s="156"/>
      <c r="C465" s="156"/>
      <c r="D465" s="156"/>
      <c r="E465" s="156"/>
      <c r="O465" s="2" t="s">
        <v>96</v>
      </c>
      <c r="P465" s="2"/>
      <c r="Q465" s="2"/>
    </row>
    <row r="466" spans="1:909" s="1" customFormat="1" ht="21">
      <c r="A466" s="156" t="s">
        <v>64</v>
      </c>
      <c r="B466" s="156"/>
      <c r="C466" s="156"/>
      <c r="D466" s="156"/>
      <c r="E466" s="156"/>
      <c r="O466" s="2" t="s">
        <v>65</v>
      </c>
      <c r="P466" s="2"/>
      <c r="Q466" s="2"/>
    </row>
    <row r="467" spans="1:909" s="1" customFormat="1" ht="21">
      <c r="A467" s="156" t="s">
        <v>99</v>
      </c>
      <c r="B467" s="156"/>
      <c r="C467" s="156"/>
      <c r="D467" s="156"/>
      <c r="E467" s="156"/>
      <c r="F467" s="156"/>
      <c r="G467" s="156"/>
      <c r="H467" s="156"/>
      <c r="I467" s="156"/>
      <c r="J467" s="156"/>
      <c r="K467" s="156"/>
      <c r="L467" s="156"/>
      <c r="M467" s="156"/>
      <c r="N467" s="156"/>
      <c r="O467" s="156"/>
      <c r="P467" s="156"/>
      <c r="Q467" s="2"/>
    </row>
    <row r="468" spans="1:909" s="1" customFormat="1" ht="21">
      <c r="A468" s="156" t="s">
        <v>136</v>
      </c>
      <c r="B468" s="156"/>
      <c r="C468" s="156"/>
      <c r="D468" s="156"/>
      <c r="E468" s="156"/>
      <c r="F468" s="156"/>
      <c r="G468" s="156"/>
      <c r="H468" s="156"/>
      <c r="I468" s="156"/>
      <c r="J468" s="156"/>
      <c r="K468" s="156"/>
      <c r="L468" s="156"/>
      <c r="M468" s="156"/>
      <c r="N468" s="156"/>
      <c r="O468" s="156"/>
      <c r="P468" s="156"/>
      <c r="Q468" s="156"/>
    </row>
    <row r="469" spans="1:909" s="1" customFormat="1" ht="21">
      <c r="A469" s="156" t="s">
        <v>101</v>
      </c>
      <c r="B469" s="156"/>
      <c r="C469" s="156"/>
      <c r="D469" s="156"/>
      <c r="E469" s="156"/>
      <c r="F469" s="156"/>
      <c r="G469" s="156"/>
      <c r="H469" s="156"/>
      <c r="I469" s="156"/>
      <c r="J469" s="156"/>
      <c r="K469" s="156"/>
      <c r="L469" s="156"/>
      <c r="M469" s="156"/>
      <c r="N469" s="156"/>
      <c r="O469" s="156"/>
      <c r="P469" s="156"/>
      <c r="Q469" s="2"/>
    </row>
    <row r="470" spans="1:909" s="1" customFormat="1" ht="21.6" thickBot="1">
      <c r="G470" s="198"/>
      <c r="H470" s="198"/>
      <c r="I470" s="198"/>
      <c r="J470" s="198"/>
      <c r="K470" s="198"/>
    </row>
    <row r="471" spans="1:909" s="1" customFormat="1" ht="21.6" thickTop="1">
      <c r="A471" s="199"/>
      <c r="B471" s="147" t="s">
        <v>102</v>
      </c>
      <c r="C471" s="149"/>
      <c r="D471" s="147" t="s">
        <v>103</v>
      </c>
      <c r="E471" s="149"/>
      <c r="F471" s="147" t="s">
        <v>104</v>
      </c>
      <c r="G471" s="149"/>
      <c r="H471" s="147" t="s">
        <v>105</v>
      </c>
      <c r="I471" s="149"/>
      <c r="J471" s="147" t="s">
        <v>106</v>
      </c>
      <c r="K471" s="149"/>
      <c r="L471" s="147" t="s">
        <v>107</v>
      </c>
      <c r="M471" s="149"/>
      <c r="N471" s="147" t="s">
        <v>58</v>
      </c>
      <c r="O471" s="148"/>
      <c r="P471" s="201"/>
    </row>
    <row r="472" spans="1:909" s="1" customFormat="1" ht="21.6" thickBot="1">
      <c r="A472" s="200"/>
      <c r="B472" s="137"/>
      <c r="C472" s="139"/>
      <c r="D472" s="137"/>
      <c r="E472" s="139"/>
      <c r="F472" s="137"/>
      <c r="G472" s="139"/>
      <c r="H472" s="137"/>
      <c r="I472" s="139"/>
      <c r="J472" s="137"/>
      <c r="K472" s="139"/>
      <c r="L472" s="137"/>
      <c r="M472" s="139"/>
      <c r="N472" s="137"/>
      <c r="O472" s="138"/>
      <c r="P472" s="202"/>
    </row>
    <row r="473" spans="1:909" s="5" customFormat="1" ht="22.2" thickTop="1" thickBot="1">
      <c r="A473" s="11" t="s">
        <v>108</v>
      </c>
      <c r="B473" s="170">
        <f>'[1]التعليم الابتدائي'!AA753</f>
        <v>0</v>
      </c>
      <c r="C473" s="182"/>
      <c r="D473" s="170">
        <f>'[1]التعليم الابتدائي'!AC753</f>
        <v>0</v>
      </c>
      <c r="E473" s="182"/>
      <c r="F473" s="170">
        <f>'[1]التعليم الابتدائي'!AE753</f>
        <v>0</v>
      </c>
      <c r="G473" s="182"/>
      <c r="H473" s="170">
        <f>'[1]التعليم الابتدائي'!AG753</f>
        <v>0</v>
      </c>
      <c r="I473" s="182"/>
      <c r="J473" s="170">
        <f>'[1]التعليم الابتدائي'!AI753</f>
        <v>0</v>
      </c>
      <c r="K473" s="182"/>
      <c r="L473" s="170">
        <f>'[1]التعليم الابتدائي'!AK753</f>
        <v>0</v>
      </c>
      <c r="M473" s="182"/>
      <c r="N473" s="170">
        <f>L473+J473+H473+F473+D473+B473</f>
        <v>0</v>
      </c>
      <c r="O473" s="181"/>
      <c r="P473" s="193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  <c r="JX473" s="1"/>
      <c r="JY473" s="1"/>
      <c r="JZ473" s="1"/>
      <c r="KA473" s="1"/>
      <c r="KB473" s="1"/>
      <c r="KC473" s="1"/>
      <c r="KD473" s="1"/>
      <c r="KE473" s="1"/>
      <c r="KF473" s="1"/>
      <c r="KG473" s="1"/>
      <c r="KH473" s="1"/>
      <c r="KI473" s="1"/>
      <c r="KJ473" s="1"/>
      <c r="KK473" s="1"/>
      <c r="KL473" s="1"/>
      <c r="KM473" s="1"/>
      <c r="KN473" s="1"/>
      <c r="KO473" s="1"/>
      <c r="KP473" s="1"/>
      <c r="KQ473" s="1"/>
      <c r="KR473" s="1"/>
      <c r="KS473" s="1"/>
      <c r="KT473" s="1"/>
      <c r="KU473" s="1"/>
      <c r="KV473" s="1"/>
      <c r="KW473" s="1"/>
      <c r="KX473" s="1"/>
      <c r="KY473" s="1"/>
      <c r="KZ473" s="1"/>
      <c r="LA473" s="1"/>
      <c r="LB473" s="1"/>
      <c r="LC473" s="1"/>
      <c r="LD473" s="1"/>
      <c r="LE473" s="1"/>
      <c r="LF473" s="1"/>
      <c r="LG473" s="1"/>
      <c r="LH473" s="1"/>
      <c r="LI473" s="1"/>
      <c r="LJ473" s="1"/>
      <c r="LK473" s="1"/>
      <c r="LL473" s="1"/>
      <c r="LM473" s="1"/>
      <c r="LN473" s="1"/>
      <c r="LO473" s="1"/>
      <c r="LP473" s="1"/>
      <c r="LQ473" s="1"/>
      <c r="LR473" s="1"/>
      <c r="LS473" s="1"/>
      <c r="LT473" s="1"/>
      <c r="LU473" s="1"/>
      <c r="LV473" s="1"/>
      <c r="LW473" s="1"/>
      <c r="LX473" s="1"/>
      <c r="LY473" s="1"/>
      <c r="LZ473" s="1"/>
      <c r="MA473" s="1"/>
      <c r="MB473" s="1"/>
      <c r="MC473" s="1"/>
      <c r="MD473" s="1"/>
      <c r="ME473" s="1"/>
      <c r="MF473" s="1"/>
      <c r="MG473" s="1"/>
      <c r="MH473" s="1"/>
      <c r="MI473" s="1"/>
      <c r="MJ473" s="1"/>
      <c r="MK473" s="1"/>
      <c r="ML473" s="1"/>
      <c r="MM473" s="1"/>
      <c r="MN473" s="1"/>
      <c r="MO473" s="1"/>
      <c r="MP473" s="1"/>
      <c r="MQ473" s="1"/>
      <c r="MR473" s="1"/>
      <c r="MS473" s="1"/>
      <c r="MT473" s="1"/>
      <c r="MU473" s="1"/>
      <c r="MV473" s="1"/>
      <c r="MW473" s="1"/>
      <c r="MX473" s="1"/>
      <c r="MY473" s="1"/>
      <c r="MZ473" s="1"/>
      <c r="NA473" s="1"/>
      <c r="NB473" s="1"/>
      <c r="NC473" s="1"/>
      <c r="ND473" s="1"/>
      <c r="NE473" s="1"/>
      <c r="NF473" s="1"/>
      <c r="NG473" s="1"/>
      <c r="NH473" s="1"/>
      <c r="NI473" s="1"/>
      <c r="NJ473" s="1"/>
      <c r="NK473" s="1"/>
      <c r="NL473" s="1"/>
      <c r="NM473" s="1"/>
      <c r="NN473" s="1"/>
      <c r="NO473" s="1"/>
      <c r="NP473" s="1"/>
      <c r="NQ473" s="1"/>
      <c r="NR473" s="1"/>
      <c r="NS473" s="1"/>
      <c r="NT473" s="1"/>
      <c r="NU473" s="1"/>
      <c r="NV473" s="1"/>
      <c r="NW473" s="1"/>
      <c r="NX473" s="1"/>
      <c r="NY473" s="1"/>
      <c r="NZ473" s="1"/>
      <c r="OA473" s="1"/>
      <c r="OB473" s="1"/>
      <c r="OC473" s="1"/>
      <c r="OD473" s="1"/>
      <c r="OE473" s="1"/>
      <c r="OF473" s="1"/>
      <c r="OG473" s="1"/>
      <c r="OH473" s="1"/>
      <c r="OI473" s="1"/>
      <c r="OJ473" s="1"/>
      <c r="OK473" s="1"/>
      <c r="OL473" s="1"/>
      <c r="OM473" s="1"/>
      <c r="ON473" s="1"/>
      <c r="OO473" s="1"/>
      <c r="OP473" s="1"/>
      <c r="OQ473" s="1"/>
      <c r="OR473" s="1"/>
      <c r="OS473" s="1"/>
      <c r="OT473" s="1"/>
      <c r="OU473" s="1"/>
      <c r="OV473" s="1"/>
      <c r="OW473" s="1"/>
      <c r="OX473" s="1"/>
      <c r="OY473" s="1"/>
      <c r="OZ473" s="1"/>
      <c r="PA473" s="1"/>
      <c r="PB473" s="1"/>
      <c r="PC473" s="1"/>
      <c r="PD473" s="1"/>
      <c r="PE473" s="1"/>
      <c r="PF473" s="1"/>
      <c r="PG473" s="1"/>
      <c r="PH473" s="1"/>
      <c r="PI473" s="1"/>
      <c r="PJ473" s="1"/>
      <c r="PK473" s="1"/>
      <c r="PL473" s="1"/>
      <c r="PM473" s="1"/>
      <c r="PN473" s="1"/>
      <c r="PO473" s="1"/>
      <c r="PP473" s="1"/>
      <c r="PQ473" s="1"/>
      <c r="PR473" s="1"/>
      <c r="PS473" s="1"/>
      <c r="PT473" s="1"/>
      <c r="PU473" s="1"/>
      <c r="PV473" s="1"/>
      <c r="PW473" s="1"/>
      <c r="PX473" s="1"/>
      <c r="PY473" s="1"/>
      <c r="PZ473" s="1"/>
      <c r="QA473" s="1"/>
      <c r="QB473" s="1"/>
      <c r="QC473" s="1"/>
      <c r="QD473" s="1"/>
      <c r="QE473" s="1"/>
      <c r="QF473" s="1"/>
      <c r="QG473" s="1"/>
      <c r="QH473" s="1"/>
      <c r="QI473" s="1"/>
      <c r="QJ473" s="1"/>
      <c r="QK473" s="1"/>
      <c r="QL473" s="1"/>
      <c r="QM473" s="1"/>
      <c r="QN473" s="1"/>
      <c r="QO473" s="1"/>
      <c r="QP473" s="1"/>
      <c r="QQ473" s="1"/>
      <c r="QR473" s="1"/>
      <c r="QS473" s="1"/>
      <c r="QT473" s="1"/>
      <c r="QU473" s="1"/>
      <c r="QV473" s="1"/>
      <c r="QW473" s="1"/>
      <c r="QX473" s="1"/>
      <c r="QY473" s="1"/>
      <c r="QZ473" s="1"/>
      <c r="RA473" s="1"/>
      <c r="RB473" s="1"/>
      <c r="RC473" s="1"/>
      <c r="RD473" s="1"/>
      <c r="RE473" s="1"/>
      <c r="RF473" s="1"/>
      <c r="RG473" s="1"/>
      <c r="RH473" s="1"/>
      <c r="RI473" s="1"/>
      <c r="RJ473" s="1"/>
      <c r="RK473" s="1"/>
      <c r="RL473" s="1"/>
      <c r="RM473" s="1"/>
      <c r="RN473" s="1"/>
      <c r="RO473" s="1"/>
      <c r="RP473" s="1"/>
      <c r="RQ473" s="1"/>
      <c r="RR473" s="1"/>
      <c r="RS473" s="1"/>
      <c r="RT473" s="1"/>
      <c r="RU473" s="1"/>
      <c r="RV473" s="1"/>
      <c r="RW473" s="1"/>
      <c r="RX473" s="1"/>
      <c r="RY473" s="1"/>
      <c r="RZ473" s="1"/>
      <c r="SA473" s="1"/>
      <c r="SB473" s="1"/>
      <c r="SC473" s="1"/>
      <c r="SD473" s="1"/>
      <c r="SE473" s="1"/>
      <c r="SF473" s="1"/>
      <c r="SG473" s="1"/>
      <c r="SH473" s="1"/>
      <c r="SI473" s="1"/>
      <c r="SJ473" s="1"/>
      <c r="SK473" s="1"/>
      <c r="SL473" s="1"/>
      <c r="SM473" s="1"/>
      <c r="SN473" s="1"/>
      <c r="SO473" s="1"/>
      <c r="SP473" s="1"/>
      <c r="SQ473" s="1"/>
      <c r="SR473" s="1"/>
      <c r="SS473" s="1"/>
      <c r="ST473" s="1"/>
      <c r="SU473" s="1"/>
      <c r="SV473" s="1"/>
      <c r="SW473" s="1"/>
      <c r="SX473" s="1"/>
      <c r="SY473" s="1"/>
      <c r="SZ473" s="1"/>
      <c r="TA473" s="1"/>
      <c r="TB473" s="1"/>
      <c r="TC473" s="1"/>
      <c r="TD473" s="1"/>
      <c r="TE473" s="1"/>
      <c r="TF473" s="1"/>
      <c r="TG473" s="1"/>
      <c r="TH473" s="1"/>
      <c r="TI473" s="1"/>
      <c r="TJ473" s="1"/>
      <c r="TK473" s="1"/>
      <c r="TL473" s="1"/>
      <c r="TM473" s="1"/>
      <c r="TN473" s="1"/>
      <c r="TO473" s="1"/>
      <c r="TP473" s="1"/>
      <c r="TQ473" s="1"/>
      <c r="TR473" s="1"/>
      <c r="TS473" s="1"/>
      <c r="TT473" s="1"/>
      <c r="TU473" s="1"/>
      <c r="TV473" s="1"/>
      <c r="TW473" s="1"/>
      <c r="TX473" s="1"/>
      <c r="TY473" s="1"/>
      <c r="TZ473" s="1"/>
      <c r="UA473" s="1"/>
      <c r="UB473" s="1"/>
      <c r="UC473" s="1"/>
      <c r="UD473" s="1"/>
      <c r="UE473" s="1"/>
      <c r="UF473" s="1"/>
      <c r="UG473" s="1"/>
      <c r="UH473" s="1"/>
      <c r="UI473" s="1"/>
      <c r="UJ473" s="1"/>
      <c r="UK473" s="1"/>
      <c r="UL473" s="1"/>
      <c r="UM473" s="1"/>
      <c r="UN473" s="1"/>
      <c r="UO473" s="1"/>
      <c r="UP473" s="1"/>
      <c r="UQ473" s="1"/>
      <c r="UR473" s="1"/>
      <c r="US473" s="1"/>
      <c r="UT473" s="1"/>
      <c r="UU473" s="1"/>
      <c r="UV473" s="1"/>
      <c r="UW473" s="1"/>
      <c r="UX473" s="1"/>
      <c r="UY473" s="1"/>
      <c r="UZ473" s="1"/>
      <c r="VA473" s="1"/>
      <c r="VB473" s="1"/>
      <c r="VC473" s="1"/>
      <c r="VD473" s="1"/>
      <c r="VE473" s="1"/>
      <c r="VF473" s="1"/>
      <c r="VG473" s="1"/>
      <c r="VH473" s="1"/>
      <c r="VI473" s="1"/>
      <c r="VJ473" s="1"/>
      <c r="VK473" s="1"/>
      <c r="VL473" s="1"/>
      <c r="VM473" s="1"/>
      <c r="VN473" s="1"/>
      <c r="VO473" s="1"/>
      <c r="VP473" s="1"/>
      <c r="VQ473" s="1"/>
      <c r="VR473" s="1"/>
      <c r="VS473" s="1"/>
      <c r="VT473" s="1"/>
      <c r="VU473" s="1"/>
      <c r="VV473" s="1"/>
      <c r="VW473" s="1"/>
      <c r="VX473" s="1"/>
      <c r="VY473" s="1"/>
      <c r="VZ473" s="1"/>
      <c r="WA473" s="1"/>
      <c r="WB473" s="1"/>
      <c r="WC473" s="1"/>
      <c r="WD473" s="1"/>
      <c r="WE473" s="1"/>
      <c r="WF473" s="1"/>
      <c r="WG473" s="1"/>
      <c r="WH473" s="1"/>
      <c r="WI473" s="1"/>
      <c r="WJ473" s="1"/>
      <c r="WK473" s="1"/>
      <c r="WL473" s="1"/>
      <c r="WM473" s="1"/>
      <c r="WN473" s="1"/>
      <c r="WO473" s="1"/>
      <c r="WP473" s="1"/>
      <c r="WQ473" s="1"/>
      <c r="WR473" s="1"/>
      <c r="WS473" s="1"/>
      <c r="WT473" s="1"/>
      <c r="WU473" s="1"/>
      <c r="WV473" s="1"/>
      <c r="WW473" s="1"/>
      <c r="WX473" s="1"/>
      <c r="WY473" s="1"/>
      <c r="WZ473" s="1"/>
      <c r="XA473" s="1"/>
      <c r="XB473" s="1"/>
      <c r="XC473" s="1"/>
      <c r="XD473" s="1"/>
      <c r="XE473" s="1"/>
      <c r="XF473" s="1"/>
      <c r="XG473" s="1"/>
      <c r="XH473" s="1"/>
      <c r="XI473" s="1"/>
      <c r="XJ473" s="1"/>
      <c r="XK473" s="1"/>
      <c r="XL473" s="1"/>
      <c r="XM473" s="1"/>
      <c r="XN473" s="1"/>
      <c r="XO473" s="1"/>
      <c r="XP473" s="1"/>
      <c r="XQ473" s="1"/>
      <c r="XR473" s="1"/>
      <c r="XS473" s="1"/>
      <c r="XT473" s="1"/>
      <c r="XU473" s="1"/>
      <c r="XV473" s="1"/>
      <c r="XW473" s="1"/>
      <c r="XX473" s="1"/>
      <c r="XY473" s="1"/>
      <c r="XZ473" s="1"/>
      <c r="YA473" s="1"/>
      <c r="YB473" s="1"/>
      <c r="YC473" s="1"/>
      <c r="YD473" s="1"/>
      <c r="YE473" s="1"/>
      <c r="YF473" s="1"/>
      <c r="YG473" s="1"/>
      <c r="YH473" s="1"/>
      <c r="YI473" s="1"/>
      <c r="YJ473" s="1"/>
      <c r="YK473" s="1"/>
      <c r="YL473" s="1"/>
      <c r="YM473" s="1"/>
      <c r="YN473" s="1"/>
      <c r="YO473" s="1"/>
      <c r="YP473" s="1"/>
      <c r="YQ473" s="1"/>
      <c r="YR473" s="1"/>
      <c r="YS473" s="1"/>
      <c r="YT473" s="1"/>
      <c r="YU473" s="1"/>
      <c r="YV473" s="1"/>
      <c r="YW473" s="1"/>
      <c r="YX473" s="1"/>
      <c r="YY473" s="1"/>
      <c r="YZ473" s="1"/>
      <c r="ZA473" s="1"/>
      <c r="ZB473" s="1"/>
      <c r="ZC473" s="1"/>
      <c r="ZD473" s="1"/>
      <c r="ZE473" s="1"/>
      <c r="ZF473" s="1"/>
      <c r="ZG473" s="1"/>
      <c r="ZH473" s="1"/>
      <c r="ZI473" s="1"/>
      <c r="ZJ473" s="1"/>
      <c r="ZK473" s="1"/>
      <c r="ZL473" s="1"/>
      <c r="ZM473" s="1"/>
      <c r="ZN473" s="1"/>
      <c r="ZO473" s="1"/>
      <c r="ZP473" s="1"/>
      <c r="ZQ473" s="1"/>
      <c r="ZR473" s="1"/>
      <c r="ZS473" s="1"/>
      <c r="ZT473" s="1"/>
      <c r="ZU473" s="1"/>
      <c r="ZV473" s="1"/>
      <c r="ZW473" s="1"/>
      <c r="ZX473" s="1"/>
      <c r="ZY473" s="1"/>
      <c r="ZZ473" s="1"/>
      <c r="AAA473" s="1"/>
      <c r="AAB473" s="1"/>
      <c r="AAC473" s="1"/>
      <c r="AAD473" s="1"/>
      <c r="AAE473" s="1"/>
      <c r="AAF473" s="1"/>
      <c r="AAG473" s="1"/>
      <c r="AAH473" s="1"/>
      <c r="AAI473" s="1"/>
      <c r="AAJ473" s="1"/>
      <c r="AAK473" s="1"/>
      <c r="AAL473" s="1"/>
      <c r="AAM473" s="1"/>
      <c r="AAN473" s="1"/>
      <c r="AAO473" s="1"/>
      <c r="AAP473" s="1"/>
      <c r="AAQ473" s="1"/>
      <c r="AAR473" s="1"/>
      <c r="AAS473" s="1"/>
      <c r="AAT473" s="1"/>
      <c r="AAU473" s="1"/>
      <c r="AAV473" s="1"/>
      <c r="AAW473" s="1"/>
      <c r="AAX473" s="1"/>
      <c r="AAY473" s="1"/>
      <c r="AAZ473" s="1"/>
      <c r="ABA473" s="1"/>
      <c r="ABB473" s="1"/>
      <c r="ABC473" s="1"/>
      <c r="ABD473" s="1"/>
      <c r="ABE473" s="1"/>
      <c r="ABF473" s="1"/>
      <c r="ABG473" s="1"/>
      <c r="ABH473" s="1"/>
      <c r="ABI473" s="1"/>
      <c r="ABJ473" s="1"/>
      <c r="ABK473" s="1"/>
      <c r="ABL473" s="1"/>
      <c r="ABM473" s="1"/>
      <c r="ABN473" s="1"/>
      <c r="ABO473" s="1"/>
      <c r="ABP473" s="1"/>
      <c r="ABQ473" s="1"/>
      <c r="ABR473" s="1"/>
      <c r="ABS473" s="1"/>
      <c r="ABT473" s="1"/>
      <c r="ABU473" s="1"/>
      <c r="ABV473" s="1"/>
      <c r="ABW473" s="1"/>
      <c r="ABX473" s="1"/>
      <c r="ABY473" s="1"/>
      <c r="ABZ473" s="1"/>
      <c r="ACA473" s="1"/>
      <c r="ACB473" s="1"/>
      <c r="ACC473" s="1"/>
      <c r="ACD473" s="1"/>
      <c r="ACE473" s="1"/>
      <c r="ACF473" s="1"/>
      <c r="ACG473" s="1"/>
      <c r="ACH473" s="1"/>
      <c r="ACI473" s="1"/>
      <c r="ACJ473" s="1"/>
      <c r="ACK473" s="1"/>
      <c r="ACL473" s="1"/>
      <c r="ACM473" s="1"/>
      <c r="ACN473" s="1"/>
      <c r="ACO473" s="1"/>
      <c r="ACP473" s="1"/>
      <c r="ACQ473" s="1"/>
      <c r="ACR473" s="1"/>
      <c r="ACS473" s="1"/>
      <c r="ACT473" s="1"/>
      <c r="ACU473" s="1"/>
      <c r="ACV473" s="1"/>
      <c r="ACW473" s="1"/>
      <c r="ACX473" s="1"/>
      <c r="ACY473" s="1"/>
      <c r="ACZ473" s="1"/>
      <c r="ADA473" s="1"/>
      <c r="ADB473" s="1"/>
      <c r="ADC473" s="1"/>
      <c r="ADD473" s="1"/>
      <c r="ADE473" s="1"/>
      <c r="ADF473" s="1"/>
      <c r="ADG473" s="1"/>
      <c r="ADH473" s="1"/>
      <c r="ADI473" s="1"/>
      <c r="ADJ473" s="1"/>
      <c r="ADK473" s="1"/>
      <c r="ADL473" s="1"/>
      <c r="ADM473" s="1"/>
      <c r="ADN473" s="1"/>
      <c r="ADO473" s="1"/>
      <c r="ADP473" s="1"/>
      <c r="ADQ473" s="1"/>
      <c r="ADR473" s="1"/>
      <c r="ADS473" s="1"/>
      <c r="ADT473" s="1"/>
      <c r="ADU473" s="1"/>
      <c r="ADV473" s="1"/>
      <c r="ADW473" s="1"/>
      <c r="ADX473" s="1"/>
      <c r="ADY473" s="1"/>
      <c r="ADZ473" s="1"/>
      <c r="AEA473" s="1"/>
      <c r="AEB473" s="1"/>
      <c r="AEC473" s="1"/>
      <c r="AED473" s="1"/>
      <c r="AEE473" s="1"/>
      <c r="AEF473" s="1"/>
      <c r="AEG473" s="1"/>
      <c r="AEH473" s="1"/>
      <c r="AEI473" s="1"/>
      <c r="AEJ473" s="1"/>
      <c r="AEK473" s="1"/>
      <c r="AEL473" s="1"/>
      <c r="AEM473" s="1"/>
      <c r="AEN473" s="1"/>
      <c r="AEO473" s="1"/>
      <c r="AEP473" s="1"/>
      <c r="AEQ473" s="1"/>
      <c r="AER473" s="1"/>
      <c r="AES473" s="1"/>
      <c r="AET473" s="1"/>
      <c r="AEU473" s="1"/>
      <c r="AEV473" s="1"/>
      <c r="AEW473" s="1"/>
      <c r="AEX473" s="1"/>
      <c r="AEY473" s="1"/>
      <c r="AEZ473" s="1"/>
      <c r="AFA473" s="1"/>
      <c r="AFB473" s="1"/>
      <c r="AFC473" s="1"/>
      <c r="AFD473" s="1"/>
      <c r="AFE473" s="1"/>
      <c r="AFF473" s="1"/>
      <c r="AFG473" s="1"/>
      <c r="AFH473" s="1"/>
      <c r="AFI473" s="1"/>
      <c r="AFJ473" s="1"/>
      <c r="AFK473" s="1"/>
      <c r="AFL473" s="1"/>
      <c r="AFM473" s="1"/>
      <c r="AFN473" s="1"/>
      <c r="AFO473" s="1"/>
      <c r="AFP473" s="1"/>
      <c r="AFQ473" s="1"/>
      <c r="AFR473" s="1"/>
      <c r="AFS473" s="1"/>
      <c r="AFT473" s="1"/>
      <c r="AFU473" s="1"/>
      <c r="AFV473" s="1"/>
      <c r="AFW473" s="1"/>
      <c r="AFX473" s="1"/>
      <c r="AFY473" s="1"/>
      <c r="AFZ473" s="1"/>
      <c r="AGA473" s="1"/>
      <c r="AGB473" s="1"/>
      <c r="AGC473" s="1"/>
      <c r="AGD473" s="1"/>
      <c r="AGE473" s="1"/>
      <c r="AGF473" s="1"/>
      <c r="AGG473" s="1"/>
      <c r="AGH473" s="1"/>
      <c r="AGI473" s="1"/>
      <c r="AGJ473" s="1"/>
      <c r="AGK473" s="1"/>
      <c r="AGL473" s="1"/>
      <c r="AGM473" s="1"/>
      <c r="AGN473" s="1"/>
      <c r="AGO473" s="1"/>
      <c r="AGP473" s="1"/>
      <c r="AGQ473" s="1"/>
      <c r="AGR473" s="1"/>
      <c r="AGS473" s="1"/>
      <c r="AGT473" s="1"/>
      <c r="AGU473" s="1"/>
      <c r="AGV473" s="1"/>
      <c r="AGW473" s="1"/>
      <c r="AGX473" s="1"/>
      <c r="AGY473" s="1"/>
      <c r="AGZ473" s="1"/>
      <c r="AHA473" s="1"/>
      <c r="AHB473" s="1"/>
      <c r="AHC473" s="1"/>
      <c r="AHD473" s="1"/>
      <c r="AHE473" s="1"/>
      <c r="AHF473" s="1"/>
      <c r="AHG473" s="1"/>
      <c r="AHH473" s="1"/>
      <c r="AHI473" s="1"/>
      <c r="AHJ473" s="1"/>
      <c r="AHK473" s="1"/>
      <c r="AHL473" s="1"/>
      <c r="AHM473" s="1"/>
      <c r="AHN473" s="1"/>
      <c r="AHO473" s="1"/>
      <c r="AHP473" s="1"/>
      <c r="AHQ473" s="1"/>
      <c r="AHR473" s="1"/>
      <c r="AHS473" s="1"/>
      <c r="AHT473" s="1"/>
      <c r="AHU473" s="1"/>
      <c r="AHV473" s="1"/>
      <c r="AHW473" s="1"/>
      <c r="AHX473" s="1"/>
      <c r="AHY473" s="1"/>
    </row>
    <row r="474" spans="1:909" s="5" customFormat="1" ht="22.2" thickTop="1" thickBot="1">
      <c r="A474" s="11" t="s">
        <v>109</v>
      </c>
      <c r="B474" s="170">
        <f>'[1]التعليم الابتدائي'!AB753</f>
        <v>0</v>
      </c>
      <c r="C474" s="182"/>
      <c r="D474" s="170">
        <f>'[1]التعليم الابتدائي'!AD753</f>
        <v>0</v>
      </c>
      <c r="E474" s="182"/>
      <c r="F474" s="170">
        <f>'[1]التعليم الابتدائي'!AF753</f>
        <v>0</v>
      </c>
      <c r="G474" s="182"/>
      <c r="H474" s="170">
        <f>'[1]التعليم الابتدائي'!AH753</f>
        <v>0</v>
      </c>
      <c r="I474" s="182"/>
      <c r="J474" s="170">
        <f>'[1]التعليم الابتدائي'!AJ753</f>
        <v>0</v>
      </c>
      <c r="K474" s="182"/>
      <c r="L474" s="170">
        <f>'[1]التعليم الابتدائي'!AL753</f>
        <v>0</v>
      </c>
      <c r="M474" s="182"/>
      <c r="N474" s="170">
        <f>L474+J474+H474+F474+D474+B474</f>
        <v>0</v>
      </c>
      <c r="O474" s="181"/>
      <c r="P474" s="193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s="1"/>
      <c r="JX474" s="1"/>
      <c r="JY474" s="1"/>
      <c r="JZ474" s="1"/>
      <c r="KA474" s="1"/>
      <c r="KB474" s="1"/>
      <c r="KC474" s="1"/>
      <c r="KD474" s="1"/>
      <c r="KE474" s="1"/>
      <c r="KF474" s="1"/>
      <c r="KG474" s="1"/>
      <c r="KH474" s="1"/>
      <c r="KI474" s="1"/>
      <c r="KJ474" s="1"/>
      <c r="KK474" s="1"/>
      <c r="KL474" s="1"/>
      <c r="KM474" s="1"/>
      <c r="KN474" s="1"/>
      <c r="KO474" s="1"/>
      <c r="KP474" s="1"/>
      <c r="KQ474" s="1"/>
      <c r="KR474" s="1"/>
      <c r="KS474" s="1"/>
      <c r="KT474" s="1"/>
      <c r="KU474" s="1"/>
      <c r="KV474" s="1"/>
      <c r="KW474" s="1"/>
      <c r="KX474" s="1"/>
      <c r="KY474" s="1"/>
      <c r="KZ474" s="1"/>
      <c r="LA474" s="1"/>
      <c r="LB474" s="1"/>
      <c r="LC474" s="1"/>
      <c r="LD474" s="1"/>
      <c r="LE474" s="1"/>
      <c r="LF474" s="1"/>
      <c r="LG474" s="1"/>
      <c r="LH474" s="1"/>
      <c r="LI474" s="1"/>
      <c r="LJ474" s="1"/>
      <c r="LK474" s="1"/>
      <c r="LL474" s="1"/>
      <c r="LM474" s="1"/>
      <c r="LN474" s="1"/>
      <c r="LO474" s="1"/>
      <c r="LP474" s="1"/>
      <c r="LQ474" s="1"/>
      <c r="LR474" s="1"/>
      <c r="LS474" s="1"/>
      <c r="LT474" s="1"/>
      <c r="LU474" s="1"/>
      <c r="LV474" s="1"/>
      <c r="LW474" s="1"/>
      <c r="LX474" s="1"/>
      <c r="LY474" s="1"/>
      <c r="LZ474" s="1"/>
      <c r="MA474" s="1"/>
      <c r="MB474" s="1"/>
      <c r="MC474" s="1"/>
      <c r="MD474" s="1"/>
      <c r="ME474" s="1"/>
      <c r="MF474" s="1"/>
      <c r="MG474" s="1"/>
      <c r="MH474" s="1"/>
      <c r="MI474" s="1"/>
      <c r="MJ474" s="1"/>
      <c r="MK474" s="1"/>
      <c r="ML474" s="1"/>
      <c r="MM474" s="1"/>
      <c r="MN474" s="1"/>
      <c r="MO474" s="1"/>
      <c r="MP474" s="1"/>
      <c r="MQ474" s="1"/>
      <c r="MR474" s="1"/>
      <c r="MS474" s="1"/>
      <c r="MT474" s="1"/>
      <c r="MU474" s="1"/>
      <c r="MV474" s="1"/>
      <c r="MW474" s="1"/>
      <c r="MX474" s="1"/>
      <c r="MY474" s="1"/>
      <c r="MZ474" s="1"/>
      <c r="NA474" s="1"/>
      <c r="NB474" s="1"/>
      <c r="NC474" s="1"/>
      <c r="ND474" s="1"/>
      <c r="NE474" s="1"/>
      <c r="NF474" s="1"/>
      <c r="NG474" s="1"/>
      <c r="NH474" s="1"/>
      <c r="NI474" s="1"/>
      <c r="NJ474" s="1"/>
      <c r="NK474" s="1"/>
      <c r="NL474" s="1"/>
      <c r="NM474" s="1"/>
      <c r="NN474" s="1"/>
      <c r="NO474" s="1"/>
      <c r="NP474" s="1"/>
      <c r="NQ474" s="1"/>
      <c r="NR474" s="1"/>
      <c r="NS474" s="1"/>
      <c r="NT474" s="1"/>
      <c r="NU474" s="1"/>
      <c r="NV474" s="1"/>
      <c r="NW474" s="1"/>
      <c r="NX474" s="1"/>
      <c r="NY474" s="1"/>
      <c r="NZ474" s="1"/>
      <c r="OA474" s="1"/>
      <c r="OB474" s="1"/>
      <c r="OC474" s="1"/>
      <c r="OD474" s="1"/>
      <c r="OE474" s="1"/>
      <c r="OF474" s="1"/>
      <c r="OG474" s="1"/>
      <c r="OH474" s="1"/>
      <c r="OI474" s="1"/>
      <c r="OJ474" s="1"/>
      <c r="OK474" s="1"/>
      <c r="OL474" s="1"/>
      <c r="OM474" s="1"/>
      <c r="ON474" s="1"/>
      <c r="OO474" s="1"/>
      <c r="OP474" s="1"/>
      <c r="OQ474" s="1"/>
      <c r="OR474" s="1"/>
      <c r="OS474" s="1"/>
      <c r="OT474" s="1"/>
      <c r="OU474" s="1"/>
      <c r="OV474" s="1"/>
      <c r="OW474" s="1"/>
      <c r="OX474" s="1"/>
      <c r="OY474" s="1"/>
      <c r="OZ474" s="1"/>
      <c r="PA474" s="1"/>
      <c r="PB474" s="1"/>
      <c r="PC474" s="1"/>
      <c r="PD474" s="1"/>
      <c r="PE474" s="1"/>
      <c r="PF474" s="1"/>
      <c r="PG474" s="1"/>
      <c r="PH474" s="1"/>
      <c r="PI474" s="1"/>
      <c r="PJ474" s="1"/>
      <c r="PK474" s="1"/>
      <c r="PL474" s="1"/>
      <c r="PM474" s="1"/>
      <c r="PN474" s="1"/>
      <c r="PO474" s="1"/>
      <c r="PP474" s="1"/>
      <c r="PQ474" s="1"/>
      <c r="PR474" s="1"/>
      <c r="PS474" s="1"/>
      <c r="PT474" s="1"/>
      <c r="PU474" s="1"/>
      <c r="PV474" s="1"/>
      <c r="PW474" s="1"/>
      <c r="PX474" s="1"/>
      <c r="PY474" s="1"/>
      <c r="PZ474" s="1"/>
      <c r="QA474" s="1"/>
      <c r="QB474" s="1"/>
      <c r="QC474" s="1"/>
      <c r="QD474" s="1"/>
      <c r="QE474" s="1"/>
      <c r="QF474" s="1"/>
      <c r="QG474" s="1"/>
      <c r="QH474" s="1"/>
      <c r="QI474" s="1"/>
      <c r="QJ474" s="1"/>
      <c r="QK474" s="1"/>
      <c r="QL474" s="1"/>
      <c r="QM474" s="1"/>
      <c r="QN474" s="1"/>
      <c r="QO474" s="1"/>
      <c r="QP474" s="1"/>
      <c r="QQ474" s="1"/>
      <c r="QR474" s="1"/>
      <c r="QS474" s="1"/>
      <c r="QT474" s="1"/>
      <c r="QU474" s="1"/>
      <c r="QV474" s="1"/>
      <c r="QW474" s="1"/>
      <c r="QX474" s="1"/>
      <c r="QY474" s="1"/>
      <c r="QZ474" s="1"/>
      <c r="RA474" s="1"/>
      <c r="RB474" s="1"/>
      <c r="RC474" s="1"/>
      <c r="RD474" s="1"/>
      <c r="RE474" s="1"/>
      <c r="RF474" s="1"/>
      <c r="RG474" s="1"/>
      <c r="RH474" s="1"/>
      <c r="RI474" s="1"/>
      <c r="RJ474" s="1"/>
      <c r="RK474" s="1"/>
      <c r="RL474" s="1"/>
      <c r="RM474" s="1"/>
      <c r="RN474" s="1"/>
      <c r="RO474" s="1"/>
      <c r="RP474" s="1"/>
      <c r="RQ474" s="1"/>
      <c r="RR474" s="1"/>
      <c r="RS474" s="1"/>
      <c r="RT474" s="1"/>
      <c r="RU474" s="1"/>
      <c r="RV474" s="1"/>
      <c r="RW474" s="1"/>
      <c r="RX474" s="1"/>
      <c r="RY474" s="1"/>
      <c r="RZ474" s="1"/>
      <c r="SA474" s="1"/>
      <c r="SB474" s="1"/>
      <c r="SC474" s="1"/>
      <c r="SD474" s="1"/>
      <c r="SE474" s="1"/>
      <c r="SF474" s="1"/>
      <c r="SG474" s="1"/>
      <c r="SH474" s="1"/>
      <c r="SI474" s="1"/>
      <c r="SJ474" s="1"/>
      <c r="SK474" s="1"/>
      <c r="SL474" s="1"/>
      <c r="SM474" s="1"/>
      <c r="SN474" s="1"/>
      <c r="SO474" s="1"/>
      <c r="SP474" s="1"/>
      <c r="SQ474" s="1"/>
      <c r="SR474" s="1"/>
      <c r="SS474" s="1"/>
      <c r="ST474" s="1"/>
      <c r="SU474" s="1"/>
      <c r="SV474" s="1"/>
      <c r="SW474" s="1"/>
      <c r="SX474" s="1"/>
      <c r="SY474" s="1"/>
      <c r="SZ474" s="1"/>
      <c r="TA474" s="1"/>
      <c r="TB474" s="1"/>
      <c r="TC474" s="1"/>
      <c r="TD474" s="1"/>
      <c r="TE474" s="1"/>
      <c r="TF474" s="1"/>
      <c r="TG474" s="1"/>
      <c r="TH474" s="1"/>
      <c r="TI474" s="1"/>
      <c r="TJ474" s="1"/>
      <c r="TK474" s="1"/>
      <c r="TL474" s="1"/>
      <c r="TM474" s="1"/>
      <c r="TN474" s="1"/>
      <c r="TO474" s="1"/>
      <c r="TP474" s="1"/>
      <c r="TQ474" s="1"/>
      <c r="TR474" s="1"/>
      <c r="TS474" s="1"/>
      <c r="TT474" s="1"/>
      <c r="TU474" s="1"/>
      <c r="TV474" s="1"/>
      <c r="TW474" s="1"/>
      <c r="TX474" s="1"/>
      <c r="TY474" s="1"/>
      <c r="TZ474" s="1"/>
      <c r="UA474" s="1"/>
      <c r="UB474" s="1"/>
      <c r="UC474" s="1"/>
      <c r="UD474" s="1"/>
      <c r="UE474" s="1"/>
      <c r="UF474" s="1"/>
      <c r="UG474" s="1"/>
      <c r="UH474" s="1"/>
      <c r="UI474" s="1"/>
      <c r="UJ474" s="1"/>
      <c r="UK474" s="1"/>
      <c r="UL474" s="1"/>
      <c r="UM474" s="1"/>
      <c r="UN474" s="1"/>
      <c r="UO474" s="1"/>
      <c r="UP474" s="1"/>
      <c r="UQ474" s="1"/>
      <c r="UR474" s="1"/>
      <c r="US474" s="1"/>
      <c r="UT474" s="1"/>
      <c r="UU474" s="1"/>
      <c r="UV474" s="1"/>
      <c r="UW474" s="1"/>
      <c r="UX474" s="1"/>
      <c r="UY474" s="1"/>
      <c r="UZ474" s="1"/>
      <c r="VA474" s="1"/>
      <c r="VB474" s="1"/>
      <c r="VC474" s="1"/>
      <c r="VD474" s="1"/>
      <c r="VE474" s="1"/>
      <c r="VF474" s="1"/>
      <c r="VG474" s="1"/>
      <c r="VH474" s="1"/>
      <c r="VI474" s="1"/>
      <c r="VJ474" s="1"/>
      <c r="VK474" s="1"/>
      <c r="VL474" s="1"/>
      <c r="VM474" s="1"/>
      <c r="VN474" s="1"/>
      <c r="VO474" s="1"/>
      <c r="VP474" s="1"/>
      <c r="VQ474" s="1"/>
      <c r="VR474" s="1"/>
      <c r="VS474" s="1"/>
      <c r="VT474" s="1"/>
      <c r="VU474" s="1"/>
      <c r="VV474" s="1"/>
      <c r="VW474" s="1"/>
      <c r="VX474" s="1"/>
      <c r="VY474" s="1"/>
      <c r="VZ474" s="1"/>
      <c r="WA474" s="1"/>
      <c r="WB474" s="1"/>
      <c r="WC474" s="1"/>
      <c r="WD474" s="1"/>
      <c r="WE474" s="1"/>
      <c r="WF474" s="1"/>
      <c r="WG474" s="1"/>
      <c r="WH474" s="1"/>
      <c r="WI474" s="1"/>
      <c r="WJ474" s="1"/>
      <c r="WK474" s="1"/>
      <c r="WL474" s="1"/>
      <c r="WM474" s="1"/>
      <c r="WN474" s="1"/>
      <c r="WO474" s="1"/>
      <c r="WP474" s="1"/>
      <c r="WQ474" s="1"/>
      <c r="WR474" s="1"/>
      <c r="WS474" s="1"/>
      <c r="WT474" s="1"/>
      <c r="WU474" s="1"/>
      <c r="WV474" s="1"/>
      <c r="WW474" s="1"/>
      <c r="WX474" s="1"/>
      <c r="WY474" s="1"/>
      <c r="WZ474" s="1"/>
      <c r="XA474" s="1"/>
      <c r="XB474" s="1"/>
      <c r="XC474" s="1"/>
      <c r="XD474" s="1"/>
      <c r="XE474" s="1"/>
      <c r="XF474" s="1"/>
      <c r="XG474" s="1"/>
      <c r="XH474" s="1"/>
      <c r="XI474" s="1"/>
      <c r="XJ474" s="1"/>
      <c r="XK474" s="1"/>
      <c r="XL474" s="1"/>
      <c r="XM474" s="1"/>
      <c r="XN474" s="1"/>
      <c r="XO474" s="1"/>
      <c r="XP474" s="1"/>
      <c r="XQ474" s="1"/>
      <c r="XR474" s="1"/>
      <c r="XS474" s="1"/>
      <c r="XT474" s="1"/>
      <c r="XU474" s="1"/>
      <c r="XV474" s="1"/>
      <c r="XW474" s="1"/>
      <c r="XX474" s="1"/>
      <c r="XY474" s="1"/>
      <c r="XZ474" s="1"/>
      <c r="YA474" s="1"/>
      <c r="YB474" s="1"/>
      <c r="YC474" s="1"/>
      <c r="YD474" s="1"/>
      <c r="YE474" s="1"/>
      <c r="YF474" s="1"/>
      <c r="YG474" s="1"/>
      <c r="YH474" s="1"/>
      <c r="YI474" s="1"/>
      <c r="YJ474" s="1"/>
      <c r="YK474" s="1"/>
      <c r="YL474" s="1"/>
      <c r="YM474" s="1"/>
      <c r="YN474" s="1"/>
      <c r="YO474" s="1"/>
      <c r="YP474" s="1"/>
      <c r="YQ474" s="1"/>
      <c r="YR474" s="1"/>
      <c r="YS474" s="1"/>
      <c r="YT474" s="1"/>
      <c r="YU474" s="1"/>
      <c r="YV474" s="1"/>
      <c r="YW474" s="1"/>
      <c r="YX474" s="1"/>
      <c r="YY474" s="1"/>
      <c r="YZ474" s="1"/>
      <c r="ZA474" s="1"/>
      <c r="ZB474" s="1"/>
      <c r="ZC474" s="1"/>
      <c r="ZD474" s="1"/>
      <c r="ZE474" s="1"/>
      <c r="ZF474" s="1"/>
      <c r="ZG474" s="1"/>
      <c r="ZH474" s="1"/>
      <c r="ZI474" s="1"/>
      <c r="ZJ474" s="1"/>
      <c r="ZK474" s="1"/>
      <c r="ZL474" s="1"/>
      <c r="ZM474" s="1"/>
      <c r="ZN474" s="1"/>
      <c r="ZO474" s="1"/>
      <c r="ZP474" s="1"/>
      <c r="ZQ474" s="1"/>
      <c r="ZR474" s="1"/>
      <c r="ZS474" s="1"/>
      <c r="ZT474" s="1"/>
      <c r="ZU474" s="1"/>
      <c r="ZV474" s="1"/>
      <c r="ZW474" s="1"/>
      <c r="ZX474" s="1"/>
      <c r="ZY474" s="1"/>
      <c r="ZZ474" s="1"/>
      <c r="AAA474" s="1"/>
      <c r="AAB474" s="1"/>
      <c r="AAC474" s="1"/>
      <c r="AAD474" s="1"/>
      <c r="AAE474" s="1"/>
      <c r="AAF474" s="1"/>
      <c r="AAG474" s="1"/>
      <c r="AAH474" s="1"/>
      <c r="AAI474" s="1"/>
      <c r="AAJ474" s="1"/>
      <c r="AAK474" s="1"/>
      <c r="AAL474" s="1"/>
      <c r="AAM474" s="1"/>
      <c r="AAN474" s="1"/>
      <c r="AAO474" s="1"/>
      <c r="AAP474" s="1"/>
      <c r="AAQ474" s="1"/>
      <c r="AAR474" s="1"/>
      <c r="AAS474" s="1"/>
      <c r="AAT474" s="1"/>
      <c r="AAU474" s="1"/>
      <c r="AAV474" s="1"/>
      <c r="AAW474" s="1"/>
      <c r="AAX474" s="1"/>
      <c r="AAY474" s="1"/>
      <c r="AAZ474" s="1"/>
      <c r="ABA474" s="1"/>
      <c r="ABB474" s="1"/>
      <c r="ABC474" s="1"/>
      <c r="ABD474" s="1"/>
      <c r="ABE474" s="1"/>
      <c r="ABF474" s="1"/>
      <c r="ABG474" s="1"/>
      <c r="ABH474" s="1"/>
      <c r="ABI474" s="1"/>
      <c r="ABJ474" s="1"/>
      <c r="ABK474" s="1"/>
      <c r="ABL474" s="1"/>
      <c r="ABM474" s="1"/>
      <c r="ABN474" s="1"/>
      <c r="ABO474" s="1"/>
      <c r="ABP474" s="1"/>
      <c r="ABQ474" s="1"/>
      <c r="ABR474" s="1"/>
      <c r="ABS474" s="1"/>
      <c r="ABT474" s="1"/>
      <c r="ABU474" s="1"/>
      <c r="ABV474" s="1"/>
      <c r="ABW474" s="1"/>
      <c r="ABX474" s="1"/>
      <c r="ABY474" s="1"/>
      <c r="ABZ474" s="1"/>
      <c r="ACA474" s="1"/>
      <c r="ACB474" s="1"/>
      <c r="ACC474" s="1"/>
      <c r="ACD474" s="1"/>
      <c r="ACE474" s="1"/>
      <c r="ACF474" s="1"/>
      <c r="ACG474" s="1"/>
      <c r="ACH474" s="1"/>
      <c r="ACI474" s="1"/>
      <c r="ACJ474" s="1"/>
      <c r="ACK474" s="1"/>
      <c r="ACL474" s="1"/>
      <c r="ACM474" s="1"/>
      <c r="ACN474" s="1"/>
      <c r="ACO474" s="1"/>
      <c r="ACP474" s="1"/>
      <c r="ACQ474" s="1"/>
      <c r="ACR474" s="1"/>
      <c r="ACS474" s="1"/>
      <c r="ACT474" s="1"/>
      <c r="ACU474" s="1"/>
      <c r="ACV474" s="1"/>
      <c r="ACW474" s="1"/>
      <c r="ACX474" s="1"/>
      <c r="ACY474" s="1"/>
      <c r="ACZ474" s="1"/>
      <c r="ADA474" s="1"/>
      <c r="ADB474" s="1"/>
      <c r="ADC474" s="1"/>
      <c r="ADD474" s="1"/>
      <c r="ADE474" s="1"/>
      <c r="ADF474" s="1"/>
      <c r="ADG474" s="1"/>
      <c r="ADH474" s="1"/>
      <c r="ADI474" s="1"/>
      <c r="ADJ474" s="1"/>
      <c r="ADK474" s="1"/>
      <c r="ADL474" s="1"/>
      <c r="ADM474" s="1"/>
      <c r="ADN474" s="1"/>
      <c r="ADO474" s="1"/>
      <c r="ADP474" s="1"/>
      <c r="ADQ474" s="1"/>
      <c r="ADR474" s="1"/>
      <c r="ADS474" s="1"/>
      <c r="ADT474" s="1"/>
      <c r="ADU474" s="1"/>
      <c r="ADV474" s="1"/>
      <c r="ADW474" s="1"/>
      <c r="ADX474" s="1"/>
      <c r="ADY474" s="1"/>
      <c r="ADZ474" s="1"/>
      <c r="AEA474" s="1"/>
      <c r="AEB474" s="1"/>
      <c r="AEC474" s="1"/>
      <c r="AED474" s="1"/>
      <c r="AEE474" s="1"/>
      <c r="AEF474" s="1"/>
      <c r="AEG474" s="1"/>
      <c r="AEH474" s="1"/>
      <c r="AEI474" s="1"/>
      <c r="AEJ474" s="1"/>
      <c r="AEK474" s="1"/>
      <c r="AEL474" s="1"/>
      <c r="AEM474" s="1"/>
      <c r="AEN474" s="1"/>
      <c r="AEO474" s="1"/>
      <c r="AEP474" s="1"/>
      <c r="AEQ474" s="1"/>
      <c r="AER474" s="1"/>
      <c r="AES474" s="1"/>
      <c r="AET474" s="1"/>
      <c r="AEU474" s="1"/>
      <c r="AEV474" s="1"/>
      <c r="AEW474" s="1"/>
      <c r="AEX474" s="1"/>
      <c r="AEY474" s="1"/>
      <c r="AEZ474" s="1"/>
      <c r="AFA474" s="1"/>
      <c r="AFB474" s="1"/>
      <c r="AFC474" s="1"/>
      <c r="AFD474" s="1"/>
      <c r="AFE474" s="1"/>
      <c r="AFF474" s="1"/>
      <c r="AFG474" s="1"/>
      <c r="AFH474" s="1"/>
      <c r="AFI474" s="1"/>
      <c r="AFJ474" s="1"/>
      <c r="AFK474" s="1"/>
      <c r="AFL474" s="1"/>
      <c r="AFM474" s="1"/>
      <c r="AFN474" s="1"/>
      <c r="AFO474" s="1"/>
      <c r="AFP474" s="1"/>
      <c r="AFQ474" s="1"/>
      <c r="AFR474" s="1"/>
      <c r="AFS474" s="1"/>
      <c r="AFT474" s="1"/>
      <c r="AFU474" s="1"/>
      <c r="AFV474" s="1"/>
      <c r="AFW474" s="1"/>
      <c r="AFX474" s="1"/>
      <c r="AFY474" s="1"/>
      <c r="AFZ474" s="1"/>
      <c r="AGA474" s="1"/>
      <c r="AGB474" s="1"/>
      <c r="AGC474" s="1"/>
      <c r="AGD474" s="1"/>
      <c r="AGE474" s="1"/>
      <c r="AGF474" s="1"/>
      <c r="AGG474" s="1"/>
      <c r="AGH474" s="1"/>
      <c r="AGI474" s="1"/>
      <c r="AGJ474" s="1"/>
      <c r="AGK474" s="1"/>
      <c r="AGL474" s="1"/>
      <c r="AGM474" s="1"/>
      <c r="AGN474" s="1"/>
      <c r="AGO474" s="1"/>
      <c r="AGP474" s="1"/>
      <c r="AGQ474" s="1"/>
      <c r="AGR474" s="1"/>
      <c r="AGS474" s="1"/>
      <c r="AGT474" s="1"/>
      <c r="AGU474" s="1"/>
      <c r="AGV474" s="1"/>
      <c r="AGW474" s="1"/>
      <c r="AGX474" s="1"/>
      <c r="AGY474" s="1"/>
      <c r="AGZ474" s="1"/>
      <c r="AHA474" s="1"/>
      <c r="AHB474" s="1"/>
      <c r="AHC474" s="1"/>
      <c r="AHD474" s="1"/>
      <c r="AHE474" s="1"/>
      <c r="AHF474" s="1"/>
      <c r="AHG474" s="1"/>
      <c r="AHH474" s="1"/>
      <c r="AHI474" s="1"/>
      <c r="AHJ474" s="1"/>
      <c r="AHK474" s="1"/>
      <c r="AHL474" s="1"/>
      <c r="AHM474" s="1"/>
      <c r="AHN474" s="1"/>
      <c r="AHO474" s="1"/>
      <c r="AHP474" s="1"/>
      <c r="AHQ474" s="1"/>
      <c r="AHR474" s="1"/>
      <c r="AHS474" s="1"/>
      <c r="AHT474" s="1"/>
      <c r="AHU474" s="1"/>
      <c r="AHV474" s="1"/>
      <c r="AHW474" s="1"/>
      <c r="AHX474" s="1"/>
      <c r="AHY474" s="1"/>
    </row>
    <row r="475" spans="1:909" s="5" customFormat="1" ht="22.2" thickTop="1" thickBot="1">
      <c r="A475" s="6" t="s">
        <v>110</v>
      </c>
      <c r="B475" s="194">
        <f>SUM(B473:B474)</f>
        <v>0</v>
      </c>
      <c r="C475" s="195"/>
      <c r="D475" s="194">
        <f>SUM(D473:D474)</f>
        <v>0</v>
      </c>
      <c r="E475" s="195"/>
      <c r="F475" s="194">
        <f>SUM(F473:F474)</f>
        <v>0</v>
      </c>
      <c r="G475" s="195"/>
      <c r="H475" s="194">
        <f>SUM(H473:H474)</f>
        <v>0</v>
      </c>
      <c r="I475" s="195"/>
      <c r="J475" s="194">
        <f>SUM(J473:J474)</f>
        <v>0</v>
      </c>
      <c r="K475" s="195"/>
      <c r="L475" s="194">
        <f>SUM(L473:L474)</f>
        <v>0</v>
      </c>
      <c r="M475" s="195"/>
      <c r="N475" s="194">
        <f>L475+J475+H475+F475+D475+B475</f>
        <v>0</v>
      </c>
      <c r="O475" s="196"/>
      <c r="P475" s="197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/>
      <c r="JZ475" s="1"/>
      <c r="KA475" s="1"/>
      <c r="KB475" s="1"/>
      <c r="KC475" s="1"/>
      <c r="KD475" s="1"/>
      <c r="KE475" s="1"/>
      <c r="KF475" s="1"/>
      <c r="KG475" s="1"/>
      <c r="KH475" s="1"/>
      <c r="KI475" s="1"/>
      <c r="KJ475" s="1"/>
      <c r="KK475" s="1"/>
      <c r="KL475" s="1"/>
      <c r="KM475" s="1"/>
      <c r="KN475" s="1"/>
      <c r="KO475" s="1"/>
      <c r="KP475" s="1"/>
      <c r="KQ475" s="1"/>
      <c r="KR475" s="1"/>
      <c r="KS475" s="1"/>
      <c r="KT475" s="1"/>
      <c r="KU475" s="1"/>
      <c r="KV475" s="1"/>
      <c r="KW475" s="1"/>
      <c r="KX475" s="1"/>
      <c r="KY475" s="1"/>
      <c r="KZ475" s="1"/>
      <c r="LA475" s="1"/>
      <c r="LB475" s="1"/>
      <c r="LC475" s="1"/>
      <c r="LD475" s="1"/>
      <c r="LE475" s="1"/>
      <c r="LF475" s="1"/>
      <c r="LG475" s="1"/>
      <c r="LH475" s="1"/>
      <c r="LI475" s="1"/>
      <c r="LJ475" s="1"/>
      <c r="LK475" s="1"/>
      <c r="LL475" s="1"/>
      <c r="LM475" s="1"/>
      <c r="LN475" s="1"/>
      <c r="LO475" s="1"/>
      <c r="LP475" s="1"/>
      <c r="LQ475" s="1"/>
      <c r="LR475" s="1"/>
      <c r="LS475" s="1"/>
      <c r="LT475" s="1"/>
      <c r="LU475" s="1"/>
      <c r="LV475" s="1"/>
      <c r="LW475" s="1"/>
      <c r="LX475" s="1"/>
      <c r="LY475" s="1"/>
      <c r="LZ475" s="1"/>
      <c r="MA475" s="1"/>
      <c r="MB475" s="1"/>
      <c r="MC475" s="1"/>
      <c r="MD475" s="1"/>
      <c r="ME475" s="1"/>
      <c r="MF475" s="1"/>
      <c r="MG475" s="1"/>
      <c r="MH475" s="1"/>
      <c r="MI475" s="1"/>
      <c r="MJ475" s="1"/>
      <c r="MK475" s="1"/>
      <c r="ML475" s="1"/>
      <c r="MM475" s="1"/>
      <c r="MN475" s="1"/>
      <c r="MO475" s="1"/>
      <c r="MP475" s="1"/>
      <c r="MQ475" s="1"/>
      <c r="MR475" s="1"/>
      <c r="MS475" s="1"/>
      <c r="MT475" s="1"/>
      <c r="MU475" s="1"/>
      <c r="MV475" s="1"/>
      <c r="MW475" s="1"/>
      <c r="MX475" s="1"/>
      <c r="MY475" s="1"/>
      <c r="MZ475" s="1"/>
      <c r="NA475" s="1"/>
      <c r="NB475" s="1"/>
      <c r="NC475" s="1"/>
      <c r="ND475" s="1"/>
      <c r="NE475" s="1"/>
      <c r="NF475" s="1"/>
      <c r="NG475" s="1"/>
      <c r="NH475" s="1"/>
      <c r="NI475" s="1"/>
      <c r="NJ475" s="1"/>
      <c r="NK475" s="1"/>
      <c r="NL475" s="1"/>
      <c r="NM475" s="1"/>
      <c r="NN475" s="1"/>
      <c r="NO475" s="1"/>
      <c r="NP475" s="1"/>
      <c r="NQ475" s="1"/>
      <c r="NR475" s="1"/>
      <c r="NS475" s="1"/>
      <c r="NT475" s="1"/>
      <c r="NU475" s="1"/>
      <c r="NV475" s="1"/>
      <c r="NW475" s="1"/>
      <c r="NX475" s="1"/>
      <c r="NY475" s="1"/>
      <c r="NZ475" s="1"/>
      <c r="OA475" s="1"/>
      <c r="OB475" s="1"/>
      <c r="OC475" s="1"/>
      <c r="OD475" s="1"/>
      <c r="OE475" s="1"/>
      <c r="OF475" s="1"/>
      <c r="OG475" s="1"/>
      <c r="OH475" s="1"/>
      <c r="OI475" s="1"/>
      <c r="OJ475" s="1"/>
      <c r="OK475" s="1"/>
      <c r="OL475" s="1"/>
      <c r="OM475" s="1"/>
      <c r="ON475" s="1"/>
      <c r="OO475" s="1"/>
      <c r="OP475" s="1"/>
      <c r="OQ475" s="1"/>
      <c r="OR475" s="1"/>
      <c r="OS475" s="1"/>
      <c r="OT475" s="1"/>
      <c r="OU475" s="1"/>
      <c r="OV475" s="1"/>
      <c r="OW475" s="1"/>
      <c r="OX475" s="1"/>
      <c r="OY475" s="1"/>
      <c r="OZ475" s="1"/>
      <c r="PA475" s="1"/>
      <c r="PB475" s="1"/>
      <c r="PC475" s="1"/>
      <c r="PD475" s="1"/>
      <c r="PE475" s="1"/>
      <c r="PF475" s="1"/>
      <c r="PG475" s="1"/>
      <c r="PH475" s="1"/>
      <c r="PI475" s="1"/>
      <c r="PJ475" s="1"/>
      <c r="PK475" s="1"/>
      <c r="PL475" s="1"/>
      <c r="PM475" s="1"/>
      <c r="PN475" s="1"/>
      <c r="PO475" s="1"/>
      <c r="PP475" s="1"/>
      <c r="PQ475" s="1"/>
      <c r="PR475" s="1"/>
      <c r="PS475" s="1"/>
      <c r="PT475" s="1"/>
      <c r="PU475" s="1"/>
      <c r="PV475" s="1"/>
      <c r="PW475" s="1"/>
      <c r="PX475" s="1"/>
      <c r="PY475" s="1"/>
      <c r="PZ475" s="1"/>
      <c r="QA475" s="1"/>
      <c r="QB475" s="1"/>
      <c r="QC475" s="1"/>
      <c r="QD475" s="1"/>
      <c r="QE475" s="1"/>
      <c r="QF475" s="1"/>
      <c r="QG475" s="1"/>
      <c r="QH475" s="1"/>
      <c r="QI475" s="1"/>
      <c r="QJ475" s="1"/>
      <c r="QK475" s="1"/>
      <c r="QL475" s="1"/>
      <c r="QM475" s="1"/>
      <c r="QN475" s="1"/>
      <c r="QO475" s="1"/>
      <c r="QP475" s="1"/>
      <c r="QQ475" s="1"/>
      <c r="QR475" s="1"/>
      <c r="QS475" s="1"/>
      <c r="QT475" s="1"/>
      <c r="QU475" s="1"/>
      <c r="QV475" s="1"/>
      <c r="QW475" s="1"/>
      <c r="QX475" s="1"/>
      <c r="QY475" s="1"/>
      <c r="QZ475" s="1"/>
      <c r="RA475" s="1"/>
      <c r="RB475" s="1"/>
      <c r="RC475" s="1"/>
      <c r="RD475" s="1"/>
      <c r="RE475" s="1"/>
      <c r="RF475" s="1"/>
      <c r="RG475" s="1"/>
      <c r="RH475" s="1"/>
      <c r="RI475" s="1"/>
      <c r="RJ475" s="1"/>
      <c r="RK475" s="1"/>
      <c r="RL475" s="1"/>
      <c r="RM475" s="1"/>
      <c r="RN475" s="1"/>
      <c r="RO475" s="1"/>
      <c r="RP475" s="1"/>
      <c r="RQ475" s="1"/>
      <c r="RR475" s="1"/>
      <c r="RS475" s="1"/>
      <c r="RT475" s="1"/>
      <c r="RU475" s="1"/>
      <c r="RV475" s="1"/>
      <c r="RW475" s="1"/>
      <c r="RX475" s="1"/>
      <c r="RY475" s="1"/>
      <c r="RZ475" s="1"/>
      <c r="SA475" s="1"/>
      <c r="SB475" s="1"/>
      <c r="SC475" s="1"/>
      <c r="SD475" s="1"/>
      <c r="SE475" s="1"/>
      <c r="SF475" s="1"/>
      <c r="SG475" s="1"/>
      <c r="SH475" s="1"/>
      <c r="SI475" s="1"/>
      <c r="SJ475" s="1"/>
      <c r="SK475" s="1"/>
      <c r="SL475" s="1"/>
      <c r="SM475" s="1"/>
      <c r="SN475" s="1"/>
      <c r="SO475" s="1"/>
      <c r="SP475" s="1"/>
      <c r="SQ475" s="1"/>
      <c r="SR475" s="1"/>
      <c r="SS475" s="1"/>
      <c r="ST475" s="1"/>
      <c r="SU475" s="1"/>
      <c r="SV475" s="1"/>
      <c r="SW475" s="1"/>
      <c r="SX475" s="1"/>
      <c r="SY475" s="1"/>
      <c r="SZ475" s="1"/>
      <c r="TA475" s="1"/>
      <c r="TB475" s="1"/>
      <c r="TC475" s="1"/>
      <c r="TD475" s="1"/>
      <c r="TE475" s="1"/>
      <c r="TF475" s="1"/>
      <c r="TG475" s="1"/>
      <c r="TH475" s="1"/>
      <c r="TI475" s="1"/>
      <c r="TJ475" s="1"/>
      <c r="TK475" s="1"/>
      <c r="TL475" s="1"/>
      <c r="TM475" s="1"/>
      <c r="TN475" s="1"/>
      <c r="TO475" s="1"/>
      <c r="TP475" s="1"/>
      <c r="TQ475" s="1"/>
      <c r="TR475" s="1"/>
      <c r="TS475" s="1"/>
      <c r="TT475" s="1"/>
      <c r="TU475" s="1"/>
      <c r="TV475" s="1"/>
      <c r="TW475" s="1"/>
      <c r="TX475" s="1"/>
      <c r="TY475" s="1"/>
      <c r="TZ475" s="1"/>
      <c r="UA475" s="1"/>
      <c r="UB475" s="1"/>
      <c r="UC475" s="1"/>
      <c r="UD475" s="1"/>
      <c r="UE475" s="1"/>
      <c r="UF475" s="1"/>
      <c r="UG475" s="1"/>
      <c r="UH475" s="1"/>
      <c r="UI475" s="1"/>
      <c r="UJ475" s="1"/>
      <c r="UK475" s="1"/>
      <c r="UL475" s="1"/>
      <c r="UM475" s="1"/>
      <c r="UN475" s="1"/>
      <c r="UO475" s="1"/>
      <c r="UP475" s="1"/>
      <c r="UQ475" s="1"/>
      <c r="UR475" s="1"/>
      <c r="US475" s="1"/>
      <c r="UT475" s="1"/>
      <c r="UU475" s="1"/>
      <c r="UV475" s="1"/>
      <c r="UW475" s="1"/>
      <c r="UX475" s="1"/>
      <c r="UY475" s="1"/>
      <c r="UZ475" s="1"/>
      <c r="VA475" s="1"/>
      <c r="VB475" s="1"/>
      <c r="VC475" s="1"/>
      <c r="VD475" s="1"/>
      <c r="VE475" s="1"/>
      <c r="VF475" s="1"/>
      <c r="VG475" s="1"/>
      <c r="VH475" s="1"/>
      <c r="VI475" s="1"/>
      <c r="VJ475" s="1"/>
      <c r="VK475" s="1"/>
      <c r="VL475" s="1"/>
      <c r="VM475" s="1"/>
      <c r="VN475" s="1"/>
      <c r="VO475" s="1"/>
      <c r="VP475" s="1"/>
      <c r="VQ475" s="1"/>
      <c r="VR475" s="1"/>
      <c r="VS475" s="1"/>
      <c r="VT475" s="1"/>
      <c r="VU475" s="1"/>
      <c r="VV475" s="1"/>
      <c r="VW475" s="1"/>
      <c r="VX475" s="1"/>
      <c r="VY475" s="1"/>
      <c r="VZ475" s="1"/>
      <c r="WA475" s="1"/>
      <c r="WB475" s="1"/>
      <c r="WC475" s="1"/>
      <c r="WD475" s="1"/>
      <c r="WE475" s="1"/>
      <c r="WF475" s="1"/>
      <c r="WG475" s="1"/>
      <c r="WH475" s="1"/>
      <c r="WI475" s="1"/>
      <c r="WJ475" s="1"/>
      <c r="WK475" s="1"/>
      <c r="WL475" s="1"/>
      <c r="WM475" s="1"/>
      <c r="WN475" s="1"/>
      <c r="WO475" s="1"/>
      <c r="WP475" s="1"/>
      <c r="WQ475" s="1"/>
      <c r="WR475" s="1"/>
      <c r="WS475" s="1"/>
      <c r="WT475" s="1"/>
      <c r="WU475" s="1"/>
      <c r="WV475" s="1"/>
      <c r="WW475" s="1"/>
      <c r="WX475" s="1"/>
      <c r="WY475" s="1"/>
      <c r="WZ475" s="1"/>
      <c r="XA475" s="1"/>
      <c r="XB475" s="1"/>
      <c r="XC475" s="1"/>
      <c r="XD475" s="1"/>
      <c r="XE475" s="1"/>
      <c r="XF475" s="1"/>
      <c r="XG475" s="1"/>
      <c r="XH475" s="1"/>
      <c r="XI475" s="1"/>
      <c r="XJ475" s="1"/>
      <c r="XK475" s="1"/>
      <c r="XL475" s="1"/>
      <c r="XM475" s="1"/>
      <c r="XN475" s="1"/>
      <c r="XO475" s="1"/>
      <c r="XP475" s="1"/>
      <c r="XQ475" s="1"/>
      <c r="XR475" s="1"/>
      <c r="XS475" s="1"/>
      <c r="XT475" s="1"/>
      <c r="XU475" s="1"/>
      <c r="XV475" s="1"/>
      <c r="XW475" s="1"/>
      <c r="XX475" s="1"/>
      <c r="XY475" s="1"/>
      <c r="XZ475" s="1"/>
      <c r="YA475" s="1"/>
      <c r="YB475" s="1"/>
      <c r="YC475" s="1"/>
      <c r="YD475" s="1"/>
      <c r="YE475" s="1"/>
      <c r="YF475" s="1"/>
      <c r="YG475" s="1"/>
      <c r="YH475" s="1"/>
      <c r="YI475" s="1"/>
      <c r="YJ475" s="1"/>
      <c r="YK475" s="1"/>
      <c r="YL475" s="1"/>
      <c r="YM475" s="1"/>
      <c r="YN475" s="1"/>
      <c r="YO475" s="1"/>
      <c r="YP475" s="1"/>
      <c r="YQ475" s="1"/>
      <c r="YR475" s="1"/>
      <c r="YS475" s="1"/>
      <c r="YT475" s="1"/>
      <c r="YU475" s="1"/>
      <c r="YV475" s="1"/>
      <c r="YW475" s="1"/>
      <c r="YX475" s="1"/>
      <c r="YY475" s="1"/>
      <c r="YZ475" s="1"/>
      <c r="ZA475" s="1"/>
      <c r="ZB475" s="1"/>
      <c r="ZC475" s="1"/>
      <c r="ZD475" s="1"/>
      <c r="ZE475" s="1"/>
      <c r="ZF475" s="1"/>
      <c r="ZG475" s="1"/>
      <c r="ZH475" s="1"/>
      <c r="ZI475" s="1"/>
      <c r="ZJ475" s="1"/>
      <c r="ZK475" s="1"/>
      <c r="ZL475" s="1"/>
      <c r="ZM475" s="1"/>
      <c r="ZN475" s="1"/>
      <c r="ZO475" s="1"/>
      <c r="ZP475" s="1"/>
      <c r="ZQ475" s="1"/>
      <c r="ZR475" s="1"/>
      <c r="ZS475" s="1"/>
      <c r="ZT475" s="1"/>
      <c r="ZU475" s="1"/>
      <c r="ZV475" s="1"/>
      <c r="ZW475" s="1"/>
      <c r="ZX475" s="1"/>
      <c r="ZY475" s="1"/>
      <c r="ZZ475" s="1"/>
      <c r="AAA475" s="1"/>
      <c r="AAB475" s="1"/>
      <c r="AAC475" s="1"/>
      <c r="AAD475" s="1"/>
      <c r="AAE475" s="1"/>
      <c r="AAF475" s="1"/>
      <c r="AAG475" s="1"/>
      <c r="AAH475" s="1"/>
      <c r="AAI475" s="1"/>
      <c r="AAJ475" s="1"/>
      <c r="AAK475" s="1"/>
      <c r="AAL475" s="1"/>
      <c r="AAM475" s="1"/>
      <c r="AAN475" s="1"/>
      <c r="AAO475" s="1"/>
      <c r="AAP475" s="1"/>
      <c r="AAQ475" s="1"/>
      <c r="AAR475" s="1"/>
      <c r="AAS475" s="1"/>
      <c r="AAT475" s="1"/>
      <c r="AAU475" s="1"/>
      <c r="AAV475" s="1"/>
      <c r="AAW475" s="1"/>
      <c r="AAX475" s="1"/>
      <c r="AAY475" s="1"/>
      <c r="AAZ475" s="1"/>
      <c r="ABA475" s="1"/>
      <c r="ABB475" s="1"/>
      <c r="ABC475" s="1"/>
      <c r="ABD475" s="1"/>
      <c r="ABE475" s="1"/>
      <c r="ABF475" s="1"/>
      <c r="ABG475" s="1"/>
      <c r="ABH475" s="1"/>
      <c r="ABI475" s="1"/>
      <c r="ABJ475" s="1"/>
      <c r="ABK475" s="1"/>
      <c r="ABL475" s="1"/>
      <c r="ABM475" s="1"/>
      <c r="ABN475" s="1"/>
      <c r="ABO475" s="1"/>
      <c r="ABP475" s="1"/>
      <c r="ABQ475" s="1"/>
      <c r="ABR475" s="1"/>
      <c r="ABS475" s="1"/>
      <c r="ABT475" s="1"/>
      <c r="ABU475" s="1"/>
      <c r="ABV475" s="1"/>
      <c r="ABW475" s="1"/>
      <c r="ABX475" s="1"/>
      <c r="ABY475" s="1"/>
      <c r="ABZ475" s="1"/>
      <c r="ACA475" s="1"/>
      <c r="ACB475" s="1"/>
      <c r="ACC475" s="1"/>
      <c r="ACD475" s="1"/>
      <c r="ACE475" s="1"/>
      <c r="ACF475" s="1"/>
      <c r="ACG475" s="1"/>
      <c r="ACH475" s="1"/>
      <c r="ACI475" s="1"/>
      <c r="ACJ475" s="1"/>
      <c r="ACK475" s="1"/>
      <c r="ACL475" s="1"/>
      <c r="ACM475" s="1"/>
      <c r="ACN475" s="1"/>
      <c r="ACO475" s="1"/>
      <c r="ACP475" s="1"/>
      <c r="ACQ475" s="1"/>
      <c r="ACR475" s="1"/>
      <c r="ACS475" s="1"/>
      <c r="ACT475" s="1"/>
      <c r="ACU475" s="1"/>
      <c r="ACV475" s="1"/>
      <c r="ACW475" s="1"/>
      <c r="ACX475" s="1"/>
      <c r="ACY475" s="1"/>
      <c r="ACZ475" s="1"/>
      <c r="ADA475" s="1"/>
      <c r="ADB475" s="1"/>
      <c r="ADC475" s="1"/>
      <c r="ADD475" s="1"/>
      <c r="ADE475" s="1"/>
      <c r="ADF475" s="1"/>
      <c r="ADG475" s="1"/>
      <c r="ADH475" s="1"/>
      <c r="ADI475" s="1"/>
      <c r="ADJ475" s="1"/>
      <c r="ADK475" s="1"/>
      <c r="ADL475" s="1"/>
      <c r="ADM475" s="1"/>
      <c r="ADN475" s="1"/>
      <c r="ADO475" s="1"/>
      <c r="ADP475" s="1"/>
      <c r="ADQ475" s="1"/>
      <c r="ADR475" s="1"/>
      <c r="ADS475" s="1"/>
      <c r="ADT475" s="1"/>
      <c r="ADU475" s="1"/>
      <c r="ADV475" s="1"/>
      <c r="ADW475" s="1"/>
      <c r="ADX475" s="1"/>
      <c r="ADY475" s="1"/>
      <c r="ADZ475" s="1"/>
      <c r="AEA475" s="1"/>
      <c r="AEB475" s="1"/>
      <c r="AEC475" s="1"/>
      <c r="AED475" s="1"/>
      <c r="AEE475" s="1"/>
      <c r="AEF475" s="1"/>
      <c r="AEG475" s="1"/>
      <c r="AEH475" s="1"/>
      <c r="AEI475" s="1"/>
      <c r="AEJ475" s="1"/>
      <c r="AEK475" s="1"/>
      <c r="AEL475" s="1"/>
      <c r="AEM475" s="1"/>
      <c r="AEN475" s="1"/>
      <c r="AEO475" s="1"/>
      <c r="AEP475" s="1"/>
      <c r="AEQ475" s="1"/>
      <c r="AER475" s="1"/>
      <c r="AES475" s="1"/>
      <c r="AET475" s="1"/>
      <c r="AEU475" s="1"/>
      <c r="AEV475" s="1"/>
      <c r="AEW475" s="1"/>
      <c r="AEX475" s="1"/>
      <c r="AEY475" s="1"/>
      <c r="AEZ475" s="1"/>
      <c r="AFA475" s="1"/>
      <c r="AFB475" s="1"/>
      <c r="AFC475" s="1"/>
      <c r="AFD475" s="1"/>
      <c r="AFE475" s="1"/>
      <c r="AFF475" s="1"/>
      <c r="AFG475" s="1"/>
      <c r="AFH475" s="1"/>
      <c r="AFI475" s="1"/>
      <c r="AFJ475" s="1"/>
      <c r="AFK475" s="1"/>
      <c r="AFL475" s="1"/>
      <c r="AFM475" s="1"/>
      <c r="AFN475" s="1"/>
      <c r="AFO475" s="1"/>
      <c r="AFP475" s="1"/>
      <c r="AFQ475" s="1"/>
      <c r="AFR475" s="1"/>
      <c r="AFS475" s="1"/>
      <c r="AFT475" s="1"/>
      <c r="AFU475" s="1"/>
      <c r="AFV475" s="1"/>
      <c r="AFW475" s="1"/>
      <c r="AFX475" s="1"/>
      <c r="AFY475" s="1"/>
      <c r="AFZ475" s="1"/>
      <c r="AGA475" s="1"/>
      <c r="AGB475" s="1"/>
      <c r="AGC475" s="1"/>
      <c r="AGD475" s="1"/>
      <c r="AGE475" s="1"/>
      <c r="AGF475" s="1"/>
      <c r="AGG475" s="1"/>
      <c r="AGH475" s="1"/>
      <c r="AGI475" s="1"/>
      <c r="AGJ475" s="1"/>
      <c r="AGK475" s="1"/>
      <c r="AGL475" s="1"/>
      <c r="AGM475" s="1"/>
      <c r="AGN475" s="1"/>
      <c r="AGO475" s="1"/>
      <c r="AGP475" s="1"/>
      <c r="AGQ475" s="1"/>
      <c r="AGR475" s="1"/>
      <c r="AGS475" s="1"/>
      <c r="AGT475" s="1"/>
      <c r="AGU475" s="1"/>
      <c r="AGV475" s="1"/>
      <c r="AGW475" s="1"/>
      <c r="AGX475" s="1"/>
      <c r="AGY475" s="1"/>
      <c r="AGZ475" s="1"/>
      <c r="AHA475" s="1"/>
      <c r="AHB475" s="1"/>
      <c r="AHC475" s="1"/>
      <c r="AHD475" s="1"/>
      <c r="AHE475" s="1"/>
      <c r="AHF475" s="1"/>
      <c r="AHG475" s="1"/>
      <c r="AHH475" s="1"/>
      <c r="AHI475" s="1"/>
      <c r="AHJ475" s="1"/>
      <c r="AHK475" s="1"/>
      <c r="AHL475" s="1"/>
      <c r="AHM475" s="1"/>
      <c r="AHN475" s="1"/>
      <c r="AHO475" s="1"/>
      <c r="AHP475" s="1"/>
      <c r="AHQ475" s="1"/>
      <c r="AHR475" s="1"/>
      <c r="AHS475" s="1"/>
      <c r="AHT475" s="1"/>
      <c r="AHU475" s="1"/>
      <c r="AHV475" s="1"/>
      <c r="AHW475" s="1"/>
      <c r="AHX475" s="1"/>
      <c r="AHY475" s="1"/>
    </row>
    <row r="476" spans="1:909" s="5" customFormat="1" ht="21.6" thickTop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  <c r="JW476" s="1"/>
      <c r="JX476" s="1"/>
      <c r="JY476" s="1"/>
      <c r="JZ476" s="1"/>
      <c r="KA476" s="1"/>
      <c r="KB476" s="1"/>
      <c r="KC476" s="1"/>
      <c r="KD476" s="1"/>
      <c r="KE476" s="1"/>
      <c r="KF476" s="1"/>
      <c r="KG476" s="1"/>
      <c r="KH476" s="1"/>
      <c r="KI476" s="1"/>
      <c r="KJ476" s="1"/>
      <c r="KK476" s="1"/>
      <c r="KL476" s="1"/>
      <c r="KM476" s="1"/>
      <c r="KN476" s="1"/>
      <c r="KO476" s="1"/>
      <c r="KP476" s="1"/>
      <c r="KQ476" s="1"/>
      <c r="KR476" s="1"/>
      <c r="KS476" s="1"/>
      <c r="KT476" s="1"/>
      <c r="KU476" s="1"/>
      <c r="KV476" s="1"/>
      <c r="KW476" s="1"/>
      <c r="KX476" s="1"/>
      <c r="KY476" s="1"/>
      <c r="KZ476" s="1"/>
      <c r="LA476" s="1"/>
      <c r="LB476" s="1"/>
      <c r="LC476" s="1"/>
      <c r="LD476" s="1"/>
      <c r="LE476" s="1"/>
      <c r="LF476" s="1"/>
      <c r="LG476" s="1"/>
      <c r="LH476" s="1"/>
      <c r="LI476" s="1"/>
      <c r="LJ476" s="1"/>
      <c r="LK476" s="1"/>
      <c r="LL476" s="1"/>
      <c r="LM476" s="1"/>
      <c r="LN476" s="1"/>
      <c r="LO476" s="1"/>
      <c r="LP476" s="1"/>
      <c r="LQ476" s="1"/>
      <c r="LR476" s="1"/>
      <c r="LS476" s="1"/>
      <c r="LT476" s="1"/>
      <c r="LU476" s="1"/>
      <c r="LV476" s="1"/>
      <c r="LW476" s="1"/>
      <c r="LX476" s="1"/>
      <c r="LY476" s="1"/>
      <c r="LZ476" s="1"/>
      <c r="MA476" s="1"/>
      <c r="MB476" s="1"/>
      <c r="MC476" s="1"/>
      <c r="MD476" s="1"/>
      <c r="ME476" s="1"/>
      <c r="MF476" s="1"/>
      <c r="MG476" s="1"/>
      <c r="MH476" s="1"/>
      <c r="MI476" s="1"/>
      <c r="MJ476" s="1"/>
      <c r="MK476" s="1"/>
      <c r="ML476" s="1"/>
      <c r="MM476" s="1"/>
      <c r="MN476" s="1"/>
      <c r="MO476" s="1"/>
      <c r="MP476" s="1"/>
      <c r="MQ476" s="1"/>
      <c r="MR476" s="1"/>
      <c r="MS476" s="1"/>
      <c r="MT476" s="1"/>
      <c r="MU476" s="1"/>
      <c r="MV476" s="1"/>
      <c r="MW476" s="1"/>
      <c r="MX476" s="1"/>
      <c r="MY476" s="1"/>
      <c r="MZ476" s="1"/>
      <c r="NA476" s="1"/>
      <c r="NB476" s="1"/>
      <c r="NC476" s="1"/>
      <c r="ND476" s="1"/>
      <c r="NE476" s="1"/>
      <c r="NF476" s="1"/>
      <c r="NG476" s="1"/>
      <c r="NH476" s="1"/>
      <c r="NI476" s="1"/>
      <c r="NJ476" s="1"/>
      <c r="NK476" s="1"/>
      <c r="NL476" s="1"/>
      <c r="NM476" s="1"/>
      <c r="NN476" s="1"/>
      <c r="NO476" s="1"/>
      <c r="NP476" s="1"/>
      <c r="NQ476" s="1"/>
      <c r="NR476" s="1"/>
      <c r="NS476" s="1"/>
      <c r="NT476" s="1"/>
      <c r="NU476" s="1"/>
      <c r="NV476" s="1"/>
      <c r="NW476" s="1"/>
      <c r="NX476" s="1"/>
      <c r="NY476" s="1"/>
      <c r="NZ476" s="1"/>
      <c r="OA476" s="1"/>
      <c r="OB476" s="1"/>
      <c r="OC476" s="1"/>
      <c r="OD476" s="1"/>
      <c r="OE476" s="1"/>
      <c r="OF476" s="1"/>
      <c r="OG476" s="1"/>
      <c r="OH476" s="1"/>
      <c r="OI476" s="1"/>
      <c r="OJ476" s="1"/>
      <c r="OK476" s="1"/>
      <c r="OL476" s="1"/>
      <c r="OM476" s="1"/>
      <c r="ON476" s="1"/>
      <c r="OO476" s="1"/>
      <c r="OP476" s="1"/>
      <c r="OQ476" s="1"/>
      <c r="OR476" s="1"/>
      <c r="OS476" s="1"/>
      <c r="OT476" s="1"/>
      <c r="OU476" s="1"/>
      <c r="OV476" s="1"/>
      <c r="OW476" s="1"/>
      <c r="OX476" s="1"/>
      <c r="OY476" s="1"/>
      <c r="OZ476" s="1"/>
      <c r="PA476" s="1"/>
      <c r="PB476" s="1"/>
      <c r="PC476" s="1"/>
      <c r="PD476" s="1"/>
      <c r="PE476" s="1"/>
      <c r="PF476" s="1"/>
      <c r="PG476" s="1"/>
      <c r="PH476" s="1"/>
      <c r="PI476" s="1"/>
      <c r="PJ476" s="1"/>
      <c r="PK476" s="1"/>
      <c r="PL476" s="1"/>
      <c r="PM476" s="1"/>
      <c r="PN476" s="1"/>
      <c r="PO476" s="1"/>
      <c r="PP476" s="1"/>
      <c r="PQ476" s="1"/>
      <c r="PR476" s="1"/>
      <c r="PS476" s="1"/>
      <c r="PT476" s="1"/>
      <c r="PU476" s="1"/>
      <c r="PV476" s="1"/>
      <c r="PW476" s="1"/>
      <c r="PX476" s="1"/>
      <c r="PY476" s="1"/>
      <c r="PZ476" s="1"/>
      <c r="QA476" s="1"/>
      <c r="QB476" s="1"/>
      <c r="QC476" s="1"/>
      <c r="QD476" s="1"/>
      <c r="QE476" s="1"/>
      <c r="QF476" s="1"/>
      <c r="QG476" s="1"/>
      <c r="QH476" s="1"/>
      <c r="QI476" s="1"/>
      <c r="QJ476" s="1"/>
      <c r="QK476" s="1"/>
      <c r="QL476" s="1"/>
      <c r="QM476" s="1"/>
      <c r="QN476" s="1"/>
      <c r="QO476" s="1"/>
      <c r="QP476" s="1"/>
      <c r="QQ476" s="1"/>
      <c r="QR476" s="1"/>
      <c r="QS476" s="1"/>
      <c r="QT476" s="1"/>
      <c r="QU476" s="1"/>
      <c r="QV476" s="1"/>
      <c r="QW476" s="1"/>
      <c r="QX476" s="1"/>
      <c r="QY476" s="1"/>
      <c r="QZ476" s="1"/>
      <c r="RA476" s="1"/>
      <c r="RB476" s="1"/>
      <c r="RC476" s="1"/>
      <c r="RD476" s="1"/>
      <c r="RE476" s="1"/>
      <c r="RF476" s="1"/>
      <c r="RG476" s="1"/>
      <c r="RH476" s="1"/>
      <c r="RI476" s="1"/>
      <c r="RJ476" s="1"/>
      <c r="RK476" s="1"/>
      <c r="RL476" s="1"/>
      <c r="RM476" s="1"/>
      <c r="RN476" s="1"/>
      <c r="RO476" s="1"/>
      <c r="RP476" s="1"/>
      <c r="RQ476" s="1"/>
      <c r="RR476" s="1"/>
      <c r="RS476" s="1"/>
      <c r="RT476" s="1"/>
      <c r="RU476" s="1"/>
      <c r="RV476" s="1"/>
      <c r="RW476" s="1"/>
      <c r="RX476" s="1"/>
      <c r="RY476" s="1"/>
      <c r="RZ476" s="1"/>
      <c r="SA476" s="1"/>
      <c r="SB476" s="1"/>
      <c r="SC476" s="1"/>
      <c r="SD476" s="1"/>
      <c r="SE476" s="1"/>
      <c r="SF476" s="1"/>
      <c r="SG476" s="1"/>
      <c r="SH476" s="1"/>
      <c r="SI476" s="1"/>
      <c r="SJ476" s="1"/>
      <c r="SK476" s="1"/>
      <c r="SL476" s="1"/>
      <c r="SM476" s="1"/>
      <c r="SN476" s="1"/>
      <c r="SO476" s="1"/>
      <c r="SP476" s="1"/>
      <c r="SQ476" s="1"/>
      <c r="SR476" s="1"/>
      <c r="SS476" s="1"/>
      <c r="ST476" s="1"/>
      <c r="SU476" s="1"/>
      <c r="SV476" s="1"/>
      <c r="SW476" s="1"/>
      <c r="SX476" s="1"/>
      <c r="SY476" s="1"/>
      <c r="SZ476" s="1"/>
      <c r="TA476" s="1"/>
      <c r="TB476" s="1"/>
      <c r="TC476" s="1"/>
      <c r="TD476" s="1"/>
      <c r="TE476" s="1"/>
      <c r="TF476" s="1"/>
      <c r="TG476" s="1"/>
      <c r="TH476" s="1"/>
      <c r="TI476" s="1"/>
      <c r="TJ476" s="1"/>
      <c r="TK476" s="1"/>
      <c r="TL476" s="1"/>
      <c r="TM476" s="1"/>
      <c r="TN476" s="1"/>
      <c r="TO476" s="1"/>
      <c r="TP476" s="1"/>
      <c r="TQ476" s="1"/>
      <c r="TR476" s="1"/>
      <c r="TS476" s="1"/>
      <c r="TT476" s="1"/>
      <c r="TU476" s="1"/>
      <c r="TV476" s="1"/>
      <c r="TW476" s="1"/>
      <c r="TX476" s="1"/>
      <c r="TY476" s="1"/>
      <c r="TZ476" s="1"/>
      <c r="UA476" s="1"/>
      <c r="UB476" s="1"/>
      <c r="UC476" s="1"/>
      <c r="UD476" s="1"/>
      <c r="UE476" s="1"/>
      <c r="UF476" s="1"/>
      <c r="UG476" s="1"/>
      <c r="UH476" s="1"/>
      <c r="UI476" s="1"/>
      <c r="UJ476" s="1"/>
      <c r="UK476" s="1"/>
      <c r="UL476" s="1"/>
      <c r="UM476" s="1"/>
      <c r="UN476" s="1"/>
      <c r="UO476" s="1"/>
      <c r="UP476" s="1"/>
      <c r="UQ476" s="1"/>
      <c r="UR476" s="1"/>
      <c r="US476" s="1"/>
      <c r="UT476" s="1"/>
      <c r="UU476" s="1"/>
      <c r="UV476" s="1"/>
      <c r="UW476" s="1"/>
      <c r="UX476" s="1"/>
      <c r="UY476" s="1"/>
      <c r="UZ476" s="1"/>
      <c r="VA476" s="1"/>
      <c r="VB476" s="1"/>
      <c r="VC476" s="1"/>
      <c r="VD476" s="1"/>
      <c r="VE476" s="1"/>
      <c r="VF476" s="1"/>
      <c r="VG476" s="1"/>
      <c r="VH476" s="1"/>
      <c r="VI476" s="1"/>
      <c r="VJ476" s="1"/>
      <c r="VK476" s="1"/>
      <c r="VL476" s="1"/>
      <c r="VM476" s="1"/>
      <c r="VN476" s="1"/>
      <c r="VO476" s="1"/>
      <c r="VP476" s="1"/>
      <c r="VQ476" s="1"/>
      <c r="VR476" s="1"/>
      <c r="VS476" s="1"/>
      <c r="VT476" s="1"/>
      <c r="VU476" s="1"/>
      <c r="VV476" s="1"/>
      <c r="VW476" s="1"/>
      <c r="VX476" s="1"/>
      <c r="VY476" s="1"/>
      <c r="VZ476" s="1"/>
      <c r="WA476" s="1"/>
      <c r="WB476" s="1"/>
      <c r="WC476" s="1"/>
      <c r="WD476" s="1"/>
      <c r="WE476" s="1"/>
      <c r="WF476" s="1"/>
      <c r="WG476" s="1"/>
      <c r="WH476" s="1"/>
      <c r="WI476" s="1"/>
      <c r="WJ476" s="1"/>
      <c r="WK476" s="1"/>
      <c r="WL476" s="1"/>
      <c r="WM476" s="1"/>
      <c r="WN476" s="1"/>
      <c r="WO476" s="1"/>
      <c r="WP476" s="1"/>
      <c r="WQ476" s="1"/>
      <c r="WR476" s="1"/>
      <c r="WS476" s="1"/>
      <c r="WT476" s="1"/>
      <c r="WU476" s="1"/>
      <c r="WV476" s="1"/>
      <c r="WW476" s="1"/>
      <c r="WX476" s="1"/>
      <c r="WY476" s="1"/>
      <c r="WZ476" s="1"/>
      <c r="XA476" s="1"/>
      <c r="XB476" s="1"/>
      <c r="XC476" s="1"/>
      <c r="XD476" s="1"/>
      <c r="XE476" s="1"/>
      <c r="XF476" s="1"/>
      <c r="XG476" s="1"/>
      <c r="XH476" s="1"/>
      <c r="XI476" s="1"/>
      <c r="XJ476" s="1"/>
      <c r="XK476" s="1"/>
      <c r="XL476" s="1"/>
      <c r="XM476" s="1"/>
      <c r="XN476" s="1"/>
      <c r="XO476" s="1"/>
      <c r="XP476" s="1"/>
      <c r="XQ476" s="1"/>
      <c r="XR476" s="1"/>
      <c r="XS476" s="1"/>
      <c r="XT476" s="1"/>
      <c r="XU476" s="1"/>
      <c r="XV476" s="1"/>
      <c r="XW476" s="1"/>
      <c r="XX476" s="1"/>
      <c r="XY476" s="1"/>
      <c r="XZ476" s="1"/>
      <c r="YA476" s="1"/>
      <c r="YB476" s="1"/>
      <c r="YC476" s="1"/>
      <c r="YD476" s="1"/>
      <c r="YE476" s="1"/>
      <c r="YF476" s="1"/>
      <c r="YG476" s="1"/>
      <c r="YH476" s="1"/>
      <c r="YI476" s="1"/>
      <c r="YJ476" s="1"/>
      <c r="YK476" s="1"/>
      <c r="YL476" s="1"/>
      <c r="YM476" s="1"/>
      <c r="YN476" s="1"/>
      <c r="YO476" s="1"/>
      <c r="YP476" s="1"/>
      <c r="YQ476" s="1"/>
      <c r="YR476" s="1"/>
      <c r="YS476" s="1"/>
      <c r="YT476" s="1"/>
      <c r="YU476" s="1"/>
      <c r="YV476" s="1"/>
      <c r="YW476" s="1"/>
      <c r="YX476" s="1"/>
      <c r="YY476" s="1"/>
      <c r="YZ476" s="1"/>
      <c r="ZA476" s="1"/>
      <c r="ZB476" s="1"/>
      <c r="ZC476" s="1"/>
      <c r="ZD476" s="1"/>
      <c r="ZE476" s="1"/>
      <c r="ZF476" s="1"/>
      <c r="ZG476" s="1"/>
      <c r="ZH476" s="1"/>
      <c r="ZI476" s="1"/>
      <c r="ZJ476" s="1"/>
      <c r="ZK476" s="1"/>
      <c r="ZL476" s="1"/>
      <c r="ZM476" s="1"/>
      <c r="ZN476" s="1"/>
      <c r="ZO476" s="1"/>
      <c r="ZP476" s="1"/>
      <c r="ZQ476" s="1"/>
      <c r="ZR476" s="1"/>
      <c r="ZS476" s="1"/>
      <c r="ZT476" s="1"/>
      <c r="ZU476" s="1"/>
      <c r="ZV476" s="1"/>
      <c r="ZW476" s="1"/>
      <c r="ZX476" s="1"/>
      <c r="ZY476" s="1"/>
      <c r="ZZ476" s="1"/>
      <c r="AAA476" s="1"/>
      <c r="AAB476" s="1"/>
      <c r="AAC476" s="1"/>
      <c r="AAD476" s="1"/>
      <c r="AAE476" s="1"/>
      <c r="AAF476" s="1"/>
      <c r="AAG476" s="1"/>
      <c r="AAH476" s="1"/>
      <c r="AAI476" s="1"/>
      <c r="AAJ476" s="1"/>
      <c r="AAK476" s="1"/>
      <c r="AAL476" s="1"/>
      <c r="AAM476" s="1"/>
      <c r="AAN476" s="1"/>
      <c r="AAO476" s="1"/>
      <c r="AAP476" s="1"/>
      <c r="AAQ476" s="1"/>
      <c r="AAR476" s="1"/>
      <c r="AAS476" s="1"/>
      <c r="AAT476" s="1"/>
      <c r="AAU476" s="1"/>
      <c r="AAV476" s="1"/>
      <c r="AAW476" s="1"/>
      <c r="AAX476" s="1"/>
      <c r="AAY476" s="1"/>
      <c r="AAZ476" s="1"/>
      <c r="ABA476" s="1"/>
      <c r="ABB476" s="1"/>
      <c r="ABC476" s="1"/>
      <c r="ABD476" s="1"/>
      <c r="ABE476" s="1"/>
      <c r="ABF476" s="1"/>
      <c r="ABG476" s="1"/>
      <c r="ABH476" s="1"/>
      <c r="ABI476" s="1"/>
      <c r="ABJ476" s="1"/>
      <c r="ABK476" s="1"/>
      <c r="ABL476" s="1"/>
      <c r="ABM476" s="1"/>
      <c r="ABN476" s="1"/>
      <c r="ABO476" s="1"/>
      <c r="ABP476" s="1"/>
      <c r="ABQ476" s="1"/>
      <c r="ABR476" s="1"/>
      <c r="ABS476" s="1"/>
      <c r="ABT476" s="1"/>
      <c r="ABU476" s="1"/>
      <c r="ABV476" s="1"/>
      <c r="ABW476" s="1"/>
      <c r="ABX476" s="1"/>
      <c r="ABY476" s="1"/>
      <c r="ABZ476" s="1"/>
      <c r="ACA476" s="1"/>
      <c r="ACB476" s="1"/>
      <c r="ACC476" s="1"/>
      <c r="ACD476" s="1"/>
      <c r="ACE476" s="1"/>
      <c r="ACF476" s="1"/>
      <c r="ACG476" s="1"/>
      <c r="ACH476" s="1"/>
      <c r="ACI476" s="1"/>
      <c r="ACJ476" s="1"/>
      <c r="ACK476" s="1"/>
      <c r="ACL476" s="1"/>
      <c r="ACM476" s="1"/>
      <c r="ACN476" s="1"/>
      <c r="ACO476" s="1"/>
      <c r="ACP476" s="1"/>
      <c r="ACQ476" s="1"/>
      <c r="ACR476" s="1"/>
      <c r="ACS476" s="1"/>
      <c r="ACT476" s="1"/>
      <c r="ACU476" s="1"/>
      <c r="ACV476" s="1"/>
      <c r="ACW476" s="1"/>
      <c r="ACX476" s="1"/>
      <c r="ACY476" s="1"/>
      <c r="ACZ476" s="1"/>
      <c r="ADA476" s="1"/>
      <c r="ADB476" s="1"/>
      <c r="ADC476" s="1"/>
      <c r="ADD476" s="1"/>
      <c r="ADE476" s="1"/>
      <c r="ADF476" s="1"/>
      <c r="ADG476" s="1"/>
      <c r="ADH476" s="1"/>
      <c r="ADI476" s="1"/>
      <c r="ADJ476" s="1"/>
      <c r="ADK476" s="1"/>
      <c r="ADL476" s="1"/>
      <c r="ADM476" s="1"/>
      <c r="ADN476" s="1"/>
      <c r="ADO476" s="1"/>
      <c r="ADP476" s="1"/>
      <c r="ADQ476" s="1"/>
      <c r="ADR476" s="1"/>
      <c r="ADS476" s="1"/>
      <c r="ADT476" s="1"/>
      <c r="ADU476" s="1"/>
      <c r="ADV476" s="1"/>
      <c r="ADW476" s="1"/>
      <c r="ADX476" s="1"/>
      <c r="ADY476" s="1"/>
      <c r="ADZ476" s="1"/>
      <c r="AEA476" s="1"/>
      <c r="AEB476" s="1"/>
      <c r="AEC476" s="1"/>
      <c r="AED476" s="1"/>
      <c r="AEE476" s="1"/>
      <c r="AEF476" s="1"/>
      <c r="AEG476" s="1"/>
      <c r="AEH476" s="1"/>
      <c r="AEI476" s="1"/>
      <c r="AEJ476" s="1"/>
      <c r="AEK476" s="1"/>
      <c r="AEL476" s="1"/>
      <c r="AEM476" s="1"/>
      <c r="AEN476" s="1"/>
      <c r="AEO476" s="1"/>
      <c r="AEP476" s="1"/>
      <c r="AEQ476" s="1"/>
      <c r="AER476" s="1"/>
      <c r="AES476" s="1"/>
      <c r="AET476" s="1"/>
      <c r="AEU476" s="1"/>
      <c r="AEV476" s="1"/>
      <c r="AEW476" s="1"/>
      <c r="AEX476" s="1"/>
      <c r="AEY476" s="1"/>
      <c r="AEZ476" s="1"/>
      <c r="AFA476" s="1"/>
      <c r="AFB476" s="1"/>
      <c r="AFC476" s="1"/>
      <c r="AFD476" s="1"/>
      <c r="AFE476" s="1"/>
      <c r="AFF476" s="1"/>
      <c r="AFG476" s="1"/>
      <c r="AFH476" s="1"/>
      <c r="AFI476" s="1"/>
      <c r="AFJ476" s="1"/>
      <c r="AFK476" s="1"/>
      <c r="AFL476" s="1"/>
      <c r="AFM476" s="1"/>
      <c r="AFN476" s="1"/>
      <c r="AFO476" s="1"/>
      <c r="AFP476" s="1"/>
      <c r="AFQ476" s="1"/>
      <c r="AFR476" s="1"/>
      <c r="AFS476" s="1"/>
      <c r="AFT476" s="1"/>
      <c r="AFU476" s="1"/>
      <c r="AFV476" s="1"/>
      <c r="AFW476" s="1"/>
      <c r="AFX476" s="1"/>
      <c r="AFY476" s="1"/>
      <c r="AFZ476" s="1"/>
      <c r="AGA476" s="1"/>
      <c r="AGB476" s="1"/>
      <c r="AGC476" s="1"/>
      <c r="AGD476" s="1"/>
      <c r="AGE476" s="1"/>
      <c r="AGF476" s="1"/>
      <c r="AGG476" s="1"/>
      <c r="AGH476" s="1"/>
      <c r="AGI476" s="1"/>
      <c r="AGJ476" s="1"/>
      <c r="AGK476" s="1"/>
      <c r="AGL476" s="1"/>
      <c r="AGM476" s="1"/>
      <c r="AGN476" s="1"/>
      <c r="AGO476" s="1"/>
      <c r="AGP476" s="1"/>
      <c r="AGQ476" s="1"/>
      <c r="AGR476" s="1"/>
      <c r="AGS476" s="1"/>
      <c r="AGT476" s="1"/>
      <c r="AGU476" s="1"/>
      <c r="AGV476" s="1"/>
      <c r="AGW476" s="1"/>
      <c r="AGX476" s="1"/>
      <c r="AGY476" s="1"/>
      <c r="AGZ476" s="1"/>
      <c r="AHA476" s="1"/>
      <c r="AHB476" s="1"/>
      <c r="AHC476" s="1"/>
      <c r="AHD476" s="1"/>
      <c r="AHE476" s="1"/>
      <c r="AHF476" s="1"/>
      <c r="AHG476" s="1"/>
      <c r="AHH476" s="1"/>
      <c r="AHI476" s="1"/>
      <c r="AHJ476" s="1"/>
      <c r="AHK476" s="1"/>
      <c r="AHL476" s="1"/>
      <c r="AHM476" s="1"/>
      <c r="AHN476" s="1"/>
      <c r="AHO476" s="1"/>
      <c r="AHP476" s="1"/>
      <c r="AHQ476" s="1"/>
      <c r="AHR476" s="1"/>
      <c r="AHS476" s="1"/>
      <c r="AHT476" s="1"/>
      <c r="AHU476" s="1"/>
      <c r="AHV476" s="1"/>
      <c r="AHW476" s="1"/>
      <c r="AHX476" s="1"/>
      <c r="AHY476" s="1"/>
    </row>
    <row r="477" spans="1:909" s="1" customFormat="1" ht="21">
      <c r="A477" s="156" t="s">
        <v>135</v>
      </c>
      <c r="B477" s="156"/>
      <c r="C477" s="156"/>
      <c r="D477" s="156"/>
      <c r="E477" s="156"/>
      <c r="F477" s="156"/>
      <c r="G477" s="156"/>
      <c r="H477" s="156"/>
      <c r="I477" s="156"/>
      <c r="J477" s="156"/>
      <c r="K477" s="156"/>
      <c r="L477" s="156"/>
      <c r="M477" s="156"/>
      <c r="N477" s="156"/>
      <c r="O477" s="156"/>
      <c r="P477" s="156"/>
      <c r="Q477" s="2"/>
    </row>
    <row r="478" spans="1:909" s="1" customFormat="1" ht="21">
      <c r="A478" s="156" t="s">
        <v>136</v>
      </c>
      <c r="B478" s="156"/>
      <c r="C478" s="156"/>
      <c r="D478" s="156"/>
      <c r="E478" s="156"/>
      <c r="F478" s="156"/>
      <c r="G478" s="156"/>
      <c r="H478" s="156"/>
      <c r="I478" s="156"/>
      <c r="J478" s="156"/>
      <c r="K478" s="156"/>
      <c r="L478" s="156"/>
      <c r="M478" s="156"/>
      <c r="N478" s="156"/>
      <c r="O478" s="156"/>
      <c r="P478" s="156"/>
      <c r="Q478" s="156"/>
    </row>
    <row r="479" spans="1:909" s="1" customFormat="1" ht="21">
      <c r="F479" s="189" t="s">
        <v>113</v>
      </c>
      <c r="G479" s="189"/>
      <c r="H479" s="189"/>
      <c r="I479" s="189"/>
      <c r="J479" s="189"/>
      <c r="K479" s="189"/>
    </row>
    <row r="480" spans="1:909" s="1" customFormat="1" ht="21.6" thickBot="1">
      <c r="F480" s="13"/>
      <c r="G480" s="13"/>
      <c r="H480" s="13"/>
      <c r="I480" s="13"/>
      <c r="J480" s="13"/>
      <c r="K480" s="13"/>
    </row>
    <row r="481" spans="1:16" s="1" customFormat="1" ht="22.2" thickTop="1" thickBot="1">
      <c r="A481" s="190"/>
      <c r="B481" s="183" t="s">
        <v>114</v>
      </c>
      <c r="C481" s="192"/>
      <c r="D481" s="183" t="s">
        <v>115</v>
      </c>
      <c r="E481" s="192"/>
      <c r="F481" s="183" t="s">
        <v>116</v>
      </c>
      <c r="G481" s="192"/>
      <c r="H481" s="183" t="s">
        <v>117</v>
      </c>
      <c r="I481" s="192"/>
      <c r="J481" s="183" t="s">
        <v>118</v>
      </c>
      <c r="K481" s="192"/>
      <c r="L481" s="183" t="s">
        <v>119</v>
      </c>
      <c r="M481" s="192"/>
      <c r="N481" s="183" t="s">
        <v>120</v>
      </c>
      <c r="O481" s="184"/>
      <c r="P481" s="185"/>
    </row>
    <row r="482" spans="1:16" s="1" customFormat="1" ht="22.2" thickTop="1" thickBot="1">
      <c r="A482" s="191"/>
      <c r="B482" s="4" t="s">
        <v>76</v>
      </c>
      <c r="C482" s="4" t="s">
        <v>121</v>
      </c>
      <c r="D482" s="4" t="s">
        <v>76</v>
      </c>
      <c r="E482" s="4" t="s">
        <v>121</v>
      </c>
      <c r="F482" s="4" t="s">
        <v>76</v>
      </c>
      <c r="G482" s="4" t="s">
        <v>121</v>
      </c>
      <c r="H482" s="4" t="s">
        <v>76</v>
      </c>
      <c r="I482" s="4" t="s">
        <v>121</v>
      </c>
      <c r="J482" s="4" t="s">
        <v>76</v>
      </c>
      <c r="K482" s="4" t="s">
        <v>121</v>
      </c>
      <c r="L482" s="4" t="s">
        <v>76</v>
      </c>
      <c r="M482" s="4" t="s">
        <v>121</v>
      </c>
      <c r="N482" s="4" t="s">
        <v>76</v>
      </c>
      <c r="O482" s="4" t="s">
        <v>121</v>
      </c>
      <c r="P482" s="14" t="s">
        <v>122</v>
      </c>
    </row>
    <row r="483" spans="1:16" s="1" customFormat="1" ht="22.2" thickTop="1" thickBot="1">
      <c r="A483" s="11" t="s">
        <v>123</v>
      </c>
      <c r="B483" s="4">
        <f>'[1]التعليم الابتدائي'!AP753</f>
        <v>0</v>
      </c>
      <c r="C483" s="4">
        <f>'[1]التعليم الابتدائي'!AQ753</f>
        <v>0</v>
      </c>
      <c r="D483" s="177"/>
      <c r="E483" s="178"/>
      <c r="F483" s="178"/>
      <c r="G483" s="178"/>
      <c r="H483" s="178"/>
      <c r="I483" s="178"/>
      <c r="J483" s="178"/>
      <c r="K483" s="178"/>
      <c r="L483" s="178"/>
      <c r="M483" s="186"/>
      <c r="N483" s="4">
        <f>B483</f>
        <v>0</v>
      </c>
      <c r="O483" s="4">
        <f>C483</f>
        <v>0</v>
      </c>
      <c r="P483" s="14">
        <f t="shared" ref="P483:P493" si="30">O483+N483</f>
        <v>0</v>
      </c>
    </row>
    <row r="484" spans="1:16" s="1" customFormat="1" ht="22.2" thickTop="1" thickBot="1">
      <c r="A484" s="11" t="s">
        <v>124</v>
      </c>
      <c r="B484" s="4">
        <f>'[1]التعليم الابتدائي'!AR753</f>
        <v>0</v>
      </c>
      <c r="C484" s="4">
        <f>'[1]التعليم الابتدائي'!AS753</f>
        <v>0</v>
      </c>
      <c r="D484" s="137"/>
      <c r="E484" s="138"/>
      <c r="F484" s="180"/>
      <c r="G484" s="180"/>
      <c r="H484" s="180"/>
      <c r="I484" s="180"/>
      <c r="J484" s="180"/>
      <c r="K484" s="180"/>
      <c r="L484" s="180"/>
      <c r="M484" s="187"/>
      <c r="N484" s="4">
        <f>B484</f>
        <v>0</v>
      </c>
      <c r="O484" s="4">
        <f>C484</f>
        <v>0</v>
      </c>
      <c r="P484" s="14">
        <f t="shared" si="30"/>
        <v>0</v>
      </c>
    </row>
    <row r="485" spans="1:16" s="1" customFormat="1" ht="22.2" thickTop="1" thickBot="1">
      <c r="A485" s="11" t="s">
        <v>125</v>
      </c>
      <c r="B485" s="4">
        <f>'[1]التعليم الابتدائي'!AT753</f>
        <v>0</v>
      </c>
      <c r="C485" s="4">
        <f>'[1]التعليم الابتدائي'!AU753</f>
        <v>0</v>
      </c>
      <c r="D485" s="4">
        <f>'[1]التعليم الابتدائي'!BE753</f>
        <v>0</v>
      </c>
      <c r="E485" s="4">
        <f>'[1]التعليم الابتدائي'!BF753</f>
        <v>0</v>
      </c>
      <c r="F485" s="138"/>
      <c r="G485" s="138"/>
      <c r="H485" s="180"/>
      <c r="I485" s="180"/>
      <c r="J485" s="180"/>
      <c r="K485" s="180"/>
      <c r="L485" s="180"/>
      <c r="M485" s="187"/>
      <c r="N485" s="4">
        <f>D485+B485</f>
        <v>0</v>
      </c>
      <c r="O485" s="4">
        <f>E485+C485</f>
        <v>0</v>
      </c>
      <c r="P485" s="14">
        <f t="shared" si="30"/>
        <v>0</v>
      </c>
    </row>
    <row r="486" spans="1:16" s="1" customFormat="1" ht="22.2" thickTop="1" thickBot="1">
      <c r="A486" s="11" t="s">
        <v>126</v>
      </c>
      <c r="B486" s="4">
        <f>'[1]التعليم الابتدائي'!AV753</f>
        <v>0</v>
      </c>
      <c r="C486" s="4">
        <f>'[1]التعليم الابتدائي'!AW753</f>
        <v>0</v>
      </c>
      <c r="D486" s="4">
        <f>'[1]التعليم الابتدائي'!BG753</f>
        <v>0</v>
      </c>
      <c r="E486" s="4">
        <f>'[1]التعليم الابتدائي'!BH753</f>
        <v>0</v>
      </c>
      <c r="F486" s="4">
        <f>'[1]التعليم الابتدائي'!BR753</f>
        <v>0</v>
      </c>
      <c r="G486" s="4">
        <f>'[1]التعليم الابتدائي'!BS753</f>
        <v>0</v>
      </c>
      <c r="H486" s="138"/>
      <c r="I486" s="138"/>
      <c r="J486" s="180"/>
      <c r="K486" s="180"/>
      <c r="L486" s="180"/>
      <c r="M486" s="187"/>
      <c r="N486" s="4">
        <f>F486+D486+B486</f>
        <v>0</v>
      </c>
      <c r="O486" s="4">
        <f>G486+E486+C486</f>
        <v>0</v>
      </c>
      <c r="P486" s="14">
        <f t="shared" si="30"/>
        <v>0</v>
      </c>
    </row>
    <row r="487" spans="1:16" s="1" customFormat="1" ht="22.2" thickTop="1" thickBot="1">
      <c r="A487" s="11" t="s">
        <v>106</v>
      </c>
      <c r="B487" s="4">
        <f>'[1]التعليم الابتدائي'!AX753</f>
        <v>0</v>
      </c>
      <c r="C487" s="4">
        <f>'[1]التعليم الابتدائي'!AY753</f>
        <v>0</v>
      </c>
      <c r="D487" s="4">
        <f>'[1]التعليم الابتدائي'!BI753</f>
        <v>0</v>
      </c>
      <c r="E487" s="4">
        <f>'[1]التعليم الابتدائي'!BJ753</f>
        <v>0</v>
      </c>
      <c r="F487" s="4">
        <f>'[1]التعليم الابتدائي'!BT753</f>
        <v>0</v>
      </c>
      <c r="G487" s="4">
        <f>'[1]التعليم الابتدائي'!BU753</f>
        <v>0</v>
      </c>
      <c r="H487" s="4">
        <f>'[1]التعليم الابتدائي'!CE753</f>
        <v>0</v>
      </c>
      <c r="I487" s="4">
        <f>'[1]التعليم الابتدائي'!CF753</f>
        <v>0</v>
      </c>
      <c r="J487" s="138"/>
      <c r="K487" s="138"/>
      <c r="L487" s="180"/>
      <c r="M487" s="187"/>
      <c r="N487" s="4">
        <f>B487+D487+F487+H487</f>
        <v>0</v>
      </c>
      <c r="O487" s="4">
        <f>I487+G487+E487+C487</f>
        <v>0</v>
      </c>
      <c r="P487" s="14">
        <f t="shared" si="30"/>
        <v>0</v>
      </c>
    </row>
    <row r="488" spans="1:16" s="1" customFormat="1" ht="22.2" thickTop="1" thickBot="1">
      <c r="A488" s="11" t="s">
        <v>127</v>
      </c>
      <c r="B488" s="4">
        <f>'[1]التعليم الابتدائي'!AZ753</f>
        <v>0</v>
      </c>
      <c r="C488" s="4">
        <f>'[1]التعليم الابتدائي'!BA753</f>
        <v>0</v>
      </c>
      <c r="D488" s="4">
        <f>'[1]التعليم الابتدائي'!BK753</f>
        <v>0</v>
      </c>
      <c r="E488" s="4">
        <f>'[1]التعليم الابتدائي'!BL753</f>
        <v>0</v>
      </c>
      <c r="F488" s="4">
        <f>'[1]التعليم الابتدائي'!BV753</f>
        <v>0</v>
      </c>
      <c r="G488" s="4">
        <f>'[1]التعليم الابتدائي'!BW753</f>
        <v>0</v>
      </c>
      <c r="H488" s="4">
        <f>'[1]التعليم الابتدائي'!CG753</f>
        <v>0</v>
      </c>
      <c r="I488" s="4">
        <f>'[1]التعليم الابتدائي'!CH753</f>
        <v>0</v>
      </c>
      <c r="J488" s="4">
        <f>'[1]التعليم الابتدائي'!CR753</f>
        <v>0</v>
      </c>
      <c r="K488" s="4">
        <f>'[1]التعليم الابتدائي'!CS753</f>
        <v>0</v>
      </c>
      <c r="L488" s="138"/>
      <c r="M488" s="139"/>
      <c r="N488" s="4">
        <f>B488+D488+F488+H488+J488</f>
        <v>0</v>
      </c>
      <c r="O488" s="4">
        <f>K488+I488+G488+E488+C488</f>
        <v>0</v>
      </c>
      <c r="P488" s="14">
        <f t="shared" si="30"/>
        <v>0</v>
      </c>
    </row>
    <row r="489" spans="1:16" s="1" customFormat="1" ht="22.2" thickTop="1" thickBot="1">
      <c r="A489" s="11" t="s">
        <v>128</v>
      </c>
      <c r="B489" s="177"/>
      <c r="C489" s="178"/>
      <c r="D489" s="4">
        <f>'[1]التعليم الابتدائي'!BM753</f>
        <v>0</v>
      </c>
      <c r="E489" s="4">
        <f>'[1]التعليم الابتدائي'!BN753</f>
        <v>0</v>
      </c>
      <c r="F489" s="4">
        <f>'[1]التعليم الابتدائي'!BX753</f>
        <v>0</v>
      </c>
      <c r="G489" s="4">
        <f>'[1]التعليم الابتدائي'!BY753</f>
        <v>0</v>
      </c>
      <c r="H489" s="4">
        <f>'[1]التعليم الابتدائي'!CI753</f>
        <v>0</v>
      </c>
      <c r="I489" s="4">
        <f>'[1]التعليم الابتدائي'!CJ753</f>
        <v>0</v>
      </c>
      <c r="J489" s="4">
        <f>'[1]التعليم الابتدائي'!CT753</f>
        <v>0</v>
      </c>
      <c r="K489" s="4">
        <f>'[1]التعليم الابتدائي'!CU753</f>
        <v>0</v>
      </c>
      <c r="L489" s="4">
        <f>'[1]التعليم الابتدائي'!DE753</f>
        <v>0</v>
      </c>
      <c r="M489" s="4">
        <f>'[1]التعليم الابتدائي'!DF753</f>
        <v>0</v>
      </c>
      <c r="N489" s="4">
        <f>D489+F489+H489+J489+L489</f>
        <v>0</v>
      </c>
      <c r="O489" s="4">
        <f>M489+K489+I489+G489+E489</f>
        <v>0</v>
      </c>
      <c r="P489" s="14">
        <f t="shared" si="30"/>
        <v>0</v>
      </c>
    </row>
    <row r="490" spans="1:16" s="1" customFormat="1" ht="22.2" thickTop="1" thickBot="1">
      <c r="A490" s="11" t="s">
        <v>129</v>
      </c>
      <c r="B490" s="179"/>
      <c r="C490" s="180"/>
      <c r="D490" s="178"/>
      <c r="E490" s="178"/>
      <c r="F490" s="4">
        <f>'[1]التعليم الابتدائي'!BZ753</f>
        <v>0</v>
      </c>
      <c r="G490" s="4">
        <f>'[1]التعليم الابتدائي'!CA753</f>
        <v>0</v>
      </c>
      <c r="H490" s="4">
        <f>'[1]التعليم الابتدائي'!CK753</f>
        <v>0</v>
      </c>
      <c r="I490" s="4">
        <f>'[1]التعليم الابتدائي'!CL753</f>
        <v>0</v>
      </c>
      <c r="J490" s="4">
        <f>'[1]التعليم الابتدائي'!CV753</f>
        <v>0</v>
      </c>
      <c r="K490" s="4">
        <f>'[1]التعليم الابتدائي'!CW753</f>
        <v>0</v>
      </c>
      <c r="L490" s="4">
        <f>'[1]التعليم الابتدائي'!DG753</f>
        <v>0</v>
      </c>
      <c r="M490" s="4">
        <f>'[1]التعليم الابتدائي'!DH753</f>
        <v>0</v>
      </c>
      <c r="N490" s="4">
        <f>L490+J490+H490+F490</f>
        <v>0</v>
      </c>
      <c r="O490" s="4">
        <f>M490+K490+I490+G490</f>
        <v>0</v>
      </c>
      <c r="P490" s="14">
        <f t="shared" si="30"/>
        <v>0</v>
      </c>
    </row>
    <row r="491" spans="1:16" s="1" customFormat="1" ht="22.2" thickTop="1" thickBot="1">
      <c r="A491" s="11" t="s">
        <v>130</v>
      </c>
      <c r="B491" s="179"/>
      <c r="C491" s="180"/>
      <c r="D491" s="180"/>
      <c r="E491" s="180"/>
      <c r="F491" s="178"/>
      <c r="G491" s="178"/>
      <c r="H491" s="4">
        <f>'[1]التعليم الابتدائي'!CM753</f>
        <v>0</v>
      </c>
      <c r="I491" s="4">
        <f>'[1]التعليم الابتدائي'!CN753</f>
        <v>0</v>
      </c>
      <c r="J491" s="4">
        <f>'[1]التعليم الابتدائي'!CX753</f>
        <v>0</v>
      </c>
      <c r="K491" s="4">
        <f>'[1]التعليم الابتدائي'!CY753</f>
        <v>0</v>
      </c>
      <c r="L491" s="4">
        <f>'[1]التعليم الابتدائي'!DI753</f>
        <v>0</v>
      </c>
      <c r="M491" s="4">
        <f>'[1]التعليم الابتدائي'!DJ753</f>
        <v>0</v>
      </c>
      <c r="N491" s="4">
        <f>L491+J491+H491</f>
        <v>0</v>
      </c>
      <c r="O491" s="4">
        <f>M491+K491+I491</f>
        <v>0</v>
      </c>
      <c r="P491" s="14">
        <f t="shared" si="30"/>
        <v>0</v>
      </c>
    </row>
    <row r="492" spans="1:16" s="1" customFormat="1" ht="22.2" thickTop="1" thickBot="1">
      <c r="A492" s="11" t="s">
        <v>131</v>
      </c>
      <c r="B492" s="179"/>
      <c r="C492" s="180"/>
      <c r="D492" s="180"/>
      <c r="E492" s="180"/>
      <c r="F492" s="180"/>
      <c r="G492" s="180"/>
      <c r="H492" s="178"/>
      <c r="I492" s="178"/>
      <c r="J492" s="4">
        <f>'[1]التعليم الابتدائي'!CZ753</f>
        <v>0</v>
      </c>
      <c r="K492" s="4">
        <f>'[1]التعليم الابتدائي'!DA753</f>
        <v>0</v>
      </c>
      <c r="L492" s="4">
        <f>'[1]التعليم الابتدائي'!DK753</f>
        <v>0</v>
      </c>
      <c r="M492" s="4">
        <f>'[1]التعليم الابتدائي'!DL753</f>
        <v>0</v>
      </c>
      <c r="N492" s="4">
        <f>L492+J492</f>
        <v>0</v>
      </c>
      <c r="O492" s="4">
        <f>M492+K492</f>
        <v>0</v>
      </c>
      <c r="P492" s="14">
        <f t="shared" si="30"/>
        <v>0</v>
      </c>
    </row>
    <row r="493" spans="1:16" s="1" customFormat="1" ht="22.2" thickTop="1" thickBot="1">
      <c r="A493" s="11" t="s">
        <v>132</v>
      </c>
      <c r="B493" s="137"/>
      <c r="C493" s="138"/>
      <c r="D493" s="138"/>
      <c r="E493" s="138"/>
      <c r="F493" s="138"/>
      <c r="G493" s="138"/>
      <c r="H493" s="138"/>
      <c r="I493" s="138"/>
      <c r="J493" s="181"/>
      <c r="K493" s="182"/>
      <c r="L493" s="4">
        <f>'[1]التعليم الابتدائي'!DM753</f>
        <v>0</v>
      </c>
      <c r="M493" s="4">
        <f>'[1]التعليم الابتدائي'!DN753</f>
        <v>0</v>
      </c>
      <c r="N493" s="4">
        <f>L493</f>
        <v>0</v>
      </c>
      <c r="O493" s="4">
        <f>M493</f>
        <v>0</v>
      </c>
      <c r="P493" s="14">
        <f t="shared" si="30"/>
        <v>0</v>
      </c>
    </row>
    <row r="494" spans="1:16" s="1" customFormat="1" ht="22.2" thickTop="1" thickBot="1">
      <c r="A494" s="6" t="s">
        <v>122</v>
      </c>
      <c r="B494" s="7">
        <f>SUM(B483:B493)</f>
        <v>0</v>
      </c>
      <c r="C494" s="7">
        <f>SUM(C483:C493)</f>
        <v>0</v>
      </c>
      <c r="D494" s="7">
        <f>D489+D488+D487+D486+D485</f>
        <v>0</v>
      </c>
      <c r="E494" s="7">
        <f t="shared" ref="E494:P494" si="31">SUM(E483:E493)</f>
        <v>0</v>
      </c>
      <c r="F494" s="7">
        <f t="shared" si="31"/>
        <v>0</v>
      </c>
      <c r="G494" s="7">
        <f t="shared" si="31"/>
        <v>0</v>
      </c>
      <c r="H494" s="7">
        <f t="shared" si="31"/>
        <v>0</v>
      </c>
      <c r="I494" s="7">
        <f t="shared" si="31"/>
        <v>0</v>
      </c>
      <c r="J494" s="7">
        <f t="shared" si="31"/>
        <v>0</v>
      </c>
      <c r="K494" s="7">
        <f t="shared" si="31"/>
        <v>0</v>
      </c>
      <c r="L494" s="7">
        <f t="shared" si="31"/>
        <v>0</v>
      </c>
      <c r="M494" s="7">
        <f t="shared" si="31"/>
        <v>0</v>
      </c>
      <c r="N494" s="7">
        <f t="shared" si="31"/>
        <v>0</v>
      </c>
      <c r="O494" s="7">
        <f t="shared" si="31"/>
        <v>0</v>
      </c>
      <c r="P494" s="8">
        <f t="shared" si="31"/>
        <v>0</v>
      </c>
    </row>
    <row r="495" spans="1:16" s="3" customFormat="1" ht="21.6" thickTop="1"/>
    <row r="496" spans="1:16" s="1" customFormat="1" ht="21">
      <c r="A496" s="156" t="s">
        <v>62</v>
      </c>
      <c r="B496" s="156"/>
      <c r="C496" s="156"/>
      <c r="D496" s="156"/>
      <c r="E496" s="156"/>
      <c r="N496" s="156" t="s">
        <v>98</v>
      </c>
      <c r="O496" s="156"/>
      <c r="P496" s="156"/>
    </row>
    <row r="497" spans="1:909" s="1" customFormat="1" ht="21">
      <c r="A497" s="156" t="s">
        <v>64</v>
      </c>
      <c r="B497" s="156"/>
      <c r="C497" s="156"/>
      <c r="D497" s="156"/>
      <c r="E497" s="156"/>
      <c r="N497" s="156" t="s">
        <v>65</v>
      </c>
      <c r="O497" s="156"/>
      <c r="P497" s="156"/>
    </row>
    <row r="498" spans="1:909" s="1" customFormat="1" ht="21">
      <c r="A498" s="156" t="s">
        <v>99</v>
      </c>
      <c r="B498" s="156"/>
      <c r="C498" s="156"/>
      <c r="D498" s="156"/>
      <c r="E498" s="156"/>
      <c r="F498" s="156"/>
      <c r="G498" s="156"/>
      <c r="H498" s="156"/>
      <c r="I498" s="156"/>
      <c r="J498" s="156"/>
      <c r="K498" s="156"/>
      <c r="L498" s="156"/>
      <c r="M498" s="156"/>
      <c r="N498" s="156"/>
      <c r="O498" s="156"/>
      <c r="P498" s="156"/>
      <c r="Q498" s="2"/>
    </row>
    <row r="499" spans="1:909" s="1" customFormat="1" ht="21">
      <c r="A499" s="156" t="s">
        <v>136</v>
      </c>
      <c r="B499" s="156"/>
      <c r="C499" s="156"/>
      <c r="D499" s="156"/>
      <c r="E499" s="156"/>
      <c r="F499" s="156"/>
      <c r="G499" s="156"/>
      <c r="H499" s="156"/>
      <c r="I499" s="156"/>
      <c r="J499" s="156"/>
      <c r="K499" s="156"/>
      <c r="L499" s="156"/>
      <c r="M499" s="156"/>
      <c r="N499" s="156"/>
      <c r="O499" s="156"/>
      <c r="P499" s="156"/>
      <c r="Q499" s="2"/>
    </row>
    <row r="500" spans="1:909" s="1" customFormat="1" ht="21">
      <c r="A500" s="156" t="s">
        <v>101</v>
      </c>
      <c r="B500" s="156"/>
      <c r="C500" s="156"/>
      <c r="D500" s="156"/>
      <c r="E500" s="156"/>
      <c r="F500" s="156"/>
      <c r="G500" s="156"/>
      <c r="H500" s="156"/>
      <c r="I500" s="156"/>
      <c r="J500" s="156"/>
      <c r="K500" s="156"/>
      <c r="L500" s="156"/>
      <c r="M500" s="156"/>
      <c r="N500" s="156"/>
      <c r="O500" s="156"/>
      <c r="P500" s="156"/>
      <c r="Q500" s="2"/>
    </row>
    <row r="501" spans="1:909" s="1" customFormat="1" ht="21.6" thickBot="1">
      <c r="G501" s="198"/>
      <c r="H501" s="198"/>
      <c r="I501" s="198"/>
      <c r="J501" s="198"/>
      <c r="K501" s="198"/>
    </row>
    <row r="502" spans="1:909" s="1" customFormat="1" ht="21.6" thickTop="1">
      <c r="A502" s="199"/>
      <c r="B502" s="147" t="s">
        <v>102</v>
      </c>
      <c r="C502" s="149"/>
      <c r="D502" s="147" t="s">
        <v>103</v>
      </c>
      <c r="E502" s="149"/>
      <c r="F502" s="147" t="s">
        <v>104</v>
      </c>
      <c r="G502" s="149"/>
      <c r="H502" s="147" t="s">
        <v>105</v>
      </c>
      <c r="I502" s="149"/>
      <c r="J502" s="147" t="s">
        <v>106</v>
      </c>
      <c r="K502" s="149"/>
      <c r="L502" s="147" t="s">
        <v>107</v>
      </c>
      <c r="M502" s="149"/>
      <c r="N502" s="147" t="s">
        <v>58</v>
      </c>
      <c r="O502" s="148"/>
      <c r="P502" s="201"/>
    </row>
    <row r="503" spans="1:909" s="1" customFormat="1" ht="21.6" thickBot="1">
      <c r="A503" s="200"/>
      <c r="B503" s="137"/>
      <c r="C503" s="139"/>
      <c r="D503" s="137"/>
      <c r="E503" s="139"/>
      <c r="F503" s="137"/>
      <c r="G503" s="139"/>
      <c r="H503" s="137"/>
      <c r="I503" s="139"/>
      <c r="J503" s="137"/>
      <c r="K503" s="139"/>
      <c r="L503" s="137"/>
      <c r="M503" s="139"/>
      <c r="N503" s="137"/>
      <c r="O503" s="138"/>
      <c r="P503" s="202"/>
    </row>
    <row r="504" spans="1:909" s="5" customFormat="1" ht="22.2" thickTop="1" thickBot="1">
      <c r="A504" s="11" t="s">
        <v>108</v>
      </c>
      <c r="B504" s="170">
        <f>'[1]التعليم الابتدائي'!AA752</f>
        <v>0</v>
      </c>
      <c r="C504" s="182"/>
      <c r="D504" s="170">
        <f>'[1]التعليم الابتدائي'!AC752</f>
        <v>0</v>
      </c>
      <c r="E504" s="182"/>
      <c r="F504" s="170">
        <f>'[1]التعليم الابتدائي'!AE752</f>
        <v>0</v>
      </c>
      <c r="G504" s="182"/>
      <c r="H504" s="170">
        <f>'[1]التعليم الابتدائي'!AG752</f>
        <v>0</v>
      </c>
      <c r="I504" s="182"/>
      <c r="J504" s="170">
        <f>'[1]التعليم الابتدائي'!AI752</f>
        <v>0</v>
      </c>
      <c r="K504" s="182"/>
      <c r="L504" s="170">
        <f>'[1]التعليم الابتدائي'!AK752</f>
        <v>0</v>
      </c>
      <c r="M504" s="182"/>
      <c r="N504" s="170">
        <f>L504+J504+H504+F504+D504+B504</f>
        <v>0</v>
      </c>
      <c r="O504" s="181"/>
      <c r="P504" s="193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  <c r="JT504" s="1"/>
      <c r="JU504" s="1"/>
      <c r="JV504" s="1"/>
      <c r="JW504" s="1"/>
      <c r="JX504" s="1"/>
      <c r="JY504" s="1"/>
      <c r="JZ504" s="1"/>
      <c r="KA504" s="1"/>
      <c r="KB504" s="1"/>
      <c r="KC504" s="1"/>
      <c r="KD504" s="1"/>
      <c r="KE504" s="1"/>
      <c r="KF504" s="1"/>
      <c r="KG504" s="1"/>
      <c r="KH504" s="1"/>
      <c r="KI504" s="1"/>
      <c r="KJ504" s="1"/>
      <c r="KK504" s="1"/>
      <c r="KL504" s="1"/>
      <c r="KM504" s="1"/>
      <c r="KN504" s="1"/>
      <c r="KO504" s="1"/>
      <c r="KP504" s="1"/>
      <c r="KQ504" s="1"/>
      <c r="KR504" s="1"/>
      <c r="KS504" s="1"/>
      <c r="KT504" s="1"/>
      <c r="KU504" s="1"/>
      <c r="KV504" s="1"/>
      <c r="KW504" s="1"/>
      <c r="KX504" s="1"/>
      <c r="KY504" s="1"/>
      <c r="KZ504" s="1"/>
      <c r="LA504" s="1"/>
      <c r="LB504" s="1"/>
      <c r="LC504" s="1"/>
      <c r="LD504" s="1"/>
      <c r="LE504" s="1"/>
      <c r="LF504" s="1"/>
      <c r="LG504" s="1"/>
      <c r="LH504" s="1"/>
      <c r="LI504" s="1"/>
      <c r="LJ504" s="1"/>
      <c r="LK504" s="1"/>
      <c r="LL504" s="1"/>
      <c r="LM504" s="1"/>
      <c r="LN504" s="1"/>
      <c r="LO504" s="1"/>
      <c r="LP504" s="1"/>
      <c r="LQ504" s="1"/>
      <c r="LR504" s="1"/>
      <c r="LS504" s="1"/>
      <c r="LT504" s="1"/>
      <c r="LU504" s="1"/>
      <c r="LV504" s="1"/>
      <c r="LW504" s="1"/>
      <c r="LX504" s="1"/>
      <c r="LY504" s="1"/>
      <c r="LZ504" s="1"/>
      <c r="MA504" s="1"/>
      <c r="MB504" s="1"/>
      <c r="MC504" s="1"/>
      <c r="MD504" s="1"/>
      <c r="ME504" s="1"/>
      <c r="MF504" s="1"/>
      <c r="MG504" s="1"/>
      <c r="MH504" s="1"/>
      <c r="MI504" s="1"/>
      <c r="MJ504" s="1"/>
      <c r="MK504" s="1"/>
      <c r="ML504" s="1"/>
      <c r="MM504" s="1"/>
      <c r="MN504" s="1"/>
      <c r="MO504" s="1"/>
      <c r="MP504" s="1"/>
      <c r="MQ504" s="1"/>
      <c r="MR504" s="1"/>
      <c r="MS504" s="1"/>
      <c r="MT504" s="1"/>
      <c r="MU504" s="1"/>
      <c r="MV504" s="1"/>
      <c r="MW504" s="1"/>
      <c r="MX504" s="1"/>
      <c r="MY504" s="1"/>
      <c r="MZ504" s="1"/>
      <c r="NA504" s="1"/>
      <c r="NB504" s="1"/>
      <c r="NC504" s="1"/>
      <c r="ND504" s="1"/>
      <c r="NE504" s="1"/>
      <c r="NF504" s="1"/>
      <c r="NG504" s="1"/>
      <c r="NH504" s="1"/>
      <c r="NI504" s="1"/>
      <c r="NJ504" s="1"/>
      <c r="NK504" s="1"/>
      <c r="NL504" s="1"/>
      <c r="NM504" s="1"/>
      <c r="NN504" s="1"/>
      <c r="NO504" s="1"/>
      <c r="NP504" s="1"/>
      <c r="NQ504" s="1"/>
      <c r="NR504" s="1"/>
      <c r="NS504" s="1"/>
      <c r="NT504" s="1"/>
      <c r="NU504" s="1"/>
      <c r="NV504" s="1"/>
      <c r="NW504" s="1"/>
      <c r="NX504" s="1"/>
      <c r="NY504" s="1"/>
      <c r="NZ504" s="1"/>
      <c r="OA504" s="1"/>
      <c r="OB504" s="1"/>
      <c r="OC504" s="1"/>
      <c r="OD504" s="1"/>
      <c r="OE504" s="1"/>
      <c r="OF504" s="1"/>
      <c r="OG504" s="1"/>
      <c r="OH504" s="1"/>
      <c r="OI504" s="1"/>
      <c r="OJ504" s="1"/>
      <c r="OK504" s="1"/>
      <c r="OL504" s="1"/>
      <c r="OM504" s="1"/>
      <c r="ON504" s="1"/>
      <c r="OO504" s="1"/>
      <c r="OP504" s="1"/>
      <c r="OQ504" s="1"/>
      <c r="OR504" s="1"/>
      <c r="OS504" s="1"/>
      <c r="OT504" s="1"/>
      <c r="OU504" s="1"/>
      <c r="OV504" s="1"/>
      <c r="OW504" s="1"/>
      <c r="OX504" s="1"/>
      <c r="OY504" s="1"/>
      <c r="OZ504" s="1"/>
      <c r="PA504" s="1"/>
      <c r="PB504" s="1"/>
      <c r="PC504" s="1"/>
      <c r="PD504" s="1"/>
      <c r="PE504" s="1"/>
      <c r="PF504" s="1"/>
      <c r="PG504" s="1"/>
      <c r="PH504" s="1"/>
      <c r="PI504" s="1"/>
      <c r="PJ504" s="1"/>
      <c r="PK504" s="1"/>
      <c r="PL504" s="1"/>
      <c r="PM504" s="1"/>
      <c r="PN504" s="1"/>
      <c r="PO504" s="1"/>
      <c r="PP504" s="1"/>
      <c r="PQ504" s="1"/>
      <c r="PR504" s="1"/>
      <c r="PS504" s="1"/>
      <c r="PT504" s="1"/>
      <c r="PU504" s="1"/>
      <c r="PV504" s="1"/>
      <c r="PW504" s="1"/>
      <c r="PX504" s="1"/>
      <c r="PY504" s="1"/>
      <c r="PZ504" s="1"/>
      <c r="QA504" s="1"/>
      <c r="QB504" s="1"/>
      <c r="QC504" s="1"/>
      <c r="QD504" s="1"/>
      <c r="QE504" s="1"/>
      <c r="QF504" s="1"/>
      <c r="QG504" s="1"/>
      <c r="QH504" s="1"/>
      <c r="QI504" s="1"/>
      <c r="QJ504" s="1"/>
      <c r="QK504" s="1"/>
      <c r="QL504" s="1"/>
      <c r="QM504" s="1"/>
      <c r="QN504" s="1"/>
      <c r="QO504" s="1"/>
      <c r="QP504" s="1"/>
      <c r="QQ504" s="1"/>
      <c r="QR504" s="1"/>
      <c r="QS504" s="1"/>
      <c r="QT504" s="1"/>
      <c r="QU504" s="1"/>
      <c r="QV504" s="1"/>
      <c r="QW504" s="1"/>
      <c r="QX504" s="1"/>
      <c r="QY504" s="1"/>
      <c r="QZ504" s="1"/>
      <c r="RA504" s="1"/>
      <c r="RB504" s="1"/>
      <c r="RC504" s="1"/>
      <c r="RD504" s="1"/>
      <c r="RE504" s="1"/>
      <c r="RF504" s="1"/>
      <c r="RG504" s="1"/>
      <c r="RH504" s="1"/>
      <c r="RI504" s="1"/>
      <c r="RJ504" s="1"/>
      <c r="RK504" s="1"/>
      <c r="RL504" s="1"/>
      <c r="RM504" s="1"/>
      <c r="RN504" s="1"/>
      <c r="RO504" s="1"/>
      <c r="RP504" s="1"/>
      <c r="RQ504" s="1"/>
      <c r="RR504" s="1"/>
      <c r="RS504" s="1"/>
      <c r="RT504" s="1"/>
      <c r="RU504" s="1"/>
      <c r="RV504" s="1"/>
      <c r="RW504" s="1"/>
      <c r="RX504" s="1"/>
      <c r="RY504" s="1"/>
      <c r="RZ504" s="1"/>
      <c r="SA504" s="1"/>
      <c r="SB504" s="1"/>
      <c r="SC504" s="1"/>
      <c r="SD504" s="1"/>
      <c r="SE504" s="1"/>
      <c r="SF504" s="1"/>
      <c r="SG504" s="1"/>
      <c r="SH504" s="1"/>
      <c r="SI504" s="1"/>
      <c r="SJ504" s="1"/>
      <c r="SK504" s="1"/>
      <c r="SL504" s="1"/>
      <c r="SM504" s="1"/>
      <c r="SN504" s="1"/>
      <c r="SO504" s="1"/>
      <c r="SP504" s="1"/>
      <c r="SQ504" s="1"/>
      <c r="SR504" s="1"/>
      <c r="SS504" s="1"/>
      <c r="ST504" s="1"/>
      <c r="SU504" s="1"/>
      <c r="SV504" s="1"/>
      <c r="SW504" s="1"/>
      <c r="SX504" s="1"/>
      <c r="SY504" s="1"/>
      <c r="SZ504" s="1"/>
      <c r="TA504" s="1"/>
      <c r="TB504" s="1"/>
      <c r="TC504" s="1"/>
      <c r="TD504" s="1"/>
      <c r="TE504" s="1"/>
      <c r="TF504" s="1"/>
      <c r="TG504" s="1"/>
      <c r="TH504" s="1"/>
      <c r="TI504" s="1"/>
      <c r="TJ504" s="1"/>
      <c r="TK504" s="1"/>
      <c r="TL504" s="1"/>
      <c r="TM504" s="1"/>
      <c r="TN504" s="1"/>
      <c r="TO504" s="1"/>
      <c r="TP504" s="1"/>
      <c r="TQ504" s="1"/>
      <c r="TR504" s="1"/>
      <c r="TS504" s="1"/>
      <c r="TT504" s="1"/>
      <c r="TU504" s="1"/>
      <c r="TV504" s="1"/>
      <c r="TW504" s="1"/>
      <c r="TX504" s="1"/>
      <c r="TY504" s="1"/>
      <c r="TZ504" s="1"/>
      <c r="UA504" s="1"/>
      <c r="UB504" s="1"/>
      <c r="UC504" s="1"/>
      <c r="UD504" s="1"/>
      <c r="UE504" s="1"/>
      <c r="UF504" s="1"/>
      <c r="UG504" s="1"/>
      <c r="UH504" s="1"/>
      <c r="UI504" s="1"/>
      <c r="UJ504" s="1"/>
      <c r="UK504" s="1"/>
      <c r="UL504" s="1"/>
      <c r="UM504" s="1"/>
      <c r="UN504" s="1"/>
      <c r="UO504" s="1"/>
      <c r="UP504" s="1"/>
      <c r="UQ504" s="1"/>
      <c r="UR504" s="1"/>
      <c r="US504" s="1"/>
      <c r="UT504" s="1"/>
      <c r="UU504" s="1"/>
      <c r="UV504" s="1"/>
      <c r="UW504" s="1"/>
      <c r="UX504" s="1"/>
      <c r="UY504" s="1"/>
      <c r="UZ504" s="1"/>
      <c r="VA504" s="1"/>
      <c r="VB504" s="1"/>
      <c r="VC504" s="1"/>
      <c r="VD504" s="1"/>
      <c r="VE504" s="1"/>
      <c r="VF504" s="1"/>
      <c r="VG504" s="1"/>
      <c r="VH504" s="1"/>
      <c r="VI504" s="1"/>
      <c r="VJ504" s="1"/>
      <c r="VK504" s="1"/>
      <c r="VL504" s="1"/>
      <c r="VM504" s="1"/>
      <c r="VN504" s="1"/>
      <c r="VO504" s="1"/>
      <c r="VP504" s="1"/>
      <c r="VQ504" s="1"/>
      <c r="VR504" s="1"/>
      <c r="VS504" s="1"/>
      <c r="VT504" s="1"/>
      <c r="VU504" s="1"/>
      <c r="VV504" s="1"/>
      <c r="VW504" s="1"/>
      <c r="VX504" s="1"/>
      <c r="VY504" s="1"/>
      <c r="VZ504" s="1"/>
      <c r="WA504" s="1"/>
      <c r="WB504" s="1"/>
      <c r="WC504" s="1"/>
      <c r="WD504" s="1"/>
      <c r="WE504" s="1"/>
      <c r="WF504" s="1"/>
      <c r="WG504" s="1"/>
      <c r="WH504" s="1"/>
      <c r="WI504" s="1"/>
      <c r="WJ504" s="1"/>
      <c r="WK504" s="1"/>
      <c r="WL504" s="1"/>
      <c r="WM504" s="1"/>
      <c r="WN504" s="1"/>
      <c r="WO504" s="1"/>
      <c r="WP504" s="1"/>
      <c r="WQ504" s="1"/>
      <c r="WR504" s="1"/>
      <c r="WS504" s="1"/>
      <c r="WT504" s="1"/>
      <c r="WU504" s="1"/>
      <c r="WV504" s="1"/>
      <c r="WW504" s="1"/>
      <c r="WX504" s="1"/>
      <c r="WY504" s="1"/>
      <c r="WZ504" s="1"/>
      <c r="XA504" s="1"/>
      <c r="XB504" s="1"/>
      <c r="XC504" s="1"/>
      <c r="XD504" s="1"/>
      <c r="XE504" s="1"/>
      <c r="XF504" s="1"/>
      <c r="XG504" s="1"/>
      <c r="XH504" s="1"/>
      <c r="XI504" s="1"/>
      <c r="XJ504" s="1"/>
      <c r="XK504" s="1"/>
      <c r="XL504" s="1"/>
      <c r="XM504" s="1"/>
      <c r="XN504" s="1"/>
      <c r="XO504" s="1"/>
      <c r="XP504" s="1"/>
      <c r="XQ504" s="1"/>
      <c r="XR504" s="1"/>
      <c r="XS504" s="1"/>
      <c r="XT504" s="1"/>
      <c r="XU504" s="1"/>
      <c r="XV504" s="1"/>
      <c r="XW504" s="1"/>
      <c r="XX504" s="1"/>
      <c r="XY504" s="1"/>
      <c r="XZ504" s="1"/>
      <c r="YA504" s="1"/>
      <c r="YB504" s="1"/>
      <c r="YC504" s="1"/>
      <c r="YD504" s="1"/>
      <c r="YE504" s="1"/>
      <c r="YF504" s="1"/>
      <c r="YG504" s="1"/>
      <c r="YH504" s="1"/>
      <c r="YI504" s="1"/>
      <c r="YJ504" s="1"/>
      <c r="YK504" s="1"/>
      <c r="YL504" s="1"/>
      <c r="YM504" s="1"/>
      <c r="YN504" s="1"/>
      <c r="YO504" s="1"/>
      <c r="YP504" s="1"/>
      <c r="YQ504" s="1"/>
      <c r="YR504" s="1"/>
      <c r="YS504" s="1"/>
      <c r="YT504" s="1"/>
      <c r="YU504" s="1"/>
      <c r="YV504" s="1"/>
      <c r="YW504" s="1"/>
      <c r="YX504" s="1"/>
      <c r="YY504" s="1"/>
      <c r="YZ504" s="1"/>
      <c r="ZA504" s="1"/>
      <c r="ZB504" s="1"/>
      <c r="ZC504" s="1"/>
      <c r="ZD504" s="1"/>
      <c r="ZE504" s="1"/>
      <c r="ZF504" s="1"/>
      <c r="ZG504" s="1"/>
      <c r="ZH504" s="1"/>
      <c r="ZI504" s="1"/>
      <c r="ZJ504" s="1"/>
      <c r="ZK504" s="1"/>
      <c r="ZL504" s="1"/>
      <c r="ZM504" s="1"/>
      <c r="ZN504" s="1"/>
      <c r="ZO504" s="1"/>
      <c r="ZP504" s="1"/>
      <c r="ZQ504" s="1"/>
      <c r="ZR504" s="1"/>
      <c r="ZS504" s="1"/>
      <c r="ZT504" s="1"/>
      <c r="ZU504" s="1"/>
      <c r="ZV504" s="1"/>
      <c r="ZW504" s="1"/>
      <c r="ZX504" s="1"/>
      <c r="ZY504" s="1"/>
      <c r="ZZ504" s="1"/>
      <c r="AAA504" s="1"/>
      <c r="AAB504" s="1"/>
      <c r="AAC504" s="1"/>
      <c r="AAD504" s="1"/>
      <c r="AAE504" s="1"/>
      <c r="AAF504" s="1"/>
      <c r="AAG504" s="1"/>
      <c r="AAH504" s="1"/>
      <c r="AAI504" s="1"/>
      <c r="AAJ504" s="1"/>
      <c r="AAK504" s="1"/>
      <c r="AAL504" s="1"/>
      <c r="AAM504" s="1"/>
      <c r="AAN504" s="1"/>
      <c r="AAO504" s="1"/>
      <c r="AAP504" s="1"/>
      <c r="AAQ504" s="1"/>
      <c r="AAR504" s="1"/>
      <c r="AAS504" s="1"/>
      <c r="AAT504" s="1"/>
      <c r="AAU504" s="1"/>
      <c r="AAV504" s="1"/>
      <c r="AAW504" s="1"/>
      <c r="AAX504" s="1"/>
      <c r="AAY504" s="1"/>
      <c r="AAZ504" s="1"/>
      <c r="ABA504" s="1"/>
      <c r="ABB504" s="1"/>
      <c r="ABC504" s="1"/>
      <c r="ABD504" s="1"/>
      <c r="ABE504" s="1"/>
      <c r="ABF504" s="1"/>
      <c r="ABG504" s="1"/>
      <c r="ABH504" s="1"/>
      <c r="ABI504" s="1"/>
      <c r="ABJ504" s="1"/>
      <c r="ABK504" s="1"/>
      <c r="ABL504" s="1"/>
      <c r="ABM504" s="1"/>
      <c r="ABN504" s="1"/>
      <c r="ABO504" s="1"/>
      <c r="ABP504" s="1"/>
      <c r="ABQ504" s="1"/>
      <c r="ABR504" s="1"/>
      <c r="ABS504" s="1"/>
      <c r="ABT504" s="1"/>
      <c r="ABU504" s="1"/>
      <c r="ABV504" s="1"/>
      <c r="ABW504" s="1"/>
      <c r="ABX504" s="1"/>
      <c r="ABY504" s="1"/>
      <c r="ABZ504" s="1"/>
      <c r="ACA504" s="1"/>
      <c r="ACB504" s="1"/>
      <c r="ACC504" s="1"/>
      <c r="ACD504" s="1"/>
      <c r="ACE504" s="1"/>
      <c r="ACF504" s="1"/>
      <c r="ACG504" s="1"/>
      <c r="ACH504" s="1"/>
      <c r="ACI504" s="1"/>
      <c r="ACJ504" s="1"/>
      <c r="ACK504" s="1"/>
      <c r="ACL504" s="1"/>
      <c r="ACM504" s="1"/>
      <c r="ACN504" s="1"/>
      <c r="ACO504" s="1"/>
      <c r="ACP504" s="1"/>
      <c r="ACQ504" s="1"/>
      <c r="ACR504" s="1"/>
      <c r="ACS504" s="1"/>
      <c r="ACT504" s="1"/>
      <c r="ACU504" s="1"/>
      <c r="ACV504" s="1"/>
      <c r="ACW504" s="1"/>
      <c r="ACX504" s="1"/>
      <c r="ACY504" s="1"/>
      <c r="ACZ504" s="1"/>
      <c r="ADA504" s="1"/>
      <c r="ADB504" s="1"/>
      <c r="ADC504" s="1"/>
      <c r="ADD504" s="1"/>
      <c r="ADE504" s="1"/>
      <c r="ADF504" s="1"/>
      <c r="ADG504" s="1"/>
      <c r="ADH504" s="1"/>
      <c r="ADI504" s="1"/>
      <c r="ADJ504" s="1"/>
      <c r="ADK504" s="1"/>
      <c r="ADL504" s="1"/>
      <c r="ADM504" s="1"/>
      <c r="ADN504" s="1"/>
      <c r="ADO504" s="1"/>
      <c r="ADP504" s="1"/>
      <c r="ADQ504" s="1"/>
      <c r="ADR504" s="1"/>
      <c r="ADS504" s="1"/>
      <c r="ADT504" s="1"/>
      <c r="ADU504" s="1"/>
      <c r="ADV504" s="1"/>
      <c r="ADW504" s="1"/>
      <c r="ADX504" s="1"/>
      <c r="ADY504" s="1"/>
      <c r="ADZ504" s="1"/>
      <c r="AEA504" s="1"/>
      <c r="AEB504" s="1"/>
      <c r="AEC504" s="1"/>
      <c r="AED504" s="1"/>
      <c r="AEE504" s="1"/>
      <c r="AEF504" s="1"/>
      <c r="AEG504" s="1"/>
      <c r="AEH504" s="1"/>
      <c r="AEI504" s="1"/>
      <c r="AEJ504" s="1"/>
      <c r="AEK504" s="1"/>
      <c r="AEL504" s="1"/>
      <c r="AEM504" s="1"/>
      <c r="AEN504" s="1"/>
      <c r="AEO504" s="1"/>
      <c r="AEP504" s="1"/>
      <c r="AEQ504" s="1"/>
      <c r="AER504" s="1"/>
      <c r="AES504" s="1"/>
      <c r="AET504" s="1"/>
      <c r="AEU504" s="1"/>
      <c r="AEV504" s="1"/>
      <c r="AEW504" s="1"/>
      <c r="AEX504" s="1"/>
      <c r="AEY504" s="1"/>
      <c r="AEZ504" s="1"/>
      <c r="AFA504" s="1"/>
      <c r="AFB504" s="1"/>
      <c r="AFC504" s="1"/>
      <c r="AFD504" s="1"/>
      <c r="AFE504" s="1"/>
      <c r="AFF504" s="1"/>
      <c r="AFG504" s="1"/>
      <c r="AFH504" s="1"/>
      <c r="AFI504" s="1"/>
      <c r="AFJ504" s="1"/>
      <c r="AFK504" s="1"/>
      <c r="AFL504" s="1"/>
      <c r="AFM504" s="1"/>
      <c r="AFN504" s="1"/>
      <c r="AFO504" s="1"/>
      <c r="AFP504" s="1"/>
      <c r="AFQ504" s="1"/>
      <c r="AFR504" s="1"/>
      <c r="AFS504" s="1"/>
      <c r="AFT504" s="1"/>
      <c r="AFU504" s="1"/>
      <c r="AFV504" s="1"/>
      <c r="AFW504" s="1"/>
      <c r="AFX504" s="1"/>
      <c r="AFY504" s="1"/>
      <c r="AFZ504" s="1"/>
      <c r="AGA504" s="1"/>
      <c r="AGB504" s="1"/>
      <c r="AGC504" s="1"/>
      <c r="AGD504" s="1"/>
      <c r="AGE504" s="1"/>
      <c r="AGF504" s="1"/>
      <c r="AGG504" s="1"/>
      <c r="AGH504" s="1"/>
      <c r="AGI504" s="1"/>
      <c r="AGJ504" s="1"/>
      <c r="AGK504" s="1"/>
      <c r="AGL504" s="1"/>
      <c r="AGM504" s="1"/>
      <c r="AGN504" s="1"/>
      <c r="AGO504" s="1"/>
      <c r="AGP504" s="1"/>
      <c r="AGQ504" s="1"/>
      <c r="AGR504" s="1"/>
      <c r="AGS504" s="1"/>
      <c r="AGT504" s="1"/>
      <c r="AGU504" s="1"/>
      <c r="AGV504" s="1"/>
      <c r="AGW504" s="1"/>
      <c r="AGX504" s="1"/>
      <c r="AGY504" s="1"/>
      <c r="AGZ504" s="1"/>
      <c r="AHA504" s="1"/>
      <c r="AHB504" s="1"/>
      <c r="AHC504" s="1"/>
      <c r="AHD504" s="1"/>
      <c r="AHE504" s="1"/>
      <c r="AHF504" s="1"/>
      <c r="AHG504" s="1"/>
      <c r="AHH504" s="1"/>
      <c r="AHI504" s="1"/>
      <c r="AHJ504" s="1"/>
      <c r="AHK504" s="1"/>
      <c r="AHL504" s="1"/>
      <c r="AHM504" s="1"/>
      <c r="AHN504" s="1"/>
      <c r="AHO504" s="1"/>
      <c r="AHP504" s="1"/>
      <c r="AHQ504" s="1"/>
      <c r="AHR504" s="1"/>
      <c r="AHS504" s="1"/>
      <c r="AHT504" s="1"/>
      <c r="AHU504" s="1"/>
      <c r="AHV504" s="1"/>
      <c r="AHW504" s="1"/>
      <c r="AHX504" s="1"/>
      <c r="AHY504" s="1"/>
    </row>
    <row r="505" spans="1:909" s="5" customFormat="1" ht="22.2" thickTop="1" thickBot="1">
      <c r="A505" s="11" t="s">
        <v>109</v>
      </c>
      <c r="B505" s="170">
        <f>'[1]التعليم الابتدائي'!AB752</f>
        <v>0</v>
      </c>
      <c r="C505" s="182"/>
      <c r="D505" s="170">
        <f>'[1]التعليم الابتدائي'!AD752</f>
        <v>0</v>
      </c>
      <c r="E505" s="182"/>
      <c r="F505" s="170">
        <f>'[1]التعليم الابتدائي'!AF752</f>
        <v>0</v>
      </c>
      <c r="G505" s="182"/>
      <c r="H505" s="170">
        <f>'[1]التعليم الابتدائي'!AH752</f>
        <v>0</v>
      </c>
      <c r="I505" s="182"/>
      <c r="J505" s="170">
        <f>'[1]التعليم الابتدائي'!AJ752</f>
        <v>0</v>
      </c>
      <c r="K505" s="182"/>
      <c r="L505" s="170">
        <f>'[1]التعليم الابتدائي'!AL752</f>
        <v>0</v>
      </c>
      <c r="M505" s="182"/>
      <c r="N505" s="170">
        <f>L505+J505+H505+F505+D505+B505</f>
        <v>0</v>
      </c>
      <c r="O505" s="181"/>
      <c r="P505" s="193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  <c r="JT505" s="1"/>
      <c r="JU505" s="1"/>
      <c r="JV505" s="1"/>
      <c r="JW505" s="1"/>
      <c r="JX505" s="1"/>
      <c r="JY505" s="1"/>
      <c r="JZ505" s="1"/>
      <c r="KA505" s="1"/>
      <c r="KB505" s="1"/>
      <c r="KC505" s="1"/>
      <c r="KD505" s="1"/>
      <c r="KE505" s="1"/>
      <c r="KF505" s="1"/>
      <c r="KG505" s="1"/>
      <c r="KH505" s="1"/>
      <c r="KI505" s="1"/>
      <c r="KJ505" s="1"/>
      <c r="KK505" s="1"/>
      <c r="KL505" s="1"/>
      <c r="KM505" s="1"/>
      <c r="KN505" s="1"/>
      <c r="KO505" s="1"/>
      <c r="KP505" s="1"/>
      <c r="KQ505" s="1"/>
      <c r="KR505" s="1"/>
      <c r="KS505" s="1"/>
      <c r="KT505" s="1"/>
      <c r="KU505" s="1"/>
      <c r="KV505" s="1"/>
      <c r="KW505" s="1"/>
      <c r="KX505" s="1"/>
      <c r="KY505" s="1"/>
      <c r="KZ505" s="1"/>
      <c r="LA505" s="1"/>
      <c r="LB505" s="1"/>
      <c r="LC505" s="1"/>
      <c r="LD505" s="1"/>
      <c r="LE505" s="1"/>
      <c r="LF505" s="1"/>
      <c r="LG505" s="1"/>
      <c r="LH505" s="1"/>
      <c r="LI505" s="1"/>
      <c r="LJ505" s="1"/>
      <c r="LK505" s="1"/>
      <c r="LL505" s="1"/>
      <c r="LM505" s="1"/>
      <c r="LN505" s="1"/>
      <c r="LO505" s="1"/>
      <c r="LP505" s="1"/>
      <c r="LQ505" s="1"/>
      <c r="LR505" s="1"/>
      <c r="LS505" s="1"/>
      <c r="LT505" s="1"/>
      <c r="LU505" s="1"/>
      <c r="LV505" s="1"/>
      <c r="LW505" s="1"/>
      <c r="LX505" s="1"/>
      <c r="LY505" s="1"/>
      <c r="LZ505" s="1"/>
      <c r="MA505" s="1"/>
      <c r="MB505" s="1"/>
      <c r="MC505" s="1"/>
      <c r="MD505" s="1"/>
      <c r="ME505" s="1"/>
      <c r="MF505" s="1"/>
      <c r="MG505" s="1"/>
      <c r="MH505" s="1"/>
      <c r="MI505" s="1"/>
      <c r="MJ505" s="1"/>
      <c r="MK505" s="1"/>
      <c r="ML505" s="1"/>
      <c r="MM505" s="1"/>
      <c r="MN505" s="1"/>
      <c r="MO505" s="1"/>
      <c r="MP505" s="1"/>
      <c r="MQ505" s="1"/>
      <c r="MR505" s="1"/>
      <c r="MS505" s="1"/>
      <c r="MT505" s="1"/>
      <c r="MU505" s="1"/>
      <c r="MV505" s="1"/>
      <c r="MW505" s="1"/>
      <c r="MX505" s="1"/>
      <c r="MY505" s="1"/>
      <c r="MZ505" s="1"/>
      <c r="NA505" s="1"/>
      <c r="NB505" s="1"/>
      <c r="NC505" s="1"/>
      <c r="ND505" s="1"/>
      <c r="NE505" s="1"/>
      <c r="NF505" s="1"/>
      <c r="NG505" s="1"/>
      <c r="NH505" s="1"/>
      <c r="NI505" s="1"/>
      <c r="NJ505" s="1"/>
      <c r="NK505" s="1"/>
      <c r="NL505" s="1"/>
      <c r="NM505" s="1"/>
      <c r="NN505" s="1"/>
      <c r="NO505" s="1"/>
      <c r="NP505" s="1"/>
      <c r="NQ505" s="1"/>
      <c r="NR505" s="1"/>
      <c r="NS505" s="1"/>
      <c r="NT505" s="1"/>
      <c r="NU505" s="1"/>
      <c r="NV505" s="1"/>
      <c r="NW505" s="1"/>
      <c r="NX505" s="1"/>
      <c r="NY505" s="1"/>
      <c r="NZ505" s="1"/>
      <c r="OA505" s="1"/>
      <c r="OB505" s="1"/>
      <c r="OC505" s="1"/>
      <c r="OD505" s="1"/>
      <c r="OE505" s="1"/>
      <c r="OF505" s="1"/>
      <c r="OG505" s="1"/>
      <c r="OH505" s="1"/>
      <c r="OI505" s="1"/>
      <c r="OJ505" s="1"/>
      <c r="OK505" s="1"/>
      <c r="OL505" s="1"/>
      <c r="OM505" s="1"/>
      <c r="ON505" s="1"/>
      <c r="OO505" s="1"/>
      <c r="OP505" s="1"/>
      <c r="OQ505" s="1"/>
      <c r="OR505" s="1"/>
      <c r="OS505" s="1"/>
      <c r="OT505" s="1"/>
      <c r="OU505" s="1"/>
      <c r="OV505" s="1"/>
      <c r="OW505" s="1"/>
      <c r="OX505" s="1"/>
      <c r="OY505" s="1"/>
      <c r="OZ505" s="1"/>
      <c r="PA505" s="1"/>
      <c r="PB505" s="1"/>
      <c r="PC505" s="1"/>
      <c r="PD505" s="1"/>
      <c r="PE505" s="1"/>
      <c r="PF505" s="1"/>
      <c r="PG505" s="1"/>
      <c r="PH505" s="1"/>
      <c r="PI505" s="1"/>
      <c r="PJ505" s="1"/>
      <c r="PK505" s="1"/>
      <c r="PL505" s="1"/>
      <c r="PM505" s="1"/>
      <c r="PN505" s="1"/>
      <c r="PO505" s="1"/>
      <c r="PP505" s="1"/>
      <c r="PQ505" s="1"/>
      <c r="PR505" s="1"/>
      <c r="PS505" s="1"/>
      <c r="PT505" s="1"/>
      <c r="PU505" s="1"/>
      <c r="PV505" s="1"/>
      <c r="PW505" s="1"/>
      <c r="PX505" s="1"/>
      <c r="PY505" s="1"/>
      <c r="PZ505" s="1"/>
      <c r="QA505" s="1"/>
      <c r="QB505" s="1"/>
      <c r="QC505" s="1"/>
      <c r="QD505" s="1"/>
      <c r="QE505" s="1"/>
      <c r="QF505" s="1"/>
      <c r="QG505" s="1"/>
      <c r="QH505" s="1"/>
      <c r="QI505" s="1"/>
      <c r="QJ505" s="1"/>
      <c r="QK505" s="1"/>
      <c r="QL505" s="1"/>
      <c r="QM505" s="1"/>
      <c r="QN505" s="1"/>
      <c r="QO505" s="1"/>
      <c r="QP505" s="1"/>
      <c r="QQ505" s="1"/>
      <c r="QR505" s="1"/>
      <c r="QS505" s="1"/>
      <c r="QT505" s="1"/>
      <c r="QU505" s="1"/>
      <c r="QV505" s="1"/>
      <c r="QW505" s="1"/>
      <c r="QX505" s="1"/>
      <c r="QY505" s="1"/>
      <c r="QZ505" s="1"/>
      <c r="RA505" s="1"/>
      <c r="RB505" s="1"/>
      <c r="RC505" s="1"/>
      <c r="RD505" s="1"/>
      <c r="RE505" s="1"/>
      <c r="RF505" s="1"/>
      <c r="RG505" s="1"/>
      <c r="RH505" s="1"/>
      <c r="RI505" s="1"/>
      <c r="RJ505" s="1"/>
      <c r="RK505" s="1"/>
      <c r="RL505" s="1"/>
      <c r="RM505" s="1"/>
      <c r="RN505" s="1"/>
      <c r="RO505" s="1"/>
      <c r="RP505" s="1"/>
      <c r="RQ505" s="1"/>
      <c r="RR505" s="1"/>
      <c r="RS505" s="1"/>
      <c r="RT505" s="1"/>
      <c r="RU505" s="1"/>
      <c r="RV505" s="1"/>
      <c r="RW505" s="1"/>
      <c r="RX505" s="1"/>
      <c r="RY505" s="1"/>
      <c r="RZ505" s="1"/>
      <c r="SA505" s="1"/>
      <c r="SB505" s="1"/>
      <c r="SC505" s="1"/>
      <c r="SD505" s="1"/>
      <c r="SE505" s="1"/>
      <c r="SF505" s="1"/>
      <c r="SG505" s="1"/>
      <c r="SH505" s="1"/>
      <c r="SI505" s="1"/>
      <c r="SJ505" s="1"/>
      <c r="SK505" s="1"/>
      <c r="SL505" s="1"/>
      <c r="SM505" s="1"/>
      <c r="SN505" s="1"/>
      <c r="SO505" s="1"/>
      <c r="SP505" s="1"/>
      <c r="SQ505" s="1"/>
      <c r="SR505" s="1"/>
      <c r="SS505" s="1"/>
      <c r="ST505" s="1"/>
      <c r="SU505" s="1"/>
      <c r="SV505" s="1"/>
      <c r="SW505" s="1"/>
      <c r="SX505" s="1"/>
      <c r="SY505" s="1"/>
      <c r="SZ505" s="1"/>
      <c r="TA505" s="1"/>
      <c r="TB505" s="1"/>
      <c r="TC505" s="1"/>
      <c r="TD505" s="1"/>
      <c r="TE505" s="1"/>
      <c r="TF505" s="1"/>
      <c r="TG505" s="1"/>
      <c r="TH505" s="1"/>
      <c r="TI505" s="1"/>
      <c r="TJ505" s="1"/>
      <c r="TK505" s="1"/>
      <c r="TL505" s="1"/>
      <c r="TM505" s="1"/>
      <c r="TN505" s="1"/>
      <c r="TO505" s="1"/>
      <c r="TP505" s="1"/>
      <c r="TQ505" s="1"/>
      <c r="TR505" s="1"/>
      <c r="TS505" s="1"/>
      <c r="TT505" s="1"/>
      <c r="TU505" s="1"/>
      <c r="TV505" s="1"/>
      <c r="TW505" s="1"/>
      <c r="TX505" s="1"/>
      <c r="TY505" s="1"/>
      <c r="TZ505" s="1"/>
      <c r="UA505" s="1"/>
      <c r="UB505" s="1"/>
      <c r="UC505" s="1"/>
      <c r="UD505" s="1"/>
      <c r="UE505" s="1"/>
      <c r="UF505" s="1"/>
      <c r="UG505" s="1"/>
      <c r="UH505" s="1"/>
      <c r="UI505" s="1"/>
      <c r="UJ505" s="1"/>
      <c r="UK505" s="1"/>
      <c r="UL505" s="1"/>
      <c r="UM505" s="1"/>
      <c r="UN505" s="1"/>
      <c r="UO505" s="1"/>
      <c r="UP505" s="1"/>
      <c r="UQ505" s="1"/>
      <c r="UR505" s="1"/>
      <c r="US505" s="1"/>
      <c r="UT505" s="1"/>
      <c r="UU505" s="1"/>
      <c r="UV505" s="1"/>
      <c r="UW505" s="1"/>
      <c r="UX505" s="1"/>
      <c r="UY505" s="1"/>
      <c r="UZ505" s="1"/>
      <c r="VA505" s="1"/>
      <c r="VB505" s="1"/>
      <c r="VC505" s="1"/>
      <c r="VD505" s="1"/>
      <c r="VE505" s="1"/>
      <c r="VF505" s="1"/>
      <c r="VG505" s="1"/>
      <c r="VH505" s="1"/>
      <c r="VI505" s="1"/>
      <c r="VJ505" s="1"/>
      <c r="VK505" s="1"/>
      <c r="VL505" s="1"/>
      <c r="VM505" s="1"/>
      <c r="VN505" s="1"/>
      <c r="VO505" s="1"/>
      <c r="VP505" s="1"/>
      <c r="VQ505" s="1"/>
      <c r="VR505" s="1"/>
      <c r="VS505" s="1"/>
      <c r="VT505" s="1"/>
      <c r="VU505" s="1"/>
      <c r="VV505" s="1"/>
      <c r="VW505" s="1"/>
      <c r="VX505" s="1"/>
      <c r="VY505" s="1"/>
      <c r="VZ505" s="1"/>
      <c r="WA505" s="1"/>
      <c r="WB505" s="1"/>
      <c r="WC505" s="1"/>
      <c r="WD505" s="1"/>
      <c r="WE505" s="1"/>
      <c r="WF505" s="1"/>
      <c r="WG505" s="1"/>
      <c r="WH505" s="1"/>
      <c r="WI505" s="1"/>
      <c r="WJ505" s="1"/>
      <c r="WK505" s="1"/>
      <c r="WL505" s="1"/>
      <c r="WM505" s="1"/>
      <c r="WN505" s="1"/>
      <c r="WO505" s="1"/>
      <c r="WP505" s="1"/>
      <c r="WQ505" s="1"/>
      <c r="WR505" s="1"/>
      <c r="WS505" s="1"/>
      <c r="WT505" s="1"/>
      <c r="WU505" s="1"/>
      <c r="WV505" s="1"/>
      <c r="WW505" s="1"/>
      <c r="WX505" s="1"/>
      <c r="WY505" s="1"/>
      <c r="WZ505" s="1"/>
      <c r="XA505" s="1"/>
      <c r="XB505" s="1"/>
      <c r="XC505" s="1"/>
      <c r="XD505" s="1"/>
      <c r="XE505" s="1"/>
      <c r="XF505" s="1"/>
      <c r="XG505" s="1"/>
      <c r="XH505" s="1"/>
      <c r="XI505" s="1"/>
      <c r="XJ505" s="1"/>
      <c r="XK505" s="1"/>
      <c r="XL505" s="1"/>
      <c r="XM505" s="1"/>
      <c r="XN505" s="1"/>
      <c r="XO505" s="1"/>
      <c r="XP505" s="1"/>
      <c r="XQ505" s="1"/>
      <c r="XR505" s="1"/>
      <c r="XS505" s="1"/>
      <c r="XT505" s="1"/>
      <c r="XU505" s="1"/>
      <c r="XV505" s="1"/>
      <c r="XW505" s="1"/>
      <c r="XX505" s="1"/>
      <c r="XY505" s="1"/>
      <c r="XZ505" s="1"/>
      <c r="YA505" s="1"/>
      <c r="YB505" s="1"/>
      <c r="YC505" s="1"/>
      <c r="YD505" s="1"/>
      <c r="YE505" s="1"/>
      <c r="YF505" s="1"/>
      <c r="YG505" s="1"/>
      <c r="YH505" s="1"/>
      <c r="YI505" s="1"/>
      <c r="YJ505" s="1"/>
      <c r="YK505" s="1"/>
      <c r="YL505" s="1"/>
      <c r="YM505" s="1"/>
      <c r="YN505" s="1"/>
      <c r="YO505" s="1"/>
      <c r="YP505" s="1"/>
      <c r="YQ505" s="1"/>
      <c r="YR505" s="1"/>
      <c r="YS505" s="1"/>
      <c r="YT505" s="1"/>
      <c r="YU505" s="1"/>
      <c r="YV505" s="1"/>
      <c r="YW505" s="1"/>
      <c r="YX505" s="1"/>
      <c r="YY505" s="1"/>
      <c r="YZ505" s="1"/>
      <c r="ZA505" s="1"/>
      <c r="ZB505" s="1"/>
      <c r="ZC505" s="1"/>
      <c r="ZD505" s="1"/>
      <c r="ZE505" s="1"/>
      <c r="ZF505" s="1"/>
      <c r="ZG505" s="1"/>
      <c r="ZH505" s="1"/>
      <c r="ZI505" s="1"/>
      <c r="ZJ505" s="1"/>
      <c r="ZK505" s="1"/>
      <c r="ZL505" s="1"/>
      <c r="ZM505" s="1"/>
      <c r="ZN505" s="1"/>
      <c r="ZO505" s="1"/>
      <c r="ZP505" s="1"/>
      <c r="ZQ505" s="1"/>
      <c r="ZR505" s="1"/>
      <c r="ZS505" s="1"/>
      <c r="ZT505" s="1"/>
      <c r="ZU505" s="1"/>
      <c r="ZV505" s="1"/>
      <c r="ZW505" s="1"/>
      <c r="ZX505" s="1"/>
      <c r="ZY505" s="1"/>
      <c r="ZZ505" s="1"/>
      <c r="AAA505" s="1"/>
      <c r="AAB505" s="1"/>
      <c r="AAC505" s="1"/>
      <c r="AAD505" s="1"/>
      <c r="AAE505" s="1"/>
      <c r="AAF505" s="1"/>
      <c r="AAG505" s="1"/>
      <c r="AAH505" s="1"/>
      <c r="AAI505" s="1"/>
      <c r="AAJ505" s="1"/>
      <c r="AAK505" s="1"/>
      <c r="AAL505" s="1"/>
      <c r="AAM505" s="1"/>
      <c r="AAN505" s="1"/>
      <c r="AAO505" s="1"/>
      <c r="AAP505" s="1"/>
      <c r="AAQ505" s="1"/>
      <c r="AAR505" s="1"/>
      <c r="AAS505" s="1"/>
      <c r="AAT505" s="1"/>
      <c r="AAU505" s="1"/>
      <c r="AAV505" s="1"/>
      <c r="AAW505" s="1"/>
      <c r="AAX505" s="1"/>
      <c r="AAY505" s="1"/>
      <c r="AAZ505" s="1"/>
      <c r="ABA505" s="1"/>
      <c r="ABB505" s="1"/>
      <c r="ABC505" s="1"/>
      <c r="ABD505" s="1"/>
      <c r="ABE505" s="1"/>
      <c r="ABF505" s="1"/>
      <c r="ABG505" s="1"/>
      <c r="ABH505" s="1"/>
      <c r="ABI505" s="1"/>
      <c r="ABJ505" s="1"/>
      <c r="ABK505" s="1"/>
      <c r="ABL505" s="1"/>
      <c r="ABM505" s="1"/>
      <c r="ABN505" s="1"/>
      <c r="ABO505" s="1"/>
      <c r="ABP505" s="1"/>
      <c r="ABQ505" s="1"/>
      <c r="ABR505" s="1"/>
      <c r="ABS505" s="1"/>
      <c r="ABT505" s="1"/>
      <c r="ABU505" s="1"/>
      <c r="ABV505" s="1"/>
      <c r="ABW505" s="1"/>
      <c r="ABX505" s="1"/>
      <c r="ABY505" s="1"/>
      <c r="ABZ505" s="1"/>
      <c r="ACA505" s="1"/>
      <c r="ACB505" s="1"/>
      <c r="ACC505" s="1"/>
      <c r="ACD505" s="1"/>
      <c r="ACE505" s="1"/>
      <c r="ACF505" s="1"/>
      <c r="ACG505" s="1"/>
      <c r="ACH505" s="1"/>
      <c r="ACI505" s="1"/>
      <c r="ACJ505" s="1"/>
      <c r="ACK505" s="1"/>
      <c r="ACL505" s="1"/>
      <c r="ACM505" s="1"/>
      <c r="ACN505" s="1"/>
      <c r="ACO505" s="1"/>
      <c r="ACP505" s="1"/>
      <c r="ACQ505" s="1"/>
      <c r="ACR505" s="1"/>
      <c r="ACS505" s="1"/>
      <c r="ACT505" s="1"/>
      <c r="ACU505" s="1"/>
      <c r="ACV505" s="1"/>
      <c r="ACW505" s="1"/>
      <c r="ACX505" s="1"/>
      <c r="ACY505" s="1"/>
      <c r="ACZ505" s="1"/>
      <c r="ADA505" s="1"/>
      <c r="ADB505" s="1"/>
      <c r="ADC505" s="1"/>
      <c r="ADD505" s="1"/>
      <c r="ADE505" s="1"/>
      <c r="ADF505" s="1"/>
      <c r="ADG505" s="1"/>
      <c r="ADH505" s="1"/>
      <c r="ADI505" s="1"/>
      <c r="ADJ505" s="1"/>
      <c r="ADK505" s="1"/>
      <c r="ADL505" s="1"/>
      <c r="ADM505" s="1"/>
      <c r="ADN505" s="1"/>
      <c r="ADO505" s="1"/>
      <c r="ADP505" s="1"/>
      <c r="ADQ505" s="1"/>
      <c r="ADR505" s="1"/>
      <c r="ADS505" s="1"/>
      <c r="ADT505" s="1"/>
      <c r="ADU505" s="1"/>
      <c r="ADV505" s="1"/>
      <c r="ADW505" s="1"/>
      <c r="ADX505" s="1"/>
      <c r="ADY505" s="1"/>
      <c r="ADZ505" s="1"/>
      <c r="AEA505" s="1"/>
      <c r="AEB505" s="1"/>
      <c r="AEC505" s="1"/>
      <c r="AED505" s="1"/>
      <c r="AEE505" s="1"/>
      <c r="AEF505" s="1"/>
      <c r="AEG505" s="1"/>
      <c r="AEH505" s="1"/>
      <c r="AEI505" s="1"/>
      <c r="AEJ505" s="1"/>
      <c r="AEK505" s="1"/>
      <c r="AEL505" s="1"/>
      <c r="AEM505" s="1"/>
      <c r="AEN505" s="1"/>
      <c r="AEO505" s="1"/>
      <c r="AEP505" s="1"/>
      <c r="AEQ505" s="1"/>
      <c r="AER505" s="1"/>
      <c r="AES505" s="1"/>
      <c r="AET505" s="1"/>
      <c r="AEU505" s="1"/>
      <c r="AEV505" s="1"/>
      <c r="AEW505" s="1"/>
      <c r="AEX505" s="1"/>
      <c r="AEY505" s="1"/>
      <c r="AEZ505" s="1"/>
      <c r="AFA505" s="1"/>
      <c r="AFB505" s="1"/>
      <c r="AFC505" s="1"/>
      <c r="AFD505" s="1"/>
      <c r="AFE505" s="1"/>
      <c r="AFF505" s="1"/>
      <c r="AFG505" s="1"/>
      <c r="AFH505" s="1"/>
      <c r="AFI505" s="1"/>
      <c r="AFJ505" s="1"/>
      <c r="AFK505" s="1"/>
      <c r="AFL505" s="1"/>
      <c r="AFM505" s="1"/>
      <c r="AFN505" s="1"/>
      <c r="AFO505" s="1"/>
      <c r="AFP505" s="1"/>
      <c r="AFQ505" s="1"/>
      <c r="AFR505" s="1"/>
      <c r="AFS505" s="1"/>
      <c r="AFT505" s="1"/>
      <c r="AFU505" s="1"/>
      <c r="AFV505" s="1"/>
      <c r="AFW505" s="1"/>
      <c r="AFX505" s="1"/>
      <c r="AFY505" s="1"/>
      <c r="AFZ505" s="1"/>
      <c r="AGA505" s="1"/>
      <c r="AGB505" s="1"/>
      <c r="AGC505" s="1"/>
      <c r="AGD505" s="1"/>
      <c r="AGE505" s="1"/>
      <c r="AGF505" s="1"/>
      <c r="AGG505" s="1"/>
      <c r="AGH505" s="1"/>
      <c r="AGI505" s="1"/>
      <c r="AGJ505" s="1"/>
      <c r="AGK505" s="1"/>
      <c r="AGL505" s="1"/>
      <c r="AGM505" s="1"/>
      <c r="AGN505" s="1"/>
      <c r="AGO505" s="1"/>
      <c r="AGP505" s="1"/>
      <c r="AGQ505" s="1"/>
      <c r="AGR505" s="1"/>
      <c r="AGS505" s="1"/>
      <c r="AGT505" s="1"/>
      <c r="AGU505" s="1"/>
      <c r="AGV505" s="1"/>
      <c r="AGW505" s="1"/>
      <c r="AGX505" s="1"/>
      <c r="AGY505" s="1"/>
      <c r="AGZ505" s="1"/>
      <c r="AHA505" s="1"/>
      <c r="AHB505" s="1"/>
      <c r="AHC505" s="1"/>
      <c r="AHD505" s="1"/>
      <c r="AHE505" s="1"/>
      <c r="AHF505" s="1"/>
      <c r="AHG505" s="1"/>
      <c r="AHH505" s="1"/>
      <c r="AHI505" s="1"/>
      <c r="AHJ505" s="1"/>
      <c r="AHK505" s="1"/>
      <c r="AHL505" s="1"/>
      <c r="AHM505" s="1"/>
      <c r="AHN505" s="1"/>
      <c r="AHO505" s="1"/>
      <c r="AHP505" s="1"/>
      <c r="AHQ505" s="1"/>
      <c r="AHR505" s="1"/>
      <c r="AHS505" s="1"/>
      <c r="AHT505" s="1"/>
      <c r="AHU505" s="1"/>
      <c r="AHV505" s="1"/>
      <c r="AHW505" s="1"/>
      <c r="AHX505" s="1"/>
      <c r="AHY505" s="1"/>
    </row>
    <row r="506" spans="1:909" s="5" customFormat="1" ht="22.2" thickTop="1" thickBot="1">
      <c r="A506" s="6" t="s">
        <v>110</v>
      </c>
      <c r="B506" s="194">
        <f>SUM(B504:B505)</f>
        <v>0</v>
      </c>
      <c r="C506" s="195"/>
      <c r="D506" s="194">
        <f>SUM(D504:D505)</f>
        <v>0</v>
      </c>
      <c r="E506" s="195"/>
      <c r="F506" s="194">
        <f>SUM(F504:F505)</f>
        <v>0</v>
      </c>
      <c r="G506" s="195"/>
      <c r="H506" s="194">
        <f>SUM(H504:H505)</f>
        <v>0</v>
      </c>
      <c r="I506" s="195"/>
      <c r="J506" s="194">
        <f>SUM(J504:J505)</f>
        <v>0</v>
      </c>
      <c r="K506" s="195"/>
      <c r="L506" s="194">
        <f>SUM(L504:L505)</f>
        <v>0</v>
      </c>
      <c r="M506" s="195"/>
      <c r="N506" s="194">
        <f>L506+J506+H506+F506+D506+B506</f>
        <v>0</v>
      </c>
      <c r="O506" s="196"/>
      <c r="P506" s="197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  <c r="JU506" s="1"/>
      <c r="JV506" s="1"/>
      <c r="JW506" s="1"/>
      <c r="JX506" s="1"/>
      <c r="JY506" s="1"/>
      <c r="JZ506" s="1"/>
      <c r="KA506" s="1"/>
      <c r="KB506" s="1"/>
      <c r="KC506" s="1"/>
      <c r="KD506" s="1"/>
      <c r="KE506" s="1"/>
      <c r="KF506" s="1"/>
      <c r="KG506" s="1"/>
      <c r="KH506" s="1"/>
      <c r="KI506" s="1"/>
      <c r="KJ506" s="1"/>
      <c r="KK506" s="1"/>
      <c r="KL506" s="1"/>
      <c r="KM506" s="1"/>
      <c r="KN506" s="1"/>
      <c r="KO506" s="1"/>
      <c r="KP506" s="1"/>
      <c r="KQ506" s="1"/>
      <c r="KR506" s="1"/>
      <c r="KS506" s="1"/>
      <c r="KT506" s="1"/>
      <c r="KU506" s="1"/>
      <c r="KV506" s="1"/>
      <c r="KW506" s="1"/>
      <c r="KX506" s="1"/>
      <c r="KY506" s="1"/>
      <c r="KZ506" s="1"/>
      <c r="LA506" s="1"/>
      <c r="LB506" s="1"/>
      <c r="LC506" s="1"/>
      <c r="LD506" s="1"/>
      <c r="LE506" s="1"/>
      <c r="LF506" s="1"/>
      <c r="LG506" s="1"/>
      <c r="LH506" s="1"/>
      <c r="LI506" s="1"/>
      <c r="LJ506" s="1"/>
      <c r="LK506" s="1"/>
      <c r="LL506" s="1"/>
      <c r="LM506" s="1"/>
      <c r="LN506" s="1"/>
      <c r="LO506" s="1"/>
      <c r="LP506" s="1"/>
      <c r="LQ506" s="1"/>
      <c r="LR506" s="1"/>
      <c r="LS506" s="1"/>
      <c r="LT506" s="1"/>
      <c r="LU506" s="1"/>
      <c r="LV506" s="1"/>
      <c r="LW506" s="1"/>
      <c r="LX506" s="1"/>
      <c r="LY506" s="1"/>
      <c r="LZ506" s="1"/>
      <c r="MA506" s="1"/>
      <c r="MB506" s="1"/>
      <c r="MC506" s="1"/>
      <c r="MD506" s="1"/>
      <c r="ME506" s="1"/>
      <c r="MF506" s="1"/>
      <c r="MG506" s="1"/>
      <c r="MH506" s="1"/>
      <c r="MI506" s="1"/>
      <c r="MJ506" s="1"/>
      <c r="MK506" s="1"/>
      <c r="ML506" s="1"/>
      <c r="MM506" s="1"/>
      <c r="MN506" s="1"/>
      <c r="MO506" s="1"/>
      <c r="MP506" s="1"/>
      <c r="MQ506" s="1"/>
      <c r="MR506" s="1"/>
      <c r="MS506" s="1"/>
      <c r="MT506" s="1"/>
      <c r="MU506" s="1"/>
      <c r="MV506" s="1"/>
      <c r="MW506" s="1"/>
      <c r="MX506" s="1"/>
      <c r="MY506" s="1"/>
      <c r="MZ506" s="1"/>
      <c r="NA506" s="1"/>
      <c r="NB506" s="1"/>
      <c r="NC506" s="1"/>
      <c r="ND506" s="1"/>
      <c r="NE506" s="1"/>
      <c r="NF506" s="1"/>
      <c r="NG506" s="1"/>
      <c r="NH506" s="1"/>
      <c r="NI506" s="1"/>
      <c r="NJ506" s="1"/>
      <c r="NK506" s="1"/>
      <c r="NL506" s="1"/>
      <c r="NM506" s="1"/>
      <c r="NN506" s="1"/>
      <c r="NO506" s="1"/>
      <c r="NP506" s="1"/>
      <c r="NQ506" s="1"/>
      <c r="NR506" s="1"/>
      <c r="NS506" s="1"/>
      <c r="NT506" s="1"/>
      <c r="NU506" s="1"/>
      <c r="NV506" s="1"/>
      <c r="NW506" s="1"/>
      <c r="NX506" s="1"/>
      <c r="NY506" s="1"/>
      <c r="NZ506" s="1"/>
      <c r="OA506" s="1"/>
      <c r="OB506" s="1"/>
      <c r="OC506" s="1"/>
      <c r="OD506" s="1"/>
      <c r="OE506" s="1"/>
      <c r="OF506" s="1"/>
      <c r="OG506" s="1"/>
      <c r="OH506" s="1"/>
      <c r="OI506" s="1"/>
      <c r="OJ506" s="1"/>
      <c r="OK506" s="1"/>
      <c r="OL506" s="1"/>
      <c r="OM506" s="1"/>
      <c r="ON506" s="1"/>
      <c r="OO506" s="1"/>
      <c r="OP506" s="1"/>
      <c r="OQ506" s="1"/>
      <c r="OR506" s="1"/>
      <c r="OS506" s="1"/>
      <c r="OT506" s="1"/>
      <c r="OU506" s="1"/>
      <c r="OV506" s="1"/>
      <c r="OW506" s="1"/>
      <c r="OX506" s="1"/>
      <c r="OY506" s="1"/>
      <c r="OZ506" s="1"/>
      <c r="PA506" s="1"/>
      <c r="PB506" s="1"/>
      <c r="PC506" s="1"/>
      <c r="PD506" s="1"/>
      <c r="PE506" s="1"/>
      <c r="PF506" s="1"/>
      <c r="PG506" s="1"/>
      <c r="PH506" s="1"/>
      <c r="PI506" s="1"/>
      <c r="PJ506" s="1"/>
      <c r="PK506" s="1"/>
      <c r="PL506" s="1"/>
      <c r="PM506" s="1"/>
      <c r="PN506" s="1"/>
      <c r="PO506" s="1"/>
      <c r="PP506" s="1"/>
      <c r="PQ506" s="1"/>
      <c r="PR506" s="1"/>
      <c r="PS506" s="1"/>
      <c r="PT506" s="1"/>
      <c r="PU506" s="1"/>
      <c r="PV506" s="1"/>
      <c r="PW506" s="1"/>
      <c r="PX506" s="1"/>
      <c r="PY506" s="1"/>
      <c r="PZ506" s="1"/>
      <c r="QA506" s="1"/>
      <c r="QB506" s="1"/>
      <c r="QC506" s="1"/>
      <c r="QD506" s="1"/>
      <c r="QE506" s="1"/>
      <c r="QF506" s="1"/>
      <c r="QG506" s="1"/>
      <c r="QH506" s="1"/>
      <c r="QI506" s="1"/>
      <c r="QJ506" s="1"/>
      <c r="QK506" s="1"/>
      <c r="QL506" s="1"/>
      <c r="QM506" s="1"/>
      <c r="QN506" s="1"/>
      <c r="QO506" s="1"/>
      <c r="QP506" s="1"/>
      <c r="QQ506" s="1"/>
      <c r="QR506" s="1"/>
      <c r="QS506" s="1"/>
      <c r="QT506" s="1"/>
      <c r="QU506" s="1"/>
      <c r="QV506" s="1"/>
      <c r="QW506" s="1"/>
      <c r="QX506" s="1"/>
      <c r="QY506" s="1"/>
      <c r="QZ506" s="1"/>
      <c r="RA506" s="1"/>
      <c r="RB506" s="1"/>
      <c r="RC506" s="1"/>
      <c r="RD506" s="1"/>
      <c r="RE506" s="1"/>
      <c r="RF506" s="1"/>
      <c r="RG506" s="1"/>
      <c r="RH506" s="1"/>
      <c r="RI506" s="1"/>
      <c r="RJ506" s="1"/>
      <c r="RK506" s="1"/>
      <c r="RL506" s="1"/>
      <c r="RM506" s="1"/>
      <c r="RN506" s="1"/>
      <c r="RO506" s="1"/>
      <c r="RP506" s="1"/>
      <c r="RQ506" s="1"/>
      <c r="RR506" s="1"/>
      <c r="RS506" s="1"/>
      <c r="RT506" s="1"/>
      <c r="RU506" s="1"/>
      <c r="RV506" s="1"/>
      <c r="RW506" s="1"/>
      <c r="RX506" s="1"/>
      <c r="RY506" s="1"/>
      <c r="RZ506" s="1"/>
      <c r="SA506" s="1"/>
      <c r="SB506" s="1"/>
      <c r="SC506" s="1"/>
      <c r="SD506" s="1"/>
      <c r="SE506" s="1"/>
      <c r="SF506" s="1"/>
      <c r="SG506" s="1"/>
      <c r="SH506" s="1"/>
      <c r="SI506" s="1"/>
      <c r="SJ506" s="1"/>
      <c r="SK506" s="1"/>
      <c r="SL506" s="1"/>
      <c r="SM506" s="1"/>
      <c r="SN506" s="1"/>
      <c r="SO506" s="1"/>
      <c r="SP506" s="1"/>
      <c r="SQ506" s="1"/>
      <c r="SR506" s="1"/>
      <c r="SS506" s="1"/>
      <c r="ST506" s="1"/>
      <c r="SU506" s="1"/>
      <c r="SV506" s="1"/>
      <c r="SW506" s="1"/>
      <c r="SX506" s="1"/>
      <c r="SY506" s="1"/>
      <c r="SZ506" s="1"/>
      <c r="TA506" s="1"/>
      <c r="TB506" s="1"/>
      <c r="TC506" s="1"/>
      <c r="TD506" s="1"/>
      <c r="TE506" s="1"/>
      <c r="TF506" s="1"/>
      <c r="TG506" s="1"/>
      <c r="TH506" s="1"/>
      <c r="TI506" s="1"/>
      <c r="TJ506" s="1"/>
      <c r="TK506" s="1"/>
      <c r="TL506" s="1"/>
      <c r="TM506" s="1"/>
      <c r="TN506" s="1"/>
      <c r="TO506" s="1"/>
      <c r="TP506" s="1"/>
      <c r="TQ506" s="1"/>
      <c r="TR506" s="1"/>
      <c r="TS506" s="1"/>
      <c r="TT506" s="1"/>
      <c r="TU506" s="1"/>
      <c r="TV506" s="1"/>
      <c r="TW506" s="1"/>
      <c r="TX506" s="1"/>
      <c r="TY506" s="1"/>
      <c r="TZ506" s="1"/>
      <c r="UA506" s="1"/>
      <c r="UB506" s="1"/>
      <c r="UC506" s="1"/>
      <c r="UD506" s="1"/>
      <c r="UE506" s="1"/>
      <c r="UF506" s="1"/>
      <c r="UG506" s="1"/>
      <c r="UH506" s="1"/>
      <c r="UI506" s="1"/>
      <c r="UJ506" s="1"/>
      <c r="UK506" s="1"/>
      <c r="UL506" s="1"/>
      <c r="UM506" s="1"/>
      <c r="UN506" s="1"/>
      <c r="UO506" s="1"/>
      <c r="UP506" s="1"/>
      <c r="UQ506" s="1"/>
      <c r="UR506" s="1"/>
      <c r="US506" s="1"/>
      <c r="UT506" s="1"/>
      <c r="UU506" s="1"/>
      <c r="UV506" s="1"/>
      <c r="UW506" s="1"/>
      <c r="UX506" s="1"/>
      <c r="UY506" s="1"/>
      <c r="UZ506" s="1"/>
      <c r="VA506" s="1"/>
      <c r="VB506" s="1"/>
      <c r="VC506" s="1"/>
      <c r="VD506" s="1"/>
      <c r="VE506" s="1"/>
      <c r="VF506" s="1"/>
      <c r="VG506" s="1"/>
      <c r="VH506" s="1"/>
      <c r="VI506" s="1"/>
      <c r="VJ506" s="1"/>
      <c r="VK506" s="1"/>
      <c r="VL506" s="1"/>
      <c r="VM506" s="1"/>
      <c r="VN506" s="1"/>
      <c r="VO506" s="1"/>
      <c r="VP506" s="1"/>
      <c r="VQ506" s="1"/>
      <c r="VR506" s="1"/>
      <c r="VS506" s="1"/>
      <c r="VT506" s="1"/>
      <c r="VU506" s="1"/>
      <c r="VV506" s="1"/>
      <c r="VW506" s="1"/>
      <c r="VX506" s="1"/>
      <c r="VY506" s="1"/>
      <c r="VZ506" s="1"/>
      <c r="WA506" s="1"/>
      <c r="WB506" s="1"/>
      <c r="WC506" s="1"/>
      <c r="WD506" s="1"/>
      <c r="WE506" s="1"/>
      <c r="WF506" s="1"/>
      <c r="WG506" s="1"/>
      <c r="WH506" s="1"/>
      <c r="WI506" s="1"/>
      <c r="WJ506" s="1"/>
      <c r="WK506" s="1"/>
      <c r="WL506" s="1"/>
      <c r="WM506" s="1"/>
      <c r="WN506" s="1"/>
      <c r="WO506" s="1"/>
      <c r="WP506" s="1"/>
      <c r="WQ506" s="1"/>
      <c r="WR506" s="1"/>
      <c r="WS506" s="1"/>
      <c r="WT506" s="1"/>
      <c r="WU506" s="1"/>
      <c r="WV506" s="1"/>
      <c r="WW506" s="1"/>
      <c r="WX506" s="1"/>
      <c r="WY506" s="1"/>
      <c r="WZ506" s="1"/>
      <c r="XA506" s="1"/>
      <c r="XB506" s="1"/>
      <c r="XC506" s="1"/>
      <c r="XD506" s="1"/>
      <c r="XE506" s="1"/>
      <c r="XF506" s="1"/>
      <c r="XG506" s="1"/>
      <c r="XH506" s="1"/>
      <c r="XI506" s="1"/>
      <c r="XJ506" s="1"/>
      <c r="XK506" s="1"/>
      <c r="XL506" s="1"/>
      <c r="XM506" s="1"/>
      <c r="XN506" s="1"/>
      <c r="XO506" s="1"/>
      <c r="XP506" s="1"/>
      <c r="XQ506" s="1"/>
      <c r="XR506" s="1"/>
      <c r="XS506" s="1"/>
      <c r="XT506" s="1"/>
      <c r="XU506" s="1"/>
      <c r="XV506" s="1"/>
      <c r="XW506" s="1"/>
      <c r="XX506" s="1"/>
      <c r="XY506" s="1"/>
      <c r="XZ506" s="1"/>
      <c r="YA506" s="1"/>
      <c r="YB506" s="1"/>
      <c r="YC506" s="1"/>
      <c r="YD506" s="1"/>
      <c r="YE506" s="1"/>
      <c r="YF506" s="1"/>
      <c r="YG506" s="1"/>
      <c r="YH506" s="1"/>
      <c r="YI506" s="1"/>
      <c r="YJ506" s="1"/>
      <c r="YK506" s="1"/>
      <c r="YL506" s="1"/>
      <c r="YM506" s="1"/>
      <c r="YN506" s="1"/>
      <c r="YO506" s="1"/>
      <c r="YP506" s="1"/>
      <c r="YQ506" s="1"/>
      <c r="YR506" s="1"/>
      <c r="YS506" s="1"/>
      <c r="YT506" s="1"/>
      <c r="YU506" s="1"/>
      <c r="YV506" s="1"/>
      <c r="YW506" s="1"/>
      <c r="YX506" s="1"/>
      <c r="YY506" s="1"/>
      <c r="YZ506" s="1"/>
      <c r="ZA506" s="1"/>
      <c r="ZB506" s="1"/>
      <c r="ZC506" s="1"/>
      <c r="ZD506" s="1"/>
      <c r="ZE506" s="1"/>
      <c r="ZF506" s="1"/>
      <c r="ZG506" s="1"/>
      <c r="ZH506" s="1"/>
      <c r="ZI506" s="1"/>
      <c r="ZJ506" s="1"/>
      <c r="ZK506" s="1"/>
      <c r="ZL506" s="1"/>
      <c r="ZM506" s="1"/>
      <c r="ZN506" s="1"/>
      <c r="ZO506" s="1"/>
      <c r="ZP506" s="1"/>
      <c r="ZQ506" s="1"/>
      <c r="ZR506" s="1"/>
      <c r="ZS506" s="1"/>
      <c r="ZT506" s="1"/>
      <c r="ZU506" s="1"/>
      <c r="ZV506" s="1"/>
      <c r="ZW506" s="1"/>
      <c r="ZX506" s="1"/>
      <c r="ZY506" s="1"/>
      <c r="ZZ506" s="1"/>
      <c r="AAA506" s="1"/>
      <c r="AAB506" s="1"/>
      <c r="AAC506" s="1"/>
      <c r="AAD506" s="1"/>
      <c r="AAE506" s="1"/>
      <c r="AAF506" s="1"/>
      <c r="AAG506" s="1"/>
      <c r="AAH506" s="1"/>
      <c r="AAI506" s="1"/>
      <c r="AAJ506" s="1"/>
      <c r="AAK506" s="1"/>
      <c r="AAL506" s="1"/>
      <c r="AAM506" s="1"/>
      <c r="AAN506" s="1"/>
      <c r="AAO506" s="1"/>
      <c r="AAP506" s="1"/>
      <c r="AAQ506" s="1"/>
      <c r="AAR506" s="1"/>
      <c r="AAS506" s="1"/>
      <c r="AAT506" s="1"/>
      <c r="AAU506" s="1"/>
      <c r="AAV506" s="1"/>
      <c r="AAW506" s="1"/>
      <c r="AAX506" s="1"/>
      <c r="AAY506" s="1"/>
      <c r="AAZ506" s="1"/>
      <c r="ABA506" s="1"/>
      <c r="ABB506" s="1"/>
      <c r="ABC506" s="1"/>
      <c r="ABD506" s="1"/>
      <c r="ABE506" s="1"/>
      <c r="ABF506" s="1"/>
      <c r="ABG506" s="1"/>
      <c r="ABH506" s="1"/>
      <c r="ABI506" s="1"/>
      <c r="ABJ506" s="1"/>
      <c r="ABK506" s="1"/>
      <c r="ABL506" s="1"/>
      <c r="ABM506" s="1"/>
      <c r="ABN506" s="1"/>
      <c r="ABO506" s="1"/>
      <c r="ABP506" s="1"/>
      <c r="ABQ506" s="1"/>
      <c r="ABR506" s="1"/>
      <c r="ABS506" s="1"/>
      <c r="ABT506" s="1"/>
      <c r="ABU506" s="1"/>
      <c r="ABV506" s="1"/>
      <c r="ABW506" s="1"/>
      <c r="ABX506" s="1"/>
      <c r="ABY506" s="1"/>
      <c r="ABZ506" s="1"/>
      <c r="ACA506" s="1"/>
      <c r="ACB506" s="1"/>
      <c r="ACC506" s="1"/>
      <c r="ACD506" s="1"/>
      <c r="ACE506" s="1"/>
      <c r="ACF506" s="1"/>
      <c r="ACG506" s="1"/>
      <c r="ACH506" s="1"/>
      <c r="ACI506" s="1"/>
      <c r="ACJ506" s="1"/>
      <c r="ACK506" s="1"/>
      <c r="ACL506" s="1"/>
      <c r="ACM506" s="1"/>
      <c r="ACN506" s="1"/>
      <c r="ACO506" s="1"/>
      <c r="ACP506" s="1"/>
      <c r="ACQ506" s="1"/>
      <c r="ACR506" s="1"/>
      <c r="ACS506" s="1"/>
      <c r="ACT506" s="1"/>
      <c r="ACU506" s="1"/>
      <c r="ACV506" s="1"/>
      <c r="ACW506" s="1"/>
      <c r="ACX506" s="1"/>
      <c r="ACY506" s="1"/>
      <c r="ACZ506" s="1"/>
      <c r="ADA506" s="1"/>
      <c r="ADB506" s="1"/>
      <c r="ADC506" s="1"/>
      <c r="ADD506" s="1"/>
      <c r="ADE506" s="1"/>
      <c r="ADF506" s="1"/>
      <c r="ADG506" s="1"/>
      <c r="ADH506" s="1"/>
      <c r="ADI506" s="1"/>
      <c r="ADJ506" s="1"/>
      <c r="ADK506" s="1"/>
      <c r="ADL506" s="1"/>
      <c r="ADM506" s="1"/>
      <c r="ADN506" s="1"/>
      <c r="ADO506" s="1"/>
      <c r="ADP506" s="1"/>
      <c r="ADQ506" s="1"/>
      <c r="ADR506" s="1"/>
      <c r="ADS506" s="1"/>
      <c r="ADT506" s="1"/>
      <c r="ADU506" s="1"/>
      <c r="ADV506" s="1"/>
      <c r="ADW506" s="1"/>
      <c r="ADX506" s="1"/>
      <c r="ADY506" s="1"/>
      <c r="ADZ506" s="1"/>
      <c r="AEA506" s="1"/>
      <c r="AEB506" s="1"/>
      <c r="AEC506" s="1"/>
      <c r="AED506" s="1"/>
      <c r="AEE506" s="1"/>
      <c r="AEF506" s="1"/>
      <c r="AEG506" s="1"/>
      <c r="AEH506" s="1"/>
      <c r="AEI506" s="1"/>
      <c r="AEJ506" s="1"/>
      <c r="AEK506" s="1"/>
      <c r="AEL506" s="1"/>
      <c r="AEM506" s="1"/>
      <c r="AEN506" s="1"/>
      <c r="AEO506" s="1"/>
      <c r="AEP506" s="1"/>
      <c r="AEQ506" s="1"/>
      <c r="AER506" s="1"/>
      <c r="AES506" s="1"/>
      <c r="AET506" s="1"/>
      <c r="AEU506" s="1"/>
      <c r="AEV506" s="1"/>
      <c r="AEW506" s="1"/>
      <c r="AEX506" s="1"/>
      <c r="AEY506" s="1"/>
      <c r="AEZ506" s="1"/>
      <c r="AFA506" s="1"/>
      <c r="AFB506" s="1"/>
      <c r="AFC506" s="1"/>
      <c r="AFD506" s="1"/>
      <c r="AFE506" s="1"/>
      <c r="AFF506" s="1"/>
      <c r="AFG506" s="1"/>
      <c r="AFH506" s="1"/>
      <c r="AFI506" s="1"/>
      <c r="AFJ506" s="1"/>
      <c r="AFK506" s="1"/>
      <c r="AFL506" s="1"/>
      <c r="AFM506" s="1"/>
      <c r="AFN506" s="1"/>
      <c r="AFO506" s="1"/>
      <c r="AFP506" s="1"/>
      <c r="AFQ506" s="1"/>
      <c r="AFR506" s="1"/>
      <c r="AFS506" s="1"/>
      <c r="AFT506" s="1"/>
      <c r="AFU506" s="1"/>
      <c r="AFV506" s="1"/>
      <c r="AFW506" s="1"/>
      <c r="AFX506" s="1"/>
      <c r="AFY506" s="1"/>
      <c r="AFZ506" s="1"/>
      <c r="AGA506" s="1"/>
      <c r="AGB506" s="1"/>
      <c r="AGC506" s="1"/>
      <c r="AGD506" s="1"/>
      <c r="AGE506" s="1"/>
      <c r="AGF506" s="1"/>
      <c r="AGG506" s="1"/>
      <c r="AGH506" s="1"/>
      <c r="AGI506" s="1"/>
      <c r="AGJ506" s="1"/>
      <c r="AGK506" s="1"/>
      <c r="AGL506" s="1"/>
      <c r="AGM506" s="1"/>
      <c r="AGN506" s="1"/>
      <c r="AGO506" s="1"/>
      <c r="AGP506" s="1"/>
      <c r="AGQ506" s="1"/>
      <c r="AGR506" s="1"/>
      <c r="AGS506" s="1"/>
      <c r="AGT506" s="1"/>
      <c r="AGU506" s="1"/>
      <c r="AGV506" s="1"/>
      <c r="AGW506" s="1"/>
      <c r="AGX506" s="1"/>
      <c r="AGY506" s="1"/>
      <c r="AGZ506" s="1"/>
      <c r="AHA506" s="1"/>
      <c r="AHB506" s="1"/>
      <c r="AHC506" s="1"/>
      <c r="AHD506" s="1"/>
      <c r="AHE506" s="1"/>
      <c r="AHF506" s="1"/>
      <c r="AHG506" s="1"/>
      <c r="AHH506" s="1"/>
      <c r="AHI506" s="1"/>
      <c r="AHJ506" s="1"/>
      <c r="AHK506" s="1"/>
      <c r="AHL506" s="1"/>
      <c r="AHM506" s="1"/>
      <c r="AHN506" s="1"/>
      <c r="AHO506" s="1"/>
      <c r="AHP506" s="1"/>
      <c r="AHQ506" s="1"/>
      <c r="AHR506" s="1"/>
      <c r="AHS506" s="1"/>
      <c r="AHT506" s="1"/>
      <c r="AHU506" s="1"/>
      <c r="AHV506" s="1"/>
      <c r="AHW506" s="1"/>
      <c r="AHX506" s="1"/>
      <c r="AHY506" s="1"/>
    </row>
    <row r="507" spans="1:909" s="5" customFormat="1" ht="21.6" thickTop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  <c r="JU507" s="1"/>
      <c r="JV507" s="1"/>
      <c r="JW507" s="1"/>
      <c r="JX507" s="1"/>
      <c r="JY507" s="1"/>
      <c r="JZ507" s="1"/>
      <c r="KA507" s="1"/>
      <c r="KB507" s="1"/>
      <c r="KC507" s="1"/>
      <c r="KD507" s="1"/>
      <c r="KE507" s="1"/>
      <c r="KF507" s="1"/>
      <c r="KG507" s="1"/>
      <c r="KH507" s="1"/>
      <c r="KI507" s="1"/>
      <c r="KJ507" s="1"/>
      <c r="KK507" s="1"/>
      <c r="KL507" s="1"/>
      <c r="KM507" s="1"/>
      <c r="KN507" s="1"/>
      <c r="KO507" s="1"/>
      <c r="KP507" s="1"/>
      <c r="KQ507" s="1"/>
      <c r="KR507" s="1"/>
      <c r="KS507" s="1"/>
      <c r="KT507" s="1"/>
      <c r="KU507" s="1"/>
      <c r="KV507" s="1"/>
      <c r="KW507" s="1"/>
      <c r="KX507" s="1"/>
      <c r="KY507" s="1"/>
      <c r="KZ507" s="1"/>
      <c r="LA507" s="1"/>
      <c r="LB507" s="1"/>
      <c r="LC507" s="1"/>
      <c r="LD507" s="1"/>
      <c r="LE507" s="1"/>
      <c r="LF507" s="1"/>
      <c r="LG507" s="1"/>
      <c r="LH507" s="1"/>
      <c r="LI507" s="1"/>
      <c r="LJ507" s="1"/>
      <c r="LK507" s="1"/>
      <c r="LL507" s="1"/>
      <c r="LM507" s="1"/>
      <c r="LN507" s="1"/>
      <c r="LO507" s="1"/>
      <c r="LP507" s="1"/>
      <c r="LQ507" s="1"/>
      <c r="LR507" s="1"/>
      <c r="LS507" s="1"/>
      <c r="LT507" s="1"/>
      <c r="LU507" s="1"/>
      <c r="LV507" s="1"/>
      <c r="LW507" s="1"/>
      <c r="LX507" s="1"/>
      <c r="LY507" s="1"/>
      <c r="LZ507" s="1"/>
      <c r="MA507" s="1"/>
      <c r="MB507" s="1"/>
      <c r="MC507" s="1"/>
      <c r="MD507" s="1"/>
      <c r="ME507" s="1"/>
      <c r="MF507" s="1"/>
      <c r="MG507" s="1"/>
      <c r="MH507" s="1"/>
      <c r="MI507" s="1"/>
      <c r="MJ507" s="1"/>
      <c r="MK507" s="1"/>
      <c r="ML507" s="1"/>
      <c r="MM507" s="1"/>
      <c r="MN507" s="1"/>
      <c r="MO507" s="1"/>
      <c r="MP507" s="1"/>
      <c r="MQ507" s="1"/>
      <c r="MR507" s="1"/>
      <c r="MS507" s="1"/>
      <c r="MT507" s="1"/>
      <c r="MU507" s="1"/>
      <c r="MV507" s="1"/>
      <c r="MW507" s="1"/>
      <c r="MX507" s="1"/>
      <c r="MY507" s="1"/>
      <c r="MZ507" s="1"/>
      <c r="NA507" s="1"/>
      <c r="NB507" s="1"/>
      <c r="NC507" s="1"/>
      <c r="ND507" s="1"/>
      <c r="NE507" s="1"/>
      <c r="NF507" s="1"/>
      <c r="NG507" s="1"/>
      <c r="NH507" s="1"/>
      <c r="NI507" s="1"/>
      <c r="NJ507" s="1"/>
      <c r="NK507" s="1"/>
      <c r="NL507" s="1"/>
      <c r="NM507" s="1"/>
      <c r="NN507" s="1"/>
      <c r="NO507" s="1"/>
      <c r="NP507" s="1"/>
      <c r="NQ507" s="1"/>
      <c r="NR507" s="1"/>
      <c r="NS507" s="1"/>
      <c r="NT507" s="1"/>
      <c r="NU507" s="1"/>
      <c r="NV507" s="1"/>
      <c r="NW507" s="1"/>
      <c r="NX507" s="1"/>
      <c r="NY507" s="1"/>
      <c r="NZ507" s="1"/>
      <c r="OA507" s="1"/>
      <c r="OB507" s="1"/>
      <c r="OC507" s="1"/>
      <c r="OD507" s="1"/>
      <c r="OE507" s="1"/>
      <c r="OF507" s="1"/>
      <c r="OG507" s="1"/>
      <c r="OH507" s="1"/>
      <c r="OI507" s="1"/>
      <c r="OJ507" s="1"/>
      <c r="OK507" s="1"/>
      <c r="OL507" s="1"/>
      <c r="OM507" s="1"/>
      <c r="ON507" s="1"/>
      <c r="OO507" s="1"/>
      <c r="OP507" s="1"/>
      <c r="OQ507" s="1"/>
      <c r="OR507" s="1"/>
      <c r="OS507" s="1"/>
      <c r="OT507" s="1"/>
      <c r="OU507" s="1"/>
      <c r="OV507" s="1"/>
      <c r="OW507" s="1"/>
      <c r="OX507" s="1"/>
      <c r="OY507" s="1"/>
      <c r="OZ507" s="1"/>
      <c r="PA507" s="1"/>
      <c r="PB507" s="1"/>
      <c r="PC507" s="1"/>
      <c r="PD507" s="1"/>
      <c r="PE507" s="1"/>
      <c r="PF507" s="1"/>
      <c r="PG507" s="1"/>
      <c r="PH507" s="1"/>
      <c r="PI507" s="1"/>
      <c r="PJ507" s="1"/>
      <c r="PK507" s="1"/>
      <c r="PL507" s="1"/>
      <c r="PM507" s="1"/>
      <c r="PN507" s="1"/>
      <c r="PO507" s="1"/>
      <c r="PP507" s="1"/>
      <c r="PQ507" s="1"/>
      <c r="PR507" s="1"/>
      <c r="PS507" s="1"/>
      <c r="PT507" s="1"/>
      <c r="PU507" s="1"/>
      <c r="PV507" s="1"/>
      <c r="PW507" s="1"/>
      <c r="PX507" s="1"/>
      <c r="PY507" s="1"/>
      <c r="PZ507" s="1"/>
      <c r="QA507" s="1"/>
      <c r="QB507" s="1"/>
      <c r="QC507" s="1"/>
      <c r="QD507" s="1"/>
      <c r="QE507" s="1"/>
      <c r="QF507" s="1"/>
      <c r="QG507" s="1"/>
      <c r="QH507" s="1"/>
      <c r="QI507" s="1"/>
      <c r="QJ507" s="1"/>
      <c r="QK507" s="1"/>
      <c r="QL507" s="1"/>
      <c r="QM507" s="1"/>
      <c r="QN507" s="1"/>
      <c r="QO507" s="1"/>
      <c r="QP507" s="1"/>
      <c r="QQ507" s="1"/>
      <c r="QR507" s="1"/>
      <c r="QS507" s="1"/>
      <c r="QT507" s="1"/>
      <c r="QU507" s="1"/>
      <c r="QV507" s="1"/>
      <c r="QW507" s="1"/>
      <c r="QX507" s="1"/>
      <c r="QY507" s="1"/>
      <c r="QZ507" s="1"/>
      <c r="RA507" s="1"/>
      <c r="RB507" s="1"/>
      <c r="RC507" s="1"/>
      <c r="RD507" s="1"/>
      <c r="RE507" s="1"/>
      <c r="RF507" s="1"/>
      <c r="RG507" s="1"/>
      <c r="RH507" s="1"/>
      <c r="RI507" s="1"/>
      <c r="RJ507" s="1"/>
      <c r="RK507" s="1"/>
      <c r="RL507" s="1"/>
      <c r="RM507" s="1"/>
      <c r="RN507" s="1"/>
      <c r="RO507" s="1"/>
      <c r="RP507" s="1"/>
      <c r="RQ507" s="1"/>
      <c r="RR507" s="1"/>
      <c r="RS507" s="1"/>
      <c r="RT507" s="1"/>
      <c r="RU507" s="1"/>
      <c r="RV507" s="1"/>
      <c r="RW507" s="1"/>
      <c r="RX507" s="1"/>
      <c r="RY507" s="1"/>
      <c r="RZ507" s="1"/>
      <c r="SA507" s="1"/>
      <c r="SB507" s="1"/>
      <c r="SC507" s="1"/>
      <c r="SD507" s="1"/>
      <c r="SE507" s="1"/>
      <c r="SF507" s="1"/>
      <c r="SG507" s="1"/>
      <c r="SH507" s="1"/>
      <c r="SI507" s="1"/>
      <c r="SJ507" s="1"/>
      <c r="SK507" s="1"/>
      <c r="SL507" s="1"/>
      <c r="SM507" s="1"/>
      <c r="SN507" s="1"/>
      <c r="SO507" s="1"/>
      <c r="SP507" s="1"/>
      <c r="SQ507" s="1"/>
      <c r="SR507" s="1"/>
      <c r="SS507" s="1"/>
      <c r="ST507" s="1"/>
      <c r="SU507" s="1"/>
      <c r="SV507" s="1"/>
      <c r="SW507" s="1"/>
      <c r="SX507" s="1"/>
      <c r="SY507" s="1"/>
      <c r="SZ507" s="1"/>
      <c r="TA507" s="1"/>
      <c r="TB507" s="1"/>
      <c r="TC507" s="1"/>
      <c r="TD507" s="1"/>
      <c r="TE507" s="1"/>
      <c r="TF507" s="1"/>
      <c r="TG507" s="1"/>
      <c r="TH507" s="1"/>
      <c r="TI507" s="1"/>
      <c r="TJ507" s="1"/>
      <c r="TK507" s="1"/>
      <c r="TL507" s="1"/>
      <c r="TM507" s="1"/>
      <c r="TN507" s="1"/>
      <c r="TO507" s="1"/>
      <c r="TP507" s="1"/>
      <c r="TQ507" s="1"/>
      <c r="TR507" s="1"/>
      <c r="TS507" s="1"/>
      <c r="TT507" s="1"/>
      <c r="TU507" s="1"/>
      <c r="TV507" s="1"/>
      <c r="TW507" s="1"/>
      <c r="TX507" s="1"/>
      <c r="TY507" s="1"/>
      <c r="TZ507" s="1"/>
      <c r="UA507" s="1"/>
      <c r="UB507" s="1"/>
      <c r="UC507" s="1"/>
      <c r="UD507" s="1"/>
      <c r="UE507" s="1"/>
      <c r="UF507" s="1"/>
      <c r="UG507" s="1"/>
      <c r="UH507" s="1"/>
      <c r="UI507" s="1"/>
      <c r="UJ507" s="1"/>
      <c r="UK507" s="1"/>
      <c r="UL507" s="1"/>
      <c r="UM507" s="1"/>
      <c r="UN507" s="1"/>
      <c r="UO507" s="1"/>
      <c r="UP507" s="1"/>
      <c r="UQ507" s="1"/>
      <c r="UR507" s="1"/>
      <c r="US507" s="1"/>
      <c r="UT507" s="1"/>
      <c r="UU507" s="1"/>
      <c r="UV507" s="1"/>
      <c r="UW507" s="1"/>
      <c r="UX507" s="1"/>
      <c r="UY507" s="1"/>
      <c r="UZ507" s="1"/>
      <c r="VA507" s="1"/>
      <c r="VB507" s="1"/>
      <c r="VC507" s="1"/>
      <c r="VD507" s="1"/>
      <c r="VE507" s="1"/>
      <c r="VF507" s="1"/>
      <c r="VG507" s="1"/>
      <c r="VH507" s="1"/>
      <c r="VI507" s="1"/>
      <c r="VJ507" s="1"/>
      <c r="VK507" s="1"/>
      <c r="VL507" s="1"/>
      <c r="VM507" s="1"/>
      <c r="VN507" s="1"/>
      <c r="VO507" s="1"/>
      <c r="VP507" s="1"/>
      <c r="VQ507" s="1"/>
      <c r="VR507" s="1"/>
      <c r="VS507" s="1"/>
      <c r="VT507" s="1"/>
      <c r="VU507" s="1"/>
      <c r="VV507" s="1"/>
      <c r="VW507" s="1"/>
      <c r="VX507" s="1"/>
      <c r="VY507" s="1"/>
      <c r="VZ507" s="1"/>
      <c r="WA507" s="1"/>
      <c r="WB507" s="1"/>
      <c r="WC507" s="1"/>
      <c r="WD507" s="1"/>
      <c r="WE507" s="1"/>
      <c r="WF507" s="1"/>
      <c r="WG507" s="1"/>
      <c r="WH507" s="1"/>
      <c r="WI507" s="1"/>
      <c r="WJ507" s="1"/>
      <c r="WK507" s="1"/>
      <c r="WL507" s="1"/>
      <c r="WM507" s="1"/>
      <c r="WN507" s="1"/>
      <c r="WO507" s="1"/>
      <c r="WP507" s="1"/>
      <c r="WQ507" s="1"/>
      <c r="WR507" s="1"/>
      <c r="WS507" s="1"/>
      <c r="WT507" s="1"/>
      <c r="WU507" s="1"/>
      <c r="WV507" s="1"/>
      <c r="WW507" s="1"/>
      <c r="WX507" s="1"/>
      <c r="WY507" s="1"/>
      <c r="WZ507" s="1"/>
      <c r="XA507" s="1"/>
      <c r="XB507" s="1"/>
      <c r="XC507" s="1"/>
      <c r="XD507" s="1"/>
      <c r="XE507" s="1"/>
      <c r="XF507" s="1"/>
      <c r="XG507" s="1"/>
      <c r="XH507" s="1"/>
      <c r="XI507" s="1"/>
      <c r="XJ507" s="1"/>
      <c r="XK507" s="1"/>
      <c r="XL507" s="1"/>
      <c r="XM507" s="1"/>
      <c r="XN507" s="1"/>
      <c r="XO507" s="1"/>
      <c r="XP507" s="1"/>
      <c r="XQ507" s="1"/>
      <c r="XR507" s="1"/>
      <c r="XS507" s="1"/>
      <c r="XT507" s="1"/>
      <c r="XU507" s="1"/>
      <c r="XV507" s="1"/>
      <c r="XW507" s="1"/>
      <c r="XX507" s="1"/>
      <c r="XY507" s="1"/>
      <c r="XZ507" s="1"/>
      <c r="YA507" s="1"/>
      <c r="YB507" s="1"/>
      <c r="YC507" s="1"/>
      <c r="YD507" s="1"/>
      <c r="YE507" s="1"/>
      <c r="YF507" s="1"/>
      <c r="YG507" s="1"/>
      <c r="YH507" s="1"/>
      <c r="YI507" s="1"/>
      <c r="YJ507" s="1"/>
      <c r="YK507" s="1"/>
      <c r="YL507" s="1"/>
      <c r="YM507" s="1"/>
      <c r="YN507" s="1"/>
      <c r="YO507" s="1"/>
      <c r="YP507" s="1"/>
      <c r="YQ507" s="1"/>
      <c r="YR507" s="1"/>
      <c r="YS507" s="1"/>
      <c r="YT507" s="1"/>
      <c r="YU507" s="1"/>
      <c r="YV507" s="1"/>
      <c r="YW507" s="1"/>
      <c r="YX507" s="1"/>
      <c r="YY507" s="1"/>
      <c r="YZ507" s="1"/>
      <c r="ZA507" s="1"/>
      <c r="ZB507" s="1"/>
      <c r="ZC507" s="1"/>
      <c r="ZD507" s="1"/>
      <c r="ZE507" s="1"/>
      <c r="ZF507" s="1"/>
      <c r="ZG507" s="1"/>
      <c r="ZH507" s="1"/>
      <c r="ZI507" s="1"/>
      <c r="ZJ507" s="1"/>
      <c r="ZK507" s="1"/>
      <c r="ZL507" s="1"/>
      <c r="ZM507" s="1"/>
      <c r="ZN507" s="1"/>
      <c r="ZO507" s="1"/>
      <c r="ZP507" s="1"/>
      <c r="ZQ507" s="1"/>
      <c r="ZR507" s="1"/>
      <c r="ZS507" s="1"/>
      <c r="ZT507" s="1"/>
      <c r="ZU507" s="1"/>
      <c r="ZV507" s="1"/>
      <c r="ZW507" s="1"/>
      <c r="ZX507" s="1"/>
      <c r="ZY507" s="1"/>
      <c r="ZZ507" s="1"/>
      <c r="AAA507" s="1"/>
      <c r="AAB507" s="1"/>
      <c r="AAC507" s="1"/>
      <c r="AAD507" s="1"/>
      <c r="AAE507" s="1"/>
      <c r="AAF507" s="1"/>
      <c r="AAG507" s="1"/>
      <c r="AAH507" s="1"/>
      <c r="AAI507" s="1"/>
      <c r="AAJ507" s="1"/>
      <c r="AAK507" s="1"/>
      <c r="AAL507" s="1"/>
      <c r="AAM507" s="1"/>
      <c r="AAN507" s="1"/>
      <c r="AAO507" s="1"/>
      <c r="AAP507" s="1"/>
      <c r="AAQ507" s="1"/>
      <c r="AAR507" s="1"/>
      <c r="AAS507" s="1"/>
      <c r="AAT507" s="1"/>
      <c r="AAU507" s="1"/>
      <c r="AAV507" s="1"/>
      <c r="AAW507" s="1"/>
      <c r="AAX507" s="1"/>
      <c r="AAY507" s="1"/>
      <c r="AAZ507" s="1"/>
      <c r="ABA507" s="1"/>
      <c r="ABB507" s="1"/>
      <c r="ABC507" s="1"/>
      <c r="ABD507" s="1"/>
      <c r="ABE507" s="1"/>
      <c r="ABF507" s="1"/>
      <c r="ABG507" s="1"/>
      <c r="ABH507" s="1"/>
      <c r="ABI507" s="1"/>
      <c r="ABJ507" s="1"/>
      <c r="ABK507" s="1"/>
      <c r="ABL507" s="1"/>
      <c r="ABM507" s="1"/>
      <c r="ABN507" s="1"/>
      <c r="ABO507" s="1"/>
      <c r="ABP507" s="1"/>
      <c r="ABQ507" s="1"/>
      <c r="ABR507" s="1"/>
      <c r="ABS507" s="1"/>
      <c r="ABT507" s="1"/>
      <c r="ABU507" s="1"/>
      <c r="ABV507" s="1"/>
      <c r="ABW507" s="1"/>
      <c r="ABX507" s="1"/>
      <c r="ABY507" s="1"/>
      <c r="ABZ507" s="1"/>
      <c r="ACA507" s="1"/>
      <c r="ACB507" s="1"/>
      <c r="ACC507" s="1"/>
      <c r="ACD507" s="1"/>
      <c r="ACE507" s="1"/>
      <c r="ACF507" s="1"/>
      <c r="ACG507" s="1"/>
      <c r="ACH507" s="1"/>
      <c r="ACI507" s="1"/>
      <c r="ACJ507" s="1"/>
      <c r="ACK507" s="1"/>
      <c r="ACL507" s="1"/>
      <c r="ACM507" s="1"/>
      <c r="ACN507" s="1"/>
      <c r="ACO507" s="1"/>
      <c r="ACP507" s="1"/>
      <c r="ACQ507" s="1"/>
      <c r="ACR507" s="1"/>
      <c r="ACS507" s="1"/>
      <c r="ACT507" s="1"/>
      <c r="ACU507" s="1"/>
      <c r="ACV507" s="1"/>
      <c r="ACW507" s="1"/>
      <c r="ACX507" s="1"/>
      <c r="ACY507" s="1"/>
      <c r="ACZ507" s="1"/>
      <c r="ADA507" s="1"/>
      <c r="ADB507" s="1"/>
      <c r="ADC507" s="1"/>
      <c r="ADD507" s="1"/>
      <c r="ADE507" s="1"/>
      <c r="ADF507" s="1"/>
      <c r="ADG507" s="1"/>
      <c r="ADH507" s="1"/>
      <c r="ADI507" s="1"/>
      <c r="ADJ507" s="1"/>
      <c r="ADK507" s="1"/>
      <c r="ADL507" s="1"/>
      <c r="ADM507" s="1"/>
      <c r="ADN507" s="1"/>
      <c r="ADO507" s="1"/>
      <c r="ADP507" s="1"/>
      <c r="ADQ507" s="1"/>
      <c r="ADR507" s="1"/>
      <c r="ADS507" s="1"/>
      <c r="ADT507" s="1"/>
      <c r="ADU507" s="1"/>
      <c r="ADV507" s="1"/>
      <c r="ADW507" s="1"/>
      <c r="ADX507" s="1"/>
      <c r="ADY507" s="1"/>
      <c r="ADZ507" s="1"/>
      <c r="AEA507" s="1"/>
      <c r="AEB507" s="1"/>
      <c r="AEC507" s="1"/>
      <c r="AED507" s="1"/>
      <c r="AEE507" s="1"/>
      <c r="AEF507" s="1"/>
      <c r="AEG507" s="1"/>
      <c r="AEH507" s="1"/>
      <c r="AEI507" s="1"/>
      <c r="AEJ507" s="1"/>
      <c r="AEK507" s="1"/>
      <c r="AEL507" s="1"/>
      <c r="AEM507" s="1"/>
      <c r="AEN507" s="1"/>
      <c r="AEO507" s="1"/>
      <c r="AEP507" s="1"/>
      <c r="AEQ507" s="1"/>
      <c r="AER507" s="1"/>
      <c r="AES507" s="1"/>
      <c r="AET507" s="1"/>
      <c r="AEU507" s="1"/>
      <c r="AEV507" s="1"/>
      <c r="AEW507" s="1"/>
      <c r="AEX507" s="1"/>
      <c r="AEY507" s="1"/>
      <c r="AEZ507" s="1"/>
      <c r="AFA507" s="1"/>
      <c r="AFB507" s="1"/>
      <c r="AFC507" s="1"/>
      <c r="AFD507" s="1"/>
      <c r="AFE507" s="1"/>
      <c r="AFF507" s="1"/>
      <c r="AFG507" s="1"/>
      <c r="AFH507" s="1"/>
      <c r="AFI507" s="1"/>
      <c r="AFJ507" s="1"/>
      <c r="AFK507" s="1"/>
      <c r="AFL507" s="1"/>
      <c r="AFM507" s="1"/>
      <c r="AFN507" s="1"/>
      <c r="AFO507" s="1"/>
      <c r="AFP507" s="1"/>
      <c r="AFQ507" s="1"/>
      <c r="AFR507" s="1"/>
      <c r="AFS507" s="1"/>
      <c r="AFT507" s="1"/>
      <c r="AFU507" s="1"/>
      <c r="AFV507" s="1"/>
      <c r="AFW507" s="1"/>
      <c r="AFX507" s="1"/>
      <c r="AFY507" s="1"/>
      <c r="AFZ507" s="1"/>
      <c r="AGA507" s="1"/>
      <c r="AGB507" s="1"/>
      <c r="AGC507" s="1"/>
      <c r="AGD507" s="1"/>
      <c r="AGE507" s="1"/>
      <c r="AGF507" s="1"/>
      <c r="AGG507" s="1"/>
      <c r="AGH507" s="1"/>
      <c r="AGI507" s="1"/>
      <c r="AGJ507" s="1"/>
      <c r="AGK507" s="1"/>
      <c r="AGL507" s="1"/>
      <c r="AGM507" s="1"/>
      <c r="AGN507" s="1"/>
      <c r="AGO507" s="1"/>
      <c r="AGP507" s="1"/>
      <c r="AGQ507" s="1"/>
      <c r="AGR507" s="1"/>
      <c r="AGS507" s="1"/>
      <c r="AGT507" s="1"/>
      <c r="AGU507" s="1"/>
      <c r="AGV507" s="1"/>
      <c r="AGW507" s="1"/>
      <c r="AGX507" s="1"/>
      <c r="AGY507" s="1"/>
      <c r="AGZ507" s="1"/>
      <c r="AHA507" s="1"/>
      <c r="AHB507" s="1"/>
      <c r="AHC507" s="1"/>
      <c r="AHD507" s="1"/>
      <c r="AHE507" s="1"/>
      <c r="AHF507" s="1"/>
      <c r="AHG507" s="1"/>
      <c r="AHH507" s="1"/>
      <c r="AHI507" s="1"/>
      <c r="AHJ507" s="1"/>
      <c r="AHK507" s="1"/>
      <c r="AHL507" s="1"/>
      <c r="AHM507" s="1"/>
      <c r="AHN507" s="1"/>
      <c r="AHO507" s="1"/>
      <c r="AHP507" s="1"/>
      <c r="AHQ507" s="1"/>
      <c r="AHR507" s="1"/>
      <c r="AHS507" s="1"/>
      <c r="AHT507" s="1"/>
      <c r="AHU507" s="1"/>
      <c r="AHV507" s="1"/>
      <c r="AHW507" s="1"/>
      <c r="AHX507" s="1"/>
      <c r="AHY507" s="1"/>
    </row>
    <row r="508" spans="1:909" s="1" customFormat="1" ht="21">
      <c r="A508" s="156" t="s">
        <v>135</v>
      </c>
      <c r="B508" s="156"/>
      <c r="C508" s="156"/>
      <c r="D508" s="156"/>
      <c r="E508" s="156"/>
      <c r="F508" s="156"/>
      <c r="G508" s="156"/>
      <c r="H508" s="156"/>
      <c r="I508" s="156"/>
      <c r="J508" s="156"/>
      <c r="K508" s="156"/>
      <c r="L508" s="156"/>
      <c r="M508" s="156"/>
      <c r="N508" s="156"/>
      <c r="O508" s="156"/>
      <c r="P508" s="156"/>
      <c r="Q508" s="2"/>
    </row>
    <row r="509" spans="1:909" s="1" customFormat="1" ht="21">
      <c r="A509" s="188" t="s">
        <v>136</v>
      </c>
      <c r="B509" s="188"/>
      <c r="C509" s="188"/>
      <c r="D509" s="188"/>
      <c r="E509" s="188"/>
      <c r="F509" s="188"/>
      <c r="G509" s="188"/>
      <c r="H509" s="188"/>
      <c r="I509" s="188"/>
      <c r="J509" s="188"/>
      <c r="K509" s="188"/>
      <c r="L509" s="188"/>
      <c r="M509" s="188"/>
      <c r="N509" s="188"/>
      <c r="O509" s="188"/>
      <c r="P509" s="188"/>
    </row>
    <row r="510" spans="1:909" s="1" customFormat="1" ht="21">
      <c r="A510" s="189" t="s">
        <v>113</v>
      </c>
      <c r="B510" s="189"/>
      <c r="C510" s="189"/>
      <c r="D510" s="189"/>
      <c r="E510" s="189"/>
      <c r="F510" s="189"/>
      <c r="G510" s="189"/>
      <c r="H510" s="189"/>
      <c r="I510" s="189"/>
      <c r="J510" s="189"/>
      <c r="K510" s="189"/>
      <c r="L510" s="189"/>
      <c r="M510" s="189"/>
      <c r="N510" s="189"/>
      <c r="O510" s="189"/>
      <c r="P510" s="189"/>
    </row>
    <row r="511" spans="1:909" s="1" customFormat="1" ht="21.6" thickBot="1">
      <c r="F511" s="13"/>
      <c r="G511" s="13"/>
      <c r="H511" s="13"/>
      <c r="I511" s="13"/>
      <c r="J511" s="13"/>
      <c r="K511" s="13"/>
    </row>
    <row r="512" spans="1:909" s="1" customFormat="1" ht="22.2" thickTop="1" thickBot="1">
      <c r="A512" s="190"/>
      <c r="B512" s="183" t="s">
        <v>114</v>
      </c>
      <c r="C512" s="192"/>
      <c r="D512" s="183" t="s">
        <v>115</v>
      </c>
      <c r="E512" s="192"/>
      <c r="F512" s="183" t="s">
        <v>116</v>
      </c>
      <c r="G512" s="192"/>
      <c r="H512" s="183" t="s">
        <v>117</v>
      </c>
      <c r="I512" s="192"/>
      <c r="J512" s="183" t="s">
        <v>118</v>
      </c>
      <c r="K512" s="192"/>
      <c r="L512" s="183" t="s">
        <v>119</v>
      </c>
      <c r="M512" s="192"/>
      <c r="N512" s="183" t="s">
        <v>120</v>
      </c>
      <c r="O512" s="184"/>
      <c r="P512" s="185"/>
    </row>
    <row r="513" spans="1:16" s="1" customFormat="1" ht="22.2" thickTop="1" thickBot="1">
      <c r="A513" s="191"/>
      <c r="B513" s="4" t="s">
        <v>76</v>
      </c>
      <c r="C513" s="4" t="s">
        <v>121</v>
      </c>
      <c r="D513" s="4" t="s">
        <v>76</v>
      </c>
      <c r="E513" s="4" t="s">
        <v>121</v>
      </c>
      <c r="F513" s="4" t="s">
        <v>76</v>
      </c>
      <c r="G513" s="4" t="s">
        <v>121</v>
      </c>
      <c r="H513" s="4" t="s">
        <v>76</v>
      </c>
      <c r="I513" s="4" t="s">
        <v>121</v>
      </c>
      <c r="J513" s="4" t="s">
        <v>76</v>
      </c>
      <c r="K513" s="4" t="s">
        <v>121</v>
      </c>
      <c r="L513" s="4" t="s">
        <v>76</v>
      </c>
      <c r="M513" s="4" t="s">
        <v>121</v>
      </c>
      <c r="N513" s="4" t="s">
        <v>76</v>
      </c>
      <c r="O513" s="4" t="s">
        <v>121</v>
      </c>
      <c r="P513" s="14" t="s">
        <v>122</v>
      </c>
    </row>
    <row r="514" spans="1:16" s="1" customFormat="1" ht="22.2" thickTop="1" thickBot="1">
      <c r="A514" s="11" t="s">
        <v>123</v>
      </c>
      <c r="B514" s="4">
        <f>'[1]التعليم الابتدائي'!AP752</f>
        <v>0</v>
      </c>
      <c r="C514" s="4">
        <f>'[1]التعليم الابتدائي'!AQ752</f>
        <v>0</v>
      </c>
      <c r="D514" s="177"/>
      <c r="E514" s="178"/>
      <c r="F514" s="178"/>
      <c r="G514" s="178"/>
      <c r="H514" s="178"/>
      <c r="I514" s="178"/>
      <c r="J514" s="178"/>
      <c r="K514" s="178"/>
      <c r="L514" s="178"/>
      <c r="M514" s="186"/>
      <c r="N514" s="4">
        <f>B514</f>
        <v>0</v>
      </c>
      <c r="O514" s="4">
        <f>C514</f>
        <v>0</v>
      </c>
      <c r="P514" s="14">
        <f t="shared" ref="P514:P524" si="32">O514+N514</f>
        <v>0</v>
      </c>
    </row>
    <row r="515" spans="1:16" s="1" customFormat="1" ht="22.2" thickTop="1" thickBot="1">
      <c r="A515" s="11" t="s">
        <v>124</v>
      </c>
      <c r="B515" s="4">
        <f>'[1]التعليم الابتدائي'!AR752</f>
        <v>0</v>
      </c>
      <c r="C515" s="4">
        <f>'[1]التعليم الابتدائي'!AS752</f>
        <v>0</v>
      </c>
      <c r="D515" s="137"/>
      <c r="E515" s="138"/>
      <c r="F515" s="180"/>
      <c r="G515" s="180"/>
      <c r="H515" s="180"/>
      <c r="I515" s="180"/>
      <c r="J515" s="180"/>
      <c r="K515" s="180"/>
      <c r="L515" s="180"/>
      <c r="M515" s="187"/>
      <c r="N515" s="4">
        <f>B515</f>
        <v>0</v>
      </c>
      <c r="O515" s="4">
        <f>C515</f>
        <v>0</v>
      </c>
      <c r="P515" s="14">
        <f t="shared" si="32"/>
        <v>0</v>
      </c>
    </row>
    <row r="516" spans="1:16" s="1" customFormat="1" ht="22.2" thickTop="1" thickBot="1">
      <c r="A516" s="11" t="s">
        <v>125</v>
      </c>
      <c r="B516" s="4">
        <f>'[1]التعليم الابتدائي'!AT752</f>
        <v>0</v>
      </c>
      <c r="C516" s="4">
        <f>'[1]التعليم الابتدائي'!AU752</f>
        <v>0</v>
      </c>
      <c r="D516" s="4">
        <f>'[1]التعليم الابتدائي'!BE752</f>
        <v>0</v>
      </c>
      <c r="E516" s="4">
        <f>'[1]التعليم الابتدائي'!BF752</f>
        <v>0</v>
      </c>
      <c r="F516" s="138"/>
      <c r="G516" s="138"/>
      <c r="H516" s="180"/>
      <c r="I516" s="180"/>
      <c r="J516" s="180"/>
      <c r="K516" s="180"/>
      <c r="L516" s="180"/>
      <c r="M516" s="187"/>
      <c r="N516" s="4">
        <f>D516+B516</f>
        <v>0</v>
      </c>
      <c r="O516" s="4">
        <f>E516+C516</f>
        <v>0</v>
      </c>
      <c r="P516" s="14">
        <f t="shared" si="32"/>
        <v>0</v>
      </c>
    </row>
    <row r="517" spans="1:16" s="1" customFormat="1" ht="22.2" thickTop="1" thickBot="1">
      <c r="A517" s="11" t="s">
        <v>126</v>
      </c>
      <c r="B517" s="4">
        <f>'[1]التعليم الابتدائي'!AV752</f>
        <v>0</v>
      </c>
      <c r="C517" s="4">
        <f>'[1]التعليم الابتدائي'!AW752</f>
        <v>0</v>
      </c>
      <c r="D517" s="4">
        <f>'[1]التعليم الابتدائي'!BG752</f>
        <v>0</v>
      </c>
      <c r="E517" s="4">
        <f>'[1]التعليم الابتدائي'!BH752</f>
        <v>0</v>
      </c>
      <c r="F517" s="4">
        <f>'[1]التعليم الابتدائي'!BR752</f>
        <v>0</v>
      </c>
      <c r="G517" s="4">
        <f>'[1]التعليم الابتدائي'!BS752</f>
        <v>0</v>
      </c>
      <c r="H517" s="138"/>
      <c r="I517" s="138"/>
      <c r="J517" s="180"/>
      <c r="K517" s="180"/>
      <c r="L517" s="180"/>
      <c r="M517" s="187"/>
      <c r="N517" s="4">
        <f>F517+D517+B517</f>
        <v>0</v>
      </c>
      <c r="O517" s="4">
        <f>G517+E517+C517</f>
        <v>0</v>
      </c>
      <c r="P517" s="14">
        <f t="shared" si="32"/>
        <v>0</v>
      </c>
    </row>
    <row r="518" spans="1:16" s="1" customFormat="1" ht="22.2" thickTop="1" thickBot="1">
      <c r="A518" s="11" t="s">
        <v>106</v>
      </c>
      <c r="B518" s="4">
        <f>'[1]التعليم الابتدائي'!AX752</f>
        <v>0</v>
      </c>
      <c r="C518" s="4">
        <f>'[1]التعليم الابتدائي'!AY752</f>
        <v>0</v>
      </c>
      <c r="D518" s="4">
        <f>'[1]التعليم الابتدائي'!BI752</f>
        <v>0</v>
      </c>
      <c r="E518" s="4">
        <f>'[1]التعليم الابتدائي'!BJ752</f>
        <v>0</v>
      </c>
      <c r="F518" s="4">
        <f>'[1]التعليم الابتدائي'!BT752</f>
        <v>0</v>
      </c>
      <c r="G518" s="4">
        <f>'[1]التعليم الابتدائي'!BU752</f>
        <v>0</v>
      </c>
      <c r="H518" s="4">
        <f>'[1]التعليم الابتدائي'!CE752</f>
        <v>0</v>
      </c>
      <c r="I518" s="4">
        <f>'[1]التعليم الابتدائي'!CF752</f>
        <v>0</v>
      </c>
      <c r="J518" s="138"/>
      <c r="K518" s="138"/>
      <c r="L518" s="180"/>
      <c r="M518" s="187"/>
      <c r="N518" s="4">
        <f>B518+D518+F518+H518</f>
        <v>0</v>
      </c>
      <c r="O518" s="4">
        <f>I518+G518+E518+C518</f>
        <v>0</v>
      </c>
      <c r="P518" s="14">
        <f t="shared" si="32"/>
        <v>0</v>
      </c>
    </row>
    <row r="519" spans="1:16" s="1" customFormat="1" ht="22.2" thickTop="1" thickBot="1">
      <c r="A519" s="11" t="s">
        <v>127</v>
      </c>
      <c r="B519" s="4">
        <f>'[1]التعليم الابتدائي'!AZ752</f>
        <v>0</v>
      </c>
      <c r="C519" s="4">
        <f>'[1]التعليم الابتدائي'!BA752</f>
        <v>0</v>
      </c>
      <c r="D519" s="4">
        <f>'[1]التعليم الابتدائي'!BK752</f>
        <v>0</v>
      </c>
      <c r="E519" s="4">
        <f>'[1]التعليم الابتدائي'!BL752</f>
        <v>0</v>
      </c>
      <c r="F519" s="4">
        <f>'[1]التعليم الابتدائي'!BV752</f>
        <v>0</v>
      </c>
      <c r="G519" s="4">
        <f>'[1]التعليم الابتدائي'!BW752</f>
        <v>0</v>
      </c>
      <c r="H519" s="4">
        <f>'[1]التعليم الابتدائي'!CG752</f>
        <v>0</v>
      </c>
      <c r="I519" s="4">
        <f>'[1]التعليم الابتدائي'!CH752</f>
        <v>0</v>
      </c>
      <c r="J519" s="4">
        <f>'[1]التعليم الابتدائي'!CR752</f>
        <v>0</v>
      </c>
      <c r="K519" s="4">
        <f>'[1]التعليم الابتدائي'!CS752</f>
        <v>0</v>
      </c>
      <c r="L519" s="138"/>
      <c r="M519" s="139"/>
      <c r="N519" s="4">
        <f>B519+D519+F519+H519+J519</f>
        <v>0</v>
      </c>
      <c r="O519" s="4">
        <f>K519+I519+G519+E519+C519</f>
        <v>0</v>
      </c>
      <c r="P519" s="14">
        <f t="shared" si="32"/>
        <v>0</v>
      </c>
    </row>
    <row r="520" spans="1:16" s="1" customFormat="1" ht="22.2" thickTop="1" thickBot="1">
      <c r="A520" s="11" t="s">
        <v>128</v>
      </c>
      <c r="B520" s="177"/>
      <c r="C520" s="178"/>
      <c r="D520" s="4">
        <f>'[1]التعليم الابتدائي'!BM752</f>
        <v>0</v>
      </c>
      <c r="E520" s="4">
        <f>'[1]التعليم الابتدائي'!BN752</f>
        <v>0</v>
      </c>
      <c r="F520" s="4">
        <f>'[1]التعليم الابتدائي'!BX752</f>
        <v>0</v>
      </c>
      <c r="G520" s="4">
        <f>'[1]التعليم الابتدائي'!BY752</f>
        <v>0</v>
      </c>
      <c r="H520" s="4">
        <f>'[1]التعليم الابتدائي'!CI752</f>
        <v>0</v>
      </c>
      <c r="I520" s="4">
        <f>'[1]التعليم الابتدائي'!CJ752</f>
        <v>0</v>
      </c>
      <c r="J520" s="4">
        <f>'[1]التعليم الابتدائي'!CT752</f>
        <v>0</v>
      </c>
      <c r="K520" s="4">
        <f>'[1]التعليم الابتدائي'!CU752</f>
        <v>0</v>
      </c>
      <c r="L520" s="4">
        <f>'[1]التعليم الابتدائي'!DE752</f>
        <v>0</v>
      </c>
      <c r="M520" s="4">
        <f>'[1]التعليم الابتدائي'!DF752</f>
        <v>0</v>
      </c>
      <c r="N520" s="4">
        <f>D520+F520+H520+J520+L520</f>
        <v>0</v>
      </c>
      <c r="O520" s="4">
        <f>M520+K520+I520+G520+E520</f>
        <v>0</v>
      </c>
      <c r="P520" s="14">
        <f t="shared" si="32"/>
        <v>0</v>
      </c>
    </row>
    <row r="521" spans="1:16" s="1" customFormat="1" ht="22.2" thickTop="1" thickBot="1">
      <c r="A521" s="11" t="s">
        <v>129</v>
      </c>
      <c r="B521" s="179"/>
      <c r="C521" s="180"/>
      <c r="D521" s="178"/>
      <c r="E521" s="178"/>
      <c r="F521" s="4">
        <f>'[1]التعليم الابتدائي'!BZ752</f>
        <v>0</v>
      </c>
      <c r="G521" s="4">
        <f>'[1]التعليم الابتدائي'!CA752</f>
        <v>0</v>
      </c>
      <c r="H521" s="4">
        <f>'[1]التعليم الابتدائي'!CK752</f>
        <v>0</v>
      </c>
      <c r="I521" s="4">
        <f>'[1]التعليم الابتدائي'!CL752</f>
        <v>0</v>
      </c>
      <c r="J521" s="4">
        <f>'[1]التعليم الابتدائي'!CV752</f>
        <v>0</v>
      </c>
      <c r="K521" s="4">
        <f>'[1]التعليم الابتدائي'!CW752</f>
        <v>0</v>
      </c>
      <c r="L521" s="4">
        <f>'[1]التعليم الابتدائي'!DG752</f>
        <v>0</v>
      </c>
      <c r="M521" s="4">
        <f>'[1]التعليم الابتدائي'!DH752</f>
        <v>0</v>
      </c>
      <c r="N521" s="4">
        <f>L521+J521+H521+F521</f>
        <v>0</v>
      </c>
      <c r="O521" s="4">
        <f>M521+K521+I521+G521</f>
        <v>0</v>
      </c>
      <c r="P521" s="14">
        <f t="shared" si="32"/>
        <v>0</v>
      </c>
    </row>
    <row r="522" spans="1:16" s="1" customFormat="1" ht="22.2" thickTop="1" thickBot="1">
      <c r="A522" s="11" t="s">
        <v>130</v>
      </c>
      <c r="B522" s="179"/>
      <c r="C522" s="180"/>
      <c r="D522" s="180"/>
      <c r="E522" s="180"/>
      <c r="F522" s="178"/>
      <c r="G522" s="178"/>
      <c r="H522" s="4">
        <f>'[1]التعليم الابتدائي'!CM752</f>
        <v>0</v>
      </c>
      <c r="I522" s="4">
        <f>'[1]التعليم الابتدائي'!CN752</f>
        <v>0</v>
      </c>
      <c r="J522" s="4">
        <f>'[1]التعليم الابتدائي'!CX752</f>
        <v>0</v>
      </c>
      <c r="K522" s="4">
        <f>'[1]التعليم الابتدائي'!CY752</f>
        <v>0</v>
      </c>
      <c r="L522" s="4">
        <f>'[1]التعليم الابتدائي'!DI752</f>
        <v>0</v>
      </c>
      <c r="M522" s="4">
        <f>'[1]التعليم الابتدائي'!DJ752</f>
        <v>0</v>
      </c>
      <c r="N522" s="4">
        <f>L522+J522+H522</f>
        <v>0</v>
      </c>
      <c r="O522" s="4">
        <f>M522+K522+I522</f>
        <v>0</v>
      </c>
      <c r="P522" s="14">
        <f t="shared" si="32"/>
        <v>0</v>
      </c>
    </row>
    <row r="523" spans="1:16" s="1" customFormat="1" ht="22.2" thickTop="1" thickBot="1">
      <c r="A523" s="11" t="s">
        <v>131</v>
      </c>
      <c r="B523" s="179"/>
      <c r="C523" s="180"/>
      <c r="D523" s="180"/>
      <c r="E523" s="180"/>
      <c r="F523" s="180"/>
      <c r="G523" s="180"/>
      <c r="H523" s="178"/>
      <c r="I523" s="178"/>
      <c r="J523" s="4">
        <f>'[1]التعليم الابتدائي'!CZ752</f>
        <v>0</v>
      </c>
      <c r="K523" s="4">
        <f>'[1]التعليم الابتدائي'!DA752</f>
        <v>0</v>
      </c>
      <c r="L523" s="4">
        <f>'[1]التعليم الابتدائي'!DK752</f>
        <v>0</v>
      </c>
      <c r="M523" s="4">
        <f>'[1]التعليم الابتدائي'!DL752</f>
        <v>0</v>
      </c>
      <c r="N523" s="4">
        <f>L523+J523</f>
        <v>0</v>
      </c>
      <c r="O523" s="4">
        <f>M523+K523</f>
        <v>0</v>
      </c>
      <c r="P523" s="14">
        <f t="shared" si="32"/>
        <v>0</v>
      </c>
    </row>
    <row r="524" spans="1:16" s="1" customFormat="1" ht="22.2" thickTop="1" thickBot="1">
      <c r="A524" s="11" t="s">
        <v>132</v>
      </c>
      <c r="B524" s="137"/>
      <c r="C524" s="138"/>
      <c r="D524" s="138"/>
      <c r="E524" s="138"/>
      <c r="F524" s="138"/>
      <c r="G524" s="138"/>
      <c r="H524" s="138"/>
      <c r="I524" s="138"/>
      <c r="J524" s="181"/>
      <c r="K524" s="182"/>
      <c r="L524" s="4">
        <f>'[1]التعليم الابتدائي'!DM752</f>
        <v>0</v>
      </c>
      <c r="M524" s="4">
        <f>'[1]التعليم الابتدائي'!DN752</f>
        <v>0</v>
      </c>
      <c r="N524" s="4">
        <f>L524</f>
        <v>0</v>
      </c>
      <c r="O524" s="4">
        <f>M524</f>
        <v>0</v>
      </c>
      <c r="P524" s="14">
        <f t="shared" si="32"/>
        <v>0</v>
      </c>
    </row>
    <row r="525" spans="1:16" s="1" customFormat="1" ht="22.2" thickTop="1" thickBot="1">
      <c r="A525" s="6" t="s">
        <v>122</v>
      </c>
      <c r="B525" s="7">
        <f>SUM(B514:B524)</f>
        <v>0</v>
      </c>
      <c r="C525" s="7">
        <f>SUM(C514:C524)</f>
        <v>0</v>
      </c>
      <c r="D525" s="7">
        <f>D520+D519+D518+D517+D516</f>
        <v>0</v>
      </c>
      <c r="E525" s="7">
        <f t="shared" ref="E525:P525" si="33">SUM(E514:E524)</f>
        <v>0</v>
      </c>
      <c r="F525" s="7">
        <f t="shared" si="33"/>
        <v>0</v>
      </c>
      <c r="G525" s="7">
        <f t="shared" si="33"/>
        <v>0</v>
      </c>
      <c r="H525" s="7">
        <f t="shared" si="33"/>
        <v>0</v>
      </c>
      <c r="I525" s="7">
        <f t="shared" si="33"/>
        <v>0</v>
      </c>
      <c r="J525" s="7">
        <f t="shared" si="33"/>
        <v>0</v>
      </c>
      <c r="K525" s="7">
        <f t="shared" si="33"/>
        <v>0</v>
      </c>
      <c r="L525" s="7">
        <f t="shared" si="33"/>
        <v>0</v>
      </c>
      <c r="M525" s="7">
        <f t="shared" si="33"/>
        <v>0</v>
      </c>
      <c r="N525" s="7">
        <f t="shared" si="33"/>
        <v>0</v>
      </c>
      <c r="O525" s="7">
        <f t="shared" si="33"/>
        <v>0</v>
      </c>
      <c r="P525" s="8">
        <f t="shared" si="33"/>
        <v>0</v>
      </c>
    </row>
    <row r="526" spans="1:16" s="3" customFormat="1" ht="21.6" thickTop="1"/>
  </sheetData>
  <mergeCells count="960">
    <mergeCell ref="A7:A8"/>
    <mergeCell ref="B7:C8"/>
    <mergeCell ref="D7:E8"/>
    <mergeCell ref="F7:G8"/>
    <mergeCell ref="H7:I8"/>
    <mergeCell ref="J7:K8"/>
    <mergeCell ref="A1:E1"/>
    <mergeCell ref="A2:E2"/>
    <mergeCell ref="A3:P3"/>
    <mergeCell ref="A4:P4"/>
    <mergeCell ref="A5:P5"/>
    <mergeCell ref="G6:K6"/>
    <mergeCell ref="L7:M8"/>
    <mergeCell ref="N7:P8"/>
    <mergeCell ref="B9:C9"/>
    <mergeCell ref="D9:E9"/>
    <mergeCell ref="F9:G9"/>
    <mergeCell ref="H9:I9"/>
    <mergeCell ref="J9:K9"/>
    <mergeCell ref="L9:M9"/>
    <mergeCell ref="N9:P9"/>
    <mergeCell ref="N10:P10"/>
    <mergeCell ref="B11:C11"/>
    <mergeCell ref="D11:E11"/>
    <mergeCell ref="F11:G11"/>
    <mergeCell ref="H11:I11"/>
    <mergeCell ref="J11:K11"/>
    <mergeCell ref="L11:M11"/>
    <mergeCell ref="N11:P11"/>
    <mergeCell ref="B10:C10"/>
    <mergeCell ref="D10:E10"/>
    <mergeCell ref="F10:G10"/>
    <mergeCell ref="H10:I10"/>
    <mergeCell ref="J10:K10"/>
    <mergeCell ref="L10:M10"/>
    <mergeCell ref="G13:J13"/>
    <mergeCell ref="F14:K14"/>
    <mergeCell ref="F15:K15"/>
    <mergeCell ref="A17:A18"/>
    <mergeCell ref="B17:C17"/>
    <mergeCell ref="D17:E17"/>
    <mergeCell ref="F17:G17"/>
    <mergeCell ref="H17:I17"/>
    <mergeCell ref="J17:K17"/>
    <mergeCell ref="B25:C29"/>
    <mergeCell ref="D26:E29"/>
    <mergeCell ref="F27:G29"/>
    <mergeCell ref="H28:I29"/>
    <mergeCell ref="J29:K29"/>
    <mergeCell ref="A33:E33"/>
    <mergeCell ref="L17:M17"/>
    <mergeCell ref="N17:P17"/>
    <mergeCell ref="D19:E20"/>
    <mergeCell ref="F19:G21"/>
    <mergeCell ref="H19:I22"/>
    <mergeCell ref="J19:K23"/>
    <mergeCell ref="L19:M24"/>
    <mergeCell ref="A34:P34"/>
    <mergeCell ref="A35:P35"/>
    <mergeCell ref="A36:P36"/>
    <mergeCell ref="G37:K37"/>
    <mergeCell ref="A38:A39"/>
    <mergeCell ref="B38:C39"/>
    <mergeCell ref="D38:E39"/>
    <mergeCell ref="F38:G39"/>
    <mergeCell ref="H38:I39"/>
    <mergeCell ref="J38:K39"/>
    <mergeCell ref="L38:M39"/>
    <mergeCell ref="N38:P39"/>
    <mergeCell ref="B40:C40"/>
    <mergeCell ref="D40:E40"/>
    <mergeCell ref="F40:G40"/>
    <mergeCell ref="H40:I40"/>
    <mergeCell ref="J40:K40"/>
    <mergeCell ref="L40:M40"/>
    <mergeCell ref="N40:P40"/>
    <mergeCell ref="N41:P41"/>
    <mergeCell ref="B42:C42"/>
    <mergeCell ref="D42:E42"/>
    <mergeCell ref="F42:G42"/>
    <mergeCell ref="H42:I42"/>
    <mergeCell ref="J42:K42"/>
    <mergeCell ref="L42:M42"/>
    <mergeCell ref="N42:P42"/>
    <mergeCell ref="B41:C41"/>
    <mergeCell ref="D41:E41"/>
    <mergeCell ref="F41:G41"/>
    <mergeCell ref="H41:I41"/>
    <mergeCell ref="J41:K41"/>
    <mergeCell ref="L41:M41"/>
    <mergeCell ref="A44:P44"/>
    <mergeCell ref="A45:P45"/>
    <mergeCell ref="A46:P46"/>
    <mergeCell ref="A48:A49"/>
    <mergeCell ref="B48:C48"/>
    <mergeCell ref="D48:E48"/>
    <mergeCell ref="F48:G48"/>
    <mergeCell ref="H48:I48"/>
    <mergeCell ref="J48:K48"/>
    <mergeCell ref="L48:M48"/>
    <mergeCell ref="B56:C60"/>
    <mergeCell ref="D57:E60"/>
    <mergeCell ref="F58:G60"/>
    <mergeCell ref="H59:I60"/>
    <mergeCell ref="J60:K60"/>
    <mergeCell ref="A63:E63"/>
    <mergeCell ref="N48:P48"/>
    <mergeCell ref="D50:E51"/>
    <mergeCell ref="F50:G52"/>
    <mergeCell ref="H50:I53"/>
    <mergeCell ref="J50:K54"/>
    <mergeCell ref="L50:M55"/>
    <mergeCell ref="A64:E64"/>
    <mergeCell ref="A65:P65"/>
    <mergeCell ref="A66:P66"/>
    <mergeCell ref="A67:P67"/>
    <mergeCell ref="G68:K68"/>
    <mergeCell ref="A69:A70"/>
    <mergeCell ref="B69:C70"/>
    <mergeCell ref="D69:E70"/>
    <mergeCell ref="F69:G70"/>
    <mergeCell ref="H69:I70"/>
    <mergeCell ref="J69:K70"/>
    <mergeCell ref="L69:M70"/>
    <mergeCell ref="N69:P70"/>
    <mergeCell ref="B71:C71"/>
    <mergeCell ref="D71:E71"/>
    <mergeCell ref="F71:G71"/>
    <mergeCell ref="H71:I71"/>
    <mergeCell ref="J71:K71"/>
    <mergeCell ref="L71:M71"/>
    <mergeCell ref="N71:P71"/>
    <mergeCell ref="N72:P72"/>
    <mergeCell ref="B73:C73"/>
    <mergeCell ref="D73:E73"/>
    <mergeCell ref="F73:G73"/>
    <mergeCell ref="H73:I73"/>
    <mergeCell ref="J73:K73"/>
    <mergeCell ref="L73:M73"/>
    <mergeCell ref="N73:P73"/>
    <mergeCell ref="B72:C72"/>
    <mergeCell ref="D72:E72"/>
    <mergeCell ref="F72:G72"/>
    <mergeCell ref="H72:I72"/>
    <mergeCell ref="J72:K72"/>
    <mergeCell ref="L72:M72"/>
    <mergeCell ref="A75:P75"/>
    <mergeCell ref="A76:P76"/>
    <mergeCell ref="A77:P77"/>
    <mergeCell ref="A79:A80"/>
    <mergeCell ref="B79:C79"/>
    <mergeCell ref="D79:E79"/>
    <mergeCell ref="F79:G79"/>
    <mergeCell ref="H79:I79"/>
    <mergeCell ref="J79:K79"/>
    <mergeCell ref="L79:M79"/>
    <mergeCell ref="B87:C91"/>
    <mergeCell ref="D88:E91"/>
    <mergeCell ref="F89:G91"/>
    <mergeCell ref="H90:I91"/>
    <mergeCell ref="J91:K91"/>
    <mergeCell ref="A94:E94"/>
    <mergeCell ref="N79:P79"/>
    <mergeCell ref="D81:E82"/>
    <mergeCell ref="F81:G83"/>
    <mergeCell ref="H81:I84"/>
    <mergeCell ref="J81:K85"/>
    <mergeCell ref="L81:M86"/>
    <mergeCell ref="G99:K99"/>
    <mergeCell ref="A100:A101"/>
    <mergeCell ref="B100:C101"/>
    <mergeCell ref="D100:E101"/>
    <mergeCell ref="F100:G101"/>
    <mergeCell ref="H100:I101"/>
    <mergeCell ref="J100:K101"/>
    <mergeCell ref="N94:P94"/>
    <mergeCell ref="A95:E95"/>
    <mergeCell ref="N95:P95"/>
    <mergeCell ref="A96:P96"/>
    <mergeCell ref="A97:Q97"/>
    <mergeCell ref="A98:P98"/>
    <mergeCell ref="L100:M101"/>
    <mergeCell ref="N100:P101"/>
    <mergeCell ref="B102:C102"/>
    <mergeCell ref="D102:E102"/>
    <mergeCell ref="F102:G102"/>
    <mergeCell ref="H102:I102"/>
    <mergeCell ref="J102:K102"/>
    <mergeCell ref="L102:M102"/>
    <mergeCell ref="N102:P102"/>
    <mergeCell ref="N103:P103"/>
    <mergeCell ref="B104:C104"/>
    <mergeCell ref="D104:E104"/>
    <mergeCell ref="F104:G104"/>
    <mergeCell ref="H104:I104"/>
    <mergeCell ref="J104:K104"/>
    <mergeCell ref="L104:M104"/>
    <mergeCell ref="N104:P104"/>
    <mergeCell ref="B103:C103"/>
    <mergeCell ref="D103:E103"/>
    <mergeCell ref="F103:G103"/>
    <mergeCell ref="H103:I103"/>
    <mergeCell ref="J103:K103"/>
    <mergeCell ref="L103:M103"/>
    <mergeCell ref="A106:P106"/>
    <mergeCell ref="A107:Q107"/>
    <mergeCell ref="A108:P108"/>
    <mergeCell ref="A110:A111"/>
    <mergeCell ref="B110:C110"/>
    <mergeCell ref="D110:E110"/>
    <mergeCell ref="F110:G110"/>
    <mergeCell ref="H110:I110"/>
    <mergeCell ref="J110:K110"/>
    <mergeCell ref="L110:M110"/>
    <mergeCell ref="B118:C122"/>
    <mergeCell ref="D119:E122"/>
    <mergeCell ref="F120:G122"/>
    <mergeCell ref="H121:I122"/>
    <mergeCell ref="J122:K122"/>
    <mergeCell ref="A125:E125"/>
    <mergeCell ref="N110:P110"/>
    <mergeCell ref="D112:E113"/>
    <mergeCell ref="F112:G114"/>
    <mergeCell ref="H112:I115"/>
    <mergeCell ref="J112:K116"/>
    <mergeCell ref="L112:M117"/>
    <mergeCell ref="A126:E126"/>
    <mergeCell ref="A127:P127"/>
    <mergeCell ref="A128:Q128"/>
    <mergeCell ref="A129:P129"/>
    <mergeCell ref="G130:K130"/>
    <mergeCell ref="A131:A132"/>
    <mergeCell ref="B131:C132"/>
    <mergeCell ref="D131:E132"/>
    <mergeCell ref="F131:G132"/>
    <mergeCell ref="H131:I132"/>
    <mergeCell ref="J131:K132"/>
    <mergeCell ref="L131:M132"/>
    <mergeCell ref="N131:P132"/>
    <mergeCell ref="B133:C133"/>
    <mergeCell ref="D133:E133"/>
    <mergeCell ref="F133:G133"/>
    <mergeCell ref="H133:I133"/>
    <mergeCell ref="J133:K133"/>
    <mergeCell ref="L133:M133"/>
    <mergeCell ref="N133:P133"/>
    <mergeCell ref="N134:P134"/>
    <mergeCell ref="B135:C135"/>
    <mergeCell ref="D135:E135"/>
    <mergeCell ref="F135:G135"/>
    <mergeCell ref="H135:I135"/>
    <mergeCell ref="J135:K135"/>
    <mergeCell ref="L135:M135"/>
    <mergeCell ref="N135:P135"/>
    <mergeCell ref="B134:C134"/>
    <mergeCell ref="D134:E134"/>
    <mergeCell ref="F134:G134"/>
    <mergeCell ref="H134:I134"/>
    <mergeCell ref="J134:K134"/>
    <mergeCell ref="L134:M134"/>
    <mergeCell ref="A137:P137"/>
    <mergeCell ref="A138:Q138"/>
    <mergeCell ref="A139:P139"/>
    <mergeCell ref="A141:A142"/>
    <mergeCell ref="B141:C141"/>
    <mergeCell ref="D141:E141"/>
    <mergeCell ref="F141:G141"/>
    <mergeCell ref="H141:I141"/>
    <mergeCell ref="J141:K141"/>
    <mergeCell ref="L141:M141"/>
    <mergeCell ref="B149:C153"/>
    <mergeCell ref="D150:E153"/>
    <mergeCell ref="F151:G153"/>
    <mergeCell ref="H152:I153"/>
    <mergeCell ref="J153:K153"/>
    <mergeCell ref="A156:E156"/>
    <mergeCell ref="N141:P141"/>
    <mergeCell ref="D143:E144"/>
    <mergeCell ref="F143:G145"/>
    <mergeCell ref="H143:I146"/>
    <mergeCell ref="J143:K147"/>
    <mergeCell ref="L143:M148"/>
    <mergeCell ref="A157:E157"/>
    <mergeCell ref="A158:P158"/>
    <mergeCell ref="A159:Q159"/>
    <mergeCell ref="A160:P160"/>
    <mergeCell ref="G161:K161"/>
    <mergeCell ref="A162:A163"/>
    <mergeCell ref="B162:C163"/>
    <mergeCell ref="D162:E163"/>
    <mergeCell ref="F162:G163"/>
    <mergeCell ref="H162:I163"/>
    <mergeCell ref="J162:K163"/>
    <mergeCell ref="L162:M163"/>
    <mergeCell ref="N162:P163"/>
    <mergeCell ref="B164:C164"/>
    <mergeCell ref="D164:E164"/>
    <mergeCell ref="F164:G164"/>
    <mergeCell ref="H164:I164"/>
    <mergeCell ref="J164:K164"/>
    <mergeCell ref="L164:M164"/>
    <mergeCell ref="N164:P164"/>
    <mergeCell ref="N165:P165"/>
    <mergeCell ref="B166:C166"/>
    <mergeCell ref="D166:E166"/>
    <mergeCell ref="F166:G166"/>
    <mergeCell ref="H166:I166"/>
    <mergeCell ref="J166:K166"/>
    <mergeCell ref="L166:M166"/>
    <mergeCell ref="N166:P166"/>
    <mergeCell ref="B165:C165"/>
    <mergeCell ref="D165:E165"/>
    <mergeCell ref="F165:G165"/>
    <mergeCell ref="H165:I165"/>
    <mergeCell ref="J165:K165"/>
    <mergeCell ref="L165:M165"/>
    <mergeCell ref="A168:P168"/>
    <mergeCell ref="A169:Q169"/>
    <mergeCell ref="A170:P170"/>
    <mergeCell ref="A172:A173"/>
    <mergeCell ref="B172:C172"/>
    <mergeCell ref="D172:E172"/>
    <mergeCell ref="F172:G172"/>
    <mergeCell ref="H172:I172"/>
    <mergeCell ref="J172:K172"/>
    <mergeCell ref="L172:M172"/>
    <mergeCell ref="B180:C184"/>
    <mergeCell ref="D181:E184"/>
    <mergeCell ref="F182:G184"/>
    <mergeCell ref="H183:I184"/>
    <mergeCell ref="J184:K184"/>
    <mergeCell ref="A187:E187"/>
    <mergeCell ref="N172:P172"/>
    <mergeCell ref="D174:E175"/>
    <mergeCell ref="F174:G176"/>
    <mergeCell ref="H174:I177"/>
    <mergeCell ref="J174:K178"/>
    <mergeCell ref="L174:M179"/>
    <mergeCell ref="A188:E188"/>
    <mergeCell ref="A189:P189"/>
    <mergeCell ref="A190:Q190"/>
    <mergeCell ref="A191:P191"/>
    <mergeCell ref="G192:K192"/>
    <mergeCell ref="A193:A194"/>
    <mergeCell ref="B193:C194"/>
    <mergeCell ref="D193:E194"/>
    <mergeCell ref="F193:G194"/>
    <mergeCell ref="H193:I194"/>
    <mergeCell ref="J193:K194"/>
    <mergeCell ref="L193:M194"/>
    <mergeCell ref="N193:P194"/>
    <mergeCell ref="B195:C195"/>
    <mergeCell ref="D195:E195"/>
    <mergeCell ref="F195:G195"/>
    <mergeCell ref="H195:I195"/>
    <mergeCell ref="J195:K195"/>
    <mergeCell ref="L195:M195"/>
    <mergeCell ref="N195:P195"/>
    <mergeCell ref="N196:P196"/>
    <mergeCell ref="B197:C197"/>
    <mergeCell ref="D197:E197"/>
    <mergeCell ref="F197:G197"/>
    <mergeCell ref="H197:I197"/>
    <mergeCell ref="J197:K197"/>
    <mergeCell ref="L197:M197"/>
    <mergeCell ref="N197:P197"/>
    <mergeCell ref="B196:C196"/>
    <mergeCell ref="D196:E196"/>
    <mergeCell ref="F196:G196"/>
    <mergeCell ref="H196:I196"/>
    <mergeCell ref="J196:K196"/>
    <mergeCell ref="L196:M196"/>
    <mergeCell ref="A199:P199"/>
    <mergeCell ref="A200:Q200"/>
    <mergeCell ref="A201:P201"/>
    <mergeCell ref="A203:A204"/>
    <mergeCell ref="B203:C203"/>
    <mergeCell ref="D203:E203"/>
    <mergeCell ref="F203:G203"/>
    <mergeCell ref="H203:I203"/>
    <mergeCell ref="J203:K203"/>
    <mergeCell ref="L203:M203"/>
    <mergeCell ref="B211:C215"/>
    <mergeCell ref="D212:E215"/>
    <mergeCell ref="F213:G215"/>
    <mergeCell ref="H214:I215"/>
    <mergeCell ref="J215:K215"/>
    <mergeCell ref="A217:E217"/>
    <mergeCell ref="N203:P203"/>
    <mergeCell ref="D205:E206"/>
    <mergeCell ref="F205:G207"/>
    <mergeCell ref="H205:I208"/>
    <mergeCell ref="J205:K209"/>
    <mergeCell ref="L205:M210"/>
    <mergeCell ref="A218:E218"/>
    <mergeCell ref="A219:P219"/>
    <mergeCell ref="A220:Q220"/>
    <mergeCell ref="A221:P221"/>
    <mergeCell ref="G222:K222"/>
    <mergeCell ref="A223:A224"/>
    <mergeCell ref="B223:C224"/>
    <mergeCell ref="D223:E224"/>
    <mergeCell ref="F223:G224"/>
    <mergeCell ref="H223:I224"/>
    <mergeCell ref="J223:K224"/>
    <mergeCell ref="L223:M224"/>
    <mergeCell ref="N223:P224"/>
    <mergeCell ref="B225:C225"/>
    <mergeCell ref="D225:E225"/>
    <mergeCell ref="F225:G225"/>
    <mergeCell ref="H225:I225"/>
    <mergeCell ref="J225:K225"/>
    <mergeCell ref="L225:M225"/>
    <mergeCell ref="N225:P225"/>
    <mergeCell ref="N226:P226"/>
    <mergeCell ref="B227:C227"/>
    <mergeCell ref="D227:E227"/>
    <mergeCell ref="F227:G227"/>
    <mergeCell ref="H227:I227"/>
    <mergeCell ref="J227:K227"/>
    <mergeCell ref="L227:M227"/>
    <mergeCell ref="N227:P227"/>
    <mergeCell ref="B226:C226"/>
    <mergeCell ref="D226:E226"/>
    <mergeCell ref="F226:G226"/>
    <mergeCell ref="H226:I226"/>
    <mergeCell ref="J226:K226"/>
    <mergeCell ref="L226:M226"/>
    <mergeCell ref="A230:Q230"/>
    <mergeCell ref="A231:P231"/>
    <mergeCell ref="A233:A234"/>
    <mergeCell ref="B233:C233"/>
    <mergeCell ref="D233:E233"/>
    <mergeCell ref="F233:G233"/>
    <mergeCell ref="H233:I233"/>
    <mergeCell ref="J233:K233"/>
    <mergeCell ref="L233:M233"/>
    <mergeCell ref="N233:P233"/>
    <mergeCell ref="D235:E236"/>
    <mergeCell ref="F235:G237"/>
    <mergeCell ref="H235:I238"/>
    <mergeCell ref="J235:K239"/>
    <mergeCell ref="L235:M240"/>
    <mergeCell ref="B241:C245"/>
    <mergeCell ref="D242:E245"/>
    <mergeCell ref="F243:G245"/>
    <mergeCell ref="H244:I245"/>
    <mergeCell ref="J245:K245"/>
    <mergeCell ref="A254:A255"/>
    <mergeCell ref="B254:C255"/>
    <mergeCell ref="D254:E255"/>
    <mergeCell ref="F254:G255"/>
    <mergeCell ref="H254:I255"/>
    <mergeCell ref="J254:K255"/>
    <mergeCell ref="A248:E248"/>
    <mergeCell ref="A249:E249"/>
    <mergeCell ref="A250:P250"/>
    <mergeCell ref="A251:Q251"/>
    <mergeCell ref="A252:P252"/>
    <mergeCell ref="G253:K253"/>
    <mergeCell ref="L254:M255"/>
    <mergeCell ref="N254:P255"/>
    <mergeCell ref="B256:C256"/>
    <mergeCell ref="D256:E256"/>
    <mergeCell ref="F256:G256"/>
    <mergeCell ref="H256:I256"/>
    <mergeCell ref="J256:K256"/>
    <mergeCell ref="L256:M256"/>
    <mergeCell ref="N256:P256"/>
    <mergeCell ref="N257:P257"/>
    <mergeCell ref="B258:C258"/>
    <mergeCell ref="D258:E258"/>
    <mergeCell ref="F258:G258"/>
    <mergeCell ref="H258:I258"/>
    <mergeCell ref="J258:K258"/>
    <mergeCell ref="L258:M258"/>
    <mergeCell ref="N258:P258"/>
    <mergeCell ref="B257:C257"/>
    <mergeCell ref="D257:E257"/>
    <mergeCell ref="F257:G257"/>
    <mergeCell ref="H257:I257"/>
    <mergeCell ref="J257:K257"/>
    <mergeCell ref="L257:M257"/>
    <mergeCell ref="A260:P260"/>
    <mergeCell ref="A261:Q261"/>
    <mergeCell ref="A262:P262"/>
    <mergeCell ref="A264:A265"/>
    <mergeCell ref="B264:C264"/>
    <mergeCell ref="D264:E264"/>
    <mergeCell ref="F264:G264"/>
    <mergeCell ref="H264:I264"/>
    <mergeCell ref="J264:K264"/>
    <mergeCell ref="L264:M264"/>
    <mergeCell ref="B272:C276"/>
    <mergeCell ref="D273:E276"/>
    <mergeCell ref="F274:G276"/>
    <mergeCell ref="H275:I276"/>
    <mergeCell ref="J276:K276"/>
    <mergeCell ref="A279:E279"/>
    <mergeCell ref="N264:P264"/>
    <mergeCell ref="D266:E267"/>
    <mergeCell ref="F266:G268"/>
    <mergeCell ref="H266:I269"/>
    <mergeCell ref="J266:K270"/>
    <mergeCell ref="L266:M271"/>
    <mergeCell ref="G284:K284"/>
    <mergeCell ref="A285:A286"/>
    <mergeCell ref="B285:C286"/>
    <mergeCell ref="D285:E286"/>
    <mergeCell ref="F285:G286"/>
    <mergeCell ref="H285:I286"/>
    <mergeCell ref="J285:K286"/>
    <mergeCell ref="M279:P279"/>
    <mergeCell ref="A280:E280"/>
    <mergeCell ref="M280:P280"/>
    <mergeCell ref="A281:P281"/>
    <mergeCell ref="A282:Q282"/>
    <mergeCell ref="A283:P283"/>
    <mergeCell ref="L285:M286"/>
    <mergeCell ref="N285:P286"/>
    <mergeCell ref="B287:C287"/>
    <mergeCell ref="D287:E287"/>
    <mergeCell ref="F287:G287"/>
    <mergeCell ref="H287:I287"/>
    <mergeCell ref="J287:K287"/>
    <mergeCell ref="L287:M287"/>
    <mergeCell ref="N287:P287"/>
    <mergeCell ref="N288:P288"/>
    <mergeCell ref="B289:C289"/>
    <mergeCell ref="D289:E289"/>
    <mergeCell ref="F289:G289"/>
    <mergeCell ref="H289:I289"/>
    <mergeCell ref="J289:K289"/>
    <mergeCell ref="L289:M289"/>
    <mergeCell ref="N289:P289"/>
    <mergeCell ref="B288:C288"/>
    <mergeCell ref="D288:E288"/>
    <mergeCell ref="F288:G288"/>
    <mergeCell ref="H288:I288"/>
    <mergeCell ref="J288:K288"/>
    <mergeCell ref="L288:M288"/>
    <mergeCell ref="A291:P291"/>
    <mergeCell ref="A292:Q292"/>
    <mergeCell ref="A293:P293"/>
    <mergeCell ref="A295:A296"/>
    <mergeCell ref="B295:C295"/>
    <mergeCell ref="D295:E295"/>
    <mergeCell ref="F295:G295"/>
    <mergeCell ref="H295:I295"/>
    <mergeCell ref="J295:K295"/>
    <mergeCell ref="L295:M295"/>
    <mergeCell ref="B303:C307"/>
    <mergeCell ref="D304:E307"/>
    <mergeCell ref="F305:G307"/>
    <mergeCell ref="H306:I307"/>
    <mergeCell ref="J307:K307"/>
    <mergeCell ref="A310:E310"/>
    <mergeCell ref="N295:P295"/>
    <mergeCell ref="D297:E298"/>
    <mergeCell ref="F297:G299"/>
    <mergeCell ref="H297:I300"/>
    <mergeCell ref="J297:K301"/>
    <mergeCell ref="L297:M302"/>
    <mergeCell ref="G315:K315"/>
    <mergeCell ref="A316:A317"/>
    <mergeCell ref="B316:C317"/>
    <mergeCell ref="D316:E317"/>
    <mergeCell ref="F316:G317"/>
    <mergeCell ref="H316:I317"/>
    <mergeCell ref="J316:K317"/>
    <mergeCell ref="M310:P310"/>
    <mergeCell ref="A311:E311"/>
    <mergeCell ref="M311:P311"/>
    <mergeCell ref="A312:P312"/>
    <mergeCell ref="A313:Q313"/>
    <mergeCell ref="A314:P314"/>
    <mergeCell ref="L316:M317"/>
    <mergeCell ref="N316:P317"/>
    <mergeCell ref="B318:C318"/>
    <mergeCell ref="D318:E318"/>
    <mergeCell ref="F318:G318"/>
    <mergeCell ref="H318:I318"/>
    <mergeCell ref="J318:K318"/>
    <mergeCell ref="L318:M318"/>
    <mergeCell ref="N318:P318"/>
    <mergeCell ref="N319:P319"/>
    <mergeCell ref="B320:C320"/>
    <mergeCell ref="D320:E320"/>
    <mergeCell ref="F320:G320"/>
    <mergeCell ref="H320:I320"/>
    <mergeCell ref="J320:K320"/>
    <mergeCell ref="L320:M320"/>
    <mergeCell ref="N320:P320"/>
    <mergeCell ref="B319:C319"/>
    <mergeCell ref="D319:E319"/>
    <mergeCell ref="F319:G319"/>
    <mergeCell ref="H319:I319"/>
    <mergeCell ref="J319:K319"/>
    <mergeCell ref="L319:M319"/>
    <mergeCell ref="A322:P322"/>
    <mergeCell ref="A323:Q323"/>
    <mergeCell ref="A324:P324"/>
    <mergeCell ref="A326:A327"/>
    <mergeCell ref="B326:C326"/>
    <mergeCell ref="D326:E326"/>
    <mergeCell ref="F326:G326"/>
    <mergeCell ref="H326:I326"/>
    <mergeCell ref="J326:K326"/>
    <mergeCell ref="L326:M326"/>
    <mergeCell ref="B334:C338"/>
    <mergeCell ref="D335:E338"/>
    <mergeCell ref="F336:G338"/>
    <mergeCell ref="H337:I338"/>
    <mergeCell ref="J338:K338"/>
    <mergeCell ref="A341:E341"/>
    <mergeCell ref="N326:P326"/>
    <mergeCell ref="D328:E329"/>
    <mergeCell ref="F328:G330"/>
    <mergeCell ref="H328:I331"/>
    <mergeCell ref="J328:K332"/>
    <mergeCell ref="L328:M333"/>
    <mergeCell ref="A342:E342"/>
    <mergeCell ref="A343:P343"/>
    <mergeCell ref="A344:Q344"/>
    <mergeCell ref="A345:P345"/>
    <mergeCell ref="G346:K346"/>
    <mergeCell ref="A347:A348"/>
    <mergeCell ref="B347:C348"/>
    <mergeCell ref="D347:E348"/>
    <mergeCell ref="F347:G348"/>
    <mergeCell ref="H347:I348"/>
    <mergeCell ref="J347:K348"/>
    <mergeCell ref="L347:M348"/>
    <mergeCell ref="N347:P348"/>
    <mergeCell ref="B349:C349"/>
    <mergeCell ref="D349:E349"/>
    <mergeCell ref="F349:G349"/>
    <mergeCell ref="H349:I349"/>
    <mergeCell ref="J349:K349"/>
    <mergeCell ref="L349:M349"/>
    <mergeCell ref="N349:P349"/>
    <mergeCell ref="N350:P350"/>
    <mergeCell ref="B351:C351"/>
    <mergeCell ref="D351:E351"/>
    <mergeCell ref="F351:G351"/>
    <mergeCell ref="H351:I351"/>
    <mergeCell ref="J351:K351"/>
    <mergeCell ref="L351:M351"/>
    <mergeCell ref="N351:P351"/>
    <mergeCell ref="B350:C350"/>
    <mergeCell ref="D350:E350"/>
    <mergeCell ref="F350:G350"/>
    <mergeCell ref="H350:I350"/>
    <mergeCell ref="J350:K350"/>
    <mergeCell ref="L350:M350"/>
    <mergeCell ref="A353:P353"/>
    <mergeCell ref="A354:Q354"/>
    <mergeCell ref="A355:P355"/>
    <mergeCell ref="A357:A358"/>
    <mergeCell ref="B357:C357"/>
    <mergeCell ref="D357:E357"/>
    <mergeCell ref="F357:G357"/>
    <mergeCell ref="H357:I357"/>
    <mergeCell ref="J357:K357"/>
    <mergeCell ref="L357:M357"/>
    <mergeCell ref="B365:C369"/>
    <mergeCell ref="D366:E369"/>
    <mergeCell ref="F367:G369"/>
    <mergeCell ref="H368:I369"/>
    <mergeCell ref="J369:K369"/>
    <mergeCell ref="A372:E372"/>
    <mergeCell ref="N357:P357"/>
    <mergeCell ref="D359:E360"/>
    <mergeCell ref="F359:G361"/>
    <mergeCell ref="H359:I362"/>
    <mergeCell ref="J359:K363"/>
    <mergeCell ref="L359:M364"/>
    <mergeCell ref="G377:K377"/>
    <mergeCell ref="A378:A379"/>
    <mergeCell ref="B378:C379"/>
    <mergeCell ref="D378:E379"/>
    <mergeCell ref="F378:G379"/>
    <mergeCell ref="H378:I379"/>
    <mergeCell ref="J378:K379"/>
    <mergeCell ref="M372:P372"/>
    <mergeCell ref="A373:E373"/>
    <mergeCell ref="M373:P373"/>
    <mergeCell ref="A374:P374"/>
    <mergeCell ref="A375:Q375"/>
    <mergeCell ref="A376:P376"/>
    <mergeCell ref="L378:M379"/>
    <mergeCell ref="N378:P379"/>
    <mergeCell ref="B380:C380"/>
    <mergeCell ref="D380:E380"/>
    <mergeCell ref="F380:G380"/>
    <mergeCell ref="H380:I380"/>
    <mergeCell ref="J380:K380"/>
    <mergeCell ref="L380:M380"/>
    <mergeCell ref="N380:P380"/>
    <mergeCell ref="N381:P381"/>
    <mergeCell ref="B382:C382"/>
    <mergeCell ref="D382:E382"/>
    <mergeCell ref="F382:G382"/>
    <mergeCell ref="H382:I382"/>
    <mergeCell ref="J382:K382"/>
    <mergeCell ref="L382:M382"/>
    <mergeCell ref="N382:P382"/>
    <mergeCell ref="B381:C381"/>
    <mergeCell ref="D381:E381"/>
    <mergeCell ref="F381:G381"/>
    <mergeCell ref="H381:I381"/>
    <mergeCell ref="J381:K381"/>
    <mergeCell ref="L381:M381"/>
    <mergeCell ref="A384:P384"/>
    <mergeCell ref="A385:Q385"/>
    <mergeCell ref="A386:P386"/>
    <mergeCell ref="A388:A389"/>
    <mergeCell ref="B388:C388"/>
    <mergeCell ref="D388:E388"/>
    <mergeCell ref="F388:G388"/>
    <mergeCell ref="H388:I388"/>
    <mergeCell ref="J388:K388"/>
    <mergeCell ref="L388:M388"/>
    <mergeCell ref="B396:C400"/>
    <mergeCell ref="D397:E400"/>
    <mergeCell ref="F398:G400"/>
    <mergeCell ref="H399:I400"/>
    <mergeCell ref="J400:K400"/>
    <mergeCell ref="A403:F403"/>
    <mergeCell ref="N388:P388"/>
    <mergeCell ref="D390:E391"/>
    <mergeCell ref="F390:G392"/>
    <mergeCell ref="H390:I393"/>
    <mergeCell ref="J390:K394"/>
    <mergeCell ref="L390:M395"/>
    <mergeCell ref="A404:E404"/>
    <mergeCell ref="A405:P405"/>
    <mergeCell ref="A406:Q406"/>
    <mergeCell ref="A407:P407"/>
    <mergeCell ref="G408:K408"/>
    <mergeCell ref="A409:A410"/>
    <mergeCell ref="B409:C410"/>
    <mergeCell ref="D409:E410"/>
    <mergeCell ref="F409:G410"/>
    <mergeCell ref="H409:I410"/>
    <mergeCell ref="J409:K410"/>
    <mergeCell ref="L409:M410"/>
    <mergeCell ref="N409:P410"/>
    <mergeCell ref="B411:C411"/>
    <mergeCell ref="D411:E411"/>
    <mergeCell ref="F411:G411"/>
    <mergeCell ref="H411:I411"/>
    <mergeCell ref="J411:K411"/>
    <mergeCell ref="L411:M411"/>
    <mergeCell ref="N411:P411"/>
    <mergeCell ref="N412:P412"/>
    <mergeCell ref="B413:C413"/>
    <mergeCell ref="D413:E413"/>
    <mergeCell ref="F413:G413"/>
    <mergeCell ref="H413:I413"/>
    <mergeCell ref="J413:K413"/>
    <mergeCell ref="L413:M413"/>
    <mergeCell ref="N413:P413"/>
    <mergeCell ref="B412:C412"/>
    <mergeCell ref="D412:E412"/>
    <mergeCell ref="F412:G412"/>
    <mergeCell ref="H412:I412"/>
    <mergeCell ref="J412:K412"/>
    <mergeCell ref="L412:M412"/>
    <mergeCell ref="A415:P415"/>
    <mergeCell ref="A416:Q416"/>
    <mergeCell ref="A417:P417"/>
    <mergeCell ref="A419:A420"/>
    <mergeCell ref="B419:C419"/>
    <mergeCell ref="D419:E419"/>
    <mergeCell ref="F419:G419"/>
    <mergeCell ref="H419:I419"/>
    <mergeCell ref="J419:K419"/>
    <mergeCell ref="L419:M419"/>
    <mergeCell ref="B427:C431"/>
    <mergeCell ref="D428:E431"/>
    <mergeCell ref="F429:G431"/>
    <mergeCell ref="H430:I431"/>
    <mergeCell ref="J431:K431"/>
    <mergeCell ref="A434:E434"/>
    <mergeCell ref="N419:P419"/>
    <mergeCell ref="D421:E422"/>
    <mergeCell ref="F421:G423"/>
    <mergeCell ref="H421:I424"/>
    <mergeCell ref="J421:K425"/>
    <mergeCell ref="L421:M426"/>
    <mergeCell ref="A435:E435"/>
    <mergeCell ref="A436:P436"/>
    <mergeCell ref="A437:Q437"/>
    <mergeCell ref="A438:P438"/>
    <mergeCell ref="G439:K439"/>
    <mergeCell ref="A440:A441"/>
    <mergeCell ref="B440:C441"/>
    <mergeCell ref="D440:E441"/>
    <mergeCell ref="F440:G441"/>
    <mergeCell ref="H440:I441"/>
    <mergeCell ref="J440:K441"/>
    <mergeCell ref="L440:M441"/>
    <mergeCell ref="N440:P441"/>
    <mergeCell ref="B442:C442"/>
    <mergeCell ref="D442:E442"/>
    <mergeCell ref="F442:G442"/>
    <mergeCell ref="H442:I442"/>
    <mergeCell ref="J442:K442"/>
    <mergeCell ref="L442:M442"/>
    <mergeCell ref="N442:P442"/>
    <mergeCell ref="N443:P443"/>
    <mergeCell ref="B444:C444"/>
    <mergeCell ref="D444:E444"/>
    <mergeCell ref="F444:G444"/>
    <mergeCell ref="H444:I444"/>
    <mergeCell ref="J444:K444"/>
    <mergeCell ref="L444:M444"/>
    <mergeCell ref="N444:P444"/>
    <mergeCell ref="B443:C443"/>
    <mergeCell ref="D443:E443"/>
    <mergeCell ref="F443:G443"/>
    <mergeCell ref="H443:I443"/>
    <mergeCell ref="J443:K443"/>
    <mergeCell ref="L443:M443"/>
    <mergeCell ref="A446:P446"/>
    <mergeCell ref="A447:Q447"/>
    <mergeCell ref="F448:K448"/>
    <mergeCell ref="A450:A451"/>
    <mergeCell ref="B450:C450"/>
    <mergeCell ref="D450:E450"/>
    <mergeCell ref="F450:G450"/>
    <mergeCell ref="H450:I450"/>
    <mergeCell ref="J450:K450"/>
    <mergeCell ref="L450:M450"/>
    <mergeCell ref="B458:C462"/>
    <mergeCell ref="D459:E462"/>
    <mergeCell ref="F460:G462"/>
    <mergeCell ref="H461:I462"/>
    <mergeCell ref="J462:K462"/>
    <mergeCell ref="A465:E465"/>
    <mergeCell ref="N450:P450"/>
    <mergeCell ref="D452:E453"/>
    <mergeCell ref="F452:G454"/>
    <mergeCell ref="H452:I455"/>
    <mergeCell ref="J452:K456"/>
    <mergeCell ref="L452:M457"/>
    <mergeCell ref="A466:E466"/>
    <mergeCell ref="A467:P467"/>
    <mergeCell ref="A468:Q468"/>
    <mergeCell ref="A469:P469"/>
    <mergeCell ref="G470:K470"/>
    <mergeCell ref="A471:A472"/>
    <mergeCell ref="B471:C472"/>
    <mergeCell ref="D471:E472"/>
    <mergeCell ref="F471:G472"/>
    <mergeCell ref="H471:I472"/>
    <mergeCell ref="J471:K472"/>
    <mergeCell ref="L471:M472"/>
    <mergeCell ref="N471:P472"/>
    <mergeCell ref="B473:C473"/>
    <mergeCell ref="D473:E473"/>
    <mergeCell ref="F473:G473"/>
    <mergeCell ref="H473:I473"/>
    <mergeCell ref="J473:K473"/>
    <mergeCell ref="L473:M473"/>
    <mergeCell ref="N473:P473"/>
    <mergeCell ref="N474:P474"/>
    <mergeCell ref="B475:C475"/>
    <mergeCell ref="D475:E475"/>
    <mergeCell ref="F475:G475"/>
    <mergeCell ref="H475:I475"/>
    <mergeCell ref="J475:K475"/>
    <mergeCell ref="L475:M475"/>
    <mergeCell ref="N475:P475"/>
    <mergeCell ref="B474:C474"/>
    <mergeCell ref="D474:E474"/>
    <mergeCell ref="F474:G474"/>
    <mergeCell ref="H474:I474"/>
    <mergeCell ref="J474:K474"/>
    <mergeCell ref="L474:M474"/>
    <mergeCell ref="A477:P477"/>
    <mergeCell ref="A478:Q478"/>
    <mergeCell ref="F479:K479"/>
    <mergeCell ref="A481:A482"/>
    <mergeCell ref="B481:C481"/>
    <mergeCell ref="D481:E481"/>
    <mergeCell ref="F481:G481"/>
    <mergeCell ref="H481:I481"/>
    <mergeCell ref="J481:K481"/>
    <mergeCell ref="L481:M481"/>
    <mergeCell ref="B489:C493"/>
    <mergeCell ref="D490:E493"/>
    <mergeCell ref="F491:G493"/>
    <mergeCell ref="H492:I493"/>
    <mergeCell ref="J493:K493"/>
    <mergeCell ref="A496:E496"/>
    <mergeCell ref="N481:P481"/>
    <mergeCell ref="D483:E484"/>
    <mergeCell ref="F483:G485"/>
    <mergeCell ref="H483:I486"/>
    <mergeCell ref="J483:K487"/>
    <mergeCell ref="L483:M488"/>
    <mergeCell ref="G501:K501"/>
    <mergeCell ref="A502:A503"/>
    <mergeCell ref="B502:C503"/>
    <mergeCell ref="D502:E503"/>
    <mergeCell ref="F502:G503"/>
    <mergeCell ref="H502:I503"/>
    <mergeCell ref="J502:K503"/>
    <mergeCell ref="N496:P496"/>
    <mergeCell ref="A497:E497"/>
    <mergeCell ref="N497:P497"/>
    <mergeCell ref="A498:P498"/>
    <mergeCell ref="A499:P499"/>
    <mergeCell ref="A500:P500"/>
    <mergeCell ref="L502:M503"/>
    <mergeCell ref="N502:P503"/>
    <mergeCell ref="B504:C504"/>
    <mergeCell ref="D504:E504"/>
    <mergeCell ref="F504:G504"/>
    <mergeCell ref="H504:I504"/>
    <mergeCell ref="J504:K504"/>
    <mergeCell ref="L504:M504"/>
    <mergeCell ref="N504:P504"/>
    <mergeCell ref="N505:P505"/>
    <mergeCell ref="B506:C506"/>
    <mergeCell ref="D506:E506"/>
    <mergeCell ref="F506:G506"/>
    <mergeCell ref="H506:I506"/>
    <mergeCell ref="J506:K506"/>
    <mergeCell ref="L506:M506"/>
    <mergeCell ref="N506:P506"/>
    <mergeCell ref="B505:C505"/>
    <mergeCell ref="D505:E505"/>
    <mergeCell ref="F505:G505"/>
    <mergeCell ref="H505:I505"/>
    <mergeCell ref="J505:K505"/>
    <mergeCell ref="L505:M505"/>
    <mergeCell ref="A508:P508"/>
    <mergeCell ref="A509:P509"/>
    <mergeCell ref="A510:P510"/>
    <mergeCell ref="A512:A513"/>
    <mergeCell ref="B512:C512"/>
    <mergeCell ref="D512:E512"/>
    <mergeCell ref="F512:G512"/>
    <mergeCell ref="H512:I512"/>
    <mergeCell ref="J512:K512"/>
    <mergeCell ref="L512:M512"/>
    <mergeCell ref="B520:C524"/>
    <mergeCell ref="D521:E524"/>
    <mergeCell ref="F522:G524"/>
    <mergeCell ref="H523:I524"/>
    <mergeCell ref="J524:K524"/>
    <mergeCell ref="N512:P512"/>
    <mergeCell ref="D514:E515"/>
    <mergeCell ref="F514:G516"/>
    <mergeCell ref="H514:I517"/>
    <mergeCell ref="J514:K518"/>
    <mergeCell ref="L514:M51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32"/>
  <sheetViews>
    <sheetView rightToLeft="1" topLeftCell="A4" zoomScale="70" zoomScaleNormal="70" workbookViewId="0">
      <selection activeCell="G23" sqref="G23"/>
    </sheetView>
  </sheetViews>
  <sheetFormatPr defaultColWidth="9" defaultRowHeight="22.8"/>
  <cols>
    <col min="1" max="1" width="16.33203125" style="30" customWidth="1"/>
    <col min="2" max="2" width="14" style="30" customWidth="1"/>
    <col min="3" max="3" width="12.33203125" style="30" customWidth="1"/>
    <col min="4" max="4" width="11.21875" style="30" customWidth="1"/>
    <col min="5" max="5" width="12" style="30" customWidth="1"/>
    <col min="6" max="6" width="8.88671875" style="30" customWidth="1"/>
    <col min="7" max="7" width="10.77734375" style="30" customWidth="1"/>
    <col min="8" max="8" width="13" style="30" customWidth="1"/>
    <col min="9" max="9" width="13.109375" style="30" customWidth="1"/>
    <col min="10" max="11" width="9" style="30"/>
    <col min="12" max="12" width="12" style="30" customWidth="1"/>
    <col min="13" max="13" width="11.77734375" style="30" customWidth="1"/>
    <col min="14" max="14" width="11.6640625" style="30" customWidth="1"/>
    <col min="15" max="15" width="11" style="30" customWidth="1"/>
    <col min="16" max="16" width="9" style="30"/>
    <col min="17" max="17" width="11.21875" style="30" customWidth="1"/>
    <col min="18" max="18" width="9" style="30"/>
    <col min="19" max="19" width="10.6640625" style="30" customWidth="1"/>
    <col min="20" max="20" width="10.77734375" style="30" customWidth="1"/>
    <col min="21" max="21" width="11.33203125" style="30" customWidth="1"/>
    <col min="22" max="22" width="12.21875" style="30" customWidth="1"/>
    <col min="23" max="23" width="6.77734375" style="30" customWidth="1"/>
    <col min="24" max="24" width="10.21875" style="30" customWidth="1"/>
    <col min="25" max="25" width="10.6640625" style="30" customWidth="1"/>
    <col min="26" max="26" width="11.33203125" style="30" customWidth="1"/>
    <col min="27" max="16384" width="9" style="30"/>
  </cols>
  <sheetData>
    <row r="1" spans="1:24">
      <c r="A1" s="231" t="s">
        <v>62</v>
      </c>
      <c r="B1" s="231"/>
      <c r="C1" s="231"/>
      <c r="D1" s="231"/>
      <c r="E1" s="231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9" t="s">
        <v>63</v>
      </c>
      <c r="U1" s="29"/>
      <c r="V1" s="29"/>
      <c r="W1" s="28"/>
    </row>
    <row r="2" spans="1:24">
      <c r="A2" s="231" t="s">
        <v>64</v>
      </c>
      <c r="B2" s="231"/>
      <c r="C2" s="231"/>
      <c r="D2" s="231"/>
      <c r="E2" s="231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U2" s="29" t="s">
        <v>65</v>
      </c>
      <c r="V2" s="29"/>
      <c r="W2" s="28"/>
    </row>
    <row r="3" spans="1:24">
      <c r="A3" s="28"/>
      <c r="B3" s="231" t="s">
        <v>143</v>
      </c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8"/>
      <c r="W3" s="28"/>
    </row>
    <row r="4" spans="1:24">
      <c r="A4" s="28"/>
      <c r="B4" s="231" t="s">
        <v>67</v>
      </c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8"/>
      <c r="W4" s="28"/>
    </row>
    <row r="5" spans="1:24">
      <c r="A5" s="28"/>
      <c r="B5" s="231" t="s">
        <v>144</v>
      </c>
      <c r="C5" s="231"/>
      <c r="D5" s="231"/>
      <c r="E5" s="231"/>
      <c r="F5" s="231"/>
      <c r="G5" s="231"/>
      <c r="H5" s="231"/>
      <c r="I5" s="231"/>
      <c r="J5" s="231"/>
      <c r="K5" s="231"/>
      <c r="L5" s="231"/>
      <c r="M5" s="231"/>
      <c r="N5" s="231"/>
      <c r="O5" s="231"/>
      <c r="P5" s="231"/>
      <c r="Q5" s="231"/>
      <c r="R5" s="231"/>
      <c r="S5" s="231"/>
      <c r="T5" s="231"/>
      <c r="U5" s="231"/>
      <c r="V5" s="28"/>
      <c r="W5" s="28"/>
    </row>
    <row r="6" spans="1:24" ht="23.4" thickBot="1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31"/>
      <c r="V6" s="31"/>
      <c r="W6" s="31"/>
    </row>
    <row r="7" spans="1:24" ht="24" thickTop="1" thickBot="1">
      <c r="B7" s="245" t="s">
        <v>145</v>
      </c>
      <c r="C7" s="233" t="s">
        <v>146</v>
      </c>
      <c r="D7" s="233"/>
      <c r="E7" s="233"/>
      <c r="F7" s="233"/>
      <c r="G7" s="233"/>
      <c r="H7" s="234" t="s">
        <v>147</v>
      </c>
      <c r="I7" s="235"/>
      <c r="J7" s="235"/>
      <c r="K7" s="235"/>
      <c r="L7" s="235"/>
      <c r="M7" s="235"/>
      <c r="N7" s="235"/>
      <c r="O7" s="235"/>
      <c r="P7" s="235"/>
      <c r="Q7" s="235"/>
      <c r="R7" s="235"/>
      <c r="S7" s="259"/>
      <c r="T7" s="31"/>
      <c r="U7" s="31"/>
      <c r="V7" s="31"/>
      <c r="W7" s="31"/>
      <c r="X7" s="31"/>
    </row>
    <row r="8" spans="1:24" ht="24" thickTop="1" thickBot="1">
      <c r="B8" s="246"/>
      <c r="C8" s="227"/>
      <c r="D8" s="227"/>
      <c r="E8" s="227"/>
      <c r="F8" s="227"/>
      <c r="G8" s="227"/>
      <c r="H8" s="248" t="s">
        <v>148</v>
      </c>
      <c r="I8" s="248" t="s">
        <v>149</v>
      </c>
      <c r="J8" s="248" t="s">
        <v>150</v>
      </c>
      <c r="K8" s="240" t="s">
        <v>151</v>
      </c>
      <c r="L8" s="257" t="s">
        <v>152</v>
      </c>
      <c r="M8" s="258"/>
      <c r="N8" s="227" t="s">
        <v>153</v>
      </c>
      <c r="O8" s="227"/>
      <c r="P8" s="227"/>
      <c r="Q8" s="242" t="s">
        <v>154</v>
      </c>
      <c r="R8" s="227" t="s">
        <v>58</v>
      </c>
      <c r="S8" s="244"/>
      <c r="T8" s="31"/>
      <c r="U8" s="31"/>
      <c r="V8" s="31"/>
      <c r="W8" s="31"/>
      <c r="X8" s="31"/>
    </row>
    <row r="9" spans="1:24" ht="46.8" thickTop="1" thickBot="1">
      <c r="B9" s="246"/>
      <c r="C9" s="15" t="s">
        <v>155</v>
      </c>
      <c r="D9" s="15" t="s">
        <v>156</v>
      </c>
      <c r="E9" s="15" t="s">
        <v>157</v>
      </c>
      <c r="F9" s="15" t="s">
        <v>158</v>
      </c>
      <c r="G9" s="15" t="s">
        <v>58</v>
      </c>
      <c r="H9" s="248"/>
      <c r="I9" s="248"/>
      <c r="J9" s="248"/>
      <c r="K9" s="241"/>
      <c r="L9" s="16" t="s">
        <v>159</v>
      </c>
      <c r="M9" s="16" t="s">
        <v>160</v>
      </c>
      <c r="N9" s="16" t="s">
        <v>161</v>
      </c>
      <c r="O9" s="15" t="s">
        <v>162</v>
      </c>
      <c r="P9" s="15" t="s">
        <v>163</v>
      </c>
      <c r="Q9" s="243"/>
      <c r="R9" s="227"/>
      <c r="S9" s="244"/>
      <c r="T9" s="31"/>
      <c r="U9" s="31"/>
      <c r="V9" s="31"/>
      <c r="W9" s="31"/>
      <c r="X9" s="31"/>
    </row>
    <row r="10" spans="1:24" ht="24" thickTop="1" thickBot="1">
      <c r="B10" s="17" t="s">
        <v>164</v>
      </c>
      <c r="C10" s="15">
        <f>'[1]التعليم الابتدائي'!IY754</f>
        <v>428</v>
      </c>
      <c r="D10" s="15">
        <f>'[1]التعليم الابتدائي'!JA754</f>
        <v>0</v>
      </c>
      <c r="E10" s="15">
        <f>'[1]التعليم الابتدائي'!JC754</f>
        <v>0</v>
      </c>
      <c r="F10" s="15">
        <f>'[1]التعليم الابتدائي'!JE754</f>
        <v>0</v>
      </c>
      <c r="G10" s="15">
        <f>E10+D10+C10+F10</f>
        <v>428</v>
      </c>
      <c r="H10" s="15">
        <f>'[1]التعليم الابتدائي'!ADR754</f>
        <v>0</v>
      </c>
      <c r="I10" s="15">
        <f>'[1]التعليم الابتدائي'!ADT754</f>
        <v>0</v>
      </c>
      <c r="J10" s="15">
        <f>'[1]التعليم الابتدائي'!ADX754</f>
        <v>0</v>
      </c>
      <c r="K10" s="15">
        <f>'[1]التعليم الابتدائي'!ADV754</f>
        <v>0</v>
      </c>
      <c r="L10" s="15">
        <f>'[1]التعليم الابتدائي'!ADZ754</f>
        <v>0</v>
      </c>
      <c r="M10" s="15">
        <f>'[1]التعليم الابتدائي'!AEB754</f>
        <v>0</v>
      </c>
      <c r="N10" s="15">
        <f>'[1]التعليم الابتدائي'!AED754</f>
        <v>0</v>
      </c>
      <c r="O10" s="15">
        <f>'[1]التعليم الابتدائي'!AEF754</f>
        <v>0</v>
      </c>
      <c r="P10" s="15">
        <f>'[1]التعليم الابتدائي'!AEH754</f>
        <v>0</v>
      </c>
      <c r="Q10" s="32">
        <f>'[1]التعليم الابتدائي'!AEJ754</f>
        <v>1</v>
      </c>
      <c r="R10" s="227">
        <f>Q10+P10+N10+M10+L10+K10+I10+J10+H10+O10</f>
        <v>1</v>
      </c>
      <c r="S10" s="244"/>
      <c r="T10" s="31"/>
      <c r="U10" s="31"/>
      <c r="V10" s="31"/>
      <c r="W10" s="31"/>
      <c r="X10" s="31"/>
    </row>
    <row r="11" spans="1:24" ht="24" thickTop="1" thickBot="1">
      <c r="B11" s="17" t="s">
        <v>165</v>
      </c>
      <c r="C11" s="15">
        <f>'[1]التعليم الابتدائي'!IZ754</f>
        <v>295</v>
      </c>
      <c r="D11" s="15">
        <f>'[1]التعليم الابتدائي'!JB754</f>
        <v>0</v>
      </c>
      <c r="E11" s="15">
        <f>'[1]التعليم الابتدائي'!JD754</f>
        <v>0</v>
      </c>
      <c r="F11" s="15">
        <f>'[1]التعليم الابتدائي'!JF754</f>
        <v>0</v>
      </c>
      <c r="G11" s="15">
        <f>E11+D11+C11+F11</f>
        <v>295</v>
      </c>
      <c r="H11" s="15">
        <f>'[1]التعليم الابتدائي'!ADS754</f>
        <v>0</v>
      </c>
      <c r="I11" s="15">
        <f>'[1]التعليم الابتدائي'!ADU754</f>
        <v>0</v>
      </c>
      <c r="J11" s="15">
        <f>'[1]التعليم الابتدائي'!ADY754</f>
        <v>0</v>
      </c>
      <c r="K11" s="15">
        <f>'[1]التعليم الابتدائي'!ADW754</f>
        <v>0</v>
      </c>
      <c r="L11" s="15">
        <f>'[1]التعليم الابتدائي'!AEA754</f>
        <v>0</v>
      </c>
      <c r="M11" s="15">
        <f>'[1]التعليم الابتدائي'!AEC754</f>
        <v>0</v>
      </c>
      <c r="N11" s="15">
        <f>'[1]التعليم الابتدائي'!AEE754</f>
        <v>0</v>
      </c>
      <c r="O11" s="15">
        <f>'[1]التعليم الابتدائي'!AEG754</f>
        <v>0</v>
      </c>
      <c r="P11" s="15">
        <f>'[1]التعليم الابتدائي'!AEI754</f>
        <v>0</v>
      </c>
      <c r="Q11" s="32">
        <f>'[1]التعليم الابتدائي'!AEK754</f>
        <v>1</v>
      </c>
      <c r="R11" s="227">
        <f>Q11+P11+N11+M11+L11+K11+I11+J11+H11+O11</f>
        <v>1</v>
      </c>
      <c r="S11" s="244"/>
      <c r="T11" s="31"/>
      <c r="U11" s="31"/>
      <c r="V11" s="31"/>
      <c r="W11" s="31"/>
      <c r="X11" s="31"/>
    </row>
    <row r="12" spans="1:24" ht="24" thickTop="1" thickBot="1">
      <c r="B12" s="18" t="s">
        <v>122</v>
      </c>
      <c r="C12" s="20">
        <f>C10+C11</f>
        <v>723</v>
      </c>
      <c r="D12" s="20">
        <f>D10+D11</f>
        <v>0</v>
      </c>
      <c r="E12" s="20">
        <f>E10+E11</f>
        <v>0</v>
      </c>
      <c r="F12" s="20">
        <f>SUM(F10:F11)</f>
        <v>0</v>
      </c>
      <c r="G12" s="20">
        <f>E12+D12+C12+F12</f>
        <v>723</v>
      </c>
      <c r="H12" s="20">
        <f t="shared" ref="H12:R12" si="0">H11+H10</f>
        <v>0</v>
      </c>
      <c r="I12" s="20">
        <f t="shared" si="0"/>
        <v>0</v>
      </c>
      <c r="J12" s="20">
        <f t="shared" si="0"/>
        <v>0</v>
      </c>
      <c r="K12" s="20">
        <f t="shared" si="0"/>
        <v>0</v>
      </c>
      <c r="L12" s="20">
        <f t="shared" si="0"/>
        <v>0</v>
      </c>
      <c r="M12" s="20">
        <f t="shared" si="0"/>
        <v>0</v>
      </c>
      <c r="N12" s="20">
        <f t="shared" si="0"/>
        <v>0</v>
      </c>
      <c r="O12" s="20">
        <f t="shared" si="0"/>
        <v>0</v>
      </c>
      <c r="P12" s="20">
        <f t="shared" si="0"/>
        <v>0</v>
      </c>
      <c r="Q12" s="21">
        <f t="shared" si="0"/>
        <v>2</v>
      </c>
      <c r="R12" s="229">
        <f t="shared" si="0"/>
        <v>2</v>
      </c>
      <c r="S12" s="230"/>
      <c r="T12" s="31"/>
      <c r="U12" s="31"/>
      <c r="V12" s="31"/>
      <c r="W12" s="31"/>
      <c r="X12" s="31"/>
    </row>
    <row r="13" spans="1:24" ht="23.4" thickTop="1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</row>
    <row r="14" spans="1:24">
      <c r="A14" s="28"/>
      <c r="B14" s="231" t="s">
        <v>166</v>
      </c>
      <c r="C14" s="231"/>
      <c r="D14" s="231"/>
      <c r="E14" s="231"/>
      <c r="F14" s="231"/>
      <c r="G14" s="231"/>
      <c r="H14" s="231"/>
      <c r="I14" s="231"/>
      <c r="J14" s="231"/>
      <c r="K14" s="231"/>
      <c r="L14" s="231"/>
      <c r="M14" s="231"/>
      <c r="N14" s="231"/>
      <c r="O14" s="231"/>
      <c r="P14" s="231"/>
      <c r="Q14" s="231"/>
      <c r="R14" s="231"/>
      <c r="S14" s="231"/>
      <c r="T14" s="231"/>
      <c r="U14" s="231"/>
      <c r="V14" s="28"/>
      <c r="W14" s="28"/>
    </row>
    <row r="15" spans="1:24">
      <c r="A15" s="28"/>
      <c r="B15" s="282" t="s">
        <v>67</v>
      </c>
      <c r="C15" s="282"/>
      <c r="D15" s="282"/>
      <c r="E15" s="282"/>
      <c r="F15" s="282"/>
      <c r="G15" s="282"/>
      <c r="H15" s="282"/>
      <c r="I15" s="282"/>
      <c r="J15" s="282"/>
      <c r="K15" s="282"/>
      <c r="L15" s="282"/>
      <c r="M15" s="282"/>
      <c r="N15" s="282"/>
      <c r="O15" s="282"/>
      <c r="P15" s="282"/>
      <c r="Q15" s="282"/>
      <c r="R15" s="282"/>
      <c r="S15" s="282"/>
      <c r="T15" s="282"/>
      <c r="U15" s="282"/>
      <c r="V15" s="28"/>
      <c r="W15" s="28"/>
    </row>
    <row r="16" spans="1:24">
      <c r="A16" s="28"/>
      <c r="B16" s="231" t="s">
        <v>167</v>
      </c>
      <c r="C16" s="231"/>
      <c r="D16" s="231"/>
      <c r="E16" s="231"/>
      <c r="F16" s="231"/>
      <c r="G16" s="231"/>
      <c r="H16" s="231"/>
      <c r="I16" s="231"/>
      <c r="J16" s="231"/>
      <c r="K16" s="231"/>
      <c r="L16" s="231"/>
      <c r="M16" s="231"/>
      <c r="N16" s="231"/>
      <c r="O16" s="231"/>
      <c r="P16" s="231"/>
      <c r="Q16" s="231"/>
      <c r="R16" s="231"/>
      <c r="S16" s="231"/>
      <c r="T16" s="231"/>
      <c r="U16" s="231"/>
      <c r="V16" s="28"/>
      <c r="W16" s="28"/>
    </row>
    <row r="17" spans="1:23" ht="23.4" thickBo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</row>
    <row r="18" spans="1:23" ht="24" thickTop="1" thickBot="1">
      <c r="A18" s="232" t="s">
        <v>168</v>
      </c>
      <c r="B18" s="233"/>
      <c r="C18" s="233"/>
      <c r="D18" s="234" t="s">
        <v>169</v>
      </c>
      <c r="E18" s="235"/>
      <c r="F18" s="235"/>
      <c r="G18" s="223" t="s">
        <v>170</v>
      </c>
      <c r="H18" s="224"/>
      <c r="I18" s="237"/>
      <c r="J18" s="224" t="s">
        <v>171</v>
      </c>
      <c r="K18" s="237"/>
      <c r="L18" s="234" t="s">
        <v>172</v>
      </c>
      <c r="M18" s="235"/>
      <c r="N18" s="235"/>
      <c r="O18" s="235"/>
      <c r="P18" s="235"/>
      <c r="Q18" s="236"/>
      <c r="R18" s="249" t="s">
        <v>173</v>
      </c>
      <c r="S18" s="223" t="s">
        <v>174</v>
      </c>
      <c r="T18" s="224"/>
      <c r="U18" s="224"/>
      <c r="V18" s="225"/>
    </row>
    <row r="19" spans="1:23" ht="24" thickTop="1" thickBot="1">
      <c r="A19" s="226" t="s">
        <v>175</v>
      </c>
      <c r="B19" s="227"/>
      <c r="C19" s="228" t="s">
        <v>176</v>
      </c>
      <c r="D19" s="220" t="s">
        <v>177</v>
      </c>
      <c r="E19" s="211" t="s">
        <v>178</v>
      </c>
      <c r="F19" s="220" t="s">
        <v>179</v>
      </c>
      <c r="G19" s="228" t="s">
        <v>180</v>
      </c>
      <c r="H19" s="211" t="s">
        <v>181</v>
      </c>
      <c r="I19" s="220" t="s">
        <v>182</v>
      </c>
      <c r="J19" s="228" t="s">
        <v>183</v>
      </c>
      <c r="K19" s="211" t="s">
        <v>184</v>
      </c>
      <c r="L19" s="211" t="s">
        <v>185</v>
      </c>
      <c r="M19" s="221" t="s">
        <v>186</v>
      </c>
      <c r="N19" s="211" t="s">
        <v>187</v>
      </c>
      <c r="O19" s="220" t="s">
        <v>188</v>
      </c>
      <c r="P19" s="220" t="s">
        <v>189</v>
      </c>
      <c r="Q19" s="228" t="s">
        <v>190</v>
      </c>
      <c r="R19" s="250"/>
      <c r="S19" s="211" t="s">
        <v>191</v>
      </c>
      <c r="T19" s="211" t="s">
        <v>192</v>
      </c>
      <c r="U19" s="211" t="s">
        <v>193</v>
      </c>
      <c r="V19" s="213" t="s">
        <v>194</v>
      </c>
    </row>
    <row r="20" spans="1:23" ht="46.8" thickTop="1" thickBot="1">
      <c r="A20" s="19" t="s">
        <v>195</v>
      </c>
      <c r="B20" s="16" t="s">
        <v>196</v>
      </c>
      <c r="C20" s="228"/>
      <c r="D20" s="220"/>
      <c r="E20" s="212"/>
      <c r="F20" s="220"/>
      <c r="G20" s="228"/>
      <c r="H20" s="212"/>
      <c r="I20" s="220"/>
      <c r="J20" s="228"/>
      <c r="K20" s="212"/>
      <c r="L20" s="212"/>
      <c r="M20" s="222"/>
      <c r="N20" s="212"/>
      <c r="O20" s="220"/>
      <c r="P20" s="220"/>
      <c r="Q20" s="228"/>
      <c r="R20" s="212"/>
      <c r="S20" s="212"/>
      <c r="T20" s="212"/>
      <c r="U20" s="212"/>
      <c r="V20" s="214"/>
    </row>
    <row r="21" spans="1:23" ht="24" thickTop="1" thickBot="1">
      <c r="A21" s="18">
        <f>'[1]التعليم الابتدائي'!ALH754</f>
        <v>1</v>
      </c>
      <c r="B21" s="20">
        <f>'[1]التعليم الابتدائي'!ALI754</f>
        <v>466</v>
      </c>
      <c r="C21" s="20">
        <f>'[1]التعليم الابتدائي'!ALJ754</f>
        <v>0</v>
      </c>
      <c r="D21" s="20">
        <f>'[1]التعليم الابتدائي'!ALE754</f>
        <v>172</v>
      </c>
      <c r="E21" s="21">
        <f>'[1]التعليم الابتدائي'!ALF754</f>
        <v>282</v>
      </c>
      <c r="F21" s="20">
        <f>'[1]التعليم الابتدائي'!ALG754</f>
        <v>13</v>
      </c>
      <c r="G21" s="20">
        <f>'[1]التعليم الابتدائي'!ALK754</f>
        <v>216</v>
      </c>
      <c r="H21" s="21">
        <f>'[1]التعليم الابتدائي'!ALL754</f>
        <v>219</v>
      </c>
      <c r="I21" s="20">
        <f>'[1]التعليم الابتدائي'!ALM754</f>
        <v>32</v>
      </c>
      <c r="J21" s="20">
        <f>'[1]التعليم الابتدائي'!AIS754</f>
        <v>467</v>
      </c>
      <c r="K21" s="20">
        <f>'[1]التعليم الابتدائي'!AIT754</f>
        <v>0</v>
      </c>
      <c r="L21" s="21">
        <f>'[1]التعليم الابتدائي'!AJN754</f>
        <v>427</v>
      </c>
      <c r="M21" s="20">
        <f>'[1]التعليم الابتدائي'!AJR754</f>
        <v>7</v>
      </c>
      <c r="N21" s="20">
        <f>'[1]التعليم الابتدائي'!AJP754</f>
        <v>0</v>
      </c>
      <c r="O21" s="20">
        <f>'[1]التعليم الابتدائي'!AJQ754</f>
        <v>4</v>
      </c>
      <c r="P21" s="20">
        <f>'[1]التعليم الابتدائي'!AJS754</f>
        <v>29</v>
      </c>
      <c r="Q21" s="20">
        <f>'[1]التعليم الابتدائي'!AJT754</f>
        <v>0</v>
      </c>
      <c r="R21" s="20">
        <f>Q21+M21+P21+N21+L21+O21</f>
        <v>467</v>
      </c>
      <c r="S21" s="20">
        <f>'[1]التعليم الابتدائي'!AJU754</f>
        <v>467</v>
      </c>
      <c r="T21" s="20">
        <f>'[1]التعليم الابتدائي'!AKA754</f>
        <v>466</v>
      </c>
      <c r="U21" s="20">
        <f>'[1]التعليم الابتدائي'!AKH754</f>
        <v>467</v>
      </c>
      <c r="V21" s="33">
        <f>'[1]التعليم الابتدائي'!AKL754</f>
        <v>465</v>
      </c>
    </row>
    <row r="22" spans="1:23" ht="23.4" thickTop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</row>
    <row r="23" spans="1:23" ht="23.4" thickBot="1">
      <c r="B23" s="23"/>
      <c r="C23" s="23"/>
      <c r="D23" s="23"/>
      <c r="E23" s="23"/>
      <c r="G23" s="34" t="s">
        <v>197</v>
      </c>
    </row>
    <row r="24" spans="1:23" ht="24" thickTop="1" thickBot="1">
      <c r="B24" s="215" t="s">
        <v>198</v>
      </c>
      <c r="C24" s="216"/>
      <c r="D24" s="216"/>
      <c r="E24" s="216"/>
      <c r="F24" s="216"/>
      <c r="G24" s="216"/>
      <c r="H24" s="216"/>
      <c r="I24" s="217"/>
      <c r="J24" s="218" t="s">
        <v>199</v>
      </c>
      <c r="K24" s="216"/>
      <c r="L24" s="216"/>
      <c r="M24" s="216"/>
      <c r="N24" s="216"/>
      <c r="O24" s="216"/>
      <c r="P24" s="216"/>
      <c r="Q24" s="216"/>
      <c r="R24" s="216"/>
      <c r="S24" s="216"/>
      <c r="T24" s="216"/>
      <c r="U24" s="219"/>
    </row>
    <row r="25" spans="1:23" ht="24" thickTop="1" thickBot="1">
      <c r="B25" s="210" t="s">
        <v>200</v>
      </c>
      <c r="C25" s="207"/>
      <c r="D25" s="206" t="s">
        <v>201</v>
      </c>
      <c r="E25" s="207"/>
      <c r="F25" s="206" t="s">
        <v>202</v>
      </c>
      <c r="G25" s="207"/>
      <c r="H25" s="206" t="s">
        <v>58</v>
      </c>
      <c r="I25" s="207"/>
      <c r="J25" s="206" t="s">
        <v>203</v>
      </c>
      <c r="K25" s="207"/>
      <c r="L25" s="206" t="s">
        <v>204</v>
      </c>
      <c r="M25" s="207"/>
      <c r="N25" s="206" t="s">
        <v>205</v>
      </c>
      <c r="O25" s="207"/>
      <c r="P25" s="206" t="s">
        <v>206</v>
      </c>
      <c r="Q25" s="207"/>
      <c r="R25" s="206" t="s">
        <v>207</v>
      </c>
      <c r="S25" s="207"/>
      <c r="T25" s="206" t="s">
        <v>58</v>
      </c>
      <c r="U25" s="208"/>
    </row>
    <row r="26" spans="1:23" ht="24" thickTop="1" thickBot="1">
      <c r="B26" s="209">
        <f>'[1]التعليم الابتدائي'!AIZ754</f>
        <v>193</v>
      </c>
      <c r="C26" s="204"/>
      <c r="D26" s="203">
        <f>'[1]التعليم الابتدائي'!AJA754</f>
        <v>263</v>
      </c>
      <c r="E26" s="204"/>
      <c r="F26" s="203">
        <f>'[1]التعليم الابتدائي'!AJB754</f>
        <v>11</v>
      </c>
      <c r="G26" s="204"/>
      <c r="H26" s="203">
        <f>F26+D26+B26</f>
        <v>467</v>
      </c>
      <c r="I26" s="204"/>
      <c r="J26" s="203">
        <f>'[1]التعليم الابتدائي'!AJF754</f>
        <v>46</v>
      </c>
      <c r="K26" s="204"/>
      <c r="L26" s="203">
        <f>'[1]التعليم الابتدائي'!AJG754</f>
        <v>51</v>
      </c>
      <c r="M26" s="204"/>
      <c r="N26" s="203">
        <f>'[1]التعليم الابتدائي'!AJH754</f>
        <v>239</v>
      </c>
      <c r="O26" s="204"/>
      <c r="P26" s="203">
        <f>'[1]التعليم الابتدائي'!AJI754</f>
        <v>100</v>
      </c>
      <c r="Q26" s="204"/>
      <c r="R26" s="203">
        <f>'[1]التعليم الابتدائي'!AJJ754</f>
        <v>31</v>
      </c>
      <c r="S26" s="204"/>
      <c r="T26" s="203">
        <f>R26+P26+N26+L26+J26</f>
        <v>467</v>
      </c>
      <c r="U26" s="205"/>
    </row>
    <row r="27" spans="1:23" ht="23.4" thickTop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</row>
    <row r="28" spans="1:23">
      <c r="A28" s="231" t="s">
        <v>62</v>
      </c>
      <c r="B28" s="231"/>
      <c r="C28" s="231"/>
      <c r="D28" s="231"/>
      <c r="E28" s="231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31" t="s">
        <v>133</v>
      </c>
      <c r="S28" s="231"/>
      <c r="T28" s="231"/>
      <c r="U28" s="28"/>
      <c r="V28" s="28"/>
      <c r="W28" s="28"/>
    </row>
    <row r="29" spans="1:23">
      <c r="A29" s="231" t="s">
        <v>64</v>
      </c>
      <c r="B29" s="231"/>
      <c r="C29" s="231"/>
      <c r="D29" s="231"/>
      <c r="E29" s="231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S29" s="29" t="s">
        <v>65</v>
      </c>
      <c r="T29" s="29"/>
      <c r="U29" s="28"/>
      <c r="V29" s="28"/>
      <c r="W29" s="28"/>
    </row>
    <row r="30" spans="1:23">
      <c r="A30" s="28"/>
      <c r="B30" s="231" t="s">
        <v>143</v>
      </c>
      <c r="C30" s="231"/>
      <c r="D30" s="231"/>
      <c r="E30" s="231"/>
      <c r="F30" s="231"/>
      <c r="G30" s="231"/>
      <c r="H30" s="231"/>
      <c r="I30" s="231"/>
      <c r="J30" s="231"/>
      <c r="K30" s="231"/>
      <c r="L30" s="231"/>
      <c r="M30" s="231"/>
      <c r="N30" s="231"/>
      <c r="O30" s="231"/>
      <c r="P30" s="231"/>
      <c r="Q30" s="231"/>
      <c r="R30" s="231"/>
      <c r="S30" s="231"/>
      <c r="T30" s="28"/>
      <c r="U30" s="28"/>
      <c r="V30" s="28"/>
      <c r="W30" s="28"/>
    </row>
    <row r="31" spans="1:23">
      <c r="A31" s="28"/>
      <c r="B31" s="231" t="s">
        <v>208</v>
      </c>
      <c r="C31" s="231"/>
      <c r="D31" s="231"/>
      <c r="E31" s="231"/>
      <c r="F31" s="231"/>
      <c r="G31" s="231"/>
      <c r="H31" s="231"/>
      <c r="I31" s="231"/>
      <c r="J31" s="231"/>
      <c r="K31" s="231"/>
      <c r="L31" s="231"/>
      <c r="M31" s="231"/>
      <c r="N31" s="231"/>
      <c r="O31" s="231"/>
      <c r="P31" s="231"/>
      <c r="Q31" s="231"/>
      <c r="R31" s="231"/>
      <c r="S31" s="231"/>
      <c r="T31" s="28"/>
      <c r="U31" s="28"/>
      <c r="V31" s="28"/>
      <c r="W31" s="28"/>
    </row>
    <row r="32" spans="1:23">
      <c r="A32" s="28"/>
      <c r="B32" s="231" t="s">
        <v>144</v>
      </c>
      <c r="C32" s="231"/>
      <c r="D32" s="231"/>
      <c r="E32" s="231"/>
      <c r="F32" s="231"/>
      <c r="G32" s="231"/>
      <c r="H32" s="231"/>
      <c r="I32" s="231"/>
      <c r="J32" s="231"/>
      <c r="K32" s="231"/>
      <c r="L32" s="231"/>
      <c r="M32" s="231"/>
      <c r="N32" s="231"/>
      <c r="O32" s="231"/>
      <c r="P32" s="231"/>
      <c r="Q32" s="231"/>
      <c r="R32" s="231"/>
      <c r="S32" s="231"/>
      <c r="T32" s="28"/>
      <c r="U32" s="28"/>
      <c r="V32" s="28"/>
      <c r="W32" s="28"/>
    </row>
    <row r="33" spans="1:24" ht="23.4" thickBo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</row>
    <row r="34" spans="1:24" ht="24" thickTop="1" thickBot="1">
      <c r="B34" s="245" t="s">
        <v>145</v>
      </c>
      <c r="C34" s="233" t="s">
        <v>146</v>
      </c>
      <c r="D34" s="233"/>
      <c r="E34" s="233"/>
      <c r="F34" s="233"/>
      <c r="G34" s="233"/>
      <c r="H34" s="234" t="s">
        <v>147</v>
      </c>
      <c r="I34" s="235"/>
      <c r="J34" s="235"/>
      <c r="K34" s="235"/>
      <c r="L34" s="235"/>
      <c r="M34" s="235"/>
      <c r="N34" s="235"/>
      <c r="O34" s="235"/>
      <c r="P34" s="235"/>
      <c r="Q34" s="235"/>
      <c r="R34" s="24"/>
      <c r="S34" s="251" t="s">
        <v>58</v>
      </c>
      <c r="T34" s="252"/>
      <c r="W34" s="31"/>
      <c r="X34" s="31"/>
    </row>
    <row r="35" spans="1:24" ht="24" thickTop="1" thickBot="1">
      <c r="B35" s="246"/>
      <c r="C35" s="227"/>
      <c r="D35" s="227"/>
      <c r="E35" s="227"/>
      <c r="F35" s="227"/>
      <c r="G35" s="227"/>
      <c r="H35" s="248" t="s">
        <v>148</v>
      </c>
      <c r="I35" s="248" t="s">
        <v>149</v>
      </c>
      <c r="J35" s="248" t="s">
        <v>150</v>
      </c>
      <c r="K35" s="240" t="s">
        <v>151</v>
      </c>
      <c r="L35" s="227" t="s">
        <v>152</v>
      </c>
      <c r="M35" s="227"/>
      <c r="N35" s="227" t="s">
        <v>153</v>
      </c>
      <c r="O35" s="227"/>
      <c r="P35" s="227"/>
      <c r="Q35" s="227" t="s">
        <v>154</v>
      </c>
      <c r="R35" s="227"/>
      <c r="S35" s="253"/>
      <c r="T35" s="254"/>
      <c r="U35" s="31"/>
      <c r="V35" s="31"/>
      <c r="W35" s="31"/>
      <c r="X35" s="31"/>
    </row>
    <row r="36" spans="1:24" ht="46.8" thickTop="1" thickBot="1">
      <c r="B36" s="246"/>
      <c r="C36" s="15" t="s">
        <v>155</v>
      </c>
      <c r="D36" s="15" t="s">
        <v>156</v>
      </c>
      <c r="E36" s="15" t="s">
        <v>157</v>
      </c>
      <c r="F36" s="15" t="s">
        <v>158</v>
      </c>
      <c r="G36" s="15" t="s">
        <v>58</v>
      </c>
      <c r="H36" s="248"/>
      <c r="I36" s="248"/>
      <c r="J36" s="248"/>
      <c r="K36" s="241"/>
      <c r="L36" s="15" t="s">
        <v>209</v>
      </c>
      <c r="M36" s="16" t="s">
        <v>160</v>
      </c>
      <c r="N36" s="16" t="s">
        <v>161</v>
      </c>
      <c r="O36" s="15" t="s">
        <v>162</v>
      </c>
      <c r="P36" s="15" t="s">
        <v>163</v>
      </c>
      <c r="Q36" s="227"/>
      <c r="R36" s="227"/>
      <c r="S36" s="255"/>
      <c r="T36" s="256"/>
      <c r="U36" s="31"/>
      <c r="V36" s="31"/>
      <c r="W36" s="31"/>
      <c r="X36" s="31"/>
    </row>
    <row r="37" spans="1:24" ht="24" thickTop="1" thickBot="1">
      <c r="B37" s="17" t="s">
        <v>164</v>
      </c>
      <c r="C37" s="15">
        <f>'[1]التعليم الابتدائي'!IY377</f>
        <v>198</v>
      </c>
      <c r="D37" s="15">
        <f>'[1]التعليم الابتدائي'!JA377</f>
        <v>0</v>
      </c>
      <c r="E37" s="15">
        <f>'[1]التعليم الابتدائي'!JC377</f>
        <v>0</v>
      </c>
      <c r="F37" s="15">
        <f>'[1]التعليم الابتدائي'!JE377</f>
        <v>0</v>
      </c>
      <c r="G37" s="15">
        <f>E37+D37+C37+F37</f>
        <v>198</v>
      </c>
      <c r="H37" s="15">
        <f>'[1]التعليم الابتدائي'!ADR377</f>
        <v>0</v>
      </c>
      <c r="I37" s="15">
        <f>'[1]التعليم الابتدائي'!ADT377</f>
        <v>0</v>
      </c>
      <c r="J37" s="15">
        <f>'[1]التعليم الابتدائي'!ADX377</f>
        <v>0</v>
      </c>
      <c r="K37" s="15">
        <f>'[1]التعليم الابتدائي'!ADV377</f>
        <v>0</v>
      </c>
      <c r="L37" s="15">
        <f>'[1]التعليم الابتدائي'!ADZ377</f>
        <v>0</v>
      </c>
      <c r="M37" s="15">
        <f>'[1]التعليم الابتدائي'!AEB377</f>
        <v>0</v>
      </c>
      <c r="N37" s="15">
        <f>'[1]التعليم الابتدائي'!AED377</f>
        <v>0</v>
      </c>
      <c r="O37" s="15">
        <f>'[1]التعليم الابتدائي'!AEF377</f>
        <v>0</v>
      </c>
      <c r="P37" s="15">
        <f>'[1]التعليم الابتدائي'!AEH377</f>
        <v>0</v>
      </c>
      <c r="Q37" s="227">
        <f>'[1]التعليم الابتدائي'!AEJ377</f>
        <v>0</v>
      </c>
      <c r="R37" s="227"/>
      <c r="S37" s="227">
        <f>Q37+P37+O37+M37+N37+J37+K37+L37+I37+H37</f>
        <v>0</v>
      </c>
      <c r="T37" s="244"/>
      <c r="U37" s="31"/>
      <c r="V37" s="31"/>
      <c r="W37" s="31"/>
      <c r="X37" s="31"/>
    </row>
    <row r="38" spans="1:24" ht="24" thickTop="1" thickBot="1">
      <c r="B38" s="17" t="s">
        <v>165</v>
      </c>
      <c r="C38" s="15">
        <f>'[1]التعليم الابتدائي'!IZ377</f>
        <v>161</v>
      </c>
      <c r="D38" s="15">
        <f>'[1]التعليم الابتدائي'!JB377</f>
        <v>0</v>
      </c>
      <c r="E38" s="15">
        <f>'[1]التعليم الابتدائي'!JD377</f>
        <v>0</v>
      </c>
      <c r="F38" s="15">
        <f>'[1]التعليم الابتدائي'!JF377</f>
        <v>0</v>
      </c>
      <c r="G38" s="15">
        <f>E38+D38+C38+F38</f>
        <v>161</v>
      </c>
      <c r="H38" s="15">
        <f>'[1]التعليم الابتدائي'!ADS377</f>
        <v>0</v>
      </c>
      <c r="I38" s="15">
        <f>'[1]التعليم الابتدائي'!ADU377</f>
        <v>0</v>
      </c>
      <c r="J38" s="15">
        <f>'[1]التعليم الابتدائي'!ADY377</f>
        <v>0</v>
      </c>
      <c r="K38" s="15">
        <f>'[1]التعليم الابتدائي'!ADW377</f>
        <v>0</v>
      </c>
      <c r="L38" s="15">
        <f>'[1]التعليم الابتدائي'!AEA377</f>
        <v>0</v>
      </c>
      <c r="M38" s="15">
        <f>'[1]التعليم الابتدائي'!AEC377</f>
        <v>0</v>
      </c>
      <c r="N38" s="15">
        <f>'[1]التعليم الابتدائي'!AEE377</f>
        <v>0</v>
      </c>
      <c r="O38" s="15">
        <f>'[1]التعليم الابتدائي'!AEG377</f>
        <v>0</v>
      </c>
      <c r="P38" s="15">
        <f>'[1]التعليم الابتدائي'!AEI377</f>
        <v>0</v>
      </c>
      <c r="Q38" s="227">
        <f>'[1]التعليم الابتدائي'!AEK377</f>
        <v>0</v>
      </c>
      <c r="R38" s="227"/>
      <c r="S38" s="227">
        <f>Q38+P38+O38+M38+N38+J38+K38+L38+I38+H38</f>
        <v>0</v>
      </c>
      <c r="T38" s="244"/>
      <c r="U38" s="31"/>
      <c r="V38" s="31"/>
      <c r="W38" s="31"/>
      <c r="X38" s="31"/>
    </row>
    <row r="39" spans="1:24" ht="24" thickTop="1" thickBot="1">
      <c r="B39" s="18" t="s">
        <v>122</v>
      </c>
      <c r="C39" s="20">
        <f>C37+C38</f>
        <v>359</v>
      </c>
      <c r="D39" s="20">
        <f>D37+D38</f>
        <v>0</v>
      </c>
      <c r="E39" s="20">
        <f>E37+E38</f>
        <v>0</v>
      </c>
      <c r="F39" s="20">
        <f>SUM(F37:F38)</f>
        <v>0</v>
      </c>
      <c r="G39" s="20">
        <f>E39+D39+C39+F39</f>
        <v>359</v>
      </c>
      <c r="H39" s="20">
        <f t="shared" ref="H39:Q39" si="1">H38+H37</f>
        <v>0</v>
      </c>
      <c r="I39" s="20">
        <f t="shared" si="1"/>
        <v>0</v>
      </c>
      <c r="J39" s="20">
        <f t="shared" si="1"/>
        <v>0</v>
      </c>
      <c r="K39" s="20">
        <f t="shared" si="1"/>
        <v>0</v>
      </c>
      <c r="L39" s="20">
        <f t="shared" si="1"/>
        <v>0</v>
      </c>
      <c r="M39" s="20">
        <f t="shared" si="1"/>
        <v>0</v>
      </c>
      <c r="N39" s="20">
        <f t="shared" si="1"/>
        <v>0</v>
      </c>
      <c r="O39" s="20">
        <f t="shared" si="1"/>
        <v>0</v>
      </c>
      <c r="P39" s="20">
        <f t="shared" si="1"/>
        <v>0</v>
      </c>
      <c r="Q39" s="229">
        <f t="shared" si="1"/>
        <v>0</v>
      </c>
      <c r="R39" s="229"/>
      <c r="S39" s="227">
        <f>S38+S37</f>
        <v>0</v>
      </c>
      <c r="T39" s="244"/>
      <c r="U39" s="31"/>
      <c r="V39" s="31"/>
      <c r="W39" s="31"/>
      <c r="X39" s="31"/>
    </row>
    <row r="40" spans="1:24" ht="23.4" thickTop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31"/>
    </row>
    <row r="41" spans="1:24">
      <c r="A41" s="28"/>
      <c r="B41" s="231" t="s">
        <v>166</v>
      </c>
      <c r="C41" s="231"/>
      <c r="D41" s="231"/>
      <c r="E41" s="231"/>
      <c r="F41" s="231"/>
      <c r="G41" s="231"/>
      <c r="H41" s="231"/>
      <c r="I41" s="231"/>
      <c r="J41" s="231"/>
      <c r="K41" s="231"/>
      <c r="L41" s="231"/>
      <c r="M41" s="231"/>
      <c r="N41" s="231"/>
      <c r="O41" s="231"/>
      <c r="P41" s="231"/>
      <c r="Q41" s="231"/>
      <c r="R41" s="231"/>
      <c r="S41" s="231"/>
      <c r="T41" s="28"/>
      <c r="U41" s="28"/>
      <c r="V41" s="28"/>
      <c r="W41" s="28"/>
    </row>
    <row r="42" spans="1:24">
      <c r="A42" s="28"/>
      <c r="B42" s="231" t="s">
        <v>208</v>
      </c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8"/>
      <c r="U42" s="28"/>
      <c r="V42" s="28"/>
      <c r="W42" s="28"/>
    </row>
    <row r="43" spans="1:24">
      <c r="A43" s="28"/>
      <c r="B43" s="231" t="s">
        <v>167</v>
      </c>
      <c r="C43" s="231"/>
      <c r="D43" s="231"/>
      <c r="E43" s="231"/>
      <c r="F43" s="231"/>
      <c r="G43" s="231"/>
      <c r="H43" s="231"/>
      <c r="I43" s="231"/>
      <c r="J43" s="231"/>
      <c r="K43" s="231"/>
      <c r="L43" s="231"/>
      <c r="M43" s="231"/>
      <c r="N43" s="231"/>
      <c r="O43" s="231"/>
      <c r="P43" s="231"/>
      <c r="Q43" s="231"/>
      <c r="R43" s="231"/>
      <c r="S43" s="231"/>
      <c r="T43" s="28"/>
      <c r="U43" s="28"/>
      <c r="V43" s="28"/>
      <c r="W43" s="28"/>
    </row>
    <row r="44" spans="1:24" ht="23.4" thickBo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</row>
    <row r="45" spans="1:24" ht="24" thickTop="1" thickBot="1">
      <c r="A45" s="232" t="s">
        <v>168</v>
      </c>
      <c r="B45" s="233"/>
      <c r="C45" s="233"/>
      <c r="D45" s="234" t="s">
        <v>169</v>
      </c>
      <c r="E45" s="235"/>
      <c r="F45" s="236"/>
      <c r="G45" s="234" t="s">
        <v>170</v>
      </c>
      <c r="H45" s="235"/>
      <c r="I45" s="236"/>
      <c r="J45" s="238" t="s">
        <v>171</v>
      </c>
      <c r="K45" s="238"/>
      <c r="L45" s="233" t="s">
        <v>172</v>
      </c>
      <c r="M45" s="233"/>
      <c r="N45" s="233"/>
      <c r="O45" s="233"/>
      <c r="P45" s="233"/>
      <c r="Q45" s="233"/>
      <c r="R45" s="239" t="s">
        <v>173</v>
      </c>
      <c r="S45" s="234" t="s">
        <v>174</v>
      </c>
      <c r="T45" s="235"/>
      <c r="U45" s="235"/>
      <c r="V45" s="259"/>
    </row>
    <row r="46" spans="1:24" ht="24" thickTop="1" thickBot="1">
      <c r="A46" s="226" t="s">
        <v>175</v>
      </c>
      <c r="B46" s="227"/>
      <c r="C46" s="220" t="s">
        <v>176</v>
      </c>
      <c r="D46" s="220" t="s">
        <v>177</v>
      </c>
      <c r="E46" s="220" t="s">
        <v>178</v>
      </c>
      <c r="F46" s="220" t="s">
        <v>210</v>
      </c>
      <c r="G46" s="220" t="s">
        <v>180</v>
      </c>
      <c r="H46" s="220" t="s">
        <v>181</v>
      </c>
      <c r="I46" s="220" t="s">
        <v>182</v>
      </c>
      <c r="J46" s="220" t="s">
        <v>183</v>
      </c>
      <c r="K46" s="220" t="s">
        <v>184</v>
      </c>
      <c r="L46" s="220" t="s">
        <v>185</v>
      </c>
      <c r="M46" s="220" t="s">
        <v>186</v>
      </c>
      <c r="N46" s="220" t="s">
        <v>211</v>
      </c>
      <c r="O46" s="220" t="s">
        <v>188</v>
      </c>
      <c r="P46" s="220" t="s">
        <v>189</v>
      </c>
      <c r="Q46" s="220" t="s">
        <v>190</v>
      </c>
      <c r="R46" s="220"/>
      <c r="S46" s="211" t="s">
        <v>191</v>
      </c>
      <c r="T46" s="211" t="s">
        <v>192</v>
      </c>
      <c r="U46" s="211" t="s">
        <v>193</v>
      </c>
      <c r="V46" s="213" t="s">
        <v>212</v>
      </c>
    </row>
    <row r="47" spans="1:24" ht="46.8" thickTop="1" thickBot="1">
      <c r="A47" s="17" t="s">
        <v>195</v>
      </c>
      <c r="B47" s="16" t="s">
        <v>196</v>
      </c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12"/>
      <c r="T47" s="212"/>
      <c r="U47" s="212"/>
      <c r="V47" s="214"/>
    </row>
    <row r="48" spans="1:24" ht="24" thickTop="1" thickBot="1">
      <c r="A48" s="18">
        <f>'[1]التعليم الابتدائي'!ALH377</f>
        <v>1</v>
      </c>
      <c r="B48" s="20">
        <f>'[1]التعليم الابتدائي'!ALI377</f>
        <v>221</v>
      </c>
      <c r="C48" s="20">
        <f>'[1]التعليم الابتدائي'!ALJ377</f>
        <v>0</v>
      </c>
      <c r="D48" s="20">
        <f>'[1]التعليم الابتدائي'!ALE377</f>
        <v>78</v>
      </c>
      <c r="E48" s="21">
        <f>'[1]التعليم الابتدائي'!ALF377</f>
        <v>134</v>
      </c>
      <c r="F48" s="20">
        <f>'[1]التعليم الابتدائي'!ALG377</f>
        <v>10</v>
      </c>
      <c r="G48" s="20">
        <f>'[1]التعليم الابتدائي'!ALK377</f>
        <v>110</v>
      </c>
      <c r="H48" s="21">
        <f>'[1]التعليم الابتدائي'!ALL377</f>
        <v>102</v>
      </c>
      <c r="I48" s="20">
        <f>'[1]التعليم الابتدائي'!ALM377</f>
        <v>10</v>
      </c>
      <c r="J48" s="20">
        <f>'[1]التعليم الابتدائي'!AIS377</f>
        <v>222</v>
      </c>
      <c r="K48" s="20">
        <f>'[1]التعليم الابتدائي'!AIT377</f>
        <v>0</v>
      </c>
      <c r="L48" s="20">
        <f>'[1]التعليم الابتدائي'!AJN377</f>
        <v>201</v>
      </c>
      <c r="M48" s="20">
        <f>'[1]التعليم الابتدائي'!AJP377</f>
        <v>0</v>
      </c>
      <c r="N48" s="20">
        <f>'[1]التعليم الابتدائي'!AJQ377</f>
        <v>0</v>
      </c>
      <c r="O48" s="20">
        <f>'[1]التعليم الابتدائي'!AJR377</f>
        <v>6</v>
      </c>
      <c r="P48" s="20">
        <f>'[1]التعليم الابتدائي'!AJS377</f>
        <v>15</v>
      </c>
      <c r="Q48" s="20">
        <f>'[1]التعليم الابتدائي'!AJT377</f>
        <v>0</v>
      </c>
      <c r="R48" s="20">
        <f>Q48+P48+O48+N48+L48</f>
        <v>222</v>
      </c>
      <c r="S48" s="20">
        <f>'[1]التعليم الابتدائي'!AJU377</f>
        <v>222</v>
      </c>
      <c r="T48" s="20">
        <f>'[1]التعليم الابتدائي'!AKA377</f>
        <v>222</v>
      </c>
      <c r="U48" s="20">
        <f>'[1]التعليم الابتدائي'!AKH377</f>
        <v>222</v>
      </c>
      <c r="V48" s="33">
        <f>'[1]التعليم الابتدائي'!AKL377</f>
        <v>221</v>
      </c>
    </row>
    <row r="49" spans="1:24" ht="23.4" thickTop="1"/>
    <row r="50" spans="1:24" ht="23.4" thickBot="1">
      <c r="B50" s="23"/>
      <c r="C50" s="23"/>
      <c r="D50" s="23"/>
      <c r="E50" s="23"/>
      <c r="G50" s="34" t="s">
        <v>197</v>
      </c>
    </row>
    <row r="51" spans="1:24" ht="24" thickTop="1" thickBot="1">
      <c r="B51" s="215" t="s">
        <v>198</v>
      </c>
      <c r="C51" s="216"/>
      <c r="D51" s="216"/>
      <c r="E51" s="216"/>
      <c r="F51" s="216"/>
      <c r="G51" s="216"/>
      <c r="H51" s="216"/>
      <c r="I51" s="217"/>
      <c r="J51" s="218" t="s">
        <v>199</v>
      </c>
      <c r="K51" s="216"/>
      <c r="L51" s="216"/>
      <c r="M51" s="216"/>
      <c r="N51" s="216"/>
      <c r="O51" s="216"/>
      <c r="P51" s="216"/>
      <c r="Q51" s="216"/>
      <c r="R51" s="216"/>
      <c r="S51" s="216"/>
      <c r="T51" s="216"/>
      <c r="U51" s="219"/>
    </row>
    <row r="52" spans="1:24" ht="24" thickTop="1" thickBot="1">
      <c r="B52" s="210" t="s">
        <v>200</v>
      </c>
      <c r="C52" s="207"/>
      <c r="D52" s="206" t="s">
        <v>201</v>
      </c>
      <c r="E52" s="207"/>
      <c r="F52" s="206" t="s">
        <v>202</v>
      </c>
      <c r="G52" s="207"/>
      <c r="H52" s="206" t="s">
        <v>58</v>
      </c>
      <c r="I52" s="207"/>
      <c r="J52" s="206" t="s">
        <v>203</v>
      </c>
      <c r="K52" s="207"/>
      <c r="L52" s="206" t="s">
        <v>204</v>
      </c>
      <c r="M52" s="207"/>
      <c r="N52" s="206" t="s">
        <v>205</v>
      </c>
      <c r="O52" s="207"/>
      <c r="P52" s="206" t="s">
        <v>206</v>
      </c>
      <c r="Q52" s="207"/>
      <c r="R52" s="206" t="s">
        <v>207</v>
      </c>
      <c r="S52" s="207"/>
      <c r="T52" s="206" t="s">
        <v>58</v>
      </c>
      <c r="U52" s="208"/>
    </row>
    <row r="53" spans="1:24" ht="24" thickTop="1" thickBot="1">
      <c r="B53" s="209">
        <f>'[1]التعليم الابتدائي'!AIZ377</f>
        <v>74</v>
      </c>
      <c r="C53" s="204"/>
      <c r="D53" s="203">
        <f>'[1]التعليم الابتدائي'!AJA377</f>
        <v>141</v>
      </c>
      <c r="E53" s="204"/>
      <c r="F53" s="203">
        <f>'[1]التعليم الابتدائي'!AJB377</f>
        <v>7</v>
      </c>
      <c r="G53" s="204"/>
      <c r="H53" s="203">
        <f>F53+D53+B53</f>
        <v>222</v>
      </c>
      <c r="I53" s="204"/>
      <c r="J53" s="203">
        <f>'[1]التعليم الابتدائي'!AJF377</f>
        <v>12</v>
      </c>
      <c r="K53" s="204"/>
      <c r="L53" s="203">
        <f>'[1]التعليم الابتدائي'!AJG377</f>
        <v>15</v>
      </c>
      <c r="M53" s="204"/>
      <c r="N53" s="203">
        <f>'[1]التعليم الابتدائي'!AJH377</f>
        <v>103</v>
      </c>
      <c r="O53" s="204"/>
      <c r="P53" s="203">
        <f>'[1]التعليم الابتدائي'!AJI377</f>
        <v>68</v>
      </c>
      <c r="Q53" s="204"/>
      <c r="R53" s="203">
        <f>'[1]التعليم الابتدائي'!AJJ377</f>
        <v>24</v>
      </c>
      <c r="S53" s="204"/>
      <c r="T53" s="203">
        <f>R53+P53+N53+L53+J53</f>
        <v>222</v>
      </c>
      <c r="U53" s="205"/>
    </row>
    <row r="54" spans="1:24" ht="23.4" thickTop="1"/>
    <row r="55" spans="1:24">
      <c r="A55" s="231" t="s">
        <v>62</v>
      </c>
      <c r="B55" s="231"/>
      <c r="C55" s="231"/>
      <c r="D55" s="231"/>
      <c r="E55" s="231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31" t="s">
        <v>5</v>
      </c>
      <c r="Q55" s="231"/>
      <c r="R55" s="231"/>
      <c r="S55" s="28"/>
      <c r="T55" s="28"/>
      <c r="U55" s="28"/>
      <c r="V55" s="28"/>
      <c r="W55" s="28"/>
    </row>
    <row r="56" spans="1:24">
      <c r="A56" s="231" t="s">
        <v>64</v>
      </c>
      <c r="B56" s="231"/>
      <c r="C56" s="231"/>
      <c r="D56" s="231"/>
      <c r="E56" s="231"/>
      <c r="F56" s="28"/>
      <c r="G56" s="28"/>
      <c r="H56" s="28"/>
      <c r="I56" s="28"/>
      <c r="J56" s="28"/>
      <c r="K56" s="28"/>
      <c r="L56" s="28"/>
      <c r="M56" s="28"/>
      <c r="N56" s="28"/>
      <c r="O56" s="28"/>
      <c r="Q56" s="29" t="s">
        <v>65</v>
      </c>
      <c r="R56" s="29"/>
      <c r="S56" s="28"/>
      <c r="T56" s="28"/>
      <c r="U56" s="28"/>
      <c r="V56" s="28"/>
      <c r="W56" s="28"/>
    </row>
    <row r="57" spans="1:24">
      <c r="A57" s="28"/>
      <c r="B57" s="231" t="s">
        <v>143</v>
      </c>
      <c r="C57" s="231"/>
      <c r="D57" s="231"/>
      <c r="E57" s="231"/>
      <c r="F57" s="231"/>
      <c r="G57" s="231"/>
      <c r="H57" s="231"/>
      <c r="I57" s="231"/>
      <c r="J57" s="231"/>
      <c r="K57" s="231"/>
      <c r="L57" s="231"/>
      <c r="M57" s="231"/>
      <c r="N57" s="231"/>
      <c r="O57" s="231"/>
      <c r="P57" s="231"/>
      <c r="Q57" s="231"/>
      <c r="R57" s="231"/>
      <c r="S57" s="231"/>
      <c r="T57" s="28"/>
      <c r="U57" s="28"/>
      <c r="V57" s="28"/>
      <c r="W57" s="28"/>
    </row>
    <row r="58" spans="1:24">
      <c r="A58" s="28"/>
      <c r="B58" s="231" t="s">
        <v>144</v>
      </c>
      <c r="C58" s="231"/>
      <c r="D58" s="231"/>
      <c r="E58" s="231"/>
      <c r="F58" s="231"/>
      <c r="G58" s="231"/>
      <c r="H58" s="231"/>
      <c r="I58" s="231"/>
      <c r="J58" s="231"/>
      <c r="K58" s="231"/>
      <c r="L58" s="231"/>
      <c r="M58" s="231"/>
      <c r="N58" s="231"/>
      <c r="O58" s="231"/>
      <c r="P58" s="231"/>
      <c r="Q58" s="231"/>
      <c r="R58" s="231"/>
      <c r="S58" s="231"/>
      <c r="T58" s="28"/>
      <c r="U58" s="28"/>
      <c r="V58" s="28"/>
      <c r="W58" s="28"/>
    </row>
    <row r="59" spans="1:24" ht="23.4" thickBo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</row>
    <row r="60" spans="1:24" ht="24" thickTop="1" thickBot="1">
      <c r="B60" s="245" t="s">
        <v>145</v>
      </c>
      <c r="C60" s="233" t="s">
        <v>146</v>
      </c>
      <c r="D60" s="233"/>
      <c r="E60" s="233"/>
      <c r="F60" s="233"/>
      <c r="G60" s="233"/>
      <c r="H60" s="234" t="s">
        <v>147</v>
      </c>
      <c r="I60" s="235"/>
      <c r="J60" s="235"/>
      <c r="K60" s="235"/>
      <c r="L60" s="235"/>
      <c r="M60" s="235"/>
      <c r="N60" s="235"/>
      <c r="O60" s="235"/>
      <c r="P60" s="235"/>
      <c r="Q60" s="235"/>
      <c r="R60" s="236"/>
      <c r="S60" s="251" t="s">
        <v>58</v>
      </c>
      <c r="T60" s="252"/>
      <c r="W60" s="31"/>
      <c r="X60" s="31"/>
    </row>
    <row r="61" spans="1:24" ht="24" thickTop="1" thickBot="1">
      <c r="B61" s="246"/>
      <c r="C61" s="227"/>
      <c r="D61" s="227"/>
      <c r="E61" s="227"/>
      <c r="F61" s="227"/>
      <c r="G61" s="227"/>
      <c r="H61" s="248" t="s">
        <v>148</v>
      </c>
      <c r="I61" s="248" t="s">
        <v>149</v>
      </c>
      <c r="J61" s="248" t="s">
        <v>213</v>
      </c>
      <c r="K61" s="240" t="s">
        <v>214</v>
      </c>
      <c r="L61" s="227" t="s">
        <v>152</v>
      </c>
      <c r="M61" s="227"/>
      <c r="N61" s="227" t="s">
        <v>153</v>
      </c>
      <c r="O61" s="227"/>
      <c r="P61" s="227"/>
      <c r="Q61" s="227" t="s">
        <v>154</v>
      </c>
      <c r="R61" s="227"/>
      <c r="S61" s="253"/>
      <c r="T61" s="254"/>
      <c r="U61" s="31"/>
      <c r="V61" s="31"/>
      <c r="W61" s="31"/>
      <c r="X61" s="31"/>
    </row>
    <row r="62" spans="1:24" ht="46.8" thickTop="1" thickBot="1">
      <c r="B62" s="246"/>
      <c r="C62" s="15" t="s">
        <v>155</v>
      </c>
      <c r="D62" s="15" t="s">
        <v>156</v>
      </c>
      <c r="E62" s="15" t="s">
        <v>157</v>
      </c>
      <c r="F62" s="15" t="s">
        <v>158</v>
      </c>
      <c r="G62" s="15" t="s">
        <v>58</v>
      </c>
      <c r="H62" s="248"/>
      <c r="I62" s="248"/>
      <c r="J62" s="248"/>
      <c r="K62" s="241"/>
      <c r="L62" s="15" t="s">
        <v>209</v>
      </c>
      <c r="M62" s="16" t="s">
        <v>160</v>
      </c>
      <c r="N62" s="15" t="s">
        <v>161</v>
      </c>
      <c r="O62" s="15" t="s">
        <v>162</v>
      </c>
      <c r="P62" s="15" t="s">
        <v>163</v>
      </c>
      <c r="Q62" s="227"/>
      <c r="R62" s="227"/>
      <c r="S62" s="255"/>
      <c r="T62" s="256"/>
      <c r="U62" s="31"/>
      <c r="V62" s="31"/>
      <c r="W62" s="31"/>
      <c r="X62" s="31"/>
    </row>
    <row r="63" spans="1:24" ht="24" thickTop="1" thickBot="1">
      <c r="B63" s="17" t="s">
        <v>164</v>
      </c>
      <c r="C63" s="15">
        <f>'[1]التعليم الابتدائي'!IY295</f>
        <v>139</v>
      </c>
      <c r="D63" s="15">
        <f>'[1]التعليم الابتدائي'!JA295</f>
        <v>0</v>
      </c>
      <c r="E63" s="15">
        <f>'[1]التعليم الابتدائي'!JC295</f>
        <v>0</v>
      </c>
      <c r="F63" s="15">
        <f>'[1]التعليم الابتدائي'!JE295</f>
        <v>0</v>
      </c>
      <c r="G63" s="15">
        <f>E63+D63+C63+F63</f>
        <v>139</v>
      </c>
      <c r="H63" s="15">
        <f>'[1]التعليم الابتدائي'!ADR295</f>
        <v>0</v>
      </c>
      <c r="I63" s="15">
        <f>'[1]التعليم الابتدائي'!ADT295</f>
        <v>0</v>
      </c>
      <c r="J63" s="15">
        <f>'[1]التعليم الابتدائي'!ADX295</f>
        <v>0</v>
      </c>
      <c r="K63" s="15">
        <f>'[1]التعليم الابتدائي'!ADV295</f>
        <v>0</v>
      </c>
      <c r="L63" s="15">
        <f>'[1]التعليم الابتدائي'!ADZ295</f>
        <v>0</v>
      </c>
      <c r="M63" s="15">
        <f>'[1]التعليم الابتدائي'!AEB295</f>
        <v>0</v>
      </c>
      <c r="N63" s="15">
        <f>'[1]التعليم الابتدائي'!AED295</f>
        <v>0</v>
      </c>
      <c r="O63" s="15">
        <f>'[1]التعليم الابتدائي'!AEF295</f>
        <v>0</v>
      </c>
      <c r="P63" s="15">
        <f>'[1]التعليم الابتدائي'!AEH295</f>
        <v>0</v>
      </c>
      <c r="Q63" s="227">
        <f>'[1]التعليم الابتدائي'!AEJ295</f>
        <v>0</v>
      </c>
      <c r="R63" s="227"/>
      <c r="S63" s="227">
        <f>Q63+P63+O63+M63+N63+J63+K63+L63+I63+H63</f>
        <v>0</v>
      </c>
      <c r="T63" s="244"/>
      <c r="U63" s="31"/>
      <c r="V63" s="31"/>
      <c r="W63" s="31"/>
      <c r="X63" s="31"/>
    </row>
    <row r="64" spans="1:24" ht="24" thickTop="1" thickBot="1">
      <c r="B64" s="17" t="s">
        <v>165</v>
      </c>
      <c r="C64" s="15">
        <f>'[1]التعليم الابتدائي'!IZ295</f>
        <v>144</v>
      </c>
      <c r="D64" s="15">
        <f>'[1]التعليم الابتدائي'!JB295</f>
        <v>0</v>
      </c>
      <c r="E64" s="15">
        <f>'[1]التعليم الابتدائي'!JD295</f>
        <v>0</v>
      </c>
      <c r="F64" s="15">
        <f>'[1]التعليم الابتدائي'!JF295</f>
        <v>0</v>
      </c>
      <c r="G64" s="15">
        <f>E64+D64+C64+F64</f>
        <v>144</v>
      </c>
      <c r="H64" s="15">
        <f>'[1]التعليم الابتدائي'!ADS295</f>
        <v>0</v>
      </c>
      <c r="I64" s="15">
        <f>'[1]التعليم الابتدائي'!ADU295</f>
        <v>0</v>
      </c>
      <c r="J64" s="15">
        <f>'[1]التعليم الابتدائي'!ADY295</f>
        <v>0</v>
      </c>
      <c r="K64" s="15">
        <f>'[1]التعليم الابتدائي'!ADW295</f>
        <v>0</v>
      </c>
      <c r="L64" s="15">
        <f>'[1]التعليم الابتدائي'!AEA295</f>
        <v>0</v>
      </c>
      <c r="M64" s="15">
        <f>'[1]التعليم الابتدائي'!AEC295</f>
        <v>0</v>
      </c>
      <c r="N64" s="15">
        <f>'[1]التعليم الابتدائي'!AEE295</f>
        <v>0</v>
      </c>
      <c r="O64" s="15">
        <f>'[1]التعليم الابتدائي'!AEG295</f>
        <v>0</v>
      </c>
      <c r="P64" s="15">
        <f>'[1]التعليم الابتدائي'!AEI295</f>
        <v>0</v>
      </c>
      <c r="Q64" s="227">
        <f>'[1]التعليم الابتدائي'!AEK295</f>
        <v>0</v>
      </c>
      <c r="R64" s="227"/>
      <c r="S64" s="227">
        <f>Q64+P64+O64+M64+N64+J64+K64+L64+I64+H64</f>
        <v>0</v>
      </c>
      <c r="T64" s="244"/>
      <c r="U64" s="31"/>
      <c r="V64" s="31"/>
      <c r="W64" s="31"/>
      <c r="X64" s="31"/>
    </row>
    <row r="65" spans="1:24" ht="24" thickTop="1" thickBot="1">
      <c r="B65" s="18" t="s">
        <v>122</v>
      </c>
      <c r="C65" s="20">
        <f>C63+C64</f>
        <v>283</v>
      </c>
      <c r="D65" s="20">
        <f>D63+D64</f>
        <v>0</v>
      </c>
      <c r="E65" s="20">
        <f>E63+E64</f>
        <v>0</v>
      </c>
      <c r="F65" s="20">
        <f>SUM(F63:F64)</f>
        <v>0</v>
      </c>
      <c r="G65" s="20">
        <f>E65+D65+C65+F65</f>
        <v>283</v>
      </c>
      <c r="H65" s="20">
        <f t="shared" ref="H65:Q65" si="2">H64+H63</f>
        <v>0</v>
      </c>
      <c r="I65" s="20">
        <f t="shared" si="2"/>
        <v>0</v>
      </c>
      <c r="J65" s="20">
        <f t="shared" si="2"/>
        <v>0</v>
      </c>
      <c r="K65" s="20">
        <f t="shared" si="2"/>
        <v>0</v>
      </c>
      <c r="L65" s="20">
        <f t="shared" si="2"/>
        <v>0</v>
      </c>
      <c r="M65" s="20">
        <f t="shared" si="2"/>
        <v>0</v>
      </c>
      <c r="N65" s="20">
        <f t="shared" si="2"/>
        <v>0</v>
      </c>
      <c r="O65" s="20">
        <f t="shared" si="2"/>
        <v>0</v>
      </c>
      <c r="P65" s="20">
        <f t="shared" si="2"/>
        <v>0</v>
      </c>
      <c r="Q65" s="229">
        <f t="shared" si="2"/>
        <v>0</v>
      </c>
      <c r="R65" s="229"/>
      <c r="S65" s="229">
        <f>S64+S63</f>
        <v>0</v>
      </c>
      <c r="T65" s="230"/>
      <c r="U65" s="31"/>
      <c r="V65" s="31"/>
      <c r="W65" s="31"/>
      <c r="X65" s="31"/>
    </row>
    <row r="66" spans="1:24" ht="23.4" thickTop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31"/>
    </row>
    <row r="67" spans="1:24">
      <c r="A67" s="28"/>
      <c r="B67" s="231" t="s">
        <v>166</v>
      </c>
      <c r="C67" s="231"/>
      <c r="D67" s="231"/>
      <c r="E67" s="231"/>
      <c r="F67" s="231"/>
      <c r="G67" s="231"/>
      <c r="H67" s="231"/>
      <c r="I67" s="231"/>
      <c r="J67" s="231"/>
      <c r="K67" s="231"/>
      <c r="L67" s="231"/>
      <c r="M67" s="231"/>
      <c r="N67" s="231"/>
      <c r="O67" s="231"/>
      <c r="P67" s="231"/>
      <c r="Q67" s="231"/>
      <c r="R67" s="231"/>
      <c r="S67" s="231"/>
      <c r="T67" s="28"/>
      <c r="U67" s="28"/>
      <c r="V67" s="28"/>
      <c r="W67" s="28"/>
    </row>
    <row r="68" spans="1:24">
      <c r="A68" s="28"/>
      <c r="B68" s="231" t="s">
        <v>208</v>
      </c>
      <c r="C68" s="231"/>
      <c r="D68" s="231"/>
      <c r="E68" s="231"/>
      <c r="F68" s="231"/>
      <c r="G68" s="231"/>
      <c r="H68" s="231"/>
      <c r="I68" s="231"/>
      <c r="J68" s="231"/>
      <c r="K68" s="231"/>
      <c r="L68" s="231"/>
      <c r="M68" s="231"/>
      <c r="N68" s="231"/>
      <c r="O68" s="231"/>
      <c r="P68" s="231"/>
      <c r="Q68" s="231"/>
      <c r="R68" s="231"/>
      <c r="S68" s="231"/>
      <c r="T68" s="28"/>
      <c r="U68" s="28"/>
      <c r="V68" s="28"/>
      <c r="W68" s="28"/>
    </row>
    <row r="69" spans="1:24">
      <c r="A69" s="28"/>
      <c r="B69" s="231" t="s">
        <v>167</v>
      </c>
      <c r="C69" s="231"/>
      <c r="D69" s="231"/>
      <c r="E69" s="231"/>
      <c r="F69" s="231"/>
      <c r="G69" s="231"/>
      <c r="H69" s="231"/>
      <c r="I69" s="231"/>
      <c r="J69" s="231"/>
      <c r="K69" s="231"/>
      <c r="L69" s="231"/>
      <c r="M69" s="231"/>
      <c r="N69" s="231"/>
      <c r="O69" s="231"/>
      <c r="P69" s="231"/>
      <c r="Q69" s="231"/>
      <c r="R69" s="231"/>
      <c r="S69" s="231"/>
      <c r="T69" s="28"/>
      <c r="U69" s="28"/>
      <c r="V69" s="28"/>
      <c r="W69" s="28"/>
    </row>
    <row r="70" spans="1:24" ht="23.4" thickBo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</row>
    <row r="71" spans="1:24" ht="24" thickTop="1" thickBot="1">
      <c r="A71" s="232" t="s">
        <v>168</v>
      </c>
      <c r="B71" s="233"/>
      <c r="C71" s="233"/>
      <c r="D71" s="234" t="s">
        <v>169</v>
      </c>
      <c r="E71" s="235"/>
      <c r="F71" s="236"/>
      <c r="G71" s="223" t="s">
        <v>170</v>
      </c>
      <c r="H71" s="224"/>
      <c r="I71" s="237"/>
      <c r="J71" s="238" t="s">
        <v>171</v>
      </c>
      <c r="K71" s="238"/>
      <c r="L71" s="233" t="s">
        <v>172</v>
      </c>
      <c r="M71" s="233"/>
      <c r="N71" s="233"/>
      <c r="O71" s="233"/>
      <c r="P71" s="233"/>
      <c r="Q71" s="233"/>
      <c r="R71" s="239" t="s">
        <v>173</v>
      </c>
      <c r="S71" s="234" t="s">
        <v>174</v>
      </c>
      <c r="T71" s="235"/>
      <c r="U71" s="235"/>
      <c r="V71" s="259"/>
    </row>
    <row r="72" spans="1:24" ht="24" thickTop="1" thickBot="1">
      <c r="A72" s="226" t="s">
        <v>175</v>
      </c>
      <c r="B72" s="227"/>
      <c r="C72" s="221" t="s">
        <v>176</v>
      </c>
      <c r="D72" s="211" t="s">
        <v>177</v>
      </c>
      <c r="E72" s="211" t="s">
        <v>178</v>
      </c>
      <c r="F72" s="211" t="s">
        <v>210</v>
      </c>
      <c r="G72" s="221" t="s">
        <v>180</v>
      </c>
      <c r="H72" s="221" t="s">
        <v>181</v>
      </c>
      <c r="I72" s="211" t="s">
        <v>182</v>
      </c>
      <c r="J72" s="221" t="s">
        <v>183</v>
      </c>
      <c r="K72" s="211" t="s">
        <v>184</v>
      </c>
      <c r="L72" s="211" t="s">
        <v>185</v>
      </c>
      <c r="M72" s="221" t="s">
        <v>186</v>
      </c>
      <c r="N72" s="221" t="s">
        <v>211</v>
      </c>
      <c r="O72" s="211" t="s">
        <v>188</v>
      </c>
      <c r="P72" s="211" t="s">
        <v>189</v>
      </c>
      <c r="Q72" s="221" t="s">
        <v>190</v>
      </c>
      <c r="R72" s="220"/>
      <c r="S72" s="211" t="s">
        <v>191</v>
      </c>
      <c r="T72" s="211" t="s">
        <v>192</v>
      </c>
      <c r="U72" s="211" t="s">
        <v>193</v>
      </c>
      <c r="V72" s="213" t="s">
        <v>212</v>
      </c>
    </row>
    <row r="73" spans="1:24" ht="46.8" thickTop="1" thickBot="1">
      <c r="A73" s="17" t="s">
        <v>195</v>
      </c>
      <c r="B73" s="16" t="s">
        <v>196</v>
      </c>
      <c r="C73" s="222"/>
      <c r="D73" s="212"/>
      <c r="E73" s="212"/>
      <c r="F73" s="212"/>
      <c r="G73" s="222"/>
      <c r="H73" s="222"/>
      <c r="I73" s="212"/>
      <c r="J73" s="222"/>
      <c r="K73" s="212"/>
      <c r="L73" s="212"/>
      <c r="M73" s="222"/>
      <c r="N73" s="222"/>
      <c r="O73" s="212"/>
      <c r="P73" s="212"/>
      <c r="Q73" s="222"/>
      <c r="R73" s="220"/>
      <c r="S73" s="212"/>
      <c r="T73" s="212"/>
      <c r="U73" s="212"/>
      <c r="V73" s="214"/>
    </row>
    <row r="74" spans="1:24" ht="24" thickTop="1" thickBot="1">
      <c r="A74" s="18">
        <f>'[1]التعليم الابتدائي'!ALH295</f>
        <v>1</v>
      </c>
      <c r="B74" s="20">
        <f>'[1]التعليم الابتدائي'!ALI295</f>
        <v>165</v>
      </c>
      <c r="C74" s="20">
        <f>'[1]التعليم الابتدائي'!ALJ295</f>
        <v>0</v>
      </c>
      <c r="D74" s="20">
        <f>'[1]التعليم الابتدائي'!ALE295</f>
        <v>47</v>
      </c>
      <c r="E74" s="21">
        <f>'[1]التعليم الابتدائي'!ALF295</f>
        <v>113</v>
      </c>
      <c r="F74" s="20">
        <f>'[1]التعليم الابتدائي'!ALG295</f>
        <v>6</v>
      </c>
      <c r="G74" s="20">
        <f>'[1]التعليم الابتدائي'!ALK295</f>
        <v>84</v>
      </c>
      <c r="H74" s="20">
        <f>'[1]التعليم الابتدائي'!ALL295</f>
        <v>77</v>
      </c>
      <c r="I74" s="20">
        <f>'[1]التعليم الابتدائي'!ALM295</f>
        <v>4</v>
      </c>
      <c r="J74" s="20">
        <f>'[1]التعليم الابتدائي'!AIS295</f>
        <v>166</v>
      </c>
      <c r="K74" s="20">
        <f>'[1]التعليم الابتدائي'!AIT295</f>
        <v>0</v>
      </c>
      <c r="L74" s="20">
        <f>'[1]التعليم الابتدائي'!AJN295</f>
        <v>158</v>
      </c>
      <c r="M74" s="20"/>
      <c r="N74" s="20">
        <f>'[1]التعليم الابتدائي'!AJP295</f>
        <v>0</v>
      </c>
      <c r="O74" s="20">
        <f>'[1]التعليم الابتدائي'!AJQ295</f>
        <v>0</v>
      </c>
      <c r="P74" s="20">
        <f>'[1]التعليم الابتدائي'!AJS295</f>
        <v>2</v>
      </c>
      <c r="Q74" s="20">
        <f>'[1]التعليم الابتدائي'!AJT295</f>
        <v>0</v>
      </c>
      <c r="R74" s="20">
        <f>Q74+P74+O74+N74+L74</f>
        <v>160</v>
      </c>
      <c r="S74" s="20">
        <f>'[1]التعليم الابتدائي'!AJU295</f>
        <v>166</v>
      </c>
      <c r="T74" s="20">
        <f>'[1]التعليم الابتدائي'!AKA295</f>
        <v>166</v>
      </c>
      <c r="U74" s="20">
        <f>'[1]التعليم الابتدائي'!AKH295</f>
        <v>166</v>
      </c>
      <c r="V74" s="33">
        <f>'[1]التعليم الابتدائي'!AKL295</f>
        <v>166</v>
      </c>
    </row>
    <row r="75" spans="1:24" ht="23.4" thickTop="1"/>
    <row r="76" spans="1:24" ht="23.4" thickBot="1">
      <c r="B76" s="23"/>
      <c r="C76" s="23"/>
      <c r="D76" s="23"/>
      <c r="E76" s="23"/>
      <c r="G76" s="34" t="s">
        <v>197</v>
      </c>
    </row>
    <row r="77" spans="1:24" ht="24" thickTop="1" thickBot="1">
      <c r="B77" s="215" t="s">
        <v>198</v>
      </c>
      <c r="C77" s="216"/>
      <c r="D77" s="216"/>
      <c r="E77" s="216"/>
      <c r="F77" s="216"/>
      <c r="G77" s="216"/>
      <c r="H77" s="216"/>
      <c r="I77" s="217"/>
      <c r="J77" s="218" t="s">
        <v>199</v>
      </c>
      <c r="K77" s="216"/>
      <c r="L77" s="216"/>
      <c r="M77" s="216"/>
      <c r="N77" s="216"/>
      <c r="O77" s="216"/>
      <c r="P77" s="216"/>
      <c r="Q77" s="216"/>
      <c r="R77" s="216"/>
      <c r="S77" s="216"/>
      <c r="T77" s="216"/>
      <c r="U77" s="219"/>
    </row>
    <row r="78" spans="1:24" ht="24" thickTop="1" thickBot="1">
      <c r="B78" s="210" t="s">
        <v>200</v>
      </c>
      <c r="C78" s="207"/>
      <c r="D78" s="206" t="s">
        <v>201</v>
      </c>
      <c r="E78" s="207"/>
      <c r="F78" s="206" t="s">
        <v>202</v>
      </c>
      <c r="G78" s="207"/>
      <c r="H78" s="206" t="s">
        <v>58</v>
      </c>
      <c r="I78" s="207"/>
      <c r="J78" s="206" t="s">
        <v>203</v>
      </c>
      <c r="K78" s="207"/>
      <c r="L78" s="206" t="s">
        <v>204</v>
      </c>
      <c r="M78" s="207"/>
      <c r="N78" s="206" t="s">
        <v>205</v>
      </c>
      <c r="O78" s="207"/>
      <c r="P78" s="206" t="s">
        <v>206</v>
      </c>
      <c r="Q78" s="207"/>
      <c r="R78" s="206" t="s">
        <v>207</v>
      </c>
      <c r="S78" s="207"/>
      <c r="T78" s="206" t="s">
        <v>58</v>
      </c>
      <c r="U78" s="208"/>
    </row>
    <row r="79" spans="1:24" ht="24" thickTop="1" thickBot="1">
      <c r="B79" s="209">
        <f>'[1]التعليم الابتدائي'!AIZ295</f>
        <v>38</v>
      </c>
      <c r="C79" s="204"/>
      <c r="D79" s="203">
        <f>'[1]التعليم الابتدائي'!AJA295</f>
        <v>123</v>
      </c>
      <c r="E79" s="204"/>
      <c r="F79" s="203">
        <f>'[1]التعليم الابتدائي'!AJB295</f>
        <v>5</v>
      </c>
      <c r="G79" s="204"/>
      <c r="H79" s="203">
        <f>F79+D79+B79</f>
        <v>166</v>
      </c>
      <c r="I79" s="204"/>
      <c r="J79" s="203">
        <f>'[1]التعليم الابتدائي'!AJF295</f>
        <v>0</v>
      </c>
      <c r="K79" s="204"/>
      <c r="L79" s="203">
        <f>'[1]التعليم الابتدائي'!AJG295</f>
        <v>8</v>
      </c>
      <c r="M79" s="204"/>
      <c r="N79" s="203">
        <f>'[1]التعليم الابتدائي'!AJH295</f>
        <v>76</v>
      </c>
      <c r="O79" s="204"/>
      <c r="P79" s="203">
        <f>'[1]التعليم الابتدائي'!AJI295</f>
        <v>58</v>
      </c>
      <c r="Q79" s="204"/>
      <c r="R79" s="203">
        <f>'[1]التعليم الابتدائي'!AJJ295</f>
        <v>24</v>
      </c>
      <c r="S79" s="204"/>
      <c r="T79" s="203">
        <f>R79+P79+N79+L79+J79</f>
        <v>166</v>
      </c>
      <c r="U79" s="205"/>
    </row>
    <row r="80" spans="1:24" ht="23.4" thickTop="1"/>
    <row r="81" spans="1:24">
      <c r="A81" s="231" t="s">
        <v>62</v>
      </c>
      <c r="B81" s="231"/>
      <c r="C81" s="231"/>
      <c r="D81" s="231"/>
      <c r="E81" s="231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31" t="s">
        <v>86</v>
      </c>
      <c r="S81" s="231"/>
      <c r="T81" s="231"/>
      <c r="U81" s="28"/>
      <c r="V81" s="28"/>
      <c r="W81" s="28"/>
    </row>
    <row r="82" spans="1:24">
      <c r="A82" s="231" t="s">
        <v>64</v>
      </c>
      <c r="B82" s="231"/>
      <c r="C82" s="231"/>
      <c r="D82" s="231"/>
      <c r="E82" s="231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31" t="s">
        <v>65</v>
      </c>
      <c r="S82" s="231"/>
      <c r="T82" s="231"/>
      <c r="U82" s="28"/>
      <c r="V82" s="28"/>
      <c r="W82" s="28"/>
    </row>
    <row r="83" spans="1:24">
      <c r="A83" s="28"/>
      <c r="B83" s="231" t="s">
        <v>143</v>
      </c>
      <c r="C83" s="231"/>
      <c r="D83" s="231"/>
      <c r="E83" s="231"/>
      <c r="F83" s="231"/>
      <c r="G83" s="231"/>
      <c r="H83" s="231"/>
      <c r="I83" s="231"/>
      <c r="J83" s="231"/>
      <c r="K83" s="231"/>
      <c r="L83" s="231"/>
      <c r="M83" s="231"/>
      <c r="N83" s="231"/>
      <c r="O83" s="231"/>
      <c r="P83" s="231"/>
      <c r="Q83" s="231"/>
      <c r="R83" s="231"/>
      <c r="S83" s="231"/>
      <c r="T83" s="28"/>
      <c r="U83" s="28"/>
      <c r="V83" s="28"/>
      <c r="W83" s="28"/>
    </row>
    <row r="84" spans="1:24">
      <c r="A84" s="28"/>
      <c r="B84" s="231" t="s">
        <v>208</v>
      </c>
      <c r="C84" s="231"/>
      <c r="D84" s="231"/>
      <c r="E84" s="231"/>
      <c r="F84" s="231"/>
      <c r="G84" s="231"/>
      <c r="H84" s="231"/>
      <c r="I84" s="231"/>
      <c r="J84" s="231"/>
      <c r="K84" s="231"/>
      <c r="L84" s="231"/>
      <c r="M84" s="231"/>
      <c r="N84" s="231"/>
      <c r="O84" s="231"/>
      <c r="P84" s="231"/>
      <c r="Q84" s="231"/>
      <c r="R84" s="231"/>
      <c r="S84" s="231"/>
      <c r="T84" s="28"/>
      <c r="U84" s="28"/>
      <c r="V84" s="28"/>
      <c r="W84" s="28"/>
    </row>
    <row r="85" spans="1:24">
      <c r="A85" s="28"/>
      <c r="B85" s="231" t="s">
        <v>144</v>
      </c>
      <c r="C85" s="231"/>
      <c r="D85" s="231"/>
      <c r="E85" s="231"/>
      <c r="F85" s="231"/>
      <c r="G85" s="231"/>
      <c r="H85" s="231"/>
      <c r="I85" s="231"/>
      <c r="J85" s="231"/>
      <c r="K85" s="231"/>
      <c r="L85" s="231"/>
      <c r="M85" s="231"/>
      <c r="N85" s="231"/>
      <c r="O85" s="231"/>
      <c r="P85" s="231"/>
      <c r="Q85" s="231"/>
      <c r="R85" s="231"/>
      <c r="S85" s="231"/>
      <c r="T85" s="28"/>
      <c r="U85" s="28"/>
      <c r="V85" s="28"/>
      <c r="W85" s="28"/>
    </row>
    <row r="86" spans="1:24" ht="23.4" thickBo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</row>
    <row r="87" spans="1:24" ht="24" thickTop="1" thickBot="1">
      <c r="B87" s="275" t="s">
        <v>145</v>
      </c>
      <c r="C87" s="251" t="s">
        <v>146</v>
      </c>
      <c r="D87" s="278"/>
      <c r="E87" s="278"/>
      <c r="F87" s="278"/>
      <c r="G87" s="279"/>
      <c r="H87" s="234" t="s">
        <v>147</v>
      </c>
      <c r="I87" s="235"/>
      <c r="J87" s="235"/>
      <c r="K87" s="235"/>
      <c r="L87" s="235"/>
      <c r="M87" s="235"/>
      <c r="N87" s="235"/>
      <c r="O87" s="235"/>
      <c r="P87" s="235"/>
      <c r="Q87" s="236"/>
      <c r="R87" s="251" t="s">
        <v>58</v>
      </c>
      <c r="S87" s="252"/>
      <c r="V87" s="31"/>
      <c r="W87" s="31"/>
      <c r="X87" s="31"/>
    </row>
    <row r="88" spans="1:24" ht="24" thickTop="1" thickBot="1">
      <c r="B88" s="276"/>
      <c r="C88" s="255"/>
      <c r="D88" s="280"/>
      <c r="E88" s="280"/>
      <c r="F88" s="280"/>
      <c r="G88" s="281"/>
      <c r="H88" s="248" t="s">
        <v>148</v>
      </c>
      <c r="I88" s="240" t="s">
        <v>149</v>
      </c>
      <c r="J88" s="240" t="s">
        <v>213</v>
      </c>
      <c r="K88" s="240" t="s">
        <v>214</v>
      </c>
      <c r="L88" s="257" t="s">
        <v>152</v>
      </c>
      <c r="M88" s="258"/>
      <c r="N88" s="257" t="s">
        <v>153</v>
      </c>
      <c r="O88" s="273"/>
      <c r="P88" s="258"/>
      <c r="Q88" s="242" t="s">
        <v>154</v>
      </c>
      <c r="R88" s="253"/>
      <c r="S88" s="254"/>
      <c r="T88" s="31"/>
      <c r="U88" s="31"/>
      <c r="V88" s="31"/>
      <c r="W88" s="31"/>
      <c r="X88" s="31"/>
    </row>
    <row r="89" spans="1:24" ht="46.8" thickTop="1" thickBot="1">
      <c r="B89" s="277"/>
      <c r="C89" s="15" t="s">
        <v>155</v>
      </c>
      <c r="D89" s="15" t="s">
        <v>156</v>
      </c>
      <c r="E89" s="15" t="s">
        <v>157</v>
      </c>
      <c r="F89" s="15" t="s">
        <v>158</v>
      </c>
      <c r="G89" s="15" t="s">
        <v>58</v>
      </c>
      <c r="H89" s="248"/>
      <c r="I89" s="241"/>
      <c r="J89" s="241"/>
      <c r="K89" s="241"/>
      <c r="L89" s="15" t="s">
        <v>209</v>
      </c>
      <c r="M89" s="16" t="s">
        <v>160</v>
      </c>
      <c r="N89" s="16" t="s">
        <v>161</v>
      </c>
      <c r="O89" s="15" t="s">
        <v>162</v>
      </c>
      <c r="P89" s="15" t="s">
        <v>163</v>
      </c>
      <c r="Q89" s="243"/>
      <c r="R89" s="255"/>
      <c r="S89" s="256"/>
      <c r="T89" s="31"/>
      <c r="U89" s="31"/>
      <c r="V89" s="31"/>
      <c r="W89" s="31"/>
      <c r="X89" s="31"/>
    </row>
    <row r="90" spans="1:24" ht="24" thickTop="1" thickBot="1">
      <c r="B90" s="17" t="s">
        <v>164</v>
      </c>
      <c r="C90" s="15">
        <f>'[1]التعليم الابتدائي'!IY344</f>
        <v>38</v>
      </c>
      <c r="D90" s="15">
        <f>'[1]التعليم الابتدائي'!JA344</f>
        <v>0</v>
      </c>
      <c r="E90" s="15">
        <f>'[1]التعليم الابتدائي'!JC344</f>
        <v>0</v>
      </c>
      <c r="F90" s="15">
        <f>'[1]التعليم الابتدائي'!JE344</f>
        <v>0</v>
      </c>
      <c r="G90" s="15">
        <f>E90+D90+C90+F90</f>
        <v>38</v>
      </c>
      <c r="H90" s="15">
        <f>'[1]التعليم الابتدائي'!ADR344</f>
        <v>0</v>
      </c>
      <c r="I90" s="20">
        <f>'[1]التعليم الابتدائي'!ADT344</f>
        <v>0</v>
      </c>
      <c r="J90" s="15">
        <f>'[1]التعليم الابتدائي'!ADX344</f>
        <v>0</v>
      </c>
      <c r="K90" s="15">
        <f>'[1]التعليم الابتدائي'!ADV344</f>
        <v>0</v>
      </c>
      <c r="L90" s="15">
        <f>'[1]التعليم الابتدائي'!ADZ344</f>
        <v>0</v>
      </c>
      <c r="M90" s="15">
        <f>'[1]التعليم الابتدائي'!AEB344</f>
        <v>0</v>
      </c>
      <c r="N90" s="15">
        <f>'[1]التعليم الابتدائي'!AED344</f>
        <v>0</v>
      </c>
      <c r="O90" s="15">
        <f>'[1]التعليم الابتدائي'!AEF344</f>
        <v>0</v>
      </c>
      <c r="P90" s="15">
        <f>'[1]التعليم الابتدائي'!AEH344</f>
        <v>0</v>
      </c>
      <c r="Q90" s="32">
        <f>'[1]التعليم الابتدائي'!AEJ344</f>
        <v>0</v>
      </c>
      <c r="R90" s="257">
        <f>Q90+P90+O90+M90+N90+K90+J90+L90+I90+H90</f>
        <v>0</v>
      </c>
      <c r="S90" s="274"/>
      <c r="T90" s="31"/>
      <c r="U90" s="31"/>
      <c r="V90" s="31"/>
      <c r="W90" s="31"/>
      <c r="X90" s="31"/>
    </row>
    <row r="91" spans="1:24" ht="24" thickTop="1" thickBot="1">
      <c r="B91" s="17" t="s">
        <v>165</v>
      </c>
      <c r="C91" s="15">
        <f>'[1]التعليم الابتدائي'!IZ344</f>
        <v>10</v>
      </c>
      <c r="D91" s="15">
        <f>'[1]التعليم الابتدائي'!JB344</f>
        <v>0</v>
      </c>
      <c r="E91" s="15">
        <f>'[1]التعليم الابتدائي'!JD344</f>
        <v>0</v>
      </c>
      <c r="F91" s="15">
        <f>'[1]التعليم الابتدائي'!JF344</f>
        <v>0</v>
      </c>
      <c r="G91" s="15">
        <f>E91+D91+C91+F91</f>
        <v>10</v>
      </c>
      <c r="H91" s="15">
        <f>'[1]التعليم الابتدائي'!ADS344</f>
        <v>0</v>
      </c>
      <c r="I91" s="20">
        <f>'[1]التعليم الابتدائي'!ADU344</f>
        <v>0</v>
      </c>
      <c r="J91" s="15">
        <f>'[1]التعليم الابتدائي'!ADY344</f>
        <v>0</v>
      </c>
      <c r="K91" s="15">
        <f>'[1]التعليم الابتدائي'!ADW344</f>
        <v>0</v>
      </c>
      <c r="L91" s="15">
        <f>'[1]التعليم الابتدائي'!AEA344</f>
        <v>0</v>
      </c>
      <c r="M91" s="15">
        <f>'[1]التعليم الابتدائي'!AEC344</f>
        <v>0</v>
      </c>
      <c r="N91" s="15">
        <f>'[1]التعليم الابتدائي'!AEE344</f>
        <v>0</v>
      </c>
      <c r="O91" s="15">
        <f>'[1]التعليم الابتدائي'!AEG344</f>
        <v>0</v>
      </c>
      <c r="P91" s="15">
        <f>'[1]التعليم الابتدائي'!AEI344</f>
        <v>0</v>
      </c>
      <c r="Q91" s="32">
        <f>'[1]التعليم الابتدائي'!AEK344</f>
        <v>0</v>
      </c>
      <c r="R91" s="257">
        <f>Q91+P91+O91+M91+N91+K91+J91+L91+I91+H91</f>
        <v>0</v>
      </c>
      <c r="S91" s="274"/>
      <c r="T91" s="31"/>
      <c r="U91" s="31"/>
      <c r="V91" s="31"/>
      <c r="W91" s="31"/>
      <c r="X91" s="31"/>
    </row>
    <row r="92" spans="1:24" ht="24" thickTop="1" thickBot="1">
      <c r="B92" s="18" t="s">
        <v>122</v>
      </c>
      <c r="C92" s="20">
        <f>C90+C91</f>
        <v>48</v>
      </c>
      <c r="D92" s="20">
        <f>D90+D91</f>
        <v>0</v>
      </c>
      <c r="E92" s="20">
        <f>E90+E91</f>
        <v>0</v>
      </c>
      <c r="F92" s="20">
        <f>SUM(F90:F91)</f>
        <v>0</v>
      </c>
      <c r="G92" s="20">
        <f>E92+D92+C92+F92</f>
        <v>48</v>
      </c>
      <c r="H92" s="20">
        <f t="shared" ref="H92:R92" si="3">H91+H90</f>
        <v>0</v>
      </c>
      <c r="I92" s="20">
        <f t="shared" si="3"/>
        <v>0</v>
      </c>
      <c r="J92" s="20">
        <f t="shared" si="3"/>
        <v>0</v>
      </c>
      <c r="K92" s="20">
        <f t="shared" si="3"/>
        <v>0</v>
      </c>
      <c r="L92" s="20">
        <f t="shared" si="3"/>
        <v>0</v>
      </c>
      <c r="M92" s="20">
        <f t="shared" si="3"/>
        <v>0</v>
      </c>
      <c r="N92" s="20">
        <f t="shared" si="3"/>
        <v>0</v>
      </c>
      <c r="O92" s="20">
        <f t="shared" si="3"/>
        <v>0</v>
      </c>
      <c r="P92" s="20">
        <f t="shared" si="3"/>
        <v>0</v>
      </c>
      <c r="Q92" s="21">
        <f t="shared" si="3"/>
        <v>0</v>
      </c>
      <c r="R92" s="270">
        <f t="shared" si="3"/>
        <v>0</v>
      </c>
      <c r="S92" s="271"/>
      <c r="T92" s="31"/>
      <c r="U92" s="31"/>
      <c r="V92" s="31"/>
      <c r="W92" s="31"/>
      <c r="X92" s="31"/>
    </row>
    <row r="93" spans="1:24" ht="23.4" thickTop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31"/>
    </row>
    <row r="94" spans="1:24">
      <c r="A94" s="28"/>
      <c r="B94" s="231" t="s">
        <v>166</v>
      </c>
      <c r="C94" s="231"/>
      <c r="D94" s="231"/>
      <c r="E94" s="231"/>
      <c r="F94" s="231"/>
      <c r="G94" s="231"/>
      <c r="H94" s="231"/>
      <c r="I94" s="231"/>
      <c r="J94" s="231"/>
      <c r="K94" s="231"/>
      <c r="L94" s="231"/>
      <c r="M94" s="231"/>
      <c r="N94" s="231"/>
      <c r="O94" s="231"/>
      <c r="P94" s="231"/>
      <c r="Q94" s="231"/>
      <c r="R94" s="231"/>
      <c r="S94" s="231"/>
      <c r="T94" s="28"/>
      <c r="U94" s="28"/>
      <c r="V94" s="28"/>
      <c r="W94" s="28"/>
    </row>
    <row r="95" spans="1:24">
      <c r="A95" s="28"/>
      <c r="B95" s="231" t="s">
        <v>208</v>
      </c>
      <c r="C95" s="231"/>
      <c r="D95" s="231"/>
      <c r="E95" s="231"/>
      <c r="F95" s="231"/>
      <c r="G95" s="231"/>
      <c r="H95" s="231"/>
      <c r="I95" s="231"/>
      <c r="J95" s="231"/>
      <c r="K95" s="231"/>
      <c r="L95" s="231"/>
      <c r="M95" s="231"/>
      <c r="N95" s="231"/>
      <c r="O95" s="231"/>
      <c r="P95" s="231"/>
      <c r="Q95" s="231"/>
      <c r="R95" s="231"/>
      <c r="S95" s="231"/>
      <c r="T95" s="28"/>
      <c r="U95" s="28"/>
      <c r="V95" s="28"/>
      <c r="W95" s="28"/>
    </row>
    <row r="96" spans="1:24">
      <c r="A96" s="28"/>
      <c r="B96" s="231" t="s">
        <v>167</v>
      </c>
      <c r="C96" s="231"/>
      <c r="D96" s="231"/>
      <c r="E96" s="231"/>
      <c r="F96" s="231"/>
      <c r="G96" s="231"/>
      <c r="H96" s="231"/>
      <c r="I96" s="231"/>
      <c r="J96" s="231"/>
      <c r="K96" s="231"/>
      <c r="L96" s="231"/>
      <c r="M96" s="231"/>
      <c r="N96" s="231"/>
      <c r="O96" s="231"/>
      <c r="P96" s="231"/>
      <c r="Q96" s="231"/>
      <c r="R96" s="231"/>
      <c r="S96" s="231"/>
      <c r="T96" s="28"/>
      <c r="U96" s="28"/>
      <c r="V96" s="28"/>
      <c r="W96" s="28"/>
    </row>
    <row r="97" spans="1:23" ht="23.4" thickBo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</row>
    <row r="98" spans="1:23" ht="24" thickTop="1" thickBot="1">
      <c r="A98" s="272" t="s">
        <v>168</v>
      </c>
      <c r="B98" s="235"/>
      <c r="C98" s="236"/>
      <c r="D98" s="234" t="s">
        <v>169</v>
      </c>
      <c r="E98" s="235"/>
      <c r="F98" s="236"/>
      <c r="G98" s="223" t="s">
        <v>170</v>
      </c>
      <c r="H98" s="224"/>
      <c r="I98" s="237"/>
      <c r="J98" s="223" t="s">
        <v>171</v>
      </c>
      <c r="K98" s="237"/>
      <c r="L98" s="234" t="s">
        <v>172</v>
      </c>
      <c r="M98" s="235"/>
      <c r="N98" s="235"/>
      <c r="O98" s="235"/>
      <c r="P98" s="235"/>
      <c r="Q98" s="236"/>
      <c r="R98" s="249" t="s">
        <v>173</v>
      </c>
      <c r="S98" s="223" t="s">
        <v>174</v>
      </c>
      <c r="T98" s="224"/>
      <c r="U98" s="224"/>
      <c r="V98" s="225"/>
    </row>
    <row r="99" spans="1:23" ht="24" thickTop="1" thickBot="1">
      <c r="A99" s="269" t="s">
        <v>175</v>
      </c>
      <c r="B99" s="258"/>
      <c r="C99" s="242" t="s">
        <v>176</v>
      </c>
      <c r="D99" s="211" t="s">
        <v>177</v>
      </c>
      <c r="E99" s="211" t="s">
        <v>178</v>
      </c>
      <c r="F99" s="211" t="s">
        <v>210</v>
      </c>
      <c r="G99" s="221" t="s">
        <v>180</v>
      </c>
      <c r="H99" s="221" t="s">
        <v>181</v>
      </c>
      <c r="I99" s="211" t="s">
        <v>182</v>
      </c>
      <c r="J99" s="221" t="s">
        <v>183</v>
      </c>
      <c r="K99" s="211" t="s">
        <v>184</v>
      </c>
      <c r="L99" s="221" t="s">
        <v>185</v>
      </c>
      <c r="M99" s="221" t="s">
        <v>211</v>
      </c>
      <c r="N99" s="221" t="s">
        <v>188</v>
      </c>
      <c r="O99" s="221" t="s">
        <v>189</v>
      </c>
      <c r="P99" s="221" t="s">
        <v>186</v>
      </c>
      <c r="Q99" s="221" t="s">
        <v>190</v>
      </c>
      <c r="R99" s="250"/>
      <c r="S99" s="211" t="s">
        <v>191</v>
      </c>
      <c r="T99" s="211" t="s">
        <v>192</v>
      </c>
      <c r="U99" s="211" t="s">
        <v>193</v>
      </c>
      <c r="V99" s="213" t="s">
        <v>212</v>
      </c>
    </row>
    <row r="100" spans="1:23" ht="46.8" thickTop="1" thickBot="1">
      <c r="A100" s="17" t="s">
        <v>195</v>
      </c>
      <c r="B100" s="16" t="s">
        <v>196</v>
      </c>
      <c r="C100" s="243"/>
      <c r="D100" s="212"/>
      <c r="E100" s="212"/>
      <c r="F100" s="212"/>
      <c r="G100" s="222"/>
      <c r="H100" s="222"/>
      <c r="I100" s="212"/>
      <c r="J100" s="222"/>
      <c r="K100" s="212"/>
      <c r="L100" s="222"/>
      <c r="M100" s="222"/>
      <c r="N100" s="222"/>
      <c r="O100" s="222"/>
      <c r="P100" s="222"/>
      <c r="Q100" s="222"/>
      <c r="R100" s="212"/>
      <c r="S100" s="212"/>
      <c r="T100" s="212"/>
      <c r="U100" s="212"/>
      <c r="V100" s="214"/>
    </row>
    <row r="101" spans="1:23" ht="24" thickTop="1" thickBot="1">
      <c r="A101" s="18">
        <f>'[1]التعليم الابتدائي'!ALH344</f>
        <v>0</v>
      </c>
      <c r="B101" s="20">
        <f>'[1]التعليم الابتدائي'!ALI344</f>
        <v>36</v>
      </c>
      <c r="C101" s="20">
        <f>'[1]التعليم الابتدائي'!ALJ344</f>
        <v>0</v>
      </c>
      <c r="D101" s="20">
        <f>'[1]التعليم الابتدائي'!ALE344</f>
        <v>22</v>
      </c>
      <c r="E101" s="21">
        <f>'[1]التعليم الابتدائي'!ALF344</f>
        <v>12</v>
      </c>
      <c r="F101" s="20">
        <f>'[1]التعليم الابتدائي'!ALG344</f>
        <v>2</v>
      </c>
      <c r="G101" s="20">
        <f>'[1]التعليم الابتدائي'!ALK344</f>
        <v>14</v>
      </c>
      <c r="H101" s="21">
        <f>'[1]التعليم الابتدائي'!ALL344</f>
        <v>18</v>
      </c>
      <c r="I101" s="20">
        <f>'[1]التعليم الابتدائي'!ALM344</f>
        <v>4</v>
      </c>
      <c r="J101" s="20">
        <f>'[1]التعليم الابتدائي'!AIS344</f>
        <v>36</v>
      </c>
      <c r="K101" s="20">
        <f>'[1]التعليم الابتدائي'!AIT344</f>
        <v>0</v>
      </c>
      <c r="L101" s="20">
        <f>'[1]التعليم الابتدائي'!AJN344</f>
        <v>27</v>
      </c>
      <c r="M101" s="20">
        <f>'[1]التعليم الابتدائي'!AJP344</f>
        <v>0</v>
      </c>
      <c r="N101" s="20">
        <f>'[1]التعليم الابتدائي'!AJQ344</f>
        <v>0</v>
      </c>
      <c r="O101" s="20">
        <f>'[1]التعليم الابتدائي'!AJS344</f>
        <v>9</v>
      </c>
      <c r="P101" s="20">
        <f>'[1]التعليم الابتدائي'!AJR344</f>
        <v>0</v>
      </c>
      <c r="Q101" s="20">
        <f>'[1]التعليم الابتدائي'!AJT344</f>
        <v>0</v>
      </c>
      <c r="R101" s="20">
        <f>SUM(L101:Q101)</f>
        <v>36</v>
      </c>
      <c r="S101" s="20">
        <f>'[1]التعليم الابتدائي'!AJU344</f>
        <v>36</v>
      </c>
      <c r="T101" s="20">
        <f>'[1]التعليم الابتدائي'!AKA344</f>
        <v>36</v>
      </c>
      <c r="U101" s="20">
        <f>'[1]التعليم الابتدائي'!AKH344</f>
        <v>36</v>
      </c>
      <c r="V101" s="33">
        <f>'[1]التعليم الابتدائي'!AKL344</f>
        <v>35</v>
      </c>
    </row>
    <row r="102" spans="1:23" ht="23.4" thickTop="1"/>
    <row r="103" spans="1:23" ht="23.4" thickBot="1">
      <c r="B103" s="23"/>
      <c r="C103" s="23"/>
      <c r="D103" s="23"/>
      <c r="E103" s="23"/>
      <c r="G103" s="34" t="s">
        <v>197</v>
      </c>
    </row>
    <row r="104" spans="1:23" ht="24" thickTop="1" thickBot="1">
      <c r="B104" s="215" t="s">
        <v>198</v>
      </c>
      <c r="C104" s="216"/>
      <c r="D104" s="216"/>
      <c r="E104" s="216"/>
      <c r="F104" s="216"/>
      <c r="G104" s="216"/>
      <c r="H104" s="216"/>
      <c r="I104" s="217"/>
      <c r="J104" s="218" t="s">
        <v>199</v>
      </c>
      <c r="K104" s="216"/>
      <c r="L104" s="216"/>
      <c r="M104" s="216"/>
      <c r="N104" s="216"/>
      <c r="O104" s="216"/>
      <c r="P104" s="216"/>
      <c r="Q104" s="216"/>
      <c r="R104" s="216"/>
      <c r="S104" s="216"/>
      <c r="T104" s="216"/>
      <c r="U104" s="219"/>
    </row>
    <row r="105" spans="1:23" ht="24" thickTop="1" thickBot="1">
      <c r="B105" s="210" t="s">
        <v>200</v>
      </c>
      <c r="C105" s="207"/>
      <c r="D105" s="206" t="s">
        <v>201</v>
      </c>
      <c r="E105" s="207"/>
      <c r="F105" s="206" t="s">
        <v>202</v>
      </c>
      <c r="G105" s="207"/>
      <c r="H105" s="206" t="s">
        <v>58</v>
      </c>
      <c r="I105" s="207"/>
      <c r="J105" s="206" t="s">
        <v>203</v>
      </c>
      <c r="K105" s="207"/>
      <c r="L105" s="206" t="s">
        <v>204</v>
      </c>
      <c r="M105" s="207"/>
      <c r="N105" s="206" t="s">
        <v>205</v>
      </c>
      <c r="O105" s="207"/>
      <c r="P105" s="206" t="s">
        <v>206</v>
      </c>
      <c r="Q105" s="207"/>
      <c r="R105" s="206" t="s">
        <v>207</v>
      </c>
      <c r="S105" s="207"/>
      <c r="T105" s="206" t="s">
        <v>58</v>
      </c>
      <c r="U105" s="208"/>
    </row>
    <row r="106" spans="1:23" ht="24" thickTop="1" thickBot="1">
      <c r="B106" s="209">
        <f>'[1]التعليم الابتدائي'!AIZ344</f>
        <v>24</v>
      </c>
      <c r="C106" s="204"/>
      <c r="D106" s="203">
        <f>'[1]التعليم الابتدائي'!AJA344</f>
        <v>12</v>
      </c>
      <c r="E106" s="204"/>
      <c r="F106" s="203">
        <f>'[1]التعليم الابتدائي'!AJB344</f>
        <v>0</v>
      </c>
      <c r="G106" s="204"/>
      <c r="H106" s="203">
        <f>F106+D106+B106</f>
        <v>36</v>
      </c>
      <c r="I106" s="204"/>
      <c r="J106" s="203">
        <f>'[1]التعليم الابتدائي'!AJF344</f>
        <v>8</v>
      </c>
      <c r="K106" s="204"/>
      <c r="L106" s="203">
        <f>'[1]التعليم الابتدائي'!AJG344</f>
        <v>5</v>
      </c>
      <c r="M106" s="204"/>
      <c r="N106" s="203">
        <f>'[1]التعليم الابتدائي'!AJH344</f>
        <v>18</v>
      </c>
      <c r="O106" s="204"/>
      <c r="P106" s="203">
        <f>'[1]التعليم الابتدائي'!AJI344</f>
        <v>5</v>
      </c>
      <c r="Q106" s="204"/>
      <c r="R106" s="203">
        <f>'[1]التعليم الابتدائي'!AJJ344</f>
        <v>0</v>
      </c>
      <c r="S106" s="204"/>
      <c r="T106" s="203">
        <f>R106+P106+N106+L106+J106</f>
        <v>36</v>
      </c>
      <c r="U106" s="205"/>
    </row>
    <row r="107" spans="1:23" ht="23.4" thickTop="1"/>
    <row r="108" spans="1:23">
      <c r="A108" s="231" t="s">
        <v>62</v>
      </c>
      <c r="B108" s="231"/>
      <c r="C108" s="231"/>
      <c r="D108" s="231"/>
      <c r="E108" s="231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31" t="s">
        <v>87</v>
      </c>
      <c r="S108" s="231"/>
      <c r="T108" s="231"/>
      <c r="U108" s="28"/>
      <c r="V108" s="28"/>
      <c r="W108" s="28"/>
    </row>
    <row r="109" spans="1:23">
      <c r="A109" s="231" t="s">
        <v>64</v>
      </c>
      <c r="B109" s="231"/>
      <c r="C109" s="231"/>
      <c r="D109" s="231"/>
      <c r="E109" s="231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31" t="s">
        <v>65</v>
      </c>
      <c r="S109" s="231"/>
      <c r="T109" s="231"/>
      <c r="U109" s="28"/>
      <c r="V109" s="28"/>
      <c r="W109" s="28"/>
    </row>
    <row r="110" spans="1:23">
      <c r="A110" s="28"/>
      <c r="B110" s="231" t="s">
        <v>143</v>
      </c>
      <c r="C110" s="231"/>
      <c r="D110" s="231"/>
      <c r="E110" s="231"/>
      <c r="F110" s="231"/>
      <c r="G110" s="231"/>
      <c r="H110" s="231"/>
      <c r="I110" s="231"/>
      <c r="J110" s="231"/>
      <c r="K110" s="231"/>
      <c r="L110" s="231"/>
      <c r="M110" s="231"/>
      <c r="N110" s="231"/>
      <c r="O110" s="231"/>
      <c r="P110" s="231"/>
      <c r="Q110" s="231"/>
      <c r="R110" s="231"/>
      <c r="S110" s="231"/>
      <c r="T110" s="28"/>
      <c r="U110" s="28"/>
      <c r="V110" s="28"/>
      <c r="W110" s="28"/>
    </row>
    <row r="111" spans="1:23">
      <c r="A111" s="28"/>
      <c r="B111" s="231" t="s">
        <v>208</v>
      </c>
      <c r="C111" s="231"/>
      <c r="D111" s="231"/>
      <c r="E111" s="231"/>
      <c r="F111" s="231"/>
      <c r="G111" s="231"/>
      <c r="H111" s="231"/>
      <c r="I111" s="231"/>
      <c r="J111" s="231"/>
      <c r="K111" s="231"/>
      <c r="L111" s="231"/>
      <c r="M111" s="231"/>
      <c r="N111" s="231"/>
      <c r="O111" s="231"/>
      <c r="P111" s="231"/>
      <c r="Q111" s="231"/>
      <c r="R111" s="231"/>
      <c r="S111" s="231"/>
      <c r="T111" s="28"/>
      <c r="U111" s="28"/>
      <c r="V111" s="28"/>
      <c r="W111" s="28"/>
    </row>
    <row r="112" spans="1:23">
      <c r="A112" s="28"/>
      <c r="B112" s="231" t="s">
        <v>144</v>
      </c>
      <c r="C112" s="231"/>
      <c r="D112" s="231"/>
      <c r="E112" s="231"/>
      <c r="F112" s="231"/>
      <c r="G112" s="231"/>
      <c r="H112" s="231"/>
      <c r="I112" s="231"/>
      <c r="J112" s="231"/>
      <c r="K112" s="231"/>
      <c r="L112" s="231"/>
      <c r="M112" s="231"/>
      <c r="N112" s="231"/>
      <c r="O112" s="231"/>
      <c r="P112" s="231"/>
      <c r="Q112" s="231"/>
      <c r="R112" s="231"/>
      <c r="S112" s="231"/>
      <c r="T112" s="28"/>
      <c r="U112" s="28"/>
      <c r="V112" s="28"/>
      <c r="W112" s="28"/>
    </row>
    <row r="113" spans="1:24" ht="23.4" thickBo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</row>
    <row r="114" spans="1:24" ht="24" thickTop="1" thickBot="1">
      <c r="B114" s="245" t="s">
        <v>145</v>
      </c>
      <c r="C114" s="233" t="s">
        <v>146</v>
      </c>
      <c r="D114" s="233"/>
      <c r="E114" s="233"/>
      <c r="F114" s="233"/>
      <c r="G114" s="233"/>
      <c r="H114" s="25" t="s">
        <v>147</v>
      </c>
      <c r="I114" s="26"/>
      <c r="J114" s="26"/>
      <c r="K114" s="26"/>
      <c r="L114" s="26"/>
      <c r="M114" s="26"/>
      <c r="N114" s="26"/>
      <c r="O114" s="26"/>
      <c r="P114" s="26"/>
      <c r="Q114" s="26"/>
      <c r="R114" s="24"/>
      <c r="S114" s="251" t="s">
        <v>58</v>
      </c>
      <c r="T114" s="252"/>
      <c r="U114" s="31"/>
      <c r="W114" s="31"/>
      <c r="X114" s="31"/>
    </row>
    <row r="115" spans="1:24" ht="24" thickTop="1" thickBot="1">
      <c r="B115" s="246"/>
      <c r="C115" s="227"/>
      <c r="D115" s="227"/>
      <c r="E115" s="227"/>
      <c r="F115" s="227"/>
      <c r="G115" s="227"/>
      <c r="H115" s="248" t="s">
        <v>148</v>
      </c>
      <c r="I115" s="248" t="s">
        <v>149</v>
      </c>
      <c r="J115" s="248" t="s">
        <v>150</v>
      </c>
      <c r="K115" s="240" t="s">
        <v>214</v>
      </c>
      <c r="L115" s="227" t="s">
        <v>152</v>
      </c>
      <c r="M115" s="227"/>
      <c r="N115" s="227" t="s">
        <v>153</v>
      </c>
      <c r="O115" s="227"/>
      <c r="P115" s="227"/>
      <c r="Q115" s="227" t="s">
        <v>154</v>
      </c>
      <c r="R115" s="227"/>
      <c r="S115" s="253"/>
      <c r="T115" s="254"/>
      <c r="U115" s="31"/>
      <c r="V115" s="31"/>
      <c r="W115" s="31"/>
      <c r="X115" s="31"/>
    </row>
    <row r="116" spans="1:24" ht="46.8" thickTop="1" thickBot="1">
      <c r="B116" s="246"/>
      <c r="C116" s="15" t="s">
        <v>155</v>
      </c>
      <c r="D116" s="15" t="s">
        <v>156</v>
      </c>
      <c r="E116" s="15" t="s">
        <v>157</v>
      </c>
      <c r="F116" s="15" t="s">
        <v>158</v>
      </c>
      <c r="G116" s="15" t="s">
        <v>58</v>
      </c>
      <c r="H116" s="248"/>
      <c r="I116" s="248"/>
      <c r="J116" s="248"/>
      <c r="K116" s="241"/>
      <c r="L116" s="15" t="s">
        <v>209</v>
      </c>
      <c r="M116" s="16" t="s">
        <v>160</v>
      </c>
      <c r="N116" s="15" t="s">
        <v>161</v>
      </c>
      <c r="O116" s="15" t="s">
        <v>162</v>
      </c>
      <c r="P116" s="15" t="s">
        <v>163</v>
      </c>
      <c r="Q116" s="227"/>
      <c r="R116" s="227"/>
      <c r="S116" s="255"/>
      <c r="T116" s="256"/>
      <c r="U116" s="31"/>
      <c r="V116" s="31"/>
      <c r="W116" s="31"/>
      <c r="X116" s="31"/>
    </row>
    <row r="117" spans="1:24" ht="24" thickTop="1" thickBot="1">
      <c r="B117" s="17" t="s">
        <v>164</v>
      </c>
      <c r="C117" s="15">
        <f>'[1]التعليم الابتدائي'!IY346</f>
        <v>1</v>
      </c>
      <c r="D117" s="15">
        <f>'[1]التعليم الابتدائي'!JA346</f>
        <v>0</v>
      </c>
      <c r="E117" s="15">
        <f>'[1]التعليم الابتدائي'!JC346</f>
        <v>0</v>
      </c>
      <c r="F117" s="15">
        <f>'[1]التعليم الابتدائي'!JE346</f>
        <v>0</v>
      </c>
      <c r="G117" s="15">
        <f>F117+E117+D117+C117</f>
        <v>1</v>
      </c>
      <c r="H117" s="15">
        <f>'[1]التعليم الابتدائي'!ADR346</f>
        <v>0</v>
      </c>
      <c r="I117" s="15">
        <f>'[1]التعليم الابتدائي'!ADT346</f>
        <v>0</v>
      </c>
      <c r="J117" s="15">
        <f>'[1]التعليم الابتدائي'!ADX346</f>
        <v>0</v>
      </c>
      <c r="K117" s="15">
        <f>'[1]التعليم الابتدائي'!ADV346</f>
        <v>0</v>
      </c>
      <c r="L117" s="15">
        <f>'[1]التعليم الابتدائي'!ADZ346</f>
        <v>0</v>
      </c>
      <c r="M117" s="15">
        <f>'[1]التعليم الابتدائي'!AEB346</f>
        <v>0</v>
      </c>
      <c r="N117" s="15">
        <f>'[1]التعليم الابتدائي'!AED346</f>
        <v>0</v>
      </c>
      <c r="O117" s="15">
        <f>'[1]التعليم الابتدائي'!AEF346</f>
        <v>0</v>
      </c>
      <c r="P117" s="15">
        <f>'[1]التعليم الابتدائي'!AEH346</f>
        <v>0</v>
      </c>
      <c r="Q117" s="257">
        <f>'[1]التعليم الابتدائي'!AEJ346</f>
        <v>0</v>
      </c>
      <c r="R117" s="258"/>
      <c r="S117" s="227">
        <f>Q117+P117+O117+M117+N117+J117+K117+L117+I117+H117</f>
        <v>0</v>
      </c>
      <c r="T117" s="244"/>
      <c r="U117" s="31"/>
      <c r="V117" s="31"/>
      <c r="W117" s="31"/>
      <c r="X117" s="31"/>
    </row>
    <row r="118" spans="1:24" ht="24" thickTop="1" thickBot="1">
      <c r="B118" s="17" t="s">
        <v>165</v>
      </c>
      <c r="C118" s="15">
        <f>'[1]التعليم الابتدائي'!IZ346</f>
        <v>0</v>
      </c>
      <c r="D118" s="15">
        <f>'[1]التعليم الابتدائي'!JB346</f>
        <v>0</v>
      </c>
      <c r="E118" s="15">
        <f>'[1]التعليم الابتدائي'!JD346</f>
        <v>0</v>
      </c>
      <c r="F118" s="15">
        <f>'[1]التعليم الابتدائي'!JF346</f>
        <v>0</v>
      </c>
      <c r="G118" s="15">
        <f>F118+E118+D118+C118</f>
        <v>0</v>
      </c>
      <c r="H118" s="15">
        <f>'[1]التعليم الابتدائي'!ADS346</f>
        <v>0</v>
      </c>
      <c r="I118" s="15"/>
      <c r="J118" s="15">
        <f>'[1]التعليم الابتدائي'!ADY346</f>
        <v>0</v>
      </c>
      <c r="K118" s="15">
        <f>'[1]التعليم الابتدائي'!ADW346</f>
        <v>0</v>
      </c>
      <c r="L118" s="15">
        <f>'[1]التعليم الابتدائي'!AEA346</f>
        <v>0</v>
      </c>
      <c r="M118" s="15">
        <f>'[1]التعليم الابتدائي'!AEC346</f>
        <v>0</v>
      </c>
      <c r="N118" s="15">
        <f>'[1]التعليم الابتدائي'!AEE346</f>
        <v>0</v>
      </c>
      <c r="O118" s="15">
        <f>'[1]التعليم الابتدائي'!AEG346</f>
        <v>0</v>
      </c>
      <c r="P118" s="15">
        <f>'[1]التعليم الابتدائي'!AEI346</f>
        <v>0</v>
      </c>
      <c r="Q118" s="257">
        <f>'[1]التعليم الابتدائي'!AEK346</f>
        <v>0</v>
      </c>
      <c r="R118" s="258"/>
      <c r="S118" s="227">
        <f>Q118+P118+O118+M118+N118+J118+K118+L118+I118+H118</f>
        <v>0</v>
      </c>
      <c r="T118" s="244"/>
      <c r="U118" s="31"/>
      <c r="V118" s="31"/>
      <c r="W118" s="31"/>
      <c r="X118" s="31"/>
    </row>
    <row r="119" spans="1:24" ht="24" thickTop="1" thickBot="1">
      <c r="B119" s="18" t="s">
        <v>122</v>
      </c>
      <c r="C119" s="20">
        <f t="shared" ref="C119:S119" si="4">C118+C117</f>
        <v>1</v>
      </c>
      <c r="D119" s="20">
        <f t="shared" si="4"/>
        <v>0</v>
      </c>
      <c r="E119" s="20">
        <f t="shared" si="4"/>
        <v>0</v>
      </c>
      <c r="F119" s="20">
        <f t="shared" si="4"/>
        <v>0</v>
      </c>
      <c r="G119" s="20">
        <f t="shared" si="4"/>
        <v>1</v>
      </c>
      <c r="H119" s="20">
        <f t="shared" si="4"/>
        <v>0</v>
      </c>
      <c r="I119" s="20">
        <f t="shared" si="4"/>
        <v>0</v>
      </c>
      <c r="J119" s="20">
        <f t="shared" si="4"/>
        <v>0</v>
      </c>
      <c r="K119" s="20">
        <f t="shared" si="4"/>
        <v>0</v>
      </c>
      <c r="L119" s="20">
        <f t="shared" si="4"/>
        <v>0</v>
      </c>
      <c r="M119" s="20">
        <f t="shared" si="4"/>
        <v>0</v>
      </c>
      <c r="N119" s="20">
        <f t="shared" si="4"/>
        <v>0</v>
      </c>
      <c r="O119" s="20">
        <f t="shared" si="4"/>
        <v>0</v>
      </c>
      <c r="P119" s="20">
        <f t="shared" si="4"/>
        <v>0</v>
      </c>
      <c r="Q119" s="229">
        <f t="shared" si="4"/>
        <v>0</v>
      </c>
      <c r="R119" s="229">
        <f t="shared" si="4"/>
        <v>0</v>
      </c>
      <c r="S119" s="229">
        <f t="shared" si="4"/>
        <v>0</v>
      </c>
      <c r="T119" s="230"/>
      <c r="U119" s="31"/>
      <c r="V119" s="31"/>
      <c r="W119" s="31"/>
      <c r="X119" s="31"/>
    </row>
    <row r="120" spans="1:24" ht="23.4" thickTop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31"/>
    </row>
    <row r="121" spans="1:24">
      <c r="A121" s="28"/>
      <c r="B121" s="231" t="s">
        <v>166</v>
      </c>
      <c r="C121" s="231"/>
      <c r="D121" s="231"/>
      <c r="E121" s="231"/>
      <c r="F121" s="231"/>
      <c r="G121" s="231"/>
      <c r="H121" s="231"/>
      <c r="I121" s="231"/>
      <c r="J121" s="231"/>
      <c r="K121" s="231"/>
      <c r="L121" s="231"/>
      <c r="M121" s="231"/>
      <c r="N121" s="231"/>
      <c r="O121" s="231"/>
      <c r="P121" s="231"/>
      <c r="Q121" s="231"/>
      <c r="R121" s="231"/>
      <c r="S121" s="231"/>
      <c r="T121" s="28"/>
      <c r="U121" s="28"/>
      <c r="V121" s="28"/>
      <c r="W121" s="28"/>
    </row>
    <row r="122" spans="1:24">
      <c r="A122" s="28"/>
      <c r="B122" s="231" t="s">
        <v>208</v>
      </c>
      <c r="C122" s="231"/>
      <c r="D122" s="231"/>
      <c r="E122" s="231"/>
      <c r="F122" s="231"/>
      <c r="G122" s="231"/>
      <c r="H122" s="231"/>
      <c r="I122" s="231"/>
      <c r="J122" s="231"/>
      <c r="K122" s="231"/>
      <c r="L122" s="231"/>
      <c r="M122" s="231"/>
      <c r="N122" s="231"/>
      <c r="O122" s="231"/>
      <c r="P122" s="231"/>
      <c r="Q122" s="231"/>
      <c r="R122" s="231"/>
      <c r="S122" s="231"/>
      <c r="T122" s="28"/>
      <c r="U122" s="28"/>
      <c r="V122" s="28"/>
      <c r="W122" s="28"/>
    </row>
    <row r="123" spans="1:24">
      <c r="A123" s="28"/>
      <c r="B123" s="231" t="s">
        <v>167</v>
      </c>
      <c r="C123" s="231"/>
      <c r="D123" s="231"/>
      <c r="E123" s="231"/>
      <c r="F123" s="231"/>
      <c r="G123" s="231"/>
      <c r="H123" s="231"/>
      <c r="I123" s="231"/>
      <c r="J123" s="231"/>
      <c r="K123" s="231"/>
      <c r="L123" s="231"/>
      <c r="M123" s="231"/>
      <c r="N123" s="231"/>
      <c r="O123" s="231"/>
      <c r="P123" s="231"/>
      <c r="Q123" s="231"/>
      <c r="R123" s="231"/>
      <c r="S123" s="231"/>
      <c r="T123" s="28"/>
      <c r="U123" s="28"/>
      <c r="V123" s="28"/>
      <c r="W123" s="28"/>
    </row>
    <row r="124" spans="1:24" ht="23.4" thickBo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</row>
    <row r="125" spans="1:24" ht="24" thickTop="1" thickBot="1">
      <c r="A125" s="232" t="s">
        <v>168</v>
      </c>
      <c r="B125" s="233"/>
      <c r="C125" s="233"/>
      <c r="D125" s="234" t="s">
        <v>169</v>
      </c>
      <c r="E125" s="235"/>
      <c r="F125" s="236"/>
      <c r="G125" s="223" t="s">
        <v>170</v>
      </c>
      <c r="H125" s="224"/>
      <c r="I125" s="237"/>
      <c r="J125" s="223" t="s">
        <v>171</v>
      </c>
      <c r="K125" s="237"/>
      <c r="L125" s="25" t="s">
        <v>172</v>
      </c>
      <c r="M125" s="26"/>
      <c r="N125" s="26"/>
      <c r="O125" s="26"/>
      <c r="P125" s="26"/>
      <c r="Q125" s="24"/>
      <c r="R125" s="249" t="s">
        <v>173</v>
      </c>
      <c r="S125" s="223" t="s">
        <v>174</v>
      </c>
      <c r="T125" s="224"/>
      <c r="U125" s="224"/>
      <c r="V125" s="225"/>
    </row>
    <row r="126" spans="1:24" ht="24" thickTop="1" thickBot="1">
      <c r="A126" s="226" t="s">
        <v>175</v>
      </c>
      <c r="B126" s="227"/>
      <c r="C126" s="228" t="s">
        <v>176</v>
      </c>
      <c r="D126" s="220" t="s">
        <v>177</v>
      </c>
      <c r="E126" s="211" t="s">
        <v>178</v>
      </c>
      <c r="F126" s="211" t="s">
        <v>210</v>
      </c>
      <c r="G126" s="228" t="s">
        <v>180</v>
      </c>
      <c r="H126" s="211" t="s">
        <v>181</v>
      </c>
      <c r="I126" s="211" t="s">
        <v>182</v>
      </c>
      <c r="J126" s="221" t="s">
        <v>183</v>
      </c>
      <c r="K126" s="211" t="s">
        <v>184</v>
      </c>
      <c r="L126" s="221" t="s">
        <v>185</v>
      </c>
      <c r="M126" s="221" t="s">
        <v>211</v>
      </c>
      <c r="N126" s="221" t="s">
        <v>188</v>
      </c>
      <c r="O126" s="221" t="s">
        <v>189</v>
      </c>
      <c r="P126" s="221" t="s">
        <v>186</v>
      </c>
      <c r="Q126" s="221" t="s">
        <v>190</v>
      </c>
      <c r="R126" s="250"/>
      <c r="S126" s="211" t="s">
        <v>191</v>
      </c>
      <c r="T126" s="265" t="s">
        <v>192</v>
      </c>
      <c r="U126" s="265" t="s">
        <v>193</v>
      </c>
      <c r="V126" s="267" t="s">
        <v>212</v>
      </c>
    </row>
    <row r="127" spans="1:24" ht="46.8" thickTop="1" thickBot="1">
      <c r="A127" s="17" t="s">
        <v>195</v>
      </c>
      <c r="B127" s="16" t="s">
        <v>196</v>
      </c>
      <c r="C127" s="228"/>
      <c r="D127" s="220"/>
      <c r="E127" s="212"/>
      <c r="F127" s="212"/>
      <c r="G127" s="228"/>
      <c r="H127" s="212"/>
      <c r="I127" s="212"/>
      <c r="J127" s="222"/>
      <c r="K127" s="212"/>
      <c r="L127" s="222"/>
      <c r="M127" s="222"/>
      <c r="N127" s="222"/>
      <c r="O127" s="222"/>
      <c r="P127" s="222"/>
      <c r="Q127" s="222"/>
      <c r="R127" s="212"/>
      <c r="S127" s="212"/>
      <c r="T127" s="266"/>
      <c r="U127" s="266"/>
      <c r="V127" s="268"/>
    </row>
    <row r="128" spans="1:24" ht="24" thickTop="1" thickBot="1">
      <c r="A128" s="18">
        <f>'[1]التعليم الابتدائي'!ALH346</f>
        <v>0</v>
      </c>
      <c r="B128" s="20">
        <f>'[1]التعليم الابتدائي'!ALI346</f>
        <v>1</v>
      </c>
      <c r="C128" s="20">
        <f>'[1]التعليم الابتدائي'!ALJ346</f>
        <v>0</v>
      </c>
      <c r="D128" s="20">
        <f>'[1]التعليم الابتدائي'!ALE346</f>
        <v>1</v>
      </c>
      <c r="E128" s="21">
        <f>'[1]التعليم الابتدائي'!ALF346</f>
        <v>0</v>
      </c>
      <c r="F128" s="20">
        <f>'[1]التعليم الابتدائي'!ALG346</f>
        <v>0</v>
      </c>
      <c r="G128" s="20">
        <f>'[1]التعليم الابتدائي'!ALK346</f>
        <v>1</v>
      </c>
      <c r="H128" s="21">
        <f>'[1]التعليم الابتدائي'!ALL346</f>
        <v>0</v>
      </c>
      <c r="I128" s="20">
        <f>'[1]التعليم الابتدائي'!ALM346</f>
        <v>0</v>
      </c>
      <c r="J128" s="20">
        <f>'[1]التعليم الابتدائي'!AIS346</f>
        <v>1</v>
      </c>
      <c r="K128" s="20">
        <f>'[1]التعليم الابتدائي'!AIT346</f>
        <v>0</v>
      </c>
      <c r="L128" s="20">
        <f>'[1]التعليم الابتدائي'!AJN346</f>
        <v>1</v>
      </c>
      <c r="M128" s="20">
        <f>'[1]التعليم الابتدائي'!AJP346</f>
        <v>0</v>
      </c>
      <c r="N128" s="20"/>
      <c r="O128" s="20">
        <f>'[1]التعليم الابتدائي'!AJQ346</f>
        <v>0</v>
      </c>
      <c r="P128" s="20">
        <f>'[1]التعليم الابتدائي'!AJR346</f>
        <v>0</v>
      </c>
      <c r="Q128" s="20">
        <f>'[1]التعليم الابتدائي'!AJT346</f>
        <v>0</v>
      </c>
      <c r="R128" s="20">
        <f>Q128+P128+O128+M128+L128</f>
        <v>1</v>
      </c>
      <c r="S128" s="20">
        <f>'[1]التعليم الابتدائي'!AJU346</f>
        <v>1</v>
      </c>
      <c r="T128" s="20">
        <f>'[1]التعليم الابتدائي'!AKA346</f>
        <v>1</v>
      </c>
      <c r="U128" s="20">
        <f>'[1]التعليم الابتدائي'!AKH346</f>
        <v>1</v>
      </c>
      <c r="V128" s="33">
        <f>'[1]التعليم الابتدائي'!AKL346</f>
        <v>1</v>
      </c>
    </row>
    <row r="129" spans="1:24" ht="23.4" thickTop="1"/>
    <row r="130" spans="1:24" ht="23.4" thickBot="1">
      <c r="B130" s="23"/>
      <c r="C130" s="23"/>
      <c r="D130" s="23"/>
      <c r="E130" s="23"/>
      <c r="G130" s="34" t="s">
        <v>197</v>
      </c>
    </row>
    <row r="131" spans="1:24" ht="24" thickTop="1" thickBot="1">
      <c r="B131" s="215" t="s">
        <v>198</v>
      </c>
      <c r="C131" s="216"/>
      <c r="D131" s="216"/>
      <c r="E131" s="216"/>
      <c r="F131" s="216"/>
      <c r="G131" s="216"/>
      <c r="H131" s="216"/>
      <c r="I131" s="217"/>
      <c r="J131" s="218" t="s">
        <v>199</v>
      </c>
      <c r="K131" s="216"/>
      <c r="L131" s="216"/>
      <c r="M131" s="216"/>
      <c r="N131" s="216"/>
      <c r="O131" s="216"/>
      <c r="P131" s="216"/>
      <c r="Q131" s="216"/>
      <c r="R131" s="216"/>
      <c r="S131" s="216"/>
      <c r="T131" s="216"/>
      <c r="U131" s="219"/>
    </row>
    <row r="132" spans="1:24" ht="24" thickTop="1" thickBot="1">
      <c r="B132" s="210" t="s">
        <v>200</v>
      </c>
      <c r="C132" s="207"/>
      <c r="D132" s="206" t="s">
        <v>201</v>
      </c>
      <c r="E132" s="207"/>
      <c r="F132" s="206" t="s">
        <v>202</v>
      </c>
      <c r="G132" s="207"/>
      <c r="H132" s="206" t="s">
        <v>58</v>
      </c>
      <c r="I132" s="207"/>
      <c r="J132" s="206" t="s">
        <v>203</v>
      </c>
      <c r="K132" s="207"/>
      <c r="L132" s="206" t="s">
        <v>204</v>
      </c>
      <c r="M132" s="207"/>
      <c r="N132" s="206" t="s">
        <v>205</v>
      </c>
      <c r="O132" s="207"/>
      <c r="P132" s="206" t="s">
        <v>206</v>
      </c>
      <c r="Q132" s="207"/>
      <c r="R132" s="206" t="s">
        <v>207</v>
      </c>
      <c r="S132" s="207"/>
      <c r="T132" s="206" t="s">
        <v>58</v>
      </c>
      <c r="U132" s="208"/>
    </row>
    <row r="133" spans="1:24" ht="24" thickTop="1" thickBot="1">
      <c r="B133" s="209">
        <f>'[1]التعليم الابتدائي'!AIZ346</f>
        <v>1</v>
      </c>
      <c r="C133" s="204"/>
      <c r="D133" s="203">
        <f>'[1]التعليم الابتدائي'!AJA346</f>
        <v>0</v>
      </c>
      <c r="E133" s="204"/>
      <c r="F133" s="203">
        <f>'[1]التعليم الابتدائي'!AJB346</f>
        <v>0</v>
      </c>
      <c r="G133" s="204"/>
      <c r="H133" s="203">
        <f>F133+D133+B133</f>
        <v>1</v>
      </c>
      <c r="I133" s="204"/>
      <c r="J133" s="203">
        <f>'[1]التعليم الابتدائي'!AJF346</f>
        <v>0</v>
      </c>
      <c r="K133" s="204"/>
      <c r="L133" s="203">
        <f>'[1]التعليم الابتدائي'!AJG346</f>
        <v>1</v>
      </c>
      <c r="M133" s="204"/>
      <c r="N133" s="203">
        <f>'[1]التعليم الابتدائي'!AJH346</f>
        <v>0</v>
      </c>
      <c r="O133" s="204"/>
      <c r="P133" s="203">
        <f>'[1]التعليم الابتدائي'!AJI346</f>
        <v>0</v>
      </c>
      <c r="Q133" s="204"/>
      <c r="R133" s="203">
        <f>'[1]التعليم الابتدائي'!AJJ346</f>
        <v>0</v>
      </c>
      <c r="S133" s="204"/>
      <c r="T133" s="203">
        <f>R133+P133+N133+L133+J133</f>
        <v>1</v>
      </c>
      <c r="U133" s="205"/>
    </row>
    <row r="134" spans="1:24" ht="23.4" thickTop="1"/>
    <row r="135" spans="1:24">
      <c r="A135" s="231" t="s">
        <v>62</v>
      </c>
      <c r="B135" s="231"/>
      <c r="C135" s="231"/>
      <c r="D135" s="231"/>
      <c r="E135" s="231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31" t="s">
        <v>137</v>
      </c>
      <c r="S135" s="231"/>
      <c r="T135" s="231"/>
      <c r="U135" s="28"/>
      <c r="V135" s="28"/>
      <c r="W135" s="28"/>
    </row>
    <row r="136" spans="1:24">
      <c r="A136" s="231" t="s">
        <v>64</v>
      </c>
      <c r="B136" s="231"/>
      <c r="C136" s="231"/>
      <c r="D136" s="231"/>
      <c r="E136" s="231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31" t="s">
        <v>65</v>
      </c>
      <c r="S136" s="231"/>
      <c r="T136" s="231"/>
      <c r="U136" s="28"/>
      <c r="V136" s="28"/>
      <c r="W136" s="28"/>
    </row>
    <row r="137" spans="1:24">
      <c r="A137" s="28"/>
      <c r="B137" s="231" t="s">
        <v>143</v>
      </c>
      <c r="C137" s="231"/>
      <c r="D137" s="231"/>
      <c r="E137" s="231"/>
      <c r="F137" s="231"/>
      <c r="G137" s="231"/>
      <c r="H137" s="231"/>
      <c r="I137" s="231"/>
      <c r="J137" s="231"/>
      <c r="K137" s="231"/>
      <c r="L137" s="231"/>
      <c r="M137" s="231"/>
      <c r="N137" s="231"/>
      <c r="O137" s="231"/>
      <c r="P137" s="231"/>
      <c r="Q137" s="231"/>
      <c r="R137" s="231"/>
      <c r="S137" s="231"/>
      <c r="T137" s="28"/>
      <c r="U137" s="28"/>
      <c r="V137" s="28"/>
      <c r="W137" s="28"/>
    </row>
    <row r="138" spans="1:24">
      <c r="A138" s="28"/>
      <c r="B138" s="231" t="s">
        <v>208</v>
      </c>
      <c r="C138" s="231"/>
      <c r="D138" s="231"/>
      <c r="E138" s="231"/>
      <c r="F138" s="231"/>
      <c r="G138" s="231"/>
      <c r="H138" s="231"/>
      <c r="I138" s="231"/>
      <c r="J138" s="231"/>
      <c r="K138" s="231"/>
      <c r="L138" s="231"/>
      <c r="M138" s="231"/>
      <c r="N138" s="231"/>
      <c r="O138" s="231"/>
      <c r="P138" s="231"/>
      <c r="Q138" s="231"/>
      <c r="R138" s="231"/>
      <c r="S138" s="231"/>
      <c r="T138" s="28"/>
      <c r="U138" s="28"/>
      <c r="V138" s="28"/>
      <c r="W138" s="28"/>
    </row>
    <row r="139" spans="1:24">
      <c r="A139" s="28"/>
      <c r="B139" s="231" t="s">
        <v>144</v>
      </c>
      <c r="C139" s="231"/>
      <c r="D139" s="231"/>
      <c r="E139" s="231"/>
      <c r="F139" s="231"/>
      <c r="G139" s="231"/>
      <c r="H139" s="231"/>
      <c r="I139" s="231"/>
      <c r="J139" s="231"/>
      <c r="K139" s="231"/>
      <c r="L139" s="231"/>
      <c r="M139" s="231"/>
      <c r="N139" s="231"/>
      <c r="O139" s="231"/>
      <c r="P139" s="231"/>
      <c r="Q139" s="231"/>
      <c r="R139" s="231"/>
      <c r="S139" s="231"/>
      <c r="T139" s="28"/>
      <c r="U139" s="28"/>
      <c r="V139" s="28"/>
      <c r="W139" s="28"/>
    </row>
    <row r="140" spans="1:24" ht="23.4" thickBo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</row>
    <row r="141" spans="1:24" ht="24" thickTop="1" thickBot="1">
      <c r="B141" s="245" t="s">
        <v>145</v>
      </c>
      <c r="C141" s="233" t="s">
        <v>146</v>
      </c>
      <c r="D141" s="233"/>
      <c r="E141" s="233"/>
      <c r="F141" s="233"/>
      <c r="G141" s="233"/>
      <c r="H141" s="25" t="s">
        <v>147</v>
      </c>
      <c r="I141" s="26"/>
      <c r="J141" s="26"/>
      <c r="K141" s="26"/>
      <c r="L141" s="26"/>
      <c r="M141" s="26"/>
      <c r="N141" s="26"/>
      <c r="O141" s="26"/>
      <c r="P141" s="26"/>
      <c r="Q141" s="26"/>
      <c r="R141" s="24"/>
      <c r="S141" s="251" t="s">
        <v>58</v>
      </c>
      <c r="T141" s="252"/>
      <c r="U141" s="31"/>
      <c r="W141" s="31"/>
      <c r="X141" s="31"/>
    </row>
    <row r="142" spans="1:24" ht="24" thickTop="1" thickBot="1">
      <c r="B142" s="246"/>
      <c r="C142" s="227"/>
      <c r="D142" s="227"/>
      <c r="E142" s="227"/>
      <c r="F142" s="227"/>
      <c r="G142" s="227"/>
      <c r="H142" s="248" t="s">
        <v>148</v>
      </c>
      <c r="I142" s="248" t="s">
        <v>149</v>
      </c>
      <c r="J142" s="248" t="s">
        <v>150</v>
      </c>
      <c r="K142" s="240" t="s">
        <v>214</v>
      </c>
      <c r="L142" s="227" t="s">
        <v>152</v>
      </c>
      <c r="M142" s="227"/>
      <c r="N142" s="227" t="s">
        <v>153</v>
      </c>
      <c r="O142" s="227"/>
      <c r="P142" s="227"/>
      <c r="Q142" s="227" t="s">
        <v>154</v>
      </c>
      <c r="R142" s="227"/>
      <c r="S142" s="253"/>
      <c r="T142" s="254"/>
      <c r="U142" s="31"/>
      <c r="V142" s="31"/>
      <c r="W142" s="31"/>
      <c r="X142" s="31"/>
    </row>
    <row r="143" spans="1:24" ht="46.8" thickTop="1" thickBot="1">
      <c r="B143" s="246"/>
      <c r="C143" s="15" t="s">
        <v>155</v>
      </c>
      <c r="D143" s="15" t="s">
        <v>156</v>
      </c>
      <c r="E143" s="15" t="s">
        <v>157</v>
      </c>
      <c r="F143" s="15" t="s">
        <v>158</v>
      </c>
      <c r="G143" s="15" t="s">
        <v>58</v>
      </c>
      <c r="H143" s="248"/>
      <c r="I143" s="248"/>
      <c r="J143" s="248"/>
      <c r="K143" s="241"/>
      <c r="L143" s="15" t="s">
        <v>209</v>
      </c>
      <c r="M143" s="16" t="s">
        <v>160</v>
      </c>
      <c r="N143" s="15" t="s">
        <v>161</v>
      </c>
      <c r="O143" s="15" t="s">
        <v>162</v>
      </c>
      <c r="P143" s="15" t="s">
        <v>163</v>
      </c>
      <c r="Q143" s="227"/>
      <c r="R143" s="227"/>
      <c r="S143" s="255"/>
      <c r="T143" s="256"/>
      <c r="U143" s="31"/>
      <c r="V143" s="31"/>
      <c r="W143" s="31"/>
      <c r="X143" s="31"/>
    </row>
    <row r="144" spans="1:24" ht="24" thickTop="1" thickBot="1">
      <c r="B144" s="17" t="s">
        <v>164</v>
      </c>
      <c r="C144" s="15">
        <f>'[1]التعليم الابتدائي'!IY368</f>
        <v>13</v>
      </c>
      <c r="D144" s="15">
        <f>'[1]التعليم الابتدائي'!JA368</f>
        <v>0</v>
      </c>
      <c r="E144" s="15">
        <f>'[1]التعليم الابتدائي'!JC368</f>
        <v>0</v>
      </c>
      <c r="F144" s="15">
        <f>'[1]التعليم الابتدائي'!JE368</f>
        <v>0</v>
      </c>
      <c r="G144" s="15">
        <f>F144+E144+D144+C144</f>
        <v>13</v>
      </c>
      <c r="H144" s="15">
        <f>'[1]التعليم الابتدائي'!ADR368</f>
        <v>0</v>
      </c>
      <c r="I144" s="15">
        <f>'[1]التعليم الابتدائي'!ADT368</f>
        <v>0</v>
      </c>
      <c r="J144" s="15">
        <f>'[1]التعليم الابتدائي'!ADX368</f>
        <v>0</v>
      </c>
      <c r="K144" s="15">
        <f>'[1]التعليم الابتدائي'!ADV368</f>
        <v>0</v>
      </c>
      <c r="L144" s="15">
        <f>'[1]التعليم الابتدائي'!ADZ368</f>
        <v>0</v>
      </c>
      <c r="M144" s="15">
        <f>'[1]التعليم الابتدائي'!AEB368</f>
        <v>0</v>
      </c>
      <c r="N144" s="15">
        <f>'[1]التعليم الابتدائي'!AED368</f>
        <v>0</v>
      </c>
      <c r="O144" s="15">
        <f>'[1]التعليم الابتدائي'!AEF368</f>
        <v>0</v>
      </c>
      <c r="P144" s="15">
        <f>'[1]التعليم الابتدائي'!AEH368</f>
        <v>0</v>
      </c>
      <c r="Q144" s="257">
        <f>'[1]التعليم الابتدائي'!AEJ368</f>
        <v>0</v>
      </c>
      <c r="R144" s="258"/>
      <c r="S144" s="227">
        <f>Q144+P144+O144+M144+N144+J144+K144+L144+I144+H144</f>
        <v>0</v>
      </c>
      <c r="T144" s="244"/>
      <c r="U144" s="31"/>
      <c r="V144" s="31"/>
      <c r="W144" s="31"/>
      <c r="X144" s="31"/>
    </row>
    <row r="145" spans="1:24" ht="24" thickTop="1" thickBot="1">
      <c r="B145" s="17" t="s">
        <v>165</v>
      </c>
      <c r="C145" s="15">
        <f>'[1]التعليم الابتدائي'!IZ368</f>
        <v>7</v>
      </c>
      <c r="D145" s="15">
        <f>'[1]التعليم الابتدائي'!JB368</f>
        <v>0</v>
      </c>
      <c r="E145" s="15">
        <f>'[1]التعليم الابتدائي'!JD368</f>
        <v>0</v>
      </c>
      <c r="F145" s="15">
        <f>'[1]التعليم الابتدائي'!JF368</f>
        <v>0</v>
      </c>
      <c r="G145" s="15">
        <f>F145+E145+D145+C145</f>
        <v>7</v>
      </c>
      <c r="H145" s="15">
        <f>'[1]التعليم الابتدائي'!ADS368</f>
        <v>0</v>
      </c>
      <c r="I145" s="15">
        <f>'[1]التعليم الابتدائي'!ADU368</f>
        <v>0</v>
      </c>
      <c r="J145" s="15">
        <f>'[1]التعليم الابتدائي'!ADY368</f>
        <v>0</v>
      </c>
      <c r="K145" s="15">
        <f>'[1]التعليم الابتدائي'!ADW368</f>
        <v>0</v>
      </c>
      <c r="L145" s="15">
        <f>'[1]التعليم الابتدائي'!AEA368</f>
        <v>0</v>
      </c>
      <c r="M145" s="15">
        <f>'[1]التعليم الابتدائي'!AEC368</f>
        <v>0</v>
      </c>
      <c r="N145" s="15">
        <f>'[1]التعليم الابتدائي'!AEE368</f>
        <v>0</v>
      </c>
      <c r="O145" s="15">
        <f>'[1]التعليم الابتدائي'!AEG368</f>
        <v>0</v>
      </c>
      <c r="P145" s="15">
        <f>'[1]التعليم الابتدائي'!AEI368</f>
        <v>0</v>
      </c>
      <c r="Q145" s="257">
        <f>'[1]التعليم الابتدائي'!AEK368</f>
        <v>0</v>
      </c>
      <c r="R145" s="258"/>
      <c r="S145" s="227">
        <f>Q145+P145+O145+M145+N145+J145+K145+L145+I145+H145</f>
        <v>0</v>
      </c>
      <c r="T145" s="244"/>
      <c r="U145" s="31"/>
      <c r="V145" s="31"/>
      <c r="W145" s="31"/>
      <c r="X145" s="31"/>
    </row>
    <row r="146" spans="1:24" ht="24" thickTop="1" thickBot="1">
      <c r="B146" s="18" t="s">
        <v>122</v>
      </c>
      <c r="C146" s="20">
        <f t="shared" ref="C146:S146" si="5">C145+C144</f>
        <v>20</v>
      </c>
      <c r="D146" s="20">
        <f t="shared" si="5"/>
        <v>0</v>
      </c>
      <c r="E146" s="20">
        <f t="shared" si="5"/>
        <v>0</v>
      </c>
      <c r="F146" s="20">
        <f t="shared" si="5"/>
        <v>0</v>
      </c>
      <c r="G146" s="20">
        <f t="shared" si="5"/>
        <v>20</v>
      </c>
      <c r="H146" s="20">
        <f t="shared" si="5"/>
        <v>0</v>
      </c>
      <c r="I146" s="20">
        <f t="shared" si="5"/>
        <v>0</v>
      </c>
      <c r="J146" s="20">
        <f t="shared" si="5"/>
        <v>0</v>
      </c>
      <c r="K146" s="20">
        <f t="shared" si="5"/>
        <v>0</v>
      </c>
      <c r="L146" s="20">
        <f t="shared" si="5"/>
        <v>0</v>
      </c>
      <c r="M146" s="20">
        <f t="shared" si="5"/>
        <v>0</v>
      </c>
      <c r="N146" s="20">
        <f t="shared" si="5"/>
        <v>0</v>
      </c>
      <c r="O146" s="20">
        <f t="shared" si="5"/>
        <v>0</v>
      </c>
      <c r="P146" s="20">
        <f t="shared" si="5"/>
        <v>0</v>
      </c>
      <c r="Q146" s="229">
        <f t="shared" si="5"/>
        <v>0</v>
      </c>
      <c r="R146" s="229">
        <f t="shared" si="5"/>
        <v>0</v>
      </c>
      <c r="S146" s="229">
        <f t="shared" si="5"/>
        <v>0</v>
      </c>
      <c r="T146" s="230"/>
      <c r="U146" s="31"/>
      <c r="V146" s="31"/>
      <c r="W146" s="31"/>
      <c r="X146" s="31"/>
    </row>
    <row r="147" spans="1:24" ht="23.4" thickTop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31"/>
    </row>
    <row r="148" spans="1:24">
      <c r="A148" s="28"/>
      <c r="B148" s="231" t="s">
        <v>166</v>
      </c>
      <c r="C148" s="231"/>
      <c r="D148" s="231"/>
      <c r="E148" s="231"/>
      <c r="F148" s="231"/>
      <c r="G148" s="231"/>
      <c r="H148" s="231"/>
      <c r="I148" s="231"/>
      <c r="J148" s="231"/>
      <c r="K148" s="231"/>
      <c r="L148" s="231"/>
      <c r="M148" s="231"/>
      <c r="N148" s="231"/>
      <c r="O148" s="231"/>
      <c r="P148" s="231"/>
      <c r="Q148" s="231"/>
      <c r="R148" s="231"/>
      <c r="S148" s="231"/>
      <c r="T148" s="28"/>
      <c r="U148" s="28"/>
      <c r="V148" s="28"/>
      <c r="W148" s="28"/>
    </row>
    <row r="149" spans="1:24">
      <c r="A149" s="28"/>
      <c r="B149" s="231" t="s">
        <v>208</v>
      </c>
      <c r="C149" s="231"/>
      <c r="D149" s="231"/>
      <c r="E149" s="231"/>
      <c r="F149" s="231"/>
      <c r="G149" s="231"/>
      <c r="H149" s="231"/>
      <c r="I149" s="231"/>
      <c r="J149" s="231"/>
      <c r="K149" s="231"/>
      <c r="L149" s="231"/>
      <c r="M149" s="231"/>
      <c r="N149" s="231"/>
      <c r="O149" s="231"/>
      <c r="P149" s="231"/>
      <c r="Q149" s="231"/>
      <c r="R149" s="231"/>
      <c r="S149" s="231"/>
      <c r="T149" s="28"/>
      <c r="U149" s="28"/>
      <c r="V149" s="28"/>
      <c r="W149" s="28"/>
    </row>
    <row r="150" spans="1:24">
      <c r="A150" s="28"/>
      <c r="B150" s="231" t="s">
        <v>167</v>
      </c>
      <c r="C150" s="231"/>
      <c r="D150" s="231"/>
      <c r="E150" s="231"/>
      <c r="F150" s="231"/>
      <c r="G150" s="231"/>
      <c r="H150" s="231"/>
      <c r="I150" s="231"/>
      <c r="J150" s="231"/>
      <c r="K150" s="231"/>
      <c r="L150" s="231"/>
      <c r="M150" s="231"/>
      <c r="N150" s="231"/>
      <c r="O150" s="231"/>
      <c r="P150" s="231"/>
      <c r="Q150" s="231"/>
      <c r="R150" s="231"/>
      <c r="S150" s="231"/>
      <c r="T150" s="28"/>
      <c r="U150" s="28"/>
      <c r="V150" s="28"/>
      <c r="W150" s="28"/>
    </row>
    <row r="151" spans="1:24" ht="23.4" thickBo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</row>
    <row r="152" spans="1:24" ht="24" thickTop="1" thickBot="1">
      <c r="A152" s="232" t="s">
        <v>168</v>
      </c>
      <c r="B152" s="233"/>
      <c r="C152" s="233"/>
      <c r="D152" s="234" t="s">
        <v>169</v>
      </c>
      <c r="E152" s="235"/>
      <c r="F152" s="236"/>
      <c r="G152" s="223" t="s">
        <v>170</v>
      </c>
      <c r="H152" s="224"/>
      <c r="I152" s="237"/>
      <c r="J152" s="223" t="s">
        <v>171</v>
      </c>
      <c r="K152" s="237"/>
      <c r="L152" s="25" t="s">
        <v>172</v>
      </c>
      <c r="M152" s="26"/>
      <c r="N152" s="26"/>
      <c r="O152" s="26"/>
      <c r="P152" s="26"/>
      <c r="Q152" s="24"/>
      <c r="R152" s="249" t="s">
        <v>173</v>
      </c>
      <c r="S152" s="223" t="s">
        <v>174</v>
      </c>
      <c r="T152" s="224"/>
      <c r="U152" s="224"/>
      <c r="V152" s="225"/>
    </row>
    <row r="153" spans="1:24" ht="24" thickTop="1" thickBot="1">
      <c r="A153" s="226" t="s">
        <v>175</v>
      </c>
      <c r="B153" s="227"/>
      <c r="C153" s="228" t="s">
        <v>176</v>
      </c>
      <c r="D153" s="220" t="s">
        <v>177</v>
      </c>
      <c r="E153" s="211" t="s">
        <v>178</v>
      </c>
      <c r="F153" s="211" t="s">
        <v>210</v>
      </c>
      <c r="G153" s="228" t="s">
        <v>180</v>
      </c>
      <c r="H153" s="211" t="s">
        <v>181</v>
      </c>
      <c r="I153" s="211" t="s">
        <v>182</v>
      </c>
      <c r="J153" s="221" t="s">
        <v>183</v>
      </c>
      <c r="K153" s="211" t="s">
        <v>184</v>
      </c>
      <c r="L153" s="221" t="s">
        <v>185</v>
      </c>
      <c r="M153" s="221" t="s">
        <v>211</v>
      </c>
      <c r="N153" s="221" t="s">
        <v>188</v>
      </c>
      <c r="O153" s="221" t="s">
        <v>189</v>
      </c>
      <c r="P153" s="221" t="s">
        <v>186</v>
      </c>
      <c r="Q153" s="221" t="s">
        <v>190</v>
      </c>
      <c r="R153" s="250"/>
      <c r="S153" s="211" t="s">
        <v>191</v>
      </c>
      <c r="T153" s="265" t="s">
        <v>192</v>
      </c>
      <c r="U153" s="265" t="s">
        <v>193</v>
      </c>
      <c r="V153" s="267" t="s">
        <v>212</v>
      </c>
    </row>
    <row r="154" spans="1:24" ht="46.8" thickTop="1" thickBot="1">
      <c r="A154" s="17" t="s">
        <v>195</v>
      </c>
      <c r="B154" s="16" t="s">
        <v>196</v>
      </c>
      <c r="C154" s="228"/>
      <c r="D154" s="220"/>
      <c r="E154" s="212"/>
      <c r="F154" s="212"/>
      <c r="G154" s="228"/>
      <c r="H154" s="212"/>
      <c r="I154" s="212"/>
      <c r="J154" s="222"/>
      <c r="K154" s="212"/>
      <c r="L154" s="222"/>
      <c r="M154" s="222"/>
      <c r="N154" s="222"/>
      <c r="O154" s="222"/>
      <c r="P154" s="222"/>
      <c r="Q154" s="222"/>
      <c r="R154" s="212"/>
      <c r="S154" s="212"/>
      <c r="T154" s="266"/>
      <c r="U154" s="266"/>
      <c r="V154" s="268"/>
    </row>
    <row r="155" spans="1:24" ht="24" thickTop="1" thickBot="1">
      <c r="A155" s="18">
        <f>'[1]التعليم الابتدائي'!ALH368</f>
        <v>0</v>
      </c>
      <c r="B155" s="20">
        <f>'[1]التعليم الابتدائي'!ALI368</f>
        <v>12</v>
      </c>
      <c r="C155" s="20">
        <f>'[1]التعليم الابتدائي'!ALJ368</f>
        <v>0</v>
      </c>
      <c r="D155" s="20">
        <f>'[1]التعليم الابتدائي'!ALE368</f>
        <v>2</v>
      </c>
      <c r="E155" s="21">
        <f>'[1]التعليم الابتدائي'!ALF368</f>
        <v>8</v>
      </c>
      <c r="F155" s="20">
        <f>'[1]التعليم الابتدائي'!ALG368</f>
        <v>2</v>
      </c>
      <c r="G155" s="20">
        <f>'[1]التعليم الابتدائي'!ALK368</f>
        <v>6</v>
      </c>
      <c r="H155" s="21">
        <f>'[1]التعليم الابتدائي'!ALL368</f>
        <v>4</v>
      </c>
      <c r="I155" s="20">
        <f>'[1]التعليم الابتدائي'!ALM368</f>
        <v>2</v>
      </c>
      <c r="J155" s="20">
        <f>'[1]التعليم الابتدائي'!AIS368</f>
        <v>12</v>
      </c>
      <c r="K155" s="20">
        <f>'[1]التعليم الابتدائي'!AIT368</f>
        <v>0</v>
      </c>
      <c r="L155" s="20">
        <f>'[1]التعليم الابتدائي'!AJN368</f>
        <v>8</v>
      </c>
      <c r="M155" s="20">
        <f>'[1]التعليم الابتدائي'!AJP368</f>
        <v>0</v>
      </c>
      <c r="N155" s="20"/>
      <c r="O155" s="20">
        <f>'[1]التعليم الابتدائي'!AJQ368</f>
        <v>0</v>
      </c>
      <c r="P155" s="20">
        <f>'[1]التعليم الابتدائي'!AJR368</f>
        <v>0</v>
      </c>
      <c r="Q155" s="20">
        <f>'[1]التعليم الابتدائي'!AJT368</f>
        <v>0</v>
      </c>
      <c r="R155" s="20">
        <f>Q155+P155+O155+M155+L155</f>
        <v>8</v>
      </c>
      <c r="S155" s="20">
        <f>'[1]التعليم الابتدائي'!AJU368</f>
        <v>12</v>
      </c>
      <c r="T155" s="20">
        <f>'[1]التعليم الابتدائي'!AKA368</f>
        <v>12</v>
      </c>
      <c r="U155" s="20">
        <f>'[1]التعليم الابتدائي'!AKH368</f>
        <v>12</v>
      </c>
      <c r="V155" s="33">
        <f>'[1]التعليم الابتدائي'!AKL368</f>
        <v>12</v>
      </c>
    </row>
    <row r="156" spans="1:24" ht="23.4" thickTop="1"/>
    <row r="157" spans="1:24" ht="23.4" thickBot="1">
      <c r="B157" s="23"/>
      <c r="C157" s="23"/>
      <c r="D157" s="23"/>
      <c r="E157" s="23"/>
      <c r="G157" s="34" t="s">
        <v>197</v>
      </c>
    </row>
    <row r="158" spans="1:24" ht="24" thickTop="1" thickBot="1">
      <c r="B158" s="215" t="s">
        <v>198</v>
      </c>
      <c r="C158" s="216"/>
      <c r="D158" s="216"/>
      <c r="E158" s="216"/>
      <c r="F158" s="216"/>
      <c r="G158" s="216"/>
      <c r="H158" s="216"/>
      <c r="I158" s="217"/>
      <c r="J158" s="218" t="s">
        <v>199</v>
      </c>
      <c r="K158" s="216"/>
      <c r="L158" s="216"/>
      <c r="M158" s="216"/>
      <c r="N158" s="216"/>
      <c r="O158" s="216"/>
      <c r="P158" s="216"/>
      <c r="Q158" s="216"/>
      <c r="R158" s="216"/>
      <c r="S158" s="216"/>
      <c r="T158" s="216"/>
      <c r="U158" s="219"/>
    </row>
    <row r="159" spans="1:24" ht="24" thickTop="1" thickBot="1">
      <c r="B159" s="210" t="s">
        <v>200</v>
      </c>
      <c r="C159" s="207"/>
      <c r="D159" s="206" t="s">
        <v>201</v>
      </c>
      <c r="E159" s="207"/>
      <c r="F159" s="206" t="s">
        <v>202</v>
      </c>
      <c r="G159" s="207"/>
      <c r="H159" s="206" t="s">
        <v>58</v>
      </c>
      <c r="I159" s="207"/>
      <c r="J159" s="206" t="s">
        <v>203</v>
      </c>
      <c r="K159" s="207"/>
      <c r="L159" s="206" t="s">
        <v>204</v>
      </c>
      <c r="M159" s="207"/>
      <c r="N159" s="206" t="s">
        <v>205</v>
      </c>
      <c r="O159" s="207"/>
      <c r="P159" s="206" t="s">
        <v>206</v>
      </c>
      <c r="Q159" s="207"/>
      <c r="R159" s="206" t="s">
        <v>207</v>
      </c>
      <c r="S159" s="207"/>
      <c r="T159" s="206" t="s">
        <v>58</v>
      </c>
      <c r="U159" s="208"/>
    </row>
    <row r="160" spans="1:24" ht="24" thickTop="1" thickBot="1">
      <c r="B160" s="209">
        <f>'[1]التعليم الابتدائي'!AIZ368</f>
        <v>8</v>
      </c>
      <c r="C160" s="204"/>
      <c r="D160" s="203">
        <f>'[1]التعليم الابتدائي'!AJA368</f>
        <v>4</v>
      </c>
      <c r="E160" s="204"/>
      <c r="F160" s="203">
        <f>'[1]التعليم الابتدائي'!AJB368</f>
        <v>0</v>
      </c>
      <c r="G160" s="204"/>
      <c r="H160" s="203">
        <f>F160+D160+B160</f>
        <v>12</v>
      </c>
      <c r="I160" s="204"/>
      <c r="J160" s="203">
        <f>'[1]التعليم الابتدائي'!AJF368</f>
        <v>2</v>
      </c>
      <c r="K160" s="204"/>
      <c r="L160" s="203">
        <f>'[1]التعليم الابتدائي'!AJG368</f>
        <v>0</v>
      </c>
      <c r="M160" s="204"/>
      <c r="N160" s="203">
        <f>'[1]التعليم الابتدائي'!AJH368</f>
        <v>7</v>
      </c>
      <c r="O160" s="204"/>
      <c r="P160" s="203">
        <f>'[1]التعليم الابتدائي'!AJI368</f>
        <v>3</v>
      </c>
      <c r="Q160" s="204"/>
      <c r="R160" s="203">
        <f>'[1]التعليم الابتدائي'!AJJ368</f>
        <v>0</v>
      </c>
      <c r="S160" s="204"/>
      <c r="T160" s="203">
        <f>R160+P160+N160+L160+J160</f>
        <v>12</v>
      </c>
      <c r="U160" s="205"/>
    </row>
    <row r="161" spans="1:24" ht="23.4" thickTop="1"/>
    <row r="163" spans="1:24">
      <c r="A163" s="231" t="s">
        <v>62</v>
      </c>
      <c r="B163" s="231"/>
      <c r="C163" s="231"/>
      <c r="D163" s="231"/>
      <c r="E163" s="231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31" t="s">
        <v>88</v>
      </c>
      <c r="S163" s="231"/>
      <c r="T163" s="231"/>
      <c r="U163" s="28"/>
      <c r="V163" s="28"/>
      <c r="W163" s="28"/>
    </row>
    <row r="164" spans="1:24">
      <c r="A164" s="231" t="s">
        <v>64</v>
      </c>
      <c r="B164" s="231"/>
      <c r="C164" s="231"/>
      <c r="D164" s="231"/>
      <c r="E164" s="231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31" t="s">
        <v>65</v>
      </c>
      <c r="S164" s="231"/>
      <c r="T164" s="231"/>
      <c r="U164" s="28"/>
      <c r="V164" s="28"/>
      <c r="W164" s="28"/>
    </row>
    <row r="165" spans="1:24">
      <c r="A165" s="28"/>
      <c r="B165" s="231" t="s">
        <v>143</v>
      </c>
      <c r="C165" s="231"/>
      <c r="D165" s="231"/>
      <c r="E165" s="231"/>
      <c r="F165" s="231"/>
      <c r="G165" s="231"/>
      <c r="H165" s="231"/>
      <c r="I165" s="231"/>
      <c r="J165" s="231"/>
      <c r="K165" s="231"/>
      <c r="L165" s="231"/>
      <c r="M165" s="231"/>
      <c r="N165" s="231"/>
      <c r="O165" s="231"/>
      <c r="P165" s="231"/>
      <c r="Q165" s="231"/>
      <c r="R165" s="231"/>
      <c r="S165" s="231"/>
      <c r="T165" s="28"/>
      <c r="U165" s="28"/>
      <c r="V165" s="28"/>
      <c r="W165" s="28"/>
    </row>
    <row r="166" spans="1:24">
      <c r="A166" s="28"/>
      <c r="B166" s="231" t="s">
        <v>208</v>
      </c>
      <c r="C166" s="231"/>
      <c r="D166" s="231"/>
      <c r="E166" s="231"/>
      <c r="F166" s="231"/>
      <c r="G166" s="231"/>
      <c r="H166" s="231"/>
      <c r="I166" s="231"/>
      <c r="J166" s="231"/>
      <c r="K166" s="231"/>
      <c r="L166" s="231"/>
      <c r="M166" s="231"/>
      <c r="N166" s="231"/>
      <c r="O166" s="231"/>
      <c r="P166" s="231"/>
      <c r="Q166" s="231"/>
      <c r="R166" s="231"/>
      <c r="S166" s="231"/>
      <c r="T166" s="28"/>
      <c r="U166" s="28"/>
      <c r="V166" s="28"/>
      <c r="W166" s="28"/>
    </row>
    <row r="167" spans="1:24">
      <c r="A167" s="28"/>
      <c r="B167" s="231" t="s">
        <v>144</v>
      </c>
      <c r="C167" s="231"/>
      <c r="D167" s="231"/>
      <c r="E167" s="231"/>
      <c r="F167" s="231"/>
      <c r="G167" s="231"/>
      <c r="H167" s="231"/>
      <c r="I167" s="231"/>
      <c r="J167" s="231"/>
      <c r="K167" s="231"/>
      <c r="L167" s="231"/>
      <c r="M167" s="231"/>
      <c r="N167" s="231"/>
      <c r="O167" s="231"/>
      <c r="P167" s="231"/>
      <c r="Q167" s="231"/>
      <c r="R167" s="231"/>
      <c r="S167" s="231"/>
      <c r="T167" s="28"/>
      <c r="U167" s="28"/>
      <c r="V167" s="28"/>
      <c r="W167" s="28"/>
    </row>
    <row r="168" spans="1:24" ht="23.4" thickBo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</row>
    <row r="169" spans="1:24" ht="24" thickTop="1" thickBot="1">
      <c r="B169" s="245" t="s">
        <v>145</v>
      </c>
      <c r="C169" s="233" t="s">
        <v>146</v>
      </c>
      <c r="D169" s="233"/>
      <c r="E169" s="233"/>
      <c r="F169" s="233"/>
      <c r="G169" s="233"/>
      <c r="H169" s="25" t="s">
        <v>147</v>
      </c>
      <c r="I169" s="26"/>
      <c r="J169" s="26"/>
      <c r="K169" s="26"/>
      <c r="L169" s="26"/>
      <c r="M169" s="26"/>
      <c r="N169" s="26"/>
      <c r="O169" s="26"/>
      <c r="P169" s="26"/>
      <c r="Q169" s="26"/>
      <c r="R169" s="24"/>
      <c r="S169" s="251" t="s">
        <v>58</v>
      </c>
      <c r="T169" s="252"/>
      <c r="U169" s="31"/>
      <c r="W169" s="31"/>
      <c r="X169" s="31"/>
    </row>
    <row r="170" spans="1:24" ht="24" thickTop="1" thickBot="1">
      <c r="B170" s="246"/>
      <c r="C170" s="227"/>
      <c r="D170" s="227"/>
      <c r="E170" s="227"/>
      <c r="F170" s="227"/>
      <c r="G170" s="227"/>
      <c r="H170" s="248" t="s">
        <v>148</v>
      </c>
      <c r="I170" s="248" t="s">
        <v>149</v>
      </c>
      <c r="J170" s="248" t="s">
        <v>150</v>
      </c>
      <c r="K170" s="240" t="s">
        <v>214</v>
      </c>
      <c r="L170" s="227" t="s">
        <v>152</v>
      </c>
      <c r="M170" s="227"/>
      <c r="N170" s="227" t="s">
        <v>153</v>
      </c>
      <c r="O170" s="227"/>
      <c r="P170" s="227"/>
      <c r="Q170" s="227" t="s">
        <v>154</v>
      </c>
      <c r="R170" s="227"/>
      <c r="S170" s="253"/>
      <c r="T170" s="254"/>
      <c r="U170" s="31"/>
      <c r="V170" s="31"/>
      <c r="W170" s="31"/>
      <c r="X170" s="31"/>
    </row>
    <row r="171" spans="1:24" ht="46.8" thickTop="1" thickBot="1">
      <c r="B171" s="246"/>
      <c r="C171" s="15" t="s">
        <v>155</v>
      </c>
      <c r="D171" s="15" t="s">
        <v>156</v>
      </c>
      <c r="E171" s="15" t="s">
        <v>157</v>
      </c>
      <c r="F171" s="15" t="s">
        <v>158</v>
      </c>
      <c r="G171" s="15" t="s">
        <v>58</v>
      </c>
      <c r="H171" s="248"/>
      <c r="I171" s="248"/>
      <c r="J171" s="248"/>
      <c r="K171" s="241"/>
      <c r="L171" s="15" t="s">
        <v>209</v>
      </c>
      <c r="M171" s="16" t="s">
        <v>160</v>
      </c>
      <c r="N171" s="15" t="s">
        <v>161</v>
      </c>
      <c r="O171" s="15" t="s">
        <v>162</v>
      </c>
      <c r="P171" s="15" t="s">
        <v>163</v>
      </c>
      <c r="Q171" s="227"/>
      <c r="R171" s="227"/>
      <c r="S171" s="255"/>
      <c r="T171" s="256"/>
      <c r="U171" s="31"/>
      <c r="V171" s="31"/>
      <c r="W171" s="31"/>
      <c r="X171" s="31"/>
    </row>
    <row r="172" spans="1:24" ht="24" thickTop="1" thickBot="1">
      <c r="B172" s="17" t="s">
        <v>164</v>
      </c>
      <c r="C172" s="15">
        <f>'[1]التعليم الابتدائي'!IY376</f>
        <v>7</v>
      </c>
      <c r="D172" s="15">
        <f>'[1]التعليم الابتدائي'!JA376</f>
        <v>0</v>
      </c>
      <c r="E172" s="15">
        <f>'[1]التعليم الابتدائي'!JC376</f>
        <v>0</v>
      </c>
      <c r="F172" s="15">
        <f>'[1]التعليم الابتدائي'!JE376</f>
        <v>0</v>
      </c>
      <c r="G172" s="15">
        <f>F172+E172+D172+C172</f>
        <v>7</v>
      </c>
      <c r="H172" s="15">
        <f>'[1]التعليم الابتدائي'!ADR376</f>
        <v>0</v>
      </c>
      <c r="I172" s="15">
        <f>'[1]التعليم الابتدائي'!ADT376</f>
        <v>0</v>
      </c>
      <c r="J172" s="15">
        <f>'[1]التعليم الابتدائي'!ADX376</f>
        <v>0</v>
      </c>
      <c r="K172" s="15">
        <f>'[1]التعليم الابتدائي'!ADV376</f>
        <v>0</v>
      </c>
      <c r="L172" s="15">
        <f>'[1]التعليم الابتدائي'!ADZ376</f>
        <v>0</v>
      </c>
      <c r="M172" s="15">
        <f>'[1]التعليم الابتدائي'!AEB376</f>
        <v>0</v>
      </c>
      <c r="N172" s="15">
        <f>'[1]التعليم الابتدائي'!AED376</f>
        <v>0</v>
      </c>
      <c r="O172" s="15">
        <f>'[1]التعليم الابتدائي'!AEF376</f>
        <v>0</v>
      </c>
      <c r="P172" s="15">
        <f>'[1]التعليم الابتدائي'!AEH376</f>
        <v>0</v>
      </c>
      <c r="Q172" s="257">
        <f>'[1]التعليم الابتدائي'!AEJ376</f>
        <v>0</v>
      </c>
      <c r="R172" s="258"/>
      <c r="S172" s="227">
        <f>Q172+P172+O172+M172+N172+J172+K172+L172+I172+H172</f>
        <v>0</v>
      </c>
      <c r="T172" s="244"/>
      <c r="U172" s="31"/>
      <c r="V172" s="31"/>
      <c r="W172" s="31"/>
      <c r="X172" s="31"/>
    </row>
    <row r="173" spans="1:24" ht="24" thickTop="1" thickBot="1">
      <c r="B173" s="17" t="s">
        <v>165</v>
      </c>
      <c r="C173" s="15">
        <f>'[1]التعليم الابتدائي'!IZ376</f>
        <v>0</v>
      </c>
      <c r="D173" s="15">
        <f>'[1]التعليم الابتدائي'!JB376</f>
        <v>0</v>
      </c>
      <c r="E173" s="15">
        <f>'[1]التعليم الابتدائي'!JD376</f>
        <v>0</v>
      </c>
      <c r="F173" s="15">
        <f>'[1]التعليم الابتدائي'!JF376</f>
        <v>0</v>
      </c>
      <c r="G173" s="15">
        <f>F173+E173+D173+C173</f>
        <v>0</v>
      </c>
      <c r="H173" s="15">
        <f>'[1]التعليم الابتدائي'!ADS376</f>
        <v>0</v>
      </c>
      <c r="I173" s="15">
        <f>'[1]التعليم الابتدائي'!ADU376</f>
        <v>0</v>
      </c>
      <c r="J173" s="15">
        <f>'[1]التعليم الابتدائي'!ADY376</f>
        <v>0</v>
      </c>
      <c r="K173" s="15">
        <f>'[1]التعليم الابتدائي'!ADW376</f>
        <v>0</v>
      </c>
      <c r="L173" s="15">
        <f>'[1]التعليم الابتدائي'!AEA376</f>
        <v>0</v>
      </c>
      <c r="M173" s="15">
        <f>'[1]التعليم الابتدائي'!AEC376</f>
        <v>0</v>
      </c>
      <c r="N173" s="15">
        <f>'[1]التعليم الابتدائي'!AEE376</f>
        <v>0</v>
      </c>
      <c r="O173" s="15">
        <f>'[1]التعليم الابتدائي'!AEG376</f>
        <v>0</v>
      </c>
      <c r="P173" s="15">
        <f>'[1]التعليم الابتدائي'!AEI376</f>
        <v>0</v>
      </c>
      <c r="Q173" s="257">
        <f>'[1]التعليم الابتدائي'!AEK376</f>
        <v>0</v>
      </c>
      <c r="R173" s="258"/>
      <c r="S173" s="227">
        <f>Q173+P173+O173+M173+N173+J173+K173+L173+I173+H173</f>
        <v>0</v>
      </c>
      <c r="T173" s="244"/>
      <c r="U173" s="31"/>
      <c r="V173" s="31"/>
      <c r="W173" s="31"/>
      <c r="X173" s="31"/>
    </row>
    <row r="174" spans="1:24" ht="24" thickTop="1" thickBot="1">
      <c r="B174" s="18" t="s">
        <v>122</v>
      </c>
      <c r="C174" s="20">
        <f t="shared" ref="C174:S174" si="6">C173+C172</f>
        <v>7</v>
      </c>
      <c r="D174" s="20">
        <f t="shared" si="6"/>
        <v>0</v>
      </c>
      <c r="E174" s="20">
        <f t="shared" si="6"/>
        <v>0</v>
      </c>
      <c r="F174" s="20">
        <f t="shared" si="6"/>
        <v>0</v>
      </c>
      <c r="G174" s="20">
        <f t="shared" si="6"/>
        <v>7</v>
      </c>
      <c r="H174" s="20">
        <f t="shared" si="6"/>
        <v>0</v>
      </c>
      <c r="I174" s="20">
        <f t="shared" si="6"/>
        <v>0</v>
      </c>
      <c r="J174" s="20">
        <f t="shared" si="6"/>
        <v>0</v>
      </c>
      <c r="K174" s="20">
        <f t="shared" si="6"/>
        <v>0</v>
      </c>
      <c r="L174" s="20">
        <f t="shared" si="6"/>
        <v>0</v>
      </c>
      <c r="M174" s="20">
        <f t="shared" si="6"/>
        <v>0</v>
      </c>
      <c r="N174" s="20">
        <f t="shared" si="6"/>
        <v>0</v>
      </c>
      <c r="O174" s="20">
        <f t="shared" si="6"/>
        <v>0</v>
      </c>
      <c r="P174" s="20">
        <f t="shared" si="6"/>
        <v>0</v>
      </c>
      <c r="Q174" s="229">
        <f t="shared" si="6"/>
        <v>0</v>
      </c>
      <c r="R174" s="229">
        <f t="shared" si="6"/>
        <v>0</v>
      </c>
      <c r="S174" s="229">
        <f t="shared" si="6"/>
        <v>0</v>
      </c>
      <c r="T174" s="230"/>
      <c r="U174" s="31"/>
      <c r="V174" s="31"/>
      <c r="W174" s="31"/>
      <c r="X174" s="31"/>
    </row>
    <row r="175" spans="1:24" ht="23.4" thickTop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31"/>
    </row>
    <row r="176" spans="1:24">
      <c r="A176" s="28"/>
      <c r="B176" s="231" t="s">
        <v>166</v>
      </c>
      <c r="C176" s="231"/>
      <c r="D176" s="231"/>
      <c r="E176" s="231"/>
      <c r="F176" s="231"/>
      <c r="G176" s="231"/>
      <c r="H176" s="231"/>
      <c r="I176" s="231"/>
      <c r="J176" s="231"/>
      <c r="K176" s="231"/>
      <c r="L176" s="231"/>
      <c r="M176" s="231"/>
      <c r="N176" s="231"/>
      <c r="O176" s="231"/>
      <c r="P176" s="231"/>
      <c r="Q176" s="231"/>
      <c r="R176" s="231"/>
      <c r="S176" s="231"/>
      <c r="T176" s="28"/>
      <c r="U176" s="28"/>
      <c r="V176" s="28"/>
      <c r="W176" s="28"/>
    </row>
    <row r="177" spans="1:23">
      <c r="A177" s="28"/>
      <c r="B177" s="231" t="s">
        <v>208</v>
      </c>
      <c r="C177" s="231"/>
      <c r="D177" s="231"/>
      <c r="E177" s="231"/>
      <c r="F177" s="231"/>
      <c r="G177" s="231"/>
      <c r="H177" s="231"/>
      <c r="I177" s="231"/>
      <c r="J177" s="231"/>
      <c r="K177" s="231"/>
      <c r="L177" s="231"/>
      <c r="M177" s="231"/>
      <c r="N177" s="231"/>
      <c r="O177" s="231"/>
      <c r="P177" s="231"/>
      <c r="Q177" s="231"/>
      <c r="R177" s="231"/>
      <c r="S177" s="231"/>
      <c r="T177" s="28"/>
      <c r="U177" s="28"/>
      <c r="V177" s="28"/>
      <c r="W177" s="28"/>
    </row>
    <row r="178" spans="1:23">
      <c r="A178" s="28"/>
      <c r="B178" s="231" t="s">
        <v>167</v>
      </c>
      <c r="C178" s="231"/>
      <c r="D178" s="231"/>
      <c r="E178" s="231"/>
      <c r="F178" s="231"/>
      <c r="G178" s="231"/>
      <c r="H178" s="231"/>
      <c r="I178" s="231"/>
      <c r="J178" s="231"/>
      <c r="K178" s="231"/>
      <c r="L178" s="231"/>
      <c r="M178" s="231"/>
      <c r="N178" s="231"/>
      <c r="O178" s="231"/>
      <c r="P178" s="231"/>
      <c r="Q178" s="231"/>
      <c r="R178" s="231"/>
      <c r="S178" s="231"/>
      <c r="T178" s="28"/>
      <c r="U178" s="28"/>
      <c r="V178" s="28"/>
      <c r="W178" s="28"/>
    </row>
    <row r="179" spans="1:23" ht="23.4" thickBo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</row>
    <row r="180" spans="1:23" ht="24" thickTop="1" thickBot="1">
      <c r="A180" s="232" t="s">
        <v>168</v>
      </c>
      <c r="B180" s="233"/>
      <c r="C180" s="233"/>
      <c r="D180" s="234" t="s">
        <v>169</v>
      </c>
      <c r="E180" s="235"/>
      <c r="F180" s="236"/>
      <c r="G180" s="223" t="s">
        <v>170</v>
      </c>
      <c r="H180" s="224"/>
      <c r="I180" s="237"/>
      <c r="J180" s="223" t="s">
        <v>171</v>
      </c>
      <c r="K180" s="237"/>
      <c r="L180" s="25" t="s">
        <v>172</v>
      </c>
      <c r="M180" s="26"/>
      <c r="N180" s="26"/>
      <c r="O180" s="26"/>
      <c r="P180" s="26"/>
      <c r="Q180" s="24"/>
      <c r="R180" s="249" t="s">
        <v>173</v>
      </c>
      <c r="S180" s="223" t="s">
        <v>174</v>
      </c>
      <c r="T180" s="224"/>
      <c r="U180" s="224"/>
      <c r="V180" s="225"/>
    </row>
    <row r="181" spans="1:23" ht="24" thickTop="1" thickBot="1">
      <c r="A181" s="226" t="s">
        <v>175</v>
      </c>
      <c r="B181" s="227"/>
      <c r="C181" s="228" t="s">
        <v>176</v>
      </c>
      <c r="D181" s="220" t="s">
        <v>177</v>
      </c>
      <c r="E181" s="211" t="s">
        <v>178</v>
      </c>
      <c r="F181" s="211" t="s">
        <v>210</v>
      </c>
      <c r="G181" s="228" t="s">
        <v>180</v>
      </c>
      <c r="H181" s="211" t="s">
        <v>181</v>
      </c>
      <c r="I181" s="211" t="s">
        <v>182</v>
      </c>
      <c r="J181" s="221" t="s">
        <v>183</v>
      </c>
      <c r="K181" s="211" t="s">
        <v>184</v>
      </c>
      <c r="L181" s="221" t="s">
        <v>185</v>
      </c>
      <c r="M181" s="221" t="s">
        <v>211</v>
      </c>
      <c r="N181" s="221" t="s">
        <v>188</v>
      </c>
      <c r="O181" s="221" t="s">
        <v>189</v>
      </c>
      <c r="P181" s="221" t="s">
        <v>186</v>
      </c>
      <c r="Q181" s="221" t="s">
        <v>190</v>
      </c>
      <c r="R181" s="250"/>
      <c r="S181" s="211" t="s">
        <v>191</v>
      </c>
      <c r="T181" s="265" t="s">
        <v>192</v>
      </c>
      <c r="U181" s="265" t="s">
        <v>193</v>
      </c>
      <c r="V181" s="267" t="s">
        <v>212</v>
      </c>
    </row>
    <row r="182" spans="1:23" ht="46.8" thickTop="1" thickBot="1">
      <c r="A182" s="17" t="s">
        <v>195</v>
      </c>
      <c r="B182" s="16" t="s">
        <v>196</v>
      </c>
      <c r="C182" s="228"/>
      <c r="D182" s="220"/>
      <c r="E182" s="212"/>
      <c r="F182" s="212"/>
      <c r="G182" s="228"/>
      <c r="H182" s="212"/>
      <c r="I182" s="212"/>
      <c r="J182" s="222"/>
      <c r="K182" s="212"/>
      <c r="L182" s="222"/>
      <c r="M182" s="222"/>
      <c r="N182" s="222"/>
      <c r="O182" s="222"/>
      <c r="P182" s="222"/>
      <c r="Q182" s="222"/>
      <c r="R182" s="212"/>
      <c r="S182" s="212"/>
      <c r="T182" s="266"/>
      <c r="U182" s="266"/>
      <c r="V182" s="268"/>
    </row>
    <row r="183" spans="1:23" ht="24" thickTop="1" thickBot="1">
      <c r="A183" s="18">
        <f>'[1]التعليم الابتدائي'!ALH376</f>
        <v>0</v>
      </c>
      <c r="B183" s="20">
        <f>'[1]التعليم الابتدائي'!ALI376</f>
        <v>7</v>
      </c>
      <c r="C183" s="20">
        <f>'[1]التعليم الابتدائي'!ALJ376</f>
        <v>0</v>
      </c>
      <c r="D183" s="20">
        <f>'[1]التعليم الابتدائي'!ALE376</f>
        <v>6</v>
      </c>
      <c r="E183" s="21">
        <f>'[1]التعليم الابتدائي'!ALF376</f>
        <v>1</v>
      </c>
      <c r="F183" s="20">
        <f>'[1]التعليم الابتدائي'!ALG376</f>
        <v>0</v>
      </c>
      <c r="G183" s="20">
        <f>'[1]التعليم الابتدائي'!ALK376</f>
        <v>5</v>
      </c>
      <c r="H183" s="21">
        <f>'[1]التعليم الابتدائي'!ALL376</f>
        <v>3</v>
      </c>
      <c r="I183" s="20">
        <f>'[1]التعليم الابتدائي'!ALM376</f>
        <v>0</v>
      </c>
      <c r="J183" s="20">
        <f>'[1]التعليم الابتدائي'!AIS376</f>
        <v>7</v>
      </c>
      <c r="K183" s="20">
        <f>'[1]التعليم الابتدائي'!AIT376</f>
        <v>0</v>
      </c>
      <c r="L183" s="20">
        <f>'[1]التعليم الابتدائي'!AJN376</f>
        <v>7</v>
      </c>
      <c r="M183" s="20">
        <f>'[1]التعليم الابتدائي'!AJP376</f>
        <v>0</v>
      </c>
      <c r="N183" s="20"/>
      <c r="O183" s="20">
        <f>'[1]التعليم الابتدائي'!AJQ376</f>
        <v>0</v>
      </c>
      <c r="P183" s="20">
        <f>'[1]التعليم الابتدائي'!AJR376</f>
        <v>0</v>
      </c>
      <c r="Q183" s="20">
        <f>'[1]التعليم الابتدائي'!AJT376</f>
        <v>0</v>
      </c>
      <c r="R183" s="20">
        <f>Q183+P183+O183+M183+L183</f>
        <v>7</v>
      </c>
      <c r="S183" s="20">
        <f>'[1]التعليم الابتدائي'!AJU376</f>
        <v>7</v>
      </c>
      <c r="T183" s="20">
        <f>'[1]التعليم الابتدائي'!AKA376</f>
        <v>7</v>
      </c>
      <c r="U183" s="20">
        <f>'[1]التعليم الابتدائي'!AKH376</f>
        <v>7</v>
      </c>
      <c r="V183" s="33">
        <f>'[1]التعليم الابتدائي'!AKL376</f>
        <v>7</v>
      </c>
    </row>
    <row r="184" spans="1:23" ht="23.4" thickTop="1"/>
    <row r="185" spans="1:23" ht="23.4" thickBot="1">
      <c r="B185" s="23"/>
      <c r="C185" s="23"/>
      <c r="D185" s="23"/>
      <c r="E185" s="23"/>
      <c r="G185" s="34" t="s">
        <v>197</v>
      </c>
    </row>
    <row r="186" spans="1:23" ht="24" thickTop="1" thickBot="1">
      <c r="B186" s="215" t="s">
        <v>198</v>
      </c>
      <c r="C186" s="216"/>
      <c r="D186" s="216"/>
      <c r="E186" s="216"/>
      <c r="F186" s="216"/>
      <c r="G186" s="216"/>
      <c r="H186" s="216"/>
      <c r="I186" s="217"/>
      <c r="J186" s="218" t="s">
        <v>199</v>
      </c>
      <c r="K186" s="216"/>
      <c r="L186" s="216"/>
      <c r="M186" s="216"/>
      <c r="N186" s="216"/>
      <c r="O186" s="216"/>
      <c r="P186" s="216"/>
      <c r="Q186" s="216"/>
      <c r="R186" s="216"/>
      <c r="S186" s="216"/>
      <c r="T186" s="216"/>
      <c r="U186" s="219"/>
    </row>
    <row r="187" spans="1:23" ht="24" thickTop="1" thickBot="1">
      <c r="B187" s="210" t="s">
        <v>200</v>
      </c>
      <c r="C187" s="207"/>
      <c r="D187" s="206" t="s">
        <v>201</v>
      </c>
      <c r="E187" s="207"/>
      <c r="F187" s="206" t="s">
        <v>202</v>
      </c>
      <c r="G187" s="207"/>
      <c r="H187" s="206" t="s">
        <v>58</v>
      </c>
      <c r="I187" s="207"/>
      <c r="J187" s="206" t="s">
        <v>203</v>
      </c>
      <c r="K187" s="207"/>
      <c r="L187" s="206" t="s">
        <v>204</v>
      </c>
      <c r="M187" s="207"/>
      <c r="N187" s="206" t="s">
        <v>205</v>
      </c>
      <c r="O187" s="207"/>
      <c r="P187" s="206" t="s">
        <v>206</v>
      </c>
      <c r="Q187" s="207"/>
      <c r="R187" s="206" t="s">
        <v>207</v>
      </c>
      <c r="S187" s="207"/>
      <c r="T187" s="206" t="s">
        <v>58</v>
      </c>
      <c r="U187" s="208"/>
    </row>
    <row r="188" spans="1:23" ht="24" thickTop="1" thickBot="1">
      <c r="B188" s="209">
        <f>'[1]التعليم الابتدائي'!AIZ376</f>
        <v>3</v>
      </c>
      <c r="C188" s="204"/>
      <c r="D188" s="203">
        <f>'[1]التعليم الابتدائي'!AJA376</f>
        <v>2</v>
      </c>
      <c r="E188" s="204"/>
      <c r="F188" s="203">
        <f>'[1]التعليم الابتدائي'!AJB376</f>
        <v>2</v>
      </c>
      <c r="G188" s="204"/>
      <c r="H188" s="203">
        <f>F188+D188+B188</f>
        <v>7</v>
      </c>
      <c r="I188" s="204"/>
      <c r="J188" s="203">
        <f>'[1]التعليم الابتدائي'!AJF376</f>
        <v>2</v>
      </c>
      <c r="K188" s="204"/>
      <c r="L188" s="203">
        <f>'[1]التعليم الابتدائي'!AJG376</f>
        <v>1</v>
      </c>
      <c r="M188" s="204"/>
      <c r="N188" s="203">
        <f>'[1]التعليم الابتدائي'!AJH376</f>
        <v>2</v>
      </c>
      <c r="O188" s="204"/>
      <c r="P188" s="203">
        <f>'[1]التعليم الابتدائي'!AJI376</f>
        <v>2</v>
      </c>
      <c r="Q188" s="204"/>
      <c r="R188" s="203">
        <f>'[1]التعليم الابتدائي'!AJJ376</f>
        <v>0</v>
      </c>
      <c r="S188" s="204"/>
      <c r="T188" s="203">
        <f>R188+P188+N188+L188+J188</f>
        <v>7</v>
      </c>
      <c r="U188" s="205"/>
    </row>
    <row r="189" spans="1:23" ht="23.4" thickTop="1"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</row>
    <row r="190" spans="1:23">
      <c r="A190" s="231" t="s">
        <v>62</v>
      </c>
      <c r="B190" s="231"/>
      <c r="C190" s="231"/>
      <c r="D190" s="231"/>
      <c r="E190" s="231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9" t="s">
        <v>90</v>
      </c>
      <c r="S190" s="29"/>
      <c r="T190" s="29"/>
      <c r="U190" s="28"/>
      <c r="V190" s="28"/>
      <c r="W190" s="28"/>
    </row>
    <row r="191" spans="1:23">
      <c r="A191" s="231" t="s">
        <v>64</v>
      </c>
      <c r="B191" s="231"/>
      <c r="C191" s="231"/>
      <c r="D191" s="231"/>
      <c r="E191" s="231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9" t="s">
        <v>65</v>
      </c>
      <c r="S191" s="29"/>
      <c r="T191" s="29"/>
      <c r="U191" s="28"/>
      <c r="V191" s="28"/>
      <c r="W191" s="28"/>
    </row>
    <row r="192" spans="1:23">
      <c r="A192" s="28"/>
      <c r="B192" s="231" t="s">
        <v>143</v>
      </c>
      <c r="C192" s="231"/>
      <c r="D192" s="231"/>
      <c r="E192" s="231"/>
      <c r="F192" s="231"/>
      <c r="G192" s="231"/>
      <c r="H192" s="231"/>
      <c r="I192" s="231"/>
      <c r="J192" s="231"/>
      <c r="K192" s="231"/>
      <c r="L192" s="231"/>
      <c r="M192" s="231"/>
      <c r="N192" s="231"/>
      <c r="O192" s="231"/>
      <c r="P192" s="231"/>
      <c r="Q192" s="231"/>
      <c r="R192" s="231"/>
      <c r="S192" s="231"/>
      <c r="T192" s="28"/>
      <c r="U192" s="28"/>
      <c r="V192" s="28"/>
      <c r="W192" s="28"/>
    </row>
    <row r="193" spans="1:24">
      <c r="A193" s="28"/>
      <c r="B193" s="231" t="s">
        <v>208</v>
      </c>
      <c r="C193" s="231"/>
      <c r="D193" s="231"/>
      <c r="E193" s="231"/>
      <c r="F193" s="231"/>
      <c r="G193" s="231"/>
      <c r="H193" s="231"/>
      <c r="I193" s="231"/>
      <c r="J193" s="231"/>
      <c r="K193" s="231"/>
      <c r="L193" s="231"/>
      <c r="M193" s="231"/>
      <c r="N193" s="231"/>
      <c r="O193" s="231"/>
      <c r="P193" s="231"/>
      <c r="Q193" s="231"/>
      <c r="R193" s="231"/>
      <c r="S193" s="231"/>
      <c r="T193" s="28"/>
      <c r="U193" s="28"/>
      <c r="V193" s="28"/>
      <c r="W193" s="28"/>
    </row>
    <row r="194" spans="1:24">
      <c r="A194" s="28"/>
      <c r="B194" s="231" t="s">
        <v>144</v>
      </c>
      <c r="C194" s="231"/>
      <c r="D194" s="231"/>
      <c r="E194" s="231"/>
      <c r="F194" s="231"/>
      <c r="G194" s="231"/>
      <c r="H194" s="231"/>
      <c r="I194" s="231"/>
      <c r="J194" s="231"/>
      <c r="K194" s="231"/>
      <c r="L194" s="231"/>
      <c r="M194" s="231"/>
      <c r="N194" s="231"/>
      <c r="O194" s="231"/>
      <c r="P194" s="231"/>
      <c r="Q194" s="231"/>
      <c r="R194" s="231"/>
      <c r="S194" s="231"/>
      <c r="T194" s="28"/>
      <c r="U194" s="28"/>
      <c r="V194" s="28"/>
      <c r="W194" s="28"/>
    </row>
    <row r="195" spans="1:24" ht="23.4" thickBo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</row>
    <row r="196" spans="1:24" ht="24" thickTop="1" thickBot="1">
      <c r="B196" s="245" t="s">
        <v>145</v>
      </c>
      <c r="C196" s="233" t="s">
        <v>146</v>
      </c>
      <c r="D196" s="233"/>
      <c r="E196" s="233"/>
      <c r="F196" s="233"/>
      <c r="G196" s="233"/>
      <c r="H196" s="234" t="s">
        <v>147</v>
      </c>
      <c r="I196" s="235"/>
      <c r="J196" s="235"/>
      <c r="K196" s="235"/>
      <c r="L196" s="235"/>
      <c r="M196" s="235"/>
      <c r="N196" s="235"/>
      <c r="O196" s="235"/>
      <c r="P196" s="235"/>
      <c r="Q196" s="235"/>
      <c r="R196" s="236"/>
      <c r="S196" s="233" t="s">
        <v>58</v>
      </c>
      <c r="T196" s="247"/>
      <c r="U196" s="31"/>
      <c r="V196" s="31"/>
      <c r="W196" s="31"/>
      <c r="X196" s="31"/>
    </row>
    <row r="197" spans="1:24" ht="24" thickTop="1" thickBot="1">
      <c r="B197" s="246"/>
      <c r="C197" s="227"/>
      <c r="D197" s="227"/>
      <c r="E197" s="227"/>
      <c r="F197" s="227"/>
      <c r="G197" s="227"/>
      <c r="H197" s="248" t="s">
        <v>148</v>
      </c>
      <c r="I197" s="263" t="s">
        <v>149</v>
      </c>
      <c r="J197" s="248" t="s">
        <v>150</v>
      </c>
      <c r="K197" s="240" t="s">
        <v>151</v>
      </c>
      <c r="L197" s="227" t="s">
        <v>152</v>
      </c>
      <c r="M197" s="227"/>
      <c r="N197" s="227" t="s">
        <v>153</v>
      </c>
      <c r="O197" s="227"/>
      <c r="P197" s="227"/>
      <c r="Q197" s="227" t="s">
        <v>154</v>
      </c>
      <c r="R197" s="227"/>
      <c r="S197" s="227"/>
      <c r="T197" s="244"/>
      <c r="U197" s="31"/>
      <c r="V197" s="31"/>
      <c r="W197" s="31"/>
      <c r="X197" s="31"/>
    </row>
    <row r="198" spans="1:24" ht="46.8" thickTop="1" thickBot="1">
      <c r="B198" s="246"/>
      <c r="C198" s="15" t="s">
        <v>155</v>
      </c>
      <c r="D198" s="15" t="s">
        <v>156</v>
      </c>
      <c r="E198" s="15" t="s">
        <v>157</v>
      </c>
      <c r="F198" s="15" t="s">
        <v>158</v>
      </c>
      <c r="G198" s="15" t="s">
        <v>58</v>
      </c>
      <c r="H198" s="248"/>
      <c r="I198" s="264"/>
      <c r="J198" s="248"/>
      <c r="K198" s="241"/>
      <c r="L198" s="15" t="s">
        <v>209</v>
      </c>
      <c r="M198" s="16" t="s">
        <v>160</v>
      </c>
      <c r="N198" s="16" t="s">
        <v>161</v>
      </c>
      <c r="O198" s="15" t="s">
        <v>162</v>
      </c>
      <c r="P198" s="15" t="s">
        <v>163</v>
      </c>
      <c r="Q198" s="227"/>
      <c r="R198" s="227"/>
      <c r="S198" s="227"/>
      <c r="T198" s="244"/>
      <c r="U198" s="31"/>
      <c r="V198" s="31"/>
      <c r="W198" s="31"/>
      <c r="X198" s="31"/>
    </row>
    <row r="199" spans="1:24" ht="24" thickTop="1" thickBot="1">
      <c r="B199" s="17" t="s">
        <v>164</v>
      </c>
      <c r="C199" s="15">
        <f>'[1]التعليم الابتدائي'!IY480</f>
        <v>54</v>
      </c>
      <c r="D199" s="15">
        <f>'[1]التعليم الابتدائي'!JA480</f>
        <v>0</v>
      </c>
      <c r="E199" s="15">
        <f>'[1]التعليم الابتدائي'!JC480</f>
        <v>0</v>
      </c>
      <c r="F199" s="15">
        <f>'[1]التعليم الابتدائي'!JE480</f>
        <v>0</v>
      </c>
      <c r="G199" s="15">
        <f>E199+D199+C199+F199</f>
        <v>54</v>
      </c>
      <c r="H199" s="15">
        <f>'[1]التعليم الابتدائي'!ADR480</f>
        <v>0</v>
      </c>
      <c r="I199" s="15">
        <f>'[1]التعليم الابتدائي'!ADT480</f>
        <v>0</v>
      </c>
      <c r="J199" s="15">
        <f>'[1]التعليم الابتدائي'!ADX480</f>
        <v>0</v>
      </c>
      <c r="K199" s="15">
        <f>'[1]التعليم الابتدائي'!ADV480</f>
        <v>0</v>
      </c>
      <c r="L199" s="15">
        <f>'[1]التعليم الابتدائي'!ADZ480</f>
        <v>0</v>
      </c>
      <c r="M199" s="15">
        <f>'[1]التعليم الابتدائي'!AEB480</f>
        <v>0</v>
      </c>
      <c r="N199" s="15">
        <f>'[1]التعليم الابتدائي'!AED480</f>
        <v>0</v>
      </c>
      <c r="O199" s="15">
        <f>'[1]التعليم الابتدائي'!AEF480</f>
        <v>0</v>
      </c>
      <c r="P199" s="15">
        <f>'[1]التعليم الابتدائي'!AEH480</f>
        <v>0</v>
      </c>
      <c r="Q199" s="257">
        <f>'[1]التعليم الابتدائي'!AEJ480</f>
        <v>0</v>
      </c>
      <c r="R199" s="258"/>
      <c r="S199" s="227">
        <f>Q199+P199+O199+M199+N199+J199+K199+L199+H199+I199</f>
        <v>0</v>
      </c>
      <c r="T199" s="244"/>
      <c r="U199" s="31"/>
      <c r="V199" s="31"/>
      <c r="W199" s="31"/>
      <c r="X199" s="31"/>
    </row>
    <row r="200" spans="1:24" ht="24" thickTop="1" thickBot="1">
      <c r="B200" s="17" t="s">
        <v>165</v>
      </c>
      <c r="C200" s="15">
        <f>'[1]التعليم الابتدائي'!IZ480</f>
        <v>48</v>
      </c>
      <c r="D200" s="15">
        <f>'[1]التعليم الابتدائي'!JB480</f>
        <v>0</v>
      </c>
      <c r="E200" s="15">
        <f>'[1]التعليم الابتدائي'!JD480</f>
        <v>0</v>
      </c>
      <c r="F200" s="15">
        <f>'[1]التعليم الابتدائي'!JF480</f>
        <v>0</v>
      </c>
      <c r="G200" s="15">
        <f>E200+D200+C200+F200</f>
        <v>48</v>
      </c>
      <c r="H200" s="15">
        <f>'[1]التعليم الابتدائي'!ADS480</f>
        <v>0</v>
      </c>
      <c r="I200" s="15">
        <f>'[1]التعليم الابتدائي'!ADU480</f>
        <v>0</v>
      </c>
      <c r="J200" s="15">
        <f>'[1]التعليم الابتدائي'!ADY480</f>
        <v>0</v>
      </c>
      <c r="K200" s="15">
        <f>'[1]التعليم الابتدائي'!ADW480</f>
        <v>0</v>
      </c>
      <c r="L200" s="15">
        <f>'[1]التعليم الابتدائي'!AEA480</f>
        <v>0</v>
      </c>
      <c r="M200" s="15">
        <f>'[1]التعليم الابتدائي'!AEC480</f>
        <v>0</v>
      </c>
      <c r="N200" s="15">
        <f>'[1]التعليم الابتدائي'!AEE480</f>
        <v>0</v>
      </c>
      <c r="O200" s="15">
        <f>'[1]التعليم الابتدائي'!AEG480</f>
        <v>0</v>
      </c>
      <c r="P200" s="15">
        <f>'[1]التعليم الابتدائي'!AEI480</f>
        <v>0</v>
      </c>
      <c r="Q200" s="257">
        <f>'[1]التعليم الابتدائي'!AEK480</f>
        <v>0</v>
      </c>
      <c r="R200" s="258"/>
      <c r="S200" s="227">
        <f>Q200+P200+O200+M200+N200+J200+K200+L200+H200+I200</f>
        <v>0</v>
      </c>
      <c r="T200" s="244"/>
      <c r="U200" s="31"/>
      <c r="V200" s="31"/>
      <c r="W200" s="31"/>
      <c r="X200" s="31"/>
    </row>
    <row r="201" spans="1:24" ht="24" thickTop="1" thickBot="1">
      <c r="B201" s="18" t="s">
        <v>122</v>
      </c>
      <c r="C201" s="20">
        <f>C199+C200</f>
        <v>102</v>
      </c>
      <c r="D201" s="20">
        <f>D199+D200</f>
        <v>0</v>
      </c>
      <c r="E201" s="20">
        <f>E199+E200</f>
        <v>0</v>
      </c>
      <c r="F201" s="20">
        <f>SUM(F199:F200)</f>
        <v>0</v>
      </c>
      <c r="G201" s="20">
        <f>E201+D201+C201+F201</f>
        <v>102</v>
      </c>
      <c r="H201" s="20">
        <f t="shared" ref="H201:R201" si="7">SUM(H199:H200)</f>
        <v>0</v>
      </c>
      <c r="I201" s="20">
        <f t="shared" si="7"/>
        <v>0</v>
      </c>
      <c r="J201" s="20">
        <f t="shared" si="7"/>
        <v>0</v>
      </c>
      <c r="K201" s="20">
        <f t="shared" si="7"/>
        <v>0</v>
      </c>
      <c r="L201" s="20">
        <f t="shared" si="7"/>
        <v>0</v>
      </c>
      <c r="M201" s="20">
        <f t="shared" si="7"/>
        <v>0</v>
      </c>
      <c r="N201" s="20">
        <f t="shared" si="7"/>
        <v>0</v>
      </c>
      <c r="O201" s="20">
        <f t="shared" si="7"/>
        <v>0</v>
      </c>
      <c r="P201" s="20">
        <f t="shared" si="7"/>
        <v>0</v>
      </c>
      <c r="Q201" s="229">
        <f t="shared" si="7"/>
        <v>0</v>
      </c>
      <c r="R201" s="229">
        <f t="shared" si="7"/>
        <v>0</v>
      </c>
      <c r="S201" s="229">
        <f>S200+S199</f>
        <v>0</v>
      </c>
      <c r="T201" s="230"/>
      <c r="U201" s="31"/>
      <c r="V201" s="31"/>
      <c r="W201" s="31"/>
      <c r="X201" s="31"/>
    </row>
    <row r="202" spans="1:24" ht="23.4" thickTop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31"/>
    </row>
    <row r="203" spans="1:24">
      <c r="A203" s="28"/>
      <c r="B203" s="231" t="s">
        <v>166</v>
      </c>
      <c r="C203" s="231"/>
      <c r="D203" s="231"/>
      <c r="E203" s="231"/>
      <c r="F203" s="231"/>
      <c r="G203" s="231"/>
      <c r="H203" s="231"/>
      <c r="I203" s="231"/>
      <c r="J203" s="231"/>
      <c r="K203" s="231"/>
      <c r="L203" s="231"/>
      <c r="M203" s="231"/>
      <c r="N203" s="231"/>
      <c r="O203" s="231"/>
      <c r="P203" s="231"/>
      <c r="Q203" s="231"/>
      <c r="R203" s="231"/>
      <c r="S203" s="231"/>
      <c r="T203" s="28"/>
      <c r="U203" s="28"/>
      <c r="V203" s="28"/>
      <c r="W203" s="28"/>
    </row>
    <row r="204" spans="1:24">
      <c r="A204" s="28"/>
      <c r="B204" s="231" t="s">
        <v>208</v>
      </c>
      <c r="C204" s="231"/>
      <c r="D204" s="231"/>
      <c r="E204" s="231"/>
      <c r="F204" s="231"/>
      <c r="G204" s="231"/>
      <c r="H204" s="231"/>
      <c r="I204" s="231"/>
      <c r="J204" s="231"/>
      <c r="K204" s="231"/>
      <c r="L204" s="231"/>
      <c r="M204" s="231"/>
      <c r="N204" s="231"/>
      <c r="O204" s="231"/>
      <c r="P204" s="231"/>
      <c r="Q204" s="231"/>
      <c r="R204" s="231"/>
      <c r="S204" s="231"/>
      <c r="T204" s="28"/>
      <c r="U204" s="28"/>
      <c r="V204" s="28"/>
      <c r="W204" s="28"/>
    </row>
    <row r="205" spans="1:24">
      <c r="A205" s="28"/>
      <c r="B205" s="231" t="s">
        <v>167</v>
      </c>
      <c r="C205" s="231"/>
      <c r="D205" s="231"/>
      <c r="E205" s="231"/>
      <c r="F205" s="231"/>
      <c r="G205" s="231"/>
      <c r="H205" s="231"/>
      <c r="I205" s="231"/>
      <c r="J205" s="231"/>
      <c r="K205" s="231"/>
      <c r="L205" s="231"/>
      <c r="M205" s="231"/>
      <c r="N205" s="231"/>
      <c r="O205" s="231"/>
      <c r="P205" s="231"/>
      <c r="Q205" s="231"/>
      <c r="R205" s="231"/>
      <c r="S205" s="231"/>
      <c r="T205" s="28"/>
      <c r="U205" s="28"/>
      <c r="V205" s="28"/>
      <c r="W205" s="28"/>
    </row>
    <row r="206" spans="1:24" ht="23.4" thickBo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</row>
    <row r="207" spans="1:24" ht="24" thickTop="1" thickBot="1">
      <c r="A207" s="232" t="s">
        <v>168</v>
      </c>
      <c r="B207" s="233"/>
      <c r="C207" s="233"/>
      <c r="D207" s="234" t="s">
        <v>169</v>
      </c>
      <c r="E207" s="235"/>
      <c r="F207" s="236"/>
      <c r="G207" s="223" t="s">
        <v>170</v>
      </c>
      <c r="H207" s="224"/>
      <c r="I207" s="237"/>
      <c r="J207" s="238" t="s">
        <v>171</v>
      </c>
      <c r="K207" s="238"/>
      <c r="L207" s="234" t="s">
        <v>172</v>
      </c>
      <c r="M207" s="235"/>
      <c r="N207" s="235"/>
      <c r="O207" s="235"/>
      <c r="P207" s="235"/>
      <c r="Q207" s="236"/>
      <c r="R207" s="239" t="s">
        <v>173</v>
      </c>
      <c r="S207" s="223" t="s">
        <v>174</v>
      </c>
      <c r="T207" s="224"/>
      <c r="U207" s="224"/>
      <c r="V207" s="225"/>
    </row>
    <row r="208" spans="1:24" ht="24" thickTop="1" thickBot="1">
      <c r="A208" s="226" t="s">
        <v>175</v>
      </c>
      <c r="B208" s="227"/>
      <c r="C208" s="228" t="s">
        <v>176</v>
      </c>
      <c r="D208" s="220" t="s">
        <v>177</v>
      </c>
      <c r="E208" s="220" t="s">
        <v>178</v>
      </c>
      <c r="F208" s="220" t="s">
        <v>210</v>
      </c>
      <c r="G208" s="228" t="s">
        <v>180</v>
      </c>
      <c r="H208" s="220" t="s">
        <v>181</v>
      </c>
      <c r="I208" s="220" t="s">
        <v>182</v>
      </c>
      <c r="J208" s="228" t="s">
        <v>183</v>
      </c>
      <c r="K208" s="220" t="s">
        <v>184</v>
      </c>
      <c r="L208" s="221" t="s">
        <v>185</v>
      </c>
      <c r="M208" s="221" t="s">
        <v>186</v>
      </c>
      <c r="N208" s="221" t="s">
        <v>211</v>
      </c>
      <c r="O208" s="221" t="s">
        <v>188</v>
      </c>
      <c r="P208" s="221" t="s">
        <v>189</v>
      </c>
      <c r="Q208" s="221" t="s">
        <v>190</v>
      </c>
      <c r="R208" s="220"/>
      <c r="S208" s="211" t="s">
        <v>191</v>
      </c>
      <c r="T208" s="211" t="s">
        <v>192</v>
      </c>
      <c r="U208" s="211" t="s">
        <v>193</v>
      </c>
      <c r="V208" s="213" t="s">
        <v>212</v>
      </c>
    </row>
    <row r="209" spans="1:24" ht="46.8" thickTop="1" thickBot="1">
      <c r="A209" s="17" t="s">
        <v>195</v>
      </c>
      <c r="B209" s="16" t="s">
        <v>196</v>
      </c>
      <c r="C209" s="228"/>
      <c r="D209" s="220"/>
      <c r="E209" s="220"/>
      <c r="F209" s="220"/>
      <c r="G209" s="228"/>
      <c r="H209" s="220"/>
      <c r="I209" s="220"/>
      <c r="J209" s="228"/>
      <c r="K209" s="220"/>
      <c r="L209" s="222"/>
      <c r="M209" s="222"/>
      <c r="N209" s="222"/>
      <c r="O209" s="222"/>
      <c r="P209" s="222"/>
      <c r="Q209" s="222"/>
      <c r="R209" s="220"/>
      <c r="S209" s="212"/>
      <c r="T209" s="212"/>
      <c r="U209" s="212"/>
      <c r="V209" s="214"/>
    </row>
    <row r="210" spans="1:24" ht="24" thickTop="1" thickBot="1">
      <c r="A210" s="18">
        <f>'[1]التعليم الابتدائي'!ALH480</f>
        <v>0</v>
      </c>
      <c r="B210" s="20">
        <f>'[1]التعليم الابتدائي'!ALI480</f>
        <v>55</v>
      </c>
      <c r="C210" s="20">
        <f>'[1]التعليم الابتدائي'!ALJ480</f>
        <v>0</v>
      </c>
      <c r="D210" s="20">
        <f>'[1]التعليم الابتدائي'!ALE480</f>
        <v>5</v>
      </c>
      <c r="E210" s="21">
        <f>'[1]التعليم الابتدائي'!ALF480</f>
        <v>49</v>
      </c>
      <c r="F210" s="20">
        <f>'[1]التعليم الابتدائي'!ALG480</f>
        <v>1</v>
      </c>
      <c r="G210" s="20">
        <f>'[1]التعليم الابتدائي'!ALK480</f>
        <v>21</v>
      </c>
      <c r="H210" s="21">
        <f>'[1]التعليم الابتدائي'!ALL480</f>
        <v>31</v>
      </c>
      <c r="I210" s="20">
        <f>'[1]التعليم الابتدائي'!ALM480</f>
        <v>3</v>
      </c>
      <c r="J210" s="20">
        <f>'[1]التعليم الابتدائي'!AIS480</f>
        <v>55</v>
      </c>
      <c r="K210" s="20">
        <f>'[1]التعليم الابتدائي'!AIT480</f>
        <v>0</v>
      </c>
      <c r="L210" s="21">
        <f>'[1]التعليم الابتدائي'!AJN480</f>
        <v>53</v>
      </c>
      <c r="M210" s="20">
        <f>'[1]التعليم الابتدائي'!AJP480</f>
        <v>0</v>
      </c>
      <c r="N210" s="20">
        <f>'[1]التعليم الابتدائي'!AJQ480</f>
        <v>0</v>
      </c>
      <c r="O210" s="20">
        <f>'[1]التعليم الابتدائي'!AJR480</f>
        <v>0</v>
      </c>
      <c r="P210" s="27">
        <f>'[1]التعليم الابتدائي'!AJS480</f>
        <v>2</v>
      </c>
      <c r="Q210" s="20">
        <f>'[1]التعليم الابتدائي'!AJT480</f>
        <v>0</v>
      </c>
      <c r="R210" s="20">
        <f>SUM(L210:Q210)</f>
        <v>55</v>
      </c>
      <c r="S210" s="20">
        <f>'[1]التعليم الابتدائي'!AJU480</f>
        <v>55</v>
      </c>
      <c r="T210" s="20">
        <f>'[1]التعليم الابتدائي'!AKA480</f>
        <v>54</v>
      </c>
      <c r="U210" s="20">
        <f>'[1]التعليم الابتدائي'!AKH480</f>
        <v>55</v>
      </c>
      <c r="V210" s="33">
        <f>'[1]التعليم الابتدائي'!AKL480</f>
        <v>55</v>
      </c>
    </row>
    <row r="211" spans="1:24" ht="23.4" thickTop="1"/>
    <row r="212" spans="1:24" ht="23.4" thickBot="1">
      <c r="B212" s="23"/>
      <c r="C212" s="23"/>
      <c r="D212" s="23"/>
      <c r="E212" s="23"/>
      <c r="G212" s="34" t="s">
        <v>197</v>
      </c>
    </row>
    <row r="213" spans="1:24" ht="24" thickTop="1" thickBot="1">
      <c r="B213" s="215" t="s">
        <v>198</v>
      </c>
      <c r="C213" s="216"/>
      <c r="D213" s="216"/>
      <c r="E213" s="216"/>
      <c r="F213" s="216"/>
      <c r="G213" s="216"/>
      <c r="H213" s="216"/>
      <c r="I213" s="217"/>
      <c r="J213" s="218" t="s">
        <v>199</v>
      </c>
      <c r="K213" s="216"/>
      <c r="L213" s="216"/>
      <c r="M213" s="216"/>
      <c r="N213" s="216"/>
      <c r="O213" s="216"/>
      <c r="P213" s="216"/>
      <c r="Q213" s="216"/>
      <c r="R213" s="216"/>
      <c r="S213" s="216"/>
      <c r="T213" s="216"/>
      <c r="U213" s="219"/>
    </row>
    <row r="214" spans="1:24" ht="24" thickTop="1" thickBot="1">
      <c r="B214" s="210" t="s">
        <v>200</v>
      </c>
      <c r="C214" s="207"/>
      <c r="D214" s="206" t="s">
        <v>201</v>
      </c>
      <c r="E214" s="207"/>
      <c r="F214" s="206" t="s">
        <v>202</v>
      </c>
      <c r="G214" s="207"/>
      <c r="H214" s="206" t="s">
        <v>58</v>
      </c>
      <c r="I214" s="207"/>
      <c r="J214" s="206" t="s">
        <v>203</v>
      </c>
      <c r="K214" s="207"/>
      <c r="L214" s="206" t="s">
        <v>204</v>
      </c>
      <c r="M214" s="207"/>
      <c r="N214" s="206" t="s">
        <v>205</v>
      </c>
      <c r="O214" s="207"/>
      <c r="P214" s="206" t="s">
        <v>206</v>
      </c>
      <c r="Q214" s="207"/>
      <c r="R214" s="206" t="s">
        <v>207</v>
      </c>
      <c r="S214" s="207"/>
      <c r="T214" s="206" t="s">
        <v>58</v>
      </c>
      <c r="U214" s="208"/>
    </row>
    <row r="215" spans="1:24" ht="24" thickTop="1" thickBot="1">
      <c r="B215" s="209">
        <f>'[1]التعليم الابتدائي'!AIZ480</f>
        <v>20</v>
      </c>
      <c r="C215" s="204"/>
      <c r="D215" s="203">
        <f>'[1]التعليم الابتدائي'!AJA480</f>
        <v>35</v>
      </c>
      <c r="E215" s="204"/>
      <c r="F215" s="203">
        <f>'[1]التعليم الابتدائي'!AJB480</f>
        <v>0</v>
      </c>
      <c r="G215" s="204"/>
      <c r="H215" s="203">
        <f>F215+D215+B215</f>
        <v>55</v>
      </c>
      <c r="I215" s="204"/>
      <c r="J215" s="203">
        <f>'[1]التعليم الابتدائي'!AJF480</f>
        <v>0</v>
      </c>
      <c r="K215" s="204"/>
      <c r="L215" s="203">
        <f>'[1]التعليم الابتدائي'!AJG480</f>
        <v>1</v>
      </c>
      <c r="M215" s="204"/>
      <c r="N215" s="203">
        <f>'[1]التعليم الابتدائي'!AJH480</f>
        <v>39</v>
      </c>
      <c r="O215" s="204"/>
      <c r="P215" s="203">
        <f>'[1]التعليم الابتدائي'!AJI480</f>
        <v>11</v>
      </c>
      <c r="Q215" s="204"/>
      <c r="R215" s="203">
        <f>'[1]التعليم الابتدائي'!AJJ480</f>
        <v>4</v>
      </c>
      <c r="S215" s="204"/>
      <c r="T215" s="203">
        <f>R215+P215+N215+L215+J215</f>
        <v>55</v>
      </c>
      <c r="U215" s="205"/>
    </row>
    <row r="216" spans="1:24" ht="23.4" thickTop="1"/>
    <row r="217" spans="1:24">
      <c r="A217" s="231" t="s">
        <v>62</v>
      </c>
      <c r="B217" s="231"/>
      <c r="C217" s="231"/>
      <c r="D217" s="231"/>
      <c r="E217" s="231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31" t="s">
        <v>91</v>
      </c>
      <c r="R217" s="231"/>
      <c r="S217" s="231"/>
      <c r="T217" s="231"/>
      <c r="U217" s="28"/>
      <c r="V217" s="28"/>
      <c r="W217" s="28"/>
    </row>
    <row r="218" spans="1:24">
      <c r="A218" s="231" t="s">
        <v>64</v>
      </c>
      <c r="B218" s="231"/>
      <c r="C218" s="231"/>
      <c r="D218" s="231"/>
      <c r="E218" s="231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31" t="s">
        <v>65</v>
      </c>
      <c r="R218" s="231"/>
      <c r="S218" s="231"/>
      <c r="T218" s="231"/>
      <c r="U218" s="28"/>
      <c r="V218" s="28"/>
      <c r="W218" s="28"/>
    </row>
    <row r="219" spans="1:24">
      <c r="A219" s="28"/>
      <c r="B219" s="231" t="s">
        <v>143</v>
      </c>
      <c r="C219" s="231"/>
      <c r="D219" s="231"/>
      <c r="E219" s="231"/>
      <c r="F219" s="231"/>
      <c r="G219" s="231"/>
      <c r="H219" s="231"/>
      <c r="I219" s="231"/>
      <c r="J219" s="231"/>
      <c r="K219" s="231"/>
      <c r="L219" s="231"/>
      <c r="M219" s="231"/>
      <c r="N219" s="231"/>
      <c r="O219" s="231"/>
      <c r="P219" s="231"/>
      <c r="Q219" s="231"/>
      <c r="R219" s="231"/>
      <c r="S219" s="231"/>
      <c r="T219" s="28"/>
      <c r="U219" s="28"/>
      <c r="V219" s="28"/>
      <c r="W219" s="28"/>
    </row>
    <row r="220" spans="1:24">
      <c r="A220" s="28"/>
      <c r="B220" s="231" t="s">
        <v>208</v>
      </c>
      <c r="C220" s="231"/>
      <c r="D220" s="231"/>
      <c r="E220" s="231"/>
      <c r="F220" s="231"/>
      <c r="G220" s="231"/>
      <c r="H220" s="231"/>
      <c r="I220" s="231"/>
      <c r="J220" s="231"/>
      <c r="K220" s="231"/>
      <c r="L220" s="231"/>
      <c r="M220" s="231"/>
      <c r="N220" s="231"/>
      <c r="O220" s="231"/>
      <c r="P220" s="231"/>
      <c r="Q220" s="231"/>
      <c r="R220" s="231"/>
      <c r="S220" s="231"/>
      <c r="T220" s="28"/>
      <c r="U220" s="28"/>
      <c r="V220" s="28"/>
      <c r="W220" s="28"/>
    </row>
    <row r="221" spans="1:24">
      <c r="A221" s="28"/>
      <c r="B221" s="231" t="s">
        <v>144</v>
      </c>
      <c r="C221" s="231"/>
      <c r="D221" s="231"/>
      <c r="E221" s="231"/>
      <c r="F221" s="231"/>
      <c r="G221" s="231"/>
      <c r="H221" s="231"/>
      <c r="I221" s="231"/>
      <c r="J221" s="231"/>
      <c r="K221" s="231"/>
      <c r="L221" s="231"/>
      <c r="M221" s="231"/>
      <c r="N221" s="231"/>
      <c r="O221" s="231"/>
      <c r="P221" s="231"/>
      <c r="Q221" s="231"/>
      <c r="R221" s="231"/>
      <c r="S221" s="231"/>
      <c r="T221" s="28"/>
      <c r="U221" s="28"/>
      <c r="V221" s="28"/>
      <c r="W221" s="28"/>
    </row>
    <row r="222" spans="1:24" ht="23.4" thickBo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</row>
    <row r="223" spans="1:24" ht="24" thickTop="1" thickBot="1">
      <c r="B223" s="245" t="s">
        <v>145</v>
      </c>
      <c r="C223" s="233" t="s">
        <v>146</v>
      </c>
      <c r="D223" s="233"/>
      <c r="E223" s="233"/>
      <c r="F223" s="233"/>
      <c r="G223" s="233"/>
      <c r="H223" s="234" t="s">
        <v>147</v>
      </c>
      <c r="I223" s="235"/>
      <c r="J223" s="235"/>
      <c r="K223" s="235"/>
      <c r="L223" s="235"/>
      <c r="M223" s="235"/>
      <c r="N223" s="235"/>
      <c r="O223" s="235"/>
      <c r="P223" s="235"/>
      <c r="Q223" s="236"/>
      <c r="R223" s="260" t="s">
        <v>58</v>
      </c>
      <c r="T223" s="31"/>
      <c r="U223" s="31"/>
      <c r="V223" s="31"/>
      <c r="W223" s="31"/>
      <c r="X223" s="31"/>
    </row>
    <row r="224" spans="1:24" ht="24" thickTop="1" thickBot="1">
      <c r="B224" s="246"/>
      <c r="C224" s="227"/>
      <c r="D224" s="227"/>
      <c r="E224" s="227"/>
      <c r="F224" s="227"/>
      <c r="G224" s="227"/>
      <c r="H224" s="248" t="s">
        <v>148</v>
      </c>
      <c r="I224" s="248" t="s">
        <v>149</v>
      </c>
      <c r="J224" s="248" t="s">
        <v>150</v>
      </c>
      <c r="K224" s="240" t="s">
        <v>151</v>
      </c>
      <c r="L224" s="227" t="s">
        <v>152</v>
      </c>
      <c r="M224" s="227"/>
      <c r="N224" s="227" t="s">
        <v>153</v>
      </c>
      <c r="O224" s="227"/>
      <c r="P224" s="227"/>
      <c r="Q224" s="242" t="s">
        <v>154</v>
      </c>
      <c r="R224" s="261"/>
      <c r="T224" s="31"/>
      <c r="U224" s="31"/>
      <c r="V224" s="31"/>
      <c r="W224" s="31"/>
      <c r="X224" s="31"/>
    </row>
    <row r="225" spans="1:24" ht="24" thickTop="1" thickBot="1">
      <c r="B225" s="246"/>
      <c r="C225" s="15" t="s">
        <v>155</v>
      </c>
      <c r="D225" s="15" t="s">
        <v>156</v>
      </c>
      <c r="E225" s="15" t="s">
        <v>157</v>
      </c>
      <c r="F225" s="15" t="s">
        <v>158</v>
      </c>
      <c r="G225" s="15" t="s">
        <v>58</v>
      </c>
      <c r="H225" s="248"/>
      <c r="I225" s="248"/>
      <c r="J225" s="248"/>
      <c r="K225" s="241"/>
      <c r="L225" s="15" t="s">
        <v>209</v>
      </c>
      <c r="M225" s="15" t="s">
        <v>160</v>
      </c>
      <c r="N225" s="15" t="s">
        <v>161</v>
      </c>
      <c r="O225" s="15" t="s">
        <v>162</v>
      </c>
      <c r="P225" s="15" t="s">
        <v>163</v>
      </c>
      <c r="Q225" s="243"/>
      <c r="R225" s="262"/>
      <c r="T225" s="31"/>
      <c r="U225" s="31"/>
      <c r="V225" s="31"/>
      <c r="W225" s="31"/>
      <c r="X225" s="31"/>
    </row>
    <row r="226" spans="1:24" ht="24" thickTop="1" thickBot="1">
      <c r="B226" s="17" t="s">
        <v>164</v>
      </c>
      <c r="C226" s="15">
        <f>'[1]التعليم الابتدائي'!IY558</f>
        <v>45</v>
      </c>
      <c r="D226" s="15">
        <f>'[1]التعليم الابتدائي'!JA558</f>
        <v>0</v>
      </c>
      <c r="E226" s="15">
        <f>'[1]التعليم الابتدائي'!JC558</f>
        <v>0</v>
      </c>
      <c r="F226" s="15">
        <f>'[1]التعليم الابتدائي'!JE558</f>
        <v>0</v>
      </c>
      <c r="G226" s="15">
        <f>E226+D226+C226+F226</f>
        <v>45</v>
      </c>
      <c r="H226" s="15">
        <f>'[1]التعليم الابتدائي'!ADR558</f>
        <v>0</v>
      </c>
      <c r="I226" s="15">
        <f>'[1]التعليم الابتدائي'!ADT558</f>
        <v>0</v>
      </c>
      <c r="J226" s="15">
        <f>'[1]التعليم الابتدائي'!ADX558</f>
        <v>0</v>
      </c>
      <c r="K226" s="15">
        <f>'[1]التعليم الابتدائي'!ADV558</f>
        <v>0</v>
      </c>
      <c r="L226" s="15">
        <f>'[1]التعليم الابتدائي'!ADZ558</f>
        <v>0</v>
      </c>
      <c r="M226" s="15">
        <f>'[1]التعليم الابتدائي'!AEB558</f>
        <v>0</v>
      </c>
      <c r="N226" s="15">
        <f>'[1]التعليم الابتدائي'!AED558</f>
        <v>0</v>
      </c>
      <c r="O226" s="15">
        <f>'[1]التعليم الابتدائي'!AEF558</f>
        <v>0</v>
      </c>
      <c r="P226" s="15">
        <f>'[1]التعليم الابتدائي'!AEH558</f>
        <v>0</v>
      </c>
      <c r="Q226" s="32">
        <f>'[1]التعليم الابتدائي'!AEJ558</f>
        <v>0</v>
      </c>
      <c r="R226" s="36">
        <f>Q226+P226+O226+M226+N226+K226+I226+H226+L226+J226</f>
        <v>0</v>
      </c>
      <c r="T226" s="31"/>
      <c r="U226" s="31"/>
      <c r="V226" s="31"/>
      <c r="W226" s="31"/>
      <c r="X226" s="31"/>
    </row>
    <row r="227" spans="1:24" ht="24" thickTop="1" thickBot="1">
      <c r="B227" s="17" t="s">
        <v>165</v>
      </c>
      <c r="C227" s="15">
        <f>'[1]التعليم الابتدائي'!IZ558</f>
        <v>16</v>
      </c>
      <c r="D227" s="15">
        <f>'[1]التعليم الابتدائي'!JB558</f>
        <v>0</v>
      </c>
      <c r="E227" s="15">
        <f>'[1]التعليم الابتدائي'!JD558</f>
        <v>0</v>
      </c>
      <c r="F227" s="15">
        <f>'[1]التعليم الابتدائي'!JF558</f>
        <v>0</v>
      </c>
      <c r="G227" s="15">
        <f>E227+D227+C227+F227</f>
        <v>16</v>
      </c>
      <c r="H227" s="15">
        <f>'[1]التعليم الابتدائي'!ADS558</f>
        <v>0</v>
      </c>
      <c r="I227" s="15">
        <f>'[1]التعليم الابتدائي'!ADU558</f>
        <v>0</v>
      </c>
      <c r="J227" s="15">
        <f>'[1]التعليم الابتدائي'!ADY558</f>
        <v>0</v>
      </c>
      <c r="K227" s="15">
        <f>'[1]التعليم الابتدائي'!ADW558</f>
        <v>0</v>
      </c>
      <c r="L227" s="15">
        <f>'[1]التعليم الابتدائي'!AEA558</f>
        <v>0</v>
      </c>
      <c r="M227" s="15">
        <f>'[1]التعليم الابتدائي'!AEC558</f>
        <v>0</v>
      </c>
      <c r="N227" s="15">
        <f>'[1]التعليم الابتدائي'!AEE558</f>
        <v>0</v>
      </c>
      <c r="O227" s="15">
        <f>'[1]التعليم الابتدائي'!AEG558</f>
        <v>0</v>
      </c>
      <c r="P227" s="15">
        <f>'[1]التعليم الابتدائي'!AEI558</f>
        <v>0</v>
      </c>
      <c r="Q227" s="32">
        <f>'[1]التعليم الابتدائي'!AEK558</f>
        <v>0</v>
      </c>
      <c r="R227" s="36">
        <f>Q227+P227+O227+M227+N227+K227+I227+H227+L227+J227</f>
        <v>0</v>
      </c>
      <c r="T227" s="31"/>
      <c r="U227" s="31"/>
      <c r="V227" s="31"/>
      <c r="W227" s="31"/>
      <c r="X227" s="31"/>
    </row>
    <row r="228" spans="1:24" ht="24" thickTop="1" thickBot="1">
      <c r="B228" s="18" t="s">
        <v>122</v>
      </c>
      <c r="C228" s="20">
        <f>C226+C227</f>
        <v>61</v>
      </c>
      <c r="D228" s="20">
        <f>D226+D227</f>
        <v>0</v>
      </c>
      <c r="E228" s="20">
        <f>E226+E227</f>
        <v>0</v>
      </c>
      <c r="F228" s="20">
        <f>SUM(F226:F227)</f>
        <v>0</v>
      </c>
      <c r="G228" s="20">
        <f>E228+D228+C228+F228</f>
        <v>61</v>
      </c>
      <c r="H228" s="20">
        <f t="shared" ref="H228:R228" si="8">H227+H226</f>
        <v>0</v>
      </c>
      <c r="I228" s="20">
        <f t="shared" si="8"/>
        <v>0</v>
      </c>
      <c r="J228" s="20">
        <f t="shared" si="8"/>
        <v>0</v>
      </c>
      <c r="K228" s="20">
        <f t="shared" si="8"/>
        <v>0</v>
      </c>
      <c r="L228" s="20">
        <f t="shared" si="8"/>
        <v>0</v>
      </c>
      <c r="M228" s="20">
        <f t="shared" si="8"/>
        <v>0</v>
      </c>
      <c r="N228" s="20">
        <f t="shared" si="8"/>
        <v>0</v>
      </c>
      <c r="O228" s="20">
        <f t="shared" si="8"/>
        <v>0</v>
      </c>
      <c r="P228" s="20">
        <f t="shared" si="8"/>
        <v>0</v>
      </c>
      <c r="Q228" s="21">
        <f t="shared" si="8"/>
        <v>0</v>
      </c>
      <c r="R228" s="33">
        <f t="shared" si="8"/>
        <v>0</v>
      </c>
      <c r="T228" s="31"/>
      <c r="U228" s="31"/>
      <c r="V228" s="31"/>
      <c r="W228" s="31"/>
      <c r="X228" s="31"/>
    </row>
    <row r="229" spans="1:24" ht="23.4" thickTop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31"/>
    </row>
    <row r="230" spans="1:24">
      <c r="A230" s="28"/>
      <c r="B230" s="231" t="s">
        <v>166</v>
      </c>
      <c r="C230" s="231"/>
      <c r="D230" s="231"/>
      <c r="E230" s="231"/>
      <c r="F230" s="231"/>
      <c r="G230" s="231"/>
      <c r="H230" s="231"/>
      <c r="I230" s="231"/>
      <c r="J230" s="231"/>
      <c r="K230" s="231"/>
      <c r="L230" s="231"/>
      <c r="M230" s="231"/>
      <c r="N230" s="231"/>
      <c r="O230" s="231"/>
      <c r="P230" s="231"/>
      <c r="Q230" s="231"/>
      <c r="R230" s="231"/>
      <c r="S230" s="231"/>
      <c r="T230" s="28"/>
      <c r="U230" s="28"/>
      <c r="V230" s="28"/>
      <c r="W230" s="28"/>
    </row>
    <row r="231" spans="1:24">
      <c r="A231" s="28"/>
      <c r="B231" s="231" t="s">
        <v>208</v>
      </c>
      <c r="C231" s="231"/>
      <c r="D231" s="231"/>
      <c r="E231" s="231"/>
      <c r="F231" s="231"/>
      <c r="G231" s="231"/>
      <c r="H231" s="231"/>
      <c r="I231" s="231"/>
      <c r="J231" s="231"/>
      <c r="K231" s="231"/>
      <c r="L231" s="231"/>
      <c r="M231" s="231"/>
      <c r="N231" s="231"/>
      <c r="O231" s="231"/>
      <c r="P231" s="231"/>
      <c r="Q231" s="231"/>
      <c r="R231" s="231"/>
      <c r="S231" s="231"/>
      <c r="T231" s="28"/>
      <c r="U231" s="28"/>
      <c r="V231" s="28"/>
      <c r="W231" s="28"/>
    </row>
    <row r="232" spans="1:24">
      <c r="A232" s="28"/>
      <c r="B232" s="231" t="s">
        <v>167</v>
      </c>
      <c r="C232" s="231"/>
      <c r="D232" s="231"/>
      <c r="E232" s="231"/>
      <c r="F232" s="231"/>
      <c r="G232" s="231"/>
      <c r="H232" s="231"/>
      <c r="I232" s="231"/>
      <c r="J232" s="231"/>
      <c r="K232" s="231"/>
      <c r="L232" s="231"/>
      <c r="M232" s="231"/>
      <c r="N232" s="231"/>
      <c r="O232" s="231"/>
      <c r="P232" s="231"/>
      <c r="Q232" s="231"/>
      <c r="R232" s="231"/>
      <c r="S232" s="231"/>
      <c r="T232" s="28"/>
      <c r="U232" s="28"/>
      <c r="V232" s="28"/>
      <c r="W232" s="28"/>
    </row>
    <row r="233" spans="1:24" ht="23.4" thickBo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</row>
    <row r="234" spans="1:24" ht="24" thickTop="1" thickBot="1">
      <c r="A234" s="232" t="s">
        <v>168</v>
      </c>
      <c r="B234" s="233"/>
      <c r="C234" s="233"/>
      <c r="D234" s="234" t="s">
        <v>169</v>
      </c>
      <c r="E234" s="235"/>
      <c r="F234" s="236"/>
      <c r="G234" s="223" t="s">
        <v>170</v>
      </c>
      <c r="H234" s="224"/>
      <c r="I234" s="237"/>
      <c r="J234" s="238" t="s">
        <v>171</v>
      </c>
      <c r="K234" s="238"/>
      <c r="L234" s="234" t="s">
        <v>172</v>
      </c>
      <c r="M234" s="235"/>
      <c r="N234" s="235"/>
      <c r="O234" s="235"/>
      <c r="P234" s="235"/>
      <c r="Q234" s="236"/>
      <c r="R234" s="239" t="s">
        <v>173</v>
      </c>
      <c r="S234" s="234" t="s">
        <v>174</v>
      </c>
      <c r="T234" s="235"/>
      <c r="U234" s="235"/>
      <c r="V234" s="259"/>
    </row>
    <row r="235" spans="1:24" ht="24" thickTop="1" thickBot="1">
      <c r="A235" s="226" t="s">
        <v>175</v>
      </c>
      <c r="B235" s="227"/>
      <c r="C235" s="228" t="s">
        <v>176</v>
      </c>
      <c r="D235" s="220" t="s">
        <v>177</v>
      </c>
      <c r="E235" s="211" t="s">
        <v>178</v>
      </c>
      <c r="F235" s="220" t="s">
        <v>210</v>
      </c>
      <c r="G235" s="228" t="s">
        <v>180</v>
      </c>
      <c r="H235" s="220" t="s">
        <v>181</v>
      </c>
      <c r="I235" s="220" t="s">
        <v>182</v>
      </c>
      <c r="J235" s="228" t="s">
        <v>183</v>
      </c>
      <c r="K235" s="220" t="s">
        <v>184</v>
      </c>
      <c r="L235" s="221" t="s">
        <v>185</v>
      </c>
      <c r="M235" s="221" t="s">
        <v>211</v>
      </c>
      <c r="N235" s="221" t="s">
        <v>188</v>
      </c>
      <c r="O235" s="221" t="s">
        <v>189</v>
      </c>
      <c r="P235" s="221" t="s">
        <v>186</v>
      </c>
      <c r="Q235" s="221" t="s">
        <v>190</v>
      </c>
      <c r="R235" s="220"/>
      <c r="S235" s="211" t="s">
        <v>191</v>
      </c>
      <c r="T235" s="211" t="s">
        <v>192</v>
      </c>
      <c r="U235" s="211" t="s">
        <v>193</v>
      </c>
      <c r="V235" s="213" t="s">
        <v>212</v>
      </c>
    </row>
    <row r="236" spans="1:24" ht="46.8" thickTop="1" thickBot="1">
      <c r="A236" s="19" t="s">
        <v>195</v>
      </c>
      <c r="B236" s="16" t="s">
        <v>196</v>
      </c>
      <c r="C236" s="228"/>
      <c r="D236" s="220"/>
      <c r="E236" s="212"/>
      <c r="F236" s="220"/>
      <c r="G236" s="228"/>
      <c r="H236" s="220"/>
      <c r="I236" s="220"/>
      <c r="J236" s="228"/>
      <c r="K236" s="220"/>
      <c r="L236" s="222"/>
      <c r="M236" s="222"/>
      <c r="N236" s="222"/>
      <c r="O236" s="222"/>
      <c r="P236" s="222"/>
      <c r="Q236" s="222"/>
      <c r="R236" s="220"/>
      <c r="S236" s="212"/>
      <c r="T236" s="212"/>
      <c r="U236" s="212"/>
      <c r="V236" s="214"/>
    </row>
    <row r="237" spans="1:24" ht="24" thickTop="1" thickBot="1">
      <c r="A237" s="18">
        <f>'[1]التعليم الابتدائي'!ALH558</f>
        <v>0</v>
      </c>
      <c r="B237" s="20">
        <f>'[1]التعليم الابتدائي'!ALI558</f>
        <v>50</v>
      </c>
      <c r="C237" s="20">
        <f>'[1]التعليم الابتدائي'!ALJ558</f>
        <v>0</v>
      </c>
      <c r="D237" s="20">
        <f>'[1]التعليم الابتدائي'!ALE558</f>
        <v>28</v>
      </c>
      <c r="E237" s="21">
        <f>'[1]التعليم الابتدائي'!ALF558</f>
        <v>22</v>
      </c>
      <c r="F237" s="20">
        <f>'[1]التعليم الابتدائي'!ALG558</f>
        <v>0</v>
      </c>
      <c r="G237" s="20">
        <f>'[1]التعليم الابتدائي'!ALK558</f>
        <v>17</v>
      </c>
      <c r="H237" s="20">
        <f>'[1]التعليم الابتدائي'!ALL558</f>
        <v>30</v>
      </c>
      <c r="I237" s="20">
        <f>'[1]التعليم الابتدائي'!ALM558</f>
        <v>3</v>
      </c>
      <c r="J237" s="20">
        <f>'[1]التعليم الابتدائي'!AIS558</f>
        <v>50</v>
      </c>
      <c r="K237" s="20">
        <f>'[1]التعليم الابتدائي'!AIT558</f>
        <v>0</v>
      </c>
      <c r="L237" s="21">
        <f>'[1]التعليم الابتدائي'!AJN558</f>
        <v>46</v>
      </c>
      <c r="M237" s="20">
        <f>'[1]التعليم الابتدائي'!AJQ558</f>
        <v>0</v>
      </c>
      <c r="N237" s="20">
        <f>'[1]التعليم الابتدائي'!AJR558</f>
        <v>0</v>
      </c>
      <c r="O237" s="20">
        <f>'[1]التعليم الابتدائي'!AJS558</f>
        <v>4</v>
      </c>
      <c r="P237" s="20">
        <f>'[1]التعليم الابتدائي'!AJR558</f>
        <v>0</v>
      </c>
      <c r="Q237" s="20">
        <f>'[1]التعليم الابتدائي'!AJT558</f>
        <v>0</v>
      </c>
      <c r="R237" s="20">
        <f>SUM(L237:Q237)</f>
        <v>50</v>
      </c>
      <c r="S237" s="20">
        <f>'[1]التعليم الابتدائي'!AJU558</f>
        <v>50</v>
      </c>
      <c r="T237" s="20">
        <f>'[1]التعليم الابتدائي'!AKA558</f>
        <v>50</v>
      </c>
      <c r="U237" s="20">
        <f>'[1]التعليم الابتدائي'!AKH558</f>
        <v>50</v>
      </c>
      <c r="V237" s="33">
        <f>'[1]التعليم الابتدائي'!AKL558</f>
        <v>49</v>
      </c>
    </row>
    <row r="238" spans="1:24" ht="23.4" thickTop="1"/>
    <row r="239" spans="1:24" ht="23.4" thickBot="1">
      <c r="B239" s="23"/>
      <c r="C239" s="23"/>
      <c r="D239" s="23"/>
      <c r="E239" s="23"/>
      <c r="G239" s="34" t="s">
        <v>197</v>
      </c>
    </row>
    <row r="240" spans="1:24" ht="24" thickTop="1" thickBot="1">
      <c r="B240" s="215" t="s">
        <v>198</v>
      </c>
      <c r="C240" s="216"/>
      <c r="D240" s="216"/>
      <c r="E240" s="216"/>
      <c r="F240" s="216"/>
      <c r="G240" s="216"/>
      <c r="H240" s="216"/>
      <c r="I240" s="217"/>
      <c r="J240" s="218" t="s">
        <v>199</v>
      </c>
      <c r="K240" s="216"/>
      <c r="L240" s="216"/>
      <c r="M240" s="216"/>
      <c r="N240" s="216"/>
      <c r="O240" s="216"/>
      <c r="P240" s="216"/>
      <c r="Q240" s="216"/>
      <c r="R240" s="216"/>
      <c r="S240" s="216"/>
      <c r="T240" s="216"/>
      <c r="U240" s="219"/>
    </row>
    <row r="241" spans="1:24" ht="24" thickTop="1" thickBot="1">
      <c r="B241" s="210" t="s">
        <v>200</v>
      </c>
      <c r="C241" s="207"/>
      <c r="D241" s="206" t="s">
        <v>201</v>
      </c>
      <c r="E241" s="207"/>
      <c r="F241" s="206" t="s">
        <v>202</v>
      </c>
      <c r="G241" s="207"/>
      <c r="H241" s="206" t="s">
        <v>58</v>
      </c>
      <c r="I241" s="207"/>
      <c r="J241" s="206" t="s">
        <v>203</v>
      </c>
      <c r="K241" s="207"/>
      <c r="L241" s="206" t="s">
        <v>204</v>
      </c>
      <c r="M241" s="207"/>
      <c r="N241" s="206" t="s">
        <v>205</v>
      </c>
      <c r="O241" s="207"/>
      <c r="P241" s="206" t="s">
        <v>206</v>
      </c>
      <c r="Q241" s="207"/>
      <c r="R241" s="206" t="s">
        <v>207</v>
      </c>
      <c r="S241" s="207"/>
      <c r="T241" s="206" t="s">
        <v>58</v>
      </c>
      <c r="U241" s="208"/>
    </row>
    <row r="242" spans="1:24" ht="24" thickTop="1" thickBot="1">
      <c r="B242" s="209">
        <f>'[1]التعليم الابتدائي'!AIZ558</f>
        <v>34</v>
      </c>
      <c r="C242" s="204"/>
      <c r="D242" s="203">
        <f>'[1]التعليم الابتدائي'!AJA558</f>
        <v>16</v>
      </c>
      <c r="E242" s="204"/>
      <c r="F242" s="203">
        <f>'[1]التعليم الابتدائي'!AJB558</f>
        <v>0</v>
      </c>
      <c r="G242" s="204"/>
      <c r="H242" s="203">
        <f>F242+D242+B242</f>
        <v>50</v>
      </c>
      <c r="I242" s="204"/>
      <c r="J242" s="203">
        <f>'[1]التعليم الابتدائي'!AJF558</f>
        <v>11</v>
      </c>
      <c r="K242" s="204"/>
      <c r="L242" s="203">
        <f>'[1]التعليم الابتدائي'!AJG558</f>
        <v>13</v>
      </c>
      <c r="M242" s="204"/>
      <c r="N242" s="203">
        <f>'[1]التعليم الابتدائي'!AJH558</f>
        <v>21</v>
      </c>
      <c r="O242" s="204"/>
      <c r="P242" s="203">
        <f>'[1]التعليم الابتدائي'!AJI558</f>
        <v>5</v>
      </c>
      <c r="Q242" s="204"/>
      <c r="R242" s="203">
        <f>'[1]التعليم الابتدائي'!AJJ558</f>
        <v>0</v>
      </c>
      <c r="S242" s="204"/>
      <c r="T242" s="203">
        <f>R242+P242+N242+L242+J242</f>
        <v>50</v>
      </c>
      <c r="U242" s="205"/>
    </row>
    <row r="243" spans="1:24" ht="23.4" thickTop="1"/>
    <row r="244" spans="1:24">
      <c r="A244" s="231" t="s">
        <v>62</v>
      </c>
      <c r="B244" s="231"/>
      <c r="C244" s="231"/>
      <c r="D244" s="231"/>
      <c r="E244" s="231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31" t="s">
        <v>92</v>
      </c>
      <c r="S244" s="231"/>
      <c r="T244" s="231"/>
      <c r="U244" s="28"/>
      <c r="V244" s="28"/>
      <c r="W244" s="28"/>
    </row>
    <row r="245" spans="1:24">
      <c r="A245" s="231" t="s">
        <v>64</v>
      </c>
      <c r="B245" s="231"/>
      <c r="C245" s="231"/>
      <c r="D245" s="231"/>
      <c r="E245" s="231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31" t="s">
        <v>65</v>
      </c>
      <c r="S245" s="231"/>
      <c r="T245" s="231"/>
      <c r="U245" s="28"/>
      <c r="V245" s="28"/>
      <c r="W245" s="28"/>
    </row>
    <row r="246" spans="1:24">
      <c r="A246" s="28"/>
      <c r="B246" s="231" t="s">
        <v>143</v>
      </c>
      <c r="C246" s="231"/>
      <c r="D246" s="231"/>
      <c r="E246" s="231"/>
      <c r="F246" s="231"/>
      <c r="G246" s="231"/>
      <c r="H246" s="231"/>
      <c r="I246" s="231"/>
      <c r="J246" s="231"/>
      <c r="K246" s="231"/>
      <c r="L246" s="231"/>
      <c r="M246" s="231"/>
      <c r="N246" s="231"/>
      <c r="O246" s="231"/>
      <c r="P246" s="231"/>
      <c r="Q246" s="231"/>
      <c r="R246" s="231"/>
      <c r="S246" s="231"/>
      <c r="T246" s="28"/>
      <c r="U246" s="28"/>
      <c r="V246" s="28"/>
      <c r="W246" s="28"/>
    </row>
    <row r="247" spans="1:24">
      <c r="A247" s="28"/>
      <c r="B247" s="231" t="s">
        <v>208</v>
      </c>
      <c r="C247" s="231"/>
      <c r="D247" s="231"/>
      <c r="E247" s="231"/>
      <c r="F247" s="231"/>
      <c r="G247" s="231"/>
      <c r="H247" s="231"/>
      <c r="I247" s="231"/>
      <c r="J247" s="231"/>
      <c r="K247" s="231"/>
      <c r="L247" s="231"/>
      <c r="M247" s="231"/>
      <c r="N247" s="231"/>
      <c r="O247" s="231"/>
      <c r="P247" s="231"/>
      <c r="Q247" s="231"/>
      <c r="R247" s="231"/>
      <c r="S247" s="231"/>
      <c r="T247" s="28"/>
      <c r="U247" s="28"/>
      <c r="V247" s="28"/>
      <c r="W247" s="28"/>
    </row>
    <row r="248" spans="1:24">
      <c r="A248" s="28"/>
      <c r="B248" s="231" t="s">
        <v>144</v>
      </c>
      <c r="C248" s="231"/>
      <c r="D248" s="231"/>
      <c r="E248" s="231"/>
      <c r="F248" s="231"/>
      <c r="G248" s="231"/>
      <c r="H248" s="231"/>
      <c r="I248" s="231"/>
      <c r="J248" s="231"/>
      <c r="K248" s="231"/>
      <c r="L248" s="231"/>
      <c r="M248" s="231"/>
      <c r="N248" s="231"/>
      <c r="O248" s="231"/>
      <c r="P248" s="231"/>
      <c r="Q248" s="231"/>
      <c r="R248" s="231"/>
      <c r="S248" s="231"/>
      <c r="T248" s="28"/>
      <c r="U248" s="28"/>
      <c r="V248" s="28"/>
      <c r="W248" s="28"/>
    </row>
    <row r="249" spans="1:24" ht="23.4" thickBo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</row>
    <row r="250" spans="1:24" ht="24" thickTop="1" thickBot="1">
      <c r="B250" s="245" t="s">
        <v>145</v>
      </c>
      <c r="C250" s="233" t="s">
        <v>146</v>
      </c>
      <c r="D250" s="233"/>
      <c r="E250" s="233"/>
      <c r="F250" s="233"/>
      <c r="G250" s="233"/>
      <c r="H250" s="234" t="s">
        <v>147</v>
      </c>
      <c r="I250" s="235"/>
      <c r="J250" s="235"/>
      <c r="K250" s="235"/>
      <c r="L250" s="235"/>
      <c r="M250" s="235"/>
      <c r="N250" s="235"/>
      <c r="O250" s="235"/>
      <c r="P250" s="235"/>
      <c r="Q250" s="235"/>
      <c r="R250" s="236"/>
      <c r="S250" s="233" t="s">
        <v>58</v>
      </c>
      <c r="T250" s="247"/>
      <c r="U250" s="31"/>
      <c r="V250" s="31"/>
      <c r="W250" s="31"/>
      <c r="X250" s="31"/>
    </row>
    <row r="251" spans="1:24" ht="24" thickTop="1" thickBot="1">
      <c r="B251" s="246"/>
      <c r="C251" s="227"/>
      <c r="D251" s="227"/>
      <c r="E251" s="227"/>
      <c r="F251" s="227"/>
      <c r="G251" s="227"/>
      <c r="H251" s="248" t="s">
        <v>148</v>
      </c>
      <c r="I251" s="248" t="s">
        <v>149</v>
      </c>
      <c r="J251" s="248" t="s">
        <v>150</v>
      </c>
      <c r="K251" s="240" t="s">
        <v>151</v>
      </c>
      <c r="L251" s="227" t="s">
        <v>152</v>
      </c>
      <c r="M251" s="227"/>
      <c r="N251" s="227" t="s">
        <v>153</v>
      </c>
      <c r="O251" s="227"/>
      <c r="P251" s="227"/>
      <c r="Q251" s="227" t="s">
        <v>154</v>
      </c>
      <c r="R251" s="227"/>
      <c r="S251" s="227"/>
      <c r="T251" s="244"/>
      <c r="U251" s="31"/>
      <c r="V251" s="31"/>
      <c r="W251" s="31"/>
      <c r="X251" s="31"/>
    </row>
    <row r="252" spans="1:24" ht="24" thickTop="1" thickBot="1">
      <c r="B252" s="246"/>
      <c r="C252" s="15" t="s">
        <v>155</v>
      </c>
      <c r="D252" s="15" t="s">
        <v>156</v>
      </c>
      <c r="E252" s="15" t="s">
        <v>157</v>
      </c>
      <c r="F252" s="15" t="s">
        <v>158</v>
      </c>
      <c r="G252" s="15" t="s">
        <v>58</v>
      </c>
      <c r="H252" s="248"/>
      <c r="I252" s="248"/>
      <c r="J252" s="248"/>
      <c r="K252" s="241"/>
      <c r="L252" s="15" t="s">
        <v>209</v>
      </c>
      <c r="M252" s="15" t="s">
        <v>160</v>
      </c>
      <c r="N252" s="15" t="s">
        <v>161</v>
      </c>
      <c r="O252" s="15" t="s">
        <v>162</v>
      </c>
      <c r="P252" s="15" t="s">
        <v>163</v>
      </c>
      <c r="Q252" s="227"/>
      <c r="R252" s="227"/>
      <c r="S252" s="227"/>
      <c r="T252" s="244"/>
      <c r="U252" s="31"/>
      <c r="V252" s="31"/>
      <c r="W252" s="31"/>
      <c r="X252" s="31"/>
    </row>
    <row r="253" spans="1:24" ht="24" thickTop="1" thickBot="1">
      <c r="B253" s="17" t="s">
        <v>164</v>
      </c>
      <c r="C253" s="15">
        <f>'[1]التعليم الابتدائي'!IY580</f>
        <v>17</v>
      </c>
      <c r="D253" s="15">
        <f>'[1]التعليم الابتدائي'!JA580</f>
        <v>0</v>
      </c>
      <c r="E253" s="15">
        <f>'[1]التعليم الابتدائي'!JC580</f>
        <v>0</v>
      </c>
      <c r="F253" s="15">
        <f>'[1]التعليم الابتدائي'!JE580</f>
        <v>0</v>
      </c>
      <c r="G253" s="15">
        <f>E253+D253+C253+F253</f>
        <v>17</v>
      </c>
      <c r="H253" s="15">
        <f>'[1]التعليم الابتدائي'!ADR580</f>
        <v>0</v>
      </c>
      <c r="I253" s="15">
        <f>'[1]التعليم الابتدائي'!ADT580</f>
        <v>0</v>
      </c>
      <c r="J253" s="15">
        <f>'[1]التعليم الابتدائي'!ADX580</f>
        <v>0</v>
      </c>
      <c r="K253" s="15">
        <f>'[1]التعليم الابتدائي'!ADV580</f>
        <v>0</v>
      </c>
      <c r="L253" s="15">
        <f>'[1]التعليم الابتدائي'!ADZ580</f>
        <v>0</v>
      </c>
      <c r="M253" s="15">
        <f>'[1]التعليم الابتدائي'!AEB580</f>
        <v>0</v>
      </c>
      <c r="N253" s="15">
        <f>'[1]التعليم الابتدائي'!AED580</f>
        <v>0</v>
      </c>
      <c r="O253" s="15">
        <f>'[1]التعليم الابتدائي'!AEF580</f>
        <v>0</v>
      </c>
      <c r="P253" s="15">
        <f>'[1]التعليم الابتدائي'!AEH580</f>
        <v>0</v>
      </c>
      <c r="Q253" s="257">
        <f>'[1]التعليم الابتدائي'!AEJ580</f>
        <v>0</v>
      </c>
      <c r="R253" s="258"/>
      <c r="S253" s="227">
        <f>Q253+P253+O253+M253+N253+K253+I253+H253+L253+J253</f>
        <v>0</v>
      </c>
      <c r="T253" s="244"/>
      <c r="U253" s="31"/>
      <c r="V253" s="31"/>
      <c r="W253" s="31"/>
      <c r="X253" s="31"/>
    </row>
    <row r="254" spans="1:24" ht="24" thickTop="1" thickBot="1">
      <c r="B254" s="17" t="s">
        <v>165</v>
      </c>
      <c r="C254" s="15">
        <f>'[1]التعليم الابتدائي'!IZ580</f>
        <v>4</v>
      </c>
      <c r="D254" s="15">
        <f>'[1]التعليم الابتدائي'!JB580</f>
        <v>0</v>
      </c>
      <c r="E254" s="15">
        <f>'[1]التعليم الابتدائي'!JD580</f>
        <v>0</v>
      </c>
      <c r="F254" s="15">
        <f>'[1]التعليم الابتدائي'!JF580</f>
        <v>0</v>
      </c>
      <c r="G254" s="15">
        <f>E254+D254+C254+F254</f>
        <v>4</v>
      </c>
      <c r="H254" s="15">
        <f>'[1]التعليم الابتدائي'!ADS580</f>
        <v>0</v>
      </c>
      <c r="I254" s="15">
        <f>'[1]التعليم الابتدائي'!ADU580</f>
        <v>0</v>
      </c>
      <c r="J254" s="15">
        <f>'[1]التعليم الابتدائي'!ADY580</f>
        <v>0</v>
      </c>
      <c r="K254" s="15">
        <f>'[1]التعليم الابتدائي'!ADW580</f>
        <v>0</v>
      </c>
      <c r="L254" s="15">
        <f>'[1]التعليم الابتدائي'!AEA580</f>
        <v>0</v>
      </c>
      <c r="M254" s="15">
        <f>'[1]التعليم الابتدائي'!AEC580</f>
        <v>0</v>
      </c>
      <c r="N254" s="15">
        <f>'[1]التعليم الابتدائي'!AEE580</f>
        <v>0</v>
      </c>
      <c r="O254" s="15">
        <f>'[1]التعليم الابتدائي'!AEG580</f>
        <v>0</v>
      </c>
      <c r="P254" s="15">
        <f>'[1]التعليم الابتدائي'!AEI580</f>
        <v>0</v>
      </c>
      <c r="Q254" s="257">
        <f>'[1]التعليم الابتدائي'!AEK580</f>
        <v>0</v>
      </c>
      <c r="R254" s="258"/>
      <c r="S254" s="227">
        <f>Q254+P254+O254+M254+N254+K254+I254+H254+L254+J254</f>
        <v>0</v>
      </c>
      <c r="T254" s="244"/>
      <c r="U254" s="31"/>
      <c r="V254" s="31"/>
      <c r="W254" s="31"/>
      <c r="X254" s="31"/>
    </row>
    <row r="255" spans="1:24" ht="24" thickTop="1" thickBot="1">
      <c r="B255" s="18" t="s">
        <v>122</v>
      </c>
      <c r="C255" s="20">
        <f>C253+C254</f>
        <v>21</v>
      </c>
      <c r="D255" s="20">
        <f>D253+D254</f>
        <v>0</v>
      </c>
      <c r="E255" s="20">
        <f>E253+E254</f>
        <v>0</v>
      </c>
      <c r="F255" s="20">
        <f>SUM(F253:F254)</f>
        <v>0</v>
      </c>
      <c r="G255" s="20">
        <f>E255+D255+C255+F255</f>
        <v>21</v>
      </c>
      <c r="H255" s="20">
        <f t="shared" ref="H255:S255" si="9">H254+H253</f>
        <v>0</v>
      </c>
      <c r="I255" s="20">
        <f t="shared" si="9"/>
        <v>0</v>
      </c>
      <c r="J255" s="20">
        <f t="shared" si="9"/>
        <v>0</v>
      </c>
      <c r="K255" s="20">
        <f t="shared" si="9"/>
        <v>0</v>
      </c>
      <c r="L255" s="20">
        <f t="shared" si="9"/>
        <v>0</v>
      </c>
      <c r="M255" s="20">
        <f t="shared" si="9"/>
        <v>0</v>
      </c>
      <c r="N255" s="20">
        <f t="shared" si="9"/>
        <v>0</v>
      </c>
      <c r="O255" s="20">
        <f t="shared" si="9"/>
        <v>0</v>
      </c>
      <c r="P255" s="20">
        <f t="shared" si="9"/>
        <v>0</v>
      </c>
      <c r="Q255" s="229">
        <f t="shared" si="9"/>
        <v>0</v>
      </c>
      <c r="R255" s="229">
        <f t="shared" si="9"/>
        <v>0</v>
      </c>
      <c r="S255" s="229">
        <f t="shared" si="9"/>
        <v>0</v>
      </c>
      <c r="T255" s="230"/>
      <c r="U255" s="31"/>
      <c r="V255" s="31"/>
      <c r="W255" s="31"/>
      <c r="X255" s="31"/>
    </row>
    <row r="256" spans="1:24" ht="23.4" thickTop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31"/>
    </row>
    <row r="257" spans="1:23">
      <c r="A257" s="28"/>
      <c r="B257" s="231" t="s">
        <v>166</v>
      </c>
      <c r="C257" s="231"/>
      <c r="D257" s="231"/>
      <c r="E257" s="231"/>
      <c r="F257" s="231"/>
      <c r="G257" s="231"/>
      <c r="H257" s="231"/>
      <c r="I257" s="231"/>
      <c r="J257" s="231"/>
      <c r="K257" s="231"/>
      <c r="L257" s="231"/>
      <c r="M257" s="231"/>
      <c r="N257" s="231"/>
      <c r="O257" s="231"/>
      <c r="P257" s="231"/>
      <c r="Q257" s="231"/>
      <c r="R257" s="231"/>
      <c r="S257" s="231"/>
      <c r="T257" s="28"/>
      <c r="U257" s="28"/>
      <c r="V257" s="28"/>
      <c r="W257" s="28"/>
    </row>
    <row r="258" spans="1:23">
      <c r="A258" s="28"/>
      <c r="B258" s="231" t="s">
        <v>208</v>
      </c>
      <c r="C258" s="231"/>
      <c r="D258" s="231"/>
      <c r="E258" s="231"/>
      <c r="F258" s="231"/>
      <c r="G258" s="231"/>
      <c r="H258" s="231"/>
      <c r="I258" s="231"/>
      <c r="J258" s="231"/>
      <c r="K258" s="231"/>
      <c r="L258" s="231"/>
      <c r="M258" s="231"/>
      <c r="N258" s="231"/>
      <c r="O258" s="231"/>
      <c r="P258" s="231"/>
      <c r="Q258" s="231"/>
      <c r="R258" s="231"/>
      <c r="S258" s="231"/>
      <c r="T258" s="28"/>
      <c r="U258" s="28"/>
      <c r="V258" s="28"/>
      <c r="W258" s="28"/>
    </row>
    <row r="259" spans="1:23">
      <c r="A259" s="28"/>
      <c r="B259" s="231" t="s">
        <v>167</v>
      </c>
      <c r="C259" s="231"/>
      <c r="D259" s="231"/>
      <c r="E259" s="231"/>
      <c r="F259" s="231"/>
      <c r="G259" s="231"/>
      <c r="H259" s="231"/>
      <c r="I259" s="231"/>
      <c r="J259" s="231"/>
      <c r="K259" s="231"/>
      <c r="L259" s="231"/>
      <c r="M259" s="231"/>
      <c r="N259" s="231"/>
      <c r="O259" s="231"/>
      <c r="P259" s="231"/>
      <c r="Q259" s="231"/>
      <c r="R259" s="231"/>
      <c r="S259" s="231"/>
      <c r="T259" s="28"/>
      <c r="U259" s="28"/>
      <c r="V259" s="28"/>
      <c r="W259" s="28"/>
    </row>
    <row r="260" spans="1:23" ht="23.4" thickBo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</row>
    <row r="261" spans="1:23" ht="24" thickTop="1" thickBot="1">
      <c r="A261" s="232" t="s">
        <v>168</v>
      </c>
      <c r="B261" s="233"/>
      <c r="C261" s="233"/>
      <c r="D261" s="234" t="s">
        <v>169</v>
      </c>
      <c r="E261" s="235"/>
      <c r="F261" s="236"/>
      <c r="G261" s="223" t="s">
        <v>170</v>
      </c>
      <c r="H261" s="224"/>
      <c r="I261" s="237"/>
      <c r="J261" s="238" t="s">
        <v>171</v>
      </c>
      <c r="K261" s="238"/>
      <c r="L261" s="234" t="s">
        <v>172</v>
      </c>
      <c r="M261" s="235"/>
      <c r="N261" s="235"/>
      <c r="O261" s="235"/>
      <c r="P261" s="235"/>
      <c r="Q261" s="236"/>
      <c r="R261" s="239" t="s">
        <v>173</v>
      </c>
      <c r="S261" s="223" t="s">
        <v>174</v>
      </c>
      <c r="T261" s="224"/>
      <c r="U261" s="224"/>
      <c r="V261" s="225"/>
    </row>
    <row r="262" spans="1:23" ht="24" thickTop="1" thickBot="1">
      <c r="A262" s="226" t="s">
        <v>175</v>
      </c>
      <c r="B262" s="227"/>
      <c r="C262" s="228" t="s">
        <v>176</v>
      </c>
      <c r="D262" s="220" t="s">
        <v>177</v>
      </c>
      <c r="E262" s="220" t="s">
        <v>178</v>
      </c>
      <c r="F262" s="220" t="s">
        <v>210</v>
      </c>
      <c r="G262" s="228" t="s">
        <v>180</v>
      </c>
      <c r="H262" s="220" t="s">
        <v>181</v>
      </c>
      <c r="I262" s="220" t="s">
        <v>182</v>
      </c>
      <c r="J262" s="228" t="s">
        <v>183</v>
      </c>
      <c r="K262" s="220" t="s">
        <v>184</v>
      </c>
      <c r="L262" s="221" t="s">
        <v>185</v>
      </c>
      <c r="M262" s="221" t="s">
        <v>186</v>
      </c>
      <c r="N262" s="221" t="s">
        <v>211</v>
      </c>
      <c r="O262" s="221" t="s">
        <v>188</v>
      </c>
      <c r="P262" s="221" t="s">
        <v>189</v>
      </c>
      <c r="Q262" s="221" t="s">
        <v>190</v>
      </c>
      <c r="R262" s="220"/>
      <c r="S262" s="211" t="s">
        <v>191</v>
      </c>
      <c r="T262" s="211" t="s">
        <v>192</v>
      </c>
      <c r="U262" s="211" t="s">
        <v>193</v>
      </c>
      <c r="V262" s="213" t="s">
        <v>212</v>
      </c>
    </row>
    <row r="263" spans="1:23" ht="46.8" thickTop="1" thickBot="1">
      <c r="A263" s="19" t="s">
        <v>195</v>
      </c>
      <c r="B263" s="16" t="s">
        <v>196</v>
      </c>
      <c r="C263" s="228"/>
      <c r="D263" s="220"/>
      <c r="E263" s="220"/>
      <c r="F263" s="220"/>
      <c r="G263" s="228"/>
      <c r="H263" s="220"/>
      <c r="I263" s="220"/>
      <c r="J263" s="228"/>
      <c r="K263" s="220"/>
      <c r="L263" s="222"/>
      <c r="M263" s="222"/>
      <c r="N263" s="222"/>
      <c r="O263" s="222"/>
      <c r="P263" s="222"/>
      <c r="Q263" s="222"/>
      <c r="R263" s="220"/>
      <c r="S263" s="212"/>
      <c r="T263" s="212"/>
      <c r="U263" s="212"/>
      <c r="V263" s="214"/>
    </row>
    <row r="264" spans="1:23" ht="24" thickTop="1" thickBot="1">
      <c r="A264" s="18">
        <f>'[1]التعليم الابتدائي'!ALH580</f>
        <v>0</v>
      </c>
      <c r="B264" s="20">
        <f>'[1]التعليم الابتدائي'!ALI580</f>
        <v>19</v>
      </c>
      <c r="C264" s="20">
        <f>'[1]التعليم الابتدائي'!ALJ580</f>
        <v>0</v>
      </c>
      <c r="D264" s="20">
        <f>'[1]التعليم الابتدائي'!ALE580</f>
        <v>15</v>
      </c>
      <c r="E264" s="20">
        <f>'[1]التعليم الابتدائي'!ALF580</f>
        <v>4</v>
      </c>
      <c r="F264" s="20">
        <f>'[1]التعليم الابتدائي'!ALG580</f>
        <v>0</v>
      </c>
      <c r="G264" s="20">
        <f>'[1]التعليم الابتدائي'!ALK580</f>
        <v>8</v>
      </c>
      <c r="H264" s="21">
        <f>'[1]التعليم الابتدائي'!ALL580</f>
        <v>10</v>
      </c>
      <c r="I264" s="20">
        <f>'[1]التعليم الابتدائي'!ALM580</f>
        <v>1</v>
      </c>
      <c r="J264" s="20">
        <f>'[1]التعليم الابتدائي'!AIS580</f>
        <v>19</v>
      </c>
      <c r="K264" s="20">
        <f>'[1]التعليم الابتدائي'!AIT580</f>
        <v>0</v>
      </c>
      <c r="L264" s="27">
        <f>'[1]التعليم الابتدائي'!AJN580</f>
        <v>19</v>
      </c>
      <c r="M264" s="27">
        <v>0</v>
      </c>
      <c r="N264" s="20">
        <f>'[1]التعليم الابتدائي'!AJP580</f>
        <v>0</v>
      </c>
      <c r="O264" s="20">
        <f>'[1]التعليم الابتدائي'!AJQ580</f>
        <v>0</v>
      </c>
      <c r="P264" s="20">
        <f>'[1]التعليم الابتدائي'!AJS580</f>
        <v>0</v>
      </c>
      <c r="Q264" s="20">
        <f>'[1]التعليم الابتدائي'!AJT580</f>
        <v>0</v>
      </c>
      <c r="R264" s="20">
        <f>SUM(L264:Q264)</f>
        <v>19</v>
      </c>
      <c r="S264" s="20">
        <f>'[1]التعليم الابتدائي'!AJU580</f>
        <v>19</v>
      </c>
      <c r="T264" s="20">
        <f>'[1]التعليم الابتدائي'!AKA580</f>
        <v>19</v>
      </c>
      <c r="U264" s="20">
        <f>'[1]التعليم الابتدائي'!AKH580</f>
        <v>19</v>
      </c>
      <c r="V264" s="33">
        <f>'[1]التعليم الابتدائي'!AKL580</f>
        <v>19</v>
      </c>
    </row>
    <row r="265" spans="1:23" ht="23.4" thickTop="1"/>
    <row r="266" spans="1:23" ht="23.4" thickBot="1">
      <c r="B266" s="23"/>
      <c r="C266" s="23"/>
      <c r="D266" s="23"/>
      <c r="E266" s="23"/>
      <c r="G266" s="34" t="s">
        <v>197</v>
      </c>
    </row>
    <row r="267" spans="1:23" ht="24" thickTop="1" thickBot="1">
      <c r="B267" s="215" t="s">
        <v>198</v>
      </c>
      <c r="C267" s="216"/>
      <c r="D267" s="216"/>
      <c r="E267" s="216"/>
      <c r="F267" s="216"/>
      <c r="G267" s="216"/>
      <c r="H267" s="216"/>
      <c r="I267" s="217"/>
      <c r="J267" s="218" t="s">
        <v>199</v>
      </c>
      <c r="K267" s="216"/>
      <c r="L267" s="216"/>
      <c r="M267" s="216"/>
      <c r="N267" s="216"/>
      <c r="O267" s="216"/>
      <c r="P267" s="216"/>
      <c r="Q267" s="216"/>
      <c r="R267" s="216"/>
      <c r="S267" s="216"/>
      <c r="T267" s="216"/>
      <c r="U267" s="219"/>
    </row>
    <row r="268" spans="1:23" ht="24" thickTop="1" thickBot="1">
      <c r="B268" s="210" t="s">
        <v>200</v>
      </c>
      <c r="C268" s="207"/>
      <c r="D268" s="206" t="s">
        <v>201</v>
      </c>
      <c r="E268" s="207"/>
      <c r="F268" s="206" t="s">
        <v>202</v>
      </c>
      <c r="G268" s="207"/>
      <c r="H268" s="206" t="s">
        <v>58</v>
      </c>
      <c r="I268" s="207"/>
      <c r="J268" s="206" t="s">
        <v>203</v>
      </c>
      <c r="K268" s="207"/>
      <c r="L268" s="206" t="s">
        <v>204</v>
      </c>
      <c r="M268" s="207"/>
      <c r="N268" s="206" t="s">
        <v>205</v>
      </c>
      <c r="O268" s="207"/>
      <c r="P268" s="206" t="s">
        <v>206</v>
      </c>
      <c r="Q268" s="207"/>
      <c r="R268" s="206" t="s">
        <v>207</v>
      </c>
      <c r="S268" s="207"/>
      <c r="T268" s="206" t="s">
        <v>58</v>
      </c>
      <c r="U268" s="208"/>
    </row>
    <row r="269" spans="1:23" ht="24" thickTop="1" thickBot="1">
      <c r="B269" s="209">
        <f>'[1]التعليم الابتدائي'!AIZ580</f>
        <v>13</v>
      </c>
      <c r="C269" s="204"/>
      <c r="D269" s="203">
        <f>'[1]التعليم الابتدائي'!AJA580</f>
        <v>6</v>
      </c>
      <c r="E269" s="204"/>
      <c r="F269" s="203">
        <f>'[1]التعليم الابتدائي'!AJB580</f>
        <v>0</v>
      </c>
      <c r="G269" s="204"/>
      <c r="H269" s="203">
        <f>F269+D269+B269</f>
        <v>19</v>
      </c>
      <c r="I269" s="204"/>
      <c r="J269" s="203">
        <f>'[1]التعليم الابتدائي'!AJF580</f>
        <v>3</v>
      </c>
      <c r="K269" s="204"/>
      <c r="L269" s="203">
        <f>'[1]التعليم الابتدائي'!AJG580</f>
        <v>7</v>
      </c>
      <c r="M269" s="204"/>
      <c r="N269" s="203">
        <f>'[1]التعليم الابتدائي'!AJH580</f>
        <v>8</v>
      </c>
      <c r="O269" s="204"/>
      <c r="P269" s="203">
        <f>'[1]التعليم الابتدائي'!AJI580</f>
        <v>1</v>
      </c>
      <c r="Q269" s="204"/>
      <c r="R269" s="203">
        <f>'[1]التعليم الابتدائي'!AJJ580</f>
        <v>0</v>
      </c>
      <c r="S269" s="204"/>
      <c r="T269" s="203">
        <f>R269+P269+N269+L269+J269</f>
        <v>19</v>
      </c>
      <c r="U269" s="205"/>
    </row>
    <row r="270" spans="1:23" ht="23.4" thickTop="1"/>
    <row r="271" spans="1:23">
      <c r="A271" s="231" t="s">
        <v>62</v>
      </c>
      <c r="B271" s="231"/>
      <c r="C271" s="231"/>
      <c r="D271" s="231"/>
      <c r="E271" s="231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31" t="s">
        <v>93</v>
      </c>
      <c r="S271" s="231"/>
      <c r="T271" s="231"/>
      <c r="U271" s="28"/>
      <c r="V271" s="28"/>
      <c r="W271" s="28"/>
    </row>
    <row r="272" spans="1:23">
      <c r="A272" s="231" t="s">
        <v>64</v>
      </c>
      <c r="B272" s="231"/>
      <c r="C272" s="231"/>
      <c r="D272" s="231"/>
      <c r="E272" s="231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31" t="s">
        <v>65</v>
      </c>
      <c r="S272" s="231"/>
      <c r="T272" s="231"/>
      <c r="U272" s="28"/>
      <c r="V272" s="28"/>
      <c r="W272" s="28"/>
    </row>
    <row r="273" spans="1:24">
      <c r="A273" s="28"/>
      <c r="B273" s="231" t="s">
        <v>143</v>
      </c>
      <c r="C273" s="231"/>
      <c r="D273" s="231"/>
      <c r="E273" s="231"/>
      <c r="F273" s="231"/>
      <c r="G273" s="231"/>
      <c r="H273" s="231"/>
      <c r="I273" s="231"/>
      <c r="J273" s="231"/>
      <c r="K273" s="231"/>
      <c r="L273" s="231"/>
      <c r="M273" s="231"/>
      <c r="N273" s="231"/>
      <c r="O273" s="231"/>
      <c r="P273" s="231"/>
      <c r="Q273" s="231"/>
      <c r="R273" s="231"/>
      <c r="S273" s="231"/>
      <c r="T273" s="28"/>
      <c r="U273" s="28"/>
      <c r="V273" s="28"/>
      <c r="W273" s="28"/>
    </row>
    <row r="274" spans="1:24">
      <c r="A274" s="28"/>
      <c r="B274" s="231" t="s">
        <v>208</v>
      </c>
      <c r="C274" s="231"/>
      <c r="D274" s="231"/>
      <c r="E274" s="231"/>
      <c r="F274" s="231"/>
      <c r="G274" s="231"/>
      <c r="H274" s="231"/>
      <c r="I274" s="231"/>
      <c r="J274" s="231"/>
      <c r="K274" s="231"/>
      <c r="L274" s="231"/>
      <c r="M274" s="231"/>
      <c r="N274" s="231"/>
      <c r="O274" s="231"/>
      <c r="P274" s="231"/>
      <c r="Q274" s="231"/>
      <c r="R274" s="231"/>
      <c r="S274" s="231"/>
      <c r="T274" s="28"/>
      <c r="U274" s="28"/>
      <c r="V274" s="28"/>
      <c r="W274" s="28"/>
    </row>
    <row r="275" spans="1:24">
      <c r="A275" s="28"/>
      <c r="B275" s="231" t="s">
        <v>144</v>
      </c>
      <c r="C275" s="231"/>
      <c r="D275" s="231"/>
      <c r="E275" s="231"/>
      <c r="F275" s="231"/>
      <c r="G275" s="231"/>
      <c r="H275" s="231"/>
      <c r="I275" s="231"/>
      <c r="J275" s="231"/>
      <c r="K275" s="231"/>
      <c r="L275" s="231"/>
      <c r="M275" s="231"/>
      <c r="N275" s="231"/>
      <c r="O275" s="231"/>
      <c r="P275" s="231"/>
      <c r="Q275" s="231"/>
      <c r="R275" s="231"/>
      <c r="S275" s="231"/>
      <c r="T275" s="28"/>
      <c r="U275" s="28"/>
      <c r="V275" s="28"/>
      <c r="W275" s="28"/>
    </row>
    <row r="276" spans="1:24" ht="23.4" thickBo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</row>
    <row r="277" spans="1:24" ht="24" thickTop="1" thickBot="1">
      <c r="B277" s="245" t="s">
        <v>145</v>
      </c>
      <c r="C277" s="233" t="s">
        <v>146</v>
      </c>
      <c r="D277" s="233"/>
      <c r="E277" s="233"/>
      <c r="F277" s="233"/>
      <c r="G277" s="233"/>
      <c r="H277" s="234" t="s">
        <v>147</v>
      </c>
      <c r="I277" s="235"/>
      <c r="J277" s="235"/>
      <c r="K277" s="235"/>
      <c r="L277" s="235"/>
      <c r="M277" s="235"/>
      <c r="N277" s="235"/>
      <c r="O277" s="235"/>
      <c r="P277" s="235"/>
      <c r="Q277" s="235"/>
      <c r="R277" s="236"/>
      <c r="S277" s="233" t="s">
        <v>58</v>
      </c>
      <c r="T277" s="247"/>
      <c r="U277" s="31"/>
      <c r="V277" s="31"/>
      <c r="W277" s="31"/>
      <c r="X277" s="31"/>
    </row>
    <row r="278" spans="1:24" ht="24" thickTop="1" thickBot="1">
      <c r="B278" s="246"/>
      <c r="C278" s="227"/>
      <c r="D278" s="227"/>
      <c r="E278" s="227"/>
      <c r="F278" s="227"/>
      <c r="G278" s="227"/>
      <c r="H278" s="248" t="s">
        <v>148</v>
      </c>
      <c r="I278" s="248" t="s">
        <v>149</v>
      </c>
      <c r="J278" s="248" t="s">
        <v>150</v>
      </c>
      <c r="K278" s="240" t="s">
        <v>151</v>
      </c>
      <c r="L278" s="227" t="s">
        <v>152</v>
      </c>
      <c r="M278" s="227"/>
      <c r="N278" s="227" t="s">
        <v>153</v>
      </c>
      <c r="O278" s="227"/>
      <c r="P278" s="227"/>
      <c r="Q278" s="227" t="s">
        <v>154</v>
      </c>
      <c r="R278" s="227"/>
      <c r="S278" s="227"/>
      <c r="T278" s="244"/>
      <c r="U278" s="31"/>
      <c r="V278" s="31"/>
      <c r="W278" s="31"/>
      <c r="X278" s="31"/>
    </row>
    <row r="279" spans="1:24" ht="46.8" thickTop="1" thickBot="1">
      <c r="B279" s="246"/>
      <c r="C279" s="15" t="s">
        <v>155</v>
      </c>
      <c r="D279" s="15" t="s">
        <v>156</v>
      </c>
      <c r="E279" s="15" t="s">
        <v>157</v>
      </c>
      <c r="F279" s="15" t="s">
        <v>158</v>
      </c>
      <c r="G279" s="15" t="s">
        <v>58</v>
      </c>
      <c r="H279" s="248"/>
      <c r="I279" s="248"/>
      <c r="J279" s="248"/>
      <c r="K279" s="241"/>
      <c r="L279" s="15" t="s">
        <v>209</v>
      </c>
      <c r="M279" s="16" t="s">
        <v>160</v>
      </c>
      <c r="N279" s="16" t="s">
        <v>161</v>
      </c>
      <c r="O279" s="15" t="s">
        <v>162</v>
      </c>
      <c r="P279" s="15" t="s">
        <v>163</v>
      </c>
      <c r="Q279" s="227"/>
      <c r="R279" s="227"/>
      <c r="S279" s="227"/>
      <c r="T279" s="244"/>
      <c r="U279" s="31"/>
      <c r="V279" s="31"/>
      <c r="W279" s="31"/>
      <c r="X279" s="31"/>
    </row>
    <row r="280" spans="1:24" ht="24" thickTop="1" thickBot="1">
      <c r="B280" s="17" t="s">
        <v>164</v>
      </c>
      <c r="C280" s="15">
        <f>'[1]التعليم الابتدائي'!IY644</f>
        <v>33</v>
      </c>
      <c r="D280" s="15">
        <f>'[1]التعليم الابتدائي'!JA644</f>
        <v>0</v>
      </c>
      <c r="E280" s="15">
        <f>'[1]التعليم الابتدائي'!JC644</f>
        <v>0</v>
      </c>
      <c r="F280" s="15">
        <f>'[1]التعليم الابتدائي'!JE644</f>
        <v>0</v>
      </c>
      <c r="G280" s="15">
        <f>E280+D280+C280+F280</f>
        <v>33</v>
      </c>
      <c r="H280" s="15">
        <f>'[1]التعليم الابتدائي'!ADR644</f>
        <v>0</v>
      </c>
      <c r="I280" s="15">
        <f>'[1]التعليم الابتدائي'!ADT644</f>
        <v>0</v>
      </c>
      <c r="J280" s="15">
        <f>'[1]التعليم الابتدائي'!ADX644</f>
        <v>0</v>
      </c>
      <c r="K280" s="15">
        <f>'[1]التعليم الابتدائي'!ADV644</f>
        <v>0</v>
      </c>
      <c r="L280" s="15">
        <f>'[1]التعليم الابتدائي'!ADZ644</f>
        <v>0</v>
      </c>
      <c r="M280" s="15">
        <f>'[1]التعليم الابتدائي'!AEB644</f>
        <v>0</v>
      </c>
      <c r="N280" s="15">
        <f>'[1]التعليم الابتدائي'!AED644</f>
        <v>0</v>
      </c>
      <c r="O280" s="15">
        <f>'[1]التعليم الابتدائي'!AEF644</f>
        <v>0</v>
      </c>
      <c r="P280" s="15">
        <f>'[1]التعليم الابتدائي'!AEH644</f>
        <v>0</v>
      </c>
      <c r="Q280" s="257">
        <f>'[1]التعليم الابتدائي'!AEJ644</f>
        <v>0</v>
      </c>
      <c r="R280" s="258"/>
      <c r="S280" s="227">
        <f>Q280+P280+O280+N280+M280+L280+K280+J280+I280+H280</f>
        <v>0</v>
      </c>
      <c r="T280" s="244"/>
      <c r="U280" s="31"/>
      <c r="V280" s="31"/>
      <c r="W280" s="31"/>
      <c r="X280" s="31"/>
    </row>
    <row r="281" spans="1:24" ht="24" thickTop="1" thickBot="1">
      <c r="B281" s="17" t="s">
        <v>165</v>
      </c>
      <c r="C281" s="15">
        <f>'[1]التعليم الابتدائي'!IZ644</f>
        <v>26</v>
      </c>
      <c r="D281" s="15">
        <f>'[1]التعليم الابتدائي'!JB644</f>
        <v>0</v>
      </c>
      <c r="E281" s="15">
        <f>'[1]التعليم الابتدائي'!JD644</f>
        <v>0</v>
      </c>
      <c r="F281" s="15">
        <f>'[1]التعليم الابتدائي'!JF644</f>
        <v>0</v>
      </c>
      <c r="G281" s="15">
        <f>E281+D281+C281+F281</f>
        <v>26</v>
      </c>
      <c r="H281" s="15">
        <f>'[1]التعليم الابتدائي'!ADS644</f>
        <v>0</v>
      </c>
      <c r="I281" s="15">
        <f>'[1]التعليم الابتدائي'!ADU644</f>
        <v>0</v>
      </c>
      <c r="J281" s="15">
        <f>'[1]التعليم الابتدائي'!ADY644</f>
        <v>0</v>
      </c>
      <c r="K281" s="15">
        <f>'[1]التعليم الابتدائي'!ADW644</f>
        <v>0</v>
      </c>
      <c r="L281" s="15">
        <f>'[1]التعليم الابتدائي'!AEA644</f>
        <v>0</v>
      </c>
      <c r="M281" s="15">
        <f>'[1]التعليم الابتدائي'!AEC644</f>
        <v>0</v>
      </c>
      <c r="N281" s="15">
        <f>'[1]التعليم الابتدائي'!AEE644</f>
        <v>0</v>
      </c>
      <c r="O281" s="15">
        <f>'[1]التعليم الابتدائي'!AEG644</f>
        <v>0</v>
      </c>
      <c r="P281" s="15">
        <f>'[1]التعليم الابتدائي'!AEI644</f>
        <v>0</v>
      </c>
      <c r="Q281" s="257">
        <f>'[1]التعليم الابتدائي'!AEK644</f>
        <v>1</v>
      </c>
      <c r="R281" s="258"/>
      <c r="S281" s="227">
        <f>Q281+P281+O281+N281+M281+L281+K281+J281+I281+H281</f>
        <v>1</v>
      </c>
      <c r="T281" s="244"/>
      <c r="U281" s="31"/>
      <c r="V281" s="31"/>
      <c r="W281" s="31"/>
      <c r="X281" s="31"/>
    </row>
    <row r="282" spans="1:24" ht="24" thickTop="1" thickBot="1">
      <c r="B282" s="18" t="s">
        <v>122</v>
      </c>
      <c r="C282" s="20">
        <f>C280+C281</f>
        <v>59</v>
      </c>
      <c r="D282" s="20">
        <f>D280+D281</f>
        <v>0</v>
      </c>
      <c r="E282" s="20">
        <f>E280+E281</f>
        <v>0</v>
      </c>
      <c r="F282" s="20">
        <f>SUM(F280:F281)</f>
        <v>0</v>
      </c>
      <c r="G282" s="20">
        <f>E282+D282+C282+F282</f>
        <v>59</v>
      </c>
      <c r="H282" s="20">
        <f t="shared" ref="H282:S282" si="10">H281+H280</f>
        <v>0</v>
      </c>
      <c r="I282" s="20">
        <f t="shared" si="10"/>
        <v>0</v>
      </c>
      <c r="J282" s="20">
        <f t="shared" si="10"/>
        <v>0</v>
      </c>
      <c r="K282" s="20">
        <f t="shared" si="10"/>
        <v>0</v>
      </c>
      <c r="L282" s="20">
        <f t="shared" si="10"/>
        <v>0</v>
      </c>
      <c r="M282" s="20">
        <f t="shared" si="10"/>
        <v>0</v>
      </c>
      <c r="N282" s="20">
        <f t="shared" si="10"/>
        <v>0</v>
      </c>
      <c r="O282" s="20">
        <f t="shared" si="10"/>
        <v>0</v>
      </c>
      <c r="P282" s="20">
        <f t="shared" si="10"/>
        <v>0</v>
      </c>
      <c r="Q282" s="229">
        <f t="shared" si="10"/>
        <v>1</v>
      </c>
      <c r="R282" s="229">
        <f t="shared" si="10"/>
        <v>0</v>
      </c>
      <c r="S282" s="229">
        <f t="shared" si="10"/>
        <v>1</v>
      </c>
      <c r="T282" s="230"/>
      <c r="U282" s="31"/>
      <c r="V282" s="31"/>
      <c r="W282" s="31"/>
      <c r="X282" s="31"/>
    </row>
    <row r="283" spans="1:24" ht="23.4" thickTop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31"/>
    </row>
    <row r="284" spans="1:24">
      <c r="A284" s="28"/>
      <c r="B284" s="28"/>
      <c r="C284" s="23"/>
      <c r="D284" s="23"/>
      <c r="E284" s="23"/>
      <c r="F284" s="23"/>
      <c r="G284" s="23"/>
      <c r="H284" s="23"/>
      <c r="I284" s="23"/>
      <c r="J284" s="23" t="s">
        <v>166</v>
      </c>
      <c r="K284" s="23"/>
      <c r="L284" s="23"/>
      <c r="M284" s="23"/>
      <c r="N284" s="23"/>
      <c r="O284" s="23"/>
      <c r="P284" s="28"/>
      <c r="Q284" s="23"/>
      <c r="R284" s="23"/>
      <c r="S284" s="23"/>
      <c r="T284" s="28"/>
      <c r="U284" s="28"/>
      <c r="V284" s="28"/>
      <c r="W284" s="28"/>
    </row>
    <row r="285" spans="1:24">
      <c r="A285" s="28"/>
      <c r="B285" s="231" t="s">
        <v>208</v>
      </c>
      <c r="C285" s="231"/>
      <c r="D285" s="231"/>
      <c r="E285" s="231"/>
      <c r="F285" s="231"/>
      <c r="G285" s="231"/>
      <c r="H285" s="231"/>
      <c r="I285" s="231"/>
      <c r="J285" s="231"/>
      <c r="K285" s="231"/>
      <c r="L285" s="231"/>
      <c r="M285" s="231"/>
      <c r="N285" s="231"/>
      <c r="O285" s="231"/>
      <c r="P285" s="231"/>
      <c r="Q285" s="231"/>
      <c r="R285" s="231"/>
      <c r="S285" s="231"/>
      <c r="T285" s="28"/>
      <c r="U285" s="28"/>
      <c r="V285" s="28"/>
      <c r="W285" s="28"/>
    </row>
    <row r="286" spans="1:24">
      <c r="A286" s="28"/>
      <c r="B286" s="231" t="s">
        <v>167</v>
      </c>
      <c r="C286" s="231"/>
      <c r="D286" s="231"/>
      <c r="E286" s="231"/>
      <c r="F286" s="231"/>
      <c r="G286" s="231"/>
      <c r="H286" s="231"/>
      <c r="I286" s="231"/>
      <c r="J286" s="231"/>
      <c r="K286" s="231"/>
      <c r="L286" s="231"/>
      <c r="M286" s="231"/>
      <c r="N286" s="231"/>
      <c r="O286" s="231"/>
      <c r="P286" s="231"/>
      <c r="Q286" s="231"/>
      <c r="R286" s="231"/>
      <c r="S286" s="231"/>
      <c r="T286" s="28"/>
      <c r="U286" s="28"/>
      <c r="V286" s="28"/>
      <c r="W286" s="28"/>
    </row>
    <row r="287" spans="1:24" ht="23.4" thickBo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</row>
    <row r="288" spans="1:24" ht="24" thickTop="1" thickBot="1">
      <c r="A288" s="232" t="s">
        <v>168</v>
      </c>
      <c r="B288" s="233"/>
      <c r="C288" s="233"/>
      <c r="D288" s="234" t="s">
        <v>169</v>
      </c>
      <c r="E288" s="235"/>
      <c r="F288" s="236"/>
      <c r="G288" s="223" t="s">
        <v>170</v>
      </c>
      <c r="H288" s="224"/>
      <c r="I288" s="237"/>
      <c r="J288" s="238" t="s">
        <v>171</v>
      </c>
      <c r="K288" s="238"/>
      <c r="L288" s="223" t="s">
        <v>172</v>
      </c>
      <c r="M288" s="224"/>
      <c r="N288" s="224"/>
      <c r="O288" s="224"/>
      <c r="P288" s="224"/>
      <c r="Q288" s="237"/>
      <c r="R288" s="239" t="s">
        <v>173</v>
      </c>
      <c r="S288" s="223" t="s">
        <v>174</v>
      </c>
      <c r="T288" s="224"/>
      <c r="U288" s="224"/>
      <c r="V288" s="225"/>
    </row>
    <row r="289" spans="1:23" ht="24" thickTop="1" thickBot="1">
      <c r="A289" s="226" t="s">
        <v>175</v>
      </c>
      <c r="B289" s="227"/>
      <c r="C289" s="228" t="s">
        <v>176</v>
      </c>
      <c r="D289" s="220" t="s">
        <v>177</v>
      </c>
      <c r="E289" s="220" t="s">
        <v>178</v>
      </c>
      <c r="F289" s="220" t="s">
        <v>210</v>
      </c>
      <c r="G289" s="228" t="s">
        <v>180</v>
      </c>
      <c r="H289" s="220" t="s">
        <v>181</v>
      </c>
      <c r="I289" s="220" t="s">
        <v>182</v>
      </c>
      <c r="J289" s="228" t="s">
        <v>183</v>
      </c>
      <c r="K289" s="220" t="s">
        <v>184</v>
      </c>
      <c r="L289" s="221" t="s">
        <v>185</v>
      </c>
      <c r="M289" s="221" t="s">
        <v>211</v>
      </c>
      <c r="N289" s="221" t="s">
        <v>188</v>
      </c>
      <c r="O289" s="221" t="s">
        <v>189</v>
      </c>
      <c r="P289" s="221" t="s">
        <v>186</v>
      </c>
      <c r="Q289" s="221" t="s">
        <v>190</v>
      </c>
      <c r="R289" s="220"/>
      <c r="S289" s="211" t="s">
        <v>191</v>
      </c>
      <c r="T289" s="211" t="s">
        <v>192</v>
      </c>
      <c r="U289" s="211" t="s">
        <v>193</v>
      </c>
      <c r="V289" s="213" t="s">
        <v>212</v>
      </c>
    </row>
    <row r="290" spans="1:23" ht="46.8" thickTop="1" thickBot="1">
      <c r="A290" s="17" t="s">
        <v>195</v>
      </c>
      <c r="B290" s="16" t="s">
        <v>196</v>
      </c>
      <c r="C290" s="228"/>
      <c r="D290" s="220"/>
      <c r="E290" s="220"/>
      <c r="F290" s="220"/>
      <c r="G290" s="228"/>
      <c r="H290" s="220"/>
      <c r="I290" s="220"/>
      <c r="J290" s="228"/>
      <c r="K290" s="220"/>
      <c r="L290" s="222"/>
      <c r="M290" s="222"/>
      <c r="N290" s="222"/>
      <c r="O290" s="222"/>
      <c r="P290" s="222"/>
      <c r="Q290" s="222"/>
      <c r="R290" s="220"/>
      <c r="S290" s="212"/>
      <c r="T290" s="212"/>
      <c r="U290" s="212"/>
      <c r="V290" s="214"/>
    </row>
    <row r="291" spans="1:23" ht="24" thickTop="1" thickBot="1">
      <c r="A291" s="18">
        <f>'[1]التعليم الابتدائي'!ALH644</f>
        <v>0</v>
      </c>
      <c r="B291" s="20">
        <f>'[1]التعليم الابتدائي'!ALI644</f>
        <v>37</v>
      </c>
      <c r="C291" s="20">
        <f>'[1]التعليم الابتدائي'!ALJ644</f>
        <v>0</v>
      </c>
      <c r="D291" s="20">
        <f>'[1]التعليم الابتدائي'!ALE644</f>
        <v>11</v>
      </c>
      <c r="E291" s="20">
        <f>'[1]التعليم الابتدائي'!ALF644</f>
        <v>26</v>
      </c>
      <c r="F291" s="20">
        <f>'[1]التعليم الابتدائي'!ALG644</f>
        <v>0</v>
      </c>
      <c r="G291" s="20">
        <f>'[1]التعليم الابتدائي'!ALK644</f>
        <v>21</v>
      </c>
      <c r="H291" s="21">
        <f>'[1]التعليم الابتدائي'!ALL644</f>
        <v>14</v>
      </c>
      <c r="I291" s="20">
        <f>'[1]التعليم الابتدائي'!ALM644</f>
        <v>2</v>
      </c>
      <c r="J291" s="20">
        <f>'[1]التعليم الابتدائي'!AIS644</f>
        <v>37</v>
      </c>
      <c r="K291" s="20">
        <f>'[1]التعليم الابتدائي'!AIT644</f>
        <v>0</v>
      </c>
      <c r="L291" s="21">
        <f>'[1]التعليم الابتدائي'!AJN644</f>
        <v>33</v>
      </c>
      <c r="M291" s="20">
        <f>'[1]التعليم الابتدائي'!AJQ644</f>
        <v>2</v>
      </c>
      <c r="N291" s="20">
        <v>0</v>
      </c>
      <c r="O291" s="20">
        <f>'[1]التعليم الابتدائي'!AJS644</f>
        <v>2</v>
      </c>
      <c r="P291" s="20">
        <f>'[1]التعليم الابتدائي'!AJR644</f>
        <v>0</v>
      </c>
      <c r="Q291" s="20">
        <f>'[1]التعليم الابتدائي'!AJT644</f>
        <v>0</v>
      </c>
      <c r="R291" s="20">
        <f>SUM(L291:Q291)</f>
        <v>37</v>
      </c>
      <c r="S291" s="20">
        <f>'[1]التعليم الابتدائي'!AJU644</f>
        <v>37</v>
      </c>
      <c r="T291" s="20">
        <f>'[1]التعليم الابتدائي'!AKA644</f>
        <v>37</v>
      </c>
      <c r="U291" s="20">
        <f>'[1]التعليم الابتدائي'!AKH644</f>
        <v>37</v>
      </c>
      <c r="V291" s="33">
        <f>'[1]التعليم الابتدائي'!AKL644</f>
        <v>37</v>
      </c>
    </row>
    <row r="292" spans="1:23" ht="23.4" thickTop="1"/>
    <row r="293" spans="1:23" ht="23.4" thickBot="1">
      <c r="B293" s="23"/>
      <c r="C293" s="23"/>
      <c r="D293" s="23"/>
      <c r="E293" s="23"/>
      <c r="G293" s="34" t="s">
        <v>197</v>
      </c>
    </row>
    <row r="294" spans="1:23" ht="24" thickTop="1" thickBot="1">
      <c r="B294" s="215" t="s">
        <v>198</v>
      </c>
      <c r="C294" s="216"/>
      <c r="D294" s="216"/>
      <c r="E294" s="216"/>
      <c r="F294" s="216"/>
      <c r="G294" s="216"/>
      <c r="H294" s="216"/>
      <c r="I294" s="217"/>
      <c r="J294" s="218" t="s">
        <v>199</v>
      </c>
      <c r="K294" s="216"/>
      <c r="L294" s="216"/>
      <c r="M294" s="216"/>
      <c r="N294" s="216"/>
      <c r="O294" s="216"/>
      <c r="P294" s="216"/>
      <c r="Q294" s="216"/>
      <c r="R294" s="216"/>
      <c r="S294" s="216"/>
      <c r="T294" s="216"/>
      <c r="U294" s="219"/>
    </row>
    <row r="295" spans="1:23" ht="24" thickTop="1" thickBot="1">
      <c r="B295" s="210" t="s">
        <v>200</v>
      </c>
      <c r="C295" s="207"/>
      <c r="D295" s="206" t="s">
        <v>201</v>
      </c>
      <c r="E295" s="207"/>
      <c r="F295" s="206" t="s">
        <v>202</v>
      </c>
      <c r="G295" s="207"/>
      <c r="H295" s="206" t="s">
        <v>58</v>
      </c>
      <c r="I295" s="207"/>
      <c r="J295" s="206" t="s">
        <v>203</v>
      </c>
      <c r="K295" s="207"/>
      <c r="L295" s="206" t="s">
        <v>204</v>
      </c>
      <c r="M295" s="207"/>
      <c r="N295" s="206" t="s">
        <v>205</v>
      </c>
      <c r="O295" s="207"/>
      <c r="P295" s="206" t="s">
        <v>206</v>
      </c>
      <c r="Q295" s="207"/>
      <c r="R295" s="206" t="s">
        <v>207</v>
      </c>
      <c r="S295" s="207"/>
      <c r="T295" s="206" t="s">
        <v>58</v>
      </c>
      <c r="U295" s="208"/>
    </row>
    <row r="296" spans="1:23" ht="24" thickTop="1" thickBot="1">
      <c r="B296" s="209">
        <f>'[1]التعليم الابتدائي'!AIZ644</f>
        <v>13</v>
      </c>
      <c r="C296" s="204"/>
      <c r="D296" s="203">
        <f>'[1]التعليم الابتدائي'!AJA644</f>
        <v>21</v>
      </c>
      <c r="E296" s="204"/>
      <c r="F296" s="203">
        <f>'[1]التعليم الابتدائي'!AJB644</f>
        <v>3</v>
      </c>
      <c r="G296" s="204"/>
      <c r="H296" s="203">
        <f>F296+D296+B296</f>
        <v>37</v>
      </c>
      <c r="I296" s="204"/>
      <c r="J296" s="203">
        <f>'[1]التعليم الابتدائي'!AJF644</f>
        <v>4</v>
      </c>
      <c r="K296" s="204"/>
      <c r="L296" s="203">
        <f>'[1]التعليم الابتدائي'!AJG644</f>
        <v>5</v>
      </c>
      <c r="M296" s="204"/>
      <c r="N296" s="203">
        <f>'[1]التعليم الابتدائي'!AJH644</f>
        <v>20</v>
      </c>
      <c r="O296" s="204"/>
      <c r="P296" s="203">
        <f>'[1]التعليم الابتدائي'!AJI644</f>
        <v>7</v>
      </c>
      <c r="Q296" s="204"/>
      <c r="R296" s="203">
        <f>'[1]التعليم الابتدائي'!AJJ644</f>
        <v>1</v>
      </c>
      <c r="S296" s="204"/>
      <c r="T296" s="203">
        <f>R296+P296+N296+L296+J296</f>
        <v>37</v>
      </c>
      <c r="U296" s="205"/>
    </row>
    <row r="297" spans="1:23" ht="23.4" thickTop="1"/>
    <row r="298" spans="1:23">
      <c r="A298" s="231" t="s">
        <v>62</v>
      </c>
      <c r="B298" s="231"/>
      <c r="C298" s="231"/>
      <c r="D298" s="231"/>
      <c r="E298" s="231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31" t="s">
        <v>94</v>
      </c>
      <c r="R298" s="231"/>
      <c r="S298" s="231"/>
      <c r="T298" s="231"/>
      <c r="U298" s="28"/>
      <c r="V298" s="28"/>
    </row>
    <row r="299" spans="1:23">
      <c r="A299" s="231" t="s">
        <v>64</v>
      </c>
      <c r="B299" s="231"/>
      <c r="C299" s="231"/>
      <c r="D299" s="231"/>
      <c r="E299" s="231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31" t="s">
        <v>65</v>
      </c>
      <c r="R299" s="231"/>
      <c r="S299" s="231"/>
      <c r="T299" s="231"/>
      <c r="U299" s="28"/>
      <c r="V299" s="28"/>
    </row>
    <row r="300" spans="1:23">
      <c r="A300" s="28"/>
      <c r="B300" s="231" t="s">
        <v>143</v>
      </c>
      <c r="C300" s="231"/>
      <c r="D300" s="231"/>
      <c r="E300" s="231"/>
      <c r="F300" s="231"/>
      <c r="G300" s="231"/>
      <c r="H300" s="231"/>
      <c r="I300" s="231"/>
      <c r="J300" s="231"/>
      <c r="K300" s="231"/>
      <c r="L300" s="231"/>
      <c r="M300" s="231"/>
      <c r="N300" s="231"/>
      <c r="O300" s="231"/>
      <c r="P300" s="231"/>
      <c r="Q300" s="231"/>
      <c r="R300" s="231"/>
      <c r="S300" s="231"/>
      <c r="T300" s="28"/>
      <c r="U300" s="28"/>
      <c r="V300" s="28"/>
    </row>
    <row r="301" spans="1:23">
      <c r="A301" s="28"/>
      <c r="B301" s="231" t="s">
        <v>208</v>
      </c>
      <c r="C301" s="231"/>
      <c r="D301" s="231"/>
      <c r="E301" s="231"/>
      <c r="F301" s="231"/>
      <c r="G301" s="231"/>
      <c r="H301" s="231"/>
      <c r="I301" s="231"/>
      <c r="J301" s="231"/>
      <c r="K301" s="231"/>
      <c r="L301" s="231"/>
      <c r="M301" s="231"/>
      <c r="N301" s="231"/>
      <c r="O301" s="231"/>
      <c r="P301" s="231"/>
      <c r="Q301" s="231"/>
      <c r="R301" s="231"/>
      <c r="S301" s="231"/>
      <c r="T301" s="28"/>
      <c r="U301" s="28"/>
      <c r="V301" s="28"/>
    </row>
    <row r="302" spans="1:23">
      <c r="A302" s="28"/>
      <c r="B302" s="231" t="s">
        <v>144</v>
      </c>
      <c r="C302" s="231"/>
      <c r="D302" s="231"/>
      <c r="E302" s="231"/>
      <c r="F302" s="231"/>
      <c r="G302" s="231"/>
      <c r="H302" s="231"/>
      <c r="I302" s="231"/>
      <c r="J302" s="231"/>
      <c r="K302" s="231"/>
      <c r="L302" s="231"/>
      <c r="M302" s="231"/>
      <c r="N302" s="231"/>
      <c r="O302" s="231"/>
      <c r="P302" s="231"/>
      <c r="Q302" s="231"/>
      <c r="R302" s="231"/>
      <c r="S302" s="231"/>
      <c r="T302" s="28"/>
      <c r="U302" s="28"/>
      <c r="V302" s="28"/>
    </row>
    <row r="303" spans="1:23" ht="23.4" thickBo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</row>
    <row r="304" spans="1:23" ht="24" thickTop="1" thickBot="1">
      <c r="B304" s="245" t="s">
        <v>145</v>
      </c>
      <c r="C304" s="233" t="s">
        <v>146</v>
      </c>
      <c r="D304" s="233"/>
      <c r="E304" s="233"/>
      <c r="F304" s="233"/>
      <c r="G304" s="233"/>
      <c r="H304" s="234" t="s">
        <v>147</v>
      </c>
      <c r="I304" s="235"/>
      <c r="J304" s="235"/>
      <c r="K304" s="235"/>
      <c r="L304" s="235"/>
      <c r="M304" s="235"/>
      <c r="N304" s="235"/>
      <c r="O304" s="235"/>
      <c r="P304" s="235"/>
      <c r="Q304" s="236"/>
      <c r="R304" s="251" t="s">
        <v>58</v>
      </c>
      <c r="S304" s="252"/>
      <c r="T304" s="31"/>
      <c r="U304" s="31"/>
      <c r="V304" s="31"/>
      <c r="W304" s="31"/>
    </row>
    <row r="305" spans="1:23" ht="24" thickTop="1" thickBot="1">
      <c r="B305" s="246"/>
      <c r="C305" s="227"/>
      <c r="D305" s="227"/>
      <c r="E305" s="227"/>
      <c r="F305" s="227"/>
      <c r="G305" s="227"/>
      <c r="H305" s="248" t="s">
        <v>148</v>
      </c>
      <c r="I305" s="248" t="s">
        <v>149</v>
      </c>
      <c r="J305" s="248" t="s">
        <v>150</v>
      </c>
      <c r="K305" s="240" t="s">
        <v>151</v>
      </c>
      <c r="L305" s="227" t="s">
        <v>152</v>
      </c>
      <c r="M305" s="227"/>
      <c r="N305" s="227" t="s">
        <v>153</v>
      </c>
      <c r="O305" s="227"/>
      <c r="P305" s="227"/>
      <c r="Q305" s="242" t="s">
        <v>154</v>
      </c>
      <c r="R305" s="253"/>
      <c r="S305" s="254"/>
      <c r="T305" s="31"/>
      <c r="U305" s="31"/>
      <c r="V305" s="31"/>
      <c r="W305" s="31"/>
    </row>
    <row r="306" spans="1:23" ht="24" thickTop="1" thickBot="1">
      <c r="B306" s="246"/>
      <c r="C306" s="15" t="s">
        <v>155</v>
      </c>
      <c r="D306" s="15" t="s">
        <v>156</v>
      </c>
      <c r="E306" s="15" t="s">
        <v>157</v>
      </c>
      <c r="F306" s="15" t="s">
        <v>158</v>
      </c>
      <c r="G306" s="15" t="s">
        <v>58</v>
      </c>
      <c r="H306" s="248"/>
      <c r="I306" s="248"/>
      <c r="J306" s="248"/>
      <c r="K306" s="241"/>
      <c r="L306" s="15" t="s">
        <v>209</v>
      </c>
      <c r="M306" s="15" t="s">
        <v>160</v>
      </c>
      <c r="N306" s="15" t="s">
        <v>161</v>
      </c>
      <c r="O306" s="15" t="s">
        <v>162</v>
      </c>
      <c r="P306" s="15" t="s">
        <v>163</v>
      </c>
      <c r="Q306" s="243"/>
      <c r="R306" s="255"/>
      <c r="S306" s="256"/>
      <c r="T306" s="31"/>
      <c r="U306" s="31"/>
      <c r="V306" s="31"/>
      <c r="W306" s="31"/>
    </row>
    <row r="307" spans="1:23" ht="24" thickTop="1" thickBot="1">
      <c r="B307" s="17" t="s">
        <v>164</v>
      </c>
      <c r="C307" s="15">
        <f>'[1]التعليم الابتدائي'!IY607</f>
        <v>12</v>
      </c>
      <c r="D307" s="15">
        <f>'[1]التعليم الابتدائي'!JA607</f>
        <v>0</v>
      </c>
      <c r="E307" s="15">
        <f>'[1]التعليم الابتدائي'!JC607</f>
        <v>0</v>
      </c>
      <c r="F307" s="15">
        <f>'[1]التعليم الابتدائي'!JE607</f>
        <v>0</v>
      </c>
      <c r="G307" s="15">
        <f>E307+D307+C307+F307</f>
        <v>12</v>
      </c>
      <c r="H307" s="15">
        <f>'[1]التعليم الابتدائي'!ADR607</f>
        <v>0</v>
      </c>
      <c r="I307" s="15">
        <f>'[1]التعليم الابتدائي'!ADT607</f>
        <v>0</v>
      </c>
      <c r="J307" s="15">
        <f>'[1]التعليم الابتدائي'!ADX607</f>
        <v>0</v>
      </c>
      <c r="K307" s="15">
        <f>'[1]التعليم الابتدائي'!ADV607</f>
        <v>0</v>
      </c>
      <c r="L307" s="15">
        <f>'[1]التعليم الابتدائي'!ADZ607</f>
        <v>0</v>
      </c>
      <c r="M307" s="15">
        <f>'[1]التعليم الابتدائي'!AEB607</f>
        <v>0</v>
      </c>
      <c r="N307" s="15">
        <f>'[1]التعليم الابتدائي'!AED607</f>
        <v>0</v>
      </c>
      <c r="O307" s="15">
        <f>'[1]التعليم الابتدائي'!AEF607</f>
        <v>0</v>
      </c>
      <c r="P307" s="15">
        <f>'[1]التعليم الابتدائي'!AEH607</f>
        <v>0</v>
      </c>
      <c r="Q307" s="15">
        <f>'[1]التعليم الابتدائي'!AEJ607</f>
        <v>0</v>
      </c>
      <c r="R307" s="227">
        <f>SUM(H307:Q307)</f>
        <v>0</v>
      </c>
      <c r="S307" s="244"/>
      <c r="T307" s="31"/>
      <c r="U307" s="31"/>
      <c r="V307" s="31"/>
      <c r="W307" s="31"/>
    </row>
    <row r="308" spans="1:23" ht="24" thickTop="1" thickBot="1">
      <c r="B308" s="17" t="s">
        <v>165</v>
      </c>
      <c r="C308" s="15">
        <f>'[1]التعليم الابتدائي'!IZ607</f>
        <v>13</v>
      </c>
      <c r="D308" s="15">
        <f>'[1]التعليم الابتدائي'!JB607</f>
        <v>0</v>
      </c>
      <c r="E308" s="15">
        <f>'[1]التعليم الابتدائي'!JD607</f>
        <v>0</v>
      </c>
      <c r="F308" s="15">
        <f>'[1]التعليم الابتدائي'!JF607</f>
        <v>0</v>
      </c>
      <c r="G308" s="15">
        <f>E308+D308+C308+F308</f>
        <v>13</v>
      </c>
      <c r="H308" s="15">
        <f>'[1]التعليم الابتدائي'!ADS607</f>
        <v>0</v>
      </c>
      <c r="I308" s="15">
        <f>'[1]التعليم الابتدائي'!ADU607</f>
        <v>0</v>
      </c>
      <c r="J308" s="15">
        <f>'[1]التعليم الابتدائي'!ADY607</f>
        <v>0</v>
      </c>
      <c r="K308" s="15">
        <f>'[1]التعليم الابتدائي'!ADW607</f>
        <v>0</v>
      </c>
      <c r="L308" s="15">
        <f>'[1]التعليم الابتدائي'!AEA607</f>
        <v>0</v>
      </c>
      <c r="M308" s="15">
        <f>'[1]التعليم الابتدائي'!AEC607</f>
        <v>0</v>
      </c>
      <c r="N308" s="15">
        <f>'[1]التعليم الابتدائي'!AEE607</f>
        <v>0</v>
      </c>
      <c r="O308" s="15">
        <f>'[1]التعليم الابتدائي'!AEG607</f>
        <v>0</v>
      </c>
      <c r="P308" s="15">
        <f>'[1]التعليم الابتدائي'!AEI607</f>
        <v>0</v>
      </c>
      <c r="Q308" s="15">
        <f>'[1]التعليم الابتدائي'!AEK607</f>
        <v>0</v>
      </c>
      <c r="R308" s="227">
        <f>SUM(H308:Q308)</f>
        <v>0</v>
      </c>
      <c r="S308" s="244"/>
      <c r="T308" s="31"/>
      <c r="U308" s="31"/>
      <c r="V308" s="31"/>
      <c r="W308" s="31"/>
    </row>
    <row r="309" spans="1:23" ht="24" thickTop="1" thickBot="1">
      <c r="B309" s="18" t="s">
        <v>122</v>
      </c>
      <c r="C309" s="20">
        <f>C307+C308</f>
        <v>25</v>
      </c>
      <c r="D309" s="20">
        <f>D307+D308</f>
        <v>0</v>
      </c>
      <c r="E309" s="20">
        <f>E307+E308</f>
        <v>0</v>
      </c>
      <c r="F309" s="20">
        <f>SUM(F307:F308)</f>
        <v>0</v>
      </c>
      <c r="G309" s="20">
        <f>E309+D309+C309+F309</f>
        <v>25</v>
      </c>
      <c r="H309" s="20">
        <f>H308+H307</f>
        <v>0</v>
      </c>
      <c r="I309" s="20">
        <f>L308+L307</f>
        <v>0</v>
      </c>
      <c r="J309" s="20">
        <f>K308+K307</f>
        <v>0</v>
      </c>
      <c r="K309" s="20">
        <f>J308+J307</f>
        <v>0</v>
      </c>
      <c r="L309" s="20">
        <f>N308+N307</f>
        <v>0</v>
      </c>
      <c r="M309" s="20">
        <f t="shared" ref="M309:R309" si="11">M308+M307</f>
        <v>0</v>
      </c>
      <c r="N309" s="20">
        <f t="shared" si="11"/>
        <v>0</v>
      </c>
      <c r="O309" s="20">
        <f t="shared" si="11"/>
        <v>0</v>
      </c>
      <c r="P309" s="20">
        <f t="shared" si="11"/>
        <v>0</v>
      </c>
      <c r="Q309" s="20">
        <f t="shared" si="11"/>
        <v>0</v>
      </c>
      <c r="R309" s="229">
        <f t="shared" si="11"/>
        <v>0</v>
      </c>
      <c r="S309" s="230"/>
      <c r="T309" s="31"/>
      <c r="U309" s="31"/>
      <c r="V309" s="31"/>
      <c r="W309" s="31"/>
    </row>
    <row r="310" spans="1:23" ht="23.4" thickTop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</row>
    <row r="311" spans="1:23">
      <c r="A311" s="28"/>
      <c r="B311" s="231" t="s">
        <v>166</v>
      </c>
      <c r="C311" s="231"/>
      <c r="D311" s="231"/>
      <c r="E311" s="231"/>
      <c r="F311" s="231"/>
      <c r="G311" s="231"/>
      <c r="H311" s="231"/>
      <c r="I311" s="231"/>
      <c r="J311" s="231"/>
      <c r="K311" s="231"/>
      <c r="L311" s="231"/>
      <c r="M311" s="231"/>
      <c r="N311" s="231"/>
      <c r="O311" s="231"/>
      <c r="P311" s="231"/>
      <c r="Q311" s="231"/>
      <c r="R311" s="231"/>
      <c r="S311" s="231"/>
      <c r="T311" s="28"/>
      <c r="U311" s="28"/>
      <c r="V311" s="28"/>
    </row>
    <row r="312" spans="1:23">
      <c r="A312" s="28"/>
      <c r="B312" s="231" t="s">
        <v>208</v>
      </c>
      <c r="C312" s="231"/>
      <c r="D312" s="231"/>
      <c r="E312" s="231"/>
      <c r="F312" s="231"/>
      <c r="G312" s="231"/>
      <c r="H312" s="231"/>
      <c r="I312" s="231"/>
      <c r="J312" s="231"/>
      <c r="K312" s="231"/>
      <c r="L312" s="231"/>
      <c r="M312" s="231"/>
      <c r="N312" s="231"/>
      <c r="O312" s="231"/>
      <c r="P312" s="231"/>
      <c r="Q312" s="231"/>
      <c r="R312" s="231"/>
      <c r="S312" s="231"/>
      <c r="T312" s="28"/>
      <c r="U312" s="28"/>
      <c r="V312" s="28"/>
    </row>
    <row r="313" spans="1:23">
      <c r="A313" s="28"/>
      <c r="B313" s="231" t="s">
        <v>167</v>
      </c>
      <c r="C313" s="231"/>
      <c r="D313" s="231"/>
      <c r="E313" s="231"/>
      <c r="F313" s="231"/>
      <c r="G313" s="231"/>
      <c r="H313" s="231"/>
      <c r="I313" s="231"/>
      <c r="J313" s="231"/>
      <c r="K313" s="231"/>
      <c r="L313" s="231"/>
      <c r="M313" s="231"/>
      <c r="N313" s="231"/>
      <c r="O313" s="231"/>
      <c r="P313" s="231"/>
      <c r="Q313" s="231"/>
      <c r="R313" s="231"/>
      <c r="S313" s="231"/>
      <c r="T313" s="28"/>
      <c r="U313" s="28"/>
      <c r="V313" s="28"/>
    </row>
    <row r="314" spans="1:23" ht="23.4" thickBo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</row>
    <row r="315" spans="1:23" ht="24" thickTop="1" thickBot="1">
      <c r="A315" s="232" t="s">
        <v>168</v>
      </c>
      <c r="B315" s="233"/>
      <c r="C315" s="233"/>
      <c r="D315" s="232" t="s">
        <v>169</v>
      </c>
      <c r="E315" s="233"/>
      <c r="F315" s="233"/>
      <c r="G315" s="223" t="s">
        <v>170</v>
      </c>
      <c r="H315" s="224"/>
      <c r="I315" s="237"/>
      <c r="J315" s="238" t="s">
        <v>171</v>
      </c>
      <c r="K315" s="238"/>
      <c r="L315" s="223" t="s">
        <v>172</v>
      </c>
      <c r="M315" s="224"/>
      <c r="N315" s="224"/>
      <c r="O315" s="224"/>
      <c r="P315" s="224"/>
      <c r="Q315" s="224"/>
      <c r="R315" s="249" t="s">
        <v>173</v>
      </c>
      <c r="S315" s="223" t="s">
        <v>174</v>
      </c>
      <c r="T315" s="224"/>
      <c r="U315" s="224"/>
      <c r="V315" s="225"/>
    </row>
    <row r="316" spans="1:23" ht="24" thickTop="1" thickBot="1">
      <c r="A316" s="226" t="s">
        <v>175</v>
      </c>
      <c r="B316" s="227"/>
      <c r="C316" s="228" t="s">
        <v>176</v>
      </c>
      <c r="D316" s="220" t="s">
        <v>177</v>
      </c>
      <c r="E316" s="211" t="s">
        <v>178</v>
      </c>
      <c r="F316" s="220" t="s">
        <v>210</v>
      </c>
      <c r="G316" s="228" t="s">
        <v>180</v>
      </c>
      <c r="H316" s="211" t="s">
        <v>181</v>
      </c>
      <c r="I316" s="220" t="s">
        <v>182</v>
      </c>
      <c r="J316" s="228" t="s">
        <v>183</v>
      </c>
      <c r="K316" s="220" t="s">
        <v>184</v>
      </c>
      <c r="L316" s="221" t="s">
        <v>185</v>
      </c>
      <c r="M316" s="221" t="s">
        <v>186</v>
      </c>
      <c r="N316" s="221" t="s">
        <v>211</v>
      </c>
      <c r="O316" s="221" t="s">
        <v>188</v>
      </c>
      <c r="P316" s="221" t="s">
        <v>189</v>
      </c>
      <c r="Q316" s="228" t="s">
        <v>190</v>
      </c>
      <c r="R316" s="250"/>
      <c r="S316" s="211" t="s">
        <v>191</v>
      </c>
      <c r="T316" s="211" t="s">
        <v>192</v>
      </c>
      <c r="U316" s="211" t="s">
        <v>193</v>
      </c>
      <c r="V316" s="213" t="s">
        <v>212</v>
      </c>
    </row>
    <row r="317" spans="1:23" ht="46.8" thickTop="1" thickBot="1">
      <c r="A317" s="17" t="s">
        <v>195</v>
      </c>
      <c r="B317" s="16" t="s">
        <v>196</v>
      </c>
      <c r="C317" s="228"/>
      <c r="D317" s="220"/>
      <c r="E317" s="212"/>
      <c r="F317" s="220"/>
      <c r="G317" s="228"/>
      <c r="H317" s="212"/>
      <c r="I317" s="220"/>
      <c r="J317" s="228"/>
      <c r="K317" s="220"/>
      <c r="L317" s="222"/>
      <c r="M317" s="222"/>
      <c r="N317" s="222"/>
      <c r="O317" s="222"/>
      <c r="P317" s="222"/>
      <c r="Q317" s="228"/>
      <c r="R317" s="212"/>
      <c r="S317" s="212"/>
      <c r="T317" s="212"/>
      <c r="U317" s="212"/>
      <c r="V317" s="214"/>
    </row>
    <row r="318" spans="1:23" ht="24" thickTop="1" thickBot="1">
      <c r="A318" s="18">
        <f>'[1]التعليم الابتدائي'!AGU607</f>
        <v>0</v>
      </c>
      <c r="B318" s="20">
        <f>'[1]التعليم الابتدائي'!ALI607</f>
        <v>14</v>
      </c>
      <c r="C318" s="20">
        <f>'[1]التعليم الابتدائي'!AGW607</f>
        <v>0</v>
      </c>
      <c r="D318" s="20">
        <f>'[1]التعليم الابتدائي'!ALE607</f>
        <v>1</v>
      </c>
      <c r="E318" s="21">
        <f>'[1]التعليم الابتدائي'!ALF607</f>
        <v>13</v>
      </c>
      <c r="F318" s="20">
        <f>'[1]التعليم الابتدائي'!ALG607</f>
        <v>0</v>
      </c>
      <c r="G318" s="20">
        <f>'[1]التعليم الابتدائي'!ALK607</f>
        <v>7</v>
      </c>
      <c r="H318" s="21">
        <f>'[1]التعليم الابتدائي'!ALL607</f>
        <v>7</v>
      </c>
      <c r="I318" s="20">
        <f>'[1]التعليم الابتدائي'!ALM607</f>
        <v>0</v>
      </c>
      <c r="J318" s="20">
        <f>'[1]التعليم الابتدائي'!AIS607</f>
        <v>14</v>
      </c>
      <c r="K318" s="20">
        <f>'[1]التعليم الابتدائي'!AIT607</f>
        <v>0</v>
      </c>
      <c r="L318" s="20">
        <f>'[1]التعليم الابتدائي'!AJN607</f>
        <v>14</v>
      </c>
      <c r="M318" s="20">
        <f>'[1]التعليم الابتدائي'!AJR607</f>
        <v>0</v>
      </c>
      <c r="N318" s="20">
        <f>'[1]التعليم الابتدائي'!AJP607</f>
        <v>0</v>
      </c>
      <c r="O318" s="20">
        <f>'[1]التعليم الابتدائي'!AJQ607</f>
        <v>0</v>
      </c>
      <c r="P318" s="20">
        <f>'[1]التعليم الابتدائي'!AJS607</f>
        <v>0</v>
      </c>
      <c r="Q318" s="20">
        <f>'[1]التعليم الابتدائي'!AJT607</f>
        <v>0</v>
      </c>
      <c r="R318" s="20">
        <f>Q318+P318+O318+N318+L318</f>
        <v>14</v>
      </c>
      <c r="S318" s="20">
        <f>'[1]التعليم الابتدائي'!AJU607</f>
        <v>14</v>
      </c>
      <c r="T318" s="20">
        <f>'[1]التعليم الابتدائي'!AKA607</f>
        <v>14</v>
      </c>
      <c r="U318" s="20">
        <f>'[1]التعليم الابتدائي'!AKH607</f>
        <v>14</v>
      </c>
      <c r="V318" s="20">
        <f>'[1]التعليم الابتدائي'!AKL607</f>
        <v>14</v>
      </c>
    </row>
    <row r="319" spans="1:23" ht="23.4" thickTop="1"/>
    <row r="320" spans="1:23" ht="23.4" thickBot="1">
      <c r="B320" s="23"/>
      <c r="C320" s="23"/>
      <c r="D320" s="23"/>
      <c r="E320" s="23"/>
      <c r="G320" s="34" t="s">
        <v>197</v>
      </c>
    </row>
    <row r="321" spans="1:25" ht="24" thickTop="1" thickBot="1">
      <c r="B321" s="215" t="s">
        <v>198</v>
      </c>
      <c r="C321" s="216"/>
      <c r="D321" s="216"/>
      <c r="E321" s="216"/>
      <c r="F321" s="216"/>
      <c r="G321" s="216"/>
      <c r="H321" s="216"/>
      <c r="I321" s="217"/>
      <c r="J321" s="218" t="s">
        <v>199</v>
      </c>
      <c r="K321" s="216"/>
      <c r="L321" s="216"/>
      <c r="M321" s="216"/>
      <c r="N321" s="216"/>
      <c r="O321" s="216"/>
      <c r="P321" s="216"/>
      <c r="Q321" s="216"/>
      <c r="R321" s="216"/>
      <c r="S321" s="216"/>
      <c r="T321" s="216"/>
      <c r="U321" s="219"/>
    </row>
    <row r="322" spans="1:25" ht="24" thickTop="1" thickBot="1">
      <c r="B322" s="210" t="s">
        <v>200</v>
      </c>
      <c r="C322" s="207"/>
      <c r="D322" s="206" t="s">
        <v>201</v>
      </c>
      <c r="E322" s="207"/>
      <c r="F322" s="206" t="s">
        <v>202</v>
      </c>
      <c r="G322" s="207"/>
      <c r="H322" s="206" t="s">
        <v>58</v>
      </c>
      <c r="I322" s="207"/>
      <c r="J322" s="206" t="s">
        <v>203</v>
      </c>
      <c r="K322" s="207"/>
      <c r="L322" s="206" t="s">
        <v>204</v>
      </c>
      <c r="M322" s="207"/>
      <c r="N322" s="206" t="s">
        <v>205</v>
      </c>
      <c r="O322" s="207"/>
      <c r="P322" s="206" t="s">
        <v>206</v>
      </c>
      <c r="Q322" s="207"/>
      <c r="R322" s="206" t="s">
        <v>207</v>
      </c>
      <c r="S322" s="207"/>
      <c r="T322" s="206" t="s">
        <v>58</v>
      </c>
      <c r="U322" s="208"/>
    </row>
    <row r="323" spans="1:25" ht="24" thickTop="1" thickBot="1">
      <c r="B323" s="209">
        <f>'[1]التعليم الابتدائي'!AIZ607</f>
        <v>4</v>
      </c>
      <c r="C323" s="204"/>
      <c r="D323" s="203">
        <f>'[1]التعليم الابتدائي'!AJA607</f>
        <v>9</v>
      </c>
      <c r="E323" s="204"/>
      <c r="F323" s="203">
        <f>'[1]التعليم الابتدائي'!AJB607</f>
        <v>1</v>
      </c>
      <c r="G323" s="204"/>
      <c r="H323" s="203">
        <f>F323+D323+B323</f>
        <v>14</v>
      </c>
      <c r="I323" s="204"/>
      <c r="J323" s="203">
        <f>'[1]التعليم الابتدائي'!AJF607</f>
        <v>0</v>
      </c>
      <c r="K323" s="204"/>
      <c r="L323" s="203">
        <f>'[1]التعليم الابتدائي'!AJG607</f>
        <v>2</v>
      </c>
      <c r="M323" s="204"/>
      <c r="N323" s="203">
        <f>'[1]التعليم الابتدائي'!AJH607</f>
        <v>6</v>
      </c>
      <c r="O323" s="204"/>
      <c r="P323" s="203">
        <f>'[1]التعليم الابتدائي'!AJI607</f>
        <v>5</v>
      </c>
      <c r="Q323" s="204"/>
      <c r="R323" s="203">
        <f>'[1]التعليم الابتدائي'!AJJ607</f>
        <v>1</v>
      </c>
      <c r="S323" s="204"/>
      <c r="T323" s="203">
        <f>R323+P323+N323+L323+J323</f>
        <v>14</v>
      </c>
      <c r="U323" s="205"/>
    </row>
    <row r="324" spans="1:25" ht="23.4" thickTop="1"/>
    <row r="325" spans="1:25">
      <c r="A325" s="231" t="s">
        <v>62</v>
      </c>
      <c r="B325" s="231"/>
      <c r="C325" s="231"/>
      <c r="D325" s="231"/>
      <c r="E325" s="231"/>
      <c r="F325" s="231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31" t="s">
        <v>95</v>
      </c>
      <c r="S325" s="231"/>
      <c r="T325" s="231"/>
      <c r="U325" s="28"/>
      <c r="V325" s="28"/>
      <c r="W325" s="28"/>
      <c r="X325" s="28"/>
    </row>
    <row r="326" spans="1:25">
      <c r="A326" s="231" t="s">
        <v>64</v>
      </c>
      <c r="B326" s="231"/>
      <c r="C326" s="231"/>
      <c r="D326" s="231"/>
      <c r="E326" s="231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31" t="s">
        <v>65</v>
      </c>
      <c r="S326" s="231"/>
      <c r="T326" s="231"/>
      <c r="U326" s="28"/>
      <c r="V326" s="28"/>
      <c r="W326" s="28"/>
      <c r="X326" s="28"/>
    </row>
    <row r="327" spans="1:25">
      <c r="A327" s="28"/>
      <c r="B327" s="231" t="s">
        <v>143</v>
      </c>
      <c r="C327" s="231"/>
      <c r="D327" s="231"/>
      <c r="E327" s="231"/>
      <c r="F327" s="231"/>
      <c r="G327" s="231"/>
      <c r="H327" s="231"/>
      <c r="I327" s="231"/>
      <c r="J327" s="231"/>
      <c r="K327" s="231"/>
      <c r="L327" s="231"/>
      <c r="M327" s="231"/>
      <c r="N327" s="231"/>
      <c r="O327" s="231"/>
      <c r="P327" s="231"/>
      <c r="Q327" s="231"/>
      <c r="R327" s="231"/>
      <c r="S327" s="231"/>
      <c r="T327" s="28"/>
      <c r="U327" s="28"/>
      <c r="V327" s="28"/>
      <c r="W327" s="28"/>
      <c r="X327" s="28"/>
    </row>
    <row r="328" spans="1:25">
      <c r="A328" s="28"/>
      <c r="B328" s="231" t="s">
        <v>208</v>
      </c>
      <c r="C328" s="231"/>
      <c r="D328" s="231"/>
      <c r="E328" s="231"/>
      <c r="F328" s="231"/>
      <c r="G328" s="231"/>
      <c r="H328" s="231"/>
      <c r="I328" s="231"/>
      <c r="J328" s="231"/>
      <c r="K328" s="231"/>
      <c r="L328" s="231"/>
      <c r="M328" s="231"/>
      <c r="N328" s="231"/>
      <c r="O328" s="231"/>
      <c r="P328" s="231"/>
      <c r="Q328" s="231"/>
      <c r="R328" s="231"/>
      <c r="S328" s="231"/>
      <c r="T328" s="28"/>
      <c r="U328" s="28"/>
      <c r="V328" s="28"/>
      <c r="W328" s="28"/>
      <c r="X328" s="28"/>
    </row>
    <row r="329" spans="1:25">
      <c r="A329" s="28"/>
      <c r="B329" s="231" t="s">
        <v>144</v>
      </c>
      <c r="C329" s="231"/>
      <c r="D329" s="231"/>
      <c r="E329" s="231"/>
      <c r="F329" s="231"/>
      <c r="G329" s="231"/>
      <c r="H329" s="231"/>
      <c r="I329" s="231"/>
      <c r="J329" s="231"/>
      <c r="K329" s="231"/>
      <c r="L329" s="231"/>
      <c r="M329" s="231"/>
      <c r="N329" s="231"/>
      <c r="O329" s="231"/>
      <c r="P329" s="231"/>
      <c r="Q329" s="231"/>
      <c r="R329" s="231"/>
      <c r="S329" s="231"/>
      <c r="T329" s="28"/>
      <c r="U329" s="28"/>
      <c r="V329" s="28"/>
      <c r="W329" s="28"/>
      <c r="X329" s="28"/>
    </row>
    <row r="330" spans="1:25" ht="23.4" thickBo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</row>
    <row r="331" spans="1:25" ht="24" thickTop="1" thickBot="1">
      <c r="B331" s="245" t="s">
        <v>215</v>
      </c>
      <c r="C331" s="233" t="s">
        <v>146</v>
      </c>
      <c r="D331" s="233"/>
      <c r="E331" s="233"/>
      <c r="F331" s="233"/>
      <c r="G331" s="233"/>
      <c r="H331" s="234" t="s">
        <v>147</v>
      </c>
      <c r="I331" s="235"/>
      <c r="J331" s="235"/>
      <c r="K331" s="235"/>
      <c r="L331" s="235"/>
      <c r="M331" s="235"/>
      <c r="N331" s="235"/>
      <c r="O331" s="235"/>
      <c r="P331" s="235"/>
      <c r="Q331" s="236"/>
      <c r="R331" s="233" t="s">
        <v>58</v>
      </c>
      <c r="S331" s="247"/>
      <c r="T331" s="31"/>
      <c r="U331" s="31"/>
      <c r="V331" s="31"/>
      <c r="W331" s="31"/>
      <c r="X331" s="31"/>
      <c r="Y331" s="31"/>
    </row>
    <row r="332" spans="1:25" ht="24" thickTop="1" thickBot="1">
      <c r="B332" s="246"/>
      <c r="C332" s="227"/>
      <c r="D332" s="227"/>
      <c r="E332" s="227"/>
      <c r="F332" s="227"/>
      <c r="G332" s="227"/>
      <c r="H332" s="248" t="s">
        <v>148</v>
      </c>
      <c r="I332" s="240" t="s">
        <v>149</v>
      </c>
      <c r="J332" s="248" t="s">
        <v>150</v>
      </c>
      <c r="K332" s="240" t="s">
        <v>151</v>
      </c>
      <c r="L332" s="227" t="s">
        <v>152</v>
      </c>
      <c r="M332" s="227"/>
      <c r="N332" s="227" t="s">
        <v>153</v>
      </c>
      <c r="O332" s="227"/>
      <c r="P332" s="227"/>
      <c r="Q332" s="242" t="s">
        <v>154</v>
      </c>
      <c r="R332" s="227"/>
      <c r="S332" s="244"/>
      <c r="T332" s="31"/>
      <c r="U332" s="31"/>
      <c r="V332" s="31"/>
      <c r="W332" s="31"/>
      <c r="X332" s="31"/>
      <c r="Y332" s="31"/>
    </row>
    <row r="333" spans="1:25" ht="46.8" thickTop="1" thickBot="1">
      <c r="B333" s="246"/>
      <c r="C333" s="15" t="s">
        <v>155</v>
      </c>
      <c r="D333" s="15" t="s">
        <v>156</v>
      </c>
      <c r="E333" s="15" t="s">
        <v>157</v>
      </c>
      <c r="F333" s="15" t="s">
        <v>158</v>
      </c>
      <c r="G333" s="15" t="s">
        <v>58</v>
      </c>
      <c r="H333" s="248"/>
      <c r="I333" s="241"/>
      <c r="J333" s="248"/>
      <c r="K333" s="241"/>
      <c r="L333" s="15" t="s">
        <v>209</v>
      </c>
      <c r="M333" s="16" t="s">
        <v>160</v>
      </c>
      <c r="N333" s="16" t="s">
        <v>161</v>
      </c>
      <c r="O333" s="15" t="s">
        <v>162</v>
      </c>
      <c r="P333" s="15" t="s">
        <v>163</v>
      </c>
      <c r="Q333" s="243"/>
      <c r="R333" s="227"/>
      <c r="S333" s="244"/>
      <c r="T333" s="31"/>
      <c r="U333" s="31"/>
      <c r="V333" s="31"/>
      <c r="W333" s="31"/>
      <c r="X333" s="31"/>
      <c r="Y333" s="31"/>
    </row>
    <row r="334" spans="1:25" ht="24" thickTop="1" thickBot="1">
      <c r="B334" s="17" t="s">
        <v>164</v>
      </c>
      <c r="C334" s="15">
        <f>'[1]التعليم الابتدائي'!IY643</f>
        <v>21</v>
      </c>
      <c r="D334" s="15">
        <f>'[1]التعليم الابتدائي'!JA643</f>
        <v>0</v>
      </c>
      <c r="E334" s="15">
        <f>'[1]التعليم الابتدائي'!JC643</f>
        <v>0</v>
      </c>
      <c r="F334" s="15">
        <f>'[1]التعليم الابتدائي'!JE643</f>
        <v>0</v>
      </c>
      <c r="G334" s="15">
        <f>E334+D334+C334+F334</f>
        <v>21</v>
      </c>
      <c r="H334" s="15">
        <f>'[1]التعليم الابتدائي'!ADR643</f>
        <v>0</v>
      </c>
      <c r="I334" s="15">
        <f>'[1]التعليم الابتدائي'!ADT643</f>
        <v>0</v>
      </c>
      <c r="J334" s="15">
        <f>'[1]التعليم الابتدائي'!ADX643</f>
        <v>0</v>
      </c>
      <c r="K334" s="15">
        <f>'[1]التعليم الابتدائي'!ADV643</f>
        <v>0</v>
      </c>
      <c r="L334" s="15">
        <f>'[1]التعليم الابتدائي'!ADZ643</f>
        <v>0</v>
      </c>
      <c r="M334" s="15">
        <f>'[1]التعليم الابتدائي'!AEB643</f>
        <v>0</v>
      </c>
      <c r="N334" s="15">
        <f>'[1]التعليم الابتدائي'!AED643</f>
        <v>0</v>
      </c>
      <c r="O334" s="15">
        <f>'[1]التعليم الابتدائي'!AEF643</f>
        <v>0</v>
      </c>
      <c r="P334" s="15">
        <f>'[1]التعليم الابتدائي'!AEH643</f>
        <v>0</v>
      </c>
      <c r="Q334" s="15">
        <f>'[1]التعليم الابتدائي'!AEJ643</f>
        <v>0</v>
      </c>
      <c r="R334" s="227">
        <f>SUM(H334:Q334)</f>
        <v>0</v>
      </c>
      <c r="S334" s="244"/>
      <c r="T334" s="31"/>
      <c r="U334" s="31"/>
      <c r="V334" s="31"/>
      <c r="W334" s="31"/>
      <c r="X334" s="31"/>
      <c r="Y334" s="31"/>
    </row>
    <row r="335" spans="1:25" ht="24" thickTop="1" thickBot="1">
      <c r="B335" s="17" t="s">
        <v>165</v>
      </c>
      <c r="C335" s="15">
        <f>'[1]التعليم الابتدائي'!IZ643</f>
        <v>13</v>
      </c>
      <c r="D335" s="15">
        <f>'[1]التعليم الابتدائي'!JB643</f>
        <v>0</v>
      </c>
      <c r="E335" s="15">
        <f>'[1]التعليم الابتدائي'!JD643</f>
        <v>0</v>
      </c>
      <c r="F335" s="15">
        <f>'[1]التعليم الابتدائي'!JF643</f>
        <v>0</v>
      </c>
      <c r="G335" s="15">
        <f>E335+D335+C335+F335</f>
        <v>13</v>
      </c>
      <c r="H335" s="15">
        <f>'[1]التعليم الابتدائي'!ADS643</f>
        <v>0</v>
      </c>
      <c r="I335" s="15">
        <f>'[1]التعليم الابتدائي'!ADU643</f>
        <v>0</v>
      </c>
      <c r="J335" s="15">
        <f>'[1]التعليم الابتدائي'!ADY643</f>
        <v>0</v>
      </c>
      <c r="K335" s="15">
        <f>'[1]التعليم الابتدائي'!ADW643</f>
        <v>0</v>
      </c>
      <c r="L335" s="15">
        <f>'[1]التعليم الابتدائي'!AEA643</f>
        <v>0</v>
      </c>
      <c r="M335" s="15">
        <f>'[1]التعليم الابتدائي'!AEC643</f>
        <v>0</v>
      </c>
      <c r="N335" s="15">
        <f>'[1]التعليم الابتدائي'!AEE643</f>
        <v>0</v>
      </c>
      <c r="O335" s="15">
        <f>'[1]التعليم الابتدائي'!AEG643</f>
        <v>0</v>
      </c>
      <c r="P335" s="15">
        <f>'[1]التعليم الابتدائي'!AEI643</f>
        <v>0</v>
      </c>
      <c r="Q335" s="15">
        <f>'[1]التعليم الابتدائي'!AEK643</f>
        <v>1</v>
      </c>
      <c r="R335" s="227">
        <f>SUM(H335:Q335)</f>
        <v>1</v>
      </c>
      <c r="S335" s="244"/>
      <c r="T335" s="31"/>
      <c r="U335" s="31"/>
      <c r="V335" s="31"/>
      <c r="W335" s="31"/>
      <c r="X335" s="31"/>
      <c r="Y335" s="31"/>
    </row>
    <row r="336" spans="1:25" ht="24" thickTop="1" thickBot="1">
      <c r="B336" s="18" t="s">
        <v>122</v>
      </c>
      <c r="C336" s="20">
        <f>C334+C335</f>
        <v>34</v>
      </c>
      <c r="D336" s="20">
        <f>D334+D335</f>
        <v>0</v>
      </c>
      <c r="E336" s="20">
        <f>E334+E335</f>
        <v>0</v>
      </c>
      <c r="F336" s="20">
        <f>SUM(F334:F335)</f>
        <v>0</v>
      </c>
      <c r="G336" s="20">
        <f>E336+D336+C336+F336</f>
        <v>34</v>
      </c>
      <c r="H336" s="20">
        <f t="shared" ref="H336:R336" si="12">H335+H334</f>
        <v>0</v>
      </c>
      <c r="I336" s="20">
        <f t="shared" si="12"/>
        <v>0</v>
      </c>
      <c r="J336" s="20">
        <f t="shared" si="12"/>
        <v>0</v>
      </c>
      <c r="K336" s="20">
        <f t="shared" si="12"/>
        <v>0</v>
      </c>
      <c r="L336" s="20">
        <f t="shared" si="12"/>
        <v>0</v>
      </c>
      <c r="M336" s="20">
        <f t="shared" si="12"/>
        <v>0</v>
      </c>
      <c r="N336" s="20">
        <f t="shared" si="12"/>
        <v>0</v>
      </c>
      <c r="O336" s="20">
        <f t="shared" si="12"/>
        <v>0</v>
      </c>
      <c r="P336" s="20">
        <f t="shared" si="12"/>
        <v>0</v>
      </c>
      <c r="Q336" s="20">
        <f t="shared" si="12"/>
        <v>1</v>
      </c>
      <c r="R336" s="229">
        <f t="shared" si="12"/>
        <v>1</v>
      </c>
      <c r="S336" s="230"/>
      <c r="T336" s="31"/>
      <c r="U336" s="31"/>
      <c r="V336" s="31"/>
      <c r="W336" s="31"/>
      <c r="X336" s="31"/>
      <c r="Y336" s="31"/>
    </row>
    <row r="337" spans="1:24" ht="23.4" thickTop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31"/>
      <c r="X337" s="31"/>
    </row>
    <row r="338" spans="1:24">
      <c r="A338" s="28"/>
      <c r="B338" s="231" t="s">
        <v>166</v>
      </c>
      <c r="C338" s="231"/>
      <c r="D338" s="231"/>
      <c r="E338" s="231"/>
      <c r="F338" s="231"/>
      <c r="G338" s="231"/>
      <c r="H338" s="231"/>
      <c r="I338" s="231"/>
      <c r="J338" s="231"/>
      <c r="K338" s="231"/>
      <c r="L338" s="231"/>
      <c r="M338" s="231"/>
      <c r="N338" s="231"/>
      <c r="O338" s="231"/>
      <c r="P338" s="231"/>
      <c r="Q338" s="231"/>
      <c r="R338" s="231"/>
      <c r="S338" s="231"/>
      <c r="T338" s="28"/>
      <c r="U338" s="28"/>
      <c r="V338" s="28"/>
      <c r="W338" s="28"/>
      <c r="X338" s="28"/>
    </row>
    <row r="339" spans="1:24">
      <c r="A339" s="28"/>
      <c r="B339" s="231" t="s">
        <v>208</v>
      </c>
      <c r="C339" s="231"/>
      <c r="D339" s="231"/>
      <c r="E339" s="231"/>
      <c r="F339" s="231"/>
      <c r="G339" s="231"/>
      <c r="H339" s="231"/>
      <c r="I339" s="231"/>
      <c r="J339" s="231"/>
      <c r="K339" s="231"/>
      <c r="L339" s="231"/>
      <c r="M339" s="231"/>
      <c r="N339" s="231"/>
      <c r="O339" s="231"/>
      <c r="P339" s="231"/>
      <c r="Q339" s="231"/>
      <c r="R339" s="231"/>
      <c r="S339" s="231"/>
      <c r="T339" s="28"/>
      <c r="U339" s="28"/>
      <c r="V339" s="28"/>
      <c r="W339" s="28"/>
      <c r="X339" s="28"/>
    </row>
    <row r="340" spans="1:24">
      <c r="A340" s="28"/>
      <c r="B340" s="231" t="s">
        <v>167</v>
      </c>
      <c r="C340" s="231"/>
      <c r="D340" s="231"/>
      <c r="E340" s="231"/>
      <c r="F340" s="231"/>
      <c r="G340" s="231"/>
      <c r="H340" s="231"/>
      <c r="I340" s="231"/>
      <c r="J340" s="231"/>
      <c r="K340" s="231"/>
      <c r="L340" s="231"/>
      <c r="M340" s="231"/>
      <c r="N340" s="231"/>
      <c r="O340" s="231"/>
      <c r="P340" s="231"/>
      <c r="Q340" s="231"/>
      <c r="R340" s="231"/>
      <c r="S340" s="231"/>
      <c r="T340" s="28"/>
      <c r="U340" s="28"/>
      <c r="V340" s="28"/>
      <c r="W340" s="28"/>
      <c r="X340" s="28"/>
    </row>
    <row r="341" spans="1:24" ht="23.4" thickBo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</row>
    <row r="342" spans="1:24" ht="24" thickTop="1" thickBot="1">
      <c r="A342" s="234" t="s">
        <v>168</v>
      </c>
      <c r="B342" s="235"/>
      <c r="C342" s="236"/>
      <c r="D342" s="234" t="s">
        <v>169</v>
      </c>
      <c r="E342" s="235"/>
      <c r="F342" s="236"/>
      <c r="G342" s="223" t="s">
        <v>170</v>
      </c>
      <c r="H342" s="224"/>
      <c r="I342" s="237"/>
      <c r="J342" s="238" t="s">
        <v>171</v>
      </c>
      <c r="K342" s="238"/>
      <c r="L342" s="234" t="s">
        <v>172</v>
      </c>
      <c r="M342" s="235"/>
      <c r="N342" s="235"/>
      <c r="O342" s="235"/>
      <c r="P342" s="235"/>
      <c r="Q342" s="236"/>
      <c r="R342" s="239" t="s">
        <v>173</v>
      </c>
      <c r="S342" s="223" t="s">
        <v>174</v>
      </c>
      <c r="T342" s="224"/>
      <c r="U342" s="224"/>
      <c r="V342" s="225"/>
    </row>
    <row r="343" spans="1:24" ht="24" thickTop="1" thickBot="1">
      <c r="A343" s="226" t="s">
        <v>175</v>
      </c>
      <c r="B343" s="227"/>
      <c r="C343" s="228" t="s">
        <v>176</v>
      </c>
      <c r="D343" s="220" t="s">
        <v>177</v>
      </c>
      <c r="E343" s="211" t="s">
        <v>178</v>
      </c>
      <c r="F343" s="220" t="s">
        <v>210</v>
      </c>
      <c r="G343" s="228" t="s">
        <v>180</v>
      </c>
      <c r="H343" s="220" t="s">
        <v>181</v>
      </c>
      <c r="I343" s="220" t="s">
        <v>182</v>
      </c>
      <c r="J343" s="228" t="s">
        <v>183</v>
      </c>
      <c r="K343" s="220" t="s">
        <v>184</v>
      </c>
      <c r="L343" s="221" t="s">
        <v>185</v>
      </c>
      <c r="M343" s="221" t="s">
        <v>186</v>
      </c>
      <c r="N343" s="221" t="s">
        <v>211</v>
      </c>
      <c r="O343" s="221" t="s">
        <v>188</v>
      </c>
      <c r="P343" s="221" t="s">
        <v>189</v>
      </c>
      <c r="Q343" s="228" t="s">
        <v>190</v>
      </c>
      <c r="R343" s="220"/>
      <c r="S343" s="211" t="s">
        <v>191</v>
      </c>
      <c r="T343" s="211" t="s">
        <v>192</v>
      </c>
      <c r="U343" s="211" t="s">
        <v>193</v>
      </c>
      <c r="V343" s="213" t="s">
        <v>212</v>
      </c>
    </row>
    <row r="344" spans="1:24" ht="46.8" thickTop="1" thickBot="1">
      <c r="A344" s="19" t="s">
        <v>195</v>
      </c>
      <c r="B344" s="16" t="s">
        <v>196</v>
      </c>
      <c r="C344" s="228"/>
      <c r="D344" s="220"/>
      <c r="E344" s="212"/>
      <c r="F344" s="220"/>
      <c r="G344" s="228"/>
      <c r="H344" s="220"/>
      <c r="I344" s="220"/>
      <c r="J344" s="228"/>
      <c r="K344" s="220"/>
      <c r="L344" s="222"/>
      <c r="M344" s="222"/>
      <c r="N344" s="222"/>
      <c r="O344" s="222"/>
      <c r="P344" s="222"/>
      <c r="Q344" s="228"/>
      <c r="R344" s="220"/>
      <c r="S344" s="212"/>
      <c r="T344" s="212"/>
      <c r="U344" s="212"/>
      <c r="V344" s="214"/>
    </row>
    <row r="345" spans="1:24" ht="24" thickTop="1" thickBot="1">
      <c r="A345" s="18">
        <f>'[1]التعليم الابتدائي'!ALH643</f>
        <v>0</v>
      </c>
      <c r="B345" s="20">
        <f>'[1]التعليم الابتدائي'!ALI643</f>
        <v>23</v>
      </c>
      <c r="C345" s="20">
        <f>'[1]التعليم الابتدائي'!ALJ643</f>
        <v>0</v>
      </c>
      <c r="D345" s="20">
        <f>'[1]التعليم الابتدائي'!ALE643</f>
        <v>10</v>
      </c>
      <c r="E345" s="21">
        <f>'[1]التعليم الابتدائي'!ALF643</f>
        <v>13</v>
      </c>
      <c r="F345" s="20">
        <f>'[1]التعليم الابتدائي'!ALG643</f>
        <v>0</v>
      </c>
      <c r="G345" s="20">
        <f>'[1]التعليم الابتدائي'!ALK643</f>
        <v>14</v>
      </c>
      <c r="H345" s="21">
        <f>'[1]التعليم الابتدائي'!ALL643</f>
        <v>7</v>
      </c>
      <c r="I345" s="20">
        <f>'[1]التعليم الابتدائي'!ALM643</f>
        <v>2</v>
      </c>
      <c r="J345" s="20">
        <f>'[1]التعليم الابتدائي'!AIS643</f>
        <v>23</v>
      </c>
      <c r="K345" s="20">
        <f>'[1]التعليم الابتدائي'!AIT643</f>
        <v>0</v>
      </c>
      <c r="L345" s="20">
        <f>'[1]التعليم الابتدائي'!AJN643</f>
        <v>19</v>
      </c>
      <c r="M345" s="20">
        <f>'[1]التعليم الابتدائي'!AJR643</f>
        <v>0</v>
      </c>
      <c r="N345" s="20">
        <f>'[1]التعليم الابتدائي'!AJP643</f>
        <v>0</v>
      </c>
      <c r="O345" s="20">
        <f>'[1]التعليم الابتدائي'!AJQ643</f>
        <v>2</v>
      </c>
      <c r="P345" s="20">
        <f>'[1]التعليم الابتدائي'!AJS643</f>
        <v>2</v>
      </c>
      <c r="Q345" s="20">
        <f>'[1]التعليم الابتدائي'!AJT643</f>
        <v>0</v>
      </c>
      <c r="R345" s="20">
        <f>SUM(L345:Q345)</f>
        <v>23</v>
      </c>
      <c r="S345" s="20">
        <f>'[1]التعليم الابتدائي'!AJU643</f>
        <v>23</v>
      </c>
      <c r="T345" s="20">
        <f>'[1]التعليم الابتدائي'!AKA643</f>
        <v>23</v>
      </c>
      <c r="U345" s="20">
        <f>'[1]التعليم الابتدائي'!AKH643</f>
        <v>23</v>
      </c>
      <c r="V345" s="33">
        <f>'[1]التعليم الابتدائي'!AKL643</f>
        <v>23</v>
      </c>
    </row>
    <row r="346" spans="1:24" ht="23.4" thickTop="1"/>
    <row r="347" spans="1:24" ht="23.4" thickBot="1">
      <c r="B347" s="23"/>
      <c r="C347" s="23"/>
      <c r="D347" s="23"/>
      <c r="E347" s="23"/>
      <c r="G347" s="34" t="s">
        <v>197</v>
      </c>
    </row>
    <row r="348" spans="1:24" ht="24" thickTop="1" thickBot="1">
      <c r="B348" s="215" t="s">
        <v>198</v>
      </c>
      <c r="C348" s="216"/>
      <c r="D348" s="216"/>
      <c r="E348" s="216"/>
      <c r="F348" s="216"/>
      <c r="G348" s="216"/>
      <c r="H348" s="216"/>
      <c r="I348" s="217"/>
      <c r="J348" s="218" t="s">
        <v>199</v>
      </c>
      <c r="K348" s="216"/>
      <c r="L348" s="216"/>
      <c r="M348" s="216"/>
      <c r="N348" s="216"/>
      <c r="O348" s="216"/>
      <c r="P348" s="216"/>
      <c r="Q348" s="216"/>
      <c r="R348" s="216"/>
      <c r="S348" s="216"/>
      <c r="T348" s="216"/>
      <c r="U348" s="219"/>
    </row>
    <row r="349" spans="1:24" ht="24" thickTop="1" thickBot="1">
      <c r="B349" s="210" t="s">
        <v>200</v>
      </c>
      <c r="C349" s="207"/>
      <c r="D349" s="206" t="s">
        <v>201</v>
      </c>
      <c r="E349" s="207"/>
      <c r="F349" s="206" t="s">
        <v>202</v>
      </c>
      <c r="G349" s="207"/>
      <c r="H349" s="206" t="s">
        <v>58</v>
      </c>
      <c r="I349" s="207"/>
      <c r="J349" s="206" t="s">
        <v>203</v>
      </c>
      <c r="K349" s="207"/>
      <c r="L349" s="206" t="s">
        <v>204</v>
      </c>
      <c r="M349" s="207"/>
      <c r="N349" s="206" t="s">
        <v>205</v>
      </c>
      <c r="O349" s="207"/>
      <c r="P349" s="206" t="s">
        <v>206</v>
      </c>
      <c r="Q349" s="207"/>
      <c r="R349" s="206" t="s">
        <v>207</v>
      </c>
      <c r="S349" s="207"/>
      <c r="T349" s="206" t="s">
        <v>58</v>
      </c>
      <c r="U349" s="208"/>
    </row>
    <row r="350" spans="1:24" ht="24" thickTop="1" thickBot="1">
      <c r="B350" s="209">
        <f>'[1]التعليم الابتدائي'!AIZ643</f>
        <v>9</v>
      </c>
      <c r="C350" s="204"/>
      <c r="D350" s="203">
        <f>'[1]التعليم الابتدائي'!AJA643</f>
        <v>12</v>
      </c>
      <c r="E350" s="204"/>
      <c r="F350" s="203">
        <f>'[1]التعليم الابتدائي'!AJB643</f>
        <v>2</v>
      </c>
      <c r="G350" s="204"/>
      <c r="H350" s="203">
        <f>F350+D350+B350</f>
        <v>23</v>
      </c>
      <c r="I350" s="204"/>
      <c r="J350" s="203">
        <f>'[1]التعليم الابتدائي'!AJF643</f>
        <v>4</v>
      </c>
      <c r="K350" s="204"/>
      <c r="L350" s="203">
        <f>'[1]التعليم الابتدائي'!AJG643</f>
        <v>3</v>
      </c>
      <c r="M350" s="204"/>
      <c r="N350" s="203">
        <f>'[1]التعليم الابتدائي'!AJH643</f>
        <v>14</v>
      </c>
      <c r="O350" s="204"/>
      <c r="P350" s="203">
        <f>'[1]التعليم الابتدائي'!AJI643</f>
        <v>2</v>
      </c>
      <c r="Q350" s="204"/>
      <c r="R350" s="203">
        <f>'[1]التعليم الابتدائي'!AJJ643</f>
        <v>0</v>
      </c>
      <c r="S350" s="204"/>
      <c r="T350" s="203">
        <f>R350+P350+N350+L350+J350</f>
        <v>23</v>
      </c>
      <c r="U350" s="205"/>
    </row>
    <row r="351" spans="1:24" ht="23.4" thickTop="1"/>
    <row r="352" spans="1:24">
      <c r="A352" s="231" t="s">
        <v>62</v>
      </c>
      <c r="B352" s="231"/>
      <c r="C352" s="231"/>
      <c r="D352" s="231"/>
      <c r="E352" s="231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31" t="s">
        <v>96</v>
      </c>
      <c r="S352" s="231"/>
      <c r="T352" s="231"/>
      <c r="U352" s="28"/>
      <c r="V352" s="28"/>
      <c r="W352" s="28"/>
    </row>
    <row r="353" spans="1:24">
      <c r="A353" s="231" t="s">
        <v>64</v>
      </c>
      <c r="B353" s="231"/>
      <c r="C353" s="231"/>
      <c r="D353" s="231"/>
      <c r="E353" s="231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31" t="s">
        <v>65</v>
      </c>
      <c r="S353" s="231"/>
      <c r="T353" s="231"/>
      <c r="U353" s="28"/>
      <c r="V353" s="28"/>
      <c r="W353" s="28"/>
    </row>
    <row r="354" spans="1:24">
      <c r="A354" s="28"/>
      <c r="B354" s="231" t="s">
        <v>143</v>
      </c>
      <c r="C354" s="231"/>
      <c r="D354" s="231"/>
      <c r="E354" s="231"/>
      <c r="F354" s="231"/>
      <c r="G354" s="231"/>
      <c r="H354" s="231"/>
      <c r="I354" s="231"/>
      <c r="J354" s="231"/>
      <c r="K354" s="231"/>
      <c r="L354" s="231"/>
      <c r="M354" s="231"/>
      <c r="N354" s="231"/>
      <c r="O354" s="231"/>
      <c r="P354" s="231"/>
      <c r="Q354" s="231"/>
      <c r="R354" s="231"/>
      <c r="S354" s="231"/>
      <c r="T354" s="28"/>
      <c r="U354" s="28"/>
      <c r="V354" s="28"/>
      <c r="W354" s="28"/>
    </row>
    <row r="355" spans="1:24">
      <c r="A355" s="28"/>
      <c r="B355" s="231" t="s">
        <v>208</v>
      </c>
      <c r="C355" s="231"/>
      <c r="D355" s="231"/>
      <c r="E355" s="231"/>
      <c r="F355" s="231"/>
      <c r="G355" s="231"/>
      <c r="H355" s="231"/>
      <c r="I355" s="231"/>
      <c r="J355" s="231"/>
      <c r="K355" s="231"/>
      <c r="L355" s="231"/>
      <c r="M355" s="231"/>
      <c r="N355" s="231"/>
      <c r="O355" s="231"/>
      <c r="P355" s="231"/>
      <c r="Q355" s="231"/>
      <c r="R355" s="231"/>
      <c r="S355" s="231"/>
      <c r="T355" s="28"/>
      <c r="U355" s="28"/>
      <c r="V355" s="28"/>
      <c r="W355" s="28"/>
    </row>
    <row r="356" spans="1:24">
      <c r="A356" s="28"/>
      <c r="B356" s="231" t="s">
        <v>144</v>
      </c>
      <c r="C356" s="231"/>
      <c r="D356" s="231"/>
      <c r="E356" s="231"/>
      <c r="F356" s="231"/>
      <c r="G356" s="231"/>
      <c r="H356" s="231"/>
      <c r="I356" s="231"/>
      <c r="J356" s="231"/>
      <c r="K356" s="231"/>
      <c r="L356" s="231"/>
      <c r="M356" s="231"/>
      <c r="N356" s="231"/>
      <c r="O356" s="231"/>
      <c r="P356" s="231"/>
      <c r="Q356" s="231"/>
      <c r="R356" s="231"/>
      <c r="S356" s="231"/>
      <c r="T356" s="28"/>
      <c r="U356" s="28"/>
      <c r="V356" s="28"/>
      <c r="W356" s="28"/>
    </row>
    <row r="357" spans="1:24" ht="23.4" thickBo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</row>
    <row r="358" spans="1:24" ht="24" thickTop="1" thickBot="1">
      <c r="B358" s="245" t="s">
        <v>145</v>
      </c>
      <c r="C358" s="233" t="s">
        <v>146</v>
      </c>
      <c r="D358" s="233"/>
      <c r="E358" s="233"/>
      <c r="F358" s="233"/>
      <c r="G358" s="233"/>
      <c r="H358" s="234" t="s">
        <v>147</v>
      </c>
      <c r="I358" s="235"/>
      <c r="J358" s="235"/>
      <c r="K358" s="235"/>
      <c r="L358" s="235"/>
      <c r="M358" s="235"/>
      <c r="N358" s="235"/>
      <c r="O358" s="235"/>
      <c r="P358" s="235"/>
      <c r="Q358" s="236"/>
      <c r="R358" s="233" t="s">
        <v>58</v>
      </c>
      <c r="S358" s="247"/>
      <c r="T358" s="31"/>
      <c r="U358" s="31"/>
      <c r="V358" s="31"/>
      <c r="W358" s="31"/>
      <c r="X358" s="31"/>
    </row>
    <row r="359" spans="1:24" ht="24" thickTop="1" thickBot="1">
      <c r="B359" s="246"/>
      <c r="C359" s="227"/>
      <c r="D359" s="227"/>
      <c r="E359" s="227"/>
      <c r="F359" s="227"/>
      <c r="G359" s="227"/>
      <c r="H359" s="248" t="s">
        <v>148</v>
      </c>
      <c r="I359" s="248" t="s">
        <v>149</v>
      </c>
      <c r="J359" s="248" t="s">
        <v>150</v>
      </c>
      <c r="K359" s="240" t="s">
        <v>151</v>
      </c>
      <c r="L359" s="227" t="s">
        <v>152</v>
      </c>
      <c r="M359" s="227"/>
      <c r="N359" s="227" t="s">
        <v>153</v>
      </c>
      <c r="O359" s="227"/>
      <c r="P359" s="227"/>
      <c r="Q359" s="242" t="s">
        <v>154</v>
      </c>
      <c r="R359" s="227"/>
      <c r="S359" s="244"/>
      <c r="T359" s="31"/>
      <c r="U359" s="31"/>
      <c r="V359" s="31"/>
      <c r="W359" s="31"/>
      <c r="X359" s="31"/>
    </row>
    <row r="360" spans="1:24" ht="24" thickTop="1" thickBot="1">
      <c r="B360" s="246"/>
      <c r="C360" s="15" t="s">
        <v>155</v>
      </c>
      <c r="D360" s="15" t="s">
        <v>156</v>
      </c>
      <c r="E360" s="15" t="s">
        <v>157</v>
      </c>
      <c r="F360" s="15" t="s">
        <v>158</v>
      </c>
      <c r="G360" s="15" t="s">
        <v>58</v>
      </c>
      <c r="H360" s="248"/>
      <c r="I360" s="248"/>
      <c r="J360" s="248"/>
      <c r="K360" s="241"/>
      <c r="L360" s="15" t="s">
        <v>209</v>
      </c>
      <c r="M360" s="15" t="s">
        <v>160</v>
      </c>
      <c r="N360" s="15" t="s">
        <v>161</v>
      </c>
      <c r="O360" s="15" t="s">
        <v>162</v>
      </c>
      <c r="P360" s="15" t="s">
        <v>163</v>
      </c>
      <c r="Q360" s="243"/>
      <c r="R360" s="227"/>
      <c r="S360" s="244"/>
      <c r="T360" s="31"/>
      <c r="U360" s="31"/>
      <c r="V360" s="31"/>
      <c r="W360" s="31"/>
      <c r="X360" s="31"/>
    </row>
    <row r="361" spans="1:24" ht="24" thickTop="1" thickBot="1">
      <c r="B361" s="17" t="s">
        <v>164</v>
      </c>
      <c r="C361" s="15">
        <f>'[1]التعليم الابتدائي'!IY753</f>
        <v>72</v>
      </c>
      <c r="D361" s="15">
        <f>'[1]التعليم الابتدائي'!JA753</f>
        <v>0</v>
      </c>
      <c r="E361" s="15">
        <f>'[1]التعليم الابتدائي'!JC753</f>
        <v>0</v>
      </c>
      <c r="F361" s="15">
        <f>'[1]التعليم الابتدائي'!JE753</f>
        <v>0</v>
      </c>
      <c r="G361" s="15">
        <f>E340+D340+C340+F340</f>
        <v>0</v>
      </c>
      <c r="H361" s="15">
        <f>'[1]التعليم الابتدائي'!ADR753</f>
        <v>0</v>
      </c>
      <c r="I361" s="15">
        <f>'[1]التعليم الابتدائي'!ADT753</f>
        <v>0</v>
      </c>
      <c r="J361" s="15">
        <f>'[1]التعليم الابتدائي'!ADX753</f>
        <v>0</v>
      </c>
      <c r="K361" s="15">
        <f>'[1]التعليم الابتدائي'!ADV753</f>
        <v>0</v>
      </c>
      <c r="L361" s="15">
        <f>'[1]التعليم الابتدائي'!ADZ753</f>
        <v>0</v>
      </c>
      <c r="M361" s="15">
        <f>'[1]التعليم الابتدائي'!AEB753</f>
        <v>0</v>
      </c>
      <c r="N361" s="15">
        <f>'[1]التعليم الابتدائي'!AED753</f>
        <v>0</v>
      </c>
      <c r="O361" s="15">
        <f>'[1]التعليم الابتدائي'!AEF753</f>
        <v>0</v>
      </c>
      <c r="P361" s="15">
        <f>'[1]التعليم الابتدائي'!AEH753</f>
        <v>0</v>
      </c>
      <c r="Q361" s="15">
        <f>'[1]التعليم الابتدائي'!AEJ753</f>
        <v>1</v>
      </c>
      <c r="R361" s="227">
        <f>Q340+P340+O340+M340+N340+J340+K340+L340+H340+I340</f>
        <v>0</v>
      </c>
      <c r="S361" s="244"/>
      <c r="T361" s="31"/>
      <c r="U361" s="31"/>
      <c r="V361" s="31"/>
      <c r="W361" s="31"/>
      <c r="X361" s="31"/>
    </row>
    <row r="362" spans="1:24" ht="24" thickTop="1" thickBot="1">
      <c r="B362" s="17" t="s">
        <v>165</v>
      </c>
      <c r="C362" s="15">
        <f>'[1]التعليم الابتدائي'!IZ753</f>
        <v>34</v>
      </c>
      <c r="D362" s="15">
        <f>'[1]التعليم الابتدائي'!JB753</f>
        <v>0</v>
      </c>
      <c r="E362" s="15">
        <f>'[1]التعليم الابتدائي'!JD753</f>
        <v>0</v>
      </c>
      <c r="F362" s="15">
        <f>'[1]التعليم الابتدائي'!JF753</f>
        <v>0</v>
      </c>
      <c r="G362" s="15">
        <f>E362+D362+C362+F362</f>
        <v>34</v>
      </c>
      <c r="H362" s="15">
        <f>'[1]التعليم الابتدائي'!ADS753</f>
        <v>0</v>
      </c>
      <c r="I362" s="15">
        <f>'[1]التعليم الابتدائي'!ADU753</f>
        <v>0</v>
      </c>
      <c r="J362" s="15">
        <f>'[1]التعليم الابتدائي'!ADY753</f>
        <v>0</v>
      </c>
      <c r="K362" s="15">
        <f>'[1]التعليم الابتدائي'!ADW753</f>
        <v>0</v>
      </c>
      <c r="L362" s="15">
        <f>'[1]التعليم الابتدائي'!AEA753</f>
        <v>0</v>
      </c>
      <c r="M362" s="15">
        <f>'[1]التعليم الابتدائي'!AEC753</f>
        <v>0</v>
      </c>
      <c r="N362" s="15">
        <f>'[1]التعليم الابتدائي'!AEE753</f>
        <v>0</v>
      </c>
      <c r="O362" s="15">
        <f>'[1]التعليم الابتدائي'!AEG753</f>
        <v>0</v>
      </c>
      <c r="P362" s="15">
        <f>'[1]التعليم الابتدائي'!AEI753</f>
        <v>0</v>
      </c>
      <c r="Q362" s="15">
        <f>'[1]التعليم الابتدائي'!AEK753</f>
        <v>0</v>
      </c>
      <c r="R362" s="227">
        <f>Q362+P362+O362+M362+N362+J362+K362+L362+H362+I362</f>
        <v>0</v>
      </c>
      <c r="S362" s="244"/>
      <c r="T362" s="31"/>
      <c r="U362" s="31"/>
      <c r="V362" s="31"/>
      <c r="W362" s="31"/>
      <c r="X362" s="31"/>
    </row>
    <row r="363" spans="1:24" ht="24" thickTop="1" thickBot="1">
      <c r="B363" s="18" t="s">
        <v>122</v>
      </c>
      <c r="C363" s="20">
        <f>C340+C362</f>
        <v>34</v>
      </c>
      <c r="D363" s="20">
        <f>D340+D362</f>
        <v>0</v>
      </c>
      <c r="E363" s="20">
        <f>E340+E362</f>
        <v>0</v>
      </c>
      <c r="F363" s="20">
        <f>SUM(F340:F362)</f>
        <v>2</v>
      </c>
      <c r="G363" s="20">
        <f>E363+D363+C363+F363</f>
        <v>36</v>
      </c>
      <c r="H363" s="20">
        <f t="shared" ref="H363:R363" si="13">H362+H340</f>
        <v>0</v>
      </c>
      <c r="I363" s="20">
        <f t="shared" si="13"/>
        <v>0</v>
      </c>
      <c r="J363" s="20">
        <f t="shared" si="13"/>
        <v>0</v>
      </c>
      <c r="K363" s="20">
        <f t="shared" si="13"/>
        <v>0</v>
      </c>
      <c r="L363" s="20">
        <f t="shared" si="13"/>
        <v>0</v>
      </c>
      <c r="M363" s="20">
        <f t="shared" si="13"/>
        <v>0</v>
      </c>
      <c r="N363" s="20">
        <f t="shared" si="13"/>
        <v>0</v>
      </c>
      <c r="O363" s="20">
        <f t="shared" si="13"/>
        <v>0</v>
      </c>
      <c r="P363" s="20">
        <f t="shared" si="13"/>
        <v>0</v>
      </c>
      <c r="Q363" s="20">
        <f t="shared" si="13"/>
        <v>0</v>
      </c>
      <c r="R363" s="229">
        <f t="shared" si="13"/>
        <v>0</v>
      </c>
      <c r="S363" s="230"/>
      <c r="T363" s="31"/>
      <c r="U363" s="31"/>
      <c r="V363" s="31"/>
      <c r="W363" s="31"/>
      <c r="X363" s="31"/>
    </row>
    <row r="364" spans="1:24" ht="23.4" thickTop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31"/>
    </row>
    <row r="365" spans="1:24">
      <c r="A365" s="28"/>
      <c r="B365" s="231" t="s">
        <v>166</v>
      </c>
      <c r="C365" s="231"/>
      <c r="D365" s="231"/>
      <c r="E365" s="231"/>
      <c r="F365" s="231"/>
      <c r="G365" s="231"/>
      <c r="H365" s="231"/>
      <c r="I365" s="231"/>
      <c r="J365" s="231"/>
      <c r="K365" s="231"/>
      <c r="L365" s="231"/>
      <c r="M365" s="231"/>
      <c r="N365" s="231"/>
      <c r="O365" s="231"/>
      <c r="P365" s="231"/>
      <c r="Q365" s="231"/>
      <c r="R365" s="231"/>
      <c r="S365" s="231"/>
      <c r="T365" s="28"/>
      <c r="U365" s="28"/>
      <c r="V365" s="28"/>
      <c r="W365" s="28"/>
    </row>
    <row r="366" spans="1:24">
      <c r="A366" s="28"/>
      <c r="B366" s="231" t="s">
        <v>208</v>
      </c>
      <c r="C366" s="231"/>
      <c r="D366" s="231"/>
      <c r="E366" s="231"/>
      <c r="F366" s="231"/>
      <c r="G366" s="231"/>
      <c r="H366" s="231"/>
      <c r="I366" s="231"/>
      <c r="J366" s="231"/>
      <c r="K366" s="231"/>
      <c r="L366" s="231"/>
      <c r="M366" s="231"/>
      <c r="N366" s="231"/>
      <c r="O366" s="231"/>
      <c r="P366" s="231"/>
      <c r="Q366" s="231"/>
      <c r="R366" s="231"/>
      <c r="S366" s="231"/>
      <c r="T366" s="28"/>
      <c r="U366" s="28"/>
      <c r="V366" s="28"/>
      <c r="W366" s="28"/>
    </row>
    <row r="367" spans="1:24">
      <c r="A367" s="28"/>
      <c r="B367" s="231" t="s">
        <v>167</v>
      </c>
      <c r="C367" s="231"/>
      <c r="D367" s="231"/>
      <c r="E367" s="231"/>
      <c r="F367" s="231"/>
      <c r="G367" s="231"/>
      <c r="H367" s="231"/>
      <c r="I367" s="231"/>
      <c r="J367" s="231"/>
      <c r="K367" s="231"/>
      <c r="L367" s="231"/>
      <c r="M367" s="231"/>
      <c r="N367" s="231"/>
      <c r="O367" s="231"/>
      <c r="P367" s="231"/>
      <c r="Q367" s="231"/>
      <c r="R367" s="231"/>
      <c r="S367" s="231"/>
      <c r="T367" s="28"/>
      <c r="U367" s="28"/>
      <c r="V367" s="28"/>
      <c r="W367" s="28"/>
    </row>
    <row r="368" spans="1:24" ht="23.4" thickBo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</row>
    <row r="369" spans="1:23" ht="24" thickTop="1" thickBot="1">
      <c r="A369" s="232" t="s">
        <v>168</v>
      </c>
      <c r="B369" s="233"/>
      <c r="C369" s="233"/>
      <c r="D369" s="234" t="s">
        <v>169</v>
      </c>
      <c r="E369" s="235"/>
      <c r="F369" s="236"/>
      <c r="G369" s="223" t="s">
        <v>170</v>
      </c>
      <c r="H369" s="224"/>
      <c r="I369" s="237"/>
      <c r="J369" s="238" t="s">
        <v>171</v>
      </c>
      <c r="K369" s="238"/>
      <c r="L369" s="234" t="s">
        <v>172</v>
      </c>
      <c r="M369" s="235"/>
      <c r="N369" s="235"/>
      <c r="O369" s="235"/>
      <c r="P369" s="235"/>
      <c r="Q369" s="236"/>
      <c r="R369" s="239" t="s">
        <v>173</v>
      </c>
      <c r="S369" s="223" t="s">
        <v>174</v>
      </c>
      <c r="T369" s="224"/>
      <c r="U369" s="224"/>
      <c r="V369" s="225"/>
    </row>
    <row r="370" spans="1:23" ht="24" thickTop="1" thickBot="1">
      <c r="A370" s="226" t="s">
        <v>175</v>
      </c>
      <c r="B370" s="227"/>
      <c r="C370" s="228" t="s">
        <v>176</v>
      </c>
      <c r="D370" s="220" t="s">
        <v>177</v>
      </c>
      <c r="E370" s="220" t="s">
        <v>178</v>
      </c>
      <c r="F370" s="220" t="s">
        <v>210</v>
      </c>
      <c r="G370" s="228" t="s">
        <v>180</v>
      </c>
      <c r="H370" s="220" t="s">
        <v>181</v>
      </c>
      <c r="I370" s="220" t="s">
        <v>182</v>
      </c>
      <c r="J370" s="228" t="s">
        <v>183</v>
      </c>
      <c r="K370" s="220" t="s">
        <v>184</v>
      </c>
      <c r="L370" s="221" t="s">
        <v>185</v>
      </c>
      <c r="M370" s="221" t="s">
        <v>186</v>
      </c>
      <c r="N370" s="221" t="s">
        <v>211</v>
      </c>
      <c r="O370" s="221" t="s">
        <v>188</v>
      </c>
      <c r="P370" s="221" t="s">
        <v>189</v>
      </c>
      <c r="Q370" s="228" t="s">
        <v>190</v>
      </c>
      <c r="R370" s="220"/>
      <c r="S370" s="211" t="s">
        <v>191</v>
      </c>
      <c r="T370" s="211" t="s">
        <v>192</v>
      </c>
      <c r="U370" s="211" t="s">
        <v>193</v>
      </c>
      <c r="V370" s="213" t="s">
        <v>212</v>
      </c>
    </row>
    <row r="371" spans="1:23" ht="46.8" thickTop="1" thickBot="1">
      <c r="A371" s="17" t="s">
        <v>195</v>
      </c>
      <c r="B371" s="16" t="s">
        <v>196</v>
      </c>
      <c r="C371" s="228"/>
      <c r="D371" s="220"/>
      <c r="E371" s="220"/>
      <c r="F371" s="220"/>
      <c r="G371" s="228"/>
      <c r="H371" s="220"/>
      <c r="I371" s="220"/>
      <c r="J371" s="228"/>
      <c r="K371" s="220"/>
      <c r="L371" s="222"/>
      <c r="M371" s="222"/>
      <c r="N371" s="222"/>
      <c r="O371" s="222"/>
      <c r="P371" s="222"/>
      <c r="Q371" s="228"/>
      <c r="R371" s="220"/>
      <c r="S371" s="212"/>
      <c r="T371" s="212"/>
      <c r="U371" s="212"/>
      <c r="V371" s="214"/>
    </row>
    <row r="372" spans="1:23" ht="24" thickTop="1" thickBot="1">
      <c r="A372" s="18">
        <f>'[1]التعليم الابتدائي'!ALH753</f>
        <v>0</v>
      </c>
      <c r="B372" s="20">
        <f>'[1]التعليم الابتدائي'!ALI753</f>
        <v>75</v>
      </c>
      <c r="C372" s="20">
        <f>'[1]التعليم الابتدائي'!ALJ753</f>
        <v>0</v>
      </c>
      <c r="D372" s="20">
        <f>'[1]التعليم الابتدائي'!ALE753</f>
        <v>34</v>
      </c>
      <c r="E372" s="20">
        <f>'[1]التعليم الابتدائي'!ALF753</f>
        <v>39</v>
      </c>
      <c r="F372" s="20">
        <f>'[1]التعليم الابتدائي'!ALG753</f>
        <v>2</v>
      </c>
      <c r="G372" s="20">
        <f>'[1]التعليم الابتدائي'!ALK753</f>
        <v>37</v>
      </c>
      <c r="H372" s="20">
        <f>'[1]التعليم الابتدائي'!ALL753</f>
        <v>26</v>
      </c>
      <c r="I372" s="20">
        <f>'[1]التعليم الابتدائي'!ALM753</f>
        <v>12</v>
      </c>
      <c r="J372" s="20">
        <f>'[1]التعليم الابتدائي'!AIS753</f>
        <v>75</v>
      </c>
      <c r="K372" s="20">
        <f>'[1]التعليم الابتدائي'!AIT753</f>
        <v>0</v>
      </c>
      <c r="L372" s="20">
        <f>'[1]التعليم الابتدائي'!AJN753</f>
        <v>69</v>
      </c>
      <c r="M372" s="20">
        <f>'[1]التعليم الابتدائي'!AJR753</f>
        <v>0</v>
      </c>
      <c r="N372" s="20">
        <f>'[1]التعليم الابتدائي'!AJP753</f>
        <v>0</v>
      </c>
      <c r="O372" s="20">
        <f>'[1]التعليم الابتدائي'!AJQ753</f>
        <v>2</v>
      </c>
      <c r="P372" s="20">
        <f>'[1]التعليم الابتدائي'!AJS753</f>
        <v>4</v>
      </c>
      <c r="Q372" s="20">
        <f>'[1]التعليم الابتدائي'!AJT753</f>
        <v>0</v>
      </c>
      <c r="R372" s="20">
        <f>SUM(L372:Q372)</f>
        <v>75</v>
      </c>
      <c r="S372" s="20">
        <f>'[1]التعليم الابتدائي'!AJU753</f>
        <v>75</v>
      </c>
      <c r="T372" s="20">
        <f>'[1]التعليم الابتدائي'!AKA753</f>
        <v>75</v>
      </c>
      <c r="U372" s="20">
        <f>'[1]التعليم الابتدائي'!AKH753</f>
        <v>75</v>
      </c>
      <c r="V372" s="33">
        <f>'[1]التعليم الابتدائي'!AKL753</f>
        <v>75</v>
      </c>
    </row>
    <row r="373" spans="1:23" ht="23.4" thickTop="1"/>
    <row r="374" spans="1:23" ht="23.4" thickBot="1">
      <c r="B374" s="23"/>
      <c r="C374" s="23"/>
      <c r="D374" s="23"/>
      <c r="E374" s="23"/>
      <c r="G374" s="34" t="s">
        <v>197</v>
      </c>
    </row>
    <row r="375" spans="1:23" ht="24" thickTop="1" thickBot="1">
      <c r="B375" s="215" t="s">
        <v>198</v>
      </c>
      <c r="C375" s="216"/>
      <c r="D375" s="216"/>
      <c r="E375" s="216"/>
      <c r="F375" s="216"/>
      <c r="G375" s="216"/>
      <c r="H375" s="216"/>
      <c r="I375" s="217"/>
      <c r="J375" s="218" t="s">
        <v>199</v>
      </c>
      <c r="K375" s="216"/>
      <c r="L375" s="216"/>
      <c r="M375" s="216"/>
      <c r="N375" s="216"/>
      <c r="O375" s="216"/>
      <c r="P375" s="216"/>
      <c r="Q375" s="216"/>
      <c r="R375" s="216"/>
      <c r="S375" s="216"/>
      <c r="T375" s="216"/>
      <c r="U375" s="219"/>
    </row>
    <row r="376" spans="1:23" ht="24" thickTop="1" thickBot="1">
      <c r="B376" s="210" t="s">
        <v>200</v>
      </c>
      <c r="C376" s="207"/>
      <c r="D376" s="206" t="s">
        <v>201</v>
      </c>
      <c r="E376" s="207"/>
      <c r="F376" s="206" t="s">
        <v>202</v>
      </c>
      <c r="G376" s="207"/>
      <c r="H376" s="206" t="s">
        <v>58</v>
      </c>
      <c r="I376" s="207"/>
      <c r="J376" s="206" t="s">
        <v>203</v>
      </c>
      <c r="K376" s="207"/>
      <c r="L376" s="206" t="s">
        <v>204</v>
      </c>
      <c r="M376" s="207"/>
      <c r="N376" s="206" t="s">
        <v>205</v>
      </c>
      <c r="O376" s="207"/>
      <c r="P376" s="206" t="s">
        <v>206</v>
      </c>
      <c r="Q376" s="207"/>
      <c r="R376" s="206" t="s">
        <v>207</v>
      </c>
      <c r="S376" s="207"/>
      <c r="T376" s="206" t="s">
        <v>58</v>
      </c>
      <c r="U376" s="208"/>
    </row>
    <row r="377" spans="1:23" ht="24" thickTop="1" thickBot="1">
      <c r="B377" s="209">
        <f>'[1]التعليم الابتدائي'!AIZ753</f>
        <v>33</v>
      </c>
      <c r="C377" s="204"/>
      <c r="D377" s="203">
        <f>'[1]التعليم الابتدائي'!AJA753</f>
        <v>41</v>
      </c>
      <c r="E377" s="204"/>
      <c r="F377" s="203">
        <f>'[1]التعليم الابتدائي'!AJB753</f>
        <v>1</v>
      </c>
      <c r="G377" s="204"/>
      <c r="H377" s="203">
        <f>F377+D377+B377</f>
        <v>75</v>
      </c>
      <c r="I377" s="204"/>
      <c r="J377" s="203">
        <f>'[1]التعليم الابتدائي'!AJF753</f>
        <v>16</v>
      </c>
      <c r="K377" s="204"/>
      <c r="L377" s="203">
        <f>'[1]التعليم الابتدائي'!AJG753</f>
        <v>9</v>
      </c>
      <c r="M377" s="204"/>
      <c r="N377" s="203">
        <f>'[1]التعليم الابتدائي'!AJH753</f>
        <v>42</v>
      </c>
      <c r="O377" s="204"/>
      <c r="P377" s="203">
        <f>'[1]التعليم الابتدائي'!AJI753</f>
        <v>6</v>
      </c>
      <c r="Q377" s="204"/>
      <c r="R377" s="203">
        <f>'[1]التعليم الابتدائي'!AJJ753</f>
        <v>2</v>
      </c>
      <c r="S377" s="204"/>
      <c r="T377" s="203">
        <f>R377+P377+N377+L377+J377</f>
        <v>75</v>
      </c>
      <c r="U377" s="205"/>
    </row>
    <row r="378" spans="1:23" ht="23.4" thickTop="1"/>
    <row r="379" spans="1:23">
      <c r="A379" s="231" t="s">
        <v>62</v>
      </c>
      <c r="B379" s="231"/>
      <c r="C379" s="231"/>
      <c r="D379" s="231"/>
      <c r="E379" s="231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31" t="s">
        <v>97</v>
      </c>
      <c r="S379" s="231"/>
      <c r="T379" s="231"/>
      <c r="U379" s="28"/>
      <c r="V379" s="28"/>
      <c r="W379" s="28"/>
    </row>
    <row r="380" spans="1:23">
      <c r="A380" s="231" t="s">
        <v>64</v>
      </c>
      <c r="B380" s="231"/>
      <c r="C380" s="231"/>
      <c r="D380" s="231"/>
      <c r="E380" s="231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31" t="s">
        <v>65</v>
      </c>
      <c r="S380" s="231"/>
      <c r="T380" s="231"/>
      <c r="U380" s="28"/>
      <c r="V380" s="28"/>
      <c r="W380" s="28"/>
    </row>
    <row r="381" spans="1:23">
      <c r="A381" s="28"/>
      <c r="B381" s="231" t="s">
        <v>143</v>
      </c>
      <c r="C381" s="231"/>
      <c r="D381" s="231"/>
      <c r="E381" s="231"/>
      <c r="F381" s="231"/>
      <c r="G381" s="231"/>
      <c r="H381" s="231"/>
      <c r="I381" s="231"/>
      <c r="J381" s="231"/>
      <c r="K381" s="231"/>
      <c r="L381" s="231"/>
      <c r="M381" s="231"/>
      <c r="N381" s="231"/>
      <c r="O381" s="231"/>
      <c r="P381" s="231"/>
      <c r="Q381" s="231"/>
      <c r="R381" s="231"/>
      <c r="S381" s="231"/>
      <c r="T381" s="28"/>
      <c r="U381" s="28"/>
      <c r="V381" s="28"/>
      <c r="W381" s="28"/>
    </row>
    <row r="382" spans="1:23">
      <c r="A382" s="28"/>
      <c r="B382" s="231" t="s">
        <v>208</v>
      </c>
      <c r="C382" s="231"/>
      <c r="D382" s="231"/>
      <c r="E382" s="231"/>
      <c r="F382" s="231"/>
      <c r="G382" s="231"/>
      <c r="H382" s="231"/>
      <c r="I382" s="231"/>
      <c r="J382" s="231"/>
      <c r="K382" s="231"/>
      <c r="L382" s="231"/>
      <c r="M382" s="231"/>
      <c r="N382" s="231"/>
      <c r="O382" s="231"/>
      <c r="P382" s="231"/>
      <c r="Q382" s="231"/>
      <c r="R382" s="231"/>
      <c r="S382" s="231"/>
      <c r="T382" s="28"/>
      <c r="U382" s="28"/>
      <c r="V382" s="28"/>
      <c r="W382" s="28"/>
    </row>
    <row r="383" spans="1:23">
      <c r="A383" s="28"/>
      <c r="B383" s="231" t="s">
        <v>144</v>
      </c>
      <c r="C383" s="231"/>
      <c r="D383" s="231"/>
      <c r="E383" s="231"/>
      <c r="F383" s="231"/>
      <c r="G383" s="231"/>
      <c r="H383" s="231"/>
      <c r="I383" s="231"/>
      <c r="J383" s="231"/>
      <c r="K383" s="231"/>
      <c r="L383" s="231"/>
      <c r="M383" s="231"/>
      <c r="N383" s="231"/>
      <c r="O383" s="231"/>
      <c r="P383" s="231"/>
      <c r="Q383" s="231"/>
      <c r="R383" s="231"/>
      <c r="S383" s="231"/>
      <c r="T383" s="28"/>
      <c r="U383" s="28"/>
      <c r="V383" s="28"/>
      <c r="W383" s="28"/>
    </row>
    <row r="384" spans="1:23" ht="23.4" thickBo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</row>
    <row r="385" spans="1:24" ht="24" thickTop="1" thickBot="1">
      <c r="B385" s="245" t="s">
        <v>145</v>
      </c>
      <c r="C385" s="233" t="s">
        <v>146</v>
      </c>
      <c r="D385" s="233"/>
      <c r="E385" s="233"/>
      <c r="F385" s="233"/>
      <c r="G385" s="233"/>
      <c r="H385" s="234" t="s">
        <v>147</v>
      </c>
      <c r="I385" s="235"/>
      <c r="J385" s="235"/>
      <c r="K385" s="235"/>
      <c r="L385" s="235"/>
      <c r="M385" s="235"/>
      <c r="N385" s="235"/>
      <c r="O385" s="235"/>
      <c r="P385" s="235"/>
      <c r="Q385" s="236"/>
      <c r="R385" s="233" t="s">
        <v>58</v>
      </c>
      <c r="S385" s="247"/>
      <c r="T385" s="31"/>
      <c r="U385" s="31"/>
      <c r="V385" s="31"/>
      <c r="W385" s="31"/>
      <c r="X385" s="31"/>
    </row>
    <row r="386" spans="1:24" ht="24" thickTop="1" thickBot="1">
      <c r="B386" s="246"/>
      <c r="C386" s="227"/>
      <c r="D386" s="227"/>
      <c r="E386" s="227"/>
      <c r="F386" s="227"/>
      <c r="G386" s="227"/>
      <c r="H386" s="248" t="s">
        <v>148</v>
      </c>
      <c r="I386" s="248" t="s">
        <v>149</v>
      </c>
      <c r="J386" s="248" t="s">
        <v>150</v>
      </c>
      <c r="K386" s="240" t="s">
        <v>151</v>
      </c>
      <c r="L386" s="227" t="s">
        <v>152</v>
      </c>
      <c r="M386" s="227"/>
      <c r="N386" s="227" t="s">
        <v>153</v>
      </c>
      <c r="O386" s="227"/>
      <c r="P386" s="227"/>
      <c r="Q386" s="242" t="s">
        <v>154</v>
      </c>
      <c r="R386" s="227"/>
      <c r="S386" s="244"/>
      <c r="T386" s="31"/>
      <c r="U386" s="31"/>
      <c r="V386" s="31"/>
      <c r="W386" s="31"/>
      <c r="X386" s="31"/>
    </row>
    <row r="387" spans="1:24" ht="24" thickTop="1" thickBot="1">
      <c r="B387" s="246"/>
      <c r="C387" s="15" t="s">
        <v>155</v>
      </c>
      <c r="D387" s="15" t="s">
        <v>156</v>
      </c>
      <c r="E387" s="15" t="s">
        <v>157</v>
      </c>
      <c r="F387" s="15" t="s">
        <v>158</v>
      </c>
      <c r="G387" s="15" t="s">
        <v>58</v>
      </c>
      <c r="H387" s="248"/>
      <c r="I387" s="248"/>
      <c r="J387" s="248"/>
      <c r="K387" s="241"/>
      <c r="L387" s="15" t="s">
        <v>209</v>
      </c>
      <c r="M387" s="15" t="s">
        <v>160</v>
      </c>
      <c r="N387" s="15" t="s">
        <v>161</v>
      </c>
      <c r="O387" s="15" t="s">
        <v>162</v>
      </c>
      <c r="P387" s="15" t="s">
        <v>163</v>
      </c>
      <c r="Q387" s="243"/>
      <c r="R387" s="227"/>
      <c r="S387" s="244"/>
      <c r="T387" s="31"/>
      <c r="U387" s="31"/>
      <c r="V387" s="31"/>
      <c r="W387" s="31"/>
      <c r="X387" s="31"/>
    </row>
    <row r="388" spans="1:24" ht="24" thickTop="1" thickBot="1">
      <c r="B388" s="17" t="s">
        <v>164</v>
      </c>
      <c r="C388" s="15">
        <f>'[1]التعليم الابتدائي'!IY711</f>
        <v>42</v>
      </c>
      <c r="D388" s="15">
        <f>'[1]التعليم الابتدائي'!JA711</f>
        <v>0</v>
      </c>
      <c r="E388" s="15">
        <f>'[1]التعليم الابتدائي'!JC711</f>
        <v>0</v>
      </c>
      <c r="F388" s="15">
        <f>'[1]التعليم الابتدائي'!JE711</f>
        <v>0</v>
      </c>
      <c r="G388" s="15">
        <f>E388+D388+C388+F388</f>
        <v>42</v>
      </c>
      <c r="H388" s="15">
        <f>'[1]التعليم الابتدائي'!ADR711</f>
        <v>0</v>
      </c>
      <c r="I388" s="15">
        <f>'[1]التعليم الابتدائي'!ADT711</f>
        <v>0</v>
      </c>
      <c r="J388" s="15">
        <f>'[1]التعليم الابتدائي'!ADX711</f>
        <v>0</v>
      </c>
      <c r="K388" s="15">
        <f>'[1]التعليم الابتدائي'!ADV711</f>
        <v>0</v>
      </c>
      <c r="L388" s="15">
        <f>'[1]التعليم الابتدائي'!ADZ711</f>
        <v>0</v>
      </c>
      <c r="M388" s="15">
        <f>'[1]التعليم الابتدائي'!AEB711</f>
        <v>0</v>
      </c>
      <c r="N388" s="15">
        <f>'[1]التعليم الابتدائي'!AED711</f>
        <v>0</v>
      </c>
      <c r="O388" s="15">
        <f>'[1]التعليم الابتدائي'!AEF711</f>
        <v>0</v>
      </c>
      <c r="P388" s="15">
        <f>'[1]التعليم الابتدائي'!AEH711</f>
        <v>0</v>
      </c>
      <c r="Q388" s="15">
        <f>'[1]التعليم الابتدائي'!AEJ711</f>
        <v>1</v>
      </c>
      <c r="R388" s="227">
        <f>Q388+P388+O388+M388+N388+J388+K388+L388+H388+I388</f>
        <v>1</v>
      </c>
      <c r="S388" s="244"/>
      <c r="T388" s="31"/>
      <c r="U388" s="31"/>
      <c r="V388" s="31"/>
      <c r="W388" s="31"/>
      <c r="X388" s="31"/>
    </row>
    <row r="389" spans="1:24" ht="24" thickTop="1" thickBot="1">
      <c r="B389" s="17" t="s">
        <v>165</v>
      </c>
      <c r="C389" s="15">
        <f>'[1]التعليم الابتدائي'!IZ711</f>
        <v>24</v>
      </c>
      <c r="D389" s="15">
        <f>'[1]التعليم الابتدائي'!JB711</f>
        <v>0</v>
      </c>
      <c r="E389" s="15">
        <f>'[1]التعليم الابتدائي'!JD711</f>
        <v>0</v>
      </c>
      <c r="F389" s="15">
        <f>'[1]التعليم الابتدائي'!JF711</f>
        <v>0</v>
      </c>
      <c r="G389" s="15">
        <f>E389+D389+C389+F389</f>
        <v>24</v>
      </c>
      <c r="H389" s="15">
        <f>'[1]التعليم الابتدائي'!ADS711</f>
        <v>0</v>
      </c>
      <c r="I389" s="15">
        <f>'[1]التعليم الابتدائي'!ADU711</f>
        <v>0</v>
      </c>
      <c r="J389" s="15">
        <f>'[1]التعليم الابتدائي'!ADY711</f>
        <v>0</v>
      </c>
      <c r="K389" s="15">
        <f>'[1]التعليم الابتدائي'!ADW711</f>
        <v>0</v>
      </c>
      <c r="L389" s="15">
        <f>'[1]التعليم الابتدائي'!AEA711</f>
        <v>0</v>
      </c>
      <c r="M389" s="15">
        <f>'[1]التعليم الابتدائي'!AEC711</f>
        <v>0</v>
      </c>
      <c r="N389" s="15">
        <f>'[1]التعليم الابتدائي'!AEE711</f>
        <v>0</v>
      </c>
      <c r="O389" s="15">
        <f>'[1]التعليم الابتدائي'!AEG711</f>
        <v>0</v>
      </c>
      <c r="P389" s="15">
        <f>'[1]التعليم الابتدائي'!AEI711</f>
        <v>0</v>
      </c>
      <c r="Q389" s="15">
        <f>'[1]التعليم الابتدائي'!AEK711</f>
        <v>0</v>
      </c>
      <c r="R389" s="227">
        <f>Q389+P389+O389+M389+N389+J389+K389+L389+H389+I389</f>
        <v>0</v>
      </c>
      <c r="S389" s="244"/>
      <c r="T389" s="31"/>
      <c r="U389" s="31"/>
      <c r="V389" s="31"/>
      <c r="W389" s="31"/>
      <c r="X389" s="31"/>
    </row>
    <row r="390" spans="1:24" ht="24" thickTop="1" thickBot="1">
      <c r="B390" s="18" t="s">
        <v>122</v>
      </c>
      <c r="C390" s="20">
        <f>C388+C389</f>
        <v>66</v>
      </c>
      <c r="D390" s="20">
        <f>D388+D389</f>
        <v>0</v>
      </c>
      <c r="E390" s="20">
        <f>E388+E389</f>
        <v>0</v>
      </c>
      <c r="F390" s="20">
        <f>SUM(F388:F389)</f>
        <v>0</v>
      </c>
      <c r="G390" s="20">
        <f>E390+D390+C390+F390</f>
        <v>66</v>
      </c>
      <c r="H390" s="20">
        <f t="shared" ref="H390:R390" si="14">H389+H388</f>
        <v>0</v>
      </c>
      <c r="I390" s="20">
        <f t="shared" si="14"/>
        <v>0</v>
      </c>
      <c r="J390" s="20">
        <f t="shared" si="14"/>
        <v>0</v>
      </c>
      <c r="K390" s="20">
        <f t="shared" si="14"/>
        <v>0</v>
      </c>
      <c r="L390" s="20">
        <f t="shared" si="14"/>
        <v>0</v>
      </c>
      <c r="M390" s="20">
        <f t="shared" si="14"/>
        <v>0</v>
      </c>
      <c r="N390" s="20">
        <f t="shared" si="14"/>
        <v>0</v>
      </c>
      <c r="O390" s="20">
        <f t="shared" si="14"/>
        <v>0</v>
      </c>
      <c r="P390" s="20">
        <f t="shared" si="14"/>
        <v>0</v>
      </c>
      <c r="Q390" s="20">
        <f t="shared" si="14"/>
        <v>1</v>
      </c>
      <c r="R390" s="229">
        <f t="shared" si="14"/>
        <v>1</v>
      </c>
      <c r="S390" s="230"/>
      <c r="T390" s="31"/>
      <c r="U390" s="31"/>
      <c r="V390" s="31"/>
      <c r="W390" s="31"/>
      <c r="X390" s="31"/>
    </row>
    <row r="391" spans="1:24" ht="23.4" thickTop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31"/>
    </row>
    <row r="392" spans="1:24">
      <c r="A392" s="28"/>
      <c r="B392" s="231" t="s">
        <v>166</v>
      </c>
      <c r="C392" s="231"/>
      <c r="D392" s="231"/>
      <c r="E392" s="231"/>
      <c r="F392" s="231"/>
      <c r="G392" s="231"/>
      <c r="H392" s="231"/>
      <c r="I392" s="231"/>
      <c r="J392" s="231"/>
      <c r="K392" s="231"/>
      <c r="L392" s="231"/>
      <c r="M392" s="231"/>
      <c r="N392" s="231"/>
      <c r="O392" s="231"/>
      <c r="P392" s="231"/>
      <c r="Q392" s="231"/>
      <c r="R392" s="231"/>
      <c r="S392" s="231"/>
      <c r="T392" s="28"/>
      <c r="U392" s="28"/>
      <c r="V392" s="28"/>
      <c r="W392" s="28"/>
    </row>
    <row r="393" spans="1:24">
      <c r="A393" s="28"/>
      <c r="B393" s="231" t="s">
        <v>208</v>
      </c>
      <c r="C393" s="231"/>
      <c r="D393" s="231"/>
      <c r="E393" s="231"/>
      <c r="F393" s="231"/>
      <c r="G393" s="231"/>
      <c r="H393" s="231"/>
      <c r="I393" s="231"/>
      <c r="J393" s="231"/>
      <c r="K393" s="231"/>
      <c r="L393" s="231"/>
      <c r="M393" s="231"/>
      <c r="N393" s="231"/>
      <c r="O393" s="231"/>
      <c r="P393" s="231"/>
      <c r="Q393" s="231"/>
      <c r="R393" s="231"/>
      <c r="S393" s="231"/>
      <c r="T393" s="28"/>
      <c r="U393" s="28"/>
      <c r="V393" s="28"/>
      <c r="W393" s="28"/>
    </row>
    <row r="394" spans="1:24">
      <c r="A394" s="28"/>
      <c r="B394" s="231" t="s">
        <v>167</v>
      </c>
      <c r="C394" s="231"/>
      <c r="D394" s="231"/>
      <c r="E394" s="231"/>
      <c r="F394" s="231"/>
      <c r="G394" s="231"/>
      <c r="H394" s="231"/>
      <c r="I394" s="231"/>
      <c r="J394" s="231"/>
      <c r="K394" s="231"/>
      <c r="L394" s="231"/>
      <c r="M394" s="231"/>
      <c r="N394" s="231"/>
      <c r="O394" s="231"/>
      <c r="P394" s="231"/>
      <c r="Q394" s="231"/>
      <c r="R394" s="231"/>
      <c r="S394" s="231"/>
      <c r="T394" s="28"/>
      <c r="U394" s="28"/>
      <c r="V394" s="28"/>
      <c r="W394" s="28"/>
    </row>
    <row r="395" spans="1:24" ht="23.4" thickBo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</row>
    <row r="396" spans="1:24" ht="24" thickTop="1" thickBot="1">
      <c r="A396" s="232" t="s">
        <v>168</v>
      </c>
      <c r="B396" s="233"/>
      <c r="C396" s="233"/>
      <c r="D396" s="234" t="s">
        <v>169</v>
      </c>
      <c r="E396" s="235"/>
      <c r="F396" s="236"/>
      <c r="G396" s="234" t="s">
        <v>170</v>
      </c>
      <c r="H396" s="235"/>
      <c r="I396" s="236"/>
      <c r="J396" s="238" t="s">
        <v>171</v>
      </c>
      <c r="K396" s="238"/>
      <c r="L396" s="234" t="s">
        <v>172</v>
      </c>
      <c r="M396" s="235"/>
      <c r="N396" s="235"/>
      <c r="O396" s="235"/>
      <c r="P396" s="235"/>
      <c r="Q396" s="236"/>
      <c r="R396" s="239" t="s">
        <v>173</v>
      </c>
      <c r="S396" s="223" t="s">
        <v>174</v>
      </c>
      <c r="T396" s="224"/>
      <c r="U396" s="224"/>
      <c r="V396" s="225"/>
    </row>
    <row r="397" spans="1:24" ht="24" thickTop="1" thickBot="1">
      <c r="A397" s="226" t="s">
        <v>175</v>
      </c>
      <c r="B397" s="227"/>
      <c r="C397" s="228" t="s">
        <v>176</v>
      </c>
      <c r="D397" s="220" t="s">
        <v>177</v>
      </c>
      <c r="E397" s="220" t="s">
        <v>178</v>
      </c>
      <c r="F397" s="220" t="s">
        <v>210</v>
      </c>
      <c r="G397" s="228" t="s">
        <v>180</v>
      </c>
      <c r="H397" s="220" t="s">
        <v>181</v>
      </c>
      <c r="I397" s="220" t="s">
        <v>182</v>
      </c>
      <c r="J397" s="228" t="s">
        <v>183</v>
      </c>
      <c r="K397" s="220" t="s">
        <v>184</v>
      </c>
      <c r="L397" s="221" t="s">
        <v>185</v>
      </c>
      <c r="M397" s="221" t="s">
        <v>186</v>
      </c>
      <c r="N397" s="221" t="s">
        <v>211</v>
      </c>
      <c r="O397" s="221" t="s">
        <v>188</v>
      </c>
      <c r="P397" s="221" t="s">
        <v>189</v>
      </c>
      <c r="Q397" s="228" t="s">
        <v>190</v>
      </c>
      <c r="R397" s="220"/>
      <c r="S397" s="211" t="s">
        <v>191</v>
      </c>
      <c r="T397" s="211" t="s">
        <v>192</v>
      </c>
      <c r="U397" s="211" t="s">
        <v>193</v>
      </c>
      <c r="V397" s="213" t="s">
        <v>212</v>
      </c>
    </row>
    <row r="398" spans="1:24" ht="46.8" thickTop="1" thickBot="1">
      <c r="A398" s="17" t="s">
        <v>195</v>
      </c>
      <c r="B398" s="16" t="s">
        <v>196</v>
      </c>
      <c r="C398" s="228"/>
      <c r="D398" s="220"/>
      <c r="E398" s="220"/>
      <c r="F398" s="220"/>
      <c r="G398" s="228"/>
      <c r="H398" s="220"/>
      <c r="I398" s="220"/>
      <c r="J398" s="228"/>
      <c r="K398" s="220"/>
      <c r="L398" s="222"/>
      <c r="M398" s="222"/>
      <c r="N398" s="222"/>
      <c r="O398" s="222"/>
      <c r="P398" s="222"/>
      <c r="Q398" s="228"/>
      <c r="R398" s="220"/>
      <c r="S398" s="212"/>
      <c r="T398" s="212"/>
      <c r="U398" s="212"/>
      <c r="V398" s="214"/>
    </row>
    <row r="399" spans="1:24" ht="24" thickTop="1" thickBot="1">
      <c r="A399" s="18">
        <f>'[1]التعليم الابتدائي'!ALH711</f>
        <v>0</v>
      </c>
      <c r="B399" s="20">
        <f>'[1]التعليم الابتدائي'!ALI711</f>
        <v>42</v>
      </c>
      <c r="C399" s="20">
        <f>'[1]التعليم الابتدائي'!ALJ711</f>
        <v>0</v>
      </c>
      <c r="D399" s="20">
        <f>'[1]التعليم الابتدائي'!ALE711</f>
        <v>13</v>
      </c>
      <c r="E399" s="20">
        <f>'[1]التعليم الابتدائي'!ALF711</f>
        <v>27</v>
      </c>
      <c r="F399" s="20">
        <f>'[1]التعليم الابتدائي'!ALG711</f>
        <v>2</v>
      </c>
      <c r="G399" s="20">
        <f>'[1]التعليم الابتدائي'!ALK711</f>
        <v>25</v>
      </c>
      <c r="H399" s="20">
        <f>'[1]التعليم الابتدائي'!ALL711</f>
        <v>12</v>
      </c>
      <c r="I399" s="20">
        <f>'[1]التعليم الابتدائي'!ALM711</f>
        <v>5</v>
      </c>
      <c r="J399" s="20">
        <f>'[1]التعليم الابتدائي'!AIS711</f>
        <v>42</v>
      </c>
      <c r="K399" s="20">
        <f>'[1]التعليم الابتدائي'!AIT711</f>
        <v>0</v>
      </c>
      <c r="L399" s="20">
        <f>'[1]التعليم الابتدائي'!AJN711</f>
        <v>40</v>
      </c>
      <c r="M399" s="20">
        <f>'[1]التعليم الابتدائي'!AJR711</f>
        <v>0</v>
      </c>
      <c r="N399" s="20">
        <f>'[1]التعليم الابتدائي'!AJP711</f>
        <v>0</v>
      </c>
      <c r="O399" s="20">
        <f>'[1]التعليم الابتدائي'!AJQ711</f>
        <v>2</v>
      </c>
      <c r="P399" s="20">
        <f>'[1]التعليم الابتدائي'!AJS711</f>
        <v>0</v>
      </c>
      <c r="Q399" s="20">
        <f>'[1]التعليم الابتدائي'!AJT711</f>
        <v>0</v>
      </c>
      <c r="R399" s="20">
        <f>SUM(L399:Q399)</f>
        <v>42</v>
      </c>
      <c r="S399" s="20">
        <f>'[1]التعليم الابتدائي'!AJU711</f>
        <v>42</v>
      </c>
      <c r="T399" s="20">
        <f>'[1]التعليم الابتدائي'!AKA711</f>
        <v>42</v>
      </c>
      <c r="U399" s="20">
        <f>'[1]التعليم الابتدائي'!AKH711</f>
        <v>42</v>
      </c>
      <c r="V399" s="33">
        <f>'[1]التعليم الابتدائي'!AKL711</f>
        <v>42</v>
      </c>
    </row>
    <row r="400" spans="1:24" ht="23.4" thickTop="1"/>
    <row r="401" spans="1:24" ht="23.4" thickBot="1">
      <c r="B401" s="23"/>
      <c r="C401" s="23"/>
      <c r="D401" s="23"/>
      <c r="E401" s="23"/>
      <c r="G401" s="34" t="s">
        <v>197</v>
      </c>
    </row>
    <row r="402" spans="1:24" ht="24" thickTop="1" thickBot="1">
      <c r="B402" s="215" t="s">
        <v>198</v>
      </c>
      <c r="C402" s="216"/>
      <c r="D402" s="216"/>
      <c r="E402" s="216"/>
      <c r="F402" s="216"/>
      <c r="G402" s="216"/>
      <c r="H402" s="216"/>
      <c r="I402" s="217"/>
      <c r="J402" s="218" t="s">
        <v>199</v>
      </c>
      <c r="K402" s="216"/>
      <c r="L402" s="216"/>
      <c r="M402" s="216"/>
      <c r="N402" s="216"/>
      <c r="O402" s="216"/>
      <c r="P402" s="216"/>
      <c r="Q402" s="216"/>
      <c r="R402" s="216"/>
      <c r="S402" s="216"/>
      <c r="T402" s="216"/>
      <c r="U402" s="219"/>
    </row>
    <row r="403" spans="1:24" ht="24" thickTop="1" thickBot="1">
      <c r="B403" s="210" t="s">
        <v>200</v>
      </c>
      <c r="C403" s="207"/>
      <c r="D403" s="206" t="s">
        <v>201</v>
      </c>
      <c r="E403" s="207"/>
      <c r="F403" s="206" t="s">
        <v>202</v>
      </c>
      <c r="G403" s="207"/>
      <c r="H403" s="206" t="s">
        <v>58</v>
      </c>
      <c r="I403" s="207"/>
      <c r="J403" s="206" t="s">
        <v>203</v>
      </c>
      <c r="K403" s="207"/>
      <c r="L403" s="206" t="s">
        <v>204</v>
      </c>
      <c r="M403" s="207"/>
      <c r="N403" s="206" t="s">
        <v>205</v>
      </c>
      <c r="O403" s="207"/>
      <c r="P403" s="206" t="s">
        <v>206</v>
      </c>
      <c r="Q403" s="207"/>
      <c r="R403" s="206" t="s">
        <v>207</v>
      </c>
      <c r="S403" s="207"/>
      <c r="T403" s="206" t="s">
        <v>58</v>
      </c>
      <c r="U403" s="208"/>
    </row>
    <row r="404" spans="1:24" ht="24" thickTop="1" thickBot="1">
      <c r="B404" s="209">
        <f>'[1]التعليم الابتدائي'!AIZ711</f>
        <v>15</v>
      </c>
      <c r="C404" s="204"/>
      <c r="D404" s="203">
        <f>'[1]التعليم الابتدائي'!AJA711</f>
        <v>26</v>
      </c>
      <c r="E404" s="204"/>
      <c r="F404" s="203">
        <f>'[1]التعليم الابتدائي'!AJB711</f>
        <v>1</v>
      </c>
      <c r="G404" s="204"/>
      <c r="H404" s="203">
        <f>F404+D404+B404</f>
        <v>42</v>
      </c>
      <c r="I404" s="204"/>
      <c r="J404" s="203">
        <f>'[1]التعليم الابتدائي'!AJF711</f>
        <v>8</v>
      </c>
      <c r="K404" s="204"/>
      <c r="L404" s="203">
        <f>'[1]التعليم الابتدائي'!AJG711</f>
        <v>6</v>
      </c>
      <c r="M404" s="204"/>
      <c r="N404" s="203">
        <f>'[1]التعليم الابتدائي'!AJH711</f>
        <v>22</v>
      </c>
      <c r="O404" s="204"/>
      <c r="P404" s="203">
        <f>'[1]التعليم الابتدائي'!AJI711</f>
        <v>5</v>
      </c>
      <c r="Q404" s="204"/>
      <c r="R404" s="203">
        <f>'[1]التعليم الابتدائي'!AJJ711</f>
        <v>1</v>
      </c>
      <c r="S404" s="204"/>
      <c r="T404" s="203">
        <f>R404+P404+N404+L404+J404</f>
        <v>42</v>
      </c>
      <c r="U404" s="205"/>
    </row>
    <row r="405" spans="1:24" ht="23.4" thickTop="1"/>
    <row r="406" spans="1:24">
      <c r="A406" s="231" t="s">
        <v>62</v>
      </c>
      <c r="B406" s="231"/>
      <c r="C406" s="231"/>
      <c r="D406" s="231"/>
      <c r="E406" s="231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31" t="s">
        <v>98</v>
      </c>
      <c r="S406" s="231"/>
      <c r="T406" s="231"/>
      <c r="U406" s="28"/>
      <c r="V406" s="28"/>
      <c r="W406" s="28"/>
    </row>
    <row r="407" spans="1:24">
      <c r="A407" s="231" t="s">
        <v>64</v>
      </c>
      <c r="B407" s="231"/>
      <c r="C407" s="231"/>
      <c r="D407" s="231"/>
      <c r="E407" s="231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31" t="s">
        <v>65</v>
      </c>
      <c r="S407" s="231"/>
      <c r="T407" s="231"/>
      <c r="U407" s="28"/>
      <c r="V407" s="28"/>
      <c r="W407" s="28"/>
    </row>
    <row r="408" spans="1:24">
      <c r="A408" s="28"/>
      <c r="B408" s="231" t="s">
        <v>143</v>
      </c>
      <c r="C408" s="231"/>
      <c r="D408" s="231"/>
      <c r="E408" s="231"/>
      <c r="F408" s="231"/>
      <c r="G408" s="231"/>
      <c r="H408" s="231"/>
      <c r="I408" s="231"/>
      <c r="J408" s="231"/>
      <c r="K408" s="231"/>
      <c r="L408" s="231"/>
      <c r="M408" s="231"/>
      <c r="N408" s="231"/>
      <c r="O408" s="231"/>
      <c r="P408" s="231"/>
      <c r="Q408" s="231"/>
      <c r="R408" s="231"/>
      <c r="S408" s="231"/>
      <c r="T408" s="28"/>
      <c r="U408" s="28"/>
      <c r="V408" s="28"/>
      <c r="W408" s="28"/>
    </row>
    <row r="409" spans="1:24">
      <c r="A409" s="28"/>
      <c r="B409" s="231" t="s">
        <v>208</v>
      </c>
      <c r="C409" s="231"/>
      <c r="D409" s="231"/>
      <c r="E409" s="231"/>
      <c r="F409" s="231"/>
      <c r="G409" s="231"/>
      <c r="H409" s="231"/>
      <c r="I409" s="231"/>
      <c r="J409" s="231"/>
      <c r="K409" s="231"/>
      <c r="L409" s="231"/>
      <c r="M409" s="231"/>
      <c r="N409" s="231"/>
      <c r="O409" s="231"/>
      <c r="P409" s="231"/>
      <c r="Q409" s="231"/>
      <c r="R409" s="231"/>
      <c r="S409" s="231"/>
      <c r="T409" s="28"/>
      <c r="U409" s="28"/>
      <c r="V409" s="28"/>
      <c r="W409" s="28"/>
    </row>
    <row r="410" spans="1:24">
      <c r="A410" s="28"/>
      <c r="B410" s="231" t="s">
        <v>144</v>
      </c>
      <c r="C410" s="231"/>
      <c r="D410" s="231"/>
      <c r="E410" s="231"/>
      <c r="F410" s="231"/>
      <c r="G410" s="231"/>
      <c r="H410" s="231"/>
      <c r="I410" s="231"/>
      <c r="J410" s="231"/>
      <c r="K410" s="231"/>
      <c r="L410" s="231"/>
      <c r="M410" s="231"/>
      <c r="N410" s="231"/>
      <c r="O410" s="231"/>
      <c r="P410" s="231"/>
      <c r="Q410" s="231"/>
      <c r="R410" s="231"/>
      <c r="S410" s="231"/>
      <c r="T410" s="28"/>
      <c r="U410" s="28"/>
      <c r="V410" s="28"/>
      <c r="W410" s="28"/>
    </row>
    <row r="411" spans="1:24" ht="23.4" thickBo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</row>
    <row r="412" spans="1:24" ht="24" thickTop="1" thickBot="1">
      <c r="B412" s="245" t="s">
        <v>145</v>
      </c>
      <c r="C412" s="233" t="s">
        <v>146</v>
      </c>
      <c r="D412" s="233"/>
      <c r="E412" s="233"/>
      <c r="F412" s="233"/>
      <c r="G412" s="233"/>
      <c r="H412" s="234" t="s">
        <v>147</v>
      </c>
      <c r="I412" s="235"/>
      <c r="J412" s="235"/>
      <c r="K412" s="235"/>
      <c r="L412" s="235"/>
      <c r="M412" s="235"/>
      <c r="N412" s="235"/>
      <c r="O412" s="235"/>
      <c r="P412" s="235"/>
      <c r="Q412" s="236"/>
      <c r="R412" s="233" t="s">
        <v>58</v>
      </c>
      <c r="S412" s="247"/>
      <c r="T412" s="31"/>
      <c r="U412" s="31"/>
      <c r="V412" s="31"/>
      <c r="W412" s="31"/>
      <c r="X412" s="31"/>
    </row>
    <row r="413" spans="1:24" ht="24" thickTop="1" thickBot="1">
      <c r="B413" s="246"/>
      <c r="C413" s="227"/>
      <c r="D413" s="227"/>
      <c r="E413" s="227"/>
      <c r="F413" s="227"/>
      <c r="G413" s="227"/>
      <c r="H413" s="248" t="s">
        <v>148</v>
      </c>
      <c r="I413" s="248" t="s">
        <v>149</v>
      </c>
      <c r="J413" s="248" t="s">
        <v>150</v>
      </c>
      <c r="K413" s="240" t="s">
        <v>151</v>
      </c>
      <c r="L413" s="227" t="s">
        <v>152</v>
      </c>
      <c r="M413" s="227"/>
      <c r="N413" s="227" t="s">
        <v>153</v>
      </c>
      <c r="O413" s="227"/>
      <c r="P413" s="227"/>
      <c r="Q413" s="242" t="s">
        <v>154</v>
      </c>
      <c r="R413" s="227"/>
      <c r="S413" s="244"/>
      <c r="T413" s="31"/>
      <c r="U413" s="31"/>
      <c r="V413" s="31"/>
      <c r="W413" s="31"/>
      <c r="X413" s="31"/>
    </row>
    <row r="414" spans="1:24" ht="24" thickTop="1" thickBot="1">
      <c r="B414" s="246"/>
      <c r="C414" s="15" t="s">
        <v>155</v>
      </c>
      <c r="D414" s="15" t="s">
        <v>156</v>
      </c>
      <c r="E414" s="15" t="s">
        <v>157</v>
      </c>
      <c r="F414" s="15" t="s">
        <v>158</v>
      </c>
      <c r="G414" s="15" t="s">
        <v>58</v>
      </c>
      <c r="H414" s="248"/>
      <c r="I414" s="248"/>
      <c r="J414" s="248"/>
      <c r="K414" s="241"/>
      <c r="L414" s="15" t="s">
        <v>209</v>
      </c>
      <c r="M414" s="15" t="s">
        <v>160</v>
      </c>
      <c r="N414" s="15" t="s">
        <v>161</v>
      </c>
      <c r="O414" s="15" t="s">
        <v>162</v>
      </c>
      <c r="P414" s="15" t="s">
        <v>163</v>
      </c>
      <c r="Q414" s="243"/>
      <c r="R414" s="227"/>
      <c r="S414" s="244"/>
      <c r="T414" s="31"/>
      <c r="U414" s="31"/>
      <c r="V414" s="31"/>
      <c r="W414" s="31"/>
      <c r="X414" s="31"/>
    </row>
    <row r="415" spans="1:24" ht="24" thickTop="1" thickBot="1">
      <c r="B415" s="17" t="s">
        <v>164</v>
      </c>
      <c r="C415" s="15">
        <f>'[1]التعليم الابتدائي'!IY752</f>
        <v>30</v>
      </c>
      <c r="D415" s="15">
        <f>'[1]التعليم الابتدائي'!JA752</f>
        <v>0</v>
      </c>
      <c r="E415" s="15">
        <f>'[1]التعليم الابتدائي'!JC752</f>
        <v>0</v>
      </c>
      <c r="F415" s="15">
        <f>'[1]التعليم الابتدائي'!JE752</f>
        <v>0</v>
      </c>
      <c r="G415" s="15">
        <f>E415+D415+C415+F415</f>
        <v>30</v>
      </c>
      <c r="H415" s="15">
        <f>'[1]التعليم الابتدائي'!ADR752</f>
        <v>0</v>
      </c>
      <c r="I415" s="15">
        <f>'[1]التعليم الابتدائي'!ADT752</f>
        <v>0</v>
      </c>
      <c r="J415" s="15">
        <f>'[1]التعليم الابتدائي'!ADX752</f>
        <v>0</v>
      </c>
      <c r="K415" s="15">
        <f>'[1]التعليم الابتدائي'!ADV752</f>
        <v>0</v>
      </c>
      <c r="L415" s="15">
        <f>'[1]التعليم الابتدائي'!ADZ752</f>
        <v>0</v>
      </c>
      <c r="M415" s="15">
        <f>'[1]التعليم الابتدائي'!AEB752</f>
        <v>0</v>
      </c>
      <c r="N415" s="15">
        <f>'[1]التعليم الابتدائي'!AED752</f>
        <v>0</v>
      </c>
      <c r="O415" s="15">
        <f>'[1]التعليم الابتدائي'!AEF752</f>
        <v>0</v>
      </c>
      <c r="P415" s="15">
        <f>'[1]التعليم الابتدائي'!AEH752</f>
        <v>0</v>
      </c>
      <c r="Q415" s="15">
        <f>'[1]التعليم الابتدائي'!AEJ752</f>
        <v>0</v>
      </c>
      <c r="R415" s="227">
        <f>SUM(H415:Q415)</f>
        <v>0</v>
      </c>
      <c r="S415" s="244"/>
      <c r="T415" s="31"/>
      <c r="U415" s="31"/>
      <c r="V415" s="31"/>
      <c r="W415" s="31"/>
      <c r="X415" s="31"/>
    </row>
    <row r="416" spans="1:24" ht="24" thickTop="1" thickBot="1">
      <c r="B416" s="17" t="s">
        <v>165</v>
      </c>
      <c r="C416" s="15">
        <f>'[1]التعليم الابتدائي'!IZ752</f>
        <v>10</v>
      </c>
      <c r="D416" s="15">
        <f>'[1]التعليم الابتدائي'!JB752</f>
        <v>0</v>
      </c>
      <c r="E416" s="15">
        <f>'[1]التعليم الابتدائي'!JD752</f>
        <v>0</v>
      </c>
      <c r="F416" s="15">
        <f>'[1]التعليم الابتدائي'!JF752</f>
        <v>0</v>
      </c>
      <c r="G416" s="15">
        <f>E416+D416+C416+F416</f>
        <v>10</v>
      </c>
      <c r="H416" s="15">
        <f>'[1]التعليم الابتدائي'!ADS752</f>
        <v>0</v>
      </c>
      <c r="I416" s="15">
        <f>'[1]التعليم الابتدائي'!ADU752</f>
        <v>0</v>
      </c>
      <c r="J416" s="15">
        <f>'[1]التعليم الابتدائي'!ADY752</f>
        <v>0</v>
      </c>
      <c r="K416" s="15">
        <f>'[1]التعليم الابتدائي'!ADW752</f>
        <v>0</v>
      </c>
      <c r="L416" s="15">
        <f>'[1]التعليم الابتدائي'!AEA752</f>
        <v>0</v>
      </c>
      <c r="M416" s="15">
        <f>'[1]التعليم الابتدائي'!AEC752</f>
        <v>0</v>
      </c>
      <c r="N416" s="15">
        <f>'[1]التعليم الابتدائي'!AEE752</f>
        <v>0</v>
      </c>
      <c r="O416" s="15">
        <f>'[1]التعليم الابتدائي'!AEG752</f>
        <v>0</v>
      </c>
      <c r="P416" s="15">
        <f>'[1]التعليم الابتدائي'!AEI752</f>
        <v>0</v>
      </c>
      <c r="Q416" s="15">
        <f>'[1]التعليم الابتدائي'!AEK752</f>
        <v>0</v>
      </c>
      <c r="R416" s="227">
        <f>SUM(H416:Q416)</f>
        <v>0</v>
      </c>
      <c r="S416" s="244"/>
      <c r="T416" s="31"/>
      <c r="U416" s="31"/>
      <c r="V416" s="31"/>
      <c r="W416" s="31"/>
      <c r="X416" s="31"/>
    </row>
    <row r="417" spans="1:24" ht="24" thickTop="1" thickBot="1">
      <c r="B417" s="18" t="s">
        <v>122</v>
      </c>
      <c r="C417" s="20">
        <f>C415+C416</f>
        <v>40</v>
      </c>
      <c r="D417" s="20">
        <f>D415+D416</f>
        <v>0</v>
      </c>
      <c r="E417" s="20">
        <f>E415+E416</f>
        <v>0</v>
      </c>
      <c r="F417" s="20">
        <f>SUM(F415:F416)</f>
        <v>0</v>
      </c>
      <c r="G417" s="20">
        <f>E417+D417+C417+F417</f>
        <v>40</v>
      </c>
      <c r="H417" s="20">
        <f t="shared" ref="H417:R417" si="15">H416+H415</f>
        <v>0</v>
      </c>
      <c r="I417" s="20">
        <f t="shared" si="15"/>
        <v>0</v>
      </c>
      <c r="J417" s="20">
        <f t="shared" si="15"/>
        <v>0</v>
      </c>
      <c r="K417" s="20">
        <f t="shared" si="15"/>
        <v>0</v>
      </c>
      <c r="L417" s="20">
        <f t="shared" si="15"/>
        <v>0</v>
      </c>
      <c r="M417" s="20">
        <f t="shared" si="15"/>
        <v>0</v>
      </c>
      <c r="N417" s="20">
        <f t="shared" si="15"/>
        <v>0</v>
      </c>
      <c r="O417" s="20">
        <f t="shared" si="15"/>
        <v>0</v>
      </c>
      <c r="P417" s="20">
        <f t="shared" si="15"/>
        <v>0</v>
      </c>
      <c r="Q417" s="20">
        <f t="shared" si="15"/>
        <v>0</v>
      </c>
      <c r="R417" s="229">
        <f t="shared" si="15"/>
        <v>0</v>
      </c>
      <c r="S417" s="230"/>
      <c r="T417" s="31"/>
      <c r="U417" s="31"/>
      <c r="V417" s="31"/>
      <c r="W417" s="31"/>
      <c r="X417" s="31"/>
    </row>
    <row r="418" spans="1:24" ht="23.4" thickTop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31"/>
    </row>
    <row r="419" spans="1:24">
      <c r="A419" s="28"/>
      <c r="B419" s="231" t="s">
        <v>166</v>
      </c>
      <c r="C419" s="231"/>
      <c r="D419" s="231"/>
      <c r="E419" s="231"/>
      <c r="F419" s="231"/>
      <c r="G419" s="231"/>
      <c r="H419" s="231"/>
      <c r="I419" s="231"/>
      <c r="J419" s="231"/>
      <c r="K419" s="231"/>
      <c r="L419" s="231"/>
      <c r="M419" s="231"/>
      <c r="N419" s="231"/>
      <c r="O419" s="231"/>
      <c r="P419" s="231"/>
      <c r="Q419" s="231"/>
      <c r="R419" s="231"/>
      <c r="S419" s="231"/>
      <c r="T419" s="28"/>
      <c r="U419" s="28"/>
      <c r="V419" s="28"/>
      <c r="W419" s="28"/>
    </row>
    <row r="420" spans="1:24">
      <c r="A420" s="28"/>
      <c r="B420" s="231" t="s">
        <v>208</v>
      </c>
      <c r="C420" s="231"/>
      <c r="D420" s="231"/>
      <c r="E420" s="231"/>
      <c r="F420" s="231"/>
      <c r="G420" s="231"/>
      <c r="H420" s="231"/>
      <c r="I420" s="231"/>
      <c r="J420" s="231"/>
      <c r="K420" s="231"/>
      <c r="L420" s="231"/>
      <c r="M420" s="231"/>
      <c r="N420" s="231"/>
      <c r="O420" s="231"/>
      <c r="P420" s="231"/>
      <c r="Q420" s="231"/>
      <c r="R420" s="231"/>
      <c r="S420" s="231"/>
      <c r="T420" s="28"/>
      <c r="U420" s="28"/>
      <c r="V420" s="28"/>
      <c r="W420" s="28"/>
    </row>
    <row r="421" spans="1:24">
      <c r="A421" s="28"/>
      <c r="B421" s="231" t="s">
        <v>167</v>
      </c>
      <c r="C421" s="231"/>
      <c r="D421" s="231"/>
      <c r="E421" s="231"/>
      <c r="F421" s="231"/>
      <c r="G421" s="231"/>
      <c r="H421" s="231"/>
      <c r="I421" s="231"/>
      <c r="J421" s="231"/>
      <c r="K421" s="231"/>
      <c r="L421" s="231"/>
      <c r="M421" s="231"/>
      <c r="N421" s="231"/>
      <c r="O421" s="231"/>
      <c r="P421" s="231"/>
      <c r="Q421" s="231"/>
      <c r="R421" s="231"/>
      <c r="S421" s="231"/>
      <c r="T421" s="28"/>
      <c r="U421" s="28"/>
      <c r="V421" s="28"/>
      <c r="W421" s="28"/>
    </row>
    <row r="422" spans="1:24" ht="23.4" thickBo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</row>
    <row r="423" spans="1:24" ht="24" thickTop="1" thickBot="1">
      <c r="A423" s="232" t="s">
        <v>168</v>
      </c>
      <c r="B423" s="233"/>
      <c r="C423" s="233"/>
      <c r="D423" s="234" t="s">
        <v>169</v>
      </c>
      <c r="E423" s="235"/>
      <c r="F423" s="236"/>
      <c r="G423" s="223" t="s">
        <v>170</v>
      </c>
      <c r="H423" s="224"/>
      <c r="I423" s="237"/>
      <c r="J423" s="238" t="s">
        <v>171</v>
      </c>
      <c r="K423" s="238"/>
      <c r="L423" s="234" t="s">
        <v>172</v>
      </c>
      <c r="M423" s="235"/>
      <c r="N423" s="235"/>
      <c r="O423" s="235"/>
      <c r="P423" s="235"/>
      <c r="Q423" s="236"/>
      <c r="R423" s="239" t="s">
        <v>173</v>
      </c>
      <c r="S423" s="223" t="s">
        <v>174</v>
      </c>
      <c r="T423" s="224"/>
      <c r="U423" s="224"/>
      <c r="V423" s="225"/>
    </row>
    <row r="424" spans="1:24" ht="24" thickTop="1" thickBot="1">
      <c r="A424" s="226" t="s">
        <v>175</v>
      </c>
      <c r="B424" s="227"/>
      <c r="C424" s="228" t="s">
        <v>176</v>
      </c>
      <c r="D424" s="220" t="s">
        <v>177</v>
      </c>
      <c r="E424" s="220" t="s">
        <v>178</v>
      </c>
      <c r="F424" s="220" t="s">
        <v>210</v>
      </c>
      <c r="G424" s="228" t="s">
        <v>180</v>
      </c>
      <c r="H424" s="220" t="s">
        <v>181</v>
      </c>
      <c r="I424" s="220" t="s">
        <v>182</v>
      </c>
      <c r="J424" s="228" t="s">
        <v>183</v>
      </c>
      <c r="K424" s="220" t="s">
        <v>184</v>
      </c>
      <c r="L424" s="221" t="s">
        <v>185</v>
      </c>
      <c r="M424" s="221" t="s">
        <v>186</v>
      </c>
      <c r="N424" s="221" t="s">
        <v>211</v>
      </c>
      <c r="O424" s="221" t="s">
        <v>188</v>
      </c>
      <c r="P424" s="221" t="s">
        <v>189</v>
      </c>
      <c r="Q424" s="228" t="s">
        <v>190</v>
      </c>
      <c r="R424" s="220"/>
      <c r="S424" s="211" t="s">
        <v>191</v>
      </c>
      <c r="T424" s="211" t="s">
        <v>192</v>
      </c>
      <c r="U424" s="211" t="s">
        <v>193</v>
      </c>
      <c r="V424" s="213" t="s">
        <v>212</v>
      </c>
    </row>
    <row r="425" spans="1:24" ht="46.8" thickTop="1" thickBot="1">
      <c r="A425" s="17" t="s">
        <v>195</v>
      </c>
      <c r="B425" s="16" t="s">
        <v>196</v>
      </c>
      <c r="C425" s="228"/>
      <c r="D425" s="220"/>
      <c r="E425" s="220"/>
      <c r="F425" s="220"/>
      <c r="G425" s="228"/>
      <c r="H425" s="220"/>
      <c r="I425" s="220"/>
      <c r="J425" s="228"/>
      <c r="K425" s="220"/>
      <c r="L425" s="222"/>
      <c r="M425" s="222"/>
      <c r="N425" s="222"/>
      <c r="O425" s="222"/>
      <c r="P425" s="222"/>
      <c r="Q425" s="228"/>
      <c r="R425" s="220"/>
      <c r="S425" s="212"/>
      <c r="T425" s="212"/>
      <c r="U425" s="212"/>
      <c r="V425" s="214"/>
    </row>
    <row r="426" spans="1:24" ht="24" thickTop="1" thickBot="1">
      <c r="A426" s="18">
        <f>'[1]التعليم الابتدائي'!ALH752</f>
        <v>0</v>
      </c>
      <c r="B426" s="20">
        <f>'[1]التعليم الابتدائي'!ALI752</f>
        <v>33</v>
      </c>
      <c r="C426" s="20">
        <f>'[1]التعليم الابتدائي'!ALJ752</f>
        <v>0</v>
      </c>
      <c r="D426" s="20">
        <f>'[1]التعليم الابتدائي'!ALE752</f>
        <v>21</v>
      </c>
      <c r="E426" s="20">
        <f>'[1]التعليم الابتدائي'!ALF752</f>
        <v>12</v>
      </c>
      <c r="F426" s="20">
        <f>'[1]التعليم الابتدائي'!ALG752</f>
        <v>0</v>
      </c>
      <c r="G426" s="20">
        <f>'[1]التعليم الابتدائي'!ALK752</f>
        <v>12</v>
      </c>
      <c r="H426" s="20">
        <f>'[1]التعليم الابتدائي'!ALL752</f>
        <v>14</v>
      </c>
      <c r="I426" s="20">
        <f>'[1]التعليم الابتدائي'!ALM752</f>
        <v>7</v>
      </c>
      <c r="J426" s="20">
        <f>'[1]التعليم الابتدائي'!AIS752</f>
        <v>33</v>
      </c>
      <c r="K426" s="20">
        <f>'[1]التعليم الابتدائي'!AIT752</f>
        <v>0</v>
      </c>
      <c r="L426" s="20">
        <f>'[1]التعليم الابتدائي'!AJN752</f>
        <v>29</v>
      </c>
      <c r="M426" s="15">
        <f>'[1]التعليم الابتدائي'!AJR752</f>
        <v>0</v>
      </c>
      <c r="N426" s="20">
        <f>'[1]التعليم الابتدائي'!AJP752</f>
        <v>0</v>
      </c>
      <c r="O426" s="20">
        <f>'[1]التعليم الابتدائي'!AJQ752</f>
        <v>0</v>
      </c>
      <c r="P426" s="20">
        <f>'[1]التعليم الابتدائي'!AJS752</f>
        <v>4</v>
      </c>
      <c r="Q426" s="20">
        <f>'[1]التعليم الابتدائي'!AJT752</f>
        <v>0</v>
      </c>
      <c r="R426" s="20">
        <f>SUM(L426:Q426)</f>
        <v>33</v>
      </c>
      <c r="S426" s="20">
        <f>'[1]التعليم الابتدائي'!AJU752</f>
        <v>33</v>
      </c>
      <c r="T426" s="20">
        <f>'[1]التعليم الابتدائي'!AKA752</f>
        <v>33</v>
      </c>
      <c r="U426" s="20">
        <f>'[1]التعليم الابتدائي'!AKH752</f>
        <v>33</v>
      </c>
      <c r="V426" s="33">
        <f>'[1]التعليم الابتدائي'!AKL752</f>
        <v>33</v>
      </c>
    </row>
    <row r="427" spans="1:24" ht="23.4" thickTop="1"/>
    <row r="428" spans="1:24" ht="23.4" thickBot="1">
      <c r="B428" s="23"/>
      <c r="C428" s="23"/>
      <c r="D428" s="23"/>
      <c r="E428" s="23"/>
      <c r="G428" s="34" t="s">
        <v>197</v>
      </c>
    </row>
    <row r="429" spans="1:24" ht="24" thickTop="1" thickBot="1">
      <c r="B429" s="215" t="s">
        <v>198</v>
      </c>
      <c r="C429" s="216"/>
      <c r="D429" s="216"/>
      <c r="E429" s="216"/>
      <c r="F429" s="216"/>
      <c r="G429" s="216"/>
      <c r="H429" s="216"/>
      <c r="I429" s="217"/>
      <c r="J429" s="218" t="s">
        <v>199</v>
      </c>
      <c r="K429" s="216"/>
      <c r="L429" s="216"/>
      <c r="M429" s="216"/>
      <c r="N429" s="216"/>
      <c r="O429" s="216"/>
      <c r="P429" s="216"/>
      <c r="Q429" s="216"/>
      <c r="R429" s="216"/>
      <c r="S429" s="216"/>
      <c r="T429" s="216"/>
      <c r="U429" s="219"/>
    </row>
    <row r="430" spans="1:24" ht="24" thickTop="1" thickBot="1">
      <c r="B430" s="210" t="s">
        <v>200</v>
      </c>
      <c r="C430" s="207"/>
      <c r="D430" s="206" t="s">
        <v>201</v>
      </c>
      <c r="E430" s="207"/>
      <c r="F430" s="206" t="s">
        <v>202</v>
      </c>
      <c r="G430" s="207"/>
      <c r="H430" s="206" t="s">
        <v>58</v>
      </c>
      <c r="I430" s="207"/>
      <c r="J430" s="206" t="s">
        <v>203</v>
      </c>
      <c r="K430" s="207"/>
      <c r="L430" s="206" t="s">
        <v>204</v>
      </c>
      <c r="M430" s="207"/>
      <c r="N430" s="206" t="s">
        <v>205</v>
      </c>
      <c r="O430" s="207"/>
      <c r="P430" s="206" t="s">
        <v>206</v>
      </c>
      <c r="Q430" s="207"/>
      <c r="R430" s="206" t="s">
        <v>207</v>
      </c>
      <c r="S430" s="207"/>
      <c r="T430" s="206" t="s">
        <v>58</v>
      </c>
      <c r="U430" s="208"/>
    </row>
    <row r="431" spans="1:24" ht="24" thickTop="1" thickBot="1">
      <c r="B431" s="209">
        <f>'[1]التعليم الابتدائي'!AIZ752</f>
        <v>18</v>
      </c>
      <c r="C431" s="204"/>
      <c r="D431" s="203">
        <f>'[1]التعليم الابتدائي'!AJA752</f>
        <v>15</v>
      </c>
      <c r="E431" s="204"/>
      <c r="F431" s="203">
        <f>'[1]التعليم الابتدائي'!AJB752</f>
        <v>0</v>
      </c>
      <c r="G431" s="204"/>
      <c r="H431" s="203">
        <f>F431+D431+B431</f>
        <v>33</v>
      </c>
      <c r="I431" s="204"/>
      <c r="J431" s="203">
        <f>'[1]التعليم الابتدائي'!AJF752</f>
        <v>8</v>
      </c>
      <c r="K431" s="204"/>
      <c r="L431" s="203">
        <f>'[1]التعليم الابتدائي'!AJG752</f>
        <v>3</v>
      </c>
      <c r="M431" s="204"/>
      <c r="N431" s="203">
        <f>'[1]التعليم الابتدائي'!AJH752</f>
        <v>20</v>
      </c>
      <c r="O431" s="204"/>
      <c r="P431" s="203">
        <f>'[1]التعليم الابتدائي'!AJI752</f>
        <v>1</v>
      </c>
      <c r="Q431" s="204"/>
      <c r="R431" s="203">
        <f>'[1]التعليم الابتدائي'!AJJ752</f>
        <v>1</v>
      </c>
      <c r="S431" s="204"/>
      <c r="T431" s="203">
        <f>R431+P431+N431+L431+J431</f>
        <v>33</v>
      </c>
      <c r="U431" s="205"/>
    </row>
    <row r="432" spans="1:24" ht="23.4" thickTop="1"/>
  </sheetData>
  <mergeCells count="1175">
    <mergeCell ref="K19:K20"/>
    <mergeCell ref="L19:L20"/>
    <mergeCell ref="M19:M20"/>
    <mergeCell ref="N19:N20"/>
    <mergeCell ref="R10:S10"/>
    <mergeCell ref="R11:S11"/>
    <mergeCell ref="R12:S12"/>
    <mergeCell ref="B14:U14"/>
    <mergeCell ref="B15:U15"/>
    <mergeCell ref="B16:U16"/>
    <mergeCell ref="J8:J9"/>
    <mergeCell ref="K8:K9"/>
    <mergeCell ref="L8:M8"/>
    <mergeCell ref="N8:P8"/>
    <mergeCell ref="Q8:Q9"/>
    <mergeCell ref="R8:S9"/>
    <mergeCell ref="A1:E1"/>
    <mergeCell ref="A2:E2"/>
    <mergeCell ref="B3:U3"/>
    <mergeCell ref="B4:U4"/>
    <mergeCell ref="B5:U5"/>
    <mergeCell ref="B7:B9"/>
    <mergeCell ref="C7:G8"/>
    <mergeCell ref="H7:S7"/>
    <mergeCell ref="H8:H9"/>
    <mergeCell ref="I8:I9"/>
    <mergeCell ref="V19:V20"/>
    <mergeCell ref="B24:I24"/>
    <mergeCell ref="J24:U24"/>
    <mergeCell ref="B25:C25"/>
    <mergeCell ref="D25:E25"/>
    <mergeCell ref="F25:G25"/>
    <mergeCell ref="H25:I25"/>
    <mergeCell ref="J25:K25"/>
    <mergeCell ref="L25:M25"/>
    <mergeCell ref="N25:O25"/>
    <mergeCell ref="O19:O20"/>
    <mergeCell ref="P19:P20"/>
    <mergeCell ref="Q19:Q20"/>
    <mergeCell ref="S19:S20"/>
    <mergeCell ref="T19:T20"/>
    <mergeCell ref="U19:U20"/>
    <mergeCell ref="S18:V18"/>
    <mergeCell ref="A19:B19"/>
    <mergeCell ref="C19:C20"/>
    <mergeCell ref="D19:D20"/>
    <mergeCell ref="E19:E20"/>
    <mergeCell ref="F19:F20"/>
    <mergeCell ref="G19:G20"/>
    <mergeCell ref="H19:H20"/>
    <mergeCell ref="I19:I20"/>
    <mergeCell ref="J19:J20"/>
    <mergeCell ref="A18:C18"/>
    <mergeCell ref="D18:F18"/>
    <mergeCell ref="G18:I18"/>
    <mergeCell ref="J18:K18"/>
    <mergeCell ref="L18:Q18"/>
    <mergeCell ref="R18:R20"/>
    <mergeCell ref="B30:S30"/>
    <mergeCell ref="B31:S31"/>
    <mergeCell ref="B32:S32"/>
    <mergeCell ref="B34:B36"/>
    <mergeCell ref="C34:G35"/>
    <mergeCell ref="H34:Q34"/>
    <mergeCell ref="S34:T36"/>
    <mergeCell ref="H35:H36"/>
    <mergeCell ref="I35:I36"/>
    <mergeCell ref="J35:J36"/>
    <mergeCell ref="P26:Q26"/>
    <mergeCell ref="R26:S26"/>
    <mergeCell ref="T26:U26"/>
    <mergeCell ref="A28:E28"/>
    <mergeCell ref="R28:T28"/>
    <mergeCell ref="A29:E29"/>
    <mergeCell ref="P25:Q25"/>
    <mergeCell ref="R25:S25"/>
    <mergeCell ref="T25:U25"/>
    <mergeCell ref="B26:C26"/>
    <mergeCell ref="D26:E26"/>
    <mergeCell ref="F26:G26"/>
    <mergeCell ref="H26:I26"/>
    <mergeCell ref="J26:K26"/>
    <mergeCell ref="L26:M26"/>
    <mergeCell ref="N26:O26"/>
    <mergeCell ref="B43:S43"/>
    <mergeCell ref="A45:C45"/>
    <mergeCell ref="D45:F45"/>
    <mergeCell ref="G45:I45"/>
    <mergeCell ref="J45:K45"/>
    <mergeCell ref="L45:Q45"/>
    <mergeCell ref="R45:R47"/>
    <mergeCell ref="S45:V45"/>
    <mergeCell ref="A46:B46"/>
    <mergeCell ref="C46:C47"/>
    <mergeCell ref="Q38:R38"/>
    <mergeCell ref="S38:T38"/>
    <mergeCell ref="Q39:R39"/>
    <mergeCell ref="S39:T39"/>
    <mergeCell ref="B41:S41"/>
    <mergeCell ref="B42:S42"/>
    <mergeCell ref="K35:K36"/>
    <mergeCell ref="L35:M35"/>
    <mergeCell ref="N35:P35"/>
    <mergeCell ref="Q35:R36"/>
    <mergeCell ref="Q37:R37"/>
    <mergeCell ref="S37:T37"/>
    <mergeCell ref="P46:P47"/>
    <mergeCell ref="Q46:Q47"/>
    <mergeCell ref="S46:S47"/>
    <mergeCell ref="T46:T47"/>
    <mergeCell ref="U46:U47"/>
    <mergeCell ref="V46:V47"/>
    <mergeCell ref="J46:J47"/>
    <mergeCell ref="K46:K47"/>
    <mergeCell ref="L46:L47"/>
    <mergeCell ref="M46:M47"/>
    <mergeCell ref="N46:N47"/>
    <mergeCell ref="O46:O47"/>
    <mergeCell ref="D46:D47"/>
    <mergeCell ref="E46:E47"/>
    <mergeCell ref="F46:F47"/>
    <mergeCell ref="G46:G47"/>
    <mergeCell ref="H46:H47"/>
    <mergeCell ref="I46:I47"/>
    <mergeCell ref="R53:S53"/>
    <mergeCell ref="T53:U53"/>
    <mergeCell ref="A55:E55"/>
    <mergeCell ref="P55:R55"/>
    <mergeCell ref="A56:E56"/>
    <mergeCell ref="B57:S57"/>
    <mergeCell ref="R52:S52"/>
    <mergeCell ref="T52:U52"/>
    <mergeCell ref="B53:C53"/>
    <mergeCell ref="D53:E53"/>
    <mergeCell ref="F53:G53"/>
    <mergeCell ref="H53:I53"/>
    <mergeCell ref="J53:K53"/>
    <mergeCell ref="L53:M53"/>
    <mergeCell ref="N53:O53"/>
    <mergeCell ref="P53:Q53"/>
    <mergeCell ref="B51:I51"/>
    <mergeCell ref="J51:U51"/>
    <mergeCell ref="B52:C52"/>
    <mergeCell ref="D52:E52"/>
    <mergeCell ref="F52:G52"/>
    <mergeCell ref="H52:I52"/>
    <mergeCell ref="J52:K52"/>
    <mergeCell ref="L52:M52"/>
    <mergeCell ref="N52:O52"/>
    <mergeCell ref="P52:Q52"/>
    <mergeCell ref="Q65:R65"/>
    <mergeCell ref="S65:T65"/>
    <mergeCell ref="B67:S67"/>
    <mergeCell ref="B68:S68"/>
    <mergeCell ref="B69:S69"/>
    <mergeCell ref="A71:C71"/>
    <mergeCell ref="D71:F71"/>
    <mergeCell ref="G71:I71"/>
    <mergeCell ref="J71:K71"/>
    <mergeCell ref="L71:Q71"/>
    <mergeCell ref="N61:P61"/>
    <mergeCell ref="Q61:R62"/>
    <mergeCell ref="Q63:R63"/>
    <mergeCell ref="S63:T63"/>
    <mergeCell ref="Q64:R64"/>
    <mergeCell ref="S64:T64"/>
    <mergeCell ref="B58:S58"/>
    <mergeCell ref="B60:B62"/>
    <mergeCell ref="C60:G61"/>
    <mergeCell ref="H60:R60"/>
    <mergeCell ref="S60:T62"/>
    <mergeCell ref="H61:H62"/>
    <mergeCell ref="I61:I62"/>
    <mergeCell ref="J61:J62"/>
    <mergeCell ref="K61:K62"/>
    <mergeCell ref="L61:M61"/>
    <mergeCell ref="P72:P73"/>
    <mergeCell ref="Q72:Q73"/>
    <mergeCell ref="S72:S73"/>
    <mergeCell ref="T72:T73"/>
    <mergeCell ref="U72:U73"/>
    <mergeCell ref="V72:V73"/>
    <mergeCell ref="J72:J73"/>
    <mergeCell ref="K72:K73"/>
    <mergeCell ref="L72:L73"/>
    <mergeCell ref="M72:M73"/>
    <mergeCell ref="N72:N73"/>
    <mergeCell ref="O72:O73"/>
    <mergeCell ref="R71:R73"/>
    <mergeCell ref="S71:V71"/>
    <mergeCell ref="A72:B72"/>
    <mergeCell ref="C72:C73"/>
    <mergeCell ref="D72:D73"/>
    <mergeCell ref="E72:E73"/>
    <mergeCell ref="F72:F73"/>
    <mergeCell ref="G72:G73"/>
    <mergeCell ref="H72:H73"/>
    <mergeCell ref="I72:I73"/>
    <mergeCell ref="R79:S79"/>
    <mergeCell ref="T79:U79"/>
    <mergeCell ref="A81:E81"/>
    <mergeCell ref="R81:T81"/>
    <mergeCell ref="A82:E82"/>
    <mergeCell ref="R82:T82"/>
    <mergeCell ref="R78:S78"/>
    <mergeCell ref="T78:U78"/>
    <mergeCell ref="B79:C79"/>
    <mergeCell ref="D79:E79"/>
    <mergeCell ref="F79:G79"/>
    <mergeCell ref="H79:I79"/>
    <mergeCell ref="J79:K79"/>
    <mergeCell ref="L79:M79"/>
    <mergeCell ref="N79:O79"/>
    <mergeCell ref="P79:Q79"/>
    <mergeCell ref="B77:I77"/>
    <mergeCell ref="J77:U77"/>
    <mergeCell ref="B78:C78"/>
    <mergeCell ref="D78:E78"/>
    <mergeCell ref="F78:G78"/>
    <mergeCell ref="H78:I78"/>
    <mergeCell ref="J78:K78"/>
    <mergeCell ref="L78:M78"/>
    <mergeCell ref="N78:O78"/>
    <mergeCell ref="P78:Q78"/>
    <mergeCell ref="R92:S92"/>
    <mergeCell ref="B94:S94"/>
    <mergeCell ref="B95:S95"/>
    <mergeCell ref="B96:S96"/>
    <mergeCell ref="A98:C98"/>
    <mergeCell ref="D98:F98"/>
    <mergeCell ref="G98:I98"/>
    <mergeCell ref="J98:K98"/>
    <mergeCell ref="L98:Q98"/>
    <mergeCell ref="R98:R100"/>
    <mergeCell ref="K88:K89"/>
    <mergeCell ref="L88:M88"/>
    <mergeCell ref="N88:P88"/>
    <mergeCell ref="Q88:Q89"/>
    <mergeCell ref="R90:S90"/>
    <mergeCell ref="R91:S91"/>
    <mergeCell ref="B83:S83"/>
    <mergeCell ref="B84:S84"/>
    <mergeCell ref="B85:S85"/>
    <mergeCell ref="B87:B89"/>
    <mergeCell ref="C87:G88"/>
    <mergeCell ref="H87:Q87"/>
    <mergeCell ref="R87:S89"/>
    <mergeCell ref="H88:H89"/>
    <mergeCell ref="I88:I89"/>
    <mergeCell ref="J88:J89"/>
    <mergeCell ref="Q99:Q100"/>
    <mergeCell ref="S99:S100"/>
    <mergeCell ref="T99:T100"/>
    <mergeCell ref="U99:U100"/>
    <mergeCell ref="V99:V100"/>
    <mergeCell ref="B104:I104"/>
    <mergeCell ref="J104:U104"/>
    <mergeCell ref="K99:K100"/>
    <mergeCell ref="L99:L100"/>
    <mergeCell ref="M99:M100"/>
    <mergeCell ref="N99:N100"/>
    <mergeCell ref="O99:O100"/>
    <mergeCell ref="P99:P100"/>
    <mergeCell ref="S98:V98"/>
    <mergeCell ref="A99:B99"/>
    <mergeCell ref="C99:C100"/>
    <mergeCell ref="D99:D100"/>
    <mergeCell ref="E99:E100"/>
    <mergeCell ref="F99:F100"/>
    <mergeCell ref="G99:G100"/>
    <mergeCell ref="H99:H100"/>
    <mergeCell ref="I99:I100"/>
    <mergeCell ref="J99:J100"/>
    <mergeCell ref="A109:E109"/>
    <mergeCell ref="R109:T109"/>
    <mergeCell ref="B110:S110"/>
    <mergeCell ref="B111:S111"/>
    <mergeCell ref="B112:S112"/>
    <mergeCell ref="B114:B116"/>
    <mergeCell ref="C114:G115"/>
    <mergeCell ref="S114:T116"/>
    <mergeCell ref="H115:H116"/>
    <mergeCell ref="I115:I116"/>
    <mergeCell ref="N106:O106"/>
    <mergeCell ref="P106:Q106"/>
    <mergeCell ref="R106:S106"/>
    <mergeCell ref="T106:U106"/>
    <mergeCell ref="A108:E108"/>
    <mergeCell ref="R108:T108"/>
    <mergeCell ref="N105:O105"/>
    <mergeCell ref="P105:Q105"/>
    <mergeCell ref="R105:S105"/>
    <mergeCell ref="T105:U105"/>
    <mergeCell ref="B106:C106"/>
    <mergeCell ref="D106:E106"/>
    <mergeCell ref="F106:G106"/>
    <mergeCell ref="H106:I106"/>
    <mergeCell ref="J106:K106"/>
    <mergeCell ref="L106:M106"/>
    <mergeCell ref="B105:C105"/>
    <mergeCell ref="D105:E105"/>
    <mergeCell ref="F105:G105"/>
    <mergeCell ref="H105:I105"/>
    <mergeCell ref="J105:K105"/>
    <mergeCell ref="L105:M105"/>
    <mergeCell ref="B122:S122"/>
    <mergeCell ref="B123:S123"/>
    <mergeCell ref="A125:C125"/>
    <mergeCell ref="D125:F125"/>
    <mergeCell ref="G125:I125"/>
    <mergeCell ref="J125:K125"/>
    <mergeCell ref="R125:R127"/>
    <mergeCell ref="S125:V125"/>
    <mergeCell ref="A126:B126"/>
    <mergeCell ref="C126:C127"/>
    <mergeCell ref="S117:T117"/>
    <mergeCell ref="Q118:R118"/>
    <mergeCell ref="S118:T118"/>
    <mergeCell ref="Q119:R119"/>
    <mergeCell ref="S119:T119"/>
    <mergeCell ref="B121:S121"/>
    <mergeCell ref="J115:J116"/>
    <mergeCell ref="K115:K116"/>
    <mergeCell ref="L115:M115"/>
    <mergeCell ref="N115:P115"/>
    <mergeCell ref="Q115:R116"/>
    <mergeCell ref="Q117:R117"/>
    <mergeCell ref="B131:I131"/>
    <mergeCell ref="J131:U131"/>
    <mergeCell ref="B132:C132"/>
    <mergeCell ref="D132:E132"/>
    <mergeCell ref="F132:G132"/>
    <mergeCell ref="H132:I132"/>
    <mergeCell ref="J132:K132"/>
    <mergeCell ref="L132:M132"/>
    <mergeCell ref="N132:O132"/>
    <mergeCell ref="P132:Q132"/>
    <mergeCell ref="P126:P127"/>
    <mergeCell ref="Q126:Q127"/>
    <mergeCell ref="S126:S127"/>
    <mergeCell ref="T126:T127"/>
    <mergeCell ref="U126:U127"/>
    <mergeCell ref="V126:V127"/>
    <mergeCell ref="J126:J127"/>
    <mergeCell ref="K126:K127"/>
    <mergeCell ref="L126:L127"/>
    <mergeCell ref="M126:M127"/>
    <mergeCell ref="N126:N127"/>
    <mergeCell ref="O126:O127"/>
    <mergeCell ref="D126:D127"/>
    <mergeCell ref="E126:E127"/>
    <mergeCell ref="F126:F127"/>
    <mergeCell ref="G126:G127"/>
    <mergeCell ref="H126:H127"/>
    <mergeCell ref="I126:I127"/>
    <mergeCell ref="B137:S137"/>
    <mergeCell ref="B138:S138"/>
    <mergeCell ref="B139:S139"/>
    <mergeCell ref="B141:B143"/>
    <mergeCell ref="C141:G142"/>
    <mergeCell ref="S141:T143"/>
    <mergeCell ref="H142:H143"/>
    <mergeCell ref="I142:I143"/>
    <mergeCell ref="J142:J143"/>
    <mergeCell ref="K142:K143"/>
    <mergeCell ref="R133:S133"/>
    <mergeCell ref="T133:U133"/>
    <mergeCell ref="A135:E135"/>
    <mergeCell ref="R135:T135"/>
    <mergeCell ref="A136:E136"/>
    <mergeCell ref="R136:T136"/>
    <mergeCell ref="R132:S132"/>
    <mergeCell ref="T132:U132"/>
    <mergeCell ref="B133:C133"/>
    <mergeCell ref="D133:E133"/>
    <mergeCell ref="F133:G133"/>
    <mergeCell ref="H133:I133"/>
    <mergeCell ref="J133:K133"/>
    <mergeCell ref="L133:M133"/>
    <mergeCell ref="N133:O133"/>
    <mergeCell ref="P133:Q133"/>
    <mergeCell ref="Q146:R146"/>
    <mergeCell ref="S146:T146"/>
    <mergeCell ref="B148:S148"/>
    <mergeCell ref="B149:S149"/>
    <mergeCell ref="B150:S150"/>
    <mergeCell ref="A152:C152"/>
    <mergeCell ref="D152:F152"/>
    <mergeCell ref="G152:I152"/>
    <mergeCell ref="J152:K152"/>
    <mergeCell ref="R152:R154"/>
    <mergeCell ref="L142:M142"/>
    <mergeCell ref="N142:P142"/>
    <mergeCell ref="Q142:R143"/>
    <mergeCell ref="Q144:R144"/>
    <mergeCell ref="S144:T144"/>
    <mergeCell ref="Q145:R145"/>
    <mergeCell ref="S145:T145"/>
    <mergeCell ref="Q153:Q154"/>
    <mergeCell ref="S153:S154"/>
    <mergeCell ref="T153:T154"/>
    <mergeCell ref="U153:U154"/>
    <mergeCell ref="V153:V154"/>
    <mergeCell ref="B158:I158"/>
    <mergeCell ref="J158:U158"/>
    <mergeCell ref="K153:K154"/>
    <mergeCell ref="L153:L154"/>
    <mergeCell ref="M153:M154"/>
    <mergeCell ref="N153:N154"/>
    <mergeCell ref="O153:O154"/>
    <mergeCell ref="P153:P154"/>
    <mergeCell ref="S152:V152"/>
    <mergeCell ref="A153:B153"/>
    <mergeCell ref="C153:C154"/>
    <mergeCell ref="D153:D154"/>
    <mergeCell ref="E153:E154"/>
    <mergeCell ref="F153:F154"/>
    <mergeCell ref="G153:G154"/>
    <mergeCell ref="H153:H154"/>
    <mergeCell ref="I153:I154"/>
    <mergeCell ref="J153:J154"/>
    <mergeCell ref="A164:E164"/>
    <mergeCell ref="R164:T164"/>
    <mergeCell ref="B165:S165"/>
    <mergeCell ref="B166:S166"/>
    <mergeCell ref="B167:S167"/>
    <mergeCell ref="B169:B171"/>
    <mergeCell ref="C169:G170"/>
    <mergeCell ref="S169:T171"/>
    <mergeCell ref="H170:H171"/>
    <mergeCell ref="I170:I171"/>
    <mergeCell ref="N160:O160"/>
    <mergeCell ref="P160:Q160"/>
    <mergeCell ref="R160:S160"/>
    <mergeCell ref="T160:U160"/>
    <mergeCell ref="A163:E163"/>
    <mergeCell ref="R163:T163"/>
    <mergeCell ref="N159:O159"/>
    <mergeCell ref="P159:Q159"/>
    <mergeCell ref="R159:S159"/>
    <mergeCell ref="T159:U159"/>
    <mergeCell ref="B160:C160"/>
    <mergeCell ref="D160:E160"/>
    <mergeCell ref="F160:G160"/>
    <mergeCell ref="H160:I160"/>
    <mergeCell ref="J160:K160"/>
    <mergeCell ref="L160:M160"/>
    <mergeCell ref="B159:C159"/>
    <mergeCell ref="D159:E159"/>
    <mergeCell ref="F159:G159"/>
    <mergeCell ref="H159:I159"/>
    <mergeCell ref="J159:K159"/>
    <mergeCell ref="L159:M159"/>
    <mergeCell ref="B177:S177"/>
    <mergeCell ref="B178:S178"/>
    <mergeCell ref="A180:C180"/>
    <mergeCell ref="D180:F180"/>
    <mergeCell ref="G180:I180"/>
    <mergeCell ref="J180:K180"/>
    <mergeCell ref="R180:R182"/>
    <mergeCell ref="S180:V180"/>
    <mergeCell ref="A181:B181"/>
    <mergeCell ref="C181:C182"/>
    <mergeCell ref="S172:T172"/>
    <mergeCell ref="Q173:R173"/>
    <mergeCell ref="S173:T173"/>
    <mergeCell ref="Q174:R174"/>
    <mergeCell ref="S174:T174"/>
    <mergeCell ref="B176:S176"/>
    <mergeCell ref="J170:J171"/>
    <mergeCell ref="K170:K171"/>
    <mergeCell ref="L170:M170"/>
    <mergeCell ref="N170:P170"/>
    <mergeCell ref="Q170:R171"/>
    <mergeCell ref="Q172:R172"/>
    <mergeCell ref="P181:P182"/>
    <mergeCell ref="Q181:Q182"/>
    <mergeCell ref="S181:S182"/>
    <mergeCell ref="T181:T182"/>
    <mergeCell ref="U181:U182"/>
    <mergeCell ref="V181:V182"/>
    <mergeCell ref="J181:J182"/>
    <mergeCell ref="K181:K182"/>
    <mergeCell ref="L181:L182"/>
    <mergeCell ref="M181:M182"/>
    <mergeCell ref="N181:N182"/>
    <mergeCell ref="O181:O182"/>
    <mergeCell ref="D181:D182"/>
    <mergeCell ref="E181:E182"/>
    <mergeCell ref="F181:F182"/>
    <mergeCell ref="G181:G182"/>
    <mergeCell ref="H181:H182"/>
    <mergeCell ref="I181:I182"/>
    <mergeCell ref="R188:S188"/>
    <mergeCell ref="T188:U188"/>
    <mergeCell ref="A190:E190"/>
    <mergeCell ref="A191:E191"/>
    <mergeCell ref="B192:S192"/>
    <mergeCell ref="B193:S193"/>
    <mergeCell ref="R187:S187"/>
    <mergeCell ref="T187:U187"/>
    <mergeCell ref="B188:C188"/>
    <mergeCell ref="D188:E188"/>
    <mergeCell ref="F188:G188"/>
    <mergeCell ref="H188:I188"/>
    <mergeCell ref="J188:K188"/>
    <mergeCell ref="L188:M188"/>
    <mergeCell ref="N188:O188"/>
    <mergeCell ref="P188:Q188"/>
    <mergeCell ref="B186:I186"/>
    <mergeCell ref="J186:U186"/>
    <mergeCell ref="B187:C187"/>
    <mergeCell ref="D187:E187"/>
    <mergeCell ref="F187:G187"/>
    <mergeCell ref="H187:I187"/>
    <mergeCell ref="J187:K187"/>
    <mergeCell ref="L187:M187"/>
    <mergeCell ref="N187:O187"/>
    <mergeCell ref="P187:Q187"/>
    <mergeCell ref="Q201:R201"/>
    <mergeCell ref="S201:T201"/>
    <mergeCell ref="B203:S203"/>
    <mergeCell ref="B204:S204"/>
    <mergeCell ref="B205:S205"/>
    <mergeCell ref="A207:C207"/>
    <mergeCell ref="D207:F207"/>
    <mergeCell ref="G207:I207"/>
    <mergeCell ref="J207:K207"/>
    <mergeCell ref="L207:Q207"/>
    <mergeCell ref="N197:P197"/>
    <mergeCell ref="Q197:R198"/>
    <mergeCell ref="Q199:R199"/>
    <mergeCell ref="S199:T199"/>
    <mergeCell ref="Q200:R200"/>
    <mergeCell ref="S200:T200"/>
    <mergeCell ref="B194:S194"/>
    <mergeCell ref="B196:B198"/>
    <mergeCell ref="C196:G197"/>
    <mergeCell ref="H196:R196"/>
    <mergeCell ref="S196:T198"/>
    <mergeCell ref="H197:H198"/>
    <mergeCell ref="I197:I198"/>
    <mergeCell ref="J197:J198"/>
    <mergeCell ref="K197:K198"/>
    <mergeCell ref="L197:M197"/>
    <mergeCell ref="P208:P209"/>
    <mergeCell ref="Q208:Q209"/>
    <mergeCell ref="S208:S209"/>
    <mergeCell ref="T208:T209"/>
    <mergeCell ref="U208:U209"/>
    <mergeCell ref="V208:V209"/>
    <mergeCell ref="J208:J209"/>
    <mergeCell ref="K208:K209"/>
    <mergeCell ref="L208:L209"/>
    <mergeCell ref="M208:M209"/>
    <mergeCell ref="N208:N209"/>
    <mergeCell ref="O208:O209"/>
    <mergeCell ref="R207:R209"/>
    <mergeCell ref="S207:V207"/>
    <mergeCell ref="A208:B208"/>
    <mergeCell ref="C208:C209"/>
    <mergeCell ref="D208:D209"/>
    <mergeCell ref="E208:E209"/>
    <mergeCell ref="F208:F209"/>
    <mergeCell ref="G208:G209"/>
    <mergeCell ref="H208:H209"/>
    <mergeCell ref="I208:I209"/>
    <mergeCell ref="R215:S215"/>
    <mergeCell ref="T215:U215"/>
    <mergeCell ref="A217:E217"/>
    <mergeCell ref="Q217:T217"/>
    <mergeCell ref="A218:E218"/>
    <mergeCell ref="Q218:T218"/>
    <mergeCell ref="R214:S214"/>
    <mergeCell ref="T214:U214"/>
    <mergeCell ref="B215:C215"/>
    <mergeCell ref="D215:E215"/>
    <mergeCell ref="F215:G215"/>
    <mergeCell ref="H215:I215"/>
    <mergeCell ref="J215:K215"/>
    <mergeCell ref="L215:M215"/>
    <mergeCell ref="N215:O215"/>
    <mergeCell ref="P215:Q215"/>
    <mergeCell ref="B213:I213"/>
    <mergeCell ref="J213:U213"/>
    <mergeCell ref="B214:C214"/>
    <mergeCell ref="D214:E214"/>
    <mergeCell ref="F214:G214"/>
    <mergeCell ref="H214:I214"/>
    <mergeCell ref="J214:K214"/>
    <mergeCell ref="L214:M214"/>
    <mergeCell ref="N214:O214"/>
    <mergeCell ref="P214:Q214"/>
    <mergeCell ref="B232:S232"/>
    <mergeCell ref="A234:C234"/>
    <mergeCell ref="D234:F234"/>
    <mergeCell ref="G234:I234"/>
    <mergeCell ref="J234:K234"/>
    <mergeCell ref="L234:Q234"/>
    <mergeCell ref="R234:R236"/>
    <mergeCell ref="S234:V234"/>
    <mergeCell ref="A235:B235"/>
    <mergeCell ref="C235:C236"/>
    <mergeCell ref="K224:K225"/>
    <mergeCell ref="L224:M224"/>
    <mergeCell ref="N224:P224"/>
    <mergeCell ref="Q224:Q225"/>
    <mergeCell ref="B230:S230"/>
    <mergeCell ref="B231:S231"/>
    <mergeCell ref="B219:S219"/>
    <mergeCell ref="B220:S220"/>
    <mergeCell ref="B221:S221"/>
    <mergeCell ref="B223:B225"/>
    <mergeCell ref="C223:G224"/>
    <mergeCell ref="H223:Q223"/>
    <mergeCell ref="R223:R225"/>
    <mergeCell ref="H224:H225"/>
    <mergeCell ref="I224:I225"/>
    <mergeCell ref="J224:J225"/>
    <mergeCell ref="B240:I240"/>
    <mergeCell ref="J240:U240"/>
    <mergeCell ref="B241:C241"/>
    <mergeCell ref="D241:E241"/>
    <mergeCell ref="F241:G241"/>
    <mergeCell ref="H241:I241"/>
    <mergeCell ref="J241:K241"/>
    <mergeCell ref="L241:M241"/>
    <mergeCell ref="N241:O241"/>
    <mergeCell ref="P241:Q241"/>
    <mergeCell ref="P235:P236"/>
    <mergeCell ref="Q235:Q236"/>
    <mergeCell ref="S235:S236"/>
    <mergeCell ref="T235:T236"/>
    <mergeCell ref="U235:U236"/>
    <mergeCell ref="V235:V236"/>
    <mergeCell ref="J235:J236"/>
    <mergeCell ref="K235:K236"/>
    <mergeCell ref="L235:L236"/>
    <mergeCell ref="M235:M236"/>
    <mergeCell ref="N235:N236"/>
    <mergeCell ref="O235:O236"/>
    <mergeCell ref="D235:D236"/>
    <mergeCell ref="E235:E236"/>
    <mergeCell ref="F235:F236"/>
    <mergeCell ref="G235:G236"/>
    <mergeCell ref="H235:H236"/>
    <mergeCell ref="I235:I236"/>
    <mergeCell ref="B246:S246"/>
    <mergeCell ref="B247:S247"/>
    <mergeCell ref="B248:S248"/>
    <mergeCell ref="B250:B252"/>
    <mergeCell ref="C250:G251"/>
    <mergeCell ref="H250:R250"/>
    <mergeCell ref="S250:T252"/>
    <mergeCell ref="H251:H252"/>
    <mergeCell ref="I251:I252"/>
    <mergeCell ref="J251:J252"/>
    <mergeCell ref="R242:S242"/>
    <mergeCell ref="T242:U242"/>
    <mergeCell ref="A244:E244"/>
    <mergeCell ref="R244:T244"/>
    <mergeCell ref="A245:E245"/>
    <mergeCell ref="R245:T245"/>
    <mergeCell ref="R241:S241"/>
    <mergeCell ref="T241:U241"/>
    <mergeCell ref="B242:C242"/>
    <mergeCell ref="D242:E242"/>
    <mergeCell ref="F242:G242"/>
    <mergeCell ref="H242:I242"/>
    <mergeCell ref="J242:K242"/>
    <mergeCell ref="L242:M242"/>
    <mergeCell ref="N242:O242"/>
    <mergeCell ref="P242:Q242"/>
    <mergeCell ref="B259:S259"/>
    <mergeCell ref="A261:C261"/>
    <mergeCell ref="D261:F261"/>
    <mergeCell ref="G261:I261"/>
    <mergeCell ref="J261:K261"/>
    <mergeCell ref="L261:Q261"/>
    <mergeCell ref="R261:R263"/>
    <mergeCell ref="S261:V261"/>
    <mergeCell ref="A262:B262"/>
    <mergeCell ref="C262:C263"/>
    <mergeCell ref="Q254:R254"/>
    <mergeCell ref="S254:T254"/>
    <mergeCell ref="Q255:R255"/>
    <mergeCell ref="S255:T255"/>
    <mergeCell ref="B257:S257"/>
    <mergeCell ref="B258:S258"/>
    <mergeCell ref="K251:K252"/>
    <mergeCell ref="L251:M251"/>
    <mergeCell ref="N251:P251"/>
    <mergeCell ref="Q251:R252"/>
    <mergeCell ref="Q253:R253"/>
    <mergeCell ref="S253:T253"/>
    <mergeCell ref="P262:P263"/>
    <mergeCell ref="Q262:Q263"/>
    <mergeCell ref="S262:S263"/>
    <mergeCell ref="T262:T263"/>
    <mergeCell ref="U262:U263"/>
    <mergeCell ref="V262:V263"/>
    <mergeCell ref="J262:J263"/>
    <mergeCell ref="K262:K263"/>
    <mergeCell ref="L262:L263"/>
    <mergeCell ref="M262:M263"/>
    <mergeCell ref="N262:N263"/>
    <mergeCell ref="O262:O263"/>
    <mergeCell ref="D262:D263"/>
    <mergeCell ref="E262:E263"/>
    <mergeCell ref="F262:F263"/>
    <mergeCell ref="G262:G263"/>
    <mergeCell ref="H262:H263"/>
    <mergeCell ref="I262:I263"/>
    <mergeCell ref="R269:S269"/>
    <mergeCell ref="T269:U269"/>
    <mergeCell ref="A271:E271"/>
    <mergeCell ref="R271:T271"/>
    <mergeCell ref="A272:E272"/>
    <mergeCell ref="R272:T272"/>
    <mergeCell ref="R268:S268"/>
    <mergeCell ref="T268:U268"/>
    <mergeCell ref="B269:C269"/>
    <mergeCell ref="D269:E269"/>
    <mergeCell ref="F269:G269"/>
    <mergeCell ref="H269:I269"/>
    <mergeCell ref="J269:K269"/>
    <mergeCell ref="L269:M269"/>
    <mergeCell ref="N269:O269"/>
    <mergeCell ref="P269:Q269"/>
    <mergeCell ref="B267:I267"/>
    <mergeCell ref="J267:U267"/>
    <mergeCell ref="B268:C268"/>
    <mergeCell ref="D268:E268"/>
    <mergeCell ref="F268:G268"/>
    <mergeCell ref="H268:I268"/>
    <mergeCell ref="J268:K268"/>
    <mergeCell ref="L268:M268"/>
    <mergeCell ref="N268:O268"/>
    <mergeCell ref="P268:Q268"/>
    <mergeCell ref="K289:K290"/>
    <mergeCell ref="L289:L290"/>
    <mergeCell ref="M289:M290"/>
    <mergeCell ref="N289:N290"/>
    <mergeCell ref="Q281:R281"/>
    <mergeCell ref="S281:T281"/>
    <mergeCell ref="Q282:R282"/>
    <mergeCell ref="S282:T282"/>
    <mergeCell ref="B285:S285"/>
    <mergeCell ref="B286:S286"/>
    <mergeCell ref="K278:K279"/>
    <mergeCell ref="L278:M278"/>
    <mergeCell ref="N278:P278"/>
    <mergeCell ref="Q278:R279"/>
    <mergeCell ref="Q280:R280"/>
    <mergeCell ref="S280:T280"/>
    <mergeCell ref="B273:S273"/>
    <mergeCell ref="B274:S274"/>
    <mergeCell ref="B275:S275"/>
    <mergeCell ref="B277:B279"/>
    <mergeCell ref="C277:G278"/>
    <mergeCell ref="H277:R277"/>
    <mergeCell ref="S277:T279"/>
    <mergeCell ref="H278:H279"/>
    <mergeCell ref="I278:I279"/>
    <mergeCell ref="J278:J279"/>
    <mergeCell ref="V289:V290"/>
    <mergeCell ref="B294:I294"/>
    <mergeCell ref="J294:U294"/>
    <mergeCell ref="B295:C295"/>
    <mergeCell ref="D295:E295"/>
    <mergeCell ref="F295:G295"/>
    <mergeCell ref="H295:I295"/>
    <mergeCell ref="J295:K295"/>
    <mergeCell ref="L295:M295"/>
    <mergeCell ref="N295:O295"/>
    <mergeCell ref="O289:O290"/>
    <mergeCell ref="P289:P290"/>
    <mergeCell ref="Q289:Q290"/>
    <mergeCell ref="S289:S290"/>
    <mergeCell ref="T289:T290"/>
    <mergeCell ref="U289:U290"/>
    <mergeCell ref="S288:V288"/>
    <mergeCell ref="A289:B289"/>
    <mergeCell ref="C289:C290"/>
    <mergeCell ref="D289:D290"/>
    <mergeCell ref="E289:E290"/>
    <mergeCell ref="F289:F290"/>
    <mergeCell ref="G289:G290"/>
    <mergeCell ref="H289:H290"/>
    <mergeCell ref="I289:I290"/>
    <mergeCell ref="J289:J290"/>
    <mergeCell ref="A288:C288"/>
    <mergeCell ref="D288:F288"/>
    <mergeCell ref="G288:I288"/>
    <mergeCell ref="J288:K288"/>
    <mergeCell ref="L288:Q288"/>
    <mergeCell ref="R288:R290"/>
    <mergeCell ref="P296:Q296"/>
    <mergeCell ref="R296:S296"/>
    <mergeCell ref="T296:U296"/>
    <mergeCell ref="A298:E298"/>
    <mergeCell ref="Q298:T298"/>
    <mergeCell ref="A299:E299"/>
    <mergeCell ref="Q299:T299"/>
    <mergeCell ref="P295:Q295"/>
    <mergeCell ref="R295:S295"/>
    <mergeCell ref="T295:U295"/>
    <mergeCell ref="B296:C296"/>
    <mergeCell ref="D296:E296"/>
    <mergeCell ref="F296:G296"/>
    <mergeCell ref="H296:I296"/>
    <mergeCell ref="J296:K296"/>
    <mergeCell ref="L296:M296"/>
    <mergeCell ref="N296:O296"/>
    <mergeCell ref="R309:S309"/>
    <mergeCell ref="B311:S311"/>
    <mergeCell ref="B312:S312"/>
    <mergeCell ref="B313:S313"/>
    <mergeCell ref="A315:C315"/>
    <mergeCell ref="D315:F315"/>
    <mergeCell ref="G315:I315"/>
    <mergeCell ref="J315:K315"/>
    <mergeCell ref="L315:Q315"/>
    <mergeCell ref="R315:R317"/>
    <mergeCell ref="K305:K306"/>
    <mergeCell ref="L305:M305"/>
    <mergeCell ref="N305:P305"/>
    <mergeCell ref="Q305:Q306"/>
    <mergeCell ref="R307:S307"/>
    <mergeCell ref="R308:S308"/>
    <mergeCell ref="B300:S300"/>
    <mergeCell ref="B301:S301"/>
    <mergeCell ref="B302:S302"/>
    <mergeCell ref="B304:B306"/>
    <mergeCell ref="C304:G305"/>
    <mergeCell ref="H304:Q304"/>
    <mergeCell ref="R304:S306"/>
    <mergeCell ref="H305:H306"/>
    <mergeCell ref="I305:I306"/>
    <mergeCell ref="J305:J306"/>
    <mergeCell ref="Q316:Q317"/>
    <mergeCell ref="S316:S317"/>
    <mergeCell ref="T316:T317"/>
    <mergeCell ref="U316:U317"/>
    <mergeCell ref="V316:V317"/>
    <mergeCell ref="B321:I321"/>
    <mergeCell ref="J321:U321"/>
    <mergeCell ref="K316:K317"/>
    <mergeCell ref="L316:L317"/>
    <mergeCell ref="M316:M317"/>
    <mergeCell ref="N316:N317"/>
    <mergeCell ref="O316:O317"/>
    <mergeCell ref="P316:P317"/>
    <mergeCell ref="S315:V315"/>
    <mergeCell ref="A316:B316"/>
    <mergeCell ref="C316:C317"/>
    <mergeCell ref="D316:D317"/>
    <mergeCell ref="E316:E317"/>
    <mergeCell ref="F316:F317"/>
    <mergeCell ref="G316:G317"/>
    <mergeCell ref="H316:H317"/>
    <mergeCell ref="I316:I317"/>
    <mergeCell ref="J316:J317"/>
    <mergeCell ref="N323:O323"/>
    <mergeCell ref="P323:Q323"/>
    <mergeCell ref="R323:S323"/>
    <mergeCell ref="T323:U323"/>
    <mergeCell ref="A325:F325"/>
    <mergeCell ref="R325:T325"/>
    <mergeCell ref="N322:O322"/>
    <mergeCell ref="P322:Q322"/>
    <mergeCell ref="R322:S322"/>
    <mergeCell ref="T322:U322"/>
    <mergeCell ref="B323:C323"/>
    <mergeCell ref="D323:E323"/>
    <mergeCell ref="F323:G323"/>
    <mergeCell ref="H323:I323"/>
    <mergeCell ref="J323:K323"/>
    <mergeCell ref="L323:M323"/>
    <mergeCell ref="B322:C322"/>
    <mergeCell ref="D322:E322"/>
    <mergeCell ref="F322:G322"/>
    <mergeCell ref="H322:I322"/>
    <mergeCell ref="J322:K322"/>
    <mergeCell ref="L322:M322"/>
    <mergeCell ref="K343:K344"/>
    <mergeCell ref="L343:L344"/>
    <mergeCell ref="M343:M344"/>
    <mergeCell ref="N343:N344"/>
    <mergeCell ref="R334:S334"/>
    <mergeCell ref="R335:S335"/>
    <mergeCell ref="R336:S336"/>
    <mergeCell ref="B338:S338"/>
    <mergeCell ref="B339:S339"/>
    <mergeCell ref="B340:S340"/>
    <mergeCell ref="I332:I333"/>
    <mergeCell ref="J332:J333"/>
    <mergeCell ref="K332:K333"/>
    <mergeCell ref="L332:M332"/>
    <mergeCell ref="N332:P332"/>
    <mergeCell ref="Q332:Q333"/>
    <mergeCell ref="A326:E326"/>
    <mergeCell ref="R326:T326"/>
    <mergeCell ref="B327:S327"/>
    <mergeCell ref="B328:S328"/>
    <mergeCell ref="B329:S329"/>
    <mergeCell ref="B331:B333"/>
    <mergeCell ref="C331:G332"/>
    <mergeCell ref="H331:Q331"/>
    <mergeCell ref="R331:S333"/>
    <mergeCell ref="H332:H333"/>
    <mergeCell ref="V343:V344"/>
    <mergeCell ref="B348:I348"/>
    <mergeCell ref="J348:U348"/>
    <mergeCell ref="B349:C349"/>
    <mergeCell ref="D349:E349"/>
    <mergeCell ref="F349:G349"/>
    <mergeCell ref="H349:I349"/>
    <mergeCell ref="J349:K349"/>
    <mergeCell ref="L349:M349"/>
    <mergeCell ref="N349:O349"/>
    <mergeCell ref="O343:O344"/>
    <mergeCell ref="P343:P344"/>
    <mergeCell ref="Q343:Q344"/>
    <mergeCell ref="S343:S344"/>
    <mergeCell ref="T343:T344"/>
    <mergeCell ref="U343:U344"/>
    <mergeCell ref="S342:V342"/>
    <mergeCell ref="A343:B343"/>
    <mergeCell ref="C343:C344"/>
    <mergeCell ref="D343:D344"/>
    <mergeCell ref="E343:E344"/>
    <mergeCell ref="F343:F344"/>
    <mergeCell ref="G343:G344"/>
    <mergeCell ref="H343:H344"/>
    <mergeCell ref="I343:I344"/>
    <mergeCell ref="J343:J344"/>
    <mergeCell ref="A342:C342"/>
    <mergeCell ref="D342:F342"/>
    <mergeCell ref="G342:I342"/>
    <mergeCell ref="J342:K342"/>
    <mergeCell ref="L342:Q342"/>
    <mergeCell ref="R342:R344"/>
    <mergeCell ref="P350:Q350"/>
    <mergeCell ref="R350:S350"/>
    <mergeCell ref="T350:U350"/>
    <mergeCell ref="A352:E352"/>
    <mergeCell ref="R352:T352"/>
    <mergeCell ref="A353:E353"/>
    <mergeCell ref="R353:T353"/>
    <mergeCell ref="P349:Q349"/>
    <mergeCell ref="R349:S349"/>
    <mergeCell ref="T349:U349"/>
    <mergeCell ref="B350:C350"/>
    <mergeCell ref="D350:E350"/>
    <mergeCell ref="F350:G350"/>
    <mergeCell ref="H350:I350"/>
    <mergeCell ref="J350:K350"/>
    <mergeCell ref="L350:M350"/>
    <mergeCell ref="N350:O350"/>
    <mergeCell ref="R363:S363"/>
    <mergeCell ref="B365:S365"/>
    <mergeCell ref="B366:S366"/>
    <mergeCell ref="B367:S367"/>
    <mergeCell ref="A369:C369"/>
    <mergeCell ref="D369:F369"/>
    <mergeCell ref="G369:I369"/>
    <mergeCell ref="J369:K369"/>
    <mergeCell ref="L369:Q369"/>
    <mergeCell ref="R369:R371"/>
    <mergeCell ref="K359:K360"/>
    <mergeCell ref="L359:M359"/>
    <mergeCell ref="N359:P359"/>
    <mergeCell ref="Q359:Q360"/>
    <mergeCell ref="R361:S361"/>
    <mergeCell ref="R362:S362"/>
    <mergeCell ref="B354:S354"/>
    <mergeCell ref="B355:S355"/>
    <mergeCell ref="B356:S356"/>
    <mergeCell ref="B358:B360"/>
    <mergeCell ref="C358:G359"/>
    <mergeCell ref="H358:Q358"/>
    <mergeCell ref="R358:S360"/>
    <mergeCell ref="H359:H360"/>
    <mergeCell ref="I359:I360"/>
    <mergeCell ref="J359:J360"/>
    <mergeCell ref="Q370:Q371"/>
    <mergeCell ref="S370:S371"/>
    <mergeCell ref="T370:T371"/>
    <mergeCell ref="U370:U371"/>
    <mergeCell ref="V370:V371"/>
    <mergeCell ref="B375:I375"/>
    <mergeCell ref="J375:U375"/>
    <mergeCell ref="K370:K371"/>
    <mergeCell ref="L370:L371"/>
    <mergeCell ref="M370:M371"/>
    <mergeCell ref="N370:N371"/>
    <mergeCell ref="O370:O371"/>
    <mergeCell ref="P370:P371"/>
    <mergeCell ref="S369:V369"/>
    <mergeCell ref="A370:B370"/>
    <mergeCell ref="C370:C371"/>
    <mergeCell ref="D370:D371"/>
    <mergeCell ref="E370:E371"/>
    <mergeCell ref="F370:F371"/>
    <mergeCell ref="G370:G371"/>
    <mergeCell ref="H370:H371"/>
    <mergeCell ref="I370:I371"/>
    <mergeCell ref="J370:J371"/>
    <mergeCell ref="N377:O377"/>
    <mergeCell ref="P377:Q377"/>
    <mergeCell ref="R377:S377"/>
    <mergeCell ref="T377:U377"/>
    <mergeCell ref="A379:E379"/>
    <mergeCell ref="R379:T379"/>
    <mergeCell ref="N376:O376"/>
    <mergeCell ref="P376:Q376"/>
    <mergeCell ref="R376:S376"/>
    <mergeCell ref="T376:U376"/>
    <mergeCell ref="B377:C377"/>
    <mergeCell ref="D377:E377"/>
    <mergeCell ref="F377:G377"/>
    <mergeCell ref="H377:I377"/>
    <mergeCell ref="J377:K377"/>
    <mergeCell ref="L377:M377"/>
    <mergeCell ref="B376:C376"/>
    <mergeCell ref="D376:E376"/>
    <mergeCell ref="F376:G376"/>
    <mergeCell ref="H376:I376"/>
    <mergeCell ref="J376:K376"/>
    <mergeCell ref="L376:M376"/>
    <mergeCell ref="K397:K398"/>
    <mergeCell ref="L397:L398"/>
    <mergeCell ref="M397:M398"/>
    <mergeCell ref="N397:N398"/>
    <mergeCell ref="R388:S388"/>
    <mergeCell ref="R389:S389"/>
    <mergeCell ref="R390:S390"/>
    <mergeCell ref="B392:S392"/>
    <mergeCell ref="B393:S393"/>
    <mergeCell ref="B394:S394"/>
    <mergeCell ref="I386:I387"/>
    <mergeCell ref="J386:J387"/>
    <mergeCell ref="K386:K387"/>
    <mergeCell ref="L386:M386"/>
    <mergeCell ref="N386:P386"/>
    <mergeCell ref="Q386:Q387"/>
    <mergeCell ref="A380:E380"/>
    <mergeCell ref="R380:T380"/>
    <mergeCell ref="B381:S381"/>
    <mergeCell ref="B382:S382"/>
    <mergeCell ref="B383:S383"/>
    <mergeCell ref="B385:B387"/>
    <mergeCell ref="C385:G386"/>
    <mergeCell ref="H385:Q385"/>
    <mergeCell ref="R385:S387"/>
    <mergeCell ref="H386:H387"/>
    <mergeCell ref="V397:V398"/>
    <mergeCell ref="B402:I402"/>
    <mergeCell ref="J402:U402"/>
    <mergeCell ref="B403:C403"/>
    <mergeCell ref="D403:E403"/>
    <mergeCell ref="F403:G403"/>
    <mergeCell ref="H403:I403"/>
    <mergeCell ref="J403:K403"/>
    <mergeCell ref="L403:M403"/>
    <mergeCell ref="N403:O403"/>
    <mergeCell ref="O397:O398"/>
    <mergeCell ref="P397:P398"/>
    <mergeCell ref="Q397:Q398"/>
    <mergeCell ref="S397:S398"/>
    <mergeCell ref="T397:T398"/>
    <mergeCell ref="U397:U398"/>
    <mergeCell ref="S396:V396"/>
    <mergeCell ref="A397:B397"/>
    <mergeCell ref="C397:C398"/>
    <mergeCell ref="D397:D398"/>
    <mergeCell ref="E397:E398"/>
    <mergeCell ref="F397:F398"/>
    <mergeCell ref="G397:G398"/>
    <mergeCell ref="H397:H398"/>
    <mergeCell ref="I397:I398"/>
    <mergeCell ref="J397:J398"/>
    <mergeCell ref="A396:C396"/>
    <mergeCell ref="D396:F396"/>
    <mergeCell ref="G396:I396"/>
    <mergeCell ref="J396:K396"/>
    <mergeCell ref="L396:Q396"/>
    <mergeCell ref="R396:R398"/>
    <mergeCell ref="P404:Q404"/>
    <mergeCell ref="R404:S404"/>
    <mergeCell ref="T404:U404"/>
    <mergeCell ref="A406:E406"/>
    <mergeCell ref="R406:T406"/>
    <mergeCell ref="A407:E407"/>
    <mergeCell ref="R407:T407"/>
    <mergeCell ref="P403:Q403"/>
    <mergeCell ref="R403:S403"/>
    <mergeCell ref="T403:U403"/>
    <mergeCell ref="B404:C404"/>
    <mergeCell ref="D404:E404"/>
    <mergeCell ref="F404:G404"/>
    <mergeCell ref="H404:I404"/>
    <mergeCell ref="J404:K404"/>
    <mergeCell ref="L404:M404"/>
    <mergeCell ref="N404:O404"/>
    <mergeCell ref="R417:S417"/>
    <mergeCell ref="B419:S419"/>
    <mergeCell ref="B420:S420"/>
    <mergeCell ref="B421:S421"/>
    <mergeCell ref="A423:C423"/>
    <mergeCell ref="D423:F423"/>
    <mergeCell ref="G423:I423"/>
    <mergeCell ref="J423:K423"/>
    <mergeCell ref="L423:Q423"/>
    <mergeCell ref="R423:R425"/>
    <mergeCell ref="K413:K414"/>
    <mergeCell ref="L413:M413"/>
    <mergeCell ref="N413:P413"/>
    <mergeCell ref="Q413:Q414"/>
    <mergeCell ref="R415:S415"/>
    <mergeCell ref="R416:S416"/>
    <mergeCell ref="B408:S408"/>
    <mergeCell ref="B409:S409"/>
    <mergeCell ref="B410:S410"/>
    <mergeCell ref="B412:B414"/>
    <mergeCell ref="C412:G413"/>
    <mergeCell ref="H412:Q412"/>
    <mergeCell ref="R412:S414"/>
    <mergeCell ref="H413:H414"/>
    <mergeCell ref="I413:I414"/>
    <mergeCell ref="J413:J414"/>
    <mergeCell ref="Q424:Q425"/>
    <mergeCell ref="S424:S425"/>
    <mergeCell ref="T424:T425"/>
    <mergeCell ref="U424:U425"/>
    <mergeCell ref="V424:V425"/>
    <mergeCell ref="B429:I429"/>
    <mergeCell ref="J429:U429"/>
    <mergeCell ref="K424:K425"/>
    <mergeCell ref="L424:L425"/>
    <mergeCell ref="M424:M425"/>
    <mergeCell ref="N424:N425"/>
    <mergeCell ref="O424:O425"/>
    <mergeCell ref="P424:P425"/>
    <mergeCell ref="S423:V423"/>
    <mergeCell ref="A424:B424"/>
    <mergeCell ref="C424:C425"/>
    <mergeCell ref="D424:D425"/>
    <mergeCell ref="E424:E425"/>
    <mergeCell ref="F424:F425"/>
    <mergeCell ref="G424:G425"/>
    <mergeCell ref="H424:H425"/>
    <mergeCell ref="I424:I425"/>
    <mergeCell ref="J424:J425"/>
    <mergeCell ref="N431:O431"/>
    <mergeCell ref="P431:Q431"/>
    <mergeCell ref="R431:S431"/>
    <mergeCell ref="T431:U431"/>
    <mergeCell ref="N430:O430"/>
    <mergeCell ref="P430:Q430"/>
    <mergeCell ref="R430:S430"/>
    <mergeCell ref="T430:U430"/>
    <mergeCell ref="B431:C431"/>
    <mergeCell ref="D431:E431"/>
    <mergeCell ref="F431:G431"/>
    <mergeCell ref="H431:I431"/>
    <mergeCell ref="J431:K431"/>
    <mergeCell ref="L431:M431"/>
    <mergeCell ref="B430:C430"/>
    <mergeCell ref="D430:E430"/>
    <mergeCell ref="F430:G430"/>
    <mergeCell ref="H430:I430"/>
    <mergeCell ref="J430:K430"/>
    <mergeCell ref="L430:M43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5"/>
  <sheetViews>
    <sheetView rightToLeft="1" topLeftCell="A34" workbookViewId="0">
      <selection activeCell="A38" sqref="A38:Q38"/>
    </sheetView>
  </sheetViews>
  <sheetFormatPr defaultColWidth="9" defaultRowHeight="22.8"/>
  <cols>
    <col min="1" max="2" width="9" style="37"/>
    <col min="3" max="3" width="7" style="37" customWidth="1"/>
    <col min="4" max="4" width="7.88671875" style="37" customWidth="1"/>
    <col min="5" max="5" width="12.21875" style="37" customWidth="1"/>
    <col min="6" max="6" width="9.109375" style="37" customWidth="1"/>
    <col min="7" max="7" width="9" style="37" customWidth="1"/>
    <col min="8" max="8" width="12.77734375" style="37" customWidth="1"/>
    <col min="9" max="9" width="17" style="37" customWidth="1"/>
    <col min="10" max="10" width="19.33203125" style="37" customWidth="1"/>
    <col min="11" max="11" width="19.6640625" style="37" customWidth="1"/>
    <col min="12" max="12" width="19.109375" style="37" customWidth="1"/>
    <col min="13" max="13" width="21.33203125" style="37" customWidth="1"/>
    <col min="14" max="14" width="11.77734375" style="37" customWidth="1"/>
    <col min="15" max="15" width="7.109375" style="37" customWidth="1"/>
    <col min="16" max="16" width="6.33203125" style="37" customWidth="1"/>
    <col min="17" max="17" width="7.44140625" style="37" customWidth="1"/>
    <col min="18" max="18" width="5.88671875" style="37" customWidth="1"/>
    <col min="19" max="16384" width="9" style="37"/>
  </cols>
  <sheetData>
    <row r="1" spans="1:18">
      <c r="A1" s="29" t="s">
        <v>62</v>
      </c>
      <c r="B1" s="29"/>
      <c r="C1" s="29"/>
      <c r="D1" s="29"/>
      <c r="E1" s="29"/>
      <c r="F1" s="28"/>
      <c r="G1" s="28"/>
      <c r="H1" s="28"/>
      <c r="I1" s="28"/>
      <c r="J1" s="28"/>
      <c r="K1" s="28"/>
      <c r="L1" s="28"/>
      <c r="M1" s="28"/>
      <c r="N1" s="29" t="s">
        <v>63</v>
      </c>
      <c r="P1" s="29"/>
      <c r="Q1" s="29"/>
    </row>
    <row r="2" spans="1:18">
      <c r="A2" s="231" t="s">
        <v>64</v>
      </c>
      <c r="B2" s="231"/>
      <c r="C2" s="231"/>
      <c r="D2" s="231"/>
      <c r="E2" s="231"/>
      <c r="F2" s="28"/>
      <c r="G2" s="28"/>
      <c r="H2" s="28"/>
      <c r="I2" s="28"/>
      <c r="J2" s="28"/>
      <c r="K2" s="28"/>
      <c r="L2" s="28"/>
      <c r="M2" s="28"/>
      <c r="N2" s="28"/>
      <c r="O2" s="29" t="s">
        <v>65</v>
      </c>
      <c r="Q2" s="29"/>
    </row>
    <row r="3" spans="1:18">
      <c r="A3" s="23"/>
      <c r="B3" s="23"/>
      <c r="C3" s="23"/>
      <c r="D3" s="23"/>
      <c r="E3" s="23"/>
      <c r="F3" s="28"/>
      <c r="G3" s="28"/>
      <c r="H3" s="28"/>
      <c r="I3" s="28"/>
      <c r="J3" s="28" t="s">
        <v>216</v>
      </c>
      <c r="K3" s="28"/>
      <c r="L3" s="28"/>
      <c r="M3" s="28"/>
      <c r="N3" s="28"/>
      <c r="O3" s="28"/>
      <c r="P3" s="29"/>
      <c r="R3" s="29"/>
    </row>
    <row r="4" spans="1:18">
      <c r="A4" s="23"/>
      <c r="B4" s="23"/>
      <c r="C4" s="23"/>
      <c r="D4" s="23"/>
      <c r="E4" s="23"/>
      <c r="F4" s="28"/>
      <c r="G4" s="28"/>
      <c r="H4" s="28"/>
      <c r="I4" s="28" t="s">
        <v>217</v>
      </c>
      <c r="J4" s="28"/>
      <c r="K4" s="28"/>
      <c r="L4" s="28"/>
      <c r="M4" s="28"/>
      <c r="N4" s="28"/>
      <c r="O4" s="29"/>
      <c r="Q4" s="29"/>
    </row>
    <row r="5" spans="1:18" ht="23.4" thickBot="1">
      <c r="A5" s="23"/>
      <c r="B5" s="23"/>
      <c r="C5" s="23"/>
      <c r="D5" s="23"/>
      <c r="E5" s="23"/>
      <c r="F5" s="28"/>
      <c r="G5" s="28"/>
      <c r="H5" s="28"/>
      <c r="I5" s="28"/>
      <c r="J5" s="28"/>
      <c r="K5" s="28"/>
      <c r="L5" s="28"/>
      <c r="M5" s="28"/>
      <c r="N5" s="28"/>
      <c r="O5" s="28"/>
      <c r="P5" s="29"/>
      <c r="R5" s="29"/>
    </row>
    <row r="6" spans="1:18" ht="24" thickTop="1" thickBot="1">
      <c r="A6" s="23"/>
      <c r="B6" s="23"/>
      <c r="C6" s="232" t="s">
        <v>218</v>
      </c>
      <c r="D6" s="233"/>
      <c r="E6" s="233"/>
      <c r="F6" s="286" t="s">
        <v>219</v>
      </c>
      <c r="G6" s="286"/>
      <c r="H6" s="286"/>
      <c r="I6" s="286"/>
      <c r="J6" s="286"/>
      <c r="K6" s="286"/>
      <c r="L6" s="286"/>
      <c r="M6" s="286"/>
      <c r="N6" s="287"/>
      <c r="O6" s="29"/>
      <c r="Q6" s="29"/>
    </row>
    <row r="7" spans="1:18" ht="24" thickTop="1" thickBot="1">
      <c r="A7" s="23"/>
      <c r="B7" s="23"/>
      <c r="C7" s="226"/>
      <c r="D7" s="227"/>
      <c r="E7" s="227"/>
      <c r="F7" s="288" t="s">
        <v>220</v>
      </c>
      <c r="G7" s="288"/>
      <c r="H7" s="289" t="s">
        <v>221</v>
      </c>
      <c r="I7" s="289"/>
      <c r="J7" s="289"/>
      <c r="K7" s="289"/>
      <c r="L7" s="289"/>
      <c r="M7" s="227" t="s">
        <v>222</v>
      </c>
      <c r="N7" s="285" t="s">
        <v>223</v>
      </c>
      <c r="O7" s="29"/>
      <c r="Q7" s="29"/>
    </row>
    <row r="8" spans="1:18" ht="24" thickTop="1" thickBot="1">
      <c r="A8" s="23"/>
      <c r="B8" s="23"/>
      <c r="C8" s="226" t="s">
        <v>224</v>
      </c>
      <c r="D8" s="227"/>
      <c r="E8" s="248" t="s">
        <v>225</v>
      </c>
      <c r="F8" s="227" t="s">
        <v>226</v>
      </c>
      <c r="G8" s="227" t="s">
        <v>227</v>
      </c>
      <c r="H8" s="15" t="s">
        <v>228</v>
      </c>
      <c r="I8" s="15" t="s">
        <v>229</v>
      </c>
      <c r="J8" s="15" t="s">
        <v>230</v>
      </c>
      <c r="K8" s="15" t="s">
        <v>231</v>
      </c>
      <c r="L8" s="15" t="s">
        <v>232</v>
      </c>
      <c r="M8" s="227"/>
      <c r="N8" s="285"/>
      <c r="O8" s="29"/>
      <c r="Q8" s="29"/>
    </row>
    <row r="9" spans="1:18" ht="24" thickTop="1" thickBot="1">
      <c r="A9" s="23"/>
      <c r="B9" s="23"/>
      <c r="C9" s="17" t="s">
        <v>233</v>
      </c>
      <c r="D9" s="15" t="s">
        <v>227</v>
      </c>
      <c r="E9" s="248"/>
      <c r="F9" s="227"/>
      <c r="G9" s="227"/>
      <c r="H9" s="227">
        <f>'[1]التعليم الابتدائي'!AMN754</f>
        <v>132</v>
      </c>
      <c r="I9" s="227">
        <v>0</v>
      </c>
      <c r="J9" s="227">
        <v>0</v>
      </c>
      <c r="K9" s="227">
        <v>0</v>
      </c>
      <c r="L9" s="227">
        <v>0</v>
      </c>
      <c r="M9" s="227"/>
      <c r="N9" s="285"/>
      <c r="O9" s="29"/>
      <c r="Q9" s="29"/>
    </row>
    <row r="10" spans="1:18" ht="24" thickTop="1" thickBot="1">
      <c r="A10" s="23"/>
      <c r="B10" s="23"/>
      <c r="C10" s="18">
        <f>'[1]التعليم الابتدائي'!ALZ754</f>
        <v>524</v>
      </c>
      <c r="D10" s="20">
        <f>'[1]التعليم الابتدائي'!AMA754</f>
        <v>198</v>
      </c>
      <c r="E10" s="20">
        <f>'[1]التعليم الابتدائي'!AMM754</f>
        <v>175057</v>
      </c>
      <c r="F10" s="20">
        <f>'[1]التعليم الابتدائي'!AMN754</f>
        <v>132</v>
      </c>
      <c r="G10" s="20">
        <f>'[1]التعليم الابتدائي'!AMO754</f>
        <v>589</v>
      </c>
      <c r="H10" s="229"/>
      <c r="I10" s="229"/>
      <c r="J10" s="229"/>
      <c r="K10" s="229"/>
      <c r="L10" s="229"/>
      <c r="M10" s="38">
        <v>0</v>
      </c>
      <c r="N10" s="39">
        <v>0</v>
      </c>
      <c r="O10" s="29"/>
      <c r="Q10" s="29"/>
    </row>
    <row r="11" spans="1:18" ht="23.4" thickTop="1">
      <c r="A11" s="23"/>
      <c r="B11" s="23"/>
      <c r="C11" s="23"/>
      <c r="D11" s="23"/>
      <c r="E11" s="23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9"/>
      <c r="R11" s="29"/>
    </row>
    <row r="12" spans="1:18">
      <c r="A12" s="231" t="s">
        <v>234</v>
      </c>
      <c r="B12" s="231"/>
      <c r="C12" s="231"/>
      <c r="D12" s="231"/>
      <c r="E12" s="231"/>
      <c r="F12" s="231"/>
      <c r="G12" s="231"/>
      <c r="H12" s="231"/>
      <c r="I12" s="231"/>
      <c r="J12" s="231"/>
      <c r="K12" s="231"/>
      <c r="L12" s="231"/>
      <c r="M12" s="231"/>
      <c r="N12" s="231"/>
      <c r="O12" s="231"/>
      <c r="P12" s="231"/>
      <c r="Q12" s="231"/>
    </row>
    <row r="13" spans="1:18">
      <c r="A13" s="231" t="s">
        <v>67</v>
      </c>
      <c r="B13" s="231"/>
      <c r="C13" s="231"/>
      <c r="D13" s="231"/>
      <c r="E13" s="231"/>
      <c r="F13" s="231"/>
      <c r="G13" s="231"/>
      <c r="H13" s="231"/>
      <c r="I13" s="231"/>
      <c r="J13" s="231"/>
      <c r="K13" s="231"/>
      <c r="L13" s="231"/>
      <c r="M13" s="231"/>
      <c r="N13" s="231"/>
      <c r="O13" s="231"/>
      <c r="P13" s="231"/>
      <c r="Q13" s="231"/>
    </row>
    <row r="14" spans="1:18">
      <c r="A14" s="231" t="s">
        <v>235</v>
      </c>
      <c r="B14" s="231"/>
      <c r="C14" s="231"/>
      <c r="D14" s="231"/>
      <c r="E14" s="231"/>
      <c r="F14" s="231"/>
      <c r="G14" s="231"/>
      <c r="H14" s="231"/>
      <c r="I14" s="231"/>
      <c r="J14" s="231"/>
      <c r="K14" s="231"/>
      <c r="L14" s="231"/>
      <c r="M14" s="231"/>
      <c r="N14" s="231"/>
      <c r="O14" s="231"/>
      <c r="P14" s="231"/>
      <c r="Q14" s="231"/>
    </row>
    <row r="15" spans="1:18" ht="23.4" thickBo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</row>
    <row r="16" spans="1:18" ht="24" thickTop="1" thickBot="1">
      <c r="A16" s="28"/>
      <c r="B16" s="28"/>
      <c r="C16" s="28"/>
      <c r="D16" s="28"/>
      <c r="E16" s="28"/>
      <c r="F16" s="28"/>
      <c r="G16" s="28"/>
      <c r="H16" s="283"/>
      <c r="I16" s="233" t="s">
        <v>236</v>
      </c>
      <c r="J16" s="233"/>
      <c r="K16" s="233"/>
      <c r="L16" s="247"/>
      <c r="M16" s="28"/>
      <c r="N16" s="28"/>
      <c r="O16" s="28"/>
      <c r="P16" s="28"/>
      <c r="Q16" s="28"/>
    </row>
    <row r="17" spans="1:19" ht="39" customHeight="1" thickTop="1" thickBot="1">
      <c r="A17" s="28"/>
      <c r="B17" s="28"/>
      <c r="C17" s="28"/>
      <c r="D17" s="28"/>
      <c r="E17" s="28"/>
      <c r="F17" s="28"/>
      <c r="G17" s="28"/>
      <c r="H17" s="284"/>
      <c r="I17" s="15" t="s">
        <v>76</v>
      </c>
      <c r="J17" s="15" t="s">
        <v>35</v>
      </c>
      <c r="K17" s="15" t="s">
        <v>237</v>
      </c>
      <c r="L17" s="36" t="s">
        <v>58</v>
      </c>
      <c r="M17" s="28"/>
      <c r="N17" s="28"/>
      <c r="O17" s="28"/>
      <c r="P17" s="28"/>
      <c r="Q17" s="28"/>
    </row>
    <row r="18" spans="1:19" ht="39" customHeight="1" thickTop="1" thickBot="1">
      <c r="A18" s="40"/>
      <c r="B18" s="40"/>
      <c r="C18" s="40"/>
      <c r="D18" s="40"/>
      <c r="E18" s="40"/>
      <c r="F18" s="40"/>
      <c r="G18" s="28"/>
      <c r="H18" s="17" t="s">
        <v>238</v>
      </c>
      <c r="I18" s="15">
        <f>'[1]التعليم الابتدائي'!EQ754</f>
        <v>0</v>
      </c>
      <c r="J18" s="15">
        <f>'[1]التعليم الابتدائي'!ER754</f>
        <v>0</v>
      </c>
      <c r="K18" s="15">
        <f>'[1]التعليم الابتدائي'!ES754</f>
        <v>0</v>
      </c>
      <c r="L18" s="36">
        <f t="shared" ref="L18:L23" si="0">K18+J18+I18</f>
        <v>0</v>
      </c>
      <c r="M18" s="28"/>
      <c r="N18" s="28"/>
      <c r="O18" s="28"/>
      <c r="P18" s="28"/>
      <c r="Q18" s="28"/>
      <c r="R18" s="41"/>
      <c r="S18" s="41"/>
    </row>
    <row r="19" spans="1:19" ht="39" customHeight="1" thickTop="1" thickBot="1">
      <c r="A19" s="40"/>
      <c r="B19" s="40"/>
      <c r="C19" s="40"/>
      <c r="D19" s="40"/>
      <c r="E19" s="40"/>
      <c r="F19" s="40"/>
      <c r="G19" s="28"/>
      <c r="H19" s="17" t="s">
        <v>239</v>
      </c>
      <c r="I19" s="15">
        <f>'[1]التعليم الابتدائي'!ET754</f>
        <v>0</v>
      </c>
      <c r="J19" s="15">
        <f>'[1]التعليم الابتدائي'!EU754</f>
        <v>0</v>
      </c>
      <c r="K19" s="15">
        <f>'[1]التعليم الابتدائي'!EV754</f>
        <v>0</v>
      </c>
      <c r="L19" s="36">
        <f t="shared" si="0"/>
        <v>0</v>
      </c>
      <c r="M19" s="28"/>
      <c r="N19" s="28"/>
      <c r="O19" s="28"/>
      <c r="P19" s="28"/>
      <c r="Q19" s="28"/>
    </row>
    <row r="20" spans="1:19" ht="39" customHeight="1" thickTop="1" thickBot="1">
      <c r="A20" s="40"/>
      <c r="B20" s="40"/>
      <c r="C20" s="40"/>
      <c r="D20" s="40"/>
      <c r="E20" s="40"/>
      <c r="F20" s="40"/>
      <c r="G20" s="28"/>
      <c r="H20" s="17" t="s">
        <v>240</v>
      </c>
      <c r="I20" s="15">
        <f>'[1]التعليم الابتدائي'!EW754</f>
        <v>0</v>
      </c>
      <c r="J20" s="15">
        <f>'[1]التعليم الابتدائي'!EX754</f>
        <v>0</v>
      </c>
      <c r="K20" s="15">
        <f>'[1]التعليم الابتدائي'!EY754</f>
        <v>0</v>
      </c>
      <c r="L20" s="36">
        <f t="shared" si="0"/>
        <v>0</v>
      </c>
      <c r="M20" s="28"/>
      <c r="N20" s="28"/>
      <c r="O20" s="28"/>
      <c r="P20" s="28"/>
      <c r="Q20" s="28"/>
      <c r="R20" s="41"/>
      <c r="S20" s="41"/>
    </row>
    <row r="21" spans="1:19" ht="39" customHeight="1" thickTop="1" thickBot="1">
      <c r="A21" s="40"/>
      <c r="B21" s="40"/>
      <c r="C21" s="40"/>
      <c r="D21" s="40"/>
      <c r="E21" s="40"/>
      <c r="F21" s="40"/>
      <c r="G21" s="28"/>
      <c r="H21" s="17" t="s">
        <v>241</v>
      </c>
      <c r="I21" s="15">
        <f>'[1]التعليم الابتدائي'!EZ754</f>
        <v>0</v>
      </c>
      <c r="J21" s="15">
        <f>'[1]التعليم الابتدائي'!FA754</f>
        <v>0</v>
      </c>
      <c r="K21" s="15">
        <f>'[1]التعليم الابتدائي'!FB754</f>
        <v>0</v>
      </c>
      <c r="L21" s="36">
        <f t="shared" si="0"/>
        <v>0</v>
      </c>
      <c r="M21" s="28"/>
      <c r="N21" s="28"/>
      <c r="O21" s="28"/>
      <c r="P21" s="28"/>
      <c r="Q21" s="28"/>
      <c r="R21" s="41"/>
    </row>
    <row r="22" spans="1:19" ht="39" customHeight="1" thickTop="1" thickBot="1">
      <c r="A22" s="40"/>
      <c r="B22" s="40"/>
      <c r="C22" s="40"/>
      <c r="D22" s="40"/>
      <c r="E22" s="40"/>
      <c r="F22" s="40"/>
      <c r="G22" s="28"/>
      <c r="H22" s="17" t="s">
        <v>242</v>
      </c>
      <c r="I22" s="15">
        <f>'[1]التعليم الابتدائي'!FC754</f>
        <v>0</v>
      </c>
      <c r="J22" s="15">
        <f>'[1]التعليم الابتدائي'!FD754</f>
        <v>0</v>
      </c>
      <c r="K22" s="15">
        <f>'[1]التعليم الابتدائي'!FE754</f>
        <v>0</v>
      </c>
      <c r="L22" s="36">
        <f t="shared" si="0"/>
        <v>0</v>
      </c>
      <c r="M22" s="28"/>
      <c r="N22" s="28"/>
      <c r="O22" s="28"/>
      <c r="P22" s="28"/>
      <c r="Q22" s="28"/>
    </row>
    <row r="23" spans="1:19" ht="39" customHeight="1" thickTop="1" thickBot="1">
      <c r="A23" s="40"/>
      <c r="B23" s="40"/>
      <c r="C23" s="40"/>
      <c r="D23" s="40"/>
      <c r="E23" s="40"/>
      <c r="F23" s="40"/>
      <c r="G23" s="28"/>
      <c r="H23" s="17" t="s">
        <v>243</v>
      </c>
      <c r="I23" s="15">
        <f>'[1]التعليم الابتدائي'!FF754</f>
        <v>0</v>
      </c>
      <c r="J23" s="15">
        <f>'[1]التعليم الابتدائي'!FG754</f>
        <v>0</v>
      </c>
      <c r="K23" s="15">
        <f>'[1]التعليم الابتدائي'!FH754</f>
        <v>0</v>
      </c>
      <c r="L23" s="36">
        <f t="shared" si="0"/>
        <v>0</v>
      </c>
      <c r="M23" s="28"/>
      <c r="N23" s="28"/>
      <c r="O23" s="28"/>
      <c r="P23" s="28"/>
      <c r="Q23" s="28"/>
      <c r="R23" s="41"/>
    </row>
    <row r="24" spans="1:19" ht="39" customHeight="1" thickTop="1" thickBot="1">
      <c r="A24" s="28"/>
      <c r="B24" s="28"/>
      <c r="C24" s="28"/>
      <c r="D24" s="40"/>
      <c r="E24" s="40"/>
      <c r="F24" s="40"/>
      <c r="G24" s="28"/>
      <c r="H24" s="18" t="s">
        <v>58</v>
      </c>
      <c r="I24" s="20">
        <f>SUM(I18:I23)</f>
        <v>0</v>
      </c>
      <c r="J24" s="20">
        <f>SUM(J18:J23)</f>
        <v>0</v>
      </c>
      <c r="K24" s="20">
        <f>SUM(K18:K23)</f>
        <v>0</v>
      </c>
      <c r="L24" s="33">
        <f>SUM(I24:K24)</f>
        <v>0</v>
      </c>
      <c r="M24" s="28"/>
      <c r="N24" s="28"/>
      <c r="O24" s="28"/>
      <c r="P24" s="28"/>
      <c r="Q24" s="28"/>
    </row>
    <row r="25" spans="1:19" ht="23.4" thickTop="1"/>
    <row r="26" spans="1:19" ht="30.75" customHeight="1">
      <c r="A26" s="29" t="s">
        <v>62</v>
      </c>
      <c r="B26" s="29"/>
      <c r="C26" s="29"/>
      <c r="D26" s="29"/>
      <c r="E26" s="29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31" t="s">
        <v>133</v>
      </c>
      <c r="Q26" s="231"/>
      <c r="R26" s="29"/>
    </row>
    <row r="27" spans="1:19">
      <c r="A27" s="231" t="s">
        <v>64</v>
      </c>
      <c r="B27" s="231"/>
      <c r="C27" s="231"/>
      <c r="D27" s="231"/>
      <c r="E27" s="231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31" t="s">
        <v>65</v>
      </c>
      <c r="Q27" s="231"/>
      <c r="R27" s="29"/>
    </row>
    <row r="28" spans="1:19">
      <c r="A28" s="23"/>
      <c r="B28" s="23"/>
      <c r="C28" s="23"/>
      <c r="D28" s="23"/>
      <c r="E28" s="23"/>
      <c r="F28" s="28"/>
      <c r="G28" s="28"/>
      <c r="H28" s="28"/>
      <c r="I28" s="28"/>
      <c r="J28" s="28" t="s">
        <v>216</v>
      </c>
      <c r="K28" s="28"/>
      <c r="L28" s="28"/>
      <c r="M28" s="28"/>
      <c r="N28" s="28"/>
      <c r="O28" s="28"/>
      <c r="P28" s="29"/>
      <c r="R28" s="29"/>
    </row>
    <row r="29" spans="1:19">
      <c r="A29" s="23"/>
      <c r="B29" s="23"/>
      <c r="C29" s="23"/>
      <c r="D29" s="23"/>
      <c r="E29" s="23"/>
      <c r="F29" s="28"/>
      <c r="G29" s="28"/>
      <c r="H29" s="28"/>
      <c r="I29" s="28" t="s">
        <v>244</v>
      </c>
      <c r="J29" s="28"/>
      <c r="K29" s="28"/>
      <c r="L29" s="28"/>
      <c r="M29" s="28"/>
      <c r="N29" s="28"/>
      <c r="O29" s="29"/>
      <c r="Q29" s="29"/>
    </row>
    <row r="30" spans="1:19" ht="23.4" thickBot="1">
      <c r="A30" s="23"/>
      <c r="B30" s="23"/>
      <c r="C30" s="23"/>
      <c r="D30" s="23"/>
      <c r="E30" s="23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9"/>
      <c r="R30" s="29"/>
    </row>
    <row r="31" spans="1:19" ht="24" thickTop="1" thickBot="1">
      <c r="A31" s="23"/>
      <c r="B31" s="23"/>
      <c r="C31" s="232" t="s">
        <v>218</v>
      </c>
      <c r="D31" s="233"/>
      <c r="E31" s="233"/>
      <c r="F31" s="286" t="s">
        <v>219</v>
      </c>
      <c r="G31" s="286"/>
      <c r="H31" s="286"/>
      <c r="I31" s="286"/>
      <c r="J31" s="286"/>
      <c r="K31" s="286"/>
      <c r="L31" s="286"/>
      <c r="M31" s="286"/>
      <c r="N31" s="287"/>
      <c r="O31" s="29"/>
      <c r="Q31" s="29"/>
    </row>
    <row r="32" spans="1:19" ht="23.25" customHeight="1" thickTop="1" thickBot="1">
      <c r="A32" s="23"/>
      <c r="B32" s="23"/>
      <c r="C32" s="226"/>
      <c r="D32" s="227"/>
      <c r="E32" s="227"/>
      <c r="F32" s="288" t="s">
        <v>220</v>
      </c>
      <c r="G32" s="288"/>
      <c r="H32" s="289" t="s">
        <v>221</v>
      </c>
      <c r="I32" s="289"/>
      <c r="J32" s="289"/>
      <c r="K32" s="289"/>
      <c r="L32" s="289"/>
      <c r="M32" s="227" t="s">
        <v>222</v>
      </c>
      <c r="N32" s="285" t="s">
        <v>223</v>
      </c>
      <c r="O32" s="29"/>
      <c r="Q32" s="29"/>
    </row>
    <row r="33" spans="1:17" ht="24" thickTop="1" thickBot="1">
      <c r="A33" s="23"/>
      <c r="B33" s="23"/>
      <c r="C33" s="226" t="s">
        <v>224</v>
      </c>
      <c r="D33" s="227"/>
      <c r="E33" s="248" t="s">
        <v>225</v>
      </c>
      <c r="F33" s="227" t="s">
        <v>226</v>
      </c>
      <c r="G33" s="227" t="s">
        <v>227</v>
      </c>
      <c r="H33" s="15" t="s">
        <v>228</v>
      </c>
      <c r="I33" s="15" t="s">
        <v>229</v>
      </c>
      <c r="J33" s="15" t="s">
        <v>230</v>
      </c>
      <c r="K33" s="15" t="s">
        <v>231</v>
      </c>
      <c r="L33" s="15" t="s">
        <v>232</v>
      </c>
      <c r="M33" s="227"/>
      <c r="N33" s="285"/>
      <c r="O33" s="29"/>
      <c r="Q33" s="29"/>
    </row>
    <row r="34" spans="1:17" ht="24" thickTop="1" thickBot="1">
      <c r="A34" s="23"/>
      <c r="B34" s="23"/>
      <c r="C34" s="17" t="s">
        <v>233</v>
      </c>
      <c r="D34" s="15" t="s">
        <v>227</v>
      </c>
      <c r="E34" s="248"/>
      <c r="F34" s="227"/>
      <c r="G34" s="227"/>
      <c r="H34" s="227">
        <f>'[1]التعليم الابتدائي'!AMN377</f>
        <v>74</v>
      </c>
      <c r="I34" s="227">
        <v>0</v>
      </c>
      <c r="J34" s="227">
        <v>0</v>
      </c>
      <c r="K34" s="227">
        <v>0</v>
      </c>
      <c r="L34" s="227">
        <v>0</v>
      </c>
      <c r="M34" s="227"/>
      <c r="N34" s="285"/>
      <c r="O34" s="29"/>
      <c r="Q34" s="29"/>
    </row>
    <row r="35" spans="1:17" ht="24" thickTop="1" thickBot="1">
      <c r="A35" s="23"/>
      <c r="B35" s="23"/>
      <c r="C35" s="18">
        <f>'[1]التعليم الابتدائي'!ALZ377</f>
        <v>242</v>
      </c>
      <c r="D35" s="20">
        <f>'[1]التعليم الابتدائي'!AMA377</f>
        <v>117</v>
      </c>
      <c r="E35" s="20">
        <f>'[1]التعليم الابتدائي'!AMM377</f>
        <v>85917</v>
      </c>
      <c r="F35" s="20">
        <f>'[1]التعليم الابتدائي'!AMN377</f>
        <v>74</v>
      </c>
      <c r="G35" s="42">
        <f>'[1]التعليم الابتدائي'!AMO377</f>
        <v>284</v>
      </c>
      <c r="H35" s="229"/>
      <c r="I35" s="229"/>
      <c r="J35" s="229"/>
      <c r="K35" s="229"/>
      <c r="L35" s="229"/>
      <c r="M35" s="38">
        <v>0</v>
      </c>
      <c r="N35" s="39">
        <v>0</v>
      </c>
      <c r="O35" s="29"/>
      <c r="Q35" s="29"/>
    </row>
    <row r="36" spans="1:17" ht="23.4" thickTop="1">
      <c r="A36" s="231" t="s">
        <v>234</v>
      </c>
      <c r="B36" s="231"/>
      <c r="C36" s="231"/>
      <c r="D36" s="231"/>
      <c r="E36" s="231"/>
      <c r="F36" s="231"/>
      <c r="G36" s="231"/>
      <c r="H36" s="231"/>
      <c r="I36" s="231"/>
      <c r="J36" s="231"/>
      <c r="K36" s="231"/>
      <c r="L36" s="231"/>
      <c r="M36" s="231"/>
      <c r="N36" s="231"/>
      <c r="O36" s="231"/>
      <c r="P36" s="231"/>
      <c r="Q36" s="231"/>
    </row>
    <row r="37" spans="1:17">
      <c r="A37" s="231" t="s">
        <v>208</v>
      </c>
      <c r="B37" s="231"/>
      <c r="C37" s="231"/>
      <c r="D37" s="231"/>
      <c r="E37" s="231"/>
      <c r="F37" s="231"/>
      <c r="G37" s="231"/>
      <c r="H37" s="231"/>
      <c r="I37" s="231"/>
      <c r="J37" s="231"/>
      <c r="K37" s="231"/>
      <c r="L37" s="231"/>
      <c r="M37" s="231"/>
      <c r="N37" s="231"/>
      <c r="O37" s="231"/>
      <c r="P37" s="231"/>
      <c r="Q37" s="231"/>
    </row>
    <row r="38" spans="1:17">
      <c r="A38" s="231" t="s">
        <v>245</v>
      </c>
      <c r="B38" s="231"/>
      <c r="C38" s="231"/>
      <c r="D38" s="231"/>
      <c r="E38" s="231"/>
      <c r="F38" s="231"/>
      <c r="G38" s="231"/>
      <c r="H38" s="231"/>
      <c r="I38" s="231"/>
      <c r="J38" s="231"/>
      <c r="K38" s="231"/>
      <c r="L38" s="231"/>
      <c r="M38" s="231"/>
      <c r="N38" s="231"/>
      <c r="O38" s="231"/>
      <c r="P38" s="231"/>
      <c r="Q38" s="231"/>
    </row>
    <row r="39" spans="1:17" ht="23.4" thickBo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</row>
    <row r="40" spans="1:17" ht="24" thickTop="1" thickBot="1">
      <c r="A40" s="43"/>
      <c r="B40" s="43"/>
      <c r="C40" s="43"/>
      <c r="D40" s="43"/>
      <c r="E40" s="43"/>
      <c r="F40" s="43"/>
      <c r="G40" s="43"/>
      <c r="H40" s="298"/>
      <c r="I40" s="233" t="s">
        <v>236</v>
      </c>
      <c r="J40" s="233"/>
      <c r="K40" s="233"/>
      <c r="L40" s="247"/>
      <c r="M40" s="43"/>
      <c r="N40" s="43"/>
      <c r="O40" s="43"/>
      <c r="P40" s="43"/>
      <c r="Q40" s="43"/>
    </row>
    <row r="41" spans="1:17" ht="24" thickTop="1" thickBot="1">
      <c r="A41" s="43"/>
      <c r="B41" s="43"/>
      <c r="C41" s="43"/>
      <c r="D41" s="43"/>
      <c r="E41" s="43"/>
      <c r="F41" s="43"/>
      <c r="G41" s="43"/>
      <c r="H41" s="299"/>
      <c r="I41" s="15" t="s">
        <v>76</v>
      </c>
      <c r="J41" s="15" t="s">
        <v>35</v>
      </c>
      <c r="K41" s="15" t="s">
        <v>237</v>
      </c>
      <c r="L41" s="36" t="s">
        <v>58</v>
      </c>
      <c r="M41" s="43"/>
      <c r="N41" s="43"/>
      <c r="O41" s="43"/>
      <c r="P41" s="43"/>
      <c r="Q41" s="43"/>
    </row>
    <row r="42" spans="1:17" ht="24" thickTop="1" thickBot="1">
      <c r="A42" s="43"/>
      <c r="B42" s="43"/>
      <c r="C42" s="43"/>
      <c r="D42" s="43"/>
      <c r="E42" s="43"/>
      <c r="F42" s="43"/>
      <c r="G42" s="43"/>
      <c r="H42" s="17" t="s">
        <v>238</v>
      </c>
      <c r="I42" s="15">
        <f>'[1]التعليم الابتدائي'!EQ377</f>
        <v>0</v>
      </c>
      <c r="J42" s="15">
        <f>'[1]التعليم الابتدائي'!ER377</f>
        <v>0</v>
      </c>
      <c r="K42" s="15">
        <f>'[1]التعليم الابتدائي'!ES377</f>
        <v>0</v>
      </c>
      <c r="L42" s="36">
        <f t="shared" ref="L42:L47" si="1">K42+J42+I42</f>
        <v>0</v>
      </c>
      <c r="M42" s="43"/>
      <c r="N42" s="43"/>
      <c r="O42" s="43"/>
      <c r="P42" s="43"/>
      <c r="Q42" s="43"/>
    </row>
    <row r="43" spans="1:17" ht="24" thickTop="1" thickBot="1">
      <c r="A43" s="43"/>
      <c r="B43" s="43"/>
      <c r="C43" s="43"/>
      <c r="D43" s="43"/>
      <c r="E43" s="43"/>
      <c r="F43" s="43"/>
      <c r="G43" s="43"/>
      <c r="H43" s="17" t="s">
        <v>239</v>
      </c>
      <c r="I43" s="15">
        <f>'[1]التعليم الابتدائي'!ET377</f>
        <v>0</v>
      </c>
      <c r="J43" s="15">
        <f>'[1]التعليم الابتدائي'!EU377</f>
        <v>0</v>
      </c>
      <c r="K43" s="15">
        <f>'[1]التعليم الابتدائي'!EV377</f>
        <v>0</v>
      </c>
      <c r="L43" s="36">
        <f t="shared" si="1"/>
        <v>0</v>
      </c>
      <c r="M43" s="43"/>
      <c r="N43" s="43"/>
      <c r="O43" s="43"/>
      <c r="P43" s="43"/>
      <c r="Q43" s="43"/>
    </row>
    <row r="44" spans="1:17" ht="24" thickTop="1" thickBot="1">
      <c r="A44" s="43"/>
      <c r="B44" s="43"/>
      <c r="C44" s="43"/>
      <c r="D44" s="43"/>
      <c r="E44" s="43"/>
      <c r="F44" s="43"/>
      <c r="G44" s="43"/>
      <c r="H44" s="17" t="s">
        <v>240</v>
      </c>
      <c r="I44" s="15">
        <f>'[1]التعليم الابتدائي'!EW377</f>
        <v>0</v>
      </c>
      <c r="J44" s="15">
        <f>'[1]التعليم الابتدائي'!EX377</f>
        <v>0</v>
      </c>
      <c r="K44" s="15">
        <f>'[1]التعليم الابتدائي'!EY377</f>
        <v>0</v>
      </c>
      <c r="L44" s="36">
        <f t="shared" si="1"/>
        <v>0</v>
      </c>
      <c r="M44" s="43"/>
      <c r="N44" s="43"/>
      <c r="O44" s="43"/>
      <c r="P44" s="43"/>
      <c r="Q44" s="43"/>
    </row>
    <row r="45" spans="1:17" ht="24" thickTop="1" thickBot="1">
      <c r="A45" s="43"/>
      <c r="B45" s="43"/>
      <c r="C45" s="43"/>
      <c r="D45" s="43"/>
      <c r="E45" s="43"/>
      <c r="F45" s="43"/>
      <c r="G45" s="43"/>
      <c r="H45" s="17" t="s">
        <v>241</v>
      </c>
      <c r="I45" s="15">
        <f>'[1]التعليم الابتدائي'!EZ377</f>
        <v>0</v>
      </c>
      <c r="J45" s="15">
        <f>'[1]التعليم الابتدائي'!FA377</f>
        <v>0</v>
      </c>
      <c r="K45" s="15">
        <f>'[1]التعليم الابتدائي'!FB377</f>
        <v>0</v>
      </c>
      <c r="L45" s="36">
        <f t="shared" si="1"/>
        <v>0</v>
      </c>
      <c r="M45" s="43"/>
      <c r="N45" s="43"/>
      <c r="O45" s="43"/>
      <c r="P45" s="43"/>
      <c r="Q45" s="43"/>
    </row>
    <row r="46" spans="1:17" ht="24" thickTop="1" thickBot="1">
      <c r="A46" s="43"/>
      <c r="B46" s="43"/>
      <c r="C46" s="43"/>
      <c r="D46" s="43"/>
      <c r="E46" s="43"/>
      <c r="F46" s="43"/>
      <c r="G46" s="43"/>
      <c r="H46" s="17" t="s">
        <v>242</v>
      </c>
      <c r="I46" s="15">
        <f>'[1]التعليم الابتدائي'!FC377</f>
        <v>0</v>
      </c>
      <c r="J46" s="15">
        <f>'[1]التعليم الابتدائي'!FD377</f>
        <v>0</v>
      </c>
      <c r="K46" s="15">
        <f>'[1]التعليم الابتدائي'!FE377</f>
        <v>0</v>
      </c>
      <c r="L46" s="36">
        <f t="shared" si="1"/>
        <v>0</v>
      </c>
      <c r="M46" s="43"/>
      <c r="N46" s="43"/>
      <c r="O46" s="43"/>
      <c r="P46" s="43"/>
      <c r="Q46" s="43"/>
    </row>
    <row r="47" spans="1:17" ht="24" thickTop="1" thickBot="1">
      <c r="A47" s="43"/>
      <c r="B47" s="43"/>
      <c r="C47" s="43"/>
      <c r="D47" s="43"/>
      <c r="E47" s="43"/>
      <c r="F47" s="43"/>
      <c r="G47" s="43"/>
      <c r="H47" s="17" t="s">
        <v>243</v>
      </c>
      <c r="I47" s="15">
        <f>'[1]التعليم الابتدائي'!FF377</f>
        <v>0</v>
      </c>
      <c r="J47" s="15">
        <f>'[1]التعليم الابتدائي'!FG377</f>
        <v>0</v>
      </c>
      <c r="K47" s="15">
        <f>'[1]التعليم الابتدائي'!FH377</f>
        <v>0</v>
      </c>
      <c r="L47" s="36">
        <f t="shared" si="1"/>
        <v>0</v>
      </c>
      <c r="M47" s="43"/>
      <c r="N47" s="43"/>
      <c r="O47" s="43"/>
      <c r="P47" s="43"/>
      <c r="Q47" s="43"/>
    </row>
    <row r="48" spans="1:17" ht="24" thickTop="1" thickBot="1">
      <c r="A48" s="43"/>
      <c r="B48" s="43"/>
      <c r="C48" s="43"/>
      <c r="D48" s="43"/>
      <c r="E48" s="43"/>
      <c r="F48" s="43"/>
      <c r="G48" s="43"/>
      <c r="H48" s="18" t="s">
        <v>58</v>
      </c>
      <c r="I48" s="20">
        <f>SUM(I42:I47)</f>
        <v>0</v>
      </c>
      <c r="J48" s="20">
        <f>SUM(J42:J47)</f>
        <v>0</v>
      </c>
      <c r="K48" s="20">
        <f>SUM(K42:K47)</f>
        <v>0</v>
      </c>
      <c r="L48" s="33">
        <f>SUM(I48:K48)</f>
        <v>0</v>
      </c>
      <c r="M48" s="43"/>
      <c r="N48" s="43"/>
      <c r="O48" s="43"/>
      <c r="P48" s="43"/>
      <c r="Q48" s="43"/>
    </row>
    <row r="49" spans="1:18" ht="23.4" thickTop="1"/>
    <row r="50" spans="1:18">
      <c r="A50" s="29" t="s">
        <v>62</v>
      </c>
      <c r="B50" s="29"/>
      <c r="C50" s="29"/>
      <c r="D50" s="29"/>
      <c r="E50" s="29"/>
      <c r="F50" s="28"/>
      <c r="G50" s="28"/>
      <c r="H50" s="28"/>
      <c r="I50" s="28"/>
      <c r="J50" s="28"/>
      <c r="K50" s="28"/>
      <c r="L50" s="28"/>
      <c r="M50" s="28"/>
      <c r="N50" s="28"/>
      <c r="O50" s="231" t="s">
        <v>5</v>
      </c>
      <c r="P50" s="231"/>
      <c r="Q50" s="231"/>
      <c r="R50" s="28"/>
    </row>
    <row r="51" spans="1:18">
      <c r="A51" s="231" t="s">
        <v>64</v>
      </c>
      <c r="B51" s="231"/>
      <c r="C51" s="231"/>
      <c r="D51" s="231"/>
      <c r="E51" s="231"/>
      <c r="F51" s="28"/>
      <c r="G51" s="28"/>
      <c r="H51" s="28"/>
      <c r="I51" s="28"/>
      <c r="J51" s="28"/>
      <c r="K51" s="28"/>
      <c r="L51" s="28"/>
      <c r="M51" s="28"/>
      <c r="N51" s="28"/>
      <c r="O51" s="231" t="s">
        <v>65</v>
      </c>
      <c r="P51" s="231"/>
      <c r="Q51" s="231"/>
      <c r="R51" s="28"/>
    </row>
    <row r="52" spans="1:18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</row>
    <row r="53" spans="1:18">
      <c r="A53" s="23"/>
      <c r="B53" s="23"/>
      <c r="C53" s="23"/>
      <c r="D53" s="23"/>
      <c r="E53" s="23"/>
      <c r="F53" s="28"/>
      <c r="G53" s="28"/>
      <c r="H53" s="28"/>
      <c r="I53" s="28"/>
      <c r="J53" s="28" t="s">
        <v>216</v>
      </c>
      <c r="K53" s="28"/>
      <c r="L53" s="28"/>
      <c r="M53" s="28"/>
      <c r="N53" s="28"/>
      <c r="O53" s="28"/>
      <c r="P53" s="29"/>
      <c r="R53" s="29"/>
    </row>
    <row r="54" spans="1:18">
      <c r="A54" s="23"/>
      <c r="B54" s="23"/>
      <c r="C54" s="23"/>
      <c r="D54" s="23"/>
      <c r="E54" s="23"/>
      <c r="F54" s="28"/>
      <c r="G54" s="28"/>
      <c r="H54" s="28"/>
      <c r="I54" s="28" t="s">
        <v>244</v>
      </c>
      <c r="J54" s="28"/>
      <c r="K54" s="28"/>
      <c r="L54" s="28"/>
      <c r="M54" s="28"/>
      <c r="N54" s="28"/>
      <c r="O54" s="29"/>
      <c r="Q54" s="29"/>
    </row>
    <row r="55" spans="1:18" ht="23.4" thickBot="1">
      <c r="A55" s="23"/>
      <c r="B55" s="23"/>
      <c r="C55" s="23"/>
      <c r="D55" s="23"/>
      <c r="E55" s="23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9"/>
      <c r="R55" s="29"/>
    </row>
    <row r="56" spans="1:18" ht="24" thickTop="1" thickBot="1">
      <c r="A56" s="23"/>
      <c r="B56" s="23"/>
      <c r="C56" s="232" t="s">
        <v>218</v>
      </c>
      <c r="D56" s="233"/>
      <c r="E56" s="233"/>
      <c r="F56" s="286" t="s">
        <v>219</v>
      </c>
      <c r="G56" s="286"/>
      <c r="H56" s="286"/>
      <c r="I56" s="286"/>
      <c r="J56" s="286"/>
      <c r="K56" s="286"/>
      <c r="L56" s="286"/>
      <c r="M56" s="286"/>
      <c r="N56" s="287"/>
      <c r="O56" s="29"/>
      <c r="Q56" s="29"/>
    </row>
    <row r="57" spans="1:18" ht="24" thickTop="1" thickBot="1">
      <c r="A57" s="23"/>
      <c r="B57" s="23"/>
      <c r="C57" s="226"/>
      <c r="D57" s="227"/>
      <c r="E57" s="227"/>
      <c r="F57" s="288" t="s">
        <v>220</v>
      </c>
      <c r="G57" s="288"/>
      <c r="H57" s="289" t="s">
        <v>221</v>
      </c>
      <c r="I57" s="289"/>
      <c r="J57" s="289"/>
      <c r="K57" s="289"/>
      <c r="L57" s="289"/>
      <c r="M57" s="227" t="s">
        <v>222</v>
      </c>
      <c r="N57" s="285" t="s">
        <v>223</v>
      </c>
      <c r="O57" s="29"/>
      <c r="Q57" s="29"/>
    </row>
    <row r="58" spans="1:18" ht="24" thickTop="1" thickBot="1">
      <c r="A58" s="23"/>
      <c r="B58" s="23"/>
      <c r="C58" s="226" t="s">
        <v>224</v>
      </c>
      <c r="D58" s="227"/>
      <c r="E58" s="248" t="s">
        <v>225</v>
      </c>
      <c r="F58" s="227" t="s">
        <v>226</v>
      </c>
      <c r="G58" s="227" t="s">
        <v>227</v>
      </c>
      <c r="H58" s="15" t="s">
        <v>228</v>
      </c>
      <c r="I58" s="15" t="s">
        <v>229</v>
      </c>
      <c r="J58" s="15" t="s">
        <v>230</v>
      </c>
      <c r="K58" s="15" t="s">
        <v>231</v>
      </c>
      <c r="L58" s="15" t="s">
        <v>232</v>
      </c>
      <c r="M58" s="227"/>
      <c r="N58" s="285"/>
      <c r="O58" s="29"/>
      <c r="Q58" s="29"/>
    </row>
    <row r="59" spans="1:18" ht="24" thickTop="1" thickBot="1">
      <c r="A59" s="23"/>
      <c r="B59" s="23"/>
      <c r="C59" s="17" t="s">
        <v>233</v>
      </c>
      <c r="D59" s="15" t="s">
        <v>227</v>
      </c>
      <c r="E59" s="248"/>
      <c r="F59" s="227"/>
      <c r="G59" s="227"/>
      <c r="H59" s="227">
        <f>'[1]التعليم الابتدائي'!AMN295</f>
        <v>68</v>
      </c>
      <c r="I59" s="227">
        <v>0</v>
      </c>
      <c r="J59" s="227">
        <v>0</v>
      </c>
      <c r="K59" s="227">
        <v>0</v>
      </c>
      <c r="L59" s="227">
        <v>0</v>
      </c>
      <c r="M59" s="227"/>
      <c r="N59" s="285"/>
      <c r="O59" s="29"/>
      <c r="Q59" s="29"/>
    </row>
    <row r="60" spans="1:18" ht="24" thickTop="1" thickBot="1">
      <c r="A60" s="23"/>
      <c r="B60" s="23"/>
      <c r="C60" s="18">
        <f>'[1]التعليم الابتدائي'!ALZ295</f>
        <v>203</v>
      </c>
      <c r="D60" s="20">
        <f>'[1]التعليم الابتدائي'!AMA295</f>
        <v>80</v>
      </c>
      <c r="E60" s="20">
        <f>'[1]التعليم الابتدائي'!AMM295</f>
        <v>76295</v>
      </c>
      <c r="F60" s="20">
        <f>'[1]التعليم الابتدائي'!AMN295</f>
        <v>68</v>
      </c>
      <c r="G60" s="42">
        <f>'[1]التعليم الابتدائي'!AMO295</f>
        <v>214</v>
      </c>
      <c r="H60" s="229"/>
      <c r="I60" s="229"/>
      <c r="J60" s="229"/>
      <c r="K60" s="229"/>
      <c r="L60" s="229"/>
      <c r="M60" s="38">
        <v>0</v>
      </c>
      <c r="N60" s="39">
        <v>0</v>
      </c>
      <c r="O60" s="29"/>
      <c r="Q60" s="29"/>
    </row>
    <row r="61" spans="1:18" ht="23.4" thickTop="1">
      <c r="A61" s="231" t="s">
        <v>234</v>
      </c>
      <c r="B61" s="231"/>
      <c r="C61" s="231"/>
      <c r="D61" s="231"/>
      <c r="E61" s="231"/>
      <c r="F61" s="231"/>
      <c r="G61" s="231"/>
      <c r="H61" s="231"/>
      <c r="I61" s="231"/>
      <c r="J61" s="231"/>
      <c r="K61" s="231"/>
      <c r="L61" s="231"/>
      <c r="M61" s="231"/>
      <c r="N61" s="231"/>
      <c r="O61" s="231"/>
      <c r="P61" s="231"/>
      <c r="Q61" s="231"/>
    </row>
    <row r="62" spans="1:18">
      <c r="A62" s="231" t="s">
        <v>208</v>
      </c>
      <c r="B62" s="231"/>
      <c r="C62" s="231"/>
      <c r="D62" s="231"/>
      <c r="E62" s="231"/>
      <c r="F62" s="231"/>
      <c r="G62" s="231"/>
      <c r="H62" s="231"/>
      <c r="I62" s="231"/>
      <c r="J62" s="231"/>
      <c r="K62" s="231"/>
      <c r="L62" s="231"/>
      <c r="M62" s="231"/>
      <c r="N62" s="231"/>
      <c r="O62" s="231"/>
      <c r="P62" s="231"/>
      <c r="Q62" s="231"/>
    </row>
    <row r="63" spans="1:18">
      <c r="A63" s="231" t="s">
        <v>245</v>
      </c>
      <c r="B63" s="231"/>
      <c r="C63" s="231"/>
      <c r="D63" s="231"/>
      <c r="E63" s="231"/>
      <c r="F63" s="231"/>
      <c r="G63" s="231"/>
      <c r="H63" s="231"/>
      <c r="I63" s="231"/>
      <c r="J63" s="231"/>
      <c r="K63" s="231"/>
      <c r="L63" s="231"/>
      <c r="M63" s="231"/>
      <c r="N63" s="231"/>
      <c r="O63" s="231"/>
      <c r="P63" s="231"/>
      <c r="Q63" s="231"/>
    </row>
    <row r="64" spans="1:18" ht="23.4" thickBot="1">
      <c r="A64" s="43"/>
      <c r="B64" s="43"/>
      <c r="C64" s="43"/>
      <c r="D64" s="43"/>
      <c r="E64" s="43"/>
      <c r="F64" s="43"/>
      <c r="G64" s="43"/>
      <c r="H64" s="43"/>
      <c r="I64" s="43"/>
      <c r="J64" s="28"/>
      <c r="K64" s="28"/>
      <c r="L64" s="28"/>
      <c r="M64" s="28"/>
      <c r="N64" s="28"/>
      <c r="O64" s="43"/>
      <c r="P64" s="43"/>
      <c r="Q64" s="43"/>
    </row>
    <row r="65" spans="1:18" ht="24" thickTop="1" thickBot="1">
      <c r="A65" s="28"/>
      <c r="B65" s="28"/>
      <c r="C65" s="28"/>
      <c r="D65" s="28"/>
      <c r="E65" s="28"/>
      <c r="F65" s="28"/>
      <c r="G65" s="28"/>
      <c r="H65" s="283"/>
      <c r="I65" s="233" t="s">
        <v>236</v>
      </c>
      <c r="J65" s="233"/>
      <c r="K65" s="233"/>
      <c r="L65" s="247"/>
      <c r="M65" s="28"/>
      <c r="N65" s="28"/>
      <c r="O65" s="28"/>
      <c r="P65" s="28"/>
      <c r="Q65" s="28"/>
    </row>
    <row r="66" spans="1:18" ht="24" thickTop="1" thickBot="1">
      <c r="A66" s="28"/>
      <c r="B66" s="28"/>
      <c r="C66" s="28"/>
      <c r="D66" s="28"/>
      <c r="E66" s="28"/>
      <c r="F66" s="28"/>
      <c r="G66" s="28"/>
      <c r="H66" s="284"/>
      <c r="I66" s="15" t="s">
        <v>76</v>
      </c>
      <c r="J66" s="15" t="s">
        <v>35</v>
      </c>
      <c r="K66" s="15" t="s">
        <v>237</v>
      </c>
      <c r="L66" s="36" t="s">
        <v>58</v>
      </c>
      <c r="M66" s="28"/>
      <c r="N66" s="28"/>
      <c r="O66" s="28"/>
      <c r="P66" s="28"/>
      <c r="Q66" s="28"/>
    </row>
    <row r="67" spans="1:18" ht="24" thickTop="1" thickBot="1">
      <c r="A67" s="28"/>
      <c r="B67" s="28"/>
      <c r="C67" s="28"/>
      <c r="D67" s="28"/>
      <c r="E67" s="28"/>
      <c r="F67" s="28"/>
      <c r="G67" s="28"/>
      <c r="H67" s="17" t="s">
        <v>238</v>
      </c>
      <c r="I67" s="15">
        <f>'[1]التعليم الابتدائي'!EQ295</f>
        <v>0</v>
      </c>
      <c r="J67" s="15">
        <f>'[1]التعليم الابتدائي'!ER295</f>
        <v>0</v>
      </c>
      <c r="K67" s="15">
        <f>'[1]التعليم الابتدائي'!ES295</f>
        <v>0</v>
      </c>
      <c r="L67" s="36">
        <f t="shared" ref="L67:L72" si="2">K67+J67+I67</f>
        <v>0</v>
      </c>
      <c r="M67" s="28"/>
      <c r="N67" s="28"/>
      <c r="O67" s="28"/>
      <c r="P67" s="28"/>
      <c r="Q67" s="28"/>
    </row>
    <row r="68" spans="1:18" ht="24" thickTop="1" thickBot="1">
      <c r="A68" s="28"/>
      <c r="B68" s="28"/>
      <c r="C68" s="28"/>
      <c r="D68" s="28"/>
      <c r="E68" s="28"/>
      <c r="F68" s="28"/>
      <c r="G68" s="28"/>
      <c r="H68" s="17" t="s">
        <v>239</v>
      </c>
      <c r="I68" s="15">
        <f>'[1]التعليم الابتدائي'!ET295</f>
        <v>0</v>
      </c>
      <c r="J68" s="15">
        <f>'[1]التعليم الابتدائي'!EU295</f>
        <v>0</v>
      </c>
      <c r="K68" s="15">
        <f>'[1]التعليم الابتدائي'!EV295</f>
        <v>0</v>
      </c>
      <c r="L68" s="36">
        <f t="shared" si="2"/>
        <v>0</v>
      </c>
      <c r="M68" s="28"/>
      <c r="N68" s="28"/>
      <c r="O68" s="28"/>
      <c r="P68" s="28"/>
      <c r="Q68" s="28"/>
    </row>
    <row r="69" spans="1:18" ht="24" thickTop="1" thickBot="1">
      <c r="A69" s="28"/>
      <c r="B69" s="28"/>
      <c r="C69" s="28"/>
      <c r="D69" s="28"/>
      <c r="E69" s="28"/>
      <c r="F69" s="28"/>
      <c r="G69" s="28"/>
      <c r="H69" s="17" t="s">
        <v>240</v>
      </c>
      <c r="I69" s="15">
        <f>'[1]التعليم الابتدائي'!EW295</f>
        <v>0</v>
      </c>
      <c r="J69" s="15">
        <f>'[1]التعليم الابتدائي'!EX295</f>
        <v>0</v>
      </c>
      <c r="K69" s="15">
        <f>'[1]التعليم الابتدائي'!EY295</f>
        <v>0</v>
      </c>
      <c r="L69" s="36">
        <f t="shared" si="2"/>
        <v>0</v>
      </c>
      <c r="M69" s="28"/>
      <c r="N69" s="28"/>
      <c r="O69" s="28"/>
      <c r="P69" s="28"/>
      <c r="Q69" s="28"/>
    </row>
    <row r="70" spans="1:18" ht="24" thickTop="1" thickBot="1">
      <c r="A70" s="28"/>
      <c r="B70" s="28"/>
      <c r="C70" s="28"/>
      <c r="D70" s="28"/>
      <c r="E70" s="28"/>
      <c r="F70" s="28"/>
      <c r="G70" s="28"/>
      <c r="H70" s="17" t="s">
        <v>241</v>
      </c>
      <c r="I70" s="15">
        <f>'[1]التعليم الابتدائي'!EZ295</f>
        <v>0</v>
      </c>
      <c r="J70" s="15">
        <f>'[1]التعليم الابتدائي'!FA295</f>
        <v>0</v>
      </c>
      <c r="K70" s="15">
        <f>'[1]التعليم الابتدائي'!FB295</f>
        <v>0</v>
      </c>
      <c r="L70" s="36">
        <f t="shared" si="2"/>
        <v>0</v>
      </c>
      <c r="M70" s="28"/>
      <c r="N70" s="28"/>
      <c r="O70" s="28"/>
      <c r="P70" s="28"/>
      <c r="Q70" s="28"/>
    </row>
    <row r="71" spans="1:18" ht="24" thickTop="1" thickBot="1">
      <c r="A71" s="28"/>
      <c r="B71" s="28"/>
      <c r="C71" s="28"/>
      <c r="D71" s="28"/>
      <c r="E71" s="28"/>
      <c r="F71" s="28"/>
      <c r="G71" s="28"/>
      <c r="H71" s="17" t="s">
        <v>242</v>
      </c>
      <c r="I71" s="15">
        <f>'[1]التعليم الابتدائي'!FC295</f>
        <v>0</v>
      </c>
      <c r="J71" s="15">
        <f>'[1]التعليم الابتدائي'!FD295</f>
        <v>0</v>
      </c>
      <c r="K71" s="15">
        <f>'[1]التعليم الابتدائي'!FE295</f>
        <v>0</v>
      </c>
      <c r="L71" s="36">
        <f t="shared" si="2"/>
        <v>0</v>
      </c>
      <c r="M71" s="28"/>
      <c r="N71" s="28"/>
      <c r="O71" s="28"/>
      <c r="P71" s="28"/>
      <c r="Q71" s="28"/>
    </row>
    <row r="72" spans="1:18" ht="24" thickTop="1" thickBot="1">
      <c r="A72" s="28"/>
      <c r="B72" s="28"/>
      <c r="C72" s="28"/>
      <c r="D72" s="28"/>
      <c r="E72" s="28"/>
      <c r="F72" s="28"/>
      <c r="G72" s="28"/>
      <c r="H72" s="17" t="s">
        <v>243</v>
      </c>
      <c r="I72" s="15">
        <f>'[1]التعليم الابتدائي'!FF295</f>
        <v>0</v>
      </c>
      <c r="J72" s="15">
        <f>'[1]التعليم الابتدائي'!FG295</f>
        <v>0</v>
      </c>
      <c r="K72" s="15">
        <f>'[1]التعليم الابتدائي'!FH295</f>
        <v>0</v>
      </c>
      <c r="L72" s="36">
        <f t="shared" si="2"/>
        <v>0</v>
      </c>
      <c r="M72" s="28"/>
      <c r="N72" s="28"/>
      <c r="O72" s="28"/>
      <c r="P72" s="28"/>
      <c r="Q72" s="28"/>
    </row>
    <row r="73" spans="1:18" ht="24" thickTop="1" thickBot="1">
      <c r="A73" s="28"/>
      <c r="B73" s="28"/>
      <c r="C73" s="28"/>
      <c r="D73" s="28"/>
      <c r="E73" s="28"/>
      <c r="F73" s="28"/>
      <c r="G73" s="28"/>
      <c r="H73" s="18" t="s">
        <v>58</v>
      </c>
      <c r="I73" s="20">
        <f>SUM(I67:I72)</f>
        <v>0</v>
      </c>
      <c r="J73" s="20">
        <f>SUM(J67:J72)</f>
        <v>0</v>
      </c>
      <c r="K73" s="20">
        <f>SUM(K67:K72)</f>
        <v>0</v>
      </c>
      <c r="L73" s="33">
        <f>SUM(I73:K73)</f>
        <v>0</v>
      </c>
      <c r="M73" s="28"/>
      <c r="N73" s="28"/>
      <c r="O73" s="28"/>
      <c r="P73" s="28"/>
      <c r="Q73" s="28"/>
    </row>
    <row r="74" spans="1:18" ht="23.4" thickTop="1"/>
    <row r="75" spans="1:18">
      <c r="A75" s="29" t="s">
        <v>62</v>
      </c>
      <c r="B75" s="29"/>
      <c r="C75" s="29"/>
      <c r="D75" s="29"/>
      <c r="E75" s="29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3" t="s">
        <v>86</v>
      </c>
      <c r="Q75" s="28"/>
    </row>
    <row r="76" spans="1:18">
      <c r="A76" s="231" t="s">
        <v>64</v>
      </c>
      <c r="B76" s="231"/>
      <c r="C76" s="231"/>
      <c r="D76" s="231"/>
      <c r="E76" s="231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3" t="s">
        <v>65</v>
      </c>
      <c r="Q76" s="28"/>
    </row>
    <row r="77" spans="1:18">
      <c r="A77" s="23"/>
      <c r="B77" s="23"/>
      <c r="C77" s="23"/>
      <c r="D77" s="23"/>
      <c r="E77" s="23"/>
      <c r="F77" s="28"/>
      <c r="G77" s="28"/>
      <c r="H77" s="28"/>
      <c r="I77" s="28"/>
      <c r="J77" s="28" t="s">
        <v>216</v>
      </c>
      <c r="K77" s="28"/>
      <c r="L77" s="28"/>
      <c r="M77" s="28"/>
      <c r="N77" s="28"/>
      <c r="O77" s="28"/>
      <c r="P77" s="29"/>
      <c r="R77" s="29"/>
    </row>
    <row r="78" spans="1:18">
      <c r="A78" s="23"/>
      <c r="B78" s="23"/>
      <c r="C78" s="23"/>
      <c r="D78" s="23"/>
      <c r="E78" s="23"/>
      <c r="F78" s="28"/>
      <c r="G78" s="28"/>
      <c r="H78" s="28"/>
      <c r="I78" s="28" t="s">
        <v>244</v>
      </c>
      <c r="J78" s="28"/>
      <c r="K78" s="28"/>
      <c r="L78" s="28"/>
      <c r="M78" s="28"/>
      <c r="N78" s="28"/>
      <c r="O78" s="29"/>
      <c r="Q78" s="29"/>
    </row>
    <row r="79" spans="1:18" ht="23.4" thickBot="1">
      <c r="A79" s="23"/>
      <c r="B79" s="23"/>
      <c r="C79" s="23"/>
      <c r="D79" s="23"/>
      <c r="E79" s="23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9"/>
      <c r="R79" s="29"/>
    </row>
    <row r="80" spans="1:18" ht="24" thickTop="1" thickBot="1">
      <c r="A80" s="23"/>
      <c r="B80" s="23"/>
      <c r="C80" s="232" t="s">
        <v>218</v>
      </c>
      <c r="D80" s="233"/>
      <c r="E80" s="233"/>
      <c r="F80" s="286" t="s">
        <v>219</v>
      </c>
      <c r="G80" s="286"/>
      <c r="H80" s="286"/>
      <c r="I80" s="286"/>
      <c r="J80" s="286"/>
      <c r="K80" s="286"/>
      <c r="L80" s="286"/>
      <c r="M80" s="286"/>
      <c r="N80" s="287"/>
      <c r="O80" s="29"/>
      <c r="Q80" s="29"/>
    </row>
    <row r="81" spans="1:18" ht="24" thickTop="1" thickBot="1">
      <c r="A81" s="23"/>
      <c r="B81" s="23"/>
      <c r="C81" s="226"/>
      <c r="D81" s="227"/>
      <c r="E81" s="227"/>
      <c r="F81" s="288" t="s">
        <v>220</v>
      </c>
      <c r="G81" s="288"/>
      <c r="H81" s="289" t="s">
        <v>221</v>
      </c>
      <c r="I81" s="289"/>
      <c r="J81" s="289"/>
      <c r="K81" s="289"/>
      <c r="L81" s="289"/>
      <c r="M81" s="227" t="s">
        <v>222</v>
      </c>
      <c r="N81" s="285" t="s">
        <v>223</v>
      </c>
      <c r="O81" s="29"/>
      <c r="Q81" s="29"/>
    </row>
    <row r="82" spans="1:18" ht="24" thickTop="1" thickBot="1">
      <c r="A82" s="23"/>
      <c r="B82" s="23"/>
      <c r="C82" s="226" t="s">
        <v>224</v>
      </c>
      <c r="D82" s="227"/>
      <c r="E82" s="248" t="s">
        <v>225</v>
      </c>
      <c r="F82" s="227" t="s">
        <v>226</v>
      </c>
      <c r="G82" s="227" t="s">
        <v>227</v>
      </c>
      <c r="H82" s="15" t="s">
        <v>228</v>
      </c>
      <c r="I82" s="15" t="s">
        <v>229</v>
      </c>
      <c r="J82" s="15" t="s">
        <v>230</v>
      </c>
      <c r="K82" s="15" t="s">
        <v>231</v>
      </c>
      <c r="L82" s="15" t="s">
        <v>232</v>
      </c>
      <c r="M82" s="227"/>
      <c r="N82" s="285"/>
      <c r="O82" s="29"/>
      <c r="Q82" s="29"/>
    </row>
    <row r="83" spans="1:18" ht="24" thickTop="1" thickBot="1">
      <c r="A83" s="23"/>
      <c r="B83" s="23"/>
      <c r="C83" s="17" t="s">
        <v>233</v>
      </c>
      <c r="D83" s="15" t="s">
        <v>227</v>
      </c>
      <c r="E83" s="248"/>
      <c r="F83" s="227"/>
      <c r="G83" s="227"/>
      <c r="H83" s="227">
        <f>'[1]التعليم الابتدائي'!AMN344</f>
        <v>5</v>
      </c>
      <c r="I83" s="227">
        <v>0</v>
      </c>
      <c r="J83" s="227">
        <v>0</v>
      </c>
      <c r="K83" s="227">
        <v>0</v>
      </c>
      <c r="L83" s="227">
        <v>0</v>
      </c>
      <c r="M83" s="227"/>
      <c r="N83" s="285"/>
      <c r="O83" s="29"/>
      <c r="Q83" s="29"/>
    </row>
    <row r="84" spans="1:18" ht="24" thickTop="1" thickBot="1">
      <c r="A84" s="23"/>
      <c r="B84" s="23"/>
      <c r="C84" s="18">
        <f>'[1]التعليم الابتدائي'!ALZ344</f>
        <v>27</v>
      </c>
      <c r="D84" s="20">
        <f>'[1]التعليم الابتدائي'!AMA344</f>
        <v>21</v>
      </c>
      <c r="E84" s="20">
        <f>'[1]التعليم الابتدائي'!AMM344</f>
        <v>6982</v>
      </c>
      <c r="F84" s="20">
        <f>'[1]التعليم الابتدائي'!AMN344</f>
        <v>5</v>
      </c>
      <c r="G84" s="20">
        <f>'[1]التعليم الابتدائي'!AMO344</f>
        <v>43</v>
      </c>
      <c r="H84" s="229"/>
      <c r="I84" s="229"/>
      <c r="J84" s="229"/>
      <c r="K84" s="229"/>
      <c r="L84" s="229"/>
      <c r="M84" s="38">
        <v>0</v>
      </c>
      <c r="N84" s="39">
        <v>0</v>
      </c>
      <c r="O84" s="29"/>
      <c r="Q84" s="29"/>
    </row>
    <row r="85" spans="1:18" ht="23.4" thickTop="1">
      <c r="A85" s="43"/>
      <c r="B85" s="231" t="s">
        <v>234</v>
      </c>
      <c r="C85" s="231"/>
      <c r="D85" s="231"/>
      <c r="E85" s="231"/>
      <c r="F85" s="231"/>
      <c r="G85" s="231"/>
      <c r="H85" s="231"/>
      <c r="I85" s="231"/>
      <c r="J85" s="231"/>
      <c r="K85" s="231"/>
      <c r="L85" s="231"/>
      <c r="M85" s="231"/>
      <c r="N85" s="231"/>
      <c r="O85" s="231"/>
      <c r="P85" s="231"/>
      <c r="Q85" s="231"/>
      <c r="R85" s="231"/>
    </row>
    <row r="86" spans="1:18">
      <c r="A86" s="231" t="s">
        <v>208</v>
      </c>
      <c r="B86" s="231"/>
      <c r="C86" s="231"/>
      <c r="D86" s="231"/>
      <c r="E86" s="231"/>
      <c r="F86" s="231"/>
      <c r="G86" s="231"/>
      <c r="H86" s="231"/>
      <c r="I86" s="231"/>
      <c r="J86" s="231"/>
      <c r="K86" s="231"/>
      <c r="L86" s="231"/>
      <c r="M86" s="231"/>
      <c r="N86" s="231"/>
      <c r="O86" s="231"/>
      <c r="P86" s="231"/>
      <c r="Q86" s="231"/>
    </row>
    <row r="87" spans="1:18">
      <c r="A87" s="231" t="s">
        <v>245</v>
      </c>
      <c r="B87" s="231"/>
      <c r="C87" s="231"/>
      <c r="D87" s="231"/>
      <c r="E87" s="231"/>
      <c r="F87" s="231"/>
      <c r="G87" s="231"/>
      <c r="H87" s="231"/>
      <c r="I87" s="231"/>
      <c r="J87" s="231"/>
      <c r="K87" s="231"/>
      <c r="L87" s="231"/>
      <c r="M87" s="231"/>
      <c r="N87" s="231"/>
      <c r="O87" s="231"/>
      <c r="P87" s="231"/>
      <c r="Q87" s="231"/>
    </row>
    <row r="88" spans="1:18" ht="23.4" thickBo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</row>
    <row r="89" spans="1:18" ht="24" thickTop="1" thickBot="1">
      <c r="A89" s="43"/>
      <c r="B89" s="43"/>
      <c r="C89" s="43"/>
      <c r="D89" s="43"/>
      <c r="E89" s="43"/>
      <c r="F89" s="43"/>
      <c r="G89" s="43"/>
      <c r="H89" s="296"/>
      <c r="I89" s="234" t="s">
        <v>236</v>
      </c>
      <c r="J89" s="235"/>
      <c r="K89" s="235"/>
      <c r="L89" s="259"/>
      <c r="M89" s="43"/>
      <c r="N89" s="43"/>
      <c r="O89" s="43"/>
      <c r="P89" s="43"/>
      <c r="Q89" s="43"/>
    </row>
    <row r="90" spans="1:18" ht="24" thickTop="1" thickBot="1">
      <c r="A90" s="43"/>
      <c r="B90" s="43"/>
      <c r="C90" s="43"/>
      <c r="D90" s="43"/>
      <c r="E90" s="43"/>
      <c r="F90" s="43"/>
      <c r="G90" s="43"/>
      <c r="H90" s="297"/>
      <c r="I90" s="15" t="s">
        <v>76</v>
      </c>
      <c r="J90" s="15" t="s">
        <v>35</v>
      </c>
      <c r="K90" s="15" t="s">
        <v>237</v>
      </c>
      <c r="L90" s="36" t="s">
        <v>58</v>
      </c>
      <c r="M90" s="43"/>
      <c r="N90" s="43"/>
      <c r="O90" s="43"/>
      <c r="P90" s="43"/>
      <c r="Q90" s="43"/>
    </row>
    <row r="91" spans="1:18" ht="24" thickTop="1" thickBot="1">
      <c r="A91" s="43"/>
      <c r="B91" s="43"/>
      <c r="C91" s="43"/>
      <c r="D91" s="43"/>
      <c r="E91" s="43"/>
      <c r="F91" s="43"/>
      <c r="G91" s="43"/>
      <c r="H91" s="17" t="s">
        <v>238</v>
      </c>
      <c r="I91" s="15">
        <f>'[1]التعليم الابتدائي'!EQ344</f>
        <v>0</v>
      </c>
      <c r="J91" s="15">
        <f>'[1]التعليم الابتدائي'!ER344</f>
        <v>0</v>
      </c>
      <c r="K91" s="15">
        <f>'[1]التعليم الابتدائي'!ES344</f>
        <v>0</v>
      </c>
      <c r="L91" s="36">
        <f t="shared" ref="L91:L96" si="3">K91+J91+I91</f>
        <v>0</v>
      </c>
      <c r="M91" s="43"/>
      <c r="N91" s="43"/>
      <c r="O91" s="43"/>
      <c r="P91" s="43"/>
      <c r="Q91" s="43"/>
    </row>
    <row r="92" spans="1:18" ht="24" thickTop="1" thickBot="1">
      <c r="A92" s="43"/>
      <c r="B92" s="43"/>
      <c r="C92" s="43"/>
      <c r="D92" s="43"/>
      <c r="E92" s="43"/>
      <c r="F92" s="43"/>
      <c r="G92" s="43"/>
      <c r="H92" s="17" t="s">
        <v>239</v>
      </c>
      <c r="I92" s="15">
        <f>'[1]التعليم الابتدائي'!ET344</f>
        <v>0</v>
      </c>
      <c r="J92" s="15">
        <f>'[1]التعليم الابتدائي'!EU344</f>
        <v>0</v>
      </c>
      <c r="K92" s="15">
        <f>'[1]التعليم الابتدائي'!EV344</f>
        <v>0</v>
      </c>
      <c r="L92" s="36">
        <f t="shared" si="3"/>
        <v>0</v>
      </c>
      <c r="M92" s="43"/>
      <c r="N92" s="43"/>
      <c r="O92" s="43"/>
      <c r="P92" s="43"/>
      <c r="Q92" s="43"/>
    </row>
    <row r="93" spans="1:18" ht="24" thickTop="1" thickBot="1">
      <c r="A93" s="43"/>
      <c r="B93" s="43"/>
      <c r="C93" s="43"/>
      <c r="D93" s="43"/>
      <c r="E93" s="43"/>
      <c r="F93" s="43"/>
      <c r="G93" s="43"/>
      <c r="H93" s="17" t="s">
        <v>240</v>
      </c>
      <c r="I93" s="15">
        <f>'[1]التعليم الابتدائي'!EW344</f>
        <v>0</v>
      </c>
      <c r="J93" s="15">
        <f>'[1]التعليم الابتدائي'!EX344</f>
        <v>0</v>
      </c>
      <c r="K93" s="15">
        <f>'[1]التعليم الابتدائي'!EY344</f>
        <v>0</v>
      </c>
      <c r="L93" s="36">
        <f t="shared" si="3"/>
        <v>0</v>
      </c>
      <c r="M93" s="43"/>
      <c r="N93" s="43"/>
      <c r="O93" s="43"/>
      <c r="P93" s="43"/>
      <c r="Q93" s="43"/>
    </row>
    <row r="94" spans="1:18" ht="24" thickTop="1" thickBot="1">
      <c r="A94" s="43"/>
      <c r="B94" s="43"/>
      <c r="C94" s="43"/>
      <c r="D94" s="43"/>
      <c r="E94" s="43"/>
      <c r="F94" s="43"/>
      <c r="G94" s="43"/>
      <c r="H94" s="17" t="s">
        <v>241</v>
      </c>
      <c r="I94" s="15">
        <f>'[1]التعليم الابتدائي'!EZ344</f>
        <v>0</v>
      </c>
      <c r="J94" s="15">
        <f>'[1]التعليم الابتدائي'!FA344</f>
        <v>0</v>
      </c>
      <c r="K94" s="15">
        <f>'[1]التعليم الابتدائي'!FB344</f>
        <v>0</v>
      </c>
      <c r="L94" s="36">
        <f t="shared" si="3"/>
        <v>0</v>
      </c>
      <c r="M94" s="43"/>
      <c r="N94" s="43"/>
      <c r="O94" s="43"/>
      <c r="P94" s="43"/>
      <c r="Q94" s="43"/>
    </row>
    <row r="95" spans="1:18" ht="24" thickTop="1" thickBot="1">
      <c r="A95" s="43"/>
      <c r="B95" s="43"/>
      <c r="C95" s="43"/>
      <c r="D95" s="43"/>
      <c r="E95" s="43"/>
      <c r="F95" s="43"/>
      <c r="G95" s="43"/>
      <c r="H95" s="17" t="s">
        <v>242</v>
      </c>
      <c r="I95" s="15">
        <f>'[1]التعليم الابتدائي'!FC344</f>
        <v>0</v>
      </c>
      <c r="J95" s="15">
        <f>'[1]التعليم الابتدائي'!FD344</f>
        <v>0</v>
      </c>
      <c r="K95" s="15">
        <f>'[1]التعليم الابتدائي'!FE344</f>
        <v>0</v>
      </c>
      <c r="L95" s="36">
        <f t="shared" si="3"/>
        <v>0</v>
      </c>
      <c r="M95" s="43"/>
      <c r="N95" s="43"/>
      <c r="O95" s="43"/>
      <c r="P95" s="43"/>
      <c r="Q95" s="43"/>
    </row>
    <row r="96" spans="1:18" ht="24" thickTop="1" thickBot="1">
      <c r="A96" s="43"/>
      <c r="B96" s="43"/>
      <c r="C96" s="43"/>
      <c r="D96" s="43"/>
      <c r="E96" s="43"/>
      <c r="F96" s="43"/>
      <c r="G96" s="43"/>
      <c r="H96" s="17" t="s">
        <v>243</v>
      </c>
      <c r="I96" s="15">
        <f>'[1]التعليم الابتدائي'!FF344</f>
        <v>0</v>
      </c>
      <c r="J96" s="15">
        <f>'[1]التعليم الابتدائي'!FG344</f>
        <v>0</v>
      </c>
      <c r="K96" s="15">
        <f>'[1]التعليم الابتدائي'!FH344</f>
        <v>0</v>
      </c>
      <c r="L96" s="36">
        <f t="shared" si="3"/>
        <v>0</v>
      </c>
      <c r="M96" s="43"/>
      <c r="N96" s="43"/>
      <c r="O96" s="43"/>
      <c r="P96" s="43"/>
      <c r="Q96" s="43"/>
    </row>
    <row r="97" spans="1:18" ht="24" thickTop="1" thickBot="1">
      <c r="A97" s="43"/>
      <c r="B97" s="43"/>
      <c r="C97" s="43"/>
      <c r="D97" s="43"/>
      <c r="E97" s="43"/>
      <c r="F97" s="43"/>
      <c r="G97" s="43"/>
      <c r="H97" s="18" t="s">
        <v>58</v>
      </c>
      <c r="I97" s="20">
        <f>SUM(I91:I96)</f>
        <v>0</v>
      </c>
      <c r="J97" s="20">
        <f>SUM(J91:J96)</f>
        <v>0</v>
      </c>
      <c r="K97" s="20">
        <f>SUM(K91:K96)</f>
        <v>0</v>
      </c>
      <c r="L97" s="33">
        <f>SUM(I97:K97)</f>
        <v>0</v>
      </c>
      <c r="M97" s="43"/>
      <c r="N97" s="43"/>
      <c r="O97" s="43"/>
      <c r="P97" s="43"/>
      <c r="Q97" s="43"/>
    </row>
    <row r="98" spans="1:18" ht="23.4" thickTop="1"/>
    <row r="99" spans="1:18">
      <c r="A99" s="29" t="s">
        <v>62</v>
      </c>
      <c r="B99" s="29"/>
      <c r="C99" s="29"/>
      <c r="D99" s="29"/>
      <c r="E99" s="29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3" t="s">
        <v>87</v>
      </c>
      <c r="Q99" s="23"/>
      <c r="R99" s="23"/>
    </row>
    <row r="100" spans="1:18">
      <c r="A100" s="231" t="s">
        <v>64</v>
      </c>
      <c r="B100" s="231"/>
      <c r="C100" s="231"/>
      <c r="D100" s="231"/>
      <c r="E100" s="231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3" t="s">
        <v>65</v>
      </c>
      <c r="Q100" s="23"/>
      <c r="R100" s="23"/>
    </row>
    <row r="101" spans="1:18">
      <c r="A101" s="23"/>
      <c r="B101" s="23"/>
      <c r="C101" s="23"/>
      <c r="D101" s="23"/>
      <c r="E101" s="23"/>
      <c r="F101" s="28"/>
      <c r="G101" s="28"/>
      <c r="H101" s="28"/>
      <c r="I101" s="28"/>
      <c r="J101" s="28" t="s">
        <v>216</v>
      </c>
      <c r="K101" s="28"/>
      <c r="L101" s="28"/>
      <c r="M101" s="28"/>
      <c r="N101" s="28"/>
      <c r="O101" s="28"/>
      <c r="P101" s="29"/>
      <c r="R101" s="29"/>
    </row>
    <row r="102" spans="1:18">
      <c r="A102" s="23"/>
      <c r="B102" s="23"/>
      <c r="C102" s="23"/>
      <c r="D102" s="23"/>
      <c r="E102" s="23"/>
      <c r="F102" s="28"/>
      <c r="G102" s="28"/>
      <c r="H102" s="28"/>
      <c r="I102" s="28" t="s">
        <v>244</v>
      </c>
      <c r="J102" s="28"/>
      <c r="K102" s="28"/>
      <c r="L102" s="28"/>
      <c r="M102" s="28"/>
      <c r="N102" s="28"/>
      <c r="O102" s="29"/>
      <c r="Q102" s="29"/>
    </row>
    <row r="103" spans="1:18" ht="23.4" thickBot="1">
      <c r="A103" s="23"/>
      <c r="B103" s="23"/>
      <c r="C103" s="23"/>
      <c r="D103" s="23"/>
      <c r="E103" s="23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9"/>
      <c r="R103" s="29"/>
    </row>
    <row r="104" spans="1:18" ht="24" thickTop="1" thickBot="1">
      <c r="A104" s="23"/>
      <c r="B104" s="23"/>
      <c r="C104" s="232" t="s">
        <v>218</v>
      </c>
      <c r="D104" s="233"/>
      <c r="E104" s="233"/>
      <c r="F104" s="286" t="s">
        <v>219</v>
      </c>
      <c r="G104" s="286"/>
      <c r="H104" s="286"/>
      <c r="I104" s="286"/>
      <c r="J104" s="286"/>
      <c r="K104" s="286"/>
      <c r="L104" s="286"/>
      <c r="M104" s="286"/>
      <c r="N104" s="287"/>
      <c r="O104" s="29"/>
      <c r="Q104" s="29"/>
    </row>
    <row r="105" spans="1:18" ht="24" thickTop="1" thickBot="1">
      <c r="A105" s="23"/>
      <c r="B105" s="23"/>
      <c r="C105" s="226"/>
      <c r="D105" s="227"/>
      <c r="E105" s="227"/>
      <c r="F105" s="288" t="s">
        <v>220</v>
      </c>
      <c r="G105" s="288"/>
      <c r="H105" s="289" t="s">
        <v>221</v>
      </c>
      <c r="I105" s="289"/>
      <c r="J105" s="289"/>
      <c r="K105" s="289"/>
      <c r="L105" s="289"/>
      <c r="M105" s="227" t="s">
        <v>222</v>
      </c>
      <c r="N105" s="285" t="s">
        <v>223</v>
      </c>
      <c r="O105" s="29"/>
      <c r="Q105" s="29"/>
    </row>
    <row r="106" spans="1:18" ht="24" thickTop="1" thickBot="1">
      <c r="A106" s="23"/>
      <c r="B106" s="23"/>
      <c r="C106" s="226" t="s">
        <v>224</v>
      </c>
      <c r="D106" s="227"/>
      <c r="E106" s="248" t="s">
        <v>225</v>
      </c>
      <c r="F106" s="227" t="s">
        <v>226</v>
      </c>
      <c r="G106" s="227" t="s">
        <v>227</v>
      </c>
      <c r="H106" s="15" t="s">
        <v>228</v>
      </c>
      <c r="I106" s="15" t="s">
        <v>229</v>
      </c>
      <c r="J106" s="15" t="s">
        <v>230</v>
      </c>
      <c r="K106" s="15" t="s">
        <v>231</v>
      </c>
      <c r="L106" s="15" t="s">
        <v>232</v>
      </c>
      <c r="M106" s="227"/>
      <c r="N106" s="285"/>
      <c r="O106" s="29"/>
      <c r="Q106" s="29"/>
    </row>
    <row r="107" spans="1:18" ht="24" thickTop="1" thickBot="1">
      <c r="A107" s="23"/>
      <c r="B107" s="23"/>
      <c r="C107" s="17" t="s">
        <v>233</v>
      </c>
      <c r="D107" s="15" t="s">
        <v>227</v>
      </c>
      <c r="E107" s="248"/>
      <c r="F107" s="227"/>
      <c r="G107" s="227"/>
      <c r="H107" s="227">
        <f>'[1]التعليم الابتدائي'!AMN346</f>
        <v>0</v>
      </c>
      <c r="I107" s="227">
        <v>0</v>
      </c>
      <c r="J107" s="227">
        <v>0</v>
      </c>
      <c r="K107" s="227">
        <v>0</v>
      </c>
      <c r="L107" s="227">
        <v>0</v>
      </c>
      <c r="M107" s="227"/>
      <c r="N107" s="285"/>
      <c r="O107" s="29"/>
      <c r="Q107" s="29"/>
    </row>
    <row r="108" spans="1:18" ht="24" thickTop="1" thickBot="1">
      <c r="A108" s="23"/>
      <c r="B108" s="23"/>
      <c r="C108" s="18">
        <f>'[1]التعليم الابتدائي'!ALZ346</f>
        <v>0</v>
      </c>
      <c r="D108" s="20">
        <f>'[1]التعليم الابتدائي'!AMA346</f>
        <v>1</v>
      </c>
      <c r="E108" s="20">
        <f>'[1]التعليم الابتدائي'!AMM346</f>
        <v>0</v>
      </c>
      <c r="F108" s="20">
        <f>'[1]التعليم الابتدائي'!AMN346</f>
        <v>0</v>
      </c>
      <c r="G108" s="20">
        <f>'[1]التعليم الابتدائي'!AMO346</f>
        <v>1</v>
      </c>
      <c r="H108" s="229"/>
      <c r="I108" s="229"/>
      <c r="J108" s="229"/>
      <c r="K108" s="229"/>
      <c r="L108" s="229"/>
      <c r="M108" s="38">
        <v>0</v>
      </c>
      <c r="N108" s="39">
        <v>0</v>
      </c>
      <c r="O108" s="29"/>
      <c r="Q108" s="29"/>
    </row>
    <row r="109" spans="1:18" ht="23.4" thickTop="1">
      <c r="A109" s="231" t="s">
        <v>234</v>
      </c>
      <c r="B109" s="231"/>
      <c r="C109" s="231"/>
      <c r="D109" s="231"/>
      <c r="E109" s="231"/>
      <c r="F109" s="231"/>
      <c r="G109" s="231"/>
      <c r="H109" s="231"/>
      <c r="I109" s="231"/>
      <c r="J109" s="231"/>
      <c r="K109" s="231"/>
      <c r="L109" s="231"/>
      <c r="M109" s="231"/>
      <c r="N109" s="231"/>
      <c r="O109" s="231"/>
      <c r="P109" s="231"/>
      <c r="Q109" s="231"/>
    </row>
    <row r="110" spans="1:18">
      <c r="A110" s="231" t="s">
        <v>208</v>
      </c>
      <c r="B110" s="231"/>
      <c r="C110" s="231"/>
      <c r="D110" s="231"/>
      <c r="E110" s="231"/>
      <c r="F110" s="231"/>
      <c r="G110" s="231"/>
      <c r="H110" s="231"/>
      <c r="I110" s="231"/>
      <c r="J110" s="231"/>
      <c r="K110" s="231"/>
      <c r="L110" s="231"/>
      <c r="M110" s="231"/>
      <c r="N110" s="231"/>
      <c r="O110" s="231"/>
      <c r="P110" s="231"/>
      <c r="Q110" s="231"/>
    </row>
    <row r="111" spans="1:18">
      <c r="A111" s="294" t="s">
        <v>245</v>
      </c>
      <c r="B111" s="294"/>
      <c r="C111" s="294"/>
      <c r="D111" s="294"/>
      <c r="E111" s="294"/>
      <c r="F111" s="294"/>
      <c r="G111" s="294"/>
      <c r="H111" s="294"/>
      <c r="I111" s="294"/>
      <c r="J111" s="294"/>
      <c r="K111" s="294"/>
      <c r="L111" s="294"/>
      <c r="M111" s="294"/>
      <c r="N111" s="294"/>
      <c r="O111" s="294"/>
      <c r="P111" s="294"/>
      <c r="Q111" s="294"/>
    </row>
    <row r="112" spans="1:18" ht="23.4" thickBo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</row>
    <row r="113" spans="1:18" ht="24" thickTop="1" thickBot="1">
      <c r="A113" s="28"/>
      <c r="B113" s="28"/>
      <c r="C113" s="28"/>
      <c r="D113" s="28"/>
      <c r="E113" s="28"/>
      <c r="F113" s="28"/>
      <c r="G113" s="28"/>
      <c r="H113" s="283"/>
      <c r="I113" s="233" t="s">
        <v>236</v>
      </c>
      <c r="J113" s="233"/>
      <c r="K113" s="233"/>
      <c r="L113" s="247"/>
      <c r="M113" s="28"/>
      <c r="N113" s="28"/>
      <c r="O113" s="28"/>
      <c r="P113" s="28"/>
      <c r="Q113" s="28"/>
    </row>
    <row r="114" spans="1:18" ht="24" thickTop="1" thickBot="1">
      <c r="A114" s="28"/>
      <c r="B114" s="28"/>
      <c r="C114" s="28"/>
      <c r="D114" s="28"/>
      <c r="E114" s="28"/>
      <c r="F114" s="28"/>
      <c r="G114" s="28"/>
      <c r="H114" s="284"/>
      <c r="I114" s="15" t="s">
        <v>76</v>
      </c>
      <c r="J114" s="15" t="s">
        <v>35</v>
      </c>
      <c r="K114" s="15" t="s">
        <v>237</v>
      </c>
      <c r="L114" s="36" t="s">
        <v>58</v>
      </c>
      <c r="M114" s="28"/>
      <c r="N114" s="28"/>
      <c r="O114" s="28"/>
      <c r="P114" s="28"/>
      <c r="Q114" s="28"/>
    </row>
    <row r="115" spans="1:18" ht="24" thickTop="1" thickBot="1">
      <c r="A115" s="28"/>
      <c r="B115" s="28"/>
      <c r="C115" s="28"/>
      <c r="D115" s="28"/>
      <c r="E115" s="28"/>
      <c r="F115" s="28"/>
      <c r="G115" s="28"/>
      <c r="H115" s="17" t="s">
        <v>238</v>
      </c>
      <c r="I115" s="15">
        <f>'[1]التعليم الابتدائي'!EQ346</f>
        <v>0</v>
      </c>
      <c r="J115" s="15">
        <f>'[1]التعليم الابتدائي'!ER346</f>
        <v>0</v>
      </c>
      <c r="K115" s="15">
        <f>'[1]التعليم الابتدائي'!ES346</f>
        <v>0</v>
      </c>
      <c r="L115" s="36">
        <f t="shared" ref="L115:L121" si="4">K115+J115+I115</f>
        <v>0</v>
      </c>
      <c r="M115" s="28"/>
      <c r="N115" s="28"/>
      <c r="O115" s="28"/>
      <c r="P115" s="28"/>
      <c r="Q115" s="28"/>
    </row>
    <row r="116" spans="1:18" ht="24" thickTop="1" thickBot="1">
      <c r="A116" s="28"/>
      <c r="B116" s="28"/>
      <c r="C116" s="28"/>
      <c r="D116" s="28"/>
      <c r="E116" s="28"/>
      <c r="F116" s="28"/>
      <c r="G116" s="28"/>
      <c r="H116" s="17" t="s">
        <v>239</v>
      </c>
      <c r="I116" s="15">
        <f>'[1]التعليم الابتدائي'!ET346</f>
        <v>0</v>
      </c>
      <c r="J116" s="15">
        <f>'[1]التعليم الابتدائي'!EU346</f>
        <v>0</v>
      </c>
      <c r="K116" s="15">
        <f>'[1]التعليم الابتدائي'!EV346</f>
        <v>0</v>
      </c>
      <c r="L116" s="36">
        <f t="shared" si="4"/>
        <v>0</v>
      </c>
      <c r="M116" s="28"/>
      <c r="N116" s="28"/>
      <c r="O116" s="28"/>
      <c r="P116" s="28"/>
      <c r="Q116" s="28"/>
    </row>
    <row r="117" spans="1:18" ht="24" thickTop="1" thickBot="1">
      <c r="A117" s="28"/>
      <c r="B117" s="28"/>
      <c r="C117" s="28"/>
      <c r="D117" s="28"/>
      <c r="E117" s="28"/>
      <c r="F117" s="28"/>
      <c r="G117" s="28"/>
      <c r="H117" s="17" t="s">
        <v>240</v>
      </c>
      <c r="I117" s="15">
        <f>'[1]التعليم الابتدائي'!EW346</f>
        <v>0</v>
      </c>
      <c r="J117" s="15">
        <f>'[1]التعليم الابتدائي'!EX346</f>
        <v>0</v>
      </c>
      <c r="K117" s="15">
        <f>'[1]التعليم الابتدائي'!EY346</f>
        <v>0</v>
      </c>
      <c r="L117" s="36">
        <f t="shared" si="4"/>
        <v>0</v>
      </c>
      <c r="M117" s="28"/>
      <c r="N117" s="28"/>
      <c r="O117" s="28"/>
      <c r="P117" s="28"/>
      <c r="Q117" s="28"/>
    </row>
    <row r="118" spans="1:18" ht="24" thickTop="1" thickBot="1">
      <c r="A118" s="28"/>
      <c r="B118" s="28"/>
      <c r="C118" s="28"/>
      <c r="D118" s="28"/>
      <c r="E118" s="28"/>
      <c r="F118" s="28"/>
      <c r="G118" s="28"/>
      <c r="H118" s="17" t="s">
        <v>241</v>
      </c>
      <c r="I118" s="15">
        <f>'[1]التعليم الابتدائي'!EZ346</f>
        <v>0</v>
      </c>
      <c r="J118" s="15">
        <f>'[1]التعليم الابتدائي'!FA346</f>
        <v>0</v>
      </c>
      <c r="K118" s="15">
        <f>'[1]التعليم الابتدائي'!FB346</f>
        <v>0</v>
      </c>
      <c r="L118" s="36">
        <f t="shared" si="4"/>
        <v>0</v>
      </c>
      <c r="M118" s="28"/>
      <c r="N118" s="28"/>
      <c r="O118" s="28"/>
      <c r="P118" s="28"/>
      <c r="Q118" s="28"/>
    </row>
    <row r="119" spans="1:18" ht="24" thickTop="1" thickBot="1">
      <c r="A119" s="28"/>
      <c r="B119" s="28"/>
      <c r="C119" s="28"/>
      <c r="D119" s="28"/>
      <c r="E119" s="28"/>
      <c r="F119" s="28"/>
      <c r="G119" s="28"/>
      <c r="H119" s="17" t="s">
        <v>242</v>
      </c>
      <c r="I119" s="15">
        <f>'[1]التعليم الابتدائي'!FC346</f>
        <v>0</v>
      </c>
      <c r="J119" s="15">
        <f>'[1]التعليم الابتدائي'!FD346</f>
        <v>0</v>
      </c>
      <c r="K119" s="15">
        <f>'[1]التعليم الابتدائي'!FE346</f>
        <v>0</v>
      </c>
      <c r="L119" s="36">
        <f t="shared" si="4"/>
        <v>0</v>
      </c>
      <c r="M119" s="28"/>
      <c r="N119" s="28"/>
      <c r="O119" s="28"/>
      <c r="P119" s="28"/>
      <c r="Q119" s="28"/>
    </row>
    <row r="120" spans="1:18" ht="24" thickTop="1" thickBot="1">
      <c r="A120" s="28"/>
      <c r="B120" s="28"/>
      <c r="C120" s="28"/>
      <c r="D120" s="28"/>
      <c r="E120" s="28"/>
      <c r="F120" s="28"/>
      <c r="G120" s="28"/>
      <c r="H120" s="17" t="s">
        <v>243</v>
      </c>
      <c r="I120" s="15">
        <f>'[1]التعليم الابتدائي'!FF346</f>
        <v>0</v>
      </c>
      <c r="J120" s="15">
        <f>'[1]التعليم الابتدائي'!FG346</f>
        <v>0</v>
      </c>
      <c r="K120" s="15">
        <f>'[1]التعليم الابتدائي'!FH346</f>
        <v>0</v>
      </c>
      <c r="L120" s="36">
        <f t="shared" si="4"/>
        <v>0</v>
      </c>
      <c r="M120" s="28"/>
      <c r="N120" s="28"/>
      <c r="O120" s="28"/>
      <c r="P120" s="28"/>
      <c r="Q120" s="28"/>
    </row>
    <row r="121" spans="1:18" ht="24" thickTop="1" thickBot="1">
      <c r="A121" s="28"/>
      <c r="B121" s="28"/>
      <c r="C121" s="28"/>
      <c r="D121" s="28"/>
      <c r="E121" s="28"/>
      <c r="F121" s="28"/>
      <c r="G121" s="28"/>
      <c r="H121" s="18" t="s">
        <v>58</v>
      </c>
      <c r="I121" s="20">
        <f>SUM(I115:I120)</f>
        <v>0</v>
      </c>
      <c r="J121" s="20">
        <f>SUM(J115:J120)</f>
        <v>0</v>
      </c>
      <c r="K121" s="20">
        <f>SUM(K115:K120)</f>
        <v>0</v>
      </c>
      <c r="L121" s="33">
        <f t="shared" si="4"/>
        <v>0</v>
      </c>
      <c r="M121" s="28"/>
      <c r="N121" s="28"/>
      <c r="O121" s="28"/>
      <c r="P121" s="28"/>
      <c r="Q121" s="28"/>
    </row>
    <row r="122" spans="1:18" ht="23.4" thickTop="1"/>
    <row r="123" spans="1:18">
      <c r="A123" s="29" t="s">
        <v>62</v>
      </c>
      <c r="B123" s="29"/>
      <c r="C123" s="29"/>
      <c r="D123" s="29"/>
      <c r="E123" s="29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3" t="s">
        <v>137</v>
      </c>
      <c r="Q123" s="23"/>
      <c r="R123" s="23"/>
    </row>
    <row r="124" spans="1:18">
      <c r="A124" s="231" t="s">
        <v>64</v>
      </c>
      <c r="B124" s="231"/>
      <c r="C124" s="231"/>
      <c r="D124" s="231"/>
      <c r="E124" s="231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3" t="s">
        <v>65</v>
      </c>
      <c r="Q124" s="23"/>
      <c r="R124" s="23"/>
    </row>
    <row r="125" spans="1:18">
      <c r="A125" s="23"/>
      <c r="B125" s="23"/>
      <c r="C125" s="23"/>
      <c r="D125" s="23"/>
      <c r="E125" s="23"/>
      <c r="F125" s="28"/>
      <c r="G125" s="28"/>
      <c r="H125" s="28"/>
      <c r="I125" s="28"/>
      <c r="J125" s="28" t="s">
        <v>216</v>
      </c>
      <c r="K125" s="28"/>
      <c r="L125" s="28"/>
      <c r="M125" s="28"/>
      <c r="N125" s="28"/>
      <c r="O125" s="28"/>
      <c r="P125" s="29"/>
      <c r="R125" s="29"/>
    </row>
    <row r="126" spans="1:18">
      <c r="A126" s="23"/>
      <c r="B126" s="23"/>
      <c r="C126" s="23"/>
      <c r="D126" s="23"/>
      <c r="E126" s="23"/>
      <c r="F126" s="28"/>
      <c r="G126" s="28"/>
      <c r="H126" s="28"/>
      <c r="I126" s="28" t="s">
        <v>244</v>
      </c>
      <c r="J126" s="28"/>
      <c r="K126" s="28"/>
      <c r="L126" s="28"/>
      <c r="M126" s="28"/>
      <c r="N126" s="28"/>
      <c r="O126" s="29"/>
      <c r="Q126" s="29"/>
    </row>
    <row r="127" spans="1:18" ht="23.4" thickBot="1">
      <c r="A127" s="23"/>
      <c r="B127" s="23"/>
      <c r="C127" s="23"/>
      <c r="D127" s="23"/>
      <c r="E127" s="23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9"/>
      <c r="R127" s="29"/>
    </row>
    <row r="128" spans="1:18" ht="24" thickTop="1" thickBot="1">
      <c r="A128" s="23"/>
      <c r="B128" s="23"/>
      <c r="C128" s="232" t="s">
        <v>218</v>
      </c>
      <c r="D128" s="233"/>
      <c r="E128" s="233"/>
      <c r="F128" s="286" t="s">
        <v>219</v>
      </c>
      <c r="G128" s="286"/>
      <c r="H128" s="286"/>
      <c r="I128" s="286"/>
      <c r="J128" s="286"/>
      <c r="K128" s="286"/>
      <c r="L128" s="286"/>
      <c r="M128" s="286"/>
      <c r="N128" s="287"/>
      <c r="O128" s="29"/>
      <c r="Q128" s="29"/>
    </row>
    <row r="129" spans="1:18" ht="24" thickTop="1" thickBot="1">
      <c r="A129" s="23"/>
      <c r="B129" s="23"/>
      <c r="C129" s="226"/>
      <c r="D129" s="227"/>
      <c r="E129" s="227"/>
      <c r="F129" s="288" t="s">
        <v>220</v>
      </c>
      <c r="G129" s="288"/>
      <c r="H129" s="289" t="s">
        <v>221</v>
      </c>
      <c r="I129" s="289"/>
      <c r="J129" s="289"/>
      <c r="K129" s="289"/>
      <c r="L129" s="289"/>
      <c r="M129" s="227" t="s">
        <v>222</v>
      </c>
      <c r="N129" s="285" t="s">
        <v>223</v>
      </c>
      <c r="O129" s="29"/>
      <c r="Q129" s="29"/>
    </row>
    <row r="130" spans="1:18" ht="24" thickTop="1" thickBot="1">
      <c r="A130" s="23"/>
      <c r="B130" s="23"/>
      <c r="C130" s="226" t="s">
        <v>224</v>
      </c>
      <c r="D130" s="227"/>
      <c r="E130" s="248" t="s">
        <v>225</v>
      </c>
      <c r="F130" s="227" t="s">
        <v>226</v>
      </c>
      <c r="G130" s="227" t="s">
        <v>227</v>
      </c>
      <c r="H130" s="15" t="s">
        <v>228</v>
      </c>
      <c r="I130" s="15" t="s">
        <v>229</v>
      </c>
      <c r="J130" s="15" t="s">
        <v>230</v>
      </c>
      <c r="K130" s="15" t="s">
        <v>231</v>
      </c>
      <c r="L130" s="15" t="s">
        <v>232</v>
      </c>
      <c r="M130" s="227"/>
      <c r="N130" s="285"/>
      <c r="O130" s="29"/>
      <c r="Q130" s="29"/>
    </row>
    <row r="131" spans="1:18" ht="24" thickTop="1" thickBot="1">
      <c r="A131" s="23"/>
      <c r="B131" s="23"/>
      <c r="C131" s="17" t="s">
        <v>233</v>
      </c>
      <c r="D131" s="15" t="s">
        <v>227</v>
      </c>
      <c r="E131" s="248"/>
      <c r="F131" s="227"/>
      <c r="G131" s="227"/>
      <c r="H131" s="227">
        <f>'[1]التعليم الابتدائي'!AMN368</f>
        <v>1</v>
      </c>
      <c r="I131" s="227">
        <v>0</v>
      </c>
      <c r="J131" s="227">
        <v>0</v>
      </c>
      <c r="K131" s="227">
        <v>0</v>
      </c>
      <c r="L131" s="227">
        <v>0</v>
      </c>
      <c r="M131" s="227"/>
      <c r="N131" s="285"/>
      <c r="O131" s="29"/>
      <c r="Q131" s="29"/>
    </row>
    <row r="132" spans="1:18" ht="24" thickTop="1" thickBot="1">
      <c r="A132" s="23"/>
      <c r="B132" s="23"/>
      <c r="C132" s="18">
        <f>'[1]التعليم الابتدائي'!ALZ368</f>
        <v>7</v>
      </c>
      <c r="D132" s="20">
        <f>'[1]التعليم الابتدائي'!AMA368</f>
        <v>13</v>
      </c>
      <c r="E132" s="20">
        <f>'[1]التعليم الابتدائي'!AMM368</f>
        <v>1714</v>
      </c>
      <c r="F132" s="20">
        <f>'[1]التعليم الابتدائي'!AMN368</f>
        <v>1</v>
      </c>
      <c r="G132" s="20">
        <f>'[1]التعليم الابتدائي'!AMO368</f>
        <v>19</v>
      </c>
      <c r="H132" s="229"/>
      <c r="I132" s="229"/>
      <c r="J132" s="229"/>
      <c r="K132" s="229"/>
      <c r="L132" s="229"/>
      <c r="M132" s="38">
        <v>0</v>
      </c>
      <c r="N132" s="39">
        <v>0</v>
      </c>
      <c r="O132" s="29"/>
      <c r="Q132" s="29"/>
    </row>
    <row r="133" spans="1:18" ht="23.4" thickTop="1">
      <c r="A133" s="28"/>
      <c r="B133" s="231" t="s">
        <v>234</v>
      </c>
      <c r="C133" s="231"/>
      <c r="D133" s="231"/>
      <c r="E133" s="231"/>
      <c r="F133" s="231"/>
      <c r="G133" s="231"/>
      <c r="H133" s="231"/>
      <c r="I133" s="231"/>
      <c r="J133" s="231"/>
      <c r="K133" s="231"/>
      <c r="L133" s="231"/>
      <c r="M133" s="231"/>
      <c r="N133" s="231"/>
      <c r="O133" s="231"/>
      <c r="P133" s="231"/>
      <c r="Q133" s="231"/>
      <c r="R133" s="231"/>
    </row>
    <row r="134" spans="1:18">
      <c r="A134" s="231" t="s">
        <v>208</v>
      </c>
      <c r="B134" s="231"/>
      <c r="C134" s="231"/>
      <c r="D134" s="231"/>
      <c r="E134" s="231"/>
      <c r="F134" s="231"/>
      <c r="G134" s="231"/>
      <c r="H134" s="231"/>
      <c r="I134" s="231"/>
      <c r="J134" s="231"/>
      <c r="K134" s="231"/>
      <c r="L134" s="231"/>
      <c r="M134" s="231"/>
      <c r="N134" s="231"/>
      <c r="O134" s="231"/>
      <c r="P134" s="231"/>
      <c r="Q134" s="231"/>
    </row>
    <row r="135" spans="1:18">
      <c r="A135" s="294" t="s">
        <v>245</v>
      </c>
      <c r="B135" s="294"/>
      <c r="C135" s="294"/>
      <c r="D135" s="294"/>
      <c r="E135" s="294"/>
      <c r="F135" s="294"/>
      <c r="G135" s="294"/>
      <c r="H135" s="294"/>
      <c r="I135" s="294"/>
      <c r="J135" s="294"/>
      <c r="K135" s="294"/>
      <c r="L135" s="294"/>
      <c r="M135" s="294"/>
      <c r="N135" s="294"/>
      <c r="O135" s="294"/>
      <c r="P135" s="294"/>
      <c r="Q135" s="294"/>
    </row>
    <row r="136" spans="1:18" ht="23.4" thickBo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</row>
    <row r="137" spans="1:18" ht="24" thickTop="1" thickBot="1">
      <c r="A137" s="28"/>
      <c r="B137" s="28"/>
      <c r="C137" s="28"/>
      <c r="D137" s="28"/>
      <c r="E137" s="28"/>
      <c r="F137" s="28"/>
      <c r="G137" s="28"/>
      <c r="H137" s="283"/>
      <c r="I137" s="233" t="s">
        <v>236</v>
      </c>
      <c r="J137" s="233"/>
      <c r="K137" s="233"/>
      <c r="L137" s="247"/>
      <c r="M137" s="28"/>
      <c r="N137" s="28"/>
      <c r="O137" s="28"/>
      <c r="P137" s="28"/>
      <c r="Q137" s="28"/>
    </row>
    <row r="138" spans="1:18" ht="24" thickTop="1" thickBot="1">
      <c r="A138" s="28"/>
      <c r="B138" s="28"/>
      <c r="C138" s="28"/>
      <c r="D138" s="28"/>
      <c r="E138" s="28"/>
      <c r="F138" s="28"/>
      <c r="G138" s="28"/>
      <c r="H138" s="284"/>
      <c r="I138" s="15" t="s">
        <v>76</v>
      </c>
      <c r="J138" s="15" t="s">
        <v>35</v>
      </c>
      <c r="K138" s="15" t="s">
        <v>237</v>
      </c>
      <c r="L138" s="36" t="s">
        <v>58</v>
      </c>
      <c r="M138" s="28"/>
      <c r="N138" s="28"/>
      <c r="O138" s="28"/>
      <c r="P138" s="28"/>
      <c r="Q138" s="28"/>
    </row>
    <row r="139" spans="1:18" ht="24" thickTop="1" thickBot="1">
      <c r="A139" s="28"/>
      <c r="B139" s="28"/>
      <c r="C139" s="28"/>
      <c r="D139" s="28"/>
      <c r="E139" s="28"/>
      <c r="F139" s="28"/>
      <c r="G139" s="28"/>
      <c r="H139" s="17" t="s">
        <v>238</v>
      </c>
      <c r="I139" s="15">
        <f>'[1]التعليم الابتدائي'!EQ368</f>
        <v>0</v>
      </c>
      <c r="J139" s="15">
        <f>'[1]التعليم الابتدائي'!ER368</f>
        <v>0</v>
      </c>
      <c r="K139" s="15">
        <f>'[1]التعليم الابتدائي'!ES368</f>
        <v>0</v>
      </c>
      <c r="L139" s="36">
        <f t="shared" ref="L139:L145" si="5">K139+J139+I139</f>
        <v>0</v>
      </c>
      <c r="M139" s="28"/>
      <c r="N139" s="28"/>
      <c r="O139" s="28"/>
      <c r="P139" s="28"/>
      <c r="Q139" s="28"/>
    </row>
    <row r="140" spans="1:18" ht="24" thickTop="1" thickBot="1">
      <c r="A140" s="28"/>
      <c r="B140" s="28"/>
      <c r="C140" s="28"/>
      <c r="D140" s="28"/>
      <c r="E140" s="28"/>
      <c r="F140" s="28"/>
      <c r="G140" s="28"/>
      <c r="H140" s="17" t="s">
        <v>239</v>
      </c>
      <c r="I140" s="15">
        <f>'[1]التعليم الابتدائي'!ET368</f>
        <v>0</v>
      </c>
      <c r="J140" s="15">
        <f>'[1]التعليم الابتدائي'!EU368</f>
        <v>0</v>
      </c>
      <c r="K140" s="15">
        <f>'[1]التعليم الابتدائي'!EV368</f>
        <v>0</v>
      </c>
      <c r="L140" s="36">
        <f t="shared" si="5"/>
        <v>0</v>
      </c>
      <c r="M140" s="28"/>
      <c r="N140" s="28"/>
      <c r="O140" s="28"/>
      <c r="P140" s="28"/>
      <c r="Q140" s="28"/>
    </row>
    <row r="141" spans="1:18" ht="24" thickTop="1" thickBot="1">
      <c r="A141" s="28"/>
      <c r="B141" s="28"/>
      <c r="C141" s="28"/>
      <c r="D141" s="28"/>
      <c r="E141" s="28"/>
      <c r="F141" s="28"/>
      <c r="G141" s="28"/>
      <c r="H141" s="17" t="s">
        <v>240</v>
      </c>
      <c r="I141" s="15">
        <f>'[1]التعليم الابتدائي'!EW368</f>
        <v>0</v>
      </c>
      <c r="J141" s="15">
        <f>'[1]التعليم الابتدائي'!EX368</f>
        <v>0</v>
      </c>
      <c r="K141" s="15">
        <f>'[1]التعليم الابتدائي'!EY368</f>
        <v>0</v>
      </c>
      <c r="L141" s="36">
        <f t="shared" si="5"/>
        <v>0</v>
      </c>
      <c r="M141" s="28"/>
      <c r="N141" s="28"/>
      <c r="O141" s="28"/>
      <c r="P141" s="28"/>
      <c r="Q141" s="28"/>
    </row>
    <row r="142" spans="1:18" ht="24" thickTop="1" thickBot="1">
      <c r="A142" s="28"/>
      <c r="B142" s="28"/>
      <c r="C142" s="28"/>
      <c r="D142" s="28"/>
      <c r="E142" s="28"/>
      <c r="F142" s="28"/>
      <c r="G142" s="28"/>
      <c r="H142" s="17" t="s">
        <v>241</v>
      </c>
      <c r="I142" s="15">
        <f>'[1]التعليم الابتدائي'!EZ368</f>
        <v>0</v>
      </c>
      <c r="J142" s="15">
        <f>'[1]التعليم الابتدائي'!FA368</f>
        <v>0</v>
      </c>
      <c r="K142" s="15">
        <f>'[1]التعليم الابتدائي'!FB368</f>
        <v>0</v>
      </c>
      <c r="L142" s="36">
        <f t="shared" si="5"/>
        <v>0</v>
      </c>
      <c r="M142" s="28"/>
      <c r="N142" s="28"/>
      <c r="O142" s="28"/>
      <c r="P142" s="28"/>
      <c r="Q142" s="28"/>
    </row>
    <row r="143" spans="1:18" ht="24" thickTop="1" thickBot="1">
      <c r="A143" s="28"/>
      <c r="B143" s="28"/>
      <c r="C143" s="28"/>
      <c r="D143" s="28"/>
      <c r="E143" s="28"/>
      <c r="F143" s="28"/>
      <c r="G143" s="28"/>
      <c r="H143" s="17" t="s">
        <v>242</v>
      </c>
      <c r="I143" s="15">
        <f>'[1]التعليم الابتدائي'!FC368</f>
        <v>0</v>
      </c>
      <c r="J143" s="15">
        <f>'[1]التعليم الابتدائي'!FD368</f>
        <v>0</v>
      </c>
      <c r="K143" s="15">
        <f>'[1]التعليم الابتدائي'!FE368</f>
        <v>0</v>
      </c>
      <c r="L143" s="36">
        <f t="shared" si="5"/>
        <v>0</v>
      </c>
      <c r="M143" s="28"/>
      <c r="N143" s="28"/>
      <c r="O143" s="28"/>
      <c r="P143" s="28"/>
      <c r="Q143" s="28"/>
    </row>
    <row r="144" spans="1:18" ht="24" thickTop="1" thickBot="1">
      <c r="A144" s="28"/>
      <c r="B144" s="28"/>
      <c r="C144" s="28"/>
      <c r="D144" s="28"/>
      <c r="E144" s="28"/>
      <c r="F144" s="28"/>
      <c r="G144" s="28"/>
      <c r="H144" s="17" t="s">
        <v>243</v>
      </c>
      <c r="I144" s="15">
        <f>'[1]التعليم الابتدائي'!FF368</f>
        <v>0</v>
      </c>
      <c r="J144" s="15">
        <f>'[1]التعليم الابتدائي'!FG368</f>
        <v>0</v>
      </c>
      <c r="K144" s="15">
        <f>'[1]التعليم الابتدائي'!FH368</f>
        <v>0</v>
      </c>
      <c r="L144" s="36">
        <f t="shared" si="5"/>
        <v>0</v>
      </c>
      <c r="M144" s="28"/>
      <c r="N144" s="28"/>
      <c r="O144" s="28"/>
      <c r="P144" s="28"/>
      <c r="Q144" s="28"/>
    </row>
    <row r="145" spans="1:18" ht="24" thickTop="1" thickBot="1">
      <c r="A145" s="28"/>
      <c r="B145" s="28"/>
      <c r="C145" s="28"/>
      <c r="D145" s="28"/>
      <c r="E145" s="28"/>
      <c r="F145" s="28"/>
      <c r="G145" s="28"/>
      <c r="H145" s="18" t="s">
        <v>58</v>
      </c>
      <c r="I145" s="20">
        <f>SUM(I139:I144)</f>
        <v>0</v>
      </c>
      <c r="J145" s="20">
        <f>SUM(J139:J144)</f>
        <v>0</v>
      </c>
      <c r="K145" s="20">
        <f>SUM(K139:K144)</f>
        <v>0</v>
      </c>
      <c r="L145" s="33">
        <f t="shared" si="5"/>
        <v>0</v>
      </c>
      <c r="M145" s="28"/>
      <c r="N145" s="28"/>
      <c r="O145" s="28"/>
      <c r="P145" s="28"/>
      <c r="Q145" s="28"/>
    </row>
    <row r="146" spans="1:18" ht="23.4" thickTop="1">
      <c r="A146" s="29" t="s">
        <v>62</v>
      </c>
      <c r="B146" s="29"/>
      <c r="C146" s="29"/>
      <c r="D146" s="29"/>
      <c r="E146" s="29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3" t="s">
        <v>88</v>
      </c>
      <c r="Q146" s="23"/>
      <c r="R146" s="23"/>
    </row>
    <row r="147" spans="1:18">
      <c r="A147" s="231" t="s">
        <v>64</v>
      </c>
      <c r="B147" s="231"/>
      <c r="C147" s="231"/>
      <c r="D147" s="231"/>
      <c r="E147" s="231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3" t="s">
        <v>65</v>
      </c>
      <c r="Q147" s="23"/>
      <c r="R147" s="23"/>
    </row>
    <row r="148" spans="1:18">
      <c r="A148" s="23"/>
      <c r="B148" s="23"/>
      <c r="C148" s="23"/>
      <c r="D148" s="23"/>
      <c r="E148" s="23"/>
      <c r="F148" s="28"/>
      <c r="G148" s="28"/>
      <c r="H148" s="28"/>
      <c r="I148" s="28"/>
      <c r="J148" s="28" t="s">
        <v>216</v>
      </c>
      <c r="K148" s="28"/>
      <c r="L148" s="28"/>
      <c r="M148" s="28"/>
      <c r="N148" s="28"/>
      <c r="O148" s="28"/>
      <c r="P148" s="29"/>
      <c r="R148" s="29"/>
    </row>
    <row r="149" spans="1:18">
      <c r="A149" s="23"/>
      <c r="B149" s="23"/>
      <c r="C149" s="23"/>
      <c r="D149" s="23"/>
      <c r="E149" s="23"/>
      <c r="F149" s="28"/>
      <c r="G149" s="28"/>
      <c r="H149" s="28"/>
      <c r="I149" s="28" t="s">
        <v>244</v>
      </c>
      <c r="J149" s="28"/>
      <c r="K149" s="28"/>
      <c r="L149" s="28"/>
      <c r="M149" s="28"/>
      <c r="N149" s="28"/>
      <c r="O149" s="29"/>
      <c r="Q149" s="29"/>
    </row>
    <row r="150" spans="1:18" ht="23.4" thickBot="1">
      <c r="A150" s="23"/>
      <c r="B150" s="23"/>
      <c r="C150" s="23"/>
      <c r="D150" s="23"/>
      <c r="E150" s="23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9"/>
      <c r="R150" s="29"/>
    </row>
    <row r="151" spans="1:18" ht="24" thickTop="1" thickBot="1">
      <c r="A151" s="23"/>
      <c r="B151" s="23"/>
      <c r="C151" s="232" t="s">
        <v>218</v>
      </c>
      <c r="D151" s="233"/>
      <c r="E151" s="233"/>
      <c r="F151" s="286" t="s">
        <v>219</v>
      </c>
      <c r="G151" s="286"/>
      <c r="H151" s="286"/>
      <c r="I151" s="286"/>
      <c r="J151" s="286"/>
      <c r="K151" s="286"/>
      <c r="L151" s="286"/>
      <c r="M151" s="286"/>
      <c r="N151" s="287"/>
      <c r="O151" s="29"/>
      <c r="Q151" s="29"/>
    </row>
    <row r="152" spans="1:18" ht="24" thickTop="1" thickBot="1">
      <c r="A152" s="23"/>
      <c r="B152" s="23"/>
      <c r="C152" s="226"/>
      <c r="D152" s="227"/>
      <c r="E152" s="227"/>
      <c r="F152" s="288" t="s">
        <v>220</v>
      </c>
      <c r="G152" s="288"/>
      <c r="H152" s="289" t="s">
        <v>221</v>
      </c>
      <c r="I152" s="289"/>
      <c r="J152" s="289"/>
      <c r="K152" s="289"/>
      <c r="L152" s="289"/>
      <c r="M152" s="227" t="s">
        <v>222</v>
      </c>
      <c r="N152" s="285" t="s">
        <v>223</v>
      </c>
      <c r="O152" s="29"/>
      <c r="Q152" s="29"/>
    </row>
    <row r="153" spans="1:18" ht="24" thickTop="1" thickBot="1">
      <c r="A153" s="23"/>
      <c r="B153" s="23"/>
      <c r="C153" s="226" t="s">
        <v>224</v>
      </c>
      <c r="D153" s="227"/>
      <c r="E153" s="248" t="s">
        <v>225</v>
      </c>
      <c r="F153" s="227" t="s">
        <v>226</v>
      </c>
      <c r="G153" s="227" t="s">
        <v>227</v>
      </c>
      <c r="H153" s="15" t="s">
        <v>228</v>
      </c>
      <c r="I153" s="15" t="s">
        <v>229</v>
      </c>
      <c r="J153" s="15" t="s">
        <v>230</v>
      </c>
      <c r="K153" s="15" t="s">
        <v>231</v>
      </c>
      <c r="L153" s="15" t="s">
        <v>232</v>
      </c>
      <c r="M153" s="227"/>
      <c r="N153" s="285"/>
      <c r="O153" s="29"/>
      <c r="Q153" s="29"/>
    </row>
    <row r="154" spans="1:18" ht="24" thickTop="1" thickBot="1">
      <c r="A154" s="23"/>
      <c r="B154" s="23"/>
      <c r="C154" s="17" t="s">
        <v>233</v>
      </c>
      <c r="D154" s="15" t="s">
        <v>227</v>
      </c>
      <c r="E154" s="248"/>
      <c r="F154" s="227"/>
      <c r="G154" s="227"/>
      <c r="H154" s="227">
        <f>'[1]التعليم الابتدائي'!AMN376</f>
        <v>0</v>
      </c>
      <c r="I154" s="227">
        <v>0</v>
      </c>
      <c r="J154" s="227">
        <v>0</v>
      </c>
      <c r="K154" s="227">
        <v>0</v>
      </c>
      <c r="L154" s="227">
        <v>0</v>
      </c>
      <c r="M154" s="227"/>
      <c r="N154" s="285"/>
      <c r="O154" s="29"/>
      <c r="Q154" s="29"/>
    </row>
    <row r="155" spans="1:18" ht="24" thickTop="1" thickBot="1">
      <c r="A155" s="23"/>
      <c r="B155" s="23"/>
      <c r="C155" s="18">
        <f>'[1]التعليم الابتدائي'!ALZ376</f>
        <v>5</v>
      </c>
      <c r="D155" s="20">
        <f>'[1]التعليم الابتدائي'!AMA376</f>
        <v>2</v>
      </c>
      <c r="E155" s="20">
        <f>'[1]التعليم الابتدائي'!AMM376</f>
        <v>926</v>
      </c>
      <c r="F155" s="20">
        <f>'[1]التعليم الابتدائي'!AMN376</f>
        <v>0</v>
      </c>
      <c r="G155" s="20">
        <f>'[1]التعليم الابتدائي'!AMO376</f>
        <v>7</v>
      </c>
      <c r="H155" s="229"/>
      <c r="I155" s="229"/>
      <c r="J155" s="229"/>
      <c r="K155" s="229"/>
      <c r="L155" s="229"/>
      <c r="M155" s="38">
        <v>0</v>
      </c>
      <c r="N155" s="39">
        <v>0</v>
      </c>
      <c r="O155" s="29"/>
      <c r="Q155" s="29"/>
    </row>
    <row r="156" spans="1:18" ht="23.4" thickTop="1">
      <c r="A156" s="28"/>
      <c r="B156" s="231" t="s">
        <v>234</v>
      </c>
      <c r="C156" s="231"/>
      <c r="D156" s="231"/>
      <c r="E156" s="231"/>
      <c r="F156" s="231"/>
      <c r="G156" s="231"/>
      <c r="H156" s="231"/>
      <c r="I156" s="231"/>
      <c r="J156" s="231"/>
      <c r="K156" s="231"/>
      <c r="L156" s="231"/>
      <c r="M156" s="231"/>
      <c r="N156" s="231"/>
      <c r="O156" s="231"/>
      <c r="P156" s="231"/>
      <c r="Q156" s="231"/>
      <c r="R156" s="231"/>
    </row>
    <row r="157" spans="1:18">
      <c r="A157" s="231" t="s">
        <v>208</v>
      </c>
      <c r="B157" s="231"/>
      <c r="C157" s="231"/>
      <c r="D157" s="231"/>
      <c r="E157" s="231"/>
      <c r="F157" s="231"/>
      <c r="G157" s="231"/>
      <c r="H157" s="231"/>
      <c r="I157" s="231"/>
      <c r="J157" s="231"/>
      <c r="K157" s="231"/>
      <c r="L157" s="231"/>
      <c r="M157" s="231"/>
      <c r="N157" s="231"/>
      <c r="O157" s="231"/>
      <c r="P157" s="231"/>
      <c r="Q157" s="231"/>
    </row>
    <row r="158" spans="1:18">
      <c r="A158" s="294" t="s">
        <v>245</v>
      </c>
      <c r="B158" s="294"/>
      <c r="C158" s="294"/>
      <c r="D158" s="294"/>
      <c r="E158" s="294"/>
      <c r="F158" s="294"/>
      <c r="G158" s="294"/>
      <c r="H158" s="294"/>
      <c r="I158" s="294"/>
      <c r="J158" s="294"/>
      <c r="K158" s="294"/>
      <c r="L158" s="294"/>
      <c r="M158" s="294"/>
      <c r="N158" s="294"/>
      <c r="O158" s="294"/>
      <c r="P158" s="294"/>
      <c r="Q158" s="294"/>
    </row>
    <row r="159" spans="1:18" ht="23.4" thickBo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</row>
    <row r="160" spans="1:18" ht="24" thickTop="1" thickBot="1">
      <c r="A160" s="28"/>
      <c r="B160" s="28"/>
      <c r="C160" s="28"/>
      <c r="D160" s="28"/>
      <c r="E160" s="28"/>
      <c r="F160" s="28"/>
      <c r="G160" s="28"/>
      <c r="H160" s="283"/>
      <c r="I160" s="233" t="s">
        <v>236</v>
      </c>
      <c r="J160" s="233"/>
      <c r="K160" s="233"/>
      <c r="L160" s="247"/>
      <c r="M160" s="28"/>
      <c r="N160" s="28"/>
      <c r="O160" s="28"/>
      <c r="P160" s="28"/>
      <c r="Q160" s="28"/>
    </row>
    <row r="161" spans="1:18" ht="24" thickTop="1" thickBot="1">
      <c r="A161" s="28"/>
      <c r="B161" s="28"/>
      <c r="C161" s="28"/>
      <c r="D161" s="28"/>
      <c r="E161" s="28"/>
      <c r="F161" s="28"/>
      <c r="G161" s="28"/>
      <c r="H161" s="284"/>
      <c r="I161" s="15" t="s">
        <v>76</v>
      </c>
      <c r="J161" s="15" t="s">
        <v>35</v>
      </c>
      <c r="K161" s="15" t="s">
        <v>237</v>
      </c>
      <c r="L161" s="36" t="s">
        <v>58</v>
      </c>
      <c r="M161" s="28"/>
      <c r="N161" s="28"/>
      <c r="O161" s="28"/>
      <c r="P161" s="28"/>
      <c r="Q161" s="28"/>
    </row>
    <row r="162" spans="1:18" ht="24" thickTop="1" thickBot="1">
      <c r="A162" s="28"/>
      <c r="B162" s="28"/>
      <c r="C162" s="28"/>
      <c r="D162" s="28"/>
      <c r="E162" s="28"/>
      <c r="F162" s="28"/>
      <c r="G162" s="28"/>
      <c r="H162" s="17" t="s">
        <v>238</v>
      </c>
      <c r="I162" s="15">
        <f>'[1]التعليم الابتدائي'!EQ376</f>
        <v>0</v>
      </c>
      <c r="J162" s="15">
        <f>'[1]التعليم الابتدائي'!ER376</f>
        <v>0</v>
      </c>
      <c r="K162" s="15">
        <f>'[1]التعليم الابتدائي'!ES376</f>
        <v>0</v>
      </c>
      <c r="L162" s="36">
        <f t="shared" ref="L162:L168" si="6">K162+J162+I162</f>
        <v>0</v>
      </c>
      <c r="M162" s="28"/>
      <c r="N162" s="28"/>
      <c r="O162" s="28"/>
      <c r="P162" s="28"/>
      <c r="Q162" s="28"/>
    </row>
    <row r="163" spans="1:18" ht="24" thickTop="1" thickBot="1">
      <c r="A163" s="28"/>
      <c r="B163" s="28"/>
      <c r="C163" s="28"/>
      <c r="D163" s="28"/>
      <c r="E163" s="28"/>
      <c r="F163" s="28"/>
      <c r="G163" s="28"/>
      <c r="H163" s="17" t="s">
        <v>239</v>
      </c>
      <c r="I163" s="15">
        <f>'[1]التعليم الابتدائي'!ET376</f>
        <v>0</v>
      </c>
      <c r="J163" s="15">
        <f>'[1]التعليم الابتدائي'!EU376</f>
        <v>0</v>
      </c>
      <c r="K163" s="15">
        <f>'[1]التعليم الابتدائي'!EV376</f>
        <v>0</v>
      </c>
      <c r="L163" s="36">
        <f t="shared" si="6"/>
        <v>0</v>
      </c>
      <c r="M163" s="28"/>
      <c r="N163" s="28"/>
      <c r="O163" s="28"/>
      <c r="P163" s="28"/>
      <c r="Q163" s="28"/>
    </row>
    <row r="164" spans="1:18" ht="24" thickTop="1" thickBot="1">
      <c r="A164" s="28"/>
      <c r="B164" s="28"/>
      <c r="C164" s="28"/>
      <c r="D164" s="28"/>
      <c r="E164" s="28"/>
      <c r="F164" s="28"/>
      <c r="G164" s="28"/>
      <c r="H164" s="17" t="s">
        <v>240</v>
      </c>
      <c r="I164" s="15">
        <f>'[1]التعليم الابتدائي'!EW376</f>
        <v>0</v>
      </c>
      <c r="J164" s="15">
        <f>'[1]التعليم الابتدائي'!EX376</f>
        <v>0</v>
      </c>
      <c r="K164" s="15">
        <f>'[1]التعليم الابتدائي'!EY376</f>
        <v>0</v>
      </c>
      <c r="L164" s="36">
        <f t="shared" si="6"/>
        <v>0</v>
      </c>
      <c r="M164" s="28"/>
      <c r="N164" s="28"/>
      <c r="O164" s="28"/>
      <c r="P164" s="28"/>
      <c r="Q164" s="28"/>
    </row>
    <row r="165" spans="1:18" ht="24" thickTop="1" thickBot="1">
      <c r="A165" s="28"/>
      <c r="B165" s="28"/>
      <c r="C165" s="28"/>
      <c r="D165" s="28"/>
      <c r="E165" s="28"/>
      <c r="F165" s="28"/>
      <c r="G165" s="28"/>
      <c r="H165" s="17" t="s">
        <v>241</v>
      </c>
      <c r="I165" s="15">
        <f>'[1]التعليم الابتدائي'!EZ376</f>
        <v>0</v>
      </c>
      <c r="J165" s="15">
        <f>'[1]التعليم الابتدائي'!FA376</f>
        <v>0</v>
      </c>
      <c r="K165" s="15">
        <f>'[1]التعليم الابتدائي'!FB376</f>
        <v>0</v>
      </c>
      <c r="L165" s="36">
        <f t="shared" si="6"/>
        <v>0</v>
      </c>
      <c r="M165" s="28"/>
      <c r="N165" s="28"/>
      <c r="O165" s="28"/>
      <c r="P165" s="28"/>
      <c r="Q165" s="28"/>
    </row>
    <row r="166" spans="1:18" ht="24" thickTop="1" thickBot="1">
      <c r="A166" s="28"/>
      <c r="B166" s="28"/>
      <c r="C166" s="28"/>
      <c r="D166" s="28"/>
      <c r="E166" s="28"/>
      <c r="F166" s="28"/>
      <c r="G166" s="28"/>
      <c r="H166" s="17" t="s">
        <v>242</v>
      </c>
      <c r="I166" s="15">
        <f>'[1]التعليم الابتدائي'!FC376</f>
        <v>0</v>
      </c>
      <c r="J166" s="15">
        <f>'[1]التعليم الابتدائي'!FD376</f>
        <v>0</v>
      </c>
      <c r="K166" s="15">
        <f>'[1]التعليم الابتدائي'!FE376</f>
        <v>0</v>
      </c>
      <c r="L166" s="36">
        <f t="shared" si="6"/>
        <v>0</v>
      </c>
      <c r="M166" s="28"/>
      <c r="N166" s="28"/>
      <c r="O166" s="28"/>
      <c r="P166" s="28"/>
      <c r="Q166" s="28"/>
    </row>
    <row r="167" spans="1:18" ht="24" thickTop="1" thickBot="1">
      <c r="A167" s="28"/>
      <c r="B167" s="28"/>
      <c r="C167" s="28"/>
      <c r="D167" s="28"/>
      <c r="E167" s="28"/>
      <c r="F167" s="28"/>
      <c r="G167" s="28"/>
      <c r="H167" s="17" t="s">
        <v>243</v>
      </c>
      <c r="I167" s="15">
        <f>'[1]التعليم الابتدائي'!FF376</f>
        <v>0</v>
      </c>
      <c r="J167" s="15">
        <f>'[1]التعليم الابتدائي'!FG376</f>
        <v>0</v>
      </c>
      <c r="K167" s="15">
        <f>'[1]التعليم الابتدائي'!FH376</f>
        <v>0</v>
      </c>
      <c r="L167" s="36">
        <f t="shared" si="6"/>
        <v>0</v>
      </c>
      <c r="M167" s="28"/>
      <c r="N167" s="28"/>
      <c r="O167" s="28"/>
      <c r="P167" s="28"/>
      <c r="Q167" s="28"/>
    </row>
    <row r="168" spans="1:18" ht="24" thickTop="1" thickBot="1">
      <c r="A168" s="28"/>
      <c r="B168" s="28"/>
      <c r="C168" s="28"/>
      <c r="D168" s="28"/>
      <c r="E168" s="28"/>
      <c r="F168" s="28"/>
      <c r="G168" s="28"/>
      <c r="H168" s="18" t="s">
        <v>58</v>
      </c>
      <c r="I168" s="20">
        <f>SUM(I162:I167)</f>
        <v>0</v>
      </c>
      <c r="J168" s="20">
        <f>SUM(J162:J167)</f>
        <v>0</v>
      </c>
      <c r="K168" s="20">
        <f>SUM(K162:K167)</f>
        <v>0</v>
      </c>
      <c r="L168" s="33">
        <f t="shared" si="6"/>
        <v>0</v>
      </c>
      <c r="M168" s="28"/>
      <c r="N168" s="28"/>
      <c r="O168" s="28"/>
      <c r="P168" s="28"/>
      <c r="Q168" s="28"/>
    </row>
    <row r="169" spans="1:18" ht="23.4" thickTop="1">
      <c r="A169" s="44" t="s">
        <v>62</v>
      </c>
      <c r="B169" s="44"/>
      <c r="C169" s="44"/>
      <c r="D169" s="44"/>
      <c r="E169" s="44"/>
      <c r="F169" s="45"/>
      <c r="G169" s="45"/>
      <c r="H169" s="45"/>
      <c r="I169" s="45"/>
      <c r="J169" s="45"/>
      <c r="K169" s="45"/>
      <c r="L169" s="45"/>
      <c r="M169" s="45"/>
      <c r="N169" s="45"/>
      <c r="P169" s="46" t="s">
        <v>89</v>
      </c>
      <c r="Q169" s="46"/>
    </row>
    <row r="170" spans="1:18">
      <c r="A170" s="295" t="s">
        <v>64</v>
      </c>
      <c r="B170" s="295"/>
      <c r="C170" s="295"/>
      <c r="D170" s="295"/>
      <c r="E170" s="295"/>
      <c r="F170" s="45"/>
      <c r="G170" s="45"/>
      <c r="H170" s="45"/>
      <c r="I170" s="45"/>
      <c r="J170" s="45"/>
      <c r="K170" s="45"/>
      <c r="L170" s="45"/>
      <c r="M170" s="45"/>
      <c r="N170" s="45"/>
      <c r="O170" s="46"/>
      <c r="P170" s="46" t="s">
        <v>65</v>
      </c>
      <c r="Q170" s="46"/>
    </row>
    <row r="171" spans="1:18">
      <c r="A171" s="45"/>
      <c r="B171" s="45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</row>
    <row r="172" spans="1:18">
      <c r="A172" s="23"/>
      <c r="B172" s="23"/>
      <c r="C172" s="23"/>
      <c r="D172" s="23"/>
      <c r="E172" s="23"/>
      <c r="F172" s="28"/>
      <c r="G172" s="28"/>
      <c r="H172" s="28"/>
      <c r="I172" s="28"/>
      <c r="J172" s="28" t="s">
        <v>216</v>
      </c>
      <c r="K172" s="28"/>
      <c r="L172" s="28"/>
      <c r="M172" s="28"/>
      <c r="N172" s="28"/>
      <c r="O172" s="28"/>
      <c r="P172" s="29"/>
      <c r="R172" s="29"/>
    </row>
    <row r="173" spans="1:18">
      <c r="A173" s="23"/>
      <c r="B173" s="23"/>
      <c r="C173" s="23"/>
      <c r="D173" s="23"/>
      <c r="E173" s="23"/>
      <c r="F173" s="28"/>
      <c r="G173" s="28"/>
      <c r="H173" s="28"/>
      <c r="I173" s="28" t="s">
        <v>244</v>
      </c>
      <c r="J173" s="28"/>
      <c r="K173" s="28"/>
      <c r="L173" s="28"/>
      <c r="M173" s="28"/>
      <c r="N173" s="28"/>
      <c r="O173" s="29"/>
      <c r="Q173" s="29"/>
    </row>
    <row r="174" spans="1:18" ht="23.4" thickBot="1">
      <c r="A174" s="23"/>
      <c r="B174" s="23"/>
      <c r="C174" s="23"/>
      <c r="D174" s="23"/>
      <c r="E174" s="23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9"/>
      <c r="R174" s="29"/>
    </row>
    <row r="175" spans="1:18" ht="24" thickTop="1" thickBot="1">
      <c r="A175" s="23"/>
      <c r="B175" s="23"/>
      <c r="C175" s="232" t="s">
        <v>218</v>
      </c>
      <c r="D175" s="233"/>
      <c r="E175" s="233"/>
      <c r="F175" s="286" t="s">
        <v>219</v>
      </c>
      <c r="G175" s="286"/>
      <c r="H175" s="286"/>
      <c r="I175" s="286"/>
      <c r="J175" s="286"/>
      <c r="K175" s="286"/>
      <c r="L175" s="286"/>
      <c r="M175" s="286"/>
      <c r="N175" s="287"/>
      <c r="O175" s="29"/>
      <c r="Q175" s="29"/>
    </row>
    <row r="176" spans="1:18" ht="24" thickTop="1" thickBot="1">
      <c r="A176" s="23"/>
      <c r="B176" s="23"/>
      <c r="C176" s="226"/>
      <c r="D176" s="227"/>
      <c r="E176" s="227"/>
      <c r="F176" s="288" t="s">
        <v>220</v>
      </c>
      <c r="G176" s="288"/>
      <c r="H176" s="289" t="s">
        <v>221</v>
      </c>
      <c r="I176" s="289"/>
      <c r="J176" s="289"/>
      <c r="K176" s="289"/>
      <c r="L176" s="289"/>
      <c r="M176" s="227" t="s">
        <v>222</v>
      </c>
      <c r="N176" s="285" t="s">
        <v>223</v>
      </c>
      <c r="O176" s="29"/>
      <c r="Q176" s="29"/>
    </row>
    <row r="177" spans="1:18" ht="24" thickTop="1" thickBot="1">
      <c r="A177" s="23"/>
      <c r="B177" s="23"/>
      <c r="C177" s="226" t="s">
        <v>224</v>
      </c>
      <c r="D177" s="227"/>
      <c r="E177" s="248" t="s">
        <v>225</v>
      </c>
      <c r="F177" s="227" t="s">
        <v>226</v>
      </c>
      <c r="G177" s="227" t="s">
        <v>227</v>
      </c>
      <c r="H177" s="15" t="s">
        <v>228</v>
      </c>
      <c r="I177" s="15" t="s">
        <v>229</v>
      </c>
      <c r="J177" s="15" t="s">
        <v>230</v>
      </c>
      <c r="K177" s="15" t="s">
        <v>231</v>
      </c>
      <c r="L177" s="15" t="s">
        <v>232</v>
      </c>
      <c r="M177" s="227"/>
      <c r="N177" s="285"/>
      <c r="O177" s="29"/>
      <c r="Q177" s="29"/>
    </row>
    <row r="178" spans="1:18" ht="24" thickTop="1" thickBot="1">
      <c r="A178" s="23"/>
      <c r="B178" s="23"/>
      <c r="C178" s="17" t="s">
        <v>233</v>
      </c>
      <c r="D178" s="15" t="s">
        <v>227</v>
      </c>
      <c r="E178" s="248"/>
      <c r="F178" s="227"/>
      <c r="G178" s="227"/>
      <c r="H178" s="227">
        <f>'[1]التعليم الابتدائي'!AMN581</f>
        <v>31</v>
      </c>
      <c r="I178" s="227">
        <v>0</v>
      </c>
      <c r="J178" s="227">
        <v>0</v>
      </c>
      <c r="K178" s="227">
        <v>0</v>
      </c>
      <c r="L178" s="227">
        <v>0</v>
      </c>
      <c r="M178" s="227"/>
      <c r="N178" s="285"/>
      <c r="O178" s="29"/>
      <c r="Q178" s="29"/>
    </row>
    <row r="179" spans="1:18" ht="24" thickTop="1" thickBot="1">
      <c r="A179" s="23"/>
      <c r="B179" s="23"/>
      <c r="C179" s="18">
        <f>'[1]التعليم الابتدائي'!ALZ581</f>
        <v>153</v>
      </c>
      <c r="D179" s="20">
        <f>'[1]التعليم الابتدائي'!AMA581</f>
        <v>46</v>
      </c>
      <c r="E179" s="20">
        <f>'[1]التعليم الابتدائي'!AMM581</f>
        <v>55955</v>
      </c>
      <c r="F179" s="20">
        <f>'[1]التعليم الابتدائي'!AMN581</f>
        <v>31</v>
      </c>
      <c r="G179" s="20">
        <f>'[1]التعليم الابتدائي'!AMO581</f>
        <v>168</v>
      </c>
      <c r="H179" s="229"/>
      <c r="I179" s="229"/>
      <c r="J179" s="229"/>
      <c r="K179" s="229"/>
      <c r="L179" s="229"/>
      <c r="M179" s="38">
        <v>0</v>
      </c>
      <c r="N179" s="39">
        <v>0</v>
      </c>
      <c r="O179" s="29"/>
      <c r="Q179" s="29"/>
    </row>
    <row r="180" spans="1:18" ht="23.4" thickTop="1">
      <c r="A180" s="45"/>
      <c r="B180" s="45"/>
      <c r="C180" s="45"/>
      <c r="D180" s="45"/>
      <c r="E180" s="23"/>
      <c r="F180" s="23"/>
      <c r="G180" s="23"/>
      <c r="H180" s="23"/>
      <c r="I180" s="23"/>
      <c r="J180" s="46" t="s">
        <v>234</v>
      </c>
      <c r="K180" s="23"/>
      <c r="L180" s="23"/>
      <c r="M180" s="23"/>
      <c r="N180" s="23"/>
      <c r="O180" s="23"/>
      <c r="P180" s="47"/>
      <c r="Q180" s="23"/>
      <c r="R180" s="23"/>
    </row>
    <row r="181" spans="1:18">
      <c r="A181" s="45"/>
      <c r="B181" s="45"/>
      <c r="C181" s="45"/>
      <c r="D181" s="45"/>
      <c r="E181" s="46"/>
      <c r="F181" s="46"/>
      <c r="G181" s="46"/>
      <c r="H181" s="46"/>
      <c r="I181" s="46"/>
      <c r="J181" s="23" t="s">
        <v>208</v>
      </c>
      <c r="K181" s="46"/>
      <c r="L181" s="46"/>
      <c r="M181" s="46"/>
      <c r="N181" s="46"/>
      <c r="O181" s="46"/>
      <c r="P181" s="47"/>
      <c r="Q181" s="46"/>
      <c r="R181" s="46"/>
    </row>
    <row r="182" spans="1:18">
      <c r="A182" s="45"/>
      <c r="B182" s="45"/>
      <c r="C182" s="45"/>
      <c r="D182" s="45"/>
      <c r="E182" s="45"/>
      <c r="F182" s="45"/>
      <c r="G182" s="45"/>
      <c r="H182" s="45"/>
      <c r="I182" s="45"/>
      <c r="J182" s="46" t="s">
        <v>245</v>
      </c>
      <c r="K182" s="45"/>
      <c r="L182" s="45"/>
      <c r="M182" s="45"/>
      <c r="N182" s="45"/>
      <c r="O182" s="45"/>
      <c r="P182" s="48"/>
      <c r="Q182" s="45"/>
      <c r="R182" s="45"/>
    </row>
    <row r="183" spans="1:18" ht="23.4" thickBot="1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8"/>
      <c r="P183" s="45"/>
      <c r="Q183" s="45"/>
      <c r="R183" s="45"/>
    </row>
    <row r="184" spans="1:18" ht="24" thickTop="1" thickBot="1">
      <c r="A184" s="45"/>
      <c r="B184" s="45"/>
      <c r="C184" s="45"/>
      <c r="D184" s="45"/>
      <c r="E184" s="45"/>
      <c r="F184" s="45"/>
      <c r="G184" s="45"/>
      <c r="H184" s="290"/>
      <c r="I184" s="292" t="s">
        <v>236</v>
      </c>
      <c r="J184" s="292"/>
      <c r="K184" s="292"/>
      <c r="L184" s="293"/>
      <c r="M184" s="45"/>
      <c r="N184" s="45"/>
      <c r="O184" s="45"/>
      <c r="P184" s="45"/>
      <c r="Q184" s="45"/>
    </row>
    <row r="185" spans="1:18" ht="24" thickTop="1" thickBot="1">
      <c r="A185" s="45"/>
      <c r="B185" s="45"/>
      <c r="C185" s="45"/>
      <c r="D185" s="45"/>
      <c r="E185" s="45"/>
      <c r="F185" s="45"/>
      <c r="G185" s="45"/>
      <c r="H185" s="291"/>
      <c r="I185" s="49" t="s">
        <v>76</v>
      </c>
      <c r="J185" s="49" t="s">
        <v>35</v>
      </c>
      <c r="K185" s="49" t="s">
        <v>237</v>
      </c>
      <c r="L185" s="50" t="s">
        <v>58</v>
      </c>
      <c r="M185" s="45"/>
      <c r="N185" s="45"/>
      <c r="O185" s="45"/>
      <c r="P185" s="45"/>
      <c r="Q185" s="45"/>
    </row>
    <row r="186" spans="1:18" ht="24" thickTop="1" thickBot="1">
      <c r="A186" s="45"/>
      <c r="B186" s="45"/>
      <c r="C186" s="45"/>
      <c r="D186" s="45"/>
      <c r="E186" s="45"/>
      <c r="F186" s="45"/>
      <c r="G186" s="45"/>
      <c r="H186" s="51" t="s">
        <v>238</v>
      </c>
      <c r="I186" s="49">
        <f>'[1]التعليم الابتدائي'!EQ581</f>
        <v>0</v>
      </c>
      <c r="J186" s="49">
        <f>'[1]التعليم الابتدائي'!ER581</f>
        <v>0</v>
      </c>
      <c r="K186" s="49">
        <f>'[1]التعليم الابتدائي'!ES581</f>
        <v>0</v>
      </c>
      <c r="L186" s="50">
        <f t="shared" ref="L186:L191" si="7">K186+J186+I186</f>
        <v>0</v>
      </c>
      <c r="M186" s="45"/>
      <c r="N186" s="45"/>
      <c r="O186" s="45"/>
      <c r="P186" s="45"/>
      <c r="Q186" s="45"/>
    </row>
    <row r="187" spans="1:18" ht="24" thickTop="1" thickBot="1">
      <c r="A187" s="45"/>
      <c r="B187" s="45"/>
      <c r="C187" s="45"/>
      <c r="D187" s="45"/>
      <c r="E187" s="45"/>
      <c r="F187" s="45"/>
      <c r="G187" s="45"/>
      <c r="H187" s="51" t="s">
        <v>239</v>
      </c>
      <c r="I187" s="49">
        <f>'[1]التعليم الابتدائي'!ET581</f>
        <v>0</v>
      </c>
      <c r="J187" s="49">
        <f>'[1]التعليم الابتدائي'!EU581</f>
        <v>0</v>
      </c>
      <c r="K187" s="49">
        <f>'[1]التعليم الابتدائي'!EV581</f>
        <v>0</v>
      </c>
      <c r="L187" s="50">
        <f t="shared" si="7"/>
        <v>0</v>
      </c>
      <c r="M187" s="45"/>
      <c r="N187" s="45"/>
      <c r="O187" s="45"/>
      <c r="P187" s="45"/>
      <c r="Q187" s="46"/>
    </row>
    <row r="188" spans="1:18" ht="24" thickTop="1" thickBot="1">
      <c r="A188" s="45"/>
      <c r="B188" s="45"/>
      <c r="C188" s="45"/>
      <c r="D188" s="45"/>
      <c r="E188" s="45"/>
      <c r="F188" s="45"/>
      <c r="G188" s="45"/>
      <c r="H188" s="51" t="s">
        <v>240</v>
      </c>
      <c r="I188" s="49">
        <f>'[1]التعليم الابتدائي'!EW581</f>
        <v>0</v>
      </c>
      <c r="J188" s="49">
        <f>'[1]التعليم الابتدائي'!EX581</f>
        <v>0</v>
      </c>
      <c r="K188" s="49">
        <f>'[1]التعليم الابتدائي'!EY581</f>
        <v>0</v>
      </c>
      <c r="L188" s="50">
        <f t="shared" si="7"/>
        <v>0</v>
      </c>
      <c r="M188" s="45"/>
      <c r="N188" s="45"/>
      <c r="O188" s="45"/>
      <c r="P188" s="45"/>
      <c r="Q188" s="23"/>
    </row>
    <row r="189" spans="1:18" ht="24" thickTop="1" thickBot="1">
      <c r="A189" s="45"/>
      <c r="B189" s="45"/>
      <c r="C189" s="45"/>
      <c r="D189" s="45"/>
      <c r="E189" s="45"/>
      <c r="F189" s="45"/>
      <c r="G189" s="45"/>
      <c r="H189" s="51" t="s">
        <v>241</v>
      </c>
      <c r="I189" s="49">
        <f>'[1]التعليم الابتدائي'!EZ581</f>
        <v>0</v>
      </c>
      <c r="J189" s="49">
        <f>'[1]التعليم الابتدائي'!FA581</f>
        <v>0</v>
      </c>
      <c r="K189" s="49">
        <f>'[1]التعليم الابتدائي'!FB581</f>
        <v>0</v>
      </c>
      <c r="L189" s="50">
        <f t="shared" si="7"/>
        <v>0</v>
      </c>
      <c r="M189" s="45"/>
      <c r="N189" s="45"/>
      <c r="O189" s="45"/>
      <c r="P189" s="45"/>
      <c r="Q189" s="46"/>
    </row>
    <row r="190" spans="1:18" ht="24" thickTop="1" thickBot="1">
      <c r="A190" s="45"/>
      <c r="B190" s="45"/>
      <c r="C190" s="45"/>
      <c r="D190" s="45"/>
      <c r="E190" s="45"/>
      <c r="F190" s="45"/>
      <c r="G190" s="45"/>
      <c r="H190" s="51" t="s">
        <v>242</v>
      </c>
      <c r="I190" s="49">
        <f>'[1]التعليم الابتدائي'!FC581</f>
        <v>0</v>
      </c>
      <c r="J190" s="49">
        <f>'[1]التعليم الابتدائي'!FD581</f>
        <v>0</v>
      </c>
      <c r="K190" s="49">
        <f>'[1]التعليم الابتدائي'!FE581</f>
        <v>0</v>
      </c>
      <c r="L190" s="50">
        <f t="shared" si="7"/>
        <v>0</v>
      </c>
      <c r="M190" s="45"/>
      <c r="N190" s="45"/>
      <c r="O190" s="45"/>
      <c r="P190" s="45"/>
      <c r="Q190" s="45"/>
    </row>
    <row r="191" spans="1:18" ht="24" thickTop="1" thickBot="1">
      <c r="A191" s="45"/>
      <c r="B191" s="45"/>
      <c r="C191" s="45"/>
      <c r="D191" s="45"/>
      <c r="E191" s="45"/>
      <c r="F191" s="45"/>
      <c r="G191" s="45"/>
      <c r="H191" s="51" t="s">
        <v>243</v>
      </c>
      <c r="I191" s="49">
        <f>'[1]التعليم الابتدائي'!FF581</f>
        <v>0</v>
      </c>
      <c r="J191" s="49">
        <f>'[1]التعليم الابتدائي'!FG581</f>
        <v>0</v>
      </c>
      <c r="K191" s="49">
        <f>'[1]التعليم الابتدائي'!FH581</f>
        <v>0</v>
      </c>
      <c r="L191" s="50">
        <f t="shared" si="7"/>
        <v>0</v>
      </c>
      <c r="M191" s="45"/>
      <c r="N191" s="45"/>
      <c r="O191" s="45"/>
      <c r="P191" s="45"/>
      <c r="Q191" s="45"/>
    </row>
    <row r="192" spans="1:18" ht="24" thickTop="1" thickBot="1">
      <c r="A192" s="45"/>
      <c r="B192" s="45"/>
      <c r="C192" s="45"/>
      <c r="D192" s="45"/>
      <c r="E192" s="45"/>
      <c r="F192" s="45"/>
      <c r="G192" s="45"/>
      <c r="H192" s="52" t="s">
        <v>58</v>
      </c>
      <c r="I192" s="53">
        <f>SUM(I186:I191)</f>
        <v>0</v>
      </c>
      <c r="J192" s="53">
        <f>SUM(J186:J191)</f>
        <v>0</v>
      </c>
      <c r="K192" s="53">
        <f>SUM(K186:K191)</f>
        <v>0</v>
      </c>
      <c r="L192" s="54">
        <f>SUM(I192:K192)</f>
        <v>0</v>
      </c>
      <c r="M192" s="45"/>
      <c r="N192" s="45"/>
      <c r="O192" s="45"/>
      <c r="P192" s="45"/>
      <c r="Q192" s="45"/>
    </row>
    <row r="193" spans="1:18" ht="23.4" thickTop="1"/>
    <row r="194" spans="1:18">
      <c r="A194" s="29" t="s">
        <v>62</v>
      </c>
      <c r="B194" s="29"/>
      <c r="C194" s="29"/>
      <c r="D194" s="29"/>
      <c r="E194" s="29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3" t="s">
        <v>90</v>
      </c>
      <c r="Q194" s="23"/>
    </row>
    <row r="195" spans="1:18">
      <c r="A195" s="231" t="s">
        <v>64</v>
      </c>
      <c r="B195" s="231"/>
      <c r="C195" s="231"/>
      <c r="D195" s="231"/>
      <c r="E195" s="231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3" t="s">
        <v>65</v>
      </c>
      <c r="Q195" s="23"/>
    </row>
    <row r="196" spans="1:18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</row>
    <row r="197" spans="1:18">
      <c r="A197" s="23"/>
      <c r="B197" s="23"/>
      <c r="C197" s="23"/>
      <c r="D197" s="23"/>
      <c r="E197" s="23"/>
      <c r="F197" s="28"/>
      <c r="G197" s="28"/>
      <c r="H197" s="28"/>
      <c r="I197" s="28"/>
      <c r="J197" s="28" t="s">
        <v>216</v>
      </c>
      <c r="K197" s="28"/>
      <c r="L197" s="28"/>
      <c r="M197" s="28"/>
      <c r="N197" s="28"/>
      <c r="O197" s="28"/>
      <c r="P197" s="29"/>
      <c r="R197" s="29"/>
    </row>
    <row r="198" spans="1:18">
      <c r="A198" s="23"/>
      <c r="B198" s="23"/>
      <c r="C198" s="23"/>
      <c r="D198" s="23"/>
      <c r="E198" s="23"/>
      <c r="F198" s="28"/>
      <c r="G198" s="28"/>
      <c r="H198" s="28"/>
      <c r="I198" s="28" t="s">
        <v>244</v>
      </c>
      <c r="J198" s="28"/>
      <c r="K198" s="28"/>
      <c r="L198" s="28"/>
      <c r="M198" s="28"/>
      <c r="N198" s="28"/>
      <c r="O198" s="29"/>
      <c r="Q198" s="29"/>
    </row>
    <row r="199" spans="1:18" ht="23.4" thickBot="1">
      <c r="A199" s="23"/>
      <c r="B199" s="23"/>
      <c r="C199" s="23"/>
      <c r="D199" s="23"/>
      <c r="E199" s="23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9"/>
      <c r="R199" s="29"/>
    </row>
    <row r="200" spans="1:18" ht="24" thickTop="1" thickBot="1">
      <c r="A200" s="23"/>
      <c r="B200" s="23"/>
      <c r="C200" s="232" t="s">
        <v>218</v>
      </c>
      <c r="D200" s="233"/>
      <c r="E200" s="233"/>
      <c r="F200" s="286" t="s">
        <v>219</v>
      </c>
      <c r="G200" s="286"/>
      <c r="H200" s="286"/>
      <c r="I200" s="286"/>
      <c r="J200" s="286"/>
      <c r="K200" s="286"/>
      <c r="L200" s="286"/>
      <c r="M200" s="286"/>
      <c r="N200" s="287"/>
      <c r="O200" s="29"/>
      <c r="Q200" s="29"/>
    </row>
    <row r="201" spans="1:18" ht="24" thickTop="1" thickBot="1">
      <c r="A201" s="23"/>
      <c r="B201" s="23"/>
      <c r="C201" s="226"/>
      <c r="D201" s="227"/>
      <c r="E201" s="227"/>
      <c r="F201" s="288" t="s">
        <v>220</v>
      </c>
      <c r="G201" s="288"/>
      <c r="H201" s="289" t="s">
        <v>221</v>
      </c>
      <c r="I201" s="289"/>
      <c r="J201" s="289"/>
      <c r="K201" s="289"/>
      <c r="L201" s="289"/>
      <c r="M201" s="227" t="s">
        <v>222</v>
      </c>
      <c r="N201" s="285" t="s">
        <v>223</v>
      </c>
      <c r="O201" s="29"/>
      <c r="Q201" s="29"/>
    </row>
    <row r="202" spans="1:18" ht="24" thickTop="1" thickBot="1">
      <c r="A202" s="23"/>
      <c r="B202" s="23"/>
      <c r="C202" s="226" t="s">
        <v>224</v>
      </c>
      <c r="D202" s="227"/>
      <c r="E202" s="248" t="s">
        <v>225</v>
      </c>
      <c r="F202" s="227" t="s">
        <v>226</v>
      </c>
      <c r="G202" s="227" t="s">
        <v>227</v>
      </c>
      <c r="H202" s="15" t="s">
        <v>228</v>
      </c>
      <c r="I202" s="15" t="s">
        <v>229</v>
      </c>
      <c r="J202" s="15" t="s">
        <v>230</v>
      </c>
      <c r="K202" s="15" t="s">
        <v>231</v>
      </c>
      <c r="L202" s="15" t="s">
        <v>232</v>
      </c>
      <c r="M202" s="227"/>
      <c r="N202" s="285"/>
      <c r="O202" s="29"/>
      <c r="Q202" s="29"/>
    </row>
    <row r="203" spans="1:18" ht="24" thickTop="1" thickBot="1">
      <c r="A203" s="23"/>
      <c r="B203" s="23"/>
      <c r="C203" s="17" t="s">
        <v>233</v>
      </c>
      <c r="D203" s="15" t="s">
        <v>227</v>
      </c>
      <c r="E203" s="248"/>
      <c r="F203" s="227"/>
      <c r="G203" s="227"/>
      <c r="H203" s="227">
        <f>'[1]التعليم الابتدائي'!AMN480</f>
        <v>20</v>
      </c>
      <c r="I203" s="227">
        <v>0</v>
      </c>
      <c r="J203" s="227">
        <v>0</v>
      </c>
      <c r="K203" s="227">
        <v>0</v>
      </c>
      <c r="L203" s="227">
        <v>0</v>
      </c>
      <c r="M203" s="227"/>
      <c r="N203" s="285"/>
      <c r="O203" s="29"/>
      <c r="Q203" s="29"/>
    </row>
    <row r="204" spans="1:18" ht="24" thickTop="1" thickBot="1">
      <c r="A204" s="23"/>
      <c r="B204" s="23"/>
      <c r="C204" s="18">
        <f>'[1]التعليم الابتدائي'!ALZ480</f>
        <v>80</v>
      </c>
      <c r="D204" s="20">
        <f>'[1]التعليم الابتدائي'!AMA480</f>
        <v>22</v>
      </c>
      <c r="E204" s="20">
        <f>'[1]التعليم الابتدائي'!AMM480</f>
        <v>34550</v>
      </c>
      <c r="F204" s="20">
        <f>'[1]التعليم الابتدائي'!AMN480</f>
        <v>20</v>
      </c>
      <c r="G204" s="20">
        <f>'[1]التعليم الابتدائي'!AMO480</f>
        <v>82</v>
      </c>
      <c r="H204" s="229"/>
      <c r="I204" s="229"/>
      <c r="J204" s="229"/>
      <c r="K204" s="229"/>
      <c r="L204" s="229"/>
      <c r="M204" s="38">
        <v>0</v>
      </c>
      <c r="N204" s="39">
        <v>0</v>
      </c>
      <c r="O204" s="29"/>
      <c r="Q204" s="29"/>
    </row>
    <row r="205" spans="1:18" ht="23.4" thickTop="1">
      <c r="A205" s="28"/>
      <c r="B205" s="231" t="s">
        <v>234</v>
      </c>
      <c r="C205" s="231"/>
      <c r="D205" s="231"/>
      <c r="E205" s="231"/>
      <c r="F205" s="231"/>
      <c r="G205" s="231"/>
      <c r="H205" s="231"/>
      <c r="I205" s="231"/>
      <c r="J205" s="231"/>
      <c r="K205" s="231"/>
      <c r="L205" s="231"/>
      <c r="M205" s="231"/>
      <c r="N205" s="231"/>
      <c r="O205" s="231"/>
      <c r="P205" s="231"/>
      <c r="Q205" s="231"/>
      <c r="R205" s="231"/>
    </row>
    <row r="206" spans="1:18">
      <c r="A206" s="28"/>
      <c r="B206" s="231" t="s">
        <v>208</v>
      </c>
      <c r="C206" s="231"/>
      <c r="D206" s="231"/>
      <c r="E206" s="231"/>
      <c r="F206" s="231"/>
      <c r="G206" s="231"/>
      <c r="H206" s="231"/>
      <c r="I206" s="231"/>
      <c r="J206" s="231"/>
      <c r="K206" s="231"/>
      <c r="L206" s="231"/>
      <c r="M206" s="231"/>
      <c r="N206" s="231"/>
      <c r="O206" s="231"/>
      <c r="P206" s="231"/>
      <c r="Q206" s="231"/>
      <c r="R206" s="231"/>
    </row>
    <row r="207" spans="1:18">
      <c r="A207" s="28"/>
      <c r="B207" s="231" t="s">
        <v>245</v>
      </c>
      <c r="C207" s="231"/>
      <c r="D207" s="231"/>
      <c r="E207" s="231"/>
      <c r="F207" s="231"/>
      <c r="G207" s="231"/>
      <c r="H207" s="231"/>
      <c r="I207" s="231"/>
      <c r="J207" s="231"/>
      <c r="K207" s="231"/>
      <c r="L207" s="231"/>
      <c r="M207" s="231"/>
      <c r="N207" s="231"/>
      <c r="O207" s="231"/>
      <c r="P207" s="231"/>
      <c r="Q207" s="231"/>
      <c r="R207" s="231"/>
    </row>
    <row r="208" spans="1:18" ht="23.4" thickBo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</row>
    <row r="209" spans="1:18" ht="24" thickTop="1" thickBot="1">
      <c r="A209" s="28"/>
      <c r="B209" s="28"/>
      <c r="C209" s="28"/>
      <c r="D209" s="28"/>
      <c r="E209" s="28"/>
      <c r="F209" s="28"/>
      <c r="G209" s="28"/>
      <c r="H209" s="283"/>
      <c r="I209" s="233" t="s">
        <v>236</v>
      </c>
      <c r="J209" s="233"/>
      <c r="K209" s="233"/>
      <c r="L209" s="247"/>
      <c r="M209" s="28"/>
      <c r="N209" s="28"/>
      <c r="O209" s="28"/>
      <c r="P209" s="28"/>
      <c r="Q209" s="28"/>
    </row>
    <row r="210" spans="1:18" ht="24" thickTop="1" thickBot="1">
      <c r="A210" s="28"/>
      <c r="B210" s="28"/>
      <c r="C210" s="28"/>
      <c r="D210" s="28"/>
      <c r="E210" s="28"/>
      <c r="F210" s="28"/>
      <c r="G210" s="28"/>
      <c r="H210" s="284"/>
      <c r="I210" s="15" t="s">
        <v>76</v>
      </c>
      <c r="J210" s="15" t="s">
        <v>35</v>
      </c>
      <c r="K210" s="15" t="s">
        <v>237</v>
      </c>
      <c r="L210" s="36" t="s">
        <v>58</v>
      </c>
      <c r="M210" s="28"/>
      <c r="N210" s="28"/>
      <c r="O210" s="28"/>
      <c r="P210" s="28"/>
      <c r="Q210" s="28"/>
    </row>
    <row r="211" spans="1:18" ht="24" thickTop="1" thickBot="1">
      <c r="A211" s="28"/>
      <c r="B211" s="28"/>
      <c r="C211" s="28"/>
      <c r="D211" s="28"/>
      <c r="E211" s="28"/>
      <c r="F211" s="28"/>
      <c r="G211" s="28"/>
      <c r="H211" s="17" t="s">
        <v>238</v>
      </c>
      <c r="I211" s="15">
        <f>'[1]التعليم الابتدائي'!EQ480</f>
        <v>0</v>
      </c>
      <c r="J211" s="15">
        <f>'[1]التعليم الابتدائي'!ER480</f>
        <v>0</v>
      </c>
      <c r="K211" s="15">
        <f>'[1]التعليم الابتدائي'!ES480</f>
        <v>0</v>
      </c>
      <c r="L211" s="36">
        <f t="shared" ref="L211:L216" si="8">K211+J211+I211</f>
        <v>0</v>
      </c>
      <c r="M211" s="28"/>
      <c r="N211" s="28"/>
      <c r="O211" s="28"/>
      <c r="P211" s="28"/>
      <c r="Q211" s="28"/>
    </row>
    <row r="212" spans="1:18" ht="24" thickTop="1" thickBot="1">
      <c r="A212" s="28"/>
      <c r="B212" s="28"/>
      <c r="C212" s="28"/>
      <c r="D212" s="28"/>
      <c r="E212" s="28"/>
      <c r="F212" s="28"/>
      <c r="G212" s="28"/>
      <c r="H212" s="17" t="s">
        <v>239</v>
      </c>
      <c r="I212" s="15">
        <f>'[1]التعليم الابتدائي'!ET480</f>
        <v>0</v>
      </c>
      <c r="J212" s="15">
        <f>'[1]التعليم الابتدائي'!EU480</f>
        <v>0</v>
      </c>
      <c r="K212" s="15">
        <f>'[1]التعليم الابتدائي'!EV480</f>
        <v>0</v>
      </c>
      <c r="L212" s="36">
        <f t="shared" si="8"/>
        <v>0</v>
      </c>
      <c r="M212" s="28"/>
      <c r="N212" s="28"/>
      <c r="O212" s="28"/>
      <c r="P212" s="28"/>
      <c r="Q212" s="28"/>
    </row>
    <row r="213" spans="1:18" ht="24" thickTop="1" thickBot="1">
      <c r="A213" s="28"/>
      <c r="B213" s="28"/>
      <c r="C213" s="28"/>
      <c r="D213" s="28"/>
      <c r="E213" s="28"/>
      <c r="F213" s="28"/>
      <c r="G213" s="28"/>
      <c r="H213" s="17" t="s">
        <v>240</v>
      </c>
      <c r="I213" s="15">
        <f>'[1]التعليم الابتدائي'!EW480</f>
        <v>0</v>
      </c>
      <c r="J213" s="15">
        <f>'[1]التعليم الابتدائي'!EX480</f>
        <v>0</v>
      </c>
      <c r="K213" s="15">
        <f>'[1]التعليم الابتدائي'!EY480</f>
        <v>0</v>
      </c>
      <c r="L213" s="36">
        <f t="shared" si="8"/>
        <v>0</v>
      </c>
      <c r="M213" s="28"/>
      <c r="N213" s="28"/>
      <c r="O213" s="28"/>
      <c r="P213" s="28"/>
      <c r="Q213" s="28"/>
    </row>
    <row r="214" spans="1:18" ht="24" thickTop="1" thickBot="1">
      <c r="A214" s="28"/>
      <c r="B214" s="28"/>
      <c r="C214" s="28"/>
      <c r="D214" s="28"/>
      <c r="E214" s="28"/>
      <c r="F214" s="28"/>
      <c r="G214" s="28"/>
      <c r="H214" s="17" t="s">
        <v>241</v>
      </c>
      <c r="I214" s="15">
        <f>'[1]التعليم الابتدائي'!EZ480</f>
        <v>0</v>
      </c>
      <c r="J214" s="15">
        <f>'[1]التعليم الابتدائي'!FA480</f>
        <v>0</v>
      </c>
      <c r="K214" s="15">
        <f>'[1]التعليم الابتدائي'!FB480</f>
        <v>0</v>
      </c>
      <c r="L214" s="36">
        <f t="shared" si="8"/>
        <v>0</v>
      </c>
      <c r="M214" s="28"/>
      <c r="N214" s="28"/>
      <c r="O214" s="28"/>
      <c r="P214" s="28"/>
      <c r="Q214" s="28"/>
    </row>
    <row r="215" spans="1:18" ht="24" thickTop="1" thickBot="1">
      <c r="A215" s="28"/>
      <c r="B215" s="28"/>
      <c r="C215" s="28"/>
      <c r="D215" s="28"/>
      <c r="E215" s="28"/>
      <c r="F215" s="28"/>
      <c r="G215" s="28"/>
      <c r="H215" s="17" t="s">
        <v>242</v>
      </c>
      <c r="I215" s="15">
        <f>'[1]التعليم الابتدائي'!FC480</f>
        <v>0</v>
      </c>
      <c r="J215" s="15">
        <f>'[1]التعليم الابتدائي'!FD480</f>
        <v>0</v>
      </c>
      <c r="K215" s="15">
        <f>'[1]التعليم الابتدائي'!FE480</f>
        <v>0</v>
      </c>
      <c r="L215" s="36">
        <f t="shared" si="8"/>
        <v>0</v>
      </c>
      <c r="M215" s="28"/>
      <c r="N215" s="28"/>
      <c r="O215" s="28"/>
      <c r="P215" s="28"/>
      <c r="Q215" s="28"/>
    </row>
    <row r="216" spans="1:18" ht="24" thickTop="1" thickBot="1">
      <c r="A216" s="28"/>
      <c r="B216" s="28"/>
      <c r="C216" s="28"/>
      <c r="D216" s="28"/>
      <c r="E216" s="28"/>
      <c r="F216" s="28"/>
      <c r="G216" s="28"/>
      <c r="H216" s="17" t="s">
        <v>243</v>
      </c>
      <c r="I216" s="15">
        <f>'[1]التعليم الابتدائي'!FF480</f>
        <v>0</v>
      </c>
      <c r="J216" s="15">
        <f>'[1]التعليم الابتدائي'!FG480</f>
        <v>0</v>
      </c>
      <c r="K216" s="15">
        <f>'[1]التعليم الابتدائي'!FH480</f>
        <v>0</v>
      </c>
      <c r="L216" s="36">
        <f t="shared" si="8"/>
        <v>0</v>
      </c>
      <c r="M216" s="28"/>
      <c r="N216" s="28"/>
      <c r="O216" s="28"/>
      <c r="P216" s="28"/>
      <c r="Q216" s="28"/>
    </row>
    <row r="217" spans="1:18" ht="24" thickTop="1" thickBot="1">
      <c r="A217" s="28"/>
      <c r="B217" s="28"/>
      <c r="C217" s="28"/>
      <c r="D217" s="28"/>
      <c r="E217" s="28"/>
      <c r="F217" s="28"/>
      <c r="G217" s="28"/>
      <c r="H217" s="18" t="s">
        <v>58</v>
      </c>
      <c r="I217" s="20">
        <f>SUM(I211:I216)</f>
        <v>0</v>
      </c>
      <c r="J217" s="20">
        <f>SUM(J211:J216)</f>
        <v>0</v>
      </c>
      <c r="K217" s="20">
        <f>SUM(K211:K216)</f>
        <v>0</v>
      </c>
      <c r="L217" s="33">
        <f>SUM(I217:K217)</f>
        <v>0</v>
      </c>
      <c r="M217" s="28"/>
      <c r="N217" s="28"/>
      <c r="O217" s="28"/>
      <c r="P217" s="28"/>
      <c r="Q217" s="28"/>
    </row>
    <row r="218" spans="1:18" ht="23.4" thickTop="1"/>
    <row r="219" spans="1:18">
      <c r="A219" s="29" t="s">
        <v>62</v>
      </c>
      <c r="B219" s="29"/>
      <c r="C219" s="29"/>
      <c r="D219" s="29"/>
      <c r="E219" s="29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3" t="s">
        <v>91</v>
      </c>
      <c r="Q219" s="23"/>
    </row>
    <row r="220" spans="1:18">
      <c r="A220" s="231" t="s">
        <v>64</v>
      </c>
      <c r="B220" s="231"/>
      <c r="C220" s="231"/>
      <c r="D220" s="231"/>
      <c r="E220" s="231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3" t="s">
        <v>65</v>
      </c>
      <c r="Q220" s="23"/>
    </row>
    <row r="221" spans="1:18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</row>
    <row r="222" spans="1:18">
      <c r="A222" s="23"/>
      <c r="B222" s="23"/>
      <c r="C222" s="23"/>
      <c r="D222" s="23"/>
      <c r="E222" s="23"/>
      <c r="F222" s="28"/>
      <c r="G222" s="28"/>
      <c r="H222" s="28"/>
      <c r="I222" s="28"/>
      <c r="J222" s="28" t="s">
        <v>216</v>
      </c>
      <c r="K222" s="28"/>
      <c r="L222" s="28"/>
      <c r="M222" s="28"/>
      <c r="N222" s="28"/>
      <c r="O222" s="28"/>
      <c r="P222" s="29"/>
      <c r="R222" s="29"/>
    </row>
    <row r="223" spans="1:18">
      <c r="A223" s="23"/>
      <c r="B223" s="23"/>
      <c r="C223" s="23"/>
      <c r="D223" s="23"/>
      <c r="E223" s="23"/>
      <c r="F223" s="28"/>
      <c r="G223" s="28"/>
      <c r="H223" s="28"/>
      <c r="I223" s="28" t="s">
        <v>244</v>
      </c>
      <c r="J223" s="28"/>
      <c r="K223" s="28"/>
      <c r="L223" s="28"/>
      <c r="M223" s="28"/>
      <c r="N223" s="28"/>
      <c r="O223" s="29"/>
      <c r="Q223" s="29"/>
    </row>
    <row r="224" spans="1:18" ht="23.4" thickBot="1">
      <c r="A224" s="23"/>
      <c r="B224" s="23"/>
      <c r="C224" s="23"/>
      <c r="D224" s="23"/>
      <c r="E224" s="23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9"/>
      <c r="R224" s="29"/>
    </row>
    <row r="225" spans="1:18" ht="24" thickTop="1" thickBot="1">
      <c r="A225" s="23"/>
      <c r="B225" s="23"/>
      <c r="C225" s="232" t="s">
        <v>218</v>
      </c>
      <c r="D225" s="233"/>
      <c r="E225" s="233"/>
      <c r="F225" s="286" t="s">
        <v>219</v>
      </c>
      <c r="G225" s="286"/>
      <c r="H225" s="286"/>
      <c r="I225" s="286"/>
      <c r="J225" s="286"/>
      <c r="K225" s="286"/>
      <c r="L225" s="286"/>
      <c r="M225" s="286"/>
      <c r="N225" s="287"/>
      <c r="O225" s="29"/>
      <c r="Q225" s="29"/>
    </row>
    <row r="226" spans="1:18" ht="24" thickTop="1" thickBot="1">
      <c r="A226" s="23"/>
      <c r="B226" s="23"/>
      <c r="C226" s="226"/>
      <c r="D226" s="227"/>
      <c r="E226" s="227"/>
      <c r="F226" s="288" t="s">
        <v>220</v>
      </c>
      <c r="G226" s="288"/>
      <c r="H226" s="289" t="s">
        <v>221</v>
      </c>
      <c r="I226" s="289"/>
      <c r="J226" s="289"/>
      <c r="K226" s="289"/>
      <c r="L226" s="289"/>
      <c r="M226" s="227" t="s">
        <v>222</v>
      </c>
      <c r="N226" s="285" t="s">
        <v>223</v>
      </c>
      <c r="O226" s="29"/>
      <c r="Q226" s="29"/>
    </row>
    <row r="227" spans="1:18" ht="24" thickTop="1" thickBot="1">
      <c r="A227" s="23"/>
      <c r="B227" s="23"/>
      <c r="C227" s="226" t="s">
        <v>224</v>
      </c>
      <c r="D227" s="227"/>
      <c r="E227" s="248" t="s">
        <v>225</v>
      </c>
      <c r="F227" s="227" t="s">
        <v>226</v>
      </c>
      <c r="G227" s="227" t="s">
        <v>227</v>
      </c>
      <c r="H227" s="15" t="s">
        <v>228</v>
      </c>
      <c r="I227" s="15" t="s">
        <v>229</v>
      </c>
      <c r="J227" s="15" t="s">
        <v>230</v>
      </c>
      <c r="K227" s="15" t="s">
        <v>231</v>
      </c>
      <c r="L227" s="15" t="s">
        <v>232</v>
      </c>
      <c r="M227" s="227"/>
      <c r="N227" s="285"/>
      <c r="O227" s="29"/>
      <c r="Q227" s="29"/>
    </row>
    <row r="228" spans="1:18" ht="24" thickTop="1" thickBot="1">
      <c r="A228" s="23"/>
      <c r="B228" s="23"/>
      <c r="C228" s="17" t="s">
        <v>233</v>
      </c>
      <c r="D228" s="15" t="s">
        <v>227</v>
      </c>
      <c r="E228" s="248"/>
      <c r="F228" s="227"/>
      <c r="G228" s="227"/>
      <c r="H228" s="227">
        <f>'[1]التعليم الابتدائي'!AMN558</f>
        <v>7</v>
      </c>
      <c r="I228" s="227">
        <v>0</v>
      </c>
      <c r="J228" s="227">
        <v>0</v>
      </c>
      <c r="K228" s="227">
        <v>0</v>
      </c>
      <c r="L228" s="227">
        <v>0</v>
      </c>
      <c r="M228" s="227"/>
      <c r="N228" s="285"/>
      <c r="O228" s="29"/>
      <c r="Q228" s="29"/>
    </row>
    <row r="229" spans="1:18" ht="24" thickTop="1" thickBot="1">
      <c r="A229" s="23"/>
      <c r="B229" s="23"/>
      <c r="C229" s="18">
        <f>'[1]التعليم الابتدائي'!ALZ558</f>
        <v>50</v>
      </c>
      <c r="D229" s="20">
        <f>'[1]التعليم الابتدائي'!AMA558</f>
        <v>11</v>
      </c>
      <c r="E229" s="20">
        <f>'[1]التعليم الابتدائي'!AMM558</f>
        <v>13955</v>
      </c>
      <c r="F229" s="20">
        <f>'[1]التعليم الابتدائي'!AMN558</f>
        <v>7</v>
      </c>
      <c r="G229" s="20">
        <f>'[1]التعليم الابتدائي'!AMO558</f>
        <v>54</v>
      </c>
      <c r="H229" s="229"/>
      <c r="I229" s="229"/>
      <c r="J229" s="229"/>
      <c r="K229" s="229"/>
      <c r="L229" s="229"/>
      <c r="M229" s="38">
        <v>0</v>
      </c>
      <c r="N229" s="39">
        <v>0</v>
      </c>
      <c r="O229" s="29"/>
      <c r="Q229" s="29"/>
    </row>
    <row r="230" spans="1:18" ht="23.4" thickTop="1">
      <c r="A230" s="28"/>
      <c r="B230" s="231" t="s">
        <v>234</v>
      </c>
      <c r="C230" s="231"/>
      <c r="D230" s="231"/>
      <c r="E230" s="231"/>
      <c r="F230" s="231"/>
      <c r="G230" s="231"/>
      <c r="H230" s="231"/>
      <c r="I230" s="231"/>
      <c r="J230" s="231"/>
      <c r="K230" s="231"/>
      <c r="L230" s="231"/>
      <c r="M230" s="231"/>
      <c r="N230" s="231"/>
      <c r="O230" s="231"/>
      <c r="P230" s="231"/>
      <c r="Q230" s="231"/>
      <c r="R230" s="231"/>
    </row>
    <row r="231" spans="1:18">
      <c r="A231" s="28"/>
      <c r="B231" s="231" t="s">
        <v>208</v>
      </c>
      <c r="C231" s="231"/>
      <c r="D231" s="231"/>
      <c r="E231" s="231"/>
      <c r="F231" s="231"/>
      <c r="G231" s="231"/>
      <c r="H231" s="231"/>
      <c r="I231" s="231"/>
      <c r="J231" s="231"/>
      <c r="K231" s="231"/>
      <c r="L231" s="231"/>
      <c r="M231" s="231"/>
      <c r="N231" s="231"/>
      <c r="O231" s="231"/>
      <c r="P231" s="231"/>
      <c r="Q231" s="231"/>
      <c r="R231" s="231"/>
    </row>
    <row r="232" spans="1:18">
      <c r="A232" s="28"/>
      <c r="B232" s="231" t="s">
        <v>246</v>
      </c>
      <c r="C232" s="231"/>
      <c r="D232" s="231"/>
      <c r="E232" s="231"/>
      <c r="F232" s="231"/>
      <c r="G232" s="231"/>
      <c r="H232" s="231"/>
      <c r="I232" s="231"/>
      <c r="J232" s="231"/>
      <c r="K232" s="231"/>
      <c r="L232" s="231"/>
      <c r="M232" s="231"/>
      <c r="N232" s="231"/>
      <c r="O232" s="231"/>
      <c r="P232" s="231"/>
      <c r="Q232" s="231"/>
      <c r="R232" s="231"/>
    </row>
    <row r="233" spans="1:18" ht="23.4" thickBo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</row>
    <row r="234" spans="1:18" ht="24" thickTop="1" thickBot="1">
      <c r="A234" s="28"/>
      <c r="B234" s="28"/>
      <c r="C234" s="28"/>
      <c r="D234" s="28"/>
      <c r="E234" s="28"/>
      <c r="F234" s="28"/>
      <c r="G234" s="28"/>
      <c r="H234" s="283"/>
      <c r="I234" s="233" t="s">
        <v>236</v>
      </c>
      <c r="J234" s="233"/>
      <c r="K234" s="233"/>
      <c r="L234" s="247"/>
      <c r="M234" s="28"/>
      <c r="N234" s="28"/>
      <c r="O234" s="28"/>
      <c r="P234" s="28"/>
      <c r="Q234" s="28"/>
    </row>
    <row r="235" spans="1:18" ht="24" thickTop="1" thickBot="1">
      <c r="A235" s="28"/>
      <c r="B235" s="28"/>
      <c r="C235" s="28"/>
      <c r="D235" s="28"/>
      <c r="E235" s="28"/>
      <c r="F235" s="28"/>
      <c r="G235" s="28"/>
      <c r="H235" s="284"/>
      <c r="I235" s="15" t="s">
        <v>76</v>
      </c>
      <c r="J235" s="15" t="s">
        <v>35</v>
      </c>
      <c r="K235" s="15" t="s">
        <v>237</v>
      </c>
      <c r="L235" s="36" t="s">
        <v>58</v>
      </c>
      <c r="M235" s="28"/>
      <c r="N235" s="28"/>
      <c r="O235" s="28"/>
      <c r="P235" s="28"/>
      <c r="Q235" s="28"/>
    </row>
    <row r="236" spans="1:18" ht="24" thickTop="1" thickBot="1">
      <c r="A236" s="28"/>
      <c r="B236" s="28"/>
      <c r="C236" s="28"/>
      <c r="D236" s="28"/>
      <c r="E236" s="28"/>
      <c r="F236" s="28"/>
      <c r="G236" s="28"/>
      <c r="H236" s="17" t="s">
        <v>238</v>
      </c>
      <c r="I236" s="15">
        <f>'[1]التعليم الابتدائي'!EQ558</f>
        <v>0</v>
      </c>
      <c r="J236" s="15">
        <f>'[1]التعليم الابتدائي'!ER558</f>
        <v>0</v>
      </c>
      <c r="K236" s="15">
        <f>'[1]التعليم الابتدائي'!ES558</f>
        <v>0</v>
      </c>
      <c r="L236" s="36">
        <f t="shared" ref="L236:L241" si="9">K236+J236+I236</f>
        <v>0</v>
      </c>
      <c r="M236" s="28"/>
      <c r="N236" s="28"/>
      <c r="O236" s="28"/>
      <c r="P236" s="28"/>
      <c r="Q236" s="28"/>
    </row>
    <row r="237" spans="1:18" ht="24" thickTop="1" thickBot="1">
      <c r="A237" s="28"/>
      <c r="B237" s="28"/>
      <c r="C237" s="28"/>
      <c r="D237" s="28"/>
      <c r="E237" s="28"/>
      <c r="F237" s="28"/>
      <c r="G237" s="28"/>
      <c r="H237" s="17" t="s">
        <v>239</v>
      </c>
      <c r="I237" s="15">
        <f>'[1]التعليم الابتدائي'!ET558</f>
        <v>0</v>
      </c>
      <c r="J237" s="15">
        <f>'[1]التعليم الابتدائي'!EU558</f>
        <v>0</v>
      </c>
      <c r="K237" s="15">
        <f>'[1]التعليم الابتدائي'!EV558</f>
        <v>0</v>
      </c>
      <c r="L237" s="36">
        <f t="shared" si="9"/>
        <v>0</v>
      </c>
      <c r="M237" s="28"/>
      <c r="N237" s="28"/>
      <c r="O237" s="28"/>
      <c r="P237" s="28"/>
      <c r="Q237" s="28"/>
    </row>
    <row r="238" spans="1:18" ht="24" thickTop="1" thickBot="1">
      <c r="A238" s="28"/>
      <c r="B238" s="28"/>
      <c r="C238" s="28"/>
      <c r="D238" s="28"/>
      <c r="E238" s="28"/>
      <c r="F238" s="28"/>
      <c r="G238" s="28"/>
      <c r="H238" s="17" t="s">
        <v>240</v>
      </c>
      <c r="I238" s="15">
        <f>'[1]التعليم الابتدائي'!EW558</f>
        <v>0</v>
      </c>
      <c r="J238" s="15">
        <f>'[1]التعليم الابتدائي'!EX558</f>
        <v>0</v>
      </c>
      <c r="K238" s="15">
        <f>'[1]التعليم الابتدائي'!EY558</f>
        <v>0</v>
      </c>
      <c r="L238" s="36">
        <f t="shared" si="9"/>
        <v>0</v>
      </c>
      <c r="M238" s="28"/>
      <c r="N238" s="28"/>
      <c r="O238" s="28"/>
      <c r="P238" s="28"/>
      <c r="Q238" s="28"/>
    </row>
    <row r="239" spans="1:18" ht="24" thickTop="1" thickBot="1">
      <c r="A239" s="28"/>
      <c r="B239" s="28"/>
      <c r="C239" s="28"/>
      <c r="D239" s="28"/>
      <c r="E239" s="28"/>
      <c r="F239" s="28"/>
      <c r="G239" s="28"/>
      <c r="H239" s="17" t="s">
        <v>241</v>
      </c>
      <c r="I239" s="15">
        <f>'[1]التعليم الابتدائي'!EZ558</f>
        <v>0</v>
      </c>
      <c r="J239" s="15">
        <f>'[1]التعليم الابتدائي'!FA558</f>
        <v>0</v>
      </c>
      <c r="K239" s="15">
        <f>'[1]التعليم الابتدائي'!FB558</f>
        <v>0</v>
      </c>
      <c r="L239" s="36">
        <f t="shared" si="9"/>
        <v>0</v>
      </c>
      <c r="M239" s="28"/>
      <c r="N239" s="28"/>
      <c r="O239" s="28"/>
      <c r="P239" s="28"/>
      <c r="Q239" s="28"/>
    </row>
    <row r="240" spans="1:18" ht="24" thickTop="1" thickBot="1">
      <c r="A240" s="28"/>
      <c r="B240" s="28"/>
      <c r="C240" s="28"/>
      <c r="D240" s="28"/>
      <c r="E240" s="28"/>
      <c r="F240" s="28"/>
      <c r="G240" s="28"/>
      <c r="H240" s="17" t="s">
        <v>242</v>
      </c>
      <c r="I240" s="15">
        <f>'[1]التعليم الابتدائي'!FC558</f>
        <v>0</v>
      </c>
      <c r="J240" s="15">
        <f>'[1]التعليم الابتدائي'!FD558</f>
        <v>0</v>
      </c>
      <c r="K240" s="15">
        <f>'[1]التعليم الابتدائي'!FE558</f>
        <v>0</v>
      </c>
      <c r="L240" s="36">
        <f t="shared" si="9"/>
        <v>0</v>
      </c>
      <c r="M240" s="28"/>
      <c r="N240" s="28"/>
      <c r="O240" s="28"/>
      <c r="P240" s="28"/>
      <c r="Q240" s="28"/>
    </row>
    <row r="241" spans="1:18" ht="24" thickTop="1" thickBot="1">
      <c r="A241" s="28"/>
      <c r="B241" s="28"/>
      <c r="C241" s="28"/>
      <c r="D241" s="28"/>
      <c r="E241" s="28"/>
      <c r="F241" s="28"/>
      <c r="G241" s="28"/>
      <c r="H241" s="17" t="s">
        <v>243</v>
      </c>
      <c r="I241" s="15">
        <f>'[1]التعليم الابتدائي'!FF558</f>
        <v>0</v>
      </c>
      <c r="J241" s="15">
        <f>'[1]التعليم الابتدائي'!FG558</f>
        <v>0</v>
      </c>
      <c r="K241" s="15">
        <f>'[1]التعليم الابتدائي'!FH558</f>
        <v>0</v>
      </c>
      <c r="L241" s="36">
        <f t="shared" si="9"/>
        <v>0</v>
      </c>
      <c r="M241" s="28"/>
      <c r="N241" s="28"/>
      <c r="O241" s="28"/>
      <c r="P241" s="28"/>
      <c r="Q241" s="28"/>
    </row>
    <row r="242" spans="1:18" ht="24" thickTop="1" thickBot="1">
      <c r="A242" s="28"/>
      <c r="B242" s="28"/>
      <c r="C242" s="28"/>
      <c r="D242" s="28"/>
      <c r="E242" s="28"/>
      <c r="F242" s="28"/>
      <c r="G242" s="28"/>
      <c r="H242" s="18" t="s">
        <v>58</v>
      </c>
      <c r="I242" s="20">
        <f>SUM(I236:I241)</f>
        <v>0</v>
      </c>
      <c r="J242" s="20">
        <f>SUM(J236:J241)</f>
        <v>0</v>
      </c>
      <c r="K242" s="20">
        <f>SUM(K236:K241)</f>
        <v>0</v>
      </c>
      <c r="L242" s="33">
        <f>SUM(I242:K242)</f>
        <v>0</v>
      </c>
      <c r="M242" s="28"/>
      <c r="N242" s="28"/>
      <c r="O242" s="28"/>
      <c r="P242" s="28"/>
      <c r="Q242" s="28"/>
    </row>
    <row r="243" spans="1:18" ht="23.4" thickTop="1">
      <c r="A243" s="29" t="s">
        <v>62</v>
      </c>
      <c r="B243" s="29"/>
      <c r="C243" s="29"/>
      <c r="D243" s="29"/>
      <c r="E243" s="29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3" t="s">
        <v>92</v>
      </c>
      <c r="Q243" s="23"/>
    </row>
    <row r="244" spans="1:18">
      <c r="A244" s="231" t="s">
        <v>64</v>
      </c>
      <c r="B244" s="231"/>
      <c r="C244" s="231"/>
      <c r="D244" s="231"/>
      <c r="E244" s="231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3" t="s">
        <v>65</v>
      </c>
      <c r="Q244" s="23"/>
    </row>
    <row r="245" spans="1:18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</row>
    <row r="246" spans="1:18">
      <c r="A246" s="23"/>
      <c r="B246" s="23"/>
      <c r="C246" s="23"/>
      <c r="D246" s="23"/>
      <c r="E246" s="23"/>
      <c r="F246" s="28"/>
      <c r="G246" s="28"/>
      <c r="H246" s="28"/>
      <c r="I246" s="28"/>
      <c r="J246" s="28" t="s">
        <v>216</v>
      </c>
      <c r="K246" s="28"/>
      <c r="L246" s="28"/>
      <c r="M246" s="28"/>
      <c r="N246" s="28"/>
      <c r="O246" s="28"/>
      <c r="P246" s="29"/>
      <c r="R246" s="29"/>
    </row>
    <row r="247" spans="1:18">
      <c r="A247" s="23"/>
      <c r="B247" s="23"/>
      <c r="C247" s="23"/>
      <c r="D247" s="23"/>
      <c r="E247" s="23"/>
      <c r="F247" s="28"/>
      <c r="G247" s="28"/>
      <c r="H247" s="28"/>
      <c r="I247" s="28" t="s">
        <v>244</v>
      </c>
      <c r="J247" s="28"/>
      <c r="K247" s="28"/>
      <c r="L247" s="28"/>
      <c r="M247" s="28"/>
      <c r="N247" s="28"/>
      <c r="O247" s="29"/>
      <c r="Q247" s="29"/>
    </row>
    <row r="248" spans="1:18" ht="23.4" thickBot="1">
      <c r="A248" s="23"/>
      <c r="B248" s="23"/>
      <c r="C248" s="23"/>
      <c r="D248" s="23"/>
      <c r="E248" s="23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9"/>
      <c r="R248" s="29"/>
    </row>
    <row r="249" spans="1:18" ht="24" thickTop="1" thickBot="1">
      <c r="A249" s="23"/>
      <c r="B249" s="23"/>
      <c r="C249" s="232" t="s">
        <v>218</v>
      </c>
      <c r="D249" s="233"/>
      <c r="E249" s="233"/>
      <c r="F249" s="286" t="s">
        <v>219</v>
      </c>
      <c r="G249" s="286"/>
      <c r="H249" s="286"/>
      <c r="I249" s="286"/>
      <c r="J249" s="286"/>
      <c r="K249" s="286"/>
      <c r="L249" s="286"/>
      <c r="M249" s="286"/>
      <c r="N249" s="287"/>
      <c r="O249" s="29"/>
      <c r="Q249" s="29"/>
    </row>
    <row r="250" spans="1:18" ht="24" thickTop="1" thickBot="1">
      <c r="A250" s="23"/>
      <c r="B250" s="23"/>
      <c r="C250" s="226"/>
      <c r="D250" s="227"/>
      <c r="E250" s="227"/>
      <c r="F250" s="288" t="s">
        <v>220</v>
      </c>
      <c r="G250" s="288"/>
      <c r="H250" s="289" t="s">
        <v>221</v>
      </c>
      <c r="I250" s="289"/>
      <c r="J250" s="289"/>
      <c r="K250" s="289"/>
      <c r="L250" s="289"/>
      <c r="M250" s="227" t="s">
        <v>222</v>
      </c>
      <c r="N250" s="285" t="s">
        <v>223</v>
      </c>
      <c r="O250" s="29"/>
      <c r="Q250" s="29"/>
    </row>
    <row r="251" spans="1:18" ht="24" thickTop="1" thickBot="1">
      <c r="A251" s="23"/>
      <c r="B251" s="23"/>
      <c r="C251" s="226" t="s">
        <v>224</v>
      </c>
      <c r="D251" s="227"/>
      <c r="E251" s="248" t="s">
        <v>225</v>
      </c>
      <c r="F251" s="227" t="s">
        <v>226</v>
      </c>
      <c r="G251" s="227" t="s">
        <v>227</v>
      </c>
      <c r="H251" s="15" t="s">
        <v>228</v>
      </c>
      <c r="I251" s="15" t="s">
        <v>229</v>
      </c>
      <c r="J251" s="15" t="s">
        <v>230</v>
      </c>
      <c r="K251" s="15" t="s">
        <v>231</v>
      </c>
      <c r="L251" s="15" t="s">
        <v>232</v>
      </c>
      <c r="M251" s="227"/>
      <c r="N251" s="285"/>
      <c r="O251" s="29"/>
      <c r="Q251" s="29"/>
    </row>
    <row r="252" spans="1:18" ht="24" thickTop="1" thickBot="1">
      <c r="A252" s="23"/>
      <c r="B252" s="23"/>
      <c r="C252" s="17" t="s">
        <v>233</v>
      </c>
      <c r="D252" s="15" t="s">
        <v>227</v>
      </c>
      <c r="E252" s="248"/>
      <c r="F252" s="227"/>
      <c r="G252" s="227"/>
      <c r="H252" s="227">
        <f>'[1]التعليم الابتدائي'!AMN580</f>
        <v>3</v>
      </c>
      <c r="I252" s="227">
        <v>0</v>
      </c>
      <c r="J252" s="227">
        <v>0</v>
      </c>
      <c r="K252" s="227">
        <v>0</v>
      </c>
      <c r="L252" s="227">
        <v>0</v>
      </c>
      <c r="M252" s="227"/>
      <c r="N252" s="285"/>
      <c r="O252" s="29"/>
      <c r="Q252" s="29"/>
    </row>
    <row r="253" spans="1:18" ht="24" thickTop="1" thickBot="1">
      <c r="A253" s="23"/>
      <c r="B253" s="23"/>
      <c r="C253" s="18">
        <f>'[1]التعليم الابتدائي'!ALZ580</f>
        <v>15</v>
      </c>
      <c r="D253" s="20">
        <f>'[1]التعليم الابتدائي'!AMA580</f>
        <v>6</v>
      </c>
      <c r="E253" s="20">
        <f>'[1]التعليم الابتدائي'!AMM580</f>
        <v>2229</v>
      </c>
      <c r="F253" s="20">
        <f>'[1]التعليم الابتدائي'!AMN580</f>
        <v>3</v>
      </c>
      <c r="G253" s="20">
        <f>'[1]التعليم الابتدائي'!AMO580</f>
        <v>18</v>
      </c>
      <c r="H253" s="229"/>
      <c r="I253" s="229"/>
      <c r="J253" s="229"/>
      <c r="K253" s="229"/>
      <c r="L253" s="229"/>
      <c r="M253" s="38">
        <v>0</v>
      </c>
      <c r="N253" s="39">
        <v>0</v>
      </c>
      <c r="O253" s="29"/>
      <c r="Q253" s="29"/>
    </row>
    <row r="254" spans="1:18" ht="23.4" thickTop="1">
      <c r="A254" s="28"/>
      <c r="B254" s="231" t="s">
        <v>234</v>
      </c>
      <c r="C254" s="231"/>
      <c r="D254" s="231"/>
      <c r="E254" s="231"/>
      <c r="F254" s="231"/>
      <c r="G254" s="231"/>
      <c r="H254" s="231"/>
      <c r="I254" s="231"/>
      <c r="J254" s="231"/>
      <c r="K254" s="231"/>
      <c r="L254" s="231"/>
      <c r="M254" s="231"/>
      <c r="N254" s="231"/>
      <c r="O254" s="231"/>
      <c r="P254" s="231"/>
      <c r="Q254" s="231"/>
      <c r="R254" s="231"/>
    </row>
    <row r="255" spans="1:18">
      <c r="A255" s="28"/>
      <c r="B255" s="231" t="s">
        <v>208</v>
      </c>
      <c r="C255" s="231"/>
      <c r="D255" s="231"/>
      <c r="E255" s="231"/>
      <c r="F255" s="231"/>
      <c r="G255" s="231"/>
      <c r="H255" s="231"/>
      <c r="I255" s="231"/>
      <c r="J255" s="231"/>
      <c r="K255" s="231"/>
      <c r="L255" s="231"/>
      <c r="M255" s="231"/>
      <c r="N255" s="231"/>
      <c r="O255" s="231"/>
      <c r="P255" s="231"/>
      <c r="Q255" s="231"/>
      <c r="R255" s="231"/>
    </row>
    <row r="256" spans="1:18">
      <c r="A256" s="28"/>
      <c r="B256" s="231" t="s">
        <v>245</v>
      </c>
      <c r="C256" s="231"/>
      <c r="D256" s="231"/>
      <c r="E256" s="231"/>
      <c r="F256" s="231"/>
      <c r="G256" s="231"/>
      <c r="H256" s="231"/>
      <c r="I256" s="231"/>
      <c r="J256" s="231"/>
      <c r="K256" s="231"/>
      <c r="L256" s="231"/>
      <c r="M256" s="231"/>
      <c r="N256" s="231"/>
      <c r="O256" s="231"/>
      <c r="P256" s="231"/>
      <c r="Q256" s="231"/>
      <c r="R256" s="231"/>
    </row>
    <row r="257" spans="1:18" ht="23.4" thickBo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</row>
    <row r="258" spans="1:18" ht="24" thickTop="1" thickBot="1">
      <c r="A258" s="28"/>
      <c r="B258" s="28"/>
      <c r="C258" s="28"/>
      <c r="D258" s="28"/>
      <c r="E258" s="28"/>
      <c r="F258" s="28"/>
      <c r="G258" s="28"/>
      <c r="H258" s="283"/>
      <c r="I258" s="233" t="s">
        <v>236</v>
      </c>
      <c r="J258" s="233"/>
      <c r="K258" s="233"/>
      <c r="L258" s="247"/>
      <c r="M258" s="28"/>
      <c r="N258" s="28"/>
      <c r="O258" s="28"/>
      <c r="P258" s="28"/>
      <c r="Q258" s="28"/>
    </row>
    <row r="259" spans="1:18" ht="24" thickTop="1" thickBot="1">
      <c r="A259" s="28"/>
      <c r="B259" s="28"/>
      <c r="C259" s="28"/>
      <c r="D259" s="28"/>
      <c r="E259" s="28"/>
      <c r="F259" s="28"/>
      <c r="G259" s="28"/>
      <c r="H259" s="284"/>
      <c r="I259" s="15" t="s">
        <v>76</v>
      </c>
      <c r="J259" s="15" t="s">
        <v>35</v>
      </c>
      <c r="K259" s="15" t="s">
        <v>237</v>
      </c>
      <c r="L259" s="36" t="s">
        <v>58</v>
      </c>
      <c r="M259" s="28"/>
      <c r="N259" s="28"/>
      <c r="O259" s="28"/>
      <c r="P259" s="28"/>
      <c r="Q259" s="28"/>
    </row>
    <row r="260" spans="1:18" ht="24" thickTop="1" thickBot="1">
      <c r="A260" s="28"/>
      <c r="B260" s="28"/>
      <c r="C260" s="28"/>
      <c r="D260" s="28"/>
      <c r="E260" s="28"/>
      <c r="F260" s="28"/>
      <c r="G260" s="28"/>
      <c r="H260" s="17" t="s">
        <v>238</v>
      </c>
      <c r="I260" s="15">
        <f>'[1]التعليم الابتدائي'!EQ580</f>
        <v>0</v>
      </c>
      <c r="J260" s="15">
        <f>'[1]التعليم الابتدائي'!ER580</f>
        <v>0</v>
      </c>
      <c r="K260" s="15">
        <f>'[1]التعليم الابتدائي'!ES580</f>
        <v>0</v>
      </c>
      <c r="L260" s="36">
        <f t="shared" ref="L260:L265" si="10">K260+J260+I260</f>
        <v>0</v>
      </c>
      <c r="M260" s="28"/>
      <c r="N260" s="28"/>
      <c r="O260" s="28"/>
      <c r="P260" s="28"/>
      <c r="Q260" s="28"/>
    </row>
    <row r="261" spans="1:18" ht="24" thickTop="1" thickBot="1">
      <c r="A261" s="28"/>
      <c r="B261" s="28"/>
      <c r="C261" s="28"/>
      <c r="D261" s="28"/>
      <c r="E261" s="28"/>
      <c r="F261" s="28"/>
      <c r="G261" s="28"/>
      <c r="H261" s="17" t="s">
        <v>239</v>
      </c>
      <c r="I261" s="15">
        <f>'[1]التعليم الابتدائي'!ET580</f>
        <v>0</v>
      </c>
      <c r="J261" s="15">
        <f>'[1]التعليم الابتدائي'!EU580</f>
        <v>0</v>
      </c>
      <c r="K261" s="15">
        <f>'[1]التعليم الابتدائي'!EV580</f>
        <v>0</v>
      </c>
      <c r="L261" s="36">
        <f t="shared" si="10"/>
        <v>0</v>
      </c>
      <c r="M261" s="28"/>
      <c r="N261" s="28"/>
      <c r="O261" s="28"/>
      <c r="P261" s="28"/>
      <c r="Q261" s="28"/>
    </row>
    <row r="262" spans="1:18" ht="24" thickTop="1" thickBot="1">
      <c r="A262" s="28"/>
      <c r="B262" s="28"/>
      <c r="C262" s="28"/>
      <c r="D262" s="28"/>
      <c r="E262" s="28"/>
      <c r="F262" s="28"/>
      <c r="G262" s="28"/>
      <c r="H262" s="17" t="s">
        <v>240</v>
      </c>
      <c r="I262" s="15">
        <f>'[1]التعليم الابتدائي'!EW580</f>
        <v>0</v>
      </c>
      <c r="J262" s="15">
        <f>'[1]التعليم الابتدائي'!EX580</f>
        <v>0</v>
      </c>
      <c r="K262" s="15">
        <f>'[1]التعليم الابتدائي'!EY580</f>
        <v>0</v>
      </c>
      <c r="L262" s="36">
        <f t="shared" si="10"/>
        <v>0</v>
      </c>
      <c r="M262" s="28"/>
      <c r="N262" s="28"/>
      <c r="O262" s="28"/>
      <c r="P262" s="28"/>
      <c r="Q262" s="28"/>
    </row>
    <row r="263" spans="1:18" ht="24" thickTop="1" thickBot="1">
      <c r="A263" s="28"/>
      <c r="B263" s="28"/>
      <c r="C263" s="28"/>
      <c r="D263" s="28"/>
      <c r="E263" s="28"/>
      <c r="F263" s="28"/>
      <c r="G263" s="28"/>
      <c r="H263" s="17" t="s">
        <v>241</v>
      </c>
      <c r="I263" s="15">
        <f>'[1]التعليم الابتدائي'!EZ580</f>
        <v>0</v>
      </c>
      <c r="J263" s="15">
        <f>'[1]التعليم الابتدائي'!FA580</f>
        <v>0</v>
      </c>
      <c r="K263" s="15">
        <f>'[1]التعليم الابتدائي'!FB580</f>
        <v>0</v>
      </c>
      <c r="L263" s="36">
        <f t="shared" si="10"/>
        <v>0</v>
      </c>
      <c r="M263" s="28"/>
      <c r="N263" s="28"/>
      <c r="O263" s="28"/>
      <c r="P263" s="28"/>
      <c r="Q263" s="28"/>
    </row>
    <row r="264" spans="1:18" ht="24" thickTop="1" thickBot="1">
      <c r="A264" s="28"/>
      <c r="B264" s="28"/>
      <c r="C264" s="28"/>
      <c r="D264" s="28"/>
      <c r="E264" s="28"/>
      <c r="F264" s="28"/>
      <c r="G264" s="28"/>
      <c r="H264" s="17" t="s">
        <v>242</v>
      </c>
      <c r="I264" s="15">
        <f>'[1]التعليم الابتدائي'!FC580</f>
        <v>0</v>
      </c>
      <c r="J264" s="15">
        <f>'[1]التعليم الابتدائي'!FD580</f>
        <v>0</v>
      </c>
      <c r="K264" s="15">
        <f>'[1]التعليم الابتدائي'!FE580</f>
        <v>0</v>
      </c>
      <c r="L264" s="36">
        <f t="shared" si="10"/>
        <v>0</v>
      </c>
      <c r="M264" s="28"/>
      <c r="N264" s="28"/>
      <c r="O264" s="28"/>
      <c r="P264" s="28"/>
      <c r="Q264" s="28"/>
    </row>
    <row r="265" spans="1:18" ht="24" thickTop="1" thickBot="1">
      <c r="A265" s="28"/>
      <c r="B265" s="28"/>
      <c r="C265" s="28"/>
      <c r="D265" s="28"/>
      <c r="E265" s="28"/>
      <c r="F265" s="28"/>
      <c r="G265" s="28"/>
      <c r="H265" s="17" t="s">
        <v>243</v>
      </c>
      <c r="I265" s="15">
        <f>'[1]التعليم الابتدائي'!FF580</f>
        <v>0</v>
      </c>
      <c r="J265" s="15">
        <f>'[1]التعليم الابتدائي'!FG580</f>
        <v>0</v>
      </c>
      <c r="K265" s="15">
        <f>'[1]التعليم الابتدائي'!FH580</f>
        <v>0</v>
      </c>
      <c r="L265" s="36">
        <f t="shared" si="10"/>
        <v>0</v>
      </c>
      <c r="M265" s="28"/>
      <c r="N265" s="28"/>
      <c r="O265" s="28"/>
      <c r="P265" s="28"/>
      <c r="Q265" s="28"/>
    </row>
    <row r="266" spans="1:18" ht="24" thickTop="1" thickBot="1">
      <c r="A266" s="28"/>
      <c r="B266" s="28"/>
      <c r="C266" s="28"/>
      <c r="D266" s="28"/>
      <c r="E266" s="28"/>
      <c r="F266" s="28"/>
      <c r="G266" s="28"/>
      <c r="H266" s="18" t="s">
        <v>58</v>
      </c>
      <c r="I266" s="20">
        <f>SUM(I260:I265)</f>
        <v>0</v>
      </c>
      <c r="J266" s="20">
        <f>SUM(J260:J265)</f>
        <v>0</v>
      </c>
      <c r="K266" s="20">
        <f>SUM(K260:K265)</f>
        <v>0</v>
      </c>
      <c r="L266" s="33">
        <f>SUM(I266:K266)</f>
        <v>0</v>
      </c>
      <c r="M266" s="28"/>
      <c r="N266" s="28"/>
      <c r="O266" s="28"/>
      <c r="P266" s="28"/>
      <c r="Q266" s="28"/>
    </row>
    <row r="267" spans="1:18" ht="23.4" thickTop="1"/>
    <row r="268" spans="1:18">
      <c r="A268" s="29" t="s">
        <v>62</v>
      </c>
      <c r="B268" s="29"/>
      <c r="C268" s="29"/>
      <c r="D268" s="29"/>
      <c r="E268" s="29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31" t="s">
        <v>93</v>
      </c>
      <c r="Q268" s="231"/>
    </row>
    <row r="269" spans="1:18">
      <c r="A269" s="231" t="s">
        <v>64</v>
      </c>
      <c r="B269" s="231"/>
      <c r="C269" s="231"/>
      <c r="D269" s="231"/>
      <c r="E269" s="231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31" t="s">
        <v>65</v>
      </c>
      <c r="Q269" s="231"/>
    </row>
    <row r="270" spans="1:18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</row>
    <row r="271" spans="1:18">
      <c r="A271" s="23"/>
      <c r="B271" s="23"/>
      <c r="C271" s="23"/>
      <c r="D271" s="23"/>
      <c r="E271" s="23"/>
      <c r="F271" s="28"/>
      <c r="G271" s="28"/>
      <c r="H271" s="28"/>
      <c r="I271" s="28"/>
      <c r="J271" s="28" t="s">
        <v>216</v>
      </c>
      <c r="K271" s="28"/>
      <c r="L271" s="28"/>
      <c r="M271" s="28"/>
      <c r="N271" s="28"/>
      <c r="O271" s="28"/>
      <c r="P271" s="29"/>
      <c r="R271" s="29"/>
    </row>
    <row r="272" spans="1:18">
      <c r="A272" s="23"/>
      <c r="B272" s="23"/>
      <c r="C272" s="23"/>
      <c r="D272" s="23"/>
      <c r="E272" s="23"/>
      <c r="F272" s="28"/>
      <c r="G272" s="28"/>
      <c r="H272" s="28"/>
      <c r="I272" s="28" t="s">
        <v>244</v>
      </c>
      <c r="J272" s="28"/>
      <c r="K272" s="28"/>
      <c r="L272" s="28"/>
      <c r="M272" s="28"/>
      <c r="N272" s="28"/>
      <c r="O272" s="29"/>
      <c r="Q272" s="29"/>
    </row>
    <row r="273" spans="1:18" ht="23.4" thickBot="1">
      <c r="A273" s="23"/>
      <c r="B273" s="23"/>
      <c r="C273" s="23"/>
      <c r="D273" s="23"/>
      <c r="E273" s="23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9"/>
      <c r="R273" s="29"/>
    </row>
    <row r="274" spans="1:18" ht="24" thickTop="1" thickBot="1">
      <c r="A274" s="23"/>
      <c r="B274" s="23"/>
      <c r="C274" s="232" t="s">
        <v>218</v>
      </c>
      <c r="D274" s="233"/>
      <c r="E274" s="233"/>
      <c r="F274" s="286" t="s">
        <v>219</v>
      </c>
      <c r="G274" s="286"/>
      <c r="H274" s="286"/>
      <c r="I274" s="286"/>
      <c r="J274" s="286"/>
      <c r="K274" s="286"/>
      <c r="L274" s="286"/>
      <c r="M274" s="286"/>
      <c r="N274" s="287"/>
      <c r="O274" s="29"/>
      <c r="Q274" s="29"/>
    </row>
    <row r="275" spans="1:18" ht="24" thickTop="1" thickBot="1">
      <c r="A275" s="23"/>
      <c r="B275" s="23"/>
      <c r="C275" s="226"/>
      <c r="D275" s="227"/>
      <c r="E275" s="227"/>
      <c r="F275" s="288" t="s">
        <v>220</v>
      </c>
      <c r="G275" s="288"/>
      <c r="H275" s="289" t="s">
        <v>221</v>
      </c>
      <c r="I275" s="289"/>
      <c r="J275" s="289"/>
      <c r="K275" s="289"/>
      <c r="L275" s="289"/>
      <c r="M275" s="227" t="s">
        <v>222</v>
      </c>
      <c r="N275" s="285" t="s">
        <v>223</v>
      </c>
      <c r="O275" s="29"/>
      <c r="Q275" s="29"/>
    </row>
    <row r="276" spans="1:18" ht="24" thickTop="1" thickBot="1">
      <c r="A276" s="23"/>
      <c r="B276" s="23"/>
      <c r="C276" s="226" t="s">
        <v>224</v>
      </c>
      <c r="D276" s="227"/>
      <c r="E276" s="248" t="s">
        <v>225</v>
      </c>
      <c r="F276" s="227" t="s">
        <v>226</v>
      </c>
      <c r="G276" s="227" t="s">
        <v>227</v>
      </c>
      <c r="H276" s="15" t="s">
        <v>228</v>
      </c>
      <c r="I276" s="15" t="s">
        <v>229</v>
      </c>
      <c r="J276" s="15" t="s">
        <v>230</v>
      </c>
      <c r="K276" s="15" t="s">
        <v>231</v>
      </c>
      <c r="L276" s="15" t="s">
        <v>232</v>
      </c>
      <c r="M276" s="227"/>
      <c r="N276" s="285"/>
      <c r="O276" s="29"/>
      <c r="Q276" s="29"/>
    </row>
    <row r="277" spans="1:18" ht="24" thickTop="1" thickBot="1">
      <c r="A277" s="23"/>
      <c r="B277" s="23"/>
      <c r="C277" s="17" t="s">
        <v>233</v>
      </c>
      <c r="D277" s="15" t="s">
        <v>227</v>
      </c>
      <c r="E277" s="248"/>
      <c r="F277" s="227"/>
      <c r="G277" s="227"/>
      <c r="H277" s="227">
        <f>'[1]التعليم الابتدائي'!AMN644</f>
        <v>17</v>
      </c>
      <c r="I277" s="227">
        <v>0</v>
      </c>
      <c r="J277" s="227">
        <v>0</v>
      </c>
      <c r="K277" s="227">
        <v>0</v>
      </c>
      <c r="L277" s="227">
        <v>0</v>
      </c>
      <c r="M277" s="227"/>
      <c r="N277" s="285"/>
      <c r="O277" s="29"/>
      <c r="Q277" s="29"/>
    </row>
    <row r="278" spans="1:18" ht="24" thickTop="1" thickBot="1">
      <c r="A278" s="23"/>
      <c r="B278" s="23"/>
      <c r="C278" s="18">
        <f>'[1]التعليم الابتدائي'!ALZ644</f>
        <v>41</v>
      </c>
      <c r="D278" s="20">
        <f>'[1]التعليم الابتدائي'!AMA644</f>
        <v>18</v>
      </c>
      <c r="E278" s="20">
        <f>'[1]التعليم الابتدائي'!AMM644</f>
        <v>9790</v>
      </c>
      <c r="F278" s="20">
        <f>'[1]التعليم الابتدائي'!AMN644</f>
        <v>17</v>
      </c>
      <c r="G278" s="20">
        <f>'[1]التعليم الابتدائي'!AMO644</f>
        <v>41</v>
      </c>
      <c r="H278" s="229"/>
      <c r="I278" s="229"/>
      <c r="J278" s="229"/>
      <c r="K278" s="229"/>
      <c r="L278" s="229"/>
      <c r="M278" s="38">
        <v>0</v>
      </c>
      <c r="N278" s="39">
        <v>0</v>
      </c>
      <c r="O278" s="29"/>
      <c r="Q278" s="29"/>
    </row>
    <row r="279" spans="1:18" ht="23.4" thickTop="1">
      <c r="A279" s="28"/>
      <c r="B279" s="231" t="s">
        <v>234</v>
      </c>
      <c r="C279" s="231"/>
      <c r="D279" s="231"/>
      <c r="E279" s="231"/>
      <c r="F279" s="231"/>
      <c r="G279" s="231"/>
      <c r="H279" s="231"/>
      <c r="I279" s="231"/>
      <c r="J279" s="231"/>
      <c r="K279" s="231"/>
      <c r="L279" s="231"/>
      <c r="M279" s="231"/>
      <c r="N279" s="231"/>
      <c r="O279" s="231"/>
      <c r="P279" s="231"/>
      <c r="Q279" s="231"/>
      <c r="R279" s="231"/>
    </row>
    <row r="280" spans="1:18">
      <c r="A280" s="28"/>
      <c r="B280" s="231" t="s">
        <v>208</v>
      </c>
      <c r="C280" s="231"/>
      <c r="D280" s="231"/>
      <c r="E280" s="231"/>
      <c r="F280" s="231"/>
      <c r="G280" s="231"/>
      <c r="H280" s="231"/>
      <c r="I280" s="231"/>
      <c r="J280" s="231"/>
      <c r="K280" s="231"/>
      <c r="L280" s="231"/>
      <c r="M280" s="231"/>
      <c r="N280" s="231"/>
      <c r="O280" s="231"/>
      <c r="P280" s="231"/>
      <c r="Q280" s="231"/>
      <c r="R280" s="231"/>
    </row>
    <row r="281" spans="1:18">
      <c r="A281" s="28"/>
      <c r="B281" s="231" t="s">
        <v>245</v>
      </c>
      <c r="C281" s="231"/>
      <c r="D281" s="231"/>
      <c r="E281" s="231"/>
      <c r="F281" s="231"/>
      <c r="G281" s="231"/>
      <c r="H281" s="231"/>
      <c r="I281" s="231"/>
      <c r="J281" s="231"/>
      <c r="K281" s="231"/>
      <c r="L281" s="231"/>
      <c r="M281" s="231"/>
      <c r="N281" s="231"/>
      <c r="O281" s="231"/>
      <c r="P281" s="231"/>
      <c r="Q281" s="231"/>
      <c r="R281" s="231"/>
    </row>
    <row r="282" spans="1:18" ht="23.4" thickBo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</row>
    <row r="283" spans="1:18" ht="24" thickTop="1" thickBot="1">
      <c r="A283" s="28"/>
      <c r="B283" s="28"/>
      <c r="C283" s="28"/>
      <c r="D283" s="28"/>
      <c r="E283" s="28"/>
      <c r="F283" s="28"/>
      <c r="G283" s="28"/>
      <c r="H283" s="283"/>
      <c r="I283" s="233" t="s">
        <v>236</v>
      </c>
      <c r="J283" s="233"/>
      <c r="K283" s="233"/>
      <c r="L283" s="247"/>
      <c r="M283" s="28"/>
      <c r="N283" s="28"/>
      <c r="O283" s="28"/>
      <c r="P283" s="28"/>
      <c r="Q283" s="28"/>
      <c r="R283" s="28"/>
    </row>
    <row r="284" spans="1:18" ht="24" thickTop="1" thickBot="1">
      <c r="A284" s="28"/>
      <c r="B284" s="28"/>
      <c r="C284" s="28"/>
      <c r="D284" s="28"/>
      <c r="E284" s="28"/>
      <c r="F284" s="28"/>
      <c r="G284" s="28"/>
      <c r="H284" s="284"/>
      <c r="I284" s="15" t="s">
        <v>76</v>
      </c>
      <c r="J284" s="15" t="s">
        <v>35</v>
      </c>
      <c r="K284" s="15" t="s">
        <v>237</v>
      </c>
      <c r="L284" s="36" t="s">
        <v>58</v>
      </c>
      <c r="M284" s="28"/>
      <c r="N284" s="28"/>
      <c r="O284" s="28"/>
      <c r="P284" s="28"/>
      <c r="Q284" s="28"/>
      <c r="R284" s="28"/>
    </row>
    <row r="285" spans="1:18" ht="24" thickTop="1" thickBot="1">
      <c r="A285" s="28"/>
      <c r="B285" s="28"/>
      <c r="C285" s="28"/>
      <c r="D285" s="28"/>
      <c r="E285" s="28"/>
      <c r="F285" s="28"/>
      <c r="G285" s="28"/>
      <c r="H285" s="17" t="s">
        <v>238</v>
      </c>
      <c r="I285" s="15">
        <f>'[1]التعليم الابتدائي'!EQ644</f>
        <v>0</v>
      </c>
      <c r="J285" s="15">
        <f>'[1]التعليم الابتدائي'!ER644</f>
        <v>0</v>
      </c>
      <c r="K285" s="15">
        <f>'[1]التعليم الابتدائي'!ES644</f>
        <v>0</v>
      </c>
      <c r="L285" s="36">
        <f t="shared" ref="L285:L290" si="11">K285+J285+I285</f>
        <v>0</v>
      </c>
      <c r="M285" s="28"/>
      <c r="N285" s="28"/>
      <c r="O285" s="28"/>
      <c r="P285" s="28"/>
      <c r="Q285" s="28"/>
      <c r="R285" s="28"/>
    </row>
    <row r="286" spans="1:18" ht="24" thickTop="1" thickBot="1">
      <c r="A286" s="28"/>
      <c r="B286" s="28"/>
      <c r="C286" s="28"/>
      <c r="D286" s="28"/>
      <c r="E286" s="28"/>
      <c r="F286" s="28"/>
      <c r="G286" s="28"/>
      <c r="H286" s="17" t="s">
        <v>239</v>
      </c>
      <c r="I286" s="15">
        <f>'[1]التعليم الابتدائي'!ET644</f>
        <v>0</v>
      </c>
      <c r="J286" s="15">
        <f>'[1]التعليم الابتدائي'!EU644</f>
        <v>0</v>
      </c>
      <c r="K286" s="15">
        <f>'[1]التعليم الابتدائي'!EV644</f>
        <v>0</v>
      </c>
      <c r="L286" s="36">
        <f t="shared" si="11"/>
        <v>0</v>
      </c>
      <c r="M286" s="28"/>
      <c r="N286" s="28"/>
      <c r="O286" s="28"/>
      <c r="P286" s="28"/>
      <c r="Q286" s="28"/>
      <c r="R286" s="28"/>
    </row>
    <row r="287" spans="1:18" ht="24" thickTop="1" thickBot="1">
      <c r="A287" s="28"/>
      <c r="B287" s="28"/>
      <c r="C287" s="28"/>
      <c r="D287" s="28"/>
      <c r="E287" s="28"/>
      <c r="F287" s="28"/>
      <c r="G287" s="28"/>
      <c r="H287" s="17" t="s">
        <v>240</v>
      </c>
      <c r="I287" s="15">
        <f>'[1]التعليم الابتدائي'!EW644</f>
        <v>0</v>
      </c>
      <c r="J287" s="15">
        <f>'[1]التعليم الابتدائي'!EX644</f>
        <v>0</v>
      </c>
      <c r="K287" s="15">
        <f>'[1]التعليم الابتدائي'!EY644</f>
        <v>0</v>
      </c>
      <c r="L287" s="36">
        <f t="shared" si="11"/>
        <v>0</v>
      </c>
      <c r="M287" s="28"/>
      <c r="N287" s="28"/>
      <c r="O287" s="28"/>
      <c r="P287" s="28"/>
      <c r="Q287" s="28"/>
      <c r="R287" s="28"/>
    </row>
    <row r="288" spans="1:18" ht="24" thickTop="1" thickBot="1">
      <c r="A288" s="28"/>
      <c r="B288" s="28"/>
      <c r="C288" s="28"/>
      <c r="D288" s="28"/>
      <c r="E288" s="28"/>
      <c r="F288" s="28"/>
      <c r="G288" s="28"/>
      <c r="H288" s="17" t="s">
        <v>241</v>
      </c>
      <c r="I288" s="15">
        <f>'[1]التعليم الابتدائي'!EZ644</f>
        <v>0</v>
      </c>
      <c r="J288" s="15">
        <f>'[1]التعليم الابتدائي'!FA644</f>
        <v>0</v>
      </c>
      <c r="K288" s="15">
        <f>'[1]التعليم الابتدائي'!FB644</f>
        <v>0</v>
      </c>
      <c r="L288" s="36">
        <f t="shared" si="11"/>
        <v>0</v>
      </c>
      <c r="M288" s="28"/>
      <c r="N288" s="28"/>
      <c r="O288" s="28"/>
      <c r="P288" s="28"/>
      <c r="Q288" s="28"/>
      <c r="R288" s="28"/>
    </row>
    <row r="289" spans="1:18" ht="24" thickTop="1" thickBot="1">
      <c r="A289" s="28"/>
      <c r="B289" s="28"/>
      <c r="C289" s="28"/>
      <c r="D289" s="28"/>
      <c r="E289" s="28"/>
      <c r="F289" s="28"/>
      <c r="G289" s="28"/>
      <c r="H289" s="17" t="s">
        <v>242</v>
      </c>
      <c r="I289" s="15">
        <f>'[1]التعليم الابتدائي'!FC644</f>
        <v>0</v>
      </c>
      <c r="J289" s="15">
        <f>'[1]التعليم الابتدائي'!FD644</f>
        <v>0</v>
      </c>
      <c r="K289" s="15">
        <f>'[1]التعليم الابتدائي'!FE644</f>
        <v>0</v>
      </c>
      <c r="L289" s="36">
        <f t="shared" si="11"/>
        <v>0</v>
      </c>
      <c r="M289" s="28"/>
      <c r="N289" s="28"/>
      <c r="O289" s="28"/>
      <c r="P289" s="28"/>
      <c r="Q289" s="28"/>
      <c r="R289" s="28"/>
    </row>
    <row r="290" spans="1:18" ht="24" thickTop="1" thickBot="1">
      <c r="A290" s="28"/>
      <c r="B290" s="28"/>
      <c r="C290" s="28"/>
      <c r="D290" s="28"/>
      <c r="E290" s="28"/>
      <c r="F290" s="28"/>
      <c r="G290" s="28"/>
      <c r="H290" s="17" t="s">
        <v>243</v>
      </c>
      <c r="I290" s="15">
        <f>'[1]التعليم الابتدائي'!FF644</f>
        <v>0</v>
      </c>
      <c r="J290" s="15">
        <f>'[1]التعليم الابتدائي'!FG644</f>
        <v>0</v>
      </c>
      <c r="K290" s="15">
        <f>'[1]التعليم الابتدائي'!FH644</f>
        <v>0</v>
      </c>
      <c r="L290" s="36">
        <f t="shared" si="11"/>
        <v>0</v>
      </c>
      <c r="M290" s="28"/>
      <c r="N290" s="28"/>
      <c r="O290" s="28"/>
      <c r="P290" s="28"/>
      <c r="Q290" s="28"/>
      <c r="R290" s="28"/>
    </row>
    <row r="291" spans="1:18" ht="24" thickTop="1" thickBot="1">
      <c r="A291" s="28"/>
      <c r="B291" s="28"/>
      <c r="C291" s="28"/>
      <c r="D291" s="28"/>
      <c r="E291" s="28"/>
      <c r="F291" s="28"/>
      <c r="G291" s="28"/>
      <c r="H291" s="18" t="s">
        <v>58</v>
      </c>
      <c r="I291" s="20">
        <f>SUM(I285:I290)</f>
        <v>0</v>
      </c>
      <c r="J291" s="20">
        <f>SUM(J285:J290)</f>
        <v>0</v>
      </c>
      <c r="K291" s="20">
        <f>SUM(K285:K290)</f>
        <v>0</v>
      </c>
      <c r="L291" s="33">
        <f>SUM(I291:K291)</f>
        <v>0</v>
      </c>
      <c r="M291" s="28"/>
      <c r="N291" s="28"/>
      <c r="O291" s="28"/>
      <c r="P291" s="28"/>
      <c r="Q291" s="28"/>
      <c r="R291" s="28"/>
    </row>
    <row r="292" spans="1:18" ht="23.4" thickTop="1">
      <c r="A292" s="29" t="s">
        <v>62</v>
      </c>
      <c r="B292" s="29"/>
      <c r="C292" s="29"/>
      <c r="D292" s="29"/>
      <c r="E292" s="29"/>
      <c r="F292" s="28"/>
      <c r="G292" s="28"/>
      <c r="H292" s="28"/>
      <c r="I292" s="28"/>
      <c r="J292" s="28"/>
      <c r="K292" s="28"/>
      <c r="L292" s="28"/>
      <c r="M292" s="28"/>
      <c r="O292" s="23"/>
      <c r="P292" s="23" t="s">
        <v>94</v>
      </c>
      <c r="Q292" s="23"/>
      <c r="R292" s="28"/>
    </row>
    <row r="293" spans="1:18">
      <c r="A293" s="231" t="s">
        <v>64</v>
      </c>
      <c r="B293" s="231"/>
      <c r="C293" s="231"/>
      <c r="D293" s="231"/>
      <c r="E293" s="231"/>
      <c r="F293" s="28"/>
      <c r="G293" s="28"/>
      <c r="H293" s="28"/>
      <c r="I293" s="28"/>
      <c r="J293" s="28"/>
      <c r="K293" s="28"/>
      <c r="L293" s="28"/>
      <c r="M293" s="28"/>
      <c r="O293" s="23"/>
      <c r="P293" s="23" t="s">
        <v>65</v>
      </c>
      <c r="Q293" s="23"/>
      <c r="R293" s="28"/>
    </row>
    <row r="294" spans="1:18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</row>
    <row r="295" spans="1:18">
      <c r="A295" s="23"/>
      <c r="B295" s="23"/>
      <c r="C295" s="23"/>
      <c r="D295" s="23"/>
      <c r="E295" s="23"/>
      <c r="F295" s="28"/>
      <c r="G295" s="28"/>
      <c r="H295" s="28"/>
      <c r="I295" s="28"/>
      <c r="J295" s="28" t="s">
        <v>216</v>
      </c>
      <c r="K295" s="28"/>
      <c r="L295" s="28"/>
      <c r="M295" s="28"/>
      <c r="N295" s="28"/>
      <c r="O295" s="28"/>
      <c r="P295" s="29"/>
      <c r="R295" s="29"/>
    </row>
    <row r="296" spans="1:18">
      <c r="A296" s="23"/>
      <c r="B296" s="23"/>
      <c r="C296" s="23"/>
      <c r="D296" s="23"/>
      <c r="E296" s="23"/>
      <c r="F296" s="28"/>
      <c r="G296" s="28"/>
      <c r="H296" s="28"/>
      <c r="I296" s="28" t="s">
        <v>244</v>
      </c>
      <c r="J296" s="28"/>
      <c r="K296" s="28"/>
      <c r="L296" s="28"/>
      <c r="M296" s="28"/>
      <c r="N296" s="28"/>
      <c r="O296" s="29"/>
      <c r="Q296" s="29"/>
    </row>
    <row r="297" spans="1:18" ht="23.4" thickBot="1">
      <c r="A297" s="23"/>
      <c r="B297" s="23"/>
      <c r="C297" s="23"/>
      <c r="D297" s="23"/>
      <c r="E297" s="23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9"/>
      <c r="R297" s="29"/>
    </row>
    <row r="298" spans="1:18" ht="24" thickTop="1" thickBot="1">
      <c r="A298" s="23"/>
      <c r="B298" s="23"/>
      <c r="C298" s="232" t="s">
        <v>218</v>
      </c>
      <c r="D298" s="233"/>
      <c r="E298" s="233"/>
      <c r="F298" s="286" t="s">
        <v>219</v>
      </c>
      <c r="G298" s="286"/>
      <c r="H298" s="286"/>
      <c r="I298" s="286"/>
      <c r="J298" s="286"/>
      <c r="K298" s="286"/>
      <c r="L298" s="286"/>
      <c r="M298" s="286"/>
      <c r="N298" s="287"/>
      <c r="O298" s="29"/>
      <c r="Q298" s="29"/>
    </row>
    <row r="299" spans="1:18" ht="24" thickTop="1" thickBot="1">
      <c r="A299" s="23"/>
      <c r="B299" s="23"/>
      <c r="C299" s="226"/>
      <c r="D299" s="227"/>
      <c r="E299" s="227"/>
      <c r="F299" s="288" t="s">
        <v>220</v>
      </c>
      <c r="G299" s="288"/>
      <c r="H299" s="289" t="s">
        <v>221</v>
      </c>
      <c r="I299" s="289"/>
      <c r="J299" s="289"/>
      <c r="K299" s="289"/>
      <c r="L299" s="289"/>
      <c r="M299" s="227" t="s">
        <v>222</v>
      </c>
      <c r="N299" s="285" t="s">
        <v>223</v>
      </c>
      <c r="O299" s="29"/>
      <c r="Q299" s="29"/>
    </row>
    <row r="300" spans="1:18" ht="24" thickTop="1" thickBot="1">
      <c r="A300" s="23"/>
      <c r="B300" s="23"/>
      <c r="C300" s="226" t="s">
        <v>224</v>
      </c>
      <c r="D300" s="227"/>
      <c r="E300" s="248" t="s">
        <v>225</v>
      </c>
      <c r="F300" s="227" t="s">
        <v>226</v>
      </c>
      <c r="G300" s="227" t="s">
        <v>227</v>
      </c>
      <c r="H300" s="15" t="s">
        <v>228</v>
      </c>
      <c r="I300" s="15" t="s">
        <v>229</v>
      </c>
      <c r="J300" s="15" t="s">
        <v>230</v>
      </c>
      <c r="K300" s="15" t="s">
        <v>231</v>
      </c>
      <c r="L300" s="15" t="s">
        <v>232</v>
      </c>
      <c r="M300" s="227"/>
      <c r="N300" s="285"/>
      <c r="O300" s="29"/>
      <c r="Q300" s="29"/>
    </row>
    <row r="301" spans="1:18" ht="24" thickTop="1" thickBot="1">
      <c r="A301" s="23"/>
      <c r="B301" s="23"/>
      <c r="C301" s="17" t="s">
        <v>233</v>
      </c>
      <c r="D301" s="15" t="s">
        <v>227</v>
      </c>
      <c r="E301" s="248"/>
      <c r="F301" s="227"/>
      <c r="G301" s="227"/>
      <c r="H301" s="227">
        <f>'[1]التعليم الابتدائي'!AMN607</f>
        <v>9</v>
      </c>
      <c r="I301" s="227">
        <v>0</v>
      </c>
      <c r="J301" s="227">
        <v>0</v>
      </c>
      <c r="K301" s="227">
        <v>0</v>
      </c>
      <c r="L301" s="227">
        <v>0</v>
      </c>
      <c r="M301" s="227"/>
      <c r="N301" s="285"/>
      <c r="O301" s="29"/>
      <c r="Q301" s="29"/>
    </row>
    <row r="302" spans="1:18" ht="24" thickTop="1" thickBot="1">
      <c r="A302" s="23"/>
      <c r="B302" s="23"/>
      <c r="C302" s="18">
        <f>'[1]التعليم الابتدائي'!ALZ607</f>
        <v>17</v>
      </c>
      <c r="D302" s="20">
        <f>'[1]التعليم الابتدائي'!AMA607</f>
        <v>8</v>
      </c>
      <c r="E302" s="20">
        <f>'[1]التعليم الابتدائي'!AMM607</f>
        <v>3634</v>
      </c>
      <c r="F302" s="20">
        <f>'[1]التعليم الابتدائي'!AMN607</f>
        <v>9</v>
      </c>
      <c r="G302" s="20">
        <f>'[1]التعليم الابتدائي'!AMO607</f>
        <v>16</v>
      </c>
      <c r="H302" s="229"/>
      <c r="I302" s="229"/>
      <c r="J302" s="229"/>
      <c r="K302" s="229"/>
      <c r="L302" s="229"/>
      <c r="M302" s="38">
        <v>0</v>
      </c>
      <c r="N302" s="39">
        <v>0</v>
      </c>
      <c r="O302" s="29"/>
      <c r="Q302" s="29"/>
    </row>
    <row r="303" spans="1:18" ht="23.4" thickTop="1">
      <c r="A303" s="28"/>
      <c r="B303" s="231" t="s">
        <v>234</v>
      </c>
      <c r="C303" s="231"/>
      <c r="D303" s="231"/>
      <c r="E303" s="231"/>
      <c r="F303" s="231"/>
      <c r="G303" s="231"/>
      <c r="H303" s="231"/>
      <c r="I303" s="231"/>
      <c r="J303" s="231"/>
      <c r="K303" s="231"/>
      <c r="L303" s="231"/>
      <c r="M303" s="231"/>
      <c r="N303" s="231"/>
      <c r="O303" s="231"/>
      <c r="P303" s="231"/>
      <c r="Q303" s="231"/>
      <c r="R303" s="231"/>
    </row>
    <row r="304" spans="1:18">
      <c r="A304" s="28"/>
      <c r="B304" s="231" t="s">
        <v>208</v>
      </c>
      <c r="C304" s="231"/>
      <c r="D304" s="231"/>
      <c r="E304" s="231"/>
      <c r="F304" s="231"/>
      <c r="G304" s="231"/>
      <c r="H304" s="231"/>
      <c r="I304" s="231"/>
      <c r="J304" s="231"/>
      <c r="K304" s="231"/>
      <c r="L304" s="231"/>
      <c r="M304" s="231"/>
      <c r="N304" s="231"/>
      <c r="O304" s="231"/>
      <c r="P304" s="231"/>
      <c r="Q304" s="231"/>
      <c r="R304" s="231"/>
    </row>
    <row r="305" spans="1:18">
      <c r="A305" s="28"/>
      <c r="B305" s="231" t="s">
        <v>245</v>
      </c>
      <c r="C305" s="231"/>
      <c r="D305" s="231"/>
      <c r="E305" s="231"/>
      <c r="F305" s="231"/>
      <c r="G305" s="231"/>
      <c r="H305" s="231"/>
      <c r="I305" s="231"/>
      <c r="J305" s="231"/>
      <c r="K305" s="231"/>
      <c r="L305" s="231"/>
      <c r="M305" s="231"/>
      <c r="N305" s="231"/>
      <c r="O305" s="231"/>
      <c r="P305" s="231"/>
      <c r="Q305" s="231"/>
      <c r="R305" s="231"/>
    </row>
    <row r="306" spans="1:18" ht="23.4" thickBo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</row>
    <row r="307" spans="1:18" ht="24" thickTop="1" thickBot="1">
      <c r="A307" s="28"/>
      <c r="B307" s="28"/>
      <c r="C307" s="28"/>
      <c r="D307" s="28"/>
      <c r="E307" s="28"/>
      <c r="F307" s="28"/>
      <c r="G307" s="28"/>
      <c r="H307" s="283"/>
      <c r="I307" s="233" t="s">
        <v>236</v>
      </c>
      <c r="J307" s="233"/>
      <c r="K307" s="233"/>
      <c r="L307" s="247"/>
      <c r="M307" s="28"/>
      <c r="N307" s="28"/>
      <c r="O307" s="28"/>
      <c r="P307" s="28"/>
      <c r="Q307" s="28"/>
      <c r="R307" s="28"/>
    </row>
    <row r="308" spans="1:18" ht="24" thickTop="1" thickBot="1">
      <c r="A308" s="28"/>
      <c r="B308" s="28"/>
      <c r="C308" s="28"/>
      <c r="D308" s="28"/>
      <c r="E308" s="28"/>
      <c r="F308" s="28"/>
      <c r="G308" s="28"/>
      <c r="H308" s="284"/>
      <c r="I308" s="15" t="s">
        <v>76</v>
      </c>
      <c r="J308" s="15" t="s">
        <v>35</v>
      </c>
      <c r="K308" s="15" t="s">
        <v>237</v>
      </c>
      <c r="L308" s="36" t="s">
        <v>58</v>
      </c>
      <c r="M308" s="28"/>
      <c r="N308" s="28"/>
      <c r="O308" s="28"/>
      <c r="P308" s="28"/>
      <c r="Q308" s="28"/>
      <c r="R308" s="28"/>
    </row>
    <row r="309" spans="1:18" ht="24" thickTop="1" thickBot="1">
      <c r="A309" s="28"/>
      <c r="B309" s="28"/>
      <c r="C309" s="28"/>
      <c r="D309" s="28"/>
      <c r="E309" s="28"/>
      <c r="F309" s="28"/>
      <c r="G309" s="28"/>
      <c r="H309" s="17" t="s">
        <v>238</v>
      </c>
      <c r="I309" s="15">
        <f>'[1]التعليم الابتدائي'!EQ607</f>
        <v>0</v>
      </c>
      <c r="J309" s="15">
        <f>'[1]التعليم الابتدائي'!ER607</f>
        <v>0</v>
      </c>
      <c r="K309" s="15">
        <f>'[1]التعليم الابتدائي'!ES607</f>
        <v>0</v>
      </c>
      <c r="L309" s="36">
        <f t="shared" ref="L309:L314" si="12">K309+J309+I309</f>
        <v>0</v>
      </c>
      <c r="M309" s="28"/>
      <c r="N309" s="28"/>
      <c r="O309" s="28"/>
      <c r="P309" s="28"/>
      <c r="Q309" s="28"/>
      <c r="R309" s="28"/>
    </row>
    <row r="310" spans="1:18" ht="24" thickTop="1" thickBot="1">
      <c r="A310" s="28"/>
      <c r="B310" s="28"/>
      <c r="C310" s="28"/>
      <c r="D310" s="28"/>
      <c r="E310" s="28"/>
      <c r="F310" s="28"/>
      <c r="G310" s="28"/>
      <c r="H310" s="17" t="s">
        <v>239</v>
      </c>
      <c r="I310" s="15">
        <f>'[1]التعليم الابتدائي'!ET607</f>
        <v>0</v>
      </c>
      <c r="J310" s="15">
        <f>'[1]التعليم الابتدائي'!EU607</f>
        <v>0</v>
      </c>
      <c r="K310" s="15">
        <f>'[1]التعليم الابتدائي'!EV607</f>
        <v>0</v>
      </c>
      <c r="L310" s="36">
        <f t="shared" si="12"/>
        <v>0</v>
      </c>
      <c r="M310" s="28"/>
      <c r="N310" s="28"/>
      <c r="O310" s="28"/>
      <c r="P310" s="28"/>
      <c r="Q310" s="28"/>
      <c r="R310" s="28"/>
    </row>
    <row r="311" spans="1:18" ht="24" thickTop="1" thickBot="1">
      <c r="A311" s="28"/>
      <c r="B311" s="28"/>
      <c r="C311" s="28"/>
      <c r="D311" s="28"/>
      <c r="E311" s="28"/>
      <c r="F311" s="28"/>
      <c r="G311" s="28"/>
      <c r="H311" s="17" t="s">
        <v>240</v>
      </c>
      <c r="I311" s="15">
        <f>'[1]التعليم الابتدائي'!EW607</f>
        <v>0</v>
      </c>
      <c r="J311" s="15">
        <f>'[1]التعليم الابتدائي'!EX607</f>
        <v>0</v>
      </c>
      <c r="K311" s="15">
        <f>'[1]التعليم الابتدائي'!EY607</f>
        <v>0</v>
      </c>
      <c r="L311" s="36">
        <f t="shared" si="12"/>
        <v>0</v>
      </c>
      <c r="M311" s="28"/>
      <c r="N311" s="28"/>
      <c r="O311" s="28"/>
      <c r="P311" s="28"/>
      <c r="Q311" s="28"/>
      <c r="R311" s="28"/>
    </row>
    <row r="312" spans="1:18" ht="24" thickTop="1" thickBot="1">
      <c r="A312" s="28"/>
      <c r="B312" s="28"/>
      <c r="C312" s="28"/>
      <c r="D312" s="28"/>
      <c r="E312" s="28"/>
      <c r="F312" s="28"/>
      <c r="G312" s="28"/>
      <c r="H312" s="17" t="s">
        <v>241</v>
      </c>
      <c r="I312" s="15">
        <f>'[1]التعليم الابتدائي'!EZ607</f>
        <v>0</v>
      </c>
      <c r="J312" s="15">
        <f>'[1]التعليم الابتدائي'!FA607</f>
        <v>0</v>
      </c>
      <c r="K312" s="15">
        <f>'[1]التعليم الابتدائي'!FB607</f>
        <v>0</v>
      </c>
      <c r="L312" s="36">
        <f t="shared" si="12"/>
        <v>0</v>
      </c>
      <c r="M312" s="28"/>
      <c r="N312" s="28"/>
      <c r="O312" s="28"/>
      <c r="P312" s="28"/>
      <c r="Q312" s="28"/>
      <c r="R312" s="28"/>
    </row>
    <row r="313" spans="1:18" ht="24" thickTop="1" thickBot="1">
      <c r="A313" s="28"/>
      <c r="B313" s="28"/>
      <c r="C313" s="28"/>
      <c r="D313" s="28"/>
      <c r="E313" s="28"/>
      <c r="F313" s="28"/>
      <c r="G313" s="28"/>
      <c r="H313" s="17" t="s">
        <v>242</v>
      </c>
      <c r="I313" s="15">
        <f>'[1]التعليم الابتدائي'!FC607</f>
        <v>0</v>
      </c>
      <c r="J313" s="15">
        <f>'[1]التعليم الابتدائي'!FD607</f>
        <v>0</v>
      </c>
      <c r="K313" s="15">
        <f>'[1]التعليم الابتدائي'!FE607</f>
        <v>0</v>
      </c>
      <c r="L313" s="36">
        <f t="shared" si="12"/>
        <v>0</v>
      </c>
      <c r="M313" s="28"/>
      <c r="N313" s="28"/>
      <c r="O313" s="28"/>
      <c r="P313" s="28"/>
      <c r="Q313" s="28"/>
      <c r="R313" s="28"/>
    </row>
    <row r="314" spans="1:18" ht="24" thickTop="1" thickBot="1">
      <c r="A314" s="28"/>
      <c r="B314" s="28"/>
      <c r="C314" s="28"/>
      <c r="D314" s="28"/>
      <c r="E314" s="28"/>
      <c r="F314" s="28"/>
      <c r="G314" s="28"/>
      <c r="H314" s="17" t="s">
        <v>243</v>
      </c>
      <c r="I314" s="15">
        <f>'[1]التعليم الابتدائي'!FF607</f>
        <v>0</v>
      </c>
      <c r="J314" s="15">
        <f>'[1]التعليم الابتدائي'!FG607</f>
        <v>0</v>
      </c>
      <c r="K314" s="15">
        <f>'[1]التعليم الابتدائي'!FH607</f>
        <v>0</v>
      </c>
      <c r="L314" s="36">
        <f t="shared" si="12"/>
        <v>0</v>
      </c>
      <c r="M314" s="28"/>
      <c r="N314" s="28"/>
      <c r="O314" s="28"/>
      <c r="P314" s="28"/>
      <c r="Q314" s="28"/>
      <c r="R314" s="28"/>
    </row>
    <row r="315" spans="1:18" ht="24" thickTop="1" thickBot="1">
      <c r="A315" s="28"/>
      <c r="B315" s="28"/>
      <c r="C315" s="28"/>
      <c r="D315" s="28"/>
      <c r="E315" s="28"/>
      <c r="F315" s="28"/>
      <c r="G315" s="28"/>
      <c r="H315" s="18" t="s">
        <v>58</v>
      </c>
      <c r="I315" s="20">
        <f>SUM(I309:I314)</f>
        <v>0</v>
      </c>
      <c r="J315" s="20">
        <f>SUM(J309:J314)</f>
        <v>0</v>
      </c>
      <c r="K315" s="20">
        <f>SUM(K309:K314)</f>
        <v>0</v>
      </c>
      <c r="L315" s="33">
        <f>SUM(I315:K315)</f>
        <v>0</v>
      </c>
      <c r="M315" s="28"/>
      <c r="N315" s="28"/>
      <c r="O315" s="28"/>
      <c r="P315" s="28"/>
      <c r="Q315" s="28"/>
      <c r="R315" s="28"/>
    </row>
    <row r="316" spans="1:18" ht="23.4" thickTop="1"/>
    <row r="317" spans="1:18">
      <c r="A317" s="29" t="s">
        <v>62</v>
      </c>
      <c r="B317" s="29"/>
      <c r="C317" s="29"/>
      <c r="D317" s="29"/>
      <c r="E317" s="29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3" t="s">
        <v>95</v>
      </c>
      <c r="Q317" s="23"/>
    </row>
    <row r="318" spans="1:18">
      <c r="A318" s="231" t="s">
        <v>64</v>
      </c>
      <c r="B318" s="231"/>
      <c r="C318" s="231"/>
      <c r="D318" s="231"/>
      <c r="E318" s="231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3" t="s">
        <v>65</v>
      </c>
      <c r="Q318" s="23"/>
    </row>
    <row r="319" spans="1:18">
      <c r="A319" s="23"/>
      <c r="B319" s="23"/>
      <c r="C319" s="23"/>
      <c r="D319" s="23"/>
      <c r="E319" s="23"/>
      <c r="F319" s="28"/>
      <c r="G319" s="28"/>
      <c r="H319" s="28"/>
      <c r="I319" s="28"/>
      <c r="J319" s="28" t="s">
        <v>216</v>
      </c>
      <c r="K319" s="28"/>
      <c r="L319" s="28"/>
      <c r="M319" s="28"/>
      <c r="N319" s="28"/>
      <c r="O319" s="28"/>
      <c r="P319" s="29"/>
      <c r="R319" s="29"/>
    </row>
    <row r="320" spans="1:18">
      <c r="A320" s="23"/>
      <c r="B320" s="23"/>
      <c r="C320" s="23"/>
      <c r="D320" s="23"/>
      <c r="E320" s="23"/>
      <c r="F320" s="28"/>
      <c r="G320" s="28"/>
      <c r="H320" s="28"/>
      <c r="I320" s="28" t="s">
        <v>244</v>
      </c>
      <c r="J320" s="28"/>
      <c r="K320" s="28"/>
      <c r="L320" s="28"/>
      <c r="M320" s="28"/>
      <c r="N320" s="28"/>
      <c r="O320" s="29"/>
      <c r="Q320" s="29"/>
    </row>
    <row r="321" spans="1:18" ht="23.4" thickBot="1">
      <c r="A321" s="23"/>
      <c r="B321" s="23"/>
      <c r="C321" s="23"/>
      <c r="D321" s="23"/>
      <c r="E321" s="23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9"/>
      <c r="R321" s="29"/>
    </row>
    <row r="322" spans="1:18" ht="24" thickTop="1" thickBot="1">
      <c r="A322" s="23"/>
      <c r="B322" s="23"/>
      <c r="C322" s="232" t="s">
        <v>218</v>
      </c>
      <c r="D322" s="233"/>
      <c r="E322" s="233"/>
      <c r="F322" s="286" t="s">
        <v>219</v>
      </c>
      <c r="G322" s="286"/>
      <c r="H322" s="286"/>
      <c r="I322" s="286"/>
      <c r="J322" s="286"/>
      <c r="K322" s="286"/>
      <c r="L322" s="286"/>
      <c r="M322" s="286"/>
      <c r="N322" s="287"/>
      <c r="O322" s="29"/>
      <c r="Q322" s="29"/>
    </row>
    <row r="323" spans="1:18" ht="24" thickTop="1" thickBot="1">
      <c r="A323" s="23"/>
      <c r="B323" s="23"/>
      <c r="C323" s="226"/>
      <c r="D323" s="227"/>
      <c r="E323" s="227"/>
      <c r="F323" s="288" t="s">
        <v>220</v>
      </c>
      <c r="G323" s="288"/>
      <c r="H323" s="289" t="s">
        <v>221</v>
      </c>
      <c r="I323" s="289"/>
      <c r="J323" s="289"/>
      <c r="K323" s="289"/>
      <c r="L323" s="289"/>
      <c r="M323" s="227" t="s">
        <v>222</v>
      </c>
      <c r="N323" s="285" t="s">
        <v>223</v>
      </c>
      <c r="O323" s="29"/>
      <c r="Q323" s="29"/>
    </row>
    <row r="324" spans="1:18" ht="24" thickTop="1" thickBot="1">
      <c r="A324" s="23"/>
      <c r="B324" s="23"/>
      <c r="C324" s="226" t="s">
        <v>224</v>
      </c>
      <c r="D324" s="227"/>
      <c r="E324" s="248" t="s">
        <v>225</v>
      </c>
      <c r="F324" s="227" t="s">
        <v>226</v>
      </c>
      <c r="G324" s="227" t="s">
        <v>227</v>
      </c>
      <c r="H324" s="15" t="s">
        <v>228</v>
      </c>
      <c r="I324" s="15" t="s">
        <v>229</v>
      </c>
      <c r="J324" s="15" t="s">
        <v>230</v>
      </c>
      <c r="K324" s="15" t="s">
        <v>231</v>
      </c>
      <c r="L324" s="15" t="s">
        <v>232</v>
      </c>
      <c r="M324" s="227"/>
      <c r="N324" s="285"/>
      <c r="O324" s="29"/>
      <c r="Q324" s="29"/>
    </row>
    <row r="325" spans="1:18" ht="24" thickTop="1" thickBot="1">
      <c r="A325" s="23"/>
      <c r="B325" s="23"/>
      <c r="C325" s="17" t="s">
        <v>233</v>
      </c>
      <c r="D325" s="15" t="s">
        <v>227</v>
      </c>
      <c r="E325" s="248"/>
      <c r="F325" s="227"/>
      <c r="G325" s="227"/>
      <c r="H325" s="227">
        <f>'[1]التعليم الابتدائي'!AMN644</f>
        <v>17</v>
      </c>
      <c r="I325" s="227">
        <v>0</v>
      </c>
      <c r="J325" s="227">
        <v>0</v>
      </c>
      <c r="K325" s="227">
        <v>0</v>
      </c>
      <c r="L325" s="227">
        <v>0</v>
      </c>
      <c r="M325" s="227"/>
      <c r="N325" s="285"/>
      <c r="O325" s="29"/>
      <c r="Q325" s="29"/>
    </row>
    <row r="326" spans="1:18" ht="24" thickTop="1" thickBot="1">
      <c r="A326" s="23"/>
      <c r="B326" s="23"/>
      <c r="C326" s="18">
        <f>'[1]التعليم الابتدائي'!ALZ643</f>
        <v>24</v>
      </c>
      <c r="D326" s="20">
        <f>'[1]التعليم الابتدائي'!AMA643</f>
        <v>10</v>
      </c>
      <c r="E326" s="20">
        <f>'[1]التعليم الابتدائي'!AMM644</f>
        <v>9790</v>
      </c>
      <c r="F326" s="20">
        <f>'[1]التعليم الابتدائي'!AMN644</f>
        <v>17</v>
      </c>
      <c r="G326" s="20">
        <f>'[1]التعليم الابتدائي'!AMO644</f>
        <v>41</v>
      </c>
      <c r="H326" s="229"/>
      <c r="I326" s="229"/>
      <c r="J326" s="229"/>
      <c r="K326" s="229"/>
      <c r="L326" s="229"/>
      <c r="M326" s="38">
        <v>0</v>
      </c>
      <c r="N326" s="39">
        <v>0</v>
      </c>
      <c r="O326" s="29"/>
      <c r="Q326" s="29"/>
    </row>
    <row r="327" spans="1:18" ht="23.4" thickTop="1">
      <c r="A327" s="28"/>
      <c r="B327" s="231" t="s">
        <v>234</v>
      </c>
      <c r="C327" s="231"/>
      <c r="D327" s="231"/>
      <c r="E327" s="231"/>
      <c r="F327" s="231"/>
      <c r="G327" s="231"/>
      <c r="H327" s="231"/>
      <c r="I327" s="231"/>
      <c r="J327" s="231"/>
      <c r="K327" s="231"/>
      <c r="L327" s="231"/>
      <c r="M327" s="231"/>
      <c r="N327" s="231"/>
      <c r="O327" s="231"/>
      <c r="P327" s="231"/>
      <c r="Q327" s="231"/>
      <c r="R327" s="231"/>
    </row>
    <row r="328" spans="1:18">
      <c r="A328" s="28"/>
      <c r="B328" s="231" t="s">
        <v>208</v>
      </c>
      <c r="C328" s="231"/>
      <c r="D328" s="231"/>
      <c r="E328" s="231"/>
      <c r="F328" s="231"/>
      <c r="G328" s="231"/>
      <c r="H328" s="231"/>
      <c r="I328" s="231"/>
      <c r="J328" s="231"/>
      <c r="K328" s="231"/>
      <c r="L328" s="231"/>
      <c r="M328" s="231"/>
      <c r="N328" s="231"/>
      <c r="O328" s="231"/>
      <c r="P328" s="231"/>
      <c r="Q328" s="231"/>
      <c r="R328" s="231"/>
    </row>
    <row r="329" spans="1:18">
      <c r="A329" s="28"/>
      <c r="B329" s="231" t="s">
        <v>245</v>
      </c>
      <c r="C329" s="231"/>
      <c r="D329" s="231"/>
      <c r="E329" s="231"/>
      <c r="F329" s="231"/>
      <c r="G329" s="231"/>
      <c r="H329" s="231"/>
      <c r="I329" s="231"/>
      <c r="J329" s="231"/>
      <c r="K329" s="231"/>
      <c r="L329" s="231"/>
      <c r="M329" s="231"/>
      <c r="N329" s="231"/>
      <c r="O329" s="231"/>
      <c r="P329" s="231"/>
      <c r="Q329" s="231"/>
      <c r="R329" s="231"/>
    </row>
    <row r="330" spans="1:18" ht="23.4" thickBo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</row>
    <row r="331" spans="1:18" ht="24" thickTop="1" thickBot="1">
      <c r="A331" s="28"/>
      <c r="B331" s="28"/>
      <c r="C331" s="28"/>
      <c r="D331" s="28"/>
      <c r="E331" s="28"/>
      <c r="F331" s="28"/>
      <c r="G331" s="28"/>
      <c r="H331" s="283"/>
      <c r="I331" s="233" t="s">
        <v>236</v>
      </c>
      <c r="J331" s="233"/>
      <c r="K331" s="233"/>
      <c r="L331" s="247"/>
      <c r="M331" s="28"/>
      <c r="N331" s="28"/>
      <c r="O331" s="28"/>
      <c r="P331" s="28"/>
      <c r="Q331" s="28"/>
      <c r="R331" s="28"/>
    </row>
    <row r="332" spans="1:18" ht="24" thickTop="1" thickBot="1">
      <c r="A332" s="28"/>
      <c r="B332" s="28"/>
      <c r="C332" s="28"/>
      <c r="D332" s="28"/>
      <c r="E332" s="28"/>
      <c r="F332" s="28"/>
      <c r="G332" s="28"/>
      <c r="H332" s="284"/>
      <c r="I332" s="15" t="s">
        <v>76</v>
      </c>
      <c r="J332" s="15" t="s">
        <v>35</v>
      </c>
      <c r="K332" s="15" t="s">
        <v>237</v>
      </c>
      <c r="L332" s="36" t="s">
        <v>58</v>
      </c>
      <c r="M332" s="28"/>
      <c r="N332" s="28"/>
      <c r="O332" s="28"/>
      <c r="P332" s="28"/>
      <c r="Q332" s="28"/>
      <c r="R332" s="28"/>
    </row>
    <row r="333" spans="1:18" ht="24" thickTop="1" thickBot="1">
      <c r="A333" s="28"/>
      <c r="B333" s="28"/>
      <c r="C333" s="28"/>
      <c r="D333" s="28"/>
      <c r="E333" s="28"/>
      <c r="F333" s="28"/>
      <c r="G333" s="28"/>
      <c r="H333" s="17" t="s">
        <v>238</v>
      </c>
      <c r="I333" s="15">
        <f>'[1]التعليم الابتدائي'!EQ643</f>
        <v>0</v>
      </c>
      <c r="J333" s="15">
        <f>'[1]التعليم الابتدائي'!ER643</f>
        <v>0</v>
      </c>
      <c r="K333" s="15">
        <f>'[1]التعليم الابتدائي'!ES643</f>
        <v>0</v>
      </c>
      <c r="L333" s="36">
        <f t="shared" ref="L333:L338" si="13">K333+J333+I333</f>
        <v>0</v>
      </c>
      <c r="M333" s="28"/>
      <c r="N333" s="28"/>
      <c r="O333" s="28"/>
      <c r="P333" s="28"/>
      <c r="Q333" s="28"/>
      <c r="R333" s="28"/>
    </row>
    <row r="334" spans="1:18" ht="24" thickTop="1" thickBot="1">
      <c r="A334" s="28"/>
      <c r="B334" s="28"/>
      <c r="C334" s="28"/>
      <c r="D334" s="28"/>
      <c r="E334" s="28"/>
      <c r="F334" s="28"/>
      <c r="G334" s="28"/>
      <c r="H334" s="17" t="s">
        <v>239</v>
      </c>
      <c r="I334" s="15">
        <f>'[1]التعليم الابتدائي'!ET643</f>
        <v>0</v>
      </c>
      <c r="J334" s="15">
        <f>'[1]التعليم الابتدائي'!EU643</f>
        <v>0</v>
      </c>
      <c r="K334" s="15">
        <f>'[1]التعليم الابتدائي'!EV643</f>
        <v>0</v>
      </c>
      <c r="L334" s="36">
        <f t="shared" si="13"/>
        <v>0</v>
      </c>
      <c r="M334" s="28"/>
      <c r="N334" s="28"/>
      <c r="O334" s="28"/>
      <c r="P334" s="28"/>
      <c r="Q334" s="28"/>
      <c r="R334" s="28"/>
    </row>
    <row r="335" spans="1:18" ht="24" thickTop="1" thickBot="1">
      <c r="A335" s="28"/>
      <c r="B335" s="28"/>
      <c r="C335" s="28"/>
      <c r="D335" s="28"/>
      <c r="E335" s="28"/>
      <c r="F335" s="28"/>
      <c r="G335" s="28"/>
      <c r="H335" s="17" t="s">
        <v>240</v>
      </c>
      <c r="I335" s="15">
        <f>'[1]التعليم الابتدائي'!EW643</f>
        <v>0</v>
      </c>
      <c r="J335" s="15">
        <f>'[1]التعليم الابتدائي'!EX643</f>
        <v>0</v>
      </c>
      <c r="K335" s="15">
        <f>'[1]التعليم الابتدائي'!EY643</f>
        <v>0</v>
      </c>
      <c r="L335" s="36">
        <f t="shared" si="13"/>
        <v>0</v>
      </c>
      <c r="M335" s="28"/>
      <c r="N335" s="28"/>
      <c r="O335" s="28"/>
      <c r="P335" s="28"/>
      <c r="Q335" s="28"/>
      <c r="R335" s="28"/>
    </row>
    <row r="336" spans="1:18" ht="24" thickTop="1" thickBot="1">
      <c r="A336" s="28"/>
      <c r="B336" s="28"/>
      <c r="C336" s="28"/>
      <c r="D336" s="28"/>
      <c r="E336" s="28"/>
      <c r="F336" s="28"/>
      <c r="G336" s="28"/>
      <c r="H336" s="17" t="s">
        <v>241</v>
      </c>
      <c r="I336" s="15">
        <f>'[1]التعليم الابتدائي'!EZ643</f>
        <v>0</v>
      </c>
      <c r="J336" s="15">
        <f>'[1]التعليم الابتدائي'!FA643</f>
        <v>0</v>
      </c>
      <c r="K336" s="15">
        <f>'[1]التعليم الابتدائي'!FB643</f>
        <v>0</v>
      </c>
      <c r="L336" s="36">
        <f t="shared" si="13"/>
        <v>0</v>
      </c>
      <c r="M336" s="28"/>
      <c r="N336" s="28"/>
      <c r="O336" s="28"/>
      <c r="P336" s="28"/>
      <c r="Q336" s="28"/>
      <c r="R336" s="28"/>
    </row>
    <row r="337" spans="1:18" ht="24" thickTop="1" thickBot="1">
      <c r="A337" s="28"/>
      <c r="B337" s="28"/>
      <c r="C337" s="28"/>
      <c r="D337" s="28"/>
      <c r="E337" s="28"/>
      <c r="F337" s="28"/>
      <c r="G337" s="28"/>
      <c r="H337" s="17" t="s">
        <v>242</v>
      </c>
      <c r="I337" s="15">
        <f>'[1]التعليم الابتدائي'!FC643</f>
        <v>0</v>
      </c>
      <c r="J337" s="15">
        <f>'[1]التعليم الابتدائي'!FD643</f>
        <v>0</v>
      </c>
      <c r="K337" s="15">
        <f>'[1]التعليم الابتدائي'!FE643</f>
        <v>0</v>
      </c>
      <c r="L337" s="36">
        <f t="shared" si="13"/>
        <v>0</v>
      </c>
      <c r="M337" s="28"/>
      <c r="N337" s="28"/>
      <c r="O337" s="28"/>
      <c r="P337" s="28"/>
      <c r="Q337" s="28"/>
      <c r="R337" s="28"/>
    </row>
    <row r="338" spans="1:18" ht="24" thickTop="1" thickBot="1">
      <c r="A338" s="28"/>
      <c r="B338" s="28"/>
      <c r="C338" s="28"/>
      <c r="D338" s="28"/>
      <c r="E338" s="28"/>
      <c r="F338" s="28"/>
      <c r="G338" s="28"/>
      <c r="H338" s="17" t="s">
        <v>243</v>
      </c>
      <c r="I338" s="15">
        <f>'[1]التعليم الابتدائي'!FF643</f>
        <v>0</v>
      </c>
      <c r="J338" s="15">
        <f>'[1]التعليم الابتدائي'!FG643</f>
        <v>0</v>
      </c>
      <c r="K338" s="15">
        <f>'[1]التعليم الابتدائي'!FH643</f>
        <v>0</v>
      </c>
      <c r="L338" s="36">
        <f t="shared" si="13"/>
        <v>0</v>
      </c>
      <c r="M338" s="28"/>
      <c r="N338" s="28"/>
      <c r="O338" s="28"/>
      <c r="P338" s="28"/>
      <c r="Q338" s="28"/>
      <c r="R338" s="28"/>
    </row>
    <row r="339" spans="1:18" ht="24" thickTop="1" thickBot="1">
      <c r="A339" s="28"/>
      <c r="B339" s="28"/>
      <c r="C339" s="28"/>
      <c r="D339" s="28"/>
      <c r="E339" s="28"/>
      <c r="F339" s="28"/>
      <c r="G339" s="28"/>
      <c r="H339" s="18" t="s">
        <v>58</v>
      </c>
      <c r="I339" s="20">
        <f>SUM(I333:I338)</f>
        <v>0</v>
      </c>
      <c r="J339" s="20">
        <f>SUM(J333:J338)</f>
        <v>0</v>
      </c>
      <c r="K339" s="20">
        <f>SUM(K333:K338)</f>
        <v>0</v>
      </c>
      <c r="L339" s="33">
        <f>SUM(I339:K339)</f>
        <v>0</v>
      </c>
      <c r="M339" s="28"/>
      <c r="N339" s="28"/>
      <c r="O339" s="28"/>
      <c r="P339" s="28"/>
      <c r="Q339" s="28"/>
      <c r="R339" s="28"/>
    </row>
    <row r="340" spans="1:18" ht="23.4" thickTop="1"/>
    <row r="341" spans="1:18">
      <c r="A341" s="29" t="s">
        <v>62</v>
      </c>
      <c r="B341" s="29"/>
      <c r="C341" s="29"/>
      <c r="D341" s="29"/>
      <c r="E341" s="29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31" t="s">
        <v>97</v>
      </c>
      <c r="Q341" s="231"/>
    </row>
    <row r="342" spans="1:18">
      <c r="A342" s="231" t="s">
        <v>64</v>
      </c>
      <c r="B342" s="231"/>
      <c r="C342" s="231"/>
      <c r="D342" s="231"/>
      <c r="E342" s="231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31" t="s">
        <v>65</v>
      </c>
      <c r="Q342" s="231"/>
    </row>
    <row r="343" spans="1:18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</row>
    <row r="344" spans="1:18">
      <c r="A344" s="23"/>
      <c r="B344" s="23"/>
      <c r="C344" s="23"/>
      <c r="D344" s="23"/>
      <c r="E344" s="23"/>
      <c r="F344" s="28"/>
      <c r="G344" s="28"/>
      <c r="H344" s="28"/>
      <c r="I344" s="28"/>
      <c r="J344" s="28" t="s">
        <v>216</v>
      </c>
      <c r="K344" s="28"/>
      <c r="L344" s="28"/>
      <c r="M344" s="28"/>
      <c r="N344" s="28"/>
      <c r="O344" s="28"/>
      <c r="P344" s="29"/>
      <c r="R344" s="29"/>
    </row>
    <row r="345" spans="1:18">
      <c r="A345" s="23"/>
      <c r="B345" s="23"/>
      <c r="C345" s="23"/>
      <c r="D345" s="23"/>
      <c r="E345" s="23"/>
      <c r="F345" s="28"/>
      <c r="G345" s="28"/>
      <c r="H345" s="28"/>
      <c r="I345" s="28" t="s">
        <v>244</v>
      </c>
      <c r="J345" s="28"/>
      <c r="K345" s="28"/>
      <c r="L345" s="28"/>
      <c r="M345" s="28"/>
      <c r="N345" s="28"/>
      <c r="O345" s="29"/>
      <c r="Q345" s="29"/>
    </row>
    <row r="346" spans="1:18" ht="23.4" thickBot="1">
      <c r="A346" s="23"/>
      <c r="B346" s="23"/>
      <c r="C346" s="23"/>
      <c r="D346" s="23"/>
      <c r="E346" s="23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9"/>
      <c r="R346" s="29"/>
    </row>
    <row r="347" spans="1:18" ht="24" thickTop="1" thickBot="1">
      <c r="A347" s="23"/>
      <c r="B347" s="23"/>
      <c r="C347" s="232" t="s">
        <v>218</v>
      </c>
      <c r="D347" s="233"/>
      <c r="E347" s="233"/>
      <c r="F347" s="286" t="s">
        <v>219</v>
      </c>
      <c r="G347" s="286"/>
      <c r="H347" s="286"/>
      <c r="I347" s="286"/>
      <c r="J347" s="286"/>
      <c r="K347" s="286"/>
      <c r="L347" s="286"/>
      <c r="M347" s="286"/>
      <c r="N347" s="287"/>
      <c r="O347" s="29"/>
      <c r="Q347" s="29"/>
    </row>
    <row r="348" spans="1:18" ht="24" thickTop="1" thickBot="1">
      <c r="A348" s="23"/>
      <c r="B348" s="23"/>
      <c r="C348" s="226"/>
      <c r="D348" s="227"/>
      <c r="E348" s="227"/>
      <c r="F348" s="288" t="s">
        <v>220</v>
      </c>
      <c r="G348" s="288"/>
      <c r="H348" s="289" t="s">
        <v>221</v>
      </c>
      <c r="I348" s="289"/>
      <c r="J348" s="289"/>
      <c r="K348" s="289"/>
      <c r="L348" s="289"/>
      <c r="M348" s="227" t="s">
        <v>222</v>
      </c>
      <c r="N348" s="285" t="s">
        <v>223</v>
      </c>
      <c r="O348" s="29"/>
      <c r="Q348" s="29"/>
    </row>
    <row r="349" spans="1:18" ht="24" thickTop="1" thickBot="1">
      <c r="A349" s="23"/>
      <c r="B349" s="23"/>
      <c r="C349" s="226" t="s">
        <v>224</v>
      </c>
      <c r="D349" s="227"/>
      <c r="E349" s="248" t="s">
        <v>225</v>
      </c>
      <c r="F349" s="227" t="s">
        <v>226</v>
      </c>
      <c r="G349" s="227" t="s">
        <v>227</v>
      </c>
      <c r="H349" s="15" t="s">
        <v>228</v>
      </c>
      <c r="I349" s="15" t="s">
        <v>229</v>
      </c>
      <c r="J349" s="15" t="s">
        <v>230</v>
      </c>
      <c r="K349" s="15" t="s">
        <v>231</v>
      </c>
      <c r="L349" s="15" t="s">
        <v>232</v>
      </c>
      <c r="M349" s="227"/>
      <c r="N349" s="285"/>
      <c r="O349" s="29"/>
      <c r="Q349" s="29"/>
    </row>
    <row r="350" spans="1:18" ht="24" thickTop="1" thickBot="1">
      <c r="A350" s="23"/>
      <c r="B350" s="23"/>
      <c r="C350" s="17" t="s">
        <v>233</v>
      </c>
      <c r="D350" s="15" t="s">
        <v>227</v>
      </c>
      <c r="E350" s="248"/>
      <c r="F350" s="227"/>
      <c r="G350" s="227"/>
      <c r="H350" s="227">
        <f>'[1]التعليم الابتدائي'!AMN711</f>
        <v>9</v>
      </c>
      <c r="I350" s="227">
        <v>0</v>
      </c>
      <c r="J350" s="227">
        <v>0</v>
      </c>
      <c r="K350" s="227">
        <v>0</v>
      </c>
      <c r="L350" s="227">
        <v>0</v>
      </c>
      <c r="M350" s="227"/>
      <c r="N350" s="285"/>
      <c r="O350" s="29"/>
      <c r="Q350" s="29"/>
    </row>
    <row r="351" spans="1:18" ht="24" thickTop="1" thickBot="1">
      <c r="A351" s="23"/>
      <c r="B351" s="23"/>
      <c r="C351" s="18">
        <f>'[1]التعليم الابتدائي'!ALZ711</f>
        <v>55</v>
      </c>
      <c r="D351" s="20">
        <f>'[1]التعليم الابتدائي'!AMA711</f>
        <v>10</v>
      </c>
      <c r="E351" s="20">
        <f>'[1]التعليم الابتدائي'!AMM711</f>
        <v>13178</v>
      </c>
      <c r="F351" s="20">
        <f>'[1]التعليم الابتدائي'!AMN711</f>
        <v>9</v>
      </c>
      <c r="G351" s="20">
        <f>'[1]التعليم الابتدائي'!AMO711</f>
        <v>57</v>
      </c>
      <c r="H351" s="229"/>
      <c r="I351" s="229"/>
      <c r="J351" s="229"/>
      <c r="K351" s="229"/>
      <c r="L351" s="229"/>
      <c r="M351" s="38">
        <v>0</v>
      </c>
      <c r="N351" s="39">
        <v>0</v>
      </c>
      <c r="O351" s="29"/>
      <c r="Q351" s="29"/>
    </row>
    <row r="352" spans="1:18" ht="23.4" thickTop="1">
      <c r="A352" s="28"/>
      <c r="B352" s="231" t="s">
        <v>234</v>
      </c>
      <c r="C352" s="231"/>
      <c r="D352" s="231"/>
      <c r="E352" s="231"/>
      <c r="F352" s="231"/>
      <c r="G352" s="231"/>
      <c r="H352" s="231"/>
      <c r="I352" s="231"/>
      <c r="J352" s="231"/>
      <c r="K352" s="231"/>
      <c r="L352" s="231"/>
      <c r="M352" s="231"/>
      <c r="N352" s="231"/>
      <c r="O352" s="231"/>
      <c r="P352" s="231"/>
      <c r="Q352" s="231"/>
      <c r="R352" s="231"/>
    </row>
    <row r="353" spans="1:18">
      <c r="A353" s="28"/>
      <c r="B353" s="231" t="s">
        <v>208</v>
      </c>
      <c r="C353" s="231"/>
      <c r="D353" s="231"/>
      <c r="E353" s="231"/>
      <c r="F353" s="231"/>
      <c r="G353" s="231"/>
      <c r="H353" s="231"/>
      <c r="I353" s="231"/>
      <c r="J353" s="231"/>
      <c r="K353" s="231"/>
      <c r="L353" s="231"/>
      <c r="M353" s="231"/>
      <c r="N353" s="231"/>
      <c r="O353" s="231"/>
      <c r="P353" s="231"/>
      <c r="Q353" s="231"/>
      <c r="R353" s="231"/>
    </row>
    <row r="354" spans="1:18">
      <c r="A354" s="28"/>
      <c r="B354" s="231" t="s">
        <v>245</v>
      </c>
      <c r="C354" s="231"/>
      <c r="D354" s="231"/>
      <c r="E354" s="231"/>
      <c r="F354" s="231"/>
      <c r="G354" s="231"/>
      <c r="H354" s="231"/>
      <c r="I354" s="231"/>
      <c r="J354" s="231"/>
      <c r="K354" s="231"/>
      <c r="L354" s="231"/>
      <c r="M354" s="231"/>
      <c r="N354" s="231"/>
      <c r="O354" s="231"/>
      <c r="P354" s="231"/>
      <c r="Q354" s="231"/>
      <c r="R354" s="231"/>
    </row>
    <row r="355" spans="1:18" ht="23.4" thickBo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</row>
    <row r="356" spans="1:18" ht="24" thickTop="1" thickBot="1">
      <c r="A356" s="28"/>
      <c r="B356" s="28"/>
      <c r="C356" s="28"/>
      <c r="D356" s="28"/>
      <c r="E356" s="28"/>
      <c r="F356" s="28"/>
      <c r="G356" s="28"/>
      <c r="H356" s="283"/>
      <c r="I356" s="233" t="s">
        <v>236</v>
      </c>
      <c r="J356" s="233"/>
      <c r="K356" s="233"/>
      <c r="L356" s="247"/>
      <c r="M356" s="28"/>
      <c r="N356" s="28"/>
      <c r="O356" s="28"/>
      <c r="P356" s="28"/>
      <c r="Q356" s="28"/>
      <c r="R356" s="28"/>
    </row>
    <row r="357" spans="1:18" ht="24" thickTop="1" thickBot="1">
      <c r="A357" s="28"/>
      <c r="B357" s="28"/>
      <c r="C357" s="28"/>
      <c r="D357" s="28"/>
      <c r="E357" s="28"/>
      <c r="F357" s="28"/>
      <c r="G357" s="28"/>
      <c r="H357" s="284"/>
      <c r="I357" s="15" t="s">
        <v>76</v>
      </c>
      <c r="J357" s="15" t="s">
        <v>35</v>
      </c>
      <c r="K357" s="15" t="s">
        <v>237</v>
      </c>
      <c r="L357" s="36" t="s">
        <v>58</v>
      </c>
      <c r="M357" s="28"/>
      <c r="N357" s="28"/>
      <c r="O357" s="28"/>
      <c r="P357" s="28"/>
      <c r="Q357" s="28"/>
      <c r="R357" s="28"/>
    </row>
    <row r="358" spans="1:18" ht="24" thickTop="1" thickBot="1">
      <c r="A358" s="28"/>
      <c r="B358" s="28"/>
      <c r="C358" s="28"/>
      <c r="D358" s="28"/>
      <c r="E358" s="28"/>
      <c r="F358" s="28"/>
      <c r="G358" s="28"/>
      <c r="H358" s="17" t="s">
        <v>238</v>
      </c>
      <c r="I358" s="15">
        <f>'[1]التعليم الابتدائي'!EQ711</f>
        <v>0</v>
      </c>
      <c r="J358" s="15">
        <f>'[1]التعليم الابتدائي'!ER711</f>
        <v>0</v>
      </c>
      <c r="K358" s="15">
        <f>'[1]التعليم الابتدائي'!ES711</f>
        <v>0</v>
      </c>
      <c r="L358" s="36">
        <f t="shared" ref="L358:L363" si="14">K358+J358+I358</f>
        <v>0</v>
      </c>
      <c r="M358" s="28"/>
      <c r="N358" s="28"/>
      <c r="O358" s="28"/>
      <c r="P358" s="28"/>
      <c r="Q358" s="28"/>
      <c r="R358" s="28"/>
    </row>
    <row r="359" spans="1:18" ht="24" thickTop="1" thickBot="1">
      <c r="A359" s="28"/>
      <c r="B359" s="28"/>
      <c r="C359" s="28"/>
      <c r="D359" s="28"/>
      <c r="E359" s="28"/>
      <c r="F359" s="28"/>
      <c r="G359" s="28"/>
      <c r="H359" s="17" t="s">
        <v>239</v>
      </c>
      <c r="I359" s="15">
        <f>'[1]التعليم الابتدائي'!ET711</f>
        <v>0</v>
      </c>
      <c r="J359" s="15">
        <f>'[1]التعليم الابتدائي'!EU711</f>
        <v>0</v>
      </c>
      <c r="K359" s="15">
        <f>'[1]التعليم الابتدائي'!EV711</f>
        <v>0</v>
      </c>
      <c r="L359" s="36">
        <f t="shared" si="14"/>
        <v>0</v>
      </c>
      <c r="M359" s="28"/>
      <c r="N359" s="28"/>
      <c r="O359" s="28"/>
      <c r="P359" s="28"/>
      <c r="Q359" s="28"/>
      <c r="R359" s="28"/>
    </row>
    <row r="360" spans="1:18" ht="24" thickTop="1" thickBot="1">
      <c r="A360" s="28"/>
      <c r="B360" s="28"/>
      <c r="C360" s="28"/>
      <c r="D360" s="28"/>
      <c r="E360" s="28"/>
      <c r="F360" s="28"/>
      <c r="G360" s="28"/>
      <c r="H360" s="17" t="s">
        <v>240</v>
      </c>
      <c r="I360" s="15">
        <f>'[1]التعليم الابتدائي'!EW711</f>
        <v>0</v>
      </c>
      <c r="J360" s="15">
        <f>'[1]التعليم الابتدائي'!EX711</f>
        <v>0</v>
      </c>
      <c r="K360" s="15">
        <f>'[1]التعليم الابتدائي'!EY711</f>
        <v>0</v>
      </c>
      <c r="L360" s="36">
        <f t="shared" si="14"/>
        <v>0</v>
      </c>
      <c r="M360" s="28"/>
      <c r="N360" s="28"/>
      <c r="O360" s="28"/>
      <c r="P360" s="28"/>
      <c r="Q360" s="28"/>
      <c r="R360" s="28"/>
    </row>
    <row r="361" spans="1:18" ht="24" thickTop="1" thickBot="1">
      <c r="A361" s="28"/>
      <c r="B361" s="28"/>
      <c r="C361" s="28"/>
      <c r="D361" s="28"/>
      <c r="E361" s="28"/>
      <c r="F361" s="28"/>
      <c r="G361" s="28"/>
      <c r="H361" s="17" t="s">
        <v>241</v>
      </c>
      <c r="I361" s="15">
        <f>'[1]التعليم الابتدائي'!EZ711</f>
        <v>0</v>
      </c>
      <c r="J361" s="15">
        <f>'[1]التعليم الابتدائي'!FA711</f>
        <v>0</v>
      </c>
      <c r="K361" s="15">
        <f>'[1]التعليم الابتدائي'!FB711</f>
        <v>0</v>
      </c>
      <c r="L361" s="36">
        <f t="shared" si="14"/>
        <v>0</v>
      </c>
      <c r="M361" s="28"/>
      <c r="N361" s="28"/>
      <c r="O361" s="28"/>
      <c r="P361" s="28"/>
      <c r="Q361" s="28"/>
      <c r="R361" s="28"/>
    </row>
    <row r="362" spans="1:18" ht="24" thickTop="1" thickBot="1">
      <c r="A362" s="28"/>
      <c r="B362" s="28"/>
      <c r="C362" s="28"/>
      <c r="D362" s="28"/>
      <c r="E362" s="28"/>
      <c r="F362" s="28"/>
      <c r="G362" s="28"/>
      <c r="H362" s="17" t="s">
        <v>242</v>
      </c>
      <c r="I362" s="15">
        <f>'[1]التعليم الابتدائي'!FC711</f>
        <v>0</v>
      </c>
      <c r="J362" s="15">
        <f>'[1]التعليم الابتدائي'!FD711</f>
        <v>0</v>
      </c>
      <c r="K362" s="15">
        <f>'[1]التعليم الابتدائي'!FE711</f>
        <v>0</v>
      </c>
      <c r="L362" s="36">
        <f t="shared" si="14"/>
        <v>0</v>
      </c>
      <c r="M362" s="28"/>
      <c r="N362" s="28"/>
      <c r="O362" s="28"/>
      <c r="P362" s="28"/>
      <c r="Q362" s="28"/>
      <c r="R362" s="28"/>
    </row>
    <row r="363" spans="1:18" ht="24" thickTop="1" thickBot="1">
      <c r="A363" s="28"/>
      <c r="B363" s="28"/>
      <c r="C363" s="28"/>
      <c r="D363" s="28"/>
      <c r="E363" s="28"/>
      <c r="F363" s="28"/>
      <c r="G363" s="28"/>
      <c r="H363" s="17" t="s">
        <v>243</v>
      </c>
      <c r="I363" s="15">
        <f>'[1]التعليم الابتدائي'!FF711</f>
        <v>0</v>
      </c>
      <c r="J363" s="15">
        <f>'[1]التعليم الابتدائي'!FG711</f>
        <v>0</v>
      </c>
      <c r="K363" s="15">
        <f>'[1]التعليم الابتدائي'!FH711</f>
        <v>0</v>
      </c>
      <c r="L363" s="36">
        <f t="shared" si="14"/>
        <v>0</v>
      </c>
      <c r="M363" s="28"/>
      <c r="N363" s="28"/>
      <c r="O363" s="28"/>
      <c r="P363" s="28"/>
      <c r="Q363" s="28"/>
      <c r="R363" s="28"/>
    </row>
    <row r="364" spans="1:18" ht="24" thickTop="1" thickBot="1">
      <c r="A364" s="28"/>
      <c r="B364" s="28"/>
      <c r="C364" s="28"/>
      <c r="D364" s="28"/>
      <c r="E364" s="28"/>
      <c r="F364" s="28"/>
      <c r="G364" s="28"/>
      <c r="H364" s="18" t="s">
        <v>58</v>
      </c>
      <c r="I364" s="20">
        <f>SUM(I358:I363)</f>
        <v>0</v>
      </c>
      <c r="J364" s="20">
        <f>SUM(J358:J363)</f>
        <v>0</v>
      </c>
      <c r="K364" s="20">
        <f>SUM(K358:K363)</f>
        <v>0</v>
      </c>
      <c r="L364" s="33">
        <f>SUM(I364:K364)</f>
        <v>0</v>
      </c>
      <c r="M364" s="28"/>
      <c r="N364" s="28"/>
      <c r="O364" s="28"/>
      <c r="P364" s="28"/>
      <c r="Q364" s="28"/>
      <c r="R364" s="28"/>
    </row>
    <row r="365" spans="1:18" ht="23.4" thickTop="1">
      <c r="A365" s="29" t="s">
        <v>62</v>
      </c>
      <c r="B365" s="29"/>
      <c r="C365" s="29"/>
      <c r="D365" s="29"/>
      <c r="E365" s="29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31" t="s">
        <v>96</v>
      </c>
      <c r="Q365" s="231"/>
    </row>
    <row r="366" spans="1:18">
      <c r="A366" s="231" t="s">
        <v>64</v>
      </c>
      <c r="B366" s="231"/>
      <c r="C366" s="231"/>
      <c r="D366" s="231"/>
      <c r="E366" s="231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31" t="s">
        <v>65</v>
      </c>
      <c r="Q366" s="231"/>
    </row>
    <row r="367" spans="1:18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</row>
    <row r="368" spans="1:18">
      <c r="A368" s="23"/>
      <c r="B368" s="23"/>
      <c r="C368" s="23"/>
      <c r="D368" s="23"/>
      <c r="E368" s="23"/>
      <c r="F368" s="28"/>
      <c r="G368" s="28"/>
      <c r="H368" s="28"/>
      <c r="I368" s="28"/>
      <c r="J368" s="28" t="s">
        <v>216</v>
      </c>
      <c r="K368" s="28"/>
      <c r="L368" s="28"/>
      <c r="M368" s="28"/>
      <c r="N368" s="28"/>
      <c r="O368" s="28"/>
      <c r="P368" s="29"/>
      <c r="R368" s="29"/>
    </row>
    <row r="369" spans="1:18">
      <c r="A369" s="23"/>
      <c r="B369" s="23"/>
      <c r="C369" s="23"/>
      <c r="D369" s="23"/>
      <c r="E369" s="23"/>
      <c r="F369" s="28"/>
      <c r="G369" s="28"/>
      <c r="H369" s="28"/>
      <c r="I369" s="28" t="s">
        <v>244</v>
      </c>
      <c r="J369" s="28"/>
      <c r="K369" s="28"/>
      <c r="L369" s="28"/>
      <c r="M369" s="28"/>
      <c r="N369" s="28"/>
      <c r="O369" s="29"/>
      <c r="Q369" s="29"/>
    </row>
    <row r="370" spans="1:18" ht="23.4" thickBot="1">
      <c r="A370" s="23"/>
      <c r="B370" s="23"/>
      <c r="C370" s="23"/>
      <c r="D370" s="23"/>
      <c r="E370" s="23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9"/>
      <c r="R370" s="29"/>
    </row>
    <row r="371" spans="1:18" ht="24" thickTop="1" thickBot="1">
      <c r="A371" s="23"/>
      <c r="B371" s="23"/>
      <c r="C371" s="232" t="s">
        <v>218</v>
      </c>
      <c r="D371" s="233"/>
      <c r="E371" s="233"/>
      <c r="F371" s="286" t="s">
        <v>219</v>
      </c>
      <c r="G371" s="286"/>
      <c r="H371" s="286"/>
      <c r="I371" s="286"/>
      <c r="J371" s="286"/>
      <c r="K371" s="286"/>
      <c r="L371" s="286"/>
      <c r="M371" s="286"/>
      <c r="N371" s="287"/>
      <c r="O371" s="29"/>
      <c r="Q371" s="29"/>
    </row>
    <row r="372" spans="1:18" ht="24" thickTop="1" thickBot="1">
      <c r="A372" s="23"/>
      <c r="B372" s="23"/>
      <c r="C372" s="226"/>
      <c r="D372" s="227"/>
      <c r="E372" s="227"/>
      <c r="F372" s="288" t="s">
        <v>220</v>
      </c>
      <c r="G372" s="288"/>
      <c r="H372" s="289" t="s">
        <v>221</v>
      </c>
      <c r="I372" s="289"/>
      <c r="J372" s="289"/>
      <c r="K372" s="289"/>
      <c r="L372" s="289"/>
      <c r="M372" s="227" t="s">
        <v>222</v>
      </c>
      <c r="N372" s="285" t="s">
        <v>223</v>
      </c>
      <c r="O372" s="29"/>
      <c r="Q372" s="29"/>
    </row>
    <row r="373" spans="1:18" ht="24" thickTop="1" thickBot="1">
      <c r="A373" s="23"/>
      <c r="B373" s="23"/>
      <c r="C373" s="226" t="s">
        <v>224</v>
      </c>
      <c r="D373" s="227"/>
      <c r="E373" s="248" t="s">
        <v>225</v>
      </c>
      <c r="F373" s="227" t="s">
        <v>226</v>
      </c>
      <c r="G373" s="227" t="s">
        <v>227</v>
      </c>
      <c r="H373" s="15" t="s">
        <v>228</v>
      </c>
      <c r="I373" s="15" t="s">
        <v>229</v>
      </c>
      <c r="J373" s="15" t="s">
        <v>230</v>
      </c>
      <c r="K373" s="15" t="s">
        <v>231</v>
      </c>
      <c r="L373" s="15" t="s">
        <v>232</v>
      </c>
      <c r="M373" s="227"/>
      <c r="N373" s="285"/>
      <c r="O373" s="29"/>
      <c r="Q373" s="29"/>
    </row>
    <row r="374" spans="1:18" ht="24" thickTop="1" thickBot="1">
      <c r="A374" s="23"/>
      <c r="B374" s="23"/>
      <c r="C374" s="17" t="s">
        <v>233</v>
      </c>
      <c r="D374" s="15" t="s">
        <v>227</v>
      </c>
      <c r="E374" s="248"/>
      <c r="F374" s="227"/>
      <c r="G374" s="227"/>
      <c r="H374" s="227">
        <f>'[1]التعليم الابتدائي'!AMN753</f>
        <v>10</v>
      </c>
      <c r="I374" s="227">
        <v>0</v>
      </c>
      <c r="J374" s="227">
        <v>0</v>
      </c>
      <c r="K374" s="227">
        <v>0</v>
      </c>
      <c r="L374" s="227">
        <v>0</v>
      </c>
      <c r="M374" s="227"/>
      <c r="N374" s="285"/>
      <c r="O374" s="29"/>
      <c r="Q374" s="29"/>
    </row>
    <row r="375" spans="1:18" ht="24" thickTop="1" thickBot="1">
      <c r="A375" s="23"/>
      <c r="B375" s="23"/>
      <c r="C375" s="18">
        <f>'[1]التعليم الابتدائي'!ALZ753</f>
        <v>88</v>
      </c>
      <c r="D375" s="20">
        <f>'[1]التعليم الابتدائي'!AMA753</f>
        <v>17</v>
      </c>
      <c r="E375" s="20">
        <f>'[1]التعليم الابتدائي'!AMM753</f>
        <v>23473</v>
      </c>
      <c r="F375" s="20">
        <f>'[1]التعليم الابتدائي'!AMN753</f>
        <v>10</v>
      </c>
      <c r="G375" s="20">
        <f>'[1]التعليم الابتدائي'!AMO753</f>
        <v>96</v>
      </c>
      <c r="H375" s="229"/>
      <c r="I375" s="229"/>
      <c r="J375" s="229"/>
      <c r="K375" s="229"/>
      <c r="L375" s="229"/>
      <c r="M375" s="38">
        <v>0</v>
      </c>
      <c r="N375" s="39">
        <v>0</v>
      </c>
      <c r="O375" s="29"/>
      <c r="Q375" s="29"/>
    </row>
    <row r="376" spans="1:18" ht="23.4" thickTop="1">
      <c r="A376" s="28"/>
      <c r="B376" s="231" t="s">
        <v>234</v>
      </c>
      <c r="C376" s="231"/>
      <c r="D376" s="231"/>
      <c r="E376" s="231"/>
      <c r="F376" s="231"/>
      <c r="G376" s="231"/>
      <c r="H376" s="231"/>
      <c r="I376" s="231"/>
      <c r="J376" s="231"/>
      <c r="K376" s="231"/>
      <c r="L376" s="231"/>
      <c r="M376" s="231"/>
      <c r="N376" s="231"/>
      <c r="O376" s="231"/>
      <c r="P376" s="231"/>
      <c r="Q376" s="231"/>
      <c r="R376" s="231"/>
    </row>
    <row r="377" spans="1:18">
      <c r="A377" s="28"/>
      <c r="B377" s="231" t="s">
        <v>208</v>
      </c>
      <c r="C377" s="231"/>
      <c r="D377" s="231"/>
      <c r="E377" s="231"/>
      <c r="F377" s="231"/>
      <c r="G377" s="231"/>
      <c r="H377" s="231"/>
      <c r="I377" s="231"/>
      <c r="J377" s="231"/>
      <c r="K377" s="231"/>
      <c r="L377" s="231"/>
      <c r="M377" s="231"/>
      <c r="N377" s="231"/>
      <c r="O377" s="231"/>
      <c r="P377" s="231"/>
      <c r="Q377" s="231"/>
      <c r="R377" s="231"/>
    </row>
    <row r="378" spans="1:18">
      <c r="A378" s="28"/>
      <c r="B378" s="231" t="s">
        <v>245</v>
      </c>
      <c r="C378" s="231"/>
      <c r="D378" s="231"/>
      <c r="E378" s="231"/>
      <c r="F378" s="231"/>
      <c r="G378" s="231"/>
      <c r="H378" s="231"/>
      <c r="I378" s="231"/>
      <c r="J378" s="231"/>
      <c r="K378" s="231"/>
      <c r="L378" s="231"/>
      <c r="M378" s="231"/>
      <c r="N378" s="231"/>
      <c r="O378" s="231"/>
      <c r="P378" s="231"/>
      <c r="Q378" s="231"/>
      <c r="R378" s="231"/>
    </row>
    <row r="379" spans="1:18" ht="23.4" thickBo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</row>
    <row r="380" spans="1:18" ht="24" thickTop="1" thickBot="1">
      <c r="A380" s="28"/>
      <c r="B380" s="28"/>
      <c r="C380" s="28"/>
      <c r="D380" s="28"/>
      <c r="E380" s="28"/>
      <c r="F380" s="28"/>
      <c r="G380" s="28"/>
      <c r="H380" s="283"/>
      <c r="I380" s="233" t="s">
        <v>236</v>
      </c>
      <c r="J380" s="233"/>
      <c r="K380" s="233"/>
      <c r="L380" s="247"/>
      <c r="M380" s="28"/>
      <c r="N380" s="28"/>
      <c r="O380" s="28"/>
      <c r="P380" s="28"/>
      <c r="Q380" s="28"/>
      <c r="R380" s="28"/>
    </row>
    <row r="381" spans="1:18" ht="24" thickTop="1" thickBot="1">
      <c r="A381" s="28"/>
      <c r="B381" s="28"/>
      <c r="C381" s="28"/>
      <c r="D381" s="28"/>
      <c r="E381" s="28"/>
      <c r="F381" s="28"/>
      <c r="G381" s="28"/>
      <c r="H381" s="284"/>
      <c r="I381" s="15" t="s">
        <v>76</v>
      </c>
      <c r="J381" s="15" t="s">
        <v>35</v>
      </c>
      <c r="K381" s="15" t="s">
        <v>237</v>
      </c>
      <c r="L381" s="36" t="s">
        <v>58</v>
      </c>
      <c r="M381" s="28"/>
      <c r="N381" s="28"/>
      <c r="O381" s="28"/>
      <c r="P381" s="28"/>
      <c r="Q381" s="28"/>
      <c r="R381" s="28"/>
    </row>
    <row r="382" spans="1:18" ht="24" thickTop="1" thickBot="1">
      <c r="A382" s="28"/>
      <c r="B382" s="28"/>
      <c r="C382" s="28"/>
      <c r="D382" s="28"/>
      <c r="E382" s="28"/>
      <c r="F382" s="28"/>
      <c r="G382" s="28"/>
      <c r="H382" s="17" t="s">
        <v>238</v>
      </c>
      <c r="I382" s="15">
        <f>'[1]التعليم الابتدائي'!EQ753</f>
        <v>0</v>
      </c>
      <c r="J382" s="15">
        <f>'[1]التعليم الابتدائي'!ER753</f>
        <v>0</v>
      </c>
      <c r="K382" s="15">
        <f>'[1]التعليم الابتدائي'!ES753</f>
        <v>0</v>
      </c>
      <c r="L382" s="36">
        <f t="shared" ref="L382:L387" si="15">K382+J382+I382</f>
        <v>0</v>
      </c>
      <c r="M382" s="28"/>
      <c r="N382" s="28"/>
      <c r="O382" s="28"/>
      <c r="P382" s="28"/>
      <c r="Q382" s="28"/>
      <c r="R382" s="28"/>
    </row>
    <row r="383" spans="1:18" ht="24" thickTop="1" thickBot="1">
      <c r="A383" s="28"/>
      <c r="B383" s="28"/>
      <c r="C383" s="28"/>
      <c r="D383" s="28"/>
      <c r="E383" s="28"/>
      <c r="F383" s="28"/>
      <c r="G383" s="28"/>
      <c r="H383" s="17" t="s">
        <v>239</v>
      </c>
      <c r="I383" s="15">
        <f>'[1]التعليم الابتدائي'!ET753</f>
        <v>0</v>
      </c>
      <c r="J383" s="15">
        <f>'[1]التعليم الابتدائي'!EU753</f>
        <v>0</v>
      </c>
      <c r="K383" s="15">
        <f>'[1]التعليم الابتدائي'!EV753</f>
        <v>0</v>
      </c>
      <c r="L383" s="36">
        <f t="shared" si="15"/>
        <v>0</v>
      </c>
      <c r="M383" s="28"/>
      <c r="N383" s="28"/>
      <c r="O383" s="28"/>
      <c r="P383" s="28"/>
      <c r="Q383" s="28"/>
      <c r="R383" s="28"/>
    </row>
    <row r="384" spans="1:18" ht="24" thickTop="1" thickBot="1">
      <c r="A384" s="28"/>
      <c r="B384" s="28"/>
      <c r="C384" s="28"/>
      <c r="D384" s="28"/>
      <c r="E384" s="28"/>
      <c r="F384" s="28"/>
      <c r="G384" s="28"/>
      <c r="H384" s="17" t="s">
        <v>240</v>
      </c>
      <c r="I384" s="15">
        <f>'[1]التعليم الابتدائي'!EW753</f>
        <v>0</v>
      </c>
      <c r="J384" s="15">
        <f>'[1]التعليم الابتدائي'!EX753</f>
        <v>0</v>
      </c>
      <c r="K384" s="15">
        <f>'[1]التعليم الابتدائي'!EY753</f>
        <v>0</v>
      </c>
      <c r="L384" s="36">
        <f t="shared" si="15"/>
        <v>0</v>
      </c>
      <c r="M384" s="28"/>
      <c r="N384" s="28"/>
      <c r="O384" s="28"/>
      <c r="P384" s="28"/>
      <c r="Q384" s="28"/>
      <c r="R384" s="28"/>
    </row>
    <row r="385" spans="1:18" ht="24" thickTop="1" thickBot="1">
      <c r="A385" s="28"/>
      <c r="B385" s="28"/>
      <c r="C385" s="28"/>
      <c r="D385" s="28"/>
      <c r="E385" s="28"/>
      <c r="F385" s="28"/>
      <c r="G385" s="28"/>
      <c r="H385" s="17" t="s">
        <v>241</v>
      </c>
      <c r="I385" s="15">
        <f>'[1]التعليم الابتدائي'!EZ753</f>
        <v>0</v>
      </c>
      <c r="J385" s="15">
        <f>'[1]التعليم الابتدائي'!FA753</f>
        <v>0</v>
      </c>
      <c r="K385" s="15">
        <f>'[1]التعليم الابتدائي'!FB753</f>
        <v>0</v>
      </c>
      <c r="L385" s="36">
        <f t="shared" si="15"/>
        <v>0</v>
      </c>
      <c r="M385" s="28"/>
      <c r="N385" s="28"/>
      <c r="O385" s="28"/>
      <c r="P385" s="28"/>
      <c r="Q385" s="28"/>
      <c r="R385" s="28"/>
    </row>
    <row r="386" spans="1:18" ht="24" thickTop="1" thickBot="1">
      <c r="A386" s="28"/>
      <c r="B386" s="28"/>
      <c r="C386" s="28"/>
      <c r="D386" s="28"/>
      <c r="E386" s="28"/>
      <c r="F386" s="28"/>
      <c r="G386" s="28"/>
      <c r="H386" s="17" t="s">
        <v>242</v>
      </c>
      <c r="I386" s="15">
        <f>'[1]التعليم الابتدائي'!FC753</f>
        <v>0</v>
      </c>
      <c r="J386" s="15">
        <f>'[1]التعليم الابتدائي'!FD753</f>
        <v>0</v>
      </c>
      <c r="K386" s="15">
        <f>'[1]التعليم الابتدائي'!FE753</f>
        <v>0</v>
      </c>
      <c r="L386" s="36">
        <f t="shared" si="15"/>
        <v>0</v>
      </c>
      <c r="M386" s="28"/>
      <c r="N386" s="28"/>
      <c r="O386" s="28"/>
      <c r="P386" s="28"/>
      <c r="Q386" s="28"/>
      <c r="R386" s="28"/>
    </row>
    <row r="387" spans="1:18" ht="24" thickTop="1" thickBot="1">
      <c r="A387" s="28"/>
      <c r="B387" s="28"/>
      <c r="C387" s="28"/>
      <c r="D387" s="28"/>
      <c r="E387" s="28"/>
      <c r="F387" s="28"/>
      <c r="G387" s="28"/>
      <c r="H387" s="17" t="s">
        <v>243</v>
      </c>
      <c r="I387" s="15">
        <f>'[1]التعليم الابتدائي'!FF753</f>
        <v>0</v>
      </c>
      <c r="J387" s="15">
        <f>'[1]التعليم الابتدائي'!FG753</f>
        <v>0</v>
      </c>
      <c r="K387" s="15">
        <f>'[1]التعليم الابتدائي'!FH753</f>
        <v>0</v>
      </c>
      <c r="L387" s="36">
        <f t="shared" si="15"/>
        <v>0</v>
      </c>
      <c r="M387" s="28"/>
      <c r="N387" s="28"/>
      <c r="O387" s="28"/>
      <c r="P387" s="28"/>
      <c r="Q387" s="28"/>
      <c r="R387" s="28"/>
    </row>
    <row r="388" spans="1:18" ht="24" thickTop="1" thickBot="1">
      <c r="A388" s="28"/>
      <c r="B388" s="28"/>
      <c r="C388" s="28"/>
      <c r="D388" s="28"/>
      <c r="E388" s="28"/>
      <c r="F388" s="28"/>
      <c r="G388" s="28"/>
      <c r="H388" s="18" t="s">
        <v>58</v>
      </c>
      <c r="I388" s="20">
        <f>SUM(I382:I387)</f>
        <v>0</v>
      </c>
      <c r="J388" s="20">
        <f>SUM(J382:J387)</f>
        <v>0</v>
      </c>
      <c r="K388" s="20">
        <f>SUM(K382:K387)</f>
        <v>0</v>
      </c>
      <c r="L388" s="33">
        <f>SUM(I388:K388)</f>
        <v>0</v>
      </c>
      <c r="M388" s="28"/>
      <c r="N388" s="28"/>
      <c r="O388" s="28"/>
      <c r="P388" s="28"/>
      <c r="Q388" s="28"/>
      <c r="R388" s="28"/>
    </row>
    <row r="389" spans="1:18" ht="23.4" thickTop="1"/>
    <row r="390" spans="1:18">
      <c r="A390" s="29" t="s">
        <v>62</v>
      </c>
      <c r="B390" s="29"/>
      <c r="C390" s="29"/>
      <c r="D390" s="29"/>
      <c r="E390" s="29"/>
      <c r="F390" s="28"/>
      <c r="G390" s="28"/>
      <c r="H390" s="28"/>
      <c r="I390" s="28"/>
      <c r="J390" s="28"/>
      <c r="K390" s="28"/>
      <c r="L390" s="28"/>
      <c r="M390" s="28"/>
      <c r="N390" s="28"/>
      <c r="P390" s="23" t="s">
        <v>98</v>
      </c>
      <c r="Q390" s="23"/>
      <c r="R390" s="28"/>
    </row>
    <row r="391" spans="1:18">
      <c r="A391" s="231" t="s">
        <v>64</v>
      </c>
      <c r="B391" s="231"/>
      <c r="C391" s="231"/>
      <c r="D391" s="231"/>
      <c r="E391" s="231"/>
      <c r="F391" s="28"/>
      <c r="G391" s="28"/>
      <c r="H391" s="28"/>
      <c r="I391" s="28"/>
      <c r="J391" s="28"/>
      <c r="K391" s="28"/>
      <c r="L391" s="28"/>
      <c r="M391" s="28"/>
      <c r="N391" s="28"/>
      <c r="P391" s="23" t="s">
        <v>65</v>
      </c>
      <c r="Q391" s="23"/>
      <c r="R391" s="28"/>
    </row>
    <row r="392" spans="1:18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</row>
    <row r="393" spans="1:18">
      <c r="A393" s="23"/>
      <c r="B393" s="23"/>
      <c r="C393" s="23"/>
      <c r="D393" s="23"/>
      <c r="E393" s="23"/>
      <c r="F393" s="28"/>
      <c r="G393" s="28"/>
      <c r="H393" s="28"/>
      <c r="I393" s="28"/>
      <c r="J393" s="28" t="s">
        <v>216</v>
      </c>
      <c r="K393" s="28"/>
      <c r="L393" s="28"/>
      <c r="M393" s="28"/>
      <c r="N393" s="28"/>
      <c r="O393" s="28"/>
      <c r="P393" s="29"/>
      <c r="R393" s="29"/>
    </row>
    <row r="394" spans="1:18">
      <c r="A394" s="23"/>
      <c r="B394" s="23"/>
      <c r="C394" s="23"/>
      <c r="D394" s="23"/>
      <c r="E394" s="23"/>
      <c r="F394" s="28"/>
      <c r="G394" s="28"/>
      <c r="H394" s="28"/>
      <c r="I394" s="28" t="s">
        <v>244</v>
      </c>
      <c r="J394" s="28"/>
      <c r="K394" s="28"/>
      <c r="L394" s="28"/>
      <c r="M394" s="28"/>
      <c r="N394" s="28"/>
      <c r="O394" s="29"/>
      <c r="Q394" s="29"/>
    </row>
    <row r="395" spans="1:18" ht="23.4" thickBot="1">
      <c r="A395" s="23"/>
      <c r="B395" s="23"/>
      <c r="C395" s="23"/>
      <c r="D395" s="23"/>
      <c r="E395" s="23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9"/>
      <c r="R395" s="29"/>
    </row>
    <row r="396" spans="1:18" ht="24" thickTop="1" thickBot="1">
      <c r="A396" s="23"/>
      <c r="B396" s="23"/>
      <c r="C396" s="232" t="s">
        <v>218</v>
      </c>
      <c r="D396" s="233"/>
      <c r="E396" s="233"/>
      <c r="F396" s="286" t="s">
        <v>219</v>
      </c>
      <c r="G396" s="286"/>
      <c r="H396" s="286"/>
      <c r="I396" s="286"/>
      <c r="J396" s="286"/>
      <c r="K396" s="286"/>
      <c r="L396" s="286"/>
      <c r="M396" s="286"/>
      <c r="N396" s="287"/>
      <c r="O396" s="29"/>
      <c r="Q396" s="29"/>
    </row>
    <row r="397" spans="1:18" ht="24" thickTop="1" thickBot="1">
      <c r="A397" s="23"/>
      <c r="B397" s="23"/>
      <c r="C397" s="226"/>
      <c r="D397" s="227"/>
      <c r="E397" s="227"/>
      <c r="F397" s="288" t="s">
        <v>220</v>
      </c>
      <c r="G397" s="288"/>
      <c r="H397" s="289" t="s">
        <v>221</v>
      </c>
      <c r="I397" s="289"/>
      <c r="J397" s="289"/>
      <c r="K397" s="289"/>
      <c r="L397" s="289"/>
      <c r="M397" s="227" t="s">
        <v>222</v>
      </c>
      <c r="N397" s="285" t="s">
        <v>223</v>
      </c>
      <c r="O397" s="29"/>
      <c r="Q397" s="29"/>
    </row>
    <row r="398" spans="1:18" ht="24" thickTop="1" thickBot="1">
      <c r="A398" s="23"/>
      <c r="B398" s="23"/>
      <c r="C398" s="226" t="s">
        <v>224</v>
      </c>
      <c r="D398" s="227"/>
      <c r="E398" s="248" t="s">
        <v>225</v>
      </c>
      <c r="F398" s="227" t="s">
        <v>226</v>
      </c>
      <c r="G398" s="227" t="s">
        <v>227</v>
      </c>
      <c r="H398" s="15" t="s">
        <v>228</v>
      </c>
      <c r="I398" s="15" t="s">
        <v>229</v>
      </c>
      <c r="J398" s="15" t="s">
        <v>230</v>
      </c>
      <c r="K398" s="15" t="s">
        <v>231</v>
      </c>
      <c r="L398" s="15" t="s">
        <v>232</v>
      </c>
      <c r="M398" s="227"/>
      <c r="N398" s="285"/>
      <c r="O398" s="29"/>
      <c r="Q398" s="29"/>
    </row>
    <row r="399" spans="1:18" ht="24" thickTop="1" thickBot="1">
      <c r="A399" s="23"/>
      <c r="B399" s="23"/>
      <c r="C399" s="17" t="s">
        <v>233</v>
      </c>
      <c r="D399" s="15" t="s">
        <v>227</v>
      </c>
      <c r="E399" s="248"/>
      <c r="F399" s="227"/>
      <c r="G399" s="227"/>
      <c r="H399" s="227">
        <f>'[1]التعليم الابتدائي'!AMN752</f>
        <v>1</v>
      </c>
      <c r="I399" s="227">
        <v>0</v>
      </c>
      <c r="J399" s="227">
        <v>0</v>
      </c>
      <c r="K399" s="227">
        <v>0</v>
      </c>
      <c r="L399" s="227">
        <v>0</v>
      </c>
      <c r="M399" s="227"/>
      <c r="N399" s="285"/>
      <c r="O399" s="29"/>
      <c r="Q399" s="29"/>
    </row>
    <row r="400" spans="1:18" ht="24" thickTop="1" thickBot="1">
      <c r="A400" s="23"/>
      <c r="B400" s="23"/>
      <c r="C400" s="18">
        <f>'[1]التعليم الابتدائي'!ALZ752</f>
        <v>33</v>
      </c>
      <c r="D400" s="20">
        <f>'[1]التعليم الابتدائي'!AMA752</f>
        <v>7</v>
      </c>
      <c r="E400" s="20">
        <f>'[1]التعليم الابتدائي'!AMM752</f>
        <v>10295</v>
      </c>
      <c r="F400" s="20">
        <f>'[1]التعليم الابتدائي'!AMN752</f>
        <v>1</v>
      </c>
      <c r="G400" s="20">
        <f>'[1]التعليم الابتدائي'!AMO752</f>
        <v>39</v>
      </c>
      <c r="H400" s="229"/>
      <c r="I400" s="229"/>
      <c r="J400" s="229"/>
      <c r="K400" s="229"/>
      <c r="L400" s="229"/>
      <c r="M400" s="38">
        <v>0</v>
      </c>
      <c r="N400" s="39">
        <v>0</v>
      </c>
      <c r="O400" s="29"/>
      <c r="Q400" s="29"/>
    </row>
    <row r="401" spans="1:18" ht="23.4" thickTop="1">
      <c r="A401" s="28"/>
      <c r="B401" s="231" t="s">
        <v>234</v>
      </c>
      <c r="C401" s="231"/>
      <c r="D401" s="231"/>
      <c r="E401" s="231"/>
      <c r="F401" s="231"/>
      <c r="G401" s="231"/>
      <c r="H401" s="231"/>
      <c r="I401" s="231"/>
      <c r="J401" s="231"/>
      <c r="K401" s="231"/>
      <c r="L401" s="231"/>
      <c r="M401" s="231"/>
      <c r="N401" s="231"/>
      <c r="O401" s="231"/>
      <c r="P401" s="231"/>
      <c r="Q401" s="231"/>
      <c r="R401" s="231"/>
    </row>
    <row r="402" spans="1:18">
      <c r="A402" s="28"/>
      <c r="B402" s="231" t="s">
        <v>208</v>
      </c>
      <c r="C402" s="231"/>
      <c r="D402" s="231"/>
      <c r="E402" s="231"/>
      <c r="F402" s="231"/>
      <c r="G402" s="231"/>
      <c r="H402" s="231"/>
      <c r="I402" s="231"/>
      <c r="J402" s="231"/>
      <c r="K402" s="231"/>
      <c r="L402" s="231"/>
      <c r="M402" s="231"/>
      <c r="N402" s="231"/>
      <c r="O402" s="231"/>
      <c r="P402" s="231"/>
      <c r="Q402" s="231"/>
      <c r="R402" s="231"/>
    </row>
    <row r="403" spans="1:18">
      <c r="A403" s="28"/>
      <c r="B403" s="231" t="s">
        <v>245</v>
      </c>
      <c r="C403" s="231"/>
      <c r="D403" s="231"/>
      <c r="E403" s="231"/>
      <c r="F403" s="231"/>
      <c r="G403" s="231"/>
      <c r="H403" s="231"/>
      <c r="I403" s="231"/>
      <c r="J403" s="231"/>
      <c r="K403" s="231"/>
      <c r="L403" s="231"/>
      <c r="M403" s="231"/>
      <c r="N403" s="231"/>
      <c r="O403" s="231"/>
      <c r="P403" s="231"/>
      <c r="Q403" s="231"/>
      <c r="R403" s="231"/>
    </row>
    <row r="404" spans="1:18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</row>
    <row r="405" spans="1:18" ht="23.4" thickBo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</row>
    <row r="406" spans="1:18" ht="24" thickTop="1" thickBot="1">
      <c r="A406" s="28"/>
      <c r="B406" s="28"/>
      <c r="C406" s="28"/>
      <c r="D406" s="28"/>
      <c r="E406" s="28"/>
      <c r="F406" s="28"/>
      <c r="G406" s="28"/>
      <c r="H406" s="283"/>
      <c r="I406" s="233" t="s">
        <v>236</v>
      </c>
      <c r="J406" s="233"/>
      <c r="K406" s="233"/>
      <c r="L406" s="247"/>
      <c r="M406" s="28"/>
      <c r="N406" s="28"/>
      <c r="O406" s="28"/>
      <c r="P406" s="28"/>
      <c r="Q406" s="28"/>
      <c r="R406" s="28"/>
    </row>
    <row r="407" spans="1:18" ht="24" thickTop="1" thickBot="1">
      <c r="A407" s="28"/>
      <c r="B407" s="28"/>
      <c r="C407" s="28"/>
      <c r="D407" s="28"/>
      <c r="E407" s="28"/>
      <c r="F407" s="28"/>
      <c r="G407" s="28"/>
      <c r="H407" s="284"/>
      <c r="I407" s="15" t="s">
        <v>76</v>
      </c>
      <c r="J407" s="15" t="s">
        <v>35</v>
      </c>
      <c r="K407" s="15" t="s">
        <v>237</v>
      </c>
      <c r="L407" s="36" t="s">
        <v>58</v>
      </c>
      <c r="M407" s="28"/>
      <c r="N407" s="28"/>
      <c r="O407" s="28"/>
      <c r="P407" s="28"/>
      <c r="Q407" s="28"/>
      <c r="R407" s="28"/>
    </row>
    <row r="408" spans="1:18" ht="24" thickTop="1" thickBot="1">
      <c r="A408" s="28"/>
      <c r="B408" s="28"/>
      <c r="C408" s="28"/>
      <c r="D408" s="28"/>
      <c r="E408" s="28"/>
      <c r="F408" s="28"/>
      <c r="G408" s="28"/>
      <c r="H408" s="17" t="s">
        <v>238</v>
      </c>
      <c r="I408" s="15">
        <f>'[1]التعليم الابتدائي'!EQ752</f>
        <v>0</v>
      </c>
      <c r="J408" s="15">
        <f>'[1]التعليم الابتدائي'!ER752</f>
        <v>0</v>
      </c>
      <c r="K408" s="15">
        <f>'[1]التعليم الابتدائي'!ES752</f>
        <v>0</v>
      </c>
      <c r="L408" s="36">
        <f t="shared" ref="L408:L413" si="16">K408+J408+I408</f>
        <v>0</v>
      </c>
      <c r="M408" s="28"/>
      <c r="N408" s="28"/>
      <c r="O408" s="28"/>
      <c r="P408" s="28"/>
      <c r="Q408" s="28"/>
      <c r="R408" s="28"/>
    </row>
    <row r="409" spans="1:18" ht="24" thickTop="1" thickBot="1">
      <c r="A409" s="28"/>
      <c r="B409" s="28"/>
      <c r="C409" s="28"/>
      <c r="D409" s="28"/>
      <c r="E409" s="28"/>
      <c r="F409" s="28"/>
      <c r="G409" s="28"/>
      <c r="H409" s="17" t="s">
        <v>239</v>
      </c>
      <c r="I409" s="15">
        <f>'[1]التعليم الابتدائي'!ET752</f>
        <v>0</v>
      </c>
      <c r="J409" s="15">
        <f>'[1]التعليم الابتدائي'!EU752</f>
        <v>0</v>
      </c>
      <c r="K409" s="15">
        <f>'[1]التعليم الابتدائي'!EV752</f>
        <v>0</v>
      </c>
      <c r="L409" s="36">
        <f t="shared" si="16"/>
        <v>0</v>
      </c>
      <c r="M409" s="28"/>
      <c r="N409" s="28"/>
      <c r="O409" s="28"/>
      <c r="P409" s="28"/>
      <c r="Q409" s="28"/>
      <c r="R409" s="28"/>
    </row>
    <row r="410" spans="1:18" ht="24" thickTop="1" thickBot="1">
      <c r="A410" s="28"/>
      <c r="B410" s="28"/>
      <c r="C410" s="28"/>
      <c r="D410" s="28"/>
      <c r="E410" s="28"/>
      <c r="F410" s="28"/>
      <c r="G410" s="28"/>
      <c r="H410" s="17" t="s">
        <v>240</v>
      </c>
      <c r="I410" s="15">
        <f>'[1]التعليم الابتدائي'!EW752</f>
        <v>0</v>
      </c>
      <c r="J410" s="15">
        <f>'[1]التعليم الابتدائي'!EX752</f>
        <v>0</v>
      </c>
      <c r="K410" s="15">
        <f>'[1]التعليم الابتدائي'!EY752</f>
        <v>0</v>
      </c>
      <c r="L410" s="36">
        <f t="shared" si="16"/>
        <v>0</v>
      </c>
      <c r="M410" s="28"/>
      <c r="N410" s="28"/>
      <c r="O410" s="28"/>
      <c r="P410" s="28"/>
      <c r="Q410" s="28"/>
      <c r="R410" s="28"/>
    </row>
    <row r="411" spans="1:18" ht="24" thickTop="1" thickBot="1">
      <c r="A411" s="28"/>
      <c r="B411" s="28"/>
      <c r="C411" s="28"/>
      <c r="D411" s="28"/>
      <c r="E411" s="28"/>
      <c r="F411" s="28"/>
      <c r="G411" s="28"/>
      <c r="H411" s="17" t="s">
        <v>241</v>
      </c>
      <c r="I411" s="15">
        <f>'[1]التعليم الابتدائي'!EZ752</f>
        <v>0</v>
      </c>
      <c r="J411" s="15">
        <f>'[1]التعليم الابتدائي'!FA752</f>
        <v>0</v>
      </c>
      <c r="K411" s="15">
        <f>'[1]التعليم الابتدائي'!FB752</f>
        <v>0</v>
      </c>
      <c r="L411" s="36">
        <f t="shared" si="16"/>
        <v>0</v>
      </c>
      <c r="M411" s="28"/>
      <c r="N411" s="28"/>
      <c r="O411" s="28"/>
      <c r="P411" s="28"/>
      <c r="Q411" s="28"/>
      <c r="R411" s="28"/>
    </row>
    <row r="412" spans="1:18" ht="24" thickTop="1" thickBot="1">
      <c r="A412" s="28"/>
      <c r="B412" s="28"/>
      <c r="C412" s="28"/>
      <c r="D412" s="28"/>
      <c r="E412" s="28"/>
      <c r="F412" s="28"/>
      <c r="G412" s="28"/>
      <c r="H412" s="17" t="s">
        <v>242</v>
      </c>
      <c r="I412" s="15">
        <f>'[1]التعليم الابتدائي'!FC752</f>
        <v>0</v>
      </c>
      <c r="J412" s="15">
        <f>'[1]التعليم الابتدائي'!FD752</f>
        <v>0</v>
      </c>
      <c r="K412" s="15">
        <f>'[1]التعليم الابتدائي'!FE752</f>
        <v>0</v>
      </c>
      <c r="L412" s="36">
        <f t="shared" si="16"/>
        <v>0</v>
      </c>
      <c r="M412" s="28"/>
      <c r="N412" s="28"/>
      <c r="O412" s="28"/>
      <c r="P412" s="28"/>
      <c r="Q412" s="28"/>
      <c r="R412" s="28"/>
    </row>
    <row r="413" spans="1:18" ht="24" thickTop="1" thickBot="1">
      <c r="A413" s="28"/>
      <c r="B413" s="28"/>
      <c r="C413" s="28"/>
      <c r="D413" s="28"/>
      <c r="E413" s="28"/>
      <c r="F413" s="28"/>
      <c r="G413" s="28"/>
      <c r="H413" s="17" t="s">
        <v>243</v>
      </c>
      <c r="I413" s="15">
        <f>'[1]التعليم الابتدائي'!FF752</f>
        <v>0</v>
      </c>
      <c r="J413" s="15">
        <f>'[1]التعليم الابتدائي'!FG752</f>
        <v>0</v>
      </c>
      <c r="K413" s="15">
        <f>'[1]التعليم الابتدائي'!FH752</f>
        <v>0</v>
      </c>
      <c r="L413" s="36">
        <f t="shared" si="16"/>
        <v>0</v>
      </c>
      <c r="M413" s="28"/>
      <c r="N413" s="28"/>
      <c r="O413" s="28"/>
      <c r="P413" s="28"/>
      <c r="Q413" s="28"/>
      <c r="R413" s="28"/>
    </row>
    <row r="414" spans="1:18" ht="24" thickTop="1" thickBot="1">
      <c r="A414" s="28"/>
      <c r="B414" s="28"/>
      <c r="C414" s="28"/>
      <c r="D414" s="28"/>
      <c r="E414" s="28"/>
      <c r="F414" s="28"/>
      <c r="G414" s="28"/>
      <c r="H414" s="18" t="s">
        <v>58</v>
      </c>
      <c r="I414" s="20">
        <f>SUM(I408:I413)</f>
        <v>0</v>
      </c>
      <c r="J414" s="20">
        <f>SUM(J408:J413)</f>
        <v>0</v>
      </c>
      <c r="K414" s="20">
        <f>SUM(K408:K413)</f>
        <v>0</v>
      </c>
      <c r="L414" s="33">
        <f>SUM(I414:K414)</f>
        <v>0</v>
      </c>
      <c r="M414" s="28"/>
      <c r="N414" s="28"/>
      <c r="O414" s="28"/>
      <c r="P414" s="28"/>
      <c r="Q414" s="28"/>
      <c r="R414" s="28"/>
    </row>
    <row r="415" spans="1:18" ht="23.4" thickTop="1"/>
  </sheetData>
  <mergeCells count="364">
    <mergeCell ref="A2:E2"/>
    <mergeCell ref="C6:E7"/>
    <mergeCell ref="F6:N6"/>
    <mergeCell ref="F7:G7"/>
    <mergeCell ref="H7:L7"/>
    <mergeCell ref="M7:M9"/>
    <mergeCell ref="N7:N9"/>
    <mergeCell ref="C8:D8"/>
    <mergeCell ref="E8:E9"/>
    <mergeCell ref="F8:F9"/>
    <mergeCell ref="A12:Q12"/>
    <mergeCell ref="A13:Q13"/>
    <mergeCell ref="A14:Q14"/>
    <mergeCell ref="H16:H17"/>
    <mergeCell ref="I16:L16"/>
    <mergeCell ref="P26:Q26"/>
    <mergeCell ref="G8:G9"/>
    <mergeCell ref="H9:H10"/>
    <mergeCell ref="I9:I10"/>
    <mergeCell ref="J9:J10"/>
    <mergeCell ref="K9:K10"/>
    <mergeCell ref="L9:L10"/>
    <mergeCell ref="A27:E27"/>
    <mergeCell ref="P27:Q27"/>
    <mergeCell ref="C31:E32"/>
    <mergeCell ref="F31:N31"/>
    <mergeCell ref="F32:G32"/>
    <mergeCell ref="H32:L32"/>
    <mergeCell ref="M32:M34"/>
    <mergeCell ref="N32:N34"/>
    <mergeCell ref="C33:D33"/>
    <mergeCell ref="E33:E34"/>
    <mergeCell ref="L34:L35"/>
    <mergeCell ref="A36:Q36"/>
    <mergeCell ref="A37:Q37"/>
    <mergeCell ref="A38:Q38"/>
    <mergeCell ref="H40:H41"/>
    <mergeCell ref="I40:L40"/>
    <mergeCell ref="F33:F34"/>
    <mergeCell ref="G33:G34"/>
    <mergeCell ref="H34:H35"/>
    <mergeCell ref="I34:I35"/>
    <mergeCell ref="J34:J35"/>
    <mergeCell ref="K34:K35"/>
    <mergeCell ref="O50:Q50"/>
    <mergeCell ref="A51:E51"/>
    <mergeCell ref="O51:Q51"/>
    <mergeCell ref="C56:E57"/>
    <mergeCell ref="F56:N56"/>
    <mergeCell ref="F57:G57"/>
    <mergeCell ref="H57:L57"/>
    <mergeCell ref="M57:M59"/>
    <mergeCell ref="N57:N59"/>
    <mergeCell ref="C58:D58"/>
    <mergeCell ref="K59:K60"/>
    <mergeCell ref="L59:L60"/>
    <mergeCell ref="A61:Q61"/>
    <mergeCell ref="A62:Q62"/>
    <mergeCell ref="A63:Q63"/>
    <mergeCell ref="H65:H66"/>
    <mergeCell ref="I65:L65"/>
    <mergeCell ref="E58:E59"/>
    <mergeCell ref="F58:F59"/>
    <mergeCell ref="G58:G59"/>
    <mergeCell ref="H59:H60"/>
    <mergeCell ref="I59:I60"/>
    <mergeCell ref="J59:J60"/>
    <mergeCell ref="A76:E76"/>
    <mergeCell ref="C80:E81"/>
    <mergeCell ref="F80:N80"/>
    <mergeCell ref="F81:G81"/>
    <mergeCell ref="H81:L81"/>
    <mergeCell ref="M81:M83"/>
    <mergeCell ref="N81:N83"/>
    <mergeCell ref="C82:D82"/>
    <mergeCell ref="E82:E83"/>
    <mergeCell ref="F82:F83"/>
    <mergeCell ref="B85:R85"/>
    <mergeCell ref="A86:Q86"/>
    <mergeCell ref="A87:Q87"/>
    <mergeCell ref="H89:H90"/>
    <mergeCell ref="I89:L89"/>
    <mergeCell ref="A100:E100"/>
    <mergeCell ref="G82:G83"/>
    <mergeCell ref="H83:H84"/>
    <mergeCell ref="I83:I84"/>
    <mergeCell ref="J83:J84"/>
    <mergeCell ref="K83:K84"/>
    <mergeCell ref="L83:L84"/>
    <mergeCell ref="H107:H108"/>
    <mergeCell ref="I107:I108"/>
    <mergeCell ref="J107:J108"/>
    <mergeCell ref="K107:K108"/>
    <mergeCell ref="L107:L108"/>
    <mergeCell ref="A109:Q109"/>
    <mergeCell ref="C104:E105"/>
    <mergeCell ref="F104:N104"/>
    <mergeCell ref="F105:G105"/>
    <mergeCell ref="H105:L105"/>
    <mergeCell ref="M105:M107"/>
    <mergeCell ref="N105:N107"/>
    <mergeCell ref="C106:D106"/>
    <mergeCell ref="E106:E107"/>
    <mergeCell ref="F106:F107"/>
    <mergeCell ref="G106:G107"/>
    <mergeCell ref="A110:Q110"/>
    <mergeCell ref="A111:Q111"/>
    <mergeCell ref="H113:H114"/>
    <mergeCell ref="I113:L113"/>
    <mergeCell ref="A124:E124"/>
    <mergeCell ref="C128:E129"/>
    <mergeCell ref="F128:N128"/>
    <mergeCell ref="F129:G129"/>
    <mergeCell ref="H129:L129"/>
    <mergeCell ref="M129:M131"/>
    <mergeCell ref="B133:R133"/>
    <mergeCell ref="A134:Q134"/>
    <mergeCell ref="A135:Q135"/>
    <mergeCell ref="H137:H138"/>
    <mergeCell ref="I137:L137"/>
    <mergeCell ref="A147:E147"/>
    <mergeCell ref="N129:N131"/>
    <mergeCell ref="C130:D130"/>
    <mergeCell ref="E130:E131"/>
    <mergeCell ref="F130:F131"/>
    <mergeCell ref="G130:G131"/>
    <mergeCell ref="H131:H132"/>
    <mergeCell ref="I131:I132"/>
    <mergeCell ref="J131:J132"/>
    <mergeCell ref="K131:K132"/>
    <mergeCell ref="L131:L132"/>
    <mergeCell ref="H154:H155"/>
    <mergeCell ref="I154:I155"/>
    <mergeCell ref="J154:J155"/>
    <mergeCell ref="K154:K155"/>
    <mergeCell ref="L154:L155"/>
    <mergeCell ref="B156:R156"/>
    <mergeCell ref="C151:E152"/>
    <mergeCell ref="F151:N151"/>
    <mergeCell ref="F152:G152"/>
    <mergeCell ref="H152:L152"/>
    <mergeCell ref="M152:M154"/>
    <mergeCell ref="N152:N154"/>
    <mergeCell ref="C153:D153"/>
    <mergeCell ref="E153:E154"/>
    <mergeCell ref="F153:F154"/>
    <mergeCell ref="G153:G154"/>
    <mergeCell ref="A157:Q157"/>
    <mergeCell ref="A158:Q158"/>
    <mergeCell ref="H160:H161"/>
    <mergeCell ref="I160:L160"/>
    <mergeCell ref="A170:E170"/>
    <mergeCell ref="C175:E176"/>
    <mergeCell ref="F175:N175"/>
    <mergeCell ref="F176:G176"/>
    <mergeCell ref="H176:L176"/>
    <mergeCell ref="M176:M178"/>
    <mergeCell ref="N176:N178"/>
    <mergeCell ref="C177:D177"/>
    <mergeCell ref="E177:E178"/>
    <mergeCell ref="F177:F178"/>
    <mergeCell ref="G177:G178"/>
    <mergeCell ref="H178:H179"/>
    <mergeCell ref="I178:I179"/>
    <mergeCell ref="J178:J179"/>
    <mergeCell ref="K178:K179"/>
    <mergeCell ref="L178:L179"/>
    <mergeCell ref="H184:H185"/>
    <mergeCell ref="I184:L184"/>
    <mergeCell ref="A195:E195"/>
    <mergeCell ref="C200:E201"/>
    <mergeCell ref="F200:N200"/>
    <mergeCell ref="F201:G201"/>
    <mergeCell ref="H201:L201"/>
    <mergeCell ref="M201:M203"/>
    <mergeCell ref="N201:N203"/>
    <mergeCell ref="C202:D202"/>
    <mergeCell ref="K203:K204"/>
    <mergeCell ref="L203:L204"/>
    <mergeCell ref="B205:R205"/>
    <mergeCell ref="B206:R206"/>
    <mergeCell ref="B207:R207"/>
    <mergeCell ref="H209:H210"/>
    <mergeCell ref="I209:L209"/>
    <mergeCell ref="E202:E203"/>
    <mergeCell ref="F202:F203"/>
    <mergeCell ref="G202:G203"/>
    <mergeCell ref="H203:H204"/>
    <mergeCell ref="I203:I204"/>
    <mergeCell ref="J203:J204"/>
    <mergeCell ref="A220:E220"/>
    <mergeCell ref="C225:E226"/>
    <mergeCell ref="F225:N225"/>
    <mergeCell ref="F226:G226"/>
    <mergeCell ref="H226:L226"/>
    <mergeCell ref="M226:M228"/>
    <mergeCell ref="N226:N228"/>
    <mergeCell ref="C227:D227"/>
    <mergeCell ref="E227:E228"/>
    <mergeCell ref="F227:F228"/>
    <mergeCell ref="B230:R230"/>
    <mergeCell ref="B231:R231"/>
    <mergeCell ref="B232:R232"/>
    <mergeCell ref="H234:H235"/>
    <mergeCell ref="I234:L234"/>
    <mergeCell ref="A244:E244"/>
    <mergeCell ref="G227:G228"/>
    <mergeCell ref="H228:H229"/>
    <mergeCell ref="I228:I229"/>
    <mergeCell ref="J228:J229"/>
    <mergeCell ref="K228:K229"/>
    <mergeCell ref="L228:L229"/>
    <mergeCell ref="C249:E250"/>
    <mergeCell ref="F249:N249"/>
    <mergeCell ref="F250:G250"/>
    <mergeCell ref="H250:L250"/>
    <mergeCell ref="M250:M252"/>
    <mergeCell ref="N250:N252"/>
    <mergeCell ref="C251:D251"/>
    <mergeCell ref="E251:E252"/>
    <mergeCell ref="F251:F252"/>
    <mergeCell ref="G251:G252"/>
    <mergeCell ref="B255:R255"/>
    <mergeCell ref="B256:R256"/>
    <mergeCell ref="H258:H259"/>
    <mergeCell ref="I258:L258"/>
    <mergeCell ref="P268:Q268"/>
    <mergeCell ref="A269:E269"/>
    <mergeCell ref="P269:Q269"/>
    <mergeCell ref="H252:H253"/>
    <mergeCell ref="I252:I253"/>
    <mergeCell ref="J252:J253"/>
    <mergeCell ref="K252:K253"/>
    <mergeCell ref="L252:L253"/>
    <mergeCell ref="B254:R254"/>
    <mergeCell ref="H277:H278"/>
    <mergeCell ref="I277:I278"/>
    <mergeCell ref="J277:J278"/>
    <mergeCell ref="K277:K278"/>
    <mergeCell ref="L277:L278"/>
    <mergeCell ref="B279:R279"/>
    <mergeCell ref="C274:E275"/>
    <mergeCell ref="F274:N274"/>
    <mergeCell ref="F275:G275"/>
    <mergeCell ref="H275:L275"/>
    <mergeCell ref="M275:M277"/>
    <mergeCell ref="N275:N277"/>
    <mergeCell ref="C276:D276"/>
    <mergeCell ref="E276:E277"/>
    <mergeCell ref="F276:F277"/>
    <mergeCell ref="G276:G277"/>
    <mergeCell ref="B280:R280"/>
    <mergeCell ref="B281:R281"/>
    <mergeCell ref="H283:H284"/>
    <mergeCell ref="I283:L283"/>
    <mergeCell ref="A293:E293"/>
    <mergeCell ref="C298:E299"/>
    <mergeCell ref="F298:N298"/>
    <mergeCell ref="F299:G299"/>
    <mergeCell ref="H299:L299"/>
    <mergeCell ref="M299:M301"/>
    <mergeCell ref="B303:R303"/>
    <mergeCell ref="B304:R304"/>
    <mergeCell ref="B305:R305"/>
    <mergeCell ref="H307:H308"/>
    <mergeCell ref="I307:L307"/>
    <mergeCell ref="A318:E318"/>
    <mergeCell ref="N299:N301"/>
    <mergeCell ref="C300:D300"/>
    <mergeCell ref="E300:E301"/>
    <mergeCell ref="F300:F301"/>
    <mergeCell ref="G300:G301"/>
    <mergeCell ref="H301:H302"/>
    <mergeCell ref="I301:I302"/>
    <mergeCell ref="J301:J302"/>
    <mergeCell ref="K301:K302"/>
    <mergeCell ref="L301:L302"/>
    <mergeCell ref="C322:E323"/>
    <mergeCell ref="F322:N322"/>
    <mergeCell ref="F323:G323"/>
    <mergeCell ref="H323:L323"/>
    <mergeCell ref="M323:M325"/>
    <mergeCell ref="N323:N325"/>
    <mergeCell ref="C324:D324"/>
    <mergeCell ref="E324:E325"/>
    <mergeCell ref="F324:F325"/>
    <mergeCell ref="G324:G325"/>
    <mergeCell ref="B328:R328"/>
    <mergeCell ref="B329:R329"/>
    <mergeCell ref="H331:H332"/>
    <mergeCell ref="I331:L331"/>
    <mergeCell ref="P341:Q341"/>
    <mergeCell ref="A342:E342"/>
    <mergeCell ref="P342:Q342"/>
    <mergeCell ref="H325:H326"/>
    <mergeCell ref="I325:I326"/>
    <mergeCell ref="J325:J326"/>
    <mergeCell ref="K325:K326"/>
    <mergeCell ref="L325:L326"/>
    <mergeCell ref="B327:R327"/>
    <mergeCell ref="C347:E348"/>
    <mergeCell ref="F347:N347"/>
    <mergeCell ref="F348:G348"/>
    <mergeCell ref="H348:L348"/>
    <mergeCell ref="M348:M350"/>
    <mergeCell ref="N348:N350"/>
    <mergeCell ref="C349:D349"/>
    <mergeCell ref="E349:E350"/>
    <mergeCell ref="F349:F350"/>
    <mergeCell ref="G349:G350"/>
    <mergeCell ref="B353:R353"/>
    <mergeCell ref="B354:R354"/>
    <mergeCell ref="H356:H357"/>
    <mergeCell ref="I356:L356"/>
    <mergeCell ref="P365:Q365"/>
    <mergeCell ref="A366:E366"/>
    <mergeCell ref="P366:Q366"/>
    <mergeCell ref="H350:H351"/>
    <mergeCell ref="I350:I351"/>
    <mergeCell ref="J350:J351"/>
    <mergeCell ref="K350:K351"/>
    <mergeCell ref="L350:L351"/>
    <mergeCell ref="B352:R352"/>
    <mergeCell ref="H374:H375"/>
    <mergeCell ref="I374:I375"/>
    <mergeCell ref="J374:J375"/>
    <mergeCell ref="K374:K375"/>
    <mergeCell ref="L374:L375"/>
    <mergeCell ref="B376:R376"/>
    <mergeCell ref="C371:E372"/>
    <mergeCell ref="F371:N371"/>
    <mergeCell ref="F372:G372"/>
    <mergeCell ref="H372:L372"/>
    <mergeCell ref="M372:M374"/>
    <mergeCell ref="N372:N374"/>
    <mergeCell ref="C373:D373"/>
    <mergeCell ref="E373:E374"/>
    <mergeCell ref="F373:F374"/>
    <mergeCell ref="G373:G374"/>
    <mergeCell ref="B377:R377"/>
    <mergeCell ref="B378:R378"/>
    <mergeCell ref="H380:H381"/>
    <mergeCell ref="I380:L380"/>
    <mergeCell ref="A391:E391"/>
    <mergeCell ref="C396:E397"/>
    <mergeCell ref="F396:N396"/>
    <mergeCell ref="F397:G397"/>
    <mergeCell ref="H397:L397"/>
    <mergeCell ref="M397:M399"/>
    <mergeCell ref="B401:R401"/>
    <mergeCell ref="B402:R402"/>
    <mergeCell ref="B403:R403"/>
    <mergeCell ref="H406:H407"/>
    <mergeCell ref="I406:L406"/>
    <mergeCell ref="N397:N399"/>
    <mergeCell ref="C398:D398"/>
    <mergeCell ref="E398:E399"/>
    <mergeCell ref="F398:F399"/>
    <mergeCell ref="G398:G399"/>
    <mergeCell ref="H399:H400"/>
    <mergeCell ref="I399:I400"/>
    <mergeCell ref="J399:J400"/>
    <mergeCell ref="K399:K400"/>
    <mergeCell ref="L399:L400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04"/>
  <sheetViews>
    <sheetView rightToLeft="1" topLeftCell="A43" zoomScale="85" zoomScaleNormal="85" workbookViewId="0">
      <selection activeCell="I29" sqref="I29"/>
    </sheetView>
  </sheetViews>
  <sheetFormatPr defaultColWidth="9" defaultRowHeight="22.8"/>
  <cols>
    <col min="1" max="2" width="9" style="37"/>
    <col min="3" max="3" width="13.77734375" style="37" customWidth="1"/>
    <col min="4" max="4" width="15.33203125" style="37" customWidth="1"/>
    <col min="5" max="7" width="10.21875" style="37" customWidth="1"/>
    <col min="8" max="8" width="13" style="37" customWidth="1"/>
    <col min="9" max="9" width="13.109375" style="37" customWidth="1"/>
    <col min="10" max="10" width="12.33203125" style="37" customWidth="1"/>
    <col min="11" max="12" width="10.21875" style="37" customWidth="1"/>
    <col min="13" max="13" width="11.88671875" style="37" customWidth="1"/>
    <col min="14" max="14" width="12.109375" style="37" customWidth="1"/>
    <col min="15" max="17" width="10.21875" style="37" customWidth="1"/>
    <col min="18" max="18" width="12.33203125" style="37" customWidth="1"/>
    <col min="19" max="19" width="13.6640625" style="37" customWidth="1"/>
    <col min="20" max="20" width="7.88671875" style="37" bestFit="1" customWidth="1"/>
    <col min="21" max="23" width="8" style="37" bestFit="1" customWidth="1"/>
    <col min="24" max="24" width="10.88671875" style="37" customWidth="1"/>
    <col min="25" max="25" width="11" style="37" customWidth="1"/>
    <col min="26" max="26" width="11.109375" style="37" customWidth="1"/>
    <col min="27" max="16384" width="9" style="37"/>
  </cols>
  <sheetData>
    <row r="1" spans="1:26" ht="33.75" customHeight="1">
      <c r="A1" s="29" t="s">
        <v>62</v>
      </c>
      <c r="B1" s="29"/>
      <c r="C1" s="29"/>
      <c r="D1" s="29"/>
      <c r="E1" s="29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9" t="s">
        <v>63</v>
      </c>
      <c r="S1" s="28"/>
      <c r="T1" s="28"/>
    </row>
    <row r="2" spans="1:26">
      <c r="A2" s="231" t="s">
        <v>64</v>
      </c>
      <c r="B2" s="231"/>
      <c r="C2" s="231"/>
      <c r="D2" s="231"/>
      <c r="E2" s="231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S2" s="29" t="s">
        <v>65</v>
      </c>
      <c r="T2" s="28"/>
    </row>
    <row r="3" spans="1:26">
      <c r="A3" s="28"/>
      <c r="B3" s="231" t="s">
        <v>247</v>
      </c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</row>
    <row r="4" spans="1:26">
      <c r="A4" s="28"/>
      <c r="B4" s="231" t="s">
        <v>208</v>
      </c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</row>
    <row r="5" spans="1:26">
      <c r="A5" s="28"/>
      <c r="B5" s="294" t="s">
        <v>248</v>
      </c>
      <c r="C5" s="231"/>
      <c r="D5" s="231"/>
      <c r="E5" s="231"/>
      <c r="F5" s="231"/>
      <c r="G5" s="231"/>
      <c r="H5" s="231"/>
      <c r="I5" s="231"/>
      <c r="J5" s="231"/>
      <c r="K5" s="231"/>
      <c r="L5" s="231"/>
      <c r="M5" s="231"/>
      <c r="N5" s="231"/>
      <c r="O5" s="231"/>
      <c r="P5" s="231"/>
      <c r="Q5" s="231"/>
      <c r="R5" s="231"/>
      <c r="S5" s="231"/>
      <c r="T5" s="231"/>
    </row>
    <row r="6" spans="1:26" ht="23.4" thickBot="1">
      <c r="A6" s="28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</row>
    <row r="7" spans="1:26" ht="84" customHeight="1" thickTop="1" thickBot="1">
      <c r="A7" s="28"/>
      <c r="B7" s="28"/>
      <c r="C7" s="28"/>
      <c r="D7" s="55" t="s">
        <v>249</v>
      </c>
      <c r="E7" s="223" t="s">
        <v>250</v>
      </c>
      <c r="F7" s="224"/>
      <c r="G7" s="237"/>
      <c r="H7" s="300" t="s">
        <v>251</v>
      </c>
      <c r="I7" s="314"/>
      <c r="J7" s="315"/>
      <c r="K7" s="316" t="s">
        <v>252</v>
      </c>
      <c r="L7" s="235"/>
      <c r="M7" s="235"/>
      <c r="N7" s="235"/>
      <c r="O7" s="235"/>
      <c r="P7" s="235"/>
      <c r="Q7" s="235"/>
      <c r="R7" s="235"/>
      <c r="S7" s="259"/>
      <c r="T7" s="22"/>
    </row>
    <row r="8" spans="1:26" ht="32.25" customHeight="1" thickTop="1" thickBot="1">
      <c r="A8" s="28"/>
      <c r="B8" s="28"/>
      <c r="C8" s="28"/>
      <c r="D8" s="56"/>
      <c r="E8" s="227" t="s">
        <v>253</v>
      </c>
      <c r="F8" s="227" t="s">
        <v>35</v>
      </c>
      <c r="G8" s="227" t="s">
        <v>58</v>
      </c>
      <c r="H8" s="242" t="s">
        <v>253</v>
      </c>
      <c r="I8" s="242" t="s">
        <v>35</v>
      </c>
      <c r="J8" s="242" t="s">
        <v>58</v>
      </c>
      <c r="K8" s="227" t="s">
        <v>254</v>
      </c>
      <c r="L8" s="227"/>
      <c r="M8" s="227" t="s">
        <v>255</v>
      </c>
      <c r="N8" s="227"/>
      <c r="O8" s="227" t="s">
        <v>256</v>
      </c>
      <c r="P8" s="227"/>
      <c r="Q8" s="257" t="s">
        <v>58</v>
      </c>
      <c r="R8" s="273"/>
      <c r="S8" s="274"/>
      <c r="T8" s="57"/>
    </row>
    <row r="9" spans="1:26" ht="37.5" customHeight="1" thickTop="1" thickBot="1">
      <c r="A9" s="28"/>
      <c r="B9" s="28"/>
      <c r="C9" s="28"/>
      <c r="D9" s="58" t="s">
        <v>145</v>
      </c>
      <c r="E9" s="227"/>
      <c r="F9" s="227"/>
      <c r="G9" s="227"/>
      <c r="H9" s="243"/>
      <c r="I9" s="243"/>
      <c r="J9" s="243"/>
      <c r="K9" s="15" t="s">
        <v>76</v>
      </c>
      <c r="L9" s="15" t="s">
        <v>35</v>
      </c>
      <c r="M9" s="15" t="s">
        <v>76</v>
      </c>
      <c r="N9" s="15" t="s">
        <v>35</v>
      </c>
      <c r="O9" s="15" t="s">
        <v>76</v>
      </c>
      <c r="P9" s="15" t="s">
        <v>35</v>
      </c>
      <c r="Q9" s="15" t="s">
        <v>76</v>
      </c>
      <c r="R9" s="15" t="s">
        <v>35</v>
      </c>
      <c r="S9" s="36" t="s">
        <v>58</v>
      </c>
    </row>
    <row r="10" spans="1:26" ht="54.75" customHeight="1" thickTop="1" thickBot="1">
      <c r="A10" s="28"/>
      <c r="B10" s="28"/>
      <c r="C10" s="28"/>
      <c r="D10" s="17" t="s">
        <v>238</v>
      </c>
      <c r="E10" s="15">
        <f>'[1]التعليم الابتدائي'!FM754</f>
        <v>0</v>
      </c>
      <c r="F10" s="15">
        <f>'[1]التعليم الابتدائي'!FN754</f>
        <v>0</v>
      </c>
      <c r="G10" s="59">
        <f t="shared" ref="G10:G16" si="0">F10+E10</f>
        <v>0</v>
      </c>
      <c r="H10" s="15">
        <f>'[1]التعليم الابتدائي'!GB754</f>
        <v>0</v>
      </c>
      <c r="I10" s="15">
        <f>'[1]التعليم الابتدائي'!GC754</f>
        <v>0</v>
      </c>
      <c r="J10" s="15">
        <f t="shared" ref="J10:J15" si="1">I10+H10</f>
        <v>0</v>
      </c>
      <c r="K10" s="15">
        <f>'[1]التعليم الابتدائي'!GQ754</f>
        <v>0</v>
      </c>
      <c r="L10" s="15">
        <f>'[1]التعليم الابتدائي'!GR754</f>
        <v>0</v>
      </c>
      <c r="M10" s="15">
        <f>'[1]التعليم الابتدائي'!HF754</f>
        <v>0</v>
      </c>
      <c r="N10" s="15">
        <f>'[1]التعليم الابتدائي'!HG754</f>
        <v>0</v>
      </c>
      <c r="O10" s="15">
        <f>'[1]التعليم الابتدائي'!HU754</f>
        <v>0</v>
      </c>
      <c r="P10" s="15">
        <f>'[1]التعليم الابتدائي'!HV754</f>
        <v>0</v>
      </c>
      <c r="Q10" s="15">
        <f t="shared" ref="Q10:R15" si="2">O10+M10+K10</f>
        <v>0</v>
      </c>
      <c r="R10" s="15">
        <f t="shared" si="2"/>
        <v>0</v>
      </c>
      <c r="S10" s="36">
        <f t="shared" ref="S10:S15" si="3">R10+Q10</f>
        <v>0</v>
      </c>
      <c r="T10" s="60"/>
      <c r="X10" s="41"/>
      <c r="Y10" s="41"/>
      <c r="Z10" s="41"/>
    </row>
    <row r="11" spans="1:26" ht="54.75" customHeight="1" thickTop="1" thickBot="1">
      <c r="A11" s="28"/>
      <c r="B11" s="28"/>
      <c r="C11" s="28"/>
      <c r="D11" s="17" t="s">
        <v>239</v>
      </c>
      <c r="E11" s="15">
        <f>'[1]التعليم الابتدائي'!FO754</f>
        <v>0</v>
      </c>
      <c r="F11" s="15">
        <f>'[1]التعليم الابتدائي'!FP754</f>
        <v>0</v>
      </c>
      <c r="G11" s="59">
        <f t="shared" si="0"/>
        <v>0</v>
      </c>
      <c r="H11" s="15">
        <f>'[1]التعليم الابتدائي'!GD754</f>
        <v>0</v>
      </c>
      <c r="I11" s="15">
        <f>'[1]التعليم الابتدائي'!GE754</f>
        <v>0</v>
      </c>
      <c r="J11" s="15">
        <f t="shared" si="1"/>
        <v>0</v>
      </c>
      <c r="K11" s="15">
        <f>'[1]التعليم الابتدائي'!GS754</f>
        <v>0</v>
      </c>
      <c r="L11" s="15">
        <f>'[1]التعليم الابتدائي'!GT754</f>
        <v>0</v>
      </c>
      <c r="M11" s="15">
        <f>'[1]التعليم الابتدائي'!HH754</f>
        <v>0</v>
      </c>
      <c r="N11" s="15">
        <f>'[1]التعليم الابتدائي'!HI754</f>
        <v>0</v>
      </c>
      <c r="O11" s="15">
        <f>'[1]التعليم الابتدائي'!HW754</f>
        <v>0</v>
      </c>
      <c r="P11" s="15">
        <f>'[1]التعليم الابتدائي'!HX754</f>
        <v>0</v>
      </c>
      <c r="Q11" s="15">
        <f t="shared" si="2"/>
        <v>0</v>
      </c>
      <c r="R11" s="15">
        <f t="shared" si="2"/>
        <v>0</v>
      </c>
      <c r="S11" s="36">
        <f t="shared" si="3"/>
        <v>0</v>
      </c>
      <c r="T11" s="60"/>
      <c r="X11" s="41"/>
      <c r="Y11" s="41"/>
      <c r="Z11" s="41"/>
    </row>
    <row r="12" spans="1:26" ht="54.75" customHeight="1" thickTop="1" thickBot="1">
      <c r="A12" s="28"/>
      <c r="B12" s="28"/>
      <c r="C12" s="28"/>
      <c r="D12" s="17" t="s">
        <v>240</v>
      </c>
      <c r="E12" s="15">
        <f>'[1]التعليم الابتدائي'!FQ754</f>
        <v>0</v>
      </c>
      <c r="F12" s="15">
        <f>'[1]التعليم الابتدائي'!FR754</f>
        <v>0</v>
      </c>
      <c r="G12" s="59">
        <f t="shared" si="0"/>
        <v>0</v>
      </c>
      <c r="H12" s="15">
        <f>'[1]التعليم الابتدائي'!GF754</f>
        <v>0</v>
      </c>
      <c r="I12" s="15">
        <f>'[1]التعليم الابتدائي'!GG754</f>
        <v>0</v>
      </c>
      <c r="J12" s="15">
        <f t="shared" si="1"/>
        <v>0</v>
      </c>
      <c r="K12" s="15">
        <f>'[1]التعليم الابتدائي'!GU754</f>
        <v>0</v>
      </c>
      <c r="L12" s="15">
        <f>'[1]التعليم الابتدائي'!GV754</f>
        <v>0</v>
      </c>
      <c r="M12" s="15">
        <f>'[1]التعليم الابتدائي'!HJ754</f>
        <v>0</v>
      </c>
      <c r="N12" s="15">
        <f>'[1]التعليم الابتدائي'!HK754</f>
        <v>0</v>
      </c>
      <c r="O12" s="15">
        <f>'[1]التعليم الابتدائي'!HY754</f>
        <v>0</v>
      </c>
      <c r="P12" s="15">
        <f>'[1]التعليم الابتدائي'!HZ754</f>
        <v>0</v>
      </c>
      <c r="Q12" s="15">
        <f t="shared" si="2"/>
        <v>0</v>
      </c>
      <c r="R12" s="15">
        <f t="shared" si="2"/>
        <v>0</v>
      </c>
      <c r="S12" s="36">
        <f t="shared" si="3"/>
        <v>0</v>
      </c>
      <c r="T12" s="60"/>
      <c r="X12" s="41"/>
      <c r="Y12" s="41"/>
      <c r="Z12" s="41"/>
    </row>
    <row r="13" spans="1:26" ht="54.75" customHeight="1" thickTop="1" thickBot="1">
      <c r="A13" s="28"/>
      <c r="B13" s="28"/>
      <c r="C13" s="28"/>
      <c r="D13" s="17" t="s">
        <v>241</v>
      </c>
      <c r="E13" s="15">
        <f>'[1]التعليم الابتدائي'!FS754</f>
        <v>0</v>
      </c>
      <c r="F13" s="15">
        <f>'[1]التعليم الابتدائي'!FT754</f>
        <v>0</v>
      </c>
      <c r="G13" s="59">
        <f t="shared" si="0"/>
        <v>0</v>
      </c>
      <c r="H13" s="15">
        <f>'[1]التعليم الابتدائي'!GH754</f>
        <v>0</v>
      </c>
      <c r="I13" s="15">
        <f>'[1]التعليم الابتدائي'!GI754</f>
        <v>0</v>
      </c>
      <c r="J13" s="15">
        <f t="shared" si="1"/>
        <v>0</v>
      </c>
      <c r="K13" s="15">
        <f>'[1]التعليم الابتدائي'!GW754</f>
        <v>0</v>
      </c>
      <c r="L13" s="15">
        <f>'[1]التعليم الابتدائي'!GX754</f>
        <v>0</v>
      </c>
      <c r="M13" s="15">
        <f>'[1]التعليم الابتدائي'!HL754</f>
        <v>0</v>
      </c>
      <c r="N13" s="15">
        <f>'[1]التعليم الابتدائي'!HM754</f>
        <v>0</v>
      </c>
      <c r="O13" s="15">
        <f>'[1]التعليم الابتدائي'!IA754</f>
        <v>0</v>
      </c>
      <c r="P13" s="15">
        <f>'[1]التعليم الابتدائي'!IB754</f>
        <v>0</v>
      </c>
      <c r="Q13" s="15">
        <f t="shared" si="2"/>
        <v>0</v>
      </c>
      <c r="R13" s="15">
        <f t="shared" si="2"/>
        <v>0</v>
      </c>
      <c r="S13" s="36">
        <f t="shared" si="3"/>
        <v>0</v>
      </c>
      <c r="T13" s="60"/>
      <c r="X13" s="41"/>
      <c r="Y13" s="41"/>
      <c r="Z13" s="41"/>
    </row>
    <row r="14" spans="1:26" ht="54.75" customHeight="1" thickTop="1" thickBot="1">
      <c r="A14" s="28"/>
      <c r="B14" s="28"/>
      <c r="C14" s="28"/>
      <c r="D14" s="17" t="s">
        <v>242</v>
      </c>
      <c r="E14" s="15">
        <f>'[1]التعليم الابتدائي'!FU754</f>
        <v>0</v>
      </c>
      <c r="F14" s="15">
        <f>'[1]التعليم الابتدائي'!FV754</f>
        <v>0</v>
      </c>
      <c r="G14" s="59">
        <f t="shared" si="0"/>
        <v>0</v>
      </c>
      <c r="H14" s="15">
        <f>'[1]التعليم الابتدائي'!GJ754</f>
        <v>0</v>
      </c>
      <c r="I14" s="15">
        <f>'[1]التعليم الابتدائي'!GK754</f>
        <v>0</v>
      </c>
      <c r="J14" s="15">
        <f t="shared" si="1"/>
        <v>0</v>
      </c>
      <c r="K14" s="15">
        <f>'[1]التعليم الابتدائي'!GY754</f>
        <v>0</v>
      </c>
      <c r="L14" s="15">
        <f>'[1]التعليم الابتدائي'!GZ754</f>
        <v>0</v>
      </c>
      <c r="M14" s="15">
        <f>'[1]التعليم الابتدائي'!HN754</f>
        <v>0</v>
      </c>
      <c r="N14" s="15">
        <f>'[1]التعليم الابتدائي'!HO754</f>
        <v>0</v>
      </c>
      <c r="O14" s="15">
        <f>'[1]التعليم الابتدائي'!IC754</f>
        <v>0</v>
      </c>
      <c r="P14" s="15">
        <f>'[1]التعليم الابتدائي'!ID754</f>
        <v>0</v>
      </c>
      <c r="Q14" s="15">
        <f t="shared" si="2"/>
        <v>0</v>
      </c>
      <c r="R14" s="15">
        <f t="shared" si="2"/>
        <v>0</v>
      </c>
      <c r="S14" s="36">
        <f t="shared" si="3"/>
        <v>0</v>
      </c>
      <c r="T14" s="60"/>
      <c r="X14" s="41"/>
      <c r="Y14" s="41"/>
      <c r="Z14" s="41"/>
    </row>
    <row r="15" spans="1:26" ht="54.75" customHeight="1" thickTop="1" thickBot="1">
      <c r="A15" s="28"/>
      <c r="B15" s="28"/>
      <c r="C15" s="28"/>
      <c r="D15" s="17" t="s">
        <v>243</v>
      </c>
      <c r="E15" s="15">
        <f>'[1]التعليم الابتدائي'!FW754</f>
        <v>0</v>
      </c>
      <c r="F15" s="15">
        <f>'[1]التعليم الابتدائي'!FX754</f>
        <v>0</v>
      </c>
      <c r="G15" s="59">
        <f t="shared" si="0"/>
        <v>0</v>
      </c>
      <c r="H15" s="15">
        <f>'[1]التعليم الابتدائي'!GL754</f>
        <v>0</v>
      </c>
      <c r="I15" s="15">
        <f>'[1]التعليم الابتدائي'!GM754</f>
        <v>0</v>
      </c>
      <c r="J15" s="15">
        <f t="shared" si="1"/>
        <v>0</v>
      </c>
      <c r="K15" s="15">
        <f>'[1]التعليم الابتدائي'!HA754</f>
        <v>0</v>
      </c>
      <c r="L15" s="15">
        <f>'[1]التعليم الابتدائي'!HB754</f>
        <v>0</v>
      </c>
      <c r="M15" s="15">
        <f>'[1]التعليم الابتدائي'!HP754</f>
        <v>0</v>
      </c>
      <c r="N15" s="15">
        <f>'[1]التعليم الابتدائي'!HQ754</f>
        <v>0</v>
      </c>
      <c r="O15" s="15">
        <f>'[1]التعليم الابتدائي'!IE754</f>
        <v>0</v>
      </c>
      <c r="P15" s="15">
        <f>'[1]التعليم الابتدائي'!IF754</f>
        <v>0</v>
      </c>
      <c r="Q15" s="15">
        <f t="shared" si="2"/>
        <v>0</v>
      </c>
      <c r="R15" s="15">
        <f t="shared" si="2"/>
        <v>0</v>
      </c>
      <c r="S15" s="36">
        <f t="shared" si="3"/>
        <v>0</v>
      </c>
      <c r="T15" s="60"/>
      <c r="X15" s="41"/>
      <c r="Y15" s="41"/>
      <c r="Z15" s="41"/>
    </row>
    <row r="16" spans="1:26" ht="54.75" customHeight="1" thickTop="1" thickBot="1">
      <c r="A16" s="28"/>
      <c r="B16" s="28"/>
      <c r="C16" s="28"/>
      <c r="D16" s="18" t="s">
        <v>58</v>
      </c>
      <c r="E16" s="20">
        <f>SUM(E10:E15)</f>
        <v>0</v>
      </c>
      <c r="F16" s="20">
        <f>SUM(F10:F15)</f>
        <v>0</v>
      </c>
      <c r="G16" s="61">
        <f t="shared" si="0"/>
        <v>0</v>
      </c>
      <c r="H16" s="20">
        <f t="shared" ref="H16:S16" si="4">SUM(H10:H15)</f>
        <v>0</v>
      </c>
      <c r="I16" s="20">
        <f t="shared" si="4"/>
        <v>0</v>
      </c>
      <c r="J16" s="20">
        <f t="shared" si="4"/>
        <v>0</v>
      </c>
      <c r="K16" s="20">
        <f t="shared" si="4"/>
        <v>0</v>
      </c>
      <c r="L16" s="20">
        <f t="shared" si="4"/>
        <v>0</v>
      </c>
      <c r="M16" s="20">
        <f t="shared" si="4"/>
        <v>0</v>
      </c>
      <c r="N16" s="20">
        <f t="shared" si="4"/>
        <v>0</v>
      </c>
      <c r="O16" s="20">
        <f t="shared" si="4"/>
        <v>0</v>
      </c>
      <c r="P16" s="20">
        <f t="shared" si="4"/>
        <v>0</v>
      </c>
      <c r="Q16" s="20">
        <f t="shared" si="4"/>
        <v>0</v>
      </c>
      <c r="R16" s="20">
        <f t="shared" si="4"/>
        <v>0</v>
      </c>
      <c r="S16" s="33">
        <f t="shared" si="4"/>
        <v>0</v>
      </c>
      <c r="T16" s="60"/>
      <c r="X16" s="41"/>
      <c r="Y16" s="41"/>
      <c r="Z16" s="41"/>
    </row>
    <row r="17" spans="1:20" ht="23.4" thickTop="1"/>
    <row r="18" spans="1:20">
      <c r="A18" s="29" t="s">
        <v>62</v>
      </c>
      <c r="B18" s="29"/>
      <c r="C18" s="29"/>
      <c r="D18" s="29"/>
      <c r="E18" s="29"/>
      <c r="F18" s="28"/>
      <c r="G18" s="28"/>
      <c r="H18" s="28"/>
      <c r="I18" s="28"/>
      <c r="J18" s="28"/>
      <c r="K18" s="28"/>
      <c r="L18" s="28"/>
      <c r="M18" s="28"/>
      <c r="N18" s="28"/>
      <c r="O18" s="28"/>
      <c r="Q18" s="29"/>
      <c r="R18" s="29" t="s">
        <v>133</v>
      </c>
      <c r="S18" s="28"/>
      <c r="T18" s="28"/>
    </row>
    <row r="19" spans="1:20">
      <c r="A19" s="231" t="s">
        <v>64</v>
      </c>
      <c r="B19" s="231"/>
      <c r="C19" s="231"/>
      <c r="D19" s="231"/>
      <c r="E19" s="231"/>
      <c r="F19" s="28"/>
      <c r="G19" s="28"/>
      <c r="H19" s="28"/>
      <c r="I19" s="28"/>
      <c r="J19" s="28"/>
      <c r="K19" s="28"/>
      <c r="L19" s="28"/>
      <c r="M19" s="28"/>
      <c r="N19" s="28"/>
      <c r="O19" s="28"/>
      <c r="Q19" s="29"/>
      <c r="R19" s="29" t="s">
        <v>65</v>
      </c>
      <c r="S19" s="28"/>
      <c r="T19" s="28"/>
    </row>
    <row r="20" spans="1:20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</row>
    <row r="21" spans="1:20">
      <c r="A21" s="43"/>
      <c r="B21" s="231" t="s">
        <v>247</v>
      </c>
      <c r="C21" s="231"/>
      <c r="D21" s="231"/>
      <c r="E21" s="231"/>
      <c r="F21" s="231"/>
      <c r="G21" s="231"/>
      <c r="H21" s="231"/>
      <c r="I21" s="231"/>
      <c r="J21" s="231"/>
      <c r="K21" s="231"/>
      <c r="L21" s="231"/>
      <c r="M21" s="231"/>
      <c r="N21" s="231"/>
      <c r="O21" s="231"/>
      <c r="P21" s="231"/>
      <c r="Q21" s="231"/>
      <c r="R21" s="231"/>
      <c r="S21" s="231"/>
      <c r="T21" s="43"/>
    </row>
    <row r="22" spans="1:20">
      <c r="A22" s="43"/>
      <c r="B22" s="231" t="s">
        <v>208</v>
      </c>
      <c r="C22" s="231"/>
      <c r="D22" s="231"/>
      <c r="E22" s="231"/>
      <c r="F22" s="231"/>
      <c r="G22" s="231"/>
      <c r="H22" s="231"/>
      <c r="I22" s="231"/>
      <c r="J22" s="231"/>
      <c r="K22" s="231"/>
      <c r="L22" s="231"/>
      <c r="M22" s="231"/>
      <c r="N22" s="231"/>
      <c r="O22" s="231"/>
      <c r="P22" s="231"/>
      <c r="Q22" s="231"/>
      <c r="R22" s="231"/>
      <c r="S22" s="231"/>
      <c r="T22" s="43"/>
    </row>
    <row r="23" spans="1:20">
      <c r="A23" s="43"/>
      <c r="B23" s="294" t="s">
        <v>257</v>
      </c>
      <c r="C23" s="231"/>
      <c r="D23" s="231"/>
      <c r="E23" s="231"/>
      <c r="F23" s="231"/>
      <c r="G23" s="231"/>
      <c r="H23" s="231"/>
      <c r="I23" s="231"/>
      <c r="J23" s="231"/>
      <c r="K23" s="231"/>
      <c r="L23" s="231"/>
      <c r="M23" s="231"/>
      <c r="N23" s="231"/>
      <c r="O23" s="231"/>
      <c r="P23" s="231"/>
      <c r="Q23" s="231"/>
      <c r="R23" s="231"/>
      <c r="S23" s="231"/>
      <c r="T23" s="43"/>
    </row>
    <row r="24" spans="1:20" ht="23.4" thickBot="1">
      <c r="A24" s="43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43"/>
    </row>
    <row r="25" spans="1:20" ht="81.599999999999994" customHeight="1" thickTop="1" thickBot="1">
      <c r="A25" s="43"/>
      <c r="B25" s="43"/>
      <c r="C25" s="43"/>
      <c r="D25" s="55" t="s">
        <v>249</v>
      </c>
      <c r="E25" s="223" t="s">
        <v>258</v>
      </c>
      <c r="F25" s="224"/>
      <c r="G25" s="237"/>
      <c r="H25" s="300" t="s">
        <v>251</v>
      </c>
      <c r="I25" s="224"/>
      <c r="J25" s="237"/>
      <c r="K25" s="301" t="s">
        <v>252</v>
      </c>
      <c r="L25" s="233"/>
      <c r="M25" s="233"/>
      <c r="N25" s="233"/>
      <c r="O25" s="233"/>
      <c r="P25" s="233"/>
      <c r="Q25" s="233"/>
      <c r="R25" s="233"/>
      <c r="S25" s="247"/>
    </row>
    <row r="26" spans="1:20" ht="24" thickTop="1" thickBot="1">
      <c r="A26" s="43"/>
      <c r="B26" s="43"/>
      <c r="C26" s="43"/>
      <c r="D26" s="56"/>
      <c r="E26" s="227" t="s">
        <v>253</v>
      </c>
      <c r="F26" s="227" t="s">
        <v>35</v>
      </c>
      <c r="G26" s="227" t="s">
        <v>58</v>
      </c>
      <c r="H26" s="227" t="s">
        <v>253</v>
      </c>
      <c r="I26" s="227" t="s">
        <v>35</v>
      </c>
      <c r="J26" s="227" t="s">
        <v>58</v>
      </c>
      <c r="K26" s="227" t="s">
        <v>254</v>
      </c>
      <c r="L26" s="227"/>
      <c r="M26" s="227" t="s">
        <v>255</v>
      </c>
      <c r="N26" s="227"/>
      <c r="O26" s="227" t="s">
        <v>256</v>
      </c>
      <c r="P26" s="227"/>
      <c r="Q26" s="227" t="s">
        <v>58</v>
      </c>
      <c r="R26" s="227"/>
      <c r="S26" s="244"/>
      <c r="T26" s="57"/>
    </row>
    <row r="27" spans="1:20" ht="24" thickTop="1" thickBot="1">
      <c r="A27" s="43"/>
      <c r="B27" s="43"/>
      <c r="C27" s="43"/>
      <c r="D27" s="58" t="s">
        <v>145</v>
      </c>
      <c r="E27" s="227"/>
      <c r="F27" s="227"/>
      <c r="G27" s="227"/>
      <c r="H27" s="227"/>
      <c r="I27" s="227"/>
      <c r="J27" s="227"/>
      <c r="K27" s="15" t="s">
        <v>76</v>
      </c>
      <c r="L27" s="15" t="s">
        <v>35</v>
      </c>
      <c r="M27" s="15" t="s">
        <v>76</v>
      </c>
      <c r="N27" s="15" t="s">
        <v>35</v>
      </c>
      <c r="O27" s="15" t="s">
        <v>76</v>
      </c>
      <c r="P27" s="15" t="s">
        <v>35</v>
      </c>
      <c r="Q27" s="15" t="s">
        <v>76</v>
      </c>
      <c r="R27" s="15" t="s">
        <v>35</v>
      </c>
      <c r="S27" s="36" t="s">
        <v>58</v>
      </c>
    </row>
    <row r="28" spans="1:20" ht="24" thickTop="1" thickBot="1">
      <c r="A28" s="43"/>
      <c r="B28" s="43"/>
      <c r="C28" s="43"/>
      <c r="D28" s="17" t="s">
        <v>238</v>
      </c>
      <c r="E28" s="15"/>
      <c r="F28" s="15"/>
      <c r="G28" s="59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36"/>
      <c r="T28" s="60"/>
    </row>
    <row r="29" spans="1:20" ht="24" thickTop="1" thickBot="1">
      <c r="A29" s="43"/>
      <c r="B29" s="43"/>
      <c r="C29" s="43"/>
      <c r="D29" s="17" t="s">
        <v>239</v>
      </c>
      <c r="E29" s="15"/>
      <c r="F29" s="15"/>
      <c r="G29" s="59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36"/>
      <c r="T29" s="60"/>
    </row>
    <row r="30" spans="1:20" ht="24" thickTop="1" thickBot="1">
      <c r="A30" s="43"/>
      <c r="B30" s="43"/>
      <c r="C30" s="43"/>
      <c r="D30" s="17" t="s">
        <v>240</v>
      </c>
      <c r="E30" s="15"/>
      <c r="F30" s="15"/>
      <c r="G30" s="59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36"/>
      <c r="T30" s="60"/>
    </row>
    <row r="31" spans="1:20" ht="24" thickTop="1" thickBot="1">
      <c r="A31" s="43"/>
      <c r="B31" s="43"/>
      <c r="C31" s="43"/>
      <c r="D31" s="17" t="s">
        <v>241</v>
      </c>
      <c r="E31" s="15"/>
      <c r="F31" s="15"/>
      <c r="G31" s="59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36"/>
      <c r="T31" s="60"/>
    </row>
    <row r="32" spans="1:20" ht="24" thickTop="1" thickBot="1">
      <c r="A32" s="43"/>
      <c r="B32" s="43"/>
      <c r="C32" s="43"/>
      <c r="D32" s="17" t="s">
        <v>242</v>
      </c>
      <c r="E32" s="15"/>
      <c r="F32" s="15"/>
      <c r="G32" s="59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36"/>
      <c r="T32" s="60"/>
    </row>
    <row r="33" spans="1:20" ht="24" thickTop="1" thickBot="1">
      <c r="A33" s="43"/>
      <c r="B33" s="43"/>
      <c r="C33" s="43"/>
      <c r="D33" s="17" t="s">
        <v>243</v>
      </c>
      <c r="E33" s="15"/>
      <c r="F33" s="15"/>
      <c r="G33" s="59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36"/>
      <c r="T33" s="60"/>
    </row>
    <row r="34" spans="1:20" ht="24" thickTop="1" thickBot="1">
      <c r="A34" s="43"/>
      <c r="B34" s="43"/>
      <c r="C34" s="43"/>
      <c r="D34" s="18" t="s">
        <v>58</v>
      </c>
      <c r="E34" s="20"/>
      <c r="F34" s="20"/>
      <c r="G34" s="61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33"/>
      <c r="T34" s="60"/>
    </row>
    <row r="35" spans="1:20" ht="23.4" thickTop="1"/>
    <row r="36" spans="1:20">
      <c r="A36" s="29" t="s">
        <v>62</v>
      </c>
      <c r="B36" s="23"/>
      <c r="C36" s="29"/>
      <c r="D36" s="29"/>
      <c r="E36" s="29"/>
      <c r="F36" s="28"/>
      <c r="G36" s="28"/>
      <c r="H36" s="28"/>
      <c r="I36" s="28"/>
      <c r="J36" s="28"/>
      <c r="K36" s="28"/>
      <c r="L36" s="28"/>
      <c r="M36" s="28"/>
      <c r="N36" s="28"/>
      <c r="O36" s="28"/>
      <c r="Q36" s="29"/>
      <c r="R36" s="29" t="s">
        <v>5</v>
      </c>
      <c r="S36" s="28"/>
      <c r="T36" s="28"/>
    </row>
    <row r="37" spans="1:20">
      <c r="A37" s="231" t="s">
        <v>64</v>
      </c>
      <c r="B37" s="231"/>
      <c r="C37" s="231"/>
      <c r="D37" s="231"/>
      <c r="E37" s="231"/>
      <c r="F37" s="28"/>
      <c r="G37" s="28"/>
      <c r="H37" s="28"/>
      <c r="I37" s="28"/>
      <c r="J37" s="28"/>
      <c r="K37" s="28"/>
      <c r="L37" s="28"/>
      <c r="M37" s="28"/>
      <c r="N37" s="28"/>
      <c r="O37" s="28"/>
      <c r="Q37" s="29"/>
      <c r="R37" s="29" t="s">
        <v>65</v>
      </c>
      <c r="S37" s="28"/>
      <c r="T37" s="28"/>
    </row>
    <row r="38" spans="1:20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</row>
    <row r="39" spans="1:20">
      <c r="A39" s="43"/>
      <c r="B39" s="231" t="s">
        <v>247</v>
      </c>
      <c r="C39" s="231"/>
      <c r="D39" s="231"/>
      <c r="E39" s="231"/>
      <c r="F39" s="231"/>
      <c r="G39" s="231"/>
      <c r="H39" s="231"/>
      <c r="I39" s="231"/>
      <c r="J39" s="231"/>
      <c r="K39" s="231"/>
      <c r="L39" s="231"/>
      <c r="M39" s="231"/>
      <c r="N39" s="231"/>
      <c r="O39" s="231"/>
      <c r="P39" s="231"/>
      <c r="Q39" s="231"/>
      <c r="R39" s="231"/>
      <c r="S39" s="231"/>
      <c r="T39" s="43"/>
    </row>
    <row r="40" spans="1:20">
      <c r="A40" s="43"/>
      <c r="B40" s="231" t="s">
        <v>208</v>
      </c>
      <c r="C40" s="231"/>
      <c r="D40" s="231"/>
      <c r="E40" s="231"/>
      <c r="F40" s="231"/>
      <c r="G40" s="231"/>
      <c r="H40" s="231"/>
      <c r="I40" s="231"/>
      <c r="J40" s="231"/>
      <c r="K40" s="231"/>
      <c r="L40" s="231"/>
      <c r="M40" s="231"/>
      <c r="N40" s="231"/>
      <c r="O40" s="231"/>
      <c r="P40" s="231"/>
      <c r="Q40" s="231"/>
      <c r="R40" s="231"/>
      <c r="S40" s="231"/>
      <c r="T40" s="43"/>
    </row>
    <row r="41" spans="1:20">
      <c r="A41" s="43"/>
      <c r="B41" s="294" t="s">
        <v>257</v>
      </c>
      <c r="C41" s="231"/>
      <c r="D41" s="231"/>
      <c r="E41" s="231"/>
      <c r="F41" s="231"/>
      <c r="G41" s="231"/>
      <c r="H41" s="231"/>
      <c r="I41" s="231"/>
      <c r="J41" s="231"/>
      <c r="K41" s="231"/>
      <c r="L41" s="231"/>
      <c r="M41" s="231"/>
      <c r="N41" s="231"/>
      <c r="O41" s="231"/>
      <c r="P41" s="231"/>
      <c r="Q41" s="231"/>
      <c r="R41" s="231"/>
      <c r="S41" s="231"/>
      <c r="T41" s="43"/>
    </row>
    <row r="42" spans="1:20" ht="23.4" thickBot="1">
      <c r="A42" s="43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43"/>
    </row>
    <row r="43" spans="1:20" ht="24" thickTop="1" thickBot="1">
      <c r="A43" s="43"/>
      <c r="B43" s="43"/>
      <c r="C43" s="43"/>
      <c r="D43" s="55" t="s">
        <v>249</v>
      </c>
      <c r="E43" s="223" t="s">
        <v>258</v>
      </c>
      <c r="F43" s="224"/>
      <c r="G43" s="237"/>
      <c r="H43" s="300" t="s">
        <v>251</v>
      </c>
      <c r="I43" s="224"/>
      <c r="J43" s="237"/>
      <c r="K43" s="301" t="s">
        <v>252</v>
      </c>
      <c r="L43" s="233"/>
      <c r="M43" s="233"/>
      <c r="N43" s="233"/>
      <c r="O43" s="233"/>
      <c r="P43" s="233"/>
      <c r="Q43" s="233"/>
      <c r="R43" s="233"/>
      <c r="S43" s="247"/>
    </row>
    <row r="44" spans="1:20" ht="24" thickTop="1" thickBot="1">
      <c r="A44" s="43"/>
      <c r="B44" s="43"/>
      <c r="C44" s="43"/>
      <c r="D44" s="56"/>
      <c r="E44" s="227" t="s">
        <v>253</v>
      </c>
      <c r="F44" s="227" t="s">
        <v>35</v>
      </c>
      <c r="G44" s="227" t="s">
        <v>58</v>
      </c>
      <c r="H44" s="227" t="s">
        <v>253</v>
      </c>
      <c r="I44" s="227" t="s">
        <v>35</v>
      </c>
      <c r="J44" s="227" t="s">
        <v>58</v>
      </c>
      <c r="K44" s="227" t="s">
        <v>254</v>
      </c>
      <c r="L44" s="227"/>
      <c r="M44" s="227" t="s">
        <v>255</v>
      </c>
      <c r="N44" s="227"/>
      <c r="O44" s="227" t="s">
        <v>256</v>
      </c>
      <c r="P44" s="227"/>
      <c r="Q44" s="227" t="s">
        <v>58</v>
      </c>
      <c r="R44" s="227"/>
      <c r="S44" s="244"/>
    </row>
    <row r="45" spans="1:20" ht="24" thickTop="1" thickBot="1">
      <c r="A45" s="43"/>
      <c r="B45" s="43"/>
      <c r="C45" s="43"/>
      <c r="D45" s="63" t="s">
        <v>145</v>
      </c>
      <c r="E45" s="227"/>
      <c r="F45" s="227"/>
      <c r="G45" s="227"/>
      <c r="H45" s="227"/>
      <c r="I45" s="227"/>
      <c r="J45" s="227"/>
      <c r="K45" s="15" t="s">
        <v>76</v>
      </c>
      <c r="L45" s="15" t="s">
        <v>35</v>
      </c>
      <c r="M45" s="15" t="s">
        <v>76</v>
      </c>
      <c r="N45" s="15" t="s">
        <v>35</v>
      </c>
      <c r="O45" s="15" t="s">
        <v>76</v>
      </c>
      <c r="P45" s="15" t="s">
        <v>35</v>
      </c>
      <c r="Q45" s="15" t="s">
        <v>76</v>
      </c>
      <c r="R45" s="15" t="s">
        <v>35</v>
      </c>
      <c r="S45" s="36" t="s">
        <v>58</v>
      </c>
    </row>
    <row r="46" spans="1:20" ht="24" thickTop="1" thickBot="1">
      <c r="A46" s="43"/>
      <c r="B46" s="43"/>
      <c r="C46" s="43"/>
      <c r="D46" s="17" t="s">
        <v>238</v>
      </c>
      <c r="E46" s="15">
        <f>'[1]التعليم الابتدائي'!FM295</f>
        <v>0</v>
      </c>
      <c r="F46" s="15">
        <f>'[1]التعليم الابتدائي'!FN295</f>
        <v>0</v>
      </c>
      <c r="G46" s="59">
        <f t="shared" ref="G46:G52" si="5">F46+E46</f>
        <v>0</v>
      </c>
      <c r="H46" s="15">
        <f>'[1]التعليم الابتدائي'!GB295</f>
        <v>0</v>
      </c>
      <c r="I46" s="15">
        <f>'[1]التعليم الابتدائي'!GC295</f>
        <v>0</v>
      </c>
      <c r="J46" s="15">
        <f t="shared" ref="J46:J51" si="6">I46+H46</f>
        <v>0</v>
      </c>
      <c r="K46" s="15">
        <f>'[1]التعليم الابتدائي'!GQ295</f>
        <v>0</v>
      </c>
      <c r="L46" s="15">
        <f>'[1]التعليم الابتدائي'!GR295</f>
        <v>0</v>
      </c>
      <c r="M46" s="15">
        <f>'[1]التعليم الابتدائي'!HF295</f>
        <v>0</v>
      </c>
      <c r="N46" s="15">
        <f>'[1]التعليم الابتدائي'!HG295</f>
        <v>0</v>
      </c>
      <c r="O46" s="15">
        <f>'[1]التعليم الابتدائي'!HU295</f>
        <v>0</v>
      </c>
      <c r="P46" s="15">
        <f>'[1]التعليم الابتدائي'!HV295</f>
        <v>0</v>
      </c>
      <c r="Q46" s="15">
        <f t="shared" ref="Q46:R51" si="7">O46+M46+K46</f>
        <v>0</v>
      </c>
      <c r="R46" s="15">
        <f t="shared" si="7"/>
        <v>0</v>
      </c>
      <c r="S46" s="36">
        <f t="shared" ref="S46:S51" si="8">R46+Q46</f>
        <v>0</v>
      </c>
    </row>
    <row r="47" spans="1:20" ht="24" thickTop="1" thickBot="1">
      <c r="A47" s="43"/>
      <c r="B47" s="43"/>
      <c r="C47" s="43"/>
      <c r="D47" s="17" t="s">
        <v>239</v>
      </c>
      <c r="E47" s="15">
        <f>'[1]التعليم الابتدائي'!FO295</f>
        <v>0</v>
      </c>
      <c r="F47" s="15">
        <f>'[1]التعليم الابتدائي'!FP295</f>
        <v>0</v>
      </c>
      <c r="G47" s="59">
        <f t="shared" si="5"/>
        <v>0</v>
      </c>
      <c r="H47" s="15">
        <f>'[1]التعليم الابتدائي'!GD295</f>
        <v>0</v>
      </c>
      <c r="I47" s="15">
        <f>'[1]التعليم الابتدائي'!GE295</f>
        <v>0</v>
      </c>
      <c r="J47" s="15">
        <f t="shared" si="6"/>
        <v>0</v>
      </c>
      <c r="K47" s="15">
        <f>'[1]التعليم الابتدائي'!GS295</f>
        <v>0</v>
      </c>
      <c r="L47" s="15">
        <f>'[1]التعليم الابتدائي'!GT295</f>
        <v>0</v>
      </c>
      <c r="M47" s="15">
        <f>'[1]التعليم الابتدائي'!HH295</f>
        <v>0</v>
      </c>
      <c r="N47" s="15">
        <f>'[1]التعليم الابتدائي'!HI295</f>
        <v>0</v>
      </c>
      <c r="O47" s="15">
        <f>'[1]التعليم الابتدائي'!HW295</f>
        <v>0</v>
      </c>
      <c r="P47" s="15">
        <f>'[1]التعليم الابتدائي'!HX295</f>
        <v>0</v>
      </c>
      <c r="Q47" s="15">
        <f t="shared" si="7"/>
        <v>0</v>
      </c>
      <c r="R47" s="15">
        <f t="shared" si="7"/>
        <v>0</v>
      </c>
      <c r="S47" s="36">
        <f t="shared" si="8"/>
        <v>0</v>
      </c>
    </row>
    <row r="48" spans="1:20" ht="24" thickTop="1" thickBot="1">
      <c r="A48" s="43"/>
      <c r="B48" s="43"/>
      <c r="C48" s="43"/>
      <c r="D48" s="17" t="s">
        <v>240</v>
      </c>
      <c r="E48" s="15">
        <f>'[1]التعليم الابتدائي'!FQ295</f>
        <v>0</v>
      </c>
      <c r="F48" s="15">
        <f>'[1]التعليم الابتدائي'!FR295</f>
        <v>0</v>
      </c>
      <c r="G48" s="59">
        <f t="shared" si="5"/>
        <v>0</v>
      </c>
      <c r="H48" s="15">
        <f>'[1]التعليم الابتدائي'!GF295</f>
        <v>0</v>
      </c>
      <c r="I48" s="15">
        <f>'[1]التعليم الابتدائي'!GG295</f>
        <v>0</v>
      </c>
      <c r="J48" s="15">
        <f t="shared" si="6"/>
        <v>0</v>
      </c>
      <c r="K48" s="15">
        <f>'[1]التعليم الابتدائي'!GU295</f>
        <v>0</v>
      </c>
      <c r="L48" s="15">
        <f>'[1]التعليم الابتدائي'!GV295</f>
        <v>0</v>
      </c>
      <c r="M48" s="15">
        <f>'[1]التعليم الابتدائي'!HJ295</f>
        <v>0</v>
      </c>
      <c r="N48" s="15">
        <f>'[1]التعليم الابتدائي'!HK295</f>
        <v>0</v>
      </c>
      <c r="O48" s="15">
        <f>'[1]التعليم الابتدائي'!HY295</f>
        <v>0</v>
      </c>
      <c r="P48" s="15">
        <f>'[1]التعليم الابتدائي'!HZ295</f>
        <v>0</v>
      </c>
      <c r="Q48" s="15">
        <f t="shared" si="7"/>
        <v>0</v>
      </c>
      <c r="R48" s="15">
        <f t="shared" si="7"/>
        <v>0</v>
      </c>
      <c r="S48" s="36">
        <f t="shared" si="8"/>
        <v>0</v>
      </c>
    </row>
    <row r="49" spans="1:20" ht="24" thickTop="1" thickBot="1">
      <c r="A49" s="43"/>
      <c r="B49" s="43"/>
      <c r="C49" s="43"/>
      <c r="D49" s="17" t="s">
        <v>241</v>
      </c>
      <c r="E49" s="15">
        <f>'[1]التعليم الابتدائي'!FS295</f>
        <v>0</v>
      </c>
      <c r="F49" s="15">
        <f>'[1]التعليم الابتدائي'!FT295</f>
        <v>0</v>
      </c>
      <c r="G49" s="59">
        <f t="shared" si="5"/>
        <v>0</v>
      </c>
      <c r="H49" s="15">
        <f>'[1]التعليم الابتدائي'!GH295</f>
        <v>0</v>
      </c>
      <c r="I49" s="15">
        <f>'[1]التعليم الابتدائي'!GI295</f>
        <v>0</v>
      </c>
      <c r="J49" s="15">
        <f t="shared" si="6"/>
        <v>0</v>
      </c>
      <c r="K49" s="15">
        <f>'[1]التعليم الابتدائي'!GW295</f>
        <v>0</v>
      </c>
      <c r="L49" s="15">
        <f>'[1]التعليم الابتدائي'!GX295</f>
        <v>0</v>
      </c>
      <c r="M49" s="15">
        <f>'[1]التعليم الابتدائي'!HL295</f>
        <v>0</v>
      </c>
      <c r="N49" s="15">
        <f>'[1]التعليم الابتدائي'!HM295</f>
        <v>0</v>
      </c>
      <c r="O49" s="15">
        <f>'[1]التعليم الابتدائي'!IA295</f>
        <v>0</v>
      </c>
      <c r="P49" s="15">
        <f>'[1]التعليم الابتدائي'!IB295</f>
        <v>0</v>
      </c>
      <c r="Q49" s="15">
        <f t="shared" si="7"/>
        <v>0</v>
      </c>
      <c r="R49" s="15">
        <f t="shared" si="7"/>
        <v>0</v>
      </c>
      <c r="S49" s="36">
        <f t="shared" si="8"/>
        <v>0</v>
      </c>
    </row>
    <row r="50" spans="1:20" ht="24" thickTop="1" thickBot="1">
      <c r="A50" s="43"/>
      <c r="B50" s="43"/>
      <c r="C50" s="43"/>
      <c r="D50" s="17" t="s">
        <v>242</v>
      </c>
      <c r="E50" s="15">
        <f>'[1]التعليم الابتدائي'!FU295</f>
        <v>0</v>
      </c>
      <c r="F50" s="15">
        <f>'[1]التعليم الابتدائي'!FV295</f>
        <v>0</v>
      </c>
      <c r="G50" s="59">
        <f t="shared" si="5"/>
        <v>0</v>
      </c>
      <c r="H50" s="15">
        <f>'[1]التعليم الابتدائي'!GJ295</f>
        <v>0</v>
      </c>
      <c r="I50" s="15">
        <f>'[1]التعليم الابتدائي'!GK295</f>
        <v>0</v>
      </c>
      <c r="J50" s="15">
        <f t="shared" si="6"/>
        <v>0</v>
      </c>
      <c r="K50" s="15">
        <f>'[1]التعليم الابتدائي'!GY295</f>
        <v>0</v>
      </c>
      <c r="L50" s="15">
        <f>'[1]التعليم الابتدائي'!GZ295</f>
        <v>0</v>
      </c>
      <c r="M50" s="15">
        <f>'[1]التعليم الابتدائي'!HN295</f>
        <v>0</v>
      </c>
      <c r="N50" s="15">
        <f>'[1]التعليم الابتدائي'!HO295</f>
        <v>0</v>
      </c>
      <c r="O50" s="15">
        <f>'[1]التعليم الابتدائي'!IC295</f>
        <v>0</v>
      </c>
      <c r="P50" s="15">
        <f>'[1]التعليم الابتدائي'!ID295</f>
        <v>0</v>
      </c>
      <c r="Q50" s="15">
        <f t="shared" si="7"/>
        <v>0</v>
      </c>
      <c r="R50" s="15">
        <f t="shared" si="7"/>
        <v>0</v>
      </c>
      <c r="S50" s="36">
        <f t="shared" si="8"/>
        <v>0</v>
      </c>
    </row>
    <row r="51" spans="1:20" ht="24" thickTop="1" thickBot="1">
      <c r="A51" s="43"/>
      <c r="B51" s="43"/>
      <c r="C51" s="43"/>
      <c r="D51" s="17" t="s">
        <v>243</v>
      </c>
      <c r="E51" s="15">
        <f>'[1]التعليم الابتدائي'!FW295</f>
        <v>0</v>
      </c>
      <c r="F51" s="15">
        <f>'[1]التعليم الابتدائي'!FX295</f>
        <v>0</v>
      </c>
      <c r="G51" s="59">
        <f t="shared" si="5"/>
        <v>0</v>
      </c>
      <c r="H51" s="15">
        <f>'[1]التعليم الابتدائي'!GL295</f>
        <v>0</v>
      </c>
      <c r="I51" s="15">
        <f>'[1]التعليم الابتدائي'!GM295</f>
        <v>0</v>
      </c>
      <c r="J51" s="15">
        <f t="shared" si="6"/>
        <v>0</v>
      </c>
      <c r="K51" s="15">
        <f>'[1]التعليم الابتدائي'!HA295</f>
        <v>0</v>
      </c>
      <c r="L51" s="15">
        <f>'[1]التعليم الابتدائي'!HB295</f>
        <v>0</v>
      </c>
      <c r="M51" s="15">
        <f>'[1]التعليم الابتدائي'!HP295</f>
        <v>0</v>
      </c>
      <c r="N51" s="15">
        <f>'[1]التعليم الابتدائي'!HQ295</f>
        <v>0</v>
      </c>
      <c r="O51" s="15">
        <f>'[1]التعليم الابتدائي'!IE295</f>
        <v>0</v>
      </c>
      <c r="P51" s="15">
        <f>'[1]التعليم الابتدائي'!IF295</f>
        <v>0</v>
      </c>
      <c r="Q51" s="15">
        <f t="shared" si="7"/>
        <v>0</v>
      </c>
      <c r="R51" s="15">
        <f t="shared" si="7"/>
        <v>0</v>
      </c>
      <c r="S51" s="36">
        <f t="shared" si="8"/>
        <v>0</v>
      </c>
    </row>
    <row r="52" spans="1:20" ht="24" thickTop="1" thickBot="1">
      <c r="A52" s="43"/>
      <c r="B52" s="43"/>
      <c r="C52" s="43"/>
      <c r="D52" s="18" t="s">
        <v>58</v>
      </c>
      <c r="E52" s="20">
        <f>SUM(E46:E51)</f>
        <v>0</v>
      </c>
      <c r="F52" s="20">
        <f>SUM(F46:F51)</f>
        <v>0</v>
      </c>
      <c r="G52" s="61">
        <f t="shared" si="5"/>
        <v>0</v>
      </c>
      <c r="H52" s="20">
        <f t="shared" ref="H52:S52" si="9">SUM(H46:H51)</f>
        <v>0</v>
      </c>
      <c r="I52" s="20">
        <f t="shared" si="9"/>
        <v>0</v>
      </c>
      <c r="J52" s="20">
        <f t="shared" si="9"/>
        <v>0</v>
      </c>
      <c r="K52" s="20">
        <f t="shared" si="9"/>
        <v>0</v>
      </c>
      <c r="L52" s="20">
        <f t="shared" si="9"/>
        <v>0</v>
      </c>
      <c r="M52" s="20">
        <f t="shared" si="9"/>
        <v>0</v>
      </c>
      <c r="N52" s="20">
        <f t="shared" si="9"/>
        <v>0</v>
      </c>
      <c r="O52" s="20">
        <f t="shared" si="9"/>
        <v>0</v>
      </c>
      <c r="P52" s="20">
        <f t="shared" si="9"/>
        <v>0</v>
      </c>
      <c r="Q52" s="20">
        <f t="shared" si="9"/>
        <v>0</v>
      </c>
      <c r="R52" s="20">
        <f t="shared" si="9"/>
        <v>0</v>
      </c>
      <c r="S52" s="33">
        <f t="shared" si="9"/>
        <v>0</v>
      </c>
    </row>
    <row r="53" spans="1:20" ht="23.4" thickTop="1"/>
    <row r="54" spans="1:20">
      <c r="A54" s="29" t="s">
        <v>62</v>
      </c>
      <c r="B54" s="29"/>
      <c r="C54" s="29"/>
      <c r="D54" s="29"/>
      <c r="E54" s="29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R54" s="23" t="s">
        <v>86</v>
      </c>
      <c r="S54" s="23"/>
      <c r="T54" s="28"/>
    </row>
    <row r="55" spans="1:20">
      <c r="A55" s="231" t="s">
        <v>64</v>
      </c>
      <c r="B55" s="231"/>
      <c r="C55" s="231"/>
      <c r="D55" s="231"/>
      <c r="E55" s="231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R55" s="23" t="s">
        <v>65</v>
      </c>
      <c r="S55" s="23"/>
      <c r="T55" s="28"/>
    </row>
    <row r="56" spans="1:20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</row>
    <row r="57" spans="1:20">
      <c r="A57" s="43"/>
      <c r="B57" s="231" t="s">
        <v>247</v>
      </c>
      <c r="C57" s="231"/>
      <c r="D57" s="231"/>
      <c r="E57" s="231"/>
      <c r="F57" s="231"/>
      <c r="G57" s="231"/>
      <c r="H57" s="231"/>
      <c r="I57" s="231"/>
      <c r="J57" s="231"/>
      <c r="K57" s="231"/>
      <c r="L57" s="231"/>
      <c r="M57" s="231"/>
      <c r="N57" s="231"/>
      <c r="O57" s="231"/>
      <c r="P57" s="231"/>
      <c r="Q57" s="231"/>
      <c r="R57" s="231"/>
      <c r="S57" s="231"/>
      <c r="T57" s="43"/>
    </row>
    <row r="58" spans="1:20">
      <c r="A58" s="43"/>
      <c r="B58" s="231" t="s">
        <v>208</v>
      </c>
      <c r="C58" s="231"/>
      <c r="D58" s="231"/>
      <c r="E58" s="231"/>
      <c r="F58" s="231"/>
      <c r="G58" s="231"/>
      <c r="H58" s="231"/>
      <c r="I58" s="231"/>
      <c r="J58" s="231"/>
      <c r="K58" s="231"/>
      <c r="L58" s="231"/>
      <c r="M58" s="231"/>
      <c r="N58" s="231"/>
      <c r="O58" s="231"/>
      <c r="P58" s="231"/>
      <c r="Q58" s="231"/>
      <c r="R58" s="231"/>
      <c r="S58" s="231"/>
      <c r="T58" s="43"/>
    </row>
    <row r="59" spans="1:20">
      <c r="A59" s="43"/>
      <c r="B59" s="294" t="s">
        <v>257</v>
      </c>
      <c r="C59" s="231"/>
      <c r="D59" s="231"/>
      <c r="E59" s="231"/>
      <c r="F59" s="231"/>
      <c r="G59" s="231"/>
      <c r="H59" s="231"/>
      <c r="I59" s="231"/>
      <c r="J59" s="231"/>
      <c r="K59" s="231"/>
      <c r="L59" s="231"/>
      <c r="M59" s="231"/>
      <c r="N59" s="231"/>
      <c r="O59" s="231"/>
      <c r="P59" s="231"/>
      <c r="Q59" s="231"/>
      <c r="R59" s="231"/>
      <c r="S59" s="231"/>
      <c r="T59" s="43"/>
    </row>
    <row r="60" spans="1:20" ht="23.4" thickBot="1">
      <c r="A60" s="43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43"/>
    </row>
    <row r="61" spans="1:20" ht="24" thickTop="1" thickBot="1">
      <c r="A61" s="43"/>
      <c r="B61" s="43"/>
      <c r="C61" s="43"/>
      <c r="D61" s="55" t="s">
        <v>249</v>
      </c>
      <c r="E61" s="300" t="s">
        <v>258</v>
      </c>
      <c r="F61" s="224"/>
      <c r="G61" s="237"/>
      <c r="H61" s="300" t="s">
        <v>251</v>
      </c>
      <c r="I61" s="224"/>
      <c r="J61" s="237"/>
      <c r="K61" s="300" t="s">
        <v>252</v>
      </c>
      <c r="L61" s="224"/>
      <c r="M61" s="224"/>
      <c r="N61" s="224"/>
      <c r="O61" s="224"/>
      <c r="P61" s="224"/>
      <c r="Q61" s="224"/>
      <c r="R61" s="224"/>
      <c r="S61" s="225"/>
    </row>
    <row r="62" spans="1:20" ht="24" thickTop="1" thickBot="1">
      <c r="A62" s="43"/>
      <c r="B62" s="43"/>
      <c r="C62" s="43"/>
      <c r="D62" s="56"/>
      <c r="E62" s="242" t="s">
        <v>253</v>
      </c>
      <c r="F62" s="242" t="s">
        <v>35</v>
      </c>
      <c r="G62" s="242" t="s">
        <v>58</v>
      </c>
      <c r="H62" s="242" t="s">
        <v>253</v>
      </c>
      <c r="I62" s="242" t="s">
        <v>35</v>
      </c>
      <c r="J62" s="242" t="s">
        <v>58</v>
      </c>
      <c r="K62" s="257" t="s">
        <v>254</v>
      </c>
      <c r="L62" s="258"/>
      <c r="M62" s="257" t="s">
        <v>255</v>
      </c>
      <c r="N62" s="258"/>
      <c r="O62" s="257" t="s">
        <v>256</v>
      </c>
      <c r="P62" s="258"/>
      <c r="Q62" s="257" t="s">
        <v>58</v>
      </c>
      <c r="R62" s="273"/>
      <c r="S62" s="274"/>
    </row>
    <row r="63" spans="1:20" ht="24" thickTop="1" thickBot="1">
      <c r="A63" s="43"/>
      <c r="B63" s="43"/>
      <c r="C63" s="43"/>
      <c r="D63" s="58" t="s">
        <v>145</v>
      </c>
      <c r="E63" s="243"/>
      <c r="F63" s="243"/>
      <c r="G63" s="243"/>
      <c r="H63" s="243"/>
      <c r="I63" s="243"/>
      <c r="J63" s="243"/>
      <c r="K63" s="15" t="s">
        <v>76</v>
      </c>
      <c r="L63" s="15" t="s">
        <v>35</v>
      </c>
      <c r="M63" s="15" t="s">
        <v>76</v>
      </c>
      <c r="N63" s="15" t="s">
        <v>35</v>
      </c>
      <c r="O63" s="15" t="s">
        <v>76</v>
      </c>
      <c r="P63" s="15" t="s">
        <v>35</v>
      </c>
      <c r="Q63" s="15" t="s">
        <v>76</v>
      </c>
      <c r="R63" s="15" t="s">
        <v>35</v>
      </c>
      <c r="S63" s="36" t="s">
        <v>58</v>
      </c>
    </row>
    <row r="64" spans="1:20" ht="24" thickTop="1" thickBot="1">
      <c r="A64" s="43"/>
      <c r="B64" s="43"/>
      <c r="C64" s="43"/>
      <c r="D64" s="17" t="s">
        <v>238</v>
      </c>
      <c r="E64" s="15">
        <f>'[1]التعليم الابتدائي'!FM344</f>
        <v>0</v>
      </c>
      <c r="F64" s="15">
        <f>'[1]التعليم الابتدائي'!FN344</f>
        <v>0</v>
      </c>
      <c r="G64" s="59">
        <f t="shared" ref="G64:G70" si="10">F64+E64</f>
        <v>0</v>
      </c>
      <c r="H64" s="15">
        <f>'[1]التعليم الابتدائي'!GB344</f>
        <v>0</v>
      </c>
      <c r="I64" s="15">
        <f>'[1]التعليم الابتدائي'!GC344</f>
        <v>0</v>
      </c>
      <c r="J64" s="15">
        <f t="shared" ref="J64:J69" si="11">I64+H64</f>
        <v>0</v>
      </c>
      <c r="K64" s="15">
        <f>'[1]التعليم الابتدائي'!GQ344</f>
        <v>0</v>
      </c>
      <c r="L64" s="15">
        <f>'[1]التعليم الابتدائي'!GR344</f>
        <v>0</v>
      </c>
      <c r="M64" s="15">
        <f>'[1]التعليم الابتدائي'!HF344</f>
        <v>0</v>
      </c>
      <c r="N64" s="15">
        <f>'[1]التعليم الابتدائي'!HG344</f>
        <v>0</v>
      </c>
      <c r="O64" s="15">
        <f>'[1]التعليم الابتدائي'!HU344</f>
        <v>0</v>
      </c>
      <c r="P64" s="15">
        <f>'[1]التعليم الابتدائي'!HV344</f>
        <v>0</v>
      </c>
      <c r="Q64" s="15">
        <f t="shared" ref="Q64:R69" si="12">O64+M64+K64</f>
        <v>0</v>
      </c>
      <c r="R64" s="15">
        <f t="shared" si="12"/>
        <v>0</v>
      </c>
      <c r="S64" s="36">
        <f t="shared" ref="S64:S69" si="13">R64+Q64</f>
        <v>0</v>
      </c>
    </row>
    <row r="65" spans="1:20" ht="24" thickTop="1" thickBot="1">
      <c r="A65" s="43"/>
      <c r="B65" s="43"/>
      <c r="C65" s="43"/>
      <c r="D65" s="17" t="s">
        <v>239</v>
      </c>
      <c r="E65" s="15">
        <f>'[1]التعليم الابتدائي'!FO344</f>
        <v>0</v>
      </c>
      <c r="F65" s="15">
        <f>'[1]التعليم الابتدائي'!FP344</f>
        <v>0</v>
      </c>
      <c r="G65" s="59">
        <f t="shared" si="10"/>
        <v>0</v>
      </c>
      <c r="H65" s="15">
        <f>'[1]التعليم الابتدائي'!GD344</f>
        <v>0</v>
      </c>
      <c r="I65" s="15">
        <f>'[1]التعليم الابتدائي'!GE344</f>
        <v>0</v>
      </c>
      <c r="J65" s="15">
        <f t="shared" si="11"/>
        <v>0</v>
      </c>
      <c r="K65" s="15">
        <f>'[1]التعليم الابتدائي'!GS344</f>
        <v>0</v>
      </c>
      <c r="L65" s="15">
        <f>'[1]التعليم الابتدائي'!GT344</f>
        <v>0</v>
      </c>
      <c r="M65" s="15">
        <f>'[1]التعليم الابتدائي'!HH344</f>
        <v>0</v>
      </c>
      <c r="N65" s="15">
        <f>'[1]التعليم الابتدائي'!HI344</f>
        <v>0</v>
      </c>
      <c r="O65" s="15">
        <f>'[1]التعليم الابتدائي'!HW344</f>
        <v>0</v>
      </c>
      <c r="P65" s="15">
        <f>'[1]التعليم الابتدائي'!HX344</f>
        <v>0</v>
      </c>
      <c r="Q65" s="15">
        <f t="shared" si="12"/>
        <v>0</v>
      </c>
      <c r="R65" s="15">
        <f t="shared" si="12"/>
        <v>0</v>
      </c>
      <c r="S65" s="36">
        <f t="shared" si="13"/>
        <v>0</v>
      </c>
    </row>
    <row r="66" spans="1:20" ht="24" thickTop="1" thickBot="1">
      <c r="A66" s="43"/>
      <c r="B66" s="43"/>
      <c r="C66" s="43"/>
      <c r="D66" s="17" t="s">
        <v>240</v>
      </c>
      <c r="E66" s="15">
        <f>'[1]التعليم الابتدائي'!FQ344</f>
        <v>0</v>
      </c>
      <c r="F66" s="15">
        <f>'[1]التعليم الابتدائي'!FR344</f>
        <v>0</v>
      </c>
      <c r="G66" s="59">
        <f t="shared" si="10"/>
        <v>0</v>
      </c>
      <c r="H66" s="15">
        <f>'[1]التعليم الابتدائي'!GF344</f>
        <v>0</v>
      </c>
      <c r="I66" s="15">
        <f>'[1]التعليم الابتدائي'!GG344</f>
        <v>0</v>
      </c>
      <c r="J66" s="15">
        <f t="shared" si="11"/>
        <v>0</v>
      </c>
      <c r="K66" s="15">
        <f>'[1]التعليم الابتدائي'!GU344</f>
        <v>0</v>
      </c>
      <c r="L66" s="15">
        <f>'[1]التعليم الابتدائي'!GV344</f>
        <v>0</v>
      </c>
      <c r="M66" s="15">
        <f>'[1]التعليم الابتدائي'!HJ344</f>
        <v>0</v>
      </c>
      <c r="N66" s="15">
        <f>'[1]التعليم الابتدائي'!HK344</f>
        <v>0</v>
      </c>
      <c r="O66" s="15">
        <f>'[1]التعليم الابتدائي'!HY344</f>
        <v>0</v>
      </c>
      <c r="P66" s="15">
        <f>'[1]التعليم الابتدائي'!HZ344</f>
        <v>0</v>
      </c>
      <c r="Q66" s="15">
        <f t="shared" si="12"/>
        <v>0</v>
      </c>
      <c r="R66" s="15">
        <f t="shared" si="12"/>
        <v>0</v>
      </c>
      <c r="S66" s="36">
        <f t="shared" si="13"/>
        <v>0</v>
      </c>
    </row>
    <row r="67" spans="1:20" ht="24" thickTop="1" thickBot="1">
      <c r="A67" s="43"/>
      <c r="B67" s="43"/>
      <c r="C67" s="43"/>
      <c r="D67" s="17" t="s">
        <v>241</v>
      </c>
      <c r="E67" s="15">
        <f>'[1]التعليم الابتدائي'!FS344</f>
        <v>0</v>
      </c>
      <c r="F67" s="15">
        <f>'[1]التعليم الابتدائي'!FT344</f>
        <v>0</v>
      </c>
      <c r="G67" s="59">
        <f t="shared" si="10"/>
        <v>0</v>
      </c>
      <c r="H67" s="15">
        <f>'[1]التعليم الابتدائي'!GH344</f>
        <v>0</v>
      </c>
      <c r="I67" s="15">
        <f>'[1]التعليم الابتدائي'!GI344</f>
        <v>0</v>
      </c>
      <c r="J67" s="15">
        <f t="shared" si="11"/>
        <v>0</v>
      </c>
      <c r="K67" s="15">
        <f>'[1]التعليم الابتدائي'!GW344</f>
        <v>0</v>
      </c>
      <c r="L67" s="15">
        <f>'[1]التعليم الابتدائي'!GX344</f>
        <v>0</v>
      </c>
      <c r="M67" s="15">
        <f>'[1]التعليم الابتدائي'!HL344</f>
        <v>0</v>
      </c>
      <c r="N67" s="15">
        <f>'[1]التعليم الابتدائي'!HM344</f>
        <v>0</v>
      </c>
      <c r="O67" s="15">
        <f>'[1]التعليم الابتدائي'!IA344</f>
        <v>0</v>
      </c>
      <c r="P67" s="15">
        <f>'[1]التعليم الابتدائي'!IB344</f>
        <v>0</v>
      </c>
      <c r="Q67" s="15">
        <f t="shared" si="12"/>
        <v>0</v>
      </c>
      <c r="R67" s="15">
        <f t="shared" si="12"/>
        <v>0</v>
      </c>
      <c r="S67" s="36">
        <f t="shared" si="13"/>
        <v>0</v>
      </c>
    </row>
    <row r="68" spans="1:20" ht="24" thickTop="1" thickBot="1">
      <c r="A68" s="43"/>
      <c r="B68" s="43"/>
      <c r="C68" s="43"/>
      <c r="D68" s="17" t="s">
        <v>242</v>
      </c>
      <c r="E68" s="15">
        <f>'[1]التعليم الابتدائي'!FU344</f>
        <v>0</v>
      </c>
      <c r="F68" s="15">
        <f>'[1]التعليم الابتدائي'!FV344</f>
        <v>0</v>
      </c>
      <c r="G68" s="59">
        <f t="shared" si="10"/>
        <v>0</v>
      </c>
      <c r="H68" s="15">
        <f>'[1]التعليم الابتدائي'!GJ344</f>
        <v>0</v>
      </c>
      <c r="I68" s="15">
        <f>'[1]التعليم الابتدائي'!GK344</f>
        <v>0</v>
      </c>
      <c r="J68" s="15">
        <f t="shared" si="11"/>
        <v>0</v>
      </c>
      <c r="K68" s="15">
        <f>'[1]التعليم الابتدائي'!GY344</f>
        <v>0</v>
      </c>
      <c r="L68" s="15">
        <f>'[1]التعليم الابتدائي'!GZ344</f>
        <v>0</v>
      </c>
      <c r="M68" s="15">
        <f>'[1]التعليم الابتدائي'!HN344</f>
        <v>0</v>
      </c>
      <c r="N68" s="15">
        <f>'[1]التعليم الابتدائي'!HO344</f>
        <v>0</v>
      </c>
      <c r="O68" s="15">
        <f>'[1]التعليم الابتدائي'!IC344</f>
        <v>0</v>
      </c>
      <c r="P68" s="15">
        <f>'[1]التعليم الابتدائي'!ID344</f>
        <v>0</v>
      </c>
      <c r="Q68" s="15">
        <f t="shared" si="12"/>
        <v>0</v>
      </c>
      <c r="R68" s="15">
        <f t="shared" si="12"/>
        <v>0</v>
      </c>
      <c r="S68" s="36">
        <f t="shared" si="13"/>
        <v>0</v>
      </c>
    </row>
    <row r="69" spans="1:20" ht="24" thickTop="1" thickBot="1">
      <c r="A69" s="43"/>
      <c r="B69" s="43"/>
      <c r="C69" s="43"/>
      <c r="D69" s="17" t="s">
        <v>243</v>
      </c>
      <c r="E69" s="15">
        <f>'[1]التعليم الابتدائي'!FW344</f>
        <v>0</v>
      </c>
      <c r="F69" s="15">
        <f>'[1]التعليم الابتدائي'!FX344</f>
        <v>0</v>
      </c>
      <c r="G69" s="59">
        <f t="shared" si="10"/>
        <v>0</v>
      </c>
      <c r="H69" s="15">
        <f>'[1]التعليم الابتدائي'!GL344</f>
        <v>0</v>
      </c>
      <c r="I69" s="15">
        <f>'[1]التعليم الابتدائي'!GM344</f>
        <v>0</v>
      </c>
      <c r="J69" s="15">
        <f t="shared" si="11"/>
        <v>0</v>
      </c>
      <c r="K69" s="15">
        <f>'[1]التعليم الابتدائي'!HA344</f>
        <v>0</v>
      </c>
      <c r="L69" s="15">
        <f>'[1]التعليم الابتدائي'!HB344</f>
        <v>0</v>
      </c>
      <c r="M69" s="15">
        <f>'[1]التعليم الابتدائي'!HP344</f>
        <v>0</v>
      </c>
      <c r="N69" s="15">
        <f>'[1]التعليم الابتدائي'!HQ344</f>
        <v>0</v>
      </c>
      <c r="O69" s="15">
        <f>'[1]التعليم الابتدائي'!IE344</f>
        <v>0</v>
      </c>
      <c r="P69" s="15">
        <f>'[1]التعليم الابتدائي'!IF344</f>
        <v>0</v>
      </c>
      <c r="Q69" s="15">
        <f t="shared" si="12"/>
        <v>0</v>
      </c>
      <c r="R69" s="15">
        <f t="shared" si="12"/>
        <v>0</v>
      </c>
      <c r="S69" s="36">
        <f t="shared" si="13"/>
        <v>0</v>
      </c>
    </row>
    <row r="70" spans="1:20" ht="24" thickTop="1" thickBot="1">
      <c r="A70" s="43"/>
      <c r="B70" s="43"/>
      <c r="C70" s="43"/>
      <c r="D70" s="18" t="s">
        <v>58</v>
      </c>
      <c r="E70" s="20">
        <f>SUM(E64:E69)</f>
        <v>0</v>
      </c>
      <c r="F70" s="20">
        <f>SUM(F64:F69)</f>
        <v>0</v>
      </c>
      <c r="G70" s="59">
        <f t="shared" si="10"/>
        <v>0</v>
      </c>
      <c r="H70" s="20">
        <f t="shared" ref="H70:S70" si="14">SUM(H64:H69)</f>
        <v>0</v>
      </c>
      <c r="I70" s="20">
        <f t="shared" si="14"/>
        <v>0</v>
      </c>
      <c r="J70" s="20">
        <f t="shared" si="14"/>
        <v>0</v>
      </c>
      <c r="K70" s="20">
        <f t="shared" si="14"/>
        <v>0</v>
      </c>
      <c r="L70" s="20">
        <f t="shared" si="14"/>
        <v>0</v>
      </c>
      <c r="M70" s="20">
        <f t="shared" si="14"/>
        <v>0</v>
      </c>
      <c r="N70" s="20">
        <f t="shared" si="14"/>
        <v>0</v>
      </c>
      <c r="O70" s="20">
        <f t="shared" si="14"/>
        <v>0</v>
      </c>
      <c r="P70" s="20">
        <f t="shared" si="14"/>
        <v>0</v>
      </c>
      <c r="Q70" s="20">
        <f t="shared" si="14"/>
        <v>0</v>
      </c>
      <c r="R70" s="20">
        <f t="shared" si="14"/>
        <v>0</v>
      </c>
      <c r="S70" s="33">
        <f t="shared" si="14"/>
        <v>0</v>
      </c>
    </row>
    <row r="71" spans="1:20" ht="23.4" thickTop="1"/>
    <row r="72" spans="1:20">
      <c r="A72" s="231" t="s">
        <v>62</v>
      </c>
      <c r="B72" s="231"/>
      <c r="C72" s="231"/>
      <c r="D72" s="231"/>
      <c r="E72" s="231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9" t="s">
        <v>87</v>
      </c>
      <c r="S72" s="29"/>
      <c r="T72" s="29"/>
    </row>
    <row r="73" spans="1:20">
      <c r="A73" s="231" t="s">
        <v>64</v>
      </c>
      <c r="B73" s="231"/>
      <c r="C73" s="231"/>
      <c r="D73" s="231"/>
      <c r="E73" s="231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9" t="s">
        <v>65</v>
      </c>
      <c r="S73" s="29"/>
      <c r="T73" s="29"/>
    </row>
    <row r="74" spans="1:20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</row>
    <row r="75" spans="1:20">
      <c r="A75" s="28"/>
      <c r="B75" s="231" t="s">
        <v>247</v>
      </c>
      <c r="C75" s="231"/>
      <c r="D75" s="231"/>
      <c r="E75" s="231"/>
      <c r="F75" s="231"/>
      <c r="G75" s="231"/>
      <c r="H75" s="231"/>
      <c r="I75" s="231"/>
      <c r="J75" s="231"/>
      <c r="K75" s="231"/>
      <c r="L75" s="231"/>
      <c r="M75" s="231"/>
      <c r="N75" s="231"/>
      <c r="O75" s="231"/>
      <c r="P75" s="231"/>
      <c r="Q75" s="231"/>
      <c r="R75" s="231"/>
      <c r="S75" s="231"/>
      <c r="T75" s="28"/>
    </row>
    <row r="76" spans="1:20">
      <c r="A76" s="43"/>
      <c r="B76" s="231" t="s">
        <v>208</v>
      </c>
      <c r="C76" s="231"/>
      <c r="D76" s="231"/>
      <c r="E76" s="231"/>
      <c r="F76" s="231"/>
      <c r="G76" s="231"/>
      <c r="H76" s="231"/>
      <c r="I76" s="231"/>
      <c r="J76" s="231"/>
      <c r="K76" s="231"/>
      <c r="L76" s="231"/>
      <c r="M76" s="231"/>
      <c r="N76" s="231"/>
      <c r="O76" s="231"/>
      <c r="P76" s="231"/>
      <c r="Q76" s="231"/>
      <c r="R76" s="231"/>
      <c r="S76" s="231"/>
      <c r="T76" s="43"/>
    </row>
    <row r="77" spans="1:20">
      <c r="A77" s="43"/>
      <c r="B77" s="294" t="s">
        <v>257</v>
      </c>
      <c r="C77" s="294"/>
      <c r="D77" s="294"/>
      <c r="E77" s="294"/>
      <c r="F77" s="294"/>
      <c r="G77" s="294"/>
      <c r="H77" s="294"/>
      <c r="I77" s="294"/>
      <c r="J77" s="294"/>
      <c r="K77" s="294"/>
      <c r="L77" s="294"/>
      <c r="M77" s="294"/>
      <c r="N77" s="294"/>
      <c r="O77" s="294"/>
      <c r="P77" s="294"/>
      <c r="Q77" s="294"/>
      <c r="R77" s="294"/>
      <c r="S77" s="294"/>
      <c r="T77" s="43"/>
    </row>
    <row r="78" spans="1:20" ht="23.4" thickBot="1">
      <c r="A78" s="28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8"/>
    </row>
    <row r="79" spans="1:20" ht="24" thickTop="1" thickBot="1">
      <c r="A79" s="28"/>
      <c r="B79" s="28"/>
      <c r="C79" s="28"/>
      <c r="D79" s="55" t="s">
        <v>259</v>
      </c>
      <c r="E79" s="300" t="s">
        <v>258</v>
      </c>
      <c r="F79" s="224"/>
      <c r="G79" s="237"/>
      <c r="H79" s="300" t="s">
        <v>251</v>
      </c>
      <c r="I79" s="224"/>
      <c r="J79" s="237"/>
      <c r="K79" s="300" t="s">
        <v>252</v>
      </c>
      <c r="L79" s="224"/>
      <c r="M79" s="224"/>
      <c r="N79" s="224"/>
      <c r="O79" s="224"/>
      <c r="P79" s="224"/>
      <c r="Q79" s="224"/>
      <c r="R79" s="224"/>
      <c r="S79" s="225"/>
    </row>
    <row r="80" spans="1:20" ht="24" thickTop="1" thickBot="1">
      <c r="A80" s="28"/>
      <c r="B80" s="28"/>
      <c r="C80" s="28"/>
      <c r="D80" s="56"/>
      <c r="E80" s="227" t="s">
        <v>253</v>
      </c>
      <c r="F80" s="227" t="s">
        <v>35</v>
      </c>
      <c r="G80" s="227" t="s">
        <v>58</v>
      </c>
      <c r="H80" s="227" t="s">
        <v>253</v>
      </c>
      <c r="I80" s="227" t="s">
        <v>35</v>
      </c>
      <c r="J80" s="227" t="s">
        <v>58</v>
      </c>
      <c r="K80" s="227" t="s">
        <v>254</v>
      </c>
      <c r="L80" s="227"/>
      <c r="M80" s="227" t="s">
        <v>255</v>
      </c>
      <c r="N80" s="227"/>
      <c r="O80" s="227" t="s">
        <v>256</v>
      </c>
      <c r="P80" s="227"/>
      <c r="Q80" s="227" t="s">
        <v>58</v>
      </c>
      <c r="R80" s="227"/>
      <c r="S80" s="244"/>
    </row>
    <row r="81" spans="1:20" ht="24" thickTop="1" thickBot="1">
      <c r="A81" s="28"/>
      <c r="B81" s="28"/>
      <c r="C81" s="28"/>
      <c r="D81" s="58" t="s">
        <v>145</v>
      </c>
      <c r="E81" s="227"/>
      <c r="F81" s="227"/>
      <c r="G81" s="227"/>
      <c r="H81" s="227"/>
      <c r="I81" s="227"/>
      <c r="J81" s="227"/>
      <c r="K81" s="15" t="s">
        <v>76</v>
      </c>
      <c r="L81" s="15" t="s">
        <v>35</v>
      </c>
      <c r="M81" s="15" t="s">
        <v>76</v>
      </c>
      <c r="N81" s="15" t="s">
        <v>35</v>
      </c>
      <c r="O81" s="15" t="s">
        <v>76</v>
      </c>
      <c r="P81" s="15" t="s">
        <v>35</v>
      </c>
      <c r="Q81" s="15" t="s">
        <v>76</v>
      </c>
      <c r="R81" s="15" t="s">
        <v>35</v>
      </c>
      <c r="S81" s="36" t="s">
        <v>58</v>
      </c>
    </row>
    <row r="82" spans="1:20" ht="24" thickTop="1" thickBot="1">
      <c r="A82" s="28"/>
      <c r="B82" s="28"/>
      <c r="C82" s="28"/>
      <c r="D82" s="17" t="s">
        <v>238</v>
      </c>
      <c r="E82" s="15">
        <f>'[1]التعليم الابتدائي'!FM346</f>
        <v>0</v>
      </c>
      <c r="F82" s="15">
        <f>'[1]التعليم الابتدائي'!FN346</f>
        <v>0</v>
      </c>
      <c r="G82" s="59">
        <f t="shared" ref="G82:G88" si="15">F82+E82</f>
        <v>0</v>
      </c>
      <c r="H82" s="15">
        <f>'[1]التعليم الابتدائي'!GB346</f>
        <v>0</v>
      </c>
      <c r="I82" s="15">
        <f>'[1]التعليم الابتدائي'!GC346</f>
        <v>0</v>
      </c>
      <c r="J82" s="15">
        <f t="shared" ref="J82:J87" si="16">I82+H82</f>
        <v>0</v>
      </c>
      <c r="K82" s="15">
        <f>'[1]التعليم الابتدائي'!GQ346</f>
        <v>0</v>
      </c>
      <c r="L82" s="15">
        <f>'[1]التعليم الابتدائي'!GR346</f>
        <v>0</v>
      </c>
      <c r="M82" s="15">
        <f>'[1]التعليم الابتدائي'!HF346</f>
        <v>0</v>
      </c>
      <c r="N82" s="15">
        <f>'[1]التعليم الابتدائي'!HG346</f>
        <v>0</v>
      </c>
      <c r="O82" s="15">
        <f>'[1]التعليم الابتدائي'!HU346</f>
        <v>0</v>
      </c>
      <c r="P82" s="15">
        <f>'[1]التعليم الابتدائي'!HV346</f>
        <v>0</v>
      </c>
      <c r="Q82" s="15">
        <f t="shared" ref="Q82:R87" si="17">O82+M82+K82</f>
        <v>0</v>
      </c>
      <c r="R82" s="15">
        <f t="shared" si="17"/>
        <v>0</v>
      </c>
      <c r="S82" s="36">
        <f t="shared" ref="S82:S87" si="18">R82+Q82</f>
        <v>0</v>
      </c>
    </row>
    <row r="83" spans="1:20" ht="24" thickTop="1" thickBot="1">
      <c r="A83" s="28"/>
      <c r="B83" s="28"/>
      <c r="C83" s="28"/>
      <c r="D83" s="17" t="s">
        <v>239</v>
      </c>
      <c r="E83" s="15">
        <f>'[1]التعليم الابتدائي'!FO346</f>
        <v>0</v>
      </c>
      <c r="F83" s="15">
        <f>'[1]التعليم الابتدائي'!FP346</f>
        <v>0</v>
      </c>
      <c r="G83" s="59">
        <f t="shared" si="15"/>
        <v>0</v>
      </c>
      <c r="H83" s="15">
        <f>'[1]التعليم الابتدائي'!GD346</f>
        <v>0</v>
      </c>
      <c r="I83" s="15">
        <f>'[1]التعليم الابتدائي'!GE346</f>
        <v>0</v>
      </c>
      <c r="J83" s="15">
        <f t="shared" si="16"/>
        <v>0</v>
      </c>
      <c r="K83" s="15">
        <f>'[1]التعليم الابتدائي'!GS346</f>
        <v>0</v>
      </c>
      <c r="L83" s="15">
        <f>'[1]التعليم الابتدائي'!GT346</f>
        <v>0</v>
      </c>
      <c r="M83" s="15">
        <f>'[1]التعليم الابتدائي'!HH346</f>
        <v>0</v>
      </c>
      <c r="N83" s="15">
        <f>'[1]التعليم الابتدائي'!HI346</f>
        <v>0</v>
      </c>
      <c r="O83" s="15">
        <f>'[1]التعليم الابتدائي'!HW346</f>
        <v>0</v>
      </c>
      <c r="P83" s="15">
        <f>'[1]التعليم الابتدائي'!HX346</f>
        <v>0</v>
      </c>
      <c r="Q83" s="15">
        <f t="shared" si="17"/>
        <v>0</v>
      </c>
      <c r="R83" s="15">
        <f t="shared" si="17"/>
        <v>0</v>
      </c>
      <c r="S83" s="36">
        <f t="shared" si="18"/>
        <v>0</v>
      </c>
    </row>
    <row r="84" spans="1:20" ht="24" thickTop="1" thickBot="1">
      <c r="A84" s="28"/>
      <c r="B84" s="28"/>
      <c r="C84" s="28"/>
      <c r="D84" s="17" t="s">
        <v>240</v>
      </c>
      <c r="E84" s="15">
        <f>'[1]التعليم الابتدائي'!FQ346</f>
        <v>0</v>
      </c>
      <c r="F84" s="15">
        <f>'[1]التعليم الابتدائي'!FR346</f>
        <v>0</v>
      </c>
      <c r="G84" s="59">
        <f t="shared" si="15"/>
        <v>0</v>
      </c>
      <c r="H84" s="15">
        <f>'[1]التعليم الابتدائي'!GF346</f>
        <v>0</v>
      </c>
      <c r="I84" s="15">
        <f>'[1]التعليم الابتدائي'!GG346</f>
        <v>0</v>
      </c>
      <c r="J84" s="15">
        <f t="shared" si="16"/>
        <v>0</v>
      </c>
      <c r="K84" s="15">
        <f>'[1]التعليم الابتدائي'!GU346</f>
        <v>0</v>
      </c>
      <c r="L84" s="15">
        <f>'[1]التعليم الابتدائي'!GV346</f>
        <v>0</v>
      </c>
      <c r="M84" s="15">
        <f>'[1]التعليم الابتدائي'!HJ346</f>
        <v>0</v>
      </c>
      <c r="N84" s="15">
        <f>'[1]التعليم الابتدائي'!HK346</f>
        <v>0</v>
      </c>
      <c r="O84" s="15">
        <f>'[1]التعليم الابتدائي'!HY346</f>
        <v>0</v>
      </c>
      <c r="P84" s="15">
        <f>'[1]التعليم الابتدائي'!HZ346</f>
        <v>0</v>
      </c>
      <c r="Q84" s="15">
        <f t="shared" si="17"/>
        <v>0</v>
      </c>
      <c r="R84" s="15">
        <f t="shared" si="17"/>
        <v>0</v>
      </c>
      <c r="S84" s="36">
        <f t="shared" si="18"/>
        <v>0</v>
      </c>
    </row>
    <row r="85" spans="1:20" ht="24" thickTop="1" thickBot="1">
      <c r="A85" s="28"/>
      <c r="B85" s="28"/>
      <c r="C85" s="28"/>
      <c r="D85" s="17" t="s">
        <v>241</v>
      </c>
      <c r="E85" s="15">
        <f>'[1]التعليم الابتدائي'!FS346</f>
        <v>0</v>
      </c>
      <c r="F85" s="15">
        <f>'[1]التعليم الابتدائي'!FT346</f>
        <v>0</v>
      </c>
      <c r="G85" s="59">
        <f t="shared" si="15"/>
        <v>0</v>
      </c>
      <c r="H85" s="15">
        <f>'[1]التعليم الابتدائي'!GH346</f>
        <v>0</v>
      </c>
      <c r="I85" s="15">
        <f>'[1]التعليم الابتدائي'!GI346</f>
        <v>0</v>
      </c>
      <c r="J85" s="15">
        <f t="shared" si="16"/>
        <v>0</v>
      </c>
      <c r="K85" s="15">
        <f>'[1]التعليم الابتدائي'!GW346</f>
        <v>0</v>
      </c>
      <c r="L85" s="15">
        <f>'[1]التعليم الابتدائي'!GX346</f>
        <v>0</v>
      </c>
      <c r="M85" s="15">
        <f>'[1]التعليم الابتدائي'!HL346</f>
        <v>0</v>
      </c>
      <c r="N85" s="15">
        <f>'[1]التعليم الابتدائي'!HM346</f>
        <v>0</v>
      </c>
      <c r="O85" s="15">
        <f>'[1]التعليم الابتدائي'!IA346</f>
        <v>0</v>
      </c>
      <c r="P85" s="15">
        <f>'[1]التعليم الابتدائي'!IB346</f>
        <v>0</v>
      </c>
      <c r="Q85" s="15">
        <f t="shared" si="17"/>
        <v>0</v>
      </c>
      <c r="R85" s="15">
        <f t="shared" si="17"/>
        <v>0</v>
      </c>
      <c r="S85" s="36">
        <f t="shared" si="18"/>
        <v>0</v>
      </c>
    </row>
    <row r="86" spans="1:20" ht="24" thickTop="1" thickBot="1">
      <c r="A86" s="28"/>
      <c r="B86" s="28"/>
      <c r="C86" s="28"/>
      <c r="D86" s="17" t="s">
        <v>242</v>
      </c>
      <c r="E86" s="15">
        <f>'[1]التعليم الابتدائي'!FU346</f>
        <v>0</v>
      </c>
      <c r="F86" s="15">
        <f>'[1]التعليم الابتدائي'!FV346</f>
        <v>0</v>
      </c>
      <c r="G86" s="59">
        <f t="shared" si="15"/>
        <v>0</v>
      </c>
      <c r="H86" s="15">
        <f>'[1]التعليم الابتدائي'!GJ346</f>
        <v>0</v>
      </c>
      <c r="I86" s="15">
        <f>'[1]التعليم الابتدائي'!GK346</f>
        <v>0</v>
      </c>
      <c r="J86" s="15">
        <f t="shared" si="16"/>
        <v>0</v>
      </c>
      <c r="K86" s="15">
        <f>'[1]التعليم الابتدائي'!GY346</f>
        <v>0</v>
      </c>
      <c r="L86" s="15">
        <f>'[1]التعليم الابتدائي'!GZ346</f>
        <v>0</v>
      </c>
      <c r="M86" s="15">
        <f>'[1]التعليم الابتدائي'!HN346</f>
        <v>0</v>
      </c>
      <c r="N86" s="15">
        <f>'[1]التعليم الابتدائي'!HO346</f>
        <v>0</v>
      </c>
      <c r="O86" s="15">
        <f>'[1]التعليم الابتدائي'!IC346</f>
        <v>0</v>
      </c>
      <c r="P86" s="15">
        <f>'[1]التعليم الابتدائي'!ID346</f>
        <v>0</v>
      </c>
      <c r="Q86" s="15">
        <f t="shared" si="17"/>
        <v>0</v>
      </c>
      <c r="R86" s="15">
        <f t="shared" si="17"/>
        <v>0</v>
      </c>
      <c r="S86" s="36">
        <f t="shared" si="18"/>
        <v>0</v>
      </c>
    </row>
    <row r="87" spans="1:20" ht="24" thickTop="1" thickBot="1">
      <c r="A87" s="28"/>
      <c r="B87" s="28"/>
      <c r="C87" s="28"/>
      <c r="D87" s="17" t="s">
        <v>243</v>
      </c>
      <c r="E87" s="15">
        <f>'[1]التعليم الابتدائي'!FW346</f>
        <v>0</v>
      </c>
      <c r="F87" s="15">
        <f>'[1]التعليم الابتدائي'!FX346</f>
        <v>0</v>
      </c>
      <c r="G87" s="59">
        <f t="shared" si="15"/>
        <v>0</v>
      </c>
      <c r="H87" s="15">
        <f>'[1]التعليم الابتدائي'!GL346</f>
        <v>0</v>
      </c>
      <c r="I87" s="15">
        <f>'[1]التعليم الابتدائي'!GM346</f>
        <v>0</v>
      </c>
      <c r="J87" s="15">
        <f t="shared" si="16"/>
        <v>0</v>
      </c>
      <c r="K87" s="15">
        <f>'[1]التعليم الابتدائي'!HA346</f>
        <v>0</v>
      </c>
      <c r="L87" s="15">
        <f>'[1]التعليم الابتدائي'!HB346</f>
        <v>0</v>
      </c>
      <c r="M87" s="15">
        <f>'[1]التعليم الابتدائي'!HP346</f>
        <v>0</v>
      </c>
      <c r="N87" s="15">
        <f>'[1]التعليم الابتدائي'!HQ346</f>
        <v>0</v>
      </c>
      <c r="O87" s="15">
        <f>'[1]التعليم الابتدائي'!IE346</f>
        <v>0</v>
      </c>
      <c r="P87" s="15">
        <f>'[1]التعليم الابتدائي'!IF346</f>
        <v>0</v>
      </c>
      <c r="Q87" s="15">
        <f t="shared" si="17"/>
        <v>0</v>
      </c>
      <c r="R87" s="15">
        <f t="shared" si="17"/>
        <v>0</v>
      </c>
      <c r="S87" s="36">
        <f t="shared" si="18"/>
        <v>0</v>
      </c>
    </row>
    <row r="88" spans="1:20" ht="24" thickTop="1" thickBot="1">
      <c r="A88" s="28"/>
      <c r="B88" s="28"/>
      <c r="C88" s="28"/>
      <c r="D88" s="18" t="s">
        <v>58</v>
      </c>
      <c r="E88" s="20">
        <f>SUM(E82:E87)</f>
        <v>0</v>
      </c>
      <c r="F88" s="20">
        <f>SUM(F82:F87)</f>
        <v>0</v>
      </c>
      <c r="G88" s="59">
        <f t="shared" si="15"/>
        <v>0</v>
      </c>
      <c r="H88" s="20">
        <f t="shared" ref="H88:S88" si="19">SUM(H82:H87)</f>
        <v>0</v>
      </c>
      <c r="I88" s="20">
        <f t="shared" si="19"/>
        <v>0</v>
      </c>
      <c r="J88" s="20">
        <f t="shared" si="19"/>
        <v>0</v>
      </c>
      <c r="K88" s="20">
        <f t="shared" si="19"/>
        <v>0</v>
      </c>
      <c r="L88" s="20">
        <f t="shared" si="19"/>
        <v>0</v>
      </c>
      <c r="M88" s="20">
        <f t="shared" si="19"/>
        <v>0</v>
      </c>
      <c r="N88" s="20">
        <f t="shared" si="19"/>
        <v>0</v>
      </c>
      <c r="O88" s="20">
        <f t="shared" si="19"/>
        <v>0</v>
      </c>
      <c r="P88" s="20">
        <f t="shared" si="19"/>
        <v>0</v>
      </c>
      <c r="Q88" s="20">
        <f t="shared" si="19"/>
        <v>0</v>
      </c>
      <c r="R88" s="20">
        <f t="shared" si="19"/>
        <v>0</v>
      </c>
      <c r="S88" s="33">
        <f t="shared" si="19"/>
        <v>0</v>
      </c>
    </row>
    <row r="89" spans="1:20" ht="23.4" thickTop="1"/>
    <row r="90" spans="1:20">
      <c r="A90" s="231" t="s">
        <v>62</v>
      </c>
      <c r="B90" s="231"/>
      <c r="C90" s="231"/>
      <c r="D90" s="231"/>
      <c r="E90" s="231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9" t="s">
        <v>137</v>
      </c>
      <c r="S90" s="29"/>
      <c r="T90" s="29"/>
    </row>
    <row r="91" spans="1:20">
      <c r="A91" s="231" t="s">
        <v>64</v>
      </c>
      <c r="B91" s="231"/>
      <c r="C91" s="231"/>
      <c r="D91" s="231"/>
      <c r="E91" s="231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9" t="s">
        <v>65</v>
      </c>
      <c r="S91" s="29"/>
      <c r="T91" s="29"/>
    </row>
    <row r="92" spans="1:20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</row>
    <row r="93" spans="1:20">
      <c r="A93" s="28"/>
      <c r="B93" s="231" t="s">
        <v>247</v>
      </c>
      <c r="C93" s="231"/>
      <c r="D93" s="231"/>
      <c r="E93" s="231"/>
      <c r="F93" s="231"/>
      <c r="G93" s="231"/>
      <c r="H93" s="231"/>
      <c r="I93" s="231"/>
      <c r="J93" s="231"/>
      <c r="K93" s="231"/>
      <c r="L93" s="231"/>
      <c r="M93" s="231"/>
      <c r="N93" s="231"/>
      <c r="O93" s="231"/>
      <c r="P93" s="231"/>
      <c r="Q93" s="231"/>
      <c r="R93" s="231"/>
      <c r="S93" s="231"/>
      <c r="T93" s="28"/>
    </row>
    <row r="94" spans="1:20">
      <c r="A94" s="43"/>
      <c r="B94" s="231" t="s">
        <v>208</v>
      </c>
      <c r="C94" s="231"/>
      <c r="D94" s="231"/>
      <c r="E94" s="231"/>
      <c r="F94" s="231"/>
      <c r="G94" s="231"/>
      <c r="H94" s="231"/>
      <c r="I94" s="231"/>
      <c r="J94" s="231"/>
      <c r="K94" s="231"/>
      <c r="L94" s="231"/>
      <c r="M94" s="231"/>
      <c r="N94" s="231"/>
      <c r="O94" s="231"/>
      <c r="P94" s="231"/>
      <c r="Q94" s="231"/>
      <c r="R94" s="231"/>
      <c r="S94" s="231"/>
      <c r="T94" s="43"/>
    </row>
    <row r="95" spans="1:20">
      <c r="A95" s="43"/>
      <c r="B95" s="294" t="s">
        <v>257</v>
      </c>
      <c r="C95" s="294"/>
      <c r="D95" s="294"/>
      <c r="E95" s="294"/>
      <c r="F95" s="294"/>
      <c r="G95" s="294"/>
      <c r="H95" s="294"/>
      <c r="I95" s="294"/>
      <c r="J95" s="294"/>
      <c r="K95" s="294"/>
      <c r="L95" s="294"/>
      <c r="M95" s="294"/>
      <c r="N95" s="294"/>
      <c r="O95" s="294"/>
      <c r="P95" s="294"/>
      <c r="Q95" s="294"/>
      <c r="R95" s="294"/>
      <c r="S95" s="294"/>
      <c r="T95" s="43"/>
    </row>
    <row r="96" spans="1:20" ht="23.4" thickBot="1">
      <c r="A96" s="28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8"/>
    </row>
    <row r="97" spans="1:20" ht="24" thickTop="1" thickBot="1">
      <c r="A97" s="28"/>
      <c r="B97" s="28"/>
      <c r="C97" s="28"/>
      <c r="D97" s="55" t="s">
        <v>259</v>
      </c>
      <c r="E97" s="300" t="s">
        <v>258</v>
      </c>
      <c r="F97" s="224"/>
      <c r="G97" s="237"/>
      <c r="H97" s="300" t="s">
        <v>251</v>
      </c>
      <c r="I97" s="224"/>
      <c r="J97" s="237"/>
      <c r="K97" s="300" t="s">
        <v>252</v>
      </c>
      <c r="L97" s="224"/>
      <c r="M97" s="224"/>
      <c r="N97" s="224"/>
      <c r="O97" s="224"/>
      <c r="P97" s="224"/>
      <c r="Q97" s="224"/>
      <c r="R97" s="224"/>
      <c r="S97" s="225"/>
    </row>
    <row r="98" spans="1:20" ht="24" thickTop="1" thickBot="1">
      <c r="A98" s="28"/>
      <c r="B98" s="28"/>
      <c r="C98" s="28"/>
      <c r="D98" s="56"/>
      <c r="E98" s="227" t="s">
        <v>253</v>
      </c>
      <c r="F98" s="227" t="s">
        <v>35</v>
      </c>
      <c r="G98" s="227" t="s">
        <v>58</v>
      </c>
      <c r="H98" s="227" t="s">
        <v>253</v>
      </c>
      <c r="I98" s="227" t="s">
        <v>35</v>
      </c>
      <c r="J98" s="227" t="s">
        <v>58</v>
      </c>
      <c r="K98" s="227" t="s">
        <v>254</v>
      </c>
      <c r="L98" s="227"/>
      <c r="M98" s="227" t="s">
        <v>255</v>
      </c>
      <c r="N98" s="227"/>
      <c r="O98" s="227" t="s">
        <v>256</v>
      </c>
      <c r="P98" s="227"/>
      <c r="Q98" s="227" t="s">
        <v>58</v>
      </c>
      <c r="R98" s="227"/>
      <c r="S98" s="244"/>
    </row>
    <row r="99" spans="1:20" ht="24" thickTop="1" thickBot="1">
      <c r="A99" s="28"/>
      <c r="B99" s="28"/>
      <c r="C99" s="28"/>
      <c r="D99" s="58" t="s">
        <v>145</v>
      </c>
      <c r="E99" s="227"/>
      <c r="F99" s="227"/>
      <c r="G99" s="227"/>
      <c r="H99" s="227"/>
      <c r="I99" s="227"/>
      <c r="J99" s="227"/>
      <c r="K99" s="15" t="s">
        <v>76</v>
      </c>
      <c r="L99" s="15" t="s">
        <v>35</v>
      </c>
      <c r="M99" s="15" t="s">
        <v>76</v>
      </c>
      <c r="N99" s="15" t="s">
        <v>35</v>
      </c>
      <c r="O99" s="15" t="s">
        <v>76</v>
      </c>
      <c r="P99" s="15" t="s">
        <v>35</v>
      </c>
      <c r="Q99" s="15" t="s">
        <v>76</v>
      </c>
      <c r="R99" s="15" t="s">
        <v>35</v>
      </c>
      <c r="S99" s="36" t="s">
        <v>58</v>
      </c>
    </row>
    <row r="100" spans="1:20" ht="24" thickTop="1" thickBot="1">
      <c r="A100" s="28"/>
      <c r="B100" s="28"/>
      <c r="C100" s="28"/>
      <c r="D100" s="17" t="s">
        <v>238</v>
      </c>
      <c r="E100" s="15">
        <f>'[1]التعليم الابتدائي'!FM368</f>
        <v>0</v>
      </c>
      <c r="F100" s="15">
        <f>'[1]التعليم الابتدائي'!FN368</f>
        <v>0</v>
      </c>
      <c r="G100" s="59">
        <f t="shared" ref="G100:G106" si="20">F100+E100</f>
        <v>0</v>
      </c>
      <c r="H100" s="15">
        <f>'[1]التعليم الابتدائي'!GB368</f>
        <v>0</v>
      </c>
      <c r="I100" s="15">
        <f>'[1]التعليم الابتدائي'!GC368</f>
        <v>0</v>
      </c>
      <c r="J100" s="15">
        <f t="shared" ref="J100:J105" si="21">I100+H100</f>
        <v>0</v>
      </c>
      <c r="K100" s="15">
        <f>'[1]التعليم الابتدائي'!GQ368</f>
        <v>0</v>
      </c>
      <c r="L100" s="15">
        <f>'[1]التعليم الابتدائي'!GR368</f>
        <v>0</v>
      </c>
      <c r="M100" s="15">
        <f>'[1]التعليم الابتدائي'!HF368</f>
        <v>0</v>
      </c>
      <c r="N100" s="15">
        <f>'[1]التعليم الابتدائي'!HG368</f>
        <v>0</v>
      </c>
      <c r="O100" s="15">
        <f>'[1]التعليم الابتدائي'!HU368</f>
        <v>0</v>
      </c>
      <c r="P100" s="15">
        <f>'[1]التعليم الابتدائي'!HV368</f>
        <v>0</v>
      </c>
      <c r="Q100" s="15">
        <f t="shared" ref="Q100:R105" si="22">O100+M100+K100</f>
        <v>0</v>
      </c>
      <c r="R100" s="15">
        <f t="shared" si="22"/>
        <v>0</v>
      </c>
      <c r="S100" s="36">
        <f t="shared" ref="S100:S105" si="23">R100+Q100</f>
        <v>0</v>
      </c>
    </row>
    <row r="101" spans="1:20" ht="24" thickTop="1" thickBot="1">
      <c r="A101" s="28"/>
      <c r="B101" s="28"/>
      <c r="C101" s="28"/>
      <c r="D101" s="17" t="s">
        <v>239</v>
      </c>
      <c r="E101" s="15">
        <f>'[1]التعليم الابتدائي'!FO368</f>
        <v>0</v>
      </c>
      <c r="F101" s="15">
        <f>'[1]التعليم الابتدائي'!FP368</f>
        <v>0</v>
      </c>
      <c r="G101" s="59">
        <f t="shared" si="20"/>
        <v>0</v>
      </c>
      <c r="H101" s="15">
        <f>'[1]التعليم الابتدائي'!GD368</f>
        <v>0</v>
      </c>
      <c r="I101" s="15">
        <f>'[1]التعليم الابتدائي'!GE368</f>
        <v>0</v>
      </c>
      <c r="J101" s="15">
        <f t="shared" si="21"/>
        <v>0</v>
      </c>
      <c r="K101" s="15">
        <f>'[1]التعليم الابتدائي'!GS368</f>
        <v>0</v>
      </c>
      <c r="L101" s="15">
        <f>'[1]التعليم الابتدائي'!GT368</f>
        <v>0</v>
      </c>
      <c r="M101" s="15">
        <f>'[1]التعليم الابتدائي'!HH368</f>
        <v>0</v>
      </c>
      <c r="N101" s="15">
        <f>'[1]التعليم الابتدائي'!HI368</f>
        <v>0</v>
      </c>
      <c r="O101" s="15">
        <f>'[1]التعليم الابتدائي'!HW368</f>
        <v>0</v>
      </c>
      <c r="P101" s="15">
        <f>'[1]التعليم الابتدائي'!HX368</f>
        <v>0</v>
      </c>
      <c r="Q101" s="15">
        <f t="shared" si="22"/>
        <v>0</v>
      </c>
      <c r="R101" s="15">
        <f t="shared" si="22"/>
        <v>0</v>
      </c>
      <c r="S101" s="36">
        <f t="shared" si="23"/>
        <v>0</v>
      </c>
    </row>
    <row r="102" spans="1:20" ht="24" thickTop="1" thickBot="1">
      <c r="A102" s="28"/>
      <c r="B102" s="28"/>
      <c r="C102" s="28"/>
      <c r="D102" s="17" t="s">
        <v>240</v>
      </c>
      <c r="E102" s="15">
        <f>'[1]التعليم الابتدائي'!FQ368</f>
        <v>0</v>
      </c>
      <c r="F102" s="15">
        <f>'[1]التعليم الابتدائي'!FR368</f>
        <v>0</v>
      </c>
      <c r="G102" s="59">
        <f t="shared" si="20"/>
        <v>0</v>
      </c>
      <c r="H102" s="15">
        <f>'[1]التعليم الابتدائي'!GF368</f>
        <v>0</v>
      </c>
      <c r="I102" s="15">
        <f>'[1]التعليم الابتدائي'!GG368</f>
        <v>0</v>
      </c>
      <c r="J102" s="15">
        <f t="shared" si="21"/>
        <v>0</v>
      </c>
      <c r="K102" s="15">
        <f>'[1]التعليم الابتدائي'!GU368</f>
        <v>0</v>
      </c>
      <c r="L102" s="15">
        <f>'[1]التعليم الابتدائي'!GV368</f>
        <v>0</v>
      </c>
      <c r="M102" s="15">
        <f>'[1]التعليم الابتدائي'!HJ368</f>
        <v>0</v>
      </c>
      <c r="N102" s="15">
        <f>'[1]التعليم الابتدائي'!HK368</f>
        <v>0</v>
      </c>
      <c r="O102" s="15">
        <f>'[1]التعليم الابتدائي'!HY368</f>
        <v>0</v>
      </c>
      <c r="P102" s="15">
        <f>'[1]التعليم الابتدائي'!HZ368</f>
        <v>0</v>
      </c>
      <c r="Q102" s="15">
        <f t="shared" si="22"/>
        <v>0</v>
      </c>
      <c r="R102" s="15">
        <f t="shared" si="22"/>
        <v>0</v>
      </c>
      <c r="S102" s="36">
        <f t="shared" si="23"/>
        <v>0</v>
      </c>
    </row>
    <row r="103" spans="1:20" ht="24" thickTop="1" thickBot="1">
      <c r="A103" s="28"/>
      <c r="B103" s="28"/>
      <c r="C103" s="28"/>
      <c r="D103" s="17" t="s">
        <v>241</v>
      </c>
      <c r="E103" s="15">
        <f>'[1]التعليم الابتدائي'!FS368</f>
        <v>0</v>
      </c>
      <c r="F103" s="15">
        <f>'[1]التعليم الابتدائي'!FT368</f>
        <v>0</v>
      </c>
      <c r="G103" s="59">
        <f t="shared" si="20"/>
        <v>0</v>
      </c>
      <c r="H103" s="15">
        <f>'[1]التعليم الابتدائي'!GH368</f>
        <v>0</v>
      </c>
      <c r="I103" s="15">
        <f>'[1]التعليم الابتدائي'!GI368</f>
        <v>0</v>
      </c>
      <c r="J103" s="15">
        <f t="shared" si="21"/>
        <v>0</v>
      </c>
      <c r="K103" s="15">
        <f>'[1]التعليم الابتدائي'!GW368</f>
        <v>0</v>
      </c>
      <c r="L103" s="15">
        <f>'[1]التعليم الابتدائي'!GX368</f>
        <v>0</v>
      </c>
      <c r="M103" s="15">
        <f>'[1]التعليم الابتدائي'!HL368</f>
        <v>0</v>
      </c>
      <c r="N103" s="15">
        <f>'[1]التعليم الابتدائي'!HM368</f>
        <v>0</v>
      </c>
      <c r="O103" s="15">
        <f>'[1]التعليم الابتدائي'!IA368</f>
        <v>0</v>
      </c>
      <c r="P103" s="15">
        <f>'[1]التعليم الابتدائي'!IB368</f>
        <v>0</v>
      </c>
      <c r="Q103" s="15">
        <f t="shared" si="22"/>
        <v>0</v>
      </c>
      <c r="R103" s="15">
        <f t="shared" si="22"/>
        <v>0</v>
      </c>
      <c r="S103" s="36">
        <f t="shared" si="23"/>
        <v>0</v>
      </c>
    </row>
    <row r="104" spans="1:20" ht="24" thickTop="1" thickBot="1">
      <c r="A104" s="28"/>
      <c r="B104" s="28"/>
      <c r="C104" s="28"/>
      <c r="D104" s="17" t="s">
        <v>242</v>
      </c>
      <c r="E104" s="15">
        <f>'[1]التعليم الابتدائي'!FU368</f>
        <v>0</v>
      </c>
      <c r="F104" s="15">
        <f>'[1]التعليم الابتدائي'!FV368</f>
        <v>0</v>
      </c>
      <c r="G104" s="59">
        <f t="shared" si="20"/>
        <v>0</v>
      </c>
      <c r="H104" s="15">
        <f>'[1]التعليم الابتدائي'!GJ368</f>
        <v>0</v>
      </c>
      <c r="I104" s="15">
        <f>'[1]التعليم الابتدائي'!GK368</f>
        <v>0</v>
      </c>
      <c r="J104" s="15">
        <f t="shared" si="21"/>
        <v>0</v>
      </c>
      <c r="K104" s="15">
        <f>'[1]التعليم الابتدائي'!GY368</f>
        <v>0</v>
      </c>
      <c r="L104" s="15">
        <f>'[1]التعليم الابتدائي'!GZ368</f>
        <v>0</v>
      </c>
      <c r="M104" s="15">
        <f>'[1]التعليم الابتدائي'!HN368</f>
        <v>0</v>
      </c>
      <c r="N104" s="15">
        <f>'[1]التعليم الابتدائي'!HO368</f>
        <v>0</v>
      </c>
      <c r="O104" s="15">
        <f>'[1]التعليم الابتدائي'!IC368</f>
        <v>0</v>
      </c>
      <c r="P104" s="15">
        <f>'[1]التعليم الابتدائي'!ID368</f>
        <v>0</v>
      </c>
      <c r="Q104" s="15">
        <f t="shared" si="22"/>
        <v>0</v>
      </c>
      <c r="R104" s="15">
        <f t="shared" si="22"/>
        <v>0</v>
      </c>
      <c r="S104" s="36">
        <f t="shared" si="23"/>
        <v>0</v>
      </c>
    </row>
    <row r="105" spans="1:20" ht="24" thickTop="1" thickBot="1">
      <c r="A105" s="28"/>
      <c r="B105" s="28"/>
      <c r="C105" s="28"/>
      <c r="D105" s="17" t="s">
        <v>243</v>
      </c>
      <c r="E105" s="15">
        <f>'[1]التعليم الابتدائي'!FW368</f>
        <v>0</v>
      </c>
      <c r="F105" s="15">
        <f>'[1]التعليم الابتدائي'!FX368</f>
        <v>0</v>
      </c>
      <c r="G105" s="59">
        <f t="shared" si="20"/>
        <v>0</v>
      </c>
      <c r="H105" s="15">
        <f>'[1]التعليم الابتدائي'!GL368</f>
        <v>0</v>
      </c>
      <c r="I105" s="15">
        <f>'[1]التعليم الابتدائي'!GM368</f>
        <v>0</v>
      </c>
      <c r="J105" s="15">
        <f t="shared" si="21"/>
        <v>0</v>
      </c>
      <c r="K105" s="15">
        <f>'[1]التعليم الابتدائي'!HA368</f>
        <v>0</v>
      </c>
      <c r="L105" s="15">
        <f>'[1]التعليم الابتدائي'!HB368</f>
        <v>0</v>
      </c>
      <c r="M105" s="15">
        <f>'[1]التعليم الابتدائي'!HP368</f>
        <v>0</v>
      </c>
      <c r="N105" s="15">
        <f>'[1]التعليم الابتدائي'!HQ368</f>
        <v>0</v>
      </c>
      <c r="O105" s="15">
        <f>'[1]التعليم الابتدائي'!IE368</f>
        <v>0</v>
      </c>
      <c r="P105" s="15">
        <f>'[1]التعليم الابتدائي'!IF368</f>
        <v>0</v>
      </c>
      <c r="Q105" s="15">
        <f t="shared" si="22"/>
        <v>0</v>
      </c>
      <c r="R105" s="15">
        <f t="shared" si="22"/>
        <v>0</v>
      </c>
      <c r="S105" s="36">
        <f t="shared" si="23"/>
        <v>0</v>
      </c>
    </row>
    <row r="106" spans="1:20" ht="24" thickTop="1" thickBot="1">
      <c r="A106" s="28"/>
      <c r="B106" s="28"/>
      <c r="C106" s="28"/>
      <c r="D106" s="18" t="s">
        <v>58</v>
      </c>
      <c r="E106" s="20">
        <f>SUM(E100:E105)</f>
        <v>0</v>
      </c>
      <c r="F106" s="20">
        <f>SUM(F100:F105)</f>
        <v>0</v>
      </c>
      <c r="G106" s="59">
        <f t="shared" si="20"/>
        <v>0</v>
      </c>
      <c r="H106" s="20">
        <f t="shared" ref="H106:S106" si="24">SUM(H100:H105)</f>
        <v>0</v>
      </c>
      <c r="I106" s="20">
        <f t="shared" si="24"/>
        <v>0</v>
      </c>
      <c r="J106" s="20">
        <f t="shared" si="24"/>
        <v>0</v>
      </c>
      <c r="K106" s="20">
        <f t="shared" si="24"/>
        <v>0</v>
      </c>
      <c r="L106" s="20">
        <f t="shared" si="24"/>
        <v>0</v>
      </c>
      <c r="M106" s="20">
        <f t="shared" si="24"/>
        <v>0</v>
      </c>
      <c r="N106" s="20">
        <f t="shared" si="24"/>
        <v>0</v>
      </c>
      <c r="O106" s="20">
        <f t="shared" si="24"/>
        <v>0</v>
      </c>
      <c r="P106" s="20">
        <f t="shared" si="24"/>
        <v>0</v>
      </c>
      <c r="Q106" s="20">
        <f t="shared" si="24"/>
        <v>0</v>
      </c>
      <c r="R106" s="20">
        <f t="shared" si="24"/>
        <v>0</v>
      </c>
      <c r="S106" s="33">
        <f t="shared" si="24"/>
        <v>0</v>
      </c>
    </row>
    <row r="107" spans="1:20" ht="23.4" thickTop="1"/>
    <row r="108" spans="1:20">
      <c r="A108" s="231" t="s">
        <v>62</v>
      </c>
      <c r="B108" s="231"/>
      <c r="C108" s="231"/>
      <c r="D108" s="231"/>
      <c r="E108" s="231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9" t="s">
        <v>88</v>
      </c>
      <c r="S108" s="29"/>
      <c r="T108" s="29"/>
    </row>
    <row r="109" spans="1:20">
      <c r="A109" s="231" t="s">
        <v>64</v>
      </c>
      <c r="B109" s="231"/>
      <c r="C109" s="231"/>
      <c r="D109" s="231"/>
      <c r="E109" s="231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9" t="s">
        <v>65</v>
      </c>
      <c r="S109" s="29"/>
      <c r="T109" s="29"/>
    </row>
    <row r="110" spans="1:2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</row>
    <row r="111" spans="1:20">
      <c r="A111" s="28"/>
      <c r="B111" s="231" t="s">
        <v>247</v>
      </c>
      <c r="C111" s="231"/>
      <c r="D111" s="231"/>
      <c r="E111" s="231"/>
      <c r="F111" s="231"/>
      <c r="G111" s="231"/>
      <c r="H111" s="231"/>
      <c r="I111" s="231"/>
      <c r="J111" s="231"/>
      <c r="K111" s="231"/>
      <c r="L111" s="231"/>
      <c r="M111" s="231"/>
      <c r="N111" s="231"/>
      <c r="O111" s="231"/>
      <c r="P111" s="231"/>
      <c r="Q111" s="231"/>
      <c r="R111" s="231"/>
      <c r="S111" s="231"/>
      <c r="T111" s="28"/>
    </row>
    <row r="112" spans="1:20">
      <c r="A112" s="43"/>
      <c r="B112" s="231" t="s">
        <v>208</v>
      </c>
      <c r="C112" s="231"/>
      <c r="D112" s="231"/>
      <c r="E112" s="231"/>
      <c r="F112" s="231"/>
      <c r="G112" s="231"/>
      <c r="H112" s="231"/>
      <c r="I112" s="231"/>
      <c r="J112" s="231"/>
      <c r="K112" s="231"/>
      <c r="L112" s="231"/>
      <c r="M112" s="231"/>
      <c r="N112" s="231"/>
      <c r="O112" s="231"/>
      <c r="P112" s="231"/>
      <c r="Q112" s="231"/>
      <c r="R112" s="231"/>
      <c r="S112" s="231"/>
      <c r="T112" s="43"/>
    </row>
    <row r="113" spans="1:20">
      <c r="A113" s="43"/>
      <c r="B113" s="294" t="s">
        <v>257</v>
      </c>
      <c r="C113" s="294"/>
      <c r="D113" s="294"/>
      <c r="E113" s="294"/>
      <c r="F113" s="294"/>
      <c r="G113" s="294"/>
      <c r="H113" s="294"/>
      <c r="I113" s="294"/>
      <c r="J113" s="294"/>
      <c r="K113" s="294"/>
      <c r="L113" s="294"/>
      <c r="M113" s="294"/>
      <c r="N113" s="294"/>
      <c r="O113" s="294"/>
      <c r="P113" s="294"/>
      <c r="Q113" s="294"/>
      <c r="R113" s="294"/>
      <c r="S113" s="294"/>
      <c r="T113" s="43"/>
    </row>
    <row r="114" spans="1:20" ht="23.4" thickBot="1">
      <c r="A114" s="28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8"/>
    </row>
    <row r="115" spans="1:20" ht="24" thickTop="1" thickBot="1">
      <c r="A115" s="28"/>
      <c r="B115" s="28"/>
      <c r="C115" s="28"/>
      <c r="D115" s="55" t="s">
        <v>259</v>
      </c>
      <c r="E115" s="300" t="s">
        <v>258</v>
      </c>
      <c r="F115" s="224"/>
      <c r="G115" s="237"/>
      <c r="H115" s="300" t="s">
        <v>251</v>
      </c>
      <c r="I115" s="224"/>
      <c r="J115" s="237"/>
      <c r="K115" s="300" t="s">
        <v>252</v>
      </c>
      <c r="L115" s="224"/>
      <c r="M115" s="224"/>
      <c r="N115" s="224"/>
      <c r="O115" s="224"/>
      <c r="P115" s="224"/>
      <c r="Q115" s="224"/>
      <c r="R115" s="224"/>
      <c r="S115" s="225"/>
    </row>
    <row r="116" spans="1:20" ht="24" thickTop="1" thickBot="1">
      <c r="A116" s="28"/>
      <c r="B116" s="28"/>
      <c r="C116" s="28"/>
      <c r="D116" s="56"/>
      <c r="E116" s="227" t="s">
        <v>253</v>
      </c>
      <c r="F116" s="227" t="s">
        <v>35</v>
      </c>
      <c r="G116" s="227" t="s">
        <v>58</v>
      </c>
      <c r="H116" s="227" t="s">
        <v>253</v>
      </c>
      <c r="I116" s="227" t="s">
        <v>35</v>
      </c>
      <c r="J116" s="227" t="s">
        <v>58</v>
      </c>
      <c r="K116" s="227" t="s">
        <v>254</v>
      </c>
      <c r="L116" s="227"/>
      <c r="M116" s="227" t="s">
        <v>255</v>
      </c>
      <c r="N116" s="227"/>
      <c r="O116" s="227" t="s">
        <v>256</v>
      </c>
      <c r="P116" s="227"/>
      <c r="Q116" s="227" t="s">
        <v>58</v>
      </c>
      <c r="R116" s="227"/>
      <c r="S116" s="244"/>
    </row>
    <row r="117" spans="1:20" ht="24" thickTop="1" thickBot="1">
      <c r="A117" s="28"/>
      <c r="B117" s="28"/>
      <c r="C117" s="28"/>
      <c r="D117" s="58" t="s">
        <v>145</v>
      </c>
      <c r="E117" s="227"/>
      <c r="F117" s="227"/>
      <c r="G117" s="227"/>
      <c r="H117" s="227"/>
      <c r="I117" s="227"/>
      <c r="J117" s="227"/>
      <c r="K117" s="15" t="s">
        <v>76</v>
      </c>
      <c r="L117" s="15" t="s">
        <v>35</v>
      </c>
      <c r="M117" s="15" t="s">
        <v>76</v>
      </c>
      <c r="N117" s="15" t="s">
        <v>35</v>
      </c>
      <c r="O117" s="15" t="s">
        <v>76</v>
      </c>
      <c r="P117" s="15" t="s">
        <v>35</v>
      </c>
      <c r="Q117" s="15" t="s">
        <v>76</v>
      </c>
      <c r="R117" s="15" t="s">
        <v>35</v>
      </c>
      <c r="S117" s="36" t="s">
        <v>58</v>
      </c>
    </row>
    <row r="118" spans="1:20" ht="24" thickTop="1" thickBot="1">
      <c r="A118" s="28"/>
      <c r="B118" s="28"/>
      <c r="C118" s="28"/>
      <c r="D118" s="17" t="s">
        <v>238</v>
      </c>
      <c r="E118" s="15">
        <f>'[1]التعليم الابتدائي'!FM376</f>
        <v>0</v>
      </c>
      <c r="F118" s="15">
        <f>'[1]التعليم الابتدائي'!FN376</f>
        <v>0</v>
      </c>
      <c r="G118" s="59">
        <f t="shared" ref="G118:G124" si="25">F118+E118</f>
        <v>0</v>
      </c>
      <c r="H118" s="15">
        <f>'[1]التعليم الابتدائي'!GB376</f>
        <v>0</v>
      </c>
      <c r="I118" s="15">
        <f>'[1]التعليم الابتدائي'!GC376</f>
        <v>0</v>
      </c>
      <c r="J118" s="15">
        <f t="shared" ref="J118:J123" si="26">I118+H118</f>
        <v>0</v>
      </c>
      <c r="K118" s="15">
        <f>'[1]التعليم الابتدائي'!GQ376</f>
        <v>0</v>
      </c>
      <c r="L118" s="15">
        <f>'[1]التعليم الابتدائي'!GR376</f>
        <v>0</v>
      </c>
      <c r="M118" s="15">
        <f>'[1]التعليم الابتدائي'!HF376</f>
        <v>0</v>
      </c>
      <c r="N118" s="15">
        <f>'[1]التعليم الابتدائي'!HG376</f>
        <v>0</v>
      </c>
      <c r="O118" s="15">
        <f>'[1]التعليم الابتدائي'!HU376</f>
        <v>0</v>
      </c>
      <c r="P118" s="15">
        <f>'[1]التعليم الابتدائي'!HV376</f>
        <v>0</v>
      </c>
      <c r="Q118" s="15">
        <f t="shared" ref="Q118:R123" si="27">O118+M118+K118</f>
        <v>0</v>
      </c>
      <c r="R118" s="15">
        <f t="shared" si="27"/>
        <v>0</v>
      </c>
      <c r="S118" s="36">
        <f t="shared" ref="S118:S123" si="28">R118+Q118</f>
        <v>0</v>
      </c>
    </row>
    <row r="119" spans="1:20" ht="24" thickTop="1" thickBot="1">
      <c r="A119" s="28"/>
      <c r="B119" s="28"/>
      <c r="C119" s="28"/>
      <c r="D119" s="17" t="s">
        <v>239</v>
      </c>
      <c r="E119" s="15">
        <f>'[1]التعليم الابتدائي'!FO376</f>
        <v>0</v>
      </c>
      <c r="F119" s="15">
        <f>'[1]التعليم الابتدائي'!FP376</f>
        <v>0</v>
      </c>
      <c r="G119" s="59">
        <f t="shared" si="25"/>
        <v>0</v>
      </c>
      <c r="H119" s="15">
        <f>'[1]التعليم الابتدائي'!GD376</f>
        <v>0</v>
      </c>
      <c r="I119" s="15">
        <f>'[1]التعليم الابتدائي'!GE376</f>
        <v>0</v>
      </c>
      <c r="J119" s="15">
        <f t="shared" si="26"/>
        <v>0</v>
      </c>
      <c r="K119" s="15">
        <f>'[1]التعليم الابتدائي'!GS376</f>
        <v>0</v>
      </c>
      <c r="L119" s="15">
        <f>'[1]التعليم الابتدائي'!GT376</f>
        <v>0</v>
      </c>
      <c r="M119" s="15">
        <f>'[1]التعليم الابتدائي'!HH376</f>
        <v>0</v>
      </c>
      <c r="N119" s="15">
        <f>'[1]التعليم الابتدائي'!HI376</f>
        <v>0</v>
      </c>
      <c r="O119" s="15">
        <f>'[1]التعليم الابتدائي'!HW376</f>
        <v>0</v>
      </c>
      <c r="P119" s="15">
        <f>'[1]التعليم الابتدائي'!HX376</f>
        <v>0</v>
      </c>
      <c r="Q119" s="15">
        <f t="shared" si="27"/>
        <v>0</v>
      </c>
      <c r="R119" s="15">
        <f t="shared" si="27"/>
        <v>0</v>
      </c>
      <c r="S119" s="36">
        <f t="shared" si="28"/>
        <v>0</v>
      </c>
    </row>
    <row r="120" spans="1:20" ht="24" thickTop="1" thickBot="1">
      <c r="A120" s="28"/>
      <c r="B120" s="28"/>
      <c r="C120" s="28"/>
      <c r="D120" s="17" t="s">
        <v>240</v>
      </c>
      <c r="E120" s="15">
        <f>'[1]التعليم الابتدائي'!FQ376</f>
        <v>0</v>
      </c>
      <c r="F120" s="15">
        <f>'[1]التعليم الابتدائي'!FR376</f>
        <v>0</v>
      </c>
      <c r="G120" s="59">
        <f t="shared" si="25"/>
        <v>0</v>
      </c>
      <c r="H120" s="15">
        <f>'[1]التعليم الابتدائي'!GF376</f>
        <v>0</v>
      </c>
      <c r="I120" s="15">
        <f>'[1]التعليم الابتدائي'!GG376</f>
        <v>0</v>
      </c>
      <c r="J120" s="15">
        <f t="shared" si="26"/>
        <v>0</v>
      </c>
      <c r="K120" s="15">
        <f>'[1]التعليم الابتدائي'!GU376</f>
        <v>0</v>
      </c>
      <c r="L120" s="15">
        <f>'[1]التعليم الابتدائي'!GV376</f>
        <v>0</v>
      </c>
      <c r="M120" s="15">
        <f>'[1]التعليم الابتدائي'!HJ376</f>
        <v>0</v>
      </c>
      <c r="N120" s="15">
        <f>'[1]التعليم الابتدائي'!HK376</f>
        <v>0</v>
      </c>
      <c r="O120" s="15">
        <f>'[1]التعليم الابتدائي'!HY376</f>
        <v>0</v>
      </c>
      <c r="P120" s="15">
        <f>'[1]التعليم الابتدائي'!HZ376</f>
        <v>0</v>
      </c>
      <c r="Q120" s="15">
        <f t="shared" si="27"/>
        <v>0</v>
      </c>
      <c r="R120" s="15">
        <f t="shared" si="27"/>
        <v>0</v>
      </c>
      <c r="S120" s="36">
        <f t="shared" si="28"/>
        <v>0</v>
      </c>
    </row>
    <row r="121" spans="1:20" ht="24" thickTop="1" thickBot="1">
      <c r="A121" s="28"/>
      <c r="B121" s="28"/>
      <c r="C121" s="28"/>
      <c r="D121" s="17" t="s">
        <v>241</v>
      </c>
      <c r="E121" s="15">
        <f>'[1]التعليم الابتدائي'!FS376</f>
        <v>0</v>
      </c>
      <c r="F121" s="15">
        <f>'[1]التعليم الابتدائي'!FT376</f>
        <v>0</v>
      </c>
      <c r="G121" s="59">
        <f t="shared" si="25"/>
        <v>0</v>
      </c>
      <c r="H121" s="15">
        <f>'[1]التعليم الابتدائي'!GH376</f>
        <v>0</v>
      </c>
      <c r="I121" s="15">
        <f>'[1]التعليم الابتدائي'!GI376</f>
        <v>0</v>
      </c>
      <c r="J121" s="15">
        <f t="shared" si="26"/>
        <v>0</v>
      </c>
      <c r="K121" s="15">
        <f>'[1]التعليم الابتدائي'!GW376</f>
        <v>0</v>
      </c>
      <c r="L121" s="15">
        <f>'[1]التعليم الابتدائي'!GX376</f>
        <v>0</v>
      </c>
      <c r="M121" s="15">
        <f>'[1]التعليم الابتدائي'!HL376</f>
        <v>0</v>
      </c>
      <c r="N121" s="15">
        <f>'[1]التعليم الابتدائي'!HM376</f>
        <v>0</v>
      </c>
      <c r="O121" s="15">
        <f>'[1]التعليم الابتدائي'!IA376</f>
        <v>0</v>
      </c>
      <c r="P121" s="15">
        <f>'[1]التعليم الابتدائي'!IB376</f>
        <v>0</v>
      </c>
      <c r="Q121" s="15">
        <f t="shared" si="27"/>
        <v>0</v>
      </c>
      <c r="R121" s="15">
        <f t="shared" si="27"/>
        <v>0</v>
      </c>
      <c r="S121" s="36">
        <f t="shared" si="28"/>
        <v>0</v>
      </c>
    </row>
    <row r="122" spans="1:20" ht="24" thickTop="1" thickBot="1">
      <c r="A122" s="28"/>
      <c r="B122" s="28"/>
      <c r="C122" s="28"/>
      <c r="D122" s="17" t="s">
        <v>242</v>
      </c>
      <c r="E122" s="15">
        <f>'[1]التعليم الابتدائي'!FU376</f>
        <v>0</v>
      </c>
      <c r="F122" s="15">
        <f>'[1]التعليم الابتدائي'!FV376</f>
        <v>0</v>
      </c>
      <c r="G122" s="59">
        <f t="shared" si="25"/>
        <v>0</v>
      </c>
      <c r="H122" s="15">
        <f>'[1]التعليم الابتدائي'!GJ376</f>
        <v>0</v>
      </c>
      <c r="I122" s="15">
        <f>'[1]التعليم الابتدائي'!GK376</f>
        <v>0</v>
      </c>
      <c r="J122" s="15">
        <f t="shared" si="26"/>
        <v>0</v>
      </c>
      <c r="K122" s="15">
        <f>'[1]التعليم الابتدائي'!GY376</f>
        <v>0</v>
      </c>
      <c r="L122" s="15">
        <f>'[1]التعليم الابتدائي'!GZ376</f>
        <v>0</v>
      </c>
      <c r="M122" s="15">
        <f>'[1]التعليم الابتدائي'!HN376</f>
        <v>0</v>
      </c>
      <c r="N122" s="15">
        <f>'[1]التعليم الابتدائي'!HO376</f>
        <v>0</v>
      </c>
      <c r="O122" s="15">
        <f>'[1]التعليم الابتدائي'!IC376</f>
        <v>0</v>
      </c>
      <c r="P122" s="15">
        <f>'[1]التعليم الابتدائي'!ID376</f>
        <v>0</v>
      </c>
      <c r="Q122" s="15">
        <f t="shared" si="27"/>
        <v>0</v>
      </c>
      <c r="R122" s="15">
        <f t="shared" si="27"/>
        <v>0</v>
      </c>
      <c r="S122" s="36">
        <f t="shared" si="28"/>
        <v>0</v>
      </c>
    </row>
    <row r="123" spans="1:20" ht="24" thickTop="1" thickBot="1">
      <c r="A123" s="28"/>
      <c r="B123" s="28"/>
      <c r="C123" s="28"/>
      <c r="D123" s="17" t="s">
        <v>243</v>
      </c>
      <c r="E123" s="15">
        <f>'[1]التعليم الابتدائي'!FW376</f>
        <v>0</v>
      </c>
      <c r="F123" s="15">
        <f>'[1]التعليم الابتدائي'!FX376</f>
        <v>0</v>
      </c>
      <c r="G123" s="59">
        <f t="shared" si="25"/>
        <v>0</v>
      </c>
      <c r="H123" s="15">
        <f>'[1]التعليم الابتدائي'!GL376</f>
        <v>0</v>
      </c>
      <c r="I123" s="15">
        <f>'[1]التعليم الابتدائي'!GM376</f>
        <v>0</v>
      </c>
      <c r="J123" s="15">
        <f t="shared" si="26"/>
        <v>0</v>
      </c>
      <c r="K123" s="15">
        <f>'[1]التعليم الابتدائي'!HA376</f>
        <v>0</v>
      </c>
      <c r="L123" s="15">
        <f>'[1]التعليم الابتدائي'!HB376</f>
        <v>0</v>
      </c>
      <c r="M123" s="15">
        <f>'[1]التعليم الابتدائي'!HP376</f>
        <v>0</v>
      </c>
      <c r="N123" s="15">
        <f>'[1]التعليم الابتدائي'!HQ376</f>
        <v>0</v>
      </c>
      <c r="O123" s="15">
        <f>'[1]التعليم الابتدائي'!IE376</f>
        <v>0</v>
      </c>
      <c r="P123" s="15">
        <f>'[1]التعليم الابتدائي'!IF376</f>
        <v>0</v>
      </c>
      <c r="Q123" s="15">
        <f t="shared" si="27"/>
        <v>0</v>
      </c>
      <c r="R123" s="15">
        <f t="shared" si="27"/>
        <v>0</v>
      </c>
      <c r="S123" s="36">
        <f t="shared" si="28"/>
        <v>0</v>
      </c>
    </row>
    <row r="124" spans="1:20" ht="24" thickTop="1" thickBot="1">
      <c r="A124" s="28"/>
      <c r="B124" s="28"/>
      <c r="C124" s="28"/>
      <c r="D124" s="18" t="s">
        <v>58</v>
      </c>
      <c r="E124" s="20">
        <f>SUM(E118:E123)</f>
        <v>0</v>
      </c>
      <c r="F124" s="20">
        <f>SUM(F118:F123)</f>
        <v>0</v>
      </c>
      <c r="G124" s="59">
        <f t="shared" si="25"/>
        <v>0</v>
      </c>
      <c r="H124" s="20">
        <f t="shared" ref="H124:S124" si="29">SUM(H118:H123)</f>
        <v>0</v>
      </c>
      <c r="I124" s="20">
        <f t="shared" si="29"/>
        <v>0</v>
      </c>
      <c r="J124" s="20">
        <f t="shared" si="29"/>
        <v>0</v>
      </c>
      <c r="K124" s="20">
        <f t="shared" si="29"/>
        <v>0</v>
      </c>
      <c r="L124" s="20">
        <f t="shared" si="29"/>
        <v>0</v>
      </c>
      <c r="M124" s="20">
        <f t="shared" si="29"/>
        <v>0</v>
      </c>
      <c r="N124" s="20">
        <f t="shared" si="29"/>
        <v>0</v>
      </c>
      <c r="O124" s="20">
        <f t="shared" si="29"/>
        <v>0</v>
      </c>
      <c r="P124" s="20">
        <f t="shared" si="29"/>
        <v>0</v>
      </c>
      <c r="Q124" s="20">
        <f t="shared" si="29"/>
        <v>0</v>
      </c>
      <c r="R124" s="20">
        <f t="shared" si="29"/>
        <v>0</v>
      </c>
      <c r="S124" s="33">
        <f t="shared" si="29"/>
        <v>0</v>
      </c>
    </row>
    <row r="125" spans="1:20" ht="23.4" thickTop="1">
      <c r="A125" s="295" t="s">
        <v>62</v>
      </c>
      <c r="B125" s="295"/>
      <c r="C125" s="295"/>
      <c r="D125" s="295"/>
      <c r="E125" s="29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4" t="s">
        <v>89</v>
      </c>
      <c r="S125" s="44"/>
      <c r="T125" s="44"/>
    </row>
    <row r="126" spans="1:20">
      <c r="A126" s="295" t="s">
        <v>64</v>
      </c>
      <c r="B126" s="295"/>
      <c r="C126" s="295"/>
      <c r="D126" s="295"/>
      <c r="E126" s="29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4" t="s">
        <v>65</v>
      </c>
      <c r="S126" s="44"/>
      <c r="T126" s="44"/>
    </row>
    <row r="127" spans="1:20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</row>
    <row r="128" spans="1:20">
      <c r="A128" s="45"/>
      <c r="B128" s="45"/>
      <c r="C128" s="45"/>
      <c r="D128" s="46"/>
      <c r="E128" s="46"/>
      <c r="F128" s="46"/>
      <c r="G128" s="46"/>
      <c r="H128" s="46"/>
      <c r="I128" s="46" t="s">
        <v>247</v>
      </c>
      <c r="J128" s="46"/>
      <c r="K128" s="46"/>
      <c r="L128" s="46"/>
      <c r="M128" s="46"/>
      <c r="N128" s="46"/>
      <c r="O128" s="45"/>
      <c r="P128" s="46"/>
      <c r="Q128" s="46"/>
      <c r="R128" s="46"/>
      <c r="S128" s="46"/>
      <c r="T128" s="45"/>
    </row>
    <row r="129" spans="1:20">
      <c r="A129" s="64"/>
      <c r="B129" s="64"/>
      <c r="C129" s="64"/>
      <c r="D129" s="23"/>
      <c r="E129" s="23"/>
      <c r="F129" s="23"/>
      <c r="G129" s="23"/>
      <c r="H129" s="23"/>
      <c r="I129" s="23" t="s">
        <v>208</v>
      </c>
      <c r="J129" s="23"/>
      <c r="K129" s="23"/>
      <c r="L129" s="23"/>
      <c r="M129" s="23"/>
      <c r="N129" s="23"/>
      <c r="O129" s="48"/>
      <c r="P129" s="23"/>
      <c r="Q129" s="23"/>
      <c r="R129" s="23"/>
      <c r="S129" s="23"/>
      <c r="T129" s="64"/>
    </row>
    <row r="130" spans="1:20">
      <c r="A130" s="64"/>
      <c r="B130" s="64"/>
      <c r="C130" s="64"/>
      <c r="D130" s="46"/>
      <c r="E130" s="46"/>
      <c r="F130" s="46"/>
      <c r="G130" s="46"/>
      <c r="H130" s="46"/>
      <c r="I130" s="65" t="s">
        <v>257</v>
      </c>
      <c r="J130" s="46"/>
      <c r="K130" s="46"/>
      <c r="L130" s="46"/>
      <c r="M130" s="46"/>
      <c r="N130" s="46"/>
      <c r="O130" s="48"/>
      <c r="P130" s="46"/>
      <c r="Q130" s="46"/>
      <c r="R130" s="46"/>
      <c r="S130" s="46"/>
      <c r="T130" s="64"/>
    </row>
    <row r="131" spans="1:20" ht="23.4" thickBot="1">
      <c r="A131" s="45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8"/>
      <c r="P131" s="46"/>
      <c r="Q131" s="46"/>
      <c r="R131" s="46"/>
      <c r="S131" s="46"/>
      <c r="T131" s="45"/>
    </row>
    <row r="132" spans="1:20" ht="24" thickTop="1" thickBot="1">
      <c r="A132" s="45"/>
      <c r="B132" s="45"/>
      <c r="C132" s="45"/>
      <c r="D132" s="66" t="s">
        <v>249</v>
      </c>
      <c r="E132" s="307" t="s">
        <v>258</v>
      </c>
      <c r="F132" s="308"/>
      <c r="G132" s="309"/>
      <c r="H132" s="310" t="s">
        <v>251</v>
      </c>
      <c r="I132" s="308"/>
      <c r="J132" s="309"/>
      <c r="K132" s="311" t="s">
        <v>252</v>
      </c>
      <c r="L132" s="312"/>
      <c r="M132" s="312"/>
      <c r="N132" s="312"/>
      <c r="O132" s="312"/>
      <c r="P132" s="312"/>
      <c r="Q132" s="312"/>
      <c r="R132" s="312"/>
      <c r="S132" s="313"/>
    </row>
    <row r="133" spans="1:20" ht="24" thickTop="1" thickBot="1">
      <c r="A133" s="45"/>
      <c r="B133" s="45"/>
      <c r="C133" s="45"/>
      <c r="D133" s="67"/>
      <c r="E133" s="303" t="s">
        <v>253</v>
      </c>
      <c r="F133" s="303" t="s">
        <v>35</v>
      </c>
      <c r="G133" s="303" t="s">
        <v>58</v>
      </c>
      <c r="H133" s="303" t="s">
        <v>253</v>
      </c>
      <c r="I133" s="303" t="s">
        <v>35</v>
      </c>
      <c r="J133" s="303" t="s">
        <v>58</v>
      </c>
      <c r="K133" s="303" t="s">
        <v>254</v>
      </c>
      <c r="L133" s="303"/>
      <c r="M133" s="303" t="s">
        <v>255</v>
      </c>
      <c r="N133" s="303"/>
      <c r="O133" s="303" t="s">
        <v>256</v>
      </c>
      <c r="P133" s="303"/>
      <c r="Q133" s="304" t="s">
        <v>58</v>
      </c>
      <c r="R133" s="305"/>
      <c r="S133" s="306"/>
    </row>
    <row r="134" spans="1:20" ht="24" thickTop="1" thickBot="1">
      <c r="A134" s="45"/>
      <c r="B134" s="45"/>
      <c r="C134" s="45"/>
      <c r="D134" s="68" t="s">
        <v>145</v>
      </c>
      <c r="E134" s="303"/>
      <c r="F134" s="303"/>
      <c r="G134" s="303"/>
      <c r="H134" s="303"/>
      <c r="I134" s="303"/>
      <c r="J134" s="303"/>
      <c r="K134" s="49" t="s">
        <v>76</v>
      </c>
      <c r="L134" s="49" t="s">
        <v>35</v>
      </c>
      <c r="M134" s="49" t="s">
        <v>76</v>
      </c>
      <c r="N134" s="49" t="s">
        <v>35</v>
      </c>
      <c r="O134" s="49" t="s">
        <v>76</v>
      </c>
      <c r="P134" s="49" t="s">
        <v>35</v>
      </c>
      <c r="Q134" s="49" t="s">
        <v>76</v>
      </c>
      <c r="R134" s="49" t="s">
        <v>35</v>
      </c>
      <c r="S134" s="50" t="s">
        <v>58</v>
      </c>
    </row>
    <row r="135" spans="1:20" ht="24" thickTop="1" thickBot="1">
      <c r="A135" s="45"/>
      <c r="B135" s="45"/>
      <c r="C135" s="45"/>
      <c r="D135" s="51" t="s">
        <v>238</v>
      </c>
      <c r="E135" s="49">
        <f>'[1]التعليم الابتدائي'!FM581</f>
        <v>0</v>
      </c>
      <c r="F135" s="49">
        <f>'[1]التعليم الابتدائي'!FN581</f>
        <v>0</v>
      </c>
      <c r="G135" s="69">
        <f t="shared" ref="G135:G141" si="30">F135+E135</f>
        <v>0</v>
      </c>
      <c r="H135" s="49">
        <f>'[1]التعليم الابتدائي'!GB581</f>
        <v>0</v>
      </c>
      <c r="I135" s="49">
        <f>'[1]التعليم الابتدائي'!GC581</f>
        <v>0</v>
      </c>
      <c r="J135" s="49">
        <f t="shared" ref="J135:J140" si="31">I135+H135</f>
        <v>0</v>
      </c>
      <c r="K135" s="49">
        <f>'[1]التعليم الابتدائي'!GQ581</f>
        <v>0</v>
      </c>
      <c r="L135" s="49">
        <f>'[1]التعليم الابتدائي'!GR581</f>
        <v>0</v>
      </c>
      <c r="M135" s="49">
        <f>'[1]التعليم الابتدائي'!HF581</f>
        <v>0</v>
      </c>
      <c r="N135" s="49">
        <f>'[1]التعليم الابتدائي'!HG581</f>
        <v>0</v>
      </c>
      <c r="O135" s="49">
        <f>'[1]التعليم الابتدائي'!HU581</f>
        <v>0</v>
      </c>
      <c r="P135" s="49">
        <f>'[1]التعليم الابتدائي'!HV581</f>
        <v>0</v>
      </c>
      <c r="Q135" s="49">
        <f t="shared" ref="Q135:R140" si="32">O135+M135+K135</f>
        <v>0</v>
      </c>
      <c r="R135" s="49">
        <f t="shared" si="32"/>
        <v>0</v>
      </c>
      <c r="S135" s="50">
        <f t="shared" ref="S135:S140" si="33">R135+Q135</f>
        <v>0</v>
      </c>
    </row>
    <row r="136" spans="1:20" ht="24" thickTop="1" thickBot="1">
      <c r="A136" s="45"/>
      <c r="B136" s="45"/>
      <c r="C136" s="45"/>
      <c r="D136" s="51" t="s">
        <v>239</v>
      </c>
      <c r="E136" s="49">
        <f>'[1]التعليم الابتدائي'!FO581</f>
        <v>0</v>
      </c>
      <c r="F136" s="49">
        <f>'[1]التعليم الابتدائي'!FP581</f>
        <v>0</v>
      </c>
      <c r="G136" s="69">
        <f t="shared" si="30"/>
        <v>0</v>
      </c>
      <c r="H136" s="49">
        <f>'[1]التعليم الابتدائي'!GD581</f>
        <v>0</v>
      </c>
      <c r="I136" s="49">
        <f>'[1]التعليم الابتدائي'!GE581</f>
        <v>0</v>
      </c>
      <c r="J136" s="49">
        <f t="shared" si="31"/>
        <v>0</v>
      </c>
      <c r="K136" s="49">
        <f>'[1]التعليم الابتدائي'!GS581</f>
        <v>0</v>
      </c>
      <c r="L136" s="49">
        <f>'[1]التعليم الابتدائي'!GT581</f>
        <v>0</v>
      </c>
      <c r="M136" s="49">
        <f>'[1]التعليم الابتدائي'!HH581</f>
        <v>0</v>
      </c>
      <c r="N136" s="49">
        <f>'[1]التعليم الابتدائي'!HI581</f>
        <v>0</v>
      </c>
      <c r="O136" s="49">
        <f>'[1]التعليم الابتدائي'!HW581</f>
        <v>0</v>
      </c>
      <c r="P136" s="49">
        <f>'[1]التعليم الابتدائي'!HX581</f>
        <v>0</v>
      </c>
      <c r="Q136" s="49">
        <f t="shared" si="32"/>
        <v>0</v>
      </c>
      <c r="R136" s="49">
        <f t="shared" si="32"/>
        <v>0</v>
      </c>
      <c r="S136" s="50">
        <f t="shared" si="33"/>
        <v>0</v>
      </c>
    </row>
    <row r="137" spans="1:20" ht="24" thickTop="1" thickBot="1">
      <c r="A137" s="45"/>
      <c r="B137" s="45"/>
      <c r="C137" s="45"/>
      <c r="D137" s="51" t="s">
        <v>240</v>
      </c>
      <c r="E137" s="49">
        <f>'[1]التعليم الابتدائي'!FQ581</f>
        <v>0</v>
      </c>
      <c r="F137" s="49">
        <f>'[1]التعليم الابتدائي'!FR581</f>
        <v>0</v>
      </c>
      <c r="G137" s="69">
        <f t="shared" si="30"/>
        <v>0</v>
      </c>
      <c r="H137" s="49">
        <f>'[1]التعليم الابتدائي'!GF581</f>
        <v>0</v>
      </c>
      <c r="I137" s="49">
        <f>'[1]التعليم الابتدائي'!GG581</f>
        <v>0</v>
      </c>
      <c r="J137" s="49">
        <f t="shared" si="31"/>
        <v>0</v>
      </c>
      <c r="K137" s="49">
        <f>'[1]التعليم الابتدائي'!GU581</f>
        <v>0</v>
      </c>
      <c r="L137" s="49">
        <f>'[1]التعليم الابتدائي'!GV581</f>
        <v>0</v>
      </c>
      <c r="M137" s="49">
        <f>'[1]التعليم الابتدائي'!HJ581</f>
        <v>0</v>
      </c>
      <c r="N137" s="49">
        <f>'[1]التعليم الابتدائي'!HK581</f>
        <v>0</v>
      </c>
      <c r="O137" s="49">
        <f>'[1]التعليم الابتدائي'!HY581</f>
        <v>0</v>
      </c>
      <c r="P137" s="49">
        <f>'[1]التعليم الابتدائي'!HZ581</f>
        <v>0</v>
      </c>
      <c r="Q137" s="49">
        <f t="shared" si="32"/>
        <v>0</v>
      </c>
      <c r="R137" s="49">
        <f t="shared" si="32"/>
        <v>0</v>
      </c>
      <c r="S137" s="50">
        <f t="shared" si="33"/>
        <v>0</v>
      </c>
    </row>
    <row r="138" spans="1:20" ht="24" thickTop="1" thickBot="1">
      <c r="A138" s="45"/>
      <c r="B138" s="45"/>
      <c r="C138" s="45"/>
      <c r="D138" s="51" t="s">
        <v>241</v>
      </c>
      <c r="E138" s="49">
        <f>'[1]التعليم الابتدائي'!FS581</f>
        <v>0</v>
      </c>
      <c r="F138" s="49">
        <f>'[1]التعليم الابتدائي'!FT581</f>
        <v>0</v>
      </c>
      <c r="G138" s="69">
        <f t="shared" si="30"/>
        <v>0</v>
      </c>
      <c r="H138" s="49">
        <f>'[1]التعليم الابتدائي'!GH581</f>
        <v>0</v>
      </c>
      <c r="I138" s="49">
        <f>'[1]التعليم الابتدائي'!GI581</f>
        <v>0</v>
      </c>
      <c r="J138" s="49">
        <f t="shared" si="31"/>
        <v>0</v>
      </c>
      <c r="K138" s="49">
        <f>'[1]التعليم الابتدائي'!GW581</f>
        <v>0</v>
      </c>
      <c r="L138" s="49">
        <f>'[1]التعليم الابتدائي'!GX581</f>
        <v>0</v>
      </c>
      <c r="M138" s="49">
        <f>'[1]التعليم الابتدائي'!HL581</f>
        <v>0</v>
      </c>
      <c r="N138" s="49">
        <f>'[1]التعليم الابتدائي'!HM581</f>
        <v>0</v>
      </c>
      <c r="O138" s="49">
        <f>'[1]التعليم الابتدائي'!IA581</f>
        <v>0</v>
      </c>
      <c r="P138" s="49">
        <f>'[1]التعليم الابتدائي'!IB581</f>
        <v>0</v>
      </c>
      <c r="Q138" s="49">
        <f t="shared" si="32"/>
        <v>0</v>
      </c>
      <c r="R138" s="49">
        <f t="shared" si="32"/>
        <v>0</v>
      </c>
      <c r="S138" s="50">
        <f t="shared" si="33"/>
        <v>0</v>
      </c>
    </row>
    <row r="139" spans="1:20" ht="24" thickTop="1" thickBot="1">
      <c r="A139" s="45"/>
      <c r="B139" s="45"/>
      <c r="C139" s="45"/>
      <c r="D139" s="51" t="s">
        <v>242</v>
      </c>
      <c r="E139" s="49">
        <f>'[1]التعليم الابتدائي'!FU581</f>
        <v>0</v>
      </c>
      <c r="F139" s="49">
        <f>'[1]التعليم الابتدائي'!FV581</f>
        <v>0</v>
      </c>
      <c r="G139" s="69">
        <f t="shared" si="30"/>
        <v>0</v>
      </c>
      <c r="H139" s="49">
        <f>'[1]التعليم الابتدائي'!GJ581</f>
        <v>0</v>
      </c>
      <c r="I139" s="49">
        <f>'[1]التعليم الابتدائي'!GK581</f>
        <v>0</v>
      </c>
      <c r="J139" s="49">
        <f t="shared" si="31"/>
        <v>0</v>
      </c>
      <c r="K139" s="49">
        <f>'[1]التعليم الابتدائي'!GY581</f>
        <v>0</v>
      </c>
      <c r="L139" s="49">
        <f>'[1]التعليم الابتدائي'!GZ581</f>
        <v>0</v>
      </c>
      <c r="M139" s="49">
        <f>'[1]التعليم الابتدائي'!HN581</f>
        <v>0</v>
      </c>
      <c r="N139" s="49">
        <f>'[1]التعليم الابتدائي'!HO581</f>
        <v>0</v>
      </c>
      <c r="O139" s="49">
        <f>'[1]التعليم الابتدائي'!IC581</f>
        <v>0</v>
      </c>
      <c r="P139" s="49">
        <f>'[1]التعليم الابتدائي'!ID581</f>
        <v>0</v>
      </c>
      <c r="Q139" s="49">
        <f t="shared" si="32"/>
        <v>0</v>
      </c>
      <c r="R139" s="49">
        <f t="shared" si="32"/>
        <v>0</v>
      </c>
      <c r="S139" s="50">
        <f t="shared" si="33"/>
        <v>0</v>
      </c>
    </row>
    <row r="140" spans="1:20" ht="24" thickTop="1" thickBot="1">
      <c r="A140" s="45"/>
      <c r="B140" s="45"/>
      <c r="C140" s="45"/>
      <c r="D140" s="51" t="s">
        <v>243</v>
      </c>
      <c r="E140" s="49">
        <f>'[1]التعليم الابتدائي'!FW581</f>
        <v>0</v>
      </c>
      <c r="F140" s="49">
        <f>'[1]التعليم الابتدائي'!FX581</f>
        <v>0</v>
      </c>
      <c r="G140" s="69">
        <f t="shared" si="30"/>
        <v>0</v>
      </c>
      <c r="H140" s="49">
        <f>'[1]التعليم الابتدائي'!GL581</f>
        <v>0</v>
      </c>
      <c r="I140" s="49">
        <f>'[1]التعليم الابتدائي'!GM581</f>
        <v>0</v>
      </c>
      <c r="J140" s="49">
        <f t="shared" si="31"/>
        <v>0</v>
      </c>
      <c r="K140" s="49">
        <f>'[1]التعليم الابتدائي'!HA581</f>
        <v>0</v>
      </c>
      <c r="L140" s="49">
        <f>'[1]التعليم الابتدائي'!HB581</f>
        <v>0</v>
      </c>
      <c r="M140" s="49">
        <f>'[1]التعليم الابتدائي'!HP581</f>
        <v>0</v>
      </c>
      <c r="N140" s="49">
        <f>'[1]التعليم الابتدائي'!HQ581</f>
        <v>0</v>
      </c>
      <c r="O140" s="49">
        <f>'[1]التعليم الابتدائي'!IE581</f>
        <v>0</v>
      </c>
      <c r="P140" s="49">
        <f>'[1]التعليم الابتدائي'!IF581</f>
        <v>0</v>
      </c>
      <c r="Q140" s="49">
        <f t="shared" si="32"/>
        <v>0</v>
      </c>
      <c r="R140" s="49">
        <f t="shared" si="32"/>
        <v>0</v>
      </c>
      <c r="S140" s="50">
        <f t="shared" si="33"/>
        <v>0</v>
      </c>
    </row>
    <row r="141" spans="1:20" ht="24" thickTop="1" thickBot="1">
      <c r="A141" s="45"/>
      <c r="B141" s="45"/>
      <c r="C141" s="45"/>
      <c r="D141" s="52" t="s">
        <v>58</v>
      </c>
      <c r="E141" s="53">
        <f>SUM(E135:E140)</f>
        <v>0</v>
      </c>
      <c r="F141" s="53">
        <f>SUM(F135:F140)</f>
        <v>0</v>
      </c>
      <c r="G141" s="70">
        <f t="shared" si="30"/>
        <v>0</v>
      </c>
      <c r="H141" s="53">
        <f t="shared" ref="H141:S141" si="34">SUM(H135:H140)</f>
        <v>0</v>
      </c>
      <c r="I141" s="53">
        <f t="shared" si="34"/>
        <v>0</v>
      </c>
      <c r="J141" s="53">
        <f t="shared" si="34"/>
        <v>0</v>
      </c>
      <c r="K141" s="53">
        <f t="shared" si="34"/>
        <v>0</v>
      </c>
      <c r="L141" s="53">
        <f t="shared" si="34"/>
        <v>0</v>
      </c>
      <c r="M141" s="53">
        <f t="shared" si="34"/>
        <v>0</v>
      </c>
      <c r="N141" s="53">
        <f t="shared" si="34"/>
        <v>0</v>
      </c>
      <c r="O141" s="53">
        <f t="shared" si="34"/>
        <v>0</v>
      </c>
      <c r="P141" s="53">
        <f t="shared" si="34"/>
        <v>0</v>
      </c>
      <c r="Q141" s="53">
        <f t="shared" si="34"/>
        <v>0</v>
      </c>
      <c r="R141" s="53">
        <f t="shared" si="34"/>
        <v>0</v>
      </c>
      <c r="S141" s="54">
        <f t="shared" si="34"/>
        <v>0</v>
      </c>
    </row>
    <row r="142" spans="1:20" ht="23.4" thickTop="1"/>
    <row r="143" spans="1:20">
      <c r="A143" s="231" t="s">
        <v>62</v>
      </c>
      <c r="B143" s="231"/>
      <c r="C143" s="231"/>
      <c r="D143" s="231"/>
      <c r="E143" s="231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9" t="s">
        <v>90</v>
      </c>
      <c r="S143" s="29"/>
      <c r="T143" s="29"/>
    </row>
    <row r="144" spans="1:20">
      <c r="A144" s="231" t="s">
        <v>64</v>
      </c>
      <c r="B144" s="231"/>
      <c r="C144" s="231"/>
      <c r="D144" s="231"/>
      <c r="E144" s="231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9" t="s">
        <v>65</v>
      </c>
      <c r="T144" s="29"/>
    </row>
    <row r="145" spans="1:20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</row>
    <row r="146" spans="1:20">
      <c r="A146" s="28"/>
      <c r="B146" s="231" t="s">
        <v>247</v>
      </c>
      <c r="C146" s="231"/>
      <c r="D146" s="231"/>
      <c r="E146" s="231"/>
      <c r="F146" s="231"/>
      <c r="G146" s="231"/>
      <c r="H146" s="231"/>
      <c r="I146" s="231"/>
      <c r="J146" s="231"/>
      <c r="K146" s="231"/>
      <c r="L146" s="231"/>
      <c r="M146" s="231"/>
      <c r="N146" s="231"/>
      <c r="O146" s="231"/>
      <c r="P146" s="231"/>
      <c r="Q146" s="231"/>
      <c r="R146" s="231"/>
      <c r="S146" s="231"/>
      <c r="T146" s="28"/>
    </row>
    <row r="147" spans="1:20">
      <c r="A147" s="43"/>
      <c r="B147" s="231" t="s">
        <v>208</v>
      </c>
      <c r="C147" s="231"/>
      <c r="D147" s="231"/>
      <c r="E147" s="231"/>
      <c r="F147" s="231"/>
      <c r="G147" s="231"/>
      <c r="H147" s="231"/>
      <c r="I147" s="231"/>
      <c r="J147" s="231"/>
      <c r="K147" s="231"/>
      <c r="L147" s="231"/>
      <c r="M147" s="231"/>
      <c r="N147" s="231"/>
      <c r="O147" s="231"/>
      <c r="P147" s="231"/>
      <c r="Q147" s="231"/>
      <c r="R147" s="231"/>
      <c r="S147" s="231"/>
      <c r="T147" s="43"/>
    </row>
    <row r="148" spans="1:20">
      <c r="A148" s="43"/>
      <c r="B148" s="294" t="s">
        <v>257</v>
      </c>
      <c r="C148" s="231"/>
      <c r="D148" s="231"/>
      <c r="E148" s="231"/>
      <c r="F148" s="231"/>
      <c r="G148" s="231"/>
      <c r="H148" s="231"/>
      <c r="I148" s="231"/>
      <c r="J148" s="231"/>
      <c r="K148" s="231"/>
      <c r="L148" s="231"/>
      <c r="M148" s="231"/>
      <c r="N148" s="231"/>
      <c r="O148" s="231"/>
      <c r="P148" s="231"/>
      <c r="Q148" s="231"/>
      <c r="R148" s="231"/>
      <c r="S148" s="231"/>
      <c r="T148" s="43"/>
    </row>
    <row r="149" spans="1:20" ht="23.4" thickBot="1">
      <c r="A149" s="28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8"/>
    </row>
    <row r="150" spans="1:20" ht="24" thickTop="1" thickBot="1">
      <c r="A150" s="28"/>
      <c r="B150" s="28"/>
      <c r="C150" s="28"/>
      <c r="D150" s="55" t="s">
        <v>249</v>
      </c>
      <c r="E150" s="300" t="s">
        <v>258</v>
      </c>
      <c r="F150" s="224"/>
      <c r="G150" s="237"/>
      <c r="H150" s="300" t="s">
        <v>251</v>
      </c>
      <c r="I150" s="224"/>
      <c r="J150" s="237"/>
      <c r="K150" s="301" t="s">
        <v>252</v>
      </c>
      <c r="L150" s="233"/>
      <c r="M150" s="233"/>
      <c r="N150" s="233"/>
      <c r="O150" s="233"/>
      <c r="P150" s="233"/>
      <c r="Q150" s="233"/>
      <c r="R150" s="233"/>
      <c r="S150" s="247"/>
    </row>
    <row r="151" spans="1:20" ht="24" thickTop="1" thickBot="1">
      <c r="A151" s="28"/>
      <c r="B151" s="28"/>
      <c r="C151" s="28"/>
      <c r="D151" s="56"/>
      <c r="E151" s="227" t="s">
        <v>253</v>
      </c>
      <c r="F151" s="227" t="s">
        <v>35</v>
      </c>
      <c r="G151" s="227" t="s">
        <v>58</v>
      </c>
      <c r="H151" s="227" t="s">
        <v>253</v>
      </c>
      <c r="I151" s="227" t="s">
        <v>35</v>
      </c>
      <c r="J151" s="227" t="s">
        <v>58</v>
      </c>
      <c r="K151" s="227" t="s">
        <v>254</v>
      </c>
      <c r="L151" s="227"/>
      <c r="M151" s="227" t="s">
        <v>255</v>
      </c>
      <c r="N151" s="227"/>
      <c r="O151" s="227" t="s">
        <v>256</v>
      </c>
      <c r="P151" s="227"/>
      <c r="Q151" s="227" t="s">
        <v>58</v>
      </c>
      <c r="R151" s="227"/>
      <c r="S151" s="244"/>
    </row>
    <row r="152" spans="1:20" ht="24" thickTop="1" thickBot="1">
      <c r="A152" s="28"/>
      <c r="B152" s="28"/>
      <c r="C152" s="28"/>
      <c r="D152" s="58" t="s">
        <v>145</v>
      </c>
      <c r="E152" s="227"/>
      <c r="F152" s="227"/>
      <c r="G152" s="227"/>
      <c r="H152" s="227"/>
      <c r="I152" s="227"/>
      <c r="J152" s="227"/>
      <c r="K152" s="15" t="s">
        <v>76</v>
      </c>
      <c r="L152" s="15" t="s">
        <v>35</v>
      </c>
      <c r="M152" s="15" t="s">
        <v>76</v>
      </c>
      <c r="N152" s="15" t="s">
        <v>35</v>
      </c>
      <c r="O152" s="15" t="s">
        <v>76</v>
      </c>
      <c r="P152" s="15" t="s">
        <v>35</v>
      </c>
      <c r="Q152" s="15" t="s">
        <v>76</v>
      </c>
      <c r="R152" s="15" t="s">
        <v>35</v>
      </c>
      <c r="S152" s="36" t="s">
        <v>58</v>
      </c>
    </row>
    <row r="153" spans="1:20" ht="24" thickTop="1" thickBot="1">
      <c r="A153" s="28"/>
      <c r="B153" s="28"/>
      <c r="C153" s="28"/>
      <c r="D153" s="17" t="s">
        <v>238</v>
      </c>
      <c r="E153" s="15">
        <f>'[1]التعليم الابتدائي'!FM480</f>
        <v>0</v>
      </c>
      <c r="F153" s="15">
        <f>'[1]التعليم الابتدائي'!FN480</f>
        <v>0</v>
      </c>
      <c r="G153" s="59">
        <f t="shared" ref="G153:G159" si="35">SUM(E153:F153)</f>
        <v>0</v>
      </c>
      <c r="H153" s="15">
        <f>'[1]التعليم الابتدائي'!GB480</f>
        <v>0</v>
      </c>
      <c r="I153" s="15">
        <f>'[1]التعليم الابتدائي'!GC480</f>
        <v>0</v>
      </c>
      <c r="J153" s="15">
        <f t="shared" ref="J153:J158" si="36">I153+H153</f>
        <v>0</v>
      </c>
      <c r="K153" s="15">
        <f>'[1]التعليم الابتدائي'!GQ480</f>
        <v>0</v>
      </c>
      <c r="L153" s="15">
        <f>'[1]التعليم الابتدائي'!GR480</f>
        <v>0</v>
      </c>
      <c r="M153" s="15">
        <f>'[1]التعليم الابتدائي'!HF480</f>
        <v>0</v>
      </c>
      <c r="N153" s="15">
        <f>'[1]التعليم الابتدائي'!HG480</f>
        <v>0</v>
      </c>
      <c r="O153" s="15">
        <f>'[1]التعليم الابتدائي'!HU480</f>
        <v>0</v>
      </c>
      <c r="P153" s="15">
        <f>'[1]التعليم الابتدائي'!HV480</f>
        <v>0</v>
      </c>
      <c r="Q153" s="15">
        <f t="shared" ref="Q153:R158" si="37">O153+M153+K153</f>
        <v>0</v>
      </c>
      <c r="R153" s="15">
        <f t="shared" si="37"/>
        <v>0</v>
      </c>
      <c r="S153" s="36">
        <f t="shared" ref="S153:S158" si="38">R153+Q153</f>
        <v>0</v>
      </c>
    </row>
    <row r="154" spans="1:20" ht="24" thickTop="1" thickBot="1">
      <c r="A154" s="28"/>
      <c r="B154" s="28"/>
      <c r="C154" s="28"/>
      <c r="D154" s="17" t="s">
        <v>239</v>
      </c>
      <c r="E154" s="15">
        <f>'[1]التعليم الابتدائي'!FO480</f>
        <v>0</v>
      </c>
      <c r="F154" s="15">
        <f>'[1]التعليم الابتدائي'!FP480</f>
        <v>0</v>
      </c>
      <c r="G154" s="59">
        <f t="shared" si="35"/>
        <v>0</v>
      </c>
      <c r="H154" s="15">
        <f>'[1]التعليم الابتدائي'!GD480</f>
        <v>0</v>
      </c>
      <c r="I154" s="15">
        <f>'[1]التعليم الابتدائي'!GE480</f>
        <v>0</v>
      </c>
      <c r="J154" s="15">
        <f t="shared" si="36"/>
        <v>0</v>
      </c>
      <c r="K154" s="15">
        <f>'[1]التعليم الابتدائي'!GS480</f>
        <v>0</v>
      </c>
      <c r="L154" s="15">
        <f>'[1]التعليم الابتدائي'!GT480</f>
        <v>0</v>
      </c>
      <c r="M154" s="15">
        <f>'[1]التعليم الابتدائي'!HH480</f>
        <v>0</v>
      </c>
      <c r="N154" s="15">
        <f>'[1]التعليم الابتدائي'!HI480</f>
        <v>0</v>
      </c>
      <c r="O154" s="15">
        <f>'[1]التعليم الابتدائي'!HW480</f>
        <v>0</v>
      </c>
      <c r="P154" s="15">
        <f>'[1]التعليم الابتدائي'!HX480</f>
        <v>0</v>
      </c>
      <c r="Q154" s="15">
        <f t="shared" si="37"/>
        <v>0</v>
      </c>
      <c r="R154" s="15">
        <f t="shared" si="37"/>
        <v>0</v>
      </c>
      <c r="S154" s="36">
        <f t="shared" si="38"/>
        <v>0</v>
      </c>
    </row>
    <row r="155" spans="1:20" ht="24" thickTop="1" thickBot="1">
      <c r="A155" s="28"/>
      <c r="B155" s="28"/>
      <c r="C155" s="28"/>
      <c r="D155" s="17" t="s">
        <v>240</v>
      </c>
      <c r="E155" s="15">
        <f>'[1]التعليم الابتدائي'!FQ480</f>
        <v>0</v>
      </c>
      <c r="F155" s="15">
        <f>'[1]التعليم الابتدائي'!FR480</f>
        <v>0</v>
      </c>
      <c r="G155" s="59">
        <f t="shared" si="35"/>
        <v>0</v>
      </c>
      <c r="H155" s="15">
        <f>'[1]التعليم الابتدائي'!GF480</f>
        <v>0</v>
      </c>
      <c r="I155" s="15">
        <f>'[1]التعليم الابتدائي'!GG480</f>
        <v>0</v>
      </c>
      <c r="J155" s="15">
        <f t="shared" si="36"/>
        <v>0</v>
      </c>
      <c r="K155" s="15">
        <f>'[1]التعليم الابتدائي'!GU480</f>
        <v>0</v>
      </c>
      <c r="L155" s="15">
        <f>'[1]التعليم الابتدائي'!GV480</f>
        <v>0</v>
      </c>
      <c r="M155" s="15">
        <f>'[1]التعليم الابتدائي'!HJ480</f>
        <v>0</v>
      </c>
      <c r="N155" s="15">
        <f>'[1]التعليم الابتدائي'!HK480</f>
        <v>0</v>
      </c>
      <c r="O155" s="15">
        <f>'[1]التعليم الابتدائي'!HY480</f>
        <v>0</v>
      </c>
      <c r="P155" s="15">
        <f>'[1]التعليم الابتدائي'!HZ480</f>
        <v>0</v>
      </c>
      <c r="Q155" s="15">
        <f t="shared" si="37"/>
        <v>0</v>
      </c>
      <c r="R155" s="15">
        <f t="shared" si="37"/>
        <v>0</v>
      </c>
      <c r="S155" s="36">
        <f t="shared" si="38"/>
        <v>0</v>
      </c>
    </row>
    <row r="156" spans="1:20" ht="24" thickTop="1" thickBot="1">
      <c r="A156" s="28"/>
      <c r="B156" s="28"/>
      <c r="C156" s="28"/>
      <c r="D156" s="17" t="s">
        <v>241</v>
      </c>
      <c r="E156" s="15">
        <f>'[1]التعليم الابتدائي'!FS480</f>
        <v>0</v>
      </c>
      <c r="F156" s="15">
        <f>'[1]التعليم الابتدائي'!FT480</f>
        <v>0</v>
      </c>
      <c r="G156" s="59">
        <f t="shared" si="35"/>
        <v>0</v>
      </c>
      <c r="H156" s="15">
        <f>'[1]التعليم الابتدائي'!GH480</f>
        <v>0</v>
      </c>
      <c r="I156" s="15">
        <f>'[1]التعليم الابتدائي'!GI480</f>
        <v>0</v>
      </c>
      <c r="J156" s="15">
        <f t="shared" si="36"/>
        <v>0</v>
      </c>
      <c r="K156" s="15">
        <f>'[1]التعليم الابتدائي'!GW480</f>
        <v>0</v>
      </c>
      <c r="L156" s="15">
        <f>'[1]التعليم الابتدائي'!GX480</f>
        <v>0</v>
      </c>
      <c r="M156" s="15">
        <f>'[1]التعليم الابتدائي'!HL480</f>
        <v>0</v>
      </c>
      <c r="N156" s="15">
        <f>'[1]التعليم الابتدائي'!HM480</f>
        <v>0</v>
      </c>
      <c r="O156" s="15">
        <f>'[1]التعليم الابتدائي'!IA480</f>
        <v>0</v>
      </c>
      <c r="P156" s="15">
        <f>'[1]التعليم الابتدائي'!IB480</f>
        <v>0</v>
      </c>
      <c r="Q156" s="15">
        <f t="shared" si="37"/>
        <v>0</v>
      </c>
      <c r="R156" s="15">
        <f t="shared" si="37"/>
        <v>0</v>
      </c>
      <c r="S156" s="36">
        <f t="shared" si="38"/>
        <v>0</v>
      </c>
    </row>
    <row r="157" spans="1:20" ht="24" thickTop="1" thickBot="1">
      <c r="A157" s="28"/>
      <c r="B157" s="28"/>
      <c r="C157" s="28"/>
      <c r="D157" s="17" t="s">
        <v>242</v>
      </c>
      <c r="E157" s="15">
        <f>'[1]التعليم الابتدائي'!FU480</f>
        <v>0</v>
      </c>
      <c r="F157" s="15">
        <f>'[1]التعليم الابتدائي'!FV480</f>
        <v>0</v>
      </c>
      <c r="G157" s="59">
        <f t="shared" si="35"/>
        <v>0</v>
      </c>
      <c r="H157" s="15">
        <f>'[1]التعليم الابتدائي'!GJ480</f>
        <v>0</v>
      </c>
      <c r="I157" s="15">
        <f>'[1]التعليم الابتدائي'!GK480</f>
        <v>0</v>
      </c>
      <c r="J157" s="15">
        <f t="shared" si="36"/>
        <v>0</v>
      </c>
      <c r="K157" s="15">
        <f>'[1]التعليم الابتدائي'!GY480</f>
        <v>0</v>
      </c>
      <c r="L157" s="15">
        <f>'[1]التعليم الابتدائي'!GZ480</f>
        <v>0</v>
      </c>
      <c r="M157" s="15">
        <f>'[1]التعليم الابتدائي'!HN480</f>
        <v>0</v>
      </c>
      <c r="N157" s="15">
        <f>'[1]التعليم الابتدائي'!HO480</f>
        <v>0</v>
      </c>
      <c r="O157" s="15">
        <f>'[1]التعليم الابتدائي'!IC480</f>
        <v>0</v>
      </c>
      <c r="P157" s="15">
        <f>'[1]التعليم الابتدائي'!ID480</f>
        <v>0</v>
      </c>
      <c r="Q157" s="15">
        <f t="shared" si="37"/>
        <v>0</v>
      </c>
      <c r="R157" s="15">
        <f t="shared" si="37"/>
        <v>0</v>
      </c>
      <c r="S157" s="36">
        <f t="shared" si="38"/>
        <v>0</v>
      </c>
    </row>
    <row r="158" spans="1:20" ht="24" thickTop="1" thickBot="1">
      <c r="A158" s="28"/>
      <c r="B158" s="28"/>
      <c r="C158" s="28"/>
      <c r="D158" s="17" t="s">
        <v>243</v>
      </c>
      <c r="E158" s="15">
        <f>'[1]التعليم الابتدائي'!FW480</f>
        <v>0</v>
      </c>
      <c r="F158" s="15">
        <f>'[1]التعليم الابتدائي'!FX480</f>
        <v>0</v>
      </c>
      <c r="G158" s="59">
        <f t="shared" si="35"/>
        <v>0</v>
      </c>
      <c r="H158" s="15">
        <f>'[1]التعليم الابتدائي'!GL480</f>
        <v>0</v>
      </c>
      <c r="I158" s="15">
        <f>'[1]التعليم الابتدائي'!GM480</f>
        <v>0</v>
      </c>
      <c r="J158" s="15">
        <f t="shared" si="36"/>
        <v>0</v>
      </c>
      <c r="K158" s="15">
        <f>'[1]التعليم الابتدائي'!HA480</f>
        <v>0</v>
      </c>
      <c r="L158" s="15">
        <f>'[1]التعليم الابتدائي'!HB480</f>
        <v>0</v>
      </c>
      <c r="M158" s="15">
        <f>'[1]التعليم الابتدائي'!HP480</f>
        <v>0</v>
      </c>
      <c r="N158" s="15">
        <f>'[1]التعليم الابتدائي'!HQ480</f>
        <v>0</v>
      </c>
      <c r="O158" s="15">
        <f>'[1]التعليم الابتدائي'!IE480</f>
        <v>0</v>
      </c>
      <c r="P158" s="15">
        <f>'[1]التعليم الابتدائي'!IF480</f>
        <v>0</v>
      </c>
      <c r="Q158" s="15">
        <f t="shared" si="37"/>
        <v>0</v>
      </c>
      <c r="R158" s="15">
        <f t="shared" si="37"/>
        <v>0</v>
      </c>
      <c r="S158" s="36">
        <f t="shared" si="38"/>
        <v>0</v>
      </c>
    </row>
    <row r="159" spans="1:20" ht="24" thickTop="1" thickBot="1">
      <c r="A159" s="28"/>
      <c r="B159" s="28"/>
      <c r="C159" s="28"/>
      <c r="D159" s="18" t="s">
        <v>58</v>
      </c>
      <c r="E159" s="20">
        <f>SUM(E153:E158)</f>
        <v>0</v>
      </c>
      <c r="F159" s="20">
        <f>SUM(F153:F158)</f>
        <v>0</v>
      </c>
      <c r="G159" s="59">
        <f t="shared" si="35"/>
        <v>0</v>
      </c>
      <c r="H159" s="20">
        <f t="shared" ref="H159:S159" si="39">SUM(H153:H158)</f>
        <v>0</v>
      </c>
      <c r="I159" s="20">
        <f t="shared" si="39"/>
        <v>0</v>
      </c>
      <c r="J159" s="20">
        <f t="shared" si="39"/>
        <v>0</v>
      </c>
      <c r="K159" s="20">
        <f t="shared" si="39"/>
        <v>0</v>
      </c>
      <c r="L159" s="20">
        <f t="shared" si="39"/>
        <v>0</v>
      </c>
      <c r="M159" s="20">
        <f t="shared" si="39"/>
        <v>0</v>
      </c>
      <c r="N159" s="20">
        <f t="shared" si="39"/>
        <v>0</v>
      </c>
      <c r="O159" s="20">
        <f t="shared" si="39"/>
        <v>0</v>
      </c>
      <c r="P159" s="20">
        <f t="shared" si="39"/>
        <v>0</v>
      </c>
      <c r="Q159" s="20">
        <f t="shared" si="39"/>
        <v>0</v>
      </c>
      <c r="R159" s="20">
        <f t="shared" si="39"/>
        <v>0</v>
      </c>
      <c r="S159" s="33">
        <f t="shared" si="39"/>
        <v>0</v>
      </c>
    </row>
    <row r="160" spans="1:20" ht="23.4" thickTop="1"/>
    <row r="161" spans="1:20">
      <c r="A161" s="231" t="s">
        <v>62</v>
      </c>
      <c r="B161" s="231"/>
      <c r="C161" s="231"/>
      <c r="D161" s="231"/>
      <c r="E161" s="231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R161" s="29" t="s">
        <v>91</v>
      </c>
      <c r="S161" s="29"/>
      <c r="T161" s="29"/>
    </row>
    <row r="162" spans="1:20">
      <c r="A162" s="231" t="s">
        <v>64</v>
      </c>
      <c r="B162" s="231"/>
      <c r="C162" s="231"/>
      <c r="D162" s="231"/>
      <c r="E162" s="231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R162" s="29" t="s">
        <v>65</v>
      </c>
      <c r="S162" s="29"/>
      <c r="T162" s="29"/>
    </row>
    <row r="163" spans="1:20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</row>
    <row r="164" spans="1:20">
      <c r="A164" s="28"/>
      <c r="B164" s="231" t="s">
        <v>247</v>
      </c>
      <c r="C164" s="231"/>
      <c r="D164" s="231"/>
      <c r="E164" s="231"/>
      <c r="F164" s="231"/>
      <c r="G164" s="231"/>
      <c r="H164" s="231"/>
      <c r="I164" s="231"/>
      <c r="J164" s="231"/>
      <c r="K164" s="231"/>
      <c r="L164" s="231"/>
      <c r="M164" s="231"/>
      <c r="N164" s="231"/>
      <c r="O164" s="231"/>
      <c r="P164" s="231"/>
      <c r="Q164" s="231"/>
      <c r="R164" s="231"/>
      <c r="S164" s="231"/>
      <c r="T164" s="28"/>
    </row>
    <row r="165" spans="1:20">
      <c r="A165" s="43"/>
      <c r="B165" s="231" t="s">
        <v>208</v>
      </c>
      <c r="C165" s="231"/>
      <c r="D165" s="231"/>
      <c r="E165" s="231"/>
      <c r="F165" s="231"/>
      <c r="G165" s="231"/>
      <c r="H165" s="231"/>
      <c r="I165" s="231"/>
      <c r="J165" s="231"/>
      <c r="K165" s="231"/>
      <c r="L165" s="231"/>
      <c r="M165" s="231"/>
      <c r="N165" s="231"/>
      <c r="O165" s="231"/>
      <c r="P165" s="231"/>
      <c r="Q165" s="231"/>
      <c r="R165" s="231"/>
      <c r="S165" s="231"/>
      <c r="T165" s="43"/>
    </row>
    <row r="166" spans="1:20">
      <c r="A166" s="43"/>
      <c r="B166" s="294" t="s">
        <v>257</v>
      </c>
      <c r="C166" s="231"/>
      <c r="D166" s="231"/>
      <c r="E166" s="231"/>
      <c r="F166" s="231"/>
      <c r="G166" s="231"/>
      <c r="H166" s="231"/>
      <c r="I166" s="231"/>
      <c r="J166" s="231"/>
      <c r="K166" s="231"/>
      <c r="L166" s="231"/>
      <c r="M166" s="231"/>
      <c r="N166" s="231"/>
      <c r="O166" s="231"/>
      <c r="P166" s="231"/>
      <c r="Q166" s="231"/>
      <c r="R166" s="231"/>
      <c r="S166" s="231"/>
      <c r="T166" s="43"/>
    </row>
    <row r="167" spans="1:20" ht="23.4" thickBot="1">
      <c r="A167" s="28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8"/>
    </row>
    <row r="168" spans="1:20" ht="24" thickTop="1" thickBot="1">
      <c r="A168" s="28"/>
      <c r="B168" s="28"/>
      <c r="C168" s="28"/>
      <c r="D168" s="55" t="s">
        <v>249</v>
      </c>
      <c r="E168" s="300" t="s">
        <v>258</v>
      </c>
      <c r="F168" s="224"/>
      <c r="G168" s="237"/>
      <c r="H168" s="300" t="s">
        <v>251</v>
      </c>
      <c r="I168" s="224"/>
      <c r="J168" s="237"/>
      <c r="K168" s="301" t="s">
        <v>252</v>
      </c>
      <c r="L168" s="233"/>
      <c r="M168" s="233"/>
      <c r="N168" s="233"/>
      <c r="O168" s="233"/>
      <c r="P168" s="233"/>
      <c r="Q168" s="233"/>
      <c r="R168" s="233"/>
      <c r="S168" s="247"/>
    </row>
    <row r="169" spans="1:20" ht="24" thickTop="1" thickBot="1">
      <c r="A169" s="28"/>
      <c r="B169" s="28"/>
      <c r="C169" s="28"/>
      <c r="D169" s="56"/>
      <c r="E169" s="227" t="s">
        <v>253</v>
      </c>
      <c r="F169" s="227" t="s">
        <v>35</v>
      </c>
      <c r="G169" s="227" t="s">
        <v>58</v>
      </c>
      <c r="H169" s="227" t="s">
        <v>253</v>
      </c>
      <c r="I169" s="227" t="s">
        <v>35</v>
      </c>
      <c r="J169" s="227" t="s">
        <v>58</v>
      </c>
      <c r="K169" s="227" t="s">
        <v>254</v>
      </c>
      <c r="L169" s="227"/>
      <c r="M169" s="227" t="s">
        <v>255</v>
      </c>
      <c r="N169" s="227"/>
      <c r="O169" s="227" t="s">
        <v>256</v>
      </c>
      <c r="P169" s="227"/>
      <c r="Q169" s="227" t="s">
        <v>58</v>
      </c>
      <c r="R169" s="227"/>
      <c r="S169" s="244"/>
    </row>
    <row r="170" spans="1:20" ht="24" thickTop="1" thickBot="1">
      <c r="A170" s="28"/>
      <c r="B170" s="28"/>
      <c r="C170" s="28"/>
      <c r="D170" s="58" t="s">
        <v>145</v>
      </c>
      <c r="E170" s="227"/>
      <c r="F170" s="227"/>
      <c r="G170" s="227"/>
      <c r="H170" s="227"/>
      <c r="I170" s="227"/>
      <c r="J170" s="227"/>
      <c r="K170" s="15" t="s">
        <v>76</v>
      </c>
      <c r="L170" s="15" t="s">
        <v>35</v>
      </c>
      <c r="M170" s="15" t="s">
        <v>76</v>
      </c>
      <c r="N170" s="15" t="s">
        <v>35</v>
      </c>
      <c r="O170" s="15" t="s">
        <v>76</v>
      </c>
      <c r="P170" s="15" t="s">
        <v>35</v>
      </c>
      <c r="Q170" s="15" t="s">
        <v>76</v>
      </c>
      <c r="R170" s="15" t="s">
        <v>35</v>
      </c>
      <c r="S170" s="36" t="s">
        <v>58</v>
      </c>
    </row>
    <row r="171" spans="1:20" ht="24" thickTop="1" thickBot="1">
      <c r="A171" s="28"/>
      <c r="B171" s="28"/>
      <c r="C171" s="28"/>
      <c r="D171" s="17" t="s">
        <v>238</v>
      </c>
      <c r="E171" s="15">
        <f>'[1]التعليم الابتدائي'!FM558</f>
        <v>0</v>
      </c>
      <c r="F171" s="15">
        <f>'[1]التعليم الابتدائي'!FN558</f>
        <v>0</v>
      </c>
      <c r="G171" s="59">
        <f t="shared" ref="G171:G177" si="40">F171+E171</f>
        <v>0</v>
      </c>
      <c r="H171" s="15">
        <f>'[1]التعليم الابتدائي'!GB558</f>
        <v>0</v>
      </c>
      <c r="I171" s="15">
        <f>'[1]التعليم الابتدائي'!GC558</f>
        <v>0</v>
      </c>
      <c r="J171" s="15">
        <f t="shared" ref="J171:J176" si="41">I171+H171</f>
        <v>0</v>
      </c>
      <c r="K171" s="15">
        <f>'[1]التعليم الابتدائي'!GQ558</f>
        <v>0</v>
      </c>
      <c r="L171" s="15">
        <f>'[1]التعليم الابتدائي'!GR558</f>
        <v>0</v>
      </c>
      <c r="M171" s="15">
        <f>'[1]التعليم الابتدائي'!HF558</f>
        <v>0</v>
      </c>
      <c r="N171" s="15">
        <f>'[1]التعليم الابتدائي'!HG558</f>
        <v>0</v>
      </c>
      <c r="O171" s="15">
        <f>'[1]التعليم الابتدائي'!HU558</f>
        <v>0</v>
      </c>
      <c r="P171" s="15">
        <f>'[1]التعليم الابتدائي'!HV558</f>
        <v>0</v>
      </c>
      <c r="Q171" s="15">
        <f t="shared" ref="Q171:R176" si="42">O171+M171+K171</f>
        <v>0</v>
      </c>
      <c r="R171" s="15">
        <f t="shared" si="42"/>
        <v>0</v>
      </c>
      <c r="S171" s="36">
        <f t="shared" ref="S171:S176" si="43">R171+Q171</f>
        <v>0</v>
      </c>
    </row>
    <row r="172" spans="1:20" ht="24" thickTop="1" thickBot="1">
      <c r="A172" s="28"/>
      <c r="B172" s="28"/>
      <c r="C172" s="28"/>
      <c r="D172" s="17" t="s">
        <v>239</v>
      </c>
      <c r="E172" s="15">
        <f>'[1]التعليم الابتدائي'!FO558</f>
        <v>0</v>
      </c>
      <c r="F172" s="15">
        <f>'[1]التعليم الابتدائي'!FP558</f>
        <v>0</v>
      </c>
      <c r="G172" s="59">
        <f t="shared" si="40"/>
        <v>0</v>
      </c>
      <c r="H172" s="15">
        <f>'[1]التعليم الابتدائي'!GD558</f>
        <v>0</v>
      </c>
      <c r="I172" s="15">
        <f>'[1]التعليم الابتدائي'!GE558</f>
        <v>0</v>
      </c>
      <c r="J172" s="15">
        <f t="shared" si="41"/>
        <v>0</v>
      </c>
      <c r="K172" s="15">
        <f>'[1]التعليم الابتدائي'!GS558</f>
        <v>0</v>
      </c>
      <c r="L172" s="15">
        <f>'[1]التعليم الابتدائي'!GT558</f>
        <v>0</v>
      </c>
      <c r="M172" s="15">
        <f>'[1]التعليم الابتدائي'!HH558</f>
        <v>0</v>
      </c>
      <c r="N172" s="15">
        <f>'[1]التعليم الابتدائي'!HI558</f>
        <v>0</v>
      </c>
      <c r="O172" s="15">
        <f>'[1]التعليم الابتدائي'!HW558</f>
        <v>0</v>
      </c>
      <c r="P172" s="15">
        <f>'[1]التعليم الابتدائي'!HX558</f>
        <v>0</v>
      </c>
      <c r="Q172" s="15">
        <f t="shared" si="42"/>
        <v>0</v>
      </c>
      <c r="R172" s="15">
        <f t="shared" si="42"/>
        <v>0</v>
      </c>
      <c r="S172" s="36">
        <f t="shared" si="43"/>
        <v>0</v>
      </c>
    </row>
    <row r="173" spans="1:20" ht="24" thickTop="1" thickBot="1">
      <c r="A173" s="28"/>
      <c r="B173" s="28"/>
      <c r="C173" s="28"/>
      <c r="D173" s="17" t="s">
        <v>240</v>
      </c>
      <c r="E173" s="15">
        <f>'[1]التعليم الابتدائي'!FQ558</f>
        <v>0</v>
      </c>
      <c r="F173" s="15">
        <f>'[1]التعليم الابتدائي'!FR558</f>
        <v>0</v>
      </c>
      <c r="G173" s="59">
        <f t="shared" si="40"/>
        <v>0</v>
      </c>
      <c r="H173" s="15">
        <f>'[1]التعليم الابتدائي'!GF558</f>
        <v>0</v>
      </c>
      <c r="I173" s="15">
        <f>'[1]التعليم الابتدائي'!GG558</f>
        <v>0</v>
      </c>
      <c r="J173" s="15">
        <f t="shared" si="41"/>
        <v>0</v>
      </c>
      <c r="K173" s="15">
        <f>'[1]التعليم الابتدائي'!GU558</f>
        <v>0</v>
      </c>
      <c r="L173" s="15">
        <f>'[1]التعليم الابتدائي'!GV558</f>
        <v>0</v>
      </c>
      <c r="M173" s="15">
        <f>'[1]التعليم الابتدائي'!HJ558</f>
        <v>0</v>
      </c>
      <c r="N173" s="15">
        <f>'[1]التعليم الابتدائي'!HK558</f>
        <v>0</v>
      </c>
      <c r="O173" s="15">
        <f>'[1]التعليم الابتدائي'!HY558</f>
        <v>0</v>
      </c>
      <c r="P173" s="15">
        <f>'[1]التعليم الابتدائي'!HZ558</f>
        <v>0</v>
      </c>
      <c r="Q173" s="15">
        <f t="shared" si="42"/>
        <v>0</v>
      </c>
      <c r="R173" s="15">
        <f t="shared" si="42"/>
        <v>0</v>
      </c>
      <c r="S173" s="36">
        <f t="shared" si="43"/>
        <v>0</v>
      </c>
    </row>
    <row r="174" spans="1:20" ht="24" thickTop="1" thickBot="1">
      <c r="A174" s="28"/>
      <c r="B174" s="28"/>
      <c r="C174" s="28"/>
      <c r="D174" s="17" t="s">
        <v>241</v>
      </c>
      <c r="E174" s="15">
        <f>'[1]التعليم الابتدائي'!FS558</f>
        <v>0</v>
      </c>
      <c r="F174" s="15">
        <f>'[1]التعليم الابتدائي'!FT558</f>
        <v>0</v>
      </c>
      <c r="G174" s="59">
        <f t="shared" si="40"/>
        <v>0</v>
      </c>
      <c r="H174" s="15">
        <f>'[1]التعليم الابتدائي'!GH558</f>
        <v>0</v>
      </c>
      <c r="I174" s="15">
        <f>'[1]التعليم الابتدائي'!GI558</f>
        <v>0</v>
      </c>
      <c r="J174" s="15">
        <f t="shared" si="41"/>
        <v>0</v>
      </c>
      <c r="K174" s="15">
        <f>'[1]التعليم الابتدائي'!GW558</f>
        <v>0</v>
      </c>
      <c r="L174" s="15">
        <f>'[1]التعليم الابتدائي'!GX558</f>
        <v>0</v>
      </c>
      <c r="M174" s="15">
        <f>'[1]التعليم الابتدائي'!HL558</f>
        <v>0</v>
      </c>
      <c r="N174" s="15">
        <f>'[1]التعليم الابتدائي'!HM558</f>
        <v>0</v>
      </c>
      <c r="O174" s="15">
        <f>'[1]التعليم الابتدائي'!IA558</f>
        <v>0</v>
      </c>
      <c r="P174" s="15">
        <f>'[1]التعليم الابتدائي'!IB558</f>
        <v>0</v>
      </c>
      <c r="Q174" s="15">
        <f t="shared" si="42"/>
        <v>0</v>
      </c>
      <c r="R174" s="15">
        <f t="shared" si="42"/>
        <v>0</v>
      </c>
      <c r="S174" s="36">
        <f t="shared" si="43"/>
        <v>0</v>
      </c>
    </row>
    <row r="175" spans="1:20" ht="24" thickTop="1" thickBot="1">
      <c r="A175" s="28"/>
      <c r="B175" s="28"/>
      <c r="C175" s="28"/>
      <c r="D175" s="17" t="s">
        <v>242</v>
      </c>
      <c r="E175" s="15">
        <f>'[1]التعليم الابتدائي'!FU558</f>
        <v>0</v>
      </c>
      <c r="F175" s="15">
        <f>'[1]التعليم الابتدائي'!FV558</f>
        <v>0</v>
      </c>
      <c r="G175" s="59">
        <f t="shared" si="40"/>
        <v>0</v>
      </c>
      <c r="H175" s="15">
        <f>'[1]التعليم الابتدائي'!GJ558</f>
        <v>0</v>
      </c>
      <c r="I175" s="15">
        <f>'[1]التعليم الابتدائي'!GK558</f>
        <v>0</v>
      </c>
      <c r="J175" s="15">
        <f t="shared" si="41"/>
        <v>0</v>
      </c>
      <c r="K175" s="15">
        <f>'[1]التعليم الابتدائي'!GY558</f>
        <v>0</v>
      </c>
      <c r="L175" s="15">
        <f>'[1]التعليم الابتدائي'!GZ558</f>
        <v>0</v>
      </c>
      <c r="M175" s="15">
        <f>'[1]التعليم الابتدائي'!HN558</f>
        <v>0</v>
      </c>
      <c r="N175" s="15">
        <f>'[1]التعليم الابتدائي'!HO558</f>
        <v>0</v>
      </c>
      <c r="O175" s="15">
        <f>'[1]التعليم الابتدائي'!IC558</f>
        <v>0</v>
      </c>
      <c r="P175" s="15">
        <f>'[1]التعليم الابتدائي'!ID558</f>
        <v>0</v>
      </c>
      <c r="Q175" s="15">
        <f t="shared" si="42"/>
        <v>0</v>
      </c>
      <c r="R175" s="15">
        <f t="shared" si="42"/>
        <v>0</v>
      </c>
      <c r="S175" s="36">
        <f t="shared" si="43"/>
        <v>0</v>
      </c>
    </row>
    <row r="176" spans="1:20" ht="24" thickTop="1" thickBot="1">
      <c r="A176" s="28"/>
      <c r="B176" s="28"/>
      <c r="C176" s="28"/>
      <c r="D176" s="17" t="s">
        <v>243</v>
      </c>
      <c r="E176" s="15">
        <f>'[1]التعليم الابتدائي'!FW558</f>
        <v>0</v>
      </c>
      <c r="F176" s="15">
        <f>'[1]التعليم الابتدائي'!FX558</f>
        <v>0</v>
      </c>
      <c r="G176" s="59">
        <f t="shared" si="40"/>
        <v>0</v>
      </c>
      <c r="H176" s="15">
        <f>'[1]التعليم الابتدائي'!GL558</f>
        <v>0</v>
      </c>
      <c r="I176" s="15">
        <f>'[1]التعليم الابتدائي'!GM558</f>
        <v>0</v>
      </c>
      <c r="J176" s="15">
        <f t="shared" si="41"/>
        <v>0</v>
      </c>
      <c r="K176" s="15">
        <f>'[1]التعليم الابتدائي'!HA558</f>
        <v>0</v>
      </c>
      <c r="L176" s="15">
        <f>'[1]التعليم الابتدائي'!HB558</f>
        <v>0</v>
      </c>
      <c r="M176" s="15">
        <f>'[1]التعليم الابتدائي'!HP558</f>
        <v>0</v>
      </c>
      <c r="N176" s="15">
        <f>'[1]التعليم الابتدائي'!HQ558</f>
        <v>0</v>
      </c>
      <c r="O176" s="15">
        <f>'[1]التعليم الابتدائي'!IE558</f>
        <v>0</v>
      </c>
      <c r="P176" s="15">
        <f>'[1]التعليم الابتدائي'!IF558</f>
        <v>0</v>
      </c>
      <c r="Q176" s="15">
        <f t="shared" si="42"/>
        <v>0</v>
      </c>
      <c r="R176" s="15">
        <f t="shared" si="42"/>
        <v>0</v>
      </c>
      <c r="S176" s="36">
        <f t="shared" si="43"/>
        <v>0</v>
      </c>
    </row>
    <row r="177" spans="1:20" ht="24" thickTop="1" thickBot="1">
      <c r="A177" s="28"/>
      <c r="B177" s="28"/>
      <c r="C177" s="28"/>
      <c r="D177" s="18" t="s">
        <v>58</v>
      </c>
      <c r="E177" s="20">
        <f>SUM(E171:E176)</f>
        <v>0</v>
      </c>
      <c r="F177" s="20">
        <f>SUM(F171:F176)</f>
        <v>0</v>
      </c>
      <c r="G177" s="59">
        <f t="shared" si="40"/>
        <v>0</v>
      </c>
      <c r="H177" s="20">
        <f t="shared" ref="H177:S177" si="44">SUM(H171:H176)</f>
        <v>0</v>
      </c>
      <c r="I177" s="20">
        <f t="shared" si="44"/>
        <v>0</v>
      </c>
      <c r="J177" s="20">
        <f t="shared" si="44"/>
        <v>0</v>
      </c>
      <c r="K177" s="20">
        <f t="shared" si="44"/>
        <v>0</v>
      </c>
      <c r="L177" s="20">
        <f t="shared" si="44"/>
        <v>0</v>
      </c>
      <c r="M177" s="20">
        <f t="shared" si="44"/>
        <v>0</v>
      </c>
      <c r="N177" s="20">
        <f t="shared" si="44"/>
        <v>0</v>
      </c>
      <c r="O177" s="20">
        <f t="shared" si="44"/>
        <v>0</v>
      </c>
      <c r="P177" s="20">
        <f t="shared" si="44"/>
        <v>0</v>
      </c>
      <c r="Q177" s="20">
        <f t="shared" si="44"/>
        <v>0</v>
      </c>
      <c r="R177" s="20">
        <f t="shared" si="44"/>
        <v>0</v>
      </c>
      <c r="S177" s="33">
        <f t="shared" si="44"/>
        <v>0</v>
      </c>
    </row>
    <row r="178" spans="1:20" ht="23.4" thickTop="1"/>
    <row r="179" spans="1:20">
      <c r="A179" s="29" t="s">
        <v>62</v>
      </c>
      <c r="B179" s="29"/>
      <c r="C179" s="29"/>
      <c r="D179" s="29"/>
      <c r="E179" s="29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9" t="s">
        <v>92</v>
      </c>
      <c r="S179" s="29"/>
      <c r="T179" s="29"/>
    </row>
    <row r="180" spans="1:20">
      <c r="A180" s="231" t="s">
        <v>64</v>
      </c>
      <c r="B180" s="231"/>
      <c r="C180" s="231"/>
      <c r="D180" s="231"/>
      <c r="E180" s="231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9" t="s">
        <v>65</v>
      </c>
      <c r="S180" s="29"/>
      <c r="T180" s="29"/>
    </row>
    <row r="181" spans="1:20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</row>
    <row r="182" spans="1:20">
      <c r="A182" s="28"/>
      <c r="B182" s="231" t="s">
        <v>247</v>
      </c>
      <c r="C182" s="231"/>
      <c r="D182" s="231"/>
      <c r="E182" s="231"/>
      <c r="F182" s="231"/>
      <c r="G182" s="231"/>
      <c r="H182" s="231"/>
      <c r="I182" s="231"/>
      <c r="J182" s="231"/>
      <c r="K182" s="231"/>
      <c r="L182" s="231"/>
      <c r="M182" s="231"/>
      <c r="N182" s="231"/>
      <c r="O182" s="231"/>
      <c r="P182" s="231"/>
      <c r="Q182" s="231"/>
      <c r="R182" s="231"/>
      <c r="S182" s="231"/>
      <c r="T182" s="28"/>
    </row>
    <row r="183" spans="1:20">
      <c r="A183" s="43"/>
      <c r="B183" s="231" t="s">
        <v>208</v>
      </c>
      <c r="C183" s="231"/>
      <c r="D183" s="231"/>
      <c r="E183" s="231"/>
      <c r="F183" s="231"/>
      <c r="G183" s="231"/>
      <c r="H183" s="231"/>
      <c r="I183" s="231"/>
      <c r="J183" s="231"/>
      <c r="K183" s="231"/>
      <c r="L183" s="231"/>
      <c r="M183" s="231"/>
      <c r="N183" s="231"/>
      <c r="O183" s="231"/>
      <c r="P183" s="231"/>
      <c r="Q183" s="231"/>
      <c r="R183" s="231"/>
      <c r="S183" s="231"/>
      <c r="T183" s="43"/>
    </row>
    <row r="184" spans="1:20">
      <c r="A184" s="43"/>
      <c r="B184" s="294" t="s">
        <v>257</v>
      </c>
      <c r="C184" s="231"/>
      <c r="D184" s="231"/>
      <c r="E184" s="231"/>
      <c r="F184" s="231"/>
      <c r="G184" s="231"/>
      <c r="H184" s="231"/>
      <c r="I184" s="231"/>
      <c r="J184" s="231"/>
      <c r="K184" s="231"/>
      <c r="L184" s="231"/>
      <c r="M184" s="231"/>
      <c r="N184" s="231"/>
      <c r="O184" s="231"/>
      <c r="P184" s="231"/>
      <c r="Q184" s="231"/>
      <c r="R184" s="231"/>
      <c r="S184" s="231"/>
      <c r="T184" s="43"/>
    </row>
    <row r="185" spans="1:20" ht="23.4" thickBot="1">
      <c r="A185" s="28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8"/>
    </row>
    <row r="186" spans="1:20" ht="24" thickTop="1" thickBot="1">
      <c r="A186" s="28"/>
      <c r="B186" s="28"/>
      <c r="C186" s="28"/>
      <c r="D186" s="55" t="s">
        <v>249</v>
      </c>
      <c r="E186" s="223" t="s">
        <v>258</v>
      </c>
      <c r="F186" s="224"/>
      <c r="G186" s="237"/>
      <c r="H186" s="300" t="s">
        <v>251</v>
      </c>
      <c r="I186" s="224"/>
      <c r="J186" s="237"/>
      <c r="K186" s="301" t="s">
        <v>252</v>
      </c>
      <c r="L186" s="233"/>
      <c r="M186" s="233"/>
      <c r="N186" s="233"/>
      <c r="O186" s="233"/>
      <c r="P186" s="233"/>
      <c r="Q186" s="233"/>
      <c r="R186" s="233"/>
      <c r="S186" s="247"/>
    </row>
    <row r="187" spans="1:20" ht="24" thickTop="1" thickBot="1">
      <c r="A187" s="28"/>
      <c r="B187" s="28"/>
      <c r="C187" s="28"/>
      <c r="D187" s="56"/>
      <c r="E187" s="227" t="s">
        <v>253</v>
      </c>
      <c r="F187" s="227" t="s">
        <v>35</v>
      </c>
      <c r="G187" s="227" t="s">
        <v>58</v>
      </c>
      <c r="H187" s="227" t="s">
        <v>253</v>
      </c>
      <c r="I187" s="227" t="s">
        <v>35</v>
      </c>
      <c r="J187" s="227" t="s">
        <v>58</v>
      </c>
      <c r="K187" s="227" t="s">
        <v>254</v>
      </c>
      <c r="L187" s="227"/>
      <c r="M187" s="227" t="s">
        <v>255</v>
      </c>
      <c r="N187" s="227"/>
      <c r="O187" s="227" t="s">
        <v>256</v>
      </c>
      <c r="P187" s="227"/>
      <c r="Q187" s="227" t="s">
        <v>58</v>
      </c>
      <c r="R187" s="227"/>
      <c r="S187" s="244"/>
    </row>
    <row r="188" spans="1:20" ht="24" thickTop="1" thickBot="1">
      <c r="A188" s="28"/>
      <c r="B188" s="28"/>
      <c r="C188" s="28"/>
      <c r="D188" s="58" t="s">
        <v>145</v>
      </c>
      <c r="E188" s="227"/>
      <c r="F188" s="227"/>
      <c r="G188" s="227"/>
      <c r="H188" s="227"/>
      <c r="I188" s="227"/>
      <c r="J188" s="227"/>
      <c r="K188" s="15" t="s">
        <v>76</v>
      </c>
      <c r="L188" s="15" t="s">
        <v>35</v>
      </c>
      <c r="M188" s="15" t="s">
        <v>76</v>
      </c>
      <c r="N188" s="15" t="s">
        <v>35</v>
      </c>
      <c r="O188" s="15" t="s">
        <v>76</v>
      </c>
      <c r="P188" s="15" t="s">
        <v>35</v>
      </c>
      <c r="Q188" s="15" t="s">
        <v>76</v>
      </c>
      <c r="R188" s="15" t="s">
        <v>35</v>
      </c>
      <c r="S188" s="36" t="s">
        <v>58</v>
      </c>
    </row>
    <row r="189" spans="1:20" ht="24" thickTop="1" thickBot="1">
      <c r="A189" s="28"/>
      <c r="B189" s="28"/>
      <c r="C189" s="28"/>
      <c r="D189" s="17" t="s">
        <v>238</v>
      </c>
      <c r="E189" s="15">
        <f>'[1]التعليم الابتدائي'!FM580</f>
        <v>0</v>
      </c>
      <c r="F189" s="15">
        <f>'[1]التعليم الابتدائي'!FN580</f>
        <v>0</v>
      </c>
      <c r="G189" s="59">
        <f t="shared" ref="G189:G195" si="45">F189+E189</f>
        <v>0</v>
      </c>
      <c r="H189" s="15">
        <f>'[1]التعليم الابتدائي'!GB580</f>
        <v>0</v>
      </c>
      <c r="I189" s="15">
        <f>'[1]التعليم الابتدائي'!GC580</f>
        <v>0</v>
      </c>
      <c r="J189" s="15">
        <f t="shared" ref="J189:J194" si="46">I189+H189</f>
        <v>0</v>
      </c>
      <c r="K189" s="15">
        <f>'[1]التعليم الابتدائي'!GQ580</f>
        <v>0</v>
      </c>
      <c r="L189" s="15">
        <f>'[1]التعليم الابتدائي'!GR580</f>
        <v>0</v>
      </c>
      <c r="M189" s="15">
        <f>'[1]التعليم الابتدائي'!HF580</f>
        <v>0</v>
      </c>
      <c r="N189" s="15">
        <f>'[1]التعليم الابتدائي'!HG580</f>
        <v>0</v>
      </c>
      <c r="O189" s="15">
        <f>'[1]التعليم الابتدائي'!HU580</f>
        <v>0</v>
      </c>
      <c r="P189" s="15">
        <f>'[1]التعليم الابتدائي'!HV580</f>
        <v>0</v>
      </c>
      <c r="Q189" s="15">
        <f t="shared" ref="Q189:R194" si="47">O189+M189+K189</f>
        <v>0</v>
      </c>
      <c r="R189" s="15">
        <f t="shared" si="47"/>
        <v>0</v>
      </c>
      <c r="S189" s="36">
        <f t="shared" ref="S189:S194" si="48">R189+Q189</f>
        <v>0</v>
      </c>
    </row>
    <row r="190" spans="1:20" ht="24" thickTop="1" thickBot="1">
      <c r="A190" s="28"/>
      <c r="B190" s="28"/>
      <c r="C190" s="28"/>
      <c r="D190" s="17" t="s">
        <v>239</v>
      </c>
      <c r="E190" s="15">
        <f>'[1]التعليم الابتدائي'!FO580</f>
        <v>0</v>
      </c>
      <c r="F190" s="15">
        <f>'[1]التعليم الابتدائي'!FP580</f>
        <v>0</v>
      </c>
      <c r="G190" s="59">
        <f t="shared" si="45"/>
        <v>0</v>
      </c>
      <c r="H190" s="15">
        <f>'[1]التعليم الابتدائي'!GD580</f>
        <v>0</v>
      </c>
      <c r="I190" s="15">
        <f>'[1]التعليم الابتدائي'!GE580</f>
        <v>0</v>
      </c>
      <c r="J190" s="15">
        <f t="shared" si="46"/>
        <v>0</v>
      </c>
      <c r="K190" s="15">
        <f>'[1]التعليم الابتدائي'!GS580</f>
        <v>0</v>
      </c>
      <c r="L190" s="15">
        <f>'[1]التعليم الابتدائي'!GT580</f>
        <v>0</v>
      </c>
      <c r="M190" s="15">
        <f>'[1]التعليم الابتدائي'!HH580</f>
        <v>0</v>
      </c>
      <c r="N190" s="15">
        <f>'[1]التعليم الابتدائي'!HI580</f>
        <v>0</v>
      </c>
      <c r="O190" s="15">
        <f>'[1]التعليم الابتدائي'!HW580</f>
        <v>0</v>
      </c>
      <c r="P190" s="15">
        <f>'[1]التعليم الابتدائي'!HX580</f>
        <v>0</v>
      </c>
      <c r="Q190" s="15">
        <f t="shared" si="47"/>
        <v>0</v>
      </c>
      <c r="R190" s="15">
        <f t="shared" si="47"/>
        <v>0</v>
      </c>
      <c r="S190" s="36">
        <f t="shared" si="48"/>
        <v>0</v>
      </c>
    </row>
    <row r="191" spans="1:20" ht="24" thickTop="1" thickBot="1">
      <c r="A191" s="28"/>
      <c r="B191" s="28"/>
      <c r="C191" s="28"/>
      <c r="D191" s="17" t="s">
        <v>240</v>
      </c>
      <c r="E191" s="15">
        <f>'[1]التعليم الابتدائي'!FQ580</f>
        <v>0</v>
      </c>
      <c r="F191" s="15">
        <f>'[1]التعليم الابتدائي'!FR580</f>
        <v>0</v>
      </c>
      <c r="G191" s="59">
        <f t="shared" si="45"/>
        <v>0</v>
      </c>
      <c r="H191" s="15">
        <f>'[1]التعليم الابتدائي'!GF580</f>
        <v>0</v>
      </c>
      <c r="I191" s="15">
        <f>'[1]التعليم الابتدائي'!GG580</f>
        <v>0</v>
      </c>
      <c r="J191" s="15">
        <f t="shared" si="46"/>
        <v>0</v>
      </c>
      <c r="K191" s="15">
        <f>'[1]التعليم الابتدائي'!GU580</f>
        <v>0</v>
      </c>
      <c r="L191" s="15">
        <f>'[1]التعليم الابتدائي'!GV580</f>
        <v>0</v>
      </c>
      <c r="M191" s="15">
        <f>'[1]التعليم الابتدائي'!HJ580</f>
        <v>0</v>
      </c>
      <c r="N191" s="15">
        <f>'[1]التعليم الابتدائي'!HK580</f>
        <v>0</v>
      </c>
      <c r="O191" s="15">
        <f>'[1]التعليم الابتدائي'!HY580</f>
        <v>0</v>
      </c>
      <c r="P191" s="15">
        <f>'[1]التعليم الابتدائي'!HZ580</f>
        <v>0</v>
      </c>
      <c r="Q191" s="15">
        <f t="shared" si="47"/>
        <v>0</v>
      </c>
      <c r="R191" s="15">
        <f t="shared" si="47"/>
        <v>0</v>
      </c>
      <c r="S191" s="36">
        <f t="shared" si="48"/>
        <v>0</v>
      </c>
    </row>
    <row r="192" spans="1:20" ht="24" thickTop="1" thickBot="1">
      <c r="A192" s="28"/>
      <c r="B192" s="28"/>
      <c r="C192" s="28"/>
      <c r="D192" s="17" t="s">
        <v>241</v>
      </c>
      <c r="E192" s="15">
        <f>'[1]التعليم الابتدائي'!FS580</f>
        <v>0</v>
      </c>
      <c r="F192" s="15">
        <f>'[1]التعليم الابتدائي'!FT580</f>
        <v>0</v>
      </c>
      <c r="G192" s="59">
        <f t="shared" si="45"/>
        <v>0</v>
      </c>
      <c r="H192" s="15">
        <f>'[1]التعليم الابتدائي'!GH580</f>
        <v>0</v>
      </c>
      <c r="I192" s="15">
        <f>'[1]التعليم الابتدائي'!GI580</f>
        <v>0</v>
      </c>
      <c r="J192" s="15">
        <f t="shared" si="46"/>
        <v>0</v>
      </c>
      <c r="K192" s="15">
        <f>'[1]التعليم الابتدائي'!GW580</f>
        <v>0</v>
      </c>
      <c r="L192" s="15">
        <f>'[1]التعليم الابتدائي'!GX580</f>
        <v>0</v>
      </c>
      <c r="M192" s="15">
        <f>'[1]التعليم الابتدائي'!HL580</f>
        <v>0</v>
      </c>
      <c r="N192" s="15">
        <f>'[1]التعليم الابتدائي'!HM580</f>
        <v>0</v>
      </c>
      <c r="O192" s="15">
        <f>'[1]التعليم الابتدائي'!IA580</f>
        <v>0</v>
      </c>
      <c r="P192" s="15">
        <f>'[1]التعليم الابتدائي'!IB580</f>
        <v>0</v>
      </c>
      <c r="Q192" s="15">
        <f t="shared" si="47"/>
        <v>0</v>
      </c>
      <c r="R192" s="15">
        <f t="shared" si="47"/>
        <v>0</v>
      </c>
      <c r="S192" s="36">
        <f t="shared" si="48"/>
        <v>0</v>
      </c>
    </row>
    <row r="193" spans="1:20" ht="24" thickTop="1" thickBot="1">
      <c r="A193" s="28"/>
      <c r="B193" s="28"/>
      <c r="C193" s="28"/>
      <c r="D193" s="17" t="s">
        <v>242</v>
      </c>
      <c r="E193" s="15">
        <f>'[1]التعليم الابتدائي'!FU580</f>
        <v>0</v>
      </c>
      <c r="F193" s="15">
        <f>'[1]التعليم الابتدائي'!FV580</f>
        <v>0</v>
      </c>
      <c r="G193" s="59">
        <f t="shared" si="45"/>
        <v>0</v>
      </c>
      <c r="H193" s="15">
        <f>'[1]التعليم الابتدائي'!GJ580</f>
        <v>0</v>
      </c>
      <c r="I193" s="15">
        <f>'[1]التعليم الابتدائي'!GK580</f>
        <v>0</v>
      </c>
      <c r="J193" s="15">
        <f t="shared" si="46"/>
        <v>0</v>
      </c>
      <c r="K193" s="15">
        <f>'[1]التعليم الابتدائي'!GY580</f>
        <v>0</v>
      </c>
      <c r="L193" s="15">
        <f>'[1]التعليم الابتدائي'!GZ580</f>
        <v>0</v>
      </c>
      <c r="M193" s="15">
        <f>'[1]التعليم الابتدائي'!HN580</f>
        <v>0</v>
      </c>
      <c r="N193" s="15">
        <f>'[1]التعليم الابتدائي'!HO580</f>
        <v>0</v>
      </c>
      <c r="O193" s="15">
        <f>'[1]التعليم الابتدائي'!IC580</f>
        <v>0</v>
      </c>
      <c r="P193" s="15">
        <f>'[1]التعليم الابتدائي'!ID580</f>
        <v>0</v>
      </c>
      <c r="Q193" s="15">
        <f t="shared" si="47"/>
        <v>0</v>
      </c>
      <c r="R193" s="15">
        <f t="shared" si="47"/>
        <v>0</v>
      </c>
      <c r="S193" s="36">
        <f t="shared" si="48"/>
        <v>0</v>
      </c>
    </row>
    <row r="194" spans="1:20" ht="24" thickTop="1" thickBot="1">
      <c r="A194" s="28"/>
      <c r="B194" s="28"/>
      <c r="C194" s="28"/>
      <c r="D194" s="17" t="s">
        <v>243</v>
      </c>
      <c r="E194" s="15">
        <f>'[1]التعليم الابتدائي'!FW580</f>
        <v>0</v>
      </c>
      <c r="F194" s="15">
        <f>'[1]التعليم الابتدائي'!FX580</f>
        <v>0</v>
      </c>
      <c r="G194" s="59">
        <f t="shared" si="45"/>
        <v>0</v>
      </c>
      <c r="H194" s="15">
        <f>'[1]التعليم الابتدائي'!GL580</f>
        <v>0</v>
      </c>
      <c r="I194" s="15">
        <f>'[1]التعليم الابتدائي'!GM580</f>
        <v>0</v>
      </c>
      <c r="J194" s="15">
        <f t="shared" si="46"/>
        <v>0</v>
      </c>
      <c r="K194" s="15">
        <f>'[1]التعليم الابتدائي'!HA580</f>
        <v>0</v>
      </c>
      <c r="L194" s="15">
        <f>'[1]التعليم الابتدائي'!HB580</f>
        <v>0</v>
      </c>
      <c r="M194" s="15">
        <f>'[1]التعليم الابتدائي'!HP580</f>
        <v>0</v>
      </c>
      <c r="N194" s="15">
        <f>'[1]التعليم الابتدائي'!HQ580</f>
        <v>0</v>
      </c>
      <c r="O194" s="15">
        <f>'[1]التعليم الابتدائي'!IE580</f>
        <v>0</v>
      </c>
      <c r="P194" s="15">
        <f>'[1]التعليم الابتدائي'!IF580</f>
        <v>0</v>
      </c>
      <c r="Q194" s="15">
        <f t="shared" si="47"/>
        <v>0</v>
      </c>
      <c r="R194" s="15">
        <f t="shared" si="47"/>
        <v>0</v>
      </c>
      <c r="S194" s="36">
        <f t="shared" si="48"/>
        <v>0</v>
      </c>
    </row>
    <row r="195" spans="1:20" ht="24" thickTop="1" thickBot="1">
      <c r="A195" s="28"/>
      <c r="B195" s="28"/>
      <c r="C195" s="28"/>
      <c r="D195" s="18" t="s">
        <v>58</v>
      </c>
      <c r="E195" s="20">
        <f>SUM(E189:E194)</f>
        <v>0</v>
      </c>
      <c r="F195" s="20">
        <f>SUM(F189:F194)</f>
        <v>0</v>
      </c>
      <c r="G195" s="59">
        <f t="shared" si="45"/>
        <v>0</v>
      </c>
      <c r="H195" s="20">
        <f t="shared" ref="H195:S195" si="49">SUM(H189:H194)</f>
        <v>0</v>
      </c>
      <c r="I195" s="20">
        <f t="shared" si="49"/>
        <v>0</v>
      </c>
      <c r="J195" s="20">
        <f t="shared" si="49"/>
        <v>0</v>
      </c>
      <c r="K195" s="20">
        <f t="shared" si="49"/>
        <v>0</v>
      </c>
      <c r="L195" s="20">
        <f t="shared" si="49"/>
        <v>0</v>
      </c>
      <c r="M195" s="20">
        <f t="shared" si="49"/>
        <v>0</v>
      </c>
      <c r="N195" s="20">
        <f t="shared" si="49"/>
        <v>0</v>
      </c>
      <c r="O195" s="20">
        <f t="shared" si="49"/>
        <v>0</v>
      </c>
      <c r="P195" s="20">
        <f t="shared" si="49"/>
        <v>0</v>
      </c>
      <c r="Q195" s="20">
        <f t="shared" si="49"/>
        <v>0</v>
      </c>
      <c r="R195" s="20">
        <f t="shared" si="49"/>
        <v>0</v>
      </c>
      <c r="S195" s="33">
        <f t="shared" si="49"/>
        <v>0</v>
      </c>
    </row>
    <row r="196" spans="1:20" ht="23.4" thickTop="1"/>
    <row r="197" spans="1:20">
      <c r="A197" s="29" t="s">
        <v>62</v>
      </c>
      <c r="B197" s="29"/>
      <c r="C197" s="29"/>
      <c r="D197" s="29"/>
      <c r="E197" s="29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9" t="s">
        <v>93</v>
      </c>
      <c r="S197" s="29"/>
      <c r="T197" s="29"/>
    </row>
    <row r="198" spans="1:20">
      <c r="A198" s="231" t="s">
        <v>64</v>
      </c>
      <c r="B198" s="231"/>
      <c r="C198" s="231"/>
      <c r="D198" s="231"/>
      <c r="E198" s="231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9" t="s">
        <v>65</v>
      </c>
      <c r="S198" s="29"/>
      <c r="T198" s="29"/>
    </row>
    <row r="199" spans="1:20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</row>
    <row r="200" spans="1:20">
      <c r="A200" s="28"/>
      <c r="B200" s="231" t="s">
        <v>247</v>
      </c>
      <c r="C200" s="231"/>
      <c r="D200" s="231"/>
      <c r="E200" s="231"/>
      <c r="F200" s="231"/>
      <c r="G200" s="231"/>
      <c r="H200" s="231"/>
      <c r="I200" s="231"/>
      <c r="J200" s="231"/>
      <c r="K200" s="231"/>
      <c r="L200" s="231"/>
      <c r="M200" s="231"/>
      <c r="N200" s="231"/>
      <c r="O200" s="231"/>
      <c r="P200" s="231"/>
      <c r="Q200" s="231"/>
      <c r="R200" s="231"/>
      <c r="S200" s="231"/>
      <c r="T200" s="28"/>
    </row>
    <row r="201" spans="1:20">
      <c r="A201" s="43"/>
      <c r="B201" s="231" t="s">
        <v>208</v>
      </c>
      <c r="C201" s="231"/>
      <c r="D201" s="231"/>
      <c r="E201" s="231"/>
      <c r="F201" s="231"/>
      <c r="G201" s="231"/>
      <c r="H201" s="231"/>
      <c r="I201" s="231"/>
      <c r="J201" s="231"/>
      <c r="K201" s="231"/>
      <c r="L201" s="231"/>
      <c r="M201" s="231"/>
      <c r="N201" s="231"/>
      <c r="O201" s="231"/>
      <c r="P201" s="231"/>
      <c r="Q201" s="231"/>
      <c r="R201" s="231"/>
      <c r="S201" s="231"/>
      <c r="T201" s="43"/>
    </row>
    <row r="202" spans="1:20">
      <c r="A202" s="43"/>
      <c r="B202" s="294" t="s">
        <v>257</v>
      </c>
      <c r="C202" s="231"/>
      <c r="D202" s="231"/>
      <c r="E202" s="231"/>
      <c r="F202" s="231"/>
      <c r="G202" s="231"/>
      <c r="H202" s="231"/>
      <c r="I202" s="231"/>
      <c r="J202" s="231"/>
      <c r="K202" s="231"/>
      <c r="L202" s="231"/>
      <c r="M202" s="231"/>
      <c r="N202" s="231"/>
      <c r="O202" s="231"/>
      <c r="P202" s="231"/>
      <c r="Q202" s="231"/>
      <c r="R202" s="231"/>
      <c r="S202" s="231"/>
      <c r="T202" s="43"/>
    </row>
    <row r="203" spans="1:20" ht="23.4" thickBot="1">
      <c r="A203" s="28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8"/>
    </row>
    <row r="204" spans="1:20" ht="24" thickTop="1" thickBot="1">
      <c r="A204" s="28"/>
      <c r="B204" s="28"/>
      <c r="C204" s="28"/>
      <c r="D204" s="55" t="s">
        <v>249</v>
      </c>
      <c r="E204" s="223" t="s">
        <v>258</v>
      </c>
      <c r="F204" s="224"/>
      <c r="G204" s="237"/>
      <c r="H204" s="300" t="s">
        <v>251</v>
      </c>
      <c r="I204" s="224"/>
      <c r="J204" s="237"/>
      <c r="K204" s="301" t="s">
        <v>252</v>
      </c>
      <c r="L204" s="233"/>
      <c r="M204" s="233"/>
      <c r="N204" s="233"/>
      <c r="O204" s="233"/>
      <c r="P204" s="233"/>
      <c r="Q204" s="233"/>
      <c r="R204" s="233"/>
      <c r="S204" s="247"/>
    </row>
    <row r="205" spans="1:20" ht="24" thickTop="1" thickBot="1">
      <c r="A205" s="28"/>
      <c r="B205" s="28"/>
      <c r="C205" s="28"/>
      <c r="D205" s="56"/>
      <c r="E205" s="227" t="s">
        <v>253</v>
      </c>
      <c r="F205" s="227" t="s">
        <v>35</v>
      </c>
      <c r="G205" s="227" t="s">
        <v>58</v>
      </c>
      <c r="H205" s="227" t="s">
        <v>253</v>
      </c>
      <c r="I205" s="227" t="s">
        <v>35</v>
      </c>
      <c r="J205" s="227" t="s">
        <v>58</v>
      </c>
      <c r="K205" s="227" t="s">
        <v>254</v>
      </c>
      <c r="L205" s="227"/>
      <c r="M205" s="227" t="s">
        <v>255</v>
      </c>
      <c r="N205" s="227"/>
      <c r="O205" s="227" t="s">
        <v>256</v>
      </c>
      <c r="P205" s="227"/>
      <c r="Q205" s="227" t="s">
        <v>58</v>
      </c>
      <c r="R205" s="227"/>
      <c r="S205" s="244"/>
    </row>
    <row r="206" spans="1:20" ht="24" thickTop="1" thickBot="1">
      <c r="A206" s="28"/>
      <c r="B206" s="28"/>
      <c r="C206" s="28"/>
      <c r="D206" s="58" t="s">
        <v>145</v>
      </c>
      <c r="E206" s="227"/>
      <c r="F206" s="227"/>
      <c r="G206" s="227"/>
      <c r="H206" s="227"/>
      <c r="I206" s="227"/>
      <c r="J206" s="227"/>
      <c r="K206" s="15" t="s">
        <v>76</v>
      </c>
      <c r="L206" s="15" t="s">
        <v>35</v>
      </c>
      <c r="M206" s="15" t="s">
        <v>76</v>
      </c>
      <c r="N206" s="15" t="s">
        <v>35</v>
      </c>
      <c r="O206" s="15" t="s">
        <v>76</v>
      </c>
      <c r="P206" s="15" t="s">
        <v>35</v>
      </c>
      <c r="Q206" s="15" t="s">
        <v>76</v>
      </c>
      <c r="R206" s="15" t="s">
        <v>35</v>
      </c>
      <c r="S206" s="36" t="s">
        <v>58</v>
      </c>
    </row>
    <row r="207" spans="1:20" ht="24" thickTop="1" thickBot="1">
      <c r="A207" s="28"/>
      <c r="B207" s="28"/>
      <c r="C207" s="28"/>
      <c r="D207" s="17" t="s">
        <v>238</v>
      </c>
      <c r="E207" s="15">
        <f>'[1]التعليم الابتدائي'!FM644</f>
        <v>0</v>
      </c>
      <c r="F207" s="15">
        <f>'[1]التعليم الابتدائي'!FN644</f>
        <v>0</v>
      </c>
      <c r="G207" s="59">
        <f t="shared" ref="G207:G213" si="50">F207+E207</f>
        <v>0</v>
      </c>
      <c r="H207" s="15">
        <f>'[1]التعليم الابتدائي'!GB644</f>
        <v>0</v>
      </c>
      <c r="I207" s="15">
        <f>'[1]التعليم الابتدائي'!GC644</f>
        <v>0</v>
      </c>
      <c r="J207" s="15">
        <f t="shared" ref="J207:J212" si="51">I207+H207</f>
        <v>0</v>
      </c>
      <c r="K207" s="15">
        <f>'[1]التعليم الابتدائي'!GQ644</f>
        <v>0</v>
      </c>
      <c r="L207" s="15">
        <f>'[1]التعليم الابتدائي'!GR644</f>
        <v>0</v>
      </c>
      <c r="M207" s="15">
        <f>'[1]التعليم الابتدائي'!HF644</f>
        <v>0</v>
      </c>
      <c r="N207" s="15">
        <f>'[1]التعليم الابتدائي'!HG644</f>
        <v>0</v>
      </c>
      <c r="O207" s="15">
        <f>'[1]التعليم الابتدائي'!HU644</f>
        <v>0</v>
      </c>
      <c r="P207" s="15">
        <f>'[1]التعليم الابتدائي'!HV644</f>
        <v>0</v>
      </c>
      <c r="Q207" s="15">
        <f t="shared" ref="Q207:R212" si="52">O207+M207+K207</f>
        <v>0</v>
      </c>
      <c r="R207" s="15">
        <f t="shared" si="52"/>
        <v>0</v>
      </c>
      <c r="S207" s="36">
        <f t="shared" ref="S207:S212" si="53">R207+Q207</f>
        <v>0</v>
      </c>
    </row>
    <row r="208" spans="1:20" ht="24" thickTop="1" thickBot="1">
      <c r="A208" s="28"/>
      <c r="B208" s="28"/>
      <c r="C208" s="28"/>
      <c r="D208" s="17" t="s">
        <v>239</v>
      </c>
      <c r="E208" s="15">
        <f>'[1]التعليم الابتدائي'!FO644</f>
        <v>0</v>
      </c>
      <c r="F208" s="15">
        <f>'[1]التعليم الابتدائي'!FP644</f>
        <v>0</v>
      </c>
      <c r="G208" s="59">
        <f t="shared" si="50"/>
        <v>0</v>
      </c>
      <c r="H208" s="15">
        <f>'[1]التعليم الابتدائي'!GD644</f>
        <v>0</v>
      </c>
      <c r="I208" s="15">
        <f>'[1]التعليم الابتدائي'!GE644</f>
        <v>0</v>
      </c>
      <c r="J208" s="15">
        <f t="shared" si="51"/>
        <v>0</v>
      </c>
      <c r="K208" s="15">
        <f>'[1]التعليم الابتدائي'!GS644</f>
        <v>0</v>
      </c>
      <c r="L208" s="15">
        <f>'[1]التعليم الابتدائي'!GT644</f>
        <v>0</v>
      </c>
      <c r="M208" s="15">
        <f>'[1]التعليم الابتدائي'!HH644</f>
        <v>0</v>
      </c>
      <c r="N208" s="15">
        <f>'[1]التعليم الابتدائي'!HI644</f>
        <v>0</v>
      </c>
      <c r="O208" s="15">
        <f>'[1]التعليم الابتدائي'!HW644</f>
        <v>0</v>
      </c>
      <c r="P208" s="15">
        <f>'[1]التعليم الابتدائي'!HX644</f>
        <v>0</v>
      </c>
      <c r="Q208" s="15">
        <f t="shared" si="52"/>
        <v>0</v>
      </c>
      <c r="R208" s="15">
        <f t="shared" si="52"/>
        <v>0</v>
      </c>
      <c r="S208" s="36">
        <f t="shared" si="53"/>
        <v>0</v>
      </c>
    </row>
    <row r="209" spans="1:20" ht="24" thickTop="1" thickBot="1">
      <c r="A209" s="28"/>
      <c r="B209" s="28"/>
      <c r="C209" s="28"/>
      <c r="D209" s="17" t="s">
        <v>240</v>
      </c>
      <c r="E209" s="15">
        <f>'[1]التعليم الابتدائي'!FQ644</f>
        <v>0</v>
      </c>
      <c r="F209" s="15">
        <f>'[1]التعليم الابتدائي'!FR644</f>
        <v>0</v>
      </c>
      <c r="G209" s="59">
        <f t="shared" si="50"/>
        <v>0</v>
      </c>
      <c r="H209" s="15">
        <f>'[1]التعليم الابتدائي'!GF644</f>
        <v>0</v>
      </c>
      <c r="I209" s="15">
        <f>'[1]التعليم الابتدائي'!GG644</f>
        <v>0</v>
      </c>
      <c r="J209" s="15">
        <f t="shared" si="51"/>
        <v>0</v>
      </c>
      <c r="K209" s="15">
        <f>'[1]التعليم الابتدائي'!GU644</f>
        <v>0</v>
      </c>
      <c r="L209" s="15">
        <f>'[1]التعليم الابتدائي'!GV644</f>
        <v>0</v>
      </c>
      <c r="M209" s="15">
        <f>'[1]التعليم الابتدائي'!HJ644</f>
        <v>0</v>
      </c>
      <c r="N209" s="15">
        <f>'[1]التعليم الابتدائي'!HK644</f>
        <v>0</v>
      </c>
      <c r="O209" s="15">
        <f>'[1]التعليم الابتدائي'!HY644</f>
        <v>0</v>
      </c>
      <c r="P209" s="15">
        <f>'[1]التعليم الابتدائي'!HZ644</f>
        <v>0</v>
      </c>
      <c r="Q209" s="15">
        <f t="shared" si="52"/>
        <v>0</v>
      </c>
      <c r="R209" s="15">
        <f t="shared" si="52"/>
        <v>0</v>
      </c>
      <c r="S209" s="36">
        <f t="shared" si="53"/>
        <v>0</v>
      </c>
    </row>
    <row r="210" spans="1:20" ht="24" thickTop="1" thickBot="1">
      <c r="A210" s="28"/>
      <c r="B210" s="28"/>
      <c r="C210" s="28"/>
      <c r="D210" s="17" t="s">
        <v>241</v>
      </c>
      <c r="E210" s="15">
        <f>'[1]التعليم الابتدائي'!FS644</f>
        <v>0</v>
      </c>
      <c r="F210" s="15">
        <f>'[1]التعليم الابتدائي'!FT644</f>
        <v>0</v>
      </c>
      <c r="G210" s="59">
        <f t="shared" si="50"/>
        <v>0</v>
      </c>
      <c r="H210" s="15">
        <f>'[1]التعليم الابتدائي'!GH644</f>
        <v>0</v>
      </c>
      <c r="I210" s="15">
        <f>'[1]التعليم الابتدائي'!GI644</f>
        <v>0</v>
      </c>
      <c r="J210" s="15">
        <f t="shared" si="51"/>
        <v>0</v>
      </c>
      <c r="K210" s="15">
        <f>'[1]التعليم الابتدائي'!GW644</f>
        <v>0</v>
      </c>
      <c r="L210" s="15">
        <f>'[1]التعليم الابتدائي'!GX644</f>
        <v>0</v>
      </c>
      <c r="M210" s="15">
        <f>'[1]التعليم الابتدائي'!HL644</f>
        <v>0</v>
      </c>
      <c r="N210" s="15">
        <f>'[1]التعليم الابتدائي'!HM644</f>
        <v>0</v>
      </c>
      <c r="O210" s="15">
        <f>'[1]التعليم الابتدائي'!IA644</f>
        <v>0</v>
      </c>
      <c r="P210" s="15">
        <f>'[1]التعليم الابتدائي'!IB644</f>
        <v>0</v>
      </c>
      <c r="Q210" s="15">
        <f t="shared" si="52"/>
        <v>0</v>
      </c>
      <c r="R210" s="15">
        <f t="shared" si="52"/>
        <v>0</v>
      </c>
      <c r="S210" s="36">
        <f t="shared" si="53"/>
        <v>0</v>
      </c>
    </row>
    <row r="211" spans="1:20" ht="24" thickTop="1" thickBot="1">
      <c r="A211" s="28"/>
      <c r="B211" s="28"/>
      <c r="C211" s="28"/>
      <c r="D211" s="17" t="s">
        <v>242</v>
      </c>
      <c r="E211" s="15">
        <f>'[1]التعليم الابتدائي'!FU644</f>
        <v>0</v>
      </c>
      <c r="F211" s="15">
        <f>'[1]التعليم الابتدائي'!FV644</f>
        <v>0</v>
      </c>
      <c r="G211" s="59">
        <f t="shared" si="50"/>
        <v>0</v>
      </c>
      <c r="H211" s="15">
        <f>'[1]التعليم الابتدائي'!GJ644</f>
        <v>0</v>
      </c>
      <c r="I211" s="15">
        <f>'[1]التعليم الابتدائي'!GK644</f>
        <v>0</v>
      </c>
      <c r="J211" s="15">
        <f t="shared" si="51"/>
        <v>0</v>
      </c>
      <c r="K211" s="15">
        <f>'[1]التعليم الابتدائي'!GY644</f>
        <v>0</v>
      </c>
      <c r="L211" s="15">
        <f>'[1]التعليم الابتدائي'!GZ644</f>
        <v>0</v>
      </c>
      <c r="M211" s="15">
        <f>'[1]التعليم الابتدائي'!HN644</f>
        <v>0</v>
      </c>
      <c r="N211" s="15">
        <f>'[1]التعليم الابتدائي'!HO644</f>
        <v>0</v>
      </c>
      <c r="O211" s="15">
        <f>'[1]التعليم الابتدائي'!IC644</f>
        <v>0</v>
      </c>
      <c r="P211" s="15">
        <f>'[1]التعليم الابتدائي'!ID644</f>
        <v>0</v>
      </c>
      <c r="Q211" s="15">
        <f t="shared" si="52"/>
        <v>0</v>
      </c>
      <c r="R211" s="15">
        <f t="shared" si="52"/>
        <v>0</v>
      </c>
      <c r="S211" s="36">
        <f t="shared" si="53"/>
        <v>0</v>
      </c>
    </row>
    <row r="212" spans="1:20" ht="24" thickTop="1" thickBot="1">
      <c r="A212" s="28"/>
      <c r="B212" s="28"/>
      <c r="C212" s="28"/>
      <c r="D212" s="17" t="s">
        <v>243</v>
      </c>
      <c r="E212" s="15">
        <f>'[1]التعليم الابتدائي'!FW644</f>
        <v>0</v>
      </c>
      <c r="F212" s="15">
        <f>'[1]التعليم الابتدائي'!FX644</f>
        <v>0</v>
      </c>
      <c r="G212" s="59">
        <f t="shared" si="50"/>
        <v>0</v>
      </c>
      <c r="H212" s="15">
        <f>'[1]التعليم الابتدائي'!GL644</f>
        <v>0</v>
      </c>
      <c r="I212" s="15">
        <f>'[1]التعليم الابتدائي'!GM644</f>
        <v>0</v>
      </c>
      <c r="J212" s="15">
        <f t="shared" si="51"/>
        <v>0</v>
      </c>
      <c r="K212" s="15">
        <f>'[1]التعليم الابتدائي'!HA644</f>
        <v>0</v>
      </c>
      <c r="L212" s="15">
        <f>'[1]التعليم الابتدائي'!HB644</f>
        <v>0</v>
      </c>
      <c r="M212" s="15">
        <f>'[1]التعليم الابتدائي'!HP644</f>
        <v>0</v>
      </c>
      <c r="N212" s="15">
        <f>'[1]التعليم الابتدائي'!HQ644</f>
        <v>0</v>
      </c>
      <c r="O212" s="15">
        <f>'[1]التعليم الابتدائي'!IE644</f>
        <v>0</v>
      </c>
      <c r="P212" s="15">
        <f>'[1]التعليم الابتدائي'!IF644</f>
        <v>0</v>
      </c>
      <c r="Q212" s="15">
        <f t="shared" si="52"/>
        <v>0</v>
      </c>
      <c r="R212" s="15">
        <f t="shared" si="52"/>
        <v>0</v>
      </c>
      <c r="S212" s="36">
        <f t="shared" si="53"/>
        <v>0</v>
      </c>
    </row>
    <row r="213" spans="1:20" ht="24" thickTop="1" thickBot="1">
      <c r="A213" s="28"/>
      <c r="B213" s="28"/>
      <c r="C213" s="28"/>
      <c r="D213" s="18" t="s">
        <v>58</v>
      </c>
      <c r="E213" s="20">
        <f>SUM(E207:E212)</f>
        <v>0</v>
      </c>
      <c r="F213" s="20">
        <f>SUM(F207:F212)</f>
        <v>0</v>
      </c>
      <c r="G213" s="59">
        <f t="shared" si="50"/>
        <v>0</v>
      </c>
      <c r="H213" s="20">
        <f t="shared" ref="H213:S213" si="54">SUM(H207:H212)</f>
        <v>0</v>
      </c>
      <c r="I213" s="20">
        <f t="shared" si="54"/>
        <v>0</v>
      </c>
      <c r="J213" s="20">
        <f t="shared" si="54"/>
        <v>0</v>
      </c>
      <c r="K213" s="20">
        <f t="shared" si="54"/>
        <v>0</v>
      </c>
      <c r="L213" s="20">
        <f t="shared" si="54"/>
        <v>0</v>
      </c>
      <c r="M213" s="20">
        <f t="shared" si="54"/>
        <v>0</v>
      </c>
      <c r="N213" s="20">
        <f t="shared" si="54"/>
        <v>0</v>
      </c>
      <c r="O213" s="20">
        <f t="shared" si="54"/>
        <v>0</v>
      </c>
      <c r="P213" s="20">
        <f t="shared" si="54"/>
        <v>0</v>
      </c>
      <c r="Q213" s="20">
        <f t="shared" si="54"/>
        <v>0</v>
      </c>
      <c r="R213" s="20">
        <f t="shared" si="54"/>
        <v>0</v>
      </c>
      <c r="S213" s="33">
        <f t="shared" si="54"/>
        <v>0</v>
      </c>
    </row>
    <row r="214" spans="1:20" ht="23.4" thickTop="1"/>
    <row r="215" spans="1:20">
      <c r="A215" s="29" t="s">
        <v>62</v>
      </c>
      <c r="B215" s="29"/>
      <c r="C215" s="29"/>
      <c r="D215" s="29"/>
      <c r="E215" s="29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R215" s="29" t="s">
        <v>94</v>
      </c>
      <c r="S215" s="29"/>
      <c r="T215" s="29"/>
    </row>
    <row r="216" spans="1:20">
      <c r="A216" s="231" t="s">
        <v>64</v>
      </c>
      <c r="B216" s="231"/>
      <c r="C216" s="231"/>
      <c r="D216" s="231"/>
      <c r="E216" s="231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R216" s="29" t="s">
        <v>65</v>
      </c>
      <c r="S216" s="29"/>
      <c r="T216" s="29"/>
    </row>
    <row r="217" spans="1:20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</row>
    <row r="218" spans="1:20">
      <c r="A218" s="28"/>
      <c r="B218" s="231" t="s">
        <v>247</v>
      </c>
      <c r="C218" s="231"/>
      <c r="D218" s="231"/>
      <c r="E218" s="231"/>
      <c r="F218" s="231"/>
      <c r="G218" s="231"/>
      <c r="H218" s="231"/>
      <c r="I218" s="231"/>
      <c r="J218" s="231"/>
      <c r="K218" s="231"/>
      <c r="L218" s="231"/>
      <c r="M218" s="231"/>
      <c r="N218" s="231"/>
      <c r="O218" s="231"/>
      <c r="P218" s="231"/>
      <c r="Q218" s="231"/>
      <c r="R218" s="231"/>
      <c r="S218" s="231"/>
      <c r="T218" s="28"/>
    </row>
    <row r="219" spans="1:20">
      <c r="A219" s="43"/>
      <c r="B219" s="282" t="s">
        <v>208</v>
      </c>
      <c r="C219" s="282"/>
      <c r="D219" s="282"/>
      <c r="E219" s="282"/>
      <c r="F219" s="282"/>
      <c r="G219" s="282"/>
      <c r="H219" s="282"/>
      <c r="I219" s="282"/>
      <c r="J219" s="282"/>
      <c r="K219" s="282"/>
      <c r="L219" s="282"/>
      <c r="M219" s="282"/>
      <c r="N219" s="282"/>
      <c r="O219" s="282"/>
      <c r="P219" s="282"/>
      <c r="Q219" s="282"/>
      <c r="R219" s="282"/>
      <c r="S219" s="282"/>
      <c r="T219" s="43"/>
    </row>
    <row r="220" spans="1:20">
      <c r="A220" s="43"/>
      <c r="B220" s="294" t="s">
        <v>257</v>
      </c>
      <c r="C220" s="231"/>
      <c r="D220" s="231"/>
      <c r="E220" s="231"/>
      <c r="F220" s="231"/>
      <c r="G220" s="231"/>
      <c r="H220" s="231"/>
      <c r="I220" s="231"/>
      <c r="J220" s="231"/>
      <c r="K220" s="231"/>
      <c r="L220" s="231"/>
      <c r="M220" s="231"/>
      <c r="N220" s="231"/>
      <c r="O220" s="231"/>
      <c r="P220" s="231"/>
      <c r="Q220" s="231"/>
      <c r="R220" s="231"/>
      <c r="S220" s="231"/>
      <c r="T220" s="43"/>
    </row>
    <row r="221" spans="1:20" ht="23.4" thickBot="1">
      <c r="A221" s="28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8"/>
    </row>
    <row r="222" spans="1:20" ht="24" thickTop="1" thickBot="1">
      <c r="A222" s="28"/>
      <c r="B222" s="28"/>
      <c r="C222" s="28"/>
      <c r="D222" s="55" t="s">
        <v>249</v>
      </c>
      <c r="E222" s="223" t="s">
        <v>258</v>
      </c>
      <c r="F222" s="224"/>
      <c r="G222" s="237"/>
      <c r="H222" s="300" t="s">
        <v>251</v>
      </c>
      <c r="I222" s="224"/>
      <c r="J222" s="237"/>
      <c r="K222" s="301" t="s">
        <v>252</v>
      </c>
      <c r="L222" s="233"/>
      <c r="M222" s="233"/>
      <c r="N222" s="233"/>
      <c r="O222" s="233"/>
      <c r="P222" s="233"/>
      <c r="Q222" s="233"/>
      <c r="R222" s="233"/>
      <c r="S222" s="247"/>
    </row>
    <row r="223" spans="1:20" ht="24" thickTop="1" thickBot="1">
      <c r="A223" s="28"/>
      <c r="B223" s="28"/>
      <c r="C223" s="28"/>
      <c r="D223" s="56"/>
      <c r="E223" s="227" t="s">
        <v>253</v>
      </c>
      <c r="F223" s="227" t="s">
        <v>35</v>
      </c>
      <c r="G223" s="227" t="s">
        <v>58</v>
      </c>
      <c r="H223" s="227" t="s">
        <v>253</v>
      </c>
      <c r="I223" s="227" t="s">
        <v>35</v>
      </c>
      <c r="J223" s="227" t="s">
        <v>58</v>
      </c>
      <c r="K223" s="227" t="s">
        <v>254</v>
      </c>
      <c r="L223" s="227"/>
      <c r="M223" s="227" t="s">
        <v>255</v>
      </c>
      <c r="N223" s="227"/>
      <c r="O223" s="227" t="s">
        <v>256</v>
      </c>
      <c r="P223" s="227"/>
      <c r="Q223" s="227" t="s">
        <v>58</v>
      </c>
      <c r="R223" s="227"/>
      <c r="S223" s="244"/>
    </row>
    <row r="224" spans="1:20" ht="24" thickTop="1" thickBot="1">
      <c r="A224" s="28"/>
      <c r="B224" s="28"/>
      <c r="C224" s="28"/>
      <c r="D224" s="58" t="s">
        <v>145</v>
      </c>
      <c r="E224" s="227"/>
      <c r="F224" s="227"/>
      <c r="G224" s="227"/>
      <c r="H224" s="227"/>
      <c r="I224" s="227"/>
      <c r="J224" s="227"/>
      <c r="K224" s="15" t="s">
        <v>76</v>
      </c>
      <c r="L224" s="15" t="s">
        <v>35</v>
      </c>
      <c r="M224" s="15" t="s">
        <v>76</v>
      </c>
      <c r="N224" s="15" t="s">
        <v>35</v>
      </c>
      <c r="O224" s="15" t="s">
        <v>76</v>
      </c>
      <c r="P224" s="15" t="s">
        <v>35</v>
      </c>
      <c r="Q224" s="15" t="s">
        <v>76</v>
      </c>
      <c r="R224" s="15" t="s">
        <v>35</v>
      </c>
      <c r="S224" s="36" t="s">
        <v>58</v>
      </c>
    </row>
    <row r="225" spans="1:20" ht="24" thickTop="1" thickBot="1">
      <c r="A225" s="28"/>
      <c r="B225" s="28"/>
      <c r="C225" s="28"/>
      <c r="D225" s="17" t="s">
        <v>238</v>
      </c>
      <c r="E225" s="15">
        <f>'[1]التعليم الابتدائي'!FM607</f>
        <v>0</v>
      </c>
      <c r="F225" s="15">
        <f>'[1]التعليم الابتدائي'!FN607</f>
        <v>0</v>
      </c>
      <c r="G225" s="59">
        <f t="shared" ref="G225:G231" si="55">SUM(E225:F225)</f>
        <v>0</v>
      </c>
      <c r="H225" s="15">
        <f>'[1]التعليم الابتدائي'!GB607</f>
        <v>0</v>
      </c>
      <c r="I225" s="15">
        <f>'[1]التعليم الابتدائي'!GC607</f>
        <v>0</v>
      </c>
      <c r="J225" s="15">
        <f t="shared" ref="J225:J230" si="56">I225+H225</f>
        <v>0</v>
      </c>
      <c r="K225" s="15">
        <f>'[1]التعليم الابتدائي'!GQ607</f>
        <v>0</v>
      </c>
      <c r="L225" s="15">
        <f>'[1]التعليم الابتدائي'!GR607</f>
        <v>0</v>
      </c>
      <c r="M225" s="15">
        <f>'[1]التعليم الابتدائي'!HF607</f>
        <v>0</v>
      </c>
      <c r="N225" s="15">
        <f>'[1]التعليم الابتدائي'!HG607</f>
        <v>0</v>
      </c>
      <c r="O225" s="15">
        <f>'[1]التعليم الابتدائي'!HU607</f>
        <v>0</v>
      </c>
      <c r="P225" s="15">
        <f>'[1]التعليم الابتدائي'!HV607</f>
        <v>0</v>
      </c>
      <c r="Q225" s="15">
        <f t="shared" ref="Q225:R230" si="57">O225+M225+K225</f>
        <v>0</v>
      </c>
      <c r="R225" s="15">
        <f t="shared" si="57"/>
        <v>0</v>
      </c>
      <c r="S225" s="36">
        <f t="shared" ref="S225:S230" si="58">R225+Q225</f>
        <v>0</v>
      </c>
    </row>
    <row r="226" spans="1:20" ht="24" thickTop="1" thickBot="1">
      <c r="A226" s="28"/>
      <c r="B226" s="28"/>
      <c r="C226" s="28"/>
      <c r="D226" s="17" t="s">
        <v>239</v>
      </c>
      <c r="E226" s="15">
        <f>'[1]التعليم الابتدائي'!FO607</f>
        <v>0</v>
      </c>
      <c r="F226" s="15">
        <f>'[1]التعليم الابتدائي'!FP607</f>
        <v>0</v>
      </c>
      <c r="G226" s="59">
        <f t="shared" si="55"/>
        <v>0</v>
      </c>
      <c r="H226" s="15">
        <f>'[1]التعليم الابتدائي'!GD607</f>
        <v>0</v>
      </c>
      <c r="I226" s="15">
        <f>'[1]التعليم الابتدائي'!GE607</f>
        <v>0</v>
      </c>
      <c r="J226" s="15">
        <f t="shared" si="56"/>
        <v>0</v>
      </c>
      <c r="K226" s="15">
        <f>'[1]التعليم الابتدائي'!GS607</f>
        <v>0</v>
      </c>
      <c r="L226" s="15">
        <f>'[1]التعليم الابتدائي'!GT607</f>
        <v>0</v>
      </c>
      <c r="M226" s="15">
        <f>'[1]التعليم الابتدائي'!HH607</f>
        <v>0</v>
      </c>
      <c r="N226" s="15">
        <f>'[1]التعليم الابتدائي'!HI607</f>
        <v>0</v>
      </c>
      <c r="O226" s="15">
        <f>'[1]التعليم الابتدائي'!HW607</f>
        <v>0</v>
      </c>
      <c r="P226" s="15">
        <f>'[1]التعليم الابتدائي'!HX607</f>
        <v>0</v>
      </c>
      <c r="Q226" s="15">
        <f t="shared" si="57"/>
        <v>0</v>
      </c>
      <c r="R226" s="15">
        <f t="shared" si="57"/>
        <v>0</v>
      </c>
      <c r="S226" s="36">
        <f t="shared" si="58"/>
        <v>0</v>
      </c>
    </row>
    <row r="227" spans="1:20" ht="24" thickTop="1" thickBot="1">
      <c r="A227" s="28"/>
      <c r="B227" s="28"/>
      <c r="C227" s="28"/>
      <c r="D227" s="17" t="s">
        <v>240</v>
      </c>
      <c r="E227" s="15">
        <f>'[1]التعليم الابتدائي'!FQ607</f>
        <v>0</v>
      </c>
      <c r="F227" s="15">
        <f>'[1]التعليم الابتدائي'!FR607</f>
        <v>0</v>
      </c>
      <c r="G227" s="59">
        <f t="shared" si="55"/>
        <v>0</v>
      </c>
      <c r="H227" s="15">
        <f>'[1]التعليم الابتدائي'!GF607</f>
        <v>0</v>
      </c>
      <c r="I227" s="15">
        <f>'[1]التعليم الابتدائي'!GG607</f>
        <v>0</v>
      </c>
      <c r="J227" s="15">
        <f t="shared" si="56"/>
        <v>0</v>
      </c>
      <c r="K227" s="15">
        <f>'[1]التعليم الابتدائي'!GU607</f>
        <v>0</v>
      </c>
      <c r="L227" s="15">
        <f>'[1]التعليم الابتدائي'!GV607</f>
        <v>0</v>
      </c>
      <c r="M227" s="15">
        <f>'[1]التعليم الابتدائي'!HJ607</f>
        <v>0</v>
      </c>
      <c r="N227" s="15">
        <f>'[1]التعليم الابتدائي'!HK607</f>
        <v>0</v>
      </c>
      <c r="O227" s="15">
        <f>'[1]التعليم الابتدائي'!HY607</f>
        <v>0</v>
      </c>
      <c r="P227" s="15">
        <f>'[1]التعليم الابتدائي'!HZ607</f>
        <v>0</v>
      </c>
      <c r="Q227" s="15">
        <f t="shared" si="57"/>
        <v>0</v>
      </c>
      <c r="R227" s="15">
        <f t="shared" si="57"/>
        <v>0</v>
      </c>
      <c r="S227" s="36">
        <f t="shared" si="58"/>
        <v>0</v>
      </c>
    </row>
    <row r="228" spans="1:20" ht="24" thickTop="1" thickBot="1">
      <c r="A228" s="28"/>
      <c r="B228" s="28"/>
      <c r="C228" s="28"/>
      <c r="D228" s="17" t="s">
        <v>241</v>
      </c>
      <c r="E228" s="15">
        <f>'[1]التعليم الابتدائي'!FS607</f>
        <v>0</v>
      </c>
      <c r="F228" s="15">
        <f>'[1]التعليم الابتدائي'!FT607</f>
        <v>0</v>
      </c>
      <c r="G228" s="59">
        <f t="shared" si="55"/>
        <v>0</v>
      </c>
      <c r="H228" s="15">
        <f>'[1]التعليم الابتدائي'!GH607</f>
        <v>0</v>
      </c>
      <c r="I228" s="15">
        <f>'[1]التعليم الابتدائي'!GI607</f>
        <v>0</v>
      </c>
      <c r="J228" s="15">
        <f t="shared" si="56"/>
        <v>0</v>
      </c>
      <c r="K228" s="15">
        <f>'[1]التعليم الابتدائي'!GW607</f>
        <v>0</v>
      </c>
      <c r="L228" s="15">
        <f>'[1]التعليم الابتدائي'!GX607</f>
        <v>0</v>
      </c>
      <c r="M228" s="15">
        <f>'[1]التعليم الابتدائي'!HL607</f>
        <v>0</v>
      </c>
      <c r="N228" s="15">
        <f>'[1]التعليم الابتدائي'!HM607</f>
        <v>0</v>
      </c>
      <c r="O228" s="15">
        <f>'[1]التعليم الابتدائي'!IA607</f>
        <v>0</v>
      </c>
      <c r="P228" s="15">
        <f>'[1]التعليم الابتدائي'!IB607</f>
        <v>0</v>
      </c>
      <c r="Q228" s="15">
        <f t="shared" si="57"/>
        <v>0</v>
      </c>
      <c r="R228" s="15">
        <f t="shared" si="57"/>
        <v>0</v>
      </c>
      <c r="S228" s="36">
        <f t="shared" si="58"/>
        <v>0</v>
      </c>
    </row>
    <row r="229" spans="1:20" ht="24" thickTop="1" thickBot="1">
      <c r="A229" s="28"/>
      <c r="B229" s="28"/>
      <c r="C229" s="28"/>
      <c r="D229" s="17" t="s">
        <v>242</v>
      </c>
      <c r="E229" s="15">
        <f>'[1]التعليم الابتدائي'!FU607</f>
        <v>0</v>
      </c>
      <c r="F229" s="15">
        <f>'[1]التعليم الابتدائي'!FV607</f>
        <v>0</v>
      </c>
      <c r="G229" s="59">
        <f t="shared" si="55"/>
        <v>0</v>
      </c>
      <c r="H229" s="15">
        <f>'[1]التعليم الابتدائي'!GJ607</f>
        <v>0</v>
      </c>
      <c r="I229" s="15">
        <f>'[1]التعليم الابتدائي'!GK607</f>
        <v>0</v>
      </c>
      <c r="J229" s="15">
        <f t="shared" si="56"/>
        <v>0</v>
      </c>
      <c r="K229" s="15">
        <f>'[1]التعليم الابتدائي'!GY607</f>
        <v>0</v>
      </c>
      <c r="L229" s="15">
        <f>'[1]التعليم الابتدائي'!GZ607</f>
        <v>0</v>
      </c>
      <c r="M229" s="15">
        <f>'[1]التعليم الابتدائي'!HN607</f>
        <v>0</v>
      </c>
      <c r="N229" s="15">
        <f>'[1]التعليم الابتدائي'!HO607</f>
        <v>0</v>
      </c>
      <c r="O229" s="15">
        <f>'[1]التعليم الابتدائي'!IC607</f>
        <v>0</v>
      </c>
      <c r="P229" s="15">
        <f>'[1]التعليم الابتدائي'!ID607</f>
        <v>0</v>
      </c>
      <c r="Q229" s="15">
        <f t="shared" si="57"/>
        <v>0</v>
      </c>
      <c r="R229" s="15">
        <f t="shared" si="57"/>
        <v>0</v>
      </c>
      <c r="S229" s="36">
        <f t="shared" si="58"/>
        <v>0</v>
      </c>
    </row>
    <row r="230" spans="1:20" ht="24" thickTop="1" thickBot="1">
      <c r="A230" s="28"/>
      <c r="B230" s="28"/>
      <c r="C230" s="28"/>
      <c r="D230" s="17" t="s">
        <v>243</v>
      </c>
      <c r="E230" s="15">
        <f>'[1]التعليم الابتدائي'!FW607</f>
        <v>0</v>
      </c>
      <c r="F230" s="15">
        <f>'[1]التعليم الابتدائي'!FX607</f>
        <v>0</v>
      </c>
      <c r="G230" s="59">
        <f t="shared" si="55"/>
        <v>0</v>
      </c>
      <c r="H230" s="15">
        <f>'[1]التعليم الابتدائي'!GL607</f>
        <v>0</v>
      </c>
      <c r="I230" s="15">
        <f>'[1]التعليم الابتدائي'!GM607</f>
        <v>0</v>
      </c>
      <c r="J230" s="15">
        <f t="shared" si="56"/>
        <v>0</v>
      </c>
      <c r="K230" s="15">
        <f>'[1]التعليم الابتدائي'!HA607</f>
        <v>0</v>
      </c>
      <c r="L230" s="15">
        <f>'[1]التعليم الابتدائي'!HB607</f>
        <v>0</v>
      </c>
      <c r="M230" s="15">
        <f>'[1]التعليم الابتدائي'!HP607</f>
        <v>0</v>
      </c>
      <c r="N230" s="15">
        <f>'[1]التعليم الابتدائي'!HQ607</f>
        <v>0</v>
      </c>
      <c r="O230" s="15">
        <f>'[1]التعليم الابتدائي'!IE607</f>
        <v>0</v>
      </c>
      <c r="P230" s="15">
        <f>'[1]التعليم الابتدائي'!IF607</f>
        <v>0</v>
      </c>
      <c r="Q230" s="15">
        <f t="shared" si="57"/>
        <v>0</v>
      </c>
      <c r="R230" s="15">
        <f t="shared" si="57"/>
        <v>0</v>
      </c>
      <c r="S230" s="36">
        <f t="shared" si="58"/>
        <v>0</v>
      </c>
    </row>
    <row r="231" spans="1:20" ht="24" thickTop="1" thickBot="1">
      <c r="A231" s="28"/>
      <c r="B231" s="28"/>
      <c r="C231" s="28"/>
      <c r="D231" s="18" t="s">
        <v>58</v>
      </c>
      <c r="E231" s="20">
        <f>SUM(E225:E230)</f>
        <v>0</v>
      </c>
      <c r="F231" s="20">
        <f>SUM(F225:F230)</f>
        <v>0</v>
      </c>
      <c r="G231" s="59">
        <f t="shared" si="55"/>
        <v>0</v>
      </c>
      <c r="H231" s="20">
        <f t="shared" ref="H231:S231" si="59">SUM(H225:H230)</f>
        <v>0</v>
      </c>
      <c r="I231" s="20">
        <f t="shared" si="59"/>
        <v>0</v>
      </c>
      <c r="J231" s="20">
        <f t="shared" si="59"/>
        <v>0</v>
      </c>
      <c r="K231" s="20">
        <f t="shared" si="59"/>
        <v>0</v>
      </c>
      <c r="L231" s="20">
        <f t="shared" si="59"/>
        <v>0</v>
      </c>
      <c r="M231" s="20">
        <f t="shared" si="59"/>
        <v>0</v>
      </c>
      <c r="N231" s="20">
        <f t="shared" si="59"/>
        <v>0</v>
      </c>
      <c r="O231" s="20">
        <f t="shared" si="59"/>
        <v>0</v>
      </c>
      <c r="P231" s="20">
        <f t="shared" si="59"/>
        <v>0</v>
      </c>
      <c r="Q231" s="20">
        <f t="shared" si="59"/>
        <v>0</v>
      </c>
      <c r="R231" s="20">
        <f t="shared" si="59"/>
        <v>0</v>
      </c>
      <c r="S231" s="33">
        <f t="shared" si="59"/>
        <v>0</v>
      </c>
    </row>
    <row r="232" spans="1:20" ht="23.4" thickTop="1"/>
    <row r="233" spans="1:20">
      <c r="A233" s="231" t="s">
        <v>62</v>
      </c>
      <c r="B233" s="231"/>
      <c r="C233" s="231"/>
      <c r="D233" s="231"/>
      <c r="E233" s="231"/>
      <c r="F233" s="231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71" t="s">
        <v>95</v>
      </c>
      <c r="S233" s="29"/>
      <c r="T233" s="29"/>
    </row>
    <row r="234" spans="1:20">
      <c r="A234" s="231" t="s">
        <v>64</v>
      </c>
      <c r="B234" s="231"/>
      <c r="C234" s="231"/>
      <c r="D234" s="231"/>
      <c r="E234" s="231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R234" s="29" t="s">
        <v>65</v>
      </c>
      <c r="S234" s="29"/>
      <c r="T234" s="29"/>
    </row>
    <row r="235" spans="1:20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</row>
    <row r="236" spans="1:20">
      <c r="A236" s="28"/>
      <c r="B236" s="231" t="s">
        <v>247</v>
      </c>
      <c r="C236" s="231"/>
      <c r="D236" s="231"/>
      <c r="E236" s="231"/>
      <c r="F236" s="231"/>
      <c r="G236" s="231"/>
      <c r="H236" s="231"/>
      <c r="I236" s="231"/>
      <c r="J236" s="231"/>
      <c r="K236" s="231"/>
      <c r="L236" s="231"/>
      <c r="M236" s="231"/>
      <c r="N236" s="231"/>
      <c r="O236" s="231"/>
      <c r="P236" s="231"/>
      <c r="Q236" s="231"/>
      <c r="R236" s="231"/>
      <c r="S236" s="231"/>
      <c r="T236" s="28"/>
    </row>
    <row r="237" spans="1:20">
      <c r="A237" s="43"/>
      <c r="B237" s="231" t="s">
        <v>208</v>
      </c>
      <c r="C237" s="231"/>
      <c r="D237" s="231"/>
      <c r="E237" s="231"/>
      <c r="F237" s="231"/>
      <c r="G237" s="231"/>
      <c r="H237" s="231"/>
      <c r="I237" s="231"/>
      <c r="J237" s="231"/>
      <c r="K237" s="231"/>
      <c r="L237" s="231"/>
      <c r="M237" s="231"/>
      <c r="N237" s="231"/>
      <c r="O237" s="231"/>
      <c r="P237" s="231"/>
      <c r="Q237" s="231"/>
      <c r="R237" s="231"/>
      <c r="S237" s="231"/>
      <c r="T237" s="43"/>
    </row>
    <row r="238" spans="1:20">
      <c r="A238" s="43"/>
      <c r="B238" s="294" t="s">
        <v>257</v>
      </c>
      <c r="C238" s="231"/>
      <c r="D238" s="231"/>
      <c r="E238" s="231"/>
      <c r="F238" s="231"/>
      <c r="G238" s="231"/>
      <c r="H238" s="231"/>
      <c r="I238" s="231"/>
      <c r="J238" s="231"/>
      <c r="K238" s="231"/>
      <c r="L238" s="231"/>
      <c r="M238" s="231"/>
      <c r="N238" s="231"/>
      <c r="O238" s="231"/>
      <c r="P238" s="231"/>
      <c r="Q238" s="231"/>
      <c r="R238" s="231"/>
      <c r="S238" s="231"/>
      <c r="T238" s="43"/>
    </row>
    <row r="239" spans="1:20" ht="23.4" thickBot="1">
      <c r="A239" s="28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8"/>
    </row>
    <row r="240" spans="1:20" ht="24" thickTop="1" thickBot="1">
      <c r="A240" s="28"/>
      <c r="B240" s="28"/>
      <c r="C240" s="28"/>
      <c r="D240" s="55" t="s">
        <v>260</v>
      </c>
      <c r="E240" s="223" t="s">
        <v>258</v>
      </c>
      <c r="F240" s="224"/>
      <c r="G240" s="237"/>
      <c r="H240" s="300" t="s">
        <v>251</v>
      </c>
      <c r="I240" s="224"/>
      <c r="J240" s="237"/>
      <c r="K240" s="302" t="s">
        <v>252</v>
      </c>
      <c r="L240" s="224"/>
      <c r="M240" s="224"/>
      <c r="N240" s="224"/>
      <c r="O240" s="224"/>
      <c r="P240" s="224"/>
      <c r="Q240" s="224"/>
      <c r="R240" s="224"/>
      <c r="S240" s="237"/>
    </row>
    <row r="241" spans="1:20" ht="24" thickTop="1" thickBot="1">
      <c r="A241" s="28"/>
      <c r="B241" s="28"/>
      <c r="C241" s="28"/>
      <c r="D241" s="56"/>
      <c r="E241" s="227" t="s">
        <v>253</v>
      </c>
      <c r="F241" s="227" t="s">
        <v>35</v>
      </c>
      <c r="G241" s="227" t="s">
        <v>58</v>
      </c>
      <c r="H241" s="227" t="s">
        <v>253</v>
      </c>
      <c r="I241" s="227" t="s">
        <v>35</v>
      </c>
      <c r="J241" s="227" t="s">
        <v>58</v>
      </c>
      <c r="K241" s="227" t="s">
        <v>254</v>
      </c>
      <c r="L241" s="227"/>
      <c r="M241" s="227" t="s">
        <v>255</v>
      </c>
      <c r="N241" s="227"/>
      <c r="O241" s="227" t="s">
        <v>256</v>
      </c>
      <c r="P241" s="227"/>
      <c r="Q241" s="227" t="s">
        <v>58</v>
      </c>
      <c r="R241" s="227"/>
      <c r="S241" s="244"/>
    </row>
    <row r="242" spans="1:20" ht="24" thickTop="1" thickBot="1">
      <c r="A242" s="28"/>
      <c r="B242" s="28"/>
      <c r="C242" s="28"/>
      <c r="D242" s="58" t="s">
        <v>145</v>
      </c>
      <c r="E242" s="227"/>
      <c r="F242" s="227"/>
      <c r="G242" s="227"/>
      <c r="H242" s="227"/>
      <c r="I242" s="227"/>
      <c r="J242" s="227"/>
      <c r="K242" s="15" t="s">
        <v>76</v>
      </c>
      <c r="L242" s="15" t="s">
        <v>35</v>
      </c>
      <c r="M242" s="15" t="s">
        <v>76</v>
      </c>
      <c r="N242" s="15" t="s">
        <v>35</v>
      </c>
      <c r="O242" s="15" t="s">
        <v>76</v>
      </c>
      <c r="P242" s="15" t="s">
        <v>35</v>
      </c>
      <c r="Q242" s="15" t="s">
        <v>76</v>
      </c>
      <c r="R242" s="15" t="s">
        <v>35</v>
      </c>
      <c r="S242" s="36" t="s">
        <v>58</v>
      </c>
    </row>
    <row r="243" spans="1:20" ht="24" thickTop="1" thickBot="1">
      <c r="A243" s="28"/>
      <c r="B243" s="28"/>
      <c r="C243" s="28"/>
      <c r="D243" s="17" t="s">
        <v>238</v>
      </c>
      <c r="E243" s="15">
        <f>'[1]التعليم الابتدائي'!FM643</f>
        <v>0</v>
      </c>
      <c r="F243" s="15">
        <f>'[1]التعليم الابتدائي'!FN643</f>
        <v>0</v>
      </c>
      <c r="G243" s="59">
        <f t="shared" ref="G243:G249" si="60">SUM(E243:F243)</f>
        <v>0</v>
      </c>
      <c r="H243" s="15">
        <f>'[1]التعليم الابتدائي'!GB643</f>
        <v>0</v>
      </c>
      <c r="I243" s="15">
        <f>'[1]التعليم الابتدائي'!GC643</f>
        <v>0</v>
      </c>
      <c r="J243" s="15">
        <f t="shared" ref="J243:J248" si="61">I243+H243</f>
        <v>0</v>
      </c>
      <c r="K243" s="15">
        <f>'[1]التعليم الابتدائي'!GQ643</f>
        <v>0</v>
      </c>
      <c r="L243" s="15">
        <f>'[1]التعليم الابتدائي'!GR643</f>
        <v>0</v>
      </c>
      <c r="M243" s="15">
        <f>'[1]التعليم الابتدائي'!HF643</f>
        <v>0</v>
      </c>
      <c r="N243" s="15">
        <f>'[1]التعليم الابتدائي'!HG643</f>
        <v>0</v>
      </c>
      <c r="O243" s="15">
        <f>'[1]التعليم الابتدائي'!HU643</f>
        <v>0</v>
      </c>
      <c r="P243" s="15">
        <f>'[1]التعليم الابتدائي'!HV643</f>
        <v>0</v>
      </c>
      <c r="Q243" s="15">
        <f t="shared" ref="Q243:R248" si="62">O243+M243+K243</f>
        <v>0</v>
      </c>
      <c r="R243" s="15">
        <f t="shared" si="62"/>
        <v>0</v>
      </c>
      <c r="S243" s="36">
        <f t="shared" ref="S243:S248" si="63">R243+Q243</f>
        <v>0</v>
      </c>
    </row>
    <row r="244" spans="1:20" ht="24" thickTop="1" thickBot="1">
      <c r="A244" s="28"/>
      <c r="B244" s="28"/>
      <c r="C244" s="28"/>
      <c r="D244" s="17" t="s">
        <v>239</v>
      </c>
      <c r="E244" s="15">
        <f>'[1]التعليم الابتدائي'!FO643</f>
        <v>0</v>
      </c>
      <c r="F244" s="15">
        <f>'[1]التعليم الابتدائي'!FP643</f>
        <v>0</v>
      </c>
      <c r="G244" s="59">
        <f t="shared" si="60"/>
        <v>0</v>
      </c>
      <c r="H244" s="15">
        <f>'[1]التعليم الابتدائي'!GD643</f>
        <v>0</v>
      </c>
      <c r="I244" s="15">
        <f>'[1]التعليم الابتدائي'!GE643</f>
        <v>0</v>
      </c>
      <c r="J244" s="15">
        <f t="shared" si="61"/>
        <v>0</v>
      </c>
      <c r="K244" s="15">
        <f>'[1]التعليم الابتدائي'!GS643</f>
        <v>0</v>
      </c>
      <c r="L244" s="15">
        <f>'[1]التعليم الابتدائي'!GT643</f>
        <v>0</v>
      </c>
      <c r="M244" s="15">
        <f>'[1]التعليم الابتدائي'!HH643</f>
        <v>0</v>
      </c>
      <c r="N244" s="15">
        <f>'[1]التعليم الابتدائي'!HI643</f>
        <v>0</v>
      </c>
      <c r="O244" s="15">
        <f>'[1]التعليم الابتدائي'!HW643</f>
        <v>0</v>
      </c>
      <c r="P244" s="15">
        <f>'[1]التعليم الابتدائي'!HX643</f>
        <v>0</v>
      </c>
      <c r="Q244" s="15">
        <f t="shared" si="62"/>
        <v>0</v>
      </c>
      <c r="R244" s="15">
        <f t="shared" si="62"/>
        <v>0</v>
      </c>
      <c r="S244" s="36">
        <f t="shared" si="63"/>
        <v>0</v>
      </c>
    </row>
    <row r="245" spans="1:20" ht="24" thickTop="1" thickBot="1">
      <c r="A245" s="28"/>
      <c r="B245" s="28"/>
      <c r="C245" s="28"/>
      <c r="D245" s="17" t="s">
        <v>240</v>
      </c>
      <c r="E245" s="15">
        <f>'[1]التعليم الابتدائي'!FQ643</f>
        <v>0</v>
      </c>
      <c r="F245" s="15">
        <f>'[1]التعليم الابتدائي'!FR643</f>
        <v>0</v>
      </c>
      <c r="G245" s="59">
        <f t="shared" si="60"/>
        <v>0</v>
      </c>
      <c r="H245" s="15">
        <f>'[1]التعليم الابتدائي'!GF643</f>
        <v>0</v>
      </c>
      <c r="I245" s="15">
        <f>'[1]التعليم الابتدائي'!GG643</f>
        <v>0</v>
      </c>
      <c r="J245" s="15">
        <f t="shared" si="61"/>
        <v>0</v>
      </c>
      <c r="K245" s="15">
        <f>'[1]التعليم الابتدائي'!GU643</f>
        <v>0</v>
      </c>
      <c r="L245" s="15">
        <f>'[1]التعليم الابتدائي'!GV643</f>
        <v>0</v>
      </c>
      <c r="M245" s="15">
        <f>'[1]التعليم الابتدائي'!HJ643</f>
        <v>0</v>
      </c>
      <c r="N245" s="15">
        <f>'[1]التعليم الابتدائي'!HK643</f>
        <v>0</v>
      </c>
      <c r="O245" s="15">
        <f>'[1]التعليم الابتدائي'!HY643</f>
        <v>0</v>
      </c>
      <c r="P245" s="15">
        <f>'[1]التعليم الابتدائي'!HZ643</f>
        <v>0</v>
      </c>
      <c r="Q245" s="15">
        <f t="shared" si="62"/>
        <v>0</v>
      </c>
      <c r="R245" s="15">
        <f t="shared" si="62"/>
        <v>0</v>
      </c>
      <c r="S245" s="36">
        <f t="shared" si="63"/>
        <v>0</v>
      </c>
    </row>
    <row r="246" spans="1:20" ht="24" thickTop="1" thickBot="1">
      <c r="A246" s="28"/>
      <c r="B246" s="28"/>
      <c r="C246" s="28"/>
      <c r="D246" s="17" t="s">
        <v>241</v>
      </c>
      <c r="E246" s="15">
        <f>'[1]التعليم الابتدائي'!FS643</f>
        <v>0</v>
      </c>
      <c r="F246" s="15">
        <f>'[1]التعليم الابتدائي'!FT643</f>
        <v>0</v>
      </c>
      <c r="G246" s="59">
        <f t="shared" si="60"/>
        <v>0</v>
      </c>
      <c r="H246" s="15">
        <f>'[1]التعليم الابتدائي'!GH643</f>
        <v>0</v>
      </c>
      <c r="I246" s="15">
        <f>'[1]التعليم الابتدائي'!GI643</f>
        <v>0</v>
      </c>
      <c r="J246" s="15">
        <f t="shared" si="61"/>
        <v>0</v>
      </c>
      <c r="K246" s="15">
        <f>'[1]التعليم الابتدائي'!GW643</f>
        <v>0</v>
      </c>
      <c r="L246" s="15">
        <f>'[1]التعليم الابتدائي'!GX643</f>
        <v>0</v>
      </c>
      <c r="M246" s="15">
        <f>'[1]التعليم الابتدائي'!HL643</f>
        <v>0</v>
      </c>
      <c r="N246" s="15">
        <f>'[1]التعليم الابتدائي'!HM643</f>
        <v>0</v>
      </c>
      <c r="O246" s="15">
        <f>'[1]التعليم الابتدائي'!IA643</f>
        <v>0</v>
      </c>
      <c r="P246" s="15">
        <f>'[1]التعليم الابتدائي'!IB643</f>
        <v>0</v>
      </c>
      <c r="Q246" s="15">
        <f t="shared" si="62"/>
        <v>0</v>
      </c>
      <c r="R246" s="15">
        <f t="shared" si="62"/>
        <v>0</v>
      </c>
      <c r="S246" s="36">
        <f t="shared" si="63"/>
        <v>0</v>
      </c>
    </row>
    <row r="247" spans="1:20" ht="24" thickTop="1" thickBot="1">
      <c r="A247" s="28"/>
      <c r="B247" s="28"/>
      <c r="C247" s="28"/>
      <c r="D247" s="17" t="s">
        <v>242</v>
      </c>
      <c r="E247" s="15">
        <f>'[1]التعليم الابتدائي'!FU643</f>
        <v>0</v>
      </c>
      <c r="F247" s="15">
        <f>'[1]التعليم الابتدائي'!FV643</f>
        <v>0</v>
      </c>
      <c r="G247" s="59">
        <f t="shared" si="60"/>
        <v>0</v>
      </c>
      <c r="H247" s="15">
        <f>'[1]التعليم الابتدائي'!GJ643</f>
        <v>0</v>
      </c>
      <c r="I247" s="15">
        <f>'[1]التعليم الابتدائي'!GK643</f>
        <v>0</v>
      </c>
      <c r="J247" s="15">
        <f t="shared" si="61"/>
        <v>0</v>
      </c>
      <c r="K247" s="15">
        <f>'[1]التعليم الابتدائي'!GY643</f>
        <v>0</v>
      </c>
      <c r="L247" s="15">
        <f>'[1]التعليم الابتدائي'!GZ643</f>
        <v>0</v>
      </c>
      <c r="M247" s="15">
        <f>'[1]التعليم الابتدائي'!HN643</f>
        <v>0</v>
      </c>
      <c r="N247" s="15">
        <f>'[1]التعليم الابتدائي'!HO643</f>
        <v>0</v>
      </c>
      <c r="O247" s="15">
        <f>'[1]التعليم الابتدائي'!IC643</f>
        <v>0</v>
      </c>
      <c r="P247" s="15">
        <f>'[1]التعليم الابتدائي'!ID643</f>
        <v>0</v>
      </c>
      <c r="Q247" s="15">
        <f t="shared" si="62"/>
        <v>0</v>
      </c>
      <c r="R247" s="15">
        <f t="shared" si="62"/>
        <v>0</v>
      </c>
      <c r="S247" s="36">
        <f t="shared" si="63"/>
        <v>0</v>
      </c>
    </row>
    <row r="248" spans="1:20" ht="24" thickTop="1" thickBot="1">
      <c r="A248" s="28"/>
      <c r="B248" s="28"/>
      <c r="C248" s="28"/>
      <c r="D248" s="17" t="s">
        <v>243</v>
      </c>
      <c r="E248" s="15">
        <f>'[1]التعليم الابتدائي'!FW643</f>
        <v>0</v>
      </c>
      <c r="F248" s="15">
        <f>'[1]التعليم الابتدائي'!FX643</f>
        <v>0</v>
      </c>
      <c r="G248" s="59">
        <f t="shared" si="60"/>
        <v>0</v>
      </c>
      <c r="H248" s="15">
        <f>'[1]التعليم الابتدائي'!GL643</f>
        <v>0</v>
      </c>
      <c r="I248" s="15">
        <f>'[1]التعليم الابتدائي'!GM643</f>
        <v>0</v>
      </c>
      <c r="J248" s="15">
        <f t="shared" si="61"/>
        <v>0</v>
      </c>
      <c r="K248" s="15">
        <f>'[1]التعليم الابتدائي'!HA643</f>
        <v>0</v>
      </c>
      <c r="L248" s="15">
        <f>'[1]التعليم الابتدائي'!HB643</f>
        <v>0</v>
      </c>
      <c r="M248" s="15">
        <f>'[1]التعليم الابتدائي'!HP643</f>
        <v>0</v>
      </c>
      <c r="N248" s="15">
        <f>'[1]التعليم الابتدائي'!HQ643</f>
        <v>0</v>
      </c>
      <c r="O248" s="15">
        <f>'[1]التعليم الابتدائي'!IE643</f>
        <v>0</v>
      </c>
      <c r="P248" s="15">
        <f>'[1]التعليم الابتدائي'!IF643</f>
        <v>0</v>
      </c>
      <c r="Q248" s="15">
        <f t="shared" si="62"/>
        <v>0</v>
      </c>
      <c r="R248" s="15">
        <f t="shared" si="62"/>
        <v>0</v>
      </c>
      <c r="S248" s="36">
        <f t="shared" si="63"/>
        <v>0</v>
      </c>
    </row>
    <row r="249" spans="1:20" ht="24" thickTop="1" thickBot="1">
      <c r="A249" s="28"/>
      <c r="B249" s="28"/>
      <c r="C249" s="28"/>
      <c r="D249" s="18" t="s">
        <v>58</v>
      </c>
      <c r="E249" s="20">
        <f>SUM(E243:E248)</f>
        <v>0</v>
      </c>
      <c r="F249" s="20">
        <f>SUM(F243:F248)</f>
        <v>0</v>
      </c>
      <c r="G249" s="59">
        <f t="shared" si="60"/>
        <v>0</v>
      </c>
      <c r="H249" s="20">
        <f t="shared" ref="H249:S249" si="64">SUM(H243:H248)</f>
        <v>0</v>
      </c>
      <c r="I249" s="20">
        <f t="shared" si="64"/>
        <v>0</v>
      </c>
      <c r="J249" s="20">
        <f t="shared" si="64"/>
        <v>0</v>
      </c>
      <c r="K249" s="20">
        <f t="shared" si="64"/>
        <v>0</v>
      </c>
      <c r="L249" s="20">
        <f t="shared" si="64"/>
        <v>0</v>
      </c>
      <c r="M249" s="20">
        <f t="shared" si="64"/>
        <v>0</v>
      </c>
      <c r="N249" s="20">
        <f t="shared" si="64"/>
        <v>0</v>
      </c>
      <c r="O249" s="20">
        <f t="shared" si="64"/>
        <v>0</v>
      </c>
      <c r="P249" s="20">
        <f t="shared" si="64"/>
        <v>0</v>
      </c>
      <c r="Q249" s="20">
        <f t="shared" si="64"/>
        <v>0</v>
      </c>
      <c r="R249" s="20">
        <f t="shared" si="64"/>
        <v>0</v>
      </c>
      <c r="S249" s="33">
        <f t="shared" si="64"/>
        <v>0</v>
      </c>
    </row>
    <row r="250" spans="1:20" ht="23.4" thickTop="1"/>
    <row r="251" spans="1:20">
      <c r="A251" s="29" t="s">
        <v>62</v>
      </c>
      <c r="B251" s="29"/>
      <c r="C251" s="29"/>
      <c r="D251" s="29"/>
      <c r="E251" s="29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9" t="s">
        <v>97</v>
      </c>
      <c r="S251" s="29"/>
      <c r="T251" s="29"/>
    </row>
    <row r="252" spans="1:20">
      <c r="A252" s="231" t="s">
        <v>64</v>
      </c>
      <c r="B252" s="231"/>
      <c r="C252" s="231"/>
      <c r="D252" s="231"/>
      <c r="E252" s="231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9" t="s">
        <v>65</v>
      </c>
      <c r="S252" s="29"/>
      <c r="T252" s="29"/>
    </row>
    <row r="253" spans="1:20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</row>
    <row r="254" spans="1:20">
      <c r="A254" s="28"/>
      <c r="B254" s="231" t="s">
        <v>247</v>
      </c>
      <c r="C254" s="231"/>
      <c r="D254" s="231"/>
      <c r="E254" s="231"/>
      <c r="F254" s="231"/>
      <c r="G254" s="231"/>
      <c r="H254" s="231"/>
      <c r="I254" s="231"/>
      <c r="J254" s="231"/>
      <c r="K254" s="231"/>
      <c r="L254" s="231"/>
      <c r="M254" s="231"/>
      <c r="N254" s="231"/>
      <c r="O254" s="231"/>
      <c r="P254" s="231"/>
      <c r="Q254" s="231"/>
      <c r="R254" s="231"/>
      <c r="S254" s="231"/>
      <c r="T254" s="28"/>
    </row>
    <row r="255" spans="1:20">
      <c r="A255" s="43"/>
      <c r="B255" s="231" t="s">
        <v>208</v>
      </c>
      <c r="C255" s="231"/>
      <c r="D255" s="231"/>
      <c r="E255" s="231"/>
      <c r="F255" s="231"/>
      <c r="G255" s="231"/>
      <c r="H255" s="231"/>
      <c r="I255" s="231"/>
      <c r="J255" s="231"/>
      <c r="K255" s="231"/>
      <c r="L255" s="231"/>
      <c r="M255" s="231"/>
      <c r="N255" s="231"/>
      <c r="O255" s="231"/>
      <c r="P255" s="231"/>
      <c r="Q255" s="231"/>
      <c r="R255" s="231"/>
      <c r="S255" s="231"/>
      <c r="T255" s="43"/>
    </row>
    <row r="256" spans="1:20">
      <c r="A256" s="43"/>
      <c r="B256" s="294" t="s">
        <v>257</v>
      </c>
      <c r="C256" s="231"/>
      <c r="D256" s="231"/>
      <c r="E256" s="231"/>
      <c r="F256" s="231"/>
      <c r="G256" s="231"/>
      <c r="H256" s="231"/>
      <c r="I256" s="231"/>
      <c r="J256" s="231"/>
      <c r="K256" s="231"/>
      <c r="L256" s="231"/>
      <c r="M256" s="231"/>
      <c r="N256" s="231"/>
      <c r="O256" s="231"/>
      <c r="P256" s="231"/>
      <c r="Q256" s="231"/>
      <c r="R256" s="231"/>
      <c r="S256" s="231"/>
      <c r="T256" s="43"/>
    </row>
    <row r="257" spans="1:20" ht="23.4" thickBot="1">
      <c r="A257" s="28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8"/>
    </row>
    <row r="258" spans="1:20" ht="24" thickTop="1" thickBot="1">
      <c r="A258" s="28"/>
      <c r="B258" s="28"/>
      <c r="C258" s="28"/>
      <c r="D258" s="55" t="s">
        <v>249</v>
      </c>
      <c r="E258" s="300" t="s">
        <v>258</v>
      </c>
      <c r="F258" s="224"/>
      <c r="G258" s="237"/>
      <c r="H258" s="300" t="s">
        <v>251</v>
      </c>
      <c r="I258" s="224"/>
      <c r="J258" s="237"/>
      <c r="K258" s="301" t="s">
        <v>252</v>
      </c>
      <c r="L258" s="233"/>
      <c r="M258" s="233"/>
      <c r="N258" s="233"/>
      <c r="O258" s="233"/>
      <c r="P258" s="233"/>
      <c r="Q258" s="233"/>
      <c r="R258" s="233"/>
      <c r="S258" s="247"/>
    </row>
    <row r="259" spans="1:20" ht="24" thickTop="1" thickBot="1">
      <c r="A259" s="28"/>
      <c r="B259" s="28"/>
      <c r="C259" s="28"/>
      <c r="D259" s="56"/>
      <c r="E259" s="227" t="s">
        <v>253</v>
      </c>
      <c r="F259" s="227" t="s">
        <v>35</v>
      </c>
      <c r="G259" s="227" t="s">
        <v>58</v>
      </c>
      <c r="H259" s="227" t="s">
        <v>253</v>
      </c>
      <c r="I259" s="227" t="s">
        <v>35</v>
      </c>
      <c r="J259" s="227" t="s">
        <v>58</v>
      </c>
      <c r="K259" s="227" t="s">
        <v>254</v>
      </c>
      <c r="L259" s="227"/>
      <c r="M259" s="227" t="s">
        <v>255</v>
      </c>
      <c r="N259" s="227"/>
      <c r="O259" s="227" t="s">
        <v>256</v>
      </c>
      <c r="P259" s="227"/>
      <c r="Q259" s="227" t="s">
        <v>58</v>
      </c>
      <c r="R259" s="227"/>
      <c r="S259" s="244"/>
    </row>
    <row r="260" spans="1:20" ht="24" thickTop="1" thickBot="1">
      <c r="A260" s="28"/>
      <c r="B260" s="28"/>
      <c r="C260" s="28"/>
      <c r="D260" s="58" t="s">
        <v>145</v>
      </c>
      <c r="E260" s="227"/>
      <c r="F260" s="227"/>
      <c r="G260" s="227"/>
      <c r="H260" s="227"/>
      <c r="I260" s="227"/>
      <c r="J260" s="227"/>
      <c r="K260" s="15" t="s">
        <v>76</v>
      </c>
      <c r="L260" s="15" t="s">
        <v>35</v>
      </c>
      <c r="M260" s="15" t="s">
        <v>76</v>
      </c>
      <c r="N260" s="15" t="s">
        <v>35</v>
      </c>
      <c r="O260" s="15" t="s">
        <v>76</v>
      </c>
      <c r="P260" s="15" t="s">
        <v>35</v>
      </c>
      <c r="Q260" s="15" t="s">
        <v>76</v>
      </c>
      <c r="R260" s="15" t="s">
        <v>35</v>
      </c>
      <c r="S260" s="36" t="s">
        <v>58</v>
      </c>
    </row>
    <row r="261" spans="1:20" ht="24" thickTop="1" thickBot="1">
      <c r="A261" s="28"/>
      <c r="B261" s="28"/>
      <c r="C261" s="28"/>
      <c r="D261" s="17" t="s">
        <v>238</v>
      </c>
      <c r="E261" s="15">
        <f>'[1]التعليم الابتدائي'!FM711</f>
        <v>0</v>
      </c>
      <c r="F261" s="15">
        <f>'[1]التعليم الابتدائي'!FN711</f>
        <v>0</v>
      </c>
      <c r="G261" s="59">
        <f t="shared" ref="G261:G267" si="65">SUM(E261:F261)</f>
        <v>0</v>
      </c>
      <c r="H261" s="15">
        <f>'[1]التعليم الابتدائي'!GB711</f>
        <v>0</v>
      </c>
      <c r="I261" s="15">
        <f>'[1]التعليم الابتدائي'!GC711</f>
        <v>0</v>
      </c>
      <c r="J261" s="15">
        <f t="shared" ref="J261:J266" si="66">I261+H261</f>
        <v>0</v>
      </c>
      <c r="K261" s="15">
        <f>'[1]التعليم الابتدائي'!GQ711</f>
        <v>0</v>
      </c>
      <c r="L261" s="15">
        <f>'[1]التعليم الابتدائي'!GR711</f>
        <v>0</v>
      </c>
      <c r="M261" s="15">
        <f>'[1]التعليم الابتدائي'!HF711</f>
        <v>0</v>
      </c>
      <c r="N261" s="15">
        <f>'[1]التعليم الابتدائي'!HG711</f>
        <v>0</v>
      </c>
      <c r="O261" s="15">
        <f>'[1]التعليم الابتدائي'!HU711</f>
        <v>0</v>
      </c>
      <c r="P261" s="15">
        <f>'[1]التعليم الابتدائي'!HV711</f>
        <v>0</v>
      </c>
      <c r="Q261" s="15">
        <f t="shared" ref="Q261:R266" si="67">O261+M261+K261</f>
        <v>0</v>
      </c>
      <c r="R261" s="15">
        <f t="shared" si="67"/>
        <v>0</v>
      </c>
      <c r="S261" s="36">
        <f t="shared" ref="S261:S266" si="68">R261+Q261</f>
        <v>0</v>
      </c>
    </row>
    <row r="262" spans="1:20" ht="24" thickTop="1" thickBot="1">
      <c r="A262" s="28"/>
      <c r="B262" s="28"/>
      <c r="C262" s="28"/>
      <c r="D262" s="17" t="s">
        <v>239</v>
      </c>
      <c r="E262" s="15">
        <f>'[1]التعليم الابتدائي'!FO711</f>
        <v>0</v>
      </c>
      <c r="F262" s="15">
        <f>'[1]التعليم الابتدائي'!FP711</f>
        <v>0</v>
      </c>
      <c r="G262" s="59">
        <f t="shared" si="65"/>
        <v>0</v>
      </c>
      <c r="H262" s="15">
        <f>'[1]التعليم الابتدائي'!GD711</f>
        <v>0</v>
      </c>
      <c r="I262" s="15">
        <f>'[1]التعليم الابتدائي'!GE711</f>
        <v>0</v>
      </c>
      <c r="J262" s="15">
        <f t="shared" si="66"/>
        <v>0</v>
      </c>
      <c r="K262" s="15">
        <f>'[1]التعليم الابتدائي'!GS711</f>
        <v>0</v>
      </c>
      <c r="L262" s="15">
        <f>'[1]التعليم الابتدائي'!GT711</f>
        <v>0</v>
      </c>
      <c r="M262" s="15">
        <f>'[1]التعليم الابتدائي'!HH711</f>
        <v>0</v>
      </c>
      <c r="N262" s="15">
        <f>'[1]التعليم الابتدائي'!HI711</f>
        <v>0</v>
      </c>
      <c r="O262" s="15">
        <f>'[1]التعليم الابتدائي'!HW711</f>
        <v>0</v>
      </c>
      <c r="P262" s="15">
        <f>'[1]التعليم الابتدائي'!HX711</f>
        <v>0</v>
      </c>
      <c r="Q262" s="15">
        <f t="shared" si="67"/>
        <v>0</v>
      </c>
      <c r="R262" s="15">
        <f t="shared" si="67"/>
        <v>0</v>
      </c>
      <c r="S262" s="36">
        <f t="shared" si="68"/>
        <v>0</v>
      </c>
    </row>
    <row r="263" spans="1:20" ht="24" thickTop="1" thickBot="1">
      <c r="A263" s="28"/>
      <c r="B263" s="28"/>
      <c r="C263" s="28"/>
      <c r="D263" s="17" t="s">
        <v>240</v>
      </c>
      <c r="E263" s="15">
        <f>'[1]التعليم الابتدائي'!FQ711</f>
        <v>0</v>
      </c>
      <c r="F263" s="15">
        <f>'[1]التعليم الابتدائي'!FR711</f>
        <v>0</v>
      </c>
      <c r="G263" s="59">
        <f t="shared" si="65"/>
        <v>0</v>
      </c>
      <c r="H263" s="15">
        <f>'[1]التعليم الابتدائي'!GF711</f>
        <v>0</v>
      </c>
      <c r="I263" s="15">
        <f>'[1]التعليم الابتدائي'!GG711</f>
        <v>0</v>
      </c>
      <c r="J263" s="15">
        <f t="shared" si="66"/>
        <v>0</v>
      </c>
      <c r="K263" s="15">
        <f>'[1]التعليم الابتدائي'!GU711</f>
        <v>0</v>
      </c>
      <c r="L263" s="15">
        <f>'[1]التعليم الابتدائي'!GV711</f>
        <v>0</v>
      </c>
      <c r="M263" s="15">
        <f>'[1]التعليم الابتدائي'!HJ711</f>
        <v>0</v>
      </c>
      <c r="N263" s="15">
        <f>'[1]التعليم الابتدائي'!HK711</f>
        <v>0</v>
      </c>
      <c r="O263" s="15">
        <f>'[1]التعليم الابتدائي'!HY711</f>
        <v>0</v>
      </c>
      <c r="P263" s="15">
        <f>'[1]التعليم الابتدائي'!HZ711</f>
        <v>0</v>
      </c>
      <c r="Q263" s="15">
        <f t="shared" si="67"/>
        <v>0</v>
      </c>
      <c r="R263" s="15">
        <f t="shared" si="67"/>
        <v>0</v>
      </c>
      <c r="S263" s="36">
        <f t="shared" si="68"/>
        <v>0</v>
      </c>
    </row>
    <row r="264" spans="1:20" ht="24" thickTop="1" thickBot="1">
      <c r="A264" s="28"/>
      <c r="B264" s="28"/>
      <c r="C264" s="28"/>
      <c r="D264" s="17" t="s">
        <v>241</v>
      </c>
      <c r="E264" s="15">
        <f>'[1]التعليم الابتدائي'!FS711</f>
        <v>0</v>
      </c>
      <c r="F264" s="15">
        <f>'[1]التعليم الابتدائي'!FT711</f>
        <v>0</v>
      </c>
      <c r="G264" s="59">
        <f t="shared" si="65"/>
        <v>0</v>
      </c>
      <c r="H264" s="15">
        <f>'[1]التعليم الابتدائي'!GH711</f>
        <v>0</v>
      </c>
      <c r="I264" s="15">
        <f>'[1]التعليم الابتدائي'!GI711</f>
        <v>0</v>
      </c>
      <c r="J264" s="15">
        <f t="shared" si="66"/>
        <v>0</v>
      </c>
      <c r="K264" s="15">
        <f>'[1]التعليم الابتدائي'!GW711</f>
        <v>0</v>
      </c>
      <c r="L264" s="15">
        <f>'[1]التعليم الابتدائي'!GX711</f>
        <v>0</v>
      </c>
      <c r="M264" s="15">
        <f>'[1]التعليم الابتدائي'!HL711</f>
        <v>0</v>
      </c>
      <c r="N264" s="15">
        <f>'[1]التعليم الابتدائي'!HM711</f>
        <v>0</v>
      </c>
      <c r="O264" s="15">
        <f>'[1]التعليم الابتدائي'!IA711</f>
        <v>0</v>
      </c>
      <c r="P264" s="15">
        <f>'[1]التعليم الابتدائي'!IB711</f>
        <v>0</v>
      </c>
      <c r="Q264" s="15">
        <f t="shared" si="67"/>
        <v>0</v>
      </c>
      <c r="R264" s="15">
        <f t="shared" si="67"/>
        <v>0</v>
      </c>
      <c r="S264" s="36">
        <f t="shared" si="68"/>
        <v>0</v>
      </c>
    </row>
    <row r="265" spans="1:20" ht="24" thickTop="1" thickBot="1">
      <c r="A265" s="28"/>
      <c r="B265" s="28"/>
      <c r="C265" s="28"/>
      <c r="D265" s="17" t="s">
        <v>242</v>
      </c>
      <c r="E265" s="15">
        <f>'[1]التعليم الابتدائي'!FU711</f>
        <v>0</v>
      </c>
      <c r="F265" s="15">
        <f>'[1]التعليم الابتدائي'!FV711</f>
        <v>0</v>
      </c>
      <c r="G265" s="59">
        <f t="shared" si="65"/>
        <v>0</v>
      </c>
      <c r="H265" s="15">
        <f>'[1]التعليم الابتدائي'!GJ711</f>
        <v>0</v>
      </c>
      <c r="I265" s="15">
        <f>'[1]التعليم الابتدائي'!GK711</f>
        <v>0</v>
      </c>
      <c r="J265" s="15">
        <f t="shared" si="66"/>
        <v>0</v>
      </c>
      <c r="K265" s="15">
        <f>'[1]التعليم الابتدائي'!GY711</f>
        <v>0</v>
      </c>
      <c r="L265" s="15">
        <f>'[1]التعليم الابتدائي'!GZ711</f>
        <v>0</v>
      </c>
      <c r="M265" s="15">
        <f>'[1]التعليم الابتدائي'!HN711</f>
        <v>0</v>
      </c>
      <c r="N265" s="15">
        <f>'[1]التعليم الابتدائي'!HO711</f>
        <v>0</v>
      </c>
      <c r="O265" s="15">
        <f>'[1]التعليم الابتدائي'!IC711</f>
        <v>0</v>
      </c>
      <c r="P265" s="15">
        <f>'[1]التعليم الابتدائي'!ID711</f>
        <v>0</v>
      </c>
      <c r="Q265" s="15">
        <f t="shared" si="67"/>
        <v>0</v>
      </c>
      <c r="R265" s="15">
        <f t="shared" si="67"/>
        <v>0</v>
      </c>
      <c r="S265" s="36">
        <f t="shared" si="68"/>
        <v>0</v>
      </c>
    </row>
    <row r="266" spans="1:20" ht="24" thickTop="1" thickBot="1">
      <c r="A266" s="28"/>
      <c r="B266" s="28"/>
      <c r="C266" s="28"/>
      <c r="D266" s="17" t="s">
        <v>243</v>
      </c>
      <c r="E266" s="15">
        <f>'[1]التعليم الابتدائي'!FW711</f>
        <v>0</v>
      </c>
      <c r="F266" s="15">
        <f>'[1]التعليم الابتدائي'!FX711</f>
        <v>0</v>
      </c>
      <c r="G266" s="59">
        <f t="shared" si="65"/>
        <v>0</v>
      </c>
      <c r="H266" s="15">
        <f>'[1]التعليم الابتدائي'!GL711</f>
        <v>0</v>
      </c>
      <c r="I266" s="15">
        <f>'[1]التعليم الابتدائي'!GM711</f>
        <v>0</v>
      </c>
      <c r="J266" s="15">
        <f t="shared" si="66"/>
        <v>0</v>
      </c>
      <c r="K266" s="15">
        <f>'[1]التعليم الابتدائي'!HA711</f>
        <v>0</v>
      </c>
      <c r="L266" s="15">
        <f>'[1]التعليم الابتدائي'!HB711</f>
        <v>0</v>
      </c>
      <c r="M266" s="15">
        <f>'[1]التعليم الابتدائي'!HP711</f>
        <v>0</v>
      </c>
      <c r="N266" s="15">
        <f>'[1]التعليم الابتدائي'!HQ711</f>
        <v>0</v>
      </c>
      <c r="O266" s="15">
        <f>'[1]التعليم الابتدائي'!IE711</f>
        <v>0</v>
      </c>
      <c r="P266" s="15">
        <f>'[1]التعليم الابتدائي'!IF711</f>
        <v>0</v>
      </c>
      <c r="Q266" s="15">
        <f t="shared" si="67"/>
        <v>0</v>
      </c>
      <c r="R266" s="15">
        <f t="shared" si="67"/>
        <v>0</v>
      </c>
      <c r="S266" s="36">
        <f t="shared" si="68"/>
        <v>0</v>
      </c>
    </row>
    <row r="267" spans="1:20" ht="24" thickTop="1" thickBot="1">
      <c r="A267" s="28"/>
      <c r="B267" s="28"/>
      <c r="C267" s="28"/>
      <c r="D267" s="18" t="s">
        <v>58</v>
      </c>
      <c r="E267" s="20">
        <f>SUM(E261:E266)</f>
        <v>0</v>
      </c>
      <c r="F267" s="20">
        <f>SUM(F261:F266)</f>
        <v>0</v>
      </c>
      <c r="G267" s="59">
        <f t="shared" si="65"/>
        <v>0</v>
      </c>
      <c r="H267" s="20">
        <f t="shared" ref="H267:S267" si="69">SUM(H261:H266)</f>
        <v>0</v>
      </c>
      <c r="I267" s="20">
        <f t="shared" si="69"/>
        <v>0</v>
      </c>
      <c r="J267" s="20">
        <f t="shared" si="69"/>
        <v>0</v>
      </c>
      <c r="K267" s="20">
        <f t="shared" si="69"/>
        <v>0</v>
      </c>
      <c r="L267" s="20">
        <f t="shared" si="69"/>
        <v>0</v>
      </c>
      <c r="M267" s="20">
        <f t="shared" si="69"/>
        <v>0</v>
      </c>
      <c r="N267" s="20">
        <f t="shared" si="69"/>
        <v>0</v>
      </c>
      <c r="O267" s="20">
        <f t="shared" si="69"/>
        <v>0</v>
      </c>
      <c r="P267" s="20">
        <f t="shared" si="69"/>
        <v>0</v>
      </c>
      <c r="Q267" s="20">
        <f t="shared" si="69"/>
        <v>0</v>
      </c>
      <c r="R267" s="20">
        <f t="shared" si="69"/>
        <v>0</v>
      </c>
      <c r="S267" s="33">
        <f t="shared" si="69"/>
        <v>0</v>
      </c>
    </row>
    <row r="268" spans="1:20" ht="23.4" thickTop="1"/>
    <row r="269" spans="1:20">
      <c r="A269" s="231" t="s">
        <v>62</v>
      </c>
      <c r="B269" s="231"/>
      <c r="C269" s="231"/>
      <c r="D269" s="231"/>
      <c r="E269" s="231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9" t="s">
        <v>96</v>
      </c>
      <c r="S269" s="29"/>
      <c r="T269" s="29"/>
    </row>
    <row r="270" spans="1:20">
      <c r="A270" s="231" t="s">
        <v>64</v>
      </c>
      <c r="B270" s="231"/>
      <c r="C270" s="231"/>
      <c r="D270" s="231"/>
      <c r="E270" s="231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9" t="s">
        <v>65</v>
      </c>
      <c r="S270" s="29"/>
      <c r="T270" s="29"/>
    </row>
    <row r="271" spans="1:20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</row>
    <row r="272" spans="1:20">
      <c r="A272" s="28"/>
      <c r="B272" s="231" t="s">
        <v>247</v>
      </c>
      <c r="C272" s="231"/>
      <c r="D272" s="231"/>
      <c r="E272" s="231"/>
      <c r="F272" s="231"/>
      <c r="G272" s="231"/>
      <c r="H272" s="231"/>
      <c r="I272" s="231"/>
      <c r="J272" s="231"/>
      <c r="K272" s="231"/>
      <c r="L272" s="231"/>
      <c r="M272" s="231"/>
      <c r="N272" s="231"/>
      <c r="O272" s="231"/>
      <c r="P272" s="231"/>
      <c r="Q272" s="231"/>
      <c r="R272" s="231"/>
      <c r="S272" s="231"/>
      <c r="T272" s="28"/>
    </row>
    <row r="273" spans="1:20">
      <c r="A273" s="43"/>
      <c r="B273" s="231" t="s">
        <v>208</v>
      </c>
      <c r="C273" s="231"/>
      <c r="D273" s="231"/>
      <c r="E273" s="231"/>
      <c r="F273" s="231"/>
      <c r="G273" s="231"/>
      <c r="H273" s="231"/>
      <c r="I273" s="231"/>
      <c r="J273" s="231"/>
      <c r="K273" s="231"/>
      <c r="L273" s="231"/>
      <c r="M273" s="231"/>
      <c r="N273" s="231"/>
      <c r="O273" s="231"/>
      <c r="P273" s="231"/>
      <c r="Q273" s="231"/>
      <c r="R273" s="231"/>
      <c r="S273" s="231"/>
      <c r="T273" s="43"/>
    </row>
    <row r="274" spans="1:20">
      <c r="A274" s="43"/>
      <c r="B274" s="294" t="s">
        <v>257</v>
      </c>
      <c r="C274" s="231"/>
      <c r="D274" s="231"/>
      <c r="E274" s="231"/>
      <c r="F274" s="231"/>
      <c r="G274" s="231"/>
      <c r="H274" s="231"/>
      <c r="I274" s="231"/>
      <c r="J274" s="231"/>
      <c r="K274" s="231"/>
      <c r="L274" s="231"/>
      <c r="M274" s="231"/>
      <c r="N274" s="231"/>
      <c r="O274" s="231"/>
      <c r="P274" s="231"/>
      <c r="Q274" s="231"/>
      <c r="R274" s="231"/>
      <c r="S274" s="231"/>
      <c r="T274" s="43"/>
    </row>
    <row r="275" spans="1:20" ht="23.4" thickBot="1">
      <c r="A275" s="28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8"/>
    </row>
    <row r="276" spans="1:20" ht="24" thickTop="1" thickBot="1">
      <c r="A276" s="28"/>
      <c r="B276" s="28"/>
      <c r="C276" s="28"/>
      <c r="D276" s="55" t="s">
        <v>249</v>
      </c>
      <c r="E276" s="300" t="s">
        <v>258</v>
      </c>
      <c r="F276" s="224"/>
      <c r="G276" s="237"/>
      <c r="H276" s="300" t="s">
        <v>251</v>
      </c>
      <c r="I276" s="224"/>
      <c r="J276" s="237"/>
      <c r="K276" s="301" t="s">
        <v>252</v>
      </c>
      <c r="L276" s="233"/>
      <c r="M276" s="233"/>
      <c r="N276" s="233"/>
      <c r="O276" s="233"/>
      <c r="P276" s="233"/>
      <c r="Q276" s="233"/>
      <c r="R276" s="233"/>
      <c r="S276" s="247"/>
    </row>
    <row r="277" spans="1:20" ht="24" thickTop="1" thickBot="1">
      <c r="A277" s="28"/>
      <c r="B277" s="28"/>
      <c r="C277" s="28"/>
      <c r="D277" s="56"/>
      <c r="E277" s="227" t="s">
        <v>253</v>
      </c>
      <c r="F277" s="227" t="s">
        <v>35</v>
      </c>
      <c r="G277" s="227" t="s">
        <v>58</v>
      </c>
      <c r="H277" s="227" t="s">
        <v>253</v>
      </c>
      <c r="I277" s="227" t="s">
        <v>35</v>
      </c>
      <c r="J277" s="227" t="s">
        <v>58</v>
      </c>
      <c r="K277" s="227" t="s">
        <v>254</v>
      </c>
      <c r="L277" s="227"/>
      <c r="M277" s="227" t="s">
        <v>255</v>
      </c>
      <c r="N277" s="227"/>
      <c r="O277" s="227" t="s">
        <v>256</v>
      </c>
      <c r="P277" s="227"/>
      <c r="Q277" s="227" t="s">
        <v>58</v>
      </c>
      <c r="R277" s="227"/>
      <c r="S277" s="244"/>
    </row>
    <row r="278" spans="1:20" ht="24" thickTop="1" thickBot="1">
      <c r="A278" s="28"/>
      <c r="B278" s="28"/>
      <c r="C278" s="28"/>
      <c r="D278" s="58" t="s">
        <v>145</v>
      </c>
      <c r="E278" s="227"/>
      <c r="F278" s="227"/>
      <c r="G278" s="227"/>
      <c r="H278" s="227"/>
      <c r="I278" s="227"/>
      <c r="J278" s="227"/>
      <c r="K278" s="15" t="s">
        <v>76</v>
      </c>
      <c r="L278" s="15" t="s">
        <v>35</v>
      </c>
      <c r="M278" s="15" t="s">
        <v>76</v>
      </c>
      <c r="N278" s="15" t="s">
        <v>35</v>
      </c>
      <c r="O278" s="15" t="s">
        <v>76</v>
      </c>
      <c r="P278" s="15" t="s">
        <v>35</v>
      </c>
      <c r="Q278" s="15" t="s">
        <v>76</v>
      </c>
      <c r="R278" s="15" t="s">
        <v>35</v>
      </c>
      <c r="S278" s="36" t="s">
        <v>58</v>
      </c>
    </row>
    <row r="279" spans="1:20" ht="24" thickTop="1" thickBot="1">
      <c r="A279" s="28"/>
      <c r="B279" s="28"/>
      <c r="C279" s="28"/>
      <c r="D279" s="17" t="s">
        <v>238</v>
      </c>
      <c r="E279" s="15">
        <f>'[1]التعليم الابتدائي'!FM753</f>
        <v>0</v>
      </c>
      <c r="F279" s="15">
        <f>'[1]التعليم الابتدائي'!FN753</f>
        <v>0</v>
      </c>
      <c r="G279" s="59">
        <f t="shared" ref="G279:G285" si="70">SUM(E279:F279)</f>
        <v>0</v>
      </c>
      <c r="H279" s="15">
        <f>'[1]التعليم الابتدائي'!GB753</f>
        <v>0</v>
      </c>
      <c r="I279" s="15">
        <f>'[1]التعليم الابتدائي'!GC753</f>
        <v>0</v>
      </c>
      <c r="J279" s="15">
        <f t="shared" ref="J279:J284" si="71">I279+H279</f>
        <v>0</v>
      </c>
      <c r="K279" s="15">
        <f>'[1]التعليم الابتدائي'!GQ753</f>
        <v>0</v>
      </c>
      <c r="L279" s="15">
        <f>'[1]التعليم الابتدائي'!GR753</f>
        <v>0</v>
      </c>
      <c r="M279" s="15">
        <f>'[1]التعليم الابتدائي'!HF753</f>
        <v>0</v>
      </c>
      <c r="N279" s="15">
        <f>'[1]التعليم الابتدائي'!HG753</f>
        <v>0</v>
      </c>
      <c r="O279" s="15">
        <f>'[1]التعليم الابتدائي'!HU753</f>
        <v>0</v>
      </c>
      <c r="P279" s="15">
        <f>'[1]التعليم الابتدائي'!HV753</f>
        <v>0</v>
      </c>
      <c r="Q279" s="15">
        <f t="shared" ref="Q279:R284" si="72">O279+M279+K279</f>
        <v>0</v>
      </c>
      <c r="R279" s="15">
        <f t="shared" si="72"/>
        <v>0</v>
      </c>
      <c r="S279" s="36">
        <f t="shared" ref="S279:S284" si="73">R279+Q279</f>
        <v>0</v>
      </c>
    </row>
    <row r="280" spans="1:20" ht="24" thickTop="1" thickBot="1">
      <c r="A280" s="28"/>
      <c r="B280" s="28"/>
      <c r="C280" s="28"/>
      <c r="D280" s="17" t="s">
        <v>239</v>
      </c>
      <c r="E280" s="15">
        <f>'[1]التعليم الابتدائي'!FO753</f>
        <v>0</v>
      </c>
      <c r="F280" s="15">
        <f>'[1]التعليم الابتدائي'!FP753</f>
        <v>0</v>
      </c>
      <c r="G280" s="59">
        <f t="shared" si="70"/>
        <v>0</v>
      </c>
      <c r="H280" s="15">
        <f>'[1]التعليم الابتدائي'!GD753</f>
        <v>0</v>
      </c>
      <c r="I280" s="15">
        <f>'[1]التعليم الابتدائي'!GE753</f>
        <v>0</v>
      </c>
      <c r="J280" s="15">
        <f t="shared" si="71"/>
        <v>0</v>
      </c>
      <c r="K280" s="15">
        <f>'[1]التعليم الابتدائي'!GS753</f>
        <v>0</v>
      </c>
      <c r="L280" s="15">
        <f>'[1]التعليم الابتدائي'!GT753</f>
        <v>0</v>
      </c>
      <c r="M280" s="15">
        <f>'[1]التعليم الابتدائي'!HH753</f>
        <v>0</v>
      </c>
      <c r="N280" s="15">
        <f>'[1]التعليم الابتدائي'!HI753</f>
        <v>0</v>
      </c>
      <c r="O280" s="15">
        <f>'[1]التعليم الابتدائي'!HW753</f>
        <v>0</v>
      </c>
      <c r="P280" s="15">
        <f>'[1]التعليم الابتدائي'!HX753</f>
        <v>0</v>
      </c>
      <c r="Q280" s="15">
        <f t="shared" si="72"/>
        <v>0</v>
      </c>
      <c r="R280" s="15">
        <f t="shared" si="72"/>
        <v>0</v>
      </c>
      <c r="S280" s="36">
        <f t="shared" si="73"/>
        <v>0</v>
      </c>
    </row>
    <row r="281" spans="1:20" ht="24" thickTop="1" thickBot="1">
      <c r="A281" s="28"/>
      <c r="B281" s="28"/>
      <c r="C281" s="28"/>
      <c r="D281" s="17" t="s">
        <v>240</v>
      </c>
      <c r="E281" s="15">
        <f>'[1]التعليم الابتدائي'!FQ753</f>
        <v>0</v>
      </c>
      <c r="F281" s="15">
        <f>'[1]التعليم الابتدائي'!FR753</f>
        <v>0</v>
      </c>
      <c r="G281" s="59">
        <f t="shared" si="70"/>
        <v>0</v>
      </c>
      <c r="H281" s="15">
        <f>'[1]التعليم الابتدائي'!GF753</f>
        <v>0</v>
      </c>
      <c r="I281" s="15">
        <f>'[1]التعليم الابتدائي'!GG753</f>
        <v>0</v>
      </c>
      <c r="J281" s="15">
        <f t="shared" si="71"/>
        <v>0</v>
      </c>
      <c r="K281" s="15">
        <f>'[1]التعليم الابتدائي'!GU753</f>
        <v>0</v>
      </c>
      <c r="L281" s="15">
        <f>'[1]التعليم الابتدائي'!GV753</f>
        <v>0</v>
      </c>
      <c r="M281" s="15">
        <f>'[1]التعليم الابتدائي'!HJ753</f>
        <v>0</v>
      </c>
      <c r="N281" s="15">
        <f>'[1]التعليم الابتدائي'!HK753</f>
        <v>0</v>
      </c>
      <c r="O281" s="15">
        <f>'[1]التعليم الابتدائي'!HY753</f>
        <v>0</v>
      </c>
      <c r="P281" s="15">
        <f>'[1]التعليم الابتدائي'!HZ753</f>
        <v>0</v>
      </c>
      <c r="Q281" s="15">
        <f t="shared" si="72"/>
        <v>0</v>
      </c>
      <c r="R281" s="15">
        <f t="shared" si="72"/>
        <v>0</v>
      </c>
      <c r="S281" s="36">
        <f t="shared" si="73"/>
        <v>0</v>
      </c>
    </row>
    <row r="282" spans="1:20" ht="24" thickTop="1" thickBot="1">
      <c r="A282" s="28"/>
      <c r="B282" s="28"/>
      <c r="C282" s="28"/>
      <c r="D282" s="17" t="s">
        <v>241</v>
      </c>
      <c r="E282" s="15">
        <f>'[1]التعليم الابتدائي'!FS753</f>
        <v>0</v>
      </c>
      <c r="F282" s="15">
        <f>'[1]التعليم الابتدائي'!FT753</f>
        <v>0</v>
      </c>
      <c r="G282" s="59">
        <f t="shared" si="70"/>
        <v>0</v>
      </c>
      <c r="H282" s="15">
        <f>'[1]التعليم الابتدائي'!GH753</f>
        <v>0</v>
      </c>
      <c r="I282" s="15">
        <f>'[1]التعليم الابتدائي'!GI753</f>
        <v>0</v>
      </c>
      <c r="J282" s="15">
        <f t="shared" si="71"/>
        <v>0</v>
      </c>
      <c r="K282" s="15">
        <f>'[1]التعليم الابتدائي'!GW753</f>
        <v>0</v>
      </c>
      <c r="L282" s="15">
        <f>'[1]التعليم الابتدائي'!GX753</f>
        <v>0</v>
      </c>
      <c r="M282" s="15">
        <f>'[1]التعليم الابتدائي'!HL753</f>
        <v>0</v>
      </c>
      <c r="N282" s="15">
        <f>'[1]التعليم الابتدائي'!HM753</f>
        <v>0</v>
      </c>
      <c r="O282" s="15">
        <f>'[1]التعليم الابتدائي'!IA753</f>
        <v>0</v>
      </c>
      <c r="P282" s="15">
        <f>'[1]التعليم الابتدائي'!IB753</f>
        <v>0</v>
      </c>
      <c r="Q282" s="15">
        <f t="shared" si="72"/>
        <v>0</v>
      </c>
      <c r="R282" s="15">
        <f t="shared" si="72"/>
        <v>0</v>
      </c>
      <c r="S282" s="36">
        <f t="shared" si="73"/>
        <v>0</v>
      </c>
    </row>
    <row r="283" spans="1:20" ht="24" thickTop="1" thickBot="1">
      <c r="A283" s="28"/>
      <c r="B283" s="28"/>
      <c r="C283" s="28"/>
      <c r="D283" s="17" t="s">
        <v>242</v>
      </c>
      <c r="E283" s="15">
        <f>'[1]التعليم الابتدائي'!FU753</f>
        <v>0</v>
      </c>
      <c r="F283" s="15">
        <f>'[1]التعليم الابتدائي'!FV753</f>
        <v>0</v>
      </c>
      <c r="G283" s="59">
        <f t="shared" si="70"/>
        <v>0</v>
      </c>
      <c r="H283" s="15">
        <f>'[1]التعليم الابتدائي'!GJ753</f>
        <v>0</v>
      </c>
      <c r="I283" s="15">
        <f>'[1]التعليم الابتدائي'!GK753</f>
        <v>0</v>
      </c>
      <c r="J283" s="15">
        <f t="shared" si="71"/>
        <v>0</v>
      </c>
      <c r="K283" s="15">
        <f>'[1]التعليم الابتدائي'!GY753</f>
        <v>0</v>
      </c>
      <c r="L283" s="15">
        <f>'[1]التعليم الابتدائي'!GZ753</f>
        <v>0</v>
      </c>
      <c r="M283" s="15">
        <f>'[1]التعليم الابتدائي'!HN753</f>
        <v>0</v>
      </c>
      <c r="N283" s="15">
        <f>'[1]التعليم الابتدائي'!HO753</f>
        <v>0</v>
      </c>
      <c r="O283" s="15">
        <f>'[1]التعليم الابتدائي'!IC753</f>
        <v>0</v>
      </c>
      <c r="P283" s="15">
        <f>'[1]التعليم الابتدائي'!ID753</f>
        <v>0</v>
      </c>
      <c r="Q283" s="15">
        <f t="shared" si="72"/>
        <v>0</v>
      </c>
      <c r="R283" s="15">
        <f t="shared" si="72"/>
        <v>0</v>
      </c>
      <c r="S283" s="36">
        <f t="shared" si="73"/>
        <v>0</v>
      </c>
    </row>
    <row r="284" spans="1:20" ht="24" thickTop="1" thickBot="1">
      <c r="A284" s="28"/>
      <c r="B284" s="28"/>
      <c r="C284" s="28"/>
      <c r="D284" s="17" t="s">
        <v>243</v>
      </c>
      <c r="E284" s="15">
        <f>'[1]التعليم الابتدائي'!FW753</f>
        <v>0</v>
      </c>
      <c r="F284" s="15">
        <f>'[1]التعليم الابتدائي'!FX753</f>
        <v>0</v>
      </c>
      <c r="G284" s="59">
        <f t="shared" si="70"/>
        <v>0</v>
      </c>
      <c r="H284" s="15">
        <f>'[1]التعليم الابتدائي'!GL753</f>
        <v>0</v>
      </c>
      <c r="I284" s="15">
        <f>'[1]التعليم الابتدائي'!GM753</f>
        <v>0</v>
      </c>
      <c r="J284" s="15">
        <f t="shared" si="71"/>
        <v>0</v>
      </c>
      <c r="K284" s="15">
        <f>'[1]التعليم الابتدائي'!HA753</f>
        <v>0</v>
      </c>
      <c r="L284" s="15">
        <f>'[1]التعليم الابتدائي'!HB753</f>
        <v>0</v>
      </c>
      <c r="M284" s="15">
        <f>'[1]التعليم الابتدائي'!HP753</f>
        <v>0</v>
      </c>
      <c r="N284" s="15">
        <f>'[1]التعليم الابتدائي'!HQ753</f>
        <v>0</v>
      </c>
      <c r="O284" s="15">
        <f>'[1]التعليم الابتدائي'!IE753</f>
        <v>0</v>
      </c>
      <c r="P284" s="15">
        <f>'[1]التعليم الابتدائي'!IF753</f>
        <v>0</v>
      </c>
      <c r="Q284" s="15">
        <f t="shared" si="72"/>
        <v>0</v>
      </c>
      <c r="R284" s="15">
        <f t="shared" si="72"/>
        <v>0</v>
      </c>
      <c r="S284" s="36">
        <f t="shared" si="73"/>
        <v>0</v>
      </c>
    </row>
    <row r="285" spans="1:20" ht="24" thickTop="1" thickBot="1">
      <c r="A285" s="28"/>
      <c r="B285" s="28"/>
      <c r="C285" s="28"/>
      <c r="D285" s="18" t="s">
        <v>58</v>
      </c>
      <c r="E285" s="20">
        <f>SUM(E279:E284)</f>
        <v>0</v>
      </c>
      <c r="F285" s="20">
        <f>SUM(F279:F284)</f>
        <v>0</v>
      </c>
      <c r="G285" s="59">
        <f t="shared" si="70"/>
        <v>0</v>
      </c>
      <c r="H285" s="20">
        <f t="shared" ref="H285:S285" si="74">SUM(H279:H284)</f>
        <v>0</v>
      </c>
      <c r="I285" s="20">
        <f t="shared" si="74"/>
        <v>0</v>
      </c>
      <c r="J285" s="20">
        <f t="shared" si="74"/>
        <v>0</v>
      </c>
      <c r="K285" s="20">
        <f t="shared" si="74"/>
        <v>0</v>
      </c>
      <c r="L285" s="20">
        <f t="shared" si="74"/>
        <v>0</v>
      </c>
      <c r="M285" s="20">
        <f t="shared" si="74"/>
        <v>0</v>
      </c>
      <c r="N285" s="20">
        <f t="shared" si="74"/>
        <v>0</v>
      </c>
      <c r="O285" s="20">
        <f t="shared" si="74"/>
        <v>0</v>
      </c>
      <c r="P285" s="20">
        <f t="shared" si="74"/>
        <v>0</v>
      </c>
      <c r="Q285" s="20">
        <f t="shared" si="74"/>
        <v>0</v>
      </c>
      <c r="R285" s="20">
        <f t="shared" si="74"/>
        <v>0</v>
      </c>
      <c r="S285" s="33">
        <f t="shared" si="74"/>
        <v>0</v>
      </c>
    </row>
    <row r="286" spans="1:20" ht="23.4" thickTop="1"/>
    <row r="287" spans="1:20">
      <c r="B287" s="231" t="s">
        <v>62</v>
      </c>
      <c r="C287" s="231"/>
      <c r="D287" s="231"/>
      <c r="E287" s="231"/>
      <c r="F287" s="231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9" t="s">
        <v>98</v>
      </c>
      <c r="S287" s="29"/>
      <c r="T287" s="29"/>
    </row>
    <row r="288" spans="1:20">
      <c r="B288" s="231" t="s">
        <v>64</v>
      </c>
      <c r="C288" s="231"/>
      <c r="D288" s="231"/>
      <c r="E288" s="231"/>
      <c r="F288" s="231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9" t="s">
        <v>65</v>
      </c>
      <c r="S288" s="29"/>
      <c r="T288" s="29"/>
    </row>
    <row r="289" spans="2:20"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</row>
    <row r="290" spans="2:20">
      <c r="B290" s="28"/>
      <c r="C290" s="231" t="s">
        <v>247</v>
      </c>
      <c r="D290" s="231"/>
      <c r="E290" s="231"/>
      <c r="F290" s="231"/>
      <c r="G290" s="231"/>
      <c r="H290" s="231"/>
      <c r="I290" s="231"/>
      <c r="J290" s="231"/>
      <c r="K290" s="231"/>
      <c r="L290" s="231"/>
      <c r="M290" s="231"/>
      <c r="N290" s="231"/>
      <c r="O290" s="231"/>
      <c r="P290" s="231"/>
      <c r="Q290" s="231"/>
      <c r="R290" s="231"/>
      <c r="S290" s="231"/>
      <c r="T290" s="231"/>
    </row>
    <row r="291" spans="2:20">
      <c r="B291" s="43"/>
      <c r="C291" s="231" t="s">
        <v>208</v>
      </c>
      <c r="D291" s="231"/>
      <c r="E291" s="231"/>
      <c r="F291" s="231"/>
      <c r="G291" s="231"/>
      <c r="H291" s="231"/>
      <c r="I291" s="231"/>
      <c r="J291" s="231"/>
      <c r="K291" s="231"/>
      <c r="L291" s="231"/>
      <c r="M291" s="231"/>
      <c r="N291" s="231"/>
      <c r="O291" s="231"/>
      <c r="P291" s="231"/>
      <c r="Q291" s="231"/>
      <c r="R291" s="231"/>
      <c r="S291" s="231"/>
      <c r="T291" s="231"/>
    </row>
    <row r="292" spans="2:20">
      <c r="B292" s="43"/>
      <c r="C292" s="294" t="s">
        <v>257</v>
      </c>
      <c r="D292" s="231"/>
      <c r="E292" s="231"/>
      <c r="F292" s="231"/>
      <c r="G292" s="231"/>
      <c r="H292" s="231"/>
      <c r="I292" s="231"/>
      <c r="J292" s="231"/>
      <c r="K292" s="231"/>
      <c r="L292" s="231"/>
      <c r="M292" s="231"/>
      <c r="N292" s="231"/>
      <c r="O292" s="231"/>
      <c r="P292" s="231"/>
      <c r="Q292" s="231"/>
      <c r="R292" s="231"/>
      <c r="S292" s="231"/>
      <c r="T292" s="231"/>
    </row>
    <row r="293" spans="2:20" ht="23.4" thickBot="1">
      <c r="B293" s="28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</row>
    <row r="294" spans="2:20" ht="24" thickTop="1" thickBot="1">
      <c r="B294" s="28"/>
      <c r="C294" s="28"/>
      <c r="D294" s="55" t="s">
        <v>249</v>
      </c>
      <c r="E294" s="223" t="s">
        <v>258</v>
      </c>
      <c r="F294" s="224"/>
      <c r="G294" s="237"/>
      <c r="H294" s="223" t="s">
        <v>251</v>
      </c>
      <c r="I294" s="224"/>
      <c r="J294" s="237"/>
      <c r="K294" s="233" t="s">
        <v>252</v>
      </c>
      <c r="L294" s="233"/>
      <c r="M294" s="233"/>
      <c r="N294" s="233"/>
      <c r="O294" s="233"/>
      <c r="P294" s="233"/>
      <c r="Q294" s="233"/>
      <c r="R294" s="233"/>
      <c r="S294" s="247"/>
    </row>
    <row r="295" spans="2:20" ht="24" thickTop="1" thickBot="1">
      <c r="B295" s="28"/>
      <c r="C295" s="28"/>
      <c r="D295" s="56"/>
      <c r="E295" s="227" t="s">
        <v>253</v>
      </c>
      <c r="F295" s="227" t="s">
        <v>35</v>
      </c>
      <c r="G295" s="227" t="s">
        <v>58</v>
      </c>
      <c r="H295" s="227" t="s">
        <v>253</v>
      </c>
      <c r="I295" s="227" t="s">
        <v>35</v>
      </c>
      <c r="J295" s="227" t="s">
        <v>58</v>
      </c>
      <c r="K295" s="227" t="s">
        <v>254</v>
      </c>
      <c r="L295" s="227"/>
      <c r="M295" s="227" t="s">
        <v>255</v>
      </c>
      <c r="N295" s="227"/>
      <c r="O295" s="227" t="s">
        <v>256</v>
      </c>
      <c r="P295" s="227"/>
      <c r="Q295" s="227" t="s">
        <v>58</v>
      </c>
      <c r="R295" s="227"/>
      <c r="S295" s="244"/>
    </row>
    <row r="296" spans="2:20" ht="24" thickTop="1" thickBot="1">
      <c r="B296" s="28"/>
      <c r="C296" s="28"/>
      <c r="D296" s="58" t="s">
        <v>145</v>
      </c>
      <c r="E296" s="227"/>
      <c r="F296" s="227"/>
      <c r="G296" s="227"/>
      <c r="H296" s="227"/>
      <c r="I296" s="227"/>
      <c r="J296" s="227"/>
      <c r="K296" s="15" t="s">
        <v>76</v>
      </c>
      <c r="L296" s="15" t="s">
        <v>35</v>
      </c>
      <c r="M296" s="15" t="s">
        <v>76</v>
      </c>
      <c r="N296" s="15" t="s">
        <v>35</v>
      </c>
      <c r="O296" s="15" t="s">
        <v>76</v>
      </c>
      <c r="P296" s="15" t="s">
        <v>35</v>
      </c>
      <c r="Q296" s="15" t="s">
        <v>76</v>
      </c>
      <c r="R296" s="15" t="s">
        <v>35</v>
      </c>
      <c r="S296" s="36" t="s">
        <v>58</v>
      </c>
    </row>
    <row r="297" spans="2:20" ht="24" thickTop="1" thickBot="1">
      <c r="B297" s="28"/>
      <c r="C297" s="28"/>
      <c r="D297" s="17" t="s">
        <v>238</v>
      </c>
      <c r="E297" s="15">
        <f>'[1]التعليم الابتدائي'!FM752</f>
        <v>0</v>
      </c>
      <c r="F297" s="15">
        <f>'[1]التعليم الابتدائي'!FN752</f>
        <v>0</v>
      </c>
      <c r="G297" s="59">
        <f t="shared" ref="G297:G303" si="75">SUM(E297:F297)</f>
        <v>0</v>
      </c>
      <c r="H297" s="15">
        <f>'[1]التعليم الابتدائي'!GB752</f>
        <v>0</v>
      </c>
      <c r="I297" s="15">
        <f>'[1]التعليم الابتدائي'!GC752</f>
        <v>0</v>
      </c>
      <c r="J297" s="15">
        <f t="shared" ref="J297:J302" si="76">I297+H297</f>
        <v>0</v>
      </c>
      <c r="K297" s="15">
        <f>'[1]التعليم الابتدائي'!GQ752</f>
        <v>0</v>
      </c>
      <c r="L297" s="15">
        <f>'[1]التعليم الابتدائي'!GR752</f>
        <v>0</v>
      </c>
      <c r="M297" s="15">
        <f>'[1]التعليم الابتدائي'!HF752</f>
        <v>0</v>
      </c>
      <c r="N297" s="15">
        <f>'[1]التعليم الابتدائي'!HG752</f>
        <v>0</v>
      </c>
      <c r="O297" s="15">
        <f>'[1]التعليم الابتدائي'!HU752</f>
        <v>0</v>
      </c>
      <c r="P297" s="15">
        <f>'[1]التعليم الابتدائي'!HV752</f>
        <v>0</v>
      </c>
      <c r="Q297" s="15">
        <f t="shared" ref="Q297:R302" si="77">O297+M297+K297</f>
        <v>0</v>
      </c>
      <c r="R297" s="15">
        <f t="shared" si="77"/>
        <v>0</v>
      </c>
      <c r="S297" s="36">
        <f t="shared" ref="S297:S302" si="78">R297+Q297</f>
        <v>0</v>
      </c>
    </row>
    <row r="298" spans="2:20" ht="24" thickTop="1" thickBot="1">
      <c r="B298" s="28"/>
      <c r="C298" s="28"/>
      <c r="D298" s="17" t="s">
        <v>239</v>
      </c>
      <c r="E298" s="15">
        <f>'[1]التعليم الابتدائي'!FO752</f>
        <v>0</v>
      </c>
      <c r="F298" s="15">
        <f>'[1]التعليم الابتدائي'!FP752</f>
        <v>0</v>
      </c>
      <c r="G298" s="59">
        <f t="shared" si="75"/>
        <v>0</v>
      </c>
      <c r="H298" s="15">
        <f>'[1]التعليم الابتدائي'!GD752</f>
        <v>0</v>
      </c>
      <c r="I298" s="15">
        <f>'[1]التعليم الابتدائي'!GE752</f>
        <v>0</v>
      </c>
      <c r="J298" s="15">
        <f t="shared" si="76"/>
        <v>0</v>
      </c>
      <c r="K298" s="15">
        <f>'[1]التعليم الابتدائي'!GS752</f>
        <v>0</v>
      </c>
      <c r="L298" s="15">
        <f>'[1]التعليم الابتدائي'!GT752</f>
        <v>0</v>
      </c>
      <c r="M298" s="15">
        <f>'[1]التعليم الابتدائي'!HH752</f>
        <v>0</v>
      </c>
      <c r="N298" s="15">
        <f>'[1]التعليم الابتدائي'!HI752</f>
        <v>0</v>
      </c>
      <c r="O298" s="15">
        <f>'[1]التعليم الابتدائي'!HW752</f>
        <v>0</v>
      </c>
      <c r="P298" s="15">
        <f>'[1]التعليم الابتدائي'!HX752</f>
        <v>0</v>
      </c>
      <c r="Q298" s="15">
        <f t="shared" si="77"/>
        <v>0</v>
      </c>
      <c r="R298" s="15">
        <f t="shared" si="77"/>
        <v>0</v>
      </c>
      <c r="S298" s="36">
        <f t="shared" si="78"/>
        <v>0</v>
      </c>
    </row>
    <row r="299" spans="2:20" ht="24" thickTop="1" thickBot="1">
      <c r="B299" s="28"/>
      <c r="C299" s="28"/>
      <c r="D299" s="17" t="s">
        <v>240</v>
      </c>
      <c r="E299" s="15">
        <f>'[1]التعليم الابتدائي'!FQ752</f>
        <v>0</v>
      </c>
      <c r="F299" s="15">
        <f>'[1]التعليم الابتدائي'!FR752</f>
        <v>0</v>
      </c>
      <c r="G299" s="59">
        <f t="shared" si="75"/>
        <v>0</v>
      </c>
      <c r="H299" s="15">
        <f>'[1]التعليم الابتدائي'!GF752</f>
        <v>0</v>
      </c>
      <c r="I299" s="15">
        <f>'[1]التعليم الابتدائي'!GG752</f>
        <v>0</v>
      </c>
      <c r="J299" s="15">
        <f t="shared" si="76"/>
        <v>0</v>
      </c>
      <c r="K299" s="15">
        <f>'[1]التعليم الابتدائي'!GU752</f>
        <v>0</v>
      </c>
      <c r="L299" s="15">
        <f>'[1]التعليم الابتدائي'!GV752</f>
        <v>0</v>
      </c>
      <c r="M299" s="15">
        <f>'[1]التعليم الابتدائي'!HJ752</f>
        <v>0</v>
      </c>
      <c r="N299" s="15">
        <f>'[1]التعليم الابتدائي'!HK752</f>
        <v>0</v>
      </c>
      <c r="O299" s="15">
        <f>'[1]التعليم الابتدائي'!HY752</f>
        <v>0</v>
      </c>
      <c r="P299" s="15">
        <f>'[1]التعليم الابتدائي'!HZ752</f>
        <v>0</v>
      </c>
      <c r="Q299" s="15">
        <f t="shared" si="77"/>
        <v>0</v>
      </c>
      <c r="R299" s="15">
        <f t="shared" si="77"/>
        <v>0</v>
      </c>
      <c r="S299" s="36">
        <f t="shared" si="78"/>
        <v>0</v>
      </c>
    </row>
    <row r="300" spans="2:20" ht="24" thickTop="1" thickBot="1">
      <c r="B300" s="28"/>
      <c r="C300" s="28"/>
      <c r="D300" s="17" t="s">
        <v>241</v>
      </c>
      <c r="E300" s="15">
        <f>'[1]التعليم الابتدائي'!FS752</f>
        <v>0</v>
      </c>
      <c r="F300" s="15">
        <f>'[1]التعليم الابتدائي'!FT752</f>
        <v>0</v>
      </c>
      <c r="G300" s="59">
        <f t="shared" si="75"/>
        <v>0</v>
      </c>
      <c r="H300" s="15">
        <f>'[1]التعليم الابتدائي'!GH752</f>
        <v>0</v>
      </c>
      <c r="I300" s="15">
        <f>'[1]التعليم الابتدائي'!GI752</f>
        <v>0</v>
      </c>
      <c r="J300" s="15">
        <f t="shared" si="76"/>
        <v>0</v>
      </c>
      <c r="K300" s="15">
        <f>'[1]التعليم الابتدائي'!GW752</f>
        <v>0</v>
      </c>
      <c r="L300" s="15">
        <f>'[1]التعليم الابتدائي'!GX752</f>
        <v>0</v>
      </c>
      <c r="M300" s="15">
        <f>'[1]التعليم الابتدائي'!HL752</f>
        <v>0</v>
      </c>
      <c r="N300" s="15">
        <f>'[1]التعليم الابتدائي'!HM752</f>
        <v>0</v>
      </c>
      <c r="O300" s="15">
        <f>'[1]التعليم الابتدائي'!IA752</f>
        <v>0</v>
      </c>
      <c r="P300" s="15">
        <f>'[1]التعليم الابتدائي'!IB752</f>
        <v>0</v>
      </c>
      <c r="Q300" s="15">
        <f t="shared" si="77"/>
        <v>0</v>
      </c>
      <c r="R300" s="15">
        <f t="shared" si="77"/>
        <v>0</v>
      </c>
      <c r="S300" s="36">
        <f t="shared" si="78"/>
        <v>0</v>
      </c>
    </row>
    <row r="301" spans="2:20" ht="24" thickTop="1" thickBot="1">
      <c r="B301" s="28"/>
      <c r="C301" s="28"/>
      <c r="D301" s="17" t="s">
        <v>242</v>
      </c>
      <c r="E301" s="15">
        <f>'[1]التعليم الابتدائي'!FU752</f>
        <v>0</v>
      </c>
      <c r="F301" s="15">
        <f>'[1]التعليم الابتدائي'!FV752</f>
        <v>0</v>
      </c>
      <c r="G301" s="59">
        <f t="shared" si="75"/>
        <v>0</v>
      </c>
      <c r="H301" s="15">
        <f>'[1]التعليم الابتدائي'!GJ752</f>
        <v>0</v>
      </c>
      <c r="I301" s="15">
        <f>'[1]التعليم الابتدائي'!GK752</f>
        <v>0</v>
      </c>
      <c r="J301" s="15">
        <f t="shared" si="76"/>
        <v>0</v>
      </c>
      <c r="K301" s="15">
        <f>'[1]التعليم الابتدائي'!GY752</f>
        <v>0</v>
      </c>
      <c r="L301" s="15">
        <f>'[1]التعليم الابتدائي'!GZ752</f>
        <v>0</v>
      </c>
      <c r="M301" s="15">
        <f>'[1]التعليم الابتدائي'!HN752</f>
        <v>0</v>
      </c>
      <c r="N301" s="15">
        <f>'[1]التعليم الابتدائي'!HO752</f>
        <v>0</v>
      </c>
      <c r="O301" s="15">
        <f>'[1]التعليم الابتدائي'!IC752</f>
        <v>0</v>
      </c>
      <c r="P301" s="15">
        <f>'[1]التعليم الابتدائي'!ID752</f>
        <v>0</v>
      </c>
      <c r="Q301" s="15">
        <f t="shared" si="77"/>
        <v>0</v>
      </c>
      <c r="R301" s="15">
        <f t="shared" si="77"/>
        <v>0</v>
      </c>
      <c r="S301" s="36">
        <f t="shared" si="78"/>
        <v>0</v>
      </c>
    </row>
    <row r="302" spans="2:20" ht="24" thickTop="1" thickBot="1">
      <c r="B302" s="28"/>
      <c r="C302" s="28"/>
      <c r="D302" s="17" t="s">
        <v>243</v>
      </c>
      <c r="E302" s="15">
        <f>'[1]التعليم الابتدائي'!FW752</f>
        <v>0</v>
      </c>
      <c r="F302" s="15">
        <f>'[1]التعليم الابتدائي'!FX752</f>
        <v>0</v>
      </c>
      <c r="G302" s="59">
        <f t="shared" si="75"/>
        <v>0</v>
      </c>
      <c r="H302" s="15">
        <f>'[1]التعليم الابتدائي'!GL752</f>
        <v>0</v>
      </c>
      <c r="I302" s="15">
        <f>'[1]التعليم الابتدائي'!GM752</f>
        <v>0</v>
      </c>
      <c r="J302" s="15">
        <f t="shared" si="76"/>
        <v>0</v>
      </c>
      <c r="K302" s="15">
        <f>'[1]التعليم الابتدائي'!HA752</f>
        <v>0</v>
      </c>
      <c r="L302" s="15">
        <f>'[1]التعليم الابتدائي'!HB752</f>
        <v>0</v>
      </c>
      <c r="M302" s="15">
        <f>'[1]التعليم الابتدائي'!HP752</f>
        <v>0</v>
      </c>
      <c r="N302" s="15">
        <f>'[1]التعليم الابتدائي'!HQ752</f>
        <v>0</v>
      </c>
      <c r="O302" s="15">
        <f>'[1]التعليم الابتدائي'!IE752</f>
        <v>0</v>
      </c>
      <c r="P302" s="15">
        <f>'[1]التعليم الابتدائي'!IF752</f>
        <v>0</v>
      </c>
      <c r="Q302" s="15">
        <f t="shared" si="77"/>
        <v>0</v>
      </c>
      <c r="R302" s="15">
        <f t="shared" si="77"/>
        <v>0</v>
      </c>
      <c r="S302" s="36">
        <f t="shared" si="78"/>
        <v>0</v>
      </c>
    </row>
    <row r="303" spans="2:20" ht="24" thickTop="1" thickBot="1">
      <c r="B303" s="28"/>
      <c r="C303" s="28"/>
      <c r="D303" s="18" t="s">
        <v>58</v>
      </c>
      <c r="E303" s="20">
        <f>SUM(E297:E302)</f>
        <v>0</v>
      </c>
      <c r="F303" s="20">
        <f>SUM(F297:F302)</f>
        <v>0</v>
      </c>
      <c r="G303" s="59">
        <f t="shared" si="75"/>
        <v>0</v>
      </c>
      <c r="H303" s="20">
        <f t="shared" ref="H303:S303" si="79">SUM(H297:H302)</f>
        <v>0</v>
      </c>
      <c r="I303" s="20">
        <f t="shared" si="79"/>
        <v>0</v>
      </c>
      <c r="J303" s="20">
        <f t="shared" si="79"/>
        <v>0</v>
      </c>
      <c r="K303" s="20">
        <f t="shared" si="79"/>
        <v>0</v>
      </c>
      <c r="L303" s="20">
        <f t="shared" si="79"/>
        <v>0</v>
      </c>
      <c r="M303" s="20">
        <f t="shared" si="79"/>
        <v>0</v>
      </c>
      <c r="N303" s="20">
        <f t="shared" si="79"/>
        <v>0</v>
      </c>
      <c r="O303" s="20">
        <f t="shared" si="79"/>
        <v>0</v>
      </c>
      <c r="P303" s="20">
        <f t="shared" si="79"/>
        <v>0</v>
      </c>
      <c r="Q303" s="20">
        <f t="shared" si="79"/>
        <v>0</v>
      </c>
      <c r="R303" s="20">
        <f t="shared" si="79"/>
        <v>0</v>
      </c>
      <c r="S303" s="33">
        <f t="shared" si="79"/>
        <v>0</v>
      </c>
    </row>
    <row r="304" spans="2:20" ht="23.4" thickTop="1"/>
  </sheetData>
  <mergeCells count="295">
    <mergeCell ref="A2:E2"/>
    <mergeCell ref="B3:T3"/>
    <mergeCell ref="B4:T4"/>
    <mergeCell ref="B5:T5"/>
    <mergeCell ref="E7:G7"/>
    <mergeCell ref="H7:J7"/>
    <mergeCell ref="K7:S7"/>
    <mergeCell ref="K8:L8"/>
    <mergeCell ref="M8:N8"/>
    <mergeCell ref="O8:P8"/>
    <mergeCell ref="Q8:S8"/>
    <mergeCell ref="A19:E19"/>
    <mergeCell ref="B21:S21"/>
    <mergeCell ref="E8:E9"/>
    <mergeCell ref="F8:F9"/>
    <mergeCell ref="G8:G9"/>
    <mergeCell ref="H8:H9"/>
    <mergeCell ref="I8:I9"/>
    <mergeCell ref="J8:J9"/>
    <mergeCell ref="B22:S22"/>
    <mergeCell ref="B23:S23"/>
    <mergeCell ref="E25:G25"/>
    <mergeCell ref="H25:J25"/>
    <mergeCell ref="K25:S25"/>
    <mergeCell ref="E26:E27"/>
    <mergeCell ref="F26:F27"/>
    <mergeCell ref="G26:G27"/>
    <mergeCell ref="H26:H27"/>
    <mergeCell ref="I26:I27"/>
    <mergeCell ref="B39:S39"/>
    <mergeCell ref="B40:S40"/>
    <mergeCell ref="B41:S41"/>
    <mergeCell ref="E43:G43"/>
    <mergeCell ref="H43:J43"/>
    <mergeCell ref="K43:S43"/>
    <mergeCell ref="J26:J27"/>
    <mergeCell ref="K26:L26"/>
    <mergeCell ref="M26:N26"/>
    <mergeCell ref="O26:P26"/>
    <mergeCell ref="Q26:S26"/>
    <mergeCell ref="A37:E37"/>
    <mergeCell ref="K44:L44"/>
    <mergeCell ref="M44:N44"/>
    <mergeCell ref="O44:P44"/>
    <mergeCell ref="Q44:S44"/>
    <mergeCell ref="A55:E55"/>
    <mergeCell ref="B57:S57"/>
    <mergeCell ref="E44:E45"/>
    <mergeCell ref="F44:F45"/>
    <mergeCell ref="G44:G45"/>
    <mergeCell ref="H44:H45"/>
    <mergeCell ref="I44:I45"/>
    <mergeCell ref="J44:J45"/>
    <mergeCell ref="B58:S58"/>
    <mergeCell ref="B59:S59"/>
    <mergeCell ref="E61:G61"/>
    <mergeCell ref="H61:J61"/>
    <mergeCell ref="K61:S61"/>
    <mergeCell ref="E62:E63"/>
    <mergeCell ref="F62:F63"/>
    <mergeCell ref="G62:G63"/>
    <mergeCell ref="H62:H63"/>
    <mergeCell ref="I62:I63"/>
    <mergeCell ref="A73:E73"/>
    <mergeCell ref="B75:S75"/>
    <mergeCell ref="B76:S76"/>
    <mergeCell ref="B77:S77"/>
    <mergeCell ref="E79:G79"/>
    <mergeCell ref="H79:J79"/>
    <mergeCell ref="K79:S79"/>
    <mergeCell ref="J62:J63"/>
    <mergeCell ref="K62:L62"/>
    <mergeCell ref="M62:N62"/>
    <mergeCell ref="O62:P62"/>
    <mergeCell ref="Q62:S62"/>
    <mergeCell ref="A72:E72"/>
    <mergeCell ref="B93:S93"/>
    <mergeCell ref="B94:S94"/>
    <mergeCell ref="B95:S95"/>
    <mergeCell ref="E97:G97"/>
    <mergeCell ref="H97:J97"/>
    <mergeCell ref="K97:S97"/>
    <mergeCell ref="K80:L80"/>
    <mergeCell ref="M80:N80"/>
    <mergeCell ref="O80:P80"/>
    <mergeCell ref="Q80:S80"/>
    <mergeCell ref="A90:E90"/>
    <mergeCell ref="A91:E91"/>
    <mergeCell ref="E80:E81"/>
    <mergeCell ref="F80:F81"/>
    <mergeCell ref="G80:G81"/>
    <mergeCell ref="H80:H81"/>
    <mergeCell ref="I80:I81"/>
    <mergeCell ref="J80:J81"/>
    <mergeCell ref="B111:S111"/>
    <mergeCell ref="B112:S112"/>
    <mergeCell ref="B113:S113"/>
    <mergeCell ref="E115:G115"/>
    <mergeCell ref="H115:J115"/>
    <mergeCell ref="K115:S115"/>
    <mergeCell ref="K98:L98"/>
    <mergeCell ref="M98:N98"/>
    <mergeCell ref="O98:P98"/>
    <mergeCell ref="Q98:S98"/>
    <mergeCell ref="A108:E108"/>
    <mergeCell ref="A109:E109"/>
    <mergeCell ref="E98:E99"/>
    <mergeCell ref="F98:F99"/>
    <mergeCell ref="G98:G99"/>
    <mergeCell ref="H98:H99"/>
    <mergeCell ref="I98:I99"/>
    <mergeCell ref="J98:J99"/>
    <mergeCell ref="K116:L116"/>
    <mergeCell ref="M116:N116"/>
    <mergeCell ref="O116:P116"/>
    <mergeCell ref="Q116:S116"/>
    <mergeCell ref="A125:E125"/>
    <mergeCell ref="A126:E126"/>
    <mergeCell ref="E116:E117"/>
    <mergeCell ref="F116:F117"/>
    <mergeCell ref="G116:G117"/>
    <mergeCell ref="H116:H117"/>
    <mergeCell ref="I116:I117"/>
    <mergeCell ref="J116:J117"/>
    <mergeCell ref="M133:N133"/>
    <mergeCell ref="O133:P133"/>
    <mergeCell ref="Q133:S133"/>
    <mergeCell ref="A143:E143"/>
    <mergeCell ref="A144:E144"/>
    <mergeCell ref="B146:S146"/>
    <mergeCell ref="E132:G132"/>
    <mergeCell ref="H132:J132"/>
    <mergeCell ref="K132:S132"/>
    <mergeCell ref="E133:E134"/>
    <mergeCell ref="F133:F134"/>
    <mergeCell ref="G133:G134"/>
    <mergeCell ref="H133:H134"/>
    <mergeCell ref="I133:I134"/>
    <mergeCell ref="J133:J134"/>
    <mergeCell ref="K133:L133"/>
    <mergeCell ref="B147:S147"/>
    <mergeCell ref="B148:S148"/>
    <mergeCell ref="E150:G150"/>
    <mergeCell ref="H150:J150"/>
    <mergeCell ref="K150:S150"/>
    <mergeCell ref="E151:E152"/>
    <mergeCell ref="F151:F152"/>
    <mergeCell ref="G151:G152"/>
    <mergeCell ref="H151:H152"/>
    <mergeCell ref="I151:I152"/>
    <mergeCell ref="A162:E162"/>
    <mergeCell ref="B164:S164"/>
    <mergeCell ref="B165:S165"/>
    <mergeCell ref="B166:S166"/>
    <mergeCell ref="E168:G168"/>
    <mergeCell ref="H168:J168"/>
    <mergeCell ref="K168:S168"/>
    <mergeCell ref="J151:J152"/>
    <mergeCell ref="K151:L151"/>
    <mergeCell ref="M151:N151"/>
    <mergeCell ref="O151:P151"/>
    <mergeCell ref="Q151:S151"/>
    <mergeCell ref="A161:E161"/>
    <mergeCell ref="K169:L169"/>
    <mergeCell ref="M169:N169"/>
    <mergeCell ref="O169:P169"/>
    <mergeCell ref="Q169:S169"/>
    <mergeCell ref="A180:E180"/>
    <mergeCell ref="B182:S182"/>
    <mergeCell ref="E169:E170"/>
    <mergeCell ref="F169:F170"/>
    <mergeCell ref="G169:G170"/>
    <mergeCell ref="H169:H170"/>
    <mergeCell ref="I169:I170"/>
    <mergeCell ref="J169:J170"/>
    <mergeCell ref="B183:S183"/>
    <mergeCell ref="B184:S184"/>
    <mergeCell ref="E186:G186"/>
    <mergeCell ref="H186:J186"/>
    <mergeCell ref="K186:S186"/>
    <mergeCell ref="E187:E188"/>
    <mergeCell ref="F187:F188"/>
    <mergeCell ref="G187:G188"/>
    <mergeCell ref="H187:H188"/>
    <mergeCell ref="I187:I188"/>
    <mergeCell ref="B200:S200"/>
    <mergeCell ref="B201:S201"/>
    <mergeCell ref="B202:S202"/>
    <mergeCell ref="E204:G204"/>
    <mergeCell ref="H204:J204"/>
    <mergeCell ref="K204:S204"/>
    <mergeCell ref="J187:J188"/>
    <mergeCell ref="K187:L187"/>
    <mergeCell ref="M187:N187"/>
    <mergeCell ref="O187:P187"/>
    <mergeCell ref="Q187:S187"/>
    <mergeCell ref="A198:E198"/>
    <mergeCell ref="K205:L205"/>
    <mergeCell ref="M205:N205"/>
    <mergeCell ref="O205:P205"/>
    <mergeCell ref="Q205:S205"/>
    <mergeCell ref="A216:E216"/>
    <mergeCell ref="B218:S218"/>
    <mergeCell ref="E205:E206"/>
    <mergeCell ref="F205:F206"/>
    <mergeCell ref="G205:G206"/>
    <mergeCell ref="H205:H206"/>
    <mergeCell ref="I205:I206"/>
    <mergeCell ref="J205:J206"/>
    <mergeCell ref="B219:S219"/>
    <mergeCell ref="B220:S220"/>
    <mergeCell ref="E222:G222"/>
    <mergeCell ref="H222:J222"/>
    <mergeCell ref="K222:S222"/>
    <mergeCell ref="E223:E224"/>
    <mergeCell ref="F223:F224"/>
    <mergeCell ref="G223:G224"/>
    <mergeCell ref="H223:H224"/>
    <mergeCell ref="I223:I224"/>
    <mergeCell ref="A234:E234"/>
    <mergeCell ref="B236:S236"/>
    <mergeCell ref="B237:S237"/>
    <mergeCell ref="B238:S238"/>
    <mergeCell ref="E240:G240"/>
    <mergeCell ref="H240:J240"/>
    <mergeCell ref="K240:S240"/>
    <mergeCell ref="J223:J224"/>
    <mergeCell ref="K223:L223"/>
    <mergeCell ref="M223:N223"/>
    <mergeCell ref="O223:P223"/>
    <mergeCell ref="Q223:S223"/>
    <mergeCell ref="A233:F233"/>
    <mergeCell ref="K241:L241"/>
    <mergeCell ref="M241:N241"/>
    <mergeCell ref="O241:P241"/>
    <mergeCell ref="Q241:S241"/>
    <mergeCell ref="A252:E252"/>
    <mergeCell ref="B254:S254"/>
    <mergeCell ref="E241:E242"/>
    <mergeCell ref="F241:F242"/>
    <mergeCell ref="G241:G242"/>
    <mergeCell ref="H241:H242"/>
    <mergeCell ref="I241:I242"/>
    <mergeCell ref="J241:J242"/>
    <mergeCell ref="B255:S255"/>
    <mergeCell ref="B256:S256"/>
    <mergeCell ref="E258:G258"/>
    <mergeCell ref="H258:J258"/>
    <mergeCell ref="K258:S258"/>
    <mergeCell ref="E259:E260"/>
    <mergeCell ref="F259:F260"/>
    <mergeCell ref="G259:G260"/>
    <mergeCell ref="H259:H260"/>
    <mergeCell ref="I259:I260"/>
    <mergeCell ref="A270:E270"/>
    <mergeCell ref="B272:S272"/>
    <mergeCell ref="B273:S273"/>
    <mergeCell ref="B274:S274"/>
    <mergeCell ref="E276:G276"/>
    <mergeCell ref="H276:J276"/>
    <mergeCell ref="K276:S276"/>
    <mergeCell ref="J259:J260"/>
    <mergeCell ref="K259:L259"/>
    <mergeCell ref="M259:N259"/>
    <mergeCell ref="O259:P259"/>
    <mergeCell ref="Q259:S259"/>
    <mergeCell ref="A269:E269"/>
    <mergeCell ref="C290:T290"/>
    <mergeCell ref="C291:T291"/>
    <mergeCell ref="C292:T292"/>
    <mergeCell ref="E294:G294"/>
    <mergeCell ref="H294:J294"/>
    <mergeCell ref="K294:S294"/>
    <mergeCell ref="K277:L277"/>
    <mergeCell ref="M277:N277"/>
    <mergeCell ref="O277:P277"/>
    <mergeCell ref="Q277:S277"/>
    <mergeCell ref="B287:F287"/>
    <mergeCell ref="B288:F288"/>
    <mergeCell ref="E277:E278"/>
    <mergeCell ref="F277:F278"/>
    <mergeCell ref="G277:G278"/>
    <mergeCell ref="H277:H278"/>
    <mergeCell ref="I277:I278"/>
    <mergeCell ref="J277:J278"/>
    <mergeCell ref="K295:L295"/>
    <mergeCell ref="M295:N295"/>
    <mergeCell ref="O295:P295"/>
    <mergeCell ref="Q295:S295"/>
    <mergeCell ref="E295:E296"/>
    <mergeCell ref="F295:F296"/>
    <mergeCell ref="G295:G296"/>
    <mergeCell ref="H295:H296"/>
    <mergeCell ref="I295:I296"/>
    <mergeCell ref="J295:J29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12"/>
  <sheetViews>
    <sheetView rightToLeft="1" topLeftCell="A19" zoomScale="85" zoomScaleNormal="85" workbookViewId="0">
      <selection activeCell="J20" sqref="J20"/>
    </sheetView>
  </sheetViews>
  <sheetFormatPr defaultColWidth="9" defaultRowHeight="22.8"/>
  <cols>
    <col min="1" max="1" width="15.21875" style="37" customWidth="1"/>
    <col min="2" max="22" width="9" style="37"/>
    <col min="23" max="23" width="11.6640625" style="37" customWidth="1"/>
    <col min="24" max="16384" width="9" style="37"/>
  </cols>
  <sheetData>
    <row r="1" spans="1:23">
      <c r="A1" s="29" t="s">
        <v>62</v>
      </c>
      <c r="B1" s="29"/>
      <c r="C1" s="29"/>
      <c r="D1" s="29"/>
      <c r="E1" s="29"/>
      <c r="F1" s="28"/>
      <c r="G1" s="28"/>
      <c r="H1" s="28"/>
      <c r="I1" s="28"/>
      <c r="J1" s="28"/>
      <c r="K1" s="28"/>
      <c r="L1" s="29" t="s">
        <v>63</v>
      </c>
      <c r="M1" s="29"/>
      <c r="N1" s="29"/>
      <c r="O1" s="28"/>
      <c r="P1" s="28"/>
      <c r="Q1" s="28"/>
      <c r="R1" s="28"/>
      <c r="S1" s="28"/>
      <c r="T1" s="28"/>
      <c r="U1" s="28"/>
      <c r="V1" s="28"/>
      <c r="W1" s="28"/>
    </row>
    <row r="2" spans="1:23">
      <c r="A2" s="231" t="s">
        <v>64</v>
      </c>
      <c r="B2" s="231"/>
      <c r="C2" s="231"/>
      <c r="D2" s="231"/>
      <c r="E2" s="231"/>
      <c r="F2" s="28"/>
      <c r="G2" s="28"/>
      <c r="H2" s="28"/>
      <c r="I2" s="28"/>
      <c r="J2" s="28"/>
      <c r="K2" s="28"/>
      <c r="L2" s="231" t="s">
        <v>65</v>
      </c>
      <c r="M2" s="231"/>
      <c r="N2" s="231"/>
      <c r="O2" s="28"/>
      <c r="P2" s="28"/>
      <c r="Q2" s="28"/>
      <c r="R2" s="28"/>
      <c r="S2" s="28"/>
      <c r="T2" s="28"/>
      <c r="U2" s="28"/>
      <c r="V2" s="28"/>
      <c r="W2" s="28"/>
    </row>
    <row r="3" spans="1:23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</row>
    <row r="4" spans="1:23">
      <c r="A4" s="231" t="s">
        <v>261</v>
      </c>
      <c r="B4" s="231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9"/>
      <c r="P4" s="29"/>
      <c r="Q4" s="29"/>
      <c r="R4" s="29"/>
      <c r="S4" s="29"/>
      <c r="T4" s="29"/>
      <c r="U4" s="29"/>
      <c r="V4" s="28"/>
      <c r="W4" s="28"/>
    </row>
    <row r="5" spans="1:23">
      <c r="A5" s="231" t="s">
        <v>208</v>
      </c>
      <c r="B5" s="231"/>
      <c r="C5" s="231"/>
      <c r="D5" s="231"/>
      <c r="E5" s="231"/>
      <c r="F5" s="231"/>
      <c r="G5" s="231"/>
      <c r="H5" s="231"/>
      <c r="I5" s="231"/>
      <c r="J5" s="231"/>
      <c r="K5" s="231"/>
      <c r="L5" s="231"/>
      <c r="M5" s="231"/>
      <c r="N5" s="231"/>
      <c r="O5" s="29"/>
      <c r="P5" s="29"/>
      <c r="Q5" s="29"/>
      <c r="R5" s="29"/>
      <c r="S5" s="29"/>
      <c r="T5" s="29"/>
      <c r="U5" s="29"/>
      <c r="V5" s="28"/>
      <c r="W5" s="28"/>
    </row>
    <row r="6" spans="1:23">
      <c r="A6" s="231" t="s">
        <v>262</v>
      </c>
      <c r="B6" s="231"/>
      <c r="C6" s="231"/>
      <c r="D6" s="231"/>
      <c r="E6" s="231"/>
      <c r="F6" s="231"/>
      <c r="G6" s="231"/>
      <c r="H6" s="231"/>
      <c r="I6" s="231"/>
      <c r="J6" s="231"/>
      <c r="K6" s="231"/>
      <c r="L6" s="231"/>
      <c r="M6" s="231"/>
      <c r="N6" s="231"/>
      <c r="O6" s="29"/>
      <c r="P6" s="29"/>
      <c r="Q6" s="29"/>
      <c r="R6" s="29"/>
      <c r="S6" s="29"/>
      <c r="T6" s="29"/>
      <c r="U6" s="29"/>
      <c r="V6" s="28"/>
      <c r="W6" s="28"/>
    </row>
    <row r="7" spans="1:23">
      <c r="A7" s="73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</row>
    <row r="8" spans="1:23" ht="23.4" thickBot="1">
      <c r="A8" s="73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</row>
    <row r="9" spans="1:23" ht="106.2" thickTop="1" thickBot="1">
      <c r="A9" s="74" t="s">
        <v>145</v>
      </c>
      <c r="B9" s="75" t="s">
        <v>263</v>
      </c>
      <c r="C9" s="75" t="s">
        <v>264</v>
      </c>
      <c r="D9" s="75" t="s">
        <v>265</v>
      </c>
      <c r="E9" s="75" t="s">
        <v>266</v>
      </c>
      <c r="F9" s="75" t="s">
        <v>267</v>
      </c>
      <c r="G9" s="75" t="s">
        <v>268</v>
      </c>
      <c r="H9" s="75" t="s">
        <v>269</v>
      </c>
      <c r="I9" s="75" t="s">
        <v>270</v>
      </c>
      <c r="J9" s="75" t="s">
        <v>271</v>
      </c>
      <c r="K9" s="75" t="s">
        <v>272</v>
      </c>
      <c r="L9" s="75" t="s">
        <v>273</v>
      </c>
      <c r="M9" s="75" t="s">
        <v>274</v>
      </c>
      <c r="N9" s="75" t="s">
        <v>275</v>
      </c>
      <c r="O9" s="75" t="s">
        <v>276</v>
      </c>
      <c r="P9" s="75" t="s">
        <v>277</v>
      </c>
      <c r="Q9" s="75" t="s">
        <v>278</v>
      </c>
      <c r="R9" s="75" t="s">
        <v>279</v>
      </c>
      <c r="S9" s="75" t="s">
        <v>280</v>
      </c>
      <c r="T9" s="75" t="s">
        <v>281</v>
      </c>
      <c r="U9" s="75" t="s">
        <v>282</v>
      </c>
      <c r="V9" s="75" t="s">
        <v>190</v>
      </c>
      <c r="W9" s="76" t="s">
        <v>58</v>
      </c>
    </row>
    <row r="10" spans="1:23" ht="24" thickTop="1" thickBot="1">
      <c r="A10" s="77" t="s">
        <v>78</v>
      </c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8"/>
    </row>
    <row r="11" spans="1:23" ht="24" thickTop="1" thickBot="1">
      <c r="A11" s="77" t="s">
        <v>79</v>
      </c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8"/>
    </row>
    <row r="12" spans="1:23" ht="24" thickTop="1" thickBot="1">
      <c r="A12" s="79" t="s">
        <v>58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</row>
    <row r="13" spans="1:23" ht="23.4" thickTop="1"/>
    <row r="14" spans="1:23">
      <c r="A14" s="29" t="s">
        <v>62</v>
      </c>
      <c r="B14" s="29"/>
      <c r="C14" s="29"/>
      <c r="D14" s="29"/>
      <c r="E14" s="29"/>
      <c r="F14" s="28"/>
      <c r="G14" s="28"/>
      <c r="H14" s="28"/>
      <c r="I14" s="28"/>
      <c r="J14" s="28"/>
      <c r="N14" s="29" t="s">
        <v>283</v>
      </c>
      <c r="O14" s="29"/>
      <c r="P14" s="29"/>
      <c r="Q14" s="28"/>
      <c r="R14" s="28"/>
      <c r="S14" s="28"/>
      <c r="T14" s="28"/>
      <c r="U14" s="28"/>
      <c r="V14" s="28"/>
      <c r="W14" s="28"/>
    </row>
    <row r="15" spans="1:23">
      <c r="A15" s="231" t="s">
        <v>64</v>
      </c>
      <c r="B15" s="231"/>
      <c r="C15" s="231"/>
      <c r="D15" s="231"/>
      <c r="E15" s="231"/>
      <c r="F15" s="28"/>
      <c r="G15" s="28"/>
      <c r="H15" s="28"/>
      <c r="I15" s="28"/>
      <c r="J15" s="28"/>
      <c r="N15" s="29" t="s">
        <v>65</v>
      </c>
      <c r="O15" s="29"/>
      <c r="P15" s="29"/>
      <c r="Q15" s="28"/>
      <c r="R15" s="28"/>
      <c r="S15" s="28"/>
      <c r="T15" s="28"/>
      <c r="U15" s="28"/>
      <c r="V15" s="28"/>
      <c r="W15" s="28"/>
    </row>
    <row r="16" spans="1:23">
      <c r="A16" s="231" t="s">
        <v>261</v>
      </c>
      <c r="B16" s="231"/>
      <c r="C16" s="231"/>
      <c r="D16" s="231"/>
      <c r="E16" s="231"/>
      <c r="F16" s="231"/>
      <c r="G16" s="231"/>
      <c r="H16" s="231"/>
      <c r="I16" s="231"/>
      <c r="J16" s="231"/>
      <c r="K16" s="231"/>
      <c r="L16" s="231"/>
      <c r="M16" s="231"/>
      <c r="N16" s="231"/>
      <c r="O16" s="29"/>
      <c r="P16" s="29"/>
      <c r="Q16" s="29"/>
      <c r="R16" s="29"/>
      <c r="S16" s="29"/>
      <c r="T16" s="43"/>
      <c r="U16" s="43"/>
      <c r="V16" s="43"/>
      <c r="W16" s="43"/>
    </row>
    <row r="17" spans="1:23">
      <c r="A17" s="231" t="s">
        <v>208</v>
      </c>
      <c r="B17" s="231"/>
      <c r="C17" s="231"/>
      <c r="D17" s="231"/>
      <c r="E17" s="231"/>
      <c r="F17" s="231"/>
      <c r="G17" s="231"/>
      <c r="H17" s="231"/>
      <c r="I17" s="231"/>
      <c r="J17" s="231"/>
      <c r="K17" s="231"/>
      <c r="L17" s="231"/>
      <c r="M17" s="231"/>
      <c r="N17" s="231"/>
      <c r="O17" s="29"/>
      <c r="P17" s="29"/>
      <c r="Q17" s="29"/>
      <c r="R17" s="29"/>
      <c r="S17" s="29"/>
      <c r="T17" s="28"/>
      <c r="U17" s="28"/>
      <c r="V17" s="28"/>
      <c r="W17" s="28"/>
    </row>
    <row r="18" spans="1:23">
      <c r="A18" s="231" t="s">
        <v>262</v>
      </c>
      <c r="B18" s="231"/>
      <c r="C18" s="231"/>
      <c r="D18" s="231"/>
      <c r="E18" s="231"/>
      <c r="F18" s="231"/>
      <c r="G18" s="231"/>
      <c r="H18" s="231"/>
      <c r="I18" s="231"/>
      <c r="J18" s="231"/>
      <c r="K18" s="231"/>
      <c r="L18" s="231"/>
      <c r="M18" s="231"/>
      <c r="N18" s="231"/>
      <c r="O18" s="29"/>
      <c r="P18" s="29"/>
      <c r="Q18" s="29"/>
      <c r="R18" s="29"/>
      <c r="S18" s="29"/>
      <c r="T18" s="43"/>
      <c r="U18" s="43"/>
      <c r="V18" s="43"/>
      <c r="W18" s="43"/>
    </row>
    <row r="19" spans="1:23">
      <c r="A19" s="73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</row>
    <row r="20" spans="1:23" ht="23.4" thickBot="1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</row>
    <row r="21" spans="1:23" ht="106.2" thickTop="1" thickBot="1">
      <c r="A21" s="74" t="s">
        <v>145</v>
      </c>
      <c r="B21" s="75" t="s">
        <v>263</v>
      </c>
      <c r="C21" s="75" t="s">
        <v>264</v>
      </c>
      <c r="D21" s="75" t="s">
        <v>265</v>
      </c>
      <c r="E21" s="75" t="s">
        <v>266</v>
      </c>
      <c r="F21" s="75" t="s">
        <v>267</v>
      </c>
      <c r="G21" s="75" t="s">
        <v>268</v>
      </c>
      <c r="H21" s="75" t="s">
        <v>269</v>
      </c>
      <c r="I21" s="75" t="s">
        <v>270</v>
      </c>
      <c r="J21" s="75" t="s">
        <v>271</v>
      </c>
      <c r="K21" s="75" t="s">
        <v>272</v>
      </c>
      <c r="L21" s="75" t="s">
        <v>273</v>
      </c>
      <c r="M21" s="75" t="s">
        <v>274</v>
      </c>
      <c r="N21" s="75" t="s">
        <v>275</v>
      </c>
      <c r="O21" s="75" t="s">
        <v>276</v>
      </c>
      <c r="P21" s="75" t="s">
        <v>277</v>
      </c>
      <c r="Q21" s="75" t="s">
        <v>278</v>
      </c>
      <c r="R21" s="75" t="s">
        <v>279</v>
      </c>
      <c r="S21" s="75" t="s">
        <v>280</v>
      </c>
      <c r="T21" s="75" t="s">
        <v>281</v>
      </c>
      <c r="U21" s="75" t="s">
        <v>282</v>
      </c>
      <c r="V21" s="75" t="s">
        <v>190</v>
      </c>
      <c r="W21" s="76" t="s">
        <v>58</v>
      </c>
    </row>
    <row r="22" spans="1:23" ht="24" thickTop="1" thickBot="1">
      <c r="A22" s="77" t="s">
        <v>78</v>
      </c>
      <c r="B22" s="72">
        <f>'[1]التعليم الابتدائي'!LW377</f>
        <v>0</v>
      </c>
      <c r="C22" s="72">
        <f>'[1]التعليم الابتدائي'!MT377</f>
        <v>0</v>
      </c>
      <c r="D22" s="72">
        <f>'[1]التعليم الابتدائي'!NQ377</f>
        <v>0</v>
      </c>
      <c r="E22" s="72">
        <f>'[1]التعليم الابتدائي'!ON377</f>
        <v>0</v>
      </c>
      <c r="F22" s="72">
        <f>'[1]التعليم الابتدائي'!PK377</f>
        <v>0</v>
      </c>
      <c r="G22" s="72">
        <f>'[1]التعليم الابتدائي'!QH377</f>
        <v>0</v>
      </c>
      <c r="H22" s="72">
        <f>'[1]التعليم الابتدائي'!RE377</f>
        <v>0</v>
      </c>
      <c r="I22" s="72">
        <f>'[1]التعليم الابتدائي'!SB377</f>
        <v>0</v>
      </c>
      <c r="J22" s="72">
        <f>'[1]التعليم الابتدائي'!SY377</f>
        <v>0</v>
      </c>
      <c r="K22" s="72">
        <f>'[1]التعليم الابتدائي'!TV377</f>
        <v>0</v>
      </c>
      <c r="L22" s="72">
        <f>'[1]التعليم الابتدائي'!US377</f>
        <v>0</v>
      </c>
      <c r="M22" s="72">
        <f>'[1]التعليم الابتدائي'!VP377</f>
        <v>0</v>
      </c>
      <c r="N22" s="72">
        <f>'[1]التعليم الابتدائي'!WM377</f>
        <v>0</v>
      </c>
      <c r="O22" s="72">
        <f>'[1]التعليم الابتدائي'!XJ377</f>
        <v>0</v>
      </c>
      <c r="P22" s="72">
        <f>'[1]التعليم الابتدائي'!ZD377</f>
        <v>0</v>
      </c>
      <c r="Q22" s="72">
        <f>'[1]التعليم الابتدائي'!YG377</f>
        <v>0</v>
      </c>
      <c r="R22" s="72">
        <f>'[1]التعليم الابتدائي'!AAA377</f>
        <v>0</v>
      </c>
      <c r="S22" s="72">
        <f>'[1]التعليم الابتدائي'!AAX377</f>
        <v>0</v>
      </c>
      <c r="T22" s="72">
        <v>0</v>
      </c>
      <c r="U22" s="72">
        <f>'[1]التعليم الابتدائي'!ACR377</f>
        <v>0</v>
      </c>
      <c r="V22" s="72">
        <f>'[1]التعليم الابتدائي'!ADO377</f>
        <v>0</v>
      </c>
      <c r="W22" s="78">
        <f>SUM(B22:V22)</f>
        <v>0</v>
      </c>
    </row>
    <row r="23" spans="1:23" ht="24" thickTop="1" thickBot="1">
      <c r="A23" s="77" t="s">
        <v>79</v>
      </c>
      <c r="B23" s="72">
        <f>'[1]التعليم الابتدائي'!LX377</f>
        <v>0</v>
      </c>
      <c r="C23" s="72">
        <f>'[1]التعليم الابتدائي'!MU377</f>
        <v>0</v>
      </c>
      <c r="D23" s="72">
        <f>'[1]التعليم الابتدائي'!NR377</f>
        <v>0</v>
      </c>
      <c r="E23" s="72">
        <f>'[1]التعليم الابتدائي'!OO377</f>
        <v>0</v>
      </c>
      <c r="F23" s="72">
        <f>'[1]التعليم الابتدائي'!PL377</f>
        <v>0</v>
      </c>
      <c r="G23" s="72">
        <f>'[1]التعليم الابتدائي'!QI377</f>
        <v>0</v>
      </c>
      <c r="H23" s="72">
        <f>'[1]التعليم الابتدائي'!RF377</f>
        <v>0</v>
      </c>
      <c r="I23" s="72">
        <f>'[1]التعليم الابتدائي'!SC377</f>
        <v>0</v>
      </c>
      <c r="J23" s="72">
        <f>'[1]التعليم الابتدائي'!SZ377</f>
        <v>0</v>
      </c>
      <c r="K23" s="72">
        <f>'[1]التعليم الابتدائي'!TW377</f>
        <v>0</v>
      </c>
      <c r="L23" s="72">
        <f>'[1]التعليم الابتدائي'!UT377</f>
        <v>0</v>
      </c>
      <c r="M23" s="72">
        <f>'[1]التعليم الابتدائي'!VQ377</f>
        <v>0</v>
      </c>
      <c r="N23" s="72">
        <f>'[1]التعليم الابتدائي'!WN377</f>
        <v>0</v>
      </c>
      <c r="O23" s="72">
        <f>'[1]التعليم الابتدائي'!XK377</f>
        <v>0</v>
      </c>
      <c r="P23" s="72">
        <f>'[1]التعليم الابتدائي'!ZE377</f>
        <v>0</v>
      </c>
      <c r="Q23" s="72">
        <f>'[1]التعليم الابتدائي'!YH377</f>
        <v>0</v>
      </c>
      <c r="R23" s="72">
        <f>'[1]التعليم الابتدائي'!AAB377</f>
        <v>0</v>
      </c>
      <c r="S23" s="72">
        <f>'[1]التعليم الابتدائي'!AAY377</f>
        <v>0</v>
      </c>
      <c r="T23" s="72">
        <v>0</v>
      </c>
      <c r="U23" s="72">
        <f>'[1]التعليم الابتدائي'!ACS377</f>
        <v>0</v>
      </c>
      <c r="V23" s="72">
        <f>'[1]التعليم الابتدائي'!ADP377</f>
        <v>0</v>
      </c>
      <c r="W23" s="78">
        <f>SUM(B23:V23)</f>
        <v>0</v>
      </c>
    </row>
    <row r="24" spans="1:23" ht="24" thickTop="1" thickBot="1">
      <c r="A24" s="79" t="s">
        <v>58</v>
      </c>
      <c r="B24" s="80">
        <f t="shared" ref="B24:W24" si="0">B23+B22</f>
        <v>0</v>
      </c>
      <c r="C24" s="80">
        <f t="shared" si="0"/>
        <v>0</v>
      </c>
      <c r="D24" s="80">
        <f t="shared" si="0"/>
        <v>0</v>
      </c>
      <c r="E24" s="80">
        <f t="shared" si="0"/>
        <v>0</v>
      </c>
      <c r="F24" s="80">
        <f t="shared" si="0"/>
        <v>0</v>
      </c>
      <c r="G24" s="80">
        <f t="shared" si="0"/>
        <v>0</v>
      </c>
      <c r="H24" s="80">
        <f t="shared" si="0"/>
        <v>0</v>
      </c>
      <c r="I24" s="80">
        <f t="shared" si="0"/>
        <v>0</v>
      </c>
      <c r="J24" s="80">
        <f t="shared" si="0"/>
        <v>0</v>
      </c>
      <c r="K24" s="80">
        <f t="shared" si="0"/>
        <v>0</v>
      </c>
      <c r="L24" s="80">
        <f t="shared" si="0"/>
        <v>0</v>
      </c>
      <c r="M24" s="80">
        <f t="shared" si="0"/>
        <v>0</v>
      </c>
      <c r="N24" s="80">
        <f t="shared" si="0"/>
        <v>0</v>
      </c>
      <c r="O24" s="80">
        <f t="shared" si="0"/>
        <v>0</v>
      </c>
      <c r="P24" s="80">
        <f t="shared" si="0"/>
        <v>0</v>
      </c>
      <c r="Q24" s="80">
        <f t="shared" si="0"/>
        <v>0</v>
      </c>
      <c r="R24" s="80">
        <f t="shared" si="0"/>
        <v>0</v>
      </c>
      <c r="S24" s="80">
        <f t="shared" si="0"/>
        <v>0</v>
      </c>
      <c r="T24" s="80">
        <f t="shared" si="0"/>
        <v>0</v>
      </c>
      <c r="U24" s="80">
        <f t="shared" si="0"/>
        <v>0</v>
      </c>
      <c r="V24" s="80">
        <f t="shared" si="0"/>
        <v>0</v>
      </c>
      <c r="W24" s="80">
        <f t="shared" si="0"/>
        <v>0</v>
      </c>
    </row>
    <row r="25" spans="1:23" ht="23.4" thickTop="1"/>
    <row r="26" spans="1:23">
      <c r="A26" s="29" t="s">
        <v>62</v>
      </c>
      <c r="B26" s="29"/>
      <c r="C26" s="29"/>
      <c r="D26" s="29"/>
      <c r="E26" s="29"/>
      <c r="F26" s="28"/>
      <c r="G26" s="28"/>
      <c r="H26" s="28"/>
      <c r="I26" s="28"/>
      <c r="J26" s="28"/>
      <c r="K26" s="28"/>
      <c r="L26" s="29" t="s">
        <v>284</v>
      </c>
      <c r="M26" s="29"/>
      <c r="N26" s="29"/>
      <c r="O26" s="28"/>
      <c r="P26" s="28"/>
      <c r="Q26" s="28"/>
      <c r="R26" s="28"/>
      <c r="S26" s="28"/>
      <c r="T26" s="28"/>
      <c r="U26" s="28"/>
      <c r="V26" s="28"/>
      <c r="W26" s="28"/>
    </row>
    <row r="27" spans="1:23">
      <c r="A27" s="231" t="s">
        <v>64</v>
      </c>
      <c r="B27" s="231"/>
      <c r="C27" s="231"/>
      <c r="D27" s="231"/>
      <c r="E27" s="231"/>
      <c r="F27" s="28"/>
      <c r="G27" s="28"/>
      <c r="H27" s="28"/>
      <c r="I27" s="28"/>
      <c r="J27" s="28"/>
      <c r="K27" s="28"/>
      <c r="L27" s="29" t="s">
        <v>65</v>
      </c>
      <c r="M27" s="29"/>
      <c r="N27" s="29"/>
      <c r="O27" s="28"/>
      <c r="P27" s="28"/>
      <c r="Q27" s="28"/>
      <c r="R27" s="28"/>
      <c r="S27" s="28"/>
      <c r="T27" s="28"/>
      <c r="U27" s="28"/>
      <c r="V27" s="28"/>
      <c r="W27" s="28"/>
    </row>
    <row r="28" spans="1:23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</row>
    <row r="29" spans="1:23">
      <c r="A29" s="231" t="s">
        <v>261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9"/>
      <c r="P29" s="29"/>
      <c r="Q29" s="29"/>
      <c r="R29" s="29"/>
      <c r="S29" s="29"/>
      <c r="T29" s="28"/>
      <c r="U29" s="28"/>
      <c r="V29" s="28"/>
      <c r="W29" s="28"/>
    </row>
    <row r="30" spans="1:23">
      <c r="A30" s="231" t="s">
        <v>208</v>
      </c>
      <c r="B30" s="231"/>
      <c r="C30" s="231"/>
      <c r="D30" s="231"/>
      <c r="E30" s="231"/>
      <c r="F30" s="231"/>
      <c r="G30" s="231"/>
      <c r="H30" s="231"/>
      <c r="I30" s="231"/>
      <c r="J30" s="231"/>
      <c r="K30" s="231"/>
      <c r="L30" s="231"/>
      <c r="M30" s="231"/>
      <c r="N30" s="231"/>
      <c r="O30" s="29"/>
      <c r="P30" s="29"/>
      <c r="Q30" s="29"/>
      <c r="R30" s="29"/>
      <c r="S30" s="29"/>
      <c r="T30" s="28"/>
      <c r="U30" s="28"/>
      <c r="V30" s="28"/>
      <c r="W30" s="28"/>
    </row>
    <row r="31" spans="1:23">
      <c r="A31" s="231" t="s">
        <v>262</v>
      </c>
      <c r="B31" s="231"/>
      <c r="C31" s="231"/>
      <c r="D31" s="231"/>
      <c r="E31" s="231"/>
      <c r="F31" s="231"/>
      <c r="G31" s="231"/>
      <c r="H31" s="231"/>
      <c r="I31" s="231"/>
      <c r="J31" s="231"/>
      <c r="K31" s="231"/>
      <c r="L31" s="231"/>
      <c r="M31" s="231"/>
      <c r="N31" s="231"/>
      <c r="O31" s="29"/>
      <c r="P31" s="29"/>
      <c r="Q31" s="29"/>
      <c r="R31" s="29"/>
      <c r="S31" s="29"/>
      <c r="T31" s="28"/>
      <c r="U31" s="28"/>
      <c r="V31" s="28"/>
      <c r="W31" s="28"/>
    </row>
    <row r="32" spans="1:23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</row>
    <row r="33" spans="1:23" ht="23.4" thickBot="1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</row>
    <row r="34" spans="1:23" ht="106.2" thickTop="1" thickBot="1">
      <c r="A34" s="74" t="s">
        <v>145</v>
      </c>
      <c r="B34" s="75" t="s">
        <v>263</v>
      </c>
      <c r="C34" s="75" t="s">
        <v>264</v>
      </c>
      <c r="D34" s="75" t="s">
        <v>265</v>
      </c>
      <c r="E34" s="75" t="s">
        <v>266</v>
      </c>
      <c r="F34" s="75" t="s">
        <v>267</v>
      </c>
      <c r="G34" s="75" t="s">
        <v>268</v>
      </c>
      <c r="H34" s="75" t="s">
        <v>269</v>
      </c>
      <c r="I34" s="75" t="s">
        <v>270</v>
      </c>
      <c r="J34" s="75" t="s">
        <v>271</v>
      </c>
      <c r="K34" s="75" t="s">
        <v>272</v>
      </c>
      <c r="L34" s="75" t="s">
        <v>273</v>
      </c>
      <c r="M34" s="75" t="s">
        <v>274</v>
      </c>
      <c r="N34" s="75" t="s">
        <v>275</v>
      </c>
      <c r="O34" s="75" t="s">
        <v>276</v>
      </c>
      <c r="P34" s="75" t="s">
        <v>277</v>
      </c>
      <c r="Q34" s="75" t="s">
        <v>278</v>
      </c>
      <c r="R34" s="75" t="s">
        <v>279</v>
      </c>
      <c r="S34" s="75" t="s">
        <v>280</v>
      </c>
      <c r="T34" s="75" t="s">
        <v>281</v>
      </c>
      <c r="U34" s="75" t="s">
        <v>285</v>
      </c>
      <c r="V34" s="75" t="s">
        <v>190</v>
      </c>
      <c r="W34" s="76" t="s">
        <v>58</v>
      </c>
    </row>
    <row r="35" spans="1:23" ht="24" thickTop="1" thickBot="1">
      <c r="A35" s="77" t="s">
        <v>78</v>
      </c>
      <c r="B35" s="72">
        <f>'[1]التعليم الابتدائي'!LW295</f>
        <v>0</v>
      </c>
      <c r="C35" s="72">
        <f>'[1]التعليم الابتدائي'!MT295</f>
        <v>0</v>
      </c>
      <c r="D35" s="72">
        <f>'[1]التعليم الابتدائي'!NQ295</f>
        <v>0</v>
      </c>
      <c r="E35" s="72">
        <f>'[1]التعليم الابتدائي'!ON295</f>
        <v>0</v>
      </c>
      <c r="F35" s="72">
        <f>'[1]التعليم الابتدائي'!PK295</f>
        <v>0</v>
      </c>
      <c r="G35" s="72">
        <f>'[1]التعليم الابتدائي'!QH295</f>
        <v>0</v>
      </c>
      <c r="H35" s="72">
        <f>'[1]التعليم الابتدائي'!RE295</f>
        <v>0</v>
      </c>
      <c r="I35" s="72">
        <f>'[1]التعليم الابتدائي'!SB295</f>
        <v>0</v>
      </c>
      <c r="J35" s="72">
        <f>'[1]التعليم الابتدائي'!SY295</f>
        <v>0</v>
      </c>
      <c r="K35" s="72">
        <f>'[1]التعليم الابتدائي'!TV295</f>
        <v>0</v>
      </c>
      <c r="L35" s="72">
        <f>'[1]التعليم الابتدائي'!US295</f>
        <v>0</v>
      </c>
      <c r="M35" s="72">
        <f>'[1]التعليم الابتدائي'!VP295</f>
        <v>0</v>
      </c>
      <c r="N35" s="72">
        <f>'[1]التعليم الابتدائي'!WM295</f>
        <v>0</v>
      </c>
      <c r="O35" s="72">
        <f>'[1]التعليم الابتدائي'!XJ295</f>
        <v>0</v>
      </c>
      <c r="P35" s="72">
        <f>'[1]التعليم الابتدائي'!ZD295</f>
        <v>0</v>
      </c>
      <c r="Q35" s="72">
        <f>'[1]التعليم الابتدائي'!YG295</f>
        <v>0</v>
      </c>
      <c r="R35" s="72">
        <f>'[1]التعليم الابتدائي'!AAA295</f>
        <v>0</v>
      </c>
      <c r="S35" s="72">
        <v>0</v>
      </c>
      <c r="T35" s="72">
        <v>0</v>
      </c>
      <c r="U35" s="72">
        <f>'[1]التعليم الابتدائي'!ACR295</f>
        <v>0</v>
      </c>
      <c r="V35" s="72">
        <f>'[1]التعليم الابتدائي'!ADO295</f>
        <v>0</v>
      </c>
      <c r="W35" s="78">
        <f>SUM(B35:V35)</f>
        <v>0</v>
      </c>
    </row>
    <row r="36" spans="1:23" ht="24" thickTop="1" thickBot="1">
      <c r="A36" s="77" t="s">
        <v>79</v>
      </c>
      <c r="B36" s="72">
        <f>'[1]التعليم الابتدائي'!LX295</f>
        <v>0</v>
      </c>
      <c r="C36" s="72">
        <f>'[1]التعليم الابتدائي'!MU295</f>
        <v>0</v>
      </c>
      <c r="D36" s="72">
        <f>'[1]التعليم الابتدائي'!NR295</f>
        <v>0</v>
      </c>
      <c r="E36" s="72">
        <f>'[1]التعليم الابتدائي'!OO295</f>
        <v>0</v>
      </c>
      <c r="F36" s="72">
        <f>'[1]التعليم الابتدائي'!PL295</f>
        <v>0</v>
      </c>
      <c r="G36" s="72">
        <f>'[1]التعليم الابتدائي'!QI295</f>
        <v>0</v>
      </c>
      <c r="H36" s="72">
        <f>'[1]التعليم الابتدائي'!RF295</f>
        <v>0</v>
      </c>
      <c r="I36" s="72">
        <f>'[1]التعليم الابتدائي'!SC295</f>
        <v>0</v>
      </c>
      <c r="J36" s="72">
        <f>'[1]التعليم الابتدائي'!SZ295</f>
        <v>0</v>
      </c>
      <c r="K36" s="72">
        <f>'[1]التعليم الابتدائي'!TW295</f>
        <v>0</v>
      </c>
      <c r="L36" s="72">
        <f>'[1]التعليم الابتدائي'!UT295</f>
        <v>0</v>
      </c>
      <c r="M36" s="72">
        <f>'[1]التعليم الابتدائي'!VQ295</f>
        <v>0</v>
      </c>
      <c r="N36" s="72">
        <f>'[1]التعليم الابتدائي'!WN295</f>
        <v>0</v>
      </c>
      <c r="O36" s="72">
        <f>'[1]التعليم الابتدائي'!XK295</f>
        <v>0</v>
      </c>
      <c r="P36" s="72">
        <f>'[1]التعليم الابتدائي'!ZE295</f>
        <v>0</v>
      </c>
      <c r="Q36" s="72">
        <f>'[1]التعليم الابتدائي'!YH295</f>
        <v>0</v>
      </c>
      <c r="R36" s="72">
        <f>'[1]التعليم الابتدائي'!AAB295</f>
        <v>0</v>
      </c>
      <c r="S36" s="72">
        <v>0</v>
      </c>
      <c r="T36" s="72">
        <v>0</v>
      </c>
      <c r="U36" s="72">
        <f>'[1]التعليم الابتدائي'!ACS295</f>
        <v>0</v>
      </c>
      <c r="V36" s="72">
        <f>'[1]التعليم الابتدائي'!ADP295</f>
        <v>0</v>
      </c>
      <c r="W36" s="78">
        <f>SUM(B36:V36)</f>
        <v>0</v>
      </c>
    </row>
    <row r="37" spans="1:23" ht="24" thickTop="1" thickBot="1">
      <c r="A37" s="79" t="s">
        <v>58</v>
      </c>
      <c r="B37" s="80">
        <f t="shared" ref="B37:W37" si="1">SUM(B35:B36)</f>
        <v>0</v>
      </c>
      <c r="C37" s="80">
        <f t="shared" si="1"/>
        <v>0</v>
      </c>
      <c r="D37" s="80">
        <f t="shared" si="1"/>
        <v>0</v>
      </c>
      <c r="E37" s="80">
        <f t="shared" si="1"/>
        <v>0</v>
      </c>
      <c r="F37" s="80">
        <f t="shared" si="1"/>
        <v>0</v>
      </c>
      <c r="G37" s="80">
        <f t="shared" si="1"/>
        <v>0</v>
      </c>
      <c r="H37" s="80">
        <f t="shared" si="1"/>
        <v>0</v>
      </c>
      <c r="I37" s="80">
        <f t="shared" si="1"/>
        <v>0</v>
      </c>
      <c r="J37" s="80">
        <f t="shared" si="1"/>
        <v>0</v>
      </c>
      <c r="K37" s="80">
        <f t="shared" si="1"/>
        <v>0</v>
      </c>
      <c r="L37" s="80">
        <f t="shared" si="1"/>
        <v>0</v>
      </c>
      <c r="M37" s="80">
        <f t="shared" si="1"/>
        <v>0</v>
      </c>
      <c r="N37" s="80">
        <f t="shared" si="1"/>
        <v>0</v>
      </c>
      <c r="O37" s="80">
        <f t="shared" si="1"/>
        <v>0</v>
      </c>
      <c r="P37" s="80">
        <f t="shared" si="1"/>
        <v>0</v>
      </c>
      <c r="Q37" s="80">
        <f t="shared" si="1"/>
        <v>0</v>
      </c>
      <c r="R37" s="80">
        <f t="shared" si="1"/>
        <v>0</v>
      </c>
      <c r="S37" s="80">
        <f t="shared" si="1"/>
        <v>0</v>
      </c>
      <c r="T37" s="80">
        <f t="shared" si="1"/>
        <v>0</v>
      </c>
      <c r="U37" s="80">
        <f t="shared" si="1"/>
        <v>0</v>
      </c>
      <c r="V37" s="80">
        <f t="shared" si="1"/>
        <v>0</v>
      </c>
      <c r="W37" s="80">
        <f t="shared" si="1"/>
        <v>0</v>
      </c>
    </row>
    <row r="38" spans="1:23" ht="23.4" thickTop="1"/>
    <row r="39" spans="1:23">
      <c r="A39" s="29" t="s">
        <v>62</v>
      </c>
      <c r="B39" s="29"/>
      <c r="C39" s="29"/>
      <c r="D39" s="29"/>
      <c r="E39" s="29"/>
      <c r="F39" s="28"/>
      <c r="G39" s="28"/>
      <c r="H39" s="28"/>
      <c r="I39" s="28"/>
      <c r="J39" s="28"/>
      <c r="K39" s="28"/>
      <c r="L39" s="28"/>
      <c r="M39" s="29" t="s">
        <v>286</v>
      </c>
      <c r="N39" s="29"/>
      <c r="O39" s="28"/>
      <c r="P39" s="28"/>
      <c r="Q39" s="28"/>
      <c r="R39" s="28"/>
      <c r="S39" s="28"/>
      <c r="T39" s="28"/>
      <c r="U39" s="28"/>
      <c r="V39" s="28"/>
      <c r="W39" s="28"/>
    </row>
    <row r="40" spans="1:23">
      <c r="A40" s="231" t="s">
        <v>64</v>
      </c>
      <c r="B40" s="231"/>
      <c r="C40" s="231"/>
      <c r="D40" s="231"/>
      <c r="E40" s="231"/>
      <c r="F40" s="28"/>
      <c r="G40" s="28"/>
      <c r="H40" s="28"/>
      <c r="I40" s="28"/>
      <c r="J40" s="28"/>
      <c r="K40" s="28"/>
      <c r="L40" s="28"/>
      <c r="M40" s="71" t="s">
        <v>65</v>
      </c>
      <c r="N40" s="71"/>
      <c r="O40" s="71"/>
      <c r="P40" s="28"/>
      <c r="Q40" s="28"/>
      <c r="R40" s="28"/>
      <c r="S40" s="28"/>
      <c r="T40" s="28"/>
      <c r="U40" s="28"/>
      <c r="V40" s="28"/>
      <c r="W40" s="28"/>
    </row>
    <row r="41" spans="1:23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</row>
    <row r="42" spans="1:23">
      <c r="A42" s="28"/>
      <c r="B42" s="29"/>
      <c r="C42" s="29"/>
      <c r="D42" s="29"/>
      <c r="E42" s="29"/>
      <c r="F42" s="29"/>
      <c r="G42" s="29"/>
      <c r="H42" s="29" t="s">
        <v>261</v>
      </c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8"/>
      <c r="U42" s="28"/>
      <c r="V42" s="28"/>
      <c r="W42" s="28"/>
    </row>
    <row r="43" spans="1:23">
      <c r="A43" s="231" t="s">
        <v>208</v>
      </c>
      <c r="B43" s="231"/>
      <c r="C43" s="231"/>
      <c r="D43" s="231"/>
      <c r="E43" s="231"/>
      <c r="F43" s="231"/>
      <c r="G43" s="231"/>
      <c r="H43" s="231"/>
      <c r="I43" s="231"/>
      <c r="J43" s="231"/>
      <c r="K43" s="231"/>
      <c r="L43" s="231"/>
      <c r="M43" s="231"/>
      <c r="N43" s="231"/>
      <c r="O43" s="231"/>
      <c r="P43" s="231"/>
      <c r="Q43" s="231"/>
      <c r="R43" s="231"/>
      <c r="S43" s="29"/>
      <c r="T43" s="28"/>
      <c r="U43" s="28"/>
      <c r="V43" s="28"/>
      <c r="W43" s="28"/>
    </row>
    <row r="44" spans="1:23">
      <c r="A44" s="231" t="s">
        <v>262</v>
      </c>
      <c r="B44" s="231"/>
      <c r="C44" s="231"/>
      <c r="D44" s="231"/>
      <c r="E44" s="231"/>
      <c r="F44" s="231"/>
      <c r="G44" s="231"/>
      <c r="H44" s="231"/>
      <c r="I44" s="231"/>
      <c r="J44" s="231"/>
      <c r="K44" s="231"/>
      <c r="L44" s="231"/>
      <c r="M44" s="231"/>
      <c r="N44" s="231"/>
      <c r="O44" s="29"/>
      <c r="P44" s="29"/>
      <c r="Q44" s="29"/>
      <c r="R44" s="29"/>
      <c r="S44" s="29"/>
      <c r="T44" s="28"/>
      <c r="U44" s="28"/>
      <c r="V44" s="28"/>
      <c r="W44" s="28"/>
    </row>
    <row r="45" spans="1:23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</row>
    <row r="46" spans="1:23" ht="23.4" thickBot="1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</row>
    <row r="47" spans="1:23" ht="106.2" thickTop="1" thickBot="1">
      <c r="A47" s="74" t="s">
        <v>145</v>
      </c>
      <c r="B47" s="75" t="s">
        <v>263</v>
      </c>
      <c r="C47" s="75" t="s">
        <v>264</v>
      </c>
      <c r="D47" s="75" t="s">
        <v>265</v>
      </c>
      <c r="E47" s="75" t="s">
        <v>266</v>
      </c>
      <c r="F47" s="75" t="s">
        <v>267</v>
      </c>
      <c r="G47" s="75" t="s">
        <v>268</v>
      </c>
      <c r="H47" s="75" t="s">
        <v>269</v>
      </c>
      <c r="I47" s="75" t="s">
        <v>270</v>
      </c>
      <c r="J47" s="75" t="s">
        <v>271</v>
      </c>
      <c r="K47" s="75" t="s">
        <v>272</v>
      </c>
      <c r="L47" s="75" t="s">
        <v>273</v>
      </c>
      <c r="M47" s="75" t="s">
        <v>274</v>
      </c>
      <c r="N47" s="75" t="s">
        <v>287</v>
      </c>
      <c r="O47" s="75" t="s">
        <v>276</v>
      </c>
      <c r="P47" s="75" t="s">
        <v>277</v>
      </c>
      <c r="Q47" s="75" t="s">
        <v>278</v>
      </c>
      <c r="R47" s="75" t="s">
        <v>279</v>
      </c>
      <c r="S47" s="75" t="s">
        <v>280</v>
      </c>
      <c r="T47" s="75" t="s">
        <v>281</v>
      </c>
      <c r="U47" s="75" t="s">
        <v>282</v>
      </c>
      <c r="V47" s="75" t="s">
        <v>190</v>
      </c>
      <c r="W47" s="76" t="s">
        <v>58</v>
      </c>
    </row>
    <row r="48" spans="1:23" ht="24" thickTop="1" thickBot="1">
      <c r="A48" s="77" t="s">
        <v>78</v>
      </c>
      <c r="B48" s="72">
        <f>'[1]التعليم الابتدائي'!LW344</f>
        <v>0</v>
      </c>
      <c r="C48" s="72">
        <f>'[1]التعليم الابتدائي'!MT344</f>
        <v>0</v>
      </c>
      <c r="D48" s="72">
        <f>'[1]التعليم الابتدائي'!NQ344</f>
        <v>0</v>
      </c>
      <c r="E48" s="72">
        <v>0</v>
      </c>
      <c r="F48" s="72">
        <f>'[1]التعليم الابتدائي'!PK344</f>
        <v>0</v>
      </c>
      <c r="G48" s="72">
        <f>'[1]التعليم الابتدائي'!QH344</f>
        <v>0</v>
      </c>
      <c r="H48" s="72">
        <f>'[1]التعليم الابتدائي'!RE344</f>
        <v>0</v>
      </c>
      <c r="I48" s="72">
        <f>'[1]التعليم الابتدائي'!SB344</f>
        <v>0</v>
      </c>
      <c r="J48" s="72">
        <f>'[1]التعليم الابتدائي'!SY344</f>
        <v>0</v>
      </c>
      <c r="K48" s="72">
        <f>'[1]التعليم الابتدائي'!TV344</f>
        <v>0</v>
      </c>
      <c r="L48" s="72">
        <f>'[1]التعليم الابتدائي'!US344</f>
        <v>0</v>
      </c>
      <c r="M48" s="72">
        <f>'[1]التعليم الابتدائي'!VP344</f>
        <v>0</v>
      </c>
      <c r="N48" s="72">
        <f>'[1]التعليم الابتدائي'!WM344</f>
        <v>0</v>
      </c>
      <c r="O48" s="72">
        <f>'[1]التعليم الابتدائي'!XJ344</f>
        <v>0</v>
      </c>
      <c r="P48" s="72">
        <f>'[1]التعليم الابتدائي'!ZD344</f>
        <v>0</v>
      </c>
      <c r="Q48" s="72">
        <f>'[1]التعليم الابتدائي'!YG344</f>
        <v>0</v>
      </c>
      <c r="R48" s="72">
        <f>'[1]التعليم الابتدائي'!AAA344</f>
        <v>0</v>
      </c>
      <c r="S48" s="72">
        <f>'[1]التعليم الابتدائي'!AAX344</f>
        <v>0</v>
      </c>
      <c r="T48" s="72">
        <v>0</v>
      </c>
      <c r="U48" s="72">
        <f>'[1]التعليم الابتدائي'!ACR344</f>
        <v>0</v>
      </c>
      <c r="V48" s="72">
        <f>'[1]التعليم الابتدائي'!ADO344</f>
        <v>0</v>
      </c>
      <c r="W48" s="78">
        <f>SUM(B48:V48)</f>
        <v>0</v>
      </c>
    </row>
    <row r="49" spans="1:23" ht="24" thickTop="1" thickBot="1">
      <c r="A49" s="77" t="s">
        <v>79</v>
      </c>
      <c r="B49" s="72">
        <f>'[1]التعليم الابتدائي'!LX344</f>
        <v>0</v>
      </c>
      <c r="C49" s="72">
        <f>'[1]التعليم الابتدائي'!MU344</f>
        <v>0</v>
      </c>
      <c r="D49" s="72">
        <f>'[1]التعليم الابتدائي'!NR344</f>
        <v>0</v>
      </c>
      <c r="E49" s="72">
        <v>0</v>
      </c>
      <c r="F49" s="72">
        <f>'[1]التعليم الابتدائي'!PL344</f>
        <v>0</v>
      </c>
      <c r="G49" s="72">
        <f>'[1]التعليم الابتدائي'!QI344</f>
        <v>0</v>
      </c>
      <c r="H49" s="72">
        <f>'[1]التعليم الابتدائي'!RF344</f>
        <v>0</v>
      </c>
      <c r="I49" s="72">
        <f>'[1]التعليم الابتدائي'!SC344</f>
        <v>0</v>
      </c>
      <c r="J49" s="72">
        <f>'[1]التعليم الابتدائي'!SZ344</f>
        <v>0</v>
      </c>
      <c r="K49" s="72">
        <f>'[1]التعليم الابتدائي'!TW344</f>
        <v>0</v>
      </c>
      <c r="L49" s="72">
        <f>'[1]التعليم الابتدائي'!UT344</f>
        <v>0</v>
      </c>
      <c r="M49" s="72">
        <f>'[1]التعليم الابتدائي'!VQ344</f>
        <v>0</v>
      </c>
      <c r="N49" s="72">
        <f>'[1]التعليم الابتدائي'!WN344</f>
        <v>0</v>
      </c>
      <c r="O49" s="72">
        <f>'[1]التعليم الابتدائي'!XK344</f>
        <v>0</v>
      </c>
      <c r="P49" s="72">
        <f>'[1]التعليم الابتدائي'!ZE344</f>
        <v>0</v>
      </c>
      <c r="Q49" s="72">
        <f>'[1]التعليم الابتدائي'!YH344</f>
        <v>0</v>
      </c>
      <c r="R49" s="72">
        <f>'[1]التعليم الابتدائي'!AAB344</f>
        <v>0</v>
      </c>
      <c r="S49" s="72">
        <f>'[1]التعليم الابتدائي'!AAY344</f>
        <v>0</v>
      </c>
      <c r="T49" s="72">
        <v>0</v>
      </c>
      <c r="U49" s="72">
        <f>'[1]التعليم الابتدائي'!ACS344</f>
        <v>0</v>
      </c>
      <c r="V49" s="72">
        <f>'[1]التعليم الابتدائي'!ADP344</f>
        <v>0</v>
      </c>
      <c r="W49" s="78">
        <f>SUM(B49:V49)</f>
        <v>0</v>
      </c>
    </row>
    <row r="50" spans="1:23" ht="24" thickTop="1" thickBot="1">
      <c r="A50" s="79" t="s">
        <v>58</v>
      </c>
      <c r="B50" s="80">
        <f t="shared" ref="B50:W50" si="2">B49+B48</f>
        <v>0</v>
      </c>
      <c r="C50" s="80">
        <f t="shared" si="2"/>
        <v>0</v>
      </c>
      <c r="D50" s="80">
        <f t="shared" si="2"/>
        <v>0</v>
      </c>
      <c r="E50" s="80">
        <f t="shared" si="2"/>
        <v>0</v>
      </c>
      <c r="F50" s="80">
        <f t="shared" si="2"/>
        <v>0</v>
      </c>
      <c r="G50" s="80">
        <f t="shared" si="2"/>
        <v>0</v>
      </c>
      <c r="H50" s="80">
        <f t="shared" si="2"/>
        <v>0</v>
      </c>
      <c r="I50" s="80">
        <f t="shared" si="2"/>
        <v>0</v>
      </c>
      <c r="J50" s="80">
        <f t="shared" si="2"/>
        <v>0</v>
      </c>
      <c r="K50" s="80">
        <f t="shared" si="2"/>
        <v>0</v>
      </c>
      <c r="L50" s="80">
        <f t="shared" si="2"/>
        <v>0</v>
      </c>
      <c r="M50" s="80">
        <f t="shared" si="2"/>
        <v>0</v>
      </c>
      <c r="N50" s="80">
        <f t="shared" si="2"/>
        <v>0</v>
      </c>
      <c r="O50" s="80">
        <f t="shared" si="2"/>
        <v>0</v>
      </c>
      <c r="P50" s="80">
        <f t="shared" si="2"/>
        <v>0</v>
      </c>
      <c r="Q50" s="80">
        <f t="shared" si="2"/>
        <v>0</v>
      </c>
      <c r="R50" s="80">
        <f t="shared" si="2"/>
        <v>0</v>
      </c>
      <c r="S50" s="80">
        <f t="shared" si="2"/>
        <v>0</v>
      </c>
      <c r="T50" s="80">
        <f t="shared" si="2"/>
        <v>0</v>
      </c>
      <c r="U50" s="80">
        <f t="shared" si="2"/>
        <v>0</v>
      </c>
      <c r="V50" s="80">
        <f t="shared" si="2"/>
        <v>0</v>
      </c>
      <c r="W50" s="80">
        <f t="shared" si="2"/>
        <v>0</v>
      </c>
    </row>
    <row r="51" spans="1:23" ht="23.4" thickTop="1"/>
    <row r="52" spans="1:23">
      <c r="A52" s="29" t="s">
        <v>62</v>
      </c>
      <c r="B52" s="29"/>
      <c r="C52" s="29"/>
      <c r="D52" s="29"/>
      <c r="E52" s="29"/>
      <c r="F52" s="28"/>
      <c r="G52" s="28"/>
      <c r="H52" s="28"/>
      <c r="I52" s="28"/>
      <c r="J52" s="28"/>
      <c r="K52" s="28"/>
      <c r="L52" s="231" t="s">
        <v>288</v>
      </c>
      <c r="M52" s="231"/>
      <c r="N52" s="231"/>
      <c r="O52" s="28"/>
      <c r="P52" s="28"/>
      <c r="Q52" s="28"/>
      <c r="R52" s="28"/>
      <c r="S52" s="28"/>
      <c r="T52" s="28"/>
      <c r="U52" s="28"/>
      <c r="V52" s="28"/>
      <c r="W52" s="28"/>
    </row>
    <row r="53" spans="1:23">
      <c r="A53" s="231" t="s">
        <v>64</v>
      </c>
      <c r="B53" s="231"/>
      <c r="C53" s="231"/>
      <c r="D53" s="231"/>
      <c r="E53" s="231"/>
      <c r="F53" s="28"/>
      <c r="G53" s="28"/>
      <c r="H53" s="28"/>
      <c r="I53" s="28"/>
      <c r="J53" s="28"/>
      <c r="K53" s="28"/>
      <c r="L53" s="231" t="s">
        <v>65</v>
      </c>
      <c r="M53" s="231"/>
      <c r="N53" s="231"/>
      <c r="O53" s="28"/>
      <c r="P53" s="28"/>
      <c r="Q53" s="28"/>
      <c r="R53" s="28"/>
      <c r="S53" s="28"/>
      <c r="T53" s="28"/>
      <c r="U53" s="28"/>
      <c r="V53" s="28"/>
      <c r="W53" s="28"/>
    </row>
    <row r="54" spans="1:23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</row>
    <row r="55" spans="1:23">
      <c r="A55" s="231" t="s">
        <v>261</v>
      </c>
      <c r="B55" s="231"/>
      <c r="C55" s="231"/>
      <c r="D55" s="231"/>
      <c r="E55" s="231"/>
      <c r="F55" s="231"/>
      <c r="G55" s="231"/>
      <c r="H55" s="231"/>
      <c r="I55" s="231"/>
      <c r="J55" s="231"/>
      <c r="K55" s="231"/>
      <c r="L55" s="231"/>
      <c r="M55" s="231"/>
      <c r="N55" s="231"/>
      <c r="O55" s="29"/>
      <c r="P55" s="29"/>
      <c r="Q55" s="29"/>
      <c r="R55" s="29"/>
      <c r="S55" s="29"/>
      <c r="T55" s="28"/>
      <c r="U55" s="28"/>
      <c r="V55" s="28"/>
      <c r="W55" s="28"/>
    </row>
    <row r="56" spans="1:23">
      <c r="A56" s="231" t="s">
        <v>208</v>
      </c>
      <c r="B56" s="231"/>
      <c r="C56" s="231"/>
      <c r="D56" s="231"/>
      <c r="E56" s="231"/>
      <c r="F56" s="231"/>
      <c r="G56" s="231"/>
      <c r="H56" s="231"/>
      <c r="I56" s="231"/>
      <c r="J56" s="231"/>
      <c r="K56" s="231"/>
      <c r="L56" s="231"/>
      <c r="M56" s="231"/>
      <c r="N56" s="231"/>
      <c r="O56" s="231"/>
      <c r="P56" s="231"/>
      <c r="Q56" s="231"/>
      <c r="R56" s="231"/>
      <c r="S56" s="29"/>
      <c r="T56" s="28"/>
      <c r="U56" s="28"/>
      <c r="V56" s="28"/>
      <c r="W56" s="28"/>
    </row>
    <row r="57" spans="1:23">
      <c r="A57" s="231" t="s">
        <v>262</v>
      </c>
      <c r="B57" s="231"/>
      <c r="C57" s="231"/>
      <c r="D57" s="231"/>
      <c r="E57" s="231"/>
      <c r="F57" s="231"/>
      <c r="G57" s="231"/>
      <c r="H57" s="231"/>
      <c r="I57" s="231"/>
      <c r="J57" s="231"/>
      <c r="K57" s="231"/>
      <c r="L57" s="231"/>
      <c r="M57" s="231"/>
      <c r="N57" s="231"/>
      <c r="O57" s="29"/>
      <c r="P57" s="29"/>
      <c r="Q57" s="29"/>
      <c r="R57" s="29"/>
      <c r="S57" s="29"/>
      <c r="T57" s="28"/>
      <c r="U57" s="28"/>
      <c r="V57" s="28"/>
      <c r="W57" s="28"/>
    </row>
    <row r="58" spans="1:23" ht="23.4" thickBot="1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</row>
    <row r="59" spans="1:23" ht="106.2" thickTop="1" thickBot="1">
      <c r="A59" s="74" t="s">
        <v>145</v>
      </c>
      <c r="B59" s="75" t="s">
        <v>263</v>
      </c>
      <c r="C59" s="75" t="s">
        <v>264</v>
      </c>
      <c r="D59" s="75" t="s">
        <v>265</v>
      </c>
      <c r="E59" s="75" t="s">
        <v>266</v>
      </c>
      <c r="F59" s="75" t="s">
        <v>267</v>
      </c>
      <c r="G59" s="75" t="s">
        <v>268</v>
      </c>
      <c r="H59" s="75" t="s">
        <v>269</v>
      </c>
      <c r="I59" s="75" t="s">
        <v>270</v>
      </c>
      <c r="J59" s="75" t="s">
        <v>271</v>
      </c>
      <c r="K59" s="75" t="s">
        <v>272</v>
      </c>
      <c r="L59" s="75" t="s">
        <v>273</v>
      </c>
      <c r="M59" s="75" t="s">
        <v>274</v>
      </c>
      <c r="N59" s="75" t="s">
        <v>287</v>
      </c>
      <c r="O59" s="75" t="s">
        <v>276</v>
      </c>
      <c r="P59" s="75" t="s">
        <v>277</v>
      </c>
      <c r="Q59" s="75" t="s">
        <v>278</v>
      </c>
      <c r="R59" s="75" t="s">
        <v>279</v>
      </c>
      <c r="S59" s="75" t="s">
        <v>280</v>
      </c>
      <c r="T59" s="75" t="s">
        <v>281</v>
      </c>
      <c r="U59" s="75" t="s">
        <v>282</v>
      </c>
      <c r="V59" s="75" t="s">
        <v>190</v>
      </c>
      <c r="W59" s="76" t="s">
        <v>58</v>
      </c>
    </row>
    <row r="60" spans="1:23" ht="24" thickTop="1" thickBot="1">
      <c r="A60" s="77" t="s">
        <v>78</v>
      </c>
      <c r="B60" s="72">
        <f>'[1]التعليم الابتدائي'!LW346</f>
        <v>0</v>
      </c>
      <c r="C60" s="72">
        <f>'[1]التعليم الابتدائي'!MT346</f>
        <v>0</v>
      </c>
      <c r="D60" s="72">
        <f>'[1]التعليم الابتدائي'!NQ346</f>
        <v>0</v>
      </c>
      <c r="E60" s="72">
        <v>0</v>
      </c>
      <c r="F60" s="72">
        <f>'[1]التعليم الابتدائي'!PK346</f>
        <v>0</v>
      </c>
      <c r="G60" s="72">
        <f>'[1]التعليم الابتدائي'!QH346+'[1]التعليم الابتدائي'!SB346</f>
        <v>0</v>
      </c>
      <c r="H60" s="72">
        <v>0</v>
      </c>
      <c r="I60" s="72">
        <v>0</v>
      </c>
      <c r="J60" s="72">
        <f>'[1]التعليم الابتدائي'!SY346</f>
        <v>0</v>
      </c>
      <c r="K60" s="72">
        <f>'[1]التعليم الابتدائي'!TV346</f>
        <v>0</v>
      </c>
      <c r="L60" s="72">
        <f>'[1]التعليم الابتدائي'!US346</f>
        <v>0</v>
      </c>
      <c r="M60" s="72">
        <v>0</v>
      </c>
      <c r="N60" s="72">
        <v>0</v>
      </c>
      <c r="O60" s="72">
        <v>0</v>
      </c>
      <c r="P60" s="72">
        <f>'[1]التعليم الابتدائي'!ZD346</f>
        <v>0</v>
      </c>
      <c r="Q60" s="72">
        <v>0</v>
      </c>
      <c r="R60" s="72">
        <v>0</v>
      </c>
      <c r="S60" s="72">
        <v>0</v>
      </c>
      <c r="T60" s="72">
        <v>0</v>
      </c>
      <c r="U60" s="72">
        <f>'[1]التعليم الابتدائي'!ACR346</f>
        <v>0</v>
      </c>
      <c r="V60" s="72">
        <f>'[1]التعليم الابتدائي'!ADO346</f>
        <v>0</v>
      </c>
      <c r="W60" s="78">
        <f>SUM(B60:V60)</f>
        <v>0</v>
      </c>
    </row>
    <row r="61" spans="1:23" ht="24" thickTop="1" thickBot="1">
      <c r="A61" s="77" t="s">
        <v>79</v>
      </c>
      <c r="B61" s="72">
        <f>'[1]التعليم الابتدائي'!LX346</f>
        <v>0</v>
      </c>
      <c r="C61" s="72">
        <f>'[1]التعليم الابتدائي'!MU346</f>
        <v>0</v>
      </c>
      <c r="D61" s="72">
        <f>'[1]التعليم الابتدائي'!NR346</f>
        <v>0</v>
      </c>
      <c r="E61" s="72">
        <v>0</v>
      </c>
      <c r="F61" s="72">
        <f>'[1]التعليم الابتدائي'!PL346</f>
        <v>0</v>
      </c>
      <c r="G61" s="72">
        <f>'[1]التعليم الابتدائي'!SC346+'[1]التعليم الابتدائي'!QI346</f>
        <v>0</v>
      </c>
      <c r="H61" s="72">
        <v>0</v>
      </c>
      <c r="I61" s="72">
        <v>0</v>
      </c>
      <c r="J61" s="72">
        <f>'[1]التعليم الابتدائي'!SZ346</f>
        <v>0</v>
      </c>
      <c r="K61" s="72">
        <f>'[1]التعليم الابتدائي'!TW346</f>
        <v>0</v>
      </c>
      <c r="L61" s="72">
        <f>'[1]التعليم الابتدائي'!UT346</f>
        <v>0</v>
      </c>
      <c r="M61" s="72">
        <v>0</v>
      </c>
      <c r="N61" s="72">
        <v>0</v>
      </c>
      <c r="O61" s="72">
        <v>0</v>
      </c>
      <c r="P61" s="72">
        <f>'[1]التعليم الابتدائي'!ZE346</f>
        <v>0</v>
      </c>
      <c r="Q61" s="72">
        <v>0</v>
      </c>
      <c r="R61" s="72">
        <v>0</v>
      </c>
      <c r="S61" s="72">
        <v>0</v>
      </c>
      <c r="T61" s="72">
        <v>0</v>
      </c>
      <c r="U61" s="72">
        <f>'[1]التعليم الابتدائي'!ACS346</f>
        <v>0</v>
      </c>
      <c r="V61" s="72">
        <f>'[1]التعليم الابتدائي'!ADP346</f>
        <v>0</v>
      </c>
      <c r="W61" s="78">
        <f>SUM(B61:V61)</f>
        <v>0</v>
      </c>
    </row>
    <row r="62" spans="1:23" ht="24" thickTop="1" thickBot="1">
      <c r="A62" s="79" t="s">
        <v>58</v>
      </c>
      <c r="B62" s="80">
        <f t="shared" ref="B62:W62" si="3">B61+B60</f>
        <v>0</v>
      </c>
      <c r="C62" s="80">
        <f t="shared" si="3"/>
        <v>0</v>
      </c>
      <c r="D62" s="80">
        <f t="shared" si="3"/>
        <v>0</v>
      </c>
      <c r="E62" s="80">
        <f t="shared" si="3"/>
        <v>0</v>
      </c>
      <c r="F62" s="80">
        <f t="shared" si="3"/>
        <v>0</v>
      </c>
      <c r="G62" s="80">
        <f t="shared" si="3"/>
        <v>0</v>
      </c>
      <c r="H62" s="80">
        <f t="shared" si="3"/>
        <v>0</v>
      </c>
      <c r="I62" s="80">
        <f t="shared" si="3"/>
        <v>0</v>
      </c>
      <c r="J62" s="80">
        <f t="shared" si="3"/>
        <v>0</v>
      </c>
      <c r="K62" s="80">
        <f t="shared" si="3"/>
        <v>0</v>
      </c>
      <c r="L62" s="80">
        <f t="shared" si="3"/>
        <v>0</v>
      </c>
      <c r="M62" s="80">
        <f t="shared" si="3"/>
        <v>0</v>
      </c>
      <c r="N62" s="80">
        <f t="shared" si="3"/>
        <v>0</v>
      </c>
      <c r="O62" s="80">
        <f t="shared" si="3"/>
        <v>0</v>
      </c>
      <c r="P62" s="80">
        <f t="shared" si="3"/>
        <v>0</v>
      </c>
      <c r="Q62" s="80">
        <f t="shared" si="3"/>
        <v>0</v>
      </c>
      <c r="R62" s="80">
        <f t="shared" si="3"/>
        <v>0</v>
      </c>
      <c r="S62" s="80">
        <f t="shared" si="3"/>
        <v>0</v>
      </c>
      <c r="T62" s="80">
        <f t="shared" si="3"/>
        <v>0</v>
      </c>
      <c r="U62" s="80">
        <f t="shared" si="3"/>
        <v>0</v>
      </c>
      <c r="V62" s="80">
        <f t="shared" si="3"/>
        <v>0</v>
      </c>
      <c r="W62" s="81">
        <f t="shared" si="3"/>
        <v>0</v>
      </c>
    </row>
    <row r="63" spans="1:23" ht="23.4" thickTop="1"/>
    <row r="64" spans="1:23">
      <c r="A64" s="29" t="s">
        <v>62</v>
      </c>
      <c r="B64" s="29"/>
      <c r="C64" s="29"/>
      <c r="D64" s="29"/>
      <c r="E64" s="29"/>
      <c r="F64" s="28"/>
      <c r="G64" s="28"/>
      <c r="H64" s="28"/>
      <c r="I64" s="28"/>
      <c r="J64" s="28"/>
      <c r="K64" s="28"/>
      <c r="L64" s="231" t="s">
        <v>289</v>
      </c>
      <c r="M64" s="231"/>
      <c r="N64" s="231"/>
      <c r="O64" s="28"/>
      <c r="P64" s="28"/>
      <c r="Q64" s="28"/>
      <c r="R64" s="28"/>
      <c r="S64" s="28"/>
      <c r="T64" s="28"/>
      <c r="U64" s="28"/>
      <c r="V64" s="28"/>
      <c r="W64" s="28"/>
    </row>
    <row r="65" spans="1:23">
      <c r="A65" s="231" t="s">
        <v>64</v>
      </c>
      <c r="B65" s="231"/>
      <c r="C65" s="231"/>
      <c r="D65" s="231"/>
      <c r="E65" s="231"/>
      <c r="F65" s="28"/>
      <c r="G65" s="28"/>
      <c r="H65" s="28"/>
      <c r="I65" s="28"/>
      <c r="J65" s="28"/>
      <c r="K65" s="28"/>
      <c r="L65" s="231" t="s">
        <v>65</v>
      </c>
      <c r="M65" s="231"/>
      <c r="N65" s="231"/>
      <c r="O65" s="28"/>
      <c r="P65" s="28"/>
      <c r="Q65" s="28"/>
      <c r="R65" s="28"/>
      <c r="S65" s="28"/>
      <c r="T65" s="28"/>
      <c r="U65" s="28"/>
      <c r="V65" s="28"/>
      <c r="W65" s="28"/>
    </row>
    <row r="66" spans="1:23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</row>
    <row r="67" spans="1:23">
      <c r="A67" s="231" t="s">
        <v>261</v>
      </c>
      <c r="B67" s="231"/>
      <c r="C67" s="231"/>
      <c r="D67" s="231"/>
      <c r="E67" s="231"/>
      <c r="F67" s="231"/>
      <c r="G67" s="231"/>
      <c r="H67" s="231"/>
      <c r="I67" s="231"/>
      <c r="J67" s="231"/>
      <c r="K67" s="231"/>
      <c r="L67" s="231"/>
      <c r="M67" s="231"/>
      <c r="N67" s="231"/>
      <c r="O67" s="29"/>
      <c r="P67" s="29"/>
      <c r="Q67" s="29"/>
      <c r="R67" s="29"/>
      <c r="S67" s="29"/>
      <c r="T67" s="28"/>
      <c r="U67" s="28"/>
      <c r="V67" s="28"/>
      <c r="W67" s="28"/>
    </row>
    <row r="68" spans="1:23">
      <c r="A68" s="231" t="s">
        <v>208</v>
      </c>
      <c r="B68" s="231"/>
      <c r="C68" s="231"/>
      <c r="D68" s="231"/>
      <c r="E68" s="231"/>
      <c r="F68" s="231"/>
      <c r="G68" s="231"/>
      <c r="H68" s="231"/>
      <c r="I68" s="231"/>
      <c r="J68" s="231"/>
      <c r="K68" s="231"/>
      <c r="L68" s="231"/>
      <c r="M68" s="231"/>
      <c r="N68" s="231"/>
      <c r="O68" s="231"/>
      <c r="P68" s="231"/>
      <c r="Q68" s="231"/>
      <c r="R68" s="231"/>
      <c r="S68" s="29"/>
      <c r="T68" s="28"/>
      <c r="U68" s="28"/>
      <c r="V68" s="28"/>
      <c r="W68" s="28"/>
    </row>
    <row r="69" spans="1:23">
      <c r="A69" s="231" t="s">
        <v>262</v>
      </c>
      <c r="B69" s="231"/>
      <c r="C69" s="231"/>
      <c r="D69" s="231"/>
      <c r="E69" s="231"/>
      <c r="F69" s="231"/>
      <c r="G69" s="231"/>
      <c r="H69" s="231"/>
      <c r="I69" s="231"/>
      <c r="J69" s="231"/>
      <c r="K69" s="231"/>
      <c r="L69" s="231"/>
      <c r="M69" s="231"/>
      <c r="N69" s="231"/>
      <c r="O69" s="29"/>
      <c r="P69" s="29"/>
      <c r="Q69" s="29"/>
      <c r="R69" s="29"/>
      <c r="S69" s="29"/>
      <c r="T69" s="28"/>
      <c r="U69" s="28"/>
      <c r="V69" s="28"/>
      <c r="W69" s="28"/>
    </row>
    <row r="70" spans="1:23" ht="23.4" thickBot="1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</row>
    <row r="71" spans="1:23" ht="106.2" thickTop="1" thickBot="1">
      <c r="A71" s="74" t="s">
        <v>145</v>
      </c>
      <c r="B71" s="75" t="s">
        <v>263</v>
      </c>
      <c r="C71" s="75" t="s">
        <v>264</v>
      </c>
      <c r="D71" s="75" t="s">
        <v>265</v>
      </c>
      <c r="E71" s="75" t="s">
        <v>266</v>
      </c>
      <c r="F71" s="75" t="s">
        <v>267</v>
      </c>
      <c r="G71" s="75" t="s">
        <v>268</v>
      </c>
      <c r="H71" s="75" t="s">
        <v>269</v>
      </c>
      <c r="I71" s="75" t="s">
        <v>270</v>
      </c>
      <c r="J71" s="75" t="s">
        <v>271</v>
      </c>
      <c r="K71" s="75" t="s">
        <v>272</v>
      </c>
      <c r="L71" s="75" t="s">
        <v>273</v>
      </c>
      <c r="M71" s="75" t="s">
        <v>274</v>
      </c>
      <c r="N71" s="75" t="s">
        <v>287</v>
      </c>
      <c r="O71" s="75" t="s">
        <v>276</v>
      </c>
      <c r="P71" s="75" t="s">
        <v>277</v>
      </c>
      <c r="Q71" s="75" t="s">
        <v>278</v>
      </c>
      <c r="R71" s="75" t="s">
        <v>279</v>
      </c>
      <c r="S71" s="75" t="s">
        <v>280</v>
      </c>
      <c r="T71" s="75" t="s">
        <v>281</v>
      </c>
      <c r="U71" s="75" t="s">
        <v>282</v>
      </c>
      <c r="V71" s="75" t="s">
        <v>190</v>
      </c>
      <c r="W71" s="76" t="s">
        <v>58</v>
      </c>
    </row>
    <row r="72" spans="1:23" ht="24" thickTop="1" thickBot="1">
      <c r="A72" s="77" t="s">
        <v>78</v>
      </c>
      <c r="B72" s="72">
        <f>'[1]التعليم الابتدائي'!LW368</f>
        <v>0</v>
      </c>
      <c r="C72" s="72">
        <f>'[1]التعليم الابتدائي'!MT368</f>
        <v>0</v>
      </c>
      <c r="D72" s="72">
        <f>'[1]التعليم الابتدائي'!NQ368</f>
        <v>0</v>
      </c>
      <c r="E72" s="72">
        <f>'[1]التعليم الابتدائي'!ON368</f>
        <v>0</v>
      </c>
      <c r="F72" s="72">
        <f>'[1]التعليم الابتدائي'!PK368</f>
        <v>0</v>
      </c>
      <c r="G72" s="72">
        <f>'[1]التعليم الابتدائي'!QH368</f>
        <v>0</v>
      </c>
      <c r="H72" s="72">
        <f>'[1]التعليم الابتدائي'!RE368</f>
        <v>0</v>
      </c>
      <c r="I72" s="72">
        <f>'[1]التعليم الابتدائي'!SB368</f>
        <v>0</v>
      </c>
      <c r="J72" s="72">
        <f>'[1]التعليم الابتدائي'!SY368</f>
        <v>0</v>
      </c>
      <c r="K72" s="72">
        <f>'[1]التعليم الابتدائي'!TV368</f>
        <v>0</v>
      </c>
      <c r="L72" s="72">
        <f>'[1]التعليم الابتدائي'!US368</f>
        <v>0</v>
      </c>
      <c r="M72" s="72">
        <f>'[1]التعليم الابتدائي'!VP368</f>
        <v>0</v>
      </c>
      <c r="N72" s="72">
        <f>'[1]التعليم الابتدائي'!WM368</f>
        <v>0</v>
      </c>
      <c r="O72" s="72">
        <f>'[1]التعليم الابتدائي'!XJ368</f>
        <v>0</v>
      </c>
      <c r="P72" s="72">
        <f>'[1]التعليم الابتدائي'!ZD368</f>
        <v>0</v>
      </c>
      <c r="Q72" s="72">
        <f>'[1]التعليم الابتدائي'!YG368</f>
        <v>0</v>
      </c>
      <c r="R72" s="72">
        <f>'[1]التعليم الابتدائي'!AAA368</f>
        <v>0</v>
      </c>
      <c r="S72" s="72">
        <f>'[1]التعليم الابتدائي'!AAX368</f>
        <v>0</v>
      </c>
      <c r="T72" s="72">
        <v>0</v>
      </c>
      <c r="U72" s="72">
        <f>'[1]التعليم الابتدائي'!ACR368</f>
        <v>0</v>
      </c>
      <c r="V72" s="72">
        <f>'[1]التعليم الابتدائي'!ADO368</f>
        <v>0</v>
      </c>
      <c r="W72" s="78">
        <f>SUM(B72:V72)</f>
        <v>0</v>
      </c>
    </row>
    <row r="73" spans="1:23" ht="24" thickTop="1" thickBot="1">
      <c r="A73" s="77" t="s">
        <v>79</v>
      </c>
      <c r="B73" s="72">
        <f>'[1]التعليم الابتدائي'!LX368</f>
        <v>0</v>
      </c>
      <c r="C73" s="72">
        <f>'[1]التعليم الابتدائي'!MU368</f>
        <v>0</v>
      </c>
      <c r="D73" s="72">
        <f>'[1]التعليم الابتدائي'!NR368</f>
        <v>0</v>
      </c>
      <c r="E73" s="72">
        <f>'[1]التعليم الابتدائي'!OO368</f>
        <v>0</v>
      </c>
      <c r="F73" s="72">
        <f>'[1]التعليم الابتدائي'!PL368</f>
        <v>0</v>
      </c>
      <c r="G73" s="72">
        <f>'[1]التعليم الابتدائي'!QI368</f>
        <v>0</v>
      </c>
      <c r="H73" s="72">
        <f>'[1]التعليم الابتدائي'!RF368</f>
        <v>0</v>
      </c>
      <c r="I73" s="72">
        <f>'[1]التعليم الابتدائي'!SC368</f>
        <v>0</v>
      </c>
      <c r="J73" s="72">
        <f>'[1]التعليم الابتدائي'!SZ368</f>
        <v>0</v>
      </c>
      <c r="K73" s="72">
        <f>'[1]التعليم الابتدائي'!TW368</f>
        <v>0</v>
      </c>
      <c r="L73" s="72">
        <f>'[1]التعليم الابتدائي'!UT368</f>
        <v>0</v>
      </c>
      <c r="M73" s="72">
        <f>'[1]التعليم الابتدائي'!VQ368</f>
        <v>0</v>
      </c>
      <c r="N73" s="72">
        <f>'[1]التعليم الابتدائي'!WN368</f>
        <v>0</v>
      </c>
      <c r="O73" s="72">
        <f>'[1]التعليم الابتدائي'!XK368</f>
        <v>0</v>
      </c>
      <c r="P73" s="72">
        <f>'[1]التعليم الابتدائي'!ZE368</f>
        <v>0</v>
      </c>
      <c r="Q73" s="72">
        <f>'[1]التعليم الابتدائي'!YH368</f>
        <v>0</v>
      </c>
      <c r="R73" s="72">
        <f>'[1]التعليم الابتدائي'!AAB368</f>
        <v>0</v>
      </c>
      <c r="S73" s="72">
        <f>'[1]التعليم الابتدائي'!AAY368</f>
        <v>0</v>
      </c>
      <c r="T73" s="72">
        <v>0</v>
      </c>
      <c r="U73" s="72">
        <f>'[1]التعليم الابتدائي'!ACS368</f>
        <v>0</v>
      </c>
      <c r="V73" s="72">
        <f>'[1]التعليم الابتدائي'!ADP368</f>
        <v>0</v>
      </c>
      <c r="W73" s="78">
        <f>SUM(B73:V73)</f>
        <v>0</v>
      </c>
    </row>
    <row r="74" spans="1:23" ht="24" thickTop="1" thickBot="1">
      <c r="A74" s="79" t="s">
        <v>58</v>
      </c>
      <c r="B74" s="80">
        <f t="shared" ref="B74:W74" si="4">B73+B72</f>
        <v>0</v>
      </c>
      <c r="C74" s="80">
        <f t="shared" si="4"/>
        <v>0</v>
      </c>
      <c r="D74" s="80">
        <f t="shared" si="4"/>
        <v>0</v>
      </c>
      <c r="E74" s="80">
        <f t="shared" si="4"/>
        <v>0</v>
      </c>
      <c r="F74" s="80">
        <f t="shared" si="4"/>
        <v>0</v>
      </c>
      <c r="G74" s="80">
        <f t="shared" si="4"/>
        <v>0</v>
      </c>
      <c r="H74" s="80">
        <f t="shared" si="4"/>
        <v>0</v>
      </c>
      <c r="I74" s="80">
        <f t="shared" si="4"/>
        <v>0</v>
      </c>
      <c r="J74" s="80">
        <f t="shared" si="4"/>
        <v>0</v>
      </c>
      <c r="K74" s="80">
        <f t="shared" si="4"/>
        <v>0</v>
      </c>
      <c r="L74" s="80">
        <f t="shared" si="4"/>
        <v>0</v>
      </c>
      <c r="M74" s="80">
        <f t="shared" si="4"/>
        <v>0</v>
      </c>
      <c r="N74" s="80">
        <f t="shared" si="4"/>
        <v>0</v>
      </c>
      <c r="O74" s="80">
        <f t="shared" si="4"/>
        <v>0</v>
      </c>
      <c r="P74" s="80">
        <f t="shared" si="4"/>
        <v>0</v>
      </c>
      <c r="Q74" s="80">
        <f t="shared" si="4"/>
        <v>0</v>
      </c>
      <c r="R74" s="80">
        <f t="shared" si="4"/>
        <v>0</v>
      </c>
      <c r="S74" s="80">
        <f t="shared" si="4"/>
        <v>0</v>
      </c>
      <c r="T74" s="80">
        <f t="shared" si="4"/>
        <v>0</v>
      </c>
      <c r="U74" s="80">
        <f t="shared" si="4"/>
        <v>0</v>
      </c>
      <c r="V74" s="80">
        <f t="shared" si="4"/>
        <v>0</v>
      </c>
      <c r="W74" s="81">
        <f t="shared" si="4"/>
        <v>0</v>
      </c>
    </row>
    <row r="75" spans="1:23" ht="23.4" thickTop="1">
      <c r="A75" s="82"/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</row>
    <row r="76" spans="1:23">
      <c r="A76" s="29" t="s">
        <v>62</v>
      </c>
      <c r="B76" s="29"/>
      <c r="C76" s="29"/>
      <c r="D76" s="29"/>
      <c r="E76" s="29"/>
      <c r="F76" s="28"/>
      <c r="G76" s="28"/>
      <c r="H76" s="28"/>
      <c r="I76" s="28"/>
      <c r="J76" s="28"/>
      <c r="K76" s="28"/>
      <c r="L76" s="29" t="s">
        <v>290</v>
      </c>
      <c r="M76" s="29"/>
      <c r="N76" s="29"/>
      <c r="O76" s="28"/>
      <c r="P76" s="28"/>
      <c r="Q76" s="28"/>
      <c r="R76" s="28"/>
      <c r="S76" s="28"/>
      <c r="T76" s="28"/>
      <c r="U76" s="28"/>
      <c r="V76" s="28"/>
      <c r="W76" s="28"/>
    </row>
    <row r="77" spans="1:23">
      <c r="A77" s="231" t="s">
        <v>64</v>
      </c>
      <c r="B77" s="231"/>
      <c r="C77" s="231"/>
      <c r="D77" s="231"/>
      <c r="E77" s="231"/>
      <c r="F77" s="28"/>
      <c r="G77" s="28"/>
      <c r="H77" s="28"/>
      <c r="I77" s="28"/>
      <c r="J77" s="28"/>
      <c r="K77" s="28"/>
      <c r="L77" s="231" t="s">
        <v>65</v>
      </c>
      <c r="M77" s="231"/>
      <c r="N77" s="231"/>
      <c r="O77" s="28"/>
      <c r="P77" s="28"/>
      <c r="Q77" s="28"/>
      <c r="R77" s="28"/>
      <c r="S77" s="28"/>
      <c r="T77" s="28"/>
      <c r="U77" s="28"/>
      <c r="V77" s="28"/>
      <c r="W77" s="28"/>
    </row>
    <row r="78" spans="1:23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</row>
    <row r="79" spans="1:23">
      <c r="A79" s="231" t="s">
        <v>261</v>
      </c>
      <c r="B79" s="231"/>
      <c r="C79" s="231"/>
      <c r="D79" s="231"/>
      <c r="E79" s="231"/>
      <c r="F79" s="231"/>
      <c r="G79" s="231"/>
      <c r="H79" s="231"/>
      <c r="I79" s="231"/>
      <c r="J79" s="231"/>
      <c r="K79" s="231"/>
      <c r="L79" s="231"/>
      <c r="M79" s="231"/>
      <c r="N79" s="231"/>
      <c r="O79" s="29"/>
      <c r="P79" s="29"/>
      <c r="Q79" s="29"/>
      <c r="R79" s="29"/>
      <c r="S79" s="29"/>
      <c r="T79" s="28"/>
      <c r="U79" s="28"/>
      <c r="V79" s="28"/>
      <c r="W79" s="28"/>
    </row>
    <row r="80" spans="1:23">
      <c r="A80" s="231" t="s">
        <v>208</v>
      </c>
      <c r="B80" s="231"/>
      <c r="C80" s="231"/>
      <c r="D80" s="231"/>
      <c r="E80" s="231"/>
      <c r="F80" s="231"/>
      <c r="G80" s="231"/>
      <c r="H80" s="231"/>
      <c r="I80" s="231"/>
      <c r="J80" s="231"/>
      <c r="K80" s="231"/>
      <c r="L80" s="231"/>
      <c r="M80" s="231"/>
      <c r="N80" s="231"/>
      <c r="O80" s="231"/>
      <c r="P80" s="231"/>
      <c r="Q80" s="231"/>
      <c r="R80" s="231"/>
      <c r="S80" s="29"/>
      <c r="T80" s="28"/>
      <c r="U80" s="28"/>
      <c r="V80" s="28"/>
      <c r="W80" s="28"/>
    </row>
    <row r="81" spans="1:23">
      <c r="A81" s="231" t="s">
        <v>262</v>
      </c>
      <c r="B81" s="231"/>
      <c r="C81" s="231"/>
      <c r="D81" s="231"/>
      <c r="E81" s="231"/>
      <c r="F81" s="231"/>
      <c r="G81" s="231"/>
      <c r="H81" s="231"/>
      <c r="I81" s="231"/>
      <c r="J81" s="231"/>
      <c r="K81" s="231"/>
      <c r="L81" s="231"/>
      <c r="M81" s="231"/>
      <c r="N81" s="231"/>
      <c r="O81" s="29"/>
      <c r="P81" s="29"/>
      <c r="Q81" s="29"/>
      <c r="R81" s="29"/>
      <c r="S81" s="29"/>
      <c r="T81" s="28"/>
      <c r="U81" s="28"/>
      <c r="V81" s="28"/>
      <c r="W81" s="28"/>
    </row>
    <row r="82" spans="1:23" ht="23.4" thickBot="1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</row>
    <row r="83" spans="1:23" ht="106.2" thickTop="1" thickBot="1">
      <c r="A83" s="74" t="s">
        <v>145</v>
      </c>
      <c r="B83" s="75" t="s">
        <v>263</v>
      </c>
      <c r="C83" s="75" t="s">
        <v>264</v>
      </c>
      <c r="D83" s="75" t="s">
        <v>265</v>
      </c>
      <c r="E83" s="75" t="s">
        <v>266</v>
      </c>
      <c r="F83" s="75" t="s">
        <v>267</v>
      </c>
      <c r="G83" s="75" t="s">
        <v>268</v>
      </c>
      <c r="H83" s="75" t="s">
        <v>269</v>
      </c>
      <c r="I83" s="75" t="s">
        <v>270</v>
      </c>
      <c r="J83" s="75" t="s">
        <v>271</v>
      </c>
      <c r="K83" s="75" t="s">
        <v>272</v>
      </c>
      <c r="L83" s="75" t="s">
        <v>273</v>
      </c>
      <c r="M83" s="75" t="s">
        <v>274</v>
      </c>
      <c r="N83" s="75" t="s">
        <v>287</v>
      </c>
      <c r="O83" s="75" t="s">
        <v>276</v>
      </c>
      <c r="P83" s="75" t="s">
        <v>277</v>
      </c>
      <c r="Q83" s="75" t="s">
        <v>278</v>
      </c>
      <c r="R83" s="75" t="s">
        <v>279</v>
      </c>
      <c r="S83" s="75" t="s">
        <v>280</v>
      </c>
      <c r="T83" s="75" t="s">
        <v>281</v>
      </c>
      <c r="U83" s="75" t="s">
        <v>282</v>
      </c>
      <c r="V83" s="75" t="s">
        <v>190</v>
      </c>
      <c r="W83" s="76" t="s">
        <v>58</v>
      </c>
    </row>
    <row r="84" spans="1:23" ht="24" thickTop="1" thickBot="1">
      <c r="A84" s="77" t="s">
        <v>78</v>
      </c>
      <c r="B84" s="72">
        <f>'[1]التعليم الابتدائي'!LW376</f>
        <v>0</v>
      </c>
      <c r="C84" s="72">
        <f>'[1]التعليم الابتدائي'!MT376</f>
        <v>0</v>
      </c>
      <c r="D84" s="72">
        <f>'[1]التعليم الابتدائي'!NQ376</f>
        <v>0</v>
      </c>
      <c r="E84" s="72">
        <v>0</v>
      </c>
      <c r="F84" s="72">
        <f>'[1]التعليم الابتدائي'!PK376</f>
        <v>0</v>
      </c>
      <c r="G84" s="72">
        <f>'[1]التعليم الابتدائي'!QH376+'[1]التعليم الابتدائي'!SB376</f>
        <v>0</v>
      </c>
      <c r="H84" s="72">
        <f>'[1]التعليم الابتدائي'!RE376</f>
        <v>0</v>
      </c>
      <c r="I84" s="72">
        <f>'[1]التعليم الابتدائي'!SB376</f>
        <v>0</v>
      </c>
      <c r="J84" s="72">
        <f>'[1]التعليم الابتدائي'!SY376</f>
        <v>0</v>
      </c>
      <c r="K84" s="72">
        <f>'[1]التعليم الابتدائي'!TV376</f>
        <v>0</v>
      </c>
      <c r="L84" s="72">
        <f>'[1]التعليم الابتدائي'!US376</f>
        <v>0</v>
      </c>
      <c r="M84" s="72">
        <v>0</v>
      </c>
      <c r="N84" s="72">
        <v>0</v>
      </c>
      <c r="O84" s="72">
        <f>'[1]التعليم الابتدائي'!XJ376</f>
        <v>0</v>
      </c>
      <c r="P84" s="72">
        <f>'[1]التعليم الابتدائي'!ZD376</f>
        <v>0</v>
      </c>
      <c r="Q84" s="72">
        <f>'[1]التعليم الابتدائي'!YG376</f>
        <v>0</v>
      </c>
      <c r="R84" s="72">
        <v>0</v>
      </c>
      <c r="S84" s="72">
        <v>0</v>
      </c>
      <c r="T84" s="72">
        <v>0</v>
      </c>
      <c r="U84" s="72">
        <f>'[1]التعليم الابتدائي'!ACR376</f>
        <v>0</v>
      </c>
      <c r="V84" s="72">
        <f>'[1]التعليم الابتدائي'!ADO376</f>
        <v>0</v>
      </c>
      <c r="W84" s="78">
        <f>SUM(B84:V84)</f>
        <v>0</v>
      </c>
    </row>
    <row r="85" spans="1:23" ht="24" thickTop="1" thickBot="1">
      <c r="A85" s="77" t="s">
        <v>79</v>
      </c>
      <c r="B85" s="72">
        <f>'[1]التعليم الابتدائي'!LX376</f>
        <v>0</v>
      </c>
      <c r="C85" s="72">
        <f>'[1]التعليم الابتدائي'!MU376</f>
        <v>0</v>
      </c>
      <c r="D85" s="72">
        <f>'[1]التعليم الابتدائي'!NR376</f>
        <v>0</v>
      </c>
      <c r="E85" s="72">
        <v>0</v>
      </c>
      <c r="F85" s="72">
        <f>'[1]التعليم الابتدائي'!PL376</f>
        <v>0</v>
      </c>
      <c r="G85" s="72">
        <f>'[1]التعليم الابتدائي'!SC376+'[1]التعليم الابتدائي'!QI376</f>
        <v>0</v>
      </c>
      <c r="H85" s="72">
        <f>'[1]التعليم الابتدائي'!RF376</f>
        <v>0</v>
      </c>
      <c r="I85" s="72">
        <f>'[1]التعليم الابتدائي'!SC376</f>
        <v>0</v>
      </c>
      <c r="J85" s="72">
        <f>'[1]التعليم الابتدائي'!SZ376</f>
        <v>0</v>
      </c>
      <c r="K85" s="72">
        <f>'[1]التعليم الابتدائي'!TW376</f>
        <v>0</v>
      </c>
      <c r="L85" s="72">
        <f>'[1]التعليم الابتدائي'!UT376</f>
        <v>0</v>
      </c>
      <c r="M85" s="72">
        <v>0</v>
      </c>
      <c r="N85" s="72">
        <v>0</v>
      </c>
      <c r="O85" s="72">
        <f>'[1]التعليم الابتدائي'!XK376</f>
        <v>0</v>
      </c>
      <c r="P85" s="72">
        <f>'[1]التعليم الابتدائي'!ZE376</f>
        <v>0</v>
      </c>
      <c r="Q85" s="72">
        <f>'[1]التعليم الابتدائي'!YH376</f>
        <v>0</v>
      </c>
      <c r="R85" s="72">
        <v>0</v>
      </c>
      <c r="S85" s="72">
        <v>0</v>
      </c>
      <c r="T85" s="72">
        <v>0</v>
      </c>
      <c r="U85" s="72">
        <f>'[1]التعليم الابتدائي'!ACS376</f>
        <v>0</v>
      </c>
      <c r="V85" s="72">
        <f>'[1]التعليم الابتدائي'!ADP376</f>
        <v>0</v>
      </c>
      <c r="W85" s="78">
        <f>SUM(B85:V85)</f>
        <v>0</v>
      </c>
    </row>
    <row r="86" spans="1:23" ht="24" thickTop="1" thickBot="1">
      <c r="A86" s="79" t="s">
        <v>58</v>
      </c>
      <c r="B86" s="80">
        <f t="shared" ref="B86:W86" si="5">B85+B84</f>
        <v>0</v>
      </c>
      <c r="C86" s="80">
        <f t="shared" si="5"/>
        <v>0</v>
      </c>
      <c r="D86" s="80">
        <f t="shared" si="5"/>
        <v>0</v>
      </c>
      <c r="E86" s="80">
        <f t="shared" si="5"/>
        <v>0</v>
      </c>
      <c r="F86" s="80">
        <f t="shared" si="5"/>
        <v>0</v>
      </c>
      <c r="G86" s="80">
        <f t="shared" si="5"/>
        <v>0</v>
      </c>
      <c r="H86" s="80">
        <f t="shared" si="5"/>
        <v>0</v>
      </c>
      <c r="I86" s="80">
        <f t="shared" si="5"/>
        <v>0</v>
      </c>
      <c r="J86" s="80">
        <f t="shared" si="5"/>
        <v>0</v>
      </c>
      <c r="K86" s="80">
        <f t="shared" si="5"/>
        <v>0</v>
      </c>
      <c r="L86" s="80">
        <f t="shared" si="5"/>
        <v>0</v>
      </c>
      <c r="M86" s="80">
        <f t="shared" si="5"/>
        <v>0</v>
      </c>
      <c r="N86" s="80">
        <f t="shared" si="5"/>
        <v>0</v>
      </c>
      <c r="O86" s="80">
        <f t="shared" si="5"/>
        <v>0</v>
      </c>
      <c r="P86" s="80">
        <f t="shared" si="5"/>
        <v>0</v>
      </c>
      <c r="Q86" s="80">
        <f t="shared" si="5"/>
        <v>0</v>
      </c>
      <c r="R86" s="80">
        <f t="shared" si="5"/>
        <v>0</v>
      </c>
      <c r="S86" s="80">
        <f t="shared" si="5"/>
        <v>0</v>
      </c>
      <c r="T86" s="80">
        <f t="shared" si="5"/>
        <v>0</v>
      </c>
      <c r="U86" s="80">
        <f t="shared" si="5"/>
        <v>0</v>
      </c>
      <c r="V86" s="80">
        <f t="shared" si="5"/>
        <v>0</v>
      </c>
      <c r="W86" s="81">
        <f t="shared" si="5"/>
        <v>0</v>
      </c>
    </row>
    <row r="87" spans="1:23" ht="23.4" thickTop="1">
      <c r="A87" s="44" t="s">
        <v>62</v>
      </c>
      <c r="B87" s="44"/>
      <c r="C87" s="44"/>
      <c r="D87" s="44"/>
      <c r="E87" s="44"/>
      <c r="F87" s="45"/>
      <c r="G87" s="45"/>
      <c r="H87" s="45"/>
      <c r="I87" s="45"/>
      <c r="J87" s="45"/>
      <c r="K87" s="45"/>
      <c r="L87" s="295" t="s">
        <v>291</v>
      </c>
      <c r="M87" s="295"/>
      <c r="N87" s="295"/>
      <c r="O87" s="45"/>
      <c r="P87" s="45"/>
      <c r="Q87" s="45"/>
      <c r="R87" s="45"/>
      <c r="S87" s="45"/>
      <c r="T87" s="45"/>
      <c r="U87" s="45"/>
      <c r="V87" s="45"/>
      <c r="W87" s="45"/>
    </row>
    <row r="88" spans="1:23">
      <c r="A88" s="295" t="s">
        <v>64</v>
      </c>
      <c r="B88" s="295"/>
      <c r="C88" s="295"/>
      <c r="D88" s="295"/>
      <c r="E88" s="295"/>
      <c r="F88" s="45"/>
      <c r="G88" s="45"/>
      <c r="H88" s="45"/>
      <c r="I88" s="45"/>
      <c r="J88" s="45"/>
      <c r="K88" s="45"/>
      <c r="L88" s="44" t="s">
        <v>65</v>
      </c>
      <c r="M88" s="44"/>
      <c r="N88" s="44"/>
      <c r="O88" s="45"/>
      <c r="P88" s="45"/>
      <c r="Q88" s="45"/>
      <c r="R88" s="45"/>
      <c r="S88" s="45"/>
      <c r="T88" s="45"/>
      <c r="U88" s="45"/>
      <c r="V88" s="45"/>
      <c r="W88" s="45"/>
    </row>
    <row r="89" spans="1:23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8"/>
      <c r="P89" s="48"/>
      <c r="Q89" s="48"/>
      <c r="R89" s="48"/>
      <c r="S89" s="48"/>
      <c r="T89" s="48"/>
      <c r="U89" s="48"/>
      <c r="V89" s="48"/>
      <c r="W89" s="48"/>
    </row>
    <row r="90" spans="1:23">
      <c r="A90" s="295" t="s">
        <v>261</v>
      </c>
      <c r="B90" s="295"/>
      <c r="C90" s="295"/>
      <c r="D90" s="295"/>
      <c r="E90" s="295"/>
      <c r="F90" s="295"/>
      <c r="G90" s="295"/>
      <c r="H90" s="295"/>
      <c r="I90" s="295"/>
      <c r="J90" s="295"/>
      <c r="K90" s="295"/>
      <c r="L90" s="295"/>
      <c r="M90" s="295"/>
      <c r="N90" s="295"/>
      <c r="O90" s="48"/>
      <c r="P90" s="48"/>
      <c r="Q90" s="48"/>
      <c r="R90" s="48"/>
      <c r="S90" s="48"/>
      <c r="T90" s="48"/>
      <c r="U90" s="48"/>
      <c r="V90" s="48"/>
      <c r="W90" s="48"/>
    </row>
    <row r="91" spans="1:23">
      <c r="A91" s="45"/>
      <c r="B91" s="23"/>
      <c r="C91" s="23"/>
      <c r="D91" s="23"/>
      <c r="E91" s="23"/>
      <c r="F91" s="23"/>
      <c r="G91" s="45"/>
      <c r="H91" s="23" t="s">
        <v>208</v>
      </c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44"/>
      <c r="T91" s="45"/>
      <c r="U91" s="45"/>
      <c r="V91" s="45"/>
      <c r="W91" s="45"/>
    </row>
    <row r="92" spans="1:23">
      <c r="A92" s="295" t="s">
        <v>262</v>
      </c>
      <c r="B92" s="295"/>
      <c r="C92" s="295"/>
      <c r="D92" s="295"/>
      <c r="E92" s="295"/>
      <c r="F92" s="295"/>
      <c r="G92" s="295"/>
      <c r="H92" s="295"/>
      <c r="I92" s="295"/>
      <c r="J92" s="295"/>
      <c r="K92" s="295"/>
      <c r="L92" s="295"/>
      <c r="M92" s="295"/>
      <c r="N92" s="295"/>
      <c r="O92" s="48"/>
      <c r="P92" s="48"/>
      <c r="Q92" s="48"/>
      <c r="R92" s="48"/>
      <c r="S92" s="48"/>
      <c r="T92" s="48"/>
      <c r="U92" s="48"/>
      <c r="V92" s="48"/>
      <c r="W92" s="48"/>
    </row>
    <row r="93" spans="1:23" ht="23.4" thickBot="1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</row>
    <row r="94" spans="1:23" ht="106.2" thickTop="1" thickBot="1">
      <c r="A94" s="83" t="s">
        <v>145</v>
      </c>
      <c r="B94" s="84" t="s">
        <v>263</v>
      </c>
      <c r="C94" s="84" t="s">
        <v>264</v>
      </c>
      <c r="D94" s="84" t="s">
        <v>265</v>
      </c>
      <c r="E94" s="84" t="s">
        <v>266</v>
      </c>
      <c r="F94" s="84" t="s">
        <v>267</v>
      </c>
      <c r="G94" s="84" t="s">
        <v>268</v>
      </c>
      <c r="H94" s="84" t="s">
        <v>269</v>
      </c>
      <c r="I94" s="84" t="s">
        <v>270</v>
      </c>
      <c r="J94" s="84" t="s">
        <v>271</v>
      </c>
      <c r="K94" s="84" t="s">
        <v>272</v>
      </c>
      <c r="L94" s="84" t="s">
        <v>273</v>
      </c>
      <c r="M94" s="84" t="s">
        <v>274</v>
      </c>
      <c r="N94" s="84" t="s">
        <v>287</v>
      </c>
      <c r="O94" s="84" t="s">
        <v>276</v>
      </c>
      <c r="P94" s="84" t="s">
        <v>277</v>
      </c>
      <c r="Q94" s="84" t="s">
        <v>278</v>
      </c>
      <c r="R94" s="84" t="s">
        <v>279</v>
      </c>
      <c r="S94" s="75" t="s">
        <v>280</v>
      </c>
      <c r="T94" s="75" t="s">
        <v>281</v>
      </c>
      <c r="U94" s="75" t="s">
        <v>282</v>
      </c>
      <c r="V94" s="84" t="s">
        <v>190</v>
      </c>
      <c r="W94" s="85" t="s">
        <v>58</v>
      </c>
    </row>
    <row r="95" spans="1:23" ht="24" thickTop="1" thickBot="1">
      <c r="A95" s="77" t="s">
        <v>78</v>
      </c>
      <c r="B95" s="72">
        <f>'[1]التعليم الابتدائي'!LW581</f>
        <v>0</v>
      </c>
      <c r="C95" s="72">
        <f>'[1]التعليم الابتدائي'!MT581</f>
        <v>0</v>
      </c>
      <c r="D95" s="72">
        <f>'[1]التعليم الابتدائي'!NQ581</f>
        <v>0</v>
      </c>
      <c r="E95" s="72">
        <f>'[1]التعليم الابتدائي'!ON581</f>
        <v>0</v>
      </c>
      <c r="F95" s="72">
        <f>'[1]التعليم الابتدائي'!PK581</f>
        <v>0</v>
      </c>
      <c r="G95" s="72">
        <f>'[1]التعليم الابتدائي'!QH581</f>
        <v>0</v>
      </c>
      <c r="H95" s="72">
        <f>'[1]التعليم الابتدائي'!RE581</f>
        <v>0</v>
      </c>
      <c r="I95" s="72">
        <f>'[1]التعليم الابتدائي'!SB581</f>
        <v>0</v>
      </c>
      <c r="J95" s="72">
        <f>'[1]التعليم الابتدائي'!SY581</f>
        <v>0</v>
      </c>
      <c r="K95" s="72">
        <f>'[1]التعليم الابتدائي'!TV581</f>
        <v>0</v>
      </c>
      <c r="L95" s="72">
        <f>'[1]التعليم الابتدائي'!US581</f>
        <v>0</v>
      </c>
      <c r="M95" s="72">
        <f>'[1]التعليم الابتدائي'!VP581</f>
        <v>0</v>
      </c>
      <c r="N95" s="72">
        <f>'[1]التعليم الابتدائي'!WM581</f>
        <v>0</v>
      </c>
      <c r="O95" s="72">
        <f>'[1]التعليم الابتدائي'!XJ581</f>
        <v>0</v>
      </c>
      <c r="P95" s="72">
        <f>'[1]التعليم الابتدائي'!ZD581</f>
        <v>0</v>
      </c>
      <c r="Q95" s="72">
        <f>'[1]التعليم الابتدائي'!YG581</f>
        <v>0</v>
      </c>
      <c r="R95" s="72">
        <f>'[1]التعليم الابتدائي'!AAA581</f>
        <v>0</v>
      </c>
      <c r="S95" s="72">
        <f>'[1]التعليم الابتدائي'!AAX581</f>
        <v>0</v>
      </c>
      <c r="T95" s="72">
        <v>0</v>
      </c>
      <c r="U95" s="72">
        <f>'[1]التعليم الابتدائي'!ACR581</f>
        <v>0</v>
      </c>
      <c r="V95" s="72">
        <f>'[1]التعليم الابتدائي'!ADO581</f>
        <v>0</v>
      </c>
      <c r="W95" s="78">
        <f>SUM(B95:V95)</f>
        <v>0</v>
      </c>
    </row>
    <row r="96" spans="1:23" ht="24" thickTop="1" thickBot="1">
      <c r="A96" s="77" t="s">
        <v>79</v>
      </c>
      <c r="B96" s="72">
        <f>'[1]التعليم الابتدائي'!LX581</f>
        <v>0</v>
      </c>
      <c r="C96" s="72">
        <f>'[1]التعليم الابتدائي'!MU581</f>
        <v>0</v>
      </c>
      <c r="D96" s="72">
        <f>'[1]التعليم الابتدائي'!NR581</f>
        <v>0</v>
      </c>
      <c r="E96" s="72">
        <f>'[1]التعليم الابتدائي'!OO581</f>
        <v>0</v>
      </c>
      <c r="F96" s="72">
        <f>'[1]التعليم الابتدائي'!PL581</f>
        <v>0</v>
      </c>
      <c r="G96" s="72">
        <f>'[1]التعليم الابتدائي'!QI581</f>
        <v>0</v>
      </c>
      <c r="H96" s="72">
        <f>'[1]التعليم الابتدائي'!RF581</f>
        <v>0</v>
      </c>
      <c r="I96" s="72">
        <f>'[1]التعليم الابتدائي'!SC581</f>
        <v>0</v>
      </c>
      <c r="J96" s="72">
        <f>'[1]التعليم الابتدائي'!SZ581</f>
        <v>0</v>
      </c>
      <c r="K96" s="72">
        <f>'[1]التعليم الابتدائي'!TW581</f>
        <v>0</v>
      </c>
      <c r="L96" s="72">
        <f>'[1]التعليم الابتدائي'!UT581</f>
        <v>0</v>
      </c>
      <c r="M96" s="72">
        <f>'[1]التعليم الابتدائي'!VQ581</f>
        <v>0</v>
      </c>
      <c r="N96" s="72">
        <f>'[1]التعليم الابتدائي'!WN581</f>
        <v>0</v>
      </c>
      <c r="O96" s="72">
        <f>'[1]التعليم الابتدائي'!XK581</f>
        <v>0</v>
      </c>
      <c r="P96" s="72">
        <f>'[1]التعليم الابتدائي'!ZE581</f>
        <v>0</v>
      </c>
      <c r="Q96" s="72">
        <f>'[1]التعليم الابتدائي'!YH581</f>
        <v>0</v>
      </c>
      <c r="R96" s="72">
        <f>'[1]التعليم الابتدائي'!AAB581</f>
        <v>0</v>
      </c>
      <c r="S96" s="72">
        <f>'[1]التعليم الابتدائي'!AAY581</f>
        <v>0</v>
      </c>
      <c r="T96" s="72">
        <v>0</v>
      </c>
      <c r="U96" s="72">
        <f>'[1]التعليم الابتدائي'!ACS581</f>
        <v>0</v>
      </c>
      <c r="V96" s="72">
        <f>'[1]التعليم الابتدائي'!ADP581</f>
        <v>0</v>
      </c>
      <c r="W96" s="78">
        <f>SUM(B96:V96)</f>
        <v>0</v>
      </c>
    </row>
    <row r="97" spans="1:23" ht="24" thickTop="1" thickBot="1">
      <c r="A97" s="86" t="s">
        <v>58</v>
      </c>
      <c r="B97" s="87">
        <f t="shared" ref="B97:W97" si="6">B96+B95</f>
        <v>0</v>
      </c>
      <c r="C97" s="87">
        <f t="shared" si="6"/>
        <v>0</v>
      </c>
      <c r="D97" s="87">
        <f t="shared" si="6"/>
        <v>0</v>
      </c>
      <c r="E97" s="87">
        <f t="shared" si="6"/>
        <v>0</v>
      </c>
      <c r="F97" s="87">
        <f t="shared" si="6"/>
        <v>0</v>
      </c>
      <c r="G97" s="87">
        <f t="shared" si="6"/>
        <v>0</v>
      </c>
      <c r="H97" s="87">
        <f t="shared" si="6"/>
        <v>0</v>
      </c>
      <c r="I97" s="87">
        <f t="shared" si="6"/>
        <v>0</v>
      </c>
      <c r="J97" s="87">
        <f t="shared" si="6"/>
        <v>0</v>
      </c>
      <c r="K97" s="87">
        <f t="shared" si="6"/>
        <v>0</v>
      </c>
      <c r="L97" s="87">
        <f t="shared" si="6"/>
        <v>0</v>
      </c>
      <c r="M97" s="87">
        <f t="shared" si="6"/>
        <v>0</v>
      </c>
      <c r="N97" s="87">
        <f t="shared" si="6"/>
        <v>0</v>
      </c>
      <c r="O97" s="87">
        <f t="shared" si="6"/>
        <v>0</v>
      </c>
      <c r="P97" s="87">
        <f t="shared" si="6"/>
        <v>0</v>
      </c>
      <c r="Q97" s="87">
        <f t="shared" si="6"/>
        <v>0</v>
      </c>
      <c r="R97" s="87">
        <f t="shared" si="6"/>
        <v>0</v>
      </c>
      <c r="S97" s="87">
        <f t="shared" si="6"/>
        <v>0</v>
      </c>
      <c r="T97" s="87">
        <f t="shared" si="6"/>
        <v>0</v>
      </c>
      <c r="U97" s="87">
        <f t="shared" si="6"/>
        <v>0</v>
      </c>
      <c r="V97" s="87">
        <f t="shared" si="6"/>
        <v>0</v>
      </c>
      <c r="W97" s="88">
        <f t="shared" si="6"/>
        <v>0</v>
      </c>
    </row>
    <row r="98" spans="1:23" ht="23.4" thickTop="1"/>
    <row r="99" spans="1:23">
      <c r="A99" s="29" t="s">
        <v>62</v>
      </c>
      <c r="B99" s="29"/>
      <c r="C99" s="29"/>
      <c r="D99" s="29"/>
      <c r="E99" s="29"/>
      <c r="F99" s="28"/>
      <c r="G99" s="28"/>
      <c r="H99" s="28"/>
      <c r="I99" s="28"/>
      <c r="J99" s="28"/>
      <c r="K99" s="28"/>
      <c r="L99" s="231" t="s">
        <v>292</v>
      </c>
      <c r="M99" s="231"/>
      <c r="N99" s="231"/>
      <c r="O99" s="73"/>
      <c r="P99" s="73"/>
      <c r="Q99" s="73"/>
      <c r="R99" s="73"/>
      <c r="S99" s="73"/>
      <c r="T99" s="73"/>
      <c r="U99" s="73"/>
      <c r="V99" s="73"/>
      <c r="W99" s="73"/>
    </row>
    <row r="100" spans="1:23">
      <c r="A100" s="231" t="s">
        <v>64</v>
      </c>
      <c r="B100" s="231"/>
      <c r="C100" s="231"/>
      <c r="D100" s="231"/>
      <c r="E100" s="231"/>
      <c r="F100" s="28"/>
      <c r="G100" s="28"/>
      <c r="H100" s="28"/>
      <c r="I100" s="28"/>
      <c r="J100" s="28"/>
      <c r="K100" s="28"/>
      <c r="L100" s="29" t="s">
        <v>65</v>
      </c>
      <c r="M100" s="29"/>
      <c r="N100" s="29"/>
      <c r="O100" s="73"/>
      <c r="P100" s="73"/>
      <c r="Q100" s="73"/>
      <c r="R100" s="73"/>
      <c r="S100" s="73"/>
      <c r="T100" s="73"/>
      <c r="U100" s="73"/>
      <c r="V100" s="73"/>
      <c r="W100" s="73"/>
    </row>
    <row r="101" spans="1:23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73"/>
      <c r="P101" s="73"/>
      <c r="Q101" s="73"/>
      <c r="R101" s="73"/>
      <c r="S101" s="73"/>
      <c r="T101" s="73"/>
      <c r="U101" s="73"/>
      <c r="V101" s="73"/>
      <c r="W101" s="73"/>
    </row>
    <row r="102" spans="1:23">
      <c r="A102" s="231" t="s">
        <v>261</v>
      </c>
      <c r="B102" s="231"/>
      <c r="C102" s="231"/>
      <c r="D102" s="231"/>
      <c r="E102" s="231"/>
      <c r="F102" s="231"/>
      <c r="G102" s="231"/>
      <c r="H102" s="231"/>
      <c r="I102" s="231"/>
      <c r="J102" s="231"/>
      <c r="K102" s="231"/>
      <c r="L102" s="231"/>
      <c r="M102" s="231"/>
      <c r="N102" s="231"/>
      <c r="O102" s="73"/>
      <c r="P102" s="73"/>
      <c r="Q102" s="73"/>
      <c r="R102" s="73"/>
      <c r="S102" s="73"/>
      <c r="T102" s="73"/>
      <c r="U102" s="73"/>
      <c r="V102" s="73"/>
      <c r="W102" s="73"/>
    </row>
    <row r="103" spans="1:23">
      <c r="A103" s="231" t="s">
        <v>208</v>
      </c>
      <c r="B103" s="231"/>
      <c r="C103" s="231"/>
      <c r="D103" s="231"/>
      <c r="E103" s="231"/>
      <c r="F103" s="231"/>
      <c r="G103" s="231"/>
      <c r="H103" s="231"/>
      <c r="I103" s="231"/>
      <c r="J103" s="231"/>
      <c r="K103" s="231"/>
      <c r="L103" s="231"/>
      <c r="M103" s="231"/>
      <c r="N103" s="231"/>
      <c r="O103" s="231"/>
      <c r="P103" s="231"/>
      <c r="Q103" s="231"/>
      <c r="R103" s="231"/>
      <c r="S103" s="29"/>
      <c r="T103" s="28"/>
      <c r="U103" s="28"/>
      <c r="V103" s="28"/>
      <c r="W103" s="28"/>
    </row>
    <row r="104" spans="1:23">
      <c r="A104" s="231" t="s">
        <v>262</v>
      </c>
      <c r="B104" s="231"/>
      <c r="C104" s="231"/>
      <c r="D104" s="231"/>
      <c r="E104" s="231"/>
      <c r="F104" s="231"/>
      <c r="G104" s="231"/>
      <c r="H104" s="231"/>
      <c r="I104" s="231"/>
      <c r="J104" s="231"/>
      <c r="K104" s="231"/>
      <c r="L104" s="231"/>
      <c r="M104" s="231"/>
      <c r="N104" s="231"/>
      <c r="O104" s="73"/>
      <c r="P104" s="73"/>
      <c r="Q104" s="73"/>
      <c r="R104" s="73"/>
      <c r="S104" s="73"/>
      <c r="T104" s="73"/>
      <c r="U104" s="73"/>
      <c r="V104" s="73"/>
      <c r="W104" s="73"/>
    </row>
    <row r="105" spans="1:23" ht="23.4" thickBot="1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</row>
    <row r="106" spans="1:23" ht="106.2" thickTop="1" thickBot="1">
      <c r="A106" s="74" t="s">
        <v>145</v>
      </c>
      <c r="B106" s="75" t="s">
        <v>263</v>
      </c>
      <c r="C106" s="75" t="s">
        <v>264</v>
      </c>
      <c r="D106" s="75" t="s">
        <v>265</v>
      </c>
      <c r="E106" s="75" t="s">
        <v>266</v>
      </c>
      <c r="F106" s="75" t="s">
        <v>267</v>
      </c>
      <c r="G106" s="75" t="s">
        <v>268</v>
      </c>
      <c r="H106" s="75" t="s">
        <v>269</v>
      </c>
      <c r="I106" s="75" t="s">
        <v>270</v>
      </c>
      <c r="J106" s="75" t="s">
        <v>271</v>
      </c>
      <c r="K106" s="75" t="s">
        <v>272</v>
      </c>
      <c r="L106" s="75" t="s">
        <v>273</v>
      </c>
      <c r="M106" s="75" t="s">
        <v>274</v>
      </c>
      <c r="N106" s="75" t="s">
        <v>287</v>
      </c>
      <c r="O106" s="75" t="s">
        <v>276</v>
      </c>
      <c r="P106" s="75" t="s">
        <v>277</v>
      </c>
      <c r="Q106" s="75" t="s">
        <v>278</v>
      </c>
      <c r="R106" s="75" t="s">
        <v>279</v>
      </c>
      <c r="S106" s="75" t="s">
        <v>280</v>
      </c>
      <c r="T106" s="75" t="s">
        <v>281</v>
      </c>
      <c r="U106" s="75" t="s">
        <v>282</v>
      </c>
      <c r="V106" s="75" t="s">
        <v>190</v>
      </c>
      <c r="W106" s="76" t="s">
        <v>58</v>
      </c>
    </row>
    <row r="107" spans="1:23" ht="24" thickTop="1" thickBot="1">
      <c r="A107" s="77" t="s">
        <v>78</v>
      </c>
      <c r="B107" s="72">
        <f>'[1]التعليم الابتدائي'!LW480</f>
        <v>0</v>
      </c>
      <c r="C107" s="72">
        <f>'[1]التعليم الابتدائي'!MT480</f>
        <v>0</v>
      </c>
      <c r="D107" s="72">
        <f>'[1]التعليم الابتدائي'!NQ480</f>
        <v>0</v>
      </c>
      <c r="E107" s="72">
        <f>'[1]التعليم الابتدائي'!ON480</f>
        <v>0</v>
      </c>
      <c r="F107" s="72">
        <f>'[1]التعليم الابتدائي'!PK480</f>
        <v>0</v>
      </c>
      <c r="G107" s="72">
        <f>'[1]التعليم الابتدائي'!QH480</f>
        <v>0</v>
      </c>
      <c r="H107" s="72">
        <f>'[1]التعليم الابتدائي'!RE480</f>
        <v>0</v>
      </c>
      <c r="I107" s="72">
        <f>'[1]التعليم الابتدائي'!SB480</f>
        <v>0</v>
      </c>
      <c r="J107" s="72">
        <f>'[1]التعليم الابتدائي'!SY480</f>
        <v>0</v>
      </c>
      <c r="K107" s="72">
        <f>'[1]التعليم الابتدائي'!TV480</f>
        <v>0</v>
      </c>
      <c r="L107" s="72">
        <f>'[1]التعليم الابتدائي'!US480</f>
        <v>0</v>
      </c>
      <c r="M107" s="72">
        <f>'[1]التعليم الابتدائي'!VP480</f>
        <v>0</v>
      </c>
      <c r="N107" s="72">
        <f>'[1]التعليم الابتدائي'!WM480</f>
        <v>0</v>
      </c>
      <c r="O107" s="72">
        <f>'[1]التعليم الابتدائي'!XJ480</f>
        <v>0</v>
      </c>
      <c r="P107" s="72">
        <f>'[1]التعليم الابتدائي'!ZD480</f>
        <v>0</v>
      </c>
      <c r="Q107" s="72">
        <f>'[1]التعليم الابتدائي'!YG480</f>
        <v>0</v>
      </c>
      <c r="R107" s="72">
        <f>'[1]التعليم الابتدائي'!AAA480</f>
        <v>0</v>
      </c>
      <c r="S107" s="72">
        <v>0</v>
      </c>
      <c r="T107" s="72">
        <v>0</v>
      </c>
      <c r="U107" s="72">
        <f>'[1]التعليم الابتدائي'!ACR480</f>
        <v>0</v>
      </c>
      <c r="V107" s="72">
        <f>'[1]التعليم الابتدائي'!ADO480</f>
        <v>0</v>
      </c>
      <c r="W107" s="78">
        <f>SUM(B107:V107)</f>
        <v>0</v>
      </c>
    </row>
    <row r="108" spans="1:23" ht="24" thickTop="1" thickBot="1">
      <c r="A108" s="77" t="s">
        <v>79</v>
      </c>
      <c r="B108" s="72">
        <f>'[1]التعليم الابتدائي'!LX480</f>
        <v>0</v>
      </c>
      <c r="C108" s="72">
        <f>'[1]التعليم الابتدائي'!MU480</f>
        <v>0</v>
      </c>
      <c r="D108" s="72">
        <f>'[1]التعليم الابتدائي'!NR480</f>
        <v>0</v>
      </c>
      <c r="E108" s="72">
        <f>'[1]التعليم الابتدائي'!OO480</f>
        <v>0</v>
      </c>
      <c r="F108" s="72">
        <f>'[1]التعليم الابتدائي'!PL480</f>
        <v>0</v>
      </c>
      <c r="G108" s="72">
        <f>'[1]التعليم الابتدائي'!QI480</f>
        <v>0</v>
      </c>
      <c r="H108" s="72">
        <f>'[1]التعليم الابتدائي'!RF480</f>
        <v>0</v>
      </c>
      <c r="I108" s="72">
        <f>'[1]التعليم الابتدائي'!SC480</f>
        <v>0</v>
      </c>
      <c r="J108" s="72">
        <f>'[1]التعليم الابتدائي'!SZ480</f>
        <v>0</v>
      </c>
      <c r="K108" s="72">
        <f>'[1]التعليم الابتدائي'!TW480</f>
        <v>0</v>
      </c>
      <c r="L108" s="72">
        <f>'[1]التعليم الابتدائي'!UT480</f>
        <v>0</v>
      </c>
      <c r="M108" s="72">
        <f>'[1]التعليم الابتدائي'!VQ480</f>
        <v>0</v>
      </c>
      <c r="N108" s="72">
        <f>'[1]التعليم الابتدائي'!WN480</f>
        <v>0</v>
      </c>
      <c r="O108" s="72">
        <f>'[1]التعليم الابتدائي'!XK480</f>
        <v>0</v>
      </c>
      <c r="P108" s="72">
        <f>'[1]التعليم الابتدائي'!ZE480</f>
        <v>0</v>
      </c>
      <c r="Q108" s="72">
        <f>'[1]التعليم الابتدائي'!YH480</f>
        <v>0</v>
      </c>
      <c r="R108" s="72">
        <f>'[1]التعليم الابتدائي'!AAB480</f>
        <v>0</v>
      </c>
      <c r="S108" s="72">
        <v>0</v>
      </c>
      <c r="T108" s="72">
        <v>0</v>
      </c>
      <c r="U108" s="72">
        <f>'[1]التعليم الابتدائي'!ACS480</f>
        <v>0</v>
      </c>
      <c r="V108" s="72">
        <f>'[1]التعليم الابتدائي'!ADP480</f>
        <v>0</v>
      </c>
      <c r="W108" s="78">
        <f>SUM(B108:V108)</f>
        <v>0</v>
      </c>
    </row>
    <row r="109" spans="1:23" ht="24" thickTop="1" thickBot="1">
      <c r="A109" s="79" t="s">
        <v>58</v>
      </c>
      <c r="B109" s="80">
        <f t="shared" ref="B109:W109" si="7">B108+B107</f>
        <v>0</v>
      </c>
      <c r="C109" s="80">
        <f t="shared" si="7"/>
        <v>0</v>
      </c>
      <c r="D109" s="80">
        <f t="shared" si="7"/>
        <v>0</v>
      </c>
      <c r="E109" s="80">
        <f t="shared" si="7"/>
        <v>0</v>
      </c>
      <c r="F109" s="80">
        <f t="shared" si="7"/>
        <v>0</v>
      </c>
      <c r="G109" s="80">
        <f t="shared" si="7"/>
        <v>0</v>
      </c>
      <c r="H109" s="80">
        <f t="shared" si="7"/>
        <v>0</v>
      </c>
      <c r="I109" s="80">
        <f t="shared" si="7"/>
        <v>0</v>
      </c>
      <c r="J109" s="80">
        <f t="shared" si="7"/>
        <v>0</v>
      </c>
      <c r="K109" s="80">
        <f t="shared" si="7"/>
        <v>0</v>
      </c>
      <c r="L109" s="80">
        <f t="shared" si="7"/>
        <v>0</v>
      </c>
      <c r="M109" s="80">
        <f t="shared" si="7"/>
        <v>0</v>
      </c>
      <c r="N109" s="80">
        <f t="shared" si="7"/>
        <v>0</v>
      </c>
      <c r="O109" s="80">
        <f t="shared" si="7"/>
        <v>0</v>
      </c>
      <c r="P109" s="80">
        <f t="shared" si="7"/>
        <v>0</v>
      </c>
      <c r="Q109" s="80">
        <f t="shared" si="7"/>
        <v>0</v>
      </c>
      <c r="R109" s="80">
        <f t="shared" si="7"/>
        <v>0</v>
      </c>
      <c r="S109" s="80">
        <f t="shared" si="7"/>
        <v>0</v>
      </c>
      <c r="T109" s="80">
        <f t="shared" si="7"/>
        <v>0</v>
      </c>
      <c r="U109" s="80">
        <f t="shared" si="7"/>
        <v>0</v>
      </c>
      <c r="V109" s="80">
        <f t="shared" si="7"/>
        <v>0</v>
      </c>
      <c r="W109" s="81">
        <f t="shared" si="7"/>
        <v>0</v>
      </c>
    </row>
    <row r="110" spans="1:23" ht="23.4" thickTop="1"/>
    <row r="111" spans="1:23">
      <c r="A111" s="29" t="s">
        <v>62</v>
      </c>
      <c r="B111" s="29"/>
      <c r="C111" s="29"/>
      <c r="D111" s="29"/>
      <c r="E111" s="29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31" t="s">
        <v>293</v>
      </c>
      <c r="S111" s="231"/>
      <c r="T111" s="231"/>
      <c r="U111" s="231"/>
      <c r="V111" s="28"/>
      <c r="W111" s="28"/>
    </row>
    <row r="112" spans="1:23">
      <c r="A112" s="231" t="s">
        <v>64</v>
      </c>
      <c r="B112" s="231"/>
      <c r="C112" s="231"/>
      <c r="D112" s="231"/>
      <c r="E112" s="231"/>
      <c r="F112" s="28"/>
      <c r="G112" s="28"/>
      <c r="H112" s="28"/>
      <c r="I112" s="28"/>
      <c r="J112" s="28"/>
      <c r="K112" s="73"/>
      <c r="L112" s="73"/>
      <c r="M112" s="73"/>
      <c r="N112" s="73"/>
      <c r="O112" s="73"/>
      <c r="P112" s="73"/>
      <c r="Q112" s="73"/>
      <c r="R112" s="231" t="s">
        <v>65</v>
      </c>
      <c r="S112" s="231"/>
      <c r="T112" s="231"/>
      <c r="U112" s="231"/>
      <c r="V112" s="73"/>
      <c r="W112" s="73"/>
    </row>
    <row r="113" spans="1:2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73"/>
      <c r="P113" s="73"/>
      <c r="Q113" s="73"/>
      <c r="R113" s="73"/>
      <c r="S113" s="73"/>
      <c r="T113" s="73"/>
      <c r="U113" s="73"/>
      <c r="V113" s="73"/>
      <c r="W113" s="73"/>
    </row>
    <row r="114" spans="1:23">
      <c r="A114" s="231" t="s">
        <v>261</v>
      </c>
      <c r="B114" s="231"/>
      <c r="C114" s="231"/>
      <c r="D114" s="231"/>
      <c r="E114" s="231"/>
      <c r="F114" s="231"/>
      <c r="G114" s="231"/>
      <c r="H114" s="231"/>
      <c r="I114" s="231"/>
      <c r="J114" s="231"/>
      <c r="K114" s="231"/>
      <c r="L114" s="231"/>
      <c r="M114" s="231"/>
      <c r="N114" s="231"/>
      <c r="O114" s="73"/>
      <c r="P114" s="73"/>
      <c r="Q114" s="73"/>
      <c r="R114" s="73"/>
      <c r="S114" s="73"/>
      <c r="T114" s="73"/>
      <c r="U114" s="73"/>
      <c r="V114" s="73"/>
      <c r="W114" s="73"/>
    </row>
    <row r="115" spans="1:23">
      <c r="A115" s="231" t="s">
        <v>208</v>
      </c>
      <c r="B115" s="231"/>
      <c r="C115" s="231"/>
      <c r="D115" s="231"/>
      <c r="E115" s="231"/>
      <c r="F115" s="231"/>
      <c r="G115" s="231"/>
      <c r="H115" s="231"/>
      <c r="I115" s="231"/>
      <c r="J115" s="231"/>
      <c r="K115" s="231"/>
      <c r="L115" s="231"/>
      <c r="M115" s="231"/>
      <c r="N115" s="231"/>
      <c r="O115" s="231"/>
      <c r="P115" s="231"/>
      <c r="Q115" s="231"/>
      <c r="R115" s="231"/>
      <c r="S115" s="29"/>
      <c r="T115" s="28"/>
      <c r="U115" s="28"/>
      <c r="V115" s="28"/>
      <c r="W115" s="28"/>
    </row>
    <row r="116" spans="1:23">
      <c r="A116" s="231" t="s">
        <v>262</v>
      </c>
      <c r="B116" s="231"/>
      <c r="C116" s="231"/>
      <c r="D116" s="231"/>
      <c r="E116" s="231"/>
      <c r="F116" s="231"/>
      <c r="G116" s="231"/>
      <c r="H116" s="231"/>
      <c r="I116" s="231"/>
      <c r="J116" s="231"/>
      <c r="K116" s="231"/>
      <c r="L116" s="231"/>
      <c r="M116" s="231"/>
      <c r="N116" s="231"/>
      <c r="O116" s="73"/>
      <c r="P116" s="73"/>
      <c r="Q116" s="73"/>
      <c r="R116" s="73"/>
      <c r="S116" s="73"/>
      <c r="T116" s="73"/>
      <c r="U116" s="73"/>
      <c r="V116" s="73"/>
      <c r="W116" s="73"/>
    </row>
    <row r="117" spans="1:23" ht="23.4" thickBot="1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</row>
    <row r="118" spans="1:23" ht="106.2" thickTop="1" thickBot="1">
      <c r="A118" s="74" t="s">
        <v>145</v>
      </c>
      <c r="B118" s="75" t="s">
        <v>263</v>
      </c>
      <c r="C118" s="75" t="s">
        <v>264</v>
      </c>
      <c r="D118" s="75" t="s">
        <v>265</v>
      </c>
      <c r="E118" s="75" t="s">
        <v>266</v>
      </c>
      <c r="F118" s="75" t="s">
        <v>267</v>
      </c>
      <c r="G118" s="75" t="s">
        <v>268</v>
      </c>
      <c r="H118" s="75" t="s">
        <v>269</v>
      </c>
      <c r="I118" s="75" t="s">
        <v>270</v>
      </c>
      <c r="J118" s="75" t="s">
        <v>271</v>
      </c>
      <c r="K118" s="75" t="s">
        <v>272</v>
      </c>
      <c r="L118" s="75" t="s">
        <v>273</v>
      </c>
      <c r="M118" s="75" t="s">
        <v>274</v>
      </c>
      <c r="N118" s="75" t="s">
        <v>287</v>
      </c>
      <c r="O118" s="75" t="s">
        <v>276</v>
      </c>
      <c r="P118" s="75" t="s">
        <v>277</v>
      </c>
      <c r="Q118" s="75" t="s">
        <v>278</v>
      </c>
      <c r="R118" s="75" t="s">
        <v>279</v>
      </c>
      <c r="S118" s="75" t="s">
        <v>280</v>
      </c>
      <c r="T118" s="75" t="s">
        <v>281</v>
      </c>
      <c r="U118" s="75" t="s">
        <v>282</v>
      </c>
      <c r="V118" s="75" t="s">
        <v>190</v>
      </c>
      <c r="W118" s="76" t="s">
        <v>58</v>
      </c>
    </row>
    <row r="119" spans="1:23" ht="24" thickTop="1" thickBot="1">
      <c r="A119" s="77" t="s">
        <v>78</v>
      </c>
      <c r="B119" s="72">
        <f>'[1]التعليم الابتدائي'!LW558</f>
        <v>0</v>
      </c>
      <c r="C119" s="72">
        <f>'[1]التعليم الابتدائي'!MT558</f>
        <v>0</v>
      </c>
      <c r="D119" s="72">
        <f>'[1]التعليم الابتدائي'!NQ558</f>
        <v>0</v>
      </c>
      <c r="E119" s="72">
        <v>0</v>
      </c>
      <c r="F119" s="72">
        <f>'[1]التعليم الابتدائي'!PK558</f>
        <v>0</v>
      </c>
      <c r="G119" s="72">
        <f>'[1]التعليم الابتدائي'!QH558</f>
        <v>0</v>
      </c>
      <c r="H119" s="72">
        <f>'[1]التعليم الابتدائي'!RE558</f>
        <v>0</v>
      </c>
      <c r="I119" s="72">
        <f>'[1]التعليم الابتدائي'!SB558</f>
        <v>0</v>
      </c>
      <c r="J119" s="72">
        <f>'[1]التعليم الابتدائي'!SY558</f>
        <v>0</v>
      </c>
      <c r="K119" s="72">
        <f>'[1]التعليم الابتدائي'!TV558</f>
        <v>0</v>
      </c>
      <c r="L119" s="72">
        <f>'[1]التعليم الابتدائي'!US558</f>
        <v>0</v>
      </c>
      <c r="M119" s="72">
        <v>0</v>
      </c>
      <c r="N119" s="72">
        <v>0</v>
      </c>
      <c r="O119" s="72">
        <f>'[1]التعليم الابتدائي'!XJ558</f>
        <v>0</v>
      </c>
      <c r="P119" s="72">
        <f>'[1]التعليم الابتدائي'!ZD558</f>
        <v>0</v>
      </c>
      <c r="Q119" s="72">
        <f>'[1]التعليم الابتدائي'!YG558</f>
        <v>0</v>
      </c>
      <c r="R119" s="72">
        <v>0</v>
      </c>
      <c r="S119" s="72">
        <v>0</v>
      </c>
      <c r="T119" s="72">
        <v>0</v>
      </c>
      <c r="U119" s="72">
        <f>'[1]التعليم الابتدائي'!ACR558</f>
        <v>0</v>
      </c>
      <c r="V119" s="72">
        <f>'[1]التعليم الابتدائي'!ADO558</f>
        <v>0</v>
      </c>
      <c r="W119" s="78">
        <f>SUM(B119:V119)</f>
        <v>0</v>
      </c>
    </row>
    <row r="120" spans="1:23" ht="24" thickTop="1" thickBot="1">
      <c r="A120" s="77" t="s">
        <v>79</v>
      </c>
      <c r="B120" s="72">
        <f>'[1]التعليم الابتدائي'!LX558</f>
        <v>0</v>
      </c>
      <c r="C120" s="72">
        <f>'[1]التعليم الابتدائي'!MU558</f>
        <v>0</v>
      </c>
      <c r="D120" s="72">
        <f>'[1]التعليم الابتدائي'!NR558</f>
        <v>0</v>
      </c>
      <c r="E120" s="72">
        <v>0</v>
      </c>
      <c r="F120" s="72">
        <f>'[1]التعليم الابتدائي'!PL558</f>
        <v>0</v>
      </c>
      <c r="G120" s="72">
        <f>'[1]التعليم الابتدائي'!QI558</f>
        <v>0</v>
      </c>
      <c r="H120" s="72">
        <f>'[1]التعليم الابتدائي'!RF558</f>
        <v>0</v>
      </c>
      <c r="I120" s="72">
        <f>'[1]التعليم الابتدائي'!SC558</f>
        <v>0</v>
      </c>
      <c r="J120" s="72">
        <f>'[1]التعليم الابتدائي'!SZ558</f>
        <v>0</v>
      </c>
      <c r="K120" s="72">
        <f>'[1]التعليم الابتدائي'!TW558</f>
        <v>0</v>
      </c>
      <c r="L120" s="72">
        <f>'[1]التعليم الابتدائي'!UT558</f>
        <v>0</v>
      </c>
      <c r="M120" s="72">
        <v>0</v>
      </c>
      <c r="N120" s="72">
        <v>0</v>
      </c>
      <c r="O120" s="72">
        <f>'[1]التعليم الابتدائي'!XK558</f>
        <v>0</v>
      </c>
      <c r="P120" s="72">
        <f>'[1]التعليم الابتدائي'!ZE558</f>
        <v>0</v>
      </c>
      <c r="Q120" s="72">
        <f>'[1]التعليم الابتدائي'!YH558</f>
        <v>0</v>
      </c>
      <c r="R120" s="72">
        <v>0</v>
      </c>
      <c r="S120" s="72">
        <v>0</v>
      </c>
      <c r="T120" s="72">
        <v>0</v>
      </c>
      <c r="U120" s="72">
        <f>'[1]التعليم الابتدائي'!ACS558</f>
        <v>0</v>
      </c>
      <c r="V120" s="72">
        <f>'[1]التعليم الابتدائي'!ADP558</f>
        <v>0</v>
      </c>
      <c r="W120" s="78">
        <f>SUM(B120:V120)</f>
        <v>0</v>
      </c>
    </row>
    <row r="121" spans="1:23" ht="24" thickTop="1" thickBot="1">
      <c r="A121" s="79" t="s">
        <v>58</v>
      </c>
      <c r="B121" s="80">
        <f>B120+B119</f>
        <v>0</v>
      </c>
      <c r="C121" s="80">
        <f>C120+C119</f>
        <v>0</v>
      </c>
      <c r="D121" s="80">
        <f>D120+D119</f>
        <v>0</v>
      </c>
      <c r="E121" s="80">
        <v>0</v>
      </c>
      <c r="F121" s="80">
        <f>F120+F119</f>
        <v>0</v>
      </c>
      <c r="G121" s="80">
        <f>G120+G119</f>
        <v>0</v>
      </c>
      <c r="H121" s="80">
        <f>SUM(H119:H120)</f>
        <v>0</v>
      </c>
      <c r="I121" s="80">
        <v>0</v>
      </c>
      <c r="J121" s="80">
        <f>J120+J119</f>
        <v>0</v>
      </c>
      <c r="K121" s="80">
        <f>K120+K119</f>
        <v>0</v>
      </c>
      <c r="L121" s="80">
        <f>L120+L119</f>
        <v>0</v>
      </c>
      <c r="M121" s="80">
        <v>0</v>
      </c>
      <c r="N121" s="80">
        <v>0</v>
      </c>
      <c r="O121" s="80">
        <f>SUM(O119:O120)</f>
        <v>0</v>
      </c>
      <c r="P121" s="80">
        <f t="shared" ref="P121:W121" si="8">P120+P119</f>
        <v>0</v>
      </c>
      <c r="Q121" s="80">
        <f t="shared" si="8"/>
        <v>0</v>
      </c>
      <c r="R121" s="80">
        <f t="shared" si="8"/>
        <v>0</v>
      </c>
      <c r="S121" s="80">
        <f t="shared" si="8"/>
        <v>0</v>
      </c>
      <c r="T121" s="80">
        <f t="shared" si="8"/>
        <v>0</v>
      </c>
      <c r="U121" s="80">
        <f t="shared" si="8"/>
        <v>0</v>
      </c>
      <c r="V121" s="80">
        <f t="shared" si="8"/>
        <v>0</v>
      </c>
      <c r="W121" s="81">
        <f t="shared" si="8"/>
        <v>0</v>
      </c>
    </row>
    <row r="122" spans="1:23" ht="23.4" thickTop="1"/>
    <row r="123" spans="1:23">
      <c r="A123" s="29" t="s">
        <v>62</v>
      </c>
      <c r="B123" s="29"/>
      <c r="C123" s="29"/>
      <c r="D123" s="29"/>
      <c r="E123" s="29"/>
      <c r="F123" s="28"/>
      <c r="G123" s="28"/>
      <c r="H123" s="28"/>
      <c r="I123" s="28"/>
      <c r="J123" s="28"/>
      <c r="K123" s="231" t="s">
        <v>294</v>
      </c>
      <c r="L123" s="231"/>
      <c r="M123" s="231"/>
      <c r="N123" s="231"/>
      <c r="O123" s="73"/>
      <c r="P123" s="73"/>
      <c r="Q123" s="73"/>
      <c r="R123" s="73"/>
      <c r="S123" s="73"/>
      <c r="T123" s="73"/>
      <c r="U123" s="73"/>
      <c r="V123" s="73"/>
      <c r="W123" s="73"/>
    </row>
    <row r="124" spans="1:23">
      <c r="A124" s="231" t="s">
        <v>64</v>
      </c>
      <c r="B124" s="231"/>
      <c r="C124" s="231"/>
      <c r="D124" s="231"/>
      <c r="E124" s="231"/>
      <c r="F124" s="28"/>
      <c r="G124" s="28"/>
      <c r="H124" s="28"/>
      <c r="I124" s="28"/>
      <c r="J124" s="28"/>
      <c r="K124" s="231" t="s">
        <v>65</v>
      </c>
      <c r="L124" s="231"/>
      <c r="M124" s="231"/>
      <c r="N124" s="231"/>
      <c r="O124" s="73"/>
      <c r="P124" s="73"/>
      <c r="Q124" s="73"/>
      <c r="R124" s="73"/>
      <c r="S124" s="73"/>
      <c r="T124" s="73"/>
      <c r="U124" s="73"/>
      <c r="V124" s="73"/>
      <c r="W124" s="73"/>
    </row>
    <row r="125" spans="1:23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73"/>
      <c r="P125" s="73"/>
      <c r="Q125" s="73"/>
      <c r="R125" s="73"/>
      <c r="S125" s="73"/>
      <c r="T125" s="73"/>
      <c r="U125" s="73"/>
      <c r="V125" s="73"/>
      <c r="W125" s="73"/>
    </row>
    <row r="126" spans="1:23">
      <c r="A126" s="231" t="s">
        <v>261</v>
      </c>
      <c r="B126" s="231"/>
      <c r="C126" s="231"/>
      <c r="D126" s="231"/>
      <c r="E126" s="231"/>
      <c r="F126" s="231"/>
      <c r="G126" s="231"/>
      <c r="H126" s="231"/>
      <c r="I126" s="231"/>
      <c r="J126" s="231"/>
      <c r="K126" s="231"/>
      <c r="L126" s="231"/>
      <c r="M126" s="231"/>
      <c r="N126" s="231"/>
      <c r="O126" s="73"/>
      <c r="P126" s="73"/>
      <c r="Q126" s="73"/>
      <c r="R126" s="73"/>
      <c r="S126" s="73"/>
      <c r="T126" s="73"/>
      <c r="U126" s="73"/>
      <c r="V126" s="73"/>
      <c r="W126" s="73"/>
    </row>
    <row r="127" spans="1:23">
      <c r="A127" s="231" t="s">
        <v>208</v>
      </c>
      <c r="B127" s="231"/>
      <c r="C127" s="231"/>
      <c r="D127" s="231"/>
      <c r="E127" s="231"/>
      <c r="F127" s="231"/>
      <c r="G127" s="231"/>
      <c r="H127" s="231"/>
      <c r="I127" s="231"/>
      <c r="J127" s="231"/>
      <c r="K127" s="231"/>
      <c r="L127" s="231"/>
      <c r="M127" s="231"/>
      <c r="N127" s="231"/>
      <c r="O127" s="231"/>
      <c r="P127" s="231"/>
      <c r="Q127" s="231"/>
      <c r="R127" s="231"/>
      <c r="S127" s="29"/>
      <c r="T127" s="28"/>
      <c r="U127" s="28"/>
      <c r="V127" s="28"/>
      <c r="W127" s="28"/>
    </row>
    <row r="128" spans="1:23">
      <c r="A128" s="231" t="s">
        <v>262</v>
      </c>
      <c r="B128" s="231"/>
      <c r="C128" s="231"/>
      <c r="D128" s="231"/>
      <c r="E128" s="231"/>
      <c r="F128" s="231"/>
      <c r="G128" s="231"/>
      <c r="H128" s="231"/>
      <c r="I128" s="231"/>
      <c r="J128" s="231"/>
      <c r="K128" s="231"/>
      <c r="L128" s="231"/>
      <c r="M128" s="231"/>
      <c r="N128" s="231"/>
      <c r="O128" s="73"/>
      <c r="P128" s="73"/>
      <c r="Q128" s="73"/>
      <c r="R128" s="73"/>
      <c r="S128" s="73"/>
      <c r="T128" s="73"/>
      <c r="U128" s="73"/>
      <c r="V128" s="73"/>
      <c r="W128" s="73"/>
    </row>
    <row r="129" spans="1:23" ht="23.4" thickBot="1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</row>
    <row r="130" spans="1:23" ht="106.2" thickTop="1" thickBot="1">
      <c r="A130" s="74" t="s">
        <v>145</v>
      </c>
      <c r="B130" s="75" t="s">
        <v>263</v>
      </c>
      <c r="C130" s="75" t="s">
        <v>264</v>
      </c>
      <c r="D130" s="75" t="s">
        <v>265</v>
      </c>
      <c r="E130" s="75" t="s">
        <v>266</v>
      </c>
      <c r="F130" s="75" t="s">
        <v>267</v>
      </c>
      <c r="G130" s="75" t="s">
        <v>268</v>
      </c>
      <c r="H130" s="75" t="s">
        <v>269</v>
      </c>
      <c r="I130" s="75" t="s">
        <v>270</v>
      </c>
      <c r="J130" s="75" t="s">
        <v>271</v>
      </c>
      <c r="K130" s="75" t="s">
        <v>272</v>
      </c>
      <c r="L130" s="75" t="s">
        <v>273</v>
      </c>
      <c r="M130" s="75" t="s">
        <v>274</v>
      </c>
      <c r="N130" s="75" t="s">
        <v>287</v>
      </c>
      <c r="O130" s="75" t="s">
        <v>276</v>
      </c>
      <c r="P130" s="75" t="s">
        <v>277</v>
      </c>
      <c r="Q130" s="75" t="s">
        <v>278</v>
      </c>
      <c r="R130" s="75" t="s">
        <v>279</v>
      </c>
      <c r="S130" s="75" t="s">
        <v>280</v>
      </c>
      <c r="T130" s="75" t="s">
        <v>281</v>
      </c>
      <c r="U130" s="75" t="s">
        <v>282</v>
      </c>
      <c r="V130" s="75" t="s">
        <v>190</v>
      </c>
      <c r="W130" s="76" t="s">
        <v>58</v>
      </c>
    </row>
    <row r="131" spans="1:23" ht="24" thickTop="1" thickBot="1">
      <c r="A131" s="77" t="s">
        <v>78</v>
      </c>
      <c r="B131" s="72">
        <f>'[1]التعليم الابتدائي'!LW580</f>
        <v>0</v>
      </c>
      <c r="C131" s="72">
        <f>'[1]التعليم الابتدائي'!MT580</f>
        <v>0</v>
      </c>
      <c r="D131" s="72">
        <f>'[1]التعليم الابتدائي'!NQ580</f>
        <v>0</v>
      </c>
      <c r="E131" s="72">
        <v>0</v>
      </c>
      <c r="F131" s="72">
        <f>'[1]التعليم الابتدائي'!PK580</f>
        <v>0</v>
      </c>
      <c r="G131" s="72">
        <f>'[1]التعليم الابتدائي'!QH580</f>
        <v>0</v>
      </c>
      <c r="H131" s="72">
        <f>'[1]التعليم الابتدائي'!RE580</f>
        <v>0</v>
      </c>
      <c r="I131" s="72">
        <v>0</v>
      </c>
      <c r="J131" s="72">
        <f>'[1]التعليم الابتدائي'!SY580</f>
        <v>0</v>
      </c>
      <c r="K131" s="72">
        <f>'[1]التعليم الابتدائي'!TV580</f>
        <v>0</v>
      </c>
      <c r="L131" s="72">
        <f>'[1]التعليم الابتدائي'!US580</f>
        <v>0</v>
      </c>
      <c r="M131" s="72">
        <v>0</v>
      </c>
      <c r="N131" s="72">
        <f>'[1]التعليم الابتدائي'!WM580</f>
        <v>0</v>
      </c>
      <c r="O131" s="72">
        <f>'[1]التعليم الابتدائي'!XJ580</f>
        <v>0</v>
      </c>
      <c r="P131" s="72">
        <f>'[1]التعليم الابتدائي'!ZD580</f>
        <v>0</v>
      </c>
      <c r="Q131" s="72">
        <f>'[1]التعليم الابتدائي'!YG580</f>
        <v>0</v>
      </c>
      <c r="R131" s="72">
        <v>0</v>
      </c>
      <c r="S131" s="72">
        <v>0</v>
      </c>
      <c r="T131" s="72">
        <v>0</v>
      </c>
      <c r="U131" s="72">
        <f>'[1]التعليم الابتدائي'!ACR580</f>
        <v>0</v>
      </c>
      <c r="V131" s="72">
        <f>'[1]التعليم الابتدائي'!ADO580</f>
        <v>0</v>
      </c>
      <c r="W131" s="78">
        <f>SUM(B131:V131)</f>
        <v>0</v>
      </c>
    </row>
    <row r="132" spans="1:23" ht="24" thickTop="1" thickBot="1">
      <c r="A132" s="77" t="s">
        <v>79</v>
      </c>
      <c r="B132" s="72">
        <f>'[1]التعليم الابتدائي'!LX580</f>
        <v>0</v>
      </c>
      <c r="C132" s="72">
        <f>'[1]التعليم الابتدائي'!MU580</f>
        <v>0</v>
      </c>
      <c r="D132" s="72">
        <f>'[1]التعليم الابتدائي'!NR580</f>
        <v>0</v>
      </c>
      <c r="E132" s="72">
        <v>0</v>
      </c>
      <c r="F132" s="72">
        <f>'[1]التعليم الابتدائي'!PL580</f>
        <v>0</v>
      </c>
      <c r="G132" s="72">
        <f>'[1]التعليم الابتدائي'!QI580</f>
        <v>0</v>
      </c>
      <c r="H132" s="72">
        <f>'[1]التعليم الابتدائي'!RF580</f>
        <v>0</v>
      </c>
      <c r="I132" s="72">
        <f>'[1]التعليم الابتدائي'!SC580</f>
        <v>0</v>
      </c>
      <c r="J132" s="72">
        <f>'[1]التعليم الابتدائي'!SZ580</f>
        <v>0</v>
      </c>
      <c r="K132" s="72">
        <f>'[1]التعليم الابتدائي'!TW580</f>
        <v>0</v>
      </c>
      <c r="L132" s="72">
        <f>'[1]التعليم الابتدائي'!UT580</f>
        <v>0</v>
      </c>
      <c r="M132" s="72">
        <v>0</v>
      </c>
      <c r="N132" s="72">
        <f>'[1]التعليم الابتدائي'!WN580</f>
        <v>0</v>
      </c>
      <c r="O132" s="72">
        <f>'[1]التعليم الابتدائي'!XK580</f>
        <v>0</v>
      </c>
      <c r="P132" s="72">
        <f>'[1]التعليم الابتدائي'!ZE580</f>
        <v>0</v>
      </c>
      <c r="Q132" s="72">
        <f>'[1]التعليم الابتدائي'!YH580</f>
        <v>0</v>
      </c>
      <c r="R132" s="72">
        <v>0</v>
      </c>
      <c r="S132" s="72">
        <v>0</v>
      </c>
      <c r="T132" s="72">
        <v>0</v>
      </c>
      <c r="U132" s="72">
        <f>'[1]التعليم الابتدائي'!ACS580</f>
        <v>0</v>
      </c>
      <c r="V132" s="72">
        <f>'[1]التعليم الابتدائي'!ADP580</f>
        <v>0</v>
      </c>
      <c r="W132" s="78">
        <f>SUM(B132:V132)</f>
        <v>0</v>
      </c>
    </row>
    <row r="133" spans="1:23" ht="24" thickTop="1" thickBot="1">
      <c r="A133" s="79" t="s">
        <v>58</v>
      </c>
      <c r="B133" s="80">
        <f>B132+B131</f>
        <v>0</v>
      </c>
      <c r="C133" s="80">
        <f>C132+C131</f>
        <v>0</v>
      </c>
      <c r="D133" s="80">
        <f>SUM(D131:D132)</f>
        <v>0</v>
      </c>
      <c r="E133" s="80">
        <f>E132+E131</f>
        <v>0</v>
      </c>
      <c r="F133" s="80">
        <f>F132+F131</f>
        <v>0</v>
      </c>
      <c r="G133" s="80">
        <f>G132+G131</f>
        <v>0</v>
      </c>
      <c r="H133" s="80">
        <f>SUM(H131:H132)</f>
        <v>0</v>
      </c>
      <c r="I133" s="80">
        <f>SUM(I131:I132)</f>
        <v>0</v>
      </c>
      <c r="J133" s="80">
        <f>J132+J131</f>
        <v>0</v>
      </c>
      <c r="K133" s="80">
        <f>K132+K131</f>
        <v>0</v>
      </c>
      <c r="L133" s="80">
        <f>L132+L131</f>
        <v>0</v>
      </c>
      <c r="M133" s="80">
        <v>0</v>
      </c>
      <c r="N133" s="80">
        <f>N132+N131</f>
        <v>0</v>
      </c>
      <c r="O133" s="80">
        <f>SUM(O131:O132)</f>
        <v>0</v>
      </c>
      <c r="P133" s="80">
        <f t="shared" ref="P133:W133" si="9">P132+P131</f>
        <v>0</v>
      </c>
      <c r="Q133" s="80">
        <f t="shared" si="9"/>
        <v>0</v>
      </c>
      <c r="R133" s="80">
        <f t="shared" si="9"/>
        <v>0</v>
      </c>
      <c r="S133" s="80">
        <f t="shared" si="9"/>
        <v>0</v>
      </c>
      <c r="T133" s="80">
        <f t="shared" si="9"/>
        <v>0</v>
      </c>
      <c r="U133" s="80">
        <f t="shared" si="9"/>
        <v>0</v>
      </c>
      <c r="V133" s="80">
        <f t="shared" si="9"/>
        <v>0</v>
      </c>
      <c r="W133" s="81">
        <f t="shared" si="9"/>
        <v>0</v>
      </c>
    </row>
    <row r="134" spans="1:23" ht="23.4" thickTop="1"/>
    <row r="135" spans="1:23">
      <c r="A135" s="29" t="s">
        <v>62</v>
      </c>
      <c r="B135" s="29"/>
      <c r="C135" s="29"/>
      <c r="D135" s="29"/>
      <c r="E135" s="29"/>
      <c r="F135" s="28"/>
      <c r="G135" s="28"/>
      <c r="H135" s="28"/>
      <c r="I135" s="28"/>
      <c r="J135" s="28"/>
      <c r="K135" s="28"/>
      <c r="L135" s="231" t="s">
        <v>295</v>
      </c>
      <c r="M135" s="231"/>
      <c r="N135" s="231"/>
      <c r="O135" s="28"/>
      <c r="P135" s="28"/>
      <c r="Q135" s="28"/>
      <c r="R135" s="28"/>
      <c r="S135" s="28"/>
      <c r="T135" s="28"/>
      <c r="U135" s="28"/>
      <c r="V135" s="28"/>
      <c r="W135" s="28"/>
    </row>
    <row r="136" spans="1:23">
      <c r="A136" s="231" t="s">
        <v>64</v>
      </c>
      <c r="B136" s="231"/>
      <c r="C136" s="231"/>
      <c r="D136" s="231"/>
      <c r="E136" s="231"/>
      <c r="F136" s="28"/>
      <c r="G136" s="28"/>
      <c r="H136" s="28"/>
      <c r="I136" s="28"/>
      <c r="J136" s="28"/>
      <c r="K136" s="28"/>
      <c r="L136" s="231" t="s">
        <v>65</v>
      </c>
      <c r="M136" s="231"/>
      <c r="N136" s="231"/>
      <c r="O136" s="28"/>
      <c r="P136" s="28"/>
      <c r="Q136" s="28"/>
      <c r="R136" s="28"/>
      <c r="S136" s="28"/>
      <c r="T136" s="28"/>
      <c r="U136" s="28"/>
      <c r="V136" s="28"/>
      <c r="W136" s="28"/>
    </row>
    <row r="137" spans="1:23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</row>
    <row r="138" spans="1:23">
      <c r="A138" s="231" t="s">
        <v>261</v>
      </c>
      <c r="B138" s="231"/>
      <c r="C138" s="231"/>
      <c r="D138" s="231"/>
      <c r="E138" s="231"/>
      <c r="F138" s="231"/>
      <c r="G138" s="231"/>
      <c r="H138" s="231"/>
      <c r="I138" s="231"/>
      <c r="J138" s="231"/>
      <c r="K138" s="231"/>
      <c r="L138" s="231"/>
      <c r="M138" s="231"/>
      <c r="N138" s="231"/>
      <c r="O138" s="29"/>
      <c r="P138" s="29"/>
      <c r="Q138" s="29"/>
      <c r="R138" s="29"/>
      <c r="S138" s="29"/>
      <c r="T138" s="28"/>
      <c r="U138" s="28"/>
      <c r="V138" s="28"/>
      <c r="W138" s="28"/>
    </row>
    <row r="139" spans="1:23">
      <c r="A139" s="231" t="s">
        <v>208</v>
      </c>
      <c r="B139" s="231"/>
      <c r="C139" s="231"/>
      <c r="D139" s="231"/>
      <c r="E139" s="231"/>
      <c r="F139" s="231"/>
      <c r="G139" s="231"/>
      <c r="H139" s="231"/>
      <c r="I139" s="231"/>
      <c r="J139" s="231"/>
      <c r="K139" s="231"/>
      <c r="L139" s="231"/>
      <c r="M139" s="231"/>
      <c r="N139" s="231"/>
      <c r="O139" s="231"/>
      <c r="P139" s="231"/>
      <c r="Q139" s="231"/>
      <c r="R139" s="231"/>
      <c r="S139" s="29"/>
      <c r="T139" s="28"/>
      <c r="U139" s="28"/>
      <c r="V139" s="28"/>
      <c r="W139" s="28"/>
    </row>
    <row r="140" spans="1:23">
      <c r="A140" s="231" t="s">
        <v>262</v>
      </c>
      <c r="B140" s="231"/>
      <c r="C140" s="231"/>
      <c r="D140" s="231"/>
      <c r="E140" s="231"/>
      <c r="F140" s="231"/>
      <c r="G140" s="231"/>
      <c r="H140" s="231"/>
      <c r="I140" s="231"/>
      <c r="J140" s="231"/>
      <c r="K140" s="231"/>
      <c r="L140" s="231"/>
      <c r="M140" s="231"/>
      <c r="N140" s="231"/>
      <c r="O140" s="29"/>
      <c r="P140" s="29"/>
      <c r="Q140" s="29"/>
      <c r="R140" s="29"/>
      <c r="S140" s="29"/>
      <c r="T140" s="28"/>
      <c r="U140" s="28"/>
      <c r="V140" s="28"/>
      <c r="W140" s="28"/>
    </row>
    <row r="141" spans="1:23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</row>
    <row r="142" spans="1:23" ht="23.4" thickBot="1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</row>
    <row r="143" spans="1:23" ht="106.2" thickTop="1" thickBot="1">
      <c r="A143" s="74" t="s">
        <v>145</v>
      </c>
      <c r="B143" s="75" t="s">
        <v>263</v>
      </c>
      <c r="C143" s="75" t="s">
        <v>264</v>
      </c>
      <c r="D143" s="75" t="s">
        <v>265</v>
      </c>
      <c r="E143" s="75" t="s">
        <v>266</v>
      </c>
      <c r="F143" s="75" t="s">
        <v>267</v>
      </c>
      <c r="G143" s="75" t="s">
        <v>268</v>
      </c>
      <c r="H143" s="75" t="s">
        <v>269</v>
      </c>
      <c r="I143" s="75" t="s">
        <v>270</v>
      </c>
      <c r="J143" s="75" t="s">
        <v>271</v>
      </c>
      <c r="K143" s="75" t="s">
        <v>272</v>
      </c>
      <c r="L143" s="75" t="s">
        <v>273</v>
      </c>
      <c r="M143" s="75" t="s">
        <v>274</v>
      </c>
      <c r="N143" s="75" t="s">
        <v>287</v>
      </c>
      <c r="O143" s="75" t="s">
        <v>276</v>
      </c>
      <c r="P143" s="75" t="s">
        <v>277</v>
      </c>
      <c r="Q143" s="75" t="s">
        <v>278</v>
      </c>
      <c r="R143" s="75" t="s">
        <v>279</v>
      </c>
      <c r="S143" s="75" t="s">
        <v>280</v>
      </c>
      <c r="T143" s="75" t="s">
        <v>281</v>
      </c>
      <c r="U143" s="75" t="s">
        <v>282</v>
      </c>
      <c r="V143" s="75" t="s">
        <v>190</v>
      </c>
      <c r="W143" s="76" t="s">
        <v>58</v>
      </c>
    </row>
    <row r="144" spans="1:23" ht="24" thickTop="1" thickBot="1">
      <c r="A144" s="77" t="s">
        <v>78</v>
      </c>
      <c r="B144" s="72">
        <f>'[1]التعليم الابتدائي'!LW644</f>
        <v>0</v>
      </c>
      <c r="C144" s="72">
        <f>'[1]التعليم الابتدائي'!MT644</f>
        <v>0</v>
      </c>
      <c r="D144" s="72">
        <f>'[1]التعليم الابتدائي'!NQ644</f>
        <v>0</v>
      </c>
      <c r="E144" s="72">
        <f>'[1]التعليم الابتدائي'!ON644</f>
        <v>0</v>
      </c>
      <c r="F144" s="72">
        <f>'[1]التعليم الابتدائي'!PK644</f>
        <v>0</v>
      </c>
      <c r="G144" s="72">
        <f>'[1]التعليم الابتدائي'!QH644</f>
        <v>0</v>
      </c>
      <c r="H144" s="72">
        <f>'[1]التعليم الابتدائي'!RE644</f>
        <v>0</v>
      </c>
      <c r="I144" s="72">
        <f>'[1]التعليم الابتدائي'!SB644</f>
        <v>0</v>
      </c>
      <c r="J144" s="72">
        <f>'[1]التعليم الابتدائي'!SY644</f>
        <v>0</v>
      </c>
      <c r="K144" s="72">
        <f>'[1]التعليم الابتدائي'!TV644</f>
        <v>0</v>
      </c>
      <c r="L144" s="72">
        <f>'[1]التعليم الابتدائي'!US644</f>
        <v>0</v>
      </c>
      <c r="M144" s="72">
        <f>'[1]التعليم الابتدائي'!VP644</f>
        <v>0</v>
      </c>
      <c r="N144" s="72">
        <f>'[1]التعليم الابتدائي'!WM644</f>
        <v>0</v>
      </c>
      <c r="O144" s="72">
        <f>'[1]التعليم الابتدائي'!XJ644</f>
        <v>0</v>
      </c>
      <c r="P144" s="72">
        <f>'[1]التعليم الابتدائي'!ZD644</f>
        <v>0</v>
      </c>
      <c r="Q144" s="72">
        <f>'[1]التعليم الابتدائي'!YG644</f>
        <v>0</v>
      </c>
      <c r="R144" s="72">
        <f>'[1]التعليم الابتدائي'!AAA644</f>
        <v>0</v>
      </c>
      <c r="S144" s="72">
        <v>0</v>
      </c>
      <c r="T144" s="72">
        <v>0</v>
      </c>
      <c r="U144" s="72">
        <f>'[1]التعليم الابتدائي'!ACR644</f>
        <v>0</v>
      </c>
      <c r="V144" s="72">
        <f>'[1]التعليم الابتدائي'!ADO644</f>
        <v>0</v>
      </c>
      <c r="W144" s="78">
        <f>SUM(B144:V144)</f>
        <v>0</v>
      </c>
    </row>
    <row r="145" spans="1:23" ht="24" thickTop="1" thickBot="1">
      <c r="A145" s="77" t="s">
        <v>79</v>
      </c>
      <c r="B145" s="72">
        <f>'[1]التعليم الابتدائي'!LX644</f>
        <v>0</v>
      </c>
      <c r="C145" s="72">
        <f>'[1]التعليم الابتدائي'!MU644</f>
        <v>1</v>
      </c>
      <c r="D145" s="72">
        <f>'[1]التعليم الابتدائي'!NR644</f>
        <v>0</v>
      </c>
      <c r="E145" s="72">
        <f>'[1]التعليم الابتدائي'!OO644</f>
        <v>0</v>
      </c>
      <c r="F145" s="72">
        <f>'[1]التعليم الابتدائي'!PL644</f>
        <v>0</v>
      </c>
      <c r="G145" s="72">
        <f>'[1]التعليم الابتدائي'!QI644</f>
        <v>0</v>
      </c>
      <c r="H145" s="72">
        <f>'[1]التعليم الابتدائي'!RF644</f>
        <v>0</v>
      </c>
      <c r="I145" s="72">
        <f>'[1]التعليم الابتدائي'!SC644</f>
        <v>0</v>
      </c>
      <c r="J145" s="72">
        <f>'[1]التعليم الابتدائي'!SZ644</f>
        <v>0</v>
      </c>
      <c r="K145" s="72">
        <f>'[1]التعليم الابتدائي'!TW644</f>
        <v>0</v>
      </c>
      <c r="L145" s="72">
        <f>'[1]التعليم الابتدائي'!UT644</f>
        <v>0</v>
      </c>
      <c r="M145" s="72">
        <f>'[1]التعليم الابتدائي'!VQ644</f>
        <v>0</v>
      </c>
      <c r="N145" s="72">
        <f>'[1]التعليم الابتدائي'!WN644</f>
        <v>0</v>
      </c>
      <c r="O145" s="72">
        <f>'[1]التعليم الابتدائي'!XK644</f>
        <v>0</v>
      </c>
      <c r="P145" s="72">
        <f>'[1]التعليم الابتدائي'!ZE644</f>
        <v>0</v>
      </c>
      <c r="Q145" s="72">
        <f>'[1]التعليم الابتدائي'!YH644</f>
        <v>0</v>
      </c>
      <c r="R145" s="72">
        <f>'[1]التعليم الابتدائي'!AAB644</f>
        <v>0</v>
      </c>
      <c r="S145" s="72">
        <v>0</v>
      </c>
      <c r="T145" s="72">
        <v>0</v>
      </c>
      <c r="U145" s="72">
        <f>'[1]التعليم الابتدائي'!ACS644</f>
        <v>0</v>
      </c>
      <c r="V145" s="72">
        <f>'[1]التعليم الابتدائي'!ADP644</f>
        <v>0</v>
      </c>
      <c r="W145" s="78">
        <f>SUM(B145:V145)</f>
        <v>1</v>
      </c>
    </row>
    <row r="146" spans="1:23" ht="24" thickTop="1" thickBot="1">
      <c r="A146" s="79" t="s">
        <v>58</v>
      </c>
      <c r="B146" s="80">
        <f t="shared" ref="B146:W146" si="10">B145+B144</f>
        <v>0</v>
      </c>
      <c r="C146" s="80">
        <f t="shared" si="10"/>
        <v>1</v>
      </c>
      <c r="D146" s="80">
        <f t="shared" si="10"/>
        <v>0</v>
      </c>
      <c r="E146" s="80">
        <f t="shared" si="10"/>
        <v>0</v>
      </c>
      <c r="F146" s="80">
        <f t="shared" si="10"/>
        <v>0</v>
      </c>
      <c r="G146" s="80">
        <f t="shared" si="10"/>
        <v>0</v>
      </c>
      <c r="H146" s="80">
        <f t="shared" si="10"/>
        <v>0</v>
      </c>
      <c r="I146" s="80">
        <f t="shared" si="10"/>
        <v>0</v>
      </c>
      <c r="J146" s="80">
        <f t="shared" si="10"/>
        <v>0</v>
      </c>
      <c r="K146" s="80">
        <f t="shared" si="10"/>
        <v>0</v>
      </c>
      <c r="L146" s="80">
        <f t="shared" si="10"/>
        <v>0</v>
      </c>
      <c r="M146" s="80">
        <f t="shared" si="10"/>
        <v>0</v>
      </c>
      <c r="N146" s="80">
        <f t="shared" si="10"/>
        <v>0</v>
      </c>
      <c r="O146" s="80">
        <f t="shared" si="10"/>
        <v>0</v>
      </c>
      <c r="P146" s="80">
        <f t="shared" si="10"/>
        <v>0</v>
      </c>
      <c r="Q146" s="80">
        <f t="shared" si="10"/>
        <v>0</v>
      </c>
      <c r="R146" s="80">
        <f t="shared" si="10"/>
        <v>0</v>
      </c>
      <c r="S146" s="80">
        <f t="shared" si="10"/>
        <v>0</v>
      </c>
      <c r="T146" s="80">
        <f t="shared" si="10"/>
        <v>0</v>
      </c>
      <c r="U146" s="80">
        <f t="shared" si="10"/>
        <v>0</v>
      </c>
      <c r="V146" s="80">
        <f t="shared" si="10"/>
        <v>0</v>
      </c>
      <c r="W146" s="81">
        <f t="shared" si="10"/>
        <v>1</v>
      </c>
    </row>
    <row r="147" spans="1:23" ht="23.4" thickTop="1"/>
    <row r="148" spans="1:23">
      <c r="A148" s="29" t="s">
        <v>62</v>
      </c>
      <c r="B148" s="29"/>
      <c r="C148" s="29"/>
      <c r="D148" s="29"/>
      <c r="E148" s="29"/>
      <c r="F148" s="28"/>
      <c r="G148" s="28"/>
      <c r="H148" s="28"/>
      <c r="I148" s="28"/>
      <c r="J148" s="28"/>
      <c r="K148" s="28"/>
      <c r="L148" s="231" t="s">
        <v>296</v>
      </c>
      <c r="M148" s="231"/>
      <c r="N148" s="231"/>
      <c r="O148" s="28"/>
      <c r="P148" s="28"/>
      <c r="Q148" s="28"/>
      <c r="R148" s="28"/>
      <c r="S148" s="28"/>
      <c r="T148" s="28"/>
      <c r="U148" s="28"/>
      <c r="V148" s="28"/>
    </row>
    <row r="149" spans="1:23">
      <c r="A149" s="231" t="s">
        <v>64</v>
      </c>
      <c r="B149" s="231"/>
      <c r="C149" s="231"/>
      <c r="D149" s="231"/>
      <c r="E149" s="231"/>
      <c r="F149" s="28"/>
      <c r="G149" s="28"/>
      <c r="H149" s="28"/>
      <c r="I149" s="28"/>
      <c r="J149" s="28"/>
      <c r="K149" s="28"/>
      <c r="L149" s="231" t="s">
        <v>65</v>
      </c>
      <c r="M149" s="231"/>
      <c r="N149" s="231"/>
      <c r="O149" s="231"/>
      <c r="P149" s="28"/>
      <c r="Q149" s="28"/>
      <c r="R149" s="28"/>
      <c r="S149" s="28"/>
      <c r="T149" s="28"/>
      <c r="U149" s="28"/>
      <c r="V149" s="28"/>
    </row>
    <row r="150" spans="1:23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</row>
    <row r="151" spans="1:23">
      <c r="A151" s="231" t="s">
        <v>261</v>
      </c>
      <c r="B151" s="231"/>
      <c r="C151" s="231"/>
      <c r="D151" s="231"/>
      <c r="E151" s="231"/>
      <c r="F151" s="231"/>
      <c r="G151" s="231"/>
      <c r="H151" s="231"/>
      <c r="I151" s="231"/>
      <c r="J151" s="231"/>
      <c r="K151" s="231"/>
      <c r="L151" s="231"/>
      <c r="M151" s="231"/>
      <c r="N151" s="231"/>
      <c r="O151" s="29"/>
      <c r="P151" s="29"/>
      <c r="Q151" s="29"/>
      <c r="R151" s="29"/>
      <c r="S151" s="29"/>
      <c r="T151" s="28"/>
      <c r="U151" s="28"/>
      <c r="V151" s="28"/>
    </row>
    <row r="152" spans="1:23">
      <c r="A152" s="282" t="s">
        <v>208</v>
      </c>
      <c r="B152" s="282"/>
      <c r="C152" s="282"/>
      <c r="D152" s="282"/>
      <c r="E152" s="282"/>
      <c r="F152" s="282"/>
      <c r="G152" s="282"/>
      <c r="H152" s="282"/>
      <c r="I152" s="282"/>
      <c r="J152" s="282"/>
      <c r="K152" s="282"/>
      <c r="L152" s="282"/>
      <c r="M152" s="282"/>
      <c r="N152" s="282"/>
      <c r="O152" s="282"/>
      <c r="P152" s="282"/>
      <c r="Q152" s="282"/>
      <c r="R152" s="282"/>
      <c r="S152" s="29"/>
      <c r="T152" s="28"/>
      <c r="U152" s="28"/>
      <c r="V152" s="28"/>
    </row>
    <row r="153" spans="1:23">
      <c r="A153" s="231" t="s">
        <v>262</v>
      </c>
      <c r="B153" s="231"/>
      <c r="C153" s="231"/>
      <c r="D153" s="231"/>
      <c r="E153" s="231"/>
      <c r="F153" s="231"/>
      <c r="G153" s="231"/>
      <c r="H153" s="231"/>
      <c r="I153" s="231"/>
      <c r="J153" s="231"/>
      <c r="K153" s="231"/>
      <c r="L153" s="231"/>
      <c r="M153" s="231"/>
      <c r="N153" s="231"/>
      <c r="O153" s="29"/>
      <c r="P153" s="29"/>
      <c r="Q153" s="29"/>
      <c r="R153" s="29"/>
      <c r="S153" s="29"/>
      <c r="T153" s="28"/>
      <c r="U153" s="28"/>
      <c r="V153" s="28"/>
    </row>
    <row r="154" spans="1:23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</row>
    <row r="155" spans="1:23" ht="23.4" thickBot="1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</row>
    <row r="156" spans="1:23" ht="106.2" thickTop="1" thickBot="1">
      <c r="A156" s="74" t="s">
        <v>145</v>
      </c>
      <c r="B156" s="75" t="s">
        <v>263</v>
      </c>
      <c r="C156" s="75" t="s">
        <v>264</v>
      </c>
      <c r="D156" s="75" t="s">
        <v>265</v>
      </c>
      <c r="E156" s="75" t="s">
        <v>266</v>
      </c>
      <c r="F156" s="75" t="s">
        <v>267</v>
      </c>
      <c r="G156" s="75" t="s">
        <v>268</v>
      </c>
      <c r="H156" s="75" t="s">
        <v>269</v>
      </c>
      <c r="I156" s="75" t="s">
        <v>270</v>
      </c>
      <c r="J156" s="75" t="s">
        <v>271</v>
      </c>
      <c r="K156" s="75" t="s">
        <v>272</v>
      </c>
      <c r="L156" s="75" t="s">
        <v>273</v>
      </c>
      <c r="M156" s="75" t="s">
        <v>274</v>
      </c>
      <c r="N156" s="75" t="s">
        <v>287</v>
      </c>
      <c r="O156" s="75" t="s">
        <v>276</v>
      </c>
      <c r="P156" s="75" t="s">
        <v>277</v>
      </c>
      <c r="Q156" s="75" t="s">
        <v>278</v>
      </c>
      <c r="R156" s="75" t="s">
        <v>279</v>
      </c>
      <c r="S156" s="75" t="s">
        <v>280</v>
      </c>
      <c r="T156" s="75" t="s">
        <v>281</v>
      </c>
      <c r="U156" s="75" t="s">
        <v>282</v>
      </c>
      <c r="V156" s="75" t="s">
        <v>190</v>
      </c>
      <c r="W156" s="76" t="s">
        <v>58</v>
      </c>
    </row>
    <row r="157" spans="1:23" ht="24" thickTop="1" thickBot="1">
      <c r="A157" s="77" t="s">
        <v>78</v>
      </c>
      <c r="B157" s="72">
        <f>'[1]التعليم الابتدائي'!LW607</f>
        <v>0</v>
      </c>
      <c r="C157" s="72">
        <f>'[1]التعليم الابتدائي'!MT607</f>
        <v>0</v>
      </c>
      <c r="D157" s="72">
        <f>'[1]التعليم الابتدائي'!NQ607</f>
        <v>0</v>
      </c>
      <c r="E157" s="72">
        <v>0</v>
      </c>
      <c r="F157" s="72">
        <f>'[1]التعليم الابتدائي'!PK607</f>
        <v>0</v>
      </c>
      <c r="G157" s="72">
        <f>'[1]التعليم الابتدائي'!QH607</f>
        <v>0</v>
      </c>
      <c r="H157" s="72">
        <f>'[1]التعليم الابتدائي'!RE607</f>
        <v>0</v>
      </c>
      <c r="I157" s="72">
        <f>'[1]التعليم الابتدائي'!SB607</f>
        <v>0</v>
      </c>
      <c r="J157" s="72">
        <f>'[1]التعليم الابتدائي'!SY607</f>
        <v>0</v>
      </c>
      <c r="K157" s="72">
        <f>'[1]التعليم الابتدائي'!TV607</f>
        <v>0</v>
      </c>
      <c r="L157" s="72">
        <f>'[1]التعليم الابتدائي'!US607</f>
        <v>0</v>
      </c>
      <c r="M157" s="72">
        <f>'[1]التعليم الابتدائي'!VP607</f>
        <v>0</v>
      </c>
      <c r="N157" s="72">
        <f>'[1]التعليم الابتدائي'!WM607</f>
        <v>0</v>
      </c>
      <c r="O157" s="72">
        <f>'[1]التعليم الابتدائي'!XJ607</f>
        <v>0</v>
      </c>
      <c r="P157" s="72">
        <f>'[1]التعليم الابتدائي'!ZD607</f>
        <v>0</v>
      </c>
      <c r="Q157" s="72">
        <f>'[1]التعليم الابتدائي'!YG607</f>
        <v>0</v>
      </c>
      <c r="R157" s="80">
        <f>'[1]التعليم الابتدائي'!AAA607</f>
        <v>0</v>
      </c>
      <c r="S157" s="89">
        <v>0</v>
      </c>
      <c r="T157" s="89">
        <v>0</v>
      </c>
      <c r="U157" s="89">
        <f>'[1]التعليم الابتدائي'!ACR607</f>
        <v>0</v>
      </c>
      <c r="V157" s="72">
        <f>'[1]التعليم الابتدائي'!ADO607</f>
        <v>0</v>
      </c>
      <c r="W157" s="78">
        <f>SUM(B157:V157)</f>
        <v>0</v>
      </c>
    </row>
    <row r="158" spans="1:23" ht="24" thickTop="1" thickBot="1">
      <c r="A158" s="77" t="s">
        <v>79</v>
      </c>
      <c r="B158" s="72">
        <f>'[1]التعليم الابتدائي'!LX607</f>
        <v>0</v>
      </c>
      <c r="C158" s="72">
        <f>'[1]التعليم الابتدائي'!MU607</f>
        <v>0</v>
      </c>
      <c r="D158" s="72">
        <f>'[1]التعليم الابتدائي'!NR607</f>
        <v>0</v>
      </c>
      <c r="E158" s="72">
        <v>0</v>
      </c>
      <c r="F158" s="72">
        <f>'[1]التعليم الابتدائي'!PL607</f>
        <v>0</v>
      </c>
      <c r="G158" s="72">
        <f>'[1]التعليم الابتدائي'!QI607</f>
        <v>0</v>
      </c>
      <c r="H158" s="72">
        <f>'[1]التعليم الابتدائي'!RF607</f>
        <v>0</v>
      </c>
      <c r="I158" s="72">
        <f>'[1]التعليم الابتدائي'!SC607</f>
        <v>0</v>
      </c>
      <c r="J158" s="72">
        <f>'[1]التعليم الابتدائي'!SZ607</f>
        <v>0</v>
      </c>
      <c r="K158" s="72">
        <f>'[1]التعليم الابتدائي'!TW607</f>
        <v>0</v>
      </c>
      <c r="L158" s="72">
        <f>'[1]التعليم الابتدائي'!UT607</f>
        <v>0</v>
      </c>
      <c r="M158" s="72">
        <f>'[1]التعليم الابتدائي'!VQ607</f>
        <v>0</v>
      </c>
      <c r="N158" s="72">
        <f>'[1]التعليم الابتدائي'!WN607</f>
        <v>0</v>
      </c>
      <c r="O158" s="72">
        <f>'[1]التعليم الابتدائي'!XK607</f>
        <v>0</v>
      </c>
      <c r="P158" s="72">
        <f>'[1]التعليم الابتدائي'!ZE607</f>
        <v>0</v>
      </c>
      <c r="Q158" s="72">
        <f>'[1]التعليم الابتدائي'!YH607</f>
        <v>0</v>
      </c>
      <c r="R158" s="80">
        <f>'[1]التعليم الابتدائي'!AAB607</f>
        <v>0</v>
      </c>
      <c r="S158" s="89">
        <v>0</v>
      </c>
      <c r="T158" s="89">
        <v>0</v>
      </c>
      <c r="U158" s="89">
        <f>'[1]التعليم الابتدائي'!ACS607</f>
        <v>0</v>
      </c>
      <c r="V158" s="72">
        <f>'[1]التعليم الابتدائي'!ADP607</f>
        <v>0</v>
      </c>
      <c r="W158" s="78">
        <f>SUM(B158:V158)</f>
        <v>0</v>
      </c>
    </row>
    <row r="159" spans="1:23" ht="24" thickTop="1" thickBot="1">
      <c r="A159" s="79" t="s">
        <v>58</v>
      </c>
      <c r="B159" s="80">
        <f t="shared" ref="B159:V159" si="11">B158+B157</f>
        <v>0</v>
      </c>
      <c r="C159" s="80">
        <f t="shared" si="11"/>
        <v>0</v>
      </c>
      <c r="D159" s="80">
        <f t="shared" si="11"/>
        <v>0</v>
      </c>
      <c r="E159" s="80">
        <f t="shared" si="11"/>
        <v>0</v>
      </c>
      <c r="F159" s="80">
        <f t="shared" si="11"/>
        <v>0</v>
      </c>
      <c r="G159" s="80">
        <f t="shared" si="11"/>
        <v>0</v>
      </c>
      <c r="H159" s="80">
        <f t="shared" si="11"/>
        <v>0</v>
      </c>
      <c r="I159" s="80">
        <f t="shared" si="11"/>
        <v>0</v>
      </c>
      <c r="J159" s="80">
        <f t="shared" si="11"/>
        <v>0</v>
      </c>
      <c r="K159" s="80">
        <f t="shared" si="11"/>
        <v>0</v>
      </c>
      <c r="L159" s="80">
        <f t="shared" si="11"/>
        <v>0</v>
      </c>
      <c r="M159" s="80">
        <f t="shared" si="11"/>
        <v>0</v>
      </c>
      <c r="N159" s="80">
        <f t="shared" si="11"/>
        <v>0</v>
      </c>
      <c r="O159" s="80">
        <f t="shared" si="11"/>
        <v>0</v>
      </c>
      <c r="P159" s="80">
        <f t="shared" si="11"/>
        <v>0</v>
      </c>
      <c r="Q159" s="80">
        <f t="shared" si="11"/>
        <v>0</v>
      </c>
      <c r="R159" s="80">
        <f t="shared" si="11"/>
        <v>0</v>
      </c>
      <c r="S159" s="80">
        <f t="shared" si="11"/>
        <v>0</v>
      </c>
      <c r="T159" s="80">
        <f t="shared" si="11"/>
        <v>0</v>
      </c>
      <c r="U159" s="80">
        <f t="shared" si="11"/>
        <v>0</v>
      </c>
      <c r="V159" s="80">
        <f t="shared" si="11"/>
        <v>0</v>
      </c>
      <c r="W159" s="81">
        <f>SUM(B159:V159)</f>
        <v>0</v>
      </c>
    </row>
    <row r="160" spans="1:23" ht="23.4" thickTop="1"/>
    <row r="161" spans="1:24" ht="38.25" customHeight="1">
      <c r="A161" s="29" t="s">
        <v>62</v>
      </c>
      <c r="B161" s="29"/>
      <c r="C161" s="29"/>
      <c r="D161" s="29"/>
      <c r="E161" s="29"/>
      <c r="F161" s="29"/>
      <c r="G161" s="28"/>
      <c r="H161" s="28"/>
      <c r="I161" s="28"/>
      <c r="J161" s="28"/>
      <c r="K161" s="28"/>
      <c r="L161" s="317" t="s">
        <v>297</v>
      </c>
      <c r="M161" s="317"/>
      <c r="N161" s="317"/>
      <c r="O161" s="28"/>
      <c r="P161" s="28"/>
      <c r="Q161" s="28"/>
      <c r="R161" s="28"/>
      <c r="S161" s="28"/>
      <c r="T161" s="28"/>
      <c r="U161" s="28"/>
      <c r="V161" s="28"/>
      <c r="W161" s="28"/>
    </row>
    <row r="162" spans="1:24">
      <c r="A162" s="231" t="s">
        <v>64</v>
      </c>
      <c r="B162" s="231"/>
      <c r="C162" s="231"/>
      <c r="D162" s="231"/>
      <c r="E162" s="231"/>
      <c r="F162" s="28"/>
      <c r="G162" s="28"/>
      <c r="H162" s="28"/>
      <c r="I162" s="28"/>
      <c r="J162" s="28"/>
      <c r="K162" s="282" t="s">
        <v>65</v>
      </c>
      <c r="L162" s="282"/>
      <c r="M162" s="282"/>
      <c r="N162" s="282"/>
      <c r="O162" s="28"/>
      <c r="P162" s="28"/>
      <c r="Q162" s="28"/>
      <c r="R162" s="28"/>
      <c r="S162" s="28"/>
      <c r="T162" s="28"/>
      <c r="U162" s="28"/>
      <c r="V162" s="28"/>
      <c r="W162" s="28"/>
    </row>
    <row r="163" spans="1:24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</row>
    <row r="164" spans="1:24">
      <c r="A164" s="231" t="s">
        <v>261</v>
      </c>
      <c r="B164" s="231"/>
      <c r="C164" s="231"/>
      <c r="D164" s="231"/>
      <c r="E164" s="231"/>
      <c r="F164" s="231"/>
      <c r="G164" s="231"/>
      <c r="H164" s="231"/>
      <c r="I164" s="231"/>
      <c r="J164" s="231"/>
      <c r="K164" s="231"/>
      <c r="L164" s="231"/>
      <c r="M164" s="231"/>
      <c r="N164" s="231"/>
      <c r="O164" s="29"/>
      <c r="P164" s="29"/>
      <c r="Q164" s="29"/>
      <c r="R164" s="29"/>
      <c r="S164" s="29"/>
      <c r="T164" s="28"/>
      <c r="U164" s="28"/>
      <c r="V164" s="28"/>
      <c r="W164" s="28"/>
    </row>
    <row r="165" spans="1:24">
      <c r="A165" s="231" t="s">
        <v>208</v>
      </c>
      <c r="B165" s="231"/>
      <c r="C165" s="231"/>
      <c r="D165" s="231"/>
      <c r="E165" s="231"/>
      <c r="F165" s="231"/>
      <c r="G165" s="231"/>
      <c r="H165" s="231"/>
      <c r="I165" s="231"/>
      <c r="J165" s="231"/>
      <c r="K165" s="231"/>
      <c r="L165" s="231"/>
      <c r="M165" s="231"/>
      <c r="N165" s="231"/>
      <c r="O165" s="29"/>
      <c r="P165" s="29"/>
      <c r="Q165" s="29"/>
      <c r="R165" s="29"/>
      <c r="S165" s="29"/>
      <c r="T165" s="28"/>
      <c r="U165" s="28"/>
      <c r="V165" s="28"/>
      <c r="W165" s="28"/>
    </row>
    <row r="166" spans="1:24">
      <c r="A166" s="231" t="s">
        <v>262</v>
      </c>
      <c r="B166" s="231"/>
      <c r="C166" s="231"/>
      <c r="D166" s="231"/>
      <c r="E166" s="231"/>
      <c r="F166" s="231"/>
      <c r="G166" s="231"/>
      <c r="H166" s="231"/>
      <c r="I166" s="231"/>
      <c r="J166" s="231"/>
      <c r="K166" s="231"/>
      <c r="L166" s="231"/>
      <c r="M166" s="231"/>
      <c r="N166" s="231"/>
      <c r="O166" s="29"/>
      <c r="P166" s="29"/>
      <c r="Q166" s="29"/>
      <c r="R166" s="29"/>
      <c r="S166" s="29"/>
      <c r="T166" s="28"/>
      <c r="U166" s="28"/>
      <c r="V166" s="28"/>
      <c r="W166" s="28"/>
    </row>
    <row r="167" spans="1:24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</row>
    <row r="168" spans="1:24" ht="23.4" thickBot="1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</row>
    <row r="169" spans="1:24" ht="124.5" customHeight="1" thickTop="1" thickBot="1">
      <c r="A169" s="74" t="s">
        <v>145</v>
      </c>
      <c r="B169" s="75" t="s">
        <v>263</v>
      </c>
      <c r="C169" s="75" t="s">
        <v>264</v>
      </c>
      <c r="D169" s="75" t="s">
        <v>265</v>
      </c>
      <c r="E169" s="75" t="s">
        <v>266</v>
      </c>
      <c r="F169" s="75" t="s">
        <v>267</v>
      </c>
      <c r="G169" s="75" t="s">
        <v>268</v>
      </c>
      <c r="H169" s="75" t="s">
        <v>269</v>
      </c>
      <c r="I169" s="75" t="s">
        <v>270</v>
      </c>
      <c r="J169" s="75" t="s">
        <v>271</v>
      </c>
      <c r="K169" s="75" t="s">
        <v>272</v>
      </c>
      <c r="L169" s="75" t="s">
        <v>273</v>
      </c>
      <c r="M169" s="75" t="s">
        <v>274</v>
      </c>
      <c r="N169" s="75" t="s">
        <v>287</v>
      </c>
      <c r="O169" s="75" t="s">
        <v>276</v>
      </c>
      <c r="P169" s="75" t="s">
        <v>277</v>
      </c>
      <c r="Q169" s="75" t="s">
        <v>278</v>
      </c>
      <c r="R169" s="75" t="s">
        <v>279</v>
      </c>
      <c r="S169" s="75" t="s">
        <v>280</v>
      </c>
      <c r="T169" s="75" t="s">
        <v>281</v>
      </c>
      <c r="U169" s="75" t="s">
        <v>282</v>
      </c>
      <c r="V169" s="75" t="s">
        <v>190</v>
      </c>
      <c r="W169" s="76" t="s">
        <v>58</v>
      </c>
    </row>
    <row r="170" spans="1:24" ht="48" customHeight="1" thickTop="1" thickBot="1">
      <c r="A170" s="77" t="s">
        <v>78</v>
      </c>
      <c r="B170" s="72">
        <f>'[1]التعليم الابتدائي'!LW643</f>
        <v>0</v>
      </c>
      <c r="C170" s="72">
        <f>'[1]التعليم الابتدائي'!MT643</f>
        <v>0</v>
      </c>
      <c r="D170" s="72">
        <f>'[1]التعليم الابتدائي'!NQ643</f>
        <v>0</v>
      </c>
      <c r="E170" s="72">
        <v>0</v>
      </c>
      <c r="F170" s="72">
        <f>'[1]التعليم الابتدائي'!PK643</f>
        <v>0</v>
      </c>
      <c r="G170" s="72">
        <f>'[1]التعليم الابتدائي'!QH643</f>
        <v>0</v>
      </c>
      <c r="H170" s="72">
        <f>'[1]التعليم الابتدائي'!RE643</f>
        <v>0</v>
      </c>
      <c r="I170" s="72">
        <f>'[1]التعليم الابتدائي'!SB643</f>
        <v>0</v>
      </c>
      <c r="J170" s="72">
        <f>'[1]التعليم الابتدائي'!SY643</f>
        <v>0</v>
      </c>
      <c r="K170" s="72">
        <f>'[1]التعليم الابتدائي'!TV643</f>
        <v>0</v>
      </c>
      <c r="L170" s="72">
        <f>'[1]التعليم الابتدائي'!US643</f>
        <v>0</v>
      </c>
      <c r="M170" s="72">
        <f>'[1]التعليم الابتدائي'!VP643</f>
        <v>0</v>
      </c>
      <c r="N170" s="72">
        <f>'[1]التعليم الابتدائي'!WM643</f>
        <v>0</v>
      </c>
      <c r="O170" s="72">
        <f>'[1]التعليم الابتدائي'!XJ643</f>
        <v>0</v>
      </c>
      <c r="P170" s="72">
        <f>'[1]التعليم الابتدائي'!ZD643</f>
        <v>0</v>
      </c>
      <c r="Q170" s="72">
        <f>'[1]التعليم الابتدائي'!YG643</f>
        <v>0</v>
      </c>
      <c r="R170" s="80">
        <f>'[1]التعليم الابتدائي'!AAA643</f>
        <v>0</v>
      </c>
      <c r="S170" s="89">
        <v>0</v>
      </c>
      <c r="T170" s="89">
        <v>0</v>
      </c>
      <c r="U170" s="89">
        <f>'[1]التعليم الابتدائي'!ACR643</f>
        <v>0</v>
      </c>
      <c r="V170" s="72">
        <f>'[1]التعليم الابتدائي'!ADO643</f>
        <v>0</v>
      </c>
      <c r="W170" s="78">
        <f>SUM(B170:V170)</f>
        <v>0</v>
      </c>
    </row>
    <row r="171" spans="1:24" ht="48" customHeight="1" thickTop="1" thickBot="1">
      <c r="A171" s="77" t="s">
        <v>79</v>
      </c>
      <c r="B171" s="72">
        <f>'[1]التعليم الابتدائي'!LX643</f>
        <v>0</v>
      </c>
      <c r="C171" s="72">
        <f>'[1]التعليم الابتدائي'!MU643</f>
        <v>1</v>
      </c>
      <c r="D171" s="72">
        <f>'[1]التعليم الابتدائي'!NR643</f>
        <v>0</v>
      </c>
      <c r="E171" s="72">
        <v>0</v>
      </c>
      <c r="F171" s="72">
        <f>'[1]التعليم الابتدائي'!PL643</f>
        <v>0</v>
      </c>
      <c r="G171" s="72">
        <f>'[1]التعليم الابتدائي'!QI643</f>
        <v>0</v>
      </c>
      <c r="H171" s="72">
        <f>'[1]التعليم الابتدائي'!RF643</f>
        <v>0</v>
      </c>
      <c r="I171" s="72">
        <f>'[1]التعليم الابتدائي'!SC643</f>
        <v>0</v>
      </c>
      <c r="J171" s="72">
        <f>'[1]التعليم الابتدائي'!SZ643</f>
        <v>0</v>
      </c>
      <c r="K171" s="72">
        <f>'[1]التعليم الابتدائي'!TW643</f>
        <v>0</v>
      </c>
      <c r="L171" s="72">
        <f>'[1]التعليم الابتدائي'!UT643</f>
        <v>0</v>
      </c>
      <c r="M171" s="72">
        <f>'[1]التعليم الابتدائي'!VQ643</f>
        <v>0</v>
      </c>
      <c r="N171" s="72">
        <f>'[1]التعليم الابتدائي'!WN643</f>
        <v>0</v>
      </c>
      <c r="O171" s="72">
        <f>'[1]التعليم الابتدائي'!XK643</f>
        <v>0</v>
      </c>
      <c r="P171" s="72">
        <f>'[1]التعليم الابتدائي'!ZE643</f>
        <v>0</v>
      </c>
      <c r="Q171" s="72">
        <f>'[1]التعليم الابتدائي'!YH643</f>
        <v>0</v>
      </c>
      <c r="R171" s="80">
        <f>'[1]التعليم الابتدائي'!AAB643</f>
        <v>0</v>
      </c>
      <c r="S171" s="89">
        <v>0</v>
      </c>
      <c r="T171" s="89">
        <v>0</v>
      </c>
      <c r="U171" s="89">
        <f>'[1]التعليم الابتدائي'!ACS643</f>
        <v>0</v>
      </c>
      <c r="V171" s="72">
        <f>'[1]التعليم الابتدائي'!ADP643</f>
        <v>0</v>
      </c>
      <c r="W171" s="78">
        <f>SUM(B171:V171)</f>
        <v>1</v>
      </c>
    </row>
    <row r="172" spans="1:24" ht="48" customHeight="1" thickTop="1" thickBot="1">
      <c r="A172" s="79" t="s">
        <v>58</v>
      </c>
      <c r="B172" s="80">
        <f t="shared" ref="B172:W172" si="12">B171+B170</f>
        <v>0</v>
      </c>
      <c r="C172" s="80">
        <f t="shared" si="12"/>
        <v>1</v>
      </c>
      <c r="D172" s="80">
        <f t="shared" si="12"/>
        <v>0</v>
      </c>
      <c r="E172" s="80">
        <f t="shared" si="12"/>
        <v>0</v>
      </c>
      <c r="F172" s="80">
        <f t="shared" si="12"/>
        <v>0</v>
      </c>
      <c r="G172" s="80">
        <f t="shared" si="12"/>
        <v>0</v>
      </c>
      <c r="H172" s="80">
        <f t="shared" si="12"/>
        <v>0</v>
      </c>
      <c r="I172" s="80">
        <f t="shared" si="12"/>
        <v>0</v>
      </c>
      <c r="J172" s="80">
        <f t="shared" si="12"/>
        <v>0</v>
      </c>
      <c r="K172" s="80">
        <f t="shared" si="12"/>
        <v>0</v>
      </c>
      <c r="L172" s="80">
        <f t="shared" si="12"/>
        <v>0</v>
      </c>
      <c r="M172" s="80">
        <f t="shared" si="12"/>
        <v>0</v>
      </c>
      <c r="N172" s="80">
        <f t="shared" si="12"/>
        <v>0</v>
      </c>
      <c r="O172" s="80">
        <f t="shared" si="12"/>
        <v>0</v>
      </c>
      <c r="P172" s="80">
        <f t="shared" si="12"/>
        <v>0</v>
      </c>
      <c r="Q172" s="80">
        <f t="shared" si="12"/>
        <v>0</v>
      </c>
      <c r="R172" s="80">
        <f t="shared" si="12"/>
        <v>0</v>
      </c>
      <c r="S172" s="80">
        <f t="shared" si="12"/>
        <v>0</v>
      </c>
      <c r="T172" s="80">
        <f t="shared" si="12"/>
        <v>0</v>
      </c>
      <c r="U172" s="80">
        <f t="shared" si="12"/>
        <v>0</v>
      </c>
      <c r="V172" s="80">
        <f t="shared" si="12"/>
        <v>0</v>
      </c>
      <c r="W172" s="81">
        <f t="shared" si="12"/>
        <v>1</v>
      </c>
    </row>
    <row r="173" spans="1:24" ht="23.4" thickTop="1"/>
    <row r="174" spans="1:24" ht="33.75" customHeight="1">
      <c r="A174" s="29" t="s">
        <v>62</v>
      </c>
      <c r="B174" s="29"/>
      <c r="C174" s="29"/>
      <c r="D174" s="29"/>
      <c r="E174" s="29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31" t="s">
        <v>298</v>
      </c>
      <c r="T174" s="231"/>
      <c r="U174" s="231"/>
      <c r="V174" s="28"/>
      <c r="W174" s="28"/>
      <c r="X174" s="28"/>
    </row>
    <row r="175" spans="1:24">
      <c r="A175" s="231" t="s">
        <v>64</v>
      </c>
      <c r="B175" s="231"/>
      <c r="C175" s="231"/>
      <c r="D175" s="231"/>
      <c r="E175" s="231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31" t="s">
        <v>65</v>
      </c>
      <c r="T175" s="231"/>
      <c r="U175" s="231"/>
      <c r="V175" s="28"/>
      <c r="W175" s="28"/>
      <c r="X175" s="28"/>
    </row>
    <row r="176" spans="1:24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</row>
    <row r="177" spans="1:24">
      <c r="A177" s="231" t="s">
        <v>261</v>
      </c>
      <c r="B177" s="231"/>
      <c r="C177" s="231"/>
      <c r="D177" s="231"/>
      <c r="E177" s="231"/>
      <c r="F177" s="231"/>
      <c r="G177" s="231"/>
      <c r="H177" s="231"/>
      <c r="I177" s="231"/>
      <c r="J177" s="231"/>
      <c r="K177" s="231"/>
      <c r="L177" s="231"/>
      <c r="M177" s="231"/>
      <c r="N177" s="231"/>
      <c r="O177" s="29"/>
      <c r="P177" s="29"/>
      <c r="Q177" s="29"/>
      <c r="R177" s="29"/>
      <c r="S177" s="29"/>
      <c r="T177" s="28"/>
      <c r="U177" s="28"/>
      <c r="V177" s="28"/>
      <c r="W177" s="28"/>
      <c r="X177" s="28"/>
    </row>
    <row r="178" spans="1:24">
      <c r="A178" s="231" t="s">
        <v>208</v>
      </c>
      <c r="B178" s="231"/>
      <c r="C178" s="231"/>
      <c r="D178" s="231"/>
      <c r="E178" s="231"/>
      <c r="F178" s="231"/>
      <c r="G178" s="231"/>
      <c r="H178" s="231"/>
      <c r="I178" s="231"/>
      <c r="J178" s="231"/>
      <c r="K178" s="231"/>
      <c r="L178" s="231"/>
      <c r="M178" s="231"/>
      <c r="N178" s="231"/>
      <c r="O178" s="231"/>
      <c r="P178" s="231"/>
      <c r="Q178" s="231"/>
      <c r="R178" s="231"/>
      <c r="S178" s="29"/>
      <c r="T178" s="28"/>
      <c r="U178" s="28"/>
      <c r="V178" s="28"/>
      <c r="W178" s="28"/>
      <c r="X178" s="28"/>
    </row>
    <row r="179" spans="1:24">
      <c r="A179" s="231" t="s">
        <v>262</v>
      </c>
      <c r="B179" s="231"/>
      <c r="C179" s="231"/>
      <c r="D179" s="231"/>
      <c r="E179" s="231"/>
      <c r="F179" s="231"/>
      <c r="G179" s="231"/>
      <c r="H179" s="231"/>
      <c r="I179" s="231"/>
      <c r="J179" s="231"/>
      <c r="K179" s="231"/>
      <c r="L179" s="231"/>
      <c r="M179" s="231"/>
      <c r="N179" s="231"/>
      <c r="O179" s="29"/>
      <c r="P179" s="29"/>
      <c r="Q179" s="29"/>
      <c r="R179" s="29"/>
      <c r="S179" s="29"/>
      <c r="T179" s="28"/>
      <c r="U179" s="28"/>
      <c r="V179" s="28"/>
      <c r="W179" s="28"/>
      <c r="X179" s="28"/>
    </row>
    <row r="180" spans="1:24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</row>
    <row r="181" spans="1:24" ht="23.4" thickBot="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</row>
    <row r="182" spans="1:24" ht="124.5" customHeight="1" thickTop="1" thickBot="1">
      <c r="A182" s="74" t="s">
        <v>145</v>
      </c>
      <c r="B182" s="75" t="s">
        <v>263</v>
      </c>
      <c r="C182" s="75" t="s">
        <v>264</v>
      </c>
      <c r="D182" s="75" t="s">
        <v>265</v>
      </c>
      <c r="E182" s="75" t="s">
        <v>266</v>
      </c>
      <c r="F182" s="75" t="s">
        <v>267</v>
      </c>
      <c r="G182" s="75" t="s">
        <v>268</v>
      </c>
      <c r="H182" s="75" t="s">
        <v>269</v>
      </c>
      <c r="I182" s="75" t="s">
        <v>270</v>
      </c>
      <c r="J182" s="75" t="s">
        <v>271</v>
      </c>
      <c r="K182" s="75" t="s">
        <v>272</v>
      </c>
      <c r="L182" s="75" t="s">
        <v>273</v>
      </c>
      <c r="M182" s="75" t="s">
        <v>274</v>
      </c>
      <c r="N182" s="75" t="s">
        <v>287</v>
      </c>
      <c r="O182" s="75" t="s">
        <v>276</v>
      </c>
      <c r="P182" s="75" t="s">
        <v>277</v>
      </c>
      <c r="Q182" s="75" t="s">
        <v>278</v>
      </c>
      <c r="R182" s="75" t="s">
        <v>279</v>
      </c>
      <c r="S182" s="75" t="s">
        <v>280</v>
      </c>
      <c r="T182" s="75" t="s">
        <v>281</v>
      </c>
      <c r="U182" s="75" t="s">
        <v>282</v>
      </c>
      <c r="V182" s="75" t="s">
        <v>190</v>
      </c>
      <c r="W182" s="76" t="s">
        <v>58</v>
      </c>
    </row>
    <row r="183" spans="1:24" ht="42.75" customHeight="1" thickTop="1" thickBot="1">
      <c r="A183" s="77" t="s">
        <v>78</v>
      </c>
      <c r="B183" s="72">
        <f>'[1]التعليم الابتدائي'!LW711</f>
        <v>0</v>
      </c>
      <c r="C183" s="72">
        <f>'[1]التعليم الابتدائي'!MT711</f>
        <v>0</v>
      </c>
      <c r="D183" s="72">
        <f>'[1]التعليم الابتدائي'!NQ711</f>
        <v>0</v>
      </c>
      <c r="E183" s="72">
        <f>'[1]التعليم الابتدائي'!ON711</f>
        <v>0</v>
      </c>
      <c r="F183" s="72">
        <f>'[1]التعليم الابتدائي'!PK711</f>
        <v>0</v>
      </c>
      <c r="G183" s="72">
        <f>'[1]التعليم الابتدائي'!QH711</f>
        <v>0</v>
      </c>
      <c r="H183" s="72">
        <f>'[1]التعليم الابتدائي'!RE711</f>
        <v>0</v>
      </c>
      <c r="I183" s="72">
        <f>'[1]التعليم الابتدائي'!SB711</f>
        <v>0</v>
      </c>
      <c r="J183" s="72">
        <f>'[1]التعليم الابتدائي'!SY711</f>
        <v>0</v>
      </c>
      <c r="K183" s="72">
        <f>'[1]التعليم الابتدائي'!TV711</f>
        <v>0</v>
      </c>
      <c r="L183" s="72">
        <f>'[1]التعليم الابتدائي'!US711</f>
        <v>0</v>
      </c>
      <c r="M183" s="72">
        <f>'[1]التعليم الابتدائي'!VP711</f>
        <v>0</v>
      </c>
      <c r="N183" s="72">
        <f>'[1]التعليم الابتدائي'!WM711</f>
        <v>0</v>
      </c>
      <c r="O183" s="72">
        <f>'[1]التعليم الابتدائي'!XJ711</f>
        <v>1</v>
      </c>
      <c r="P183" s="72">
        <f>'[1]التعليم الابتدائي'!ZD711</f>
        <v>0</v>
      </c>
      <c r="Q183" s="72">
        <f>'[1]التعليم الابتدائي'!YG711</f>
        <v>0</v>
      </c>
      <c r="R183" s="72">
        <f>'[1]التعليم الابتدائي'!AAA711</f>
        <v>0</v>
      </c>
      <c r="S183" s="72">
        <v>0</v>
      </c>
      <c r="T183" s="72">
        <v>0</v>
      </c>
      <c r="U183" s="72">
        <f>'[1]التعليم الابتدائي'!ACR711</f>
        <v>0</v>
      </c>
      <c r="V183" s="72">
        <f>'[1]التعليم الابتدائي'!ADO711</f>
        <v>0</v>
      </c>
      <c r="W183" s="78">
        <f>SUM(B183:V183)</f>
        <v>1</v>
      </c>
    </row>
    <row r="184" spans="1:24" ht="42.75" customHeight="1" thickTop="1" thickBot="1">
      <c r="A184" s="77" t="s">
        <v>79</v>
      </c>
      <c r="B184" s="72">
        <f>'[1]التعليم الابتدائي'!LX711</f>
        <v>0</v>
      </c>
      <c r="C184" s="72">
        <f>'[1]التعليم الابتدائي'!MU711</f>
        <v>0</v>
      </c>
      <c r="D184" s="72">
        <f>'[1]التعليم الابتدائي'!NR711</f>
        <v>0</v>
      </c>
      <c r="E184" s="72">
        <f>'[1]التعليم الابتدائي'!OO711</f>
        <v>0</v>
      </c>
      <c r="F184" s="72">
        <f>'[1]التعليم الابتدائي'!PL711</f>
        <v>0</v>
      </c>
      <c r="G184" s="72">
        <f>'[1]التعليم الابتدائي'!QI711</f>
        <v>0</v>
      </c>
      <c r="H184" s="72">
        <f>'[1]التعليم الابتدائي'!RF711</f>
        <v>0</v>
      </c>
      <c r="I184" s="72">
        <f>'[1]التعليم الابتدائي'!SC711</f>
        <v>0</v>
      </c>
      <c r="J184" s="72">
        <f>'[1]التعليم الابتدائي'!SZ711</f>
        <v>0</v>
      </c>
      <c r="K184" s="72">
        <f>'[1]التعليم الابتدائي'!TW711</f>
        <v>0</v>
      </c>
      <c r="L184" s="72">
        <f>'[1]التعليم الابتدائي'!UT711</f>
        <v>0</v>
      </c>
      <c r="M184" s="72">
        <f>'[1]التعليم الابتدائي'!VQ711</f>
        <v>0</v>
      </c>
      <c r="N184" s="72">
        <f>'[1]التعليم الابتدائي'!WN711</f>
        <v>0</v>
      </c>
      <c r="O184" s="72">
        <f>'[1]التعليم الابتدائي'!XK711</f>
        <v>0</v>
      </c>
      <c r="P184" s="72">
        <f>'[1]التعليم الابتدائي'!ZE711</f>
        <v>0</v>
      </c>
      <c r="Q184" s="72">
        <f>'[1]التعليم الابتدائي'!YH711</f>
        <v>0</v>
      </c>
      <c r="R184" s="72">
        <f>'[1]التعليم الابتدائي'!AAB711</f>
        <v>0</v>
      </c>
      <c r="S184" s="72">
        <v>0</v>
      </c>
      <c r="T184" s="72">
        <v>0</v>
      </c>
      <c r="U184" s="72">
        <f>'[1]التعليم الابتدائي'!ACS711</f>
        <v>0</v>
      </c>
      <c r="V184" s="72">
        <f>'[1]التعليم الابتدائي'!ADP711</f>
        <v>0</v>
      </c>
      <c r="W184" s="78">
        <f>SUM(B184:V184)</f>
        <v>0</v>
      </c>
    </row>
    <row r="185" spans="1:24" ht="42.75" customHeight="1" thickTop="1" thickBot="1">
      <c r="A185" s="79" t="s">
        <v>58</v>
      </c>
      <c r="B185" s="80">
        <f t="shared" ref="B185:W185" si="13">B184+B183</f>
        <v>0</v>
      </c>
      <c r="C185" s="80">
        <f t="shared" si="13"/>
        <v>0</v>
      </c>
      <c r="D185" s="80">
        <f t="shared" si="13"/>
        <v>0</v>
      </c>
      <c r="E185" s="80">
        <f t="shared" si="13"/>
        <v>0</v>
      </c>
      <c r="F185" s="80">
        <f t="shared" si="13"/>
        <v>0</v>
      </c>
      <c r="G185" s="80">
        <f t="shared" si="13"/>
        <v>0</v>
      </c>
      <c r="H185" s="80">
        <f t="shared" si="13"/>
        <v>0</v>
      </c>
      <c r="I185" s="80">
        <f t="shared" si="13"/>
        <v>0</v>
      </c>
      <c r="J185" s="80">
        <f t="shared" si="13"/>
        <v>0</v>
      </c>
      <c r="K185" s="80">
        <f t="shared" si="13"/>
        <v>0</v>
      </c>
      <c r="L185" s="80">
        <f t="shared" si="13"/>
        <v>0</v>
      </c>
      <c r="M185" s="80">
        <f t="shared" si="13"/>
        <v>0</v>
      </c>
      <c r="N185" s="80">
        <f t="shared" si="13"/>
        <v>0</v>
      </c>
      <c r="O185" s="80">
        <f t="shared" si="13"/>
        <v>1</v>
      </c>
      <c r="P185" s="80">
        <f t="shared" si="13"/>
        <v>0</v>
      </c>
      <c r="Q185" s="80">
        <f t="shared" si="13"/>
        <v>0</v>
      </c>
      <c r="R185" s="80">
        <f t="shared" si="13"/>
        <v>0</v>
      </c>
      <c r="S185" s="80">
        <f t="shared" si="13"/>
        <v>0</v>
      </c>
      <c r="T185" s="80">
        <f t="shared" si="13"/>
        <v>0</v>
      </c>
      <c r="U185" s="80">
        <f t="shared" si="13"/>
        <v>0</v>
      </c>
      <c r="V185" s="80">
        <f t="shared" si="13"/>
        <v>0</v>
      </c>
      <c r="W185" s="81">
        <f t="shared" si="13"/>
        <v>1</v>
      </c>
    </row>
    <row r="186" spans="1:24" ht="23.4" thickTop="1"/>
    <row r="187" spans="1:24" ht="37.5" customHeight="1">
      <c r="A187" s="29" t="s">
        <v>62</v>
      </c>
      <c r="B187" s="29"/>
      <c r="C187" s="29"/>
      <c r="D187" s="29"/>
      <c r="E187" s="29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31" t="s">
        <v>299</v>
      </c>
      <c r="T187" s="231"/>
      <c r="U187" s="231"/>
      <c r="V187" s="28"/>
      <c r="W187" s="28"/>
      <c r="X187" s="28"/>
    </row>
    <row r="188" spans="1:24">
      <c r="A188" s="231" t="s">
        <v>64</v>
      </c>
      <c r="B188" s="231"/>
      <c r="C188" s="231"/>
      <c r="D188" s="231"/>
      <c r="E188" s="231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31" t="s">
        <v>65</v>
      </c>
      <c r="T188" s="231"/>
      <c r="U188" s="231"/>
      <c r="V188" s="28"/>
      <c r="W188" s="28"/>
      <c r="X188" s="28"/>
    </row>
    <row r="189" spans="1:24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</row>
    <row r="190" spans="1:24">
      <c r="A190" s="231" t="s">
        <v>261</v>
      </c>
      <c r="B190" s="231"/>
      <c r="C190" s="231"/>
      <c r="D190" s="231"/>
      <c r="E190" s="231"/>
      <c r="F190" s="231"/>
      <c r="G190" s="231"/>
      <c r="H190" s="231"/>
      <c r="I190" s="231"/>
      <c r="J190" s="231"/>
      <c r="K190" s="231"/>
      <c r="L190" s="231"/>
      <c r="M190" s="231"/>
      <c r="N190" s="231"/>
      <c r="O190" s="29"/>
      <c r="P190" s="29"/>
      <c r="Q190" s="29"/>
      <c r="R190" s="29"/>
      <c r="S190" s="29"/>
      <c r="T190" s="28"/>
      <c r="U190" s="28"/>
      <c r="V190" s="28"/>
      <c r="W190" s="28"/>
      <c r="X190" s="28"/>
    </row>
    <row r="191" spans="1:24">
      <c r="A191" s="231" t="s">
        <v>208</v>
      </c>
      <c r="B191" s="231"/>
      <c r="C191" s="231"/>
      <c r="D191" s="231"/>
      <c r="E191" s="231"/>
      <c r="F191" s="231"/>
      <c r="G191" s="231"/>
      <c r="H191" s="231"/>
      <c r="I191" s="231"/>
      <c r="J191" s="231"/>
      <c r="K191" s="231"/>
      <c r="L191" s="231"/>
      <c r="M191" s="231"/>
      <c r="N191" s="231"/>
      <c r="O191" s="231"/>
      <c r="P191" s="231"/>
      <c r="Q191" s="231"/>
      <c r="R191" s="231"/>
      <c r="S191" s="29"/>
      <c r="T191" s="28"/>
      <c r="U191" s="28"/>
      <c r="V191" s="28"/>
      <c r="W191" s="28"/>
      <c r="X191" s="28"/>
    </row>
    <row r="192" spans="1:24">
      <c r="A192" s="231" t="s">
        <v>262</v>
      </c>
      <c r="B192" s="231"/>
      <c r="C192" s="231"/>
      <c r="D192" s="231"/>
      <c r="E192" s="231"/>
      <c r="F192" s="231"/>
      <c r="G192" s="231"/>
      <c r="H192" s="231"/>
      <c r="I192" s="231"/>
      <c r="J192" s="231"/>
      <c r="K192" s="231"/>
      <c r="L192" s="231"/>
      <c r="M192" s="231"/>
      <c r="N192" s="231"/>
      <c r="O192" s="29"/>
      <c r="P192" s="29"/>
      <c r="Q192" s="29"/>
      <c r="R192" s="29"/>
      <c r="S192" s="29"/>
      <c r="T192" s="28"/>
      <c r="U192" s="28"/>
      <c r="V192" s="28"/>
      <c r="W192" s="28"/>
      <c r="X192" s="28"/>
    </row>
    <row r="193" spans="1:24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</row>
    <row r="194" spans="1:24" ht="23.4" thickBot="1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</row>
    <row r="195" spans="1:24" ht="120" customHeight="1" thickTop="1" thickBot="1">
      <c r="A195" s="74" t="s">
        <v>145</v>
      </c>
      <c r="B195" s="75" t="s">
        <v>263</v>
      </c>
      <c r="C195" s="75" t="s">
        <v>264</v>
      </c>
      <c r="D195" s="75" t="s">
        <v>265</v>
      </c>
      <c r="E195" s="75" t="s">
        <v>266</v>
      </c>
      <c r="F195" s="75" t="s">
        <v>267</v>
      </c>
      <c r="G195" s="75" t="s">
        <v>268</v>
      </c>
      <c r="H195" s="75" t="s">
        <v>269</v>
      </c>
      <c r="I195" s="75" t="s">
        <v>270</v>
      </c>
      <c r="J195" s="75" t="s">
        <v>271</v>
      </c>
      <c r="K195" s="75" t="s">
        <v>272</v>
      </c>
      <c r="L195" s="75" t="s">
        <v>273</v>
      </c>
      <c r="M195" s="75" t="s">
        <v>274</v>
      </c>
      <c r="N195" s="75" t="s">
        <v>287</v>
      </c>
      <c r="O195" s="75" t="s">
        <v>276</v>
      </c>
      <c r="P195" s="75" t="s">
        <v>277</v>
      </c>
      <c r="Q195" s="75" t="s">
        <v>278</v>
      </c>
      <c r="R195" s="75" t="s">
        <v>279</v>
      </c>
      <c r="S195" s="75" t="s">
        <v>280</v>
      </c>
      <c r="T195" s="75" t="s">
        <v>281</v>
      </c>
      <c r="U195" s="75" t="s">
        <v>282</v>
      </c>
      <c r="V195" s="75" t="s">
        <v>190</v>
      </c>
      <c r="W195" s="76" t="s">
        <v>58</v>
      </c>
    </row>
    <row r="196" spans="1:24" ht="51.75" customHeight="1" thickTop="1" thickBot="1">
      <c r="A196" s="77" t="s">
        <v>78</v>
      </c>
      <c r="B196" s="72">
        <f>'[1]التعليم الابتدائي'!LW753</f>
        <v>0</v>
      </c>
      <c r="C196" s="72">
        <f>'[1]التعليم الابتدائي'!MT753</f>
        <v>0</v>
      </c>
      <c r="D196" s="72">
        <f>'[1]التعليم الابتدائي'!NQ753</f>
        <v>0</v>
      </c>
      <c r="E196" s="72">
        <f>'[1]التعليم الابتدائي'!ON753</f>
        <v>0</v>
      </c>
      <c r="F196" s="72">
        <f>'[1]التعليم الابتدائي'!PK753</f>
        <v>0</v>
      </c>
      <c r="G196" s="72">
        <f>'[1]التعليم الابتدائي'!QH753</f>
        <v>0</v>
      </c>
      <c r="H196" s="72">
        <f>'[1]التعليم الابتدائي'!RE753</f>
        <v>0</v>
      </c>
      <c r="I196" s="72">
        <f>'[1]التعليم الابتدائي'!SB753</f>
        <v>0</v>
      </c>
      <c r="J196" s="72">
        <f>'[1]التعليم الابتدائي'!SY753</f>
        <v>0</v>
      </c>
      <c r="K196" s="72">
        <f>'[1]التعليم الابتدائي'!TV753</f>
        <v>0</v>
      </c>
      <c r="L196" s="72">
        <f>'[1]التعليم الابتدائي'!US753</f>
        <v>0</v>
      </c>
      <c r="M196" s="72">
        <f>'[1]التعليم الابتدائي'!VP753</f>
        <v>0</v>
      </c>
      <c r="N196" s="72">
        <f>'[1]التعليم الابتدائي'!WM753</f>
        <v>0</v>
      </c>
      <c r="O196" s="72">
        <f>'[1]التعليم الابتدائي'!XJ753</f>
        <v>1</v>
      </c>
      <c r="P196" s="72">
        <f>'[1]التعليم الابتدائي'!ZD753</f>
        <v>0</v>
      </c>
      <c r="Q196" s="72">
        <f>'[1]التعليم الابتدائي'!YG753</f>
        <v>0</v>
      </c>
      <c r="R196" s="72">
        <f>'[1]التعليم الابتدائي'!AAA753</f>
        <v>0</v>
      </c>
      <c r="S196" s="72">
        <v>0</v>
      </c>
      <c r="T196" s="72">
        <v>0</v>
      </c>
      <c r="U196" s="72">
        <f>'[1]التعليم الابتدائي'!ACR753</f>
        <v>0</v>
      </c>
      <c r="V196" s="72">
        <f>'[1]التعليم الابتدائي'!ADO753</f>
        <v>0</v>
      </c>
      <c r="W196" s="78">
        <f>SUM(B196:V196)</f>
        <v>1</v>
      </c>
    </row>
    <row r="197" spans="1:24" ht="51.75" customHeight="1" thickTop="1" thickBot="1">
      <c r="A197" s="77" t="s">
        <v>79</v>
      </c>
      <c r="B197" s="72">
        <f>'[1]التعليم الابتدائي'!LX753</f>
        <v>0</v>
      </c>
      <c r="C197" s="72">
        <f>'[1]التعليم الابتدائي'!MU753</f>
        <v>0</v>
      </c>
      <c r="D197" s="72">
        <f>'[1]التعليم الابتدائي'!NR753</f>
        <v>0</v>
      </c>
      <c r="E197" s="72">
        <f>'[1]التعليم الابتدائي'!OO753</f>
        <v>0</v>
      </c>
      <c r="F197" s="72">
        <f>'[1]التعليم الابتدائي'!PL753</f>
        <v>0</v>
      </c>
      <c r="G197" s="72">
        <f>'[1]التعليم الابتدائي'!QI753</f>
        <v>0</v>
      </c>
      <c r="H197" s="72">
        <f>'[1]التعليم الابتدائي'!RF753</f>
        <v>0</v>
      </c>
      <c r="I197" s="72">
        <f>'[1]التعليم الابتدائي'!SC753</f>
        <v>0</v>
      </c>
      <c r="J197" s="72">
        <f>'[1]التعليم الابتدائي'!SZ753</f>
        <v>0</v>
      </c>
      <c r="K197" s="72">
        <f>'[1]التعليم الابتدائي'!TW753</f>
        <v>0</v>
      </c>
      <c r="L197" s="72">
        <f>'[1]التعليم الابتدائي'!UT753</f>
        <v>0</v>
      </c>
      <c r="M197" s="72">
        <f>'[1]التعليم الابتدائي'!VQ753</f>
        <v>0</v>
      </c>
      <c r="N197" s="72">
        <f>'[1]التعليم الابتدائي'!WN753</f>
        <v>0</v>
      </c>
      <c r="O197" s="72">
        <f>'[1]التعليم الابتدائي'!XK753</f>
        <v>0</v>
      </c>
      <c r="P197" s="72">
        <f>'[1]التعليم الابتدائي'!ZE753</f>
        <v>0</v>
      </c>
      <c r="Q197" s="72">
        <f>'[1]التعليم الابتدائي'!YH753</f>
        <v>0</v>
      </c>
      <c r="R197" s="72">
        <f>'[1]التعليم الابتدائي'!AAB753</f>
        <v>0</v>
      </c>
      <c r="S197" s="72">
        <v>0</v>
      </c>
      <c r="T197" s="72">
        <v>0</v>
      </c>
      <c r="U197" s="72">
        <f>'[1]التعليم الابتدائي'!ACS753</f>
        <v>0</v>
      </c>
      <c r="V197" s="72">
        <f>'[1]التعليم الابتدائي'!ADP753</f>
        <v>0</v>
      </c>
      <c r="W197" s="78">
        <f>SUM(B197:V197)</f>
        <v>0</v>
      </c>
    </row>
    <row r="198" spans="1:24" ht="51.75" customHeight="1" thickTop="1" thickBot="1">
      <c r="A198" s="79" t="s">
        <v>58</v>
      </c>
      <c r="B198" s="80">
        <f t="shared" ref="B198:W198" si="14">B197+B196</f>
        <v>0</v>
      </c>
      <c r="C198" s="80">
        <f t="shared" si="14"/>
        <v>0</v>
      </c>
      <c r="D198" s="80">
        <f t="shared" si="14"/>
        <v>0</v>
      </c>
      <c r="E198" s="80">
        <f t="shared" si="14"/>
        <v>0</v>
      </c>
      <c r="F198" s="80">
        <f t="shared" si="14"/>
        <v>0</v>
      </c>
      <c r="G198" s="80">
        <f t="shared" si="14"/>
        <v>0</v>
      </c>
      <c r="H198" s="80">
        <f t="shared" si="14"/>
        <v>0</v>
      </c>
      <c r="I198" s="80">
        <f t="shared" si="14"/>
        <v>0</v>
      </c>
      <c r="J198" s="80">
        <f t="shared" si="14"/>
        <v>0</v>
      </c>
      <c r="K198" s="80">
        <f t="shared" si="14"/>
        <v>0</v>
      </c>
      <c r="L198" s="80">
        <f t="shared" si="14"/>
        <v>0</v>
      </c>
      <c r="M198" s="80">
        <f t="shared" si="14"/>
        <v>0</v>
      </c>
      <c r="N198" s="80">
        <f t="shared" si="14"/>
        <v>0</v>
      </c>
      <c r="O198" s="80">
        <f t="shared" si="14"/>
        <v>1</v>
      </c>
      <c r="P198" s="80">
        <f t="shared" si="14"/>
        <v>0</v>
      </c>
      <c r="Q198" s="80">
        <f t="shared" si="14"/>
        <v>0</v>
      </c>
      <c r="R198" s="80">
        <f t="shared" si="14"/>
        <v>0</v>
      </c>
      <c r="S198" s="80">
        <f t="shared" si="14"/>
        <v>0</v>
      </c>
      <c r="T198" s="80">
        <f t="shared" si="14"/>
        <v>0</v>
      </c>
      <c r="U198" s="80">
        <f t="shared" si="14"/>
        <v>0</v>
      </c>
      <c r="V198" s="80">
        <f t="shared" si="14"/>
        <v>0</v>
      </c>
      <c r="W198" s="81">
        <f t="shared" si="14"/>
        <v>1</v>
      </c>
    </row>
    <row r="199" spans="1:24" ht="23.4" thickTop="1"/>
    <row r="200" spans="1:24" ht="35.25" customHeight="1">
      <c r="A200" s="29" t="s">
        <v>62</v>
      </c>
      <c r="B200" s="29"/>
      <c r="C200" s="29"/>
      <c r="D200" s="29"/>
      <c r="E200" s="29"/>
      <c r="F200" s="28"/>
      <c r="G200" s="28"/>
      <c r="H200" s="28"/>
      <c r="I200" s="28"/>
      <c r="J200" s="28"/>
      <c r="K200" s="28"/>
      <c r="L200" s="231" t="s">
        <v>300</v>
      </c>
      <c r="M200" s="231"/>
      <c r="N200" s="231"/>
      <c r="O200" s="28"/>
      <c r="P200" s="28"/>
      <c r="Q200" s="28"/>
      <c r="R200" s="28"/>
      <c r="S200" s="28"/>
      <c r="T200" s="28"/>
      <c r="U200" s="28"/>
      <c r="V200" s="28"/>
      <c r="W200" s="28"/>
      <c r="X200" s="28"/>
    </row>
    <row r="201" spans="1:24">
      <c r="A201" s="231" t="s">
        <v>64</v>
      </c>
      <c r="B201" s="231"/>
      <c r="C201" s="231"/>
      <c r="D201" s="231"/>
      <c r="E201" s="231"/>
      <c r="F201" s="28"/>
      <c r="G201" s="28"/>
      <c r="H201" s="28"/>
      <c r="I201" s="28"/>
      <c r="J201" s="28"/>
      <c r="K201" s="28"/>
      <c r="L201" s="231" t="s">
        <v>65</v>
      </c>
      <c r="M201" s="231"/>
      <c r="N201" s="231"/>
      <c r="O201" s="28"/>
      <c r="P201" s="28"/>
      <c r="Q201" s="28"/>
      <c r="R201" s="28"/>
      <c r="S201" s="28"/>
      <c r="T201" s="28"/>
      <c r="U201" s="28"/>
      <c r="V201" s="28"/>
      <c r="W201" s="28"/>
      <c r="X201" s="28"/>
    </row>
    <row r="202" spans="1:24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</row>
    <row r="203" spans="1:24">
      <c r="A203" s="231" t="s">
        <v>261</v>
      </c>
      <c r="B203" s="231"/>
      <c r="C203" s="231"/>
      <c r="D203" s="231"/>
      <c r="E203" s="231"/>
      <c r="F203" s="231"/>
      <c r="G203" s="231"/>
      <c r="H203" s="231"/>
      <c r="I203" s="231"/>
      <c r="J203" s="231"/>
      <c r="K203" s="231"/>
      <c r="L203" s="231"/>
      <c r="M203" s="231"/>
      <c r="N203" s="231"/>
      <c r="O203" s="29"/>
      <c r="P203" s="29"/>
      <c r="Q203" s="29"/>
      <c r="R203" s="29"/>
      <c r="S203" s="29"/>
      <c r="T203" s="28"/>
      <c r="U203" s="28"/>
      <c r="V203" s="28"/>
      <c r="W203" s="28"/>
      <c r="X203" s="28"/>
    </row>
    <row r="204" spans="1:24">
      <c r="A204" s="231" t="s">
        <v>208</v>
      </c>
      <c r="B204" s="231"/>
      <c r="C204" s="231"/>
      <c r="D204" s="231"/>
      <c r="E204" s="231"/>
      <c r="F204" s="231"/>
      <c r="G204" s="231"/>
      <c r="H204" s="231"/>
      <c r="I204" s="231"/>
      <c r="J204" s="231"/>
      <c r="K204" s="231"/>
      <c r="L204" s="231"/>
      <c r="M204" s="231"/>
      <c r="N204" s="231"/>
      <c r="O204" s="29"/>
      <c r="P204" s="29"/>
      <c r="Q204" s="29"/>
      <c r="R204" s="29"/>
      <c r="S204" s="29"/>
      <c r="T204" s="28"/>
      <c r="U204" s="28"/>
      <c r="V204" s="28"/>
      <c r="W204" s="28"/>
      <c r="X204" s="28"/>
    </row>
    <row r="205" spans="1:24">
      <c r="A205" s="231" t="s">
        <v>262</v>
      </c>
      <c r="B205" s="231"/>
      <c r="C205" s="231"/>
      <c r="D205" s="231"/>
      <c r="E205" s="231"/>
      <c r="F205" s="231"/>
      <c r="G205" s="231"/>
      <c r="H205" s="231"/>
      <c r="I205" s="231"/>
      <c r="J205" s="231"/>
      <c r="K205" s="231"/>
      <c r="L205" s="231"/>
      <c r="M205" s="231"/>
      <c r="N205" s="231"/>
      <c r="O205" s="29"/>
      <c r="P205" s="29"/>
      <c r="Q205" s="29"/>
      <c r="R205" s="29"/>
      <c r="S205" s="29"/>
      <c r="T205" s="28"/>
      <c r="U205" s="28"/>
      <c r="V205" s="28"/>
      <c r="W205" s="28"/>
      <c r="X205" s="28"/>
    </row>
    <row r="206" spans="1:24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</row>
    <row r="207" spans="1:24" ht="23.4" thickBot="1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</row>
    <row r="208" spans="1:24" ht="125.25" customHeight="1" thickTop="1" thickBot="1">
      <c r="A208" s="74" t="s">
        <v>145</v>
      </c>
      <c r="B208" s="75" t="s">
        <v>263</v>
      </c>
      <c r="C208" s="75" t="s">
        <v>264</v>
      </c>
      <c r="D208" s="75" t="s">
        <v>265</v>
      </c>
      <c r="E208" s="75" t="s">
        <v>266</v>
      </c>
      <c r="F208" s="75" t="s">
        <v>267</v>
      </c>
      <c r="G208" s="75" t="s">
        <v>268</v>
      </c>
      <c r="H208" s="75" t="s">
        <v>269</v>
      </c>
      <c r="I208" s="75" t="s">
        <v>270</v>
      </c>
      <c r="J208" s="75" t="s">
        <v>271</v>
      </c>
      <c r="K208" s="75" t="s">
        <v>272</v>
      </c>
      <c r="L208" s="75" t="s">
        <v>273</v>
      </c>
      <c r="M208" s="75" t="s">
        <v>274</v>
      </c>
      <c r="N208" s="75" t="s">
        <v>287</v>
      </c>
      <c r="O208" s="75" t="s">
        <v>276</v>
      </c>
      <c r="P208" s="75" t="s">
        <v>277</v>
      </c>
      <c r="Q208" s="75" t="s">
        <v>278</v>
      </c>
      <c r="R208" s="75" t="s">
        <v>279</v>
      </c>
      <c r="S208" s="75" t="s">
        <v>280</v>
      </c>
      <c r="T208" s="75" t="s">
        <v>281</v>
      </c>
      <c r="U208" s="75" t="s">
        <v>282</v>
      </c>
      <c r="V208" s="75" t="s">
        <v>190</v>
      </c>
      <c r="W208" s="76" t="s">
        <v>58</v>
      </c>
    </row>
    <row r="209" spans="1:23" ht="24" thickTop="1" thickBot="1">
      <c r="A209" s="77" t="s">
        <v>78</v>
      </c>
      <c r="B209" s="72">
        <f>'[1]التعليم الابتدائي'!LW752</f>
        <v>0</v>
      </c>
      <c r="C209" s="72">
        <f>'[1]التعليم الابتدائي'!MT752</f>
        <v>0</v>
      </c>
      <c r="D209" s="72">
        <f>'[1]التعليم الابتدائي'!NQ752</f>
        <v>0</v>
      </c>
      <c r="E209" s="72">
        <v>0</v>
      </c>
      <c r="F209" s="72">
        <f>'[1]التعليم الابتدائي'!PK752</f>
        <v>0</v>
      </c>
      <c r="G209" s="72">
        <f>'[1]التعليم الابتدائي'!QH752</f>
        <v>0</v>
      </c>
      <c r="H209" s="72">
        <f>'[1]التعليم الابتدائي'!RE752</f>
        <v>0</v>
      </c>
      <c r="I209" s="72">
        <v>0</v>
      </c>
      <c r="J209" s="72">
        <f>'[1]التعليم الابتدائي'!SY752</f>
        <v>0</v>
      </c>
      <c r="K209" s="72">
        <f>'[1]التعليم الابتدائي'!TV752</f>
        <v>0</v>
      </c>
      <c r="L209" s="72">
        <f>'[1]التعليم الابتدائي'!US752</f>
        <v>0</v>
      </c>
      <c r="M209" s="72">
        <f>'[1]التعليم الابتدائي'!VP752</f>
        <v>0</v>
      </c>
      <c r="N209" s="72">
        <f>'[1]التعليم الابتدائي'!WM752</f>
        <v>0</v>
      </c>
      <c r="O209" s="72">
        <f>'[1]التعليم الابتدائي'!XJ752</f>
        <v>0</v>
      </c>
      <c r="P209" s="72">
        <f>'[1]التعليم الابتدائي'!ZD752</f>
        <v>0</v>
      </c>
      <c r="Q209" s="72">
        <f>'[1]التعليم الابتدائي'!YG752</f>
        <v>0</v>
      </c>
      <c r="R209" s="80">
        <f>'[1]التعليم الابتدائي'!AAA752</f>
        <v>0</v>
      </c>
      <c r="S209" s="89">
        <v>0</v>
      </c>
      <c r="T209" s="89">
        <v>0</v>
      </c>
      <c r="U209" s="89">
        <f>'[1]التعليم الابتدائي'!ACR752</f>
        <v>0</v>
      </c>
      <c r="V209" s="72">
        <f>'[1]التعليم الابتدائي'!ADO752</f>
        <v>0</v>
      </c>
      <c r="W209" s="78">
        <f>SUM(B209:V209)</f>
        <v>0</v>
      </c>
    </row>
    <row r="210" spans="1:23" ht="24" thickTop="1" thickBot="1">
      <c r="A210" s="77" t="s">
        <v>79</v>
      </c>
      <c r="B210" s="72">
        <f>'[1]التعليم الابتدائي'!LX752</f>
        <v>0</v>
      </c>
      <c r="C210" s="72">
        <f>'[1]التعليم الابتدائي'!MU752</f>
        <v>0</v>
      </c>
      <c r="D210" s="72">
        <f>'[1]التعليم الابتدائي'!NR752</f>
        <v>0</v>
      </c>
      <c r="E210" s="72">
        <v>0</v>
      </c>
      <c r="F210" s="72">
        <f>'[1]التعليم الابتدائي'!PL752</f>
        <v>0</v>
      </c>
      <c r="G210" s="72">
        <f>'[1]التعليم الابتدائي'!QI752</f>
        <v>0</v>
      </c>
      <c r="H210" s="72">
        <f>'[1]التعليم الابتدائي'!RF752</f>
        <v>0</v>
      </c>
      <c r="I210" s="72">
        <v>0</v>
      </c>
      <c r="J210" s="72">
        <f>'[1]التعليم الابتدائي'!SZ752</f>
        <v>0</v>
      </c>
      <c r="K210" s="72">
        <f>'[1]التعليم الابتدائي'!TW752</f>
        <v>0</v>
      </c>
      <c r="L210" s="72">
        <f>'[1]التعليم الابتدائي'!UT752</f>
        <v>0</v>
      </c>
      <c r="M210" s="72">
        <f>'[1]التعليم الابتدائي'!VQ752</f>
        <v>0</v>
      </c>
      <c r="N210" s="72">
        <f>'[1]التعليم الابتدائي'!WN752</f>
        <v>0</v>
      </c>
      <c r="O210" s="72">
        <f>'[1]التعليم الابتدائي'!XK752</f>
        <v>0</v>
      </c>
      <c r="P210" s="72">
        <f>'[1]التعليم الابتدائي'!ZE752</f>
        <v>0</v>
      </c>
      <c r="Q210" s="72">
        <f>'[1]التعليم الابتدائي'!YH752</f>
        <v>0</v>
      </c>
      <c r="R210" s="80">
        <f>'[1]التعليم الابتدائي'!AAB752</f>
        <v>0</v>
      </c>
      <c r="S210" s="89">
        <v>0</v>
      </c>
      <c r="T210" s="89">
        <v>0</v>
      </c>
      <c r="U210" s="89">
        <f>'[1]التعليم الابتدائي'!ACS752</f>
        <v>0</v>
      </c>
      <c r="V210" s="72">
        <f>'[1]التعليم الابتدائي'!ADP752</f>
        <v>0</v>
      </c>
      <c r="W210" s="78">
        <f>SUM(B210:V210)</f>
        <v>0</v>
      </c>
    </row>
    <row r="211" spans="1:23" ht="24" thickTop="1" thickBot="1">
      <c r="A211" s="79" t="s">
        <v>58</v>
      </c>
      <c r="B211" s="80">
        <f t="shared" ref="B211:W211" si="15">B210+B209</f>
        <v>0</v>
      </c>
      <c r="C211" s="80">
        <f t="shared" si="15"/>
        <v>0</v>
      </c>
      <c r="D211" s="80">
        <f t="shared" si="15"/>
        <v>0</v>
      </c>
      <c r="E211" s="80">
        <f t="shared" si="15"/>
        <v>0</v>
      </c>
      <c r="F211" s="80">
        <f t="shared" si="15"/>
        <v>0</v>
      </c>
      <c r="G211" s="80">
        <f t="shared" si="15"/>
        <v>0</v>
      </c>
      <c r="H211" s="80">
        <f t="shared" si="15"/>
        <v>0</v>
      </c>
      <c r="I211" s="80">
        <f t="shared" si="15"/>
        <v>0</v>
      </c>
      <c r="J211" s="80">
        <f t="shared" si="15"/>
        <v>0</v>
      </c>
      <c r="K211" s="80">
        <f t="shared" si="15"/>
        <v>0</v>
      </c>
      <c r="L211" s="80">
        <f t="shared" si="15"/>
        <v>0</v>
      </c>
      <c r="M211" s="80">
        <f t="shared" si="15"/>
        <v>0</v>
      </c>
      <c r="N211" s="80">
        <f t="shared" si="15"/>
        <v>0</v>
      </c>
      <c r="O211" s="80">
        <f t="shared" si="15"/>
        <v>0</v>
      </c>
      <c r="P211" s="80">
        <f t="shared" si="15"/>
        <v>0</v>
      </c>
      <c r="Q211" s="80">
        <f t="shared" si="15"/>
        <v>0</v>
      </c>
      <c r="R211" s="80">
        <f t="shared" si="15"/>
        <v>0</v>
      </c>
      <c r="S211" s="80">
        <f t="shared" si="15"/>
        <v>0</v>
      </c>
      <c r="T211" s="80">
        <f t="shared" si="15"/>
        <v>0</v>
      </c>
      <c r="U211" s="80">
        <f t="shared" si="15"/>
        <v>0</v>
      </c>
      <c r="V211" s="80">
        <f t="shared" si="15"/>
        <v>0</v>
      </c>
      <c r="W211" s="81">
        <f t="shared" si="15"/>
        <v>0</v>
      </c>
    </row>
    <row r="212" spans="1:23" ht="23.4" thickTop="1"/>
  </sheetData>
  <mergeCells count="90">
    <mergeCell ref="A15:E15"/>
    <mergeCell ref="A2:E2"/>
    <mergeCell ref="L2:N2"/>
    <mergeCell ref="A4:N4"/>
    <mergeCell ref="A5:N5"/>
    <mergeCell ref="A6:N6"/>
    <mergeCell ref="A53:E53"/>
    <mergeCell ref="L53:N53"/>
    <mergeCell ref="A16:N16"/>
    <mergeCell ref="A17:N17"/>
    <mergeCell ref="A18:N18"/>
    <mergeCell ref="A27:E27"/>
    <mergeCell ref="A29:N29"/>
    <mergeCell ref="A30:N30"/>
    <mergeCell ref="A31:N31"/>
    <mergeCell ref="A40:E40"/>
    <mergeCell ref="A43:R43"/>
    <mergeCell ref="A44:N44"/>
    <mergeCell ref="L52:N52"/>
    <mergeCell ref="A55:N55"/>
    <mergeCell ref="A56:R56"/>
    <mergeCell ref="A57:N57"/>
    <mergeCell ref="L64:N64"/>
    <mergeCell ref="A65:E65"/>
    <mergeCell ref="L65:N65"/>
    <mergeCell ref="A92:N92"/>
    <mergeCell ref="A67:N67"/>
    <mergeCell ref="A68:R68"/>
    <mergeCell ref="A69:N69"/>
    <mergeCell ref="A77:E77"/>
    <mergeCell ref="L77:N77"/>
    <mergeCell ref="A79:N79"/>
    <mergeCell ref="A80:R80"/>
    <mergeCell ref="A81:N81"/>
    <mergeCell ref="L87:N87"/>
    <mergeCell ref="A88:E88"/>
    <mergeCell ref="A90:N90"/>
    <mergeCell ref="K123:N123"/>
    <mergeCell ref="L99:N99"/>
    <mergeCell ref="A100:E100"/>
    <mergeCell ref="A102:N102"/>
    <mergeCell ref="A103:R103"/>
    <mergeCell ref="A104:N104"/>
    <mergeCell ref="R111:U111"/>
    <mergeCell ref="A112:E112"/>
    <mergeCell ref="R112:U112"/>
    <mergeCell ref="A114:N114"/>
    <mergeCell ref="A115:R115"/>
    <mergeCell ref="A116:N116"/>
    <mergeCell ref="L148:N148"/>
    <mergeCell ref="A124:E124"/>
    <mergeCell ref="K124:N124"/>
    <mergeCell ref="A126:N126"/>
    <mergeCell ref="A127:R127"/>
    <mergeCell ref="A128:N128"/>
    <mergeCell ref="L135:N135"/>
    <mergeCell ref="A136:E136"/>
    <mergeCell ref="L136:N136"/>
    <mergeCell ref="A138:N138"/>
    <mergeCell ref="A139:R139"/>
    <mergeCell ref="A140:N140"/>
    <mergeCell ref="S174:U174"/>
    <mergeCell ref="A149:E149"/>
    <mergeCell ref="L149:O149"/>
    <mergeCell ref="A151:N151"/>
    <mergeCell ref="A152:R152"/>
    <mergeCell ref="A153:N153"/>
    <mergeCell ref="L161:N161"/>
    <mergeCell ref="A162:E162"/>
    <mergeCell ref="K162:N162"/>
    <mergeCell ref="A164:N164"/>
    <mergeCell ref="A165:N165"/>
    <mergeCell ref="A166:N166"/>
    <mergeCell ref="L200:N200"/>
    <mergeCell ref="A175:E175"/>
    <mergeCell ref="S175:U175"/>
    <mergeCell ref="A177:N177"/>
    <mergeCell ref="A178:R178"/>
    <mergeCell ref="A179:N179"/>
    <mergeCell ref="S187:U187"/>
    <mergeCell ref="A188:E188"/>
    <mergeCell ref="S188:U188"/>
    <mergeCell ref="A190:N190"/>
    <mergeCell ref="A191:R191"/>
    <mergeCell ref="A192:N192"/>
    <mergeCell ref="A201:E201"/>
    <mergeCell ref="L201:N201"/>
    <mergeCell ref="A203:N203"/>
    <mergeCell ref="A204:N204"/>
    <mergeCell ref="A205:N20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1"/>
  <sheetViews>
    <sheetView rightToLeft="1" tabSelected="1" workbookViewId="0">
      <selection activeCell="B5" sqref="B5:N8"/>
    </sheetView>
  </sheetViews>
  <sheetFormatPr defaultRowHeight="13.2"/>
  <cols>
    <col min="1" max="1" width="7.88671875" style="93" customWidth="1"/>
    <col min="2" max="4" width="8.88671875" style="93"/>
    <col min="5" max="5" width="13.21875" style="93" customWidth="1"/>
    <col min="6" max="12" width="8.88671875" style="93"/>
    <col min="13" max="13" width="10.21875" style="93" customWidth="1"/>
    <col min="14" max="14" width="10.88671875" style="93" customWidth="1"/>
    <col min="15" max="16384" width="8.88671875" style="93"/>
  </cols>
  <sheetData>
    <row r="1" spans="1:18" ht="22.8">
      <c r="A1" s="92" t="s">
        <v>62</v>
      </c>
      <c r="B1" s="29"/>
      <c r="C1" s="29"/>
      <c r="D1" s="29"/>
      <c r="E1" s="29"/>
      <c r="F1" s="28"/>
      <c r="G1" s="28"/>
      <c r="H1" s="28"/>
      <c r="I1" s="28"/>
      <c r="J1" s="28"/>
      <c r="K1" s="28"/>
      <c r="L1" s="92" t="s">
        <v>63</v>
      </c>
      <c r="M1" s="29"/>
      <c r="N1" s="29"/>
      <c r="O1" s="28"/>
      <c r="P1" s="28"/>
      <c r="Q1" s="28"/>
      <c r="R1" s="28"/>
    </row>
    <row r="2" spans="1:18" ht="22.8">
      <c r="A2" s="326" t="s">
        <v>64</v>
      </c>
      <c r="B2" s="326"/>
      <c r="C2" s="326"/>
      <c r="D2" s="326"/>
      <c r="E2" s="326"/>
      <c r="F2" s="28"/>
      <c r="G2" s="28"/>
      <c r="H2" s="28"/>
      <c r="I2" s="28"/>
      <c r="J2" s="28"/>
      <c r="K2" s="28"/>
      <c r="L2" s="326" t="s">
        <v>65</v>
      </c>
      <c r="M2" s="326"/>
      <c r="N2" s="326"/>
      <c r="O2" s="28"/>
      <c r="P2" s="28"/>
      <c r="Q2" s="28"/>
      <c r="R2" s="28"/>
    </row>
    <row r="3" spans="1:18" ht="22.8">
      <c r="B3" s="29"/>
      <c r="C3" s="29"/>
      <c r="D3" s="29"/>
      <c r="E3" s="29"/>
      <c r="F3" s="29"/>
      <c r="G3" s="92" t="s">
        <v>301</v>
      </c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7.399999999999999">
      <c r="F4" s="92" t="s">
        <v>302</v>
      </c>
    </row>
    <row r="5" spans="1:18" ht="23.4" thickBot="1">
      <c r="B5" s="37" t="s">
        <v>303</v>
      </c>
      <c r="F5" s="29"/>
      <c r="K5" s="37" t="s">
        <v>304</v>
      </c>
    </row>
    <row r="6" spans="1:18" ht="51" customHeight="1" thickTop="1" thickBot="1">
      <c r="B6" s="90" t="s">
        <v>305</v>
      </c>
      <c r="C6" s="90" t="s">
        <v>306</v>
      </c>
      <c r="D6" s="90" t="s">
        <v>307</v>
      </c>
      <c r="E6" s="90" t="s">
        <v>308</v>
      </c>
      <c r="F6" s="318" t="s">
        <v>309</v>
      </c>
      <c r="G6" s="322"/>
      <c r="H6" s="319"/>
      <c r="I6" s="90" t="s">
        <v>310</v>
      </c>
      <c r="K6" s="90" t="s">
        <v>311</v>
      </c>
      <c r="L6" s="90" t="s">
        <v>312</v>
      </c>
      <c r="M6" s="90" t="s">
        <v>43</v>
      </c>
      <c r="N6" s="90" t="s">
        <v>38</v>
      </c>
    </row>
    <row r="7" spans="1:18" ht="19.5" customHeight="1" thickTop="1" thickBot="1">
      <c r="B7" s="327">
        <f>'[1]التعليم الابتدائي'!AGI754</f>
        <v>242</v>
      </c>
      <c r="C7" s="327">
        <f>'[1]التعليم الابتدائي'!AGO754</f>
        <v>0</v>
      </c>
      <c r="D7" s="327">
        <f>'[1]التعليم الابتدائي'!AGM754</f>
        <v>0</v>
      </c>
      <c r="E7" s="327">
        <f>'[1]التعليم الابتدائي'!AGQ754</f>
        <v>0</v>
      </c>
      <c r="F7" s="90" t="s">
        <v>313</v>
      </c>
      <c r="G7" s="90" t="s">
        <v>314</v>
      </c>
      <c r="H7" s="90" t="s">
        <v>315</v>
      </c>
      <c r="I7" s="329">
        <f>'[1]التعليم الابتدائي'!AGK754</f>
        <v>25</v>
      </c>
      <c r="K7" s="327">
        <f>'[1]التعليم الابتدائي'!S754</f>
        <v>165</v>
      </c>
      <c r="L7" s="327">
        <f>'[1]التعليم الابتدائي'!T754</f>
        <v>1</v>
      </c>
      <c r="M7" s="327">
        <f>'[1]التعليم الابتدائي'!U754</f>
        <v>563</v>
      </c>
      <c r="N7" s="327">
        <f>'[1]التعليم الابتدائي'!V754</f>
        <v>0</v>
      </c>
    </row>
    <row r="8" spans="1:18" ht="22.5" customHeight="1" thickTop="1" thickBot="1">
      <c r="B8" s="328"/>
      <c r="C8" s="328"/>
      <c r="D8" s="328"/>
      <c r="E8" s="328"/>
      <c r="F8" s="4">
        <f>'[1]التعليم الابتدائي'!AGV754</f>
        <v>0</v>
      </c>
      <c r="G8" s="4">
        <f>'[1]التعليم الابتدائي'!AGW754</f>
        <v>0</v>
      </c>
      <c r="H8" s="4">
        <f>'[1]التعليم الابتدائي'!AGX754</f>
        <v>0</v>
      </c>
      <c r="I8" s="330"/>
      <c r="K8" s="328"/>
      <c r="L8" s="328"/>
      <c r="M8" s="328"/>
      <c r="N8" s="328"/>
    </row>
    <row r="9" spans="1:18" ht="13.8" thickTop="1"/>
    <row r="10" spans="1:18" ht="23.4" thickBot="1">
      <c r="B10" s="37" t="s">
        <v>316</v>
      </c>
      <c r="I10" s="37" t="s">
        <v>317</v>
      </c>
    </row>
    <row r="11" spans="1:18" ht="15" thickTop="1" thickBot="1">
      <c r="B11" s="318" t="s">
        <v>318</v>
      </c>
      <c r="C11" s="322"/>
      <c r="D11" s="319"/>
      <c r="E11" s="90" t="s">
        <v>78</v>
      </c>
      <c r="F11" s="90" t="s">
        <v>79</v>
      </c>
      <c r="G11" s="90" t="s">
        <v>58</v>
      </c>
    </row>
    <row r="12" spans="1:18" ht="15" thickTop="1" thickBot="1">
      <c r="B12" s="318" t="s">
        <v>319</v>
      </c>
      <c r="C12" s="322"/>
      <c r="D12" s="319"/>
      <c r="E12" s="90">
        <f>'[1]التعليم الابتدائي'!KI754</f>
        <v>0</v>
      </c>
      <c r="F12" s="90">
        <f>'[1]التعليم الابتدائي'!KJ754</f>
        <v>0</v>
      </c>
      <c r="G12" s="90">
        <f>SUM(E12:F12)</f>
        <v>0</v>
      </c>
      <c r="I12" s="318" t="s">
        <v>145</v>
      </c>
      <c r="J12" s="319"/>
      <c r="K12" s="318" t="s">
        <v>320</v>
      </c>
      <c r="L12" s="319"/>
    </row>
    <row r="13" spans="1:18" ht="15" thickTop="1" thickBot="1">
      <c r="B13" s="323" t="s">
        <v>321</v>
      </c>
      <c r="C13" s="318" t="s">
        <v>322</v>
      </c>
      <c r="D13" s="319"/>
      <c r="E13" s="90">
        <f>'[1]التعليم الابتدائي'!KK754</f>
        <v>0</v>
      </c>
      <c r="F13" s="90">
        <f>'[1]التعليم الابتدائي'!KL754</f>
        <v>0</v>
      </c>
      <c r="G13" s="90">
        <f t="shared" ref="G13:G20" si="0">SUM(E13:F13)</f>
        <v>0</v>
      </c>
      <c r="I13" s="318" t="s">
        <v>78</v>
      </c>
      <c r="J13" s="319"/>
      <c r="K13" s="318">
        <f>'[1]التعليم الابتدائي'!AGC754</f>
        <v>0</v>
      </c>
      <c r="L13" s="319"/>
    </row>
    <row r="14" spans="1:18" ht="15" thickTop="1" thickBot="1">
      <c r="B14" s="324"/>
      <c r="C14" s="318" t="s">
        <v>323</v>
      </c>
      <c r="D14" s="319"/>
      <c r="E14" s="90">
        <f>'[1]التعليم الابتدائي'!KM754</f>
        <v>0</v>
      </c>
      <c r="F14" s="90">
        <f>'[1]التعليم الابتدائي'!KN754</f>
        <v>0</v>
      </c>
      <c r="G14" s="90">
        <f t="shared" si="0"/>
        <v>0</v>
      </c>
      <c r="I14" s="318" t="s">
        <v>79</v>
      </c>
      <c r="J14" s="319"/>
      <c r="K14" s="318">
        <f>'[1]التعليم الابتدائي'!AGD754</f>
        <v>0</v>
      </c>
      <c r="L14" s="319"/>
    </row>
    <row r="15" spans="1:18" ht="15" thickTop="1" thickBot="1">
      <c r="B15" s="324"/>
      <c r="C15" s="318" t="s">
        <v>324</v>
      </c>
      <c r="D15" s="319"/>
      <c r="E15" s="90">
        <f>'[1]التعليم الابتدائي'!KO754</f>
        <v>0</v>
      </c>
      <c r="F15" s="90">
        <f>'[1]التعليم الابتدائي'!KP754</f>
        <v>0</v>
      </c>
      <c r="G15" s="90">
        <f t="shared" si="0"/>
        <v>0</v>
      </c>
      <c r="I15" s="318" t="s">
        <v>58</v>
      </c>
      <c r="J15" s="319"/>
      <c r="K15" s="318">
        <f>K14+K13</f>
        <v>0</v>
      </c>
      <c r="L15" s="319"/>
    </row>
    <row r="16" spans="1:18" ht="15" thickTop="1" thickBot="1">
      <c r="B16" s="324"/>
      <c r="C16" s="318" t="s">
        <v>325</v>
      </c>
      <c r="D16" s="319"/>
      <c r="E16" s="90">
        <f>'[1]التعليم الابتدائي'!KQ754</f>
        <v>0</v>
      </c>
      <c r="F16" s="90">
        <f>'[1]التعليم الابتدائي'!KR754</f>
        <v>0</v>
      </c>
      <c r="G16" s="90">
        <f t="shared" si="0"/>
        <v>0</v>
      </c>
    </row>
    <row r="17" spans="2:14" ht="15" thickTop="1" thickBot="1">
      <c r="B17" s="324"/>
      <c r="C17" s="318" t="s">
        <v>326</v>
      </c>
      <c r="D17" s="319"/>
      <c r="E17" s="90">
        <f>'[1]التعليم الابتدائي'!KS754</f>
        <v>0</v>
      </c>
      <c r="F17" s="90">
        <f>'[1]التعليم الابتدائي'!KT754</f>
        <v>0</v>
      </c>
      <c r="G17" s="90">
        <f t="shared" si="0"/>
        <v>0</v>
      </c>
    </row>
    <row r="18" spans="2:14" ht="15" thickTop="1" thickBot="1">
      <c r="B18" s="324"/>
      <c r="C18" s="318" t="s">
        <v>327</v>
      </c>
      <c r="D18" s="319"/>
      <c r="E18" s="90"/>
      <c r="F18" s="90">
        <f>'[1]التعليم الابتدائي'!KU754</f>
        <v>0</v>
      </c>
      <c r="G18" s="90">
        <f t="shared" si="0"/>
        <v>0</v>
      </c>
    </row>
    <row r="19" spans="2:14" ht="15" thickTop="1" thickBot="1">
      <c r="B19" s="324"/>
      <c r="C19" s="318" t="s">
        <v>328</v>
      </c>
      <c r="D19" s="319"/>
      <c r="E19" s="90">
        <f>'[1]التعليم الابتدائي'!KV754</f>
        <v>0</v>
      </c>
      <c r="F19" s="90">
        <f>'[1]التعليم الابتدائي'!KW754</f>
        <v>0</v>
      </c>
      <c r="G19" s="90">
        <f t="shared" si="0"/>
        <v>0</v>
      </c>
    </row>
    <row r="20" spans="2:14" ht="15" thickTop="1" thickBot="1">
      <c r="B20" s="325"/>
      <c r="C20" s="318" t="s">
        <v>329</v>
      </c>
      <c r="D20" s="319"/>
      <c r="E20" s="90"/>
      <c r="F20" s="90"/>
      <c r="G20" s="90">
        <f t="shared" si="0"/>
        <v>0</v>
      </c>
    </row>
    <row r="21" spans="2:14" ht="15" thickTop="1" thickBot="1">
      <c r="B21" s="318" t="s">
        <v>57</v>
      </c>
      <c r="C21" s="322"/>
      <c r="D21" s="319"/>
      <c r="E21" s="90">
        <f>E20+E12</f>
        <v>0</v>
      </c>
      <c r="F21" s="90">
        <f>F20+F12</f>
        <v>0</v>
      </c>
      <c r="G21" s="90">
        <f>G20+G12</f>
        <v>0</v>
      </c>
    </row>
    <row r="22" spans="2:14" ht="13.8" thickTop="1"/>
    <row r="23" spans="2:14" ht="23.4" thickBot="1">
      <c r="B23" s="94" t="s">
        <v>330</v>
      </c>
    </row>
    <row r="24" spans="2:14" ht="15" thickTop="1" thickBot="1">
      <c r="B24" s="318" t="s">
        <v>331</v>
      </c>
      <c r="C24" s="319"/>
      <c r="D24" s="320" t="s">
        <v>332</v>
      </c>
      <c r="E24" s="321"/>
      <c r="F24" s="318" t="s">
        <v>333</v>
      </c>
      <c r="G24" s="319"/>
      <c r="H24" s="318" t="s">
        <v>334</v>
      </c>
      <c r="I24" s="319"/>
      <c r="J24" s="318" t="s">
        <v>335</v>
      </c>
      <c r="K24" s="319"/>
      <c r="L24" s="318" t="s">
        <v>122</v>
      </c>
      <c r="M24" s="322"/>
      <c r="N24" s="319"/>
    </row>
    <row r="25" spans="2:14" ht="15" thickTop="1" thickBot="1">
      <c r="B25" s="90" t="s">
        <v>78</v>
      </c>
      <c r="C25" s="90" t="s">
        <v>79</v>
      </c>
      <c r="D25" s="90" t="s">
        <v>78</v>
      </c>
      <c r="E25" s="90" t="s">
        <v>79</v>
      </c>
      <c r="F25" s="90" t="s">
        <v>78</v>
      </c>
      <c r="G25" s="90" t="s">
        <v>79</v>
      </c>
      <c r="H25" s="90" t="s">
        <v>78</v>
      </c>
      <c r="I25" s="90" t="s">
        <v>79</v>
      </c>
      <c r="J25" s="90" t="s">
        <v>78</v>
      </c>
      <c r="K25" s="90" t="s">
        <v>79</v>
      </c>
      <c r="L25" s="90" t="s">
        <v>78</v>
      </c>
      <c r="M25" s="90" t="s">
        <v>79</v>
      </c>
      <c r="N25" s="90" t="s">
        <v>58</v>
      </c>
    </row>
    <row r="26" spans="2:14" ht="15" thickTop="1" thickBot="1">
      <c r="B26" s="90">
        <f>'[1]التعليم الابتدائي'!AEO754</f>
        <v>0</v>
      </c>
      <c r="C26" s="90">
        <f>'[1]التعليم الابتدائي'!AEP754</f>
        <v>0</v>
      </c>
      <c r="D26" s="90">
        <f>'[1]التعليم الابتدائي'!AEQ754</f>
        <v>0</v>
      </c>
      <c r="E26" s="90">
        <f>'[1]التعليم الابتدائي'!AER754</f>
        <v>0</v>
      </c>
      <c r="F26" s="90">
        <f>'[1]التعليم الابتدائي'!AES754</f>
        <v>0</v>
      </c>
      <c r="G26" s="90">
        <f>'[1]التعليم الابتدائي'!AET754</f>
        <v>0</v>
      </c>
      <c r="H26" s="90">
        <f>'[1]التعليم الابتدائي'!AEW754</f>
        <v>0</v>
      </c>
      <c r="I26" s="90">
        <f>'[1]التعليم الابتدائي'!AEX754</f>
        <v>0</v>
      </c>
      <c r="J26" s="90">
        <f>'[1]التعليم الابتدائي'!AEY754</f>
        <v>0</v>
      </c>
      <c r="K26" s="90">
        <f>'[1]التعليم الابتدائي'!AEZ754</f>
        <v>0</v>
      </c>
      <c r="L26" s="90">
        <f>F26+D26+B26+H26+J26</f>
        <v>0</v>
      </c>
      <c r="M26" s="90">
        <f>G26+E26+C26+I26+K26</f>
        <v>0</v>
      </c>
      <c r="N26" s="90">
        <f>SUM(L26:M26)</f>
        <v>0</v>
      </c>
    </row>
    <row r="27" spans="2:14" ht="13.8" thickTop="1"/>
    <row r="28" spans="2:14" ht="23.4" thickBot="1">
      <c r="B28" s="94" t="s">
        <v>336</v>
      </c>
    </row>
    <row r="29" spans="2:14" ht="15" thickTop="1" thickBot="1">
      <c r="B29" s="318" t="s">
        <v>337</v>
      </c>
      <c r="C29" s="319"/>
      <c r="D29" s="320" t="s">
        <v>338</v>
      </c>
      <c r="E29" s="321"/>
      <c r="F29" s="318" t="s">
        <v>339</v>
      </c>
      <c r="G29" s="319"/>
      <c r="H29" s="318" t="s">
        <v>340</v>
      </c>
      <c r="I29" s="319"/>
      <c r="J29" s="318" t="s">
        <v>341</v>
      </c>
      <c r="K29" s="319"/>
      <c r="L29" s="318" t="s">
        <v>58</v>
      </c>
      <c r="M29" s="322"/>
      <c r="N29" s="319"/>
    </row>
    <row r="30" spans="2:14" ht="15" thickTop="1" thickBot="1">
      <c r="B30" s="90" t="s">
        <v>78</v>
      </c>
      <c r="C30" s="90" t="s">
        <v>79</v>
      </c>
      <c r="D30" s="90" t="s">
        <v>78</v>
      </c>
      <c r="E30" s="90" t="s">
        <v>79</v>
      </c>
      <c r="F30" s="90" t="s">
        <v>78</v>
      </c>
      <c r="G30" s="90" t="s">
        <v>79</v>
      </c>
      <c r="H30" s="90" t="s">
        <v>78</v>
      </c>
      <c r="I30" s="90" t="s">
        <v>79</v>
      </c>
      <c r="J30" s="90" t="s">
        <v>78</v>
      </c>
      <c r="K30" s="90" t="s">
        <v>79</v>
      </c>
      <c r="L30" s="90" t="s">
        <v>78</v>
      </c>
      <c r="M30" s="90" t="s">
        <v>79</v>
      </c>
      <c r="N30" s="90" t="s">
        <v>58</v>
      </c>
    </row>
    <row r="31" spans="2:14" ht="15" thickTop="1" thickBot="1">
      <c r="B31" s="90">
        <f>'[1]التعليم الابتدائي'!AFB754</f>
        <v>0</v>
      </c>
      <c r="C31" s="90">
        <f>'[1]التعليم الابتدائي'!AFC754</f>
        <v>0</v>
      </c>
      <c r="D31" s="90">
        <f>'[1]التعليم الابتدائي'!AFD754</f>
        <v>0</v>
      </c>
      <c r="E31" s="90">
        <f>'[1]التعليم الابتدائي'!AFE754</f>
        <v>0</v>
      </c>
      <c r="F31" s="90">
        <f>'[1]التعليم الابتدائي'!AFF754</f>
        <v>0</v>
      </c>
      <c r="G31" s="90">
        <f>'[1]التعليم الابتدائي'!AFG754</f>
        <v>0</v>
      </c>
      <c r="H31" s="90">
        <f>'[1]التعليم الابتدائي'!AFH754</f>
        <v>0</v>
      </c>
      <c r="I31" s="90">
        <f>'[1]التعليم الابتدائي'!AFI754</f>
        <v>0</v>
      </c>
      <c r="J31" s="90">
        <f>'[1]التعليم الابتدائي'!AFJ754</f>
        <v>0</v>
      </c>
      <c r="K31" s="90">
        <f>'[1]التعليم الابتدائي'!AFK754</f>
        <v>0</v>
      </c>
      <c r="L31" s="90">
        <f>'[1]التعليم الابتدائي'!AFL754</f>
        <v>0</v>
      </c>
      <c r="M31" s="90">
        <f>'[1]التعليم الابتدائي'!AFM754</f>
        <v>0</v>
      </c>
      <c r="N31" s="90">
        <f>SUM(L31:M31)</f>
        <v>0</v>
      </c>
    </row>
    <row r="32" spans="2:14" ht="13.8" thickTop="1"/>
    <row r="33" spans="1:16" ht="22.8">
      <c r="A33" s="92" t="s">
        <v>62</v>
      </c>
      <c r="B33" s="29"/>
      <c r="C33" s="29"/>
      <c r="D33" s="29"/>
      <c r="E33" s="29"/>
      <c r="F33" s="28"/>
      <c r="G33" s="28"/>
      <c r="H33" s="28"/>
      <c r="I33" s="28"/>
      <c r="J33" s="28"/>
      <c r="K33" s="28"/>
      <c r="M33" s="92" t="s">
        <v>283</v>
      </c>
      <c r="N33" s="29"/>
      <c r="O33" s="28"/>
      <c r="P33" s="28"/>
    </row>
    <row r="34" spans="1:16" ht="22.8">
      <c r="A34" s="326" t="s">
        <v>64</v>
      </c>
      <c r="B34" s="326"/>
      <c r="C34" s="326"/>
      <c r="D34" s="326"/>
      <c r="E34" s="326"/>
      <c r="F34" s="28"/>
      <c r="G34" s="28"/>
      <c r="H34" s="28"/>
      <c r="I34" s="28"/>
      <c r="J34" s="28"/>
      <c r="K34" s="28"/>
      <c r="L34" s="326" t="s">
        <v>65</v>
      </c>
      <c r="M34" s="326"/>
      <c r="N34" s="326"/>
      <c r="O34" s="28"/>
      <c r="P34" s="28"/>
    </row>
    <row r="35" spans="1:16" ht="22.8">
      <c r="B35" s="29"/>
      <c r="C35" s="29"/>
      <c r="D35" s="29"/>
      <c r="E35" s="29"/>
      <c r="F35" s="29"/>
      <c r="G35" s="92" t="s">
        <v>301</v>
      </c>
      <c r="H35" s="29"/>
      <c r="I35" s="29"/>
      <c r="J35" s="29"/>
      <c r="K35" s="29"/>
      <c r="L35" s="29"/>
      <c r="M35" s="29"/>
      <c r="N35" s="29"/>
      <c r="O35" s="29"/>
      <c r="P35" s="29"/>
    </row>
    <row r="36" spans="1:16" ht="17.399999999999999">
      <c r="F36" s="92" t="s">
        <v>302</v>
      </c>
    </row>
    <row r="37" spans="1:16" ht="23.4" thickBot="1">
      <c r="B37" s="37" t="s">
        <v>303</v>
      </c>
      <c r="F37" s="29"/>
      <c r="K37" s="37" t="s">
        <v>304</v>
      </c>
    </row>
    <row r="38" spans="1:16" ht="42.6" thickTop="1" thickBot="1">
      <c r="B38" s="90" t="s">
        <v>305</v>
      </c>
      <c r="C38" s="90" t="s">
        <v>306</v>
      </c>
      <c r="D38" s="90" t="s">
        <v>307</v>
      </c>
      <c r="E38" s="90" t="s">
        <v>308</v>
      </c>
      <c r="F38" s="318" t="s">
        <v>309</v>
      </c>
      <c r="G38" s="322"/>
      <c r="H38" s="319"/>
      <c r="I38" s="90" t="s">
        <v>310</v>
      </c>
      <c r="K38" s="90" t="s">
        <v>311</v>
      </c>
      <c r="L38" s="90" t="s">
        <v>312</v>
      </c>
      <c r="M38" s="90" t="s">
        <v>43</v>
      </c>
      <c r="N38" s="90" t="s">
        <v>38</v>
      </c>
    </row>
    <row r="39" spans="1:16" ht="15" thickTop="1" thickBot="1">
      <c r="B39" s="323">
        <f>'[1]التعليم الابتدائي'!AGI377</f>
        <v>98</v>
      </c>
      <c r="C39" s="323">
        <f>'[1]التعليم الابتدائي'!AGO377</f>
        <v>0</v>
      </c>
      <c r="D39" s="323">
        <f>'[1]التعليم الابتدائي'!AGM377</f>
        <v>0</v>
      </c>
      <c r="E39" s="323">
        <f>'[1]التعليم الابتدائي'!AGQ377</f>
        <v>0</v>
      </c>
      <c r="F39" s="90" t="s">
        <v>313</v>
      </c>
      <c r="G39" s="90" t="s">
        <v>314</v>
      </c>
      <c r="H39" s="90" t="s">
        <v>315</v>
      </c>
      <c r="I39" s="323">
        <f>'[1]التعليم الابتدائي'!AGK377</f>
        <v>0</v>
      </c>
      <c r="K39" s="323">
        <f>'[1]التعليم الابتدائي'!S377</f>
        <v>72</v>
      </c>
      <c r="L39" s="323">
        <f>'[1]التعليم الابتدائي'!T377</f>
        <v>1</v>
      </c>
      <c r="M39" s="323">
        <f>'[1]التعليم الابتدائي'!U377</f>
        <v>291</v>
      </c>
      <c r="N39" s="323">
        <f>'[1]التعليم الابتدائي'!V377</f>
        <v>0</v>
      </c>
    </row>
    <row r="40" spans="1:16" ht="24" thickTop="1" thickBot="1">
      <c r="B40" s="325"/>
      <c r="C40" s="325"/>
      <c r="D40" s="325"/>
      <c r="E40" s="325"/>
      <c r="F40" s="15">
        <f>'[1]التعليم الابتدائي'!AGV377</f>
        <v>0</v>
      </c>
      <c r="G40" s="15">
        <f>'[1]التعليم الابتدائي'!AGW377</f>
        <v>0</v>
      </c>
      <c r="H40" s="15">
        <f>'[1]التعليم الابتدائي'!AGX377</f>
        <v>0</v>
      </c>
      <c r="I40" s="325"/>
      <c r="K40" s="325"/>
      <c r="L40" s="325"/>
      <c r="M40" s="325"/>
      <c r="N40" s="325"/>
    </row>
    <row r="41" spans="1:16" ht="13.8" thickTop="1"/>
    <row r="42" spans="1:16" ht="23.4" thickBot="1">
      <c r="B42" s="37" t="s">
        <v>316</v>
      </c>
      <c r="I42" s="37" t="s">
        <v>317</v>
      </c>
    </row>
    <row r="43" spans="1:16" ht="15" thickTop="1" thickBot="1">
      <c r="B43" s="318" t="s">
        <v>318</v>
      </c>
      <c r="C43" s="322"/>
      <c r="D43" s="319"/>
      <c r="E43" s="90" t="s">
        <v>78</v>
      </c>
      <c r="F43" s="90" t="s">
        <v>79</v>
      </c>
      <c r="G43" s="90" t="s">
        <v>58</v>
      </c>
    </row>
    <row r="44" spans="1:16" ht="15" thickTop="1" thickBot="1">
      <c r="B44" s="318" t="s">
        <v>319</v>
      </c>
      <c r="C44" s="322"/>
      <c r="D44" s="319"/>
      <c r="E44" s="90">
        <f>'[1]التعليم الابتدائي'!KI377</f>
        <v>0</v>
      </c>
      <c r="F44" s="90">
        <f>'[1]التعليم الابتدائي'!KJ377</f>
        <v>0</v>
      </c>
      <c r="G44" s="90">
        <f>SUM(E44:F44)</f>
        <v>0</v>
      </c>
      <c r="I44" s="318" t="s">
        <v>145</v>
      </c>
      <c r="J44" s="319"/>
      <c r="K44" s="318" t="s">
        <v>320</v>
      </c>
      <c r="L44" s="319"/>
    </row>
    <row r="45" spans="1:16" ht="15" thickTop="1" thickBot="1">
      <c r="B45" s="323" t="s">
        <v>321</v>
      </c>
      <c r="C45" s="318" t="s">
        <v>322</v>
      </c>
      <c r="D45" s="319"/>
      <c r="E45" s="90">
        <f>'[1]التعليم الابتدائي'!KK377</f>
        <v>0</v>
      </c>
      <c r="F45" s="90">
        <f>'[1]التعليم الابتدائي'!KL377</f>
        <v>0</v>
      </c>
      <c r="G45" s="90">
        <f t="shared" ref="G45:G52" si="1">SUM(E45:F45)</f>
        <v>0</v>
      </c>
      <c r="I45" s="318" t="s">
        <v>78</v>
      </c>
      <c r="J45" s="319"/>
      <c r="K45" s="318">
        <f>'[1]التعليم الابتدائي'!AGC377</f>
        <v>0</v>
      </c>
      <c r="L45" s="319"/>
    </row>
    <row r="46" spans="1:16" ht="15" thickTop="1" thickBot="1">
      <c r="B46" s="324"/>
      <c r="C46" s="318" t="s">
        <v>323</v>
      </c>
      <c r="D46" s="319"/>
      <c r="E46" s="90">
        <f>'[1]التعليم الابتدائي'!KM377</f>
        <v>0</v>
      </c>
      <c r="F46" s="90">
        <f>'[1]التعليم الابتدائي'!KN377</f>
        <v>0</v>
      </c>
      <c r="G46" s="90">
        <f t="shared" si="1"/>
        <v>0</v>
      </c>
      <c r="I46" s="318" t="s">
        <v>79</v>
      </c>
      <c r="J46" s="319"/>
      <c r="K46" s="318">
        <f>'[1]التعليم الابتدائي'!AGD377</f>
        <v>0</v>
      </c>
      <c r="L46" s="319"/>
    </row>
    <row r="47" spans="1:16" ht="15" thickTop="1" thickBot="1">
      <c r="B47" s="324"/>
      <c r="C47" s="318" t="s">
        <v>324</v>
      </c>
      <c r="D47" s="319"/>
      <c r="E47" s="90">
        <f>'[1]التعليم الابتدائي'!KO377</f>
        <v>0</v>
      </c>
      <c r="F47" s="90">
        <f>'[1]التعليم الابتدائي'!KP377</f>
        <v>0</v>
      </c>
      <c r="G47" s="90">
        <f t="shared" si="1"/>
        <v>0</v>
      </c>
      <c r="I47" s="318" t="s">
        <v>58</v>
      </c>
      <c r="J47" s="319"/>
      <c r="K47" s="318">
        <f>K46+K45</f>
        <v>0</v>
      </c>
      <c r="L47" s="319"/>
    </row>
    <row r="48" spans="1:16" ht="15" thickTop="1" thickBot="1">
      <c r="B48" s="324"/>
      <c r="C48" s="318" t="s">
        <v>325</v>
      </c>
      <c r="D48" s="319"/>
      <c r="E48" s="90">
        <f>'[1]التعليم الابتدائي'!KQ377</f>
        <v>0</v>
      </c>
      <c r="F48" s="90">
        <f>'[1]التعليم الابتدائي'!KR377</f>
        <v>0</v>
      </c>
      <c r="G48" s="90">
        <f t="shared" si="1"/>
        <v>0</v>
      </c>
    </row>
    <row r="49" spans="2:14" ht="15" thickTop="1" thickBot="1">
      <c r="B49" s="324"/>
      <c r="C49" s="318" t="s">
        <v>326</v>
      </c>
      <c r="D49" s="319"/>
      <c r="E49" s="90">
        <f>'[1]التعليم الابتدائي'!KS377</f>
        <v>0</v>
      </c>
      <c r="F49" s="90">
        <f>'[1]التعليم الابتدائي'!KT377</f>
        <v>0</v>
      </c>
      <c r="G49" s="90">
        <f t="shared" si="1"/>
        <v>0</v>
      </c>
    </row>
    <row r="50" spans="2:14" ht="15" thickTop="1" thickBot="1">
      <c r="B50" s="324"/>
      <c r="C50" s="318" t="s">
        <v>327</v>
      </c>
      <c r="D50" s="319"/>
      <c r="E50" s="90"/>
      <c r="F50" s="90">
        <f>'[1]التعليم الابتدائي'!KU377</f>
        <v>0</v>
      </c>
      <c r="G50" s="90">
        <f t="shared" si="1"/>
        <v>0</v>
      </c>
    </row>
    <row r="51" spans="2:14" ht="15" thickTop="1" thickBot="1">
      <c r="B51" s="324"/>
      <c r="C51" s="318" t="s">
        <v>328</v>
      </c>
      <c r="D51" s="319"/>
      <c r="E51" s="90">
        <f>'[1]التعليم الابتدائي'!KV377</f>
        <v>0</v>
      </c>
      <c r="F51" s="90">
        <f>'[1]التعليم الابتدائي'!KW377</f>
        <v>0</v>
      </c>
      <c r="G51" s="90">
        <f t="shared" si="1"/>
        <v>0</v>
      </c>
    </row>
    <row r="52" spans="2:14" ht="15" thickTop="1" thickBot="1">
      <c r="B52" s="325"/>
      <c r="C52" s="318" t="s">
        <v>329</v>
      </c>
      <c r="D52" s="319"/>
      <c r="E52" s="90"/>
      <c r="F52" s="90"/>
      <c r="G52" s="90">
        <f t="shared" si="1"/>
        <v>0</v>
      </c>
    </row>
    <row r="53" spans="2:14" ht="15" thickTop="1" thickBot="1">
      <c r="B53" s="318" t="s">
        <v>57</v>
      </c>
      <c r="C53" s="322"/>
      <c r="D53" s="319"/>
      <c r="E53" s="90">
        <f>E52+E44</f>
        <v>0</v>
      </c>
      <c r="F53" s="90">
        <f>F52+F44</f>
        <v>0</v>
      </c>
      <c r="G53" s="90">
        <f>G52+G44</f>
        <v>0</v>
      </c>
    </row>
    <row r="54" spans="2:14" ht="13.8" thickTop="1"/>
    <row r="55" spans="2:14" ht="23.4" thickBot="1">
      <c r="B55" s="94" t="s">
        <v>330</v>
      </c>
    </row>
    <row r="56" spans="2:14" ht="15" thickTop="1" thickBot="1">
      <c r="B56" s="318" t="s">
        <v>331</v>
      </c>
      <c r="C56" s="319"/>
      <c r="D56" s="320" t="s">
        <v>332</v>
      </c>
      <c r="E56" s="321"/>
      <c r="F56" s="318" t="s">
        <v>333</v>
      </c>
      <c r="G56" s="319"/>
      <c r="H56" s="318" t="s">
        <v>334</v>
      </c>
      <c r="I56" s="319"/>
      <c r="J56" s="318" t="s">
        <v>335</v>
      </c>
      <c r="K56" s="319"/>
      <c r="L56" s="318" t="s">
        <v>122</v>
      </c>
      <c r="M56" s="322"/>
      <c r="N56" s="319"/>
    </row>
    <row r="57" spans="2:14" ht="15" thickTop="1" thickBot="1">
      <c r="B57" s="90" t="s">
        <v>78</v>
      </c>
      <c r="C57" s="90" t="s">
        <v>79</v>
      </c>
      <c r="D57" s="90" t="s">
        <v>78</v>
      </c>
      <c r="E57" s="90" t="s">
        <v>79</v>
      </c>
      <c r="F57" s="90" t="s">
        <v>78</v>
      </c>
      <c r="G57" s="90" t="s">
        <v>79</v>
      </c>
      <c r="H57" s="90" t="s">
        <v>78</v>
      </c>
      <c r="I57" s="90" t="s">
        <v>79</v>
      </c>
      <c r="J57" s="90" t="s">
        <v>78</v>
      </c>
      <c r="K57" s="90" t="s">
        <v>79</v>
      </c>
      <c r="L57" s="90" t="s">
        <v>78</v>
      </c>
      <c r="M57" s="90" t="s">
        <v>79</v>
      </c>
      <c r="N57" s="90" t="s">
        <v>58</v>
      </c>
    </row>
    <row r="58" spans="2:14" ht="15" thickTop="1" thickBot="1">
      <c r="B58" s="90">
        <f>'[1]التعليم الابتدائي'!AEO377</f>
        <v>0</v>
      </c>
      <c r="C58" s="90">
        <f>'[1]التعليم الابتدائي'!AEP377</f>
        <v>0</v>
      </c>
      <c r="D58" s="90">
        <f>'[1]التعليم الابتدائي'!AEQ377</f>
        <v>0</v>
      </c>
      <c r="E58" s="90">
        <f>'[1]التعليم الابتدائي'!AER377</f>
        <v>0</v>
      </c>
      <c r="F58" s="90">
        <f>'[1]التعليم الابتدائي'!AES377</f>
        <v>0</v>
      </c>
      <c r="G58" s="90">
        <f>'[1]التعليم الابتدائي'!AET377</f>
        <v>0</v>
      </c>
      <c r="H58" s="90">
        <f>'[1]التعليم الابتدائي'!AEW377</f>
        <v>0</v>
      </c>
      <c r="I58" s="90">
        <f>'[1]التعليم الابتدائي'!AEX377</f>
        <v>0</v>
      </c>
      <c r="J58" s="90">
        <f>'[1]التعليم الابتدائي'!AEY377</f>
        <v>0</v>
      </c>
      <c r="K58" s="90">
        <f>'[1]التعليم الابتدائي'!AEZ377</f>
        <v>0</v>
      </c>
      <c r="L58" s="90">
        <f>F58+D58+B58+H58</f>
        <v>0</v>
      </c>
      <c r="M58" s="90">
        <f>G58+E58+C58+I58</f>
        <v>0</v>
      </c>
      <c r="N58" s="90">
        <f>SUM(L58:M58)</f>
        <v>0</v>
      </c>
    </row>
    <row r="59" spans="2:14" ht="13.8" thickTop="1"/>
    <row r="60" spans="2:14" ht="23.4" thickBot="1">
      <c r="B60" s="94" t="s">
        <v>336</v>
      </c>
    </row>
    <row r="61" spans="2:14" ht="15" thickTop="1" thickBot="1">
      <c r="B61" s="318" t="s">
        <v>337</v>
      </c>
      <c r="C61" s="319"/>
      <c r="D61" s="320" t="s">
        <v>338</v>
      </c>
      <c r="E61" s="321"/>
      <c r="F61" s="318" t="s">
        <v>339</v>
      </c>
      <c r="G61" s="319"/>
      <c r="H61" s="318" t="s">
        <v>340</v>
      </c>
      <c r="I61" s="319"/>
      <c r="J61" s="318" t="s">
        <v>341</v>
      </c>
      <c r="K61" s="319"/>
      <c r="L61" s="318" t="s">
        <v>58</v>
      </c>
      <c r="M61" s="322"/>
      <c r="N61" s="319"/>
    </row>
    <row r="62" spans="2:14" ht="15" thickTop="1" thickBot="1">
      <c r="B62" s="90" t="s">
        <v>78</v>
      </c>
      <c r="C62" s="90" t="s">
        <v>79</v>
      </c>
      <c r="D62" s="90" t="s">
        <v>78</v>
      </c>
      <c r="E62" s="90" t="s">
        <v>79</v>
      </c>
      <c r="F62" s="90" t="s">
        <v>78</v>
      </c>
      <c r="G62" s="90" t="s">
        <v>79</v>
      </c>
      <c r="H62" s="90" t="s">
        <v>78</v>
      </c>
      <c r="I62" s="90" t="s">
        <v>79</v>
      </c>
      <c r="J62" s="90" t="s">
        <v>78</v>
      </c>
      <c r="K62" s="90" t="s">
        <v>79</v>
      </c>
      <c r="L62" s="90" t="s">
        <v>78</v>
      </c>
      <c r="M62" s="90" t="s">
        <v>79</v>
      </c>
      <c r="N62" s="90" t="s">
        <v>58</v>
      </c>
    </row>
    <row r="63" spans="2:14" ht="15" thickTop="1" thickBot="1">
      <c r="B63" s="90">
        <f>'[1]التعليم الابتدائي'!AFB377</f>
        <v>0</v>
      </c>
      <c r="C63" s="90">
        <f>'[1]التعليم الابتدائي'!AFC377</f>
        <v>0</v>
      </c>
      <c r="D63" s="90">
        <f>'[1]التعليم الابتدائي'!AFD377</f>
        <v>0</v>
      </c>
      <c r="E63" s="90">
        <f>'[1]التعليم الابتدائي'!AFE377</f>
        <v>0</v>
      </c>
      <c r="F63" s="90">
        <f>'[1]التعليم الابتدائي'!AFF377</f>
        <v>0</v>
      </c>
      <c r="G63" s="90">
        <f>'[1]التعليم الابتدائي'!AFG377</f>
        <v>0</v>
      </c>
      <c r="H63" s="90">
        <f>'[1]التعليم الابتدائي'!AFH377</f>
        <v>0</v>
      </c>
      <c r="I63" s="90">
        <f>'[1]التعليم الابتدائي'!AFI377</f>
        <v>0</v>
      </c>
      <c r="J63" s="90">
        <f>'[1]التعليم الابتدائي'!AFJ377</f>
        <v>0</v>
      </c>
      <c r="K63" s="90">
        <f>'[1]التعليم الابتدائي'!AFK377</f>
        <v>0</v>
      </c>
      <c r="L63" s="90">
        <f>'[1]التعليم الابتدائي'!AFL377</f>
        <v>0</v>
      </c>
      <c r="M63" s="90">
        <f>'[1]التعليم الابتدائي'!AFM377</f>
        <v>0</v>
      </c>
      <c r="N63" s="90">
        <f>SUM(L63:M63)</f>
        <v>0</v>
      </c>
    </row>
    <row r="64" spans="2:14" ht="13.8" thickTop="1"/>
    <row r="65" spans="1:16" ht="22.8">
      <c r="A65" s="92" t="s">
        <v>62</v>
      </c>
      <c r="B65" s="29"/>
      <c r="C65" s="29"/>
      <c r="D65" s="29"/>
      <c r="E65" s="29"/>
      <c r="F65" s="28"/>
      <c r="G65" s="28"/>
      <c r="H65" s="28"/>
      <c r="I65" s="28"/>
      <c r="J65" s="28"/>
      <c r="K65" s="28"/>
      <c r="M65" s="92" t="s">
        <v>342</v>
      </c>
      <c r="N65" s="29"/>
      <c r="O65" s="28"/>
      <c r="P65" s="28"/>
    </row>
    <row r="66" spans="1:16" ht="22.8">
      <c r="A66" s="326" t="s">
        <v>64</v>
      </c>
      <c r="B66" s="326"/>
      <c r="C66" s="326"/>
      <c r="D66" s="326"/>
      <c r="E66" s="326"/>
      <c r="F66" s="28"/>
      <c r="G66" s="28"/>
      <c r="H66" s="28"/>
      <c r="I66" s="28"/>
      <c r="J66" s="28"/>
      <c r="K66" s="28"/>
      <c r="L66" s="326" t="s">
        <v>65</v>
      </c>
      <c r="M66" s="326"/>
      <c r="N66" s="326"/>
      <c r="O66" s="28"/>
      <c r="P66" s="28"/>
    </row>
    <row r="67" spans="1:16" ht="22.8">
      <c r="B67" s="29"/>
      <c r="C67" s="29"/>
      <c r="D67" s="29"/>
      <c r="E67" s="29"/>
      <c r="F67" s="29"/>
      <c r="G67" s="92" t="s">
        <v>301</v>
      </c>
      <c r="H67" s="29"/>
      <c r="I67" s="29"/>
      <c r="J67" s="29"/>
      <c r="K67" s="29"/>
      <c r="L67" s="29"/>
      <c r="M67" s="29"/>
      <c r="N67" s="29"/>
      <c r="O67" s="29"/>
      <c r="P67" s="29"/>
    </row>
    <row r="68" spans="1:16" ht="17.399999999999999">
      <c r="F68" s="92" t="s">
        <v>302</v>
      </c>
    </row>
    <row r="69" spans="1:16" ht="23.4" thickBot="1">
      <c r="B69" s="37" t="s">
        <v>303</v>
      </c>
      <c r="F69" s="29"/>
      <c r="K69" s="37" t="s">
        <v>304</v>
      </c>
    </row>
    <row r="70" spans="1:16" ht="42.6" thickTop="1" thickBot="1">
      <c r="B70" s="90" t="s">
        <v>305</v>
      </c>
      <c r="C70" s="90" t="s">
        <v>306</v>
      </c>
      <c r="D70" s="90" t="s">
        <v>307</v>
      </c>
      <c r="E70" s="90" t="s">
        <v>308</v>
      </c>
      <c r="F70" s="318" t="s">
        <v>309</v>
      </c>
      <c r="G70" s="322"/>
      <c r="H70" s="319"/>
      <c r="I70" s="90" t="s">
        <v>310</v>
      </c>
      <c r="K70" s="90" t="s">
        <v>311</v>
      </c>
      <c r="L70" s="90" t="s">
        <v>312</v>
      </c>
      <c r="M70" s="90" t="s">
        <v>43</v>
      </c>
      <c r="N70" s="90" t="s">
        <v>38</v>
      </c>
    </row>
    <row r="71" spans="1:16" ht="15" thickTop="1" thickBot="1">
      <c r="B71" s="323">
        <f>'[1]التعليم الابتدائي'!AGI295</f>
        <v>85</v>
      </c>
      <c r="C71" s="323">
        <f>'[1]التعليم الابتدائي'!AGO295</f>
        <v>0</v>
      </c>
      <c r="D71" s="323">
        <f>'[1]التعليم الابتدائي'!AGM295</f>
        <v>0</v>
      </c>
      <c r="E71" s="323">
        <f>-'[1]التعليم الابتدائي'!AGQ295</f>
        <v>0</v>
      </c>
      <c r="F71" s="90" t="s">
        <v>313</v>
      </c>
      <c r="G71" s="90" t="s">
        <v>314</v>
      </c>
      <c r="H71" s="90" t="s">
        <v>315</v>
      </c>
      <c r="I71" s="323">
        <f>'[1]التعليم الابتدائي'!AGK295</f>
        <v>0</v>
      </c>
      <c r="K71" s="323">
        <f>'[1]التعليم الابتدائي'!S295</f>
        <v>41</v>
      </c>
      <c r="L71" s="323">
        <f>'[1]التعليم الابتدائي'!T295</f>
        <v>1</v>
      </c>
      <c r="M71" s="323">
        <f>'[1]التعليم الابتدائي'!U295</f>
        <v>245</v>
      </c>
      <c r="N71" s="323">
        <f>'[1]التعليم الابتدائي'!V295</f>
        <v>0</v>
      </c>
    </row>
    <row r="72" spans="1:16" ht="24" thickTop="1" thickBot="1">
      <c r="B72" s="325"/>
      <c r="C72" s="325"/>
      <c r="D72" s="325"/>
      <c r="E72" s="325"/>
      <c r="F72" s="15">
        <f>'[1]التعليم الابتدائي'!AGV295</f>
        <v>0</v>
      </c>
      <c r="G72" s="15">
        <f>'[1]التعليم الابتدائي'!AGW295</f>
        <v>0</v>
      </c>
      <c r="H72" s="15">
        <f>'[1]التعليم الابتدائي'!AGX295</f>
        <v>0</v>
      </c>
      <c r="I72" s="325"/>
      <c r="K72" s="325"/>
      <c r="L72" s="325"/>
      <c r="M72" s="325"/>
      <c r="N72" s="325"/>
    </row>
    <row r="73" spans="1:16" ht="13.8" thickTop="1"/>
    <row r="74" spans="1:16" ht="23.4" thickBot="1">
      <c r="B74" s="37" t="s">
        <v>316</v>
      </c>
      <c r="I74" s="37" t="s">
        <v>317</v>
      </c>
    </row>
    <row r="75" spans="1:16" ht="15" thickTop="1" thickBot="1">
      <c r="B75" s="318" t="s">
        <v>318</v>
      </c>
      <c r="C75" s="322"/>
      <c r="D75" s="319"/>
      <c r="E75" s="90" t="s">
        <v>78</v>
      </c>
      <c r="F75" s="90" t="s">
        <v>79</v>
      </c>
      <c r="G75" s="90" t="s">
        <v>58</v>
      </c>
    </row>
    <row r="76" spans="1:16" ht="15" thickTop="1" thickBot="1">
      <c r="B76" s="318" t="s">
        <v>319</v>
      </c>
      <c r="C76" s="322"/>
      <c r="D76" s="319"/>
      <c r="E76" s="90">
        <f>'[1]التعليم الابتدائي'!KI295</f>
        <v>0</v>
      </c>
      <c r="F76" s="90">
        <f>'[1]التعليم الابتدائي'!KJ295</f>
        <v>0</v>
      </c>
      <c r="G76" s="90">
        <f>SUM(E76:F76)</f>
        <v>0</v>
      </c>
      <c r="I76" s="318" t="s">
        <v>145</v>
      </c>
      <c r="J76" s="319"/>
      <c r="K76" s="318" t="s">
        <v>320</v>
      </c>
      <c r="L76" s="319"/>
    </row>
    <row r="77" spans="1:16" ht="15" thickTop="1" thickBot="1">
      <c r="B77" s="323" t="s">
        <v>321</v>
      </c>
      <c r="C77" s="318" t="s">
        <v>322</v>
      </c>
      <c r="D77" s="319"/>
      <c r="E77" s="90">
        <f>'[1]التعليم الابتدائي'!KK295</f>
        <v>0</v>
      </c>
      <c r="F77" s="90">
        <f>'[1]التعليم الابتدائي'!KL295</f>
        <v>0</v>
      </c>
      <c r="G77" s="90">
        <f t="shared" ref="G77:G84" si="2">SUM(E77:F77)</f>
        <v>0</v>
      </c>
      <c r="I77" s="318" t="s">
        <v>78</v>
      </c>
      <c r="J77" s="319"/>
      <c r="K77" s="318">
        <f>'[1]التعليم الابتدائي'!AGC295</f>
        <v>0</v>
      </c>
      <c r="L77" s="319"/>
    </row>
    <row r="78" spans="1:16" ht="15" thickTop="1" thickBot="1">
      <c r="B78" s="324"/>
      <c r="C78" s="318" t="s">
        <v>323</v>
      </c>
      <c r="D78" s="319"/>
      <c r="E78" s="90">
        <f>'[1]التعليم الابتدائي'!KM295</f>
        <v>0</v>
      </c>
      <c r="F78" s="90">
        <f>'[1]التعليم الابتدائي'!KN295</f>
        <v>0</v>
      </c>
      <c r="G78" s="90">
        <f t="shared" si="2"/>
        <v>0</v>
      </c>
      <c r="I78" s="318" t="s">
        <v>79</v>
      </c>
      <c r="J78" s="319"/>
      <c r="K78" s="318">
        <f>'[1]التعليم الابتدائي'!AGD295</f>
        <v>0</v>
      </c>
      <c r="L78" s="319"/>
    </row>
    <row r="79" spans="1:16" ht="15" thickTop="1" thickBot="1">
      <c r="B79" s="324"/>
      <c r="C79" s="318" t="s">
        <v>324</v>
      </c>
      <c r="D79" s="319"/>
      <c r="E79" s="90">
        <f>'[1]التعليم الابتدائي'!KO295</f>
        <v>0</v>
      </c>
      <c r="F79" s="90">
        <f>'[1]التعليم الابتدائي'!KP295</f>
        <v>0</v>
      </c>
      <c r="G79" s="90">
        <f t="shared" si="2"/>
        <v>0</v>
      </c>
      <c r="I79" s="318" t="s">
        <v>58</v>
      </c>
      <c r="J79" s="319"/>
      <c r="K79" s="318">
        <f>K78+K77</f>
        <v>0</v>
      </c>
      <c r="L79" s="319"/>
    </row>
    <row r="80" spans="1:16" ht="15" thickTop="1" thickBot="1">
      <c r="B80" s="324"/>
      <c r="C80" s="318" t="s">
        <v>325</v>
      </c>
      <c r="D80" s="319"/>
      <c r="E80" s="90">
        <f>'[1]التعليم الابتدائي'!KQ295</f>
        <v>0</v>
      </c>
      <c r="F80" s="90">
        <f>'[1]التعليم الابتدائي'!KR295</f>
        <v>0</v>
      </c>
      <c r="G80" s="90">
        <f t="shared" si="2"/>
        <v>0</v>
      </c>
    </row>
    <row r="81" spans="2:14" ht="15" thickTop="1" thickBot="1">
      <c r="B81" s="324"/>
      <c r="C81" s="318" t="s">
        <v>326</v>
      </c>
      <c r="D81" s="319"/>
      <c r="E81" s="90">
        <f>'[1]التعليم الابتدائي'!KS295</f>
        <v>0</v>
      </c>
      <c r="F81" s="90">
        <f>'[1]التعليم الابتدائي'!KT295</f>
        <v>0</v>
      </c>
      <c r="G81" s="90">
        <f t="shared" si="2"/>
        <v>0</v>
      </c>
    </row>
    <row r="82" spans="2:14" ht="15" thickTop="1" thickBot="1">
      <c r="B82" s="324"/>
      <c r="C82" s="318" t="s">
        <v>327</v>
      </c>
      <c r="D82" s="319"/>
      <c r="E82" s="90"/>
      <c r="F82" s="90">
        <f>'[1]التعليم الابتدائي'!KU295</f>
        <v>0</v>
      </c>
      <c r="G82" s="90">
        <f t="shared" si="2"/>
        <v>0</v>
      </c>
    </row>
    <row r="83" spans="2:14" ht="15" thickTop="1" thickBot="1">
      <c r="B83" s="324"/>
      <c r="C83" s="318" t="s">
        <v>328</v>
      </c>
      <c r="D83" s="319"/>
      <c r="E83" s="90">
        <f>'[1]التعليم الابتدائي'!KV295</f>
        <v>0</v>
      </c>
      <c r="F83" s="90">
        <f>'[1]التعليم الابتدائي'!KW295</f>
        <v>0</v>
      </c>
      <c r="G83" s="90">
        <f t="shared" si="2"/>
        <v>0</v>
      </c>
    </row>
    <row r="84" spans="2:14" ht="15" thickTop="1" thickBot="1">
      <c r="B84" s="325"/>
      <c r="C84" s="318" t="s">
        <v>329</v>
      </c>
      <c r="D84" s="319"/>
      <c r="E84" s="90"/>
      <c r="F84" s="90"/>
      <c r="G84" s="90">
        <f t="shared" si="2"/>
        <v>0</v>
      </c>
    </row>
    <row r="85" spans="2:14" ht="15" thickTop="1" thickBot="1">
      <c r="B85" s="318" t="s">
        <v>57</v>
      </c>
      <c r="C85" s="322"/>
      <c r="D85" s="319"/>
      <c r="E85" s="90">
        <f>E84+E76</f>
        <v>0</v>
      </c>
      <c r="F85" s="90">
        <f>F84+F76</f>
        <v>0</v>
      </c>
      <c r="G85" s="90">
        <f>G84+G76</f>
        <v>0</v>
      </c>
    </row>
    <row r="86" spans="2:14" ht="13.8" thickTop="1"/>
    <row r="87" spans="2:14" ht="23.4" thickBot="1">
      <c r="B87" s="94" t="s">
        <v>330</v>
      </c>
    </row>
    <row r="88" spans="2:14" ht="15" thickTop="1" thickBot="1">
      <c r="B88" s="318" t="s">
        <v>331</v>
      </c>
      <c r="C88" s="319"/>
      <c r="D88" s="320" t="s">
        <v>332</v>
      </c>
      <c r="E88" s="321"/>
      <c r="F88" s="318" t="s">
        <v>333</v>
      </c>
      <c r="G88" s="319"/>
      <c r="H88" s="318" t="s">
        <v>334</v>
      </c>
      <c r="I88" s="319"/>
      <c r="J88" s="318" t="s">
        <v>335</v>
      </c>
      <c r="K88" s="319"/>
      <c r="L88" s="318" t="s">
        <v>122</v>
      </c>
      <c r="M88" s="322"/>
      <c r="N88" s="319"/>
    </row>
    <row r="89" spans="2:14" ht="15" thickTop="1" thickBot="1">
      <c r="B89" s="90" t="s">
        <v>78</v>
      </c>
      <c r="C89" s="90" t="s">
        <v>79</v>
      </c>
      <c r="D89" s="90" t="s">
        <v>78</v>
      </c>
      <c r="E89" s="90" t="s">
        <v>79</v>
      </c>
      <c r="F89" s="90" t="s">
        <v>78</v>
      </c>
      <c r="G89" s="90" t="s">
        <v>79</v>
      </c>
      <c r="H89" s="90" t="s">
        <v>78</v>
      </c>
      <c r="I89" s="90" t="s">
        <v>79</v>
      </c>
      <c r="J89" s="90" t="s">
        <v>78</v>
      </c>
      <c r="K89" s="90" t="s">
        <v>79</v>
      </c>
      <c r="L89" s="90" t="s">
        <v>78</v>
      </c>
      <c r="M89" s="90" t="s">
        <v>79</v>
      </c>
      <c r="N89" s="90" t="s">
        <v>58</v>
      </c>
    </row>
    <row r="90" spans="2:14" ht="15" thickTop="1" thickBot="1">
      <c r="B90" s="90">
        <f>'[1]التعليم الابتدائي'!AEO295</f>
        <v>0</v>
      </c>
      <c r="C90" s="90">
        <f>'[1]التعليم الابتدائي'!AEP295</f>
        <v>0</v>
      </c>
      <c r="D90" s="90">
        <f>'[1]التعليم الابتدائي'!AEQ295</f>
        <v>0</v>
      </c>
      <c r="E90" s="90">
        <f>'[1]التعليم الابتدائي'!AER295</f>
        <v>0</v>
      </c>
      <c r="F90" s="90">
        <f>'[1]التعليم الابتدائي'!AES295</f>
        <v>0</v>
      </c>
      <c r="G90" s="90">
        <f>'[1]التعليم الابتدائي'!AET295</f>
        <v>0</v>
      </c>
      <c r="H90" s="90">
        <f>'[1]التعليم الابتدائي'!AEW295</f>
        <v>0</v>
      </c>
      <c r="I90" s="90">
        <f>'[1]التعليم الابتدائي'!AEX295</f>
        <v>0</v>
      </c>
      <c r="J90" s="90">
        <f>'[1]التعليم الابتدائي'!AEY295</f>
        <v>0</v>
      </c>
      <c r="K90" s="90">
        <f>'[1]التعليم الابتدائي'!AEZ295</f>
        <v>0</v>
      </c>
      <c r="L90" s="90">
        <f>F90+D90+B90+H90</f>
        <v>0</v>
      </c>
      <c r="M90" s="90">
        <f>G90+E90+C90+I90</f>
        <v>0</v>
      </c>
      <c r="N90" s="90">
        <f>SUM(L90:M90)</f>
        <v>0</v>
      </c>
    </row>
    <row r="91" spans="2:14" ht="13.8" thickTop="1"/>
    <row r="92" spans="2:14" ht="23.4" thickBot="1">
      <c r="B92" s="94" t="s">
        <v>336</v>
      </c>
    </row>
    <row r="93" spans="2:14" ht="15" thickTop="1" thickBot="1">
      <c r="B93" s="318" t="s">
        <v>337</v>
      </c>
      <c r="C93" s="319"/>
      <c r="D93" s="320" t="s">
        <v>338</v>
      </c>
      <c r="E93" s="321"/>
      <c r="F93" s="318" t="s">
        <v>339</v>
      </c>
      <c r="G93" s="319"/>
      <c r="H93" s="318" t="s">
        <v>340</v>
      </c>
      <c r="I93" s="319"/>
      <c r="J93" s="318" t="s">
        <v>341</v>
      </c>
      <c r="K93" s="319"/>
      <c r="L93" s="318" t="s">
        <v>58</v>
      </c>
      <c r="M93" s="322"/>
      <c r="N93" s="319"/>
    </row>
    <row r="94" spans="2:14" ht="15" thickTop="1" thickBot="1">
      <c r="B94" s="90" t="s">
        <v>78</v>
      </c>
      <c r="C94" s="90" t="s">
        <v>79</v>
      </c>
      <c r="D94" s="90" t="s">
        <v>78</v>
      </c>
      <c r="E94" s="90" t="s">
        <v>79</v>
      </c>
      <c r="F94" s="90" t="s">
        <v>78</v>
      </c>
      <c r="G94" s="90" t="s">
        <v>79</v>
      </c>
      <c r="H94" s="90" t="s">
        <v>78</v>
      </c>
      <c r="I94" s="90" t="s">
        <v>79</v>
      </c>
      <c r="J94" s="90" t="s">
        <v>78</v>
      </c>
      <c r="K94" s="90" t="s">
        <v>79</v>
      </c>
      <c r="L94" s="90" t="s">
        <v>78</v>
      </c>
      <c r="M94" s="90" t="s">
        <v>79</v>
      </c>
      <c r="N94" s="90" t="s">
        <v>58</v>
      </c>
    </row>
    <row r="95" spans="2:14" ht="15" thickTop="1" thickBot="1">
      <c r="B95" s="90">
        <f>'[1]التعليم الابتدائي'!AFB295</f>
        <v>0</v>
      </c>
      <c r="C95" s="90">
        <f>'[1]التعليم الابتدائي'!AFC295</f>
        <v>0</v>
      </c>
      <c r="D95" s="90">
        <f>'[1]التعليم الابتدائي'!AFD295</f>
        <v>0</v>
      </c>
      <c r="E95" s="90">
        <f>'[1]التعليم الابتدائي'!AFE295</f>
        <v>0</v>
      </c>
      <c r="F95" s="90">
        <f>'[1]التعليم الابتدائي'!AFF295</f>
        <v>0</v>
      </c>
      <c r="G95" s="90">
        <f>'[1]التعليم الابتدائي'!AFG295</f>
        <v>0</v>
      </c>
      <c r="H95" s="90">
        <f>'[1]التعليم الابتدائي'!AFH295</f>
        <v>0</v>
      </c>
      <c r="I95" s="90">
        <f>'[1]التعليم الابتدائي'!AFI295</f>
        <v>0</v>
      </c>
      <c r="J95" s="90">
        <f>'[1]التعليم الابتدائي'!AFJ295</f>
        <v>0</v>
      </c>
      <c r="K95" s="90">
        <f>'[1]التعليم الابتدائي'!AFK295</f>
        <v>0</v>
      </c>
      <c r="L95" s="90">
        <f>J95+H95+F95+D95+B95</f>
        <v>0</v>
      </c>
      <c r="M95" s="90">
        <f>K95+I95+G95+E95+C95</f>
        <v>0</v>
      </c>
      <c r="N95" s="90">
        <f>SUM(L95:M95)</f>
        <v>0</v>
      </c>
    </row>
    <row r="96" spans="2:14" ht="13.8" thickTop="1"/>
    <row r="97" spans="1:16" ht="22.8">
      <c r="A97" s="92" t="s">
        <v>62</v>
      </c>
      <c r="B97" s="29"/>
      <c r="C97" s="29"/>
      <c r="D97" s="29"/>
      <c r="E97" s="29"/>
      <c r="F97" s="28"/>
      <c r="G97" s="28"/>
      <c r="H97" s="28"/>
      <c r="I97" s="28"/>
      <c r="J97" s="28"/>
      <c r="K97" s="28"/>
      <c r="M97" s="92" t="s">
        <v>286</v>
      </c>
      <c r="N97" s="29"/>
      <c r="O97" s="28"/>
      <c r="P97" s="28"/>
    </row>
    <row r="98" spans="1:16" ht="22.8">
      <c r="A98" s="326" t="s">
        <v>64</v>
      </c>
      <c r="B98" s="326"/>
      <c r="C98" s="326"/>
      <c r="D98" s="326"/>
      <c r="E98" s="326"/>
      <c r="F98" s="28"/>
      <c r="G98" s="28"/>
      <c r="H98" s="28"/>
      <c r="I98" s="28"/>
      <c r="J98" s="28"/>
      <c r="K98" s="28"/>
      <c r="L98" s="326" t="s">
        <v>65</v>
      </c>
      <c r="M98" s="326"/>
      <c r="N98" s="326"/>
      <c r="O98" s="28"/>
      <c r="P98" s="28"/>
    </row>
    <row r="99" spans="1:16" ht="22.8">
      <c r="B99" s="29"/>
      <c r="C99" s="29"/>
      <c r="D99" s="29"/>
      <c r="E99" s="29"/>
      <c r="F99" s="29"/>
      <c r="G99" s="92" t="s">
        <v>301</v>
      </c>
      <c r="H99" s="29"/>
      <c r="I99" s="29"/>
      <c r="J99" s="29"/>
      <c r="K99" s="29"/>
      <c r="L99" s="29"/>
      <c r="M99" s="29"/>
      <c r="N99" s="29"/>
      <c r="O99" s="29"/>
      <c r="P99" s="29"/>
    </row>
    <row r="100" spans="1:16" ht="17.399999999999999">
      <c r="F100" s="92" t="s">
        <v>302</v>
      </c>
    </row>
    <row r="101" spans="1:16" ht="23.4" thickBot="1">
      <c r="B101" s="37" t="s">
        <v>303</v>
      </c>
      <c r="F101" s="29"/>
      <c r="K101" s="37" t="s">
        <v>304</v>
      </c>
    </row>
    <row r="102" spans="1:16" ht="42.6" thickTop="1" thickBot="1">
      <c r="B102" s="90" t="s">
        <v>305</v>
      </c>
      <c r="C102" s="90" t="s">
        <v>306</v>
      </c>
      <c r="D102" s="90" t="s">
        <v>307</v>
      </c>
      <c r="E102" s="90" t="s">
        <v>308</v>
      </c>
      <c r="F102" s="318" t="s">
        <v>309</v>
      </c>
      <c r="G102" s="322"/>
      <c r="H102" s="319"/>
      <c r="I102" s="90" t="s">
        <v>310</v>
      </c>
      <c r="K102" s="90" t="s">
        <v>311</v>
      </c>
      <c r="L102" s="90" t="s">
        <v>312</v>
      </c>
      <c r="M102" s="90" t="s">
        <v>43</v>
      </c>
      <c r="N102" s="90" t="s">
        <v>38</v>
      </c>
    </row>
    <row r="103" spans="1:16" ht="15" thickTop="1" thickBot="1">
      <c r="B103" s="323">
        <f>'[1]التعليم الابتدائي'!AGI344</f>
        <v>6</v>
      </c>
      <c r="C103" s="323">
        <f>'[1]التعليم الابتدائي'!AGO344</f>
        <v>0</v>
      </c>
      <c r="D103" s="323">
        <f>'[1]التعليم الابتدائي'!AGM344</f>
        <v>0</v>
      </c>
      <c r="E103" s="323">
        <f>'[1]التعليم الابتدائي'!AGQ344</f>
        <v>0</v>
      </c>
      <c r="F103" s="90" t="s">
        <v>313</v>
      </c>
      <c r="G103" s="90" t="s">
        <v>314</v>
      </c>
      <c r="H103" s="90" t="s">
        <v>315</v>
      </c>
      <c r="I103" s="323">
        <f>'[1]التعليم الابتدائي'!AGK344</f>
        <v>0</v>
      </c>
      <c r="K103" s="323">
        <f>'[1]التعليم الابتدائي'!S344</f>
        <v>22</v>
      </c>
      <c r="L103" s="323">
        <f>'[1]التعليم الابتدائي'!T344</f>
        <v>0</v>
      </c>
      <c r="M103" s="323">
        <f>'[1]التعليم الابتدائي'!U344</f>
        <v>26</v>
      </c>
      <c r="N103" s="323">
        <f>'[1]التعليم الابتدائي'!V344</f>
        <v>0</v>
      </c>
    </row>
    <row r="104" spans="1:16" ht="24" thickTop="1" thickBot="1">
      <c r="B104" s="325"/>
      <c r="C104" s="325"/>
      <c r="D104" s="325"/>
      <c r="E104" s="325"/>
      <c r="F104" s="15">
        <f>'[1]التعليم الابتدائي'!AGV344</f>
        <v>0</v>
      </c>
      <c r="G104" s="15">
        <f>'[1]التعليم الابتدائي'!AGW344</f>
        <v>0</v>
      </c>
      <c r="H104" s="15">
        <f>'[1]التعليم الابتدائي'!AGX344</f>
        <v>0</v>
      </c>
      <c r="I104" s="325"/>
      <c r="K104" s="325"/>
      <c r="L104" s="325"/>
      <c r="M104" s="325"/>
      <c r="N104" s="325"/>
    </row>
    <row r="105" spans="1:16" ht="13.8" thickTop="1"/>
    <row r="106" spans="1:16" ht="23.4" thickBot="1">
      <c r="B106" s="37" t="s">
        <v>316</v>
      </c>
      <c r="I106" s="37" t="s">
        <v>317</v>
      </c>
    </row>
    <row r="107" spans="1:16" ht="15" thickTop="1" thickBot="1">
      <c r="B107" s="318" t="s">
        <v>318</v>
      </c>
      <c r="C107" s="322"/>
      <c r="D107" s="319"/>
      <c r="E107" s="90" t="s">
        <v>78</v>
      </c>
      <c r="F107" s="90" t="s">
        <v>79</v>
      </c>
      <c r="G107" s="90" t="s">
        <v>58</v>
      </c>
    </row>
    <row r="108" spans="1:16" ht="15" thickTop="1" thickBot="1">
      <c r="B108" s="318" t="s">
        <v>319</v>
      </c>
      <c r="C108" s="322"/>
      <c r="D108" s="319"/>
      <c r="E108" s="90">
        <f>'[1]التعليم الابتدائي'!KI344</f>
        <v>0</v>
      </c>
      <c r="F108" s="90">
        <f>'[1]التعليم الابتدائي'!KJ344</f>
        <v>0</v>
      </c>
      <c r="G108" s="90">
        <f>SUM(E108:F108)</f>
        <v>0</v>
      </c>
      <c r="I108" s="318" t="s">
        <v>145</v>
      </c>
      <c r="J108" s="319"/>
      <c r="K108" s="318" t="s">
        <v>320</v>
      </c>
      <c r="L108" s="319"/>
    </row>
    <row r="109" spans="1:16" ht="15" thickTop="1" thickBot="1">
      <c r="B109" s="323" t="s">
        <v>321</v>
      </c>
      <c r="C109" s="318" t="s">
        <v>322</v>
      </c>
      <c r="D109" s="319"/>
      <c r="E109" s="90">
        <f>'[1]التعليم الابتدائي'!KK344</f>
        <v>0</v>
      </c>
      <c r="F109" s="90">
        <f>'[1]التعليم الابتدائي'!KL344</f>
        <v>0</v>
      </c>
      <c r="G109" s="90">
        <f t="shared" ref="G109:G115" si="3">SUM(E109:F109)</f>
        <v>0</v>
      </c>
      <c r="I109" s="318" t="s">
        <v>78</v>
      </c>
      <c r="J109" s="319"/>
      <c r="K109" s="318">
        <f>'[1]التعليم الابتدائي'!AGC344</f>
        <v>0</v>
      </c>
      <c r="L109" s="319"/>
    </row>
    <row r="110" spans="1:16" ht="15" thickTop="1" thickBot="1">
      <c r="B110" s="324"/>
      <c r="C110" s="318" t="s">
        <v>323</v>
      </c>
      <c r="D110" s="319"/>
      <c r="E110" s="90">
        <f>'[1]التعليم الابتدائي'!KM344</f>
        <v>0</v>
      </c>
      <c r="F110" s="90">
        <f>'[1]التعليم الابتدائي'!KN344</f>
        <v>0</v>
      </c>
      <c r="G110" s="90">
        <f t="shared" si="3"/>
        <v>0</v>
      </c>
      <c r="I110" s="318" t="s">
        <v>79</v>
      </c>
      <c r="J110" s="319"/>
      <c r="K110" s="318">
        <f>'[1]التعليم الابتدائي'!AGD344</f>
        <v>0</v>
      </c>
      <c r="L110" s="319"/>
    </row>
    <row r="111" spans="1:16" ht="15" thickTop="1" thickBot="1">
      <c r="B111" s="324"/>
      <c r="C111" s="318" t="s">
        <v>324</v>
      </c>
      <c r="D111" s="319"/>
      <c r="E111" s="90">
        <f>'[1]التعليم الابتدائي'!KO344</f>
        <v>0</v>
      </c>
      <c r="F111" s="90">
        <f>'[1]التعليم الابتدائي'!KP344</f>
        <v>0</v>
      </c>
      <c r="G111" s="90">
        <f t="shared" si="3"/>
        <v>0</v>
      </c>
      <c r="I111" s="318" t="s">
        <v>58</v>
      </c>
      <c r="J111" s="319"/>
      <c r="K111" s="318">
        <f>K109+K110</f>
        <v>0</v>
      </c>
      <c r="L111" s="319"/>
    </row>
    <row r="112" spans="1:16" ht="15" thickTop="1" thickBot="1">
      <c r="B112" s="324"/>
      <c r="C112" s="318" t="s">
        <v>325</v>
      </c>
      <c r="D112" s="319"/>
      <c r="E112" s="90">
        <f>'[1]التعليم الابتدائي'!KQ344</f>
        <v>0</v>
      </c>
      <c r="F112" s="90">
        <f>'[1]التعليم الابتدائي'!KR344</f>
        <v>0</v>
      </c>
      <c r="G112" s="90">
        <f t="shared" si="3"/>
        <v>0</v>
      </c>
    </row>
    <row r="113" spans="2:14" ht="15" thickTop="1" thickBot="1">
      <c r="B113" s="324"/>
      <c r="C113" s="318" t="s">
        <v>326</v>
      </c>
      <c r="D113" s="319"/>
      <c r="E113" s="90">
        <f>'[1]التعليم الابتدائي'!KS344</f>
        <v>0</v>
      </c>
      <c r="F113" s="90">
        <f>'[1]التعليم الابتدائي'!KT344</f>
        <v>0</v>
      </c>
      <c r="G113" s="90">
        <f t="shared" si="3"/>
        <v>0</v>
      </c>
    </row>
    <row r="114" spans="2:14" ht="15" thickTop="1" thickBot="1">
      <c r="B114" s="324"/>
      <c r="C114" s="318" t="s">
        <v>327</v>
      </c>
      <c r="D114" s="319"/>
      <c r="E114" s="90"/>
      <c r="F114" s="90">
        <f>'[1]التعليم الابتدائي'!KU344</f>
        <v>0</v>
      </c>
      <c r="G114" s="90">
        <f t="shared" si="3"/>
        <v>0</v>
      </c>
    </row>
    <row r="115" spans="2:14" ht="15" thickTop="1" thickBot="1">
      <c r="B115" s="324"/>
      <c r="C115" s="318" t="s">
        <v>328</v>
      </c>
      <c r="D115" s="319"/>
      <c r="E115" s="90">
        <f>'[1]التعليم الابتدائي'!KV344</f>
        <v>0</v>
      </c>
      <c r="F115" s="90">
        <f>'[1]التعليم الابتدائي'!KW344</f>
        <v>0</v>
      </c>
      <c r="G115" s="90">
        <f t="shared" si="3"/>
        <v>0</v>
      </c>
    </row>
    <row r="116" spans="2:14" ht="15" thickTop="1" thickBot="1">
      <c r="B116" s="325"/>
      <c r="C116" s="318" t="s">
        <v>329</v>
      </c>
      <c r="D116" s="319"/>
      <c r="E116" s="90"/>
      <c r="F116" s="90"/>
      <c r="G116" s="90">
        <f>SUM(G109:G115)</f>
        <v>0</v>
      </c>
    </row>
    <row r="117" spans="2:14" ht="15" thickTop="1" thickBot="1">
      <c r="B117" s="318" t="s">
        <v>57</v>
      </c>
      <c r="C117" s="322"/>
      <c r="D117" s="319"/>
      <c r="E117" s="90">
        <f>E116+E108</f>
        <v>0</v>
      </c>
      <c r="F117" s="90">
        <f>F116+F108</f>
        <v>0</v>
      </c>
      <c r="G117" s="90">
        <f>G116+G108</f>
        <v>0</v>
      </c>
    </row>
    <row r="118" spans="2:14" ht="13.8" thickTop="1"/>
    <row r="119" spans="2:14" ht="23.4" thickBot="1">
      <c r="B119" s="94" t="s">
        <v>330</v>
      </c>
    </row>
    <row r="120" spans="2:14" ht="15" thickTop="1" thickBot="1">
      <c r="B120" s="318" t="s">
        <v>331</v>
      </c>
      <c r="C120" s="319"/>
      <c r="D120" s="320" t="s">
        <v>332</v>
      </c>
      <c r="E120" s="321"/>
      <c r="F120" s="318" t="s">
        <v>333</v>
      </c>
      <c r="G120" s="319"/>
      <c r="H120" s="318" t="s">
        <v>334</v>
      </c>
      <c r="I120" s="319"/>
      <c r="J120" s="318" t="s">
        <v>335</v>
      </c>
      <c r="K120" s="319"/>
      <c r="L120" s="318" t="s">
        <v>122</v>
      </c>
      <c r="M120" s="322"/>
      <c r="N120" s="319"/>
    </row>
    <row r="121" spans="2:14" ht="15" thickTop="1" thickBot="1">
      <c r="B121" s="90" t="s">
        <v>78</v>
      </c>
      <c r="C121" s="90" t="s">
        <v>79</v>
      </c>
      <c r="D121" s="90" t="s">
        <v>78</v>
      </c>
      <c r="E121" s="90" t="s">
        <v>79</v>
      </c>
      <c r="F121" s="90" t="s">
        <v>78</v>
      </c>
      <c r="G121" s="90" t="s">
        <v>79</v>
      </c>
      <c r="H121" s="90" t="s">
        <v>78</v>
      </c>
      <c r="I121" s="90" t="s">
        <v>79</v>
      </c>
      <c r="J121" s="90" t="s">
        <v>78</v>
      </c>
      <c r="K121" s="90" t="s">
        <v>79</v>
      </c>
      <c r="L121" s="90" t="s">
        <v>78</v>
      </c>
      <c r="M121" s="90" t="s">
        <v>79</v>
      </c>
      <c r="N121" s="90" t="s">
        <v>58</v>
      </c>
    </row>
    <row r="122" spans="2:14" ht="15" thickTop="1" thickBot="1">
      <c r="B122" s="90">
        <f>'[1]التعليم الابتدائي'!AEO344</f>
        <v>0</v>
      </c>
      <c r="C122" s="90">
        <f>'[1]التعليم الابتدائي'!AEP344</f>
        <v>0</v>
      </c>
      <c r="D122" s="90">
        <f>'[1]التعليم الابتدائي'!AEQ344</f>
        <v>0</v>
      </c>
      <c r="E122" s="90">
        <f>'[1]التعليم الابتدائي'!AER344</f>
        <v>0</v>
      </c>
      <c r="F122" s="90">
        <f>'[1]التعليم الابتدائي'!AES344</f>
        <v>0</v>
      </c>
      <c r="G122" s="90">
        <f>'[1]التعليم الابتدائي'!AET344</f>
        <v>0</v>
      </c>
      <c r="H122" s="90">
        <f>'[1]التعليم الابتدائي'!AEW344</f>
        <v>0</v>
      </c>
      <c r="I122" s="90">
        <f>'[1]التعليم الابتدائي'!AEX344</f>
        <v>0</v>
      </c>
      <c r="J122" s="90">
        <f>'[1]التعليم الابتدائي'!AEY344</f>
        <v>0</v>
      </c>
      <c r="K122" s="90">
        <f>'[1]التعليم الابتدائي'!AEZ344</f>
        <v>0</v>
      </c>
      <c r="L122" s="90">
        <f>F122+D122+B122+H122</f>
        <v>0</v>
      </c>
      <c r="M122" s="90">
        <f>G122+E122+C122+I122</f>
        <v>0</v>
      </c>
      <c r="N122" s="90">
        <f>SUM(L122:M122)</f>
        <v>0</v>
      </c>
    </row>
    <row r="123" spans="2:14" ht="13.8" thickTop="1"/>
    <row r="124" spans="2:14" ht="23.4" thickBot="1">
      <c r="B124" s="94" t="s">
        <v>336</v>
      </c>
    </row>
    <row r="125" spans="2:14" ht="15" thickTop="1" thickBot="1">
      <c r="B125" s="318" t="s">
        <v>337</v>
      </c>
      <c r="C125" s="319"/>
      <c r="D125" s="320" t="s">
        <v>338</v>
      </c>
      <c r="E125" s="321"/>
      <c r="F125" s="318" t="s">
        <v>339</v>
      </c>
      <c r="G125" s="319"/>
      <c r="H125" s="318" t="s">
        <v>340</v>
      </c>
      <c r="I125" s="319"/>
      <c r="J125" s="318" t="s">
        <v>341</v>
      </c>
      <c r="K125" s="319"/>
      <c r="L125" s="318" t="s">
        <v>58</v>
      </c>
      <c r="M125" s="322"/>
      <c r="N125" s="319"/>
    </row>
    <row r="126" spans="2:14" ht="15" thickTop="1" thickBot="1">
      <c r="B126" s="90" t="s">
        <v>78</v>
      </c>
      <c r="C126" s="90" t="s">
        <v>79</v>
      </c>
      <c r="D126" s="90" t="s">
        <v>78</v>
      </c>
      <c r="E126" s="90" t="s">
        <v>79</v>
      </c>
      <c r="F126" s="90" t="s">
        <v>78</v>
      </c>
      <c r="G126" s="90" t="s">
        <v>79</v>
      </c>
      <c r="H126" s="90" t="s">
        <v>78</v>
      </c>
      <c r="I126" s="90" t="s">
        <v>79</v>
      </c>
      <c r="J126" s="90" t="s">
        <v>78</v>
      </c>
      <c r="K126" s="90" t="s">
        <v>79</v>
      </c>
      <c r="L126" s="90" t="s">
        <v>78</v>
      </c>
      <c r="M126" s="90" t="s">
        <v>79</v>
      </c>
      <c r="N126" s="90" t="s">
        <v>58</v>
      </c>
    </row>
    <row r="127" spans="2:14" ht="15" thickTop="1" thickBot="1">
      <c r="B127" s="90">
        <f>'[1]التعليم الابتدائي'!AFB344</f>
        <v>0</v>
      </c>
      <c r="C127" s="90">
        <f>'[1]التعليم الابتدائي'!AFC344</f>
        <v>0</v>
      </c>
      <c r="D127" s="90">
        <f>'[1]التعليم الابتدائي'!AFD344</f>
        <v>0</v>
      </c>
      <c r="E127" s="90">
        <f>'[1]التعليم الابتدائي'!AFE344</f>
        <v>0</v>
      </c>
      <c r="F127" s="90">
        <f>'[1]التعليم الابتدائي'!AFF344</f>
        <v>0</v>
      </c>
      <c r="G127" s="90">
        <f>'[1]التعليم الابتدائي'!AFG344</f>
        <v>0</v>
      </c>
      <c r="H127" s="90">
        <f>'[1]التعليم الابتدائي'!AFH344</f>
        <v>0</v>
      </c>
      <c r="I127" s="90">
        <f>'[1]التعليم الابتدائي'!AFI344</f>
        <v>0</v>
      </c>
      <c r="J127" s="90">
        <f>'[1]التعليم الابتدائي'!AFJ344</f>
        <v>0</v>
      </c>
      <c r="K127" s="90">
        <f>'[1]التعليم الابتدائي'!AFK344</f>
        <v>0</v>
      </c>
      <c r="L127" s="90">
        <f>J127+H127+F127+D127+B127</f>
        <v>0</v>
      </c>
      <c r="M127" s="90">
        <f>K127+I127+G127+E127+C127</f>
        <v>0</v>
      </c>
      <c r="N127" s="90">
        <f>SUM(L127:M127)</f>
        <v>0</v>
      </c>
    </row>
    <row r="128" spans="2:14" ht="13.8" thickTop="1"/>
    <row r="129" spans="1:16" ht="22.8">
      <c r="A129" s="92" t="s">
        <v>62</v>
      </c>
      <c r="B129" s="29"/>
      <c r="C129" s="29"/>
      <c r="D129" s="29"/>
      <c r="E129" s="29"/>
      <c r="F129" s="28"/>
      <c r="G129" s="28"/>
      <c r="H129" s="28"/>
      <c r="I129" s="28"/>
      <c r="J129" s="28"/>
      <c r="K129" s="28"/>
      <c r="M129" s="92" t="s">
        <v>343</v>
      </c>
      <c r="N129" s="29"/>
      <c r="O129" s="28"/>
      <c r="P129" s="28"/>
    </row>
    <row r="130" spans="1:16" ht="22.8">
      <c r="A130" s="326" t="s">
        <v>64</v>
      </c>
      <c r="B130" s="326"/>
      <c r="C130" s="326"/>
      <c r="D130" s="326"/>
      <c r="E130" s="326"/>
      <c r="F130" s="28"/>
      <c r="G130" s="28"/>
      <c r="H130" s="28"/>
      <c r="I130" s="28"/>
      <c r="J130" s="28"/>
      <c r="K130" s="28"/>
      <c r="L130" s="326" t="s">
        <v>65</v>
      </c>
      <c r="M130" s="326"/>
      <c r="N130" s="326"/>
      <c r="O130" s="28"/>
      <c r="P130" s="28"/>
    </row>
    <row r="131" spans="1:16" ht="22.8">
      <c r="B131" s="29"/>
      <c r="C131" s="29"/>
      <c r="D131" s="29"/>
      <c r="E131" s="29"/>
      <c r="F131" s="29"/>
      <c r="G131" s="92" t="s">
        <v>301</v>
      </c>
      <c r="H131" s="29"/>
      <c r="I131" s="29"/>
      <c r="J131" s="29"/>
      <c r="K131" s="29"/>
      <c r="L131" s="29"/>
      <c r="M131" s="29"/>
      <c r="N131" s="29"/>
      <c r="O131" s="29"/>
      <c r="P131" s="29"/>
    </row>
    <row r="132" spans="1:16" ht="17.399999999999999">
      <c r="F132" s="92" t="s">
        <v>302</v>
      </c>
    </row>
    <row r="133" spans="1:16" ht="23.4" thickBot="1">
      <c r="B133" s="37" t="s">
        <v>303</v>
      </c>
      <c r="F133" s="29"/>
      <c r="K133" s="37" t="s">
        <v>304</v>
      </c>
    </row>
    <row r="134" spans="1:16" ht="42.6" thickTop="1" thickBot="1">
      <c r="B134" s="90" t="s">
        <v>305</v>
      </c>
      <c r="C134" s="90" t="s">
        <v>306</v>
      </c>
      <c r="D134" s="90" t="s">
        <v>307</v>
      </c>
      <c r="E134" s="90" t="s">
        <v>308</v>
      </c>
      <c r="F134" s="318" t="s">
        <v>309</v>
      </c>
      <c r="G134" s="322"/>
      <c r="H134" s="319"/>
      <c r="I134" s="90" t="s">
        <v>310</v>
      </c>
      <c r="K134" s="90" t="s">
        <v>311</v>
      </c>
      <c r="L134" s="90" t="s">
        <v>312</v>
      </c>
      <c r="M134" s="90" t="s">
        <v>43</v>
      </c>
      <c r="N134" s="90" t="s">
        <v>38</v>
      </c>
    </row>
    <row r="135" spans="1:16" ht="15" thickTop="1" thickBot="1">
      <c r="B135" s="323">
        <f>'[1]التعليم الابتدائي'!AGI346</f>
        <v>0</v>
      </c>
      <c r="C135" s="323">
        <f>'[1]التعليم الابتدائي'!AGO346</f>
        <v>0</v>
      </c>
      <c r="D135" s="323">
        <f>'[1]التعليم الابتدائي'!AGM346</f>
        <v>0</v>
      </c>
      <c r="E135" s="323">
        <f>'[1]التعليم الابتدائي'!AGQ346</f>
        <v>0</v>
      </c>
      <c r="F135" s="90" t="s">
        <v>313</v>
      </c>
      <c r="G135" s="90" t="s">
        <v>314</v>
      </c>
      <c r="H135" s="90" t="s">
        <v>315</v>
      </c>
      <c r="I135" s="323">
        <f>'[1]التعليم الابتدائي'!AGK346</f>
        <v>0</v>
      </c>
      <c r="K135" s="323">
        <f>'[1]التعليم الابتدائي'!S346</f>
        <v>1</v>
      </c>
      <c r="L135" s="323">
        <f>'[1]التعليم الابتدائي'!T346</f>
        <v>0</v>
      </c>
      <c r="M135" s="323">
        <f>'[1]التعليم الابتدائي'!U346</f>
        <v>0</v>
      </c>
      <c r="N135" s="323">
        <f>'[1]التعليم الابتدائي'!V346</f>
        <v>0</v>
      </c>
    </row>
    <row r="136" spans="1:16" ht="24" thickTop="1" thickBot="1">
      <c r="B136" s="325"/>
      <c r="C136" s="325"/>
      <c r="D136" s="325"/>
      <c r="E136" s="325"/>
      <c r="F136" s="15">
        <f>'[1]التعليم الابتدائي'!AGV346</f>
        <v>0</v>
      </c>
      <c r="G136" s="15">
        <f>'[1]التعليم الابتدائي'!AGW346</f>
        <v>0</v>
      </c>
      <c r="H136" s="15">
        <f>'[1]التعليم الابتدائي'!AGX346</f>
        <v>0</v>
      </c>
      <c r="I136" s="325"/>
      <c r="K136" s="325"/>
      <c r="L136" s="325"/>
      <c r="M136" s="325"/>
      <c r="N136" s="325"/>
    </row>
    <row r="137" spans="1:16" ht="13.8" thickTop="1"/>
    <row r="138" spans="1:16" ht="23.4" thickBot="1">
      <c r="B138" s="37" t="s">
        <v>316</v>
      </c>
      <c r="I138" s="37" t="s">
        <v>317</v>
      </c>
    </row>
    <row r="139" spans="1:16" ht="15" thickTop="1" thickBot="1">
      <c r="B139" s="318" t="s">
        <v>318</v>
      </c>
      <c r="C139" s="322"/>
      <c r="D139" s="319"/>
      <c r="E139" s="90" t="s">
        <v>78</v>
      </c>
      <c r="F139" s="90" t="s">
        <v>79</v>
      </c>
      <c r="G139" s="90" t="s">
        <v>58</v>
      </c>
    </row>
    <row r="140" spans="1:16" ht="15" thickTop="1" thickBot="1">
      <c r="B140" s="318" t="s">
        <v>319</v>
      </c>
      <c r="C140" s="322"/>
      <c r="D140" s="319"/>
      <c r="E140" s="90">
        <f>'[1]التعليم الابتدائي'!KI346</f>
        <v>0</v>
      </c>
      <c r="F140" s="90">
        <f>'[1]التعليم الابتدائي'!KJ346</f>
        <v>0</v>
      </c>
      <c r="G140" s="90">
        <f>SUM(E140:F140)</f>
        <v>0</v>
      </c>
      <c r="I140" s="318" t="s">
        <v>145</v>
      </c>
      <c r="J140" s="319"/>
      <c r="K140" s="318" t="s">
        <v>320</v>
      </c>
      <c r="L140" s="319"/>
    </row>
    <row r="141" spans="1:16" ht="15" thickTop="1" thickBot="1">
      <c r="B141" s="323" t="s">
        <v>321</v>
      </c>
      <c r="C141" s="318" t="s">
        <v>322</v>
      </c>
      <c r="D141" s="319"/>
      <c r="E141" s="90">
        <f>'[1]التعليم الابتدائي'!KK346</f>
        <v>0</v>
      </c>
      <c r="F141" s="90">
        <f>'[1]التعليم الابتدائي'!KL346</f>
        <v>0</v>
      </c>
      <c r="G141" s="90">
        <f t="shared" ref="G141:G148" si="4">SUM(E141:F141)</f>
        <v>0</v>
      </c>
      <c r="I141" s="318" t="s">
        <v>78</v>
      </c>
      <c r="J141" s="319"/>
      <c r="K141" s="318">
        <f>'[1]التعليم الابتدائي'!AGC346</f>
        <v>0</v>
      </c>
      <c r="L141" s="319"/>
    </row>
    <row r="142" spans="1:16" ht="15" thickTop="1" thickBot="1">
      <c r="B142" s="324"/>
      <c r="C142" s="318" t="s">
        <v>323</v>
      </c>
      <c r="D142" s="319"/>
      <c r="E142" s="90">
        <f>'[1]التعليم الابتدائي'!KM346</f>
        <v>0</v>
      </c>
      <c r="F142" s="90">
        <f>'[1]التعليم الابتدائي'!KN346</f>
        <v>0</v>
      </c>
      <c r="G142" s="90">
        <f t="shared" si="4"/>
        <v>0</v>
      </c>
      <c r="I142" s="318" t="s">
        <v>79</v>
      </c>
      <c r="J142" s="319"/>
      <c r="K142" s="318">
        <f>'[1]التعليم الابتدائي'!AGD346</f>
        <v>0</v>
      </c>
      <c r="L142" s="319"/>
    </row>
    <row r="143" spans="1:16" ht="15" thickTop="1" thickBot="1">
      <c r="B143" s="324"/>
      <c r="C143" s="318" t="s">
        <v>324</v>
      </c>
      <c r="D143" s="319"/>
      <c r="E143" s="90">
        <f>'[1]التعليم الابتدائي'!KO346</f>
        <v>0</v>
      </c>
      <c r="F143" s="90">
        <f>'[1]التعليم الابتدائي'!KP346</f>
        <v>0</v>
      </c>
      <c r="G143" s="90">
        <f t="shared" si="4"/>
        <v>0</v>
      </c>
      <c r="I143" s="318" t="s">
        <v>58</v>
      </c>
      <c r="J143" s="319"/>
      <c r="K143" s="318">
        <f>K142+K141</f>
        <v>0</v>
      </c>
      <c r="L143" s="319"/>
    </row>
    <row r="144" spans="1:16" ht="15" thickTop="1" thickBot="1">
      <c r="B144" s="324"/>
      <c r="C144" s="318" t="s">
        <v>325</v>
      </c>
      <c r="D144" s="319"/>
      <c r="E144" s="90">
        <f>'[1]التعليم الابتدائي'!KQ346</f>
        <v>0</v>
      </c>
      <c r="F144" s="90">
        <f>'[1]التعليم الابتدائي'!KR346</f>
        <v>0</v>
      </c>
      <c r="G144" s="90">
        <f t="shared" si="4"/>
        <v>0</v>
      </c>
    </row>
    <row r="145" spans="2:14" ht="15" thickTop="1" thickBot="1">
      <c r="B145" s="324"/>
      <c r="C145" s="318" t="s">
        <v>326</v>
      </c>
      <c r="D145" s="319"/>
      <c r="E145" s="90">
        <f>'[1]التعليم الابتدائي'!KS346</f>
        <v>0</v>
      </c>
      <c r="F145" s="90">
        <f>'[1]التعليم الابتدائي'!KT346</f>
        <v>0</v>
      </c>
      <c r="G145" s="90">
        <f t="shared" si="4"/>
        <v>0</v>
      </c>
    </row>
    <row r="146" spans="2:14" ht="15" thickTop="1" thickBot="1">
      <c r="B146" s="324"/>
      <c r="C146" s="318" t="s">
        <v>327</v>
      </c>
      <c r="D146" s="319"/>
      <c r="E146" s="90"/>
      <c r="F146" s="90">
        <f>'[1]التعليم الابتدائي'!KU346</f>
        <v>0</v>
      </c>
      <c r="G146" s="90">
        <f t="shared" si="4"/>
        <v>0</v>
      </c>
    </row>
    <row r="147" spans="2:14" ht="15" thickTop="1" thickBot="1">
      <c r="B147" s="324"/>
      <c r="C147" s="318" t="s">
        <v>328</v>
      </c>
      <c r="D147" s="319"/>
      <c r="E147" s="90">
        <f>'[1]التعليم الابتدائي'!KV346</f>
        <v>0</v>
      </c>
      <c r="F147" s="90">
        <f>'[1]التعليم الابتدائي'!KW346</f>
        <v>0</v>
      </c>
      <c r="G147" s="90">
        <f t="shared" si="4"/>
        <v>0</v>
      </c>
    </row>
    <row r="148" spans="2:14" ht="15" thickTop="1" thickBot="1">
      <c r="B148" s="325"/>
      <c r="C148" s="318" t="s">
        <v>329</v>
      </c>
      <c r="D148" s="319"/>
      <c r="E148" s="90"/>
      <c r="F148" s="90"/>
      <c r="G148" s="90">
        <f t="shared" si="4"/>
        <v>0</v>
      </c>
    </row>
    <row r="149" spans="2:14" ht="15" thickTop="1" thickBot="1">
      <c r="B149" s="318" t="s">
        <v>57</v>
      </c>
      <c r="C149" s="322"/>
      <c r="D149" s="319"/>
      <c r="E149" s="90">
        <f>E148+E140</f>
        <v>0</v>
      </c>
      <c r="F149" s="90">
        <f>F148+F140</f>
        <v>0</v>
      </c>
      <c r="G149" s="90">
        <f>G148+G140</f>
        <v>0</v>
      </c>
    </row>
    <row r="150" spans="2:14" ht="13.8" thickTop="1"/>
    <row r="151" spans="2:14" ht="23.4" thickBot="1">
      <c r="B151" s="94" t="s">
        <v>330</v>
      </c>
    </row>
    <row r="152" spans="2:14" ht="15" thickTop="1" thickBot="1">
      <c r="B152" s="318" t="s">
        <v>331</v>
      </c>
      <c r="C152" s="319"/>
      <c r="D152" s="320" t="s">
        <v>332</v>
      </c>
      <c r="E152" s="321"/>
      <c r="F152" s="318" t="s">
        <v>333</v>
      </c>
      <c r="G152" s="319"/>
      <c r="H152" s="318" t="s">
        <v>334</v>
      </c>
      <c r="I152" s="319"/>
      <c r="J152" s="318" t="s">
        <v>335</v>
      </c>
      <c r="K152" s="319"/>
      <c r="L152" s="318" t="s">
        <v>122</v>
      </c>
      <c r="M152" s="322"/>
      <c r="N152" s="319"/>
    </row>
    <row r="153" spans="2:14" ht="15" thickTop="1" thickBot="1">
      <c r="B153" s="90" t="s">
        <v>78</v>
      </c>
      <c r="C153" s="90" t="s">
        <v>79</v>
      </c>
      <c r="D153" s="90" t="s">
        <v>78</v>
      </c>
      <c r="E153" s="90" t="s">
        <v>79</v>
      </c>
      <c r="F153" s="90" t="s">
        <v>78</v>
      </c>
      <c r="G153" s="90" t="s">
        <v>79</v>
      </c>
      <c r="H153" s="90" t="s">
        <v>78</v>
      </c>
      <c r="I153" s="90" t="s">
        <v>79</v>
      </c>
      <c r="J153" s="90" t="s">
        <v>78</v>
      </c>
      <c r="K153" s="90" t="s">
        <v>79</v>
      </c>
      <c r="L153" s="90" t="s">
        <v>78</v>
      </c>
      <c r="M153" s="90" t="s">
        <v>79</v>
      </c>
      <c r="N153" s="90" t="s">
        <v>58</v>
      </c>
    </row>
    <row r="154" spans="2:14" ht="15" thickTop="1" thickBot="1">
      <c r="B154" s="90">
        <f>'[1]التعليم الابتدائي'!AEO346</f>
        <v>0</v>
      </c>
      <c r="C154" s="90">
        <f>'[1]التعليم الابتدائي'!AEP346</f>
        <v>0</v>
      </c>
      <c r="D154" s="90">
        <f>'[1]التعليم الابتدائي'!AEQ346</f>
        <v>0</v>
      </c>
      <c r="E154" s="90">
        <f>'[1]التعليم الابتدائي'!AER346</f>
        <v>0</v>
      </c>
      <c r="F154" s="90">
        <f>'[1]التعليم الابتدائي'!AES346</f>
        <v>0</v>
      </c>
      <c r="G154" s="90">
        <f>'[1]التعليم الابتدائي'!AET346</f>
        <v>0</v>
      </c>
      <c r="H154" s="90">
        <f>'[1]التعليم الابتدائي'!AEW346</f>
        <v>0</v>
      </c>
      <c r="I154" s="90">
        <f>'[1]التعليم الابتدائي'!AEX346</f>
        <v>0</v>
      </c>
      <c r="J154" s="90">
        <f>'[1]التعليم الابتدائي'!AEY346</f>
        <v>0</v>
      </c>
      <c r="K154" s="90">
        <f>'[1]التعليم الابتدائي'!AEZ346</f>
        <v>0</v>
      </c>
      <c r="L154" s="90">
        <f>F154+D154+B154+H154</f>
        <v>0</v>
      </c>
      <c r="M154" s="90">
        <f>G154+E154+C154+I154</f>
        <v>0</v>
      </c>
      <c r="N154" s="90">
        <f>SUM(L154:M154)</f>
        <v>0</v>
      </c>
    </row>
    <row r="155" spans="2:14" ht="13.8" thickTop="1"/>
    <row r="156" spans="2:14" ht="23.4" thickBot="1">
      <c r="B156" s="94" t="s">
        <v>336</v>
      </c>
    </row>
    <row r="157" spans="2:14" ht="15" thickTop="1" thickBot="1">
      <c r="B157" s="318" t="s">
        <v>337</v>
      </c>
      <c r="C157" s="319"/>
      <c r="D157" s="320" t="s">
        <v>338</v>
      </c>
      <c r="E157" s="321"/>
      <c r="F157" s="318" t="s">
        <v>339</v>
      </c>
      <c r="G157" s="319"/>
      <c r="H157" s="318" t="s">
        <v>340</v>
      </c>
      <c r="I157" s="319"/>
      <c r="J157" s="318" t="s">
        <v>341</v>
      </c>
      <c r="K157" s="319"/>
      <c r="L157" s="318" t="s">
        <v>58</v>
      </c>
      <c r="M157" s="322"/>
      <c r="N157" s="319"/>
    </row>
    <row r="158" spans="2:14" ht="15" thickTop="1" thickBot="1">
      <c r="B158" s="90" t="s">
        <v>78</v>
      </c>
      <c r="C158" s="90" t="s">
        <v>79</v>
      </c>
      <c r="D158" s="90" t="s">
        <v>78</v>
      </c>
      <c r="E158" s="90" t="s">
        <v>79</v>
      </c>
      <c r="F158" s="90" t="s">
        <v>78</v>
      </c>
      <c r="G158" s="90" t="s">
        <v>79</v>
      </c>
      <c r="H158" s="90" t="s">
        <v>78</v>
      </c>
      <c r="I158" s="90" t="s">
        <v>79</v>
      </c>
      <c r="J158" s="90" t="s">
        <v>78</v>
      </c>
      <c r="K158" s="90" t="s">
        <v>79</v>
      </c>
      <c r="L158" s="90" t="s">
        <v>78</v>
      </c>
      <c r="M158" s="90" t="s">
        <v>79</v>
      </c>
      <c r="N158" s="90" t="s">
        <v>58</v>
      </c>
    </row>
    <row r="159" spans="2:14" ht="15" thickTop="1" thickBot="1">
      <c r="B159" s="90">
        <f>'[1]التعليم الابتدائي'!AFB346</f>
        <v>0</v>
      </c>
      <c r="C159" s="90">
        <f>'[1]التعليم الابتدائي'!AFC346</f>
        <v>0</v>
      </c>
      <c r="D159" s="90">
        <f>'[1]التعليم الابتدائي'!AFD346</f>
        <v>0</v>
      </c>
      <c r="E159" s="90">
        <f>'[1]التعليم الابتدائي'!AFE346</f>
        <v>0</v>
      </c>
      <c r="F159" s="90">
        <f>'[1]التعليم الابتدائي'!AFF346</f>
        <v>0</v>
      </c>
      <c r="G159" s="90">
        <f>'[1]التعليم الابتدائي'!AFG346</f>
        <v>0</v>
      </c>
      <c r="H159" s="90">
        <f>'[1]التعليم الابتدائي'!AFH346</f>
        <v>0</v>
      </c>
      <c r="I159" s="90">
        <f>'[1]التعليم الابتدائي'!AFI346</f>
        <v>0</v>
      </c>
      <c r="J159" s="90">
        <f>'[1]التعليم الابتدائي'!AFJ346</f>
        <v>0</v>
      </c>
      <c r="K159" s="90">
        <f>'[1]التعليم الابتدائي'!AFK346</f>
        <v>0</v>
      </c>
      <c r="L159" s="90">
        <f>J159+F159+D159+B159+H159</f>
        <v>0</v>
      </c>
      <c r="M159" s="90">
        <f>K159+G159+E159+C159+I159</f>
        <v>0</v>
      </c>
      <c r="N159" s="90">
        <f>SUM(L159:M159)</f>
        <v>0</v>
      </c>
    </row>
    <row r="160" spans="2:14" ht="13.8" thickTop="1"/>
    <row r="161" spans="1:16" ht="22.8">
      <c r="A161" s="92" t="s">
        <v>62</v>
      </c>
      <c r="B161" s="29"/>
      <c r="C161" s="29"/>
      <c r="D161" s="29"/>
      <c r="E161" s="29"/>
      <c r="F161" s="28"/>
      <c r="G161" s="28"/>
      <c r="H161" s="28"/>
      <c r="I161" s="28"/>
      <c r="J161" s="28"/>
      <c r="K161" s="28"/>
      <c r="M161" s="92" t="s">
        <v>289</v>
      </c>
      <c r="N161" s="29"/>
      <c r="O161" s="28"/>
      <c r="P161" s="28"/>
    </row>
    <row r="162" spans="1:16" ht="22.8">
      <c r="A162" s="326" t="s">
        <v>64</v>
      </c>
      <c r="B162" s="326"/>
      <c r="C162" s="326"/>
      <c r="D162" s="326"/>
      <c r="E162" s="326"/>
      <c r="F162" s="28"/>
      <c r="G162" s="28"/>
      <c r="H162" s="28"/>
      <c r="I162" s="28"/>
      <c r="J162" s="28"/>
      <c r="K162" s="28"/>
      <c r="L162" s="326" t="s">
        <v>65</v>
      </c>
      <c r="M162" s="326"/>
      <c r="N162" s="326"/>
      <c r="O162" s="28"/>
      <c r="P162" s="28"/>
    </row>
    <row r="163" spans="1:16" ht="22.8">
      <c r="B163" s="29"/>
      <c r="C163" s="29"/>
      <c r="D163" s="29"/>
      <c r="E163" s="29"/>
      <c r="F163" s="29"/>
      <c r="G163" s="92" t="s">
        <v>301</v>
      </c>
      <c r="H163" s="29"/>
      <c r="I163" s="29"/>
      <c r="J163" s="29"/>
      <c r="K163" s="29"/>
      <c r="L163" s="29"/>
      <c r="M163" s="29"/>
      <c r="N163" s="29"/>
      <c r="O163" s="29"/>
      <c r="P163" s="29"/>
    </row>
    <row r="164" spans="1:16" ht="17.399999999999999">
      <c r="F164" s="92" t="s">
        <v>302</v>
      </c>
    </row>
    <row r="165" spans="1:16" ht="23.4" thickBot="1">
      <c r="B165" s="37" t="s">
        <v>303</v>
      </c>
      <c r="F165" s="29"/>
      <c r="K165" s="37" t="s">
        <v>304</v>
      </c>
    </row>
    <row r="166" spans="1:16" ht="42.6" thickTop="1" thickBot="1">
      <c r="B166" s="90" t="s">
        <v>305</v>
      </c>
      <c r="C166" s="90" t="s">
        <v>306</v>
      </c>
      <c r="D166" s="90" t="s">
        <v>307</v>
      </c>
      <c r="E166" s="90" t="s">
        <v>308</v>
      </c>
      <c r="F166" s="318" t="s">
        <v>309</v>
      </c>
      <c r="G166" s="322"/>
      <c r="H166" s="319"/>
      <c r="I166" s="90" t="s">
        <v>310</v>
      </c>
      <c r="K166" s="90" t="s">
        <v>311</v>
      </c>
      <c r="L166" s="90" t="s">
        <v>312</v>
      </c>
      <c r="M166" s="90" t="s">
        <v>43</v>
      </c>
      <c r="N166" s="90" t="s">
        <v>38</v>
      </c>
    </row>
    <row r="167" spans="1:16" ht="15" thickTop="1" thickBot="1">
      <c r="B167" s="323">
        <f>'[1]التعليم الابتدائي'!AGI368</f>
        <v>7</v>
      </c>
      <c r="C167" s="323">
        <f>'[1]التعليم الابتدائي'!AGO368</f>
        <v>0</v>
      </c>
      <c r="D167" s="323">
        <f>'[1]التعليم الابتدائي'!AGM368</f>
        <v>0</v>
      </c>
      <c r="E167" s="323">
        <f>'[1]التعليم الابتدائي'!AGQ368</f>
        <v>0</v>
      </c>
      <c r="F167" s="90" t="s">
        <v>313</v>
      </c>
      <c r="G167" s="90" t="s">
        <v>314</v>
      </c>
      <c r="H167" s="90" t="s">
        <v>315</v>
      </c>
      <c r="I167" s="323">
        <f>'[1]التعليم الابتدائي'!AGK368</f>
        <v>0</v>
      </c>
      <c r="K167" s="323">
        <f>'[1]التعليم الابتدائي'!S368</f>
        <v>2</v>
      </c>
      <c r="L167" s="323">
        <f>'[1]التعليم الابتدائي'!T368</f>
        <v>0</v>
      </c>
      <c r="M167" s="323">
        <f>'[1]التعليم الابتدائي'!U368</f>
        <v>19</v>
      </c>
      <c r="N167" s="323">
        <f>'[1]التعليم الابتدائي'!V368</f>
        <v>0</v>
      </c>
    </row>
    <row r="168" spans="1:16" ht="24" thickTop="1" thickBot="1">
      <c r="B168" s="325"/>
      <c r="C168" s="325"/>
      <c r="D168" s="325"/>
      <c r="E168" s="325"/>
      <c r="F168" s="15">
        <f>'[1]التعليم الابتدائي'!AGV368</f>
        <v>0</v>
      </c>
      <c r="G168" s="15">
        <f>'[1]التعليم الابتدائي'!AGW368</f>
        <v>0</v>
      </c>
      <c r="H168" s="15">
        <f>'[1]التعليم الابتدائي'!AGX368</f>
        <v>0</v>
      </c>
      <c r="I168" s="325"/>
      <c r="K168" s="325"/>
      <c r="L168" s="325"/>
      <c r="M168" s="325"/>
      <c r="N168" s="325"/>
    </row>
    <row r="169" spans="1:16" ht="13.8" thickTop="1"/>
    <row r="170" spans="1:16" ht="23.4" thickBot="1">
      <c r="B170" s="37" t="s">
        <v>316</v>
      </c>
      <c r="I170" s="37" t="s">
        <v>317</v>
      </c>
    </row>
    <row r="171" spans="1:16" ht="15" thickTop="1" thickBot="1">
      <c r="B171" s="318" t="s">
        <v>318</v>
      </c>
      <c r="C171" s="322"/>
      <c r="D171" s="319"/>
      <c r="E171" s="90" t="s">
        <v>78</v>
      </c>
      <c r="F171" s="90" t="s">
        <v>79</v>
      </c>
      <c r="G171" s="90" t="s">
        <v>58</v>
      </c>
    </row>
    <row r="172" spans="1:16" ht="15" thickTop="1" thickBot="1">
      <c r="B172" s="318" t="s">
        <v>319</v>
      </c>
      <c r="C172" s="322"/>
      <c r="D172" s="319"/>
      <c r="E172" s="90">
        <f>'[1]التعليم الابتدائي'!KI368</f>
        <v>0</v>
      </c>
      <c r="F172" s="90">
        <f>'[1]التعليم الابتدائي'!KJ368</f>
        <v>0</v>
      </c>
      <c r="G172" s="90">
        <f>SUM(E172:F172)</f>
        <v>0</v>
      </c>
      <c r="I172" s="318" t="s">
        <v>145</v>
      </c>
      <c r="J172" s="319"/>
      <c r="K172" s="318" t="s">
        <v>320</v>
      </c>
      <c r="L172" s="319"/>
    </row>
    <row r="173" spans="1:16" ht="15" thickTop="1" thickBot="1">
      <c r="B173" s="323" t="s">
        <v>321</v>
      </c>
      <c r="C173" s="318" t="s">
        <v>322</v>
      </c>
      <c r="D173" s="319"/>
      <c r="E173" s="90">
        <f>'[1]التعليم الابتدائي'!KK368</f>
        <v>0</v>
      </c>
      <c r="F173" s="90">
        <f>'[1]التعليم الابتدائي'!KL368</f>
        <v>0</v>
      </c>
      <c r="G173" s="90">
        <f t="shared" ref="G173:G180" si="5">SUM(E173:F173)</f>
        <v>0</v>
      </c>
      <c r="I173" s="318" t="s">
        <v>78</v>
      </c>
      <c r="J173" s="319"/>
      <c r="K173" s="318">
        <f>'[1]التعليم الابتدائي'!AGC368</f>
        <v>0</v>
      </c>
      <c r="L173" s="319"/>
    </row>
    <row r="174" spans="1:16" ht="15" thickTop="1" thickBot="1">
      <c r="B174" s="324"/>
      <c r="C174" s="318" t="s">
        <v>323</v>
      </c>
      <c r="D174" s="319"/>
      <c r="E174" s="90">
        <f>'[1]التعليم الابتدائي'!KM368</f>
        <v>0</v>
      </c>
      <c r="F174" s="90">
        <f>'[1]التعليم الابتدائي'!KN368</f>
        <v>0</v>
      </c>
      <c r="G174" s="90">
        <f t="shared" si="5"/>
        <v>0</v>
      </c>
      <c r="I174" s="318" t="s">
        <v>79</v>
      </c>
      <c r="J174" s="319"/>
      <c r="K174" s="318">
        <f>'[1]التعليم الابتدائي'!AGD368</f>
        <v>0</v>
      </c>
      <c r="L174" s="319"/>
    </row>
    <row r="175" spans="1:16" ht="15" thickTop="1" thickBot="1">
      <c r="B175" s="324"/>
      <c r="C175" s="318" t="s">
        <v>324</v>
      </c>
      <c r="D175" s="319"/>
      <c r="E175" s="90">
        <f>'[1]التعليم الابتدائي'!KO368</f>
        <v>0</v>
      </c>
      <c r="F175" s="90">
        <f>'[1]التعليم الابتدائي'!KP368</f>
        <v>0</v>
      </c>
      <c r="G175" s="90">
        <f t="shared" si="5"/>
        <v>0</v>
      </c>
      <c r="I175" s="318" t="s">
        <v>58</v>
      </c>
      <c r="J175" s="319"/>
      <c r="K175" s="318">
        <f>K174+K173</f>
        <v>0</v>
      </c>
      <c r="L175" s="319"/>
    </row>
    <row r="176" spans="1:16" ht="15" thickTop="1" thickBot="1">
      <c r="B176" s="324"/>
      <c r="C176" s="318" t="s">
        <v>325</v>
      </c>
      <c r="D176" s="319"/>
      <c r="E176" s="90">
        <f>'[1]التعليم الابتدائي'!KQ368</f>
        <v>0</v>
      </c>
      <c r="F176" s="90">
        <f>'[1]التعليم الابتدائي'!KR368</f>
        <v>0</v>
      </c>
      <c r="G176" s="90">
        <f t="shared" si="5"/>
        <v>0</v>
      </c>
    </row>
    <row r="177" spans="1:16" ht="15" thickTop="1" thickBot="1">
      <c r="B177" s="324"/>
      <c r="C177" s="318" t="s">
        <v>326</v>
      </c>
      <c r="D177" s="319"/>
      <c r="E177" s="90">
        <f>'[1]التعليم الابتدائي'!KS368</f>
        <v>0</v>
      </c>
      <c r="F177" s="90">
        <f>'[1]التعليم الابتدائي'!KT368</f>
        <v>0</v>
      </c>
      <c r="G177" s="90">
        <f t="shared" si="5"/>
        <v>0</v>
      </c>
    </row>
    <row r="178" spans="1:16" ht="15" thickTop="1" thickBot="1">
      <c r="B178" s="324"/>
      <c r="C178" s="318" t="s">
        <v>327</v>
      </c>
      <c r="D178" s="319"/>
      <c r="E178" s="90"/>
      <c r="F178" s="90">
        <f>'[1]التعليم الابتدائي'!KU368</f>
        <v>0</v>
      </c>
      <c r="G178" s="90">
        <f t="shared" si="5"/>
        <v>0</v>
      </c>
    </row>
    <row r="179" spans="1:16" ht="15" thickTop="1" thickBot="1">
      <c r="B179" s="324"/>
      <c r="C179" s="318" t="s">
        <v>328</v>
      </c>
      <c r="D179" s="319"/>
      <c r="E179" s="90">
        <f>'[1]التعليم الابتدائي'!KV368</f>
        <v>0</v>
      </c>
      <c r="F179" s="90">
        <f>'[1]التعليم الابتدائي'!KW368</f>
        <v>0</v>
      </c>
      <c r="G179" s="90">
        <f t="shared" si="5"/>
        <v>0</v>
      </c>
    </row>
    <row r="180" spans="1:16" ht="15" thickTop="1" thickBot="1">
      <c r="B180" s="325"/>
      <c r="C180" s="318" t="s">
        <v>329</v>
      </c>
      <c r="D180" s="319"/>
      <c r="E180" s="90"/>
      <c r="F180" s="90"/>
      <c r="G180" s="90">
        <f t="shared" si="5"/>
        <v>0</v>
      </c>
    </row>
    <row r="181" spans="1:16" ht="15" thickTop="1" thickBot="1">
      <c r="B181" s="318" t="s">
        <v>57</v>
      </c>
      <c r="C181" s="322"/>
      <c r="D181" s="319"/>
      <c r="E181" s="90">
        <f>E180+E172</f>
        <v>0</v>
      </c>
      <c r="F181" s="90">
        <f>F180+F172</f>
        <v>0</v>
      </c>
      <c r="G181" s="90">
        <f>G180+G172</f>
        <v>0</v>
      </c>
    </row>
    <row r="182" spans="1:16" ht="13.8" thickTop="1"/>
    <row r="183" spans="1:16" ht="23.4" thickBot="1">
      <c r="B183" s="94" t="s">
        <v>330</v>
      </c>
    </row>
    <row r="184" spans="1:16" ht="15" thickTop="1" thickBot="1">
      <c r="B184" s="318" t="s">
        <v>331</v>
      </c>
      <c r="C184" s="319"/>
      <c r="D184" s="320" t="s">
        <v>332</v>
      </c>
      <c r="E184" s="321"/>
      <c r="F184" s="318" t="s">
        <v>333</v>
      </c>
      <c r="G184" s="319"/>
      <c r="H184" s="318" t="s">
        <v>334</v>
      </c>
      <c r="I184" s="319"/>
      <c r="J184" s="318" t="s">
        <v>335</v>
      </c>
      <c r="K184" s="319"/>
      <c r="L184" s="318" t="s">
        <v>122</v>
      </c>
      <c r="M184" s="322"/>
      <c r="N184" s="319"/>
    </row>
    <row r="185" spans="1:16" ht="15" thickTop="1" thickBot="1">
      <c r="B185" s="90" t="s">
        <v>78</v>
      </c>
      <c r="C185" s="90" t="s">
        <v>79</v>
      </c>
      <c r="D185" s="90" t="s">
        <v>78</v>
      </c>
      <c r="E185" s="90" t="s">
        <v>79</v>
      </c>
      <c r="F185" s="90" t="s">
        <v>78</v>
      </c>
      <c r="G185" s="90" t="s">
        <v>79</v>
      </c>
      <c r="H185" s="90" t="s">
        <v>78</v>
      </c>
      <c r="I185" s="90" t="s">
        <v>79</v>
      </c>
      <c r="J185" s="90" t="s">
        <v>78</v>
      </c>
      <c r="K185" s="90" t="s">
        <v>79</v>
      </c>
      <c r="L185" s="90" t="s">
        <v>78</v>
      </c>
      <c r="M185" s="90" t="s">
        <v>79</v>
      </c>
      <c r="N185" s="90" t="s">
        <v>58</v>
      </c>
    </row>
    <row r="186" spans="1:16" ht="15" thickTop="1" thickBot="1">
      <c r="B186" s="90">
        <f>'[1]التعليم الابتدائي'!AEO368</f>
        <v>0</v>
      </c>
      <c r="C186" s="90">
        <f>'[1]التعليم الابتدائي'!AEP368</f>
        <v>0</v>
      </c>
      <c r="D186" s="90">
        <f>'[1]التعليم الابتدائي'!AEQ368</f>
        <v>0</v>
      </c>
      <c r="E186" s="90">
        <f>'[1]التعليم الابتدائي'!AER368</f>
        <v>0</v>
      </c>
      <c r="F186" s="90">
        <f>'[1]التعليم الابتدائي'!AES368</f>
        <v>0</v>
      </c>
      <c r="G186" s="90">
        <f>'[1]التعليم الابتدائي'!AET368</f>
        <v>0</v>
      </c>
      <c r="H186" s="90">
        <f>'[1]التعليم الابتدائي'!AEW368</f>
        <v>0</v>
      </c>
      <c r="I186" s="90">
        <f>'[1]التعليم الابتدائي'!AEX368</f>
        <v>0</v>
      </c>
      <c r="J186" s="90">
        <f>'[1]التعليم الابتدائي'!AEY368</f>
        <v>0</v>
      </c>
      <c r="K186" s="90">
        <f>'[1]التعليم الابتدائي'!AEZ368</f>
        <v>0</v>
      </c>
      <c r="L186" s="90">
        <f>F186+D186+B186+H186</f>
        <v>0</v>
      </c>
      <c r="M186" s="90">
        <f>G186+E186+C186+I186</f>
        <v>0</v>
      </c>
      <c r="N186" s="90">
        <f>SUM(L186:M186)</f>
        <v>0</v>
      </c>
    </row>
    <row r="187" spans="1:16" ht="13.8" thickTop="1"/>
    <row r="188" spans="1:16" ht="23.4" thickBot="1">
      <c r="B188" s="94" t="s">
        <v>336</v>
      </c>
    </row>
    <row r="189" spans="1:16" ht="15" thickTop="1" thickBot="1">
      <c r="B189" s="318" t="s">
        <v>337</v>
      </c>
      <c r="C189" s="319"/>
      <c r="D189" s="320" t="s">
        <v>338</v>
      </c>
      <c r="E189" s="321"/>
      <c r="F189" s="318" t="s">
        <v>339</v>
      </c>
      <c r="G189" s="319"/>
      <c r="H189" s="318" t="s">
        <v>340</v>
      </c>
      <c r="I189" s="319"/>
      <c r="J189" s="318" t="s">
        <v>341</v>
      </c>
      <c r="K189" s="319"/>
      <c r="L189" s="318" t="s">
        <v>58</v>
      </c>
      <c r="M189" s="322"/>
      <c r="N189" s="319"/>
    </row>
    <row r="190" spans="1:16" ht="15" thickTop="1" thickBot="1">
      <c r="B190" s="90" t="s">
        <v>78</v>
      </c>
      <c r="C190" s="90" t="s">
        <v>79</v>
      </c>
      <c r="D190" s="90" t="s">
        <v>78</v>
      </c>
      <c r="E190" s="90" t="s">
        <v>79</v>
      </c>
      <c r="F190" s="90" t="s">
        <v>78</v>
      </c>
      <c r="G190" s="90" t="s">
        <v>79</v>
      </c>
      <c r="H190" s="90" t="s">
        <v>78</v>
      </c>
      <c r="I190" s="90" t="s">
        <v>79</v>
      </c>
      <c r="J190" s="90" t="s">
        <v>78</v>
      </c>
      <c r="K190" s="90" t="s">
        <v>79</v>
      </c>
      <c r="L190" s="90" t="s">
        <v>78</v>
      </c>
      <c r="M190" s="90" t="s">
        <v>79</v>
      </c>
      <c r="N190" s="90" t="s">
        <v>58</v>
      </c>
    </row>
    <row r="191" spans="1:16" ht="15" thickTop="1" thickBot="1">
      <c r="B191" s="90">
        <f>'[1]التعليم الابتدائي'!AFB368</f>
        <v>0</v>
      </c>
      <c r="C191" s="90">
        <f>'[1]التعليم الابتدائي'!AFC368</f>
        <v>0</v>
      </c>
      <c r="D191" s="90">
        <f>'[1]التعليم الابتدائي'!AFD368</f>
        <v>0</v>
      </c>
      <c r="E191" s="90">
        <f>'[1]التعليم الابتدائي'!AFE368</f>
        <v>0</v>
      </c>
      <c r="F191" s="90">
        <f>'[1]التعليم الابتدائي'!AFF368</f>
        <v>0</v>
      </c>
      <c r="G191" s="90">
        <f>'[1]التعليم الابتدائي'!AFG368</f>
        <v>0</v>
      </c>
      <c r="H191" s="90">
        <f>'[1]التعليم الابتدائي'!AFH368</f>
        <v>0</v>
      </c>
      <c r="I191" s="90">
        <f>'[1]التعليم الابتدائي'!AFI368</f>
        <v>0</v>
      </c>
      <c r="J191" s="90">
        <f>'[1]التعليم الابتدائي'!AFJ368</f>
        <v>0</v>
      </c>
      <c r="K191" s="90">
        <f>'[1]التعليم الابتدائي'!AFK368</f>
        <v>0</v>
      </c>
      <c r="L191" s="90">
        <f>J191+F191+D191+B191+H191</f>
        <v>0</v>
      </c>
      <c r="M191" s="90">
        <f>K191+G191+E191+C191+I191</f>
        <v>0</v>
      </c>
      <c r="N191" s="90">
        <f>SUM(L191:M191)</f>
        <v>0</v>
      </c>
    </row>
    <row r="192" spans="1:16" ht="23.4" thickTop="1">
      <c r="A192" s="92" t="s">
        <v>62</v>
      </c>
      <c r="B192" s="29"/>
      <c r="C192" s="29"/>
      <c r="D192" s="29"/>
      <c r="E192" s="29"/>
      <c r="F192" s="28"/>
      <c r="G192" s="28"/>
      <c r="H192" s="28"/>
      <c r="I192" s="28"/>
      <c r="J192" s="28"/>
      <c r="K192" s="28"/>
      <c r="M192" s="92" t="s">
        <v>291</v>
      </c>
      <c r="N192" s="29"/>
      <c r="O192" s="28"/>
      <c r="P192" s="28"/>
    </row>
    <row r="193" spans="1:16" ht="22.8">
      <c r="A193" s="326" t="s">
        <v>64</v>
      </c>
      <c r="B193" s="326"/>
      <c r="C193" s="326"/>
      <c r="D193" s="326"/>
      <c r="E193" s="326"/>
      <c r="F193" s="28"/>
      <c r="G193" s="28"/>
      <c r="H193" s="28"/>
      <c r="I193" s="28"/>
      <c r="J193" s="28"/>
      <c r="K193" s="28"/>
      <c r="L193" s="326" t="s">
        <v>65</v>
      </c>
      <c r="M193" s="326"/>
      <c r="N193" s="326"/>
      <c r="O193" s="28"/>
      <c r="P193" s="28"/>
    </row>
    <row r="194" spans="1:16" ht="22.8">
      <c r="B194" s="29"/>
      <c r="C194" s="29"/>
      <c r="D194" s="29"/>
      <c r="E194" s="29"/>
      <c r="F194" s="29"/>
      <c r="G194" s="92" t="s">
        <v>301</v>
      </c>
      <c r="H194" s="29"/>
      <c r="I194" s="29"/>
      <c r="J194" s="29"/>
      <c r="K194" s="29"/>
      <c r="L194" s="29"/>
      <c r="M194" s="29"/>
      <c r="N194" s="29"/>
      <c r="O194" s="29"/>
      <c r="P194" s="29"/>
    </row>
    <row r="195" spans="1:16" ht="17.399999999999999">
      <c r="F195" s="92" t="s">
        <v>302</v>
      </c>
    </row>
    <row r="196" spans="1:16" ht="23.4" thickBot="1">
      <c r="B196" s="37" t="s">
        <v>303</v>
      </c>
      <c r="F196" s="29"/>
      <c r="K196" s="37" t="s">
        <v>304</v>
      </c>
    </row>
    <row r="197" spans="1:16" ht="42.6" thickTop="1" thickBot="1">
      <c r="B197" s="90" t="s">
        <v>305</v>
      </c>
      <c r="C197" s="90" t="s">
        <v>306</v>
      </c>
      <c r="D197" s="90" t="s">
        <v>307</v>
      </c>
      <c r="E197" s="90" t="s">
        <v>308</v>
      </c>
      <c r="F197" s="318" t="s">
        <v>309</v>
      </c>
      <c r="G197" s="322"/>
      <c r="H197" s="319"/>
      <c r="I197" s="90" t="s">
        <v>310</v>
      </c>
      <c r="K197" s="90" t="s">
        <v>311</v>
      </c>
      <c r="L197" s="90" t="s">
        <v>312</v>
      </c>
      <c r="M197" s="90" t="s">
        <v>43</v>
      </c>
      <c r="N197" s="90" t="s">
        <v>38</v>
      </c>
    </row>
    <row r="198" spans="1:16" ht="15" thickTop="1" thickBot="1">
      <c r="B198" s="323">
        <f>'[1]التعليم الابتدائي'!AGI581</f>
        <v>69</v>
      </c>
      <c r="C198" s="323">
        <f>'[1]التعليم الابتدائي'!AGO581</f>
        <v>0</v>
      </c>
      <c r="D198" s="323">
        <f>'[1]التعليم الابتدائي'!AGM581</f>
        <v>0</v>
      </c>
      <c r="E198" s="323">
        <f>'[1]التعليم الابتدائي'!AGQ581</f>
        <v>0</v>
      </c>
      <c r="F198" s="90" t="s">
        <v>313</v>
      </c>
      <c r="G198" s="90" t="s">
        <v>314</v>
      </c>
      <c r="H198" s="90" t="s">
        <v>315</v>
      </c>
      <c r="I198" s="323">
        <f>'[1]التعليم الابتدائي'!AGK581</f>
        <v>0</v>
      </c>
      <c r="K198" s="323">
        <f>'[1]التعليم الابتدائي'!S581</f>
        <v>49</v>
      </c>
      <c r="L198" s="323">
        <f>'[1]التعليم الابتدائي'!T581</f>
        <v>0</v>
      </c>
      <c r="M198" s="323">
        <f>'[1]التعليم الابتدائي'!U581</f>
        <v>150</v>
      </c>
      <c r="N198" s="323">
        <f>'[1]التعليم الابتدائي'!V581</f>
        <v>0</v>
      </c>
    </row>
    <row r="199" spans="1:16" ht="24" thickTop="1" thickBot="1">
      <c r="B199" s="325"/>
      <c r="C199" s="325"/>
      <c r="D199" s="325"/>
      <c r="E199" s="325"/>
      <c r="F199" s="15">
        <f>'[1]التعليم الابتدائي'!AGV581</f>
        <v>0</v>
      </c>
      <c r="G199" s="15">
        <f>'[1]التعليم الابتدائي'!AGW581</f>
        <v>0</v>
      </c>
      <c r="H199" s="15">
        <f>'[1]التعليم الابتدائي'!AGX581</f>
        <v>0</v>
      </c>
      <c r="I199" s="325"/>
      <c r="K199" s="325"/>
      <c r="L199" s="325"/>
      <c r="M199" s="325"/>
      <c r="N199" s="325"/>
    </row>
    <row r="200" spans="1:16" ht="13.8" thickTop="1"/>
    <row r="201" spans="1:16" ht="23.4" thickBot="1">
      <c r="B201" s="37" t="s">
        <v>316</v>
      </c>
      <c r="I201" s="37" t="s">
        <v>317</v>
      </c>
    </row>
    <row r="202" spans="1:16" ht="15" thickTop="1" thickBot="1">
      <c r="B202" s="318" t="s">
        <v>318</v>
      </c>
      <c r="C202" s="322"/>
      <c r="D202" s="319"/>
      <c r="E202" s="90" t="s">
        <v>78</v>
      </c>
      <c r="F202" s="90" t="s">
        <v>79</v>
      </c>
      <c r="G202" s="90" t="s">
        <v>58</v>
      </c>
    </row>
    <row r="203" spans="1:16" ht="15" thickTop="1" thickBot="1">
      <c r="B203" s="318" t="s">
        <v>319</v>
      </c>
      <c r="C203" s="322"/>
      <c r="D203" s="319"/>
      <c r="E203" s="90">
        <f>'[1]التعليم الابتدائي'!KI581</f>
        <v>0</v>
      </c>
      <c r="F203" s="90">
        <f>'[1]التعليم الابتدائي'!KJ581</f>
        <v>0</v>
      </c>
      <c r="G203" s="90">
        <f>SUM(E203:F203)</f>
        <v>0</v>
      </c>
      <c r="I203" s="318" t="s">
        <v>145</v>
      </c>
      <c r="J203" s="319"/>
      <c r="K203" s="318" t="s">
        <v>320</v>
      </c>
      <c r="L203" s="319"/>
    </row>
    <row r="204" spans="1:16" ht="15" thickTop="1" thickBot="1">
      <c r="B204" s="323" t="s">
        <v>321</v>
      </c>
      <c r="C204" s="318" t="s">
        <v>322</v>
      </c>
      <c r="D204" s="319"/>
      <c r="E204" s="90">
        <f>'[1]التعليم الابتدائي'!KK581</f>
        <v>0</v>
      </c>
      <c r="F204" s="90">
        <f>'[1]التعليم الابتدائي'!KL581</f>
        <v>0</v>
      </c>
      <c r="G204" s="90">
        <f t="shared" ref="G204:G211" si="6">SUM(E204:F204)</f>
        <v>0</v>
      </c>
      <c r="I204" s="318" t="s">
        <v>78</v>
      </c>
      <c r="J204" s="319"/>
      <c r="K204" s="318">
        <f>'[1]التعليم الابتدائي'!AGC581</f>
        <v>0</v>
      </c>
      <c r="L204" s="319"/>
    </row>
    <row r="205" spans="1:16" ht="15" thickTop="1" thickBot="1">
      <c r="B205" s="324"/>
      <c r="C205" s="318" t="s">
        <v>323</v>
      </c>
      <c r="D205" s="319"/>
      <c r="E205" s="90">
        <f>'[1]التعليم الابتدائي'!KM581</f>
        <v>0</v>
      </c>
      <c r="F205" s="90">
        <f>'[1]التعليم الابتدائي'!KN581</f>
        <v>0</v>
      </c>
      <c r="G205" s="90">
        <f t="shared" si="6"/>
        <v>0</v>
      </c>
      <c r="I205" s="318" t="s">
        <v>79</v>
      </c>
      <c r="J205" s="319"/>
      <c r="K205" s="318">
        <f>'[1]التعليم الابتدائي'!AGD581</f>
        <v>0</v>
      </c>
      <c r="L205" s="319"/>
    </row>
    <row r="206" spans="1:16" ht="15" thickTop="1" thickBot="1">
      <c r="B206" s="324"/>
      <c r="C206" s="318" t="s">
        <v>324</v>
      </c>
      <c r="D206" s="319"/>
      <c r="E206" s="90">
        <f>'[1]التعليم الابتدائي'!KO581</f>
        <v>0</v>
      </c>
      <c r="F206" s="90">
        <f>'[1]التعليم الابتدائي'!KP581</f>
        <v>0</v>
      </c>
      <c r="G206" s="90">
        <f t="shared" si="6"/>
        <v>0</v>
      </c>
      <c r="I206" s="318" t="s">
        <v>58</v>
      </c>
      <c r="J206" s="319"/>
      <c r="K206" s="318">
        <f>K205+K204</f>
        <v>0</v>
      </c>
      <c r="L206" s="319"/>
    </row>
    <row r="207" spans="1:16" ht="15" thickTop="1" thickBot="1">
      <c r="B207" s="324"/>
      <c r="C207" s="318" t="s">
        <v>325</v>
      </c>
      <c r="D207" s="319"/>
      <c r="E207" s="90">
        <f>'[1]التعليم الابتدائي'!KQ581</f>
        <v>0</v>
      </c>
      <c r="F207" s="90">
        <f>'[1]التعليم الابتدائي'!KR581</f>
        <v>0</v>
      </c>
      <c r="G207" s="90">
        <f t="shared" si="6"/>
        <v>0</v>
      </c>
    </row>
    <row r="208" spans="1:16" ht="15" thickTop="1" thickBot="1">
      <c r="B208" s="324"/>
      <c r="C208" s="318" t="s">
        <v>326</v>
      </c>
      <c r="D208" s="319"/>
      <c r="E208" s="90">
        <f>'[1]التعليم الابتدائي'!KS581</f>
        <v>0</v>
      </c>
      <c r="F208" s="90">
        <f>'[1]التعليم الابتدائي'!KT581</f>
        <v>0</v>
      </c>
      <c r="G208" s="90">
        <f t="shared" si="6"/>
        <v>0</v>
      </c>
    </row>
    <row r="209" spans="1:16" ht="15" thickTop="1" thickBot="1">
      <c r="B209" s="324"/>
      <c r="C209" s="318" t="s">
        <v>327</v>
      </c>
      <c r="D209" s="319"/>
      <c r="E209" s="90"/>
      <c r="F209" s="90">
        <f>'[1]التعليم الابتدائي'!KU581</f>
        <v>0</v>
      </c>
      <c r="G209" s="90">
        <f t="shared" si="6"/>
        <v>0</v>
      </c>
    </row>
    <row r="210" spans="1:16" ht="15" thickTop="1" thickBot="1">
      <c r="B210" s="324"/>
      <c r="C210" s="318" t="s">
        <v>328</v>
      </c>
      <c r="D210" s="319"/>
      <c r="E210" s="90">
        <f>'[1]التعليم الابتدائي'!KV581</f>
        <v>0</v>
      </c>
      <c r="F210" s="90">
        <f>'[1]التعليم الابتدائي'!KW581</f>
        <v>0</v>
      </c>
      <c r="G210" s="90">
        <f t="shared" si="6"/>
        <v>0</v>
      </c>
    </row>
    <row r="211" spans="1:16" ht="15" thickTop="1" thickBot="1">
      <c r="B211" s="325"/>
      <c r="C211" s="318" t="s">
        <v>329</v>
      </c>
      <c r="D211" s="319"/>
      <c r="E211" s="90"/>
      <c r="F211" s="90"/>
      <c r="G211" s="90">
        <f t="shared" si="6"/>
        <v>0</v>
      </c>
    </row>
    <row r="212" spans="1:16" ht="15" thickTop="1" thickBot="1">
      <c r="B212" s="318" t="s">
        <v>57</v>
      </c>
      <c r="C212" s="322"/>
      <c r="D212" s="319"/>
      <c r="E212" s="90">
        <f>E211+E203</f>
        <v>0</v>
      </c>
      <c r="F212" s="90">
        <f>F211+F203</f>
        <v>0</v>
      </c>
      <c r="G212" s="90">
        <f>G211+G203</f>
        <v>0</v>
      </c>
    </row>
    <row r="213" spans="1:16" ht="13.8" thickTop="1"/>
    <row r="214" spans="1:16" ht="23.4" thickBot="1">
      <c r="B214" s="94" t="s">
        <v>330</v>
      </c>
    </row>
    <row r="215" spans="1:16" ht="15" thickTop="1" thickBot="1">
      <c r="B215" s="318" t="s">
        <v>331</v>
      </c>
      <c r="C215" s="319"/>
      <c r="D215" s="320" t="s">
        <v>332</v>
      </c>
      <c r="E215" s="321"/>
      <c r="F215" s="318" t="s">
        <v>333</v>
      </c>
      <c r="G215" s="319"/>
      <c r="H215" s="318" t="s">
        <v>334</v>
      </c>
      <c r="I215" s="319"/>
      <c r="J215" s="318" t="s">
        <v>335</v>
      </c>
      <c r="K215" s="319"/>
      <c r="L215" s="318" t="s">
        <v>122</v>
      </c>
      <c r="M215" s="322"/>
      <c r="N215" s="319"/>
    </row>
    <row r="216" spans="1:16" ht="15" thickTop="1" thickBot="1">
      <c r="B216" s="90" t="s">
        <v>78</v>
      </c>
      <c r="C216" s="90" t="s">
        <v>79</v>
      </c>
      <c r="D216" s="90" t="s">
        <v>78</v>
      </c>
      <c r="E216" s="90" t="s">
        <v>79</v>
      </c>
      <c r="F216" s="90" t="s">
        <v>78</v>
      </c>
      <c r="G216" s="90" t="s">
        <v>79</v>
      </c>
      <c r="H216" s="90" t="s">
        <v>78</v>
      </c>
      <c r="I216" s="90" t="s">
        <v>79</v>
      </c>
      <c r="J216" s="90" t="s">
        <v>78</v>
      </c>
      <c r="K216" s="90" t="s">
        <v>79</v>
      </c>
      <c r="L216" s="90" t="s">
        <v>78</v>
      </c>
      <c r="M216" s="90" t="s">
        <v>79</v>
      </c>
      <c r="N216" s="90" t="s">
        <v>58</v>
      </c>
    </row>
    <row r="217" spans="1:16" ht="15" thickTop="1" thickBot="1">
      <c r="B217" s="90">
        <f>'[1]التعليم الابتدائي'!AEO581</f>
        <v>0</v>
      </c>
      <c r="C217" s="90">
        <f>'[1]التعليم الابتدائي'!AEP581</f>
        <v>0</v>
      </c>
      <c r="D217" s="90">
        <f>'[1]التعليم الابتدائي'!AEQ581</f>
        <v>0</v>
      </c>
      <c r="E217" s="90">
        <f>'[1]التعليم الابتدائي'!AER581</f>
        <v>0</v>
      </c>
      <c r="F217" s="90">
        <f>'[1]التعليم الابتدائي'!AES581</f>
        <v>0</v>
      </c>
      <c r="G217" s="90">
        <f>'[1]التعليم الابتدائي'!AET581</f>
        <v>0</v>
      </c>
      <c r="H217" s="90">
        <f>'[1]التعليم الابتدائي'!AEW581</f>
        <v>0</v>
      </c>
      <c r="I217" s="90">
        <f>'[1]التعليم الابتدائي'!AEX581</f>
        <v>0</v>
      </c>
      <c r="J217" s="90">
        <f>'[1]التعليم الابتدائي'!AEY581</f>
        <v>0</v>
      </c>
      <c r="K217" s="90">
        <f>'[1]التعليم الابتدائي'!AEZ581</f>
        <v>0</v>
      </c>
      <c r="L217" s="90">
        <f>F217+D217+B217+H217</f>
        <v>0</v>
      </c>
      <c r="M217" s="90">
        <f>G217+E217+C217+I217</f>
        <v>0</v>
      </c>
      <c r="N217" s="90">
        <f>SUM(L217:M217)</f>
        <v>0</v>
      </c>
    </row>
    <row r="218" spans="1:16" ht="13.8" thickTop="1"/>
    <row r="219" spans="1:16" ht="23.4" thickBot="1">
      <c r="B219" s="94" t="s">
        <v>336</v>
      </c>
    </row>
    <row r="220" spans="1:16" ht="15" thickTop="1" thickBot="1">
      <c r="B220" s="318" t="s">
        <v>337</v>
      </c>
      <c r="C220" s="319"/>
      <c r="D220" s="320" t="s">
        <v>338</v>
      </c>
      <c r="E220" s="321"/>
      <c r="F220" s="318" t="s">
        <v>339</v>
      </c>
      <c r="G220" s="319"/>
      <c r="H220" s="318" t="s">
        <v>340</v>
      </c>
      <c r="I220" s="319"/>
      <c r="J220" s="318" t="s">
        <v>341</v>
      </c>
      <c r="K220" s="319"/>
      <c r="L220" s="318" t="s">
        <v>58</v>
      </c>
      <c r="M220" s="322"/>
      <c r="N220" s="319"/>
    </row>
    <row r="221" spans="1:16" ht="15" thickTop="1" thickBot="1">
      <c r="B221" s="90" t="s">
        <v>78</v>
      </c>
      <c r="C221" s="90" t="s">
        <v>79</v>
      </c>
      <c r="D221" s="90" t="s">
        <v>78</v>
      </c>
      <c r="E221" s="90" t="s">
        <v>79</v>
      </c>
      <c r="F221" s="90" t="s">
        <v>78</v>
      </c>
      <c r="G221" s="90" t="s">
        <v>79</v>
      </c>
      <c r="H221" s="90" t="s">
        <v>78</v>
      </c>
      <c r="I221" s="90" t="s">
        <v>79</v>
      </c>
      <c r="J221" s="90" t="s">
        <v>78</v>
      </c>
      <c r="K221" s="90" t="s">
        <v>79</v>
      </c>
      <c r="L221" s="90" t="s">
        <v>78</v>
      </c>
      <c r="M221" s="90" t="s">
        <v>79</v>
      </c>
      <c r="N221" s="90" t="s">
        <v>58</v>
      </c>
    </row>
    <row r="222" spans="1:16" ht="15" thickTop="1" thickBot="1">
      <c r="B222" s="90">
        <f>'[1]التعليم الابتدائي'!AFB581</f>
        <v>0</v>
      </c>
      <c r="C222" s="90">
        <f>'[1]التعليم الابتدائي'!AFC581</f>
        <v>0</v>
      </c>
      <c r="D222" s="90">
        <f>'[1]التعليم الابتدائي'!AFD581</f>
        <v>0</v>
      </c>
      <c r="E222" s="90">
        <f>'[1]التعليم الابتدائي'!AFE581</f>
        <v>0</v>
      </c>
      <c r="F222" s="90">
        <f>'[1]التعليم الابتدائي'!AFF581</f>
        <v>0</v>
      </c>
      <c r="G222" s="90">
        <f>'[1]التعليم الابتدائي'!AFG581</f>
        <v>0</v>
      </c>
      <c r="H222" s="90">
        <f>'[1]التعليم الابتدائي'!AFH581</f>
        <v>0</v>
      </c>
      <c r="I222" s="90">
        <f>'[1]التعليم الابتدائي'!AFI581</f>
        <v>0</v>
      </c>
      <c r="J222" s="90">
        <f>'[1]التعليم الابتدائي'!AFJ581</f>
        <v>0</v>
      </c>
      <c r="K222" s="90">
        <f>'[1]التعليم الابتدائي'!AFK581</f>
        <v>0</v>
      </c>
      <c r="L222" s="90">
        <f>J222+F222+D222+B222+H222</f>
        <v>0</v>
      </c>
      <c r="M222" s="90">
        <f>K222+G222+E222+C222+I222</f>
        <v>0</v>
      </c>
      <c r="N222" s="90">
        <f>SUM(L222:M222)</f>
        <v>0</v>
      </c>
    </row>
    <row r="223" spans="1:16" ht="13.8" thickTop="1"/>
    <row r="224" spans="1:16" ht="22.8">
      <c r="A224" s="92" t="s">
        <v>62</v>
      </c>
      <c r="B224" s="29"/>
      <c r="C224" s="29"/>
      <c r="D224" s="29"/>
      <c r="E224" s="29"/>
      <c r="F224" s="28"/>
      <c r="G224" s="28"/>
      <c r="H224" s="28"/>
      <c r="I224" s="28"/>
      <c r="J224" s="28"/>
      <c r="K224" s="28"/>
      <c r="M224" s="92" t="s">
        <v>292</v>
      </c>
      <c r="N224" s="29"/>
      <c r="O224" s="28"/>
      <c r="P224" s="28"/>
    </row>
    <row r="225" spans="1:16" ht="22.8">
      <c r="A225" s="326" t="s">
        <v>64</v>
      </c>
      <c r="B225" s="326"/>
      <c r="C225" s="326"/>
      <c r="D225" s="326"/>
      <c r="E225" s="326"/>
      <c r="F225" s="28"/>
      <c r="G225" s="28"/>
      <c r="H225" s="28"/>
      <c r="I225" s="28"/>
      <c r="J225" s="28"/>
      <c r="K225" s="28"/>
      <c r="L225" s="326" t="s">
        <v>65</v>
      </c>
      <c r="M225" s="326"/>
      <c r="N225" s="326"/>
      <c r="O225" s="28"/>
      <c r="P225" s="28"/>
    </row>
    <row r="226" spans="1:16" ht="22.8">
      <c r="B226" s="29"/>
      <c r="C226" s="29"/>
      <c r="D226" s="29"/>
      <c r="E226" s="29"/>
      <c r="F226" s="29"/>
      <c r="G226" s="92" t="s">
        <v>301</v>
      </c>
      <c r="H226" s="29"/>
      <c r="I226" s="29"/>
      <c r="J226" s="29"/>
      <c r="K226" s="29"/>
      <c r="L226" s="29"/>
      <c r="M226" s="29"/>
      <c r="N226" s="29"/>
      <c r="O226" s="29"/>
      <c r="P226" s="29"/>
    </row>
    <row r="227" spans="1:16" ht="17.399999999999999">
      <c r="F227" s="92" t="s">
        <v>302</v>
      </c>
    </row>
    <row r="228" spans="1:16" ht="23.4" thickBot="1">
      <c r="B228" s="37" t="s">
        <v>303</v>
      </c>
      <c r="F228" s="29"/>
      <c r="K228" s="37" t="s">
        <v>304</v>
      </c>
    </row>
    <row r="229" spans="1:16" ht="42.6" thickTop="1" thickBot="1">
      <c r="B229" s="90" t="s">
        <v>305</v>
      </c>
      <c r="C229" s="90" t="s">
        <v>306</v>
      </c>
      <c r="D229" s="90" t="s">
        <v>307</v>
      </c>
      <c r="E229" s="90" t="s">
        <v>308</v>
      </c>
      <c r="F229" s="318" t="s">
        <v>309</v>
      </c>
      <c r="G229" s="322"/>
      <c r="H229" s="319"/>
      <c r="I229" s="90" t="s">
        <v>310</v>
      </c>
      <c r="K229" s="90" t="s">
        <v>311</v>
      </c>
      <c r="L229" s="90" t="s">
        <v>312</v>
      </c>
      <c r="M229" s="90" t="s">
        <v>43</v>
      </c>
      <c r="N229" s="90" t="s">
        <v>38</v>
      </c>
    </row>
    <row r="230" spans="1:16" ht="15" thickTop="1" thickBot="1">
      <c r="B230" s="323">
        <f>'[1]التعليم الابتدائي'!AGI480</f>
        <v>34</v>
      </c>
      <c r="C230" s="323">
        <f>'[1]التعليم الابتدائي'!AGO480</f>
        <v>0</v>
      </c>
      <c r="D230" s="323">
        <f>'[1]التعليم الابتدائي'!AGM480</f>
        <v>0</v>
      </c>
      <c r="E230" s="323">
        <f>'[1]التعليم الابتدائي'!AGQ480</f>
        <v>0</v>
      </c>
      <c r="F230" s="90" t="s">
        <v>313</v>
      </c>
      <c r="G230" s="90" t="s">
        <v>314</v>
      </c>
      <c r="H230" s="90" t="s">
        <v>315</v>
      </c>
      <c r="I230" s="323">
        <f>'[1]التعليم الابتدائي'!AGK480</f>
        <v>0</v>
      </c>
      <c r="K230" s="323">
        <f>'[1]التعليم الابتدائي'!S480</f>
        <v>5</v>
      </c>
      <c r="L230" s="323">
        <f>'[1]التعليم الابتدائي'!T480</f>
        <v>0</v>
      </c>
      <c r="M230" s="323">
        <f>'[1]التعليم الابتدائي'!U480</f>
        <v>97</v>
      </c>
      <c r="N230" s="323">
        <f>'[1]التعليم الابتدائي'!V480</f>
        <v>0</v>
      </c>
    </row>
    <row r="231" spans="1:16" ht="24" thickTop="1" thickBot="1">
      <c r="B231" s="325"/>
      <c r="C231" s="325"/>
      <c r="D231" s="325"/>
      <c r="E231" s="325"/>
      <c r="F231" s="15">
        <f>'[1]التعليم الابتدائي'!AGV480</f>
        <v>0</v>
      </c>
      <c r="G231" s="15">
        <f>'[1]التعليم الابتدائي'!AGW480</f>
        <v>0</v>
      </c>
      <c r="H231" s="15">
        <f>'[1]التعليم الابتدائي'!AGX480</f>
        <v>0</v>
      </c>
      <c r="I231" s="325"/>
      <c r="K231" s="325"/>
      <c r="L231" s="325"/>
      <c r="M231" s="325"/>
      <c r="N231" s="325"/>
    </row>
    <row r="232" spans="1:16" ht="13.8" thickTop="1"/>
    <row r="233" spans="1:16" ht="23.4" thickBot="1">
      <c r="B233" s="37" t="s">
        <v>316</v>
      </c>
      <c r="I233" s="37" t="s">
        <v>317</v>
      </c>
    </row>
    <row r="234" spans="1:16" ht="15" thickTop="1" thickBot="1">
      <c r="B234" s="318" t="s">
        <v>318</v>
      </c>
      <c r="C234" s="322"/>
      <c r="D234" s="319"/>
      <c r="E234" s="90" t="s">
        <v>78</v>
      </c>
      <c r="F234" s="90" t="s">
        <v>79</v>
      </c>
      <c r="G234" s="90" t="s">
        <v>58</v>
      </c>
    </row>
    <row r="235" spans="1:16" ht="15" thickTop="1" thickBot="1">
      <c r="B235" s="318" t="s">
        <v>319</v>
      </c>
      <c r="C235" s="322"/>
      <c r="D235" s="319"/>
      <c r="E235" s="90">
        <f>'[1]التعليم الابتدائي'!KI480</f>
        <v>0</v>
      </c>
      <c r="F235" s="90">
        <f>'[1]التعليم الابتدائي'!KJ480</f>
        <v>0</v>
      </c>
      <c r="G235" s="90">
        <f>SUM(E235:F235)</f>
        <v>0</v>
      </c>
      <c r="I235" s="318" t="s">
        <v>145</v>
      </c>
      <c r="J235" s="319"/>
      <c r="K235" s="318" t="s">
        <v>320</v>
      </c>
      <c r="L235" s="319"/>
    </row>
    <row r="236" spans="1:16" ht="15" thickTop="1" thickBot="1">
      <c r="B236" s="323" t="s">
        <v>321</v>
      </c>
      <c r="C236" s="318" t="s">
        <v>322</v>
      </c>
      <c r="D236" s="319"/>
      <c r="E236" s="90">
        <f>'[1]التعليم الابتدائي'!KK480</f>
        <v>0</v>
      </c>
      <c r="F236" s="90">
        <f>'[1]التعليم الابتدائي'!KL480</f>
        <v>0</v>
      </c>
      <c r="G236" s="90">
        <f t="shared" ref="G236:G244" si="7">SUM(E236:F236)</f>
        <v>0</v>
      </c>
      <c r="I236" s="318" t="s">
        <v>78</v>
      </c>
      <c r="J236" s="319"/>
      <c r="K236" s="318">
        <f>'[1]التعليم الابتدائي'!AGC480</f>
        <v>0</v>
      </c>
      <c r="L236" s="319"/>
    </row>
    <row r="237" spans="1:16" ht="15" thickTop="1" thickBot="1">
      <c r="B237" s="324"/>
      <c r="C237" s="318" t="s">
        <v>323</v>
      </c>
      <c r="D237" s="319"/>
      <c r="E237" s="90">
        <f>'[1]التعليم الابتدائي'!KM480</f>
        <v>0</v>
      </c>
      <c r="F237" s="90">
        <f>'[1]التعليم الابتدائي'!KN480</f>
        <v>0</v>
      </c>
      <c r="G237" s="90">
        <f t="shared" si="7"/>
        <v>0</v>
      </c>
      <c r="I237" s="318" t="s">
        <v>79</v>
      </c>
      <c r="J237" s="319"/>
      <c r="K237" s="318">
        <f>'[1]التعليم الابتدائي'!AGD480</f>
        <v>0</v>
      </c>
      <c r="L237" s="319"/>
    </row>
    <row r="238" spans="1:16" ht="15" thickTop="1" thickBot="1">
      <c r="B238" s="324"/>
      <c r="C238" s="318" t="s">
        <v>324</v>
      </c>
      <c r="D238" s="319"/>
      <c r="E238" s="90">
        <f>'[1]التعليم الابتدائي'!KO480</f>
        <v>0</v>
      </c>
      <c r="F238" s="90">
        <f>'[1]التعليم الابتدائي'!KP480</f>
        <v>0</v>
      </c>
      <c r="G238" s="90">
        <f t="shared" si="7"/>
        <v>0</v>
      </c>
      <c r="I238" s="318" t="s">
        <v>58</v>
      </c>
      <c r="J238" s="319"/>
      <c r="K238" s="318">
        <f>K237+K236</f>
        <v>0</v>
      </c>
      <c r="L238" s="319"/>
    </row>
    <row r="239" spans="1:16" ht="15" thickTop="1" thickBot="1">
      <c r="B239" s="324"/>
      <c r="C239" s="318" t="s">
        <v>325</v>
      </c>
      <c r="D239" s="319"/>
      <c r="E239" s="90">
        <f>'[1]التعليم الابتدائي'!KQ480</f>
        <v>0</v>
      </c>
      <c r="F239" s="90">
        <f>'[1]التعليم الابتدائي'!KR480</f>
        <v>0</v>
      </c>
      <c r="G239" s="90">
        <f t="shared" si="7"/>
        <v>0</v>
      </c>
    </row>
    <row r="240" spans="1:16" ht="15" thickTop="1" thickBot="1">
      <c r="B240" s="324"/>
      <c r="C240" s="318" t="s">
        <v>326</v>
      </c>
      <c r="D240" s="319"/>
      <c r="E240" s="90">
        <f>'[1]التعليم الابتدائي'!KS480</f>
        <v>0</v>
      </c>
      <c r="F240" s="90">
        <f>'[1]التعليم الابتدائي'!KT480</f>
        <v>0</v>
      </c>
      <c r="G240" s="90">
        <f t="shared" si="7"/>
        <v>0</v>
      </c>
    </row>
    <row r="241" spans="1:16" ht="15" thickTop="1" thickBot="1">
      <c r="B241" s="324"/>
      <c r="C241" s="318" t="s">
        <v>327</v>
      </c>
      <c r="D241" s="319"/>
      <c r="E241" s="90"/>
      <c r="F241" s="90">
        <f>'[1]التعليم الابتدائي'!KU480</f>
        <v>0</v>
      </c>
      <c r="G241" s="90">
        <f t="shared" si="7"/>
        <v>0</v>
      </c>
    </row>
    <row r="242" spans="1:16" ht="15" thickTop="1" thickBot="1">
      <c r="B242" s="324"/>
      <c r="C242" s="318" t="s">
        <v>328</v>
      </c>
      <c r="D242" s="319"/>
      <c r="E242" s="90">
        <f>'[1]التعليم الابتدائي'!KV480</f>
        <v>0</v>
      </c>
      <c r="F242" s="90">
        <f>'[1]التعليم الابتدائي'!KW480</f>
        <v>0</v>
      </c>
      <c r="G242" s="90">
        <f t="shared" si="7"/>
        <v>0</v>
      </c>
    </row>
    <row r="243" spans="1:16" ht="15" thickTop="1" thickBot="1">
      <c r="B243" s="325"/>
      <c r="C243" s="318" t="s">
        <v>329</v>
      </c>
      <c r="D243" s="319"/>
      <c r="E243" s="90"/>
      <c r="F243" s="90"/>
      <c r="G243" s="90">
        <f t="shared" si="7"/>
        <v>0</v>
      </c>
    </row>
    <row r="244" spans="1:16" ht="15" thickTop="1" thickBot="1">
      <c r="B244" s="318" t="s">
        <v>57</v>
      </c>
      <c r="C244" s="322"/>
      <c r="D244" s="319"/>
      <c r="E244" s="90">
        <f>E243+E235</f>
        <v>0</v>
      </c>
      <c r="F244" s="90">
        <f>F243+F235</f>
        <v>0</v>
      </c>
      <c r="G244" s="90">
        <f t="shared" si="7"/>
        <v>0</v>
      </c>
    </row>
    <row r="245" spans="1:16" ht="13.8" thickTop="1"/>
    <row r="246" spans="1:16" ht="23.4" thickBot="1">
      <c r="B246" s="94" t="s">
        <v>330</v>
      </c>
    </row>
    <row r="247" spans="1:16" ht="15" thickTop="1" thickBot="1">
      <c r="B247" s="318" t="s">
        <v>331</v>
      </c>
      <c r="C247" s="319"/>
      <c r="D247" s="320" t="s">
        <v>332</v>
      </c>
      <c r="E247" s="321"/>
      <c r="F247" s="318" t="s">
        <v>333</v>
      </c>
      <c r="G247" s="319"/>
      <c r="H247" s="318" t="s">
        <v>334</v>
      </c>
      <c r="I247" s="319"/>
      <c r="J247" s="318" t="s">
        <v>335</v>
      </c>
      <c r="K247" s="319"/>
      <c r="L247" s="318" t="s">
        <v>122</v>
      </c>
      <c r="M247" s="322"/>
      <c r="N247" s="319"/>
    </row>
    <row r="248" spans="1:16" ht="15" thickTop="1" thickBot="1">
      <c r="B248" s="90" t="s">
        <v>78</v>
      </c>
      <c r="C248" s="90" t="s">
        <v>79</v>
      </c>
      <c r="D248" s="90" t="s">
        <v>78</v>
      </c>
      <c r="E248" s="90" t="s">
        <v>79</v>
      </c>
      <c r="F248" s="90" t="s">
        <v>78</v>
      </c>
      <c r="G248" s="90" t="s">
        <v>79</v>
      </c>
      <c r="H248" s="90" t="s">
        <v>78</v>
      </c>
      <c r="I248" s="90" t="s">
        <v>79</v>
      </c>
      <c r="J248" s="90" t="s">
        <v>78</v>
      </c>
      <c r="K248" s="90" t="s">
        <v>79</v>
      </c>
      <c r="L248" s="90" t="s">
        <v>78</v>
      </c>
      <c r="M248" s="90" t="s">
        <v>79</v>
      </c>
      <c r="N248" s="90" t="s">
        <v>58</v>
      </c>
    </row>
    <row r="249" spans="1:16" ht="15" thickTop="1" thickBot="1">
      <c r="B249" s="90">
        <f>'[1]التعليم الابتدائي'!AEO480</f>
        <v>0</v>
      </c>
      <c r="C249" s="90">
        <f>'[1]التعليم الابتدائي'!AEP480</f>
        <v>0</v>
      </c>
      <c r="D249" s="90">
        <f>'[1]التعليم الابتدائي'!AEQ480</f>
        <v>0</v>
      </c>
      <c r="E249" s="90">
        <f>'[1]التعليم الابتدائي'!AER480</f>
        <v>0</v>
      </c>
      <c r="F249" s="90">
        <f>'[1]التعليم الابتدائي'!AES480</f>
        <v>0</v>
      </c>
      <c r="G249" s="90">
        <f>'[1]التعليم الابتدائي'!AET480</f>
        <v>0</v>
      </c>
      <c r="H249" s="90">
        <f>'[1]التعليم الابتدائي'!AEW480</f>
        <v>0</v>
      </c>
      <c r="I249" s="90">
        <f>'[1]التعليم الابتدائي'!AEX480</f>
        <v>0</v>
      </c>
      <c r="J249" s="90">
        <f>'[1]التعليم الابتدائي'!AEY480</f>
        <v>0</v>
      </c>
      <c r="K249" s="90">
        <f>'[1]التعليم الابتدائي'!AEZ480</f>
        <v>0</v>
      </c>
      <c r="L249" s="90">
        <f>F249+D249+B249+H249</f>
        <v>0</v>
      </c>
      <c r="M249" s="90">
        <f>G249+E249+C249+I249</f>
        <v>0</v>
      </c>
      <c r="N249" s="90">
        <f>SUM(L249:M249)</f>
        <v>0</v>
      </c>
    </row>
    <row r="250" spans="1:16" ht="13.8" thickTop="1"/>
    <row r="251" spans="1:16" ht="23.4" thickBot="1">
      <c r="B251" s="94" t="s">
        <v>336</v>
      </c>
    </row>
    <row r="252" spans="1:16" ht="15" thickTop="1" thickBot="1">
      <c r="B252" s="318" t="s">
        <v>337</v>
      </c>
      <c r="C252" s="319"/>
      <c r="D252" s="320" t="s">
        <v>338</v>
      </c>
      <c r="E252" s="321"/>
      <c r="F252" s="318" t="s">
        <v>339</v>
      </c>
      <c r="G252" s="319"/>
      <c r="H252" s="318" t="s">
        <v>340</v>
      </c>
      <c r="I252" s="319"/>
      <c r="J252" s="318" t="s">
        <v>344</v>
      </c>
      <c r="K252" s="319"/>
      <c r="L252" s="318" t="s">
        <v>58</v>
      </c>
      <c r="M252" s="322"/>
      <c r="N252" s="319"/>
    </row>
    <row r="253" spans="1:16" ht="15" thickTop="1" thickBot="1">
      <c r="B253" s="90" t="s">
        <v>78</v>
      </c>
      <c r="C253" s="90" t="s">
        <v>79</v>
      </c>
      <c r="D253" s="90" t="s">
        <v>78</v>
      </c>
      <c r="E253" s="90" t="s">
        <v>79</v>
      </c>
      <c r="F253" s="90" t="s">
        <v>78</v>
      </c>
      <c r="G253" s="90" t="s">
        <v>79</v>
      </c>
      <c r="H253" s="90" t="s">
        <v>78</v>
      </c>
      <c r="I253" s="90" t="s">
        <v>79</v>
      </c>
      <c r="J253" s="90" t="s">
        <v>78</v>
      </c>
      <c r="K253" s="90" t="s">
        <v>79</v>
      </c>
      <c r="L253" s="90" t="s">
        <v>78</v>
      </c>
      <c r="M253" s="90" t="s">
        <v>79</v>
      </c>
      <c r="N253" s="90" t="s">
        <v>58</v>
      </c>
    </row>
    <row r="254" spans="1:16" ht="15" thickTop="1" thickBot="1">
      <c r="B254" s="90">
        <f>'[1]التعليم الابتدائي'!AFB480</f>
        <v>0</v>
      </c>
      <c r="C254" s="90">
        <f>'[1]التعليم الابتدائي'!AFC480</f>
        <v>0</v>
      </c>
      <c r="D254" s="90">
        <f>'[1]التعليم الابتدائي'!AFD480</f>
        <v>0</v>
      </c>
      <c r="E254" s="90">
        <f>'[1]التعليم الابتدائي'!AFE480</f>
        <v>0</v>
      </c>
      <c r="F254" s="90">
        <f>'[1]التعليم الابتدائي'!AFF480</f>
        <v>0</v>
      </c>
      <c r="G254" s="90">
        <f>'[1]التعليم الابتدائي'!AFG480</f>
        <v>0</v>
      </c>
      <c r="H254" s="90">
        <f>'[1]التعليم الابتدائي'!AFH480</f>
        <v>0</v>
      </c>
      <c r="I254" s="90">
        <f>'[1]التعليم الابتدائي'!AFI480</f>
        <v>0</v>
      </c>
      <c r="J254" s="90">
        <f>'[1]التعليم الابتدائي'!AFJ480</f>
        <v>0</v>
      </c>
      <c r="K254" s="90">
        <f>'[1]التعليم الابتدائي'!AFK480</f>
        <v>0</v>
      </c>
      <c r="L254" s="90">
        <f>J254+F254+D254+B254+H254</f>
        <v>0</v>
      </c>
      <c r="M254" s="90">
        <f>K254+G254+E254+C254+I254</f>
        <v>0</v>
      </c>
      <c r="N254" s="90">
        <f>SUM(L254:M254)</f>
        <v>0</v>
      </c>
    </row>
    <row r="255" spans="1:16" ht="13.8" thickTop="1"/>
    <row r="256" spans="1:16" ht="22.8">
      <c r="A256" s="92" t="s">
        <v>62</v>
      </c>
      <c r="B256" s="29"/>
      <c r="C256" s="29"/>
      <c r="D256" s="29"/>
      <c r="E256" s="29"/>
      <c r="F256" s="28"/>
      <c r="G256" s="28"/>
      <c r="H256" s="28"/>
      <c r="I256" s="28"/>
      <c r="J256" s="28"/>
      <c r="K256" s="28"/>
      <c r="M256" s="92" t="s">
        <v>293</v>
      </c>
      <c r="N256" s="29"/>
      <c r="O256" s="28"/>
      <c r="P256" s="28"/>
    </row>
    <row r="257" spans="1:16" ht="22.8">
      <c r="A257" s="326" t="s">
        <v>64</v>
      </c>
      <c r="B257" s="326"/>
      <c r="C257" s="326"/>
      <c r="D257" s="326"/>
      <c r="E257" s="326"/>
      <c r="F257" s="28"/>
      <c r="G257" s="28"/>
      <c r="H257" s="28"/>
      <c r="I257" s="28"/>
      <c r="J257" s="28"/>
      <c r="K257" s="28"/>
      <c r="L257" s="326" t="s">
        <v>65</v>
      </c>
      <c r="M257" s="326"/>
      <c r="N257" s="326"/>
      <c r="O257" s="28"/>
      <c r="P257" s="28"/>
    </row>
    <row r="258" spans="1:16" ht="22.8">
      <c r="B258" s="29"/>
      <c r="C258" s="29"/>
      <c r="D258" s="29"/>
      <c r="E258" s="29"/>
      <c r="F258" s="29"/>
      <c r="G258" s="92" t="s">
        <v>301</v>
      </c>
      <c r="H258" s="29"/>
      <c r="I258" s="29"/>
      <c r="J258" s="29"/>
      <c r="K258" s="29"/>
      <c r="L258" s="29"/>
      <c r="M258" s="29"/>
      <c r="N258" s="29"/>
      <c r="O258" s="29"/>
      <c r="P258" s="29"/>
    </row>
    <row r="259" spans="1:16" ht="17.399999999999999">
      <c r="F259" s="92" t="s">
        <v>302</v>
      </c>
    </row>
    <row r="260" spans="1:16" ht="23.4" thickBot="1">
      <c r="B260" s="37" t="s">
        <v>303</v>
      </c>
      <c r="F260" s="29"/>
      <c r="K260" s="37" t="s">
        <v>304</v>
      </c>
    </row>
    <row r="261" spans="1:16" ht="42.6" thickTop="1" thickBot="1">
      <c r="B261" s="90" t="s">
        <v>305</v>
      </c>
      <c r="C261" s="90" t="s">
        <v>306</v>
      </c>
      <c r="D261" s="90" t="s">
        <v>307</v>
      </c>
      <c r="E261" s="90" t="s">
        <v>308</v>
      </c>
      <c r="F261" s="318" t="s">
        <v>309</v>
      </c>
      <c r="G261" s="322"/>
      <c r="H261" s="319"/>
      <c r="I261" s="90" t="s">
        <v>310</v>
      </c>
      <c r="K261" s="90" t="s">
        <v>311</v>
      </c>
      <c r="L261" s="90" t="s">
        <v>312</v>
      </c>
      <c r="M261" s="90" t="s">
        <v>43</v>
      </c>
      <c r="N261" s="90" t="s">
        <v>38</v>
      </c>
    </row>
    <row r="262" spans="1:16" ht="15" thickTop="1" thickBot="1">
      <c r="B262" s="323">
        <f>'[1]التعليم الابتدائي'!AGI558</f>
        <v>26</v>
      </c>
      <c r="C262" s="323">
        <f>'[1]التعليم الابتدائي'!AGO558</f>
        <v>0</v>
      </c>
      <c r="D262" s="323">
        <f>'[1]التعليم الابتدائي'!AGM558</f>
        <v>0</v>
      </c>
      <c r="E262" s="323">
        <f>'[1]التعليم الابتدائي'!AGQ558</f>
        <v>0</v>
      </c>
      <c r="F262" s="90" t="s">
        <v>313</v>
      </c>
      <c r="G262" s="90" t="s">
        <v>314</v>
      </c>
      <c r="H262" s="90" t="s">
        <v>315</v>
      </c>
      <c r="I262" s="323">
        <f>'[1]التعليم الابتدائي'!AGK558</f>
        <v>0</v>
      </c>
      <c r="K262" s="323">
        <f>'[1]التعليم الابتدائي'!S558</f>
        <v>28</v>
      </c>
      <c r="L262" s="323">
        <f>'[1]التعليم الابتدائي'!T558</f>
        <v>0</v>
      </c>
      <c r="M262" s="323">
        <f>'[1]التعليم الابتدائي'!U558</f>
        <v>33</v>
      </c>
      <c r="N262" s="323">
        <f>'[1]التعليم الابتدائي'!V558</f>
        <v>0</v>
      </c>
    </row>
    <row r="263" spans="1:16" ht="24" thickTop="1" thickBot="1">
      <c r="B263" s="325"/>
      <c r="C263" s="325"/>
      <c r="D263" s="325"/>
      <c r="E263" s="325"/>
      <c r="F263" s="15">
        <f>'[1]التعليم الابتدائي'!AGV558</f>
        <v>0</v>
      </c>
      <c r="G263" s="15">
        <f>'[1]التعليم الابتدائي'!AGW558</f>
        <v>0</v>
      </c>
      <c r="H263" s="15">
        <f>'[1]التعليم الابتدائي'!AGX558</f>
        <v>0</v>
      </c>
      <c r="I263" s="325"/>
      <c r="K263" s="325"/>
      <c r="L263" s="325"/>
      <c r="M263" s="325"/>
      <c r="N263" s="325"/>
    </row>
    <row r="264" spans="1:16" ht="13.8" thickTop="1"/>
    <row r="265" spans="1:16" ht="23.4" thickBot="1">
      <c r="B265" s="37" t="s">
        <v>316</v>
      </c>
      <c r="I265" s="37" t="s">
        <v>317</v>
      </c>
    </row>
    <row r="266" spans="1:16" ht="15" thickTop="1" thickBot="1">
      <c r="B266" s="318" t="s">
        <v>318</v>
      </c>
      <c r="C266" s="322"/>
      <c r="D266" s="319"/>
      <c r="E266" s="90" t="s">
        <v>78</v>
      </c>
      <c r="F266" s="90" t="s">
        <v>79</v>
      </c>
      <c r="G266" s="90" t="s">
        <v>58</v>
      </c>
    </row>
    <row r="267" spans="1:16" ht="15" thickTop="1" thickBot="1">
      <c r="B267" s="318" t="s">
        <v>319</v>
      </c>
      <c r="C267" s="322"/>
      <c r="D267" s="319"/>
      <c r="E267" s="90">
        <f>'[1]التعليم الابتدائي'!KI558</f>
        <v>0</v>
      </c>
      <c r="F267" s="90">
        <f>'[1]التعليم الابتدائي'!KJ558</f>
        <v>0</v>
      </c>
      <c r="G267" s="90">
        <f>SUM(E267:F267)</f>
        <v>0</v>
      </c>
      <c r="I267" s="318" t="s">
        <v>145</v>
      </c>
      <c r="J267" s="319"/>
      <c r="K267" s="318" t="s">
        <v>320</v>
      </c>
      <c r="L267" s="319"/>
    </row>
    <row r="268" spans="1:16" ht="15" thickTop="1" thickBot="1">
      <c r="B268" s="323" t="s">
        <v>321</v>
      </c>
      <c r="C268" s="318" t="s">
        <v>322</v>
      </c>
      <c r="D268" s="319"/>
      <c r="E268" s="90">
        <f>'[1]التعليم الابتدائي'!KK558</f>
        <v>0</v>
      </c>
      <c r="F268" s="90">
        <f>'[1]التعليم الابتدائي'!KL558</f>
        <v>0</v>
      </c>
      <c r="G268" s="90">
        <f t="shared" ref="G268:G276" si="8">SUM(E268:F268)</f>
        <v>0</v>
      </c>
      <c r="I268" s="318" t="s">
        <v>78</v>
      </c>
      <c r="J268" s="319"/>
      <c r="K268" s="318">
        <f>'[1]التعليم الابتدائي'!AGC558</f>
        <v>0</v>
      </c>
      <c r="L268" s="319"/>
    </row>
    <row r="269" spans="1:16" ht="15" thickTop="1" thickBot="1">
      <c r="B269" s="324"/>
      <c r="C269" s="318" t="s">
        <v>323</v>
      </c>
      <c r="D269" s="319"/>
      <c r="E269" s="90">
        <f>'[1]التعليم الابتدائي'!KM558</f>
        <v>0</v>
      </c>
      <c r="F269" s="90">
        <f>'[1]التعليم الابتدائي'!KN558</f>
        <v>0</v>
      </c>
      <c r="G269" s="90">
        <f t="shared" si="8"/>
        <v>0</v>
      </c>
      <c r="I269" s="318" t="s">
        <v>79</v>
      </c>
      <c r="J269" s="319"/>
      <c r="K269" s="318">
        <f>'[1]التعليم الابتدائي'!AGD558</f>
        <v>0</v>
      </c>
      <c r="L269" s="319"/>
    </row>
    <row r="270" spans="1:16" ht="15" thickTop="1" thickBot="1">
      <c r="B270" s="324"/>
      <c r="C270" s="318" t="s">
        <v>324</v>
      </c>
      <c r="D270" s="319"/>
      <c r="E270" s="90">
        <f>'[1]التعليم الابتدائي'!KO558</f>
        <v>0</v>
      </c>
      <c r="F270" s="90">
        <f>'[1]التعليم الابتدائي'!KP558</f>
        <v>0</v>
      </c>
      <c r="G270" s="90">
        <f t="shared" si="8"/>
        <v>0</v>
      </c>
      <c r="I270" s="318" t="s">
        <v>58</v>
      </c>
      <c r="J270" s="319"/>
      <c r="K270" s="318">
        <f>K269+K268</f>
        <v>0</v>
      </c>
      <c r="L270" s="319"/>
    </row>
    <row r="271" spans="1:16" ht="15" thickTop="1" thickBot="1">
      <c r="B271" s="324"/>
      <c r="C271" s="318" t="s">
        <v>325</v>
      </c>
      <c r="D271" s="319"/>
      <c r="E271" s="90">
        <f>'[1]التعليم الابتدائي'!KQ558</f>
        <v>0</v>
      </c>
      <c r="F271" s="90">
        <f>'[1]التعليم الابتدائي'!KR558</f>
        <v>0</v>
      </c>
      <c r="G271" s="90">
        <f t="shared" si="8"/>
        <v>0</v>
      </c>
    </row>
    <row r="272" spans="1:16" ht="15" thickTop="1" thickBot="1">
      <c r="B272" s="324"/>
      <c r="C272" s="318" t="s">
        <v>326</v>
      </c>
      <c r="D272" s="319"/>
      <c r="E272" s="90">
        <f>'[1]التعليم الابتدائي'!KS558</f>
        <v>0</v>
      </c>
      <c r="F272" s="90">
        <f>'[1]التعليم الابتدائي'!KT558</f>
        <v>0</v>
      </c>
      <c r="G272" s="90">
        <f t="shared" si="8"/>
        <v>0</v>
      </c>
    </row>
    <row r="273" spans="1:16" ht="15" thickTop="1" thickBot="1">
      <c r="B273" s="324"/>
      <c r="C273" s="318" t="s">
        <v>327</v>
      </c>
      <c r="D273" s="319"/>
      <c r="E273" s="90"/>
      <c r="F273" s="90">
        <f>'[1]التعليم الابتدائي'!KU558</f>
        <v>0</v>
      </c>
      <c r="G273" s="90">
        <f t="shared" si="8"/>
        <v>0</v>
      </c>
    </row>
    <row r="274" spans="1:16" ht="15" thickTop="1" thickBot="1">
      <c r="B274" s="324"/>
      <c r="C274" s="318" t="s">
        <v>328</v>
      </c>
      <c r="D274" s="319"/>
      <c r="E274" s="90">
        <f>'[1]التعليم الابتدائي'!KV558</f>
        <v>0</v>
      </c>
      <c r="F274" s="90">
        <f>'[1]التعليم الابتدائي'!KW558</f>
        <v>0</v>
      </c>
      <c r="G274" s="90">
        <f t="shared" si="8"/>
        <v>0</v>
      </c>
    </row>
    <row r="275" spans="1:16" ht="15" thickTop="1" thickBot="1">
      <c r="B275" s="325"/>
      <c r="C275" s="318" t="s">
        <v>329</v>
      </c>
      <c r="D275" s="319"/>
      <c r="E275" s="90"/>
      <c r="F275" s="90"/>
      <c r="G275" s="90">
        <f t="shared" si="8"/>
        <v>0</v>
      </c>
    </row>
    <row r="276" spans="1:16" ht="15" thickTop="1" thickBot="1">
      <c r="B276" s="318" t="s">
        <v>57</v>
      </c>
      <c r="C276" s="322"/>
      <c r="D276" s="319"/>
      <c r="E276" s="90">
        <f>E275+E267</f>
        <v>0</v>
      </c>
      <c r="F276" s="90">
        <f>F275+F267</f>
        <v>0</v>
      </c>
      <c r="G276" s="90">
        <f t="shared" si="8"/>
        <v>0</v>
      </c>
    </row>
    <row r="277" spans="1:16" ht="13.8" thickTop="1"/>
    <row r="278" spans="1:16" ht="23.4" thickBot="1">
      <c r="B278" s="94" t="s">
        <v>330</v>
      </c>
    </row>
    <row r="279" spans="1:16" ht="15" thickTop="1" thickBot="1">
      <c r="B279" s="318" t="s">
        <v>331</v>
      </c>
      <c r="C279" s="319"/>
      <c r="D279" s="320" t="s">
        <v>332</v>
      </c>
      <c r="E279" s="321"/>
      <c r="F279" s="318" t="s">
        <v>333</v>
      </c>
      <c r="G279" s="319"/>
      <c r="H279" s="318" t="s">
        <v>334</v>
      </c>
      <c r="I279" s="319"/>
      <c r="J279" s="318" t="s">
        <v>335</v>
      </c>
      <c r="K279" s="319"/>
      <c r="L279" s="318" t="s">
        <v>122</v>
      </c>
      <c r="M279" s="322"/>
      <c r="N279" s="319"/>
    </row>
    <row r="280" spans="1:16" ht="15" thickTop="1" thickBot="1">
      <c r="B280" s="90" t="s">
        <v>78</v>
      </c>
      <c r="C280" s="90" t="s">
        <v>79</v>
      </c>
      <c r="D280" s="90" t="s">
        <v>78</v>
      </c>
      <c r="E280" s="90" t="s">
        <v>79</v>
      </c>
      <c r="F280" s="90" t="s">
        <v>78</v>
      </c>
      <c r="G280" s="90" t="s">
        <v>79</v>
      </c>
      <c r="H280" s="90" t="s">
        <v>78</v>
      </c>
      <c r="I280" s="90" t="s">
        <v>79</v>
      </c>
      <c r="J280" s="90" t="s">
        <v>78</v>
      </c>
      <c r="K280" s="90" t="s">
        <v>79</v>
      </c>
      <c r="L280" s="90" t="s">
        <v>78</v>
      </c>
      <c r="M280" s="90" t="s">
        <v>79</v>
      </c>
      <c r="N280" s="90" t="s">
        <v>58</v>
      </c>
    </row>
    <row r="281" spans="1:16" ht="15" thickTop="1" thickBot="1">
      <c r="B281" s="90">
        <f>'[1]التعليم الابتدائي'!AEO558</f>
        <v>0</v>
      </c>
      <c r="C281" s="90">
        <f>'[1]التعليم الابتدائي'!AEP558</f>
        <v>0</v>
      </c>
      <c r="D281" s="90">
        <f>'[1]التعليم الابتدائي'!AEQ558</f>
        <v>0</v>
      </c>
      <c r="E281" s="90">
        <f>'[1]التعليم الابتدائي'!AER558</f>
        <v>0</v>
      </c>
      <c r="F281" s="90">
        <f>'[1]التعليم الابتدائي'!AES558</f>
        <v>0</v>
      </c>
      <c r="G281" s="90">
        <f>'[1]التعليم الابتدائي'!AET558</f>
        <v>0</v>
      </c>
      <c r="H281" s="90">
        <f>'[1]التعليم الابتدائي'!AEW558</f>
        <v>0</v>
      </c>
      <c r="I281" s="90">
        <f>'[1]التعليم الابتدائي'!AEX558</f>
        <v>0</v>
      </c>
      <c r="J281" s="90">
        <f>'[1]التعليم الابتدائي'!AEY558</f>
        <v>0</v>
      </c>
      <c r="K281" s="90">
        <f>'[1]التعليم الابتدائي'!AEZ558</f>
        <v>0</v>
      </c>
      <c r="L281" s="90">
        <f>F281+D281+B281+H281</f>
        <v>0</v>
      </c>
      <c r="M281" s="90">
        <f>G281+E281+C281+I281</f>
        <v>0</v>
      </c>
      <c r="N281" s="90">
        <f>SUM(L281:M281)</f>
        <v>0</v>
      </c>
    </row>
    <row r="282" spans="1:16" ht="13.8" thickTop="1"/>
    <row r="283" spans="1:16" ht="23.4" thickBot="1">
      <c r="B283" s="94" t="s">
        <v>336</v>
      </c>
    </row>
    <row r="284" spans="1:16" ht="15" thickTop="1" thickBot="1">
      <c r="B284" s="318" t="s">
        <v>337</v>
      </c>
      <c r="C284" s="319"/>
      <c r="D284" s="320" t="s">
        <v>338</v>
      </c>
      <c r="E284" s="321"/>
      <c r="F284" s="318" t="s">
        <v>339</v>
      </c>
      <c r="G284" s="319"/>
      <c r="H284" s="318" t="s">
        <v>340</v>
      </c>
      <c r="I284" s="319"/>
      <c r="J284" s="318" t="s">
        <v>341</v>
      </c>
      <c r="K284" s="319"/>
      <c r="L284" s="318" t="s">
        <v>58</v>
      </c>
      <c r="M284" s="322"/>
      <c r="N284" s="319"/>
    </row>
    <row r="285" spans="1:16" ht="15" thickTop="1" thickBot="1">
      <c r="B285" s="90" t="s">
        <v>78</v>
      </c>
      <c r="C285" s="90" t="s">
        <v>79</v>
      </c>
      <c r="D285" s="90" t="s">
        <v>78</v>
      </c>
      <c r="E285" s="90" t="s">
        <v>79</v>
      </c>
      <c r="F285" s="90" t="s">
        <v>78</v>
      </c>
      <c r="G285" s="90" t="s">
        <v>79</v>
      </c>
      <c r="H285" s="90" t="s">
        <v>78</v>
      </c>
      <c r="I285" s="90" t="s">
        <v>79</v>
      </c>
      <c r="J285" s="90" t="s">
        <v>78</v>
      </c>
      <c r="K285" s="90" t="s">
        <v>79</v>
      </c>
      <c r="L285" s="90" t="s">
        <v>78</v>
      </c>
      <c r="M285" s="90" t="s">
        <v>79</v>
      </c>
      <c r="N285" s="90" t="s">
        <v>58</v>
      </c>
    </row>
    <row r="286" spans="1:16" ht="15" thickTop="1" thickBot="1">
      <c r="B286" s="90">
        <f>'[1]التعليم الابتدائي'!AFB558</f>
        <v>0</v>
      </c>
      <c r="C286" s="90">
        <f>'[1]التعليم الابتدائي'!AFC558</f>
        <v>0</v>
      </c>
      <c r="D286" s="90">
        <f>'[1]التعليم الابتدائي'!AFD558</f>
        <v>0</v>
      </c>
      <c r="E286" s="90">
        <f>'[1]التعليم الابتدائي'!AFE558</f>
        <v>0</v>
      </c>
      <c r="F286" s="90">
        <f>'[1]التعليم الابتدائي'!AFF558</f>
        <v>0</v>
      </c>
      <c r="G286" s="90">
        <f>'[1]التعليم الابتدائي'!AFG558</f>
        <v>0</v>
      </c>
      <c r="H286" s="90">
        <f>'[1]التعليم الابتدائي'!AFH558</f>
        <v>0</v>
      </c>
      <c r="I286" s="90">
        <f>'[1]التعليم الابتدائي'!AFI558</f>
        <v>0</v>
      </c>
      <c r="J286" s="90">
        <f>'[1]التعليم الابتدائي'!AFJ558</f>
        <v>0</v>
      </c>
      <c r="K286" s="90">
        <f>'[1]التعليم الابتدائي'!AFK558</f>
        <v>0</v>
      </c>
      <c r="L286" s="90">
        <f>J286+F286+D286+B286+H286</f>
        <v>0</v>
      </c>
      <c r="M286" s="90">
        <f>K286+G286+E286+C286+I286</f>
        <v>0</v>
      </c>
      <c r="N286" s="90">
        <f>SUM(L286:M286)</f>
        <v>0</v>
      </c>
    </row>
    <row r="287" spans="1:16" ht="13.8" thickTop="1"/>
    <row r="288" spans="1:16" ht="22.8">
      <c r="A288" s="92" t="s">
        <v>62</v>
      </c>
      <c r="B288" s="29"/>
      <c r="C288" s="29"/>
      <c r="D288" s="29"/>
      <c r="E288" s="29"/>
      <c r="F288" s="28"/>
      <c r="G288" s="28"/>
      <c r="H288" s="28"/>
      <c r="I288" s="28"/>
      <c r="J288" s="28"/>
      <c r="K288" s="28"/>
      <c r="M288" s="92" t="s">
        <v>294</v>
      </c>
      <c r="N288" s="29"/>
      <c r="O288" s="28"/>
      <c r="P288" s="28"/>
    </row>
    <row r="289" spans="1:16" ht="22.8">
      <c r="A289" s="326" t="s">
        <v>64</v>
      </c>
      <c r="B289" s="326"/>
      <c r="C289" s="326"/>
      <c r="D289" s="326"/>
      <c r="E289" s="326"/>
      <c r="F289" s="28"/>
      <c r="G289" s="28"/>
      <c r="H289" s="28"/>
      <c r="I289" s="28"/>
      <c r="J289" s="28"/>
      <c r="K289" s="28"/>
      <c r="L289" s="326" t="s">
        <v>65</v>
      </c>
      <c r="M289" s="326"/>
      <c r="N289" s="326"/>
      <c r="O289" s="28"/>
      <c r="P289" s="28"/>
    </row>
    <row r="290" spans="1:16" ht="22.8">
      <c r="B290" s="29"/>
      <c r="C290" s="29"/>
      <c r="D290" s="29"/>
      <c r="E290" s="29"/>
      <c r="F290" s="29"/>
      <c r="G290" s="92" t="s">
        <v>301</v>
      </c>
      <c r="H290" s="29"/>
      <c r="I290" s="29"/>
      <c r="J290" s="29"/>
      <c r="K290" s="29"/>
      <c r="L290" s="29"/>
      <c r="M290" s="29"/>
      <c r="N290" s="29"/>
      <c r="O290" s="29"/>
      <c r="P290" s="29"/>
    </row>
    <row r="291" spans="1:16" ht="17.399999999999999">
      <c r="F291" s="92" t="s">
        <v>302</v>
      </c>
    </row>
    <row r="292" spans="1:16" ht="23.4" thickBot="1">
      <c r="B292" s="37" t="s">
        <v>303</v>
      </c>
      <c r="F292" s="29"/>
      <c r="K292" s="37" t="s">
        <v>304</v>
      </c>
    </row>
    <row r="293" spans="1:16" ht="42.6" thickTop="1" thickBot="1">
      <c r="B293" s="90" t="s">
        <v>305</v>
      </c>
      <c r="C293" s="90" t="s">
        <v>306</v>
      </c>
      <c r="D293" s="90" t="s">
        <v>307</v>
      </c>
      <c r="E293" s="90" t="s">
        <v>308</v>
      </c>
      <c r="F293" s="318" t="s">
        <v>309</v>
      </c>
      <c r="G293" s="322"/>
      <c r="H293" s="319"/>
      <c r="I293" s="90" t="s">
        <v>310</v>
      </c>
      <c r="K293" s="90" t="s">
        <v>311</v>
      </c>
      <c r="L293" s="90" t="s">
        <v>312</v>
      </c>
      <c r="M293" s="90" t="s">
        <v>43</v>
      </c>
      <c r="N293" s="90" t="s">
        <v>38</v>
      </c>
    </row>
    <row r="294" spans="1:16" ht="15" thickTop="1" thickBot="1">
      <c r="B294" s="323">
        <f>'[1]التعليم الابتدائي'!AGI580</f>
        <v>6</v>
      </c>
      <c r="C294" s="323">
        <f>'[1]التعليم الابتدائي'!AGO580</f>
        <v>0</v>
      </c>
      <c r="D294" s="323">
        <f>'[1]التعليم الابتدائي'!AGM580</f>
        <v>0</v>
      </c>
      <c r="E294" s="323">
        <f>'[1]التعليم الابتدائي'!AGQ580</f>
        <v>0</v>
      </c>
      <c r="F294" s="90" t="s">
        <v>313</v>
      </c>
      <c r="G294" s="90" t="s">
        <v>314</v>
      </c>
      <c r="H294" s="90" t="s">
        <v>315</v>
      </c>
      <c r="I294" s="323">
        <f>'[1]التعليم الابتدائي'!AGK580</f>
        <v>0</v>
      </c>
      <c r="K294" s="323">
        <f>'[1]التعليم الابتدائي'!S580</f>
        <v>15</v>
      </c>
      <c r="L294" s="323">
        <f>'[1]التعليم الابتدائي'!T580</f>
        <v>0</v>
      </c>
      <c r="M294" s="323">
        <f>'[1]التعليم الابتدائي'!U580</f>
        <v>6</v>
      </c>
      <c r="N294" s="323">
        <f>'[1]التعليم الابتدائي'!V580</f>
        <v>0</v>
      </c>
    </row>
    <row r="295" spans="1:16" ht="24" thickTop="1" thickBot="1">
      <c r="B295" s="325"/>
      <c r="C295" s="325"/>
      <c r="D295" s="325"/>
      <c r="E295" s="325"/>
      <c r="F295" s="15">
        <f>'[1]التعليم الابتدائي'!AGV580</f>
        <v>0</v>
      </c>
      <c r="G295" s="15">
        <f>'[1]التعليم الابتدائي'!AGW580</f>
        <v>0</v>
      </c>
      <c r="H295" s="15">
        <f>'[1]التعليم الابتدائي'!AGX580</f>
        <v>0</v>
      </c>
      <c r="I295" s="325"/>
      <c r="K295" s="325"/>
      <c r="L295" s="325"/>
      <c r="M295" s="325"/>
      <c r="N295" s="325"/>
    </row>
    <row r="296" spans="1:16" ht="13.8" thickTop="1"/>
    <row r="297" spans="1:16" ht="23.4" thickBot="1">
      <c r="B297" s="37" t="s">
        <v>316</v>
      </c>
      <c r="I297" s="37" t="s">
        <v>317</v>
      </c>
    </row>
    <row r="298" spans="1:16" ht="15" thickTop="1" thickBot="1">
      <c r="B298" s="318" t="s">
        <v>318</v>
      </c>
      <c r="C298" s="322"/>
      <c r="D298" s="319"/>
      <c r="E298" s="90" t="s">
        <v>78</v>
      </c>
      <c r="F298" s="90" t="s">
        <v>79</v>
      </c>
      <c r="G298" s="90" t="s">
        <v>58</v>
      </c>
    </row>
    <row r="299" spans="1:16" ht="15" thickTop="1" thickBot="1">
      <c r="B299" s="318" t="s">
        <v>319</v>
      </c>
      <c r="C299" s="322"/>
      <c r="D299" s="319"/>
      <c r="E299" s="90">
        <f>'[1]التعليم الابتدائي'!KI580</f>
        <v>0</v>
      </c>
      <c r="F299" s="90">
        <f>'[1]التعليم الابتدائي'!KJ580</f>
        <v>0</v>
      </c>
      <c r="G299" s="90">
        <f>SUM(E299:F299)</f>
        <v>0</v>
      </c>
      <c r="I299" s="318" t="s">
        <v>145</v>
      </c>
      <c r="J299" s="319"/>
      <c r="K299" s="318" t="s">
        <v>320</v>
      </c>
      <c r="L299" s="319"/>
    </row>
    <row r="300" spans="1:16" ht="15" thickTop="1" thickBot="1">
      <c r="B300" s="323" t="s">
        <v>321</v>
      </c>
      <c r="C300" s="318" t="s">
        <v>322</v>
      </c>
      <c r="D300" s="319"/>
      <c r="E300" s="90">
        <f>'[1]التعليم الابتدائي'!KK580</f>
        <v>0</v>
      </c>
      <c r="F300" s="90">
        <f>'[1]التعليم الابتدائي'!KL580</f>
        <v>0</v>
      </c>
      <c r="G300" s="90">
        <f t="shared" ref="G300:G308" si="9">SUM(E300:F300)</f>
        <v>0</v>
      </c>
      <c r="I300" s="318" t="s">
        <v>78</v>
      </c>
      <c r="J300" s="319"/>
      <c r="K300" s="318">
        <f>'[1]التعليم الابتدائي'!AGC580</f>
        <v>0</v>
      </c>
      <c r="L300" s="319"/>
    </row>
    <row r="301" spans="1:16" ht="15" thickTop="1" thickBot="1">
      <c r="B301" s="324"/>
      <c r="C301" s="318" t="s">
        <v>323</v>
      </c>
      <c r="D301" s="319"/>
      <c r="E301" s="90">
        <f>'[1]التعليم الابتدائي'!KM580</f>
        <v>0</v>
      </c>
      <c r="F301" s="90">
        <f>'[1]التعليم الابتدائي'!KN580</f>
        <v>0</v>
      </c>
      <c r="G301" s="90">
        <f t="shared" si="9"/>
        <v>0</v>
      </c>
      <c r="I301" s="318" t="s">
        <v>79</v>
      </c>
      <c r="J301" s="319"/>
      <c r="K301" s="318">
        <f>'[1]التعليم الابتدائي'!AGD580</f>
        <v>0</v>
      </c>
      <c r="L301" s="319"/>
    </row>
    <row r="302" spans="1:16" ht="15" thickTop="1" thickBot="1">
      <c r="B302" s="324"/>
      <c r="C302" s="318" t="s">
        <v>324</v>
      </c>
      <c r="D302" s="319"/>
      <c r="E302" s="90">
        <f>'[1]التعليم الابتدائي'!KO580</f>
        <v>0</v>
      </c>
      <c r="F302" s="90">
        <f>'[1]التعليم الابتدائي'!KP580</f>
        <v>0</v>
      </c>
      <c r="G302" s="90">
        <f t="shared" si="9"/>
        <v>0</v>
      </c>
      <c r="I302" s="318" t="s">
        <v>58</v>
      </c>
      <c r="J302" s="319"/>
      <c r="K302" s="318">
        <f>K301+K300</f>
        <v>0</v>
      </c>
      <c r="L302" s="319"/>
    </row>
    <row r="303" spans="1:16" ht="15" thickTop="1" thickBot="1">
      <c r="B303" s="324"/>
      <c r="C303" s="318" t="s">
        <v>325</v>
      </c>
      <c r="D303" s="319"/>
      <c r="E303" s="90">
        <f>'[1]التعليم الابتدائي'!KQ580</f>
        <v>0</v>
      </c>
      <c r="F303" s="90">
        <f>'[1]التعليم الابتدائي'!KR580</f>
        <v>0</v>
      </c>
      <c r="G303" s="90">
        <f t="shared" si="9"/>
        <v>0</v>
      </c>
    </row>
    <row r="304" spans="1:16" ht="15" thickTop="1" thickBot="1">
      <c r="B304" s="324"/>
      <c r="C304" s="318" t="s">
        <v>326</v>
      </c>
      <c r="D304" s="319"/>
      <c r="E304" s="90">
        <f>'[1]التعليم الابتدائي'!KS580</f>
        <v>0</v>
      </c>
      <c r="F304" s="90">
        <f>'[1]التعليم الابتدائي'!KT580</f>
        <v>0</v>
      </c>
      <c r="G304" s="90">
        <f t="shared" si="9"/>
        <v>0</v>
      </c>
    </row>
    <row r="305" spans="1:16" ht="15" thickTop="1" thickBot="1">
      <c r="B305" s="324"/>
      <c r="C305" s="318" t="s">
        <v>327</v>
      </c>
      <c r="D305" s="319"/>
      <c r="E305" s="90"/>
      <c r="F305" s="90">
        <f>'[1]التعليم الابتدائي'!KU580</f>
        <v>0</v>
      </c>
      <c r="G305" s="90">
        <f t="shared" si="9"/>
        <v>0</v>
      </c>
    </row>
    <row r="306" spans="1:16" ht="15" thickTop="1" thickBot="1">
      <c r="B306" s="324"/>
      <c r="C306" s="318" t="s">
        <v>328</v>
      </c>
      <c r="D306" s="319"/>
      <c r="E306" s="90">
        <f>'[1]التعليم الابتدائي'!KV580</f>
        <v>0</v>
      </c>
      <c r="F306" s="90">
        <f>'[1]التعليم الابتدائي'!KW580</f>
        <v>0</v>
      </c>
      <c r="G306" s="90">
        <f t="shared" si="9"/>
        <v>0</v>
      </c>
    </row>
    <row r="307" spans="1:16" ht="15" thickTop="1" thickBot="1">
      <c r="B307" s="325"/>
      <c r="C307" s="318" t="s">
        <v>329</v>
      </c>
      <c r="D307" s="319"/>
      <c r="E307" s="90"/>
      <c r="F307" s="90"/>
      <c r="G307" s="90">
        <f t="shared" si="9"/>
        <v>0</v>
      </c>
    </row>
    <row r="308" spans="1:16" ht="15" thickTop="1" thickBot="1">
      <c r="B308" s="318" t="s">
        <v>57</v>
      </c>
      <c r="C308" s="322"/>
      <c r="D308" s="319"/>
      <c r="E308" s="90">
        <f>E307+E299</f>
        <v>0</v>
      </c>
      <c r="F308" s="90">
        <f>F307+F299</f>
        <v>0</v>
      </c>
      <c r="G308" s="90">
        <f t="shared" si="9"/>
        <v>0</v>
      </c>
    </row>
    <row r="309" spans="1:16" ht="13.8" thickTop="1"/>
    <row r="310" spans="1:16" ht="23.4" thickBot="1">
      <c r="B310" s="94" t="s">
        <v>330</v>
      </c>
    </row>
    <row r="311" spans="1:16" ht="15" thickTop="1" thickBot="1">
      <c r="B311" s="318" t="s">
        <v>331</v>
      </c>
      <c r="C311" s="319"/>
      <c r="D311" s="320" t="s">
        <v>332</v>
      </c>
      <c r="E311" s="321"/>
      <c r="F311" s="318" t="s">
        <v>333</v>
      </c>
      <c r="G311" s="319"/>
      <c r="H311" s="318" t="s">
        <v>334</v>
      </c>
      <c r="I311" s="319"/>
      <c r="J311" s="318" t="s">
        <v>335</v>
      </c>
      <c r="K311" s="319"/>
      <c r="L311" s="318" t="s">
        <v>122</v>
      </c>
      <c r="M311" s="322"/>
      <c r="N311" s="319"/>
    </row>
    <row r="312" spans="1:16" ht="15" thickTop="1" thickBot="1">
      <c r="B312" s="90" t="s">
        <v>78</v>
      </c>
      <c r="C312" s="90" t="s">
        <v>79</v>
      </c>
      <c r="D312" s="90" t="s">
        <v>78</v>
      </c>
      <c r="E312" s="90" t="s">
        <v>79</v>
      </c>
      <c r="F312" s="90" t="s">
        <v>78</v>
      </c>
      <c r="G312" s="90" t="s">
        <v>79</v>
      </c>
      <c r="H312" s="90" t="s">
        <v>78</v>
      </c>
      <c r="I312" s="90" t="s">
        <v>79</v>
      </c>
      <c r="J312" s="90" t="s">
        <v>78</v>
      </c>
      <c r="K312" s="90" t="s">
        <v>79</v>
      </c>
      <c r="L312" s="90" t="s">
        <v>78</v>
      </c>
      <c r="M312" s="90" t="s">
        <v>79</v>
      </c>
      <c r="N312" s="90" t="s">
        <v>58</v>
      </c>
    </row>
    <row r="313" spans="1:16" ht="15" thickTop="1" thickBot="1">
      <c r="B313" s="90">
        <f>'[1]التعليم الابتدائي'!AEO580</f>
        <v>0</v>
      </c>
      <c r="C313" s="90">
        <f>'[1]التعليم الابتدائي'!AEP580</f>
        <v>0</v>
      </c>
      <c r="D313" s="90">
        <f>'[1]التعليم الابتدائي'!AEQ580</f>
        <v>0</v>
      </c>
      <c r="E313" s="90">
        <f>'[1]التعليم الابتدائي'!AER580</f>
        <v>0</v>
      </c>
      <c r="F313" s="90">
        <f>'[1]التعليم الابتدائي'!AES580</f>
        <v>0</v>
      </c>
      <c r="G313" s="90">
        <f>'[1]التعليم الابتدائي'!AET580</f>
        <v>0</v>
      </c>
      <c r="H313" s="90">
        <f>'[1]التعليم الابتدائي'!AEW580</f>
        <v>0</v>
      </c>
      <c r="I313" s="90">
        <f>'[1]التعليم الابتدائي'!AEX580</f>
        <v>0</v>
      </c>
      <c r="J313" s="90">
        <f>'[1]التعليم الابتدائي'!AEY580</f>
        <v>0</v>
      </c>
      <c r="K313" s="90">
        <f>'[1]التعليم الابتدائي'!AEZ580</f>
        <v>0</v>
      </c>
      <c r="L313" s="90">
        <f>F313+D313+B313+H313</f>
        <v>0</v>
      </c>
      <c r="M313" s="90">
        <f>G313+E313+C313+I313</f>
        <v>0</v>
      </c>
      <c r="N313" s="90">
        <f>SUM(L313:M313)</f>
        <v>0</v>
      </c>
    </row>
    <row r="314" spans="1:16" ht="13.8" thickTop="1"/>
    <row r="315" spans="1:16" ht="23.4" thickBot="1">
      <c r="B315" s="94" t="s">
        <v>336</v>
      </c>
    </row>
    <row r="316" spans="1:16" ht="15" thickTop="1" thickBot="1">
      <c r="B316" s="318" t="s">
        <v>337</v>
      </c>
      <c r="C316" s="319"/>
      <c r="D316" s="320" t="s">
        <v>338</v>
      </c>
      <c r="E316" s="321"/>
      <c r="F316" s="318" t="s">
        <v>339</v>
      </c>
      <c r="G316" s="319"/>
      <c r="H316" s="318" t="s">
        <v>340</v>
      </c>
      <c r="I316" s="319"/>
      <c r="J316" s="318" t="s">
        <v>345</v>
      </c>
      <c r="K316" s="319"/>
      <c r="L316" s="318" t="s">
        <v>58</v>
      </c>
      <c r="M316" s="322"/>
      <c r="N316" s="319"/>
    </row>
    <row r="317" spans="1:16" ht="15" thickTop="1" thickBot="1">
      <c r="B317" s="90" t="s">
        <v>78</v>
      </c>
      <c r="C317" s="90" t="s">
        <v>79</v>
      </c>
      <c r="D317" s="90" t="s">
        <v>78</v>
      </c>
      <c r="E317" s="90" t="s">
        <v>79</v>
      </c>
      <c r="F317" s="90" t="s">
        <v>78</v>
      </c>
      <c r="G317" s="90" t="s">
        <v>79</v>
      </c>
      <c r="H317" s="90" t="s">
        <v>78</v>
      </c>
      <c r="I317" s="90" t="s">
        <v>79</v>
      </c>
      <c r="J317" s="90" t="s">
        <v>78</v>
      </c>
      <c r="K317" s="90" t="s">
        <v>79</v>
      </c>
      <c r="L317" s="90" t="s">
        <v>78</v>
      </c>
      <c r="M317" s="90" t="s">
        <v>79</v>
      </c>
      <c r="N317" s="90" t="s">
        <v>58</v>
      </c>
    </row>
    <row r="318" spans="1:16" ht="15" thickTop="1" thickBot="1">
      <c r="B318" s="90">
        <f>'[1]التعليم الابتدائي'!AFB580</f>
        <v>0</v>
      </c>
      <c r="C318" s="90">
        <f>'[1]التعليم الابتدائي'!AFC580</f>
        <v>0</v>
      </c>
      <c r="D318" s="90">
        <f>'[1]التعليم الابتدائي'!AFD580</f>
        <v>0</v>
      </c>
      <c r="E318" s="90">
        <f>'[1]التعليم الابتدائي'!AFE580</f>
        <v>0</v>
      </c>
      <c r="F318" s="90">
        <f>'[1]التعليم الابتدائي'!AFF580</f>
        <v>0</v>
      </c>
      <c r="G318" s="90">
        <f>'[1]التعليم الابتدائي'!AFG580</f>
        <v>0</v>
      </c>
      <c r="H318" s="90">
        <f>'[1]التعليم الابتدائي'!AFH580</f>
        <v>0</v>
      </c>
      <c r="I318" s="90">
        <f>'[1]التعليم الابتدائي'!AFI580</f>
        <v>0</v>
      </c>
      <c r="J318" s="90">
        <f>'[1]التعليم الابتدائي'!AFJ580</f>
        <v>0</v>
      </c>
      <c r="K318" s="90">
        <f>'[1]التعليم الابتدائي'!AFK580</f>
        <v>0</v>
      </c>
      <c r="L318" s="90">
        <f>J318+F318+D318+B318+H318</f>
        <v>0</v>
      </c>
      <c r="M318" s="90">
        <f>K318+G318+E318+C318+I318</f>
        <v>0</v>
      </c>
      <c r="N318" s="90">
        <f>SUM(L318:M318)</f>
        <v>0</v>
      </c>
    </row>
    <row r="319" spans="1:16" ht="13.8" thickTop="1"/>
    <row r="320" spans="1:16" ht="22.8">
      <c r="A320" s="92" t="s">
        <v>62</v>
      </c>
      <c r="B320" s="29"/>
      <c r="C320" s="29"/>
      <c r="D320" s="29"/>
      <c r="E320" s="29"/>
      <c r="F320" s="28"/>
      <c r="G320" s="28"/>
      <c r="H320" s="28"/>
      <c r="I320" s="28"/>
      <c r="J320" s="28"/>
      <c r="K320" s="28"/>
      <c r="M320" s="92" t="s">
        <v>295</v>
      </c>
      <c r="N320" s="29"/>
      <c r="O320" s="28"/>
      <c r="P320" s="28"/>
    </row>
    <row r="321" spans="1:16" ht="22.8">
      <c r="A321" s="326" t="s">
        <v>64</v>
      </c>
      <c r="B321" s="326"/>
      <c r="C321" s="326"/>
      <c r="D321" s="326"/>
      <c r="E321" s="326"/>
      <c r="F321" s="28"/>
      <c r="G321" s="28"/>
      <c r="H321" s="28"/>
      <c r="I321" s="28"/>
      <c r="J321" s="28"/>
      <c r="K321" s="28"/>
      <c r="L321" s="326" t="s">
        <v>65</v>
      </c>
      <c r="M321" s="326"/>
      <c r="N321" s="326"/>
      <c r="O321" s="28"/>
      <c r="P321" s="28"/>
    </row>
    <row r="322" spans="1:16" ht="22.8">
      <c r="B322" s="29"/>
      <c r="C322" s="29"/>
      <c r="D322" s="29"/>
      <c r="E322" s="29"/>
      <c r="F322" s="29"/>
      <c r="G322" s="92" t="s">
        <v>301</v>
      </c>
      <c r="H322" s="29"/>
      <c r="I322" s="29"/>
      <c r="J322" s="29"/>
      <c r="K322" s="29"/>
      <c r="L322" s="29"/>
      <c r="M322" s="29"/>
      <c r="N322" s="29"/>
      <c r="O322" s="29"/>
      <c r="P322" s="29"/>
    </row>
    <row r="323" spans="1:16" ht="17.399999999999999">
      <c r="F323" s="92" t="s">
        <v>302</v>
      </c>
    </row>
    <row r="324" spans="1:16" ht="23.4" thickBot="1">
      <c r="B324" s="37" t="s">
        <v>303</v>
      </c>
      <c r="F324" s="29"/>
      <c r="K324" s="37" t="s">
        <v>304</v>
      </c>
    </row>
    <row r="325" spans="1:16" ht="42.6" thickTop="1" thickBot="1">
      <c r="B325" s="90" t="s">
        <v>305</v>
      </c>
      <c r="C325" s="90" t="s">
        <v>306</v>
      </c>
      <c r="D325" s="90" t="s">
        <v>307</v>
      </c>
      <c r="E325" s="90" t="s">
        <v>308</v>
      </c>
      <c r="F325" s="318" t="s">
        <v>309</v>
      </c>
      <c r="G325" s="322"/>
      <c r="H325" s="319"/>
      <c r="I325" s="90" t="s">
        <v>310</v>
      </c>
      <c r="K325" s="90" t="s">
        <v>311</v>
      </c>
      <c r="L325" s="90" t="s">
        <v>312</v>
      </c>
      <c r="M325" s="90" t="s">
        <v>43</v>
      </c>
      <c r="N325" s="90" t="s">
        <v>38</v>
      </c>
    </row>
    <row r="326" spans="1:16" ht="15" thickTop="1" thickBot="1">
      <c r="B326" s="323">
        <f>'[1]التعليم الابتدائي'!AGI644</f>
        <v>28</v>
      </c>
      <c r="C326" s="323">
        <f>'[1]التعليم الابتدائي'!AGO644</f>
        <v>0</v>
      </c>
      <c r="D326" s="323">
        <f>'[1]التعليم الابتدائي'!AGM644</f>
        <v>0</v>
      </c>
      <c r="E326" s="323">
        <f>'[1]التعليم الابتدائي'!AGQ644</f>
        <v>0</v>
      </c>
      <c r="F326" s="90" t="s">
        <v>313</v>
      </c>
      <c r="G326" s="90" t="s">
        <v>314</v>
      </c>
      <c r="H326" s="90" t="s">
        <v>315</v>
      </c>
      <c r="I326" s="323">
        <f>'[1]التعليم الابتدائي'!AGK644</f>
        <v>25</v>
      </c>
      <c r="K326" s="323">
        <f>'[1]التعليم الابتدائي'!S644</f>
        <v>10</v>
      </c>
      <c r="L326" s="323">
        <f>'[1]التعليم الابتدائي'!T644</f>
        <v>0</v>
      </c>
      <c r="M326" s="323">
        <f>'[1]التعليم الابتدائي'!U644</f>
        <v>50</v>
      </c>
      <c r="N326" s="323">
        <f>'[1]التعليم الابتدائي'!V644</f>
        <v>0</v>
      </c>
    </row>
    <row r="327" spans="1:16" ht="24" thickTop="1" thickBot="1">
      <c r="B327" s="325"/>
      <c r="C327" s="325"/>
      <c r="D327" s="325"/>
      <c r="E327" s="325"/>
      <c r="F327" s="15">
        <f>'[1]التعليم الابتدائي'!AGV644</f>
        <v>0</v>
      </c>
      <c r="G327" s="15">
        <f>'[1]التعليم الابتدائي'!AGW644</f>
        <v>0</v>
      </c>
      <c r="H327" s="15">
        <f>'[1]التعليم الابتدائي'!AGX644</f>
        <v>0</v>
      </c>
      <c r="I327" s="325"/>
      <c r="K327" s="325"/>
      <c r="L327" s="325"/>
      <c r="M327" s="325"/>
      <c r="N327" s="325"/>
    </row>
    <row r="328" spans="1:16" ht="13.8" thickTop="1"/>
    <row r="329" spans="1:16" ht="23.4" thickBot="1">
      <c r="B329" s="37" t="s">
        <v>316</v>
      </c>
      <c r="I329" s="37" t="s">
        <v>317</v>
      </c>
    </row>
    <row r="330" spans="1:16" ht="15" thickTop="1" thickBot="1">
      <c r="B330" s="318" t="s">
        <v>318</v>
      </c>
      <c r="C330" s="322"/>
      <c r="D330" s="319"/>
      <c r="E330" s="90" t="s">
        <v>78</v>
      </c>
      <c r="F330" s="90" t="s">
        <v>79</v>
      </c>
      <c r="G330" s="90" t="s">
        <v>58</v>
      </c>
    </row>
    <row r="331" spans="1:16" ht="15" thickTop="1" thickBot="1">
      <c r="B331" s="318" t="s">
        <v>319</v>
      </c>
      <c r="C331" s="322"/>
      <c r="D331" s="319"/>
      <c r="E331" s="90">
        <f>'[1]التعليم الابتدائي'!KI644</f>
        <v>0</v>
      </c>
      <c r="F331" s="90">
        <f>'[1]التعليم الابتدائي'!KJ644</f>
        <v>0</v>
      </c>
      <c r="G331" s="91">
        <f>SUM(E316:F316)</f>
        <v>0</v>
      </c>
      <c r="I331" s="318" t="s">
        <v>145</v>
      </c>
      <c r="J331" s="319"/>
      <c r="K331" s="318" t="s">
        <v>320</v>
      </c>
      <c r="L331" s="319"/>
    </row>
    <row r="332" spans="1:16" ht="15" thickTop="1" thickBot="1">
      <c r="B332" s="323" t="s">
        <v>321</v>
      </c>
      <c r="C332" s="318" t="s">
        <v>322</v>
      </c>
      <c r="D332" s="319"/>
      <c r="E332" s="90">
        <f>'[1]التعليم الابتدائي'!KK644</f>
        <v>0</v>
      </c>
      <c r="F332" s="90">
        <f>'[1]التعليم الابتدائي'!KL644</f>
        <v>0</v>
      </c>
      <c r="G332" s="90">
        <f t="shared" ref="G332:G340" si="10">SUM(E332:F332)</f>
        <v>0</v>
      </c>
      <c r="I332" s="318" t="s">
        <v>78</v>
      </c>
      <c r="J332" s="319"/>
      <c r="K332" s="318">
        <f>'[1]التعليم الابتدائي'!AGC644</f>
        <v>0</v>
      </c>
      <c r="L332" s="319"/>
    </row>
    <row r="333" spans="1:16" ht="15" thickTop="1" thickBot="1">
      <c r="B333" s="324"/>
      <c r="C333" s="318" t="s">
        <v>323</v>
      </c>
      <c r="D333" s="319"/>
      <c r="E333" s="90">
        <f>'[1]التعليم الابتدائي'!KM644</f>
        <v>0</v>
      </c>
      <c r="F333" s="90">
        <f>'[1]التعليم الابتدائي'!KN644</f>
        <v>0</v>
      </c>
      <c r="G333" s="90">
        <f t="shared" si="10"/>
        <v>0</v>
      </c>
      <c r="I333" s="318" t="s">
        <v>79</v>
      </c>
      <c r="J333" s="319"/>
      <c r="K333" s="318">
        <f>'[1]التعليم الابتدائي'!AGD644</f>
        <v>0</v>
      </c>
      <c r="L333" s="319"/>
    </row>
    <row r="334" spans="1:16" ht="15" thickTop="1" thickBot="1">
      <c r="B334" s="324"/>
      <c r="C334" s="318" t="s">
        <v>324</v>
      </c>
      <c r="D334" s="319"/>
      <c r="E334" s="90">
        <f>'[1]التعليم الابتدائي'!KO644</f>
        <v>0</v>
      </c>
      <c r="F334" s="90">
        <f>'[1]التعليم الابتدائي'!KP644</f>
        <v>0</v>
      </c>
      <c r="G334" s="90">
        <f t="shared" si="10"/>
        <v>0</v>
      </c>
      <c r="I334" s="318" t="s">
        <v>58</v>
      </c>
      <c r="J334" s="319"/>
      <c r="K334" s="318">
        <f>K332+K333</f>
        <v>0</v>
      </c>
      <c r="L334" s="319"/>
    </row>
    <row r="335" spans="1:16" ht="15" thickTop="1" thickBot="1">
      <c r="B335" s="324"/>
      <c r="C335" s="318" t="s">
        <v>325</v>
      </c>
      <c r="D335" s="319"/>
      <c r="E335" s="90">
        <f>'[1]التعليم الابتدائي'!KQ644</f>
        <v>0</v>
      </c>
      <c r="F335" s="90">
        <f>'[1]التعليم الابتدائي'!KR644</f>
        <v>0</v>
      </c>
      <c r="G335" s="90">
        <f t="shared" si="10"/>
        <v>0</v>
      </c>
    </row>
    <row r="336" spans="1:16" ht="15" thickTop="1" thickBot="1">
      <c r="B336" s="324"/>
      <c r="C336" s="318" t="s">
        <v>326</v>
      </c>
      <c r="D336" s="319"/>
      <c r="E336" s="90">
        <f>'[1]التعليم الابتدائي'!KS644</f>
        <v>0</v>
      </c>
      <c r="F336" s="90">
        <f>'[1]التعليم الابتدائي'!KT644</f>
        <v>0</v>
      </c>
      <c r="G336" s="90">
        <f t="shared" si="10"/>
        <v>0</v>
      </c>
    </row>
    <row r="337" spans="1:16" ht="15" thickTop="1" thickBot="1">
      <c r="B337" s="324"/>
      <c r="C337" s="318" t="s">
        <v>327</v>
      </c>
      <c r="D337" s="319"/>
      <c r="E337" s="90"/>
      <c r="F337" s="90">
        <f>'[1]التعليم الابتدائي'!KU644</f>
        <v>0</v>
      </c>
      <c r="G337" s="90">
        <f t="shared" si="10"/>
        <v>0</v>
      </c>
    </row>
    <row r="338" spans="1:16" ht="15" thickTop="1" thickBot="1">
      <c r="B338" s="324"/>
      <c r="C338" s="318" t="s">
        <v>328</v>
      </c>
      <c r="D338" s="319"/>
      <c r="E338" s="90">
        <f>'[1]التعليم الابتدائي'!KV644</f>
        <v>0</v>
      </c>
      <c r="F338" s="90">
        <f>'[1]التعليم الابتدائي'!KW644</f>
        <v>0</v>
      </c>
      <c r="G338" s="90">
        <f t="shared" si="10"/>
        <v>0</v>
      </c>
    </row>
    <row r="339" spans="1:16" ht="15" thickTop="1" thickBot="1">
      <c r="B339" s="325"/>
      <c r="C339" s="318" t="s">
        <v>329</v>
      </c>
      <c r="D339" s="319"/>
      <c r="E339" s="90"/>
      <c r="F339" s="90"/>
      <c r="G339" s="90">
        <f t="shared" si="10"/>
        <v>0</v>
      </c>
    </row>
    <row r="340" spans="1:16" ht="28.8" thickTop="1" thickBot="1">
      <c r="B340" s="318" t="s">
        <v>57</v>
      </c>
      <c r="C340" s="322"/>
      <c r="D340" s="319"/>
      <c r="E340" s="91">
        <f>E339+E316</f>
        <v>0</v>
      </c>
      <c r="F340" s="91" t="s">
        <v>346</v>
      </c>
      <c r="G340" s="90">
        <f t="shared" si="10"/>
        <v>0</v>
      </c>
    </row>
    <row r="341" spans="1:16" ht="13.8" thickTop="1"/>
    <row r="342" spans="1:16" ht="23.4" thickBot="1">
      <c r="B342" s="94" t="s">
        <v>330</v>
      </c>
    </row>
    <row r="343" spans="1:16" ht="15" thickTop="1" thickBot="1">
      <c r="B343" s="318" t="s">
        <v>331</v>
      </c>
      <c r="C343" s="319"/>
      <c r="D343" s="320" t="s">
        <v>332</v>
      </c>
      <c r="E343" s="321"/>
      <c r="F343" s="318" t="s">
        <v>333</v>
      </c>
      <c r="G343" s="319"/>
      <c r="H343" s="318" t="s">
        <v>334</v>
      </c>
      <c r="I343" s="319"/>
      <c r="J343" s="318" t="s">
        <v>335</v>
      </c>
      <c r="K343" s="319"/>
      <c r="L343" s="318" t="s">
        <v>122</v>
      </c>
      <c r="M343" s="322"/>
      <c r="N343" s="319"/>
    </row>
    <row r="344" spans="1:16" ht="15" thickTop="1" thickBot="1">
      <c r="B344" s="90" t="s">
        <v>78</v>
      </c>
      <c r="C344" s="90" t="s">
        <v>79</v>
      </c>
      <c r="D344" s="90" t="s">
        <v>78</v>
      </c>
      <c r="E344" s="90" t="s">
        <v>79</v>
      </c>
      <c r="F344" s="90" t="s">
        <v>78</v>
      </c>
      <c r="G344" s="90" t="s">
        <v>79</v>
      </c>
      <c r="H344" s="90" t="s">
        <v>78</v>
      </c>
      <c r="I344" s="90" t="s">
        <v>79</v>
      </c>
      <c r="J344" s="90" t="s">
        <v>78</v>
      </c>
      <c r="K344" s="90" t="s">
        <v>79</v>
      </c>
      <c r="L344" s="90" t="s">
        <v>78</v>
      </c>
      <c r="M344" s="90" t="s">
        <v>79</v>
      </c>
      <c r="N344" s="90" t="s">
        <v>58</v>
      </c>
    </row>
    <row r="345" spans="1:16" ht="15" thickTop="1" thickBot="1">
      <c r="B345" s="90">
        <f>'[1]التعليم الابتدائي'!AEO644</f>
        <v>0</v>
      </c>
      <c r="C345" s="90">
        <f>'[1]التعليم الابتدائي'!AEP644</f>
        <v>0</v>
      </c>
      <c r="D345" s="90">
        <f>'[1]التعليم الابتدائي'!AEQ644</f>
        <v>0</v>
      </c>
      <c r="E345" s="90">
        <f>'[1]التعليم الابتدائي'!AER644</f>
        <v>0</v>
      </c>
      <c r="F345" s="90">
        <f>'[1]التعليم الابتدائي'!AES644</f>
        <v>0</v>
      </c>
      <c r="G345" s="90">
        <f>'[1]التعليم الابتدائي'!AET644</f>
        <v>0</v>
      </c>
      <c r="H345" s="90">
        <f>'[1]التعليم الابتدائي'!AEW644</f>
        <v>0</v>
      </c>
      <c r="I345" s="90">
        <f>'[1]التعليم الابتدائي'!AEX644</f>
        <v>0</v>
      </c>
      <c r="J345" s="90">
        <f>'[1]التعليم الابتدائي'!AEY644</f>
        <v>0</v>
      </c>
      <c r="K345" s="90">
        <f>'[1]التعليم الابتدائي'!AEZ644</f>
        <v>0</v>
      </c>
      <c r="L345" s="90">
        <f>F345+D345+B345+H345</f>
        <v>0</v>
      </c>
      <c r="M345" s="90">
        <f>G345+E345+C345+I345</f>
        <v>0</v>
      </c>
      <c r="N345" s="90">
        <f>SUM(L345:M345)</f>
        <v>0</v>
      </c>
    </row>
    <row r="346" spans="1:16" ht="13.8" thickTop="1"/>
    <row r="347" spans="1:16" ht="23.4" thickBot="1">
      <c r="B347" s="94" t="s">
        <v>336</v>
      </c>
    </row>
    <row r="348" spans="1:16" ht="15" thickTop="1" thickBot="1">
      <c r="B348" s="318" t="s">
        <v>337</v>
      </c>
      <c r="C348" s="319"/>
      <c r="D348" s="320" t="s">
        <v>338</v>
      </c>
      <c r="E348" s="321"/>
      <c r="F348" s="318" t="s">
        <v>339</v>
      </c>
      <c r="G348" s="319"/>
      <c r="H348" s="318" t="s">
        <v>340</v>
      </c>
      <c r="I348" s="319"/>
      <c r="J348" s="318" t="s">
        <v>341</v>
      </c>
      <c r="K348" s="319"/>
      <c r="L348" s="318" t="s">
        <v>58</v>
      </c>
      <c r="M348" s="322"/>
      <c r="N348" s="319"/>
    </row>
    <row r="349" spans="1:16" ht="15" thickTop="1" thickBot="1">
      <c r="B349" s="90" t="s">
        <v>78</v>
      </c>
      <c r="C349" s="90" t="s">
        <v>79</v>
      </c>
      <c r="D349" s="90" t="s">
        <v>78</v>
      </c>
      <c r="E349" s="90" t="s">
        <v>79</v>
      </c>
      <c r="F349" s="90" t="s">
        <v>78</v>
      </c>
      <c r="G349" s="90" t="s">
        <v>79</v>
      </c>
      <c r="H349" s="90" t="s">
        <v>78</v>
      </c>
      <c r="I349" s="90" t="s">
        <v>79</v>
      </c>
      <c r="J349" s="90" t="s">
        <v>78</v>
      </c>
      <c r="K349" s="90" t="s">
        <v>79</v>
      </c>
      <c r="L349" s="90" t="s">
        <v>78</v>
      </c>
      <c r="M349" s="90" t="s">
        <v>79</v>
      </c>
      <c r="N349" s="90" t="s">
        <v>58</v>
      </c>
    </row>
    <row r="350" spans="1:16" ht="15" thickTop="1" thickBot="1">
      <c r="B350" s="90">
        <f>'[1]التعليم الابتدائي'!AFB644</f>
        <v>0</v>
      </c>
      <c r="C350" s="90">
        <f>'[1]التعليم الابتدائي'!AFC644</f>
        <v>0</v>
      </c>
      <c r="D350" s="90">
        <f>'[1]التعليم الابتدائي'!AFD644</f>
        <v>0</v>
      </c>
      <c r="E350" s="90">
        <f>'[1]التعليم الابتدائي'!AFE644</f>
        <v>0</v>
      </c>
      <c r="F350" s="90">
        <f>'[1]التعليم الابتدائي'!AFF644</f>
        <v>0</v>
      </c>
      <c r="G350" s="90">
        <f>'[1]التعليم الابتدائي'!AFG644</f>
        <v>0</v>
      </c>
      <c r="H350" s="90">
        <f>'[1]التعليم الابتدائي'!AFH644</f>
        <v>0</v>
      </c>
      <c r="I350" s="90">
        <f>'[1]التعليم الابتدائي'!AFI644</f>
        <v>0</v>
      </c>
      <c r="J350" s="90">
        <f>'[1]التعليم الابتدائي'!AFJ644</f>
        <v>0</v>
      </c>
      <c r="K350" s="90">
        <f>'[1]التعليم الابتدائي'!AFK644</f>
        <v>0</v>
      </c>
      <c r="L350" s="90">
        <f>J350+F350+D350+B350+H350</f>
        <v>0</v>
      </c>
      <c r="M350" s="90">
        <f>K350+G350+E350+C350+I350</f>
        <v>0</v>
      </c>
      <c r="N350" s="90">
        <f>SUM(L350:M350)</f>
        <v>0</v>
      </c>
    </row>
    <row r="351" spans="1:16" ht="13.8" thickTop="1"/>
    <row r="352" spans="1:16" ht="22.8">
      <c r="A352" s="92" t="s">
        <v>62</v>
      </c>
      <c r="B352" s="29"/>
      <c r="C352" s="29"/>
      <c r="D352" s="29"/>
      <c r="E352" s="29"/>
      <c r="F352" s="28"/>
      <c r="G352" s="28"/>
      <c r="H352" s="28"/>
      <c r="I352" s="28"/>
      <c r="J352" s="28"/>
      <c r="K352" s="28"/>
      <c r="M352" s="92" t="s">
        <v>296</v>
      </c>
      <c r="N352" s="29"/>
      <c r="O352" s="28"/>
      <c r="P352" s="28"/>
    </row>
    <row r="353" spans="1:16" ht="22.8">
      <c r="A353" s="326" t="s">
        <v>64</v>
      </c>
      <c r="B353" s="326"/>
      <c r="C353" s="326"/>
      <c r="D353" s="326"/>
      <c r="E353" s="326"/>
      <c r="F353" s="28"/>
      <c r="G353" s="28"/>
      <c r="H353" s="28"/>
      <c r="I353" s="28"/>
      <c r="J353" s="28"/>
      <c r="K353" s="28"/>
      <c r="L353" s="326" t="s">
        <v>65</v>
      </c>
      <c r="M353" s="326"/>
      <c r="N353" s="326"/>
      <c r="O353" s="28"/>
      <c r="P353" s="28"/>
    </row>
    <row r="354" spans="1:16" ht="22.8">
      <c r="B354" s="29"/>
      <c r="C354" s="29"/>
      <c r="D354" s="29"/>
      <c r="E354" s="29"/>
      <c r="F354" s="29"/>
      <c r="G354" s="92" t="s">
        <v>301</v>
      </c>
      <c r="H354" s="29"/>
      <c r="I354" s="29"/>
      <c r="J354" s="29"/>
      <c r="K354" s="29"/>
      <c r="L354" s="29"/>
      <c r="M354" s="29"/>
      <c r="N354" s="29"/>
      <c r="O354" s="29"/>
      <c r="P354" s="29"/>
    </row>
    <row r="355" spans="1:16" ht="17.399999999999999">
      <c r="F355" s="92" t="s">
        <v>302</v>
      </c>
    </row>
    <row r="356" spans="1:16" ht="23.4" thickBot="1">
      <c r="B356" s="37" t="s">
        <v>303</v>
      </c>
      <c r="F356" s="29"/>
      <c r="K356" s="37" t="s">
        <v>304</v>
      </c>
    </row>
    <row r="357" spans="1:16" ht="42.6" thickTop="1" thickBot="1">
      <c r="B357" s="90" t="s">
        <v>305</v>
      </c>
      <c r="C357" s="90" t="s">
        <v>306</v>
      </c>
      <c r="D357" s="90" t="s">
        <v>307</v>
      </c>
      <c r="E357" s="90" t="s">
        <v>308</v>
      </c>
      <c r="F357" s="318" t="s">
        <v>309</v>
      </c>
      <c r="G357" s="322"/>
      <c r="H357" s="319"/>
      <c r="I357" s="90" t="s">
        <v>310</v>
      </c>
      <c r="K357" s="90" t="s">
        <v>311</v>
      </c>
      <c r="L357" s="90" t="s">
        <v>312</v>
      </c>
      <c r="M357" s="90" t="s">
        <v>43</v>
      </c>
      <c r="N357" s="90" t="s">
        <v>38</v>
      </c>
    </row>
    <row r="358" spans="1:16" ht="15" thickTop="1" thickBot="1">
      <c r="B358" s="323">
        <f>'[1]التعليم الابتدائي'!AGI607</f>
        <v>18</v>
      </c>
      <c r="C358" s="323">
        <f>'[1]التعليم الابتدائي'!AGO607</f>
        <v>0</v>
      </c>
      <c r="D358" s="323">
        <f>'[1]التعليم الابتدائي'!AGM607</f>
        <v>0</v>
      </c>
      <c r="E358" s="323">
        <f>'[1]التعليم الابتدائي'!AGQ607</f>
        <v>0</v>
      </c>
      <c r="F358" s="90" t="s">
        <v>313</v>
      </c>
      <c r="G358" s="90" t="s">
        <v>314</v>
      </c>
      <c r="H358" s="90" t="s">
        <v>315</v>
      </c>
      <c r="I358" s="323">
        <f>'[1]التعليم الابتدائي'!AGK607</f>
        <v>25</v>
      </c>
      <c r="K358" s="323">
        <f>'[1]التعليم الابتدائي'!S607</f>
        <v>0</v>
      </c>
      <c r="L358" s="323">
        <f>'[1]التعليم الابتدائي'!T607</f>
        <v>0</v>
      </c>
      <c r="M358" s="323">
        <f>'[1]التعليم الابتدائي'!U607</f>
        <v>25</v>
      </c>
      <c r="N358" s="323">
        <f>'[1]التعليم الابتدائي'!V607</f>
        <v>0</v>
      </c>
    </row>
    <row r="359" spans="1:16" ht="24" thickTop="1" thickBot="1">
      <c r="B359" s="325"/>
      <c r="C359" s="325"/>
      <c r="D359" s="325"/>
      <c r="E359" s="325"/>
      <c r="F359" s="15">
        <f>'[1]التعليم الابتدائي'!AGV607</f>
        <v>0</v>
      </c>
      <c r="G359" s="15">
        <f>'[1]التعليم الابتدائي'!AGW607</f>
        <v>0</v>
      </c>
      <c r="H359" s="15">
        <f>'[1]التعليم الابتدائي'!AGX607</f>
        <v>0</v>
      </c>
      <c r="I359" s="325"/>
      <c r="K359" s="325"/>
      <c r="L359" s="325"/>
      <c r="M359" s="325"/>
      <c r="N359" s="325"/>
    </row>
    <row r="360" spans="1:16" ht="13.8" thickTop="1"/>
    <row r="361" spans="1:16" ht="23.4" thickBot="1">
      <c r="B361" s="37" t="s">
        <v>316</v>
      </c>
      <c r="I361" s="37" t="s">
        <v>317</v>
      </c>
    </row>
    <row r="362" spans="1:16" ht="15" thickTop="1" thickBot="1">
      <c r="B362" s="318" t="s">
        <v>318</v>
      </c>
      <c r="C362" s="322"/>
      <c r="D362" s="319"/>
      <c r="E362" s="90" t="s">
        <v>78</v>
      </c>
      <c r="F362" s="90" t="s">
        <v>79</v>
      </c>
      <c r="G362" s="90" t="s">
        <v>58</v>
      </c>
    </row>
    <row r="363" spans="1:16" ht="15" thickTop="1" thickBot="1">
      <c r="B363" s="318" t="s">
        <v>319</v>
      </c>
      <c r="C363" s="322"/>
      <c r="D363" s="319"/>
      <c r="E363" s="90">
        <f>'[1]التعليم الابتدائي'!KI607</f>
        <v>0</v>
      </c>
      <c r="F363" s="90">
        <f>'[1]التعليم الابتدائي'!KJ607</f>
        <v>0</v>
      </c>
      <c r="G363" s="90">
        <f>SUM(E363:F363)</f>
        <v>0</v>
      </c>
      <c r="I363" s="318" t="s">
        <v>145</v>
      </c>
      <c r="J363" s="319"/>
      <c r="K363" s="318" t="s">
        <v>320</v>
      </c>
      <c r="L363" s="319"/>
    </row>
    <row r="364" spans="1:16" ht="15" thickTop="1" thickBot="1">
      <c r="B364" s="323" t="s">
        <v>321</v>
      </c>
      <c r="C364" s="318" t="s">
        <v>322</v>
      </c>
      <c r="D364" s="319"/>
      <c r="E364" s="90">
        <f>'[1]التعليم الابتدائي'!KK607</f>
        <v>0</v>
      </c>
      <c r="F364" s="90">
        <f>'[1]التعليم الابتدائي'!KL607</f>
        <v>0</v>
      </c>
      <c r="G364" s="90">
        <f t="shared" ref="G364:G372" si="11">SUM(E364:F364)</f>
        <v>0</v>
      </c>
      <c r="I364" s="318" t="s">
        <v>78</v>
      </c>
      <c r="J364" s="319"/>
      <c r="K364" s="318">
        <f>'[1]التعليم الابتدائي'!AGC607</f>
        <v>0</v>
      </c>
      <c r="L364" s="319"/>
    </row>
    <row r="365" spans="1:16" ht="15" thickTop="1" thickBot="1">
      <c r="B365" s="324"/>
      <c r="C365" s="318" t="s">
        <v>323</v>
      </c>
      <c r="D365" s="319"/>
      <c r="E365" s="90">
        <f>'[1]التعليم الابتدائي'!KM607</f>
        <v>0</v>
      </c>
      <c r="F365" s="90">
        <f>'[1]التعليم الابتدائي'!KN607</f>
        <v>0</v>
      </c>
      <c r="G365" s="90">
        <f t="shared" si="11"/>
        <v>0</v>
      </c>
      <c r="I365" s="318" t="s">
        <v>79</v>
      </c>
      <c r="J365" s="319"/>
      <c r="K365" s="318">
        <f>'[1]التعليم الابتدائي'!AGD607</f>
        <v>0</v>
      </c>
      <c r="L365" s="319"/>
    </row>
    <row r="366" spans="1:16" ht="15" thickTop="1" thickBot="1">
      <c r="B366" s="324"/>
      <c r="C366" s="318" t="s">
        <v>324</v>
      </c>
      <c r="D366" s="319"/>
      <c r="E366" s="90">
        <f>'[1]التعليم الابتدائي'!KO607</f>
        <v>0</v>
      </c>
      <c r="F366" s="90">
        <f>'[1]التعليم الابتدائي'!KP607</f>
        <v>0</v>
      </c>
      <c r="G366" s="90">
        <f t="shared" si="11"/>
        <v>0</v>
      </c>
      <c r="I366" s="318" t="s">
        <v>58</v>
      </c>
      <c r="J366" s="319"/>
      <c r="K366" s="318">
        <f>K364+K365</f>
        <v>0</v>
      </c>
      <c r="L366" s="319"/>
    </row>
    <row r="367" spans="1:16" ht="15" thickTop="1" thickBot="1">
      <c r="B367" s="324"/>
      <c r="C367" s="318" t="s">
        <v>325</v>
      </c>
      <c r="D367" s="319"/>
      <c r="E367" s="90">
        <f>'[1]التعليم الابتدائي'!KQ607</f>
        <v>0</v>
      </c>
      <c r="F367" s="90">
        <f>'[1]التعليم الابتدائي'!KR607</f>
        <v>0</v>
      </c>
      <c r="G367" s="90">
        <f t="shared" si="11"/>
        <v>0</v>
      </c>
    </row>
    <row r="368" spans="1:16" ht="15" thickTop="1" thickBot="1">
      <c r="B368" s="324"/>
      <c r="C368" s="318" t="s">
        <v>326</v>
      </c>
      <c r="D368" s="319"/>
      <c r="E368" s="90">
        <f>'[1]التعليم الابتدائي'!KS607</f>
        <v>0</v>
      </c>
      <c r="F368" s="90">
        <f>'[1]التعليم الابتدائي'!KT607</f>
        <v>0</v>
      </c>
      <c r="G368" s="90">
        <f t="shared" si="11"/>
        <v>0</v>
      </c>
    </row>
    <row r="369" spans="1:16" ht="15" thickTop="1" thickBot="1">
      <c r="B369" s="324"/>
      <c r="C369" s="318" t="s">
        <v>327</v>
      </c>
      <c r="D369" s="319"/>
      <c r="E369" s="90"/>
      <c r="F369" s="90">
        <f>'[1]التعليم الابتدائي'!KU607</f>
        <v>0</v>
      </c>
      <c r="G369" s="90">
        <f t="shared" si="11"/>
        <v>0</v>
      </c>
    </row>
    <row r="370" spans="1:16" ht="15" thickTop="1" thickBot="1">
      <c r="B370" s="324"/>
      <c r="C370" s="318" t="s">
        <v>328</v>
      </c>
      <c r="D370" s="319"/>
      <c r="E370" s="90">
        <f>'[1]التعليم الابتدائي'!KV607</f>
        <v>0</v>
      </c>
      <c r="F370" s="90">
        <f>'[1]التعليم الابتدائي'!KW607</f>
        <v>0</v>
      </c>
      <c r="G370" s="90">
        <f t="shared" si="11"/>
        <v>0</v>
      </c>
    </row>
    <row r="371" spans="1:16" ht="15" thickTop="1" thickBot="1">
      <c r="B371" s="325"/>
      <c r="C371" s="318" t="s">
        <v>329</v>
      </c>
      <c r="D371" s="319"/>
      <c r="E371" s="90"/>
      <c r="F371" s="90"/>
      <c r="G371" s="90">
        <f t="shared" si="11"/>
        <v>0</v>
      </c>
    </row>
    <row r="372" spans="1:16" ht="15" thickTop="1" thickBot="1">
      <c r="B372" s="318" t="s">
        <v>57</v>
      </c>
      <c r="C372" s="322"/>
      <c r="D372" s="319"/>
      <c r="E372" s="90">
        <f>E363+E371</f>
        <v>0</v>
      </c>
      <c r="F372" s="90">
        <f>F363+F371</f>
        <v>0</v>
      </c>
      <c r="G372" s="90">
        <f t="shared" si="11"/>
        <v>0</v>
      </c>
    </row>
    <row r="373" spans="1:16" ht="13.8" thickTop="1"/>
    <row r="374" spans="1:16" ht="23.4" thickBot="1">
      <c r="B374" s="94" t="s">
        <v>330</v>
      </c>
    </row>
    <row r="375" spans="1:16" ht="15" thickTop="1" thickBot="1">
      <c r="B375" s="318" t="s">
        <v>331</v>
      </c>
      <c r="C375" s="319"/>
      <c r="D375" s="320" t="s">
        <v>332</v>
      </c>
      <c r="E375" s="321"/>
      <c r="F375" s="318" t="s">
        <v>333</v>
      </c>
      <c r="G375" s="319"/>
      <c r="H375" s="318" t="s">
        <v>334</v>
      </c>
      <c r="I375" s="319"/>
      <c r="J375" s="318" t="s">
        <v>335</v>
      </c>
      <c r="K375" s="319"/>
      <c r="L375" s="318" t="s">
        <v>122</v>
      </c>
      <c r="M375" s="322"/>
      <c r="N375" s="319"/>
    </row>
    <row r="376" spans="1:16" ht="15" thickTop="1" thickBot="1">
      <c r="B376" s="90" t="s">
        <v>78</v>
      </c>
      <c r="C376" s="90" t="s">
        <v>79</v>
      </c>
      <c r="D376" s="90" t="s">
        <v>78</v>
      </c>
      <c r="E376" s="90" t="s">
        <v>79</v>
      </c>
      <c r="F376" s="90" t="s">
        <v>78</v>
      </c>
      <c r="G376" s="90" t="s">
        <v>79</v>
      </c>
      <c r="H376" s="90" t="s">
        <v>78</v>
      </c>
      <c r="I376" s="90" t="s">
        <v>79</v>
      </c>
      <c r="J376" s="90" t="s">
        <v>78</v>
      </c>
      <c r="K376" s="90" t="s">
        <v>79</v>
      </c>
      <c r="L376" s="90" t="s">
        <v>78</v>
      </c>
      <c r="M376" s="90" t="s">
        <v>79</v>
      </c>
      <c r="N376" s="90" t="s">
        <v>58</v>
      </c>
    </row>
    <row r="377" spans="1:16" ht="15" thickTop="1" thickBot="1">
      <c r="B377" s="90">
        <f>'[1]التعليم الابتدائي'!AEO607</f>
        <v>0</v>
      </c>
      <c r="C377" s="90">
        <f>'[1]التعليم الابتدائي'!AEP607</f>
        <v>0</v>
      </c>
      <c r="D377" s="90">
        <f>'[1]التعليم الابتدائي'!AEQ607</f>
        <v>0</v>
      </c>
      <c r="E377" s="90">
        <f>'[1]التعليم الابتدائي'!AER607</f>
        <v>0</v>
      </c>
      <c r="F377" s="90">
        <f>'[1]التعليم الابتدائي'!AES607</f>
        <v>0</v>
      </c>
      <c r="G377" s="90">
        <f>'[1]التعليم الابتدائي'!AET607</f>
        <v>0</v>
      </c>
      <c r="H377" s="90">
        <f>'[1]التعليم الابتدائي'!AEW607</f>
        <v>0</v>
      </c>
      <c r="I377" s="90">
        <f>'[1]التعليم الابتدائي'!AEX607</f>
        <v>0</v>
      </c>
      <c r="J377" s="90">
        <f>'[1]التعليم الابتدائي'!AEY607</f>
        <v>0</v>
      </c>
      <c r="K377" s="90">
        <f>'[1]التعليم الابتدائي'!AEZ607</f>
        <v>0</v>
      </c>
      <c r="L377" s="90">
        <f>F377+D377+B377+H377</f>
        <v>0</v>
      </c>
      <c r="M377" s="90">
        <f>G377+E377+C377+I377</f>
        <v>0</v>
      </c>
      <c r="N377" s="90">
        <f>SUM(L377:M377)</f>
        <v>0</v>
      </c>
    </row>
    <row r="378" spans="1:16" ht="13.8" thickTop="1"/>
    <row r="379" spans="1:16" ht="23.4" thickBot="1">
      <c r="B379" s="94" t="s">
        <v>336</v>
      </c>
    </row>
    <row r="380" spans="1:16" ht="15" thickTop="1" thickBot="1">
      <c r="B380" s="318" t="s">
        <v>337</v>
      </c>
      <c r="C380" s="319"/>
      <c r="D380" s="320" t="s">
        <v>338</v>
      </c>
      <c r="E380" s="321"/>
      <c r="F380" s="318" t="s">
        <v>339</v>
      </c>
      <c r="G380" s="319"/>
      <c r="H380" s="318" t="s">
        <v>340</v>
      </c>
      <c r="I380" s="319"/>
      <c r="J380" s="318" t="s">
        <v>341</v>
      </c>
      <c r="K380" s="319"/>
      <c r="L380" s="318" t="s">
        <v>58</v>
      </c>
      <c r="M380" s="322"/>
      <c r="N380" s="319"/>
    </row>
    <row r="381" spans="1:16" ht="15" thickTop="1" thickBot="1">
      <c r="B381" s="90" t="s">
        <v>78</v>
      </c>
      <c r="C381" s="90" t="s">
        <v>79</v>
      </c>
      <c r="D381" s="90" t="s">
        <v>78</v>
      </c>
      <c r="E381" s="90" t="s">
        <v>79</v>
      </c>
      <c r="F381" s="90" t="s">
        <v>78</v>
      </c>
      <c r="G381" s="90" t="s">
        <v>79</v>
      </c>
      <c r="H381" s="90" t="s">
        <v>78</v>
      </c>
      <c r="I381" s="90" t="s">
        <v>79</v>
      </c>
      <c r="J381" s="90" t="s">
        <v>78</v>
      </c>
      <c r="K381" s="90" t="s">
        <v>79</v>
      </c>
      <c r="L381" s="90" t="s">
        <v>78</v>
      </c>
      <c r="M381" s="90" t="s">
        <v>79</v>
      </c>
      <c r="N381" s="90" t="s">
        <v>58</v>
      </c>
    </row>
    <row r="382" spans="1:16" ht="15" thickTop="1" thickBot="1">
      <c r="B382" s="90">
        <f>'[1]التعليم الابتدائي'!AFB607</f>
        <v>0</v>
      </c>
      <c r="C382" s="90">
        <f>'[1]التعليم الابتدائي'!AFC607</f>
        <v>0</v>
      </c>
      <c r="D382" s="90">
        <f>'[1]التعليم الابتدائي'!AFD607</f>
        <v>0</v>
      </c>
      <c r="E382" s="90">
        <f>'[1]التعليم الابتدائي'!AFE607</f>
        <v>0</v>
      </c>
      <c r="F382" s="90">
        <f>'[1]التعليم الابتدائي'!AFF607</f>
        <v>0</v>
      </c>
      <c r="G382" s="90">
        <f>'[1]التعليم الابتدائي'!AFG607</f>
        <v>0</v>
      </c>
      <c r="H382" s="90">
        <f>'[1]التعليم الابتدائي'!AFH607</f>
        <v>0</v>
      </c>
      <c r="I382" s="90">
        <f>'[1]التعليم الابتدائي'!AFI607</f>
        <v>0</v>
      </c>
      <c r="J382" s="90">
        <f>'[1]التعليم الابتدائي'!AFJ607</f>
        <v>0</v>
      </c>
      <c r="K382" s="90">
        <f>'[1]التعليم الابتدائي'!AFK607</f>
        <v>0</v>
      </c>
      <c r="L382" s="90">
        <f>J382+F382+D382+B382+H382</f>
        <v>0</v>
      </c>
      <c r="M382" s="90">
        <f>K382+G382+E382+C382+I382</f>
        <v>0</v>
      </c>
      <c r="N382" s="90">
        <f>SUM(L382:M382)</f>
        <v>0</v>
      </c>
    </row>
    <row r="383" spans="1:16" ht="13.8" thickTop="1"/>
    <row r="384" spans="1:16" ht="22.8">
      <c r="A384" s="92" t="s">
        <v>62</v>
      </c>
      <c r="B384" s="29"/>
      <c r="C384" s="29"/>
      <c r="D384" s="29"/>
      <c r="E384" s="29"/>
      <c r="F384" s="28"/>
      <c r="G384" s="28"/>
      <c r="H384" s="28"/>
      <c r="I384" s="28"/>
      <c r="J384" s="28"/>
      <c r="K384" s="28"/>
      <c r="M384" s="92" t="s">
        <v>297</v>
      </c>
      <c r="N384" s="29"/>
      <c r="O384" s="28"/>
      <c r="P384" s="28"/>
    </row>
    <row r="385" spans="1:16" ht="22.8">
      <c r="A385" s="326" t="s">
        <v>64</v>
      </c>
      <c r="B385" s="326"/>
      <c r="C385" s="326"/>
      <c r="D385" s="326"/>
      <c r="E385" s="326"/>
      <c r="F385" s="28"/>
      <c r="G385" s="28"/>
      <c r="H385" s="28"/>
      <c r="I385" s="28"/>
      <c r="J385" s="28"/>
      <c r="K385" s="28"/>
      <c r="L385" s="326" t="s">
        <v>65</v>
      </c>
      <c r="M385" s="326"/>
      <c r="N385" s="326"/>
      <c r="O385" s="28"/>
      <c r="P385" s="28"/>
    </row>
    <row r="386" spans="1:16" ht="22.8">
      <c r="B386" s="29"/>
      <c r="C386" s="29"/>
      <c r="D386" s="29"/>
      <c r="E386" s="29"/>
      <c r="F386" s="29"/>
      <c r="G386" s="92" t="s">
        <v>301</v>
      </c>
      <c r="H386" s="29"/>
      <c r="I386" s="29"/>
      <c r="J386" s="29"/>
      <c r="K386" s="29"/>
      <c r="L386" s="29"/>
      <c r="M386" s="29"/>
      <c r="N386" s="29"/>
      <c r="O386" s="29"/>
      <c r="P386" s="29"/>
    </row>
    <row r="387" spans="1:16" ht="17.399999999999999">
      <c r="F387" s="92" t="s">
        <v>302</v>
      </c>
    </row>
    <row r="388" spans="1:16" ht="23.4" thickBot="1">
      <c r="B388" s="37" t="s">
        <v>303</v>
      </c>
      <c r="F388" s="29"/>
      <c r="K388" s="37" t="s">
        <v>304</v>
      </c>
    </row>
    <row r="389" spans="1:16" ht="42.6" thickTop="1" thickBot="1">
      <c r="B389" s="90" t="s">
        <v>305</v>
      </c>
      <c r="C389" s="90" t="s">
        <v>306</v>
      </c>
      <c r="D389" s="90" t="s">
        <v>307</v>
      </c>
      <c r="E389" s="90" t="s">
        <v>308</v>
      </c>
      <c r="F389" s="318" t="s">
        <v>309</v>
      </c>
      <c r="G389" s="322"/>
      <c r="H389" s="319"/>
      <c r="I389" s="90" t="s">
        <v>310</v>
      </c>
      <c r="K389" s="90" t="s">
        <v>311</v>
      </c>
      <c r="L389" s="90" t="s">
        <v>312</v>
      </c>
      <c r="M389" s="90" t="s">
        <v>43</v>
      </c>
      <c r="N389" s="90" t="s">
        <v>38</v>
      </c>
    </row>
    <row r="390" spans="1:16" ht="15" thickTop="1" thickBot="1">
      <c r="B390" s="323">
        <f>'[1]التعليم الابتدائي'!AGI643</f>
        <v>10</v>
      </c>
      <c r="C390" s="323">
        <f>'[1]التعليم الابتدائي'!AGO643</f>
        <v>0</v>
      </c>
      <c r="D390" s="323">
        <f>'[1]التعليم الابتدائي'!AGM643</f>
        <v>0</v>
      </c>
      <c r="E390" s="323">
        <f>'[1]التعليم الابتدائي'!AGQ643</f>
        <v>0</v>
      </c>
      <c r="F390" s="90" t="s">
        <v>313</v>
      </c>
      <c r="G390" s="90" t="s">
        <v>314</v>
      </c>
      <c r="H390" s="90" t="s">
        <v>315</v>
      </c>
      <c r="I390" s="323">
        <f>'[1]التعليم الابتدائي'!AGK643</f>
        <v>0</v>
      </c>
      <c r="K390" s="323">
        <f>'[1]التعليم الابتدائي'!S643</f>
        <v>10</v>
      </c>
      <c r="L390" s="323">
        <f>'[1]التعليم الابتدائي'!T643</f>
        <v>0</v>
      </c>
      <c r="M390" s="323">
        <f>'[1]التعليم الابتدائي'!U643</f>
        <v>25</v>
      </c>
      <c r="N390" s="323">
        <f>'[1]التعليم الابتدائي'!V643</f>
        <v>0</v>
      </c>
    </row>
    <row r="391" spans="1:16" ht="24" thickTop="1" thickBot="1">
      <c r="B391" s="325"/>
      <c r="C391" s="325"/>
      <c r="D391" s="325"/>
      <c r="E391" s="325"/>
      <c r="F391" s="15">
        <f>'[1]التعليم الابتدائي'!AGV643</f>
        <v>0</v>
      </c>
      <c r="G391" s="15">
        <f>'[1]التعليم الابتدائي'!AGW643</f>
        <v>0</v>
      </c>
      <c r="H391" s="15">
        <f>'[1]التعليم الابتدائي'!AGX643</f>
        <v>0</v>
      </c>
      <c r="I391" s="325"/>
      <c r="K391" s="325"/>
      <c r="L391" s="325"/>
      <c r="M391" s="325"/>
      <c r="N391" s="325"/>
    </row>
    <row r="392" spans="1:16" ht="13.8" thickTop="1"/>
    <row r="393" spans="1:16" ht="23.4" thickBot="1">
      <c r="B393" s="37" t="s">
        <v>316</v>
      </c>
      <c r="I393" s="37" t="s">
        <v>317</v>
      </c>
    </row>
    <row r="394" spans="1:16" ht="15" thickTop="1" thickBot="1">
      <c r="B394" s="318" t="s">
        <v>318</v>
      </c>
      <c r="C394" s="322"/>
      <c r="D394" s="319"/>
      <c r="E394" s="90" t="s">
        <v>78</v>
      </c>
      <c r="F394" s="90" t="s">
        <v>79</v>
      </c>
      <c r="G394" s="90" t="s">
        <v>58</v>
      </c>
    </row>
    <row r="395" spans="1:16" ht="15" thickTop="1" thickBot="1">
      <c r="B395" s="318" t="s">
        <v>319</v>
      </c>
      <c r="C395" s="322"/>
      <c r="D395" s="319"/>
      <c r="E395" s="90">
        <f>'[1]التعليم الابتدائي'!KI643</f>
        <v>0</v>
      </c>
      <c r="F395" s="90">
        <f>'[1]التعليم الابتدائي'!KJ643</f>
        <v>0</v>
      </c>
      <c r="G395" s="90">
        <f>SUM(E395:F395)</f>
        <v>0</v>
      </c>
      <c r="I395" s="318" t="s">
        <v>145</v>
      </c>
      <c r="J395" s="319"/>
      <c r="K395" s="318" t="s">
        <v>320</v>
      </c>
      <c r="L395" s="319"/>
    </row>
    <row r="396" spans="1:16" ht="15" thickTop="1" thickBot="1">
      <c r="B396" s="323" t="s">
        <v>321</v>
      </c>
      <c r="C396" s="318" t="s">
        <v>322</v>
      </c>
      <c r="D396" s="319"/>
      <c r="E396" s="90">
        <f>'[1]التعليم الابتدائي'!KK643</f>
        <v>0</v>
      </c>
      <c r="F396" s="90">
        <f>'[1]التعليم الابتدائي'!KL643</f>
        <v>0</v>
      </c>
      <c r="G396" s="90">
        <f t="shared" ref="G396:G403" si="12">SUM(E396:F396)</f>
        <v>0</v>
      </c>
      <c r="I396" s="318" t="s">
        <v>78</v>
      </c>
      <c r="J396" s="319"/>
      <c r="K396" s="318">
        <f>'[1]التعليم الابتدائي'!AGC643</f>
        <v>0</v>
      </c>
      <c r="L396" s="319"/>
    </row>
    <row r="397" spans="1:16" ht="15" thickTop="1" thickBot="1">
      <c r="B397" s="324"/>
      <c r="C397" s="318" t="s">
        <v>323</v>
      </c>
      <c r="D397" s="319"/>
      <c r="E397" s="90">
        <f>'[1]التعليم الابتدائي'!KM643</f>
        <v>0</v>
      </c>
      <c r="F397" s="90">
        <f>'[1]التعليم الابتدائي'!KN643</f>
        <v>0</v>
      </c>
      <c r="G397" s="90">
        <f t="shared" si="12"/>
        <v>0</v>
      </c>
      <c r="I397" s="318" t="s">
        <v>79</v>
      </c>
      <c r="J397" s="319"/>
      <c r="K397" s="318">
        <f>'[1]التعليم الابتدائي'!AGD643</f>
        <v>0</v>
      </c>
      <c r="L397" s="319"/>
    </row>
    <row r="398" spans="1:16" ht="15" thickTop="1" thickBot="1">
      <c r="B398" s="324"/>
      <c r="C398" s="318" t="s">
        <v>324</v>
      </c>
      <c r="D398" s="319"/>
      <c r="E398" s="90">
        <f>'[1]التعليم الابتدائي'!KO643</f>
        <v>0</v>
      </c>
      <c r="F398" s="90">
        <f>'[1]التعليم الابتدائي'!KP643</f>
        <v>0</v>
      </c>
      <c r="G398" s="90">
        <f t="shared" si="12"/>
        <v>0</v>
      </c>
      <c r="I398" s="318" t="s">
        <v>58</v>
      </c>
      <c r="J398" s="319"/>
      <c r="K398" s="318">
        <f>K396+K397</f>
        <v>0</v>
      </c>
      <c r="L398" s="319"/>
    </row>
    <row r="399" spans="1:16" ht="15" thickTop="1" thickBot="1">
      <c r="B399" s="324"/>
      <c r="C399" s="318" t="s">
        <v>325</v>
      </c>
      <c r="D399" s="319"/>
      <c r="E399" s="90">
        <f>'[1]التعليم الابتدائي'!KQ643</f>
        <v>0</v>
      </c>
      <c r="F399" s="90">
        <f>'[1]التعليم الابتدائي'!KR643</f>
        <v>0</v>
      </c>
      <c r="G399" s="90">
        <f t="shared" si="12"/>
        <v>0</v>
      </c>
    </row>
    <row r="400" spans="1:16" ht="15" thickTop="1" thickBot="1">
      <c r="B400" s="324"/>
      <c r="C400" s="318" t="s">
        <v>326</v>
      </c>
      <c r="D400" s="319"/>
      <c r="E400" s="90">
        <f>'[1]التعليم الابتدائي'!KS643</f>
        <v>0</v>
      </c>
      <c r="F400" s="90">
        <f>'[1]التعليم الابتدائي'!KT643</f>
        <v>0</v>
      </c>
      <c r="G400" s="90">
        <f t="shared" si="12"/>
        <v>0</v>
      </c>
    </row>
    <row r="401" spans="1:16" ht="15" thickTop="1" thickBot="1">
      <c r="B401" s="324"/>
      <c r="C401" s="318" t="s">
        <v>327</v>
      </c>
      <c r="D401" s="319"/>
      <c r="E401" s="90"/>
      <c r="F401" s="90">
        <f>'[1]التعليم الابتدائي'!KU643</f>
        <v>0</v>
      </c>
      <c r="G401" s="90">
        <f t="shared" si="12"/>
        <v>0</v>
      </c>
    </row>
    <row r="402" spans="1:16" ht="15" thickTop="1" thickBot="1">
      <c r="B402" s="324"/>
      <c r="C402" s="318" t="s">
        <v>328</v>
      </c>
      <c r="D402" s="319"/>
      <c r="E402" s="90">
        <f>'[1]التعليم الابتدائي'!KV643</f>
        <v>0</v>
      </c>
      <c r="F402" s="90">
        <f>'[1]التعليم الابتدائي'!KW643</f>
        <v>0</v>
      </c>
      <c r="G402" s="90">
        <f t="shared" si="12"/>
        <v>0</v>
      </c>
    </row>
    <row r="403" spans="1:16" ht="15" thickTop="1" thickBot="1">
      <c r="B403" s="325"/>
      <c r="C403" s="318" t="s">
        <v>329</v>
      </c>
      <c r="D403" s="319"/>
      <c r="E403" s="90"/>
      <c r="F403" s="90"/>
      <c r="G403" s="90">
        <f t="shared" si="12"/>
        <v>0</v>
      </c>
    </row>
    <row r="404" spans="1:16" ht="15" thickTop="1" thickBot="1">
      <c r="B404" s="318" t="s">
        <v>57</v>
      </c>
      <c r="C404" s="322"/>
      <c r="D404" s="319"/>
      <c r="E404" s="90">
        <f>E403+E395</f>
        <v>0</v>
      </c>
      <c r="F404" s="90">
        <f>F403+F395</f>
        <v>0</v>
      </c>
      <c r="G404" s="90">
        <f>G403+G395</f>
        <v>0</v>
      </c>
    </row>
    <row r="405" spans="1:16" ht="13.8" thickTop="1"/>
    <row r="406" spans="1:16" ht="23.4" thickBot="1">
      <c r="B406" s="94" t="s">
        <v>330</v>
      </c>
    </row>
    <row r="407" spans="1:16" ht="15" thickTop="1" thickBot="1">
      <c r="B407" s="318" t="s">
        <v>331</v>
      </c>
      <c r="C407" s="319"/>
      <c r="D407" s="320" t="s">
        <v>332</v>
      </c>
      <c r="E407" s="321"/>
      <c r="F407" s="318" t="s">
        <v>333</v>
      </c>
      <c r="G407" s="319"/>
      <c r="H407" s="318" t="s">
        <v>334</v>
      </c>
      <c r="I407" s="319"/>
      <c r="J407" s="318" t="s">
        <v>335</v>
      </c>
      <c r="K407" s="319"/>
      <c r="L407" s="318" t="s">
        <v>122</v>
      </c>
      <c r="M407" s="322"/>
      <c r="N407" s="319"/>
    </row>
    <row r="408" spans="1:16" ht="15" thickTop="1" thickBot="1">
      <c r="B408" s="90" t="s">
        <v>78</v>
      </c>
      <c r="C408" s="90" t="s">
        <v>79</v>
      </c>
      <c r="D408" s="90" t="s">
        <v>78</v>
      </c>
      <c r="E408" s="90" t="s">
        <v>79</v>
      </c>
      <c r="F408" s="90" t="s">
        <v>78</v>
      </c>
      <c r="G408" s="90" t="s">
        <v>79</v>
      </c>
      <c r="H408" s="90" t="s">
        <v>78</v>
      </c>
      <c r="I408" s="90" t="s">
        <v>79</v>
      </c>
      <c r="J408" s="90" t="s">
        <v>78</v>
      </c>
      <c r="K408" s="90" t="s">
        <v>79</v>
      </c>
      <c r="L408" s="90" t="s">
        <v>78</v>
      </c>
      <c r="M408" s="90" t="s">
        <v>79</v>
      </c>
      <c r="N408" s="90" t="s">
        <v>58</v>
      </c>
    </row>
    <row r="409" spans="1:16" ht="15" thickTop="1" thickBot="1">
      <c r="B409" s="90">
        <f>'[1]التعليم الابتدائي'!AEO643</f>
        <v>0</v>
      </c>
      <c r="C409" s="90">
        <f>'[1]التعليم الابتدائي'!AEP643</f>
        <v>0</v>
      </c>
      <c r="D409" s="90">
        <f>'[1]التعليم الابتدائي'!AEQ643</f>
        <v>0</v>
      </c>
      <c r="E409" s="90">
        <f>'[1]التعليم الابتدائي'!AER643</f>
        <v>0</v>
      </c>
      <c r="F409" s="90">
        <f>'[1]التعليم الابتدائي'!AES643</f>
        <v>0</v>
      </c>
      <c r="G409" s="90">
        <f>'[1]التعليم الابتدائي'!AET643</f>
        <v>0</v>
      </c>
      <c r="H409" s="90">
        <f>'[1]التعليم الابتدائي'!AEW643</f>
        <v>0</v>
      </c>
      <c r="I409" s="90">
        <f>'[1]التعليم الابتدائي'!AEX643</f>
        <v>0</v>
      </c>
      <c r="J409" s="90">
        <f>'[1]التعليم الابتدائي'!AEY643</f>
        <v>0</v>
      </c>
      <c r="K409" s="90">
        <f>'[1]التعليم الابتدائي'!AEZ643</f>
        <v>0</v>
      </c>
      <c r="L409" s="90">
        <f>F409+D409+B409+H409</f>
        <v>0</v>
      </c>
      <c r="M409" s="90">
        <f>G409+E409+C409+I409</f>
        <v>0</v>
      </c>
      <c r="N409" s="90">
        <f>SUM(L409:M409)</f>
        <v>0</v>
      </c>
    </row>
    <row r="410" spans="1:16" ht="13.8" thickTop="1"/>
    <row r="411" spans="1:16" ht="23.4" thickBot="1">
      <c r="B411" s="94" t="s">
        <v>336</v>
      </c>
    </row>
    <row r="412" spans="1:16" ht="15" thickTop="1" thickBot="1">
      <c r="B412" s="318" t="s">
        <v>337</v>
      </c>
      <c r="C412" s="319"/>
      <c r="D412" s="320" t="s">
        <v>338</v>
      </c>
      <c r="E412" s="321"/>
      <c r="F412" s="318" t="s">
        <v>339</v>
      </c>
      <c r="G412" s="319"/>
      <c r="H412" s="318" t="s">
        <v>340</v>
      </c>
      <c r="I412" s="319"/>
      <c r="J412" s="318" t="s">
        <v>341</v>
      </c>
      <c r="K412" s="319"/>
      <c r="L412" s="318" t="s">
        <v>58</v>
      </c>
      <c r="M412" s="322"/>
      <c r="N412" s="319"/>
    </row>
    <row r="413" spans="1:16" ht="15" thickTop="1" thickBot="1">
      <c r="B413" s="90" t="s">
        <v>78</v>
      </c>
      <c r="C413" s="90" t="s">
        <v>79</v>
      </c>
      <c r="D413" s="90" t="s">
        <v>78</v>
      </c>
      <c r="E413" s="90" t="s">
        <v>79</v>
      </c>
      <c r="F413" s="90" t="s">
        <v>78</v>
      </c>
      <c r="G413" s="90" t="s">
        <v>79</v>
      </c>
      <c r="H413" s="90" t="s">
        <v>78</v>
      </c>
      <c r="I413" s="90" t="s">
        <v>79</v>
      </c>
      <c r="J413" s="90" t="s">
        <v>78</v>
      </c>
      <c r="K413" s="90" t="s">
        <v>79</v>
      </c>
      <c r="L413" s="90" t="s">
        <v>78</v>
      </c>
      <c r="M413" s="90" t="s">
        <v>79</v>
      </c>
      <c r="N413" s="90" t="s">
        <v>58</v>
      </c>
    </row>
    <row r="414" spans="1:16" ht="15" thickTop="1" thickBot="1">
      <c r="B414" s="90">
        <f>'[1]التعليم الابتدائي'!AFB643</f>
        <v>0</v>
      </c>
      <c r="C414" s="90">
        <f>'[1]التعليم الابتدائي'!AFC643</f>
        <v>0</v>
      </c>
      <c r="D414" s="90">
        <f>'[1]التعليم الابتدائي'!AFD643</f>
        <v>0</v>
      </c>
      <c r="E414" s="90">
        <f>'[1]التعليم الابتدائي'!AFE643</f>
        <v>0</v>
      </c>
      <c r="F414" s="90">
        <f>'[1]التعليم الابتدائي'!AFF643</f>
        <v>0</v>
      </c>
      <c r="G414" s="90">
        <f>'[1]التعليم الابتدائي'!AFG643</f>
        <v>0</v>
      </c>
      <c r="H414" s="90">
        <f>'[1]التعليم الابتدائي'!AFH643</f>
        <v>0</v>
      </c>
      <c r="I414" s="90">
        <f>'[1]التعليم الابتدائي'!AFI643</f>
        <v>0</v>
      </c>
      <c r="J414" s="90">
        <f>'[1]التعليم الابتدائي'!AFJ643</f>
        <v>0</v>
      </c>
      <c r="K414" s="90">
        <f>'[1]التعليم الابتدائي'!AFK643</f>
        <v>0</v>
      </c>
      <c r="L414" s="90">
        <f>J414+F414+D414+B414+H414</f>
        <v>0</v>
      </c>
      <c r="M414" s="90">
        <f>K414+G414+E414+C414+I414</f>
        <v>0</v>
      </c>
      <c r="N414" s="90">
        <f>SUM(L414:M414)</f>
        <v>0</v>
      </c>
    </row>
    <row r="415" spans="1:16" ht="13.8" thickTop="1"/>
    <row r="416" spans="1:16" ht="22.8">
      <c r="A416" s="92" t="s">
        <v>62</v>
      </c>
      <c r="B416" s="29"/>
      <c r="C416" s="29"/>
      <c r="D416" s="29"/>
      <c r="E416" s="29"/>
      <c r="F416" s="28"/>
      <c r="G416" s="28"/>
      <c r="H416" s="28"/>
      <c r="I416" s="28"/>
      <c r="J416" s="28"/>
      <c r="K416" s="28"/>
      <c r="M416" s="92" t="s">
        <v>299</v>
      </c>
      <c r="N416" s="29"/>
      <c r="O416" s="28"/>
      <c r="P416" s="28"/>
    </row>
    <row r="417" spans="1:16" ht="22.8">
      <c r="A417" s="326" t="s">
        <v>64</v>
      </c>
      <c r="B417" s="326"/>
      <c r="C417" s="326"/>
      <c r="D417" s="326"/>
      <c r="E417" s="326"/>
      <c r="F417" s="28"/>
      <c r="G417" s="28"/>
      <c r="H417" s="28"/>
      <c r="I417" s="28"/>
      <c r="J417" s="28"/>
      <c r="K417" s="28"/>
      <c r="L417" s="326" t="s">
        <v>65</v>
      </c>
      <c r="M417" s="326"/>
      <c r="N417" s="326"/>
      <c r="O417" s="28"/>
      <c r="P417" s="28"/>
    </row>
    <row r="418" spans="1:16" ht="22.8">
      <c r="B418" s="29"/>
      <c r="C418" s="29"/>
      <c r="D418" s="29"/>
      <c r="E418" s="29"/>
      <c r="F418" s="29"/>
      <c r="G418" s="92" t="s">
        <v>301</v>
      </c>
      <c r="H418" s="29"/>
      <c r="I418" s="29"/>
      <c r="J418" s="29"/>
      <c r="K418" s="29"/>
      <c r="L418" s="29"/>
      <c r="M418" s="29"/>
      <c r="N418" s="29"/>
      <c r="O418" s="29"/>
      <c r="P418" s="29"/>
    </row>
    <row r="419" spans="1:16" ht="17.399999999999999">
      <c r="F419" s="92" t="s">
        <v>302</v>
      </c>
    </row>
    <row r="420" spans="1:16" ht="23.4" thickBot="1">
      <c r="B420" s="37" t="s">
        <v>303</v>
      </c>
      <c r="F420" s="29"/>
      <c r="K420" s="37" t="s">
        <v>304</v>
      </c>
    </row>
    <row r="421" spans="1:16" ht="42.6" thickTop="1" thickBot="1">
      <c r="B421" s="90" t="s">
        <v>305</v>
      </c>
      <c r="C421" s="90" t="s">
        <v>306</v>
      </c>
      <c r="D421" s="90" t="s">
        <v>307</v>
      </c>
      <c r="E421" s="90" t="s">
        <v>308</v>
      </c>
      <c r="F421" s="318" t="s">
        <v>309</v>
      </c>
      <c r="G421" s="322"/>
      <c r="H421" s="319"/>
      <c r="I421" s="90" t="s">
        <v>310</v>
      </c>
      <c r="K421" s="90" t="s">
        <v>311</v>
      </c>
      <c r="L421" s="90" t="s">
        <v>312</v>
      </c>
      <c r="M421" s="90" t="s">
        <v>43</v>
      </c>
      <c r="N421" s="90" t="s">
        <v>38</v>
      </c>
    </row>
    <row r="422" spans="1:16" ht="15" thickTop="1" thickBot="1">
      <c r="B422" s="323">
        <f>'[1]التعليم الابتدائي'!AGI753</f>
        <v>47</v>
      </c>
      <c r="C422" s="323">
        <f>'[1]التعليم الابتدائي'!AGO753</f>
        <v>0</v>
      </c>
      <c r="D422" s="323">
        <f>'[1]التعليم الابتدائي'!AGM753</f>
        <v>0</v>
      </c>
      <c r="E422" s="323">
        <f>'[1]التعليم الابتدائي'!AGQ753</f>
        <v>0</v>
      </c>
      <c r="F422" s="90" t="s">
        <v>313</v>
      </c>
      <c r="G422" s="90" t="s">
        <v>314</v>
      </c>
      <c r="H422" s="90" t="s">
        <v>315</v>
      </c>
      <c r="I422" s="323">
        <f>'[1]التعليم الابتدائي'!AGK753</f>
        <v>0</v>
      </c>
      <c r="K422" s="323">
        <f>'[1]التعليم الابتدائي'!S753</f>
        <v>34</v>
      </c>
      <c r="L422" s="323">
        <f>'[1]التعليم الابتدائي'!T753</f>
        <v>0</v>
      </c>
      <c r="M422" s="323">
        <f>'[1]التعليم الابتدائي'!U753</f>
        <v>72</v>
      </c>
      <c r="N422" s="323">
        <f>'[1]التعليم الابتدائي'!V753</f>
        <v>0</v>
      </c>
    </row>
    <row r="423" spans="1:16" ht="24" thickTop="1" thickBot="1">
      <c r="B423" s="325"/>
      <c r="C423" s="325"/>
      <c r="D423" s="325"/>
      <c r="E423" s="325"/>
      <c r="F423" s="15">
        <f>'[1]التعليم الابتدائي'!AGV753</f>
        <v>0</v>
      </c>
      <c r="G423" s="15">
        <f>'[1]التعليم الابتدائي'!AGW753</f>
        <v>0</v>
      </c>
      <c r="H423" s="15">
        <f>'[1]التعليم الابتدائي'!AGX753</f>
        <v>0</v>
      </c>
      <c r="I423" s="325"/>
      <c r="K423" s="325"/>
      <c r="L423" s="325"/>
      <c r="M423" s="325"/>
      <c r="N423" s="325"/>
    </row>
    <row r="424" spans="1:16" ht="13.8" thickTop="1"/>
    <row r="425" spans="1:16" ht="23.4" thickBot="1">
      <c r="B425" s="37" t="s">
        <v>316</v>
      </c>
      <c r="I425" s="37" t="s">
        <v>317</v>
      </c>
    </row>
    <row r="426" spans="1:16" ht="15" thickTop="1" thickBot="1">
      <c r="B426" s="318" t="s">
        <v>318</v>
      </c>
      <c r="C426" s="322"/>
      <c r="D426" s="319"/>
      <c r="E426" s="90" t="s">
        <v>78</v>
      </c>
      <c r="F426" s="90" t="s">
        <v>79</v>
      </c>
      <c r="G426" s="90" t="s">
        <v>58</v>
      </c>
    </row>
    <row r="427" spans="1:16" ht="15" thickTop="1" thickBot="1">
      <c r="B427" s="318" t="s">
        <v>319</v>
      </c>
      <c r="C427" s="322"/>
      <c r="D427" s="319"/>
      <c r="E427" s="90">
        <f>'[1]التعليم الابتدائي'!KI753</f>
        <v>0</v>
      </c>
      <c r="F427" s="90">
        <f>'[1]التعليم الابتدائي'!KJ753</f>
        <v>0</v>
      </c>
      <c r="G427" s="90">
        <f>SUM(E427:F427)</f>
        <v>0</v>
      </c>
      <c r="I427" s="318" t="s">
        <v>145</v>
      </c>
      <c r="J427" s="319"/>
      <c r="K427" s="318" t="s">
        <v>320</v>
      </c>
      <c r="L427" s="319"/>
    </row>
    <row r="428" spans="1:16" ht="15" thickTop="1" thickBot="1">
      <c r="B428" s="323" t="s">
        <v>321</v>
      </c>
      <c r="C428" s="318" t="s">
        <v>322</v>
      </c>
      <c r="D428" s="319"/>
      <c r="E428" s="90">
        <f>'[1]التعليم الابتدائي'!KK753</f>
        <v>0</v>
      </c>
      <c r="F428" s="90">
        <f>'[1]التعليم الابتدائي'!KL753</f>
        <v>0</v>
      </c>
      <c r="G428" s="90">
        <f t="shared" ref="G428:G435" si="13">SUM(E428:F428)</f>
        <v>0</v>
      </c>
      <c r="I428" s="318" t="s">
        <v>78</v>
      </c>
      <c r="J428" s="319"/>
      <c r="K428" s="318">
        <f>'[1]التعليم الابتدائي'!AGC753</f>
        <v>0</v>
      </c>
      <c r="L428" s="319"/>
    </row>
    <row r="429" spans="1:16" ht="15" thickTop="1" thickBot="1">
      <c r="B429" s="324"/>
      <c r="C429" s="318" t="s">
        <v>323</v>
      </c>
      <c r="D429" s="319"/>
      <c r="E429" s="90">
        <f>'[1]التعليم الابتدائي'!KM753</f>
        <v>0</v>
      </c>
      <c r="F429" s="90">
        <f>'[1]التعليم الابتدائي'!KN753</f>
        <v>0</v>
      </c>
      <c r="G429" s="90">
        <f t="shared" si="13"/>
        <v>0</v>
      </c>
      <c r="I429" s="318" t="s">
        <v>79</v>
      </c>
      <c r="J429" s="319"/>
      <c r="K429" s="318">
        <f>'[1]التعليم الابتدائي'!AGD753</f>
        <v>0</v>
      </c>
      <c r="L429" s="319"/>
    </row>
    <row r="430" spans="1:16" ht="15" thickTop="1" thickBot="1">
      <c r="B430" s="324"/>
      <c r="C430" s="318" t="s">
        <v>324</v>
      </c>
      <c r="D430" s="319"/>
      <c r="E430" s="90">
        <f>'[1]التعليم الابتدائي'!KO753</f>
        <v>0</v>
      </c>
      <c r="F430" s="90">
        <f>'[1]التعليم الابتدائي'!KP753</f>
        <v>0</v>
      </c>
      <c r="G430" s="90">
        <f t="shared" si="13"/>
        <v>0</v>
      </c>
      <c r="I430" s="318" t="s">
        <v>58</v>
      </c>
      <c r="J430" s="319"/>
      <c r="K430" s="318">
        <f>K428+K429</f>
        <v>0</v>
      </c>
      <c r="L430" s="319"/>
    </row>
    <row r="431" spans="1:16" ht="15" thickTop="1" thickBot="1">
      <c r="B431" s="324"/>
      <c r="C431" s="318" t="s">
        <v>325</v>
      </c>
      <c r="D431" s="319"/>
      <c r="E431" s="90">
        <f>'[1]التعليم الابتدائي'!KQ753</f>
        <v>0</v>
      </c>
      <c r="F431" s="90">
        <f>'[1]التعليم الابتدائي'!KR753</f>
        <v>0</v>
      </c>
      <c r="G431" s="90">
        <f t="shared" si="13"/>
        <v>0</v>
      </c>
    </row>
    <row r="432" spans="1:16" ht="15" thickTop="1" thickBot="1">
      <c r="B432" s="324"/>
      <c r="C432" s="318" t="s">
        <v>326</v>
      </c>
      <c r="D432" s="319"/>
      <c r="E432" s="90">
        <f>'[1]التعليم الابتدائي'!KS753</f>
        <v>0</v>
      </c>
      <c r="F432" s="90">
        <f>'[1]التعليم الابتدائي'!KT753</f>
        <v>0</v>
      </c>
      <c r="G432" s="90">
        <f t="shared" si="13"/>
        <v>0</v>
      </c>
    </row>
    <row r="433" spans="1:16" ht="15" thickTop="1" thickBot="1">
      <c r="B433" s="324"/>
      <c r="C433" s="318" t="s">
        <v>327</v>
      </c>
      <c r="D433" s="319"/>
      <c r="E433" s="90"/>
      <c r="F433" s="90">
        <f>'[1]التعليم الابتدائي'!KU753</f>
        <v>0</v>
      </c>
      <c r="G433" s="90">
        <f t="shared" si="13"/>
        <v>0</v>
      </c>
    </row>
    <row r="434" spans="1:16" ht="15" thickTop="1" thickBot="1">
      <c r="B434" s="324"/>
      <c r="C434" s="318" t="s">
        <v>328</v>
      </c>
      <c r="D434" s="319"/>
      <c r="E434" s="90">
        <f>'[1]التعليم الابتدائي'!KV753</f>
        <v>0</v>
      </c>
      <c r="F434" s="90">
        <f>'[1]التعليم الابتدائي'!KW753</f>
        <v>0</v>
      </c>
      <c r="G434" s="90">
        <f t="shared" si="13"/>
        <v>0</v>
      </c>
    </row>
    <row r="435" spans="1:16" ht="15" thickTop="1" thickBot="1">
      <c r="B435" s="325"/>
      <c r="C435" s="318" t="s">
        <v>329</v>
      </c>
      <c r="D435" s="319"/>
      <c r="E435" s="90"/>
      <c r="F435" s="90"/>
      <c r="G435" s="90">
        <f t="shared" si="13"/>
        <v>0</v>
      </c>
    </row>
    <row r="436" spans="1:16" ht="15" thickTop="1" thickBot="1">
      <c r="B436" s="318" t="s">
        <v>57</v>
      </c>
      <c r="C436" s="322"/>
      <c r="D436" s="319"/>
      <c r="E436" s="90">
        <f>E435+E427</f>
        <v>0</v>
      </c>
      <c r="F436" s="90">
        <f>F435+F427</f>
        <v>0</v>
      </c>
      <c r="G436" s="90">
        <f>G435+G427</f>
        <v>0</v>
      </c>
    </row>
    <row r="437" spans="1:16" ht="13.8" thickTop="1"/>
    <row r="438" spans="1:16" ht="23.4" thickBot="1">
      <c r="B438" s="94" t="s">
        <v>330</v>
      </c>
    </row>
    <row r="439" spans="1:16" ht="15" thickTop="1" thickBot="1">
      <c r="B439" s="318" t="s">
        <v>331</v>
      </c>
      <c r="C439" s="319"/>
      <c r="D439" s="320" t="s">
        <v>332</v>
      </c>
      <c r="E439" s="321"/>
      <c r="F439" s="318" t="s">
        <v>333</v>
      </c>
      <c r="G439" s="319"/>
      <c r="H439" s="318" t="s">
        <v>334</v>
      </c>
      <c r="I439" s="319"/>
      <c r="J439" s="318" t="s">
        <v>335</v>
      </c>
      <c r="K439" s="319"/>
      <c r="L439" s="318" t="s">
        <v>122</v>
      </c>
      <c r="M439" s="322"/>
      <c r="N439" s="319"/>
    </row>
    <row r="440" spans="1:16" ht="15" thickTop="1" thickBot="1">
      <c r="B440" s="90" t="s">
        <v>78</v>
      </c>
      <c r="C440" s="90" t="s">
        <v>79</v>
      </c>
      <c r="D440" s="90" t="s">
        <v>78</v>
      </c>
      <c r="E440" s="90" t="s">
        <v>79</v>
      </c>
      <c r="F440" s="90" t="s">
        <v>78</v>
      </c>
      <c r="G440" s="90" t="s">
        <v>79</v>
      </c>
      <c r="H440" s="90" t="s">
        <v>78</v>
      </c>
      <c r="I440" s="90" t="s">
        <v>79</v>
      </c>
      <c r="J440" s="90" t="s">
        <v>78</v>
      </c>
      <c r="K440" s="90" t="s">
        <v>79</v>
      </c>
      <c r="L440" s="90" t="s">
        <v>78</v>
      </c>
      <c r="M440" s="90" t="s">
        <v>79</v>
      </c>
      <c r="N440" s="90" t="s">
        <v>58</v>
      </c>
    </row>
    <row r="441" spans="1:16" ht="15" thickTop="1" thickBot="1">
      <c r="B441" s="90">
        <f>'[1]التعليم الابتدائي'!AEO753</f>
        <v>0</v>
      </c>
      <c r="C441" s="90">
        <f>'[1]التعليم الابتدائي'!AEP753</f>
        <v>0</v>
      </c>
      <c r="D441" s="90">
        <f>'[1]التعليم الابتدائي'!AEQ753</f>
        <v>0</v>
      </c>
      <c r="E441" s="90">
        <f>'[1]التعليم الابتدائي'!AER753</f>
        <v>0</v>
      </c>
      <c r="F441" s="90">
        <f>'[1]التعليم الابتدائي'!AES753</f>
        <v>0</v>
      </c>
      <c r="G441" s="90">
        <f>'[1]التعليم الابتدائي'!AET753</f>
        <v>0</v>
      </c>
      <c r="H441" s="90">
        <f>'[1]التعليم الابتدائي'!AEW753</f>
        <v>0</v>
      </c>
      <c r="I441" s="90">
        <f>'[1]التعليم الابتدائي'!AEX753</f>
        <v>0</v>
      </c>
      <c r="J441" s="90">
        <f>'[1]التعليم الابتدائي'!AEY753</f>
        <v>0</v>
      </c>
      <c r="K441" s="90">
        <f>'[1]التعليم الابتدائي'!AEZ753</f>
        <v>0</v>
      </c>
      <c r="L441" s="90">
        <f>F441+D441+B441+H441</f>
        <v>0</v>
      </c>
      <c r="M441" s="90">
        <f>G441+E441+C441+I441</f>
        <v>0</v>
      </c>
      <c r="N441" s="90">
        <f>SUM(L441:M441)</f>
        <v>0</v>
      </c>
    </row>
    <row r="442" spans="1:16" ht="13.8" thickTop="1"/>
    <row r="443" spans="1:16" ht="23.4" thickBot="1">
      <c r="B443" s="94" t="s">
        <v>336</v>
      </c>
    </row>
    <row r="444" spans="1:16" ht="15" thickTop="1" thickBot="1">
      <c r="B444" s="318" t="s">
        <v>337</v>
      </c>
      <c r="C444" s="319"/>
      <c r="D444" s="320" t="s">
        <v>338</v>
      </c>
      <c r="E444" s="321"/>
      <c r="F444" s="318" t="s">
        <v>339</v>
      </c>
      <c r="G444" s="319"/>
      <c r="H444" s="318" t="s">
        <v>340</v>
      </c>
      <c r="I444" s="319"/>
      <c r="J444" s="318" t="s">
        <v>341</v>
      </c>
      <c r="K444" s="319"/>
      <c r="L444" s="318" t="s">
        <v>58</v>
      </c>
      <c r="M444" s="322"/>
      <c r="N444" s="319"/>
    </row>
    <row r="445" spans="1:16" ht="15" thickTop="1" thickBot="1">
      <c r="B445" s="90" t="s">
        <v>78</v>
      </c>
      <c r="C445" s="90" t="s">
        <v>79</v>
      </c>
      <c r="D445" s="90" t="s">
        <v>78</v>
      </c>
      <c r="E445" s="90" t="s">
        <v>79</v>
      </c>
      <c r="F445" s="90" t="s">
        <v>78</v>
      </c>
      <c r="G445" s="90" t="s">
        <v>79</v>
      </c>
      <c r="H445" s="90" t="s">
        <v>78</v>
      </c>
      <c r="I445" s="90" t="s">
        <v>79</v>
      </c>
      <c r="J445" s="90" t="s">
        <v>78</v>
      </c>
      <c r="K445" s="90" t="s">
        <v>79</v>
      </c>
      <c r="L445" s="90" t="s">
        <v>78</v>
      </c>
      <c r="M445" s="90" t="s">
        <v>79</v>
      </c>
      <c r="N445" s="90" t="s">
        <v>58</v>
      </c>
    </row>
    <row r="446" spans="1:16" ht="15" thickTop="1" thickBot="1">
      <c r="B446" s="90">
        <f>'[1]التعليم الابتدائي'!AFB753</f>
        <v>0</v>
      </c>
      <c r="C446" s="90">
        <f>'[1]التعليم الابتدائي'!AFC753</f>
        <v>0</v>
      </c>
      <c r="D446" s="90">
        <f>'[1]التعليم الابتدائي'!AFD753</f>
        <v>0</v>
      </c>
      <c r="E446" s="90">
        <f>'[1]التعليم الابتدائي'!AFE753</f>
        <v>0</v>
      </c>
      <c r="F446" s="90">
        <f>'[1]التعليم الابتدائي'!AFF753</f>
        <v>0</v>
      </c>
      <c r="G446" s="90">
        <f>'[1]التعليم الابتدائي'!AFG753</f>
        <v>0</v>
      </c>
      <c r="H446" s="90">
        <f>'[1]التعليم الابتدائي'!AFH753</f>
        <v>0</v>
      </c>
      <c r="I446" s="90">
        <f>'[1]التعليم الابتدائي'!AFI753</f>
        <v>0</v>
      </c>
      <c r="J446" s="90">
        <f>'[1]التعليم الابتدائي'!AFJ753</f>
        <v>0</v>
      </c>
      <c r="K446" s="90">
        <f>'[1]التعليم الابتدائي'!AFK753</f>
        <v>0</v>
      </c>
      <c r="L446" s="90">
        <f>J446+F446+D446+B446+H446</f>
        <v>0</v>
      </c>
      <c r="M446" s="90">
        <f>K446+G446+E446+C446+I446</f>
        <v>0</v>
      </c>
      <c r="N446" s="90">
        <f>SUM(L446:M446)</f>
        <v>0</v>
      </c>
    </row>
    <row r="447" spans="1:16" ht="13.8" thickTop="1"/>
    <row r="448" spans="1:16" ht="22.8">
      <c r="A448" s="92" t="s">
        <v>62</v>
      </c>
      <c r="B448" s="29"/>
      <c r="C448" s="29"/>
      <c r="D448" s="29"/>
      <c r="E448" s="29"/>
      <c r="F448" s="28"/>
      <c r="G448" s="28"/>
      <c r="H448" s="28"/>
      <c r="I448" s="28"/>
      <c r="J448" s="28"/>
      <c r="K448" s="28"/>
      <c r="M448" s="92" t="s">
        <v>298</v>
      </c>
      <c r="N448" s="29"/>
      <c r="O448" s="28"/>
      <c r="P448" s="28"/>
    </row>
    <row r="449" spans="1:16" ht="22.8">
      <c r="A449" s="326" t="s">
        <v>64</v>
      </c>
      <c r="B449" s="326"/>
      <c r="C449" s="326"/>
      <c r="D449" s="326"/>
      <c r="E449" s="326"/>
      <c r="F449" s="28"/>
      <c r="G449" s="28"/>
      <c r="H449" s="28"/>
      <c r="I449" s="28"/>
      <c r="J449" s="28"/>
      <c r="K449" s="28"/>
      <c r="L449" s="326" t="s">
        <v>65</v>
      </c>
      <c r="M449" s="326"/>
      <c r="N449" s="326"/>
      <c r="O449" s="28"/>
      <c r="P449" s="28"/>
    </row>
    <row r="450" spans="1:16" ht="22.8">
      <c r="B450" s="29"/>
      <c r="C450" s="29"/>
      <c r="D450" s="29"/>
      <c r="E450" s="29"/>
      <c r="F450" s="29"/>
      <c r="G450" s="92" t="s">
        <v>301</v>
      </c>
      <c r="H450" s="29"/>
      <c r="I450" s="29"/>
      <c r="J450" s="29"/>
      <c r="K450" s="29"/>
      <c r="L450" s="29"/>
      <c r="M450" s="29"/>
      <c r="N450" s="29"/>
      <c r="O450" s="29"/>
      <c r="P450" s="29"/>
    </row>
    <row r="451" spans="1:16" ht="17.399999999999999">
      <c r="F451" s="92" t="s">
        <v>302</v>
      </c>
    </row>
    <row r="452" spans="1:16" ht="23.4" thickBot="1">
      <c r="B452" s="37" t="s">
        <v>303</v>
      </c>
      <c r="F452" s="29"/>
      <c r="K452" s="37" t="s">
        <v>304</v>
      </c>
    </row>
    <row r="453" spans="1:16" ht="42.6" thickTop="1" thickBot="1">
      <c r="B453" s="90" t="s">
        <v>305</v>
      </c>
      <c r="C453" s="90" t="s">
        <v>306</v>
      </c>
      <c r="D453" s="90" t="s">
        <v>307</v>
      </c>
      <c r="E453" s="90" t="s">
        <v>308</v>
      </c>
      <c r="F453" s="318" t="s">
        <v>309</v>
      </c>
      <c r="G453" s="322"/>
      <c r="H453" s="319"/>
      <c r="I453" s="90" t="s">
        <v>310</v>
      </c>
      <c r="K453" s="90" t="s">
        <v>311</v>
      </c>
      <c r="L453" s="90" t="s">
        <v>312</v>
      </c>
      <c r="M453" s="90" t="s">
        <v>43</v>
      </c>
      <c r="N453" s="90" t="s">
        <v>38</v>
      </c>
    </row>
    <row r="454" spans="1:16" ht="15" thickTop="1" thickBot="1">
      <c r="B454" s="323">
        <f>'[1]التعليم الابتدائي'!AGI711</f>
        <v>33</v>
      </c>
      <c r="C454" s="323">
        <f>'[1]التعليم الابتدائي'!AGO711</f>
        <v>0</v>
      </c>
      <c r="D454" s="323">
        <f>'[1]التعليم الابتدائي'!AGM711</f>
        <v>0</v>
      </c>
      <c r="E454" s="323">
        <f>'[1]التعليم الابتدائي'!AGQ711</f>
        <v>0</v>
      </c>
      <c r="F454" s="90" t="s">
        <v>313</v>
      </c>
      <c r="G454" s="90" t="s">
        <v>314</v>
      </c>
      <c r="H454" s="90" t="s">
        <v>315</v>
      </c>
      <c r="I454" s="323">
        <f>'[1]التعليم الابتدائي'!AGK711</f>
        <v>0</v>
      </c>
      <c r="K454" s="323">
        <f>'[1]التعليم الابتدائي'!S711</f>
        <v>13</v>
      </c>
      <c r="L454" s="323">
        <f>'[1]التعليم الابتدائي'!T711</f>
        <v>0</v>
      </c>
      <c r="M454" s="323">
        <f>'[1]التعليم الابتدائي'!U711</f>
        <v>53</v>
      </c>
      <c r="N454" s="323">
        <f>'[1]التعليم الابتدائي'!V711</f>
        <v>0</v>
      </c>
    </row>
    <row r="455" spans="1:16" ht="24" thickTop="1" thickBot="1">
      <c r="B455" s="325"/>
      <c r="C455" s="325"/>
      <c r="D455" s="325"/>
      <c r="E455" s="325"/>
      <c r="F455" s="15">
        <f>'[1]التعليم الابتدائي'!AGV711</f>
        <v>0</v>
      </c>
      <c r="G455" s="15">
        <f>'[1]التعليم الابتدائي'!AGW711</f>
        <v>0</v>
      </c>
      <c r="H455" s="15">
        <f>'[1]التعليم الابتدائي'!AGX711</f>
        <v>0</v>
      </c>
      <c r="I455" s="325"/>
      <c r="K455" s="325"/>
      <c r="L455" s="325"/>
      <c r="M455" s="325"/>
      <c r="N455" s="325"/>
    </row>
    <row r="456" spans="1:16" ht="13.8" thickTop="1"/>
    <row r="457" spans="1:16" ht="23.4" thickBot="1">
      <c r="B457" s="37" t="s">
        <v>316</v>
      </c>
      <c r="I457" s="37" t="s">
        <v>317</v>
      </c>
    </row>
    <row r="458" spans="1:16" ht="15" thickTop="1" thickBot="1">
      <c r="B458" s="318" t="s">
        <v>318</v>
      </c>
      <c r="C458" s="322"/>
      <c r="D458" s="319"/>
      <c r="E458" s="90" t="s">
        <v>78</v>
      </c>
      <c r="F458" s="90" t="s">
        <v>79</v>
      </c>
      <c r="G458" s="90" t="s">
        <v>58</v>
      </c>
    </row>
    <row r="459" spans="1:16" ht="15" thickTop="1" thickBot="1">
      <c r="B459" s="318" t="s">
        <v>319</v>
      </c>
      <c r="C459" s="322"/>
      <c r="D459" s="319"/>
      <c r="E459" s="90">
        <f>'[1]التعليم الابتدائي'!KI711</f>
        <v>0</v>
      </c>
      <c r="F459" s="90">
        <f>'[1]التعليم الابتدائي'!KJ711</f>
        <v>0</v>
      </c>
      <c r="G459" s="90">
        <f>SUM(E459:F459)</f>
        <v>0</v>
      </c>
      <c r="I459" s="318" t="s">
        <v>145</v>
      </c>
      <c r="J459" s="319"/>
      <c r="K459" s="318" t="s">
        <v>320</v>
      </c>
      <c r="L459" s="319"/>
    </row>
    <row r="460" spans="1:16" ht="15" thickTop="1" thickBot="1">
      <c r="B460" s="323" t="s">
        <v>321</v>
      </c>
      <c r="C460" s="318" t="s">
        <v>322</v>
      </c>
      <c r="D460" s="319"/>
      <c r="E460" s="90">
        <f>'[1]التعليم الابتدائي'!KK711</f>
        <v>0</v>
      </c>
      <c r="F460" s="90">
        <f>'[1]التعليم الابتدائي'!KL711</f>
        <v>0</v>
      </c>
      <c r="G460" s="90">
        <f t="shared" ref="G460:G466" si="14">SUM(E460:F460)</f>
        <v>0</v>
      </c>
      <c r="I460" s="318" t="s">
        <v>78</v>
      </c>
      <c r="J460" s="319"/>
      <c r="K460" s="318">
        <f>'[1]التعليم الابتدائي'!AGC711</f>
        <v>0</v>
      </c>
      <c r="L460" s="319"/>
    </row>
    <row r="461" spans="1:16" ht="15" thickTop="1" thickBot="1">
      <c r="B461" s="324"/>
      <c r="C461" s="318" t="s">
        <v>323</v>
      </c>
      <c r="D461" s="319"/>
      <c r="E461" s="90">
        <f>'[1]التعليم الابتدائي'!KM711</f>
        <v>0</v>
      </c>
      <c r="F461" s="90">
        <f>'[1]التعليم الابتدائي'!KN711</f>
        <v>0</v>
      </c>
      <c r="G461" s="90">
        <f t="shared" si="14"/>
        <v>0</v>
      </c>
      <c r="I461" s="318" t="s">
        <v>79</v>
      </c>
      <c r="J461" s="319"/>
      <c r="K461" s="318">
        <f>'[1]التعليم الابتدائي'!AGD711</f>
        <v>0</v>
      </c>
      <c r="L461" s="319"/>
    </row>
    <row r="462" spans="1:16" ht="15" thickTop="1" thickBot="1">
      <c r="B462" s="324"/>
      <c r="C462" s="318" t="s">
        <v>324</v>
      </c>
      <c r="D462" s="319"/>
      <c r="E462" s="90">
        <f>'[1]التعليم الابتدائي'!KO711</f>
        <v>0</v>
      </c>
      <c r="F462" s="90">
        <f>'[1]التعليم الابتدائي'!KP711</f>
        <v>0</v>
      </c>
      <c r="G462" s="90">
        <f t="shared" si="14"/>
        <v>0</v>
      </c>
      <c r="I462" s="318" t="s">
        <v>58</v>
      </c>
      <c r="J462" s="319"/>
      <c r="K462" s="318">
        <f>K460+K461</f>
        <v>0</v>
      </c>
      <c r="L462" s="319"/>
    </row>
    <row r="463" spans="1:16" ht="15" thickTop="1" thickBot="1">
      <c r="B463" s="324"/>
      <c r="C463" s="318" t="s">
        <v>325</v>
      </c>
      <c r="D463" s="319"/>
      <c r="E463" s="90">
        <f>'[1]التعليم الابتدائي'!KQ711</f>
        <v>0</v>
      </c>
      <c r="F463" s="90">
        <f>'[1]التعليم الابتدائي'!KR711</f>
        <v>0</v>
      </c>
      <c r="G463" s="90">
        <f t="shared" si="14"/>
        <v>0</v>
      </c>
    </row>
    <row r="464" spans="1:16" ht="15" thickTop="1" thickBot="1">
      <c r="B464" s="324"/>
      <c r="C464" s="318" t="s">
        <v>326</v>
      </c>
      <c r="D464" s="319"/>
      <c r="E464" s="90">
        <f>'[1]التعليم الابتدائي'!KS711</f>
        <v>0</v>
      </c>
      <c r="F464" s="90">
        <f>'[1]التعليم الابتدائي'!KT711</f>
        <v>0</v>
      </c>
      <c r="G464" s="90">
        <f t="shared" si="14"/>
        <v>0</v>
      </c>
    </row>
    <row r="465" spans="1:16" ht="15" thickTop="1" thickBot="1">
      <c r="B465" s="324"/>
      <c r="C465" s="318" t="s">
        <v>327</v>
      </c>
      <c r="D465" s="319"/>
      <c r="E465" s="90"/>
      <c r="F465" s="90">
        <f>'[1]التعليم الابتدائي'!KU711</f>
        <v>0</v>
      </c>
      <c r="G465" s="90">
        <f t="shared" si="14"/>
        <v>0</v>
      </c>
    </row>
    <row r="466" spans="1:16" ht="15" thickTop="1" thickBot="1">
      <c r="B466" s="324"/>
      <c r="C466" s="318" t="s">
        <v>328</v>
      </c>
      <c r="D466" s="319"/>
      <c r="E466" s="90">
        <f>'[1]التعليم الابتدائي'!KV711</f>
        <v>0</v>
      </c>
      <c r="F466" s="90">
        <f>'[1]التعليم الابتدائي'!KW711</f>
        <v>0</v>
      </c>
      <c r="G466" s="90">
        <f t="shared" si="14"/>
        <v>0</v>
      </c>
    </row>
    <row r="467" spans="1:16" ht="15" thickTop="1" thickBot="1">
      <c r="B467" s="325"/>
      <c r="C467" s="318" t="s">
        <v>329</v>
      </c>
      <c r="D467" s="319"/>
      <c r="E467" s="90"/>
      <c r="F467" s="90"/>
      <c r="G467" s="90">
        <f>SUM(G460:G466)</f>
        <v>0</v>
      </c>
    </row>
    <row r="468" spans="1:16" ht="15" thickTop="1" thickBot="1">
      <c r="B468" s="318" t="s">
        <v>57</v>
      </c>
      <c r="C468" s="322"/>
      <c r="D468" s="319"/>
      <c r="E468" s="90">
        <f>E467+E459</f>
        <v>0</v>
      </c>
      <c r="F468" s="90">
        <f>F467+F459</f>
        <v>0</v>
      </c>
      <c r="G468" s="90">
        <f>G467+G459</f>
        <v>0</v>
      </c>
    </row>
    <row r="469" spans="1:16" ht="13.8" thickTop="1"/>
    <row r="470" spans="1:16" ht="23.4" thickBot="1">
      <c r="B470" s="94" t="s">
        <v>330</v>
      </c>
    </row>
    <row r="471" spans="1:16" ht="15" thickTop="1" thickBot="1">
      <c r="B471" s="318" t="s">
        <v>331</v>
      </c>
      <c r="C471" s="319"/>
      <c r="D471" s="320" t="s">
        <v>332</v>
      </c>
      <c r="E471" s="321"/>
      <c r="F471" s="318" t="s">
        <v>333</v>
      </c>
      <c r="G471" s="319"/>
      <c r="H471" s="318" t="s">
        <v>334</v>
      </c>
      <c r="I471" s="319"/>
      <c r="J471" s="318" t="s">
        <v>335</v>
      </c>
      <c r="K471" s="319"/>
      <c r="L471" s="318" t="s">
        <v>122</v>
      </c>
      <c r="M471" s="322"/>
      <c r="N471" s="319"/>
    </row>
    <row r="472" spans="1:16" ht="15" thickTop="1" thickBot="1">
      <c r="B472" s="90" t="s">
        <v>78</v>
      </c>
      <c r="C472" s="90" t="s">
        <v>79</v>
      </c>
      <c r="D472" s="90" t="s">
        <v>78</v>
      </c>
      <c r="E472" s="90" t="s">
        <v>79</v>
      </c>
      <c r="F472" s="90" t="s">
        <v>78</v>
      </c>
      <c r="G472" s="90" t="s">
        <v>79</v>
      </c>
      <c r="H472" s="90" t="s">
        <v>78</v>
      </c>
      <c r="I472" s="90" t="s">
        <v>79</v>
      </c>
      <c r="J472" s="90" t="s">
        <v>78</v>
      </c>
      <c r="K472" s="90" t="s">
        <v>79</v>
      </c>
      <c r="L472" s="90" t="s">
        <v>78</v>
      </c>
      <c r="M472" s="90" t="s">
        <v>79</v>
      </c>
      <c r="N472" s="90" t="s">
        <v>58</v>
      </c>
    </row>
    <row r="473" spans="1:16" ht="15" thickTop="1" thickBot="1">
      <c r="B473" s="90">
        <f>'[1]التعليم الابتدائي'!AEO711</f>
        <v>0</v>
      </c>
      <c r="C473" s="90">
        <f>'[1]التعليم الابتدائي'!AEP711</f>
        <v>0</v>
      </c>
      <c r="D473" s="90">
        <f>'[1]التعليم الابتدائي'!AEQ711</f>
        <v>0</v>
      </c>
      <c r="E473" s="90">
        <f>'[1]التعليم الابتدائي'!AER711</f>
        <v>0</v>
      </c>
      <c r="F473" s="90">
        <f>'[1]التعليم الابتدائي'!AES711</f>
        <v>0</v>
      </c>
      <c r="G473" s="90">
        <f>'[1]التعليم الابتدائي'!AET711</f>
        <v>0</v>
      </c>
      <c r="H473" s="90">
        <f>'[1]التعليم الابتدائي'!AEW711</f>
        <v>0</v>
      </c>
      <c r="I473" s="90">
        <f>'[1]التعليم الابتدائي'!AEX711</f>
        <v>0</v>
      </c>
      <c r="J473" s="90">
        <f>'[1]التعليم الابتدائي'!AEY711</f>
        <v>0</v>
      </c>
      <c r="K473" s="90">
        <f>'[1]التعليم الابتدائي'!AEZ711</f>
        <v>0</v>
      </c>
      <c r="L473" s="90">
        <f>F473+D473+B473+H473</f>
        <v>0</v>
      </c>
      <c r="M473" s="90">
        <f>G473+E473+C473+I473</f>
        <v>0</v>
      </c>
      <c r="N473" s="90">
        <f>SUM(L473:M473)</f>
        <v>0</v>
      </c>
    </row>
    <row r="474" spans="1:16" ht="13.8" thickTop="1"/>
    <row r="475" spans="1:16" ht="23.4" thickBot="1">
      <c r="B475" s="94" t="s">
        <v>336</v>
      </c>
    </row>
    <row r="476" spans="1:16" ht="15" thickTop="1" thickBot="1">
      <c r="B476" s="318" t="s">
        <v>337</v>
      </c>
      <c r="C476" s="319"/>
      <c r="D476" s="320" t="s">
        <v>338</v>
      </c>
      <c r="E476" s="321"/>
      <c r="F476" s="318" t="s">
        <v>339</v>
      </c>
      <c r="G476" s="319"/>
      <c r="H476" s="318" t="s">
        <v>340</v>
      </c>
      <c r="I476" s="319"/>
      <c r="J476" s="318" t="s">
        <v>341</v>
      </c>
      <c r="K476" s="319"/>
      <c r="L476" s="318" t="s">
        <v>58</v>
      </c>
      <c r="M476" s="322"/>
      <c r="N476" s="319"/>
    </row>
    <row r="477" spans="1:16" ht="15" thickTop="1" thickBot="1">
      <c r="B477" s="90" t="s">
        <v>78</v>
      </c>
      <c r="C477" s="90" t="s">
        <v>79</v>
      </c>
      <c r="D477" s="90" t="s">
        <v>78</v>
      </c>
      <c r="E477" s="90" t="s">
        <v>79</v>
      </c>
      <c r="F477" s="90" t="s">
        <v>78</v>
      </c>
      <c r="G477" s="90" t="s">
        <v>79</v>
      </c>
      <c r="H477" s="90" t="s">
        <v>78</v>
      </c>
      <c r="I477" s="90" t="s">
        <v>79</v>
      </c>
      <c r="J477" s="90" t="s">
        <v>78</v>
      </c>
      <c r="K477" s="90" t="s">
        <v>79</v>
      </c>
      <c r="L477" s="90" t="s">
        <v>78</v>
      </c>
      <c r="M477" s="90" t="s">
        <v>79</v>
      </c>
      <c r="N477" s="90" t="s">
        <v>58</v>
      </c>
    </row>
    <row r="478" spans="1:16" ht="15" thickTop="1" thickBot="1">
      <c r="B478" s="90">
        <f>'[1]التعليم الابتدائي'!AFB711</f>
        <v>0</v>
      </c>
      <c r="C478" s="90">
        <f>'[1]التعليم الابتدائي'!AFC711</f>
        <v>0</v>
      </c>
      <c r="D478" s="90">
        <f>'[1]التعليم الابتدائي'!AFD711</f>
        <v>0</v>
      </c>
      <c r="E478" s="90">
        <f>'[1]التعليم الابتدائي'!AFE711</f>
        <v>0</v>
      </c>
      <c r="F478" s="90">
        <f>'[1]التعليم الابتدائي'!AFF711</f>
        <v>0</v>
      </c>
      <c r="G478" s="90">
        <f>'[1]التعليم الابتدائي'!AFG711</f>
        <v>0</v>
      </c>
      <c r="H478" s="90">
        <f>'[1]التعليم الابتدائي'!AFH711</f>
        <v>0</v>
      </c>
      <c r="I478" s="90">
        <f>'[1]التعليم الابتدائي'!AFI711</f>
        <v>0</v>
      </c>
      <c r="J478" s="90">
        <f>'[1]التعليم الابتدائي'!AFJ711</f>
        <v>0</v>
      </c>
      <c r="K478" s="90">
        <f>'[1]التعليم الابتدائي'!AFK711</f>
        <v>0</v>
      </c>
      <c r="L478" s="90">
        <f>J478+F478+D478+B478+H478</f>
        <v>0</v>
      </c>
      <c r="M478" s="90">
        <f>K478+G478+E478+C478+I478</f>
        <v>0</v>
      </c>
      <c r="N478" s="90">
        <f>SUM(L478:M478)</f>
        <v>0</v>
      </c>
    </row>
    <row r="479" spans="1:16" ht="13.8" thickTop="1"/>
    <row r="480" spans="1:16" ht="22.8">
      <c r="A480" s="92" t="s">
        <v>62</v>
      </c>
      <c r="B480" s="29"/>
      <c r="C480" s="29"/>
      <c r="D480" s="29"/>
      <c r="E480" s="29"/>
      <c r="F480" s="28"/>
      <c r="G480" s="28"/>
      <c r="H480" s="28"/>
      <c r="I480" s="28"/>
      <c r="J480" s="28"/>
      <c r="K480" s="28"/>
      <c r="M480" s="92" t="s">
        <v>300</v>
      </c>
      <c r="N480" s="29"/>
      <c r="O480" s="28"/>
      <c r="P480" s="28"/>
    </row>
    <row r="481" spans="1:16" ht="22.8">
      <c r="A481" s="326" t="s">
        <v>64</v>
      </c>
      <c r="B481" s="326"/>
      <c r="C481" s="326"/>
      <c r="D481" s="326"/>
      <c r="E481" s="326"/>
      <c r="F481" s="28"/>
      <c r="G481" s="28"/>
      <c r="H481" s="28"/>
      <c r="I481" s="28"/>
      <c r="J481" s="28"/>
      <c r="K481" s="28"/>
      <c r="L481" s="326" t="s">
        <v>65</v>
      </c>
      <c r="M481" s="326"/>
      <c r="N481" s="326"/>
      <c r="O481" s="28"/>
      <c r="P481" s="28"/>
    </row>
    <row r="482" spans="1:16" ht="22.8">
      <c r="B482" s="29"/>
      <c r="C482" s="29"/>
      <c r="D482" s="29"/>
      <c r="E482" s="29"/>
      <c r="F482" s="29"/>
      <c r="G482" s="92" t="s">
        <v>301</v>
      </c>
      <c r="H482" s="29"/>
      <c r="I482" s="29"/>
      <c r="J482" s="29"/>
      <c r="K482" s="29"/>
      <c r="L482" s="29"/>
      <c r="M482" s="29"/>
      <c r="N482" s="29"/>
      <c r="O482" s="29"/>
      <c r="P482" s="29"/>
    </row>
    <row r="483" spans="1:16" ht="17.399999999999999">
      <c r="F483" s="92" t="s">
        <v>302</v>
      </c>
    </row>
    <row r="484" spans="1:16" ht="23.4" thickBot="1">
      <c r="B484" s="37" t="s">
        <v>303</v>
      </c>
      <c r="F484" s="29"/>
      <c r="K484" s="37" t="s">
        <v>304</v>
      </c>
    </row>
    <row r="485" spans="1:16" ht="42.6" thickTop="1" thickBot="1">
      <c r="B485" s="90" t="s">
        <v>305</v>
      </c>
      <c r="C485" s="90" t="s">
        <v>306</v>
      </c>
      <c r="D485" s="90" t="s">
        <v>307</v>
      </c>
      <c r="E485" s="90" t="s">
        <v>308</v>
      </c>
      <c r="F485" s="318" t="s">
        <v>309</v>
      </c>
      <c r="G485" s="322"/>
      <c r="H485" s="319"/>
      <c r="I485" s="90" t="s">
        <v>310</v>
      </c>
      <c r="K485" s="90" t="s">
        <v>311</v>
      </c>
      <c r="L485" s="90" t="s">
        <v>312</v>
      </c>
      <c r="M485" s="90" t="s">
        <v>43</v>
      </c>
      <c r="N485" s="90" t="s">
        <v>38</v>
      </c>
    </row>
    <row r="486" spans="1:16" ht="15" thickTop="1" thickBot="1">
      <c r="B486" s="323">
        <f>'[1]التعليم الابتدائي'!AGI752</f>
        <v>14</v>
      </c>
      <c r="C486" s="323">
        <f>'[1]التعليم الابتدائي'!AGO752</f>
        <v>0</v>
      </c>
      <c r="D486" s="323">
        <f>'[1]التعليم الابتدائي'!AGM752</f>
        <v>0</v>
      </c>
      <c r="E486" s="323">
        <f>'[1]التعليم الابتدائي'!AGQ752</f>
        <v>0</v>
      </c>
      <c r="F486" s="90" t="s">
        <v>313</v>
      </c>
      <c r="G486" s="90" t="s">
        <v>314</v>
      </c>
      <c r="H486" s="90" t="s">
        <v>315</v>
      </c>
      <c r="I486" s="323">
        <f>'[1]التعليم الابتدائي'!AGK752</f>
        <v>0</v>
      </c>
      <c r="K486" s="323">
        <f>'[1]التعليم الابتدائي'!S752</f>
        <v>21</v>
      </c>
      <c r="L486" s="323">
        <f>'[1]التعليم الابتدائي'!T752</f>
        <v>0</v>
      </c>
      <c r="M486" s="323">
        <f>'[1]التعليم الابتدائي'!U752</f>
        <v>19</v>
      </c>
      <c r="N486" s="323">
        <f>'[1]التعليم الابتدائي'!V752</f>
        <v>0</v>
      </c>
    </row>
    <row r="487" spans="1:16" ht="24" thickTop="1" thickBot="1">
      <c r="B487" s="325"/>
      <c r="C487" s="325"/>
      <c r="D487" s="325"/>
      <c r="E487" s="325"/>
      <c r="F487" s="15">
        <f>'[1]التعليم الابتدائي'!AGV752</f>
        <v>0</v>
      </c>
      <c r="G487" s="15">
        <f>'[1]التعليم الابتدائي'!AGW752</f>
        <v>0</v>
      </c>
      <c r="H487" s="15">
        <f>'[1]التعليم الابتدائي'!AGX752</f>
        <v>0</v>
      </c>
      <c r="I487" s="325"/>
      <c r="K487" s="325"/>
      <c r="L487" s="325"/>
      <c r="M487" s="325"/>
      <c r="N487" s="325"/>
    </row>
    <row r="488" spans="1:16" ht="13.8" thickTop="1"/>
    <row r="489" spans="1:16" ht="23.4" thickBot="1">
      <c r="B489" s="37" t="s">
        <v>316</v>
      </c>
      <c r="I489" s="37" t="s">
        <v>317</v>
      </c>
    </row>
    <row r="490" spans="1:16" ht="15" thickTop="1" thickBot="1">
      <c r="B490" s="318" t="s">
        <v>318</v>
      </c>
      <c r="C490" s="322"/>
      <c r="D490" s="319"/>
      <c r="E490" s="90" t="s">
        <v>78</v>
      </c>
      <c r="F490" s="90" t="s">
        <v>79</v>
      </c>
      <c r="G490" s="90" t="s">
        <v>58</v>
      </c>
    </row>
    <row r="491" spans="1:16" ht="15" thickTop="1" thickBot="1">
      <c r="B491" s="318" t="s">
        <v>319</v>
      </c>
      <c r="C491" s="322"/>
      <c r="D491" s="319"/>
      <c r="E491" s="90">
        <f>'[1]التعليم الابتدائي'!KI752</f>
        <v>0</v>
      </c>
      <c r="F491" s="90">
        <f>'[1]التعليم الابتدائي'!KJ752</f>
        <v>0</v>
      </c>
      <c r="G491" s="90">
        <f>SUM(E491:F491)</f>
        <v>0</v>
      </c>
      <c r="I491" s="318" t="s">
        <v>145</v>
      </c>
      <c r="J491" s="319"/>
      <c r="K491" s="318" t="s">
        <v>320</v>
      </c>
      <c r="L491" s="319"/>
    </row>
    <row r="492" spans="1:16" ht="15" thickTop="1" thickBot="1">
      <c r="B492" s="323" t="s">
        <v>321</v>
      </c>
      <c r="C492" s="318" t="s">
        <v>322</v>
      </c>
      <c r="D492" s="319"/>
      <c r="E492" s="90">
        <f>'[1]التعليم الابتدائي'!KK752</f>
        <v>0</v>
      </c>
      <c r="F492" s="90">
        <f>'[1]التعليم الابتدائي'!KL752</f>
        <v>0</v>
      </c>
      <c r="G492" s="90">
        <f t="shared" ref="G492:G499" si="15">SUM(E492:F492)</f>
        <v>0</v>
      </c>
      <c r="I492" s="318" t="s">
        <v>78</v>
      </c>
      <c r="J492" s="319"/>
      <c r="K492" s="318">
        <f>'[1]التعليم الابتدائي'!AGC752</f>
        <v>0</v>
      </c>
      <c r="L492" s="319"/>
    </row>
    <row r="493" spans="1:16" ht="15" thickTop="1" thickBot="1">
      <c r="B493" s="324"/>
      <c r="C493" s="318" t="s">
        <v>323</v>
      </c>
      <c r="D493" s="319"/>
      <c r="E493" s="90">
        <f>'[1]التعليم الابتدائي'!KM752</f>
        <v>0</v>
      </c>
      <c r="F493" s="90">
        <f>'[1]التعليم الابتدائي'!KN752</f>
        <v>0</v>
      </c>
      <c r="G493" s="90">
        <f t="shared" si="15"/>
        <v>0</v>
      </c>
      <c r="I493" s="318" t="s">
        <v>79</v>
      </c>
      <c r="J493" s="319"/>
      <c r="K493" s="318">
        <f>'[1]التعليم الابتدائي'!AGD752</f>
        <v>0</v>
      </c>
      <c r="L493" s="319"/>
    </row>
    <row r="494" spans="1:16" ht="15" thickTop="1" thickBot="1">
      <c r="B494" s="324"/>
      <c r="C494" s="318" t="s">
        <v>324</v>
      </c>
      <c r="D494" s="319"/>
      <c r="E494" s="90">
        <f>'[1]التعليم الابتدائي'!KO752</f>
        <v>0</v>
      </c>
      <c r="F494" s="90">
        <f>'[1]التعليم الابتدائي'!KP752</f>
        <v>0</v>
      </c>
      <c r="G494" s="90">
        <f t="shared" si="15"/>
        <v>0</v>
      </c>
      <c r="I494" s="318" t="s">
        <v>58</v>
      </c>
      <c r="J494" s="319"/>
      <c r="K494" s="318">
        <f>K492+K493</f>
        <v>0</v>
      </c>
      <c r="L494" s="319"/>
    </row>
    <row r="495" spans="1:16" ht="15" thickTop="1" thickBot="1">
      <c r="B495" s="324"/>
      <c r="C495" s="318" t="s">
        <v>325</v>
      </c>
      <c r="D495" s="319"/>
      <c r="E495" s="90">
        <f>'[1]التعليم الابتدائي'!KQ752</f>
        <v>0</v>
      </c>
      <c r="F495" s="90">
        <f>'[1]التعليم الابتدائي'!KR752</f>
        <v>0</v>
      </c>
      <c r="G495" s="90">
        <f t="shared" si="15"/>
        <v>0</v>
      </c>
    </row>
    <row r="496" spans="1:16" ht="15" thickTop="1" thickBot="1">
      <c r="B496" s="324"/>
      <c r="C496" s="318" t="s">
        <v>326</v>
      </c>
      <c r="D496" s="319"/>
      <c r="E496" s="90">
        <f>'[1]التعليم الابتدائي'!KS752</f>
        <v>0</v>
      </c>
      <c r="F496" s="90">
        <f>'[1]التعليم الابتدائي'!KT752</f>
        <v>0</v>
      </c>
      <c r="G496" s="90">
        <f t="shared" si="15"/>
        <v>0</v>
      </c>
    </row>
    <row r="497" spans="2:14" ht="15" thickTop="1" thickBot="1">
      <c r="B497" s="324"/>
      <c r="C497" s="318" t="s">
        <v>327</v>
      </c>
      <c r="D497" s="319"/>
      <c r="E497" s="90"/>
      <c r="F497" s="90">
        <f>'[1]التعليم الابتدائي'!KU752</f>
        <v>0</v>
      </c>
      <c r="G497" s="90">
        <f t="shared" si="15"/>
        <v>0</v>
      </c>
    </row>
    <row r="498" spans="2:14" ht="15" thickTop="1" thickBot="1">
      <c r="B498" s="324"/>
      <c r="C498" s="318" t="s">
        <v>328</v>
      </c>
      <c r="D498" s="319"/>
      <c r="E498" s="90">
        <f>'[1]التعليم الابتدائي'!KV752</f>
        <v>0</v>
      </c>
      <c r="F498" s="90">
        <f>'[1]التعليم الابتدائي'!KW752</f>
        <v>0</v>
      </c>
      <c r="G498" s="90">
        <f t="shared" si="15"/>
        <v>0</v>
      </c>
    </row>
    <row r="499" spans="2:14" ht="15" thickTop="1" thickBot="1">
      <c r="B499" s="325"/>
      <c r="C499" s="318" t="s">
        <v>329</v>
      </c>
      <c r="D499" s="319"/>
      <c r="E499" s="90"/>
      <c r="F499" s="90"/>
      <c r="G499" s="90">
        <f t="shared" si="15"/>
        <v>0</v>
      </c>
    </row>
    <row r="500" spans="2:14" ht="15" thickTop="1" thickBot="1">
      <c r="B500" s="318" t="s">
        <v>57</v>
      </c>
      <c r="C500" s="322"/>
      <c r="D500" s="319"/>
      <c r="E500" s="90">
        <f>E499+E491</f>
        <v>0</v>
      </c>
      <c r="F500" s="90">
        <f>F499+F491</f>
        <v>0</v>
      </c>
      <c r="G500" s="90">
        <f>G499+G491</f>
        <v>0</v>
      </c>
    </row>
    <row r="501" spans="2:14" ht="13.8" thickTop="1"/>
    <row r="502" spans="2:14" ht="23.4" thickBot="1">
      <c r="B502" s="94" t="s">
        <v>330</v>
      </c>
    </row>
    <row r="503" spans="2:14" ht="15" thickTop="1" thickBot="1">
      <c r="B503" s="318" t="s">
        <v>331</v>
      </c>
      <c r="C503" s="319"/>
      <c r="D503" s="320" t="s">
        <v>332</v>
      </c>
      <c r="E503" s="321"/>
      <c r="F503" s="318" t="s">
        <v>333</v>
      </c>
      <c r="G503" s="319"/>
      <c r="H503" s="318" t="s">
        <v>334</v>
      </c>
      <c r="I503" s="319"/>
      <c r="J503" s="318" t="s">
        <v>335</v>
      </c>
      <c r="K503" s="319"/>
      <c r="L503" s="318" t="s">
        <v>122</v>
      </c>
      <c r="M503" s="322"/>
      <c r="N503" s="319"/>
    </row>
    <row r="504" spans="2:14" ht="15" thickTop="1" thickBot="1">
      <c r="B504" s="90" t="s">
        <v>78</v>
      </c>
      <c r="C504" s="90" t="s">
        <v>79</v>
      </c>
      <c r="D504" s="90" t="s">
        <v>78</v>
      </c>
      <c r="E504" s="90" t="s">
        <v>79</v>
      </c>
      <c r="F504" s="90" t="s">
        <v>78</v>
      </c>
      <c r="G504" s="90" t="s">
        <v>79</v>
      </c>
      <c r="H504" s="90" t="s">
        <v>78</v>
      </c>
      <c r="I504" s="90" t="s">
        <v>79</v>
      </c>
      <c r="J504" s="90" t="s">
        <v>78</v>
      </c>
      <c r="K504" s="90" t="s">
        <v>79</v>
      </c>
      <c r="L504" s="90" t="s">
        <v>78</v>
      </c>
      <c r="M504" s="90" t="s">
        <v>79</v>
      </c>
      <c r="N504" s="90" t="s">
        <v>58</v>
      </c>
    </row>
    <row r="505" spans="2:14" ht="15" thickTop="1" thickBot="1">
      <c r="B505" s="90">
        <f>'[1]التعليم الابتدائي'!AEO752</f>
        <v>0</v>
      </c>
      <c r="C505" s="90">
        <f>'[1]التعليم الابتدائي'!AEP752</f>
        <v>0</v>
      </c>
      <c r="D505" s="90">
        <f>'[1]التعليم الابتدائي'!AEQ752</f>
        <v>0</v>
      </c>
      <c r="E505" s="90">
        <f>'[1]التعليم الابتدائي'!AER752</f>
        <v>0</v>
      </c>
      <c r="F505" s="90">
        <f>'[1]التعليم الابتدائي'!AES752</f>
        <v>0</v>
      </c>
      <c r="G505" s="90">
        <f>'[1]التعليم الابتدائي'!AET752</f>
        <v>0</v>
      </c>
      <c r="H505" s="90">
        <f>'[1]التعليم الابتدائي'!AEW752</f>
        <v>0</v>
      </c>
      <c r="I505" s="90">
        <f>'[1]التعليم الابتدائي'!AEX752</f>
        <v>0</v>
      </c>
      <c r="J505" s="90">
        <f>'[1]التعليم الابتدائي'!AEY752</f>
        <v>0</v>
      </c>
      <c r="K505" s="90">
        <f>'[1]التعليم الابتدائي'!AEZ752</f>
        <v>0</v>
      </c>
      <c r="L505" s="90">
        <f>F505+D505+B505+H505</f>
        <v>0</v>
      </c>
      <c r="M505" s="90">
        <f>G505+E505+C505+I505</f>
        <v>0</v>
      </c>
      <c r="N505" s="90">
        <f>SUM(L505:M505)</f>
        <v>0</v>
      </c>
    </row>
    <row r="506" spans="2:14" ht="13.8" thickTop="1"/>
    <row r="507" spans="2:14" ht="23.4" thickBot="1">
      <c r="B507" s="94" t="s">
        <v>336</v>
      </c>
    </row>
    <row r="508" spans="2:14" ht="15" thickTop="1" thickBot="1">
      <c r="B508" s="318" t="s">
        <v>337</v>
      </c>
      <c r="C508" s="319"/>
      <c r="D508" s="320" t="s">
        <v>338</v>
      </c>
      <c r="E508" s="321"/>
      <c r="F508" s="318" t="s">
        <v>339</v>
      </c>
      <c r="G508" s="319"/>
      <c r="H508" s="318" t="s">
        <v>340</v>
      </c>
      <c r="I508" s="319"/>
      <c r="J508" s="318" t="s">
        <v>341</v>
      </c>
      <c r="K508" s="319"/>
      <c r="L508" s="318" t="s">
        <v>58</v>
      </c>
      <c r="M508" s="322"/>
      <c r="N508" s="319"/>
    </row>
    <row r="509" spans="2:14" ht="15" thickTop="1" thickBot="1">
      <c r="B509" s="90" t="s">
        <v>78</v>
      </c>
      <c r="C509" s="90" t="s">
        <v>79</v>
      </c>
      <c r="D509" s="90" t="s">
        <v>78</v>
      </c>
      <c r="E509" s="90" t="s">
        <v>79</v>
      </c>
      <c r="F509" s="90" t="s">
        <v>78</v>
      </c>
      <c r="G509" s="90" t="s">
        <v>79</v>
      </c>
      <c r="H509" s="90" t="s">
        <v>78</v>
      </c>
      <c r="I509" s="90" t="s">
        <v>79</v>
      </c>
      <c r="J509" s="90" t="s">
        <v>78</v>
      </c>
      <c r="K509" s="90" t="s">
        <v>79</v>
      </c>
      <c r="L509" s="90" t="s">
        <v>78</v>
      </c>
      <c r="M509" s="90" t="s">
        <v>79</v>
      </c>
      <c r="N509" s="90" t="s">
        <v>58</v>
      </c>
    </row>
    <row r="510" spans="2:14" ht="15" thickTop="1" thickBot="1">
      <c r="B510" s="90">
        <f>'[1]التعليم الابتدائي'!AFB752</f>
        <v>0</v>
      </c>
      <c r="C510" s="90">
        <f>'[1]التعليم الابتدائي'!AFC752</f>
        <v>0</v>
      </c>
      <c r="D510" s="90">
        <f>'[1]التعليم الابتدائي'!AFD752</f>
        <v>0</v>
      </c>
      <c r="E510" s="90">
        <f>'[1]التعليم الابتدائي'!AFE752</f>
        <v>0</v>
      </c>
      <c r="F510" s="90">
        <f>'[1]التعليم الابتدائي'!AFF752</f>
        <v>0</v>
      </c>
      <c r="G510" s="90">
        <f>'[1]التعليم الابتدائي'!AFG752</f>
        <v>0</v>
      </c>
      <c r="H510" s="90">
        <f>'[1]التعليم الابتدائي'!AFH752</f>
        <v>0</v>
      </c>
      <c r="I510" s="90">
        <f>'[1]التعليم الابتدائي'!AFI752</f>
        <v>0</v>
      </c>
      <c r="J510" s="90">
        <f>'[1]التعليم الابتدائي'!AFJ752</f>
        <v>0</v>
      </c>
      <c r="K510" s="90">
        <f>'[1]التعليم الابتدائي'!AFK752</f>
        <v>0</v>
      </c>
      <c r="L510" s="90">
        <f>J510+F510+D510+B510+H510</f>
        <v>0</v>
      </c>
      <c r="M510" s="90">
        <f>K510+G510+E510+C510+I510</f>
        <v>0</v>
      </c>
      <c r="N510" s="90">
        <f>SUM(L510:M510)</f>
        <v>0</v>
      </c>
    </row>
    <row r="511" spans="2:14" ht="13.8" thickTop="1"/>
  </sheetData>
  <mergeCells count="704">
    <mergeCell ref="A2:E2"/>
    <mergeCell ref="L2:N2"/>
    <mergeCell ref="F6:H6"/>
    <mergeCell ref="B7:B8"/>
    <mergeCell ref="C7:C8"/>
    <mergeCell ref="D7:D8"/>
    <mergeCell ref="E7:E8"/>
    <mergeCell ref="I7:I8"/>
    <mergeCell ref="K7:K8"/>
    <mergeCell ref="L7:L8"/>
    <mergeCell ref="K13:L13"/>
    <mergeCell ref="C14:D14"/>
    <mergeCell ref="I14:J14"/>
    <mergeCell ref="K14:L14"/>
    <mergeCell ref="C15:D15"/>
    <mergeCell ref="I15:J15"/>
    <mergeCell ref="K15:L15"/>
    <mergeCell ref="M7:M8"/>
    <mergeCell ref="N7:N8"/>
    <mergeCell ref="B11:D11"/>
    <mergeCell ref="B12:D12"/>
    <mergeCell ref="I12:J12"/>
    <mergeCell ref="K12:L12"/>
    <mergeCell ref="C16:D16"/>
    <mergeCell ref="C17:D17"/>
    <mergeCell ref="C18:D18"/>
    <mergeCell ref="C19:D19"/>
    <mergeCell ref="C20:D20"/>
    <mergeCell ref="B21:D21"/>
    <mergeCell ref="B13:B20"/>
    <mergeCell ref="C13:D13"/>
    <mergeCell ref="I13:J13"/>
    <mergeCell ref="B29:C29"/>
    <mergeCell ref="D29:E29"/>
    <mergeCell ref="F29:G29"/>
    <mergeCell ref="H29:I29"/>
    <mergeCell ref="J29:K29"/>
    <mergeCell ref="L29:N29"/>
    <mergeCell ref="B24:C24"/>
    <mergeCell ref="D24:E24"/>
    <mergeCell ref="F24:G24"/>
    <mergeCell ref="H24:I24"/>
    <mergeCell ref="J24:K24"/>
    <mergeCell ref="L24:N24"/>
    <mergeCell ref="A34:E34"/>
    <mergeCell ref="L34:N34"/>
    <mergeCell ref="F38:H38"/>
    <mergeCell ref="B39:B40"/>
    <mergeCell ref="C39:C40"/>
    <mergeCell ref="D39:D40"/>
    <mergeCell ref="E39:E40"/>
    <mergeCell ref="I39:I40"/>
    <mergeCell ref="K39:K40"/>
    <mergeCell ref="L39:L40"/>
    <mergeCell ref="K45:L45"/>
    <mergeCell ref="C46:D46"/>
    <mergeCell ref="I46:J46"/>
    <mergeCell ref="K46:L46"/>
    <mergeCell ref="C47:D47"/>
    <mergeCell ref="I47:J47"/>
    <mergeCell ref="K47:L47"/>
    <mergeCell ref="M39:M40"/>
    <mergeCell ref="N39:N40"/>
    <mergeCell ref="B43:D43"/>
    <mergeCell ref="B44:D44"/>
    <mergeCell ref="I44:J44"/>
    <mergeCell ref="K44:L44"/>
    <mergeCell ref="C48:D48"/>
    <mergeCell ref="C49:D49"/>
    <mergeCell ref="C50:D50"/>
    <mergeCell ref="C51:D51"/>
    <mergeCell ref="C52:D52"/>
    <mergeCell ref="B53:D53"/>
    <mergeCell ref="B45:B52"/>
    <mergeCell ref="C45:D45"/>
    <mergeCell ref="I45:J45"/>
    <mergeCell ref="B61:C61"/>
    <mergeCell ref="D61:E61"/>
    <mergeCell ref="F61:G61"/>
    <mergeCell ref="H61:I61"/>
    <mergeCell ref="J61:K61"/>
    <mergeCell ref="L61:N61"/>
    <mergeCell ref="B56:C56"/>
    <mergeCell ref="D56:E56"/>
    <mergeCell ref="F56:G56"/>
    <mergeCell ref="H56:I56"/>
    <mergeCell ref="J56:K56"/>
    <mergeCell ref="L56:N56"/>
    <mergeCell ref="A66:E66"/>
    <mergeCell ref="L66:N66"/>
    <mergeCell ref="F70:H70"/>
    <mergeCell ref="B71:B72"/>
    <mergeCell ref="C71:C72"/>
    <mergeCell ref="D71:D72"/>
    <mergeCell ref="E71:E72"/>
    <mergeCell ref="I71:I72"/>
    <mergeCell ref="K71:K72"/>
    <mergeCell ref="L71:L72"/>
    <mergeCell ref="K77:L77"/>
    <mergeCell ref="C78:D78"/>
    <mergeCell ref="I78:J78"/>
    <mergeCell ref="K78:L78"/>
    <mergeCell ref="C79:D79"/>
    <mergeCell ref="I79:J79"/>
    <mergeCell ref="K79:L79"/>
    <mergeCell ref="M71:M72"/>
    <mergeCell ref="N71:N72"/>
    <mergeCell ref="B75:D75"/>
    <mergeCell ref="B76:D76"/>
    <mergeCell ref="I76:J76"/>
    <mergeCell ref="K76:L76"/>
    <mergeCell ref="C80:D80"/>
    <mergeCell ref="C81:D81"/>
    <mergeCell ref="C82:D82"/>
    <mergeCell ref="C83:D83"/>
    <mergeCell ref="C84:D84"/>
    <mergeCell ref="B85:D85"/>
    <mergeCell ref="B77:B84"/>
    <mergeCell ref="C77:D77"/>
    <mergeCell ref="I77:J77"/>
    <mergeCell ref="B93:C93"/>
    <mergeCell ref="D93:E93"/>
    <mergeCell ref="F93:G93"/>
    <mergeCell ref="H93:I93"/>
    <mergeCell ref="J93:K93"/>
    <mergeCell ref="L93:N93"/>
    <mergeCell ref="B88:C88"/>
    <mergeCell ref="D88:E88"/>
    <mergeCell ref="F88:G88"/>
    <mergeCell ref="H88:I88"/>
    <mergeCell ref="J88:K88"/>
    <mergeCell ref="L88:N88"/>
    <mergeCell ref="A98:E98"/>
    <mergeCell ref="L98:N98"/>
    <mergeCell ref="F102:H102"/>
    <mergeCell ref="B103:B104"/>
    <mergeCell ref="C103:C104"/>
    <mergeCell ref="D103:D104"/>
    <mergeCell ref="E103:E104"/>
    <mergeCell ref="I103:I104"/>
    <mergeCell ref="K103:K104"/>
    <mergeCell ref="L103:L104"/>
    <mergeCell ref="K109:L109"/>
    <mergeCell ref="C110:D110"/>
    <mergeCell ref="I110:J110"/>
    <mergeCell ref="K110:L110"/>
    <mergeCell ref="C111:D111"/>
    <mergeCell ref="I111:J111"/>
    <mergeCell ref="K111:L111"/>
    <mergeCell ref="M103:M104"/>
    <mergeCell ref="N103:N104"/>
    <mergeCell ref="B107:D107"/>
    <mergeCell ref="B108:D108"/>
    <mergeCell ref="I108:J108"/>
    <mergeCell ref="K108:L108"/>
    <mergeCell ref="C112:D112"/>
    <mergeCell ref="C113:D113"/>
    <mergeCell ref="C114:D114"/>
    <mergeCell ref="C115:D115"/>
    <mergeCell ref="C116:D116"/>
    <mergeCell ref="B117:D117"/>
    <mergeCell ref="B109:B116"/>
    <mergeCell ref="C109:D109"/>
    <mergeCell ref="I109:J109"/>
    <mergeCell ref="B125:C125"/>
    <mergeCell ref="D125:E125"/>
    <mergeCell ref="F125:G125"/>
    <mergeCell ref="H125:I125"/>
    <mergeCell ref="J125:K125"/>
    <mergeCell ref="L125:N125"/>
    <mergeCell ref="B120:C120"/>
    <mergeCell ref="D120:E120"/>
    <mergeCell ref="F120:G120"/>
    <mergeCell ref="H120:I120"/>
    <mergeCell ref="J120:K120"/>
    <mergeCell ref="L120:N120"/>
    <mergeCell ref="A130:E130"/>
    <mergeCell ref="L130:N130"/>
    <mergeCell ref="F134:H134"/>
    <mergeCell ref="B135:B136"/>
    <mergeCell ref="C135:C136"/>
    <mergeCell ref="D135:D136"/>
    <mergeCell ref="E135:E136"/>
    <mergeCell ref="I135:I136"/>
    <mergeCell ref="K135:K136"/>
    <mergeCell ref="L135:L136"/>
    <mergeCell ref="K141:L141"/>
    <mergeCell ref="C142:D142"/>
    <mergeCell ref="I142:J142"/>
    <mergeCell ref="K142:L142"/>
    <mergeCell ref="C143:D143"/>
    <mergeCell ref="I143:J143"/>
    <mergeCell ref="K143:L143"/>
    <mergeCell ref="M135:M136"/>
    <mergeCell ref="N135:N136"/>
    <mergeCell ref="B139:D139"/>
    <mergeCell ref="B140:D140"/>
    <mergeCell ref="I140:J140"/>
    <mergeCell ref="K140:L140"/>
    <mergeCell ref="C144:D144"/>
    <mergeCell ref="C145:D145"/>
    <mergeCell ref="C146:D146"/>
    <mergeCell ref="C147:D147"/>
    <mergeCell ref="C148:D148"/>
    <mergeCell ref="B149:D149"/>
    <mergeCell ref="B141:B148"/>
    <mergeCell ref="C141:D141"/>
    <mergeCell ref="I141:J141"/>
    <mergeCell ref="B157:C157"/>
    <mergeCell ref="D157:E157"/>
    <mergeCell ref="F157:G157"/>
    <mergeCell ref="H157:I157"/>
    <mergeCell ref="J157:K157"/>
    <mergeCell ref="L157:N157"/>
    <mergeCell ref="B152:C152"/>
    <mergeCell ref="D152:E152"/>
    <mergeCell ref="F152:G152"/>
    <mergeCell ref="H152:I152"/>
    <mergeCell ref="J152:K152"/>
    <mergeCell ref="L152:N152"/>
    <mergeCell ref="A162:E162"/>
    <mergeCell ref="L162:N162"/>
    <mergeCell ref="F166:H166"/>
    <mergeCell ref="B167:B168"/>
    <mergeCell ref="C167:C168"/>
    <mergeCell ref="D167:D168"/>
    <mergeCell ref="E167:E168"/>
    <mergeCell ref="I167:I168"/>
    <mergeCell ref="K167:K168"/>
    <mergeCell ref="L167:L168"/>
    <mergeCell ref="K173:L173"/>
    <mergeCell ref="C174:D174"/>
    <mergeCell ref="I174:J174"/>
    <mergeCell ref="K174:L174"/>
    <mergeCell ref="C175:D175"/>
    <mergeCell ref="I175:J175"/>
    <mergeCell ref="K175:L175"/>
    <mergeCell ref="M167:M168"/>
    <mergeCell ref="N167:N168"/>
    <mergeCell ref="B171:D171"/>
    <mergeCell ref="B172:D172"/>
    <mergeCell ref="I172:J172"/>
    <mergeCell ref="K172:L172"/>
    <mergeCell ref="C176:D176"/>
    <mergeCell ref="C177:D177"/>
    <mergeCell ref="C178:D178"/>
    <mergeCell ref="C179:D179"/>
    <mergeCell ref="C180:D180"/>
    <mergeCell ref="B181:D181"/>
    <mergeCell ref="B173:B180"/>
    <mergeCell ref="C173:D173"/>
    <mergeCell ref="I173:J173"/>
    <mergeCell ref="B189:C189"/>
    <mergeCell ref="D189:E189"/>
    <mergeCell ref="F189:G189"/>
    <mergeCell ref="H189:I189"/>
    <mergeCell ref="J189:K189"/>
    <mergeCell ref="L189:N189"/>
    <mergeCell ref="B184:C184"/>
    <mergeCell ref="D184:E184"/>
    <mergeCell ref="F184:G184"/>
    <mergeCell ref="H184:I184"/>
    <mergeCell ref="J184:K184"/>
    <mergeCell ref="L184:N184"/>
    <mergeCell ref="A193:E193"/>
    <mergeCell ref="L193:N193"/>
    <mergeCell ref="F197:H197"/>
    <mergeCell ref="B198:B199"/>
    <mergeCell ref="C198:C199"/>
    <mergeCell ref="D198:D199"/>
    <mergeCell ref="E198:E199"/>
    <mergeCell ref="I198:I199"/>
    <mergeCell ref="K198:K199"/>
    <mergeCell ref="L198:L199"/>
    <mergeCell ref="K204:L204"/>
    <mergeCell ref="C205:D205"/>
    <mergeCell ref="I205:J205"/>
    <mergeCell ref="K205:L205"/>
    <mergeCell ref="C206:D206"/>
    <mergeCell ref="I206:J206"/>
    <mergeCell ref="K206:L206"/>
    <mergeCell ref="M198:M199"/>
    <mergeCell ref="N198:N199"/>
    <mergeCell ref="B202:D202"/>
    <mergeCell ref="B203:D203"/>
    <mergeCell ref="I203:J203"/>
    <mergeCell ref="K203:L203"/>
    <mergeCell ref="C207:D207"/>
    <mergeCell ref="C208:D208"/>
    <mergeCell ref="C209:D209"/>
    <mergeCell ref="C210:D210"/>
    <mergeCell ref="C211:D211"/>
    <mergeCell ref="B212:D212"/>
    <mergeCell ref="B204:B211"/>
    <mergeCell ref="C204:D204"/>
    <mergeCell ref="I204:J204"/>
    <mergeCell ref="B220:C220"/>
    <mergeCell ref="D220:E220"/>
    <mergeCell ref="F220:G220"/>
    <mergeCell ref="H220:I220"/>
    <mergeCell ref="J220:K220"/>
    <mergeCell ref="L220:N220"/>
    <mergeCell ref="B215:C215"/>
    <mergeCell ref="D215:E215"/>
    <mergeCell ref="F215:G215"/>
    <mergeCell ref="H215:I215"/>
    <mergeCell ref="J215:K215"/>
    <mergeCell ref="L215:N215"/>
    <mergeCell ref="A225:E225"/>
    <mergeCell ref="L225:N225"/>
    <mergeCell ref="F229:H229"/>
    <mergeCell ref="B230:B231"/>
    <mergeCell ref="C230:C231"/>
    <mergeCell ref="D230:D231"/>
    <mergeCell ref="E230:E231"/>
    <mergeCell ref="I230:I231"/>
    <mergeCell ref="K230:K231"/>
    <mergeCell ref="L230:L231"/>
    <mergeCell ref="K236:L236"/>
    <mergeCell ref="C237:D237"/>
    <mergeCell ref="I237:J237"/>
    <mergeCell ref="K237:L237"/>
    <mergeCell ref="C238:D238"/>
    <mergeCell ref="I238:J238"/>
    <mergeCell ref="K238:L238"/>
    <mergeCell ref="M230:M231"/>
    <mergeCell ref="N230:N231"/>
    <mergeCell ref="B234:D234"/>
    <mergeCell ref="B235:D235"/>
    <mergeCell ref="I235:J235"/>
    <mergeCell ref="K235:L235"/>
    <mergeCell ref="C239:D239"/>
    <mergeCell ref="C240:D240"/>
    <mergeCell ref="C241:D241"/>
    <mergeCell ref="C242:D242"/>
    <mergeCell ref="C243:D243"/>
    <mergeCell ref="B244:D244"/>
    <mergeCell ref="B236:B243"/>
    <mergeCell ref="C236:D236"/>
    <mergeCell ref="I236:J236"/>
    <mergeCell ref="B252:C252"/>
    <mergeCell ref="D252:E252"/>
    <mergeCell ref="F252:G252"/>
    <mergeCell ref="H252:I252"/>
    <mergeCell ref="J252:K252"/>
    <mergeCell ref="L252:N252"/>
    <mergeCell ref="B247:C247"/>
    <mergeCell ref="D247:E247"/>
    <mergeCell ref="F247:G247"/>
    <mergeCell ref="H247:I247"/>
    <mergeCell ref="J247:K247"/>
    <mergeCell ref="L247:N247"/>
    <mergeCell ref="A257:E257"/>
    <mergeCell ref="L257:N257"/>
    <mergeCell ref="F261:H261"/>
    <mergeCell ref="B262:B263"/>
    <mergeCell ref="C262:C263"/>
    <mergeCell ref="D262:D263"/>
    <mergeCell ref="E262:E263"/>
    <mergeCell ref="I262:I263"/>
    <mergeCell ref="K262:K263"/>
    <mergeCell ref="L262:L263"/>
    <mergeCell ref="K268:L268"/>
    <mergeCell ref="C269:D269"/>
    <mergeCell ref="I269:J269"/>
    <mergeCell ref="K269:L269"/>
    <mergeCell ref="C270:D270"/>
    <mergeCell ref="I270:J270"/>
    <mergeCell ref="K270:L270"/>
    <mergeCell ref="M262:M263"/>
    <mergeCell ref="N262:N263"/>
    <mergeCell ref="B266:D266"/>
    <mergeCell ref="B267:D267"/>
    <mergeCell ref="I267:J267"/>
    <mergeCell ref="K267:L267"/>
    <mergeCell ref="C271:D271"/>
    <mergeCell ref="C272:D272"/>
    <mergeCell ref="C273:D273"/>
    <mergeCell ref="C274:D274"/>
    <mergeCell ref="C275:D275"/>
    <mergeCell ref="B276:D276"/>
    <mergeCell ref="B268:B275"/>
    <mergeCell ref="C268:D268"/>
    <mergeCell ref="I268:J268"/>
    <mergeCell ref="B284:C284"/>
    <mergeCell ref="D284:E284"/>
    <mergeCell ref="F284:G284"/>
    <mergeCell ref="H284:I284"/>
    <mergeCell ref="J284:K284"/>
    <mergeCell ref="L284:N284"/>
    <mergeCell ref="B279:C279"/>
    <mergeCell ref="D279:E279"/>
    <mergeCell ref="F279:G279"/>
    <mergeCell ref="H279:I279"/>
    <mergeCell ref="J279:K279"/>
    <mergeCell ref="L279:N279"/>
    <mergeCell ref="A289:E289"/>
    <mergeCell ref="L289:N289"/>
    <mergeCell ref="F293:H293"/>
    <mergeCell ref="B294:B295"/>
    <mergeCell ref="C294:C295"/>
    <mergeCell ref="D294:D295"/>
    <mergeCell ref="E294:E295"/>
    <mergeCell ref="I294:I295"/>
    <mergeCell ref="K294:K295"/>
    <mergeCell ref="L294:L295"/>
    <mergeCell ref="K300:L300"/>
    <mergeCell ref="C301:D301"/>
    <mergeCell ref="I301:J301"/>
    <mergeCell ref="K301:L301"/>
    <mergeCell ref="C302:D302"/>
    <mergeCell ref="I302:J302"/>
    <mergeCell ref="K302:L302"/>
    <mergeCell ref="M294:M295"/>
    <mergeCell ref="N294:N295"/>
    <mergeCell ref="B298:D298"/>
    <mergeCell ref="B299:D299"/>
    <mergeCell ref="I299:J299"/>
    <mergeCell ref="K299:L299"/>
    <mergeCell ref="C303:D303"/>
    <mergeCell ref="C304:D304"/>
    <mergeCell ref="C305:D305"/>
    <mergeCell ref="C306:D306"/>
    <mergeCell ref="C307:D307"/>
    <mergeCell ref="B308:D308"/>
    <mergeCell ref="B300:B307"/>
    <mergeCell ref="C300:D300"/>
    <mergeCell ref="I300:J300"/>
    <mergeCell ref="B316:C316"/>
    <mergeCell ref="D316:E316"/>
    <mergeCell ref="F316:G316"/>
    <mergeCell ref="H316:I316"/>
    <mergeCell ref="J316:K316"/>
    <mergeCell ref="L316:N316"/>
    <mergeCell ref="B311:C311"/>
    <mergeCell ref="D311:E311"/>
    <mergeCell ref="F311:G311"/>
    <mergeCell ref="H311:I311"/>
    <mergeCell ref="J311:K311"/>
    <mergeCell ref="L311:N311"/>
    <mergeCell ref="A321:E321"/>
    <mergeCell ref="L321:N321"/>
    <mergeCell ref="F325:H325"/>
    <mergeCell ref="B326:B327"/>
    <mergeCell ref="C326:C327"/>
    <mergeCell ref="D326:D327"/>
    <mergeCell ref="E326:E327"/>
    <mergeCell ref="I326:I327"/>
    <mergeCell ref="K326:K327"/>
    <mergeCell ref="L326:L327"/>
    <mergeCell ref="K332:L332"/>
    <mergeCell ref="C333:D333"/>
    <mergeCell ref="I333:J333"/>
    <mergeCell ref="K333:L333"/>
    <mergeCell ref="C334:D334"/>
    <mergeCell ref="I334:J334"/>
    <mergeCell ref="K334:L334"/>
    <mergeCell ref="M326:M327"/>
    <mergeCell ref="N326:N327"/>
    <mergeCell ref="B330:D330"/>
    <mergeCell ref="B331:D331"/>
    <mergeCell ref="I331:J331"/>
    <mergeCell ref="K331:L331"/>
    <mergeCell ref="C335:D335"/>
    <mergeCell ref="C336:D336"/>
    <mergeCell ref="C337:D337"/>
    <mergeCell ref="C338:D338"/>
    <mergeCell ref="C339:D339"/>
    <mergeCell ref="B340:D340"/>
    <mergeCell ref="B332:B339"/>
    <mergeCell ref="C332:D332"/>
    <mergeCell ref="I332:J332"/>
    <mergeCell ref="B348:C348"/>
    <mergeCell ref="D348:E348"/>
    <mergeCell ref="F348:G348"/>
    <mergeCell ref="H348:I348"/>
    <mergeCell ref="J348:K348"/>
    <mergeCell ref="L348:N348"/>
    <mergeCell ref="B343:C343"/>
    <mergeCell ref="D343:E343"/>
    <mergeCell ref="F343:G343"/>
    <mergeCell ref="H343:I343"/>
    <mergeCell ref="J343:K343"/>
    <mergeCell ref="L343:N343"/>
    <mergeCell ref="A353:E353"/>
    <mergeCell ref="L353:N353"/>
    <mergeCell ref="F357:H357"/>
    <mergeCell ref="B358:B359"/>
    <mergeCell ref="C358:C359"/>
    <mergeCell ref="D358:D359"/>
    <mergeCell ref="E358:E359"/>
    <mergeCell ref="I358:I359"/>
    <mergeCell ref="K358:K359"/>
    <mergeCell ref="L358:L359"/>
    <mergeCell ref="K364:L364"/>
    <mergeCell ref="C365:D365"/>
    <mergeCell ref="I365:J365"/>
    <mergeCell ref="K365:L365"/>
    <mergeCell ref="C366:D366"/>
    <mergeCell ref="I366:J366"/>
    <mergeCell ref="K366:L366"/>
    <mergeCell ref="M358:M359"/>
    <mergeCell ref="N358:N359"/>
    <mergeCell ref="B362:D362"/>
    <mergeCell ref="B363:D363"/>
    <mergeCell ref="I363:J363"/>
    <mergeCell ref="K363:L363"/>
    <mergeCell ref="C367:D367"/>
    <mergeCell ref="C368:D368"/>
    <mergeCell ref="C369:D369"/>
    <mergeCell ref="C370:D370"/>
    <mergeCell ref="C371:D371"/>
    <mergeCell ref="B372:D372"/>
    <mergeCell ref="B364:B371"/>
    <mergeCell ref="C364:D364"/>
    <mergeCell ref="I364:J364"/>
    <mergeCell ref="B380:C380"/>
    <mergeCell ref="D380:E380"/>
    <mergeCell ref="F380:G380"/>
    <mergeCell ref="H380:I380"/>
    <mergeCell ref="J380:K380"/>
    <mergeCell ref="L380:N380"/>
    <mergeCell ref="B375:C375"/>
    <mergeCell ref="D375:E375"/>
    <mergeCell ref="F375:G375"/>
    <mergeCell ref="H375:I375"/>
    <mergeCell ref="J375:K375"/>
    <mergeCell ref="L375:N375"/>
    <mergeCell ref="A385:E385"/>
    <mergeCell ref="L385:N385"/>
    <mergeCell ref="F389:H389"/>
    <mergeCell ref="B390:B391"/>
    <mergeCell ref="C390:C391"/>
    <mergeCell ref="D390:D391"/>
    <mergeCell ref="E390:E391"/>
    <mergeCell ref="I390:I391"/>
    <mergeCell ref="K390:K391"/>
    <mergeCell ref="L390:L391"/>
    <mergeCell ref="K396:L396"/>
    <mergeCell ref="C397:D397"/>
    <mergeCell ref="I397:J397"/>
    <mergeCell ref="K397:L397"/>
    <mergeCell ref="C398:D398"/>
    <mergeCell ref="I398:J398"/>
    <mergeCell ref="K398:L398"/>
    <mergeCell ref="M390:M391"/>
    <mergeCell ref="N390:N391"/>
    <mergeCell ref="B394:D394"/>
    <mergeCell ref="B395:D395"/>
    <mergeCell ref="I395:J395"/>
    <mergeCell ref="K395:L395"/>
    <mergeCell ref="C399:D399"/>
    <mergeCell ref="C400:D400"/>
    <mergeCell ref="C401:D401"/>
    <mergeCell ref="C402:D402"/>
    <mergeCell ref="C403:D403"/>
    <mergeCell ref="B404:D404"/>
    <mergeCell ref="B396:B403"/>
    <mergeCell ref="C396:D396"/>
    <mergeCell ref="I396:J396"/>
    <mergeCell ref="B412:C412"/>
    <mergeCell ref="D412:E412"/>
    <mergeCell ref="F412:G412"/>
    <mergeCell ref="H412:I412"/>
    <mergeCell ref="J412:K412"/>
    <mergeCell ref="L412:N412"/>
    <mergeCell ref="B407:C407"/>
    <mergeCell ref="D407:E407"/>
    <mergeCell ref="F407:G407"/>
    <mergeCell ref="H407:I407"/>
    <mergeCell ref="J407:K407"/>
    <mergeCell ref="L407:N407"/>
    <mergeCell ref="A417:E417"/>
    <mergeCell ref="L417:N417"/>
    <mergeCell ref="F421:H421"/>
    <mergeCell ref="B422:B423"/>
    <mergeCell ref="C422:C423"/>
    <mergeCell ref="D422:D423"/>
    <mergeCell ref="E422:E423"/>
    <mergeCell ref="I422:I423"/>
    <mergeCell ref="K422:K423"/>
    <mergeCell ref="L422:L423"/>
    <mergeCell ref="K428:L428"/>
    <mergeCell ref="C429:D429"/>
    <mergeCell ref="I429:J429"/>
    <mergeCell ref="K429:L429"/>
    <mergeCell ref="C430:D430"/>
    <mergeCell ref="I430:J430"/>
    <mergeCell ref="K430:L430"/>
    <mergeCell ref="M422:M423"/>
    <mergeCell ref="N422:N423"/>
    <mergeCell ref="B426:D426"/>
    <mergeCell ref="B427:D427"/>
    <mergeCell ref="I427:J427"/>
    <mergeCell ref="K427:L427"/>
    <mergeCell ref="C431:D431"/>
    <mergeCell ref="C432:D432"/>
    <mergeCell ref="C433:D433"/>
    <mergeCell ref="C434:D434"/>
    <mergeCell ref="C435:D435"/>
    <mergeCell ref="B436:D436"/>
    <mergeCell ref="B428:B435"/>
    <mergeCell ref="C428:D428"/>
    <mergeCell ref="I428:J428"/>
    <mergeCell ref="B444:C444"/>
    <mergeCell ref="D444:E444"/>
    <mergeCell ref="F444:G444"/>
    <mergeCell ref="H444:I444"/>
    <mergeCell ref="J444:K444"/>
    <mergeCell ref="L444:N444"/>
    <mergeCell ref="B439:C439"/>
    <mergeCell ref="D439:E439"/>
    <mergeCell ref="F439:G439"/>
    <mergeCell ref="H439:I439"/>
    <mergeCell ref="J439:K439"/>
    <mergeCell ref="L439:N439"/>
    <mergeCell ref="A449:E449"/>
    <mergeCell ref="L449:N449"/>
    <mergeCell ref="F453:H453"/>
    <mergeCell ref="B454:B455"/>
    <mergeCell ref="C454:C455"/>
    <mergeCell ref="D454:D455"/>
    <mergeCell ref="E454:E455"/>
    <mergeCell ref="I454:I455"/>
    <mergeCell ref="K454:K455"/>
    <mergeCell ref="L454:L455"/>
    <mergeCell ref="K460:L460"/>
    <mergeCell ref="C461:D461"/>
    <mergeCell ref="I461:J461"/>
    <mergeCell ref="K461:L461"/>
    <mergeCell ref="C462:D462"/>
    <mergeCell ref="I462:J462"/>
    <mergeCell ref="K462:L462"/>
    <mergeCell ref="M454:M455"/>
    <mergeCell ref="N454:N455"/>
    <mergeCell ref="B458:D458"/>
    <mergeCell ref="B459:D459"/>
    <mergeCell ref="I459:J459"/>
    <mergeCell ref="K459:L459"/>
    <mergeCell ref="C463:D463"/>
    <mergeCell ref="C464:D464"/>
    <mergeCell ref="C465:D465"/>
    <mergeCell ref="C466:D466"/>
    <mergeCell ref="C467:D467"/>
    <mergeCell ref="B468:D468"/>
    <mergeCell ref="B460:B467"/>
    <mergeCell ref="C460:D460"/>
    <mergeCell ref="I460:J460"/>
    <mergeCell ref="B476:C476"/>
    <mergeCell ref="D476:E476"/>
    <mergeCell ref="F476:G476"/>
    <mergeCell ref="H476:I476"/>
    <mergeCell ref="J476:K476"/>
    <mergeCell ref="L476:N476"/>
    <mergeCell ref="B471:C471"/>
    <mergeCell ref="D471:E471"/>
    <mergeCell ref="F471:G471"/>
    <mergeCell ref="H471:I471"/>
    <mergeCell ref="J471:K471"/>
    <mergeCell ref="L471:N471"/>
    <mergeCell ref="A481:E481"/>
    <mergeCell ref="L481:N481"/>
    <mergeCell ref="F485:H485"/>
    <mergeCell ref="B486:B487"/>
    <mergeCell ref="C486:C487"/>
    <mergeCell ref="D486:D487"/>
    <mergeCell ref="E486:E487"/>
    <mergeCell ref="I486:I487"/>
    <mergeCell ref="K486:K487"/>
    <mergeCell ref="L486:L487"/>
    <mergeCell ref="K492:L492"/>
    <mergeCell ref="C493:D493"/>
    <mergeCell ref="I493:J493"/>
    <mergeCell ref="K493:L493"/>
    <mergeCell ref="C494:D494"/>
    <mergeCell ref="I494:J494"/>
    <mergeCell ref="K494:L494"/>
    <mergeCell ref="M486:M487"/>
    <mergeCell ref="N486:N487"/>
    <mergeCell ref="B490:D490"/>
    <mergeCell ref="B491:D491"/>
    <mergeCell ref="I491:J491"/>
    <mergeCell ref="K491:L491"/>
    <mergeCell ref="C495:D495"/>
    <mergeCell ref="C496:D496"/>
    <mergeCell ref="C497:D497"/>
    <mergeCell ref="C498:D498"/>
    <mergeCell ref="C499:D499"/>
    <mergeCell ref="B500:D500"/>
    <mergeCell ref="B492:B499"/>
    <mergeCell ref="C492:D492"/>
    <mergeCell ref="I492:J492"/>
    <mergeCell ref="B508:C508"/>
    <mergeCell ref="D508:E508"/>
    <mergeCell ref="F508:G508"/>
    <mergeCell ref="H508:I508"/>
    <mergeCell ref="J508:K508"/>
    <mergeCell ref="L508:N508"/>
    <mergeCell ref="B503:C503"/>
    <mergeCell ref="D503:E503"/>
    <mergeCell ref="F503:G503"/>
    <mergeCell ref="H503:I503"/>
    <mergeCell ref="J503:K503"/>
    <mergeCell ref="L503:N50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survey</vt:lpstr>
      <vt:lpstr>e_codes</vt:lpstr>
      <vt:lpstr>t1</vt:lpstr>
      <vt:lpstr>t4&amp;t5</vt:lpstr>
      <vt:lpstr>t6&amp;t7</vt:lpstr>
      <vt:lpstr>t8&amp;t9</vt:lpstr>
      <vt:lpstr>t10</vt:lpstr>
      <vt:lpstr>t11</vt:lpstr>
      <vt:lpstr>t12</vt:lpstr>
      <vt:lpstr>'t1'!Print_Area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Mohammed</cp:lastModifiedBy>
  <cp:revision>13</cp:revision>
  <cp:lastPrinted>2026-03-05T20:41:57Z</cp:lastPrinted>
  <dcterms:modified xsi:type="dcterms:W3CDTF">2026-04-16T18:48:25Z</dcterms:modified>
  <dc:language>ar-IQ</dc:language>
</cp:coreProperties>
</file>