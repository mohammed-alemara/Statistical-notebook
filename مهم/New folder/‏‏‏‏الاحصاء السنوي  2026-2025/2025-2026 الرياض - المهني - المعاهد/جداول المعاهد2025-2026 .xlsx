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0188" yWindow="-12" windowWidth="10320" windowHeight="7740" tabRatio="849" firstSheet="1" activeTab="1"/>
  </bookViews>
  <sheets>
    <sheet name="الفنون الجميلة" sheetId="2" state="hidden" r:id="rId1"/>
    <sheet name="ج 1 و 2و3" sheetId="8" r:id="rId2"/>
    <sheet name="ج 4و5و6" sheetId="6" r:id="rId3"/>
    <sheet name="ج 7 و 8" sheetId="3" r:id="rId4"/>
    <sheet name="ج 9 و 10" sheetId="9" r:id="rId5"/>
    <sheet name="ج 11" sheetId="11" r:id="rId6"/>
    <sheet name="ج12" sheetId="13" r:id="rId7"/>
    <sheet name="جدول11قضاء النجف" sheetId="12" state="hidden" r:id="rId8"/>
  </sheets>
  <definedNames>
    <definedName name="_xlnm._FilterDatabase" localSheetId="0" hidden="1">'الفنون الجميلة'!$A$5:$APQ$17</definedName>
    <definedName name="_xlnm.Print_Area" localSheetId="0">'الفنون الجميلة'!$A$1:$IX$5</definedName>
    <definedName name="_xlnm.Print_Area" localSheetId="1">'ج 1 و 2و3'!$A$1:$Y$26</definedName>
    <definedName name="_xlnm.Print_Area" localSheetId="5">'ج 11'!$A$1:$AJ$11</definedName>
    <definedName name="_xlnm.Print_Area" localSheetId="2">'ج 4و5و6'!$A$1:$W$77</definedName>
    <definedName name="_xlnm.Print_Area" localSheetId="3">'ج 7 و 8'!$A$1:$T$18</definedName>
    <definedName name="_xlnm.Print_Area" localSheetId="4">'ج 9 و 10'!$A$1:$W$44</definedName>
    <definedName name="_xlnm.Print_Area" localSheetId="6">ج12!$A$1:$Q$30</definedName>
  </definedNames>
  <calcPr calcId="145621"/>
</workbook>
</file>

<file path=xl/calcChain.xml><?xml version="1.0" encoding="utf-8"?>
<calcChain xmlns="http://schemas.openxmlformats.org/spreadsheetml/2006/main">
  <c r="F29" i="13" l="1"/>
  <c r="E29" i="13"/>
  <c r="LO17" i="2"/>
  <c r="F30" i="13" l="1"/>
  <c r="E30" i="13"/>
  <c r="G29" i="13"/>
  <c r="G30" i="13" s="1"/>
  <c r="LN7" i="2" l="1"/>
  <c r="LO7" i="2"/>
  <c r="LN8" i="2"/>
  <c r="LO8" i="2"/>
  <c r="LN9" i="2"/>
  <c r="LO9" i="2"/>
  <c r="LN11" i="2"/>
  <c r="LO11" i="2"/>
  <c r="LN12" i="2"/>
  <c r="LO12" i="2"/>
  <c r="LN14" i="2"/>
  <c r="LO14" i="2"/>
  <c r="LN15" i="2"/>
  <c r="LO15" i="2"/>
  <c r="LO6" i="2"/>
  <c r="LN6" i="2"/>
  <c r="AIE8" i="2" l="1"/>
  <c r="AIF8" i="2"/>
  <c r="AIG8" i="2" s="1"/>
  <c r="AIE9" i="2"/>
  <c r="AIF9" i="2"/>
  <c r="AIG9" i="2" s="1"/>
  <c r="G10" i="2" l="1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M10" i="2"/>
  <c r="DN10" i="2"/>
  <c r="DO10" i="2"/>
  <c r="DP10" i="2"/>
  <c r="DQ10" i="2"/>
  <c r="DR10" i="2"/>
  <c r="DS10" i="2"/>
  <c r="DT10" i="2"/>
  <c r="DU10" i="2"/>
  <c r="DV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GC10" i="2"/>
  <c r="GD10" i="2"/>
  <c r="GE10" i="2"/>
  <c r="GF10" i="2"/>
  <c r="GG10" i="2"/>
  <c r="GH10" i="2"/>
  <c r="GI10" i="2"/>
  <c r="GJ10" i="2"/>
  <c r="GK10" i="2"/>
  <c r="GL10" i="2"/>
  <c r="GP10" i="2"/>
  <c r="GQ10" i="2"/>
  <c r="GR10" i="2"/>
  <c r="GS10" i="2"/>
  <c r="GT10" i="2"/>
  <c r="GU10" i="2"/>
  <c r="GV10" i="2"/>
  <c r="GW10" i="2"/>
  <c r="GX10" i="2"/>
  <c r="GY10" i="2"/>
  <c r="HC10" i="2"/>
  <c r="HD10" i="2"/>
  <c r="HE10" i="2"/>
  <c r="HF10" i="2"/>
  <c r="HG10" i="2"/>
  <c r="HH10" i="2"/>
  <c r="HI10" i="2"/>
  <c r="HJ10" i="2"/>
  <c r="HK10" i="2"/>
  <c r="HL10" i="2"/>
  <c r="HP10" i="2"/>
  <c r="HQ10" i="2"/>
  <c r="HR10" i="2"/>
  <c r="HS10" i="2"/>
  <c r="HT10" i="2"/>
  <c r="HU10" i="2"/>
  <c r="HV10" i="2"/>
  <c r="HW10" i="2"/>
  <c r="HX10" i="2"/>
  <c r="HY10" i="2"/>
  <c r="IC10" i="2"/>
  <c r="ID10" i="2"/>
  <c r="IE10" i="2"/>
  <c r="IF10" i="2"/>
  <c r="IG10" i="2"/>
  <c r="IH10" i="2"/>
  <c r="II10" i="2"/>
  <c r="IJ10" i="2"/>
  <c r="IK10" i="2"/>
  <c r="IL10" i="2"/>
  <c r="IP10" i="2"/>
  <c r="IQ10" i="2"/>
  <c r="IR10" i="2"/>
  <c r="IS10" i="2"/>
  <c r="IT10" i="2"/>
  <c r="IU10" i="2"/>
  <c r="IV10" i="2"/>
  <c r="IW10" i="2"/>
  <c r="IX10" i="2"/>
  <c r="IY10" i="2"/>
  <c r="JC10" i="2"/>
  <c r="JD10" i="2"/>
  <c r="JE10" i="2"/>
  <c r="JF10" i="2"/>
  <c r="JG10" i="2"/>
  <c r="JH10" i="2"/>
  <c r="JI10" i="2"/>
  <c r="JJ10" i="2"/>
  <c r="JK10" i="2"/>
  <c r="JL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M10" i="2"/>
  <c r="KN10" i="2"/>
  <c r="KO10" i="2"/>
  <c r="KP10" i="2"/>
  <c r="KQ10" i="2"/>
  <c r="KR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MX10" i="2"/>
  <c r="MY10" i="2"/>
  <c r="NC10" i="2"/>
  <c r="ND10" i="2"/>
  <c r="NE10" i="2"/>
  <c r="NF10" i="2"/>
  <c r="NG10" i="2"/>
  <c r="NH10" i="2"/>
  <c r="NI10" i="2"/>
  <c r="NJ10" i="2"/>
  <c r="NK10" i="2"/>
  <c r="NL10" i="2"/>
  <c r="NM10" i="2"/>
  <c r="NN10" i="2"/>
  <c r="NO10" i="2"/>
  <c r="NP10" i="2"/>
  <c r="NQ10" i="2"/>
  <c r="NR10" i="2"/>
  <c r="NV10" i="2"/>
  <c r="NW10" i="2"/>
  <c r="NX10" i="2"/>
  <c r="NY10" i="2"/>
  <c r="NZ10" i="2"/>
  <c r="OA10" i="2"/>
  <c r="OB10" i="2"/>
  <c r="OC10" i="2"/>
  <c r="OD10" i="2"/>
  <c r="OE10" i="2"/>
  <c r="OF10" i="2"/>
  <c r="OG10" i="2"/>
  <c r="OH10" i="2"/>
  <c r="OI10" i="2"/>
  <c r="OJ10" i="2"/>
  <c r="OK10" i="2"/>
  <c r="OO10" i="2"/>
  <c r="OP10" i="2"/>
  <c r="OQ10" i="2"/>
  <c r="OR10" i="2"/>
  <c r="OS10" i="2"/>
  <c r="OT10" i="2"/>
  <c r="OU10" i="2"/>
  <c r="OV10" i="2"/>
  <c r="OW10" i="2"/>
  <c r="OX10" i="2"/>
  <c r="OY10" i="2"/>
  <c r="OZ10" i="2"/>
  <c r="PA10" i="2"/>
  <c r="PB10" i="2"/>
  <c r="PC10" i="2"/>
  <c r="PD10" i="2"/>
  <c r="PH10" i="2"/>
  <c r="PI10" i="2"/>
  <c r="PJ10" i="2"/>
  <c r="PK10" i="2"/>
  <c r="PL10" i="2"/>
  <c r="PM10" i="2"/>
  <c r="PN10" i="2"/>
  <c r="PO10" i="2"/>
  <c r="PP10" i="2"/>
  <c r="PQ10" i="2"/>
  <c r="PR10" i="2"/>
  <c r="PS10" i="2"/>
  <c r="PT10" i="2"/>
  <c r="PU10" i="2"/>
  <c r="PV10" i="2"/>
  <c r="PW10" i="2"/>
  <c r="QA10" i="2"/>
  <c r="QB10" i="2"/>
  <c r="QC10" i="2"/>
  <c r="QD10" i="2"/>
  <c r="QE10" i="2"/>
  <c r="QF10" i="2"/>
  <c r="QG10" i="2"/>
  <c r="QH10" i="2"/>
  <c r="QI10" i="2"/>
  <c r="QJ10" i="2"/>
  <c r="QK10" i="2"/>
  <c r="QL10" i="2"/>
  <c r="QM10" i="2"/>
  <c r="QN10" i="2"/>
  <c r="QO10" i="2"/>
  <c r="QP10" i="2"/>
  <c r="QT10" i="2"/>
  <c r="QU10" i="2"/>
  <c r="QV10" i="2"/>
  <c r="QW10" i="2"/>
  <c r="QX10" i="2"/>
  <c r="QY10" i="2"/>
  <c r="QZ10" i="2"/>
  <c r="RA10" i="2"/>
  <c r="RB10" i="2"/>
  <c r="RC10" i="2"/>
  <c r="RD10" i="2"/>
  <c r="RE10" i="2"/>
  <c r="RF10" i="2"/>
  <c r="RG10" i="2"/>
  <c r="RH10" i="2"/>
  <c r="RI10" i="2"/>
  <c r="RM10" i="2"/>
  <c r="RN10" i="2"/>
  <c r="RO10" i="2"/>
  <c r="RP10" i="2"/>
  <c r="RQ10" i="2"/>
  <c r="RR10" i="2"/>
  <c r="RS10" i="2"/>
  <c r="RT10" i="2"/>
  <c r="RU10" i="2"/>
  <c r="RV10" i="2"/>
  <c r="RW10" i="2"/>
  <c r="RX10" i="2"/>
  <c r="RY10" i="2"/>
  <c r="RZ10" i="2"/>
  <c r="SA10" i="2"/>
  <c r="SB10" i="2"/>
  <c r="SF10" i="2"/>
  <c r="SG10" i="2"/>
  <c r="SH10" i="2"/>
  <c r="SI10" i="2"/>
  <c r="SJ10" i="2"/>
  <c r="SK10" i="2"/>
  <c r="SL10" i="2"/>
  <c r="SM10" i="2"/>
  <c r="SN10" i="2"/>
  <c r="SO10" i="2"/>
  <c r="SP10" i="2"/>
  <c r="SQ10" i="2"/>
  <c r="SR10" i="2"/>
  <c r="SS10" i="2"/>
  <c r="ST10" i="2"/>
  <c r="SU10" i="2"/>
  <c r="SY10" i="2"/>
  <c r="SZ10" i="2"/>
  <c r="TA10" i="2"/>
  <c r="TB10" i="2"/>
  <c r="TC10" i="2"/>
  <c r="TD10" i="2"/>
  <c r="TE10" i="2"/>
  <c r="TF10" i="2"/>
  <c r="TG10" i="2"/>
  <c r="TH10" i="2"/>
  <c r="TI10" i="2"/>
  <c r="TJ10" i="2"/>
  <c r="TK10" i="2"/>
  <c r="TL10" i="2"/>
  <c r="TM10" i="2"/>
  <c r="TN10" i="2"/>
  <c r="TR10" i="2"/>
  <c r="TS10" i="2"/>
  <c r="TT10" i="2"/>
  <c r="TU10" i="2"/>
  <c r="TV10" i="2"/>
  <c r="TW10" i="2"/>
  <c r="TX10" i="2"/>
  <c r="TY10" i="2"/>
  <c r="TZ10" i="2"/>
  <c r="UA10" i="2"/>
  <c r="UB10" i="2"/>
  <c r="UC10" i="2"/>
  <c r="UD10" i="2"/>
  <c r="UE10" i="2"/>
  <c r="UF10" i="2"/>
  <c r="UG10" i="2"/>
  <c r="UK10" i="2"/>
  <c r="UL10" i="2"/>
  <c r="UM10" i="2"/>
  <c r="UN10" i="2"/>
  <c r="UO10" i="2"/>
  <c r="UP10" i="2"/>
  <c r="UQ10" i="2"/>
  <c r="UR10" i="2"/>
  <c r="US10" i="2"/>
  <c r="UT10" i="2"/>
  <c r="UU10" i="2"/>
  <c r="UV10" i="2"/>
  <c r="UW10" i="2"/>
  <c r="UX10" i="2"/>
  <c r="UY10" i="2"/>
  <c r="UZ10" i="2"/>
  <c r="VD10" i="2"/>
  <c r="VE10" i="2"/>
  <c r="VF10" i="2"/>
  <c r="VG10" i="2"/>
  <c r="VH10" i="2"/>
  <c r="VI10" i="2"/>
  <c r="VJ10" i="2"/>
  <c r="VK10" i="2"/>
  <c r="VL10" i="2"/>
  <c r="VM10" i="2"/>
  <c r="VN10" i="2"/>
  <c r="VO10" i="2"/>
  <c r="VP10" i="2"/>
  <c r="VQ10" i="2"/>
  <c r="VR10" i="2"/>
  <c r="VS10" i="2"/>
  <c r="VW10" i="2"/>
  <c r="VX10" i="2"/>
  <c r="VY10" i="2"/>
  <c r="VZ10" i="2"/>
  <c r="WA10" i="2"/>
  <c r="WB10" i="2"/>
  <c r="WC10" i="2"/>
  <c r="WD10" i="2"/>
  <c r="WE10" i="2"/>
  <c r="WF10" i="2"/>
  <c r="WG10" i="2"/>
  <c r="WH10" i="2"/>
  <c r="WI10" i="2"/>
  <c r="WJ10" i="2"/>
  <c r="WK10" i="2"/>
  <c r="WL10" i="2"/>
  <c r="WP10" i="2"/>
  <c r="WQ10" i="2"/>
  <c r="WR10" i="2"/>
  <c r="WS10" i="2"/>
  <c r="WT10" i="2"/>
  <c r="WU10" i="2"/>
  <c r="WV10" i="2"/>
  <c r="WW10" i="2"/>
  <c r="WX10" i="2"/>
  <c r="WY10" i="2"/>
  <c r="WZ10" i="2"/>
  <c r="XA10" i="2"/>
  <c r="XB10" i="2"/>
  <c r="XC10" i="2"/>
  <c r="XD10" i="2"/>
  <c r="XE10" i="2"/>
  <c r="XI10" i="2"/>
  <c r="XJ10" i="2"/>
  <c r="XK10" i="2"/>
  <c r="XL10" i="2"/>
  <c r="XM10" i="2"/>
  <c r="XN10" i="2"/>
  <c r="XO10" i="2"/>
  <c r="XP10" i="2"/>
  <c r="XQ10" i="2"/>
  <c r="XR10" i="2"/>
  <c r="XS10" i="2"/>
  <c r="XT10" i="2"/>
  <c r="XU10" i="2"/>
  <c r="XV10" i="2"/>
  <c r="XW10" i="2"/>
  <c r="XX10" i="2"/>
  <c r="YB10" i="2"/>
  <c r="YC10" i="2"/>
  <c r="YD10" i="2"/>
  <c r="YE10" i="2"/>
  <c r="YF10" i="2"/>
  <c r="YG10" i="2"/>
  <c r="YH10" i="2"/>
  <c r="YI10" i="2"/>
  <c r="YJ10" i="2"/>
  <c r="YK10" i="2"/>
  <c r="YL10" i="2"/>
  <c r="YM10" i="2"/>
  <c r="YN10" i="2"/>
  <c r="YO10" i="2"/>
  <c r="YP10" i="2"/>
  <c r="YQ10" i="2"/>
  <c r="YU10" i="2"/>
  <c r="YV10" i="2"/>
  <c r="YW10" i="2"/>
  <c r="YX10" i="2"/>
  <c r="YY10" i="2"/>
  <c r="YZ10" i="2"/>
  <c r="ZA10" i="2"/>
  <c r="ZB10" i="2"/>
  <c r="ZC10" i="2"/>
  <c r="ZD10" i="2"/>
  <c r="ZE10" i="2"/>
  <c r="ZF10" i="2"/>
  <c r="ZG10" i="2"/>
  <c r="ZH10" i="2"/>
  <c r="ZI10" i="2"/>
  <c r="ZJ10" i="2"/>
  <c r="ZN10" i="2"/>
  <c r="ZO10" i="2"/>
  <c r="ZP10" i="2"/>
  <c r="ZQ10" i="2"/>
  <c r="ZR10" i="2"/>
  <c r="ZS10" i="2"/>
  <c r="ZT10" i="2"/>
  <c r="ZU10" i="2"/>
  <c r="ZV10" i="2"/>
  <c r="ZW10" i="2"/>
  <c r="ZX10" i="2"/>
  <c r="ZY10" i="2"/>
  <c r="ZZ10" i="2"/>
  <c r="AAA10" i="2"/>
  <c r="AAB10" i="2"/>
  <c r="AAC10" i="2"/>
  <c r="AAG10" i="2"/>
  <c r="AAH10" i="2"/>
  <c r="AAI10" i="2"/>
  <c r="AAJ10" i="2"/>
  <c r="AAK10" i="2"/>
  <c r="AAL10" i="2"/>
  <c r="AAM10" i="2"/>
  <c r="AAN10" i="2"/>
  <c r="AAO10" i="2"/>
  <c r="AAP10" i="2"/>
  <c r="AAQ10" i="2"/>
  <c r="AAR10" i="2"/>
  <c r="AAS10" i="2"/>
  <c r="AAT10" i="2"/>
  <c r="AAU10" i="2"/>
  <c r="AAV10" i="2"/>
  <c r="AAZ10" i="2"/>
  <c r="ABA10" i="2"/>
  <c r="ABB10" i="2"/>
  <c r="ABC10" i="2"/>
  <c r="ABD10" i="2"/>
  <c r="ABE10" i="2"/>
  <c r="ABF10" i="2"/>
  <c r="ABG10" i="2"/>
  <c r="ABH10" i="2"/>
  <c r="ABI10" i="2"/>
  <c r="ABJ10" i="2"/>
  <c r="ABK10" i="2"/>
  <c r="ABL10" i="2"/>
  <c r="ABM10" i="2"/>
  <c r="ABN10" i="2"/>
  <c r="ABO10" i="2"/>
  <c r="ABS10" i="2"/>
  <c r="ABT10" i="2"/>
  <c r="ABU10" i="2"/>
  <c r="ABV10" i="2"/>
  <c r="ABW10" i="2"/>
  <c r="ABX10" i="2"/>
  <c r="ABY10" i="2"/>
  <c r="ABZ10" i="2"/>
  <c r="ACA10" i="2"/>
  <c r="ACB10" i="2"/>
  <c r="ACC10" i="2"/>
  <c r="ACD10" i="2"/>
  <c r="ACE10" i="2"/>
  <c r="ACF10" i="2"/>
  <c r="ACG10" i="2"/>
  <c r="ACH10" i="2"/>
  <c r="ACL10" i="2"/>
  <c r="ACM10" i="2"/>
  <c r="ACN10" i="2"/>
  <c r="ACO10" i="2"/>
  <c r="ACP10" i="2"/>
  <c r="ACQ10" i="2"/>
  <c r="ACR10" i="2"/>
  <c r="ACS10" i="2"/>
  <c r="ACT10" i="2"/>
  <c r="ACU10" i="2"/>
  <c r="ACV10" i="2"/>
  <c r="ACW10" i="2"/>
  <c r="ACX10" i="2"/>
  <c r="ACY10" i="2"/>
  <c r="ACZ10" i="2"/>
  <c r="ADA10" i="2"/>
  <c r="ADE10" i="2"/>
  <c r="ADF10" i="2"/>
  <c r="ADG10" i="2"/>
  <c r="ADH10" i="2"/>
  <c r="ADI10" i="2"/>
  <c r="ADJ10" i="2"/>
  <c r="ADK10" i="2"/>
  <c r="ADL10" i="2"/>
  <c r="ADM10" i="2"/>
  <c r="ADN10" i="2"/>
  <c r="ADO10" i="2"/>
  <c r="ADP10" i="2"/>
  <c r="ADQ10" i="2"/>
  <c r="ADR10" i="2"/>
  <c r="ADS10" i="2"/>
  <c r="ADT10" i="2"/>
  <c r="ADX10" i="2"/>
  <c r="ADY10" i="2"/>
  <c r="ADZ10" i="2"/>
  <c r="AEA10" i="2"/>
  <c r="AEB10" i="2"/>
  <c r="AEC10" i="2"/>
  <c r="AED10" i="2"/>
  <c r="AEE10" i="2"/>
  <c r="AEF10" i="2"/>
  <c r="AEG10" i="2"/>
  <c r="AEH10" i="2"/>
  <c r="AEI10" i="2"/>
  <c r="AEJ10" i="2"/>
  <c r="AEK10" i="2"/>
  <c r="AEL10" i="2"/>
  <c r="AEM10" i="2"/>
  <c r="AEQ10" i="2"/>
  <c r="AER10" i="2"/>
  <c r="AES10" i="2"/>
  <c r="AET10" i="2"/>
  <c r="AEU10" i="2"/>
  <c r="AEV10" i="2"/>
  <c r="AEW10" i="2"/>
  <c r="AEX10" i="2"/>
  <c r="AEY10" i="2"/>
  <c r="AEZ10" i="2"/>
  <c r="AFA10" i="2"/>
  <c r="AFB10" i="2"/>
  <c r="AFC10" i="2"/>
  <c r="AFD10" i="2"/>
  <c r="AFE10" i="2"/>
  <c r="AFF10" i="2"/>
  <c r="AFJ10" i="2"/>
  <c r="AFK10" i="2"/>
  <c r="AFL10" i="2"/>
  <c r="AFM10" i="2"/>
  <c r="AFN10" i="2"/>
  <c r="AFO10" i="2"/>
  <c r="AFP10" i="2"/>
  <c r="AFQ10" i="2"/>
  <c r="AFR10" i="2"/>
  <c r="AFS10" i="2"/>
  <c r="AFT10" i="2"/>
  <c r="AFU10" i="2"/>
  <c r="AFV10" i="2"/>
  <c r="AFW10" i="2"/>
  <c r="AFX10" i="2"/>
  <c r="AFY10" i="2"/>
  <c r="AGC10" i="2"/>
  <c r="AGD10" i="2"/>
  <c r="AGE10" i="2"/>
  <c r="AGF10" i="2"/>
  <c r="AGG10" i="2"/>
  <c r="AGH10" i="2"/>
  <c r="AGI10" i="2"/>
  <c r="AGJ10" i="2"/>
  <c r="AGK10" i="2"/>
  <c r="AGL10" i="2"/>
  <c r="AGM10" i="2"/>
  <c r="AGN10" i="2"/>
  <c r="AGO10" i="2"/>
  <c r="AGP10" i="2"/>
  <c r="AGQ10" i="2"/>
  <c r="AGR10" i="2"/>
  <c r="AGV10" i="2"/>
  <c r="AGW10" i="2"/>
  <c r="AGX10" i="2"/>
  <c r="AGY10" i="2"/>
  <c r="AGZ10" i="2"/>
  <c r="AHA10" i="2"/>
  <c r="AHB10" i="2"/>
  <c r="AHC10" i="2"/>
  <c r="AHD10" i="2"/>
  <c r="AHE10" i="2"/>
  <c r="AHF10" i="2"/>
  <c r="AHG10" i="2"/>
  <c r="AHH10" i="2"/>
  <c r="AHI10" i="2"/>
  <c r="AHJ10" i="2"/>
  <c r="AHK10" i="2"/>
  <c r="AHO10" i="2"/>
  <c r="AHP10" i="2"/>
  <c r="AHQ10" i="2"/>
  <c r="AHR10" i="2"/>
  <c r="AHS10" i="2"/>
  <c r="AHT10" i="2"/>
  <c r="AHU10" i="2"/>
  <c r="AHV10" i="2"/>
  <c r="AHW10" i="2"/>
  <c r="AHX10" i="2"/>
  <c r="AHY10" i="2"/>
  <c r="AHZ10" i="2"/>
  <c r="AIA10" i="2"/>
  <c r="AIB10" i="2"/>
  <c r="AIC10" i="2"/>
  <c r="AID10" i="2"/>
  <c r="AIH10" i="2"/>
  <c r="AII10" i="2"/>
  <c r="AIJ10" i="2"/>
  <c r="AIK10" i="2"/>
  <c r="AIL10" i="2"/>
  <c r="AIM10" i="2"/>
  <c r="AIN10" i="2"/>
  <c r="AIO10" i="2"/>
  <c r="AIP10" i="2"/>
  <c r="AIQ10" i="2"/>
  <c r="AIR10" i="2"/>
  <c r="AIS10" i="2"/>
  <c r="AIT10" i="2"/>
  <c r="AIU10" i="2"/>
  <c r="AIV10" i="2"/>
  <c r="AIW10" i="2"/>
  <c r="AJT10" i="2"/>
  <c r="AJU10" i="2"/>
  <c r="AJV10" i="2"/>
  <c r="AJW10" i="2"/>
  <c r="AJX10" i="2"/>
  <c r="AJY10" i="2"/>
  <c r="AJZ10" i="2"/>
  <c r="AKA10" i="2"/>
  <c r="AKE10" i="2"/>
  <c r="AKF10" i="2"/>
  <c r="AKG10" i="2"/>
  <c r="AKH10" i="2"/>
  <c r="AKI10" i="2"/>
  <c r="AKJ10" i="2"/>
  <c r="AKK10" i="2"/>
  <c r="AKL10" i="2"/>
  <c r="AKM10" i="2"/>
  <c r="AKN10" i="2"/>
  <c r="AKR10" i="2"/>
  <c r="AKS10" i="2"/>
  <c r="AKT10" i="2"/>
  <c r="AKU10" i="2"/>
  <c r="AKV10" i="2"/>
  <c r="AKW10" i="2"/>
  <c r="AKX10" i="2"/>
  <c r="AKY10" i="2"/>
  <c r="ALC10" i="2"/>
  <c r="ALD10" i="2"/>
  <c r="ALE10" i="2"/>
  <c r="ALF10" i="2"/>
  <c r="ALJ10" i="2"/>
  <c r="ALK10" i="2"/>
  <c r="ALL10" i="2"/>
  <c r="ALM10" i="2"/>
  <c r="ALN10" i="2"/>
  <c r="ALO10" i="2"/>
  <c r="ALP10" i="2"/>
  <c r="ALQ10" i="2"/>
  <c r="ALR10" i="2"/>
  <c r="ALS10" i="2"/>
  <c r="ALU10" i="2"/>
  <c r="ALV10" i="2"/>
  <c r="ALW10" i="2"/>
  <c r="ALX10" i="2"/>
  <c r="ALY10" i="2"/>
  <c r="ALZ10" i="2"/>
  <c r="AMA10" i="2"/>
  <c r="AMB10" i="2"/>
  <c r="AMC10" i="2"/>
  <c r="AMD10" i="2"/>
  <c r="AME10" i="2"/>
  <c r="AMF10" i="2"/>
  <c r="AMG10" i="2"/>
  <c r="AMH10" i="2"/>
  <c r="AMI10" i="2"/>
  <c r="AMJ10" i="2"/>
  <c r="AMK10" i="2"/>
  <c r="AML10" i="2"/>
  <c r="AMM10" i="2"/>
  <c r="AMN10" i="2"/>
  <c r="AMO10" i="2"/>
  <c r="AMP10" i="2"/>
  <c r="AMQ10" i="2"/>
  <c r="AMR10" i="2"/>
  <c r="AMS10" i="2"/>
  <c r="AMT10" i="2"/>
  <c r="AMU10" i="2"/>
  <c r="AMV10" i="2"/>
  <c r="AMW10" i="2"/>
  <c r="AMX10" i="2"/>
  <c r="AMY10" i="2"/>
  <c r="AMZ10" i="2"/>
  <c r="ANA10" i="2"/>
  <c r="ANB10" i="2"/>
  <c r="ANC10" i="2"/>
  <c r="AND10" i="2"/>
  <c r="ANE10" i="2"/>
  <c r="ANF10" i="2"/>
  <c r="ANG10" i="2"/>
  <c r="ANH10" i="2"/>
  <c r="ANI10" i="2"/>
  <c r="ANJ10" i="2"/>
  <c r="ANK10" i="2"/>
  <c r="ANL10" i="2"/>
  <c r="ANM10" i="2"/>
  <c r="ANN10" i="2"/>
  <c r="ANO10" i="2"/>
  <c r="ANP10" i="2"/>
  <c r="ANQ10" i="2"/>
  <c r="ANR10" i="2"/>
  <c r="ANS10" i="2"/>
  <c r="ANT10" i="2"/>
  <c r="ANU10" i="2"/>
  <c r="ANV10" i="2"/>
  <c r="ANW10" i="2"/>
  <c r="ANX10" i="2"/>
  <c r="ANX17" i="2" s="1"/>
  <c r="ANY10" i="2"/>
  <c r="ANY17" i="2" s="1"/>
  <c r="ANZ10" i="2"/>
  <c r="ANZ17" i="2" s="1"/>
  <c r="AOA10" i="2"/>
  <c r="AOA17" i="2" s="1"/>
  <c r="AOB10" i="2"/>
  <c r="AOB17" i="2" s="1"/>
  <c r="AOC10" i="2"/>
  <c r="AOC17" i="2" s="1"/>
  <c r="AOD10" i="2"/>
  <c r="AOD17" i="2" s="1"/>
  <c r="AOE10" i="2"/>
  <c r="AOE17" i="2" s="1"/>
  <c r="AOF10" i="2"/>
  <c r="AOG10" i="2"/>
  <c r="AOG17" i="2" s="1"/>
  <c r="AOH10" i="2"/>
  <c r="AOI10" i="2"/>
  <c r="AOJ10" i="2"/>
  <c r="AOK10" i="2"/>
  <c r="AOL10" i="2"/>
  <c r="AOM10" i="2"/>
  <c r="AON10" i="2"/>
  <c r="AOO10" i="2"/>
  <c r="AOP10" i="2"/>
  <c r="AOQ10" i="2"/>
  <c r="AOR10" i="2"/>
  <c r="AOS10" i="2"/>
  <c r="AOT10" i="2"/>
  <c r="AOU10" i="2"/>
  <c r="AOV10" i="2"/>
  <c r="AOW10" i="2"/>
  <c r="AOX10" i="2"/>
  <c r="AOZ10" i="2"/>
  <c r="APA10" i="2"/>
  <c r="APB10" i="2"/>
  <c r="APC10" i="2"/>
  <c r="APD10" i="2"/>
  <c r="APE10" i="2"/>
  <c r="APF10" i="2"/>
  <c r="APG10" i="2"/>
  <c r="APH10" i="2"/>
  <c r="API10" i="2"/>
  <c r="APJ10" i="2"/>
  <c r="APK10" i="2"/>
  <c r="APL10" i="2"/>
  <c r="APM10" i="2"/>
  <c r="APN10" i="2"/>
  <c r="APO10" i="2"/>
  <c r="F10" i="2"/>
  <c r="LN10" i="2" l="1"/>
  <c r="AKC9" i="2"/>
  <c r="BL9" i="2"/>
  <c r="FE17" i="2"/>
  <c r="FF17" i="2"/>
  <c r="AOY8" i="2" l="1"/>
  <c r="AOY9" i="2"/>
  <c r="G19" i="2"/>
  <c r="C18" i="8" s="1"/>
  <c r="H19" i="2"/>
  <c r="D18" i="8" s="1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M19" i="2"/>
  <c r="DN19" i="2"/>
  <c r="DO19" i="2"/>
  <c r="DP19" i="2"/>
  <c r="DQ19" i="2"/>
  <c r="DR19" i="2"/>
  <c r="DS19" i="2"/>
  <c r="DT19" i="2"/>
  <c r="DU19" i="2"/>
  <c r="DV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GC19" i="2"/>
  <c r="GD19" i="2"/>
  <c r="GE19" i="2"/>
  <c r="GF19" i="2"/>
  <c r="GG19" i="2"/>
  <c r="GH19" i="2"/>
  <c r="GI19" i="2"/>
  <c r="GJ19" i="2"/>
  <c r="GK19" i="2"/>
  <c r="GL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P19" i="2"/>
  <c r="HQ19" i="2"/>
  <c r="HR19" i="2"/>
  <c r="HS19" i="2"/>
  <c r="HT19" i="2"/>
  <c r="HU19" i="2"/>
  <c r="HV19" i="2"/>
  <c r="HW19" i="2"/>
  <c r="HX19" i="2"/>
  <c r="HY19" i="2"/>
  <c r="IC19" i="2"/>
  <c r="ID19" i="2"/>
  <c r="IE19" i="2"/>
  <c r="IF19" i="2"/>
  <c r="IG19" i="2"/>
  <c r="IH19" i="2"/>
  <c r="II19" i="2"/>
  <c r="IJ19" i="2"/>
  <c r="IK19" i="2"/>
  <c r="IL19" i="2"/>
  <c r="IP19" i="2"/>
  <c r="IQ19" i="2"/>
  <c r="IR19" i="2"/>
  <c r="IS19" i="2"/>
  <c r="IT19" i="2"/>
  <c r="IU19" i="2"/>
  <c r="IV19" i="2"/>
  <c r="IW19" i="2"/>
  <c r="IX19" i="2"/>
  <c r="IY19" i="2"/>
  <c r="JC19" i="2"/>
  <c r="JD19" i="2"/>
  <c r="JE19" i="2"/>
  <c r="JF19" i="2"/>
  <c r="JG19" i="2"/>
  <c r="JH19" i="2"/>
  <c r="JI19" i="2"/>
  <c r="JJ19" i="2"/>
  <c r="JK19" i="2"/>
  <c r="JL19" i="2"/>
  <c r="JP19" i="2"/>
  <c r="JQ19" i="2"/>
  <c r="JR19" i="2"/>
  <c r="JS19" i="2"/>
  <c r="JT19" i="2"/>
  <c r="JU19" i="2"/>
  <c r="JV19" i="2"/>
  <c r="JW19" i="2"/>
  <c r="JX19" i="2"/>
  <c r="JY19" i="2"/>
  <c r="JZ19" i="2"/>
  <c r="KA19" i="2"/>
  <c r="KB19" i="2"/>
  <c r="KC19" i="2"/>
  <c r="KD19" i="2"/>
  <c r="KE19" i="2"/>
  <c r="KF19" i="2"/>
  <c r="KG19" i="2"/>
  <c r="KH19" i="2"/>
  <c r="KI19" i="2"/>
  <c r="KM19" i="2"/>
  <c r="KN19" i="2"/>
  <c r="KO19" i="2"/>
  <c r="KP19" i="2"/>
  <c r="KQ19" i="2"/>
  <c r="KR19" i="2"/>
  <c r="KV19" i="2"/>
  <c r="KW19" i="2"/>
  <c r="KX19" i="2"/>
  <c r="KY19" i="2"/>
  <c r="KZ19" i="2"/>
  <c r="LA19" i="2"/>
  <c r="LB19" i="2"/>
  <c r="LC19" i="2"/>
  <c r="LD19" i="2"/>
  <c r="LE19" i="2"/>
  <c r="LF19" i="2"/>
  <c r="LG19" i="2"/>
  <c r="LH19" i="2"/>
  <c r="LI19" i="2"/>
  <c r="LJ19" i="2"/>
  <c r="LK19" i="2"/>
  <c r="LQ19" i="2"/>
  <c r="LR19" i="2"/>
  <c r="LS19" i="2"/>
  <c r="LT19" i="2"/>
  <c r="LU19" i="2"/>
  <c r="LV19" i="2"/>
  <c r="LW19" i="2"/>
  <c r="LX19" i="2"/>
  <c r="LY19" i="2"/>
  <c r="LZ19" i="2"/>
  <c r="MA19" i="2"/>
  <c r="MB19" i="2"/>
  <c r="MC19" i="2"/>
  <c r="MD19" i="2"/>
  <c r="ME19" i="2"/>
  <c r="MF19" i="2"/>
  <c r="MJ19" i="2"/>
  <c r="MK19" i="2"/>
  <c r="ML19" i="2"/>
  <c r="MM19" i="2"/>
  <c r="MN19" i="2"/>
  <c r="MO19" i="2"/>
  <c r="MP19" i="2"/>
  <c r="MQ19" i="2"/>
  <c r="MR19" i="2"/>
  <c r="MS19" i="2"/>
  <c r="MT19" i="2"/>
  <c r="MU19" i="2"/>
  <c r="MV19" i="2"/>
  <c r="MW19" i="2"/>
  <c r="MX19" i="2"/>
  <c r="MY19" i="2"/>
  <c r="NC19" i="2"/>
  <c r="ND19" i="2"/>
  <c r="NE19" i="2"/>
  <c r="NF19" i="2"/>
  <c r="NG19" i="2"/>
  <c r="NH19" i="2"/>
  <c r="NI19" i="2"/>
  <c r="NJ19" i="2"/>
  <c r="NK19" i="2"/>
  <c r="NL19" i="2"/>
  <c r="NM19" i="2"/>
  <c r="NN19" i="2"/>
  <c r="NO19" i="2"/>
  <c r="NP19" i="2"/>
  <c r="NQ19" i="2"/>
  <c r="NR19" i="2"/>
  <c r="NV19" i="2"/>
  <c r="NW19" i="2"/>
  <c r="NX19" i="2"/>
  <c r="NY19" i="2"/>
  <c r="NZ19" i="2"/>
  <c r="OA19" i="2"/>
  <c r="OB19" i="2"/>
  <c r="OC19" i="2"/>
  <c r="OD19" i="2"/>
  <c r="OE19" i="2"/>
  <c r="OF19" i="2"/>
  <c r="OG19" i="2"/>
  <c r="OH19" i="2"/>
  <c r="OI19" i="2"/>
  <c r="OJ19" i="2"/>
  <c r="OK19" i="2"/>
  <c r="OO19" i="2"/>
  <c r="OP19" i="2"/>
  <c r="OQ19" i="2"/>
  <c r="OR19" i="2"/>
  <c r="OS19" i="2"/>
  <c r="OT19" i="2"/>
  <c r="OU19" i="2"/>
  <c r="OV19" i="2"/>
  <c r="OW19" i="2"/>
  <c r="OX19" i="2"/>
  <c r="OY19" i="2"/>
  <c r="OZ19" i="2"/>
  <c r="PA19" i="2"/>
  <c r="PB19" i="2"/>
  <c r="PC19" i="2"/>
  <c r="PD19" i="2"/>
  <c r="PH19" i="2"/>
  <c r="PI19" i="2"/>
  <c r="PJ19" i="2"/>
  <c r="PK19" i="2"/>
  <c r="PL19" i="2"/>
  <c r="PM19" i="2"/>
  <c r="PN19" i="2"/>
  <c r="PO19" i="2"/>
  <c r="PP19" i="2"/>
  <c r="PQ19" i="2"/>
  <c r="PR19" i="2"/>
  <c r="PS19" i="2"/>
  <c r="PT19" i="2"/>
  <c r="PU19" i="2"/>
  <c r="PV19" i="2"/>
  <c r="PW19" i="2"/>
  <c r="QA19" i="2"/>
  <c r="QB19" i="2"/>
  <c r="QC19" i="2"/>
  <c r="QD19" i="2"/>
  <c r="QE19" i="2"/>
  <c r="QF19" i="2"/>
  <c r="QG19" i="2"/>
  <c r="QH19" i="2"/>
  <c r="QI19" i="2"/>
  <c r="QJ19" i="2"/>
  <c r="QK19" i="2"/>
  <c r="QL19" i="2"/>
  <c r="QM19" i="2"/>
  <c r="QN19" i="2"/>
  <c r="QO19" i="2"/>
  <c r="QP19" i="2"/>
  <c r="QT19" i="2"/>
  <c r="QU19" i="2"/>
  <c r="QV19" i="2"/>
  <c r="QW19" i="2"/>
  <c r="QX19" i="2"/>
  <c r="QY19" i="2"/>
  <c r="QZ19" i="2"/>
  <c r="RA19" i="2"/>
  <c r="RB19" i="2"/>
  <c r="RC19" i="2"/>
  <c r="RD19" i="2"/>
  <c r="RE19" i="2"/>
  <c r="RF19" i="2"/>
  <c r="RG19" i="2"/>
  <c r="RH19" i="2"/>
  <c r="RI19" i="2"/>
  <c r="RM19" i="2"/>
  <c r="RN19" i="2"/>
  <c r="RO19" i="2"/>
  <c r="RP19" i="2"/>
  <c r="RQ19" i="2"/>
  <c r="RR19" i="2"/>
  <c r="RS19" i="2"/>
  <c r="RT19" i="2"/>
  <c r="RU19" i="2"/>
  <c r="RV19" i="2"/>
  <c r="RW19" i="2"/>
  <c r="RX19" i="2"/>
  <c r="RY19" i="2"/>
  <c r="RZ19" i="2"/>
  <c r="SA19" i="2"/>
  <c r="SB19" i="2"/>
  <c r="SF19" i="2"/>
  <c r="SG19" i="2"/>
  <c r="SH19" i="2"/>
  <c r="SI19" i="2"/>
  <c r="SJ19" i="2"/>
  <c r="SK19" i="2"/>
  <c r="SL19" i="2"/>
  <c r="SM19" i="2"/>
  <c r="SN19" i="2"/>
  <c r="SO19" i="2"/>
  <c r="SP19" i="2"/>
  <c r="SQ19" i="2"/>
  <c r="SR19" i="2"/>
  <c r="SS19" i="2"/>
  <c r="ST19" i="2"/>
  <c r="SU19" i="2"/>
  <c r="SY19" i="2"/>
  <c r="SZ19" i="2"/>
  <c r="TA19" i="2"/>
  <c r="TB19" i="2"/>
  <c r="TC19" i="2"/>
  <c r="TD19" i="2"/>
  <c r="TE19" i="2"/>
  <c r="TF19" i="2"/>
  <c r="TG19" i="2"/>
  <c r="TH19" i="2"/>
  <c r="TI19" i="2"/>
  <c r="TJ19" i="2"/>
  <c r="TK19" i="2"/>
  <c r="TL19" i="2"/>
  <c r="TM19" i="2"/>
  <c r="TN19" i="2"/>
  <c r="TR19" i="2"/>
  <c r="TS19" i="2"/>
  <c r="TT19" i="2"/>
  <c r="TU19" i="2"/>
  <c r="TV19" i="2"/>
  <c r="TW19" i="2"/>
  <c r="TX19" i="2"/>
  <c r="TY19" i="2"/>
  <c r="TZ19" i="2"/>
  <c r="UA19" i="2"/>
  <c r="UB19" i="2"/>
  <c r="UC19" i="2"/>
  <c r="UD19" i="2"/>
  <c r="UE19" i="2"/>
  <c r="UF19" i="2"/>
  <c r="UG19" i="2"/>
  <c r="UK19" i="2"/>
  <c r="UL19" i="2"/>
  <c r="UM19" i="2"/>
  <c r="UN19" i="2"/>
  <c r="UO19" i="2"/>
  <c r="UP19" i="2"/>
  <c r="UQ19" i="2"/>
  <c r="UR19" i="2"/>
  <c r="US19" i="2"/>
  <c r="UT19" i="2"/>
  <c r="UU19" i="2"/>
  <c r="UV19" i="2"/>
  <c r="UW19" i="2"/>
  <c r="UX19" i="2"/>
  <c r="UY19" i="2"/>
  <c r="UZ19" i="2"/>
  <c r="VD19" i="2"/>
  <c r="VE19" i="2"/>
  <c r="VF19" i="2"/>
  <c r="VG19" i="2"/>
  <c r="VH19" i="2"/>
  <c r="VI19" i="2"/>
  <c r="VJ19" i="2"/>
  <c r="VK19" i="2"/>
  <c r="VL19" i="2"/>
  <c r="VM19" i="2"/>
  <c r="VN19" i="2"/>
  <c r="VO19" i="2"/>
  <c r="VP19" i="2"/>
  <c r="VQ19" i="2"/>
  <c r="VR19" i="2"/>
  <c r="VS19" i="2"/>
  <c r="VW19" i="2"/>
  <c r="VX19" i="2"/>
  <c r="VY19" i="2"/>
  <c r="VZ19" i="2"/>
  <c r="WA19" i="2"/>
  <c r="WB19" i="2"/>
  <c r="WC19" i="2"/>
  <c r="WD19" i="2"/>
  <c r="WE19" i="2"/>
  <c r="WF19" i="2"/>
  <c r="WG19" i="2"/>
  <c r="WH19" i="2"/>
  <c r="WI19" i="2"/>
  <c r="WJ19" i="2"/>
  <c r="WK19" i="2"/>
  <c r="WL19" i="2"/>
  <c r="WP19" i="2"/>
  <c r="WQ19" i="2"/>
  <c r="WR19" i="2"/>
  <c r="WS19" i="2"/>
  <c r="WT19" i="2"/>
  <c r="WU19" i="2"/>
  <c r="WV19" i="2"/>
  <c r="WW19" i="2"/>
  <c r="WX19" i="2"/>
  <c r="WY19" i="2"/>
  <c r="WZ19" i="2"/>
  <c r="XA19" i="2"/>
  <c r="XB19" i="2"/>
  <c r="XC19" i="2"/>
  <c r="XD19" i="2"/>
  <c r="XE19" i="2"/>
  <c r="XI19" i="2"/>
  <c r="XJ19" i="2"/>
  <c r="XK19" i="2"/>
  <c r="XL19" i="2"/>
  <c r="XM19" i="2"/>
  <c r="XN19" i="2"/>
  <c r="XO19" i="2"/>
  <c r="XP19" i="2"/>
  <c r="XQ19" i="2"/>
  <c r="XR19" i="2"/>
  <c r="XS19" i="2"/>
  <c r="XT19" i="2"/>
  <c r="XU19" i="2"/>
  <c r="XV19" i="2"/>
  <c r="XW19" i="2"/>
  <c r="XX19" i="2"/>
  <c r="YB19" i="2"/>
  <c r="YC19" i="2"/>
  <c r="YD19" i="2"/>
  <c r="YE19" i="2"/>
  <c r="YF19" i="2"/>
  <c r="YG19" i="2"/>
  <c r="YH19" i="2"/>
  <c r="YI19" i="2"/>
  <c r="YJ19" i="2"/>
  <c r="YK19" i="2"/>
  <c r="YL19" i="2"/>
  <c r="YM19" i="2"/>
  <c r="YN19" i="2"/>
  <c r="YO19" i="2"/>
  <c r="YP19" i="2"/>
  <c r="YQ19" i="2"/>
  <c r="YU19" i="2"/>
  <c r="YV19" i="2"/>
  <c r="YW19" i="2"/>
  <c r="YX19" i="2"/>
  <c r="YY19" i="2"/>
  <c r="YZ19" i="2"/>
  <c r="ZA19" i="2"/>
  <c r="ZB19" i="2"/>
  <c r="ZC19" i="2"/>
  <c r="ZD19" i="2"/>
  <c r="ZE19" i="2"/>
  <c r="ZF19" i="2"/>
  <c r="ZG19" i="2"/>
  <c r="ZH19" i="2"/>
  <c r="ZI19" i="2"/>
  <c r="ZJ19" i="2"/>
  <c r="ZN19" i="2"/>
  <c r="ZO19" i="2"/>
  <c r="ZP19" i="2"/>
  <c r="ZQ19" i="2"/>
  <c r="ZR19" i="2"/>
  <c r="ZS19" i="2"/>
  <c r="ZT19" i="2"/>
  <c r="ZU19" i="2"/>
  <c r="ZV19" i="2"/>
  <c r="ZW19" i="2"/>
  <c r="ZX19" i="2"/>
  <c r="ZY19" i="2"/>
  <c r="ZZ19" i="2"/>
  <c r="AAA19" i="2"/>
  <c r="AAB19" i="2"/>
  <c r="AAC19" i="2"/>
  <c r="AAG19" i="2"/>
  <c r="AAH19" i="2"/>
  <c r="AAI19" i="2"/>
  <c r="AAJ19" i="2"/>
  <c r="AAK19" i="2"/>
  <c r="AAL19" i="2"/>
  <c r="AAM19" i="2"/>
  <c r="AAN19" i="2"/>
  <c r="AAO19" i="2"/>
  <c r="AAP19" i="2"/>
  <c r="AAQ19" i="2"/>
  <c r="AAR19" i="2"/>
  <c r="AAS19" i="2"/>
  <c r="AAT19" i="2"/>
  <c r="AAU19" i="2"/>
  <c r="AAV19" i="2"/>
  <c r="AAZ19" i="2"/>
  <c r="ABA19" i="2"/>
  <c r="ABB19" i="2"/>
  <c r="ABC19" i="2"/>
  <c r="ABD19" i="2"/>
  <c r="ABE19" i="2"/>
  <c r="ABF19" i="2"/>
  <c r="ABG19" i="2"/>
  <c r="ABH19" i="2"/>
  <c r="ABI19" i="2"/>
  <c r="ABJ19" i="2"/>
  <c r="ABK19" i="2"/>
  <c r="ABL19" i="2"/>
  <c r="ABM19" i="2"/>
  <c r="ABN19" i="2"/>
  <c r="ABO19" i="2"/>
  <c r="ABS19" i="2"/>
  <c r="ABT19" i="2"/>
  <c r="ABU19" i="2"/>
  <c r="ABV19" i="2"/>
  <c r="ABW19" i="2"/>
  <c r="ABX19" i="2"/>
  <c r="ABY19" i="2"/>
  <c r="ABZ19" i="2"/>
  <c r="ACA19" i="2"/>
  <c r="ACB19" i="2"/>
  <c r="ACC19" i="2"/>
  <c r="ACD19" i="2"/>
  <c r="ACE19" i="2"/>
  <c r="ACF19" i="2"/>
  <c r="ACG19" i="2"/>
  <c r="ACH19" i="2"/>
  <c r="ACL19" i="2"/>
  <c r="ACM19" i="2"/>
  <c r="ACN19" i="2"/>
  <c r="ACO19" i="2"/>
  <c r="ACP19" i="2"/>
  <c r="ACQ19" i="2"/>
  <c r="ACR19" i="2"/>
  <c r="ACS19" i="2"/>
  <c r="ACT19" i="2"/>
  <c r="ACU19" i="2"/>
  <c r="ACV19" i="2"/>
  <c r="ACW19" i="2"/>
  <c r="ACX19" i="2"/>
  <c r="ACY19" i="2"/>
  <c r="ACZ19" i="2"/>
  <c r="ADA19" i="2"/>
  <c r="ADE19" i="2"/>
  <c r="ADF19" i="2"/>
  <c r="ADG19" i="2"/>
  <c r="ADH19" i="2"/>
  <c r="ADI19" i="2"/>
  <c r="ADJ19" i="2"/>
  <c r="ADK19" i="2"/>
  <c r="ADL19" i="2"/>
  <c r="ADM19" i="2"/>
  <c r="ADN19" i="2"/>
  <c r="ADO19" i="2"/>
  <c r="ADP19" i="2"/>
  <c r="ADQ19" i="2"/>
  <c r="ADR19" i="2"/>
  <c r="ADS19" i="2"/>
  <c r="ADT19" i="2"/>
  <c r="ADX19" i="2"/>
  <c r="ADY19" i="2"/>
  <c r="ADZ19" i="2"/>
  <c r="AEA19" i="2"/>
  <c r="AEB19" i="2"/>
  <c r="AEC19" i="2"/>
  <c r="AED19" i="2"/>
  <c r="AEE19" i="2"/>
  <c r="AEF19" i="2"/>
  <c r="AEG19" i="2"/>
  <c r="AEH19" i="2"/>
  <c r="AEI19" i="2"/>
  <c r="AEJ19" i="2"/>
  <c r="AEK19" i="2"/>
  <c r="AEL19" i="2"/>
  <c r="AEM19" i="2"/>
  <c r="AEQ19" i="2"/>
  <c r="AER19" i="2"/>
  <c r="AES19" i="2"/>
  <c r="AET19" i="2"/>
  <c r="AEU19" i="2"/>
  <c r="AEV19" i="2"/>
  <c r="AEW19" i="2"/>
  <c r="AEX19" i="2"/>
  <c r="AEY19" i="2"/>
  <c r="AEZ19" i="2"/>
  <c r="AFA19" i="2"/>
  <c r="AFB19" i="2"/>
  <c r="AFC19" i="2"/>
  <c r="AFD19" i="2"/>
  <c r="AFE19" i="2"/>
  <c r="AFF19" i="2"/>
  <c r="AFJ19" i="2"/>
  <c r="AFK19" i="2"/>
  <c r="AFL19" i="2"/>
  <c r="AFM19" i="2"/>
  <c r="AFN19" i="2"/>
  <c r="AFO19" i="2"/>
  <c r="AFP19" i="2"/>
  <c r="AFQ19" i="2"/>
  <c r="AFR19" i="2"/>
  <c r="AFS19" i="2"/>
  <c r="AFT19" i="2"/>
  <c r="AFU19" i="2"/>
  <c r="AFV19" i="2"/>
  <c r="AFW19" i="2"/>
  <c r="AFX19" i="2"/>
  <c r="AFY19" i="2"/>
  <c r="AGC19" i="2"/>
  <c r="AGD19" i="2"/>
  <c r="AGE19" i="2"/>
  <c r="AGF19" i="2"/>
  <c r="AGG19" i="2"/>
  <c r="AGH19" i="2"/>
  <c r="AGI19" i="2"/>
  <c r="AGJ19" i="2"/>
  <c r="AGK19" i="2"/>
  <c r="AGL19" i="2"/>
  <c r="AGM19" i="2"/>
  <c r="AGN19" i="2"/>
  <c r="AGO19" i="2"/>
  <c r="AGP19" i="2"/>
  <c r="AGQ19" i="2"/>
  <c r="AGR19" i="2"/>
  <c r="AGV19" i="2"/>
  <c r="AGW19" i="2"/>
  <c r="AGX19" i="2"/>
  <c r="AGY19" i="2"/>
  <c r="AGZ19" i="2"/>
  <c r="AHA19" i="2"/>
  <c r="AHB19" i="2"/>
  <c r="AHC19" i="2"/>
  <c r="AHD19" i="2"/>
  <c r="AHE19" i="2"/>
  <c r="AHF19" i="2"/>
  <c r="AHG19" i="2"/>
  <c r="AHH19" i="2"/>
  <c r="AHI19" i="2"/>
  <c r="AHJ19" i="2"/>
  <c r="AHK19" i="2"/>
  <c r="AHO19" i="2"/>
  <c r="AHP19" i="2"/>
  <c r="AHQ19" i="2"/>
  <c r="AHR19" i="2"/>
  <c r="AHS19" i="2"/>
  <c r="AHT19" i="2"/>
  <c r="AHU19" i="2"/>
  <c r="AHV19" i="2"/>
  <c r="AHW19" i="2"/>
  <c r="AHX19" i="2"/>
  <c r="AHY19" i="2"/>
  <c r="AHZ19" i="2"/>
  <c r="AIA19" i="2"/>
  <c r="AIB19" i="2"/>
  <c r="AIC19" i="2"/>
  <c r="AID19" i="2"/>
  <c r="AIE19" i="2"/>
  <c r="AIF19" i="2"/>
  <c r="AIG19" i="2"/>
  <c r="AIH19" i="2"/>
  <c r="AII19" i="2"/>
  <c r="AIJ19" i="2"/>
  <c r="AIK19" i="2"/>
  <c r="AIL19" i="2"/>
  <c r="AIM19" i="2"/>
  <c r="AIN19" i="2"/>
  <c r="AIO19" i="2"/>
  <c r="AIP19" i="2"/>
  <c r="AIQ19" i="2"/>
  <c r="AIR19" i="2"/>
  <c r="AIS19" i="2"/>
  <c r="AIT19" i="2"/>
  <c r="AIU19" i="2"/>
  <c r="AIV19" i="2"/>
  <c r="AIW19" i="2"/>
  <c r="AJT19" i="2"/>
  <c r="AJU19" i="2"/>
  <c r="AJV19" i="2"/>
  <c r="AJW19" i="2"/>
  <c r="AJX19" i="2"/>
  <c r="AJY19" i="2"/>
  <c r="AJZ19" i="2"/>
  <c r="AKA19" i="2"/>
  <c r="AKE19" i="2"/>
  <c r="AKF19" i="2"/>
  <c r="AKG19" i="2"/>
  <c r="AKH19" i="2"/>
  <c r="AKI19" i="2"/>
  <c r="AKJ19" i="2"/>
  <c r="AKK19" i="2"/>
  <c r="AKL19" i="2"/>
  <c r="AKM19" i="2"/>
  <c r="AKN19" i="2"/>
  <c r="AKR19" i="2"/>
  <c r="AKS19" i="2"/>
  <c r="AKT19" i="2"/>
  <c r="AKU19" i="2"/>
  <c r="AKV19" i="2"/>
  <c r="AKW19" i="2"/>
  <c r="AKX19" i="2"/>
  <c r="AKY19" i="2"/>
  <c r="ALC19" i="2"/>
  <c r="ALD19" i="2"/>
  <c r="ALE19" i="2"/>
  <c r="ALF19" i="2"/>
  <c r="ALG19" i="2"/>
  <c r="ALH19" i="2"/>
  <c r="ALI19" i="2"/>
  <c r="ALJ19" i="2"/>
  <c r="ALK19" i="2"/>
  <c r="ALL19" i="2"/>
  <c r="ALM19" i="2"/>
  <c r="ALN19" i="2"/>
  <c r="ALO19" i="2"/>
  <c r="ALP19" i="2"/>
  <c r="ALQ19" i="2"/>
  <c r="ALR19" i="2"/>
  <c r="ALS19" i="2"/>
  <c r="ALT19" i="2"/>
  <c r="ALU19" i="2"/>
  <c r="ALV19" i="2"/>
  <c r="ALW19" i="2"/>
  <c r="ALX19" i="2"/>
  <c r="ALY19" i="2"/>
  <c r="ALZ19" i="2"/>
  <c r="AMA19" i="2"/>
  <c r="AMB19" i="2"/>
  <c r="AMC19" i="2"/>
  <c r="AMD19" i="2"/>
  <c r="AME19" i="2"/>
  <c r="AMF19" i="2"/>
  <c r="AMG19" i="2"/>
  <c r="AMH19" i="2"/>
  <c r="AMI19" i="2"/>
  <c r="AMJ19" i="2"/>
  <c r="AMK19" i="2"/>
  <c r="AML19" i="2"/>
  <c r="AMM19" i="2"/>
  <c r="AMN19" i="2"/>
  <c r="AMO19" i="2"/>
  <c r="AMP19" i="2"/>
  <c r="AMQ19" i="2"/>
  <c r="AMR19" i="2"/>
  <c r="AMS19" i="2"/>
  <c r="AMT19" i="2"/>
  <c r="AMU19" i="2"/>
  <c r="AMV19" i="2"/>
  <c r="AMW19" i="2"/>
  <c r="AMX19" i="2"/>
  <c r="AMY19" i="2"/>
  <c r="AMZ19" i="2"/>
  <c r="ANA19" i="2"/>
  <c r="ANB19" i="2"/>
  <c r="ANC19" i="2"/>
  <c r="AND19" i="2"/>
  <c r="ANE19" i="2"/>
  <c r="ANF19" i="2"/>
  <c r="ANG19" i="2"/>
  <c r="ANH19" i="2"/>
  <c r="ANI19" i="2"/>
  <c r="ANJ19" i="2"/>
  <c r="ANK19" i="2"/>
  <c r="ANL19" i="2"/>
  <c r="ANM19" i="2"/>
  <c r="ANN19" i="2"/>
  <c r="ANO19" i="2"/>
  <c r="ANP19" i="2"/>
  <c r="ANQ19" i="2"/>
  <c r="ANR19" i="2"/>
  <c r="ANS19" i="2"/>
  <c r="ANT19" i="2"/>
  <c r="ANU19" i="2"/>
  <c r="ANV19" i="2"/>
  <c r="ANW19" i="2"/>
  <c r="ANX19" i="2"/>
  <c r="ANY19" i="2"/>
  <c r="ANZ19" i="2"/>
  <c r="AOA19" i="2"/>
  <c r="AOB19" i="2"/>
  <c r="AOC19" i="2"/>
  <c r="AOD19" i="2"/>
  <c r="AOE19" i="2"/>
  <c r="AOF19" i="2"/>
  <c r="AOG19" i="2"/>
  <c r="AOH19" i="2"/>
  <c r="AOI19" i="2"/>
  <c r="AOJ19" i="2"/>
  <c r="AOK19" i="2"/>
  <c r="AOL19" i="2"/>
  <c r="AOM19" i="2"/>
  <c r="AON19" i="2"/>
  <c r="AOO19" i="2"/>
  <c r="AOP19" i="2"/>
  <c r="AOQ19" i="2"/>
  <c r="AOR19" i="2"/>
  <c r="AOS19" i="2"/>
  <c r="AOT19" i="2"/>
  <c r="AOU19" i="2"/>
  <c r="AOV19" i="2"/>
  <c r="AOW19" i="2"/>
  <c r="AOX19" i="2"/>
  <c r="AOZ19" i="2"/>
  <c r="APA19" i="2"/>
  <c r="APB19" i="2"/>
  <c r="APC19" i="2"/>
  <c r="APD19" i="2"/>
  <c r="APE19" i="2"/>
  <c r="APF19" i="2"/>
  <c r="APG19" i="2"/>
  <c r="APH19" i="2"/>
  <c r="API19" i="2"/>
  <c r="APJ19" i="2"/>
  <c r="APK19" i="2"/>
  <c r="APL19" i="2"/>
  <c r="APM19" i="2"/>
  <c r="APN19" i="2"/>
  <c r="APO19" i="2"/>
  <c r="F19" i="2"/>
  <c r="B18" i="8" s="1"/>
  <c r="AOY19" i="2" l="1"/>
  <c r="JM8" i="2"/>
  <c r="JN8" i="2"/>
  <c r="JM9" i="2"/>
  <c r="JN9" i="2"/>
  <c r="JN19" i="2" l="1"/>
  <c r="G18" i="8" s="1"/>
  <c r="JO8" i="2"/>
  <c r="JO9" i="2"/>
  <c r="JM19" i="2"/>
  <c r="F18" i="8" s="1"/>
  <c r="AKZ8" i="2"/>
  <c r="ALA8" i="2"/>
  <c r="AKZ9" i="2"/>
  <c r="ALA9" i="2"/>
  <c r="AKO7" i="2"/>
  <c r="AKP7" i="2"/>
  <c r="AKO8" i="2"/>
  <c r="AKP8" i="2"/>
  <c r="AKO9" i="2"/>
  <c r="AKP9" i="2"/>
  <c r="AKB7" i="2"/>
  <c r="AKC7" i="2"/>
  <c r="AKB8" i="2"/>
  <c r="AKC8" i="2"/>
  <c r="AKB9" i="2"/>
  <c r="AIX7" i="2"/>
  <c r="AIY7" i="2"/>
  <c r="AJA7" i="2"/>
  <c r="AJB7" i="2"/>
  <c r="AJC7" i="2"/>
  <c r="AJD7" i="2"/>
  <c r="AJE7" i="2"/>
  <c r="AJF7" i="2"/>
  <c r="AJG7" i="2"/>
  <c r="AJH7" i="2"/>
  <c r="AJI7" i="2"/>
  <c r="AJJ7" i="2"/>
  <c r="AJK7" i="2"/>
  <c r="AJL7" i="2"/>
  <c r="AJM7" i="2"/>
  <c r="AJN7" i="2"/>
  <c r="AJO7" i="2"/>
  <c r="AJP7" i="2"/>
  <c r="AIX8" i="2"/>
  <c r="AIY8" i="2"/>
  <c r="AJA8" i="2"/>
  <c r="AJB8" i="2"/>
  <c r="AJC8" i="2"/>
  <c r="AJD8" i="2"/>
  <c r="AJE8" i="2"/>
  <c r="AJF8" i="2"/>
  <c r="AJG8" i="2"/>
  <c r="AJH8" i="2"/>
  <c r="AJI8" i="2"/>
  <c r="AJJ8" i="2"/>
  <c r="AJK8" i="2"/>
  <c r="AJL8" i="2"/>
  <c r="AJM8" i="2"/>
  <c r="AJN8" i="2"/>
  <c r="AJO8" i="2"/>
  <c r="AJP8" i="2"/>
  <c r="AIX9" i="2"/>
  <c r="AIY9" i="2"/>
  <c r="AJA9" i="2"/>
  <c r="AJB9" i="2"/>
  <c r="AJC9" i="2"/>
  <c r="AJD9" i="2"/>
  <c r="AJE9" i="2"/>
  <c r="AJF9" i="2"/>
  <c r="AJG9" i="2"/>
  <c r="AJH9" i="2"/>
  <c r="AJI9" i="2"/>
  <c r="AJJ9" i="2"/>
  <c r="AJK9" i="2"/>
  <c r="AJL9" i="2"/>
  <c r="AJM9" i="2"/>
  <c r="AJN9" i="2"/>
  <c r="AJO9" i="2"/>
  <c r="AJP9" i="2"/>
  <c r="AHL7" i="2"/>
  <c r="AHM7" i="2"/>
  <c r="AHL8" i="2"/>
  <c r="AHM8" i="2"/>
  <c r="AHL9" i="2"/>
  <c r="AHM9" i="2"/>
  <c r="AGS7" i="2"/>
  <c r="AGT7" i="2"/>
  <c r="AGS8" i="2"/>
  <c r="AGT8" i="2"/>
  <c r="AGS9" i="2"/>
  <c r="AGT9" i="2"/>
  <c r="AFZ7" i="2"/>
  <c r="AGA7" i="2"/>
  <c r="AFZ8" i="2"/>
  <c r="AGA8" i="2"/>
  <c r="AFZ9" i="2"/>
  <c r="AGA9" i="2"/>
  <c r="AFG7" i="2"/>
  <c r="AFH7" i="2"/>
  <c r="AFG8" i="2"/>
  <c r="AFH8" i="2"/>
  <c r="AFG9" i="2"/>
  <c r="AFH9" i="2"/>
  <c r="AEN7" i="2"/>
  <c r="AEO7" i="2"/>
  <c r="AEN8" i="2"/>
  <c r="AEO8" i="2"/>
  <c r="AEN9" i="2"/>
  <c r="AEO9" i="2"/>
  <c r="ADU7" i="2"/>
  <c r="ADV7" i="2"/>
  <c r="ADU8" i="2"/>
  <c r="ADV8" i="2"/>
  <c r="ADU9" i="2"/>
  <c r="ADV9" i="2"/>
  <c r="ADB7" i="2"/>
  <c r="ADC7" i="2"/>
  <c r="ADB8" i="2"/>
  <c r="ADC8" i="2"/>
  <c r="ADB9" i="2"/>
  <c r="ADC9" i="2"/>
  <c r="ACI7" i="2"/>
  <c r="ACJ7" i="2"/>
  <c r="ACI8" i="2"/>
  <c r="ACJ8" i="2"/>
  <c r="ACI9" i="2"/>
  <c r="ACJ9" i="2"/>
  <c r="ABP7" i="2"/>
  <c r="ABQ7" i="2"/>
  <c r="ABP8" i="2"/>
  <c r="ABQ8" i="2"/>
  <c r="ABP9" i="2"/>
  <c r="ABQ9" i="2"/>
  <c r="AAW7" i="2"/>
  <c r="AAX7" i="2"/>
  <c r="AAW8" i="2"/>
  <c r="AAX8" i="2"/>
  <c r="AAW9" i="2"/>
  <c r="AAX9" i="2"/>
  <c r="AAD7" i="2"/>
  <c r="AAE7" i="2"/>
  <c r="AAD8" i="2"/>
  <c r="AAE8" i="2"/>
  <c r="AAD9" i="2"/>
  <c r="AAE9" i="2"/>
  <c r="ZK8" i="2"/>
  <c r="ZL8" i="2"/>
  <c r="ZK9" i="2"/>
  <c r="ZL9" i="2"/>
  <c r="YR7" i="2"/>
  <c r="YS7" i="2"/>
  <c r="YR8" i="2"/>
  <c r="YS8" i="2"/>
  <c r="YR9" i="2"/>
  <c r="YS9" i="2"/>
  <c r="XY7" i="2"/>
  <c r="XZ7" i="2"/>
  <c r="XY8" i="2"/>
  <c r="XZ8" i="2"/>
  <c r="XY9" i="2"/>
  <c r="XZ9" i="2"/>
  <c r="XF7" i="2"/>
  <c r="XG7" i="2"/>
  <c r="XF8" i="2"/>
  <c r="XG8" i="2"/>
  <c r="XF9" i="2"/>
  <c r="XG9" i="2"/>
  <c r="WM7" i="2"/>
  <c r="WN7" i="2"/>
  <c r="WM8" i="2"/>
  <c r="WN8" i="2"/>
  <c r="WM9" i="2"/>
  <c r="WN9" i="2"/>
  <c r="VT8" i="2"/>
  <c r="VU8" i="2"/>
  <c r="VT9" i="2"/>
  <c r="VU9" i="2"/>
  <c r="VT7" i="2"/>
  <c r="VU7" i="2"/>
  <c r="VA8" i="2"/>
  <c r="VB8" i="2"/>
  <c r="VA9" i="2"/>
  <c r="VB9" i="2"/>
  <c r="UH7" i="2"/>
  <c r="UI7" i="2"/>
  <c r="UH8" i="2"/>
  <c r="UI8" i="2"/>
  <c r="UH9" i="2"/>
  <c r="UI9" i="2"/>
  <c r="TO7" i="2"/>
  <c r="TP7" i="2"/>
  <c r="TO8" i="2"/>
  <c r="TP8" i="2"/>
  <c r="TO9" i="2"/>
  <c r="TP9" i="2"/>
  <c r="SV7" i="2"/>
  <c r="SW7" i="2"/>
  <c r="SV8" i="2"/>
  <c r="SW8" i="2"/>
  <c r="SV9" i="2"/>
  <c r="SW9" i="2"/>
  <c r="SC7" i="2"/>
  <c r="SD7" i="2"/>
  <c r="SC8" i="2"/>
  <c r="SD8" i="2"/>
  <c r="SE8" i="2" s="1"/>
  <c r="SC9" i="2"/>
  <c r="SD9" i="2"/>
  <c r="RJ7" i="2"/>
  <c r="RK7" i="2"/>
  <c r="RJ8" i="2"/>
  <c r="RK8" i="2"/>
  <c r="RJ9" i="2"/>
  <c r="RK9" i="2"/>
  <c r="QQ7" i="2"/>
  <c r="QR7" i="2"/>
  <c r="QQ8" i="2"/>
  <c r="QR8" i="2"/>
  <c r="QQ9" i="2"/>
  <c r="QR9" i="2"/>
  <c r="PX8" i="2"/>
  <c r="PY8" i="2"/>
  <c r="PX9" i="2"/>
  <c r="PZ9" i="2" s="1"/>
  <c r="PY9" i="2"/>
  <c r="PE7" i="2"/>
  <c r="PF7" i="2"/>
  <c r="PE8" i="2"/>
  <c r="PF8" i="2"/>
  <c r="PE9" i="2"/>
  <c r="PF9" i="2"/>
  <c r="OL7" i="2"/>
  <c r="OM7" i="2"/>
  <c r="OL8" i="2"/>
  <c r="OM8" i="2"/>
  <c r="OL9" i="2"/>
  <c r="OM9" i="2"/>
  <c r="NS7" i="2"/>
  <c r="NT7" i="2"/>
  <c r="NS8" i="2"/>
  <c r="NT8" i="2"/>
  <c r="NS9" i="2"/>
  <c r="NT9" i="2"/>
  <c r="MZ7" i="2"/>
  <c r="NA7" i="2"/>
  <c r="MZ8" i="2"/>
  <c r="NA8" i="2"/>
  <c r="MZ9" i="2"/>
  <c r="NA9" i="2"/>
  <c r="MG8" i="2"/>
  <c r="MH8" i="2"/>
  <c r="MG9" i="2"/>
  <c r="MH9" i="2"/>
  <c r="KS8" i="2"/>
  <c r="KT8" i="2"/>
  <c r="KS9" i="2"/>
  <c r="KT9" i="2"/>
  <c r="KJ8" i="2"/>
  <c r="KK8" i="2"/>
  <c r="KJ9" i="2"/>
  <c r="KK9" i="2"/>
  <c r="IZ8" i="2"/>
  <c r="JA8" i="2"/>
  <c r="IZ9" i="2"/>
  <c r="JA9" i="2"/>
  <c r="IM7" i="2"/>
  <c r="IN7" i="2"/>
  <c r="IM8" i="2"/>
  <c r="IN8" i="2"/>
  <c r="IM9" i="2"/>
  <c r="IN9" i="2"/>
  <c r="HZ7" i="2"/>
  <c r="IA7" i="2"/>
  <c r="HZ8" i="2"/>
  <c r="IA8" i="2"/>
  <c r="HZ9" i="2"/>
  <c r="IA9" i="2"/>
  <c r="HM8" i="2"/>
  <c r="HN8" i="2"/>
  <c r="HM9" i="2"/>
  <c r="HN9" i="2"/>
  <c r="GM8" i="2"/>
  <c r="GN8" i="2"/>
  <c r="GM9" i="2"/>
  <c r="GN9" i="2"/>
  <c r="FY8" i="2"/>
  <c r="FZ8" i="2"/>
  <c r="GA8" i="2"/>
  <c r="FY9" i="2"/>
  <c r="FZ9" i="2"/>
  <c r="GA9" i="2"/>
  <c r="FG8" i="2"/>
  <c r="FH8" i="2"/>
  <c r="FG9" i="2"/>
  <c r="FH9" i="2"/>
  <c r="DW8" i="2"/>
  <c r="DX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DW9" i="2"/>
  <c r="DX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AP7" i="2"/>
  <c r="AQ7" i="2"/>
  <c r="AP8" i="2"/>
  <c r="AQ8" i="2"/>
  <c r="AP9" i="2"/>
  <c r="AQ9" i="2"/>
  <c r="BK7" i="2"/>
  <c r="BL7" i="2"/>
  <c r="BK8" i="2"/>
  <c r="BL8" i="2"/>
  <c r="BK9" i="2"/>
  <c r="CD7" i="2"/>
  <c r="CE7" i="2"/>
  <c r="CD8" i="2"/>
  <c r="CE8" i="2"/>
  <c r="CD9" i="2"/>
  <c r="CE9" i="2"/>
  <c r="CU7" i="2"/>
  <c r="CV7" i="2"/>
  <c r="CU8" i="2"/>
  <c r="CV8" i="2"/>
  <c r="CW8" i="2" s="1"/>
  <c r="CU9" i="2"/>
  <c r="CV9" i="2"/>
  <c r="DJ7" i="2"/>
  <c r="DK7" i="2"/>
  <c r="DJ8" i="2"/>
  <c r="DK8" i="2"/>
  <c r="DJ9" i="2"/>
  <c r="DK9" i="2"/>
  <c r="AAE19" i="2" l="1"/>
  <c r="ADC19" i="2"/>
  <c r="AEO19" i="2"/>
  <c r="YA9" i="2"/>
  <c r="AAF7" i="2"/>
  <c r="ABR9" i="2"/>
  <c r="ADD9" i="2"/>
  <c r="ADD7" i="2"/>
  <c r="AGU8" i="2"/>
  <c r="NB8" i="2"/>
  <c r="XH7" i="2"/>
  <c r="YT7" i="2"/>
  <c r="AAY9" i="2"/>
  <c r="AAY7" i="2"/>
  <c r="ACK7" i="2"/>
  <c r="ADW9" i="2"/>
  <c r="ADW7" i="2"/>
  <c r="AFI7" i="2"/>
  <c r="AGB8" i="2"/>
  <c r="AGU9" i="2"/>
  <c r="AIZ9" i="2"/>
  <c r="IO9" i="2"/>
  <c r="QR19" i="2"/>
  <c r="VC9" i="2"/>
  <c r="VT19" i="2"/>
  <c r="IZ19" i="2"/>
  <c r="OL19" i="2"/>
  <c r="GO9" i="2"/>
  <c r="HO9" i="2"/>
  <c r="IB9" i="2"/>
  <c r="JB9" i="2"/>
  <c r="KL9" i="2"/>
  <c r="KU9" i="2"/>
  <c r="NB9" i="2"/>
  <c r="RL8" i="2"/>
  <c r="SE9" i="2"/>
  <c r="SC19" i="2"/>
  <c r="AEP9" i="2"/>
  <c r="AGS19" i="2"/>
  <c r="AIX19" i="2"/>
  <c r="WO8" i="2"/>
  <c r="CW9" i="2"/>
  <c r="CW19" i="2" s="1"/>
  <c r="IM19" i="2"/>
  <c r="ON9" i="2"/>
  <c r="PF19" i="2"/>
  <c r="QS7" i="2"/>
  <c r="SX7" i="2"/>
  <c r="UJ7" i="2"/>
  <c r="VV9" i="2"/>
  <c r="WO9" i="2"/>
  <c r="XY19" i="2"/>
  <c r="ABP19" i="2"/>
  <c r="AFI9" i="2"/>
  <c r="AFZ19" i="2"/>
  <c r="AHM19" i="2"/>
  <c r="AKQ9" i="2"/>
  <c r="MH19" i="2"/>
  <c r="TO19" i="2"/>
  <c r="XG19" i="2"/>
  <c r="YS19" i="2"/>
  <c r="ACJ19" i="2"/>
  <c r="AEP7" i="2"/>
  <c r="AFH19" i="2"/>
  <c r="AGB9" i="2"/>
  <c r="CD19" i="2"/>
  <c r="K18" i="8" s="1"/>
  <c r="FY19" i="2"/>
  <c r="V18" i="8" s="1"/>
  <c r="PG7" i="2"/>
  <c r="RL9" i="2"/>
  <c r="RJ19" i="2"/>
  <c r="SW19" i="2"/>
  <c r="TQ9" i="2"/>
  <c r="UI19" i="2"/>
  <c r="ZM9" i="2"/>
  <c r="AHN7" i="2"/>
  <c r="ALB9" i="2"/>
  <c r="AKQ7" i="2"/>
  <c r="AKP19" i="2"/>
  <c r="AKD9" i="2"/>
  <c r="AAX19" i="2"/>
  <c r="AJQ9" i="2"/>
  <c r="WM19" i="2"/>
  <c r="AJB19" i="2"/>
  <c r="AJF19" i="2"/>
  <c r="MZ19" i="2"/>
  <c r="AJN19" i="2"/>
  <c r="AJJ19" i="2"/>
  <c r="MI9" i="2"/>
  <c r="IB7" i="2"/>
  <c r="GA19" i="2"/>
  <c r="X18" i="8" s="1"/>
  <c r="CU19" i="2"/>
  <c r="IB8" i="2"/>
  <c r="IA19" i="2"/>
  <c r="LM19" i="2"/>
  <c r="VV8" i="2"/>
  <c r="VU19" i="2"/>
  <c r="AR8" i="2"/>
  <c r="AP19" i="2"/>
  <c r="EH19" i="2"/>
  <c r="HO8" i="2"/>
  <c r="HN19" i="2"/>
  <c r="SE19" i="2"/>
  <c r="DL8" i="2"/>
  <c r="DK19" i="2"/>
  <c r="CV19" i="2"/>
  <c r="CF9" i="2"/>
  <c r="CF7" i="2"/>
  <c r="BL19" i="2"/>
  <c r="J18" i="8" s="1"/>
  <c r="AR9" i="2"/>
  <c r="AR7" i="2"/>
  <c r="DY9" i="2"/>
  <c r="EO19" i="2"/>
  <c r="EK19" i="2"/>
  <c r="EG19" i="2"/>
  <c r="EC19" i="2"/>
  <c r="DY8" i="2"/>
  <c r="DX19" i="2"/>
  <c r="FH19" i="2"/>
  <c r="GM19" i="2"/>
  <c r="HM19" i="2"/>
  <c r="HZ19" i="2"/>
  <c r="IO7" i="2"/>
  <c r="LL19" i="2"/>
  <c r="MI8" i="2"/>
  <c r="MG19" i="2"/>
  <c r="NA19" i="2"/>
  <c r="NU9" i="2"/>
  <c r="NU7" i="2"/>
  <c r="ON7" i="2"/>
  <c r="PG8" i="2"/>
  <c r="PZ8" i="2"/>
  <c r="PZ19" i="2" s="1"/>
  <c r="PY19" i="2"/>
  <c r="QS8" i="2"/>
  <c r="RK19" i="2"/>
  <c r="SD19" i="2"/>
  <c r="SX9" i="2"/>
  <c r="SV19" i="2"/>
  <c r="TQ7" i="2"/>
  <c r="UJ8" i="2"/>
  <c r="VC8" i="2"/>
  <c r="VB19" i="2"/>
  <c r="WN19" i="2"/>
  <c r="XH9" i="2"/>
  <c r="XF19" i="2"/>
  <c r="YA7" i="2"/>
  <c r="YT8" i="2"/>
  <c r="ZM8" i="2"/>
  <c r="ZL19" i="2"/>
  <c r="AAF8" i="2"/>
  <c r="AAY8" i="2"/>
  <c r="AAY19" i="2" s="1"/>
  <c r="AAW19" i="2"/>
  <c r="ABR7" i="2"/>
  <c r="ACK8" i="2"/>
  <c r="ADD8" i="2"/>
  <c r="ADB19" i="2"/>
  <c r="AEP8" i="2"/>
  <c r="AFI8" i="2"/>
  <c r="AGA19" i="2"/>
  <c r="AGT19" i="2"/>
  <c r="AHN9" i="2"/>
  <c r="AHL19" i="2"/>
  <c r="AJM19" i="2"/>
  <c r="AJI19" i="2"/>
  <c r="AJE19" i="2"/>
  <c r="AJA19" i="2"/>
  <c r="AIZ7" i="2"/>
  <c r="AKQ8" i="2"/>
  <c r="AKO19" i="2"/>
  <c r="EL19" i="2"/>
  <c r="DZ19" i="2"/>
  <c r="GO8" i="2"/>
  <c r="GN19" i="2"/>
  <c r="NU8" i="2"/>
  <c r="NS19" i="2"/>
  <c r="BM8" i="2"/>
  <c r="BK19" i="2"/>
  <c r="I18" i="8" s="1"/>
  <c r="EN19" i="2"/>
  <c r="EF19" i="2"/>
  <c r="EB19" i="2"/>
  <c r="FG19" i="2"/>
  <c r="JB8" i="2"/>
  <c r="JA19" i="2"/>
  <c r="KU8" i="2"/>
  <c r="KT19" i="2"/>
  <c r="ON8" i="2"/>
  <c r="TQ8" i="2"/>
  <c r="VA19" i="2"/>
  <c r="YA8" i="2"/>
  <c r="ZK19" i="2"/>
  <c r="ABR8" i="2"/>
  <c r="ABR19" i="2" s="1"/>
  <c r="ADW8" i="2"/>
  <c r="ADV19" i="2"/>
  <c r="AJR8" i="2"/>
  <c r="AJP19" i="2"/>
  <c r="AJL19" i="2"/>
  <c r="AJH19" i="2"/>
  <c r="AJD19" i="2"/>
  <c r="AIZ8" i="2"/>
  <c r="AIZ19" i="2" s="1"/>
  <c r="AJQ7" i="2"/>
  <c r="AKC19" i="2"/>
  <c r="ALA19" i="2"/>
  <c r="EP19" i="2"/>
  <c r="ED19" i="2"/>
  <c r="DJ19" i="2"/>
  <c r="ER9" i="2"/>
  <c r="EJ19" i="2"/>
  <c r="DW19" i="2"/>
  <c r="IO8" i="2"/>
  <c r="IO19" i="2" s="1"/>
  <c r="KL8" i="2"/>
  <c r="KK19" i="2"/>
  <c r="PX19" i="2"/>
  <c r="DL9" i="2"/>
  <c r="DL7" i="2"/>
  <c r="CW7" i="2"/>
  <c r="CF8" i="2"/>
  <c r="CE19" i="2"/>
  <c r="L18" i="8" s="1"/>
  <c r="BM9" i="2"/>
  <c r="BM7" i="2"/>
  <c r="AQ19" i="2"/>
  <c r="ES8" i="2"/>
  <c r="EQ19" i="2"/>
  <c r="EM19" i="2"/>
  <c r="EI19" i="2"/>
  <c r="EE19" i="2"/>
  <c r="EA19" i="2"/>
  <c r="FI9" i="2"/>
  <c r="GB8" i="2"/>
  <c r="FZ19" i="2"/>
  <c r="W18" i="8" s="1"/>
  <c r="IN19" i="2"/>
  <c r="KJ19" i="2"/>
  <c r="KS19" i="2"/>
  <c r="LN19" i="2"/>
  <c r="NB7" i="2"/>
  <c r="NT19" i="2"/>
  <c r="OM19" i="2"/>
  <c r="PG9" i="2"/>
  <c r="PE19" i="2"/>
  <c r="QS9" i="2"/>
  <c r="QQ19" i="2"/>
  <c r="RL7" i="2"/>
  <c r="SE7" i="2"/>
  <c r="SX8" i="2"/>
  <c r="TP19" i="2"/>
  <c r="UJ9" i="2"/>
  <c r="UH19" i="2"/>
  <c r="VV7" i="2"/>
  <c r="WO7" i="2"/>
  <c r="XH8" i="2"/>
  <c r="XZ19" i="2"/>
  <c r="YT9" i="2"/>
  <c r="YR19" i="2"/>
  <c r="AAF9" i="2"/>
  <c r="AAD19" i="2"/>
  <c r="ABQ19" i="2"/>
  <c r="ACK9" i="2"/>
  <c r="ACI19" i="2"/>
  <c r="ADU19" i="2"/>
  <c r="AEN19" i="2"/>
  <c r="AFG19" i="2"/>
  <c r="AGB7" i="2"/>
  <c r="AHN8" i="2"/>
  <c r="AJO19" i="2"/>
  <c r="AJK19" i="2"/>
  <c r="AJG19" i="2"/>
  <c r="AJC19" i="2"/>
  <c r="AIY19" i="2"/>
  <c r="AKD8" i="2"/>
  <c r="AKB19" i="2"/>
  <c r="ALB8" i="2"/>
  <c r="AKZ19" i="2"/>
  <c r="JO19" i="2"/>
  <c r="AJR9" i="2"/>
  <c r="AJS9" i="2" s="1"/>
  <c r="GB9" i="2"/>
  <c r="ES9" i="2"/>
  <c r="AJQ8" i="2"/>
  <c r="FI8" i="2"/>
  <c r="ER8" i="2"/>
  <c r="AKD7" i="2"/>
  <c r="AGU7" i="2"/>
  <c r="AJR7" i="2"/>
  <c r="LP9" i="2"/>
  <c r="KK15" i="2"/>
  <c r="KJ15" i="2"/>
  <c r="KK14" i="2"/>
  <c r="KJ14" i="2"/>
  <c r="KK12" i="2"/>
  <c r="KJ12" i="2"/>
  <c r="KK11" i="2"/>
  <c r="KJ11" i="2"/>
  <c r="KK7" i="2"/>
  <c r="KJ7" i="2"/>
  <c r="KK6" i="2"/>
  <c r="KJ6" i="2"/>
  <c r="AFI19" i="2" l="1"/>
  <c r="AGU19" i="2"/>
  <c r="KU19" i="2"/>
  <c r="AJQ19" i="2"/>
  <c r="AKD19" i="2"/>
  <c r="AEP19" i="2"/>
  <c r="HO19" i="2"/>
  <c r="XH19" i="2"/>
  <c r="KK10" i="2"/>
  <c r="NU19" i="2"/>
  <c r="YA19" i="2"/>
  <c r="NB19" i="2"/>
  <c r="ADW19" i="2"/>
  <c r="TQ19" i="2"/>
  <c r="GO19" i="2"/>
  <c r="SX19" i="2"/>
  <c r="ADD19" i="2"/>
  <c r="AGB19" i="2"/>
  <c r="KJ10" i="2"/>
  <c r="JB19" i="2"/>
  <c r="KL19" i="2"/>
  <c r="VV19" i="2"/>
  <c r="IB19" i="2"/>
  <c r="RL19" i="2"/>
  <c r="VC19" i="2"/>
  <c r="DY19" i="2"/>
  <c r="WO19" i="2"/>
  <c r="MI19" i="2"/>
  <c r="ALB19" i="2"/>
  <c r="AHN19" i="2"/>
  <c r="ON19" i="2"/>
  <c r="AKQ19" i="2"/>
  <c r="ZM19" i="2"/>
  <c r="CF19" i="2"/>
  <c r="AJS7" i="2"/>
  <c r="FI19" i="2"/>
  <c r="AJS8" i="2"/>
  <c r="AJS19" i="2" s="1"/>
  <c r="ET9" i="2"/>
  <c r="GB19" i="2"/>
  <c r="ACK19" i="2"/>
  <c r="AAF19" i="2"/>
  <c r="QS19" i="2"/>
  <c r="AR19" i="2"/>
  <c r="BM19" i="2"/>
  <c r="ET8" i="2"/>
  <c r="ER19" i="2"/>
  <c r="AJR19" i="2"/>
  <c r="UJ19" i="2"/>
  <c r="DL19" i="2"/>
  <c r="ES19" i="2"/>
  <c r="LP8" i="2"/>
  <c r="LP19" i="2" s="1"/>
  <c r="LO19" i="2"/>
  <c r="YT19" i="2"/>
  <c r="PG19" i="2"/>
  <c r="FG7" i="2"/>
  <c r="FH7" i="2"/>
  <c r="FH6" i="2"/>
  <c r="FG6" i="2"/>
  <c r="FG10" i="2" l="1"/>
  <c r="FH10" i="2"/>
  <c r="ET19" i="2"/>
  <c r="AJB6" i="2"/>
  <c r="AJB10" i="2" s="1"/>
  <c r="AJC6" i="2"/>
  <c r="AJC10" i="2" s="1"/>
  <c r="AJD6" i="2"/>
  <c r="AJD10" i="2" s="1"/>
  <c r="AJE6" i="2"/>
  <c r="AJE10" i="2" s="1"/>
  <c r="AJF6" i="2"/>
  <c r="AJF10" i="2" s="1"/>
  <c r="AJG6" i="2"/>
  <c r="AJG10" i="2" s="1"/>
  <c r="AJH6" i="2"/>
  <c r="AJH10" i="2" s="1"/>
  <c r="AJI6" i="2"/>
  <c r="AJI10" i="2" s="1"/>
  <c r="AJJ6" i="2"/>
  <c r="AJJ10" i="2" s="1"/>
  <c r="AJK6" i="2"/>
  <c r="AJK10" i="2" s="1"/>
  <c r="AJL6" i="2"/>
  <c r="AJL10" i="2" s="1"/>
  <c r="AJM6" i="2"/>
  <c r="AJM10" i="2" s="1"/>
  <c r="AJN6" i="2"/>
  <c r="AJN10" i="2" s="1"/>
  <c r="AJO6" i="2"/>
  <c r="AJO10" i="2" s="1"/>
  <c r="AJP6" i="2"/>
  <c r="AJP10" i="2" s="1"/>
  <c r="AJA6" i="2"/>
  <c r="AJA10" i="2" s="1"/>
  <c r="AHO13" i="2"/>
  <c r="AHP13" i="2"/>
  <c r="AHQ13" i="2"/>
  <c r="AHR13" i="2"/>
  <c r="AHS13" i="2"/>
  <c r="AHT13" i="2"/>
  <c r="AHU13" i="2"/>
  <c r="AHV13" i="2"/>
  <c r="AHW13" i="2"/>
  <c r="AHX13" i="2"/>
  <c r="AHY13" i="2"/>
  <c r="AHZ13" i="2"/>
  <c r="AHZ17" i="2" s="1"/>
  <c r="AIA13" i="2"/>
  <c r="AIB13" i="2"/>
  <c r="AIC13" i="2"/>
  <c r="AID13" i="2"/>
  <c r="AIE13" i="2"/>
  <c r="AIF13" i="2"/>
  <c r="AIG13" i="2"/>
  <c r="AHO16" i="2"/>
  <c r="AHP16" i="2"/>
  <c r="AHQ16" i="2"/>
  <c r="AHR16" i="2"/>
  <c r="AHS16" i="2"/>
  <c r="AHT16" i="2"/>
  <c r="AHU16" i="2"/>
  <c r="AHV16" i="2"/>
  <c r="AHW16" i="2"/>
  <c r="AHX16" i="2"/>
  <c r="AHY16" i="2"/>
  <c r="AHZ16" i="2"/>
  <c r="AIA16" i="2"/>
  <c r="AIB16" i="2"/>
  <c r="AIC16" i="2"/>
  <c r="AID16" i="2"/>
  <c r="AIE16" i="2"/>
  <c r="AIF16" i="2"/>
  <c r="AIG16" i="2"/>
  <c r="AIH16" i="2"/>
  <c r="AII16" i="2"/>
  <c r="AIJ16" i="2"/>
  <c r="AIK16" i="2"/>
  <c r="AIL16" i="2"/>
  <c r="AHR17" i="2"/>
  <c r="AIE6" i="2"/>
  <c r="AIF7" i="2"/>
  <c r="AIE7" i="2"/>
  <c r="AIF6" i="2"/>
  <c r="AIF10" i="2" l="1"/>
  <c r="AIF17" i="2" s="1"/>
  <c r="Z10" i="11" s="1"/>
  <c r="AIE10" i="2"/>
  <c r="AIE17" i="2" s="1"/>
  <c r="AHU17" i="2"/>
  <c r="AIC17" i="2"/>
  <c r="AIA17" i="2"/>
  <c r="AHS17" i="2"/>
  <c r="AHO17" i="2"/>
  <c r="AID17" i="2"/>
  <c r="AHV17" i="2"/>
  <c r="AHW17" i="2"/>
  <c r="AHQ17" i="2"/>
  <c r="AHY17" i="2"/>
  <c r="AIG7" i="2"/>
  <c r="AIG6" i="2"/>
  <c r="AIG10" i="2" s="1"/>
  <c r="AIB17" i="2"/>
  <c r="AHX17" i="2"/>
  <c r="AHT17" i="2"/>
  <c r="AHP17" i="2"/>
  <c r="KL6" i="2"/>
  <c r="JR16" i="2"/>
  <c r="JS16" i="2"/>
  <c r="JT16" i="2"/>
  <c r="JR13" i="2"/>
  <c r="JS13" i="2"/>
  <c r="JT13" i="2"/>
  <c r="AIG17" i="2" l="1"/>
  <c r="JT17" i="2"/>
  <c r="JR17" i="2"/>
  <c r="Z9" i="11"/>
  <c r="Z11" i="11" s="1"/>
  <c r="Z9" i="12"/>
  <c r="Z11" i="12" s="1"/>
  <c r="JS17" i="2"/>
  <c r="AKC6" i="2"/>
  <c r="AKC10" i="2" s="1"/>
  <c r="AKB6" i="2"/>
  <c r="AKB10" i="2" s="1"/>
  <c r="AKB17" i="2" l="1"/>
  <c r="H45" i="13"/>
  <c r="I45" i="13"/>
  <c r="AJZ16" i="2"/>
  <c r="AKA16" i="2"/>
  <c r="AJZ17" i="2" l="1"/>
  <c r="H13" i="13" s="1"/>
  <c r="AKA17" i="2"/>
  <c r="I13" i="13" s="1"/>
  <c r="I7" i="13" l="1"/>
  <c r="K54" i="13"/>
  <c r="ANV17" i="2"/>
  <c r="B7" i="13" s="1"/>
  <c r="ANW17" i="2"/>
  <c r="C7" i="13" s="1"/>
  <c r="ALT6" i="2"/>
  <c r="B39" i="13" l="1"/>
  <c r="C39" i="13"/>
  <c r="AKO6" i="2"/>
  <c r="AKO10" i="2" s="1"/>
  <c r="AKP6" i="2"/>
  <c r="AKP10" i="2" s="1"/>
  <c r="AKQ6" i="2" l="1"/>
  <c r="AKQ10" i="2" s="1"/>
  <c r="AKD6" i="2"/>
  <c r="AKD10" i="2" s="1"/>
  <c r="AOS17" i="2" l="1"/>
  <c r="AOF16" i="2"/>
  <c r="AOG16" i="2"/>
  <c r="AOH16" i="2"/>
  <c r="AOI16" i="2"/>
  <c r="AOJ16" i="2"/>
  <c r="AOK16" i="2"/>
  <c r="AOL16" i="2"/>
  <c r="AOM16" i="2"/>
  <c r="AOI17" i="2"/>
  <c r="AOK17" i="2"/>
  <c r="AKD17" i="2" l="1"/>
  <c r="AKQ17" i="2"/>
  <c r="AJT16" i="2"/>
  <c r="AJU16" i="2"/>
  <c r="AJV16" i="2"/>
  <c r="AJW16" i="2"/>
  <c r="AJX16" i="2"/>
  <c r="AJY16" i="2"/>
  <c r="AKB16" i="2"/>
  <c r="AKC16" i="2"/>
  <c r="AKD16" i="2"/>
  <c r="AKE16" i="2"/>
  <c r="AKF16" i="2"/>
  <c r="AKG16" i="2"/>
  <c r="AKH16" i="2"/>
  <c r="AKI16" i="2"/>
  <c r="AKJ16" i="2"/>
  <c r="AKK16" i="2"/>
  <c r="AKL16" i="2"/>
  <c r="AKM16" i="2"/>
  <c r="AKN16" i="2"/>
  <c r="AKO16" i="2"/>
  <c r="AKP16" i="2"/>
  <c r="AKQ16" i="2"/>
  <c r="AKR16" i="2"/>
  <c r="AKS16" i="2"/>
  <c r="AKT16" i="2"/>
  <c r="AKU16" i="2"/>
  <c r="AKV16" i="2"/>
  <c r="AKW16" i="2"/>
  <c r="AKX16" i="2"/>
  <c r="AKY16" i="2"/>
  <c r="AKZ16" i="2"/>
  <c r="ALA16" i="2"/>
  <c r="ALB16" i="2"/>
  <c r="ALC16" i="2"/>
  <c r="ALD16" i="2"/>
  <c r="AKC17" i="2"/>
  <c r="AKO17" i="2"/>
  <c r="AKP17" i="2"/>
  <c r="AKE17" i="2" l="1"/>
  <c r="B18" i="13" s="1"/>
  <c r="B50" i="13"/>
  <c r="AJT17" i="2"/>
  <c r="B13" i="13" s="1"/>
  <c r="B45" i="13"/>
  <c r="AKF17" i="2"/>
  <c r="C18" i="13" s="1"/>
  <c r="C50" i="13"/>
  <c r="AJU17" i="2"/>
  <c r="C13" i="13" s="1"/>
  <c r="C45" i="13"/>
  <c r="AKN17" i="2"/>
  <c r="K18" i="13" s="1"/>
  <c r="K50" i="13"/>
  <c r="AKL17" i="2"/>
  <c r="I18" i="13" s="1"/>
  <c r="I50" i="13"/>
  <c r="AKJ17" i="2"/>
  <c r="G18" i="13" s="1"/>
  <c r="G50" i="13"/>
  <c r="AKH17" i="2"/>
  <c r="E18" i="13" s="1"/>
  <c r="E50" i="13"/>
  <c r="AJY17" i="2"/>
  <c r="G13" i="13" s="1"/>
  <c r="G45" i="13"/>
  <c r="AJW17" i="2"/>
  <c r="E13" i="13" s="1"/>
  <c r="E45" i="13"/>
  <c r="AKM17" i="2"/>
  <c r="J18" i="13" s="1"/>
  <c r="J50" i="13"/>
  <c r="AKK17" i="2"/>
  <c r="H18" i="13" s="1"/>
  <c r="H50" i="13"/>
  <c r="AKI17" i="2"/>
  <c r="F18" i="13" s="1"/>
  <c r="F50" i="13"/>
  <c r="AKG17" i="2"/>
  <c r="D18" i="13" s="1"/>
  <c r="D50" i="13"/>
  <c r="AJX17" i="2"/>
  <c r="F13" i="13" s="1"/>
  <c r="F45" i="13"/>
  <c r="AJV17" i="2"/>
  <c r="D13" i="13" s="1"/>
  <c r="D45" i="13"/>
  <c r="J13" i="13" l="1"/>
  <c r="J45" i="13"/>
  <c r="K45" i="13"/>
  <c r="K13" i="13"/>
  <c r="M18" i="13"/>
  <c r="M50" i="13"/>
  <c r="L50" i="13"/>
  <c r="L18" i="13"/>
  <c r="G60" i="13"/>
  <c r="G57" i="13"/>
  <c r="G56" i="13"/>
  <c r="L45" i="13" l="1"/>
  <c r="N50" i="13"/>
  <c r="L13" i="13"/>
  <c r="N18" i="13"/>
  <c r="G54" i="13"/>
  <c r="ALE16" i="2" l="1"/>
  <c r="ALF16" i="2"/>
  <c r="ALH16" i="2"/>
  <c r="ALI16" i="2"/>
  <c r="ALJ16" i="2"/>
  <c r="ALK16" i="2"/>
  <c r="ALL16" i="2"/>
  <c r="ALM16" i="2"/>
  <c r="ALN16" i="2"/>
  <c r="ALO16" i="2"/>
  <c r="ALP16" i="2"/>
  <c r="ALQ16" i="2"/>
  <c r="ALR16" i="2"/>
  <c r="ALS16" i="2"/>
  <c r="ALE13" i="2"/>
  <c r="ALF13" i="2"/>
  <c r="ALI13" i="2"/>
  <c r="ALJ13" i="2"/>
  <c r="ALK13" i="2"/>
  <c r="ALL13" i="2"/>
  <c r="ALM13" i="2"/>
  <c r="ALN13" i="2"/>
  <c r="ALO13" i="2"/>
  <c r="ALP13" i="2"/>
  <c r="ALQ13" i="2"/>
  <c r="ALR13" i="2"/>
  <c r="D36" i="9"/>
  <c r="AMM16" i="2"/>
  <c r="AMN16" i="2"/>
  <c r="AMO16" i="2"/>
  <c r="AMP16" i="2"/>
  <c r="AMQ16" i="2"/>
  <c r="AMR16" i="2"/>
  <c r="AMS16" i="2"/>
  <c r="AMT16" i="2"/>
  <c r="AMU16" i="2"/>
  <c r="AMV16" i="2"/>
  <c r="AMW16" i="2"/>
  <c r="AMX16" i="2"/>
  <c r="AMY16" i="2"/>
  <c r="AMZ16" i="2"/>
  <c r="AMN13" i="2"/>
  <c r="AMO13" i="2"/>
  <c r="AMP13" i="2"/>
  <c r="AMQ13" i="2"/>
  <c r="AMR13" i="2"/>
  <c r="AMS13" i="2"/>
  <c r="AMT13" i="2"/>
  <c r="AMU13" i="2"/>
  <c r="AMV13" i="2"/>
  <c r="AMW13" i="2"/>
  <c r="AMX13" i="2"/>
  <c r="ANA16" i="2"/>
  <c r="ANB16" i="2"/>
  <c r="ANC16" i="2"/>
  <c r="AND16" i="2"/>
  <c r="ANE16" i="2"/>
  <c r="ANF16" i="2"/>
  <c r="ANG16" i="2"/>
  <c r="ANH16" i="2"/>
  <c r="ANI16" i="2"/>
  <c r="ANJ16" i="2"/>
  <c r="ANK16" i="2"/>
  <c r="ANL16" i="2"/>
  <c r="AMF16" i="2"/>
  <c r="AMG16" i="2"/>
  <c r="AMY13" i="2"/>
  <c r="AMZ13" i="2"/>
  <c r="ANA13" i="2"/>
  <c r="ANB13" i="2"/>
  <c r="ANC13" i="2"/>
  <c r="AND13" i="2"/>
  <c r="ANE13" i="2"/>
  <c r="ANF13" i="2"/>
  <c r="ANG13" i="2"/>
  <c r="ANH13" i="2"/>
  <c r="ANI13" i="2"/>
  <c r="ANJ13" i="2"/>
  <c r="ANK13" i="2"/>
  <c r="ALE17" i="2" l="1"/>
  <c r="K9" i="9" s="1"/>
  <c r="ALR17" i="2"/>
  <c r="ALN17" i="2"/>
  <c r="F14" i="9" s="1"/>
  <c r="ALJ17" i="2"/>
  <c r="ALP17" i="2"/>
  <c r="ALL17" i="2"/>
  <c r="ANJ17" i="2"/>
  <c r="ANB17" i="2"/>
  <c r="AMS17" i="2"/>
  <c r="ANH17" i="2"/>
  <c r="AND17" i="2"/>
  <c r="AMZ17" i="2"/>
  <c r="AMU17" i="2"/>
  <c r="AMQ17" i="2"/>
  <c r="ANK17" i="2"/>
  <c r="ANG17" i="2"/>
  <c r="ANC17" i="2"/>
  <c r="AMY17" i="2"/>
  <c r="AMX17" i="2"/>
  <c r="AMT17" i="2"/>
  <c r="AMP17" i="2"/>
  <c r="U9" i="9" s="1"/>
  <c r="ALQ17" i="2"/>
  <c r="ALM17" i="2"/>
  <c r="D14" i="9" s="1"/>
  <c r="ANF17" i="2"/>
  <c r="AMW17" i="2"/>
  <c r="W9" i="9" s="1"/>
  <c r="AMO17" i="2"/>
  <c r="ANI17" i="2"/>
  <c r="ANE17" i="2"/>
  <c r="ANA17" i="2"/>
  <c r="AMV17" i="2"/>
  <c r="AMR17" i="2"/>
  <c r="AMN17" i="2"/>
  <c r="ALO17" i="2"/>
  <c r="ALK17" i="2"/>
  <c r="ALF17" i="2"/>
  <c r="L9" i="9" s="1"/>
  <c r="H36" i="9"/>
  <c r="H14" i="9" l="1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M16" i="2"/>
  <c r="DN16" i="2"/>
  <c r="DO16" i="2"/>
  <c r="DP16" i="2"/>
  <c r="DQ16" i="2"/>
  <c r="DR16" i="2"/>
  <c r="DS16" i="2"/>
  <c r="DT16" i="2"/>
  <c r="DU16" i="2"/>
  <c r="DV16" i="2"/>
  <c r="EU16" i="2"/>
  <c r="EV16" i="2"/>
  <c r="EW16" i="2"/>
  <c r="EX16" i="2"/>
  <c r="EY16" i="2"/>
  <c r="EZ16" i="2"/>
  <c r="FA16" i="2"/>
  <c r="FB16" i="2"/>
  <c r="FC16" i="2"/>
  <c r="FD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P16" i="2"/>
  <c r="HQ16" i="2"/>
  <c r="HR16" i="2"/>
  <c r="HS16" i="2"/>
  <c r="HT16" i="2"/>
  <c r="HU16" i="2"/>
  <c r="HV16" i="2"/>
  <c r="HW16" i="2"/>
  <c r="HX16" i="2"/>
  <c r="HY16" i="2"/>
  <c r="IC16" i="2"/>
  <c r="ID16" i="2"/>
  <c r="IE16" i="2"/>
  <c r="IF16" i="2"/>
  <c r="IG16" i="2"/>
  <c r="IH16" i="2"/>
  <c r="II16" i="2"/>
  <c r="IJ16" i="2"/>
  <c r="IK16" i="2"/>
  <c r="IL16" i="2"/>
  <c r="IP16" i="2"/>
  <c r="IQ16" i="2"/>
  <c r="IR16" i="2"/>
  <c r="IS16" i="2"/>
  <c r="IT16" i="2"/>
  <c r="IU16" i="2"/>
  <c r="IV16" i="2"/>
  <c r="IW16" i="2"/>
  <c r="IX16" i="2"/>
  <c r="IY16" i="2"/>
  <c r="GC16" i="2"/>
  <c r="GD16" i="2"/>
  <c r="GE16" i="2"/>
  <c r="GF16" i="2"/>
  <c r="GG16" i="2"/>
  <c r="GH16" i="2"/>
  <c r="GI16" i="2"/>
  <c r="GJ16" i="2"/>
  <c r="GK16" i="2"/>
  <c r="GL16" i="2"/>
  <c r="HC16" i="2"/>
  <c r="HD16" i="2"/>
  <c r="HE16" i="2"/>
  <c r="HF16" i="2"/>
  <c r="HG16" i="2"/>
  <c r="HH16" i="2"/>
  <c r="HI16" i="2"/>
  <c r="HJ16" i="2"/>
  <c r="HK16" i="2"/>
  <c r="HL16" i="2"/>
  <c r="JC16" i="2"/>
  <c r="JD16" i="2"/>
  <c r="JE16" i="2"/>
  <c r="JF16" i="2"/>
  <c r="JG16" i="2"/>
  <c r="JH16" i="2"/>
  <c r="JI16" i="2"/>
  <c r="JJ16" i="2"/>
  <c r="JK16" i="2"/>
  <c r="JL16" i="2"/>
  <c r="JP16" i="2"/>
  <c r="JQ16" i="2"/>
  <c r="JU16" i="2"/>
  <c r="JV16" i="2"/>
  <c r="JW16" i="2"/>
  <c r="JX16" i="2"/>
  <c r="JY16" i="2"/>
  <c r="JZ16" i="2"/>
  <c r="KA16" i="2"/>
  <c r="KB16" i="2"/>
  <c r="KC16" i="2"/>
  <c r="KD16" i="2"/>
  <c r="KE16" i="2"/>
  <c r="KH16" i="2"/>
  <c r="KI16" i="2"/>
  <c r="KM16" i="2"/>
  <c r="KN16" i="2"/>
  <c r="KO16" i="2"/>
  <c r="KP16" i="2"/>
  <c r="KQ16" i="2"/>
  <c r="KR16" i="2"/>
  <c r="KV16" i="2"/>
  <c r="KW16" i="2"/>
  <c r="KX16" i="2"/>
  <c r="KY16" i="2"/>
  <c r="KZ16" i="2"/>
  <c r="LA16" i="2"/>
  <c r="LB16" i="2"/>
  <c r="LC16" i="2"/>
  <c r="LD16" i="2"/>
  <c r="LE16" i="2"/>
  <c r="LF16" i="2"/>
  <c r="LG16" i="2"/>
  <c r="LH16" i="2"/>
  <c r="LI16" i="2"/>
  <c r="LJ16" i="2"/>
  <c r="LK16" i="2"/>
  <c r="LQ16" i="2"/>
  <c r="LR16" i="2"/>
  <c r="LS16" i="2"/>
  <c r="LT16" i="2"/>
  <c r="LU16" i="2"/>
  <c r="LV16" i="2"/>
  <c r="LW16" i="2"/>
  <c r="LX16" i="2"/>
  <c r="LY16" i="2"/>
  <c r="LZ16" i="2"/>
  <c r="MA16" i="2"/>
  <c r="MB16" i="2"/>
  <c r="MC16" i="2"/>
  <c r="MD16" i="2"/>
  <c r="ME16" i="2"/>
  <c r="MF16" i="2"/>
  <c r="MJ16" i="2"/>
  <c r="MK16" i="2"/>
  <c r="ML16" i="2"/>
  <c r="MM16" i="2"/>
  <c r="MN16" i="2"/>
  <c r="MO16" i="2"/>
  <c r="MP16" i="2"/>
  <c r="MQ16" i="2"/>
  <c r="MR16" i="2"/>
  <c r="MS16" i="2"/>
  <c r="MT16" i="2"/>
  <c r="MU16" i="2"/>
  <c r="MV16" i="2"/>
  <c r="MW16" i="2"/>
  <c r="MX16" i="2"/>
  <c r="MY16" i="2"/>
  <c r="NC16" i="2"/>
  <c r="ND16" i="2"/>
  <c r="NE16" i="2"/>
  <c r="NF16" i="2"/>
  <c r="NG16" i="2"/>
  <c r="NH16" i="2"/>
  <c r="NI16" i="2"/>
  <c r="NJ16" i="2"/>
  <c r="NK16" i="2"/>
  <c r="NL16" i="2"/>
  <c r="NM16" i="2"/>
  <c r="NN16" i="2"/>
  <c r="NO16" i="2"/>
  <c r="NP16" i="2"/>
  <c r="NQ16" i="2"/>
  <c r="NR16" i="2"/>
  <c r="NV16" i="2"/>
  <c r="NW16" i="2"/>
  <c r="NX16" i="2"/>
  <c r="NY16" i="2"/>
  <c r="NZ16" i="2"/>
  <c r="OA16" i="2"/>
  <c r="OB16" i="2"/>
  <c r="OC16" i="2"/>
  <c r="OD16" i="2"/>
  <c r="OE16" i="2"/>
  <c r="OF16" i="2"/>
  <c r="OG16" i="2"/>
  <c r="OH16" i="2"/>
  <c r="OI16" i="2"/>
  <c r="OJ16" i="2"/>
  <c r="OK16" i="2"/>
  <c r="OO16" i="2"/>
  <c r="OP16" i="2"/>
  <c r="OQ16" i="2"/>
  <c r="OR16" i="2"/>
  <c r="OS16" i="2"/>
  <c r="OT16" i="2"/>
  <c r="OU16" i="2"/>
  <c r="OV16" i="2"/>
  <c r="OW16" i="2"/>
  <c r="OX16" i="2"/>
  <c r="OY16" i="2"/>
  <c r="OZ16" i="2"/>
  <c r="PA16" i="2"/>
  <c r="PB16" i="2"/>
  <c r="PC16" i="2"/>
  <c r="PD16" i="2"/>
  <c r="PH16" i="2"/>
  <c r="PI16" i="2"/>
  <c r="PJ16" i="2"/>
  <c r="PK16" i="2"/>
  <c r="PL16" i="2"/>
  <c r="PM16" i="2"/>
  <c r="PN16" i="2"/>
  <c r="PO16" i="2"/>
  <c r="PP16" i="2"/>
  <c r="PQ16" i="2"/>
  <c r="PR16" i="2"/>
  <c r="PS16" i="2"/>
  <c r="PT16" i="2"/>
  <c r="PU16" i="2"/>
  <c r="PV16" i="2"/>
  <c r="PW16" i="2"/>
  <c r="QA16" i="2"/>
  <c r="QB16" i="2"/>
  <c r="QC16" i="2"/>
  <c r="QD16" i="2"/>
  <c r="QE16" i="2"/>
  <c r="QF16" i="2"/>
  <c r="QG16" i="2"/>
  <c r="QH16" i="2"/>
  <c r="QI16" i="2"/>
  <c r="QJ16" i="2"/>
  <c r="QK16" i="2"/>
  <c r="QL16" i="2"/>
  <c r="QM16" i="2"/>
  <c r="QN16" i="2"/>
  <c r="QO16" i="2"/>
  <c r="QP16" i="2"/>
  <c r="QT16" i="2"/>
  <c r="QU16" i="2"/>
  <c r="QV16" i="2"/>
  <c r="QW16" i="2"/>
  <c r="QX16" i="2"/>
  <c r="QY16" i="2"/>
  <c r="QZ16" i="2"/>
  <c r="RA16" i="2"/>
  <c r="RB16" i="2"/>
  <c r="RC16" i="2"/>
  <c r="RD16" i="2"/>
  <c r="RE16" i="2"/>
  <c r="RF16" i="2"/>
  <c r="RG16" i="2"/>
  <c r="RH16" i="2"/>
  <c r="RI16" i="2"/>
  <c r="RM16" i="2"/>
  <c r="RN16" i="2"/>
  <c r="RO16" i="2"/>
  <c r="RP16" i="2"/>
  <c r="RQ16" i="2"/>
  <c r="RR16" i="2"/>
  <c r="RS16" i="2"/>
  <c r="RT16" i="2"/>
  <c r="RU16" i="2"/>
  <c r="RV16" i="2"/>
  <c r="RW16" i="2"/>
  <c r="RX16" i="2"/>
  <c r="RY16" i="2"/>
  <c r="RZ16" i="2"/>
  <c r="SA16" i="2"/>
  <c r="SB16" i="2"/>
  <c r="SF16" i="2"/>
  <c r="SG16" i="2"/>
  <c r="SH16" i="2"/>
  <c r="SI16" i="2"/>
  <c r="SJ16" i="2"/>
  <c r="SK16" i="2"/>
  <c r="SL16" i="2"/>
  <c r="SM16" i="2"/>
  <c r="SN16" i="2"/>
  <c r="SO16" i="2"/>
  <c r="SP16" i="2"/>
  <c r="SQ16" i="2"/>
  <c r="SR16" i="2"/>
  <c r="SS16" i="2"/>
  <c r="ST16" i="2"/>
  <c r="SU16" i="2"/>
  <c r="SY16" i="2"/>
  <c r="SZ16" i="2"/>
  <c r="TA16" i="2"/>
  <c r="TB16" i="2"/>
  <c r="TC16" i="2"/>
  <c r="TD16" i="2"/>
  <c r="TE16" i="2"/>
  <c r="TF16" i="2"/>
  <c r="TG16" i="2"/>
  <c r="TH16" i="2"/>
  <c r="TI16" i="2"/>
  <c r="TJ16" i="2"/>
  <c r="TK16" i="2"/>
  <c r="TL16" i="2"/>
  <c r="TM16" i="2"/>
  <c r="TN16" i="2"/>
  <c r="TR16" i="2"/>
  <c r="TS16" i="2"/>
  <c r="TT16" i="2"/>
  <c r="TU16" i="2"/>
  <c r="TV16" i="2"/>
  <c r="TW16" i="2"/>
  <c r="TX16" i="2"/>
  <c r="TY16" i="2"/>
  <c r="TZ16" i="2"/>
  <c r="UA16" i="2"/>
  <c r="UB16" i="2"/>
  <c r="UC16" i="2"/>
  <c r="UD16" i="2"/>
  <c r="UE16" i="2"/>
  <c r="UF16" i="2"/>
  <c r="UG16" i="2"/>
  <c r="UK16" i="2"/>
  <c r="UL16" i="2"/>
  <c r="UM16" i="2"/>
  <c r="UN16" i="2"/>
  <c r="UO16" i="2"/>
  <c r="UP16" i="2"/>
  <c r="UQ16" i="2"/>
  <c r="UR16" i="2"/>
  <c r="US16" i="2"/>
  <c r="UT16" i="2"/>
  <c r="UU16" i="2"/>
  <c r="UV16" i="2"/>
  <c r="UW16" i="2"/>
  <c r="UX16" i="2"/>
  <c r="UY16" i="2"/>
  <c r="UZ16" i="2"/>
  <c r="VD16" i="2"/>
  <c r="VE16" i="2"/>
  <c r="VF16" i="2"/>
  <c r="VG16" i="2"/>
  <c r="VH16" i="2"/>
  <c r="VI16" i="2"/>
  <c r="VJ16" i="2"/>
  <c r="VK16" i="2"/>
  <c r="VL16" i="2"/>
  <c r="VM16" i="2"/>
  <c r="VN16" i="2"/>
  <c r="VO16" i="2"/>
  <c r="VP16" i="2"/>
  <c r="VQ16" i="2"/>
  <c r="VR16" i="2"/>
  <c r="VS16" i="2"/>
  <c r="VW16" i="2"/>
  <c r="VX16" i="2"/>
  <c r="VY16" i="2"/>
  <c r="VZ16" i="2"/>
  <c r="WA16" i="2"/>
  <c r="WB16" i="2"/>
  <c r="WC16" i="2"/>
  <c r="WD16" i="2"/>
  <c r="WE16" i="2"/>
  <c r="WF16" i="2"/>
  <c r="WG16" i="2"/>
  <c r="WH16" i="2"/>
  <c r="WI16" i="2"/>
  <c r="WJ16" i="2"/>
  <c r="WK16" i="2"/>
  <c r="WL16" i="2"/>
  <c r="WP16" i="2"/>
  <c r="WQ16" i="2"/>
  <c r="WR16" i="2"/>
  <c r="WS16" i="2"/>
  <c r="WT16" i="2"/>
  <c r="WU16" i="2"/>
  <c r="WV16" i="2"/>
  <c r="WW16" i="2"/>
  <c r="WX16" i="2"/>
  <c r="WY16" i="2"/>
  <c r="WZ16" i="2"/>
  <c r="XA16" i="2"/>
  <c r="XB16" i="2"/>
  <c r="XC16" i="2"/>
  <c r="XD16" i="2"/>
  <c r="XE16" i="2"/>
  <c r="XI16" i="2"/>
  <c r="XJ16" i="2"/>
  <c r="XK16" i="2"/>
  <c r="XL16" i="2"/>
  <c r="XM16" i="2"/>
  <c r="XN16" i="2"/>
  <c r="XO16" i="2"/>
  <c r="XP16" i="2"/>
  <c r="XQ16" i="2"/>
  <c r="XR16" i="2"/>
  <c r="XS16" i="2"/>
  <c r="XT16" i="2"/>
  <c r="XU16" i="2"/>
  <c r="XV16" i="2"/>
  <c r="XW16" i="2"/>
  <c r="XX16" i="2"/>
  <c r="YB16" i="2"/>
  <c r="YC16" i="2"/>
  <c r="YD16" i="2"/>
  <c r="YE16" i="2"/>
  <c r="YF16" i="2"/>
  <c r="YG16" i="2"/>
  <c r="YH16" i="2"/>
  <c r="YI16" i="2"/>
  <c r="YJ16" i="2"/>
  <c r="YK16" i="2"/>
  <c r="YL16" i="2"/>
  <c r="YM16" i="2"/>
  <c r="YN16" i="2"/>
  <c r="YO16" i="2"/>
  <c r="YP16" i="2"/>
  <c r="YQ16" i="2"/>
  <c r="YU16" i="2"/>
  <c r="YV16" i="2"/>
  <c r="YW16" i="2"/>
  <c r="YX16" i="2"/>
  <c r="YY16" i="2"/>
  <c r="YZ16" i="2"/>
  <c r="ZA16" i="2"/>
  <c r="ZB16" i="2"/>
  <c r="ZC16" i="2"/>
  <c r="ZD16" i="2"/>
  <c r="ZE16" i="2"/>
  <c r="ZF16" i="2"/>
  <c r="ZG16" i="2"/>
  <c r="ZH16" i="2"/>
  <c r="ZI16" i="2"/>
  <c r="ZJ16" i="2"/>
  <c r="ZN16" i="2"/>
  <c r="ZO16" i="2"/>
  <c r="ZP16" i="2"/>
  <c r="ZQ16" i="2"/>
  <c r="ZR16" i="2"/>
  <c r="ZS16" i="2"/>
  <c r="ZT16" i="2"/>
  <c r="ZU16" i="2"/>
  <c r="ZV16" i="2"/>
  <c r="ZW16" i="2"/>
  <c r="ZX16" i="2"/>
  <c r="ZY16" i="2"/>
  <c r="ZZ16" i="2"/>
  <c r="AAA16" i="2"/>
  <c r="AAB16" i="2"/>
  <c r="AAC16" i="2"/>
  <c r="AAG16" i="2"/>
  <c r="AAH16" i="2"/>
  <c r="AAI16" i="2"/>
  <c r="AAJ16" i="2"/>
  <c r="AAK16" i="2"/>
  <c r="AAL16" i="2"/>
  <c r="AAM16" i="2"/>
  <c r="AAN16" i="2"/>
  <c r="AAO16" i="2"/>
  <c r="AAP16" i="2"/>
  <c r="AAQ16" i="2"/>
  <c r="AAR16" i="2"/>
  <c r="AAS16" i="2"/>
  <c r="AAT16" i="2"/>
  <c r="AAU16" i="2"/>
  <c r="AAV16" i="2"/>
  <c r="AAZ16" i="2"/>
  <c r="ABA16" i="2"/>
  <c r="ABB16" i="2"/>
  <c r="ABC16" i="2"/>
  <c r="ABD16" i="2"/>
  <c r="ABE16" i="2"/>
  <c r="ABF16" i="2"/>
  <c r="ABG16" i="2"/>
  <c r="ABH16" i="2"/>
  <c r="ABI16" i="2"/>
  <c r="ABJ16" i="2"/>
  <c r="ABK16" i="2"/>
  <c r="ABL16" i="2"/>
  <c r="ABM16" i="2"/>
  <c r="ABN16" i="2"/>
  <c r="ABO16" i="2"/>
  <c r="ABS16" i="2"/>
  <c r="ABT16" i="2"/>
  <c r="ABU16" i="2"/>
  <c r="ABV16" i="2"/>
  <c r="ABW16" i="2"/>
  <c r="ABX16" i="2"/>
  <c r="ABY16" i="2"/>
  <c r="ABZ16" i="2"/>
  <c r="ACA16" i="2"/>
  <c r="ACB16" i="2"/>
  <c r="ACC16" i="2"/>
  <c r="ACD16" i="2"/>
  <c r="ACE16" i="2"/>
  <c r="ACF16" i="2"/>
  <c r="ACG16" i="2"/>
  <c r="ACH16" i="2"/>
  <c r="ACL16" i="2"/>
  <c r="ACM16" i="2"/>
  <c r="ACN16" i="2"/>
  <c r="ACO16" i="2"/>
  <c r="ACP16" i="2"/>
  <c r="ACQ16" i="2"/>
  <c r="ACR16" i="2"/>
  <c r="ACS16" i="2"/>
  <c r="ACT16" i="2"/>
  <c r="ACU16" i="2"/>
  <c r="ACV16" i="2"/>
  <c r="ACW16" i="2"/>
  <c r="ACX16" i="2"/>
  <c r="ACY16" i="2"/>
  <c r="ACZ16" i="2"/>
  <c r="ADA16" i="2"/>
  <c r="ADE16" i="2"/>
  <c r="ADF16" i="2"/>
  <c r="ADG16" i="2"/>
  <c r="ADH16" i="2"/>
  <c r="ADI16" i="2"/>
  <c r="ADJ16" i="2"/>
  <c r="ADK16" i="2"/>
  <c r="ADL16" i="2"/>
  <c r="ADM16" i="2"/>
  <c r="ADN16" i="2"/>
  <c r="ADO16" i="2"/>
  <c r="ADP16" i="2"/>
  <c r="ADQ16" i="2"/>
  <c r="ADR16" i="2"/>
  <c r="ADS16" i="2"/>
  <c r="ADT16" i="2"/>
  <c r="ADX16" i="2"/>
  <c r="ADY16" i="2"/>
  <c r="ADZ16" i="2"/>
  <c r="AEA16" i="2"/>
  <c r="AEB16" i="2"/>
  <c r="AEC16" i="2"/>
  <c r="AED16" i="2"/>
  <c r="AEE16" i="2"/>
  <c r="AEF16" i="2"/>
  <c r="AEG16" i="2"/>
  <c r="AEH16" i="2"/>
  <c r="AEI16" i="2"/>
  <c r="AEJ16" i="2"/>
  <c r="AEK16" i="2"/>
  <c r="AEL16" i="2"/>
  <c r="AEM16" i="2"/>
  <c r="AEQ16" i="2"/>
  <c r="AER16" i="2"/>
  <c r="AES16" i="2"/>
  <c r="AET16" i="2"/>
  <c r="AEU16" i="2"/>
  <c r="AEV16" i="2"/>
  <c r="AEW16" i="2"/>
  <c r="AEX16" i="2"/>
  <c r="AEY16" i="2"/>
  <c r="AEZ16" i="2"/>
  <c r="AFA16" i="2"/>
  <c r="AFB16" i="2"/>
  <c r="AFC16" i="2"/>
  <c r="AFD16" i="2"/>
  <c r="AFE16" i="2"/>
  <c r="AFF16" i="2"/>
  <c r="AFJ16" i="2"/>
  <c r="AFK16" i="2"/>
  <c r="AFL16" i="2"/>
  <c r="AFM16" i="2"/>
  <c r="AFN16" i="2"/>
  <c r="AFO16" i="2"/>
  <c r="AFP16" i="2"/>
  <c r="AFQ16" i="2"/>
  <c r="AFR16" i="2"/>
  <c r="AFS16" i="2"/>
  <c r="AFT16" i="2"/>
  <c r="AFU16" i="2"/>
  <c r="AFV16" i="2"/>
  <c r="AFW16" i="2"/>
  <c r="AFX16" i="2"/>
  <c r="AFY16" i="2"/>
  <c r="AGC16" i="2"/>
  <c r="AGD16" i="2"/>
  <c r="AGE16" i="2"/>
  <c r="AGF16" i="2"/>
  <c r="AGG16" i="2"/>
  <c r="AGH16" i="2"/>
  <c r="AGI16" i="2"/>
  <c r="AGJ16" i="2"/>
  <c r="AGK16" i="2"/>
  <c r="AGL16" i="2"/>
  <c r="AGM16" i="2"/>
  <c r="AGN16" i="2"/>
  <c r="AGO16" i="2"/>
  <c r="AGP16" i="2"/>
  <c r="AGQ16" i="2"/>
  <c r="AGR16" i="2"/>
  <c r="AGV16" i="2"/>
  <c r="AGW16" i="2"/>
  <c r="AGX16" i="2"/>
  <c r="AGY16" i="2"/>
  <c r="AGZ16" i="2"/>
  <c r="AHA16" i="2"/>
  <c r="AHB16" i="2"/>
  <c r="AHC16" i="2"/>
  <c r="AHD16" i="2"/>
  <c r="AHE16" i="2"/>
  <c r="AHF16" i="2"/>
  <c r="AHG16" i="2"/>
  <c r="AHH16" i="2"/>
  <c r="AHI16" i="2"/>
  <c r="AHJ16" i="2"/>
  <c r="AHK16" i="2"/>
  <c r="AIM16" i="2"/>
  <c r="AIN16" i="2"/>
  <c r="AIO16" i="2"/>
  <c r="AIP16" i="2"/>
  <c r="AIQ16" i="2"/>
  <c r="AIR16" i="2"/>
  <c r="AIS16" i="2"/>
  <c r="AIT16" i="2"/>
  <c r="AIU16" i="2"/>
  <c r="AIV16" i="2"/>
  <c r="AIW16" i="2"/>
  <c r="ALU16" i="2"/>
  <c r="ALV16" i="2"/>
  <c r="ALW16" i="2"/>
  <c r="ALX16" i="2"/>
  <c r="ALY16" i="2"/>
  <c r="ANM16" i="2"/>
  <c r="ANN16" i="2"/>
  <c r="ANO16" i="2"/>
  <c r="ANP16" i="2"/>
  <c r="ANQ16" i="2"/>
  <c r="ANR16" i="2"/>
  <c r="ANS16" i="2"/>
  <c r="ANT16" i="2"/>
  <c r="ANU16" i="2"/>
  <c r="ALZ16" i="2"/>
  <c r="AMA16" i="2"/>
  <c r="AMB16" i="2"/>
  <c r="AMC16" i="2"/>
  <c r="AMD16" i="2"/>
  <c r="AME16" i="2"/>
  <c r="AML16" i="2"/>
  <c r="AMH16" i="2"/>
  <c r="AMI16" i="2"/>
  <c r="AMJ16" i="2"/>
  <c r="AMK16" i="2"/>
  <c r="AON16" i="2"/>
  <c r="AOO16" i="2"/>
  <c r="AOP16" i="2"/>
  <c r="AOQ16" i="2"/>
  <c r="AOR16" i="2"/>
  <c r="AOT16" i="2"/>
  <c r="AOU16" i="2"/>
  <c r="AOV16" i="2"/>
  <c r="AOW16" i="2"/>
  <c r="AOX16" i="2"/>
  <c r="AOZ16" i="2"/>
  <c r="APA16" i="2"/>
  <c r="APB16" i="2"/>
  <c r="APC16" i="2"/>
  <c r="APD16" i="2"/>
  <c r="APE16" i="2"/>
  <c r="APF16" i="2"/>
  <c r="APG16" i="2"/>
  <c r="APH16" i="2"/>
  <c r="API16" i="2"/>
  <c r="APJ16" i="2"/>
  <c r="APK16" i="2"/>
  <c r="APL16" i="2"/>
  <c r="APM16" i="2"/>
  <c r="APN16" i="2"/>
  <c r="APO16" i="2"/>
  <c r="K39" i="13"/>
  <c r="L39" i="13"/>
  <c r="M39" i="13"/>
  <c r="N39" i="13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H59" i="6"/>
  <c r="I59" i="6"/>
  <c r="J59" i="6"/>
  <c r="H60" i="6"/>
  <c r="I60" i="6"/>
  <c r="J60" i="6"/>
  <c r="H61" i="6"/>
  <c r="I61" i="6"/>
  <c r="J61" i="6"/>
  <c r="H62" i="6"/>
  <c r="I62" i="6"/>
  <c r="J62" i="6"/>
  <c r="H63" i="6"/>
  <c r="I63" i="6"/>
  <c r="J63" i="6"/>
  <c r="I72" i="6"/>
  <c r="J72" i="6"/>
  <c r="I73" i="6"/>
  <c r="J73" i="6"/>
  <c r="I74" i="6"/>
  <c r="J74" i="6"/>
  <c r="I75" i="6"/>
  <c r="J75" i="6"/>
  <c r="I76" i="6"/>
  <c r="J76" i="6"/>
  <c r="K72" i="6"/>
  <c r="L72" i="6"/>
  <c r="K73" i="6"/>
  <c r="L73" i="6"/>
  <c r="K74" i="6"/>
  <c r="L74" i="6"/>
  <c r="K75" i="6"/>
  <c r="L75" i="6"/>
  <c r="K76" i="6"/>
  <c r="L76" i="6"/>
  <c r="M72" i="6"/>
  <c r="N72" i="6"/>
  <c r="M73" i="6"/>
  <c r="N73" i="6"/>
  <c r="M74" i="6"/>
  <c r="N74" i="6"/>
  <c r="M75" i="6"/>
  <c r="N75" i="6"/>
  <c r="M76" i="6"/>
  <c r="N76" i="6"/>
  <c r="C72" i="6"/>
  <c r="D72" i="6"/>
  <c r="C73" i="6"/>
  <c r="D73" i="6"/>
  <c r="C74" i="6"/>
  <c r="D74" i="6"/>
  <c r="C75" i="6"/>
  <c r="D75" i="6"/>
  <c r="C76" i="6"/>
  <c r="D76" i="6"/>
  <c r="F72" i="6"/>
  <c r="G72" i="6"/>
  <c r="F73" i="6"/>
  <c r="G73" i="6"/>
  <c r="F74" i="6"/>
  <c r="G74" i="6"/>
  <c r="F75" i="6"/>
  <c r="G75" i="6"/>
  <c r="F76" i="6"/>
  <c r="G76" i="6"/>
  <c r="E53" i="13"/>
  <c r="F53" i="13"/>
  <c r="E55" i="13"/>
  <c r="F58" i="13"/>
  <c r="F59" i="13"/>
  <c r="G59" i="13" s="1"/>
  <c r="K55" i="13"/>
  <c r="K56" i="13" s="1"/>
  <c r="ALU17" i="2"/>
  <c r="ALV17" i="2"/>
  <c r="ALW17" i="2"/>
  <c r="ALX17" i="2"/>
  <c r="AMD17" i="2"/>
  <c r="Q9" i="9" s="1"/>
  <c r="H74" i="6" l="1"/>
  <c r="P74" i="6"/>
  <c r="P73" i="6"/>
  <c r="H73" i="6"/>
  <c r="E74" i="6"/>
  <c r="H76" i="6"/>
  <c r="K62" i="6"/>
  <c r="D77" i="6"/>
  <c r="O75" i="6"/>
  <c r="K60" i="6"/>
  <c r="G77" i="6"/>
  <c r="E73" i="6"/>
  <c r="J77" i="6"/>
  <c r="I64" i="6"/>
  <c r="H75" i="6"/>
  <c r="E76" i="6"/>
  <c r="U54" i="8"/>
  <c r="E75" i="6"/>
  <c r="N77" i="6"/>
  <c r="P76" i="6"/>
  <c r="P72" i="6"/>
  <c r="J64" i="6"/>
  <c r="K61" i="6"/>
  <c r="O76" i="6"/>
  <c r="M77" i="6"/>
  <c r="O74" i="6"/>
  <c r="P75" i="6"/>
  <c r="L77" i="6"/>
  <c r="K63" i="6"/>
  <c r="K77" i="6"/>
  <c r="O72" i="6"/>
  <c r="O73" i="6"/>
  <c r="I77" i="6"/>
  <c r="F77" i="6"/>
  <c r="H72" i="6"/>
  <c r="C77" i="6"/>
  <c r="E72" i="6"/>
  <c r="K59" i="6"/>
  <c r="H64" i="6"/>
  <c r="T54" i="8"/>
  <c r="G58" i="13"/>
  <c r="F61" i="13"/>
  <c r="F62" i="13" s="1"/>
  <c r="G55" i="13"/>
  <c r="E61" i="13"/>
  <c r="E62" i="13" s="1"/>
  <c r="G53" i="13"/>
  <c r="P36" i="9"/>
  <c r="P14" i="9"/>
  <c r="ALY17" i="2"/>
  <c r="R14" i="9" s="1"/>
  <c r="R36" i="9"/>
  <c r="GZ6" i="2"/>
  <c r="HA6" i="2"/>
  <c r="Q74" i="6" l="1"/>
  <c r="Q75" i="6"/>
  <c r="V54" i="8"/>
  <c r="Q76" i="6"/>
  <c r="Q72" i="6"/>
  <c r="K64" i="6"/>
  <c r="E77" i="6"/>
  <c r="P77" i="6"/>
  <c r="H77" i="6"/>
  <c r="Q73" i="6"/>
  <c r="O77" i="6"/>
  <c r="T36" i="9"/>
  <c r="T14" i="9"/>
  <c r="G61" i="13"/>
  <c r="G62" i="13" s="1"/>
  <c r="HB6" i="2"/>
  <c r="Q77" i="6" l="1"/>
  <c r="GP13" i="2"/>
  <c r="GP17" i="2" s="1"/>
  <c r="GQ13" i="2"/>
  <c r="GQ17" i="2" s="1"/>
  <c r="GR13" i="2"/>
  <c r="GR17" i="2" s="1"/>
  <c r="GS13" i="2"/>
  <c r="GS17" i="2" s="1"/>
  <c r="GT13" i="2"/>
  <c r="GT17" i="2" s="1"/>
  <c r="GU13" i="2"/>
  <c r="GU17" i="2" s="1"/>
  <c r="GV13" i="2"/>
  <c r="GV17" i="2" s="1"/>
  <c r="GW13" i="2"/>
  <c r="GW17" i="2" s="1"/>
  <c r="GX13" i="2"/>
  <c r="GX17" i="2" s="1"/>
  <c r="GY13" i="2"/>
  <c r="GY17" i="2" s="1"/>
  <c r="GZ13" i="2"/>
  <c r="HA13" i="2"/>
  <c r="HB13" i="2"/>
  <c r="HP13" i="2"/>
  <c r="HP17" i="2" s="1"/>
  <c r="K32" i="6" s="1"/>
  <c r="HQ13" i="2"/>
  <c r="HQ17" i="2" s="1"/>
  <c r="L32" i="6" s="1"/>
  <c r="HR13" i="2"/>
  <c r="HR17" i="2" s="1"/>
  <c r="K33" i="6" s="1"/>
  <c r="HS13" i="2"/>
  <c r="HS17" i="2" s="1"/>
  <c r="L33" i="6" s="1"/>
  <c r="HT13" i="2"/>
  <c r="HT17" i="2" s="1"/>
  <c r="K34" i="6" s="1"/>
  <c r="HU13" i="2"/>
  <c r="HU17" i="2" s="1"/>
  <c r="L34" i="6" s="1"/>
  <c r="GZ7" i="2"/>
  <c r="GZ10" i="2" s="1"/>
  <c r="HA7" i="2"/>
  <c r="HA10" i="2" s="1"/>
  <c r="GZ17" i="2" l="1"/>
  <c r="HB7" i="2"/>
  <c r="HA17" i="2"/>
  <c r="AH11" i="12"/>
  <c r="AG11" i="12"/>
  <c r="HB10" i="2" l="1"/>
  <c r="HB17" i="2" s="1"/>
  <c r="EB7" i="2"/>
  <c r="EI7" i="2"/>
  <c r="AKZ7" i="2" l="1"/>
  <c r="ALA7" i="2"/>
  <c r="ALA6" i="2"/>
  <c r="AKZ6" i="2"/>
  <c r="ALA10" i="2" l="1"/>
  <c r="AKZ10" i="2"/>
  <c r="ALB7" i="2"/>
  <c r="ALB6" i="2"/>
  <c r="AMH13" i="2"/>
  <c r="AMH17" i="2" s="1"/>
  <c r="AMI13" i="2"/>
  <c r="AMI17" i="2" s="1"/>
  <c r="AMJ13" i="2"/>
  <c r="AMJ17" i="2" s="1"/>
  <c r="AMK13" i="2"/>
  <c r="AMK17" i="2" s="1"/>
  <c r="ANL13" i="2"/>
  <c r="ANL17" i="2" s="1"/>
  <c r="AMF13" i="2"/>
  <c r="AMF17" i="2" s="1"/>
  <c r="AG11" i="11"/>
  <c r="AH11" i="11"/>
  <c r="Q31" i="9"/>
  <c r="ALB10" i="2" l="1"/>
  <c r="S13" i="2"/>
  <c r="S17" i="2" s="1"/>
  <c r="M7" i="13" s="1"/>
  <c r="T13" i="2"/>
  <c r="T17" i="2" s="1"/>
  <c r="N7" i="13" s="1"/>
  <c r="U13" i="2"/>
  <c r="U17" i="2" s="1"/>
  <c r="Q9" i="8" s="1"/>
  <c r="V13" i="2"/>
  <c r="V17" i="2" s="1"/>
  <c r="R9" i="8" s="1"/>
  <c r="W13" i="2"/>
  <c r="W17" i="2" s="1"/>
  <c r="S9" i="8" s="1"/>
  <c r="X13" i="2"/>
  <c r="X17" i="2" s="1"/>
  <c r="B26" i="8" s="1"/>
  <c r="Q37" i="8"/>
  <c r="R37" i="8"/>
  <c r="S37" i="8"/>
  <c r="Y46" i="8" l="1"/>
  <c r="T46" i="8"/>
  <c r="S46" i="8"/>
  <c r="H46" i="8"/>
  <c r="E46" i="8"/>
  <c r="T37" i="8"/>
  <c r="F16" i="2"/>
  <c r="AOY15" i="2"/>
  <c r="ALT15" i="2"/>
  <c r="AJP15" i="2"/>
  <c r="AJO15" i="2"/>
  <c r="AJN15" i="2"/>
  <c r="AJM15" i="2"/>
  <c r="AJL15" i="2"/>
  <c r="AJK15" i="2"/>
  <c r="AJJ15" i="2"/>
  <c r="AJI15" i="2"/>
  <c r="AJF15" i="2"/>
  <c r="AJE15" i="2"/>
  <c r="AJH15" i="2"/>
  <c r="AJG15" i="2"/>
  <c r="AJD15" i="2"/>
  <c r="AJC15" i="2"/>
  <c r="AJB15" i="2"/>
  <c r="AJA15" i="2"/>
  <c r="AIY15" i="2"/>
  <c r="AIX15" i="2"/>
  <c r="AHM15" i="2"/>
  <c r="AHL15" i="2"/>
  <c r="AGT15" i="2"/>
  <c r="AGS15" i="2"/>
  <c r="AGA15" i="2"/>
  <c r="AFZ15" i="2"/>
  <c r="AFH15" i="2"/>
  <c r="AFG15" i="2"/>
  <c r="AEO15" i="2"/>
  <c r="AEN15" i="2"/>
  <c r="ADV15" i="2"/>
  <c r="ADU15" i="2"/>
  <c r="ADC15" i="2"/>
  <c r="ADB15" i="2"/>
  <c r="ACJ15" i="2"/>
  <c r="ACI15" i="2"/>
  <c r="ABQ15" i="2"/>
  <c r="ABP15" i="2"/>
  <c r="AAX15" i="2"/>
  <c r="AAW15" i="2"/>
  <c r="AAE15" i="2"/>
  <c r="AAD15" i="2"/>
  <c r="ZL15" i="2"/>
  <c r="ZK15" i="2"/>
  <c r="YS15" i="2"/>
  <c r="YR15" i="2"/>
  <c r="XZ15" i="2"/>
  <c r="XY15" i="2"/>
  <c r="XG15" i="2"/>
  <c r="XF15" i="2"/>
  <c r="WN15" i="2"/>
  <c r="WM15" i="2"/>
  <c r="VU15" i="2"/>
  <c r="VT15" i="2"/>
  <c r="VB15" i="2"/>
  <c r="VA15" i="2"/>
  <c r="UI15" i="2"/>
  <c r="UH15" i="2"/>
  <c r="TP15" i="2"/>
  <c r="TO15" i="2"/>
  <c r="SW15" i="2"/>
  <c r="SV15" i="2"/>
  <c r="SD15" i="2"/>
  <c r="SC15" i="2"/>
  <c r="RK15" i="2"/>
  <c r="RJ15" i="2"/>
  <c r="QR15" i="2"/>
  <c r="QQ15" i="2"/>
  <c r="PY15" i="2"/>
  <c r="PX15" i="2"/>
  <c r="PF15" i="2"/>
  <c r="PE15" i="2"/>
  <c r="OM15" i="2"/>
  <c r="OL15" i="2"/>
  <c r="NT15" i="2"/>
  <c r="NS15" i="2"/>
  <c r="NA15" i="2"/>
  <c r="MZ15" i="2"/>
  <c r="MH15" i="2"/>
  <c r="MG15" i="2"/>
  <c r="KT15" i="2"/>
  <c r="KS15" i="2"/>
  <c r="JN15" i="2"/>
  <c r="JM15" i="2"/>
  <c r="HN15" i="2"/>
  <c r="HM15" i="2"/>
  <c r="GN15" i="2"/>
  <c r="GM15" i="2"/>
  <c r="JA15" i="2"/>
  <c r="IZ15" i="2"/>
  <c r="IN15" i="2"/>
  <c r="IM15" i="2"/>
  <c r="IA15" i="2"/>
  <c r="HZ15" i="2"/>
  <c r="GA15" i="2"/>
  <c r="FZ15" i="2"/>
  <c r="FY15" i="2"/>
  <c r="FH15" i="2"/>
  <c r="FG15" i="2"/>
  <c r="EQ15" i="2"/>
  <c r="EP15" i="2"/>
  <c r="EO15" i="2"/>
  <c r="EN15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X15" i="2"/>
  <c r="DW15" i="2"/>
  <c r="DK15" i="2"/>
  <c r="DJ15" i="2"/>
  <c r="CV15" i="2"/>
  <c r="CU15" i="2"/>
  <c r="CE15" i="2"/>
  <c r="CD15" i="2"/>
  <c r="BL15" i="2"/>
  <c r="BK15" i="2"/>
  <c r="AQ15" i="2"/>
  <c r="AP15" i="2"/>
  <c r="AOY14" i="2"/>
  <c r="ALT14" i="2"/>
  <c r="AJP14" i="2"/>
  <c r="AJO14" i="2"/>
  <c r="AJN14" i="2"/>
  <c r="AJM14" i="2"/>
  <c r="AJL14" i="2"/>
  <c r="AJK14" i="2"/>
  <c r="AJJ14" i="2"/>
  <c r="AJI14" i="2"/>
  <c r="AJF14" i="2"/>
  <c r="AJE14" i="2"/>
  <c r="AJH14" i="2"/>
  <c r="AJG14" i="2"/>
  <c r="AJD14" i="2"/>
  <c r="AJC14" i="2"/>
  <c r="AJB14" i="2"/>
  <c r="AJA14" i="2"/>
  <c r="AIY14" i="2"/>
  <c r="AIX14" i="2"/>
  <c r="AHM14" i="2"/>
  <c r="AHL14" i="2"/>
  <c r="AGT14" i="2"/>
  <c r="AGS14" i="2"/>
  <c r="AGA14" i="2"/>
  <c r="AFZ14" i="2"/>
  <c r="AFH14" i="2"/>
  <c r="AFG14" i="2"/>
  <c r="AEO14" i="2"/>
  <c r="AEN14" i="2"/>
  <c r="ADV14" i="2"/>
  <c r="ADU14" i="2"/>
  <c r="ADC14" i="2"/>
  <c r="ADB14" i="2"/>
  <c r="ACJ14" i="2"/>
  <c r="ACI14" i="2"/>
  <c r="ABQ14" i="2"/>
  <c r="ABP14" i="2"/>
  <c r="AAX14" i="2"/>
  <c r="AAW14" i="2"/>
  <c r="AAE14" i="2"/>
  <c r="AAD14" i="2"/>
  <c r="ZL14" i="2"/>
  <c r="ZK14" i="2"/>
  <c r="YS14" i="2"/>
  <c r="YR14" i="2"/>
  <c r="XZ14" i="2"/>
  <c r="XY14" i="2"/>
  <c r="XG14" i="2"/>
  <c r="XF14" i="2"/>
  <c r="WN14" i="2"/>
  <c r="WM14" i="2"/>
  <c r="VU14" i="2"/>
  <c r="VT14" i="2"/>
  <c r="VB14" i="2"/>
  <c r="VA14" i="2"/>
  <c r="UI14" i="2"/>
  <c r="UH14" i="2"/>
  <c r="TP14" i="2"/>
  <c r="TO14" i="2"/>
  <c r="SW14" i="2"/>
  <c r="SV14" i="2"/>
  <c r="SD14" i="2"/>
  <c r="SC14" i="2"/>
  <c r="RK14" i="2"/>
  <c r="RJ14" i="2"/>
  <c r="QR14" i="2"/>
  <c r="QQ14" i="2"/>
  <c r="PY14" i="2"/>
  <c r="PX14" i="2"/>
  <c r="PF14" i="2"/>
  <c r="PE14" i="2"/>
  <c r="OM14" i="2"/>
  <c r="OL14" i="2"/>
  <c r="NT14" i="2"/>
  <c r="NS14" i="2"/>
  <c r="NA14" i="2"/>
  <c r="MZ14" i="2"/>
  <c r="MH14" i="2"/>
  <c r="MG14" i="2"/>
  <c r="KT14" i="2"/>
  <c r="KS14" i="2"/>
  <c r="JN14" i="2"/>
  <c r="JM14" i="2"/>
  <c r="HN14" i="2"/>
  <c r="HM14" i="2"/>
  <c r="GN14" i="2"/>
  <c r="GM14" i="2"/>
  <c r="JA14" i="2"/>
  <c r="IZ14" i="2"/>
  <c r="IN14" i="2"/>
  <c r="IM14" i="2"/>
  <c r="IA14" i="2"/>
  <c r="HZ14" i="2"/>
  <c r="GA14" i="2"/>
  <c r="FZ14" i="2"/>
  <c r="FY14" i="2"/>
  <c r="FH14" i="2"/>
  <c r="FG14" i="2"/>
  <c r="EQ14" i="2"/>
  <c r="EP14" i="2"/>
  <c r="EO14" i="2"/>
  <c r="EN14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X14" i="2"/>
  <c r="DW14" i="2"/>
  <c r="DK14" i="2"/>
  <c r="DJ14" i="2"/>
  <c r="CV14" i="2"/>
  <c r="CU14" i="2"/>
  <c r="CE14" i="2"/>
  <c r="CD14" i="2"/>
  <c r="BL14" i="2"/>
  <c r="BK14" i="2"/>
  <c r="AQ14" i="2"/>
  <c r="AP14" i="2"/>
  <c r="APO13" i="2"/>
  <c r="APO17" i="2" s="1"/>
  <c r="APN13" i="2"/>
  <c r="APN17" i="2" s="1"/>
  <c r="O22" i="9" s="1"/>
  <c r="APM13" i="2"/>
  <c r="APM17" i="2" s="1"/>
  <c r="APL13" i="2"/>
  <c r="APL17" i="2" s="1"/>
  <c r="N22" i="9" s="1"/>
  <c r="APK13" i="2"/>
  <c r="APK17" i="2" s="1"/>
  <c r="APJ13" i="2"/>
  <c r="APJ17" i="2" s="1"/>
  <c r="M22" i="9" s="1"/>
  <c r="API13" i="2"/>
  <c r="API17" i="2" s="1"/>
  <c r="APH13" i="2"/>
  <c r="APH17" i="2" s="1"/>
  <c r="L22" i="9" s="1"/>
  <c r="APG13" i="2"/>
  <c r="APG17" i="2" s="1"/>
  <c r="APF13" i="2"/>
  <c r="APF17" i="2" s="1"/>
  <c r="K22" i="9" s="1"/>
  <c r="APE13" i="2"/>
  <c r="APE17" i="2" s="1"/>
  <c r="APD13" i="2"/>
  <c r="APD17" i="2" s="1"/>
  <c r="J22" i="9" s="1"/>
  <c r="APC13" i="2"/>
  <c r="APC17" i="2" s="1"/>
  <c r="APB13" i="2"/>
  <c r="APB17" i="2" s="1"/>
  <c r="I22" i="9" s="1"/>
  <c r="APA13" i="2"/>
  <c r="APA17" i="2" s="1"/>
  <c r="H22" i="9" s="1"/>
  <c r="AOZ13" i="2"/>
  <c r="AOZ17" i="2" s="1"/>
  <c r="G22" i="9" s="1"/>
  <c r="AOX13" i="2"/>
  <c r="AOX17" i="2" s="1"/>
  <c r="AOW13" i="2"/>
  <c r="AOW17" i="2" s="1"/>
  <c r="AOV13" i="2"/>
  <c r="AOV17" i="2" s="1"/>
  <c r="AOU13" i="2"/>
  <c r="AOU17" i="2" s="1"/>
  <c r="AOT13" i="2"/>
  <c r="AOT17" i="2" s="1"/>
  <c r="AOR13" i="2"/>
  <c r="AOR17" i="2" s="1"/>
  <c r="AOQ13" i="2"/>
  <c r="AOQ17" i="2" s="1"/>
  <c r="AOP13" i="2"/>
  <c r="AOP17" i="2" s="1"/>
  <c r="AOO13" i="2"/>
  <c r="AOO17" i="2" s="1"/>
  <c r="AON13" i="2"/>
  <c r="AON17" i="2" s="1"/>
  <c r="AOM13" i="2"/>
  <c r="AOM17" i="2" s="1"/>
  <c r="AOL13" i="2"/>
  <c r="AOL17" i="2" s="1"/>
  <c r="E22" i="9" s="1"/>
  <c r="AOJ13" i="2"/>
  <c r="AOJ17" i="2" s="1"/>
  <c r="AOH13" i="2"/>
  <c r="AOH17" i="2" s="1"/>
  <c r="AOF13" i="2"/>
  <c r="AOF17" i="2" s="1"/>
  <c r="AMG13" i="2"/>
  <c r="AMG17" i="2" s="1"/>
  <c r="AMM13" i="2"/>
  <c r="AMM17" i="2" s="1"/>
  <c r="AML13" i="2"/>
  <c r="AML17" i="2" s="1"/>
  <c r="V9" i="9" s="1"/>
  <c r="AME13" i="2"/>
  <c r="AME17" i="2" s="1"/>
  <c r="R9" i="9" s="1"/>
  <c r="AMC13" i="2"/>
  <c r="AMC17" i="2" s="1"/>
  <c r="P9" i="9" s="1"/>
  <c r="AMB13" i="2"/>
  <c r="AMB17" i="2" s="1"/>
  <c r="O9" i="9" s="1"/>
  <c r="AMA13" i="2"/>
  <c r="AMA17" i="2" s="1"/>
  <c r="N9" i="9" s="1"/>
  <c r="ALZ13" i="2"/>
  <c r="ALZ17" i="2" s="1"/>
  <c r="M9" i="9" s="1"/>
  <c r="ANU13" i="2"/>
  <c r="ANU17" i="2" s="1"/>
  <c r="J9" i="9" s="1"/>
  <c r="ANT13" i="2"/>
  <c r="ANT17" i="2" s="1"/>
  <c r="I9" i="9" s="1"/>
  <c r="ANS13" i="2"/>
  <c r="ANS17" i="2" s="1"/>
  <c r="H9" i="9" s="1"/>
  <c r="ANR13" i="2"/>
  <c r="ANR17" i="2" s="1"/>
  <c r="G9" i="9" s="1"/>
  <c r="ANQ13" i="2"/>
  <c r="ANQ17" i="2" s="1"/>
  <c r="F9" i="9" s="1"/>
  <c r="ANP13" i="2"/>
  <c r="ANP17" i="2" s="1"/>
  <c r="E9" i="9" s="1"/>
  <c r="ANO13" i="2"/>
  <c r="ANO17" i="2" s="1"/>
  <c r="D9" i="9" s="1"/>
  <c r="ANN13" i="2"/>
  <c r="ANN17" i="2" s="1"/>
  <c r="C9" i="9" s="1"/>
  <c r="ANM13" i="2"/>
  <c r="ANM17" i="2" s="1"/>
  <c r="B9" i="9" s="1"/>
  <c r="ALS13" i="2"/>
  <c r="ALS17" i="2" s="1"/>
  <c r="ALD13" i="2"/>
  <c r="ALD17" i="2" s="1"/>
  <c r="K23" i="13" s="1"/>
  <c r="ALC13" i="2"/>
  <c r="ALC17" i="2" s="1"/>
  <c r="K22" i="13" s="1"/>
  <c r="ALB13" i="2"/>
  <c r="ALB17" i="2" s="1"/>
  <c r="ALA13" i="2"/>
  <c r="ALA17" i="2" s="1"/>
  <c r="AKZ13" i="2"/>
  <c r="AKZ17" i="2" s="1"/>
  <c r="AKY13" i="2"/>
  <c r="AKY17" i="2" s="1"/>
  <c r="AKX13" i="2"/>
  <c r="AKX17" i="2" s="1"/>
  <c r="AKW13" i="2"/>
  <c r="AKW17" i="2" s="1"/>
  <c r="AKV13" i="2"/>
  <c r="AKV17" i="2" s="1"/>
  <c r="AKU13" i="2"/>
  <c r="AKU17" i="2" s="1"/>
  <c r="AKT13" i="2"/>
  <c r="AKT17" i="2" s="1"/>
  <c r="AKS13" i="2"/>
  <c r="AKS17" i="2" s="1"/>
  <c r="AKR13" i="2"/>
  <c r="AKR17" i="2" s="1"/>
  <c r="AIW13" i="2"/>
  <c r="AIW17" i="2" s="1"/>
  <c r="AIV13" i="2"/>
  <c r="AIV17" i="2" s="1"/>
  <c r="AIU13" i="2"/>
  <c r="AIU17" i="2" s="1"/>
  <c r="AIT13" i="2"/>
  <c r="AIT17" i="2" s="1"/>
  <c r="AIS13" i="2"/>
  <c r="AIS17" i="2" s="1"/>
  <c r="AIR13" i="2"/>
  <c r="AIR17" i="2" s="1"/>
  <c r="AIQ13" i="2"/>
  <c r="AIQ17" i="2" s="1"/>
  <c r="AIP13" i="2"/>
  <c r="AIP17" i="2" s="1"/>
  <c r="AIO13" i="2"/>
  <c r="AIO17" i="2" s="1"/>
  <c r="AIN13" i="2"/>
  <c r="AIN17" i="2" s="1"/>
  <c r="AIM13" i="2"/>
  <c r="AIM17" i="2" s="1"/>
  <c r="AIL13" i="2"/>
  <c r="AIL17" i="2" s="1"/>
  <c r="AIK13" i="2"/>
  <c r="AIK17" i="2" s="1"/>
  <c r="AIJ13" i="2"/>
  <c r="AIJ17" i="2" s="1"/>
  <c r="AII13" i="2"/>
  <c r="AII17" i="2" s="1"/>
  <c r="AIH13" i="2"/>
  <c r="AIH17" i="2" s="1"/>
  <c r="AHK13" i="2"/>
  <c r="AHK17" i="2" s="1"/>
  <c r="AHJ13" i="2"/>
  <c r="AHJ17" i="2" s="1"/>
  <c r="AHI13" i="2"/>
  <c r="AHI17" i="2" s="1"/>
  <c r="AHH13" i="2"/>
  <c r="AHH17" i="2" s="1"/>
  <c r="AHG13" i="2"/>
  <c r="AHG17" i="2" s="1"/>
  <c r="AHF13" i="2"/>
  <c r="AHF17" i="2" s="1"/>
  <c r="AHE13" i="2"/>
  <c r="AHE17" i="2" s="1"/>
  <c r="AHD13" i="2"/>
  <c r="AHD17" i="2" s="1"/>
  <c r="AHC13" i="2"/>
  <c r="AHC17" i="2" s="1"/>
  <c r="AHB13" i="2"/>
  <c r="AHB17" i="2" s="1"/>
  <c r="AHA13" i="2"/>
  <c r="AHA17" i="2" s="1"/>
  <c r="AGZ13" i="2"/>
  <c r="AGZ17" i="2" s="1"/>
  <c r="AGY13" i="2"/>
  <c r="AGY17" i="2" s="1"/>
  <c r="AGX13" i="2"/>
  <c r="AGX17" i="2" s="1"/>
  <c r="AGW13" i="2"/>
  <c r="AGW17" i="2" s="1"/>
  <c r="AGV13" i="2"/>
  <c r="AGV17" i="2" s="1"/>
  <c r="AGR13" i="2"/>
  <c r="AGR17" i="2" s="1"/>
  <c r="AGQ13" i="2"/>
  <c r="AGQ17" i="2" s="1"/>
  <c r="AGP13" i="2"/>
  <c r="AGP17" i="2" s="1"/>
  <c r="AGO13" i="2"/>
  <c r="AGO17" i="2" s="1"/>
  <c r="AGN13" i="2"/>
  <c r="AGN17" i="2" s="1"/>
  <c r="AGM13" i="2"/>
  <c r="AGM17" i="2" s="1"/>
  <c r="AGL13" i="2"/>
  <c r="AGL17" i="2" s="1"/>
  <c r="AGK13" i="2"/>
  <c r="AGK17" i="2" s="1"/>
  <c r="AGJ13" i="2"/>
  <c r="AGJ17" i="2" s="1"/>
  <c r="AGI13" i="2"/>
  <c r="AGI17" i="2" s="1"/>
  <c r="AGH13" i="2"/>
  <c r="AGH17" i="2" s="1"/>
  <c r="AGG13" i="2"/>
  <c r="AGG17" i="2" s="1"/>
  <c r="AGF13" i="2"/>
  <c r="AGF17" i="2" s="1"/>
  <c r="AGE13" i="2"/>
  <c r="AGE17" i="2" s="1"/>
  <c r="AGD13" i="2"/>
  <c r="AGD17" i="2" s="1"/>
  <c r="AGC13" i="2"/>
  <c r="AGC17" i="2" s="1"/>
  <c r="AFY13" i="2"/>
  <c r="AFY17" i="2" s="1"/>
  <c r="AFX13" i="2"/>
  <c r="AFX17" i="2" s="1"/>
  <c r="AFW13" i="2"/>
  <c r="AFW17" i="2" s="1"/>
  <c r="AFV13" i="2"/>
  <c r="AFV17" i="2" s="1"/>
  <c r="AFU13" i="2"/>
  <c r="AFU17" i="2" s="1"/>
  <c r="AFT13" i="2"/>
  <c r="AFT17" i="2" s="1"/>
  <c r="AFS13" i="2"/>
  <c r="AFS17" i="2" s="1"/>
  <c r="AFR13" i="2"/>
  <c r="AFR17" i="2" s="1"/>
  <c r="AFQ13" i="2"/>
  <c r="AFQ17" i="2" s="1"/>
  <c r="AFP13" i="2"/>
  <c r="AFP17" i="2" s="1"/>
  <c r="AFO13" i="2"/>
  <c r="AFO17" i="2" s="1"/>
  <c r="AFN13" i="2"/>
  <c r="AFN17" i="2" s="1"/>
  <c r="AFM13" i="2"/>
  <c r="AFM17" i="2" s="1"/>
  <c r="AFL13" i="2"/>
  <c r="AFL17" i="2" s="1"/>
  <c r="AFK13" i="2"/>
  <c r="AFK17" i="2" s="1"/>
  <c r="AFJ13" i="2"/>
  <c r="AFJ17" i="2" s="1"/>
  <c r="AFF13" i="2"/>
  <c r="AFF17" i="2" s="1"/>
  <c r="AFE13" i="2"/>
  <c r="AFE17" i="2" s="1"/>
  <c r="AFD13" i="2"/>
  <c r="AFD17" i="2" s="1"/>
  <c r="AFC13" i="2"/>
  <c r="AFC17" i="2" s="1"/>
  <c r="AFB13" i="2"/>
  <c r="AFB17" i="2" s="1"/>
  <c r="AFA13" i="2"/>
  <c r="AFA17" i="2" s="1"/>
  <c r="AEZ13" i="2"/>
  <c r="AEZ17" i="2" s="1"/>
  <c r="AEY13" i="2"/>
  <c r="AEY17" i="2" s="1"/>
  <c r="AEX13" i="2"/>
  <c r="AEX17" i="2" s="1"/>
  <c r="AEW13" i="2"/>
  <c r="AEW17" i="2" s="1"/>
  <c r="AEV13" i="2"/>
  <c r="AEV17" i="2" s="1"/>
  <c r="AEU13" i="2"/>
  <c r="AEU17" i="2" s="1"/>
  <c r="AET13" i="2"/>
  <c r="AET17" i="2" s="1"/>
  <c r="AES13" i="2"/>
  <c r="AES17" i="2" s="1"/>
  <c r="AER13" i="2"/>
  <c r="AER17" i="2" s="1"/>
  <c r="AEQ13" i="2"/>
  <c r="AEQ17" i="2" s="1"/>
  <c r="AEM13" i="2"/>
  <c r="AEM17" i="2" s="1"/>
  <c r="AEL13" i="2"/>
  <c r="AEL17" i="2" s="1"/>
  <c r="AEK13" i="2"/>
  <c r="AEK17" i="2" s="1"/>
  <c r="AEJ13" i="2"/>
  <c r="AEJ17" i="2" s="1"/>
  <c r="AEI13" i="2"/>
  <c r="AEI17" i="2" s="1"/>
  <c r="AEH13" i="2"/>
  <c r="AEH17" i="2" s="1"/>
  <c r="AEG13" i="2"/>
  <c r="AEG17" i="2" s="1"/>
  <c r="AEF13" i="2"/>
  <c r="AEF17" i="2" s="1"/>
  <c r="AEE13" i="2"/>
  <c r="AEE17" i="2" s="1"/>
  <c r="AED13" i="2"/>
  <c r="AED17" i="2" s="1"/>
  <c r="AEC13" i="2"/>
  <c r="AEC17" i="2" s="1"/>
  <c r="AEB13" i="2"/>
  <c r="AEB17" i="2" s="1"/>
  <c r="AEA13" i="2"/>
  <c r="AEA17" i="2" s="1"/>
  <c r="ADZ13" i="2"/>
  <c r="ADZ17" i="2" s="1"/>
  <c r="ADY13" i="2"/>
  <c r="ADY17" i="2" s="1"/>
  <c r="ADX13" i="2"/>
  <c r="ADX17" i="2" s="1"/>
  <c r="ADT13" i="2"/>
  <c r="ADT17" i="2" s="1"/>
  <c r="ADS13" i="2"/>
  <c r="ADS17" i="2" s="1"/>
  <c r="ADR13" i="2"/>
  <c r="ADR17" i="2" s="1"/>
  <c r="ADQ13" i="2"/>
  <c r="ADQ17" i="2" s="1"/>
  <c r="ADP13" i="2"/>
  <c r="ADP17" i="2" s="1"/>
  <c r="ADO13" i="2"/>
  <c r="ADO17" i="2" s="1"/>
  <c r="ADN13" i="2"/>
  <c r="ADN17" i="2" s="1"/>
  <c r="ADM13" i="2"/>
  <c r="ADM17" i="2" s="1"/>
  <c r="ADL13" i="2"/>
  <c r="ADL17" i="2" s="1"/>
  <c r="ADK13" i="2"/>
  <c r="ADK17" i="2" s="1"/>
  <c r="ADJ13" i="2"/>
  <c r="ADJ17" i="2" s="1"/>
  <c r="ADI13" i="2"/>
  <c r="ADI17" i="2" s="1"/>
  <c r="ADH13" i="2"/>
  <c r="ADH17" i="2" s="1"/>
  <c r="ADG13" i="2"/>
  <c r="ADG17" i="2" s="1"/>
  <c r="ADF13" i="2"/>
  <c r="ADF17" i="2" s="1"/>
  <c r="ADE13" i="2"/>
  <c r="ADE17" i="2" s="1"/>
  <c r="ADA13" i="2"/>
  <c r="ADA17" i="2" s="1"/>
  <c r="ACZ13" i="2"/>
  <c r="ACZ17" i="2" s="1"/>
  <c r="ACY13" i="2"/>
  <c r="ACY17" i="2" s="1"/>
  <c r="ACX13" i="2"/>
  <c r="ACX17" i="2" s="1"/>
  <c r="ACW13" i="2"/>
  <c r="ACW17" i="2" s="1"/>
  <c r="ACV13" i="2"/>
  <c r="ACV17" i="2" s="1"/>
  <c r="ACU13" i="2"/>
  <c r="ACU17" i="2" s="1"/>
  <c r="ACT13" i="2"/>
  <c r="ACT17" i="2" s="1"/>
  <c r="ACS13" i="2"/>
  <c r="ACS17" i="2" s="1"/>
  <c r="ACR13" i="2"/>
  <c r="ACR17" i="2" s="1"/>
  <c r="ACQ13" i="2"/>
  <c r="ACQ17" i="2" s="1"/>
  <c r="ACP13" i="2"/>
  <c r="ACP17" i="2" s="1"/>
  <c r="ACO13" i="2"/>
  <c r="ACO17" i="2" s="1"/>
  <c r="ACN13" i="2"/>
  <c r="ACN17" i="2" s="1"/>
  <c r="ACM13" i="2"/>
  <c r="ACM17" i="2" s="1"/>
  <c r="ACL13" i="2"/>
  <c r="ACL17" i="2" s="1"/>
  <c r="ACH13" i="2"/>
  <c r="ACH17" i="2" s="1"/>
  <c r="ACG13" i="2"/>
  <c r="ACG17" i="2" s="1"/>
  <c r="ACF13" i="2"/>
  <c r="ACF17" i="2" s="1"/>
  <c r="ACE13" i="2"/>
  <c r="ACE17" i="2" s="1"/>
  <c r="ACD13" i="2"/>
  <c r="ACD17" i="2" s="1"/>
  <c r="ACC13" i="2"/>
  <c r="ACC17" i="2" s="1"/>
  <c r="ACB13" i="2"/>
  <c r="ACB17" i="2" s="1"/>
  <c r="ACA13" i="2"/>
  <c r="ACA17" i="2" s="1"/>
  <c r="ABZ13" i="2"/>
  <c r="ABZ17" i="2" s="1"/>
  <c r="ABY13" i="2"/>
  <c r="ABY17" i="2" s="1"/>
  <c r="ABX13" i="2"/>
  <c r="ABX17" i="2" s="1"/>
  <c r="ABW13" i="2"/>
  <c r="ABW17" i="2" s="1"/>
  <c r="ABV13" i="2"/>
  <c r="ABV17" i="2" s="1"/>
  <c r="ABU13" i="2"/>
  <c r="ABU17" i="2" s="1"/>
  <c r="ABT13" i="2"/>
  <c r="ABT17" i="2" s="1"/>
  <c r="ABS13" i="2"/>
  <c r="ABS17" i="2" s="1"/>
  <c r="ABO13" i="2"/>
  <c r="ABO17" i="2" s="1"/>
  <c r="ABN13" i="2"/>
  <c r="ABN17" i="2" s="1"/>
  <c r="ABM13" i="2"/>
  <c r="ABM17" i="2" s="1"/>
  <c r="ABL13" i="2"/>
  <c r="ABL17" i="2" s="1"/>
  <c r="ABK13" i="2"/>
  <c r="ABK17" i="2" s="1"/>
  <c r="ABJ13" i="2"/>
  <c r="ABJ17" i="2" s="1"/>
  <c r="ABI13" i="2"/>
  <c r="ABI17" i="2" s="1"/>
  <c r="ABH13" i="2"/>
  <c r="ABH17" i="2" s="1"/>
  <c r="ABG13" i="2"/>
  <c r="ABG17" i="2" s="1"/>
  <c r="ABF13" i="2"/>
  <c r="ABF17" i="2" s="1"/>
  <c r="ABE13" i="2"/>
  <c r="ABE17" i="2" s="1"/>
  <c r="ABD13" i="2"/>
  <c r="ABD17" i="2" s="1"/>
  <c r="ABC13" i="2"/>
  <c r="ABC17" i="2" s="1"/>
  <c r="ABB13" i="2"/>
  <c r="ABB17" i="2" s="1"/>
  <c r="ABA13" i="2"/>
  <c r="ABA17" i="2" s="1"/>
  <c r="AAZ13" i="2"/>
  <c r="AAZ17" i="2" s="1"/>
  <c r="AAV13" i="2"/>
  <c r="AAV17" i="2" s="1"/>
  <c r="AAU13" i="2"/>
  <c r="AAU17" i="2" s="1"/>
  <c r="AAT13" i="2"/>
  <c r="AAT17" i="2" s="1"/>
  <c r="AAS13" i="2"/>
  <c r="AAS17" i="2" s="1"/>
  <c r="AAR13" i="2"/>
  <c r="AAR17" i="2" s="1"/>
  <c r="AAQ13" i="2"/>
  <c r="AAQ17" i="2" s="1"/>
  <c r="AAP13" i="2"/>
  <c r="AAP17" i="2" s="1"/>
  <c r="AAO13" i="2"/>
  <c r="AAO17" i="2" s="1"/>
  <c r="AAN13" i="2"/>
  <c r="AAN17" i="2" s="1"/>
  <c r="AAM13" i="2"/>
  <c r="AAM17" i="2" s="1"/>
  <c r="AAL13" i="2"/>
  <c r="AAL17" i="2" s="1"/>
  <c r="AAK13" i="2"/>
  <c r="AAK17" i="2" s="1"/>
  <c r="AAJ13" i="2"/>
  <c r="AAJ17" i="2" s="1"/>
  <c r="AAI13" i="2"/>
  <c r="AAI17" i="2" s="1"/>
  <c r="AAH13" i="2"/>
  <c r="AAH17" i="2" s="1"/>
  <c r="AAG13" i="2"/>
  <c r="AAG17" i="2" s="1"/>
  <c r="AAC13" i="2"/>
  <c r="AAC17" i="2" s="1"/>
  <c r="AAB13" i="2"/>
  <c r="AAB17" i="2" s="1"/>
  <c r="AAA13" i="2"/>
  <c r="AAA17" i="2" s="1"/>
  <c r="ZZ13" i="2"/>
  <c r="ZZ17" i="2" s="1"/>
  <c r="ZY13" i="2"/>
  <c r="ZY17" i="2" s="1"/>
  <c r="ZX13" i="2"/>
  <c r="ZX17" i="2" s="1"/>
  <c r="ZW13" i="2"/>
  <c r="ZW17" i="2" s="1"/>
  <c r="ZV13" i="2"/>
  <c r="ZV17" i="2" s="1"/>
  <c r="ZU13" i="2"/>
  <c r="ZU17" i="2" s="1"/>
  <c r="ZT13" i="2"/>
  <c r="ZT17" i="2" s="1"/>
  <c r="ZS13" i="2"/>
  <c r="ZS17" i="2" s="1"/>
  <c r="ZR13" i="2"/>
  <c r="ZR17" i="2" s="1"/>
  <c r="ZQ13" i="2"/>
  <c r="ZQ17" i="2" s="1"/>
  <c r="ZP13" i="2"/>
  <c r="ZP17" i="2" s="1"/>
  <c r="ZO13" i="2"/>
  <c r="ZO17" i="2" s="1"/>
  <c r="ZN13" i="2"/>
  <c r="ZN17" i="2" s="1"/>
  <c r="ZJ13" i="2"/>
  <c r="ZJ17" i="2" s="1"/>
  <c r="ZI13" i="2"/>
  <c r="ZI17" i="2" s="1"/>
  <c r="ZH13" i="2"/>
  <c r="ZH17" i="2" s="1"/>
  <c r="ZG13" i="2"/>
  <c r="ZG17" i="2" s="1"/>
  <c r="ZF13" i="2"/>
  <c r="ZF17" i="2" s="1"/>
  <c r="ZE13" i="2"/>
  <c r="ZE17" i="2" s="1"/>
  <c r="ZD13" i="2"/>
  <c r="ZD17" i="2" s="1"/>
  <c r="ZC13" i="2"/>
  <c r="ZC17" i="2" s="1"/>
  <c r="ZB13" i="2"/>
  <c r="ZB17" i="2" s="1"/>
  <c r="ZA13" i="2"/>
  <c r="ZA17" i="2" s="1"/>
  <c r="YZ13" i="2"/>
  <c r="YZ17" i="2" s="1"/>
  <c r="YY13" i="2"/>
  <c r="YY17" i="2" s="1"/>
  <c r="YX13" i="2"/>
  <c r="YX17" i="2" s="1"/>
  <c r="YW13" i="2"/>
  <c r="YW17" i="2" s="1"/>
  <c r="YV13" i="2"/>
  <c r="YV17" i="2" s="1"/>
  <c r="YU13" i="2"/>
  <c r="YU17" i="2" s="1"/>
  <c r="YQ13" i="2"/>
  <c r="YQ17" i="2" s="1"/>
  <c r="YP13" i="2"/>
  <c r="YP17" i="2" s="1"/>
  <c r="YO13" i="2"/>
  <c r="YO17" i="2" s="1"/>
  <c r="YN13" i="2"/>
  <c r="YN17" i="2" s="1"/>
  <c r="YM13" i="2"/>
  <c r="YM17" i="2" s="1"/>
  <c r="YL13" i="2"/>
  <c r="YL17" i="2" s="1"/>
  <c r="YK13" i="2"/>
  <c r="YK17" i="2" s="1"/>
  <c r="YJ13" i="2"/>
  <c r="YJ17" i="2" s="1"/>
  <c r="YI13" i="2"/>
  <c r="YI17" i="2" s="1"/>
  <c r="YH13" i="2"/>
  <c r="YH17" i="2" s="1"/>
  <c r="YG13" i="2"/>
  <c r="YG17" i="2" s="1"/>
  <c r="YF13" i="2"/>
  <c r="YF17" i="2" s="1"/>
  <c r="YE13" i="2"/>
  <c r="YE17" i="2" s="1"/>
  <c r="YD13" i="2"/>
  <c r="YD17" i="2" s="1"/>
  <c r="YC13" i="2"/>
  <c r="YC17" i="2" s="1"/>
  <c r="YB13" i="2"/>
  <c r="YB17" i="2" s="1"/>
  <c r="XX13" i="2"/>
  <c r="XX17" i="2" s="1"/>
  <c r="XW13" i="2"/>
  <c r="XW17" i="2" s="1"/>
  <c r="XV13" i="2"/>
  <c r="XV17" i="2" s="1"/>
  <c r="XU13" i="2"/>
  <c r="XU17" i="2" s="1"/>
  <c r="XT13" i="2"/>
  <c r="XT17" i="2" s="1"/>
  <c r="XS13" i="2"/>
  <c r="XS17" i="2" s="1"/>
  <c r="XR13" i="2"/>
  <c r="XR17" i="2" s="1"/>
  <c r="XQ13" i="2"/>
  <c r="XQ17" i="2" s="1"/>
  <c r="XP13" i="2"/>
  <c r="XP17" i="2" s="1"/>
  <c r="XO13" i="2"/>
  <c r="XO17" i="2" s="1"/>
  <c r="XN13" i="2"/>
  <c r="XN17" i="2" s="1"/>
  <c r="XM13" i="2"/>
  <c r="XM17" i="2" s="1"/>
  <c r="XL13" i="2"/>
  <c r="XL17" i="2" s="1"/>
  <c r="XK13" i="2"/>
  <c r="XK17" i="2" s="1"/>
  <c r="XJ13" i="2"/>
  <c r="XJ17" i="2" s="1"/>
  <c r="XI13" i="2"/>
  <c r="XI17" i="2" s="1"/>
  <c r="XE13" i="2"/>
  <c r="XE17" i="2" s="1"/>
  <c r="XD13" i="2"/>
  <c r="XD17" i="2" s="1"/>
  <c r="XC13" i="2"/>
  <c r="XC17" i="2" s="1"/>
  <c r="XB13" i="2"/>
  <c r="XB17" i="2" s="1"/>
  <c r="XA13" i="2"/>
  <c r="XA17" i="2" s="1"/>
  <c r="WZ13" i="2"/>
  <c r="WZ17" i="2" s="1"/>
  <c r="WY13" i="2"/>
  <c r="WY17" i="2" s="1"/>
  <c r="WX13" i="2"/>
  <c r="WX17" i="2" s="1"/>
  <c r="WW13" i="2"/>
  <c r="WW17" i="2" s="1"/>
  <c r="WV13" i="2"/>
  <c r="WV17" i="2" s="1"/>
  <c r="WU13" i="2"/>
  <c r="WU17" i="2" s="1"/>
  <c r="WT13" i="2"/>
  <c r="WT17" i="2" s="1"/>
  <c r="WS13" i="2"/>
  <c r="WS17" i="2" s="1"/>
  <c r="WR13" i="2"/>
  <c r="WR17" i="2" s="1"/>
  <c r="WQ13" i="2"/>
  <c r="WQ17" i="2" s="1"/>
  <c r="WP13" i="2"/>
  <c r="WP17" i="2" s="1"/>
  <c r="WL13" i="2"/>
  <c r="WL17" i="2" s="1"/>
  <c r="WK13" i="2"/>
  <c r="WK17" i="2" s="1"/>
  <c r="WJ13" i="2"/>
  <c r="WJ17" i="2" s="1"/>
  <c r="WI13" i="2"/>
  <c r="WI17" i="2" s="1"/>
  <c r="WH13" i="2"/>
  <c r="WH17" i="2" s="1"/>
  <c r="WG13" i="2"/>
  <c r="WG17" i="2" s="1"/>
  <c r="WF13" i="2"/>
  <c r="WF17" i="2" s="1"/>
  <c r="WE13" i="2"/>
  <c r="WE17" i="2" s="1"/>
  <c r="WD13" i="2"/>
  <c r="WD17" i="2" s="1"/>
  <c r="WC13" i="2"/>
  <c r="WC17" i="2" s="1"/>
  <c r="WB13" i="2"/>
  <c r="WB17" i="2" s="1"/>
  <c r="WA13" i="2"/>
  <c r="WA17" i="2" s="1"/>
  <c r="VZ13" i="2"/>
  <c r="VZ17" i="2" s="1"/>
  <c r="VY13" i="2"/>
  <c r="VY17" i="2" s="1"/>
  <c r="VX13" i="2"/>
  <c r="VX17" i="2" s="1"/>
  <c r="VW13" i="2"/>
  <c r="VW17" i="2" s="1"/>
  <c r="VS13" i="2"/>
  <c r="VS17" i="2" s="1"/>
  <c r="VR13" i="2"/>
  <c r="VR17" i="2" s="1"/>
  <c r="VQ13" i="2"/>
  <c r="VQ17" i="2" s="1"/>
  <c r="VP13" i="2"/>
  <c r="VP17" i="2" s="1"/>
  <c r="VO13" i="2"/>
  <c r="VO17" i="2" s="1"/>
  <c r="VN13" i="2"/>
  <c r="VN17" i="2" s="1"/>
  <c r="VM13" i="2"/>
  <c r="VM17" i="2" s="1"/>
  <c r="VL13" i="2"/>
  <c r="VL17" i="2" s="1"/>
  <c r="VK13" i="2"/>
  <c r="VK17" i="2" s="1"/>
  <c r="VJ13" i="2"/>
  <c r="VJ17" i="2" s="1"/>
  <c r="VI13" i="2"/>
  <c r="VI17" i="2" s="1"/>
  <c r="VH13" i="2"/>
  <c r="VH17" i="2" s="1"/>
  <c r="VG13" i="2"/>
  <c r="VG17" i="2" s="1"/>
  <c r="VF13" i="2"/>
  <c r="VF17" i="2" s="1"/>
  <c r="VE13" i="2"/>
  <c r="VE17" i="2" s="1"/>
  <c r="VD13" i="2"/>
  <c r="VD17" i="2" s="1"/>
  <c r="UZ13" i="2"/>
  <c r="UZ17" i="2" s="1"/>
  <c r="UY13" i="2"/>
  <c r="UY17" i="2" s="1"/>
  <c r="UX13" i="2"/>
  <c r="UX17" i="2" s="1"/>
  <c r="UW13" i="2"/>
  <c r="UW17" i="2" s="1"/>
  <c r="UV13" i="2"/>
  <c r="UV17" i="2" s="1"/>
  <c r="UU13" i="2"/>
  <c r="UU17" i="2" s="1"/>
  <c r="UT13" i="2"/>
  <c r="UT17" i="2" s="1"/>
  <c r="US13" i="2"/>
  <c r="US17" i="2" s="1"/>
  <c r="UR13" i="2"/>
  <c r="UR17" i="2" s="1"/>
  <c r="UQ13" i="2"/>
  <c r="UQ17" i="2" s="1"/>
  <c r="UP13" i="2"/>
  <c r="UP17" i="2" s="1"/>
  <c r="UO13" i="2"/>
  <c r="UO17" i="2" s="1"/>
  <c r="UN13" i="2"/>
  <c r="UN17" i="2" s="1"/>
  <c r="UM13" i="2"/>
  <c r="UM17" i="2" s="1"/>
  <c r="UL13" i="2"/>
  <c r="UL17" i="2" s="1"/>
  <c r="UK13" i="2"/>
  <c r="UK17" i="2" s="1"/>
  <c r="UG13" i="2"/>
  <c r="UG17" i="2" s="1"/>
  <c r="UF13" i="2"/>
  <c r="UF17" i="2" s="1"/>
  <c r="UE13" i="2"/>
  <c r="UE17" i="2" s="1"/>
  <c r="UD13" i="2"/>
  <c r="UD17" i="2" s="1"/>
  <c r="UC13" i="2"/>
  <c r="UC17" i="2" s="1"/>
  <c r="UB13" i="2"/>
  <c r="UB17" i="2" s="1"/>
  <c r="UA13" i="2"/>
  <c r="UA17" i="2" s="1"/>
  <c r="TZ13" i="2"/>
  <c r="TZ17" i="2" s="1"/>
  <c r="TY13" i="2"/>
  <c r="TY17" i="2" s="1"/>
  <c r="TX13" i="2"/>
  <c r="TX17" i="2" s="1"/>
  <c r="TW13" i="2"/>
  <c r="TW17" i="2" s="1"/>
  <c r="TV13" i="2"/>
  <c r="TV17" i="2" s="1"/>
  <c r="TU13" i="2"/>
  <c r="TU17" i="2" s="1"/>
  <c r="TT13" i="2"/>
  <c r="TT17" i="2" s="1"/>
  <c r="TS13" i="2"/>
  <c r="TS17" i="2" s="1"/>
  <c r="TR13" i="2"/>
  <c r="TR17" i="2" s="1"/>
  <c r="TN13" i="2"/>
  <c r="TN17" i="2" s="1"/>
  <c r="TM13" i="2"/>
  <c r="TM17" i="2" s="1"/>
  <c r="TL13" i="2"/>
  <c r="TL17" i="2" s="1"/>
  <c r="TK13" i="2"/>
  <c r="TK17" i="2" s="1"/>
  <c r="TJ13" i="2"/>
  <c r="TJ17" i="2" s="1"/>
  <c r="TI13" i="2"/>
  <c r="TI17" i="2" s="1"/>
  <c r="TH13" i="2"/>
  <c r="TH17" i="2" s="1"/>
  <c r="TG13" i="2"/>
  <c r="TG17" i="2" s="1"/>
  <c r="TF13" i="2"/>
  <c r="TF17" i="2" s="1"/>
  <c r="TE13" i="2"/>
  <c r="TE17" i="2" s="1"/>
  <c r="TD13" i="2"/>
  <c r="TD17" i="2" s="1"/>
  <c r="TC13" i="2"/>
  <c r="TC17" i="2" s="1"/>
  <c r="TB13" i="2"/>
  <c r="TB17" i="2" s="1"/>
  <c r="TA13" i="2"/>
  <c r="TA17" i="2" s="1"/>
  <c r="SZ13" i="2"/>
  <c r="SZ17" i="2" s="1"/>
  <c r="SY13" i="2"/>
  <c r="SY17" i="2" s="1"/>
  <c r="SU13" i="2"/>
  <c r="SU17" i="2" s="1"/>
  <c r="ST13" i="2"/>
  <c r="ST17" i="2" s="1"/>
  <c r="SS13" i="2"/>
  <c r="SS17" i="2" s="1"/>
  <c r="SR13" i="2"/>
  <c r="SR17" i="2" s="1"/>
  <c r="SQ13" i="2"/>
  <c r="SQ17" i="2" s="1"/>
  <c r="SP13" i="2"/>
  <c r="SP17" i="2" s="1"/>
  <c r="SO13" i="2"/>
  <c r="SO17" i="2" s="1"/>
  <c r="SN13" i="2"/>
  <c r="SN17" i="2" s="1"/>
  <c r="SM13" i="2"/>
  <c r="SM17" i="2" s="1"/>
  <c r="SL13" i="2"/>
  <c r="SL17" i="2" s="1"/>
  <c r="SK13" i="2"/>
  <c r="SK17" i="2" s="1"/>
  <c r="SJ13" i="2"/>
  <c r="SJ17" i="2" s="1"/>
  <c r="SI13" i="2"/>
  <c r="SI17" i="2" s="1"/>
  <c r="SH13" i="2"/>
  <c r="SH17" i="2" s="1"/>
  <c r="SG13" i="2"/>
  <c r="SG17" i="2" s="1"/>
  <c r="SF13" i="2"/>
  <c r="SF17" i="2" s="1"/>
  <c r="SB13" i="2"/>
  <c r="SB17" i="2" s="1"/>
  <c r="SA13" i="2"/>
  <c r="SA17" i="2" s="1"/>
  <c r="RZ13" i="2"/>
  <c r="RZ17" i="2" s="1"/>
  <c r="RY13" i="2"/>
  <c r="RY17" i="2" s="1"/>
  <c r="RX13" i="2"/>
  <c r="RX17" i="2" s="1"/>
  <c r="RW13" i="2"/>
  <c r="RW17" i="2" s="1"/>
  <c r="RV13" i="2"/>
  <c r="RV17" i="2" s="1"/>
  <c r="RU13" i="2"/>
  <c r="RU17" i="2" s="1"/>
  <c r="RT13" i="2"/>
  <c r="RT17" i="2" s="1"/>
  <c r="RS13" i="2"/>
  <c r="RS17" i="2" s="1"/>
  <c r="RR13" i="2"/>
  <c r="RR17" i="2" s="1"/>
  <c r="RQ13" i="2"/>
  <c r="RQ17" i="2" s="1"/>
  <c r="RP13" i="2"/>
  <c r="RP17" i="2" s="1"/>
  <c r="RO13" i="2"/>
  <c r="RO17" i="2" s="1"/>
  <c r="RN13" i="2"/>
  <c r="RN17" i="2" s="1"/>
  <c r="RM13" i="2"/>
  <c r="RM17" i="2" s="1"/>
  <c r="RI13" i="2"/>
  <c r="RI17" i="2" s="1"/>
  <c r="RH13" i="2"/>
  <c r="RH17" i="2" s="1"/>
  <c r="RG13" i="2"/>
  <c r="RG17" i="2" s="1"/>
  <c r="RF13" i="2"/>
  <c r="RF17" i="2" s="1"/>
  <c r="RE13" i="2"/>
  <c r="RE17" i="2" s="1"/>
  <c r="RD13" i="2"/>
  <c r="RD17" i="2" s="1"/>
  <c r="RC13" i="2"/>
  <c r="RC17" i="2" s="1"/>
  <c r="RB13" i="2"/>
  <c r="RB17" i="2" s="1"/>
  <c r="RA13" i="2"/>
  <c r="RA17" i="2" s="1"/>
  <c r="QZ13" i="2"/>
  <c r="QZ17" i="2" s="1"/>
  <c r="QY13" i="2"/>
  <c r="QY17" i="2" s="1"/>
  <c r="QX13" i="2"/>
  <c r="QX17" i="2" s="1"/>
  <c r="QW13" i="2"/>
  <c r="QW17" i="2" s="1"/>
  <c r="QV13" i="2"/>
  <c r="QV17" i="2" s="1"/>
  <c r="QU13" i="2"/>
  <c r="QU17" i="2" s="1"/>
  <c r="QT13" i="2"/>
  <c r="QT17" i="2" s="1"/>
  <c r="QP13" i="2"/>
  <c r="QP17" i="2" s="1"/>
  <c r="QO13" i="2"/>
  <c r="QO17" i="2" s="1"/>
  <c r="QN13" i="2"/>
  <c r="QN17" i="2" s="1"/>
  <c r="QM13" i="2"/>
  <c r="QM17" i="2" s="1"/>
  <c r="QL13" i="2"/>
  <c r="QL17" i="2" s="1"/>
  <c r="QK13" i="2"/>
  <c r="QK17" i="2" s="1"/>
  <c r="QJ13" i="2"/>
  <c r="QJ17" i="2" s="1"/>
  <c r="QI13" i="2"/>
  <c r="QI17" i="2" s="1"/>
  <c r="QH13" i="2"/>
  <c r="QH17" i="2" s="1"/>
  <c r="QG13" i="2"/>
  <c r="QG17" i="2" s="1"/>
  <c r="QF13" i="2"/>
  <c r="QF17" i="2" s="1"/>
  <c r="QE13" i="2"/>
  <c r="QE17" i="2" s="1"/>
  <c r="QD13" i="2"/>
  <c r="QD17" i="2" s="1"/>
  <c r="QC13" i="2"/>
  <c r="QC17" i="2" s="1"/>
  <c r="QB13" i="2"/>
  <c r="QB17" i="2" s="1"/>
  <c r="QA13" i="2"/>
  <c r="QA17" i="2" s="1"/>
  <c r="PW13" i="2"/>
  <c r="PW17" i="2" s="1"/>
  <c r="PV13" i="2"/>
  <c r="PV17" i="2" s="1"/>
  <c r="PU13" i="2"/>
  <c r="PU17" i="2" s="1"/>
  <c r="PT13" i="2"/>
  <c r="PT17" i="2" s="1"/>
  <c r="PS13" i="2"/>
  <c r="PS17" i="2" s="1"/>
  <c r="PR13" i="2"/>
  <c r="PR17" i="2" s="1"/>
  <c r="PQ13" i="2"/>
  <c r="PQ17" i="2" s="1"/>
  <c r="PP13" i="2"/>
  <c r="PP17" i="2" s="1"/>
  <c r="PO13" i="2"/>
  <c r="PO17" i="2" s="1"/>
  <c r="PN13" i="2"/>
  <c r="PN17" i="2" s="1"/>
  <c r="PM13" i="2"/>
  <c r="PM17" i="2" s="1"/>
  <c r="PL13" i="2"/>
  <c r="PL17" i="2" s="1"/>
  <c r="PK13" i="2"/>
  <c r="PK17" i="2" s="1"/>
  <c r="PJ13" i="2"/>
  <c r="PJ17" i="2" s="1"/>
  <c r="PI13" i="2"/>
  <c r="PI17" i="2" s="1"/>
  <c r="PH13" i="2"/>
  <c r="PH17" i="2" s="1"/>
  <c r="PD13" i="2"/>
  <c r="PD17" i="2" s="1"/>
  <c r="PC13" i="2"/>
  <c r="PC17" i="2" s="1"/>
  <c r="PB13" i="2"/>
  <c r="PB17" i="2" s="1"/>
  <c r="PA13" i="2"/>
  <c r="PA17" i="2" s="1"/>
  <c r="OZ13" i="2"/>
  <c r="OZ17" i="2" s="1"/>
  <c r="OY13" i="2"/>
  <c r="OY17" i="2" s="1"/>
  <c r="OX13" i="2"/>
  <c r="OX17" i="2" s="1"/>
  <c r="OW13" i="2"/>
  <c r="OW17" i="2" s="1"/>
  <c r="OV13" i="2"/>
  <c r="OV17" i="2" s="1"/>
  <c r="OU13" i="2"/>
  <c r="OU17" i="2" s="1"/>
  <c r="OT13" i="2"/>
  <c r="OT17" i="2" s="1"/>
  <c r="OS13" i="2"/>
  <c r="OS17" i="2" s="1"/>
  <c r="OR13" i="2"/>
  <c r="OR17" i="2" s="1"/>
  <c r="OQ13" i="2"/>
  <c r="OQ17" i="2" s="1"/>
  <c r="OP13" i="2"/>
  <c r="OP17" i="2" s="1"/>
  <c r="OO13" i="2"/>
  <c r="OO17" i="2" s="1"/>
  <c r="OK13" i="2"/>
  <c r="OK17" i="2" s="1"/>
  <c r="OJ13" i="2"/>
  <c r="OJ17" i="2" s="1"/>
  <c r="OI13" i="2"/>
  <c r="OI17" i="2" s="1"/>
  <c r="OH13" i="2"/>
  <c r="OH17" i="2" s="1"/>
  <c r="OG13" i="2"/>
  <c r="OG17" i="2" s="1"/>
  <c r="OF13" i="2"/>
  <c r="OF17" i="2" s="1"/>
  <c r="OE13" i="2"/>
  <c r="OE17" i="2" s="1"/>
  <c r="OD13" i="2"/>
  <c r="OD17" i="2" s="1"/>
  <c r="OC13" i="2"/>
  <c r="OC17" i="2" s="1"/>
  <c r="OB13" i="2"/>
  <c r="OB17" i="2" s="1"/>
  <c r="OA13" i="2"/>
  <c r="OA17" i="2" s="1"/>
  <c r="NZ13" i="2"/>
  <c r="NZ17" i="2" s="1"/>
  <c r="NY13" i="2"/>
  <c r="NY17" i="2" s="1"/>
  <c r="NX13" i="2"/>
  <c r="NX17" i="2" s="1"/>
  <c r="NW13" i="2"/>
  <c r="NW17" i="2" s="1"/>
  <c r="NV13" i="2"/>
  <c r="NV17" i="2" s="1"/>
  <c r="NR13" i="2"/>
  <c r="NR17" i="2" s="1"/>
  <c r="NQ13" i="2"/>
  <c r="NQ17" i="2" s="1"/>
  <c r="NP13" i="2"/>
  <c r="NP17" i="2" s="1"/>
  <c r="NO13" i="2"/>
  <c r="NO17" i="2" s="1"/>
  <c r="NN13" i="2"/>
  <c r="NN17" i="2" s="1"/>
  <c r="NM13" i="2"/>
  <c r="NM17" i="2" s="1"/>
  <c r="NL13" i="2"/>
  <c r="NL17" i="2" s="1"/>
  <c r="NK13" i="2"/>
  <c r="NK17" i="2" s="1"/>
  <c r="NJ13" i="2"/>
  <c r="NJ17" i="2" s="1"/>
  <c r="NI13" i="2"/>
  <c r="NI17" i="2" s="1"/>
  <c r="NH13" i="2"/>
  <c r="NH17" i="2" s="1"/>
  <c r="NG13" i="2"/>
  <c r="NG17" i="2" s="1"/>
  <c r="NF13" i="2"/>
  <c r="NF17" i="2" s="1"/>
  <c r="NE13" i="2"/>
  <c r="NE17" i="2" s="1"/>
  <c r="ND13" i="2"/>
  <c r="ND17" i="2" s="1"/>
  <c r="NC13" i="2"/>
  <c r="NC17" i="2" s="1"/>
  <c r="MY13" i="2"/>
  <c r="MY17" i="2" s="1"/>
  <c r="MX13" i="2"/>
  <c r="MX17" i="2" s="1"/>
  <c r="MW13" i="2"/>
  <c r="MW17" i="2" s="1"/>
  <c r="MV13" i="2"/>
  <c r="MV17" i="2" s="1"/>
  <c r="MU13" i="2"/>
  <c r="MU17" i="2" s="1"/>
  <c r="MT13" i="2"/>
  <c r="MT17" i="2" s="1"/>
  <c r="MS13" i="2"/>
  <c r="MS17" i="2" s="1"/>
  <c r="MR13" i="2"/>
  <c r="MR17" i="2" s="1"/>
  <c r="MQ13" i="2"/>
  <c r="MQ17" i="2" s="1"/>
  <c r="MP13" i="2"/>
  <c r="MP17" i="2" s="1"/>
  <c r="MO13" i="2"/>
  <c r="MO17" i="2" s="1"/>
  <c r="MN13" i="2"/>
  <c r="MN17" i="2" s="1"/>
  <c r="MM13" i="2"/>
  <c r="MM17" i="2" s="1"/>
  <c r="ML13" i="2"/>
  <c r="ML17" i="2" s="1"/>
  <c r="MK13" i="2"/>
  <c r="MK17" i="2" s="1"/>
  <c r="MJ13" i="2"/>
  <c r="MJ17" i="2" s="1"/>
  <c r="MF13" i="2"/>
  <c r="MF17" i="2" s="1"/>
  <c r="ME13" i="2"/>
  <c r="ME17" i="2" s="1"/>
  <c r="MD13" i="2"/>
  <c r="MD17" i="2" s="1"/>
  <c r="MC13" i="2"/>
  <c r="MC17" i="2" s="1"/>
  <c r="MB13" i="2"/>
  <c r="MB17" i="2" s="1"/>
  <c r="MA13" i="2"/>
  <c r="MA17" i="2" s="1"/>
  <c r="LZ13" i="2"/>
  <c r="LZ17" i="2" s="1"/>
  <c r="LY13" i="2"/>
  <c r="LY17" i="2" s="1"/>
  <c r="LX13" i="2"/>
  <c r="LX17" i="2" s="1"/>
  <c r="LW13" i="2"/>
  <c r="LW17" i="2" s="1"/>
  <c r="LV13" i="2"/>
  <c r="LV17" i="2" s="1"/>
  <c r="LU13" i="2"/>
  <c r="LU17" i="2" s="1"/>
  <c r="LT13" i="2"/>
  <c r="LT17" i="2" s="1"/>
  <c r="LS13" i="2"/>
  <c r="LS17" i="2" s="1"/>
  <c r="LR13" i="2"/>
  <c r="LR17" i="2" s="1"/>
  <c r="LQ13" i="2"/>
  <c r="LQ17" i="2" s="1"/>
  <c r="LK13" i="2"/>
  <c r="LK17" i="2" s="1"/>
  <c r="F28" i="13" s="1"/>
  <c r="LJ13" i="2"/>
  <c r="LJ17" i="2" s="1"/>
  <c r="E28" i="13" s="1"/>
  <c r="LI13" i="2"/>
  <c r="LI17" i="2" s="1"/>
  <c r="F27" i="13" s="1"/>
  <c r="G27" i="13" s="1"/>
  <c r="LH13" i="2"/>
  <c r="LH17" i="2" s="1"/>
  <c r="LG13" i="2"/>
  <c r="LG17" i="2" s="1"/>
  <c r="F26" i="13" s="1"/>
  <c r="LF13" i="2"/>
  <c r="LF17" i="2" s="1"/>
  <c r="E26" i="13" s="1"/>
  <c r="LE13" i="2"/>
  <c r="LE17" i="2" s="1"/>
  <c r="F25" i="13" s="1"/>
  <c r="LD13" i="2"/>
  <c r="LD17" i="2" s="1"/>
  <c r="E25" i="13" s="1"/>
  <c r="LC13" i="2"/>
  <c r="LC17" i="2" s="1"/>
  <c r="F24" i="13" s="1"/>
  <c r="LB13" i="2"/>
  <c r="LB17" i="2" s="1"/>
  <c r="E24" i="13" s="1"/>
  <c r="LA13" i="2"/>
  <c r="LA17" i="2" s="1"/>
  <c r="F23" i="13" s="1"/>
  <c r="KZ13" i="2"/>
  <c r="KZ17" i="2" s="1"/>
  <c r="E23" i="13" s="1"/>
  <c r="KY13" i="2"/>
  <c r="KY17" i="2" s="1"/>
  <c r="F22" i="13" s="1"/>
  <c r="KX13" i="2"/>
  <c r="KX17" i="2" s="1"/>
  <c r="E22" i="13" s="1"/>
  <c r="KW13" i="2"/>
  <c r="KW17" i="2" s="1"/>
  <c r="F21" i="13" s="1"/>
  <c r="KV13" i="2"/>
  <c r="KV17" i="2" s="1"/>
  <c r="E21" i="13" s="1"/>
  <c r="KR13" i="2"/>
  <c r="KR17" i="2" s="1"/>
  <c r="KQ13" i="2"/>
  <c r="KQ17" i="2" s="1"/>
  <c r="KP13" i="2"/>
  <c r="KP17" i="2" s="1"/>
  <c r="KO13" i="2"/>
  <c r="KO17" i="2" s="1"/>
  <c r="KN13" i="2"/>
  <c r="KN17" i="2" s="1"/>
  <c r="KM13" i="2"/>
  <c r="KM17" i="2" s="1"/>
  <c r="KI13" i="2"/>
  <c r="KI17" i="2" s="1"/>
  <c r="KH13" i="2"/>
  <c r="KH17" i="2" s="1"/>
  <c r="KE13" i="2"/>
  <c r="KE17" i="2" s="1"/>
  <c r="KD13" i="2"/>
  <c r="KD17" i="2" s="1"/>
  <c r="KC13" i="2"/>
  <c r="KC17" i="2" s="1"/>
  <c r="KB13" i="2"/>
  <c r="KB17" i="2" s="1"/>
  <c r="KA13" i="2"/>
  <c r="KA17" i="2" s="1"/>
  <c r="JZ13" i="2"/>
  <c r="JZ17" i="2" s="1"/>
  <c r="JY13" i="2"/>
  <c r="JY17" i="2" s="1"/>
  <c r="JX13" i="2"/>
  <c r="JX17" i="2" s="1"/>
  <c r="JW13" i="2"/>
  <c r="JW17" i="2" s="1"/>
  <c r="JV13" i="2"/>
  <c r="JV17" i="2" s="1"/>
  <c r="JU13" i="2"/>
  <c r="JU17" i="2" s="1"/>
  <c r="JQ13" i="2"/>
  <c r="JQ17" i="2" s="1"/>
  <c r="JP13" i="2"/>
  <c r="JP17" i="2" s="1"/>
  <c r="JL13" i="2"/>
  <c r="JL17" i="2" s="1"/>
  <c r="K10" i="3" s="1"/>
  <c r="JK13" i="2"/>
  <c r="JK17" i="2" s="1"/>
  <c r="J10" i="3" s="1"/>
  <c r="JJ13" i="2"/>
  <c r="JJ17" i="2" s="1"/>
  <c r="I10" i="3" s="1"/>
  <c r="JI13" i="2"/>
  <c r="JI17" i="2" s="1"/>
  <c r="H10" i="3" s="1"/>
  <c r="JH13" i="2"/>
  <c r="JH17" i="2" s="1"/>
  <c r="G10" i="3" s="1"/>
  <c r="JG13" i="2"/>
  <c r="JG17" i="2" s="1"/>
  <c r="F10" i="3" s="1"/>
  <c r="JF13" i="2"/>
  <c r="JF17" i="2" s="1"/>
  <c r="E10" i="3" s="1"/>
  <c r="JE13" i="2"/>
  <c r="JE17" i="2" s="1"/>
  <c r="D10" i="3" s="1"/>
  <c r="JD13" i="2"/>
  <c r="JD17" i="2" s="1"/>
  <c r="JC13" i="2"/>
  <c r="JC17" i="2" s="1"/>
  <c r="B10" i="3" s="1"/>
  <c r="HL13" i="2"/>
  <c r="HL17" i="2" s="1"/>
  <c r="I36" i="6" s="1"/>
  <c r="HK13" i="2"/>
  <c r="HK17" i="2" s="1"/>
  <c r="H36" i="6" s="1"/>
  <c r="HJ13" i="2"/>
  <c r="HJ17" i="2" s="1"/>
  <c r="I35" i="6" s="1"/>
  <c r="HI13" i="2"/>
  <c r="HI17" i="2" s="1"/>
  <c r="H35" i="6" s="1"/>
  <c r="HH13" i="2"/>
  <c r="HH17" i="2" s="1"/>
  <c r="I34" i="6" s="1"/>
  <c r="HG13" i="2"/>
  <c r="HG17" i="2" s="1"/>
  <c r="H34" i="6" s="1"/>
  <c r="HF13" i="2"/>
  <c r="HF17" i="2" s="1"/>
  <c r="I33" i="6" s="1"/>
  <c r="HE13" i="2"/>
  <c r="HE17" i="2" s="1"/>
  <c r="H33" i="6" s="1"/>
  <c r="HD13" i="2"/>
  <c r="HD17" i="2" s="1"/>
  <c r="I32" i="6" s="1"/>
  <c r="HC13" i="2"/>
  <c r="HC17" i="2" s="1"/>
  <c r="H32" i="6" s="1"/>
  <c r="GL13" i="2"/>
  <c r="GL17" i="2" s="1"/>
  <c r="F36" i="6" s="1"/>
  <c r="GK13" i="2"/>
  <c r="GK17" i="2" s="1"/>
  <c r="E36" i="6" s="1"/>
  <c r="GJ13" i="2"/>
  <c r="GJ17" i="2" s="1"/>
  <c r="F35" i="6" s="1"/>
  <c r="GI13" i="2"/>
  <c r="GI17" i="2" s="1"/>
  <c r="E35" i="6" s="1"/>
  <c r="GH13" i="2"/>
  <c r="GH17" i="2" s="1"/>
  <c r="F34" i="6" s="1"/>
  <c r="GG13" i="2"/>
  <c r="GG17" i="2" s="1"/>
  <c r="E34" i="6" s="1"/>
  <c r="GF13" i="2"/>
  <c r="GF17" i="2" s="1"/>
  <c r="F33" i="6" s="1"/>
  <c r="GE13" i="2"/>
  <c r="GE17" i="2" s="1"/>
  <c r="E33" i="6" s="1"/>
  <c r="GD13" i="2"/>
  <c r="GD17" i="2" s="1"/>
  <c r="F32" i="6" s="1"/>
  <c r="GC13" i="2"/>
  <c r="GC17" i="2" s="1"/>
  <c r="E32" i="6" s="1"/>
  <c r="IY13" i="2"/>
  <c r="IY17" i="2" s="1"/>
  <c r="P36" i="6" s="1"/>
  <c r="IX13" i="2"/>
  <c r="IX17" i="2" s="1"/>
  <c r="O36" i="6" s="1"/>
  <c r="IW13" i="2"/>
  <c r="IW17" i="2" s="1"/>
  <c r="P35" i="6" s="1"/>
  <c r="IV13" i="2"/>
  <c r="IV17" i="2" s="1"/>
  <c r="O35" i="6" s="1"/>
  <c r="IU13" i="2"/>
  <c r="IU17" i="2" s="1"/>
  <c r="P34" i="6" s="1"/>
  <c r="IT13" i="2"/>
  <c r="IT17" i="2" s="1"/>
  <c r="O34" i="6" s="1"/>
  <c r="IS13" i="2"/>
  <c r="IS17" i="2" s="1"/>
  <c r="P33" i="6" s="1"/>
  <c r="IR13" i="2"/>
  <c r="IR17" i="2" s="1"/>
  <c r="O33" i="6" s="1"/>
  <c r="IQ13" i="2"/>
  <c r="IQ17" i="2" s="1"/>
  <c r="P32" i="6" s="1"/>
  <c r="IP13" i="2"/>
  <c r="IP17" i="2" s="1"/>
  <c r="O32" i="6" s="1"/>
  <c r="IL13" i="2"/>
  <c r="IL17" i="2" s="1"/>
  <c r="N36" i="6" s="1"/>
  <c r="IK13" i="2"/>
  <c r="IK17" i="2" s="1"/>
  <c r="M36" i="6" s="1"/>
  <c r="IJ13" i="2"/>
  <c r="IJ17" i="2" s="1"/>
  <c r="N35" i="6" s="1"/>
  <c r="II13" i="2"/>
  <c r="II17" i="2" s="1"/>
  <c r="M35" i="6" s="1"/>
  <c r="IH13" i="2"/>
  <c r="IH17" i="2" s="1"/>
  <c r="N34" i="6" s="1"/>
  <c r="IG13" i="2"/>
  <c r="IG17" i="2" s="1"/>
  <c r="M34" i="6" s="1"/>
  <c r="IF13" i="2"/>
  <c r="IF17" i="2" s="1"/>
  <c r="N33" i="6" s="1"/>
  <c r="IE13" i="2"/>
  <c r="IE17" i="2" s="1"/>
  <c r="M33" i="6" s="1"/>
  <c r="ID13" i="2"/>
  <c r="ID17" i="2" s="1"/>
  <c r="N32" i="6" s="1"/>
  <c r="IC13" i="2"/>
  <c r="IC17" i="2" s="1"/>
  <c r="M32" i="6" s="1"/>
  <c r="HY13" i="2"/>
  <c r="HY17" i="2" s="1"/>
  <c r="L36" i="6" s="1"/>
  <c r="HX13" i="2"/>
  <c r="HX17" i="2" s="1"/>
  <c r="K36" i="6" s="1"/>
  <c r="HW13" i="2"/>
  <c r="HW17" i="2" s="1"/>
  <c r="L35" i="6" s="1"/>
  <c r="HV13" i="2"/>
  <c r="HV17" i="2" s="1"/>
  <c r="K35" i="6" s="1"/>
  <c r="FX13" i="2"/>
  <c r="FX17" i="2" s="1"/>
  <c r="K24" i="6" s="1"/>
  <c r="FW13" i="2"/>
  <c r="FW17" i="2" s="1"/>
  <c r="H24" i="6" s="1"/>
  <c r="FV13" i="2"/>
  <c r="FV17" i="2" s="1"/>
  <c r="E24" i="6" s="1"/>
  <c r="FU13" i="2"/>
  <c r="FU17" i="2" s="1"/>
  <c r="K23" i="6" s="1"/>
  <c r="FT13" i="2"/>
  <c r="FT17" i="2" s="1"/>
  <c r="H23" i="6" s="1"/>
  <c r="FS13" i="2"/>
  <c r="FS17" i="2" s="1"/>
  <c r="E23" i="6" s="1"/>
  <c r="FR13" i="2"/>
  <c r="FR17" i="2" s="1"/>
  <c r="K22" i="6" s="1"/>
  <c r="FQ13" i="2"/>
  <c r="FQ17" i="2" s="1"/>
  <c r="H22" i="6" s="1"/>
  <c r="FP13" i="2"/>
  <c r="FP17" i="2" s="1"/>
  <c r="E22" i="6" s="1"/>
  <c r="FO13" i="2"/>
  <c r="FO17" i="2" s="1"/>
  <c r="K21" i="6" s="1"/>
  <c r="FN13" i="2"/>
  <c r="FN17" i="2" s="1"/>
  <c r="H21" i="6" s="1"/>
  <c r="FM13" i="2"/>
  <c r="FM17" i="2" s="1"/>
  <c r="E21" i="6" s="1"/>
  <c r="FL13" i="2"/>
  <c r="FL17" i="2" s="1"/>
  <c r="K20" i="6" s="1"/>
  <c r="FK13" i="2"/>
  <c r="FK17" i="2" s="1"/>
  <c r="H20" i="6" s="1"/>
  <c r="FJ13" i="2"/>
  <c r="FJ17" i="2" s="1"/>
  <c r="E20" i="6" s="1"/>
  <c r="FD13" i="2"/>
  <c r="FD17" i="2" s="1"/>
  <c r="FC13" i="2"/>
  <c r="FC17" i="2" s="1"/>
  <c r="FB13" i="2"/>
  <c r="FB17" i="2" s="1"/>
  <c r="FA13" i="2"/>
  <c r="FA17" i="2" s="1"/>
  <c r="EZ13" i="2"/>
  <c r="EZ17" i="2" s="1"/>
  <c r="EY13" i="2"/>
  <c r="EY17" i="2" s="1"/>
  <c r="EX13" i="2"/>
  <c r="EX17" i="2" s="1"/>
  <c r="EW13" i="2"/>
  <c r="EW17" i="2" s="1"/>
  <c r="EV13" i="2"/>
  <c r="EV17" i="2" s="1"/>
  <c r="EU13" i="2"/>
  <c r="EU17" i="2" s="1"/>
  <c r="DV13" i="2"/>
  <c r="DV17" i="2" s="1"/>
  <c r="T13" i="6" s="1"/>
  <c r="DU13" i="2"/>
  <c r="DU17" i="2" s="1"/>
  <c r="S13" i="6" s="1"/>
  <c r="DT13" i="2"/>
  <c r="DT17" i="2" s="1"/>
  <c r="R13" i="6" s="1"/>
  <c r="DS13" i="2"/>
  <c r="DS17" i="2" s="1"/>
  <c r="Q13" i="6" s="1"/>
  <c r="DR13" i="2"/>
  <c r="DR17" i="2" s="1"/>
  <c r="P13" i="6" s="1"/>
  <c r="DQ13" i="2"/>
  <c r="DQ17" i="2" s="1"/>
  <c r="O13" i="6" s="1"/>
  <c r="DP13" i="2"/>
  <c r="DP17" i="2" s="1"/>
  <c r="N13" i="6" s="1"/>
  <c r="DO13" i="2"/>
  <c r="DO17" i="2" s="1"/>
  <c r="M13" i="6" s="1"/>
  <c r="DN13" i="2"/>
  <c r="DN17" i="2" s="1"/>
  <c r="L13" i="6" s="1"/>
  <c r="DM13" i="2"/>
  <c r="DM17" i="2" s="1"/>
  <c r="K13" i="6" s="1"/>
  <c r="DI13" i="2"/>
  <c r="DI17" i="2" s="1"/>
  <c r="T12" i="6" s="1"/>
  <c r="DH13" i="2"/>
  <c r="DH17" i="2" s="1"/>
  <c r="S12" i="6" s="1"/>
  <c r="DG13" i="2"/>
  <c r="DG17" i="2" s="1"/>
  <c r="R12" i="6" s="1"/>
  <c r="DF13" i="2"/>
  <c r="DF17" i="2" s="1"/>
  <c r="Q12" i="6" s="1"/>
  <c r="DE13" i="2"/>
  <c r="DE17" i="2" s="1"/>
  <c r="P12" i="6" s="1"/>
  <c r="DD13" i="2"/>
  <c r="DD17" i="2" s="1"/>
  <c r="O12" i="6" s="1"/>
  <c r="DC13" i="2"/>
  <c r="DC17" i="2" s="1"/>
  <c r="N12" i="6" s="1"/>
  <c r="DB13" i="2"/>
  <c r="DB17" i="2" s="1"/>
  <c r="M12" i="6" s="1"/>
  <c r="DA13" i="2"/>
  <c r="DA17" i="2" s="1"/>
  <c r="L12" i="6" s="1"/>
  <c r="CZ13" i="2"/>
  <c r="CZ17" i="2" s="1"/>
  <c r="K12" i="6" s="1"/>
  <c r="CY13" i="2"/>
  <c r="CY17" i="2" s="1"/>
  <c r="J12" i="6" s="1"/>
  <c r="CX13" i="2"/>
  <c r="CX17" i="2" s="1"/>
  <c r="I12" i="6" s="1"/>
  <c r="CT13" i="2"/>
  <c r="CT17" i="2" s="1"/>
  <c r="T11" i="6" s="1"/>
  <c r="CS13" i="2"/>
  <c r="CS17" i="2" s="1"/>
  <c r="S11" i="6" s="1"/>
  <c r="CR13" i="2"/>
  <c r="CR17" i="2" s="1"/>
  <c r="R11" i="6" s="1"/>
  <c r="CQ13" i="2"/>
  <c r="CQ17" i="2" s="1"/>
  <c r="Q11" i="6" s="1"/>
  <c r="CP13" i="2"/>
  <c r="CP17" i="2" s="1"/>
  <c r="P11" i="6" s="1"/>
  <c r="CO13" i="2"/>
  <c r="CO17" i="2" s="1"/>
  <c r="O11" i="6" s="1"/>
  <c r="CN13" i="2"/>
  <c r="CN17" i="2" s="1"/>
  <c r="N11" i="6" s="1"/>
  <c r="CM13" i="2"/>
  <c r="CM17" i="2" s="1"/>
  <c r="M11" i="6" s="1"/>
  <c r="CL13" i="2"/>
  <c r="CL17" i="2" s="1"/>
  <c r="L11" i="6" s="1"/>
  <c r="CK13" i="2"/>
  <c r="CK17" i="2" s="1"/>
  <c r="K11" i="6" s="1"/>
  <c r="CJ13" i="2"/>
  <c r="CJ17" i="2" s="1"/>
  <c r="J11" i="6" s="1"/>
  <c r="CI13" i="2"/>
  <c r="CI17" i="2" s="1"/>
  <c r="I11" i="6" s="1"/>
  <c r="CH13" i="2"/>
  <c r="CH17" i="2" s="1"/>
  <c r="H11" i="6" s="1"/>
  <c r="CG13" i="2"/>
  <c r="CG17" i="2" s="1"/>
  <c r="G11" i="6" s="1"/>
  <c r="CC13" i="2"/>
  <c r="CC17" i="2" s="1"/>
  <c r="T10" i="6" s="1"/>
  <c r="CB13" i="2"/>
  <c r="CB17" i="2" s="1"/>
  <c r="S10" i="6" s="1"/>
  <c r="CA13" i="2"/>
  <c r="CA17" i="2" s="1"/>
  <c r="R10" i="6" s="1"/>
  <c r="BZ13" i="2"/>
  <c r="BZ17" i="2" s="1"/>
  <c r="Q10" i="6" s="1"/>
  <c r="BY13" i="2"/>
  <c r="BY17" i="2" s="1"/>
  <c r="P10" i="6" s="1"/>
  <c r="BX13" i="2"/>
  <c r="BX17" i="2" s="1"/>
  <c r="O10" i="6" s="1"/>
  <c r="BW13" i="2"/>
  <c r="BW17" i="2" s="1"/>
  <c r="N10" i="6" s="1"/>
  <c r="BV13" i="2"/>
  <c r="BV17" i="2" s="1"/>
  <c r="M10" i="6" s="1"/>
  <c r="BU13" i="2"/>
  <c r="BU17" i="2" s="1"/>
  <c r="L10" i="6" s="1"/>
  <c r="BT13" i="2"/>
  <c r="BT17" i="2" s="1"/>
  <c r="K10" i="6" s="1"/>
  <c r="BS13" i="2"/>
  <c r="BS17" i="2" s="1"/>
  <c r="J10" i="6" s="1"/>
  <c r="BR13" i="2"/>
  <c r="BR17" i="2" s="1"/>
  <c r="I10" i="6" s="1"/>
  <c r="BQ13" i="2"/>
  <c r="BQ17" i="2" s="1"/>
  <c r="H10" i="6" s="1"/>
  <c r="BP13" i="2"/>
  <c r="BP17" i="2" s="1"/>
  <c r="G10" i="6" s="1"/>
  <c r="BO13" i="2"/>
  <c r="BO17" i="2" s="1"/>
  <c r="F10" i="6" s="1"/>
  <c r="BN13" i="2"/>
  <c r="BN17" i="2" s="1"/>
  <c r="E10" i="6" s="1"/>
  <c r="BJ13" i="2"/>
  <c r="BJ17" i="2" s="1"/>
  <c r="T9" i="6" s="1"/>
  <c r="BI13" i="2"/>
  <c r="BI17" i="2" s="1"/>
  <c r="S9" i="6" s="1"/>
  <c r="BH13" i="2"/>
  <c r="BH17" i="2" s="1"/>
  <c r="R9" i="6" s="1"/>
  <c r="BG13" i="2"/>
  <c r="BG17" i="2" s="1"/>
  <c r="Q9" i="6" s="1"/>
  <c r="BF13" i="2"/>
  <c r="BF17" i="2" s="1"/>
  <c r="P9" i="6" s="1"/>
  <c r="BE13" i="2"/>
  <c r="BE17" i="2" s="1"/>
  <c r="O9" i="6" s="1"/>
  <c r="BD13" i="2"/>
  <c r="BD17" i="2" s="1"/>
  <c r="N9" i="6" s="1"/>
  <c r="BC13" i="2"/>
  <c r="BC17" i="2" s="1"/>
  <c r="M9" i="6" s="1"/>
  <c r="BB13" i="2"/>
  <c r="BB17" i="2" s="1"/>
  <c r="L9" i="6" s="1"/>
  <c r="BA13" i="2"/>
  <c r="BA17" i="2" s="1"/>
  <c r="K9" i="6" s="1"/>
  <c r="AZ13" i="2"/>
  <c r="AZ17" i="2" s="1"/>
  <c r="J9" i="6" s="1"/>
  <c r="AY13" i="2"/>
  <c r="AY17" i="2" s="1"/>
  <c r="I9" i="6" s="1"/>
  <c r="AX13" i="2"/>
  <c r="AX17" i="2" s="1"/>
  <c r="H9" i="6" s="1"/>
  <c r="AW13" i="2"/>
  <c r="AW17" i="2" s="1"/>
  <c r="G9" i="6" s="1"/>
  <c r="AV13" i="2"/>
  <c r="AV17" i="2" s="1"/>
  <c r="F9" i="6" s="1"/>
  <c r="AU13" i="2"/>
  <c r="AU17" i="2" s="1"/>
  <c r="E9" i="6" s="1"/>
  <c r="AT13" i="2"/>
  <c r="AT17" i="2" s="1"/>
  <c r="D9" i="6" s="1"/>
  <c r="AS13" i="2"/>
  <c r="AS17" i="2" s="1"/>
  <c r="C9" i="6" s="1"/>
  <c r="AO13" i="2"/>
  <c r="AO17" i="2" s="1"/>
  <c r="S26" i="8" s="1"/>
  <c r="AN13" i="2"/>
  <c r="AN17" i="2" s="1"/>
  <c r="R26" i="8" s="1"/>
  <c r="AM13" i="2"/>
  <c r="AM17" i="2" s="1"/>
  <c r="Q26" i="8" s="1"/>
  <c r="AL13" i="2"/>
  <c r="AL17" i="2" s="1"/>
  <c r="P26" i="8" s="1"/>
  <c r="AK13" i="2"/>
  <c r="AK17" i="2" s="1"/>
  <c r="O26" i="8" s="1"/>
  <c r="AJ13" i="2"/>
  <c r="AJ17" i="2" s="1"/>
  <c r="N26" i="8" s="1"/>
  <c r="AI13" i="2"/>
  <c r="AI17" i="2" s="1"/>
  <c r="M26" i="8" s="1"/>
  <c r="AH13" i="2"/>
  <c r="AH17" i="2" s="1"/>
  <c r="L26" i="8" s="1"/>
  <c r="AG13" i="2"/>
  <c r="AG17" i="2" s="1"/>
  <c r="K26" i="8" s="1"/>
  <c r="AF13" i="2"/>
  <c r="AF17" i="2" s="1"/>
  <c r="J26" i="8" s="1"/>
  <c r="AE13" i="2"/>
  <c r="AE17" i="2" s="1"/>
  <c r="I26" i="8" s="1"/>
  <c r="AD13" i="2"/>
  <c r="AD17" i="2" s="1"/>
  <c r="H26" i="8" s="1"/>
  <c r="AC13" i="2"/>
  <c r="AC17" i="2" s="1"/>
  <c r="G26" i="8" s="1"/>
  <c r="AB13" i="2"/>
  <c r="AB17" i="2" s="1"/>
  <c r="F26" i="8" s="1"/>
  <c r="AA13" i="2"/>
  <c r="AA17" i="2" s="1"/>
  <c r="E26" i="8" s="1"/>
  <c r="Z13" i="2"/>
  <c r="Z17" i="2" s="1"/>
  <c r="D26" i="8" s="1"/>
  <c r="Y13" i="2"/>
  <c r="Y17" i="2" s="1"/>
  <c r="C26" i="8" s="1"/>
  <c r="R13" i="2"/>
  <c r="R17" i="2" s="1"/>
  <c r="L7" i="13" s="1"/>
  <c r="Q13" i="2"/>
  <c r="Q17" i="2" s="1"/>
  <c r="K7" i="13" s="1"/>
  <c r="P13" i="2"/>
  <c r="P17" i="2" s="1"/>
  <c r="P9" i="8" s="1"/>
  <c r="O13" i="2"/>
  <c r="O17" i="2" s="1"/>
  <c r="O9" i="8" s="1"/>
  <c r="N13" i="2"/>
  <c r="N17" i="2" s="1"/>
  <c r="M13" i="2"/>
  <c r="M17" i="2" s="1"/>
  <c r="L13" i="2"/>
  <c r="L17" i="2" s="1"/>
  <c r="K13" i="2"/>
  <c r="K17" i="2" s="1"/>
  <c r="J13" i="2"/>
  <c r="J17" i="2" s="1"/>
  <c r="I13" i="2"/>
  <c r="I17" i="2" s="1"/>
  <c r="H13" i="2"/>
  <c r="H17" i="2" s="1"/>
  <c r="D9" i="8" s="1"/>
  <c r="G13" i="2"/>
  <c r="G17" i="2" s="1"/>
  <c r="C9" i="8" s="1"/>
  <c r="F13" i="2"/>
  <c r="AOY12" i="2"/>
  <c r="ALT12" i="2"/>
  <c r="AJP12" i="2"/>
  <c r="AJO12" i="2"/>
  <c r="AJN12" i="2"/>
  <c r="AJM12" i="2"/>
  <c r="AJL12" i="2"/>
  <c r="AJK12" i="2"/>
  <c r="AJJ12" i="2"/>
  <c r="AJI12" i="2"/>
  <c r="AJF12" i="2"/>
  <c r="AJE12" i="2"/>
  <c r="AJH12" i="2"/>
  <c r="AJG12" i="2"/>
  <c r="AJD12" i="2"/>
  <c r="AJC12" i="2"/>
  <c r="AJB12" i="2"/>
  <c r="AJA12" i="2"/>
  <c r="AIY12" i="2"/>
  <c r="AIX12" i="2"/>
  <c r="AHM12" i="2"/>
  <c r="AHL12" i="2"/>
  <c r="AGT12" i="2"/>
  <c r="AGS12" i="2"/>
  <c r="AGA12" i="2"/>
  <c r="AFZ12" i="2"/>
  <c r="AFH12" i="2"/>
  <c r="AFG12" i="2"/>
  <c r="AEO12" i="2"/>
  <c r="AEN12" i="2"/>
  <c r="ADV12" i="2"/>
  <c r="ADU12" i="2"/>
  <c r="ADC12" i="2"/>
  <c r="ADB12" i="2"/>
  <c r="ACJ12" i="2"/>
  <c r="ACI12" i="2"/>
  <c r="ABQ12" i="2"/>
  <c r="ABP12" i="2"/>
  <c r="AAX12" i="2"/>
  <c r="AAW12" i="2"/>
  <c r="AAE12" i="2"/>
  <c r="AAD12" i="2"/>
  <c r="ZL12" i="2"/>
  <c r="ZK12" i="2"/>
  <c r="YS12" i="2"/>
  <c r="YR12" i="2"/>
  <c r="XZ12" i="2"/>
  <c r="XY12" i="2"/>
  <c r="XG12" i="2"/>
  <c r="XF12" i="2"/>
  <c r="WN12" i="2"/>
  <c r="WM12" i="2"/>
  <c r="VU12" i="2"/>
  <c r="VT12" i="2"/>
  <c r="VB12" i="2"/>
  <c r="VA12" i="2"/>
  <c r="UI12" i="2"/>
  <c r="UH12" i="2"/>
  <c r="TP12" i="2"/>
  <c r="TO12" i="2"/>
  <c r="SW12" i="2"/>
  <c r="SV12" i="2"/>
  <c r="SD12" i="2"/>
  <c r="SC12" i="2"/>
  <c r="RK12" i="2"/>
  <c r="RJ12" i="2"/>
  <c r="QR12" i="2"/>
  <c r="QQ12" i="2"/>
  <c r="PY12" i="2"/>
  <c r="PX12" i="2"/>
  <c r="PF12" i="2"/>
  <c r="PE12" i="2"/>
  <c r="OM12" i="2"/>
  <c r="OL12" i="2"/>
  <c r="NT12" i="2"/>
  <c r="NS12" i="2"/>
  <c r="NA12" i="2"/>
  <c r="MZ12" i="2"/>
  <c r="MH12" i="2"/>
  <c r="MG12" i="2"/>
  <c r="KT12" i="2"/>
  <c r="KS12" i="2"/>
  <c r="JN12" i="2"/>
  <c r="JM12" i="2"/>
  <c r="HN12" i="2"/>
  <c r="HM12" i="2"/>
  <c r="GN12" i="2"/>
  <c r="GM12" i="2"/>
  <c r="JA12" i="2"/>
  <c r="IZ12" i="2"/>
  <c r="IN12" i="2"/>
  <c r="IM12" i="2"/>
  <c r="IA12" i="2"/>
  <c r="HZ12" i="2"/>
  <c r="GA12" i="2"/>
  <c r="FZ12" i="2"/>
  <c r="FY12" i="2"/>
  <c r="FH12" i="2"/>
  <c r="FG12" i="2"/>
  <c r="EQ12" i="2"/>
  <c r="EP12" i="2"/>
  <c r="EO12" i="2"/>
  <c r="EN12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X12" i="2"/>
  <c r="DW12" i="2"/>
  <c r="DK12" i="2"/>
  <c r="DJ12" i="2"/>
  <c r="CV12" i="2"/>
  <c r="CU12" i="2"/>
  <c r="CE12" i="2"/>
  <c r="CD12" i="2"/>
  <c r="BL12" i="2"/>
  <c r="BK12" i="2"/>
  <c r="AQ12" i="2"/>
  <c r="AP12" i="2"/>
  <c r="AOY11" i="2"/>
  <c r="ALT11" i="2"/>
  <c r="AJP11" i="2"/>
  <c r="AJO11" i="2"/>
  <c r="AJN11" i="2"/>
  <c r="AJM11" i="2"/>
  <c r="AJL11" i="2"/>
  <c r="AJK11" i="2"/>
  <c r="AJJ11" i="2"/>
  <c r="AJI11" i="2"/>
  <c r="AJF11" i="2"/>
  <c r="AJE11" i="2"/>
  <c r="AJH11" i="2"/>
  <c r="AJG11" i="2"/>
  <c r="AJD11" i="2"/>
  <c r="AJC11" i="2"/>
  <c r="AJB11" i="2"/>
  <c r="AJA11" i="2"/>
  <c r="AIY11" i="2"/>
  <c r="AIX11" i="2"/>
  <c r="AHM11" i="2"/>
  <c r="AHL11" i="2"/>
  <c r="AGT11" i="2"/>
  <c r="AGS11" i="2"/>
  <c r="AGA11" i="2"/>
  <c r="AFZ11" i="2"/>
  <c r="AFH11" i="2"/>
  <c r="AFG11" i="2"/>
  <c r="AEO11" i="2"/>
  <c r="AEN11" i="2"/>
  <c r="ADV11" i="2"/>
  <c r="ADU11" i="2"/>
  <c r="ADC11" i="2"/>
  <c r="ADB11" i="2"/>
  <c r="ACJ11" i="2"/>
  <c r="ACI11" i="2"/>
  <c r="ABQ11" i="2"/>
  <c r="ABP11" i="2"/>
  <c r="AAX11" i="2"/>
  <c r="AAW11" i="2"/>
  <c r="AAE11" i="2"/>
  <c r="AAD11" i="2"/>
  <c r="ZL11" i="2"/>
  <c r="ZK11" i="2"/>
  <c r="YS11" i="2"/>
  <c r="YR11" i="2"/>
  <c r="XZ11" i="2"/>
  <c r="XY11" i="2"/>
  <c r="XG11" i="2"/>
  <c r="XF11" i="2"/>
  <c r="WN11" i="2"/>
  <c r="WM11" i="2"/>
  <c r="VU11" i="2"/>
  <c r="VT11" i="2"/>
  <c r="VB11" i="2"/>
  <c r="VA11" i="2"/>
  <c r="UI11" i="2"/>
  <c r="UH11" i="2"/>
  <c r="TP11" i="2"/>
  <c r="TO11" i="2"/>
  <c r="SW11" i="2"/>
  <c r="SV11" i="2"/>
  <c r="SD11" i="2"/>
  <c r="SC11" i="2"/>
  <c r="RK11" i="2"/>
  <c r="RJ11" i="2"/>
  <c r="QR11" i="2"/>
  <c r="QQ11" i="2"/>
  <c r="PY11" i="2"/>
  <c r="PX11" i="2"/>
  <c r="PF11" i="2"/>
  <c r="PE11" i="2"/>
  <c r="OM11" i="2"/>
  <c r="OL11" i="2"/>
  <c r="NT11" i="2"/>
  <c r="NS11" i="2"/>
  <c r="NA11" i="2"/>
  <c r="MZ11" i="2"/>
  <c r="MH11" i="2"/>
  <c r="MG11" i="2"/>
  <c r="KT11" i="2"/>
  <c r="KS11" i="2"/>
  <c r="JN11" i="2"/>
  <c r="JM11" i="2"/>
  <c r="HN11" i="2"/>
  <c r="HM11" i="2"/>
  <c r="GN11" i="2"/>
  <c r="GM11" i="2"/>
  <c r="JA11" i="2"/>
  <c r="IZ11" i="2"/>
  <c r="IN11" i="2"/>
  <c r="IM11" i="2"/>
  <c r="IA11" i="2"/>
  <c r="HZ11" i="2"/>
  <c r="GA11" i="2"/>
  <c r="FZ11" i="2"/>
  <c r="FY11" i="2"/>
  <c r="FH11" i="2"/>
  <c r="FG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X11" i="2"/>
  <c r="DW11" i="2"/>
  <c r="DK11" i="2"/>
  <c r="DJ11" i="2"/>
  <c r="CV11" i="2"/>
  <c r="CU11" i="2"/>
  <c r="CE11" i="2"/>
  <c r="CD11" i="2"/>
  <c r="BL11" i="2"/>
  <c r="BK11" i="2"/>
  <c r="AQ11" i="2"/>
  <c r="AP11" i="2"/>
  <c r="O44" i="9"/>
  <c r="N44" i="9"/>
  <c r="M44" i="9"/>
  <c r="L44" i="9"/>
  <c r="K44" i="9"/>
  <c r="J44" i="9"/>
  <c r="I44" i="9"/>
  <c r="H44" i="9"/>
  <c r="G44" i="9"/>
  <c r="E44" i="9"/>
  <c r="V31" i="9"/>
  <c r="T31" i="9"/>
  <c r="U31" i="9"/>
  <c r="R31" i="9"/>
  <c r="P31" i="9"/>
  <c r="O31" i="9"/>
  <c r="N31" i="9"/>
  <c r="M31" i="9"/>
  <c r="J31" i="9"/>
  <c r="I31" i="9"/>
  <c r="H31" i="9"/>
  <c r="G31" i="9"/>
  <c r="F31" i="9"/>
  <c r="E31" i="9"/>
  <c r="D31" i="9"/>
  <c r="C31" i="9"/>
  <c r="B31" i="9"/>
  <c r="L31" i="9"/>
  <c r="K31" i="9"/>
  <c r="K28" i="3"/>
  <c r="J28" i="3"/>
  <c r="I28" i="3"/>
  <c r="H28" i="3"/>
  <c r="G28" i="3"/>
  <c r="F28" i="3"/>
  <c r="E28" i="3"/>
  <c r="D28" i="3"/>
  <c r="B28" i="3"/>
  <c r="T50" i="6"/>
  <c r="S50" i="6"/>
  <c r="R50" i="6"/>
  <c r="Q50" i="6"/>
  <c r="P50" i="6"/>
  <c r="O50" i="6"/>
  <c r="N50" i="6"/>
  <c r="M50" i="6"/>
  <c r="L50" i="6"/>
  <c r="K50" i="6"/>
  <c r="T49" i="6"/>
  <c r="S49" i="6"/>
  <c r="R49" i="6"/>
  <c r="Q49" i="6"/>
  <c r="P49" i="6"/>
  <c r="O49" i="6"/>
  <c r="N49" i="6"/>
  <c r="M49" i="6"/>
  <c r="L49" i="6"/>
  <c r="K49" i="6"/>
  <c r="J49" i="6"/>
  <c r="I49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P37" i="8"/>
  <c r="O37" i="8"/>
  <c r="D37" i="8"/>
  <c r="C37" i="8"/>
  <c r="B37" i="8"/>
  <c r="AOY7" i="2"/>
  <c r="ALT7" i="2"/>
  <c r="ALT10" i="2" s="1"/>
  <c r="ZL7" i="2"/>
  <c r="ZK7" i="2"/>
  <c r="VB7" i="2"/>
  <c r="VA7" i="2"/>
  <c r="PY7" i="2"/>
  <c r="PX7" i="2"/>
  <c r="MH7" i="2"/>
  <c r="MG7" i="2"/>
  <c r="KT7" i="2"/>
  <c r="KS7" i="2"/>
  <c r="JN7" i="2"/>
  <c r="JM7" i="2"/>
  <c r="HN7" i="2"/>
  <c r="HM7" i="2"/>
  <c r="GN7" i="2"/>
  <c r="GM7" i="2"/>
  <c r="JA7" i="2"/>
  <c r="IZ7" i="2"/>
  <c r="GA7" i="2"/>
  <c r="FZ7" i="2"/>
  <c r="FY7" i="2"/>
  <c r="EQ7" i="2"/>
  <c r="EP7" i="2"/>
  <c r="EO7" i="2"/>
  <c r="EN7" i="2"/>
  <c r="EM7" i="2"/>
  <c r="EL7" i="2"/>
  <c r="EK7" i="2"/>
  <c r="EJ7" i="2"/>
  <c r="EH7" i="2"/>
  <c r="EG7" i="2"/>
  <c r="EF7" i="2"/>
  <c r="EE7" i="2"/>
  <c r="ED7" i="2"/>
  <c r="EC7" i="2"/>
  <c r="EA7" i="2"/>
  <c r="DZ7" i="2"/>
  <c r="DX7" i="2"/>
  <c r="DW7" i="2"/>
  <c r="AOY6" i="2"/>
  <c r="AIY6" i="2"/>
  <c r="AIY10" i="2" s="1"/>
  <c r="AIX6" i="2"/>
  <c r="AIX10" i="2" s="1"/>
  <c r="AHM6" i="2"/>
  <c r="AHM10" i="2" s="1"/>
  <c r="AHL6" i="2"/>
  <c r="AHL10" i="2" s="1"/>
  <c r="AGT6" i="2"/>
  <c r="AGT10" i="2" s="1"/>
  <c r="AGS6" i="2"/>
  <c r="AGS10" i="2" s="1"/>
  <c r="AGA6" i="2"/>
  <c r="AGA10" i="2" s="1"/>
  <c r="AFZ6" i="2"/>
  <c r="AFZ10" i="2" s="1"/>
  <c r="AFH6" i="2"/>
  <c r="AFH10" i="2" s="1"/>
  <c r="AFG6" i="2"/>
  <c r="AFG10" i="2" s="1"/>
  <c r="AEO6" i="2"/>
  <c r="AEO10" i="2" s="1"/>
  <c r="AEN6" i="2"/>
  <c r="AEN10" i="2" s="1"/>
  <c r="ADV6" i="2"/>
  <c r="ADV10" i="2" s="1"/>
  <c r="ADU6" i="2"/>
  <c r="ADU10" i="2" s="1"/>
  <c r="ADC6" i="2"/>
  <c r="ADC10" i="2" s="1"/>
  <c r="ADB6" i="2"/>
  <c r="ADB10" i="2" s="1"/>
  <c r="ACJ6" i="2"/>
  <c r="ACJ10" i="2" s="1"/>
  <c r="ACI6" i="2"/>
  <c r="ACI10" i="2" s="1"/>
  <c r="ABQ6" i="2"/>
  <c r="ABQ10" i="2" s="1"/>
  <c r="ABP6" i="2"/>
  <c r="ABP10" i="2" s="1"/>
  <c r="AAX6" i="2"/>
  <c r="AAX10" i="2" s="1"/>
  <c r="AAW6" i="2"/>
  <c r="AAW10" i="2" s="1"/>
  <c r="AAE6" i="2"/>
  <c r="AAE10" i="2" s="1"/>
  <c r="AAD6" i="2"/>
  <c r="AAD10" i="2" s="1"/>
  <c r="ZL6" i="2"/>
  <c r="ZK6" i="2"/>
  <c r="YS6" i="2"/>
  <c r="YS10" i="2" s="1"/>
  <c r="YR6" i="2"/>
  <c r="YR10" i="2" s="1"/>
  <c r="XZ6" i="2"/>
  <c r="XZ10" i="2" s="1"/>
  <c r="XY6" i="2"/>
  <c r="XY10" i="2" s="1"/>
  <c r="XG6" i="2"/>
  <c r="XG10" i="2" s="1"/>
  <c r="XF6" i="2"/>
  <c r="XF10" i="2" s="1"/>
  <c r="WN6" i="2"/>
  <c r="WN10" i="2" s="1"/>
  <c r="WM6" i="2"/>
  <c r="WM10" i="2" s="1"/>
  <c r="VU6" i="2"/>
  <c r="VU10" i="2" s="1"/>
  <c r="VT6" i="2"/>
  <c r="VT10" i="2" s="1"/>
  <c r="VB6" i="2"/>
  <c r="VA6" i="2"/>
  <c r="UI6" i="2"/>
  <c r="UI10" i="2" s="1"/>
  <c r="UH6" i="2"/>
  <c r="UH10" i="2" s="1"/>
  <c r="TP6" i="2"/>
  <c r="TP10" i="2" s="1"/>
  <c r="TO6" i="2"/>
  <c r="TO10" i="2" s="1"/>
  <c r="SW6" i="2"/>
  <c r="SW10" i="2" s="1"/>
  <c r="SV6" i="2"/>
  <c r="SV10" i="2" s="1"/>
  <c r="SD6" i="2"/>
  <c r="SD10" i="2" s="1"/>
  <c r="SC6" i="2"/>
  <c r="SC10" i="2" s="1"/>
  <c r="RK6" i="2"/>
  <c r="RK10" i="2" s="1"/>
  <c r="RJ6" i="2"/>
  <c r="RJ10" i="2" s="1"/>
  <c r="QR6" i="2"/>
  <c r="QR10" i="2" s="1"/>
  <c r="QQ6" i="2"/>
  <c r="QQ10" i="2" s="1"/>
  <c r="PY6" i="2"/>
  <c r="PY10" i="2" s="1"/>
  <c r="PX6" i="2"/>
  <c r="PX10" i="2" s="1"/>
  <c r="PF6" i="2"/>
  <c r="PF10" i="2" s="1"/>
  <c r="PE6" i="2"/>
  <c r="PE10" i="2" s="1"/>
  <c r="OM6" i="2"/>
  <c r="OM10" i="2" s="1"/>
  <c r="OL6" i="2"/>
  <c r="OL10" i="2" s="1"/>
  <c r="NT6" i="2"/>
  <c r="NT10" i="2" s="1"/>
  <c r="NS6" i="2"/>
  <c r="NS10" i="2" s="1"/>
  <c r="NA6" i="2"/>
  <c r="NA10" i="2" s="1"/>
  <c r="MZ6" i="2"/>
  <c r="MZ10" i="2" s="1"/>
  <c r="MH6" i="2"/>
  <c r="MG6" i="2"/>
  <c r="MG10" i="2" s="1"/>
  <c r="LM10" i="2"/>
  <c r="LO10" i="2" s="1"/>
  <c r="LL10" i="2"/>
  <c r="KT6" i="2"/>
  <c r="KT10" i="2" s="1"/>
  <c r="KS6" i="2"/>
  <c r="KS10" i="2" s="1"/>
  <c r="JN6" i="2"/>
  <c r="JM6" i="2"/>
  <c r="JM10" i="2" s="1"/>
  <c r="HN6" i="2"/>
  <c r="HN10" i="2" s="1"/>
  <c r="HM6" i="2"/>
  <c r="HM10" i="2" s="1"/>
  <c r="GN6" i="2"/>
  <c r="GN10" i="2" s="1"/>
  <c r="GM6" i="2"/>
  <c r="GM10" i="2" s="1"/>
  <c r="JA6" i="2"/>
  <c r="JA10" i="2" s="1"/>
  <c r="IZ6" i="2"/>
  <c r="IZ10" i="2" s="1"/>
  <c r="IN6" i="2"/>
  <c r="IN10" i="2" s="1"/>
  <c r="IM6" i="2"/>
  <c r="IM10" i="2" s="1"/>
  <c r="IA6" i="2"/>
  <c r="IA10" i="2" s="1"/>
  <c r="HZ6" i="2"/>
  <c r="HZ10" i="2" s="1"/>
  <c r="GA6" i="2"/>
  <c r="GA10" i="2" s="1"/>
  <c r="FZ6" i="2"/>
  <c r="FY6" i="2"/>
  <c r="FY10" i="2" s="1"/>
  <c r="EQ6" i="2"/>
  <c r="EQ10" i="2" s="1"/>
  <c r="EP6" i="2"/>
  <c r="EO6" i="2"/>
  <c r="EN6" i="2"/>
  <c r="EM6" i="2"/>
  <c r="EL6" i="2"/>
  <c r="EK6" i="2"/>
  <c r="EJ6" i="2"/>
  <c r="EJ10" i="2" s="1"/>
  <c r="EI6" i="2"/>
  <c r="EI10" i="2" s="1"/>
  <c r="EH6" i="2"/>
  <c r="EG6" i="2"/>
  <c r="EF6" i="2"/>
  <c r="EE6" i="2"/>
  <c r="ED6" i="2"/>
  <c r="EC6" i="2"/>
  <c r="EB6" i="2"/>
  <c r="EB10" i="2" s="1"/>
  <c r="EA6" i="2"/>
  <c r="DZ6" i="2"/>
  <c r="DX6" i="2"/>
  <c r="DW6" i="2"/>
  <c r="DK6" i="2"/>
  <c r="DK10" i="2" s="1"/>
  <c r="DJ6" i="2"/>
  <c r="DJ10" i="2" s="1"/>
  <c r="CV6" i="2"/>
  <c r="CV10" i="2" s="1"/>
  <c r="CU6" i="2"/>
  <c r="CU10" i="2" s="1"/>
  <c r="CE6" i="2"/>
  <c r="CE10" i="2" s="1"/>
  <c r="CD6" i="2"/>
  <c r="CD10" i="2" s="1"/>
  <c r="BL6" i="2"/>
  <c r="BL10" i="2" s="1"/>
  <c r="BK6" i="2"/>
  <c r="BK10" i="2" s="1"/>
  <c r="AQ6" i="2"/>
  <c r="AQ10" i="2" s="1"/>
  <c r="AP6" i="2"/>
  <c r="AP10" i="2" s="1"/>
  <c r="MH10" i="2" l="1"/>
  <c r="JN10" i="2"/>
  <c r="M37" i="8" s="1"/>
  <c r="FZ10" i="2"/>
  <c r="EK10" i="2"/>
  <c r="VA10" i="2"/>
  <c r="VB10" i="2"/>
  <c r="EL10" i="2"/>
  <c r="EO10" i="2"/>
  <c r="EM10" i="2"/>
  <c r="EP10" i="2"/>
  <c r="EN10" i="2"/>
  <c r="EA10" i="2"/>
  <c r="ZK10" i="2"/>
  <c r="DW10" i="2"/>
  <c r="EF10" i="2"/>
  <c r="ZL10" i="2"/>
  <c r="DZ10" i="2"/>
  <c r="DX10" i="2"/>
  <c r="ED10" i="2"/>
  <c r="EH10" i="2"/>
  <c r="EE10" i="2"/>
  <c r="EC10" i="2"/>
  <c r="EG10" i="2"/>
  <c r="AOY10" i="2"/>
  <c r="AHL13" i="2"/>
  <c r="AHM13" i="2"/>
  <c r="T14" i="6"/>
  <c r="J35" i="6"/>
  <c r="G36" i="6"/>
  <c r="L37" i="6"/>
  <c r="R34" i="6"/>
  <c r="G33" i="6"/>
  <c r="K25" i="6"/>
  <c r="R32" i="6"/>
  <c r="G35" i="6"/>
  <c r="N24" i="6"/>
  <c r="N37" i="6"/>
  <c r="R35" i="6"/>
  <c r="H25" i="6"/>
  <c r="Q33" i="6"/>
  <c r="O37" i="6"/>
  <c r="Q36" i="6"/>
  <c r="J34" i="6"/>
  <c r="N22" i="6"/>
  <c r="P37" i="6"/>
  <c r="R36" i="6"/>
  <c r="U26" i="8"/>
  <c r="N20" i="6"/>
  <c r="R33" i="6"/>
  <c r="F37" i="6"/>
  <c r="N23" i="6"/>
  <c r="K37" i="6"/>
  <c r="Q34" i="6"/>
  <c r="J36" i="6"/>
  <c r="I37" i="6"/>
  <c r="Q35" i="6"/>
  <c r="G34" i="6"/>
  <c r="J33" i="6"/>
  <c r="M37" i="6"/>
  <c r="Q32" i="6"/>
  <c r="H37" i="6"/>
  <c r="J32" i="6"/>
  <c r="G32" i="6"/>
  <c r="E37" i="6"/>
  <c r="E25" i="6"/>
  <c r="N21" i="6"/>
  <c r="T26" i="8"/>
  <c r="K14" i="6"/>
  <c r="G24" i="13"/>
  <c r="G28" i="13"/>
  <c r="V49" i="6"/>
  <c r="G26" i="13"/>
  <c r="G25" i="13"/>
  <c r="G21" i="13"/>
  <c r="K24" i="13"/>
  <c r="G23" i="13"/>
  <c r="G22" i="13"/>
  <c r="V50" i="6"/>
  <c r="U13" i="6"/>
  <c r="V12" i="6"/>
  <c r="V48" i="6"/>
  <c r="U11" i="6"/>
  <c r="V11" i="6"/>
  <c r="S14" i="6"/>
  <c r="U10" i="6"/>
  <c r="V47" i="6"/>
  <c r="R14" i="6"/>
  <c r="V10" i="6"/>
  <c r="D14" i="6"/>
  <c r="H14" i="6"/>
  <c r="L14" i="6"/>
  <c r="P14" i="6"/>
  <c r="V9" i="6"/>
  <c r="E14" i="6"/>
  <c r="I14" i="6"/>
  <c r="M14" i="6"/>
  <c r="Q14" i="6"/>
  <c r="U9" i="6"/>
  <c r="F14" i="6"/>
  <c r="J14" i="6"/>
  <c r="N14" i="6"/>
  <c r="V46" i="6"/>
  <c r="C14" i="6"/>
  <c r="G14" i="6"/>
  <c r="O14" i="6"/>
  <c r="AJF13" i="2"/>
  <c r="F17" i="2"/>
  <c r="B9" i="8" s="1"/>
  <c r="EH16" i="2"/>
  <c r="AJH16" i="2"/>
  <c r="AOY16" i="2"/>
  <c r="AP16" i="2"/>
  <c r="CD16" i="2"/>
  <c r="DJ16" i="2"/>
  <c r="DZ16" i="2"/>
  <c r="ED16" i="2"/>
  <c r="EL16" i="2"/>
  <c r="EP16" i="2"/>
  <c r="FY16" i="2"/>
  <c r="IA16" i="2"/>
  <c r="JA16" i="2"/>
  <c r="HN16" i="2"/>
  <c r="KK16" i="2"/>
  <c r="NA16" i="2"/>
  <c r="OM16" i="2"/>
  <c r="PY16" i="2"/>
  <c r="RK16" i="2"/>
  <c r="SW16" i="2"/>
  <c r="UI16" i="2"/>
  <c r="VU16" i="2"/>
  <c r="XG16" i="2"/>
  <c r="YS16" i="2"/>
  <c r="AAE16" i="2"/>
  <c r="ABQ16" i="2"/>
  <c r="ADC16" i="2"/>
  <c r="AEO16" i="2"/>
  <c r="AGA16" i="2"/>
  <c r="AHM16" i="2"/>
  <c r="AJB16" i="2"/>
  <c r="AJJ16" i="2"/>
  <c r="AJN16" i="2"/>
  <c r="M36" i="3"/>
  <c r="Q36" i="3"/>
  <c r="E36" i="3"/>
  <c r="BL16" i="2"/>
  <c r="CV16" i="2"/>
  <c r="DX16" i="2"/>
  <c r="EC16" i="2"/>
  <c r="EG16" i="2"/>
  <c r="EK16" i="2"/>
  <c r="EO16" i="2"/>
  <c r="FH16" i="2"/>
  <c r="HZ16" i="2"/>
  <c r="IZ16" i="2"/>
  <c r="HM16" i="2"/>
  <c r="KJ16" i="2"/>
  <c r="MZ16" i="2"/>
  <c r="OL16" i="2"/>
  <c r="PX16" i="2"/>
  <c r="RJ16" i="2"/>
  <c r="SV16" i="2"/>
  <c r="UH16" i="2"/>
  <c r="VT16" i="2"/>
  <c r="XF16" i="2"/>
  <c r="YR16" i="2"/>
  <c r="AAD16" i="2"/>
  <c r="ABP16" i="2"/>
  <c r="ADB16" i="2"/>
  <c r="AEN16" i="2"/>
  <c r="AFZ16" i="2"/>
  <c r="AHL16" i="2"/>
  <c r="AJA16" i="2"/>
  <c r="AJG16" i="2"/>
  <c r="AJI16" i="2"/>
  <c r="AJM16" i="2"/>
  <c r="ALT16" i="2"/>
  <c r="F37" i="8"/>
  <c r="H36" i="3"/>
  <c r="EI16" i="2"/>
  <c r="AJE16" i="2"/>
  <c r="J36" i="3"/>
  <c r="B36" i="3"/>
  <c r="N36" i="3"/>
  <c r="AQ16" i="2"/>
  <c r="CE16" i="2"/>
  <c r="DK16" i="2"/>
  <c r="EA16" i="2"/>
  <c r="EE16" i="2"/>
  <c r="EM16" i="2"/>
  <c r="EQ16" i="2"/>
  <c r="FZ16" i="2"/>
  <c r="IM16" i="2"/>
  <c r="GM16" i="2"/>
  <c r="JM16" i="2"/>
  <c r="KS16" i="2"/>
  <c r="MG16" i="2"/>
  <c r="NS16" i="2"/>
  <c r="PE16" i="2"/>
  <c r="QQ16" i="2"/>
  <c r="SC16" i="2"/>
  <c r="TO16" i="2"/>
  <c r="VA16" i="2"/>
  <c r="WM16" i="2"/>
  <c r="XY16" i="2"/>
  <c r="ZK16" i="2"/>
  <c r="AAW16" i="2"/>
  <c r="ACI16" i="2"/>
  <c r="ADU16" i="2"/>
  <c r="AFG16" i="2"/>
  <c r="AGS16" i="2"/>
  <c r="AIX16" i="2"/>
  <c r="AJC16" i="2"/>
  <c r="AJK16" i="2"/>
  <c r="AJO16" i="2"/>
  <c r="BK16" i="2"/>
  <c r="CU16" i="2"/>
  <c r="DW16" i="2"/>
  <c r="EB16" i="2"/>
  <c r="EF16" i="2"/>
  <c r="EJ16" i="2"/>
  <c r="EN16" i="2"/>
  <c r="FG16" i="2"/>
  <c r="GA16" i="2"/>
  <c r="IN16" i="2"/>
  <c r="GN16" i="2"/>
  <c r="JN16" i="2"/>
  <c r="KT16" i="2"/>
  <c r="MH16" i="2"/>
  <c r="NT16" i="2"/>
  <c r="PF16" i="2"/>
  <c r="QR16" i="2"/>
  <c r="SD16" i="2"/>
  <c r="TP16" i="2"/>
  <c r="VB16" i="2"/>
  <c r="WN16" i="2"/>
  <c r="XZ16" i="2"/>
  <c r="ZL16" i="2"/>
  <c r="AAX16" i="2"/>
  <c r="ACJ16" i="2"/>
  <c r="ADV16" i="2"/>
  <c r="AFH16" i="2"/>
  <c r="AGT16" i="2"/>
  <c r="AIY16" i="2"/>
  <c r="AJD16" i="2"/>
  <c r="AJF16" i="2"/>
  <c r="AJL16" i="2"/>
  <c r="AJP16" i="2"/>
  <c r="LL16" i="2"/>
  <c r="LN16" i="2" s="1"/>
  <c r="O36" i="3"/>
  <c r="LM16" i="2"/>
  <c r="LO16" i="2" s="1"/>
  <c r="C36" i="3"/>
  <c r="I36" i="3"/>
  <c r="K36" i="3"/>
  <c r="F44" i="9"/>
  <c r="G37" i="8"/>
  <c r="L37" i="8"/>
  <c r="D36" i="3"/>
  <c r="F36" i="3"/>
  <c r="L36" i="3"/>
  <c r="P36" i="3"/>
  <c r="EI13" i="2"/>
  <c r="EI17" i="2" s="1"/>
  <c r="CE13" i="2"/>
  <c r="EA13" i="2"/>
  <c r="CU13" i="2"/>
  <c r="FG13" i="2"/>
  <c r="FG17" i="2" s="1"/>
  <c r="AAX13" i="2"/>
  <c r="AP13" i="2"/>
  <c r="CD13" i="2"/>
  <c r="DJ13" i="2"/>
  <c r="DZ13" i="2"/>
  <c r="ED13" i="2"/>
  <c r="EH13" i="2"/>
  <c r="EL13" i="2"/>
  <c r="EP13" i="2"/>
  <c r="FY13" i="2"/>
  <c r="IA13" i="2"/>
  <c r="JA13" i="2"/>
  <c r="HN13" i="2"/>
  <c r="KK13" i="2"/>
  <c r="NA13" i="2"/>
  <c r="OM13" i="2"/>
  <c r="PY13" i="2"/>
  <c r="RK13" i="2"/>
  <c r="SW13" i="2"/>
  <c r="UI13" i="2"/>
  <c r="VU13" i="2"/>
  <c r="XG13" i="2"/>
  <c r="YS13" i="2"/>
  <c r="AAE13" i="2"/>
  <c r="ABQ13" i="2"/>
  <c r="AEO13" i="2"/>
  <c r="AGA13" i="2"/>
  <c r="AJB13" i="2"/>
  <c r="AJH13" i="2"/>
  <c r="AJJ13" i="2"/>
  <c r="AJN13" i="2"/>
  <c r="EB13" i="2"/>
  <c r="EB17" i="2" s="1"/>
  <c r="GN13" i="2"/>
  <c r="PF13" i="2"/>
  <c r="TP13" i="2"/>
  <c r="AIY13" i="2"/>
  <c r="EF13" i="2"/>
  <c r="EN13" i="2"/>
  <c r="JN13" i="2"/>
  <c r="NT13" i="2"/>
  <c r="ZL13" i="2"/>
  <c r="VB13" i="2"/>
  <c r="BK13" i="2"/>
  <c r="DW13" i="2"/>
  <c r="EJ13" i="2"/>
  <c r="GA13" i="2"/>
  <c r="IN13" i="2"/>
  <c r="KT13" i="2"/>
  <c r="MH13" i="2"/>
  <c r="QR13" i="2"/>
  <c r="SD13" i="2"/>
  <c r="WN13" i="2"/>
  <c r="XZ13" i="2"/>
  <c r="ACJ13" i="2"/>
  <c r="ADV13" i="2"/>
  <c r="AFH13" i="2"/>
  <c r="AGT13" i="2"/>
  <c r="AJD13" i="2"/>
  <c r="AJL13" i="2"/>
  <c r="AJP13" i="2"/>
  <c r="AOY13" i="2"/>
  <c r="AQ13" i="2"/>
  <c r="DK13" i="2"/>
  <c r="EE13" i="2"/>
  <c r="EM13" i="2"/>
  <c r="EQ13" i="2"/>
  <c r="FZ13" i="2"/>
  <c r="IM13" i="2"/>
  <c r="GM13" i="2"/>
  <c r="JM13" i="2"/>
  <c r="KS13" i="2"/>
  <c r="MG13" i="2"/>
  <c r="NS13" i="2"/>
  <c r="PE13" i="2"/>
  <c r="QQ13" i="2"/>
  <c r="SC13" i="2"/>
  <c r="TO13" i="2"/>
  <c r="VA13" i="2"/>
  <c r="WM13" i="2"/>
  <c r="XY13" i="2"/>
  <c r="ZK13" i="2"/>
  <c r="AAW13" i="2"/>
  <c r="ACI13" i="2"/>
  <c r="BL13" i="2"/>
  <c r="CV13" i="2"/>
  <c r="DX13" i="2"/>
  <c r="EC13" i="2"/>
  <c r="EG13" i="2"/>
  <c r="EK13" i="2"/>
  <c r="EO13" i="2"/>
  <c r="FH13" i="2"/>
  <c r="FH17" i="2" s="1"/>
  <c r="HZ13" i="2"/>
  <c r="IZ13" i="2"/>
  <c r="HM13" i="2"/>
  <c r="KJ13" i="2"/>
  <c r="MZ13" i="2"/>
  <c r="OL13" i="2"/>
  <c r="PX13" i="2"/>
  <c r="RJ13" i="2"/>
  <c r="SV13" i="2"/>
  <c r="UH13" i="2"/>
  <c r="VT13" i="2"/>
  <c r="XF13" i="2"/>
  <c r="YR13" i="2"/>
  <c r="AAD13" i="2"/>
  <c r="ABP13" i="2"/>
  <c r="ADB13" i="2"/>
  <c r="AEN13" i="2"/>
  <c r="AFZ13" i="2"/>
  <c r="AJA13" i="2"/>
  <c r="AJG13" i="2"/>
  <c r="AJI13" i="2"/>
  <c r="AJM13" i="2"/>
  <c r="ADU13" i="2"/>
  <c r="AFG13" i="2"/>
  <c r="AGS13" i="2"/>
  <c r="AIX13" i="2"/>
  <c r="AJC13" i="2"/>
  <c r="AJE13" i="2"/>
  <c r="AJK13" i="2"/>
  <c r="AJO13" i="2"/>
  <c r="ALT13" i="2"/>
  <c r="C28" i="3"/>
  <c r="M28" i="3" s="1"/>
  <c r="C10" i="3"/>
  <c r="S31" i="9"/>
  <c r="LL13" i="2"/>
  <c r="LN13" i="2" s="1"/>
  <c r="L28" i="3"/>
  <c r="LM13" i="2"/>
  <c r="LO13" i="2" s="1"/>
  <c r="E37" i="8"/>
  <c r="C51" i="6"/>
  <c r="D51" i="6"/>
  <c r="U46" i="6"/>
  <c r="E51" i="6"/>
  <c r="F51" i="6"/>
  <c r="U47" i="6"/>
  <c r="G51" i="6"/>
  <c r="H51" i="6"/>
  <c r="U48" i="6"/>
  <c r="I51" i="6"/>
  <c r="J51" i="6"/>
  <c r="U49" i="6"/>
  <c r="K51" i="6"/>
  <c r="L51" i="6"/>
  <c r="M51" i="6"/>
  <c r="N51" i="6"/>
  <c r="O51" i="6"/>
  <c r="P51" i="6"/>
  <c r="Q51" i="6"/>
  <c r="R51" i="6"/>
  <c r="S51" i="6"/>
  <c r="U50" i="6"/>
  <c r="T51" i="6"/>
  <c r="U46" i="8"/>
  <c r="AR6" i="2"/>
  <c r="AR10" i="2" s="1"/>
  <c r="BM6" i="2"/>
  <c r="BM10" i="2" s="1"/>
  <c r="CF6" i="2"/>
  <c r="CF10" i="2" s="1"/>
  <c r="CW6" i="2"/>
  <c r="CW10" i="2" s="1"/>
  <c r="DL6" i="2"/>
  <c r="DL10" i="2" s="1"/>
  <c r="DY6" i="2"/>
  <c r="ER6" i="2"/>
  <c r="ES6" i="2"/>
  <c r="FI6" i="2"/>
  <c r="GB6" i="2"/>
  <c r="IB6" i="2"/>
  <c r="IB10" i="2" s="1"/>
  <c r="IO6" i="2"/>
  <c r="IO10" i="2" s="1"/>
  <c r="JB6" i="2"/>
  <c r="GO6" i="2"/>
  <c r="HO6" i="2"/>
  <c r="JO6" i="2"/>
  <c r="KU6" i="2"/>
  <c r="MI6" i="2"/>
  <c r="NB6" i="2"/>
  <c r="NB10" i="2" s="1"/>
  <c r="NU6" i="2"/>
  <c r="NU10" i="2" s="1"/>
  <c r="ON6" i="2"/>
  <c r="ON10" i="2" s="1"/>
  <c r="PG6" i="2"/>
  <c r="PG10" i="2" s="1"/>
  <c r="PZ6" i="2"/>
  <c r="QS6" i="2"/>
  <c r="QS10" i="2" s="1"/>
  <c r="RL6" i="2"/>
  <c r="RL10" i="2" s="1"/>
  <c r="SE6" i="2"/>
  <c r="SE10" i="2" s="1"/>
  <c r="SX6" i="2"/>
  <c r="SX10" i="2" s="1"/>
  <c r="TQ6" i="2"/>
  <c r="TQ10" i="2" s="1"/>
  <c r="UJ6" i="2"/>
  <c r="UJ10" i="2" s="1"/>
  <c r="VC6" i="2"/>
  <c r="VV6" i="2"/>
  <c r="VV10" i="2" s="1"/>
  <c r="WO6" i="2"/>
  <c r="WO10" i="2" s="1"/>
  <c r="XH6" i="2"/>
  <c r="XH10" i="2" s="1"/>
  <c r="YA6" i="2"/>
  <c r="YA10" i="2" s="1"/>
  <c r="YT6" i="2"/>
  <c r="YT10" i="2" s="1"/>
  <c r="ZM6" i="2"/>
  <c r="AAF6" i="2"/>
  <c r="AAF10" i="2" s="1"/>
  <c r="AAY6" i="2"/>
  <c r="AAY10" i="2" s="1"/>
  <c r="ABR6" i="2"/>
  <c r="ABR10" i="2" s="1"/>
  <c r="ACK6" i="2"/>
  <c r="ACK10" i="2" s="1"/>
  <c r="ADD6" i="2"/>
  <c r="ADD10" i="2" s="1"/>
  <c r="ADW6" i="2"/>
  <c r="ADW10" i="2" s="1"/>
  <c r="AEP6" i="2"/>
  <c r="AEP10" i="2" s="1"/>
  <c r="AFI6" i="2"/>
  <c r="AFI10" i="2" s="1"/>
  <c r="AGB6" i="2"/>
  <c r="AGB10" i="2" s="1"/>
  <c r="AGU6" i="2"/>
  <c r="AGU10" i="2" s="1"/>
  <c r="AHN6" i="2"/>
  <c r="AHN10" i="2" s="1"/>
  <c r="AIZ6" i="2"/>
  <c r="AIZ10" i="2" s="1"/>
  <c r="AJQ6" i="2"/>
  <c r="AJQ10" i="2" s="1"/>
  <c r="AJR6" i="2"/>
  <c r="AJR10" i="2" s="1"/>
  <c r="DY7" i="2"/>
  <c r="ER7" i="2"/>
  <c r="ES7" i="2"/>
  <c r="FI7" i="2"/>
  <c r="GB7" i="2"/>
  <c r="JB7" i="2"/>
  <c r="GO7" i="2"/>
  <c r="HO7" i="2"/>
  <c r="JO7" i="2"/>
  <c r="KL7" i="2"/>
  <c r="KL10" i="2" s="1"/>
  <c r="KU7" i="2"/>
  <c r="MI7" i="2"/>
  <c r="PZ7" i="2"/>
  <c r="VC7" i="2"/>
  <c r="ZM7" i="2"/>
  <c r="AR11" i="2"/>
  <c r="BM11" i="2"/>
  <c r="CF11" i="2"/>
  <c r="CW11" i="2"/>
  <c r="DL11" i="2"/>
  <c r="DY11" i="2"/>
  <c r="ER11" i="2"/>
  <c r="ES11" i="2"/>
  <c r="FI11" i="2"/>
  <c r="GB11" i="2"/>
  <c r="IB11" i="2"/>
  <c r="IO11" i="2"/>
  <c r="JB11" i="2"/>
  <c r="GO11" i="2"/>
  <c r="HO11" i="2"/>
  <c r="JO11" i="2"/>
  <c r="KL11" i="2"/>
  <c r="KU11" i="2"/>
  <c r="MI11" i="2"/>
  <c r="NB11" i="2"/>
  <c r="NU11" i="2"/>
  <c r="ON11" i="2"/>
  <c r="PG11" i="2"/>
  <c r="PZ11" i="2"/>
  <c r="QS11" i="2"/>
  <c r="RL11" i="2"/>
  <c r="SE11" i="2"/>
  <c r="SX11" i="2"/>
  <c r="TQ11" i="2"/>
  <c r="UJ11" i="2"/>
  <c r="VC11" i="2"/>
  <c r="VV11" i="2"/>
  <c r="WO11" i="2"/>
  <c r="XH11" i="2"/>
  <c r="YA11" i="2"/>
  <c r="YT11" i="2"/>
  <c r="ZM11" i="2"/>
  <c r="AAF11" i="2"/>
  <c r="AAY11" i="2"/>
  <c r="ABR11" i="2"/>
  <c r="ACK11" i="2"/>
  <c r="ADD11" i="2"/>
  <c r="ADW11" i="2"/>
  <c r="AEP11" i="2"/>
  <c r="AFI11" i="2"/>
  <c r="AGB11" i="2"/>
  <c r="AGU11" i="2"/>
  <c r="AHN11" i="2"/>
  <c r="AIZ11" i="2"/>
  <c r="AJQ11" i="2"/>
  <c r="AJR11" i="2"/>
  <c r="AR12" i="2"/>
  <c r="BM12" i="2"/>
  <c r="CF12" i="2"/>
  <c r="CW12" i="2"/>
  <c r="DL12" i="2"/>
  <c r="DY12" i="2"/>
  <c r="ER12" i="2"/>
  <c r="ES12" i="2"/>
  <c r="FI12" i="2"/>
  <c r="GB12" i="2"/>
  <c r="IB12" i="2"/>
  <c r="IO12" i="2"/>
  <c r="JB12" i="2"/>
  <c r="GO12" i="2"/>
  <c r="HO12" i="2"/>
  <c r="JO12" i="2"/>
  <c r="KL12" i="2"/>
  <c r="KU12" i="2"/>
  <c r="MI12" i="2"/>
  <c r="NB12" i="2"/>
  <c r="NU12" i="2"/>
  <c r="ON12" i="2"/>
  <c r="PG12" i="2"/>
  <c r="PZ12" i="2"/>
  <c r="QS12" i="2"/>
  <c r="RL12" i="2"/>
  <c r="SE12" i="2"/>
  <c r="SX12" i="2"/>
  <c r="TQ12" i="2"/>
  <c r="UJ12" i="2"/>
  <c r="VC12" i="2"/>
  <c r="VV12" i="2"/>
  <c r="WO12" i="2"/>
  <c r="XH12" i="2"/>
  <c r="YA12" i="2"/>
  <c r="YT12" i="2"/>
  <c r="ZM12" i="2"/>
  <c r="AAF12" i="2"/>
  <c r="AAY12" i="2"/>
  <c r="ABR12" i="2"/>
  <c r="ACK12" i="2"/>
  <c r="ADD12" i="2"/>
  <c r="ADW12" i="2"/>
  <c r="AEP12" i="2"/>
  <c r="AFI12" i="2"/>
  <c r="AGB12" i="2"/>
  <c r="AGU12" i="2"/>
  <c r="AHN12" i="2"/>
  <c r="AIZ12" i="2"/>
  <c r="AJQ12" i="2"/>
  <c r="AJR12" i="2"/>
  <c r="AR14" i="2"/>
  <c r="BM14" i="2"/>
  <c r="CF14" i="2"/>
  <c r="CW14" i="2"/>
  <c r="DL14" i="2"/>
  <c r="DY14" i="2"/>
  <c r="ER14" i="2"/>
  <c r="ES14" i="2"/>
  <c r="FI14" i="2"/>
  <c r="GB14" i="2"/>
  <c r="IB14" i="2"/>
  <c r="IO14" i="2"/>
  <c r="JB14" i="2"/>
  <c r="GO14" i="2"/>
  <c r="HO14" i="2"/>
  <c r="JO14" i="2"/>
  <c r="KL14" i="2"/>
  <c r="KU14" i="2"/>
  <c r="MI14" i="2"/>
  <c r="NB14" i="2"/>
  <c r="NU14" i="2"/>
  <c r="ON14" i="2"/>
  <c r="PG14" i="2"/>
  <c r="PZ14" i="2"/>
  <c r="QS14" i="2"/>
  <c r="RL14" i="2"/>
  <c r="SE14" i="2"/>
  <c r="SX14" i="2"/>
  <c r="TQ14" i="2"/>
  <c r="UJ14" i="2"/>
  <c r="VC14" i="2"/>
  <c r="VV14" i="2"/>
  <c r="WO14" i="2"/>
  <c r="XH14" i="2"/>
  <c r="YA14" i="2"/>
  <c r="YT14" i="2"/>
  <c r="ZM14" i="2"/>
  <c r="AAF14" i="2"/>
  <c r="AAY14" i="2"/>
  <c r="ABR14" i="2"/>
  <c r="ACK14" i="2"/>
  <c r="ADD14" i="2"/>
  <c r="ADW14" i="2"/>
  <c r="AEP14" i="2"/>
  <c r="AFI14" i="2"/>
  <c r="AGB14" i="2"/>
  <c r="AGU14" i="2"/>
  <c r="AHN14" i="2"/>
  <c r="AIZ14" i="2"/>
  <c r="AJQ14" i="2"/>
  <c r="AJR14" i="2"/>
  <c r="AR15" i="2"/>
  <c r="BM15" i="2"/>
  <c r="CF15" i="2"/>
  <c r="CW15" i="2"/>
  <c r="DL15" i="2"/>
  <c r="DY15" i="2"/>
  <c r="ER15" i="2"/>
  <c r="ES15" i="2"/>
  <c r="FI15" i="2"/>
  <c r="GB15" i="2"/>
  <c r="IB15" i="2"/>
  <c r="IO15" i="2"/>
  <c r="JB15" i="2"/>
  <c r="GO15" i="2"/>
  <c r="HO15" i="2"/>
  <c r="JO15" i="2"/>
  <c r="KL15" i="2"/>
  <c r="KU15" i="2"/>
  <c r="MI15" i="2"/>
  <c r="NB15" i="2"/>
  <c r="NU15" i="2"/>
  <c r="ON15" i="2"/>
  <c r="PG15" i="2"/>
  <c r="PZ15" i="2"/>
  <c r="QS15" i="2"/>
  <c r="RL15" i="2"/>
  <c r="SE15" i="2"/>
  <c r="SX15" i="2"/>
  <c r="TQ15" i="2"/>
  <c r="UJ15" i="2"/>
  <c r="VC15" i="2"/>
  <c r="VV15" i="2"/>
  <c r="WO15" i="2"/>
  <c r="XH15" i="2"/>
  <c r="YA15" i="2"/>
  <c r="YT15" i="2"/>
  <c r="ZM15" i="2"/>
  <c r="AAF15" i="2"/>
  <c r="AAY15" i="2"/>
  <c r="ABR15" i="2"/>
  <c r="ACK15" i="2"/>
  <c r="ADD15" i="2"/>
  <c r="ADW15" i="2"/>
  <c r="AEP15" i="2"/>
  <c r="AFI15" i="2"/>
  <c r="AGB15" i="2"/>
  <c r="AGU15" i="2"/>
  <c r="AHN15" i="2"/>
  <c r="AIZ15" i="2"/>
  <c r="AJQ15" i="2"/>
  <c r="AJR15" i="2"/>
  <c r="LP7" i="2"/>
  <c r="ADC13" i="2"/>
  <c r="LP11" i="2"/>
  <c r="LP12" i="2"/>
  <c r="LP15" i="2"/>
  <c r="S18" i="8"/>
  <c r="T18" i="8"/>
  <c r="H18" i="8"/>
  <c r="Y18" i="8"/>
  <c r="E18" i="8"/>
  <c r="T9" i="8"/>
  <c r="ZM10" i="2" l="1"/>
  <c r="JO10" i="2"/>
  <c r="ES10" i="2"/>
  <c r="J37" i="8" s="1"/>
  <c r="GO10" i="2"/>
  <c r="GB10" i="2"/>
  <c r="DY10" i="2"/>
  <c r="PZ10" i="2"/>
  <c r="HO10" i="2"/>
  <c r="ER10" i="2"/>
  <c r="I37" i="8" s="1"/>
  <c r="VC10" i="2"/>
  <c r="MI10" i="2"/>
  <c r="KU10" i="2"/>
  <c r="JB10" i="2"/>
  <c r="FI10" i="2"/>
  <c r="UH17" i="2"/>
  <c r="M9" i="12" s="1"/>
  <c r="IA17" i="2"/>
  <c r="ABP17" i="2"/>
  <c r="W9" i="11" s="1"/>
  <c r="AEO17" i="2"/>
  <c r="AB10" i="11" s="1"/>
  <c r="AAE17" i="2"/>
  <c r="U10" i="12" s="1"/>
  <c r="ABQ17" i="2"/>
  <c r="W10" i="11" s="1"/>
  <c r="RJ17" i="2"/>
  <c r="I9" i="12" s="1"/>
  <c r="S33" i="6"/>
  <c r="CV17" i="2"/>
  <c r="V26" i="8"/>
  <c r="G37" i="6"/>
  <c r="J37" i="6"/>
  <c r="S34" i="6"/>
  <c r="AHN13" i="2"/>
  <c r="R37" i="6"/>
  <c r="S36" i="6"/>
  <c r="S35" i="6"/>
  <c r="N25" i="6"/>
  <c r="AHN16" i="2"/>
  <c r="S32" i="6"/>
  <c r="Q37" i="6"/>
  <c r="CD17" i="2"/>
  <c r="U18" i="8"/>
  <c r="DZ17" i="2"/>
  <c r="BK17" i="2"/>
  <c r="AP17" i="2"/>
  <c r="F9" i="8" s="1"/>
  <c r="SV17" i="2"/>
  <c r="K9" i="11" s="1"/>
  <c r="HZ17" i="2"/>
  <c r="AOY17" i="2"/>
  <c r="F22" i="9" s="1"/>
  <c r="AJM17" i="2"/>
  <c r="N18" i="3" s="1"/>
  <c r="TP17" i="2"/>
  <c r="L10" i="12" s="1"/>
  <c r="DX17" i="2"/>
  <c r="BL17" i="2"/>
  <c r="AQ17" i="2"/>
  <c r="G9" i="8" s="1"/>
  <c r="FY17" i="2"/>
  <c r="AJN17" i="2"/>
  <c r="O18" i="3" s="1"/>
  <c r="LL17" i="2"/>
  <c r="LN17" i="2" s="1"/>
  <c r="W11" i="6"/>
  <c r="W10" i="6"/>
  <c r="JA17" i="2"/>
  <c r="EG17" i="2"/>
  <c r="EF17" i="2"/>
  <c r="EH17" i="2"/>
  <c r="ED17" i="2"/>
  <c r="W9" i="6"/>
  <c r="EC17" i="2"/>
  <c r="AJC17" i="2"/>
  <c r="D18" i="3" s="1"/>
  <c r="ADU17" i="2"/>
  <c r="AA9" i="12" s="1"/>
  <c r="ADB17" i="2"/>
  <c r="Y9" i="11" s="1"/>
  <c r="SC17" i="2"/>
  <c r="J9" i="12" s="1"/>
  <c r="IM17" i="2"/>
  <c r="EE17" i="2"/>
  <c r="AJP17" i="2"/>
  <c r="Q18" i="3" s="1"/>
  <c r="AFH17" i="2"/>
  <c r="AC10" i="12" s="1"/>
  <c r="WN17" i="2"/>
  <c r="P10" i="12" s="1"/>
  <c r="VU17" i="2"/>
  <c r="O10" i="11" s="1"/>
  <c r="PY17" i="2"/>
  <c r="G10" i="12" s="1"/>
  <c r="EP17" i="2"/>
  <c r="AAX17" i="2"/>
  <c r="V10" i="11" s="1"/>
  <c r="IN17" i="2"/>
  <c r="LM17" i="2"/>
  <c r="AFZ17" i="2"/>
  <c r="AD9" i="11" s="1"/>
  <c r="AAD17" i="2"/>
  <c r="U9" i="12" s="1"/>
  <c r="IZ17" i="2"/>
  <c r="ACJ17" i="2"/>
  <c r="QR17" i="2"/>
  <c r="H10" i="11" s="1"/>
  <c r="GA17" i="2"/>
  <c r="VB17" i="2"/>
  <c r="PF17" i="2"/>
  <c r="F10" i="11" s="1"/>
  <c r="AJJ17" i="2"/>
  <c r="K18" i="3" s="1"/>
  <c r="AGA17" i="2"/>
  <c r="AD10" i="12" s="1"/>
  <c r="SW17" i="2"/>
  <c r="K10" i="12" s="1"/>
  <c r="NA17" i="2"/>
  <c r="C10" i="11" s="1"/>
  <c r="AJF17" i="2"/>
  <c r="G18" i="3" s="1"/>
  <c r="G36" i="3"/>
  <c r="I9" i="11"/>
  <c r="ALT17" i="2"/>
  <c r="XY17" i="2"/>
  <c r="VT17" i="2"/>
  <c r="MG17" i="2"/>
  <c r="DW17" i="2"/>
  <c r="DJ17" i="2"/>
  <c r="CU17" i="2"/>
  <c r="AJK17" i="2"/>
  <c r="L18" i="3" s="1"/>
  <c r="AGS17" i="2"/>
  <c r="AJI17" i="2"/>
  <c r="J18" i="3" s="1"/>
  <c r="OL17" i="2"/>
  <c r="EK17" i="2"/>
  <c r="AAW17" i="2"/>
  <c r="VA17" i="2"/>
  <c r="PE17" i="2"/>
  <c r="JM17" i="2"/>
  <c r="L9" i="8" s="1"/>
  <c r="EQ17" i="2"/>
  <c r="AJD17" i="2"/>
  <c r="E18" i="3" s="1"/>
  <c r="EN17" i="2"/>
  <c r="YS17" i="2"/>
  <c r="CE17" i="2"/>
  <c r="MZ17" i="2"/>
  <c r="ZL17" i="2"/>
  <c r="AJH17" i="2"/>
  <c r="I18" i="3" s="1"/>
  <c r="RK17" i="2"/>
  <c r="AJA17" i="2"/>
  <c r="B18" i="3" s="1"/>
  <c r="XF17" i="2"/>
  <c r="KJ17" i="2"/>
  <c r="KT17" i="2"/>
  <c r="NT17" i="2"/>
  <c r="AIY17" i="2"/>
  <c r="AJB17" i="2"/>
  <c r="C18" i="3" s="1"/>
  <c r="HN17" i="2"/>
  <c r="AJO17" i="2"/>
  <c r="P18" i="3" s="1"/>
  <c r="AIX17" i="2"/>
  <c r="AHL17" i="2"/>
  <c r="PX17" i="2"/>
  <c r="HM17" i="2"/>
  <c r="EO17" i="2"/>
  <c r="ACI17" i="2"/>
  <c r="WM17" i="2"/>
  <c r="QQ17" i="2"/>
  <c r="KS17" i="2"/>
  <c r="FZ17" i="2"/>
  <c r="DK17" i="2"/>
  <c r="AJL17" i="2"/>
  <c r="M18" i="3" s="1"/>
  <c r="ADV17" i="2"/>
  <c r="SD17" i="2"/>
  <c r="JN17" i="2"/>
  <c r="M9" i="8" s="1"/>
  <c r="AHM17" i="2"/>
  <c r="UI17" i="2"/>
  <c r="OM17" i="2"/>
  <c r="EL17" i="2"/>
  <c r="EA17" i="2"/>
  <c r="ADC17" i="2"/>
  <c r="AJE17" i="2"/>
  <c r="AFG17" i="2"/>
  <c r="AJG17" i="2"/>
  <c r="H18" i="3" s="1"/>
  <c r="AEN17" i="2"/>
  <c r="YR17" i="2"/>
  <c r="ZK17" i="2"/>
  <c r="TO17" i="2"/>
  <c r="NS17" i="2"/>
  <c r="GM17" i="2"/>
  <c r="EM17" i="2"/>
  <c r="AGT17" i="2"/>
  <c r="XZ17" i="2"/>
  <c r="MH17" i="2"/>
  <c r="EJ17" i="2"/>
  <c r="GN17" i="2"/>
  <c r="XG17" i="2"/>
  <c r="KK17" i="2"/>
  <c r="LP6" i="2"/>
  <c r="LP10" i="2" s="1"/>
  <c r="AJR16" i="2"/>
  <c r="AGU16" i="2"/>
  <c r="ADW16" i="2"/>
  <c r="AAY16" i="2"/>
  <c r="YA16" i="2"/>
  <c r="AEP16" i="2"/>
  <c r="ABR16" i="2"/>
  <c r="YT16" i="2"/>
  <c r="VV16" i="2"/>
  <c r="SX16" i="2"/>
  <c r="PZ16" i="2"/>
  <c r="NB16" i="2"/>
  <c r="JO16" i="2"/>
  <c r="IO16" i="2"/>
  <c r="ES16" i="2"/>
  <c r="CW16" i="2"/>
  <c r="VC16" i="2"/>
  <c r="SE16" i="2"/>
  <c r="PG16" i="2"/>
  <c r="MI16" i="2"/>
  <c r="HO16" i="2"/>
  <c r="IB16" i="2"/>
  <c r="ER16" i="2"/>
  <c r="CF16" i="2"/>
  <c r="AIZ16" i="2"/>
  <c r="AFI16" i="2"/>
  <c r="ACK16" i="2"/>
  <c r="ZM16" i="2"/>
  <c r="WO16" i="2"/>
  <c r="TQ16" i="2"/>
  <c r="QS16" i="2"/>
  <c r="NU16" i="2"/>
  <c r="KL16" i="2"/>
  <c r="JB16" i="2"/>
  <c r="FI16" i="2"/>
  <c r="DL16" i="2"/>
  <c r="AR16" i="2"/>
  <c r="LP14" i="2"/>
  <c r="LP16" i="2" s="1"/>
  <c r="AJQ16" i="2"/>
  <c r="AGB16" i="2"/>
  <c r="ADD16" i="2"/>
  <c r="AAF16" i="2"/>
  <c r="XH16" i="2"/>
  <c r="UJ16" i="2"/>
  <c r="RL16" i="2"/>
  <c r="ON16" i="2"/>
  <c r="KU16" i="2"/>
  <c r="GO16" i="2"/>
  <c r="GB16" i="2"/>
  <c r="DY16" i="2"/>
  <c r="BM16" i="2"/>
  <c r="H37" i="8"/>
  <c r="AGB13" i="2"/>
  <c r="RL13" i="2"/>
  <c r="GO13" i="2"/>
  <c r="ET12" i="2"/>
  <c r="ET14" i="2"/>
  <c r="IB13" i="2"/>
  <c r="CF13" i="2"/>
  <c r="AJQ13" i="2"/>
  <c r="ADD13" i="2"/>
  <c r="AAF13" i="2"/>
  <c r="XH13" i="2"/>
  <c r="UJ13" i="2"/>
  <c r="ON13" i="2"/>
  <c r="KU13" i="2"/>
  <c r="GB13" i="2"/>
  <c r="DY13" i="2"/>
  <c r="BM13" i="2"/>
  <c r="U12" i="6"/>
  <c r="W12" i="6" s="1"/>
  <c r="JO13" i="2"/>
  <c r="IO13" i="2"/>
  <c r="AJS15" i="2"/>
  <c r="AJS14" i="2"/>
  <c r="AJS12" i="2"/>
  <c r="AJS11" i="2"/>
  <c r="ER13" i="2"/>
  <c r="AJS6" i="2"/>
  <c r="AJS10" i="2" s="1"/>
  <c r="YA13" i="2"/>
  <c r="SE13" i="2"/>
  <c r="MI13" i="2"/>
  <c r="V13" i="6"/>
  <c r="W13" i="6" s="1"/>
  <c r="S9" i="9"/>
  <c r="E9" i="8"/>
  <c r="AAY13" i="2"/>
  <c r="VC13" i="2"/>
  <c r="PG13" i="2"/>
  <c r="HO13" i="2"/>
  <c r="N37" i="8"/>
  <c r="W49" i="6"/>
  <c r="W48" i="6"/>
  <c r="M10" i="3"/>
  <c r="L10" i="3"/>
  <c r="W50" i="6"/>
  <c r="ET15" i="2"/>
  <c r="AEP13" i="2"/>
  <c r="ABR13" i="2"/>
  <c r="YT13" i="2"/>
  <c r="VV13" i="2"/>
  <c r="SX13" i="2"/>
  <c r="PZ13" i="2"/>
  <c r="NB13" i="2"/>
  <c r="ET11" i="2"/>
  <c r="CW13" i="2"/>
  <c r="ET7" i="2"/>
  <c r="AGU13" i="2"/>
  <c r="ADW13" i="2"/>
  <c r="AIZ13" i="2"/>
  <c r="AFI13" i="2"/>
  <c r="ACK13" i="2"/>
  <c r="ZM13" i="2"/>
  <c r="WO13" i="2"/>
  <c r="TQ13" i="2"/>
  <c r="QS13" i="2"/>
  <c r="NU13" i="2"/>
  <c r="KL13" i="2"/>
  <c r="JB13" i="2"/>
  <c r="FI13" i="2"/>
  <c r="DL13" i="2"/>
  <c r="AR13" i="2"/>
  <c r="V51" i="6"/>
  <c r="N28" i="3"/>
  <c r="W47" i="6"/>
  <c r="U51" i="6"/>
  <c r="ET6" i="2"/>
  <c r="W46" i="6"/>
  <c r="AJR13" i="2"/>
  <c r="LP13" i="2"/>
  <c r="ES13" i="2"/>
  <c r="ET10" i="2" l="1"/>
  <c r="M9" i="11"/>
  <c r="AB10" i="12"/>
  <c r="U10" i="11"/>
  <c r="O10" i="12"/>
  <c r="W10" i="12"/>
  <c r="AHN17" i="2"/>
  <c r="L10" i="11"/>
  <c r="W9" i="12"/>
  <c r="K9" i="12"/>
  <c r="AAY17" i="2"/>
  <c r="S37" i="6"/>
  <c r="AEP17" i="2"/>
  <c r="ON17" i="2"/>
  <c r="YA17" i="2"/>
  <c r="K10" i="11"/>
  <c r="NB17" i="2"/>
  <c r="YT17" i="2"/>
  <c r="PZ17" i="2"/>
  <c r="ABR17" i="2"/>
  <c r="KU17" i="2"/>
  <c r="V10" i="12"/>
  <c r="VV17" i="2"/>
  <c r="SX17" i="2"/>
  <c r="AJR17" i="2"/>
  <c r="PG17" i="2"/>
  <c r="LP17" i="2"/>
  <c r="P10" i="11"/>
  <c r="U9" i="11"/>
  <c r="AD10" i="11"/>
  <c r="G10" i="11"/>
  <c r="F10" i="12"/>
  <c r="X10" i="12"/>
  <c r="ES17" i="2"/>
  <c r="J9" i="8" s="1"/>
  <c r="X10" i="11"/>
  <c r="C10" i="12"/>
  <c r="N10" i="11"/>
  <c r="Y9" i="12"/>
  <c r="AC10" i="11"/>
  <c r="AA9" i="11"/>
  <c r="N10" i="12"/>
  <c r="H10" i="12"/>
  <c r="J9" i="11"/>
  <c r="AD9" i="12"/>
  <c r="S9" i="11"/>
  <c r="S9" i="12"/>
  <c r="P9" i="11"/>
  <c r="P9" i="12"/>
  <c r="G9" i="11"/>
  <c r="G9" i="12"/>
  <c r="I10" i="12"/>
  <c r="I10" i="11"/>
  <c r="AE9" i="11"/>
  <c r="AE9" i="12"/>
  <c r="TQ17" i="2"/>
  <c r="AFI17" i="2"/>
  <c r="SE17" i="2"/>
  <c r="GB17" i="2"/>
  <c r="XH17" i="2"/>
  <c r="RL17" i="2"/>
  <c r="Q10" i="12"/>
  <c r="Q10" i="11"/>
  <c r="R10" i="11"/>
  <c r="R10" i="12"/>
  <c r="AB9" i="11"/>
  <c r="AB11" i="11" s="1"/>
  <c r="AB9" i="12"/>
  <c r="Y10" i="12"/>
  <c r="Y10" i="11"/>
  <c r="Y11" i="11" s="1"/>
  <c r="E10" i="12"/>
  <c r="E10" i="11"/>
  <c r="J10" i="11"/>
  <c r="J10" i="12"/>
  <c r="X9" i="11"/>
  <c r="X9" i="12"/>
  <c r="AF9" i="11"/>
  <c r="AF9" i="12"/>
  <c r="S10" i="11"/>
  <c r="S10" i="12"/>
  <c r="AE10" i="11"/>
  <c r="AE10" i="12"/>
  <c r="L9" i="11"/>
  <c r="L9" i="12"/>
  <c r="M10" i="12"/>
  <c r="M10" i="11"/>
  <c r="AA10" i="11"/>
  <c r="AA10" i="12"/>
  <c r="AI10" i="11"/>
  <c r="AI10" i="12"/>
  <c r="Q9" i="11"/>
  <c r="Q9" i="12"/>
  <c r="T10" i="11"/>
  <c r="T10" i="12"/>
  <c r="F9" i="12"/>
  <c r="F9" i="11"/>
  <c r="F11" i="11" s="1"/>
  <c r="E9" i="11"/>
  <c r="E9" i="12"/>
  <c r="ZM17" i="2"/>
  <c r="ADD17" i="2"/>
  <c r="T9" i="12"/>
  <c r="T9" i="11"/>
  <c r="AC9" i="12"/>
  <c r="AC9" i="11"/>
  <c r="AF10" i="11"/>
  <c r="AF10" i="12"/>
  <c r="H9" i="11"/>
  <c r="H9" i="12"/>
  <c r="N9" i="12"/>
  <c r="N9" i="11"/>
  <c r="AI9" i="11"/>
  <c r="AI9" i="12"/>
  <c r="ADW17" i="2"/>
  <c r="V9" i="11"/>
  <c r="V9" i="12"/>
  <c r="R9" i="11"/>
  <c r="R9" i="12"/>
  <c r="O9" i="11"/>
  <c r="O9" i="12"/>
  <c r="D10" i="11"/>
  <c r="D10" i="12"/>
  <c r="D9" i="12"/>
  <c r="D9" i="11"/>
  <c r="NU17" i="2"/>
  <c r="C9" i="11"/>
  <c r="C11" i="11" s="1"/>
  <c r="C9" i="12"/>
  <c r="B10" i="11"/>
  <c r="B10" i="12"/>
  <c r="F18" i="3"/>
  <c r="R18" i="3" s="1"/>
  <c r="B9" i="11"/>
  <c r="B9" i="12"/>
  <c r="JB17" i="2"/>
  <c r="IB17" i="2"/>
  <c r="DL17" i="2"/>
  <c r="CW17" i="2"/>
  <c r="CF17" i="2"/>
  <c r="ER17" i="2"/>
  <c r="I9" i="8" s="1"/>
  <c r="DY17" i="2"/>
  <c r="AR17" i="2"/>
  <c r="KL17" i="2"/>
  <c r="WO17" i="2"/>
  <c r="AIZ17" i="2"/>
  <c r="AAF17" i="2"/>
  <c r="IO17" i="2"/>
  <c r="AGB17" i="2"/>
  <c r="JO17" i="2"/>
  <c r="BM17" i="2"/>
  <c r="AGU17" i="2"/>
  <c r="VC17" i="2"/>
  <c r="FI17" i="2"/>
  <c r="QS17" i="2"/>
  <c r="ACK17" i="2"/>
  <c r="HO17" i="2"/>
  <c r="MI17" i="2"/>
  <c r="UJ17" i="2"/>
  <c r="AJQ17" i="2"/>
  <c r="GO17" i="2"/>
  <c r="AJS16" i="2"/>
  <c r="ET16" i="2"/>
  <c r="S18" i="3"/>
  <c r="S36" i="3"/>
  <c r="R36" i="3"/>
  <c r="H9" i="8"/>
  <c r="ET13" i="2"/>
  <c r="V14" i="6"/>
  <c r="AJS13" i="2"/>
  <c r="N9" i="8"/>
  <c r="N10" i="3"/>
  <c r="U14" i="6"/>
  <c r="W51" i="6"/>
  <c r="K37" i="8"/>
  <c r="Q11" i="11" l="1"/>
  <c r="AE11" i="11"/>
  <c r="P11" i="11"/>
  <c r="W14" i="6"/>
  <c r="F11" i="12"/>
  <c r="T11" i="11"/>
  <c r="Q11" i="12"/>
  <c r="T36" i="3"/>
  <c r="T11" i="12"/>
  <c r="ET17" i="2"/>
  <c r="AJS17" i="2"/>
  <c r="I11" i="12"/>
  <c r="AE11" i="12"/>
  <c r="M11" i="11"/>
  <c r="E11" i="11"/>
  <c r="AD11" i="11"/>
  <c r="S11" i="11"/>
  <c r="W11" i="11"/>
  <c r="J11" i="11"/>
  <c r="X11" i="11"/>
  <c r="K11" i="11"/>
  <c r="D11" i="12"/>
  <c r="AB11" i="12"/>
  <c r="L11" i="12"/>
  <c r="W11" i="12"/>
  <c r="Y11" i="12"/>
  <c r="M11" i="12"/>
  <c r="AC11" i="12"/>
  <c r="V11" i="11"/>
  <c r="AA11" i="11"/>
  <c r="AF11" i="11"/>
  <c r="L11" i="11"/>
  <c r="N11" i="11"/>
  <c r="H11" i="11"/>
  <c r="AI11" i="11"/>
  <c r="U11" i="11"/>
  <c r="G11" i="11"/>
  <c r="AC11" i="11"/>
  <c r="K11" i="12"/>
  <c r="D11" i="11"/>
  <c r="B11" i="11"/>
  <c r="AI11" i="12"/>
  <c r="G11" i="12"/>
  <c r="I11" i="11"/>
  <c r="R11" i="11"/>
  <c r="E11" i="12"/>
  <c r="AD11" i="12"/>
  <c r="AF11" i="12"/>
  <c r="S11" i="12"/>
  <c r="U11" i="12"/>
  <c r="X11" i="12"/>
  <c r="J11" i="12"/>
  <c r="N11" i="12"/>
  <c r="H11" i="12"/>
  <c r="C11" i="12"/>
  <c r="P11" i="12"/>
  <c r="R11" i="12"/>
  <c r="AA11" i="12"/>
  <c r="V11" i="12"/>
  <c r="AJ9" i="11"/>
  <c r="AJ10" i="11"/>
  <c r="O11" i="11"/>
  <c r="O11" i="12"/>
  <c r="AJ9" i="12"/>
  <c r="B11" i="12"/>
  <c r="AJ10" i="12"/>
  <c r="K9" i="8"/>
  <c r="T18" i="3"/>
  <c r="AJ11" i="12" l="1"/>
  <c r="AJ11" i="11"/>
</calcChain>
</file>

<file path=xl/sharedStrings.xml><?xml version="1.0" encoding="utf-8"?>
<sst xmlns="http://schemas.openxmlformats.org/spreadsheetml/2006/main" count="2657" uniqueCount="452">
  <si>
    <t>ت</t>
  </si>
  <si>
    <t xml:space="preserve">الرقم الاحصائي </t>
  </si>
  <si>
    <t xml:space="preserve">القضاء </t>
  </si>
  <si>
    <t xml:space="preserve">الناحية </t>
  </si>
  <si>
    <t>بنون</t>
  </si>
  <si>
    <t>بنات</t>
  </si>
  <si>
    <t>مختلط</t>
  </si>
  <si>
    <t xml:space="preserve">حضر </t>
  </si>
  <si>
    <t xml:space="preserve">ريف </t>
  </si>
  <si>
    <t xml:space="preserve">صباحا </t>
  </si>
  <si>
    <t>ظهرا</t>
  </si>
  <si>
    <t>صباحا وظهرا</t>
  </si>
  <si>
    <t>مساءا</t>
  </si>
  <si>
    <t xml:space="preserve">اصلية </t>
  </si>
  <si>
    <t>ضيف</t>
  </si>
  <si>
    <t>غير مزدوجة</t>
  </si>
  <si>
    <t>مع نفسها</t>
  </si>
  <si>
    <t>مع اخرى</t>
  </si>
  <si>
    <t>مع نفسها ومع اخرى</t>
  </si>
  <si>
    <t>نوع الازدواج</t>
  </si>
  <si>
    <t>المجموع</t>
  </si>
  <si>
    <t xml:space="preserve">عدد الشعب حسب الصف والجنس </t>
  </si>
  <si>
    <t xml:space="preserve">ذكور </t>
  </si>
  <si>
    <t>اناث</t>
  </si>
  <si>
    <t>مدير</t>
  </si>
  <si>
    <t>معاون</t>
  </si>
  <si>
    <t>معلم</t>
  </si>
  <si>
    <t>دبلوم عالي</t>
  </si>
  <si>
    <t>ماجستير</t>
  </si>
  <si>
    <t>دكتوراه</t>
  </si>
  <si>
    <t>اخرى</t>
  </si>
  <si>
    <t>مستأجرة</t>
  </si>
  <si>
    <t>مدرسة واحدة</t>
  </si>
  <si>
    <t>مدرستان</t>
  </si>
  <si>
    <t>صالحة</t>
  </si>
  <si>
    <t>غير صالحة</t>
  </si>
  <si>
    <t>غير مدرسي</t>
  </si>
  <si>
    <t>بناء جاهز</t>
  </si>
  <si>
    <t>بحاجة الى ترميم</t>
  </si>
  <si>
    <t>عدد الكتب</t>
  </si>
  <si>
    <t>16 سنة</t>
  </si>
  <si>
    <t>17 سنة</t>
  </si>
  <si>
    <t>18 سنة</t>
  </si>
  <si>
    <t>19 سنة</t>
  </si>
  <si>
    <t>20 سنة</t>
  </si>
  <si>
    <t>17سنة</t>
  </si>
  <si>
    <t>18سنة</t>
  </si>
  <si>
    <t>19سنة</t>
  </si>
  <si>
    <t>20سنة</t>
  </si>
  <si>
    <t>21سنة</t>
  </si>
  <si>
    <t>الصف الاول</t>
  </si>
  <si>
    <t>الصف الثاني</t>
  </si>
  <si>
    <t>الصف الثالث</t>
  </si>
  <si>
    <t xml:space="preserve">عدد الطلبة المستجدين في الصف الاول حسب العمر </t>
  </si>
  <si>
    <t xml:space="preserve">عدد الطلبة المسجلين في الصف الثاني  حسب العمر والجنس </t>
  </si>
  <si>
    <t xml:space="preserve">عدد الطلبة المسجلين في الصف الثالث  حسب العمر والجنس </t>
  </si>
  <si>
    <t>مدرس</t>
  </si>
  <si>
    <t>دبلوم عام</t>
  </si>
  <si>
    <t>بكلوريوس عام</t>
  </si>
  <si>
    <t xml:space="preserve">عدد الطلبة المسجلين في الصف الاول حسب العمر والجنس </t>
  </si>
  <si>
    <t>مختلطة</t>
  </si>
  <si>
    <t>مرشد تربوي</t>
  </si>
  <si>
    <t>دبلوم تعليمي</t>
  </si>
  <si>
    <t>بكلوريوس تعليمي</t>
  </si>
  <si>
    <t>اعضاء الهيئة التعليمية و التدريسية حسب العنوان الوظيفي</t>
  </si>
  <si>
    <t>ذكور</t>
  </si>
  <si>
    <t>جنس المعهد</t>
  </si>
  <si>
    <t>بيئة المعهد</t>
  </si>
  <si>
    <t xml:space="preserve">دوام المعهد </t>
  </si>
  <si>
    <t xml:space="preserve">استقلالية المعهد </t>
  </si>
  <si>
    <t xml:space="preserve">اسم المعهد </t>
  </si>
  <si>
    <t>21 سنة</t>
  </si>
  <si>
    <t>22 سنة</t>
  </si>
  <si>
    <t>23 سنة</t>
  </si>
  <si>
    <t xml:space="preserve">عدد الطلبة المسجلين في الصف الرابع  حسب العمر والجنس </t>
  </si>
  <si>
    <t xml:space="preserve">عدد الطلبة المسجلين في الصف الخامس حسب العمر والجنس </t>
  </si>
  <si>
    <t>الصف الرابع</t>
  </si>
  <si>
    <t>الصف الخامس</t>
  </si>
  <si>
    <t>نعم</t>
  </si>
  <si>
    <t>كلا</t>
  </si>
  <si>
    <t>معاهد الفنون الجميلة</t>
  </si>
  <si>
    <t>16سنة</t>
  </si>
  <si>
    <t>عدد الطلبة المسجلين حسب الصف والجنس ( المجموع الكلي)</t>
  </si>
  <si>
    <t>22سنة</t>
  </si>
  <si>
    <t>23سنة</t>
  </si>
  <si>
    <t>اعضاء الهيئة التعليمية والتدريسية حسب الشهادة</t>
  </si>
  <si>
    <t>خارج قوة العمل</t>
  </si>
  <si>
    <t>الحاسبات  :-</t>
  </si>
  <si>
    <t>المكتبات المدرسية  :-</t>
  </si>
  <si>
    <t>المختبرات المدرسية  :-</t>
  </si>
  <si>
    <t>عدد الابنية المدرسية حسب :-</t>
  </si>
  <si>
    <t>هل البناية مزودة بخدمة المجاري</t>
  </si>
  <si>
    <t>هل ترتبط البناية بشبكة الماء الصالح للشرب</t>
  </si>
  <si>
    <t>هل هناك سياج حول البناية</t>
  </si>
  <si>
    <t>هل تتوفر في البناية مرافق صحية</t>
  </si>
  <si>
    <t>هل توجد مكتبة</t>
  </si>
  <si>
    <t>هل يوجد مختبر :-</t>
  </si>
  <si>
    <t>نوع البتاء</t>
  </si>
  <si>
    <t>عدد الطوابق</t>
  </si>
  <si>
    <t xml:space="preserve"> العائدية</t>
  </si>
  <si>
    <t>عدد المدارس التي تشغلها</t>
  </si>
  <si>
    <t>الحالة العمرانية</t>
  </si>
  <si>
    <t>مادة البناء</t>
  </si>
  <si>
    <t>مختبر العلوم</t>
  </si>
  <si>
    <t>مختبر الفيزياء</t>
  </si>
  <si>
    <t>مختبر الكيمياء</t>
  </si>
  <si>
    <t>مجمع المختبرات</t>
  </si>
  <si>
    <t>مدرسي</t>
  </si>
  <si>
    <t>طابق واحد</t>
  </si>
  <si>
    <t>طابقين</t>
  </si>
  <si>
    <t>ثلاث طوابق</t>
  </si>
  <si>
    <t>حكومية تابعة لوزارة التربية</t>
  </si>
  <si>
    <t>حكومية تابعة لجهات اخرى</t>
  </si>
  <si>
    <t>ثلاث مدارس</t>
  </si>
  <si>
    <t>طابوق او حجر او بلوك</t>
  </si>
  <si>
    <t xml:space="preserve">نعم </t>
  </si>
  <si>
    <t>الابنية المدرسية</t>
  </si>
  <si>
    <t>النجف</t>
  </si>
  <si>
    <t>المركز</t>
  </si>
  <si>
    <t xml:space="preserve">المديرية العامة للتربية في محافظة النجف الاشرف </t>
  </si>
  <si>
    <t>اصلية</t>
  </si>
  <si>
    <t xml:space="preserve">قسم التخطيط التربوي </t>
  </si>
  <si>
    <t>خلاصة محافظة النجف الاشرف</t>
  </si>
  <si>
    <t>عدد الطلبة المقبولين الجدد</t>
  </si>
  <si>
    <t>عدد الطلبة الموجودين</t>
  </si>
  <si>
    <t>عدد اعضاء الهيئة التدريسية</t>
  </si>
  <si>
    <t>استقلالية المعهد</t>
  </si>
  <si>
    <t>عدد المعاهد الفتح الجديد</t>
  </si>
  <si>
    <t>المجموع الكلي</t>
  </si>
  <si>
    <t>جدول رقم ((2))</t>
  </si>
  <si>
    <t>جدول رقم ((1))</t>
  </si>
  <si>
    <t>الشعب</t>
  </si>
  <si>
    <t>جدول رقم ((3))</t>
  </si>
  <si>
    <t>عمر 17 سنة</t>
  </si>
  <si>
    <t>عمر 18 سنة</t>
  </si>
  <si>
    <t>عمر 19 سنة</t>
  </si>
  <si>
    <t>عمر 20 سنة</t>
  </si>
  <si>
    <t>عمر 21 سنة</t>
  </si>
  <si>
    <t>عمر 22 سنة</t>
  </si>
  <si>
    <t>عمر 23 سنة فاكثر</t>
  </si>
  <si>
    <t>عدد الطلبة الموجودين حسب العمر والصف والجنس</t>
  </si>
  <si>
    <t>جدول رقم ((4))</t>
  </si>
  <si>
    <t xml:space="preserve">الصف الرابع </t>
  </si>
  <si>
    <t xml:space="preserve">المجموع </t>
  </si>
  <si>
    <t>جدول رقم ((5))</t>
  </si>
  <si>
    <t>عدد الشعب حسب الصف والجنس</t>
  </si>
  <si>
    <t>الفشل في الامتحان</t>
  </si>
  <si>
    <t>تجاوز ايام الغياب</t>
  </si>
  <si>
    <t>اسباب اخرى</t>
  </si>
  <si>
    <t>جدول رقم ((7))</t>
  </si>
  <si>
    <t>عدد اعضاء الهيئة التدريسية حسب العنوان الوظيفي والجنس والفرع</t>
  </si>
  <si>
    <t>مرشد</t>
  </si>
  <si>
    <t>جدول رقم ((8))</t>
  </si>
  <si>
    <t>عدد اعضاء الهيئة التدريسية حسب الشهادة والجنس</t>
  </si>
  <si>
    <t>جدول رقم ((9))</t>
  </si>
  <si>
    <t>عدد الابنية حسب العائدية</t>
  </si>
  <si>
    <t>حكومية</t>
  </si>
  <si>
    <t>للتربية</t>
  </si>
  <si>
    <t>لجهات اخرى</t>
  </si>
  <si>
    <t>ثلاث فاكثر</t>
  </si>
  <si>
    <t>عدد الابنية التي تشغلها</t>
  </si>
  <si>
    <t>عدد الابنية حسب الحالة العمرانية</t>
  </si>
  <si>
    <t>عدد الابنية حسب نوع البناء</t>
  </si>
  <si>
    <t>عدد الابنية حسب مادة البناء</t>
  </si>
  <si>
    <t>طابوق او حجر</t>
  </si>
  <si>
    <t>المجموع الكلي للابنية</t>
  </si>
  <si>
    <t>جدول رقم ((10))</t>
  </si>
  <si>
    <t>المكتبات والمختبرات المدرسية</t>
  </si>
  <si>
    <t>المكتبات المدرسية</t>
  </si>
  <si>
    <t>عدد المكتبات</t>
  </si>
  <si>
    <t>هل توجد مختبرات</t>
  </si>
  <si>
    <t>مختبر احياء</t>
  </si>
  <si>
    <t>المختبرات العلمية</t>
  </si>
  <si>
    <t>المختبرات المدرسية</t>
  </si>
  <si>
    <t>مختبر اللغة</t>
  </si>
  <si>
    <t>مختبر الحاسوب</t>
  </si>
  <si>
    <t>عدد الطلبة المقبولين ((الجدد)) حسب العمر والجنس</t>
  </si>
  <si>
    <t>جدول رقم ((6))</t>
  </si>
  <si>
    <t>المديرية العامة لتربية في محافظة النجف الاشرف</t>
  </si>
  <si>
    <t>قسم التخطيط التربوي / شعبة الاحصاء</t>
  </si>
  <si>
    <t>موظف الادارة</t>
  </si>
  <si>
    <t>محاسب</t>
  </si>
  <si>
    <t>مساعد مختبر</t>
  </si>
  <si>
    <t>امين مكتب</t>
  </si>
  <si>
    <t>موظف خدمة</t>
  </si>
  <si>
    <t>حارس</t>
  </si>
  <si>
    <t>سائق</t>
  </si>
  <si>
    <t>فلاح</t>
  </si>
  <si>
    <t>عدد الموظفون الاداريون والخدميون حسب العنوان الوظيفي</t>
  </si>
  <si>
    <t>عراقية</t>
  </si>
  <si>
    <t>عربية</t>
  </si>
  <si>
    <t>اجنبية</t>
  </si>
  <si>
    <t>عدد اعضاء الهيئة التعليمية حسب الجنسية</t>
  </si>
  <si>
    <t>داخل القوة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</si>
  <si>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</si>
  <si>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</si>
  <si>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</si>
  <si>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</si>
  <si>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</si>
  <si>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اجازة امومة</t>
  </si>
  <si>
    <t>منسب الى جهات اخرى</t>
  </si>
  <si>
    <t>عدد اعضاء الهيئة التعليمية والتدريسية حسب الحالة الوظيفية</t>
  </si>
  <si>
    <t>التربية الاسلامية</t>
  </si>
  <si>
    <t>اللغة العربية</t>
  </si>
  <si>
    <t>اللغة الانكيزية</t>
  </si>
  <si>
    <t>اللغة الكردية</t>
  </si>
  <si>
    <t>الرياضيات</t>
  </si>
  <si>
    <t>الفيزياء</t>
  </si>
  <si>
    <t>الكيمياء</t>
  </si>
  <si>
    <t>العلوم</t>
  </si>
  <si>
    <t>علوم الحياة</t>
  </si>
  <si>
    <t>التاريخ</t>
  </si>
  <si>
    <t>الجغرافية</t>
  </si>
  <si>
    <t>الاجتماعيات</t>
  </si>
  <si>
    <t>الاجتماع</t>
  </si>
  <si>
    <t>التربية الرياضية</t>
  </si>
  <si>
    <t>التربية الفنية</t>
  </si>
  <si>
    <t>الاقتصاد</t>
  </si>
  <si>
    <t>علم النفس التربوي</t>
  </si>
  <si>
    <t>علوم تربوية ونفسية</t>
  </si>
  <si>
    <t>ارشاد تربوي</t>
  </si>
  <si>
    <t>حاسوب</t>
  </si>
  <si>
    <t>الرسم</t>
  </si>
  <si>
    <t>النحت</t>
  </si>
  <si>
    <t>الكرافيك</t>
  </si>
  <si>
    <t>السيراميك</t>
  </si>
  <si>
    <t>سينما ومسرح</t>
  </si>
  <si>
    <t>الخط</t>
  </si>
  <si>
    <t>الزخرفة</t>
  </si>
  <si>
    <t>التصميم</t>
  </si>
  <si>
    <t>الديكور</t>
  </si>
  <si>
    <t>ادارة تربوية</t>
  </si>
  <si>
    <t>نوع المعهد</t>
  </si>
  <si>
    <t>عدد الابنية حسب نوع الخدمات</t>
  </si>
  <si>
    <t>عدد الابنية التي يصلها ما صالح للشرب</t>
  </si>
  <si>
    <t>عدد الابنية المزودة بخدمة مجاري</t>
  </si>
  <si>
    <t>عدد الابنية تحتوي على سياج مدرسي</t>
  </si>
  <si>
    <t>الجنس</t>
  </si>
  <si>
    <t>علم النفس</t>
  </si>
  <si>
    <t>جدول رقم ((11))</t>
  </si>
  <si>
    <t>استمارة اعضاء الهئية التعليمية والتدريسية حسب الاختصاص والنوع (الصباحي والمسائي)</t>
  </si>
  <si>
    <t>اللغة الانكليزية</t>
  </si>
  <si>
    <t>خلاصة قضاء الكوفة</t>
  </si>
  <si>
    <t>خلاصة قضاء النجف الاشرف</t>
  </si>
  <si>
    <t>خلاصة قضاء المناذرة</t>
  </si>
  <si>
    <t>هل المدرسة بحاجة الى صفوف</t>
  </si>
  <si>
    <t>عدد الصفوف الاضافية</t>
  </si>
  <si>
    <t>عدد الصفوف</t>
  </si>
  <si>
    <t>عدد الغرف في البناية</t>
  </si>
  <si>
    <t>عدد الصفوف في البناية</t>
  </si>
  <si>
    <t xml:space="preserve">مدير </t>
  </si>
  <si>
    <t>مدرس او معلم</t>
  </si>
  <si>
    <t>امين مكتبة</t>
  </si>
  <si>
    <t>كاتب</t>
  </si>
  <si>
    <t>المسؤول المكتبة</t>
  </si>
  <si>
    <t>نوعية المكتبة</t>
  </si>
  <si>
    <t>غرفة</t>
  </si>
  <si>
    <t>خزانة</t>
  </si>
  <si>
    <t>رفوف عارضة</t>
  </si>
  <si>
    <t>الكتب</t>
  </si>
  <si>
    <t>المجلات والقصص</t>
  </si>
  <si>
    <t>عدد الكتب الكلي</t>
  </si>
  <si>
    <t>هل يوجد مختبر</t>
  </si>
  <si>
    <t xml:space="preserve">خلاصة قضاء النجف </t>
  </si>
  <si>
    <t>خلاصة قضاء النجف</t>
  </si>
  <si>
    <t>المديرية العامة للتربية في محافظة النجف الاشرف</t>
  </si>
  <si>
    <t>الصف</t>
  </si>
  <si>
    <t xml:space="preserve">خلاصة محافظة النجف الاشرف                 </t>
  </si>
  <si>
    <t xml:space="preserve">خلاصة قضاء النجف                 </t>
  </si>
  <si>
    <t>بكالوريوس تعليمي</t>
  </si>
  <si>
    <t>بكالوريوس عام</t>
  </si>
  <si>
    <t>طين او صريفة</t>
  </si>
  <si>
    <t>هياكل حديدية</t>
  </si>
  <si>
    <t>كرفان</t>
  </si>
  <si>
    <t>اللغة السريانية</t>
  </si>
  <si>
    <t>اللغة التركمانية</t>
  </si>
  <si>
    <t>عدد اعضاء الهيئة التعليمية والتدريسية حسب الحالة الاجتماعية</t>
  </si>
  <si>
    <t>اعزب</t>
  </si>
  <si>
    <t>متزوج</t>
  </si>
  <si>
    <t>ارمل</t>
  </si>
  <si>
    <t>مطلق</t>
  </si>
  <si>
    <t xml:space="preserve">عدد الهيئة التدريسية المشاركين بدورات </t>
  </si>
  <si>
    <t>معهد الفنون الجميلة للبنات</t>
  </si>
  <si>
    <t>معهد الفنون الجميلة للبنين</t>
  </si>
  <si>
    <t xml:space="preserve">حجم المعهد </t>
  </si>
  <si>
    <t>6صف</t>
  </si>
  <si>
    <t>9صف</t>
  </si>
  <si>
    <t>12صف</t>
  </si>
  <si>
    <t>18صف</t>
  </si>
  <si>
    <t>24صف</t>
  </si>
  <si>
    <t>هل توجد حديقة في المعهد</t>
  </si>
  <si>
    <t>غيرصالحة</t>
  </si>
  <si>
    <t>كافية</t>
  </si>
  <si>
    <t>غيركافية</t>
  </si>
  <si>
    <t>لايوجد معاهد في قضاء الكوفة</t>
  </si>
  <si>
    <t>لايوجد معاهد في قضاء المناذرة</t>
  </si>
  <si>
    <t>البناية</t>
  </si>
  <si>
    <t>رقم القطعة</t>
  </si>
  <si>
    <t>رقم المقاطعة</t>
  </si>
  <si>
    <t>هل توجد مساحة للتوسعة</t>
  </si>
  <si>
    <t>نوع المجاري</t>
  </si>
  <si>
    <t>شبكة المجاري</t>
  </si>
  <si>
    <t>خزانات</t>
  </si>
  <si>
    <t>مصدر الماء</t>
  </si>
  <si>
    <t>بلدية</t>
  </si>
  <si>
    <t>بئر عميق</t>
  </si>
  <si>
    <t>نهر</t>
  </si>
  <si>
    <t>صهاريج</t>
  </si>
  <si>
    <t>حالة السياج</t>
  </si>
  <si>
    <t>جيد</t>
  </si>
  <si>
    <t>متصدع</t>
  </si>
  <si>
    <t>غير امن</t>
  </si>
  <si>
    <t>هل توجد ساحة رياضية</t>
  </si>
  <si>
    <t>نوع الساحة الرياضية</t>
  </si>
  <si>
    <t>كرة قدم</t>
  </si>
  <si>
    <t xml:space="preserve">كرة سلة </t>
  </si>
  <si>
    <t>كرة طائرة</t>
  </si>
  <si>
    <t>ساحة رياضية</t>
  </si>
  <si>
    <t xml:space="preserve">هل توجد قاعة مستقلة للانشطة </t>
  </si>
  <si>
    <t>قاعة</t>
  </si>
  <si>
    <t xml:space="preserve">الصف </t>
  </si>
  <si>
    <t xml:space="preserve">عدد الابنية حسب عدد الطوابق </t>
  </si>
  <si>
    <t>عدد الابنية حسب عدد الصفوف</t>
  </si>
  <si>
    <t>ثلاثة طوابق</t>
  </si>
  <si>
    <t>6 صف</t>
  </si>
  <si>
    <t xml:space="preserve">9 صف </t>
  </si>
  <si>
    <t xml:space="preserve">12 صف </t>
  </si>
  <si>
    <t xml:space="preserve">18 صف </t>
  </si>
  <si>
    <t>24 صف</t>
  </si>
  <si>
    <t>17063/2</t>
  </si>
  <si>
    <t>سنة البناء</t>
  </si>
  <si>
    <t>82234/3</t>
  </si>
  <si>
    <t>عدد الطلبة المشاركين في الامتحانات النهائية و حسب الصف والجنس للعام الدراسي 2015 / 2016</t>
  </si>
  <si>
    <t>قسم التخطيط التربوي</t>
  </si>
  <si>
    <t>الارشاد التربوي</t>
  </si>
  <si>
    <t>تدريس الحاسوب</t>
  </si>
  <si>
    <t>خدمة الانترنت</t>
  </si>
  <si>
    <t>تدريس اللغات الاجنبية عدا اللغة الانكليزية</t>
  </si>
  <si>
    <t>تدريس اللغات المحلية</t>
  </si>
  <si>
    <t>التغذية المدرسية</t>
  </si>
  <si>
    <t>غيرمزدوجة</t>
  </si>
  <si>
    <t>مزدوجة على نفسها</t>
  </si>
  <si>
    <t>مزدوجة مع اخرى</t>
  </si>
  <si>
    <t>مزدوجة مع نفسها ومع اخرى</t>
  </si>
  <si>
    <t>الكردي</t>
  </si>
  <si>
    <t>التركماني</t>
  </si>
  <si>
    <t>السرياني</t>
  </si>
  <si>
    <t xml:space="preserve">الحالة الوظيفية </t>
  </si>
  <si>
    <t>داخل قوة العمل</t>
  </si>
  <si>
    <t>تنسيب الى جهات اخرى</t>
  </si>
  <si>
    <t xml:space="preserve">خمس سنوات -  فأقل </t>
  </si>
  <si>
    <t xml:space="preserve"> 6ـ 10   </t>
  </si>
  <si>
    <t xml:space="preserve">11ـ15 </t>
  </si>
  <si>
    <t>اقل من 30</t>
  </si>
  <si>
    <t xml:space="preserve"> 30ـ 39   </t>
  </si>
  <si>
    <t xml:space="preserve">40ـ49 </t>
  </si>
  <si>
    <t>50ـ 59</t>
  </si>
  <si>
    <t xml:space="preserve">هل المعهــد  : </t>
  </si>
  <si>
    <t xml:space="preserve">عدد اعضاء الهيئة التدريسية حسب الحالة الوظيفية : </t>
  </si>
  <si>
    <t>عدد اعضاء الهيئة التدريسية المشاركين في الدورات التدريبية للعام السابق :</t>
  </si>
  <si>
    <t xml:space="preserve">عدد اعضاء الهيئة التدريسية حسب سنوات الخدمة : </t>
  </si>
  <si>
    <t xml:space="preserve">عدد اعضاء الهيئة التدريسية حسب سنوات العمر : </t>
  </si>
  <si>
    <t xml:space="preserve">عددالمدرسين </t>
  </si>
  <si>
    <t>جدول رقم (( 12 ))</t>
  </si>
  <si>
    <t>5سنوات فاقل</t>
  </si>
  <si>
    <t>6ــ 10</t>
  </si>
  <si>
    <t>11ــ15</t>
  </si>
  <si>
    <t>30فاقل</t>
  </si>
  <si>
    <t>30ــ 39</t>
  </si>
  <si>
    <t>40ــ49</t>
  </si>
  <si>
    <t>50ــ 59</t>
  </si>
  <si>
    <t>عدد الهيئة التدريسية حسب سنوات الخدمة</t>
  </si>
  <si>
    <t>عدد الهيئة التدريسية حسب سنوات العمر</t>
  </si>
  <si>
    <t xml:space="preserve">عدد الطابعات غيرالصالحة </t>
  </si>
  <si>
    <t xml:space="preserve">عدد الماسحات الضوئية  (سكنرات) غيرالصالحة </t>
  </si>
  <si>
    <t>عمر 15 سنة</t>
  </si>
  <si>
    <t xml:space="preserve">تدريس الحاسوب </t>
  </si>
  <si>
    <t xml:space="preserve">تدريس اللغات الاجنبية والمحلية </t>
  </si>
  <si>
    <t xml:space="preserve">هل المعهد مشمول بـ : </t>
  </si>
  <si>
    <t>عدد الابنية التي تحتوي مرافق صحية</t>
  </si>
  <si>
    <t>60فأكثر</t>
  </si>
  <si>
    <t>60ـ فأكثر</t>
  </si>
  <si>
    <t>عدد الشعب حسب الجنس</t>
  </si>
  <si>
    <t xml:space="preserve">16فاكثر </t>
  </si>
  <si>
    <t>16فاكثر</t>
  </si>
  <si>
    <t xml:space="preserve"> 16فاكثر</t>
  </si>
  <si>
    <t>عمر 16 سنة</t>
  </si>
  <si>
    <t xml:space="preserve">الموسيقى </t>
  </si>
  <si>
    <t>موسيقى</t>
  </si>
  <si>
    <t>معهد الفنون الجميلة</t>
  </si>
  <si>
    <t>عدد معهد الفنون الجميلة والطلبة المقبولين والموجودين وعدد اعضاء الهيئة التدريسية واستقلالية المدرسة ومعاهد الفتح الجديد</t>
  </si>
  <si>
    <t>عدد معهد الفنون الجميلة</t>
  </si>
  <si>
    <t>عدد معهد الفنون الجميلة والطلبة الموجودين حسب الصف وعدد اعضاء الهيئة التدريسية والشعب ( المسائية فقط )</t>
  </si>
  <si>
    <t xml:space="preserve">معهد الفنون الجميلة </t>
  </si>
  <si>
    <t xml:space="preserve">عدد معهد الفنون الجميلة  المشمولة : </t>
  </si>
  <si>
    <t>عدد المعهد الفتح الجديد</t>
  </si>
  <si>
    <t xml:space="preserve"> </t>
  </si>
  <si>
    <t>عدد الحاسبات الالكترونية</t>
  </si>
  <si>
    <t xml:space="preserve">عدد الطابعات </t>
  </si>
  <si>
    <t>عدد الماسحات الضوئية  (سكنرات)</t>
  </si>
  <si>
    <t xml:space="preserve"> العلوم مستقل</t>
  </si>
  <si>
    <t xml:space="preserve"> الفيزياء مستقل</t>
  </si>
  <si>
    <t>الكيمياء مستقل</t>
  </si>
  <si>
    <t xml:space="preserve"> الاحياء مستقل</t>
  </si>
  <si>
    <t>لغة مستقل</t>
  </si>
  <si>
    <t xml:space="preserve"> حاسوب مستقل</t>
  </si>
  <si>
    <t xml:space="preserve">عدد معاهد الفنون الجميلة  المشمولة : </t>
  </si>
  <si>
    <t>اسم المدير</t>
  </si>
  <si>
    <t>رقم الموبايل</t>
  </si>
  <si>
    <t>الموسيقى</t>
  </si>
  <si>
    <t>التشكيلي</t>
  </si>
  <si>
    <t>الخط والزخرفة</t>
  </si>
  <si>
    <t>السينما</t>
  </si>
  <si>
    <t>المسرح</t>
  </si>
  <si>
    <t xml:space="preserve">عدد الطلبة المسجلين حسب الاقسام الدراسية </t>
  </si>
  <si>
    <t>م . م . علي عبد الحسين فياض</t>
  </si>
  <si>
    <t>ابتسام عبد الحسن شنان</t>
  </si>
  <si>
    <t>عدد الطلبة الناجحين والراسبين للعام الدراسي 2019 - 2022 حسب الجنس</t>
  </si>
  <si>
    <t>عدد الطلبة الناجحين للعام الدراسي 2022/2019</t>
  </si>
  <si>
    <t>عدد الطلبة الراسبين للعام الدراسي 2019-2022</t>
  </si>
  <si>
    <t>15 سنة</t>
  </si>
  <si>
    <t>حرفي</t>
  </si>
  <si>
    <t>عدد الرحلات ذات المقعدين</t>
  </si>
  <si>
    <t>صالح</t>
  </si>
  <si>
    <t>غير صالح</t>
  </si>
  <si>
    <t xml:space="preserve">عدد الرحلات ذات المقعد الواحد او الكرسي </t>
  </si>
  <si>
    <t>عدد السبورات</t>
  </si>
  <si>
    <t>معهد الفنون الجميلة المسائية للبنين</t>
  </si>
  <si>
    <t>معهد الفنون الجميلة المسائية للبنات</t>
  </si>
  <si>
    <t>هدى اسماعيل خليل</t>
  </si>
  <si>
    <t>خلاصة المعاهد المسائية</t>
  </si>
  <si>
    <t>معهد الفنون الجميلة للعام الدراسي 2022 - 2025</t>
  </si>
  <si>
    <t>عدد الطلبة المسجلين للعام الدراسي 2022 - 2025</t>
  </si>
  <si>
    <t>عدد الطلبة التاركين للعام الدراسي 2022 - 2025</t>
  </si>
  <si>
    <t>عدد الابنية المدرسية حسب عدد الطوابق وعدد الصفوف للعام المدرسي2022-2025</t>
  </si>
  <si>
    <t xml:space="preserve">معهد الفنون الجميلة للعام الدراسي 2022 /2025 </t>
  </si>
  <si>
    <t>معاهد الفنون الجميلة 2026-2025</t>
  </si>
  <si>
    <t>معهد الفنون الجميلة للعام الدراسي 2025 - 2026</t>
  </si>
  <si>
    <t>عدد الطلبة المسجلين للعام الدراسي 2025 - 2026</t>
  </si>
  <si>
    <t>عدد الطلبة الناجحين والراسبين للعام الدراسي 2023 - 2026 حسب الجنس</t>
  </si>
  <si>
    <t>عدد الطلبة التاركين للعام الدراسي 2025 - 2026</t>
  </si>
  <si>
    <t>عدد الطلبة الناجحين للعام الدراسي 2026/2023</t>
  </si>
  <si>
    <t>عدد الطلبة الراسبين للعام الدراسي 2023-2026</t>
  </si>
  <si>
    <t>عدد الابنية المدرسية حسب عدد الطوابق وعدد الصفوف للعام المدرسي2025-2026</t>
  </si>
  <si>
    <t xml:space="preserve">معهد الفنون الجميلة للعام الدراسي 2025 /2026 </t>
  </si>
  <si>
    <t>عدد الطلبة الناجحين حسب الصف والجنس للعام الدراسي 2024 / 2025</t>
  </si>
  <si>
    <t>عدد الطلبة التاركين حسب الصف والجنس للعام الدراسي 2025 / 2026</t>
  </si>
  <si>
    <t>عدد الطلبة الراسبين بسبب الفشل في الامتحان و حسب الصف والجنس للعام الدراسي 2024 / 2025</t>
  </si>
  <si>
    <t>عدد الطلبة الراسبين بسبب تجاوز ايام الغياب و حسب الصف والجنس للعام الدراسي  2024 / 2025</t>
  </si>
  <si>
    <t>عدد الطلبة الراسبين لاسباب اخرى و حسب الصف والجنس للعام الدراسي 2024 / 2025</t>
  </si>
  <si>
    <t>4-5سنوات</t>
  </si>
  <si>
    <t>علي رافع عبداكاظم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</si>
</sst>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Arial"/>
      <family val="2"/>
    </font>
    <font>
      <b/>
      <sz val="18"/>
      <color theme="1"/>
      <name val="Calibri"/>
      <family val="2"/>
      <scheme val="minor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22"/>
      <name val="Arial"/>
      <family val="2"/>
    </font>
    <font>
      <b/>
      <sz val="22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4"/>
      <color theme="1"/>
      <name val="Aharoni"/>
      <charset val="177"/>
    </font>
    <font>
      <b/>
      <sz val="12"/>
      <name val="Aharoni"/>
      <charset val="177"/>
    </font>
    <font>
      <b/>
      <sz val="16"/>
      <color theme="1"/>
      <name val="Aharoni"/>
      <charset val="177"/>
    </font>
    <font>
      <b/>
      <sz val="14"/>
      <color theme="1"/>
      <name val="Calibri"/>
      <family val="2"/>
      <scheme val="minor"/>
    </font>
    <font>
      <b/>
      <sz val="16"/>
      <name val="Aharoni"/>
      <charset val="177"/>
    </font>
    <font>
      <b/>
      <sz val="10"/>
      <color theme="1"/>
      <name val="Aharoni"/>
      <charset val="177"/>
    </font>
    <font>
      <b/>
      <sz val="10"/>
      <name val="Aharoni"/>
      <charset val="177"/>
    </font>
    <font>
      <sz val="22"/>
      <color theme="1"/>
      <name val="Calibri"/>
      <family val="2"/>
      <charset val="178"/>
      <scheme val="minor"/>
    </font>
    <font>
      <b/>
      <sz val="22"/>
      <color theme="1"/>
      <name val="Aharoni"/>
      <charset val="177"/>
    </font>
    <font>
      <b/>
      <sz val="22"/>
      <name val="Calibri"/>
      <family val="2"/>
      <scheme val="minor"/>
    </font>
    <font>
      <sz val="22"/>
      <name val="Calibri"/>
      <family val="2"/>
      <charset val="178"/>
      <scheme val="minor"/>
    </font>
    <font>
      <b/>
      <sz val="22"/>
      <name val="Aharoni"/>
      <charset val="177"/>
    </font>
    <font>
      <sz val="18"/>
      <color theme="1"/>
      <name val="Calibri"/>
      <family val="2"/>
      <charset val="178"/>
      <scheme val="minor"/>
    </font>
    <font>
      <b/>
      <sz val="11"/>
      <name val="Arial"/>
      <family val="2"/>
    </font>
    <font>
      <b/>
      <sz val="16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color rgb="FFFF0000"/>
      <name val="Arial"/>
      <family val="2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9">
    <xf numFmtId="0" fontId="0" fillId="0" borderId="0" xfId="0"/>
    <xf numFmtId="0" fontId="1" fillId="2" borderId="10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5" fillId="0" borderId="0" xfId="0" applyFont="1"/>
    <xf numFmtId="0" fontId="6" fillId="0" borderId="19" xfId="0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shrinkToFit="1"/>
    </xf>
    <xf numFmtId="0" fontId="8" fillId="0" borderId="0" xfId="0" applyFont="1"/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/>
    <xf numFmtId="0" fontId="12" fillId="0" borderId="19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3" fillId="2" borderId="0" xfId="0" applyFont="1" applyFill="1" applyBorder="1" applyAlignment="1">
      <alignment horizontal="center" vertical="center" shrinkToFit="1"/>
    </xf>
    <xf numFmtId="0" fontId="15" fillId="2" borderId="0" xfId="0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8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10" fillId="0" borderId="0" xfId="0" applyFont="1"/>
    <xf numFmtId="0" fontId="9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 readingOrder="2"/>
    </xf>
    <xf numFmtId="0" fontId="3" fillId="0" borderId="0" xfId="0" applyFont="1" applyFill="1" applyAlignment="1">
      <alignment horizontal="center" vertical="center" readingOrder="2"/>
    </xf>
    <xf numFmtId="0" fontId="3" fillId="0" borderId="19" xfId="0" applyFont="1" applyFill="1" applyBorder="1" applyAlignment="1">
      <alignment horizontal="center" vertical="center" readingOrder="2"/>
    </xf>
    <xf numFmtId="0" fontId="17" fillId="0" borderId="19" xfId="0" applyFont="1" applyBorder="1" applyAlignment="1">
      <alignment horizontal="center" vertical="center" readingOrder="2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10" fillId="0" borderId="0" xfId="0" applyFont="1" applyAlignment="1">
      <alignment vertical="top"/>
    </xf>
    <xf numFmtId="0" fontId="21" fillId="0" borderId="0" xfId="0" applyFont="1"/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textRotation="90"/>
    </xf>
    <xf numFmtId="0" fontId="23" fillId="0" borderId="19" xfId="0" applyFont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25" fillId="0" borderId="1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textRotation="90"/>
    </xf>
    <xf numFmtId="0" fontId="7" fillId="0" borderId="0" xfId="0" applyFont="1" applyFill="1" applyAlignment="1">
      <alignment horizontal="center" vertical="center"/>
    </xf>
    <xf numFmtId="0" fontId="3" fillId="6" borderId="0" xfId="0" applyFont="1" applyFill="1" applyAlignment="1"/>
    <xf numFmtId="0" fontId="7" fillId="6" borderId="0" xfId="0" applyFont="1" applyFill="1" applyAlignment="1"/>
    <xf numFmtId="0" fontId="7" fillId="6" borderId="0" xfId="0" applyFont="1" applyFill="1"/>
    <xf numFmtId="0" fontId="26" fillId="0" borderId="0" xfId="0" applyFont="1"/>
    <xf numFmtId="0" fontId="27" fillId="0" borderId="19" xfId="0" applyFont="1" applyFill="1" applyBorder="1" applyAlignment="1">
      <alignment horizontal="center" vertical="center" wrapText="1"/>
    </xf>
    <xf numFmtId="0" fontId="27" fillId="5" borderId="19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top"/>
    </xf>
    <xf numFmtId="0" fontId="7" fillId="6" borderId="1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shrinkToFit="1"/>
    </xf>
    <xf numFmtId="0" fontId="1" fillId="5" borderId="10" xfId="0" applyFont="1" applyFill="1" applyBorder="1" applyAlignment="1">
      <alignment horizontal="center" vertical="center" shrinkToFit="1"/>
    </xf>
    <xf numFmtId="0" fontId="3" fillId="0" borderId="21" xfId="0" applyFont="1" applyFill="1" applyBorder="1" applyAlignment="1">
      <alignment vertical="center" readingOrder="2"/>
    </xf>
    <xf numFmtId="0" fontId="3" fillId="6" borderId="19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readingOrder="2"/>
    </xf>
    <xf numFmtId="0" fontId="17" fillId="0" borderId="0" xfId="0" applyFont="1"/>
    <xf numFmtId="0" fontId="3" fillId="0" borderId="19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 textRotation="90"/>
    </xf>
    <xf numFmtId="0" fontId="2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 readingOrder="2"/>
    </xf>
    <xf numFmtId="0" fontId="6" fillId="0" borderId="19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16" fillId="7" borderId="8" xfId="0" applyFont="1" applyFill="1" applyBorder="1" applyAlignment="1">
      <alignment vertical="center" shrinkToFit="1"/>
    </xf>
    <xf numFmtId="0" fontId="16" fillId="7" borderId="9" xfId="0" applyFont="1" applyFill="1" applyBorder="1" applyAlignment="1">
      <alignment vertical="center" shrinkToFit="1"/>
    </xf>
    <xf numFmtId="0" fontId="18" fillId="7" borderId="1" xfId="0" applyFont="1" applyFill="1" applyBorder="1" applyAlignment="1">
      <alignment horizontal="center" vertical="center" shrinkToFit="1"/>
    </xf>
    <xf numFmtId="0" fontId="16" fillId="7" borderId="0" xfId="0" applyFont="1" applyFill="1" applyBorder="1" applyAlignment="1">
      <alignment horizontal="center" vertical="center" shrinkToFit="1"/>
    </xf>
    <xf numFmtId="0" fontId="16" fillId="7" borderId="3" xfId="0" applyFont="1" applyFill="1" applyBorder="1" applyAlignment="1">
      <alignment vertical="center" shrinkToFit="1"/>
    </xf>
    <xf numFmtId="0" fontId="16" fillId="7" borderId="4" xfId="0" applyFont="1" applyFill="1" applyBorder="1" applyAlignment="1">
      <alignment vertical="center" shrinkToFit="1"/>
    </xf>
    <xf numFmtId="0" fontId="16" fillId="7" borderId="11" xfId="0" applyFont="1" applyFill="1" applyBorder="1" applyAlignment="1"/>
    <xf numFmtId="0" fontId="16" fillId="7" borderId="12" xfId="0" applyFont="1" applyFill="1" applyBorder="1" applyAlignment="1"/>
    <xf numFmtId="0" fontId="16" fillId="7" borderId="13" xfId="0" applyFont="1" applyFill="1" applyBorder="1" applyAlignment="1"/>
    <xf numFmtId="0" fontId="18" fillId="7" borderId="11" xfId="0" applyFont="1" applyFill="1" applyBorder="1" applyAlignment="1">
      <alignment shrinkToFit="1"/>
    </xf>
    <xf numFmtId="0" fontId="18" fillId="7" borderId="13" xfId="0" applyFont="1" applyFill="1" applyBorder="1" applyAlignment="1">
      <alignment shrinkToFit="1"/>
    </xf>
    <xf numFmtId="0" fontId="18" fillId="7" borderId="12" xfId="0" applyFont="1" applyFill="1" applyBorder="1" applyAlignment="1">
      <alignment shrinkToFit="1"/>
    </xf>
    <xf numFmtId="0" fontId="18" fillId="7" borderId="11" xfId="0" applyFont="1" applyFill="1" applyBorder="1" applyAlignment="1">
      <alignment horizontal="center" shrinkToFit="1"/>
    </xf>
    <xf numFmtId="0" fontId="18" fillId="7" borderId="12" xfId="0" applyFont="1" applyFill="1" applyBorder="1" applyAlignment="1">
      <alignment horizontal="right" shrinkToFit="1"/>
    </xf>
    <xf numFmtId="0" fontId="22" fillId="7" borderId="12" xfId="0" applyFont="1" applyFill="1" applyBorder="1" applyAlignment="1">
      <alignment vertical="center" shrinkToFit="1"/>
    </xf>
    <xf numFmtId="0" fontId="22" fillId="7" borderId="13" xfId="0" applyFont="1" applyFill="1" applyBorder="1" applyAlignment="1">
      <alignment vertical="center" shrinkToFit="1"/>
    </xf>
    <xf numFmtId="0" fontId="25" fillId="7" borderId="12" xfId="0" applyFont="1" applyFill="1" applyBorder="1" applyAlignment="1">
      <alignment shrinkToFit="1"/>
    </xf>
    <xf numFmtId="0" fontId="25" fillId="7" borderId="13" xfId="0" applyFont="1" applyFill="1" applyBorder="1" applyAlignment="1">
      <alignment shrinkToFit="1"/>
    </xf>
    <xf numFmtId="0" fontId="22" fillId="7" borderId="0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vertical="center" shrinkToFit="1"/>
    </xf>
    <xf numFmtId="0" fontId="13" fillId="7" borderId="3" xfId="0" applyFont="1" applyFill="1" applyBorder="1" applyAlignment="1">
      <alignment vertical="center" shrinkToFit="1"/>
    </xf>
    <xf numFmtId="0" fontId="13" fillId="7" borderId="4" xfId="0" applyFont="1" applyFill="1" applyBorder="1" applyAlignment="1">
      <alignment vertical="center" shrinkToFit="1"/>
    </xf>
    <xf numFmtId="0" fontId="15" fillId="7" borderId="12" xfId="0" applyFont="1" applyFill="1" applyBorder="1" applyAlignment="1">
      <alignment horizontal="center" vertical="center" shrinkToFit="1" readingOrder="1"/>
    </xf>
    <xf numFmtId="0" fontId="13" fillId="7" borderId="0" xfId="0" applyFont="1" applyFill="1" applyBorder="1" applyAlignment="1">
      <alignment horizontal="center" vertical="center" shrinkToFit="1"/>
    </xf>
    <xf numFmtId="0" fontId="13" fillId="7" borderId="1" xfId="0" applyFont="1" applyFill="1" applyBorder="1" applyAlignment="1">
      <alignment horizontal="center" vertical="center" shrinkToFit="1"/>
    </xf>
    <xf numFmtId="0" fontId="13" fillId="7" borderId="1" xfId="0" applyFont="1" applyFill="1" applyBorder="1" applyAlignment="1">
      <alignment horizontal="center" vertical="center" textRotation="90" shrinkToFit="1"/>
    </xf>
    <xf numFmtId="0" fontId="13" fillId="7" borderId="1" xfId="0" applyFont="1" applyFill="1" applyBorder="1" applyAlignment="1">
      <alignment horizontal="center" vertical="center" textRotation="90" wrapText="1" shrinkToFit="1"/>
    </xf>
    <xf numFmtId="0" fontId="14" fillId="7" borderId="1" xfId="0" applyFont="1" applyFill="1" applyBorder="1" applyAlignment="1">
      <alignment horizontal="center" vertical="center" shrinkToFit="1"/>
    </xf>
    <xf numFmtId="0" fontId="13" fillId="7" borderId="1" xfId="0" applyFont="1" applyFill="1" applyBorder="1" applyAlignment="1">
      <alignment horizontal="center" vertical="center" wrapText="1" shrinkToFit="1"/>
    </xf>
    <xf numFmtId="0" fontId="15" fillId="7" borderId="1" xfId="0" applyFont="1" applyFill="1" applyBorder="1" applyAlignment="1">
      <alignment horizontal="center" vertical="center" shrinkToFit="1"/>
    </xf>
    <xf numFmtId="0" fontId="15" fillId="7" borderId="1" xfId="0" applyFont="1" applyFill="1" applyBorder="1" applyAlignment="1">
      <alignment horizontal="center" vertical="center" wrapText="1" shrinkToFit="1"/>
    </xf>
    <xf numFmtId="0" fontId="15" fillId="7" borderId="1" xfId="0" applyFont="1" applyFill="1" applyBorder="1" applyAlignment="1">
      <alignment horizontal="center" vertical="center" textRotation="90" shrinkToFit="1"/>
    </xf>
    <xf numFmtId="0" fontId="6" fillId="7" borderId="1" xfId="0" applyFont="1" applyFill="1" applyBorder="1" applyAlignment="1">
      <alignment horizontal="center" vertical="center" shrinkToFit="1"/>
    </xf>
    <xf numFmtId="0" fontId="6" fillId="7" borderId="3" xfId="0" applyFont="1" applyFill="1" applyBorder="1" applyAlignment="1">
      <alignment horizontal="center" vertical="center" shrinkToFit="1"/>
    </xf>
    <xf numFmtId="0" fontId="28" fillId="8" borderId="1" xfId="0" applyFont="1" applyFill="1" applyBorder="1" applyAlignment="1">
      <alignment horizontal="center" vertical="center" shrinkToFit="1"/>
    </xf>
    <xf numFmtId="0" fontId="28" fillId="8" borderId="3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2" borderId="10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 shrinkToFit="1"/>
    </xf>
    <xf numFmtId="0" fontId="31" fillId="2" borderId="10" xfId="0" applyFont="1" applyFill="1" applyBorder="1" applyAlignment="1">
      <alignment horizontal="center" vertical="center" shrinkToFit="1"/>
    </xf>
    <xf numFmtId="0" fontId="31" fillId="2" borderId="0" xfId="0" applyFont="1" applyFill="1" applyBorder="1" applyAlignment="1">
      <alignment horizontal="center" vertical="center" shrinkToFit="1"/>
    </xf>
    <xf numFmtId="0" fontId="13" fillId="7" borderId="11" xfId="0" applyFont="1" applyFill="1" applyBorder="1" applyAlignment="1">
      <alignment horizontal="center" vertical="center" shrinkToFit="1"/>
    </xf>
    <xf numFmtId="0" fontId="13" fillId="7" borderId="13" xfId="0" applyFont="1" applyFill="1" applyBorder="1" applyAlignment="1">
      <alignment horizontal="center" vertical="center" shrinkToFit="1"/>
    </xf>
    <xf numFmtId="0" fontId="16" fillId="7" borderId="1" xfId="0" applyFont="1" applyFill="1" applyBorder="1" applyAlignment="1">
      <alignment horizontal="center" vertical="center" shrinkToFit="1"/>
    </xf>
    <xf numFmtId="0" fontId="13" fillId="7" borderId="1" xfId="0" applyFont="1" applyFill="1" applyBorder="1" applyAlignment="1">
      <alignment horizontal="center" vertical="center" shrinkToFit="1"/>
    </xf>
    <xf numFmtId="0" fontId="15" fillId="7" borderId="11" xfId="0" applyFont="1" applyFill="1" applyBorder="1" applyAlignment="1">
      <alignment horizontal="center" vertical="center" shrinkToFit="1" readingOrder="1"/>
    </xf>
    <xf numFmtId="0" fontId="15" fillId="7" borderId="13" xfId="0" applyFont="1" applyFill="1" applyBorder="1" applyAlignment="1">
      <alignment horizontal="center" vertical="center" shrinkToFit="1" readingOrder="1"/>
    </xf>
    <xf numFmtId="0" fontId="15" fillId="7" borderId="12" xfId="0" applyFont="1" applyFill="1" applyBorder="1" applyAlignment="1">
      <alignment horizontal="center" vertical="center" shrinkToFit="1" readingOrder="1"/>
    </xf>
    <xf numFmtId="0" fontId="20" fillId="7" borderId="7" xfId="0" applyFont="1" applyFill="1" applyBorder="1" applyAlignment="1">
      <alignment horizontal="center" vertical="center" wrapText="1" shrinkToFit="1"/>
    </xf>
    <xf numFmtId="0" fontId="20" fillId="7" borderId="9" xfId="0" applyFont="1" applyFill="1" applyBorder="1" applyAlignment="1">
      <alignment horizontal="center" vertical="center" wrapText="1" shrinkToFit="1"/>
    </xf>
    <xf numFmtId="0" fontId="20" fillId="7" borderId="2" xfId="0" applyFont="1" applyFill="1" applyBorder="1" applyAlignment="1">
      <alignment horizontal="center" vertical="center" wrapText="1" shrinkToFit="1"/>
    </xf>
    <xf numFmtId="0" fontId="20" fillId="7" borderId="4" xfId="0" applyFont="1" applyFill="1" applyBorder="1" applyAlignment="1">
      <alignment horizontal="center" vertical="center" wrapText="1" shrinkToFit="1"/>
    </xf>
    <xf numFmtId="0" fontId="13" fillId="7" borderId="11" xfId="0" applyFont="1" applyFill="1" applyBorder="1" applyAlignment="1">
      <alignment horizontal="center" vertical="center" shrinkToFit="1" readingOrder="2"/>
    </xf>
    <xf numFmtId="0" fontId="13" fillId="7" borderId="13" xfId="0" applyFont="1" applyFill="1" applyBorder="1" applyAlignment="1">
      <alignment horizontal="center" vertical="center" shrinkToFit="1" readingOrder="2"/>
    </xf>
    <xf numFmtId="0" fontId="22" fillId="7" borderId="7" xfId="0" applyFont="1" applyFill="1" applyBorder="1" applyAlignment="1">
      <alignment horizontal="center" vertical="center" shrinkToFit="1"/>
    </xf>
    <xf numFmtId="0" fontId="22" fillId="7" borderId="8" xfId="0" applyFont="1" applyFill="1" applyBorder="1" applyAlignment="1">
      <alignment horizontal="center" vertical="center" shrinkToFit="1"/>
    </xf>
    <xf numFmtId="0" fontId="22" fillId="7" borderId="9" xfId="0" applyFont="1" applyFill="1" applyBorder="1" applyAlignment="1">
      <alignment horizontal="center" vertical="center" shrinkToFit="1"/>
    </xf>
    <xf numFmtId="0" fontId="20" fillId="7" borderId="8" xfId="0" applyFont="1" applyFill="1" applyBorder="1" applyAlignment="1">
      <alignment horizontal="center" vertical="center" wrapText="1" shrinkToFit="1"/>
    </xf>
    <xf numFmtId="0" fontId="20" fillId="7" borderId="3" xfId="0" applyFont="1" applyFill="1" applyBorder="1" applyAlignment="1">
      <alignment horizontal="center" vertical="center" wrapText="1" shrinkToFit="1"/>
    </xf>
    <xf numFmtId="0" fontId="25" fillId="7" borderId="11" xfId="0" applyFont="1" applyFill="1" applyBorder="1" applyAlignment="1">
      <alignment horizontal="center" shrinkToFit="1"/>
    </xf>
    <xf numFmtId="0" fontId="25" fillId="7" borderId="12" xfId="0" applyFont="1" applyFill="1" applyBorder="1" applyAlignment="1">
      <alignment horizontal="center" shrinkToFit="1"/>
    </xf>
    <xf numFmtId="0" fontId="16" fillId="7" borderId="7" xfId="0" applyFont="1" applyFill="1" applyBorder="1" applyAlignment="1">
      <alignment horizontal="center" vertical="center" shrinkToFit="1"/>
    </xf>
    <xf numFmtId="0" fontId="16" fillId="7" borderId="8" xfId="0" applyFont="1" applyFill="1" applyBorder="1" applyAlignment="1">
      <alignment horizontal="center" vertical="center" shrinkToFit="1"/>
    </xf>
    <xf numFmtId="0" fontId="16" fillId="7" borderId="9" xfId="0" applyFont="1" applyFill="1" applyBorder="1" applyAlignment="1">
      <alignment horizontal="center" vertical="center" shrinkToFit="1"/>
    </xf>
    <xf numFmtId="0" fontId="16" fillId="7" borderId="2" xfId="0" applyFont="1" applyFill="1" applyBorder="1" applyAlignment="1">
      <alignment horizontal="center" vertical="center" shrinkToFit="1"/>
    </xf>
    <xf numFmtId="0" fontId="16" fillId="7" borderId="3" xfId="0" applyFont="1" applyFill="1" applyBorder="1" applyAlignment="1">
      <alignment horizontal="center" vertical="center" shrinkToFit="1"/>
    </xf>
    <xf numFmtId="0" fontId="16" fillId="7" borderId="4" xfId="0" applyFont="1" applyFill="1" applyBorder="1" applyAlignment="1">
      <alignment horizontal="center" vertical="center" shrinkToFit="1"/>
    </xf>
    <xf numFmtId="0" fontId="19" fillId="7" borderId="7" xfId="0" applyFont="1" applyFill="1" applyBorder="1" applyAlignment="1">
      <alignment horizontal="center" vertical="center" shrinkToFit="1"/>
    </xf>
    <xf numFmtId="0" fontId="19" fillId="7" borderId="9" xfId="0" applyFont="1" applyFill="1" applyBorder="1" applyAlignment="1">
      <alignment horizontal="center" vertical="center" shrinkToFit="1"/>
    </xf>
    <xf numFmtId="0" fontId="19" fillId="7" borderId="2" xfId="0" applyFont="1" applyFill="1" applyBorder="1" applyAlignment="1">
      <alignment horizontal="center" vertical="center" shrinkToFit="1"/>
    </xf>
    <xf numFmtId="0" fontId="19" fillId="7" borderId="4" xfId="0" applyFont="1" applyFill="1" applyBorder="1" applyAlignment="1">
      <alignment horizontal="center" vertical="center" shrinkToFit="1"/>
    </xf>
    <xf numFmtId="0" fontId="22" fillId="7" borderId="11" xfId="0" applyFont="1" applyFill="1" applyBorder="1" applyAlignment="1">
      <alignment horizontal="center" vertical="center" shrinkToFit="1"/>
    </xf>
    <xf numFmtId="0" fontId="22" fillId="7" borderId="12" xfId="0" applyFont="1" applyFill="1" applyBorder="1" applyAlignment="1">
      <alignment horizontal="center" vertical="center" shrinkToFit="1"/>
    </xf>
    <xf numFmtId="0" fontId="13" fillId="7" borderId="12" xfId="0" applyFont="1" applyFill="1" applyBorder="1" applyAlignment="1">
      <alignment horizontal="center" vertical="center" shrinkToFit="1"/>
    </xf>
    <xf numFmtId="0" fontId="19" fillId="7" borderId="8" xfId="0" applyFont="1" applyFill="1" applyBorder="1" applyAlignment="1">
      <alignment horizontal="center" vertical="center" shrinkToFit="1"/>
    </xf>
    <xf numFmtId="0" fontId="19" fillId="7" borderId="3" xfId="0" applyFont="1" applyFill="1" applyBorder="1" applyAlignment="1">
      <alignment horizontal="center" vertical="center" shrinkToFit="1"/>
    </xf>
    <xf numFmtId="0" fontId="13" fillId="7" borderId="12" xfId="0" applyFont="1" applyFill="1" applyBorder="1" applyAlignment="1">
      <alignment horizontal="center" vertical="center" shrinkToFit="1" readingOrder="2"/>
    </xf>
    <xf numFmtId="0" fontId="16" fillId="7" borderId="5" xfId="0" applyFont="1" applyFill="1" applyBorder="1" applyAlignment="1">
      <alignment horizontal="center" vertical="center" shrinkToFit="1"/>
    </xf>
    <xf numFmtId="0" fontId="16" fillId="7" borderId="0" xfId="0" applyFont="1" applyFill="1" applyBorder="1" applyAlignment="1">
      <alignment horizontal="center" vertical="center" shrinkToFit="1"/>
    </xf>
    <xf numFmtId="0" fontId="16" fillId="7" borderId="6" xfId="0" applyFont="1" applyFill="1" applyBorder="1" applyAlignment="1">
      <alignment horizontal="center" vertical="center" shrinkToFit="1"/>
    </xf>
    <xf numFmtId="0" fontId="20" fillId="7" borderId="7" xfId="0" applyFont="1" applyFill="1" applyBorder="1" applyAlignment="1">
      <alignment horizontal="center" vertical="center" shrinkToFit="1"/>
    </xf>
    <xf numFmtId="0" fontId="20" fillId="7" borderId="8" xfId="0" applyFont="1" applyFill="1" applyBorder="1" applyAlignment="1">
      <alignment horizontal="center" vertical="center" shrinkToFit="1"/>
    </xf>
    <xf numFmtId="0" fontId="20" fillId="7" borderId="9" xfId="0" applyFont="1" applyFill="1" applyBorder="1" applyAlignment="1">
      <alignment horizontal="center" vertical="center" shrinkToFit="1"/>
    </xf>
    <xf numFmtId="0" fontId="20" fillId="7" borderId="2" xfId="0" applyFont="1" applyFill="1" applyBorder="1" applyAlignment="1">
      <alignment horizontal="center" vertical="center" shrinkToFit="1"/>
    </xf>
    <xf numFmtId="0" fontId="20" fillId="7" borderId="3" xfId="0" applyFont="1" applyFill="1" applyBorder="1" applyAlignment="1">
      <alignment horizontal="center" vertical="center" shrinkToFit="1"/>
    </xf>
    <xf numFmtId="0" fontId="20" fillId="7" borderId="4" xfId="0" applyFont="1" applyFill="1" applyBorder="1" applyAlignment="1">
      <alignment horizontal="center" vertical="center" shrinkToFit="1"/>
    </xf>
    <xf numFmtId="0" fontId="16" fillId="7" borderId="7" xfId="0" applyFont="1" applyFill="1" applyBorder="1" applyAlignment="1">
      <alignment horizontal="right" vertical="center" shrinkToFit="1"/>
    </xf>
    <xf numFmtId="0" fontId="16" fillId="7" borderId="8" xfId="0" applyFont="1" applyFill="1" applyBorder="1" applyAlignment="1">
      <alignment horizontal="right" vertical="center" shrinkToFit="1"/>
    </xf>
    <xf numFmtId="0" fontId="16" fillId="7" borderId="9" xfId="0" applyFont="1" applyFill="1" applyBorder="1" applyAlignment="1">
      <alignment horizontal="right" vertical="center" shrinkToFit="1"/>
    </xf>
    <xf numFmtId="0" fontId="16" fillId="7" borderId="5" xfId="0" applyFont="1" applyFill="1" applyBorder="1" applyAlignment="1">
      <alignment horizontal="right" vertical="center" shrinkToFit="1"/>
    </xf>
    <xf numFmtId="0" fontId="16" fillId="7" borderId="0" xfId="0" applyFont="1" applyFill="1" applyBorder="1" applyAlignment="1">
      <alignment horizontal="right" vertical="center" shrinkToFit="1"/>
    </xf>
    <xf numFmtId="0" fontId="16" fillId="7" borderId="6" xfId="0" applyFont="1" applyFill="1" applyBorder="1" applyAlignment="1">
      <alignment horizontal="right" vertical="center" shrinkToFit="1"/>
    </xf>
    <xf numFmtId="0" fontId="16" fillId="7" borderId="2" xfId="0" applyFont="1" applyFill="1" applyBorder="1" applyAlignment="1">
      <alignment horizontal="right" vertical="center" shrinkToFit="1"/>
    </xf>
    <xf numFmtId="0" fontId="16" fillId="7" borderId="3" xfId="0" applyFont="1" applyFill="1" applyBorder="1" applyAlignment="1">
      <alignment horizontal="right" vertical="center" shrinkToFit="1"/>
    </xf>
    <xf numFmtId="0" fontId="16" fillId="7" borderId="4" xfId="0" applyFont="1" applyFill="1" applyBorder="1" applyAlignment="1">
      <alignment horizontal="right" vertical="center" shrinkToFit="1"/>
    </xf>
    <xf numFmtId="0" fontId="20" fillId="7" borderId="1" xfId="0" applyFont="1" applyFill="1" applyBorder="1" applyAlignment="1">
      <alignment horizontal="center" vertical="center" shrinkToFit="1"/>
    </xf>
    <xf numFmtId="0" fontId="13" fillId="7" borderId="1" xfId="0" applyFont="1" applyFill="1" applyBorder="1" applyAlignment="1">
      <alignment horizontal="center" vertical="center" shrinkToFit="1" readingOrder="2"/>
    </xf>
    <xf numFmtId="0" fontId="28" fillId="4" borderId="11" xfId="0" applyFont="1" applyFill="1" applyBorder="1" applyAlignment="1">
      <alignment horizontal="center" vertical="center" shrinkToFit="1"/>
    </xf>
    <xf numFmtId="0" fontId="28" fillId="4" borderId="12" xfId="0" applyFont="1" applyFill="1" applyBorder="1" applyAlignment="1">
      <alignment horizontal="center" vertical="center" shrinkToFit="1"/>
    </xf>
    <xf numFmtId="0" fontId="28" fillId="4" borderId="13" xfId="0" applyFont="1" applyFill="1" applyBorder="1" applyAlignment="1">
      <alignment horizontal="center" vertical="center" shrinkToFit="1"/>
    </xf>
    <xf numFmtId="0" fontId="6" fillId="7" borderId="11" xfId="0" applyFont="1" applyFill="1" applyBorder="1" applyAlignment="1">
      <alignment horizontal="center" vertical="center" shrinkToFit="1"/>
    </xf>
    <xf numFmtId="0" fontId="6" fillId="7" borderId="12" xfId="0" applyFont="1" applyFill="1" applyBorder="1" applyAlignment="1">
      <alignment horizontal="center" vertical="center" shrinkToFit="1"/>
    </xf>
    <xf numFmtId="0" fontId="6" fillId="7" borderId="13" xfId="0" applyFont="1" applyFill="1" applyBorder="1" applyAlignment="1">
      <alignment horizontal="center" vertical="center" shrinkToFit="1"/>
    </xf>
    <xf numFmtId="0" fontId="1" fillId="4" borderId="11" xfId="0" applyFont="1" applyFill="1" applyBorder="1" applyAlignment="1">
      <alignment horizontal="center" vertical="center" shrinkToFit="1"/>
    </xf>
    <xf numFmtId="0" fontId="1" fillId="4" borderId="12" xfId="0" applyFont="1" applyFill="1" applyBorder="1" applyAlignment="1">
      <alignment horizontal="center" vertical="center" shrinkToFit="1"/>
    </xf>
    <xf numFmtId="0" fontId="1" fillId="4" borderId="13" xfId="0" applyFont="1" applyFill="1" applyBorder="1" applyAlignment="1">
      <alignment horizontal="center" vertical="center" shrinkToFit="1"/>
    </xf>
    <xf numFmtId="0" fontId="16" fillId="7" borderId="11" xfId="0" applyFont="1" applyFill="1" applyBorder="1" applyAlignment="1">
      <alignment horizontal="center" vertical="center" shrinkToFit="1"/>
    </xf>
    <xf numFmtId="0" fontId="16" fillId="7" borderId="12" xfId="0" applyFont="1" applyFill="1" applyBorder="1" applyAlignment="1">
      <alignment horizontal="center" vertical="center" shrinkToFit="1"/>
    </xf>
    <xf numFmtId="0" fontId="16" fillId="7" borderId="13" xfId="0" applyFont="1" applyFill="1" applyBorder="1" applyAlignment="1">
      <alignment horizontal="center" vertical="center" shrinkToFit="1"/>
    </xf>
    <xf numFmtId="0" fontId="22" fillId="7" borderId="5" xfId="0" applyFont="1" applyFill="1" applyBorder="1" applyAlignment="1">
      <alignment horizontal="center" vertical="center" shrinkToFit="1"/>
    </xf>
    <xf numFmtId="0" fontId="22" fillId="7" borderId="0" xfId="0" applyFont="1" applyFill="1" applyBorder="1" applyAlignment="1">
      <alignment horizontal="center" vertical="center" shrinkToFit="1"/>
    </xf>
    <xf numFmtId="0" fontId="22" fillId="7" borderId="6" xfId="0" applyFont="1" applyFill="1" applyBorder="1" applyAlignment="1">
      <alignment horizontal="center" vertical="center" shrinkToFit="1"/>
    </xf>
    <xf numFmtId="0" fontId="16" fillId="7" borderId="7" xfId="0" applyFont="1" applyFill="1" applyBorder="1" applyAlignment="1">
      <alignment horizontal="center" vertical="center" wrapText="1" shrinkToFit="1"/>
    </xf>
    <xf numFmtId="0" fontId="16" fillId="7" borderId="8" xfId="0" applyFont="1" applyFill="1" applyBorder="1" applyAlignment="1">
      <alignment horizontal="center" vertical="center" wrapText="1" shrinkToFit="1"/>
    </xf>
    <xf numFmtId="0" fontId="16" fillId="7" borderId="9" xfId="0" applyFont="1" applyFill="1" applyBorder="1" applyAlignment="1">
      <alignment horizontal="center" vertical="center" wrapText="1" shrinkToFit="1"/>
    </xf>
    <xf numFmtId="0" fontId="16" fillId="7" borderId="5" xfId="0" applyFont="1" applyFill="1" applyBorder="1" applyAlignment="1">
      <alignment horizontal="center" vertical="center" wrapText="1" shrinkToFit="1"/>
    </xf>
    <xf numFmtId="0" fontId="16" fillId="7" borderId="0" xfId="0" applyFont="1" applyFill="1" applyBorder="1" applyAlignment="1">
      <alignment horizontal="center" vertical="center" wrapText="1" shrinkToFit="1"/>
    </xf>
    <xf numFmtId="0" fontId="16" fillId="7" borderId="6" xfId="0" applyFont="1" applyFill="1" applyBorder="1" applyAlignment="1">
      <alignment horizontal="center" vertical="center" wrapText="1" shrinkToFit="1"/>
    </xf>
    <xf numFmtId="0" fontId="16" fillId="7" borderId="2" xfId="0" applyFont="1" applyFill="1" applyBorder="1" applyAlignment="1">
      <alignment horizontal="center" vertical="center" wrapText="1" shrinkToFit="1"/>
    </xf>
    <xf numFmtId="0" fontId="16" fillId="7" borderId="3" xfId="0" applyFont="1" applyFill="1" applyBorder="1" applyAlignment="1">
      <alignment horizontal="center" vertical="center" wrapText="1" shrinkToFit="1"/>
    </xf>
    <xf numFmtId="0" fontId="16" fillId="7" borderId="4" xfId="0" applyFont="1" applyFill="1" applyBorder="1" applyAlignment="1">
      <alignment horizontal="center" vertical="center" wrapText="1" shrinkToFit="1"/>
    </xf>
    <xf numFmtId="49" fontId="13" fillId="7" borderId="11" xfId="0" applyNumberFormat="1" applyFont="1" applyFill="1" applyBorder="1" applyAlignment="1">
      <alignment horizontal="center" vertical="center" shrinkToFit="1"/>
    </xf>
    <xf numFmtId="49" fontId="13" fillId="7" borderId="13" xfId="0" applyNumberFormat="1" applyFont="1" applyFill="1" applyBorder="1" applyAlignment="1">
      <alignment horizontal="center" vertical="center" shrinkToFit="1"/>
    </xf>
    <xf numFmtId="0" fontId="20" fillId="7" borderId="1" xfId="0" applyFont="1" applyFill="1" applyBorder="1" applyAlignment="1">
      <alignment horizontal="center" vertical="center" wrapText="1" shrinkToFit="1"/>
    </xf>
    <xf numFmtId="0" fontId="14" fillId="7" borderId="7" xfId="0" applyFont="1" applyFill="1" applyBorder="1" applyAlignment="1">
      <alignment horizontal="center" vertical="center" shrinkToFit="1"/>
    </xf>
    <xf numFmtId="0" fontId="14" fillId="7" borderId="8" xfId="0" applyFont="1" applyFill="1" applyBorder="1" applyAlignment="1">
      <alignment horizontal="center" vertical="center" shrinkToFit="1"/>
    </xf>
    <xf numFmtId="0" fontId="14" fillId="7" borderId="9" xfId="0" applyFont="1" applyFill="1" applyBorder="1" applyAlignment="1">
      <alignment horizontal="center" vertical="center" shrinkToFit="1"/>
    </xf>
    <xf numFmtId="0" fontId="14" fillId="7" borderId="5" xfId="0" applyFont="1" applyFill="1" applyBorder="1" applyAlignment="1">
      <alignment horizontal="center" vertical="center" shrinkToFit="1"/>
    </xf>
    <xf numFmtId="0" fontId="14" fillId="7" borderId="0" xfId="0" applyFont="1" applyFill="1" applyBorder="1" applyAlignment="1">
      <alignment horizontal="center" vertical="center" shrinkToFit="1"/>
    </xf>
    <xf numFmtId="0" fontId="14" fillId="7" borderId="6" xfId="0" applyFont="1" applyFill="1" applyBorder="1" applyAlignment="1">
      <alignment horizontal="center" vertical="center" shrinkToFit="1"/>
    </xf>
    <xf numFmtId="0" fontId="14" fillId="7" borderId="2" xfId="0" applyFont="1" applyFill="1" applyBorder="1" applyAlignment="1">
      <alignment horizontal="center" vertical="center" shrinkToFit="1"/>
    </xf>
    <xf numFmtId="0" fontId="14" fillId="7" borderId="3" xfId="0" applyFont="1" applyFill="1" applyBorder="1" applyAlignment="1">
      <alignment horizontal="center" vertical="center" shrinkToFit="1"/>
    </xf>
    <xf numFmtId="0" fontId="14" fillId="7" borderId="4" xfId="0" applyFont="1" applyFill="1" applyBorder="1" applyAlignment="1">
      <alignment horizontal="center" vertical="center" shrinkToFit="1"/>
    </xf>
    <xf numFmtId="0" fontId="15" fillId="7" borderId="11" xfId="0" applyFont="1" applyFill="1" applyBorder="1" applyAlignment="1">
      <alignment horizontal="center" vertical="center" shrinkToFit="1"/>
    </xf>
    <xf numFmtId="0" fontId="15" fillId="7" borderId="13" xfId="0" applyFont="1" applyFill="1" applyBorder="1" applyAlignment="1">
      <alignment horizontal="center" vertical="center" shrinkToFit="1"/>
    </xf>
    <xf numFmtId="0" fontId="15" fillId="7" borderId="1" xfId="0" applyFont="1" applyFill="1" applyBorder="1" applyAlignment="1">
      <alignment horizontal="center" vertical="center" shrinkToFit="1"/>
    </xf>
    <xf numFmtId="0" fontId="15" fillId="7" borderId="1" xfId="0" applyFont="1" applyFill="1" applyBorder="1" applyAlignment="1">
      <alignment horizontal="center" shrinkToFit="1"/>
    </xf>
    <xf numFmtId="0" fontId="15" fillId="7" borderId="12" xfId="0" applyFont="1" applyFill="1" applyBorder="1" applyAlignment="1">
      <alignment horizontal="center" vertical="center" shrinkToFit="1"/>
    </xf>
    <xf numFmtId="0" fontId="15" fillId="7" borderId="7" xfId="0" applyFont="1" applyFill="1" applyBorder="1" applyAlignment="1">
      <alignment horizontal="center" vertical="center" wrapText="1" shrinkToFit="1"/>
    </xf>
    <xf numFmtId="0" fontId="15" fillId="7" borderId="9" xfId="0" applyFont="1" applyFill="1" applyBorder="1" applyAlignment="1">
      <alignment horizontal="center" vertical="center" wrapText="1" shrinkToFit="1"/>
    </xf>
    <xf numFmtId="0" fontId="15" fillId="7" borderId="2" xfId="0" applyFont="1" applyFill="1" applyBorder="1" applyAlignment="1">
      <alignment horizontal="center" vertical="center" wrapText="1" shrinkToFit="1"/>
    </xf>
    <xf numFmtId="0" fontId="15" fillId="7" borderId="4" xfId="0" applyFont="1" applyFill="1" applyBorder="1" applyAlignment="1">
      <alignment horizontal="center" vertical="center" wrapText="1" shrinkToFit="1"/>
    </xf>
    <xf numFmtId="0" fontId="1" fillId="3" borderId="7" xfId="0" applyFont="1" applyFill="1" applyBorder="1" applyAlignment="1">
      <alignment horizontal="center" vertical="center" shrinkToFit="1"/>
    </xf>
    <xf numFmtId="0" fontId="1" fillId="3" borderId="9" xfId="0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8" fillId="7" borderId="1" xfId="0" applyFont="1" applyFill="1" applyBorder="1" applyAlignment="1">
      <alignment horizontal="center" shrinkToFit="1"/>
    </xf>
    <xf numFmtId="0" fontId="18" fillId="7" borderId="11" xfId="0" applyFont="1" applyFill="1" applyBorder="1" applyAlignment="1">
      <alignment horizontal="right" shrinkToFit="1"/>
    </xf>
    <xf numFmtId="0" fontId="18" fillId="7" borderId="12" xfId="0" applyFont="1" applyFill="1" applyBorder="1" applyAlignment="1">
      <alignment horizontal="right" shrinkToFit="1"/>
    </xf>
    <xf numFmtId="0" fontId="18" fillId="7" borderId="13" xfId="0" applyFont="1" applyFill="1" applyBorder="1" applyAlignment="1">
      <alignment horizontal="right" shrinkToFit="1"/>
    </xf>
    <xf numFmtId="49" fontId="13" fillId="7" borderId="12" xfId="0" applyNumberFormat="1" applyFont="1" applyFill="1" applyBorder="1" applyAlignment="1">
      <alignment horizontal="center" vertical="center" shrinkToFit="1"/>
    </xf>
    <xf numFmtId="49" fontId="16" fillId="7" borderId="7" xfId="0" applyNumberFormat="1" applyFont="1" applyFill="1" applyBorder="1" applyAlignment="1">
      <alignment horizontal="center" vertical="center" wrapText="1" shrinkToFit="1"/>
    </xf>
    <xf numFmtId="49" fontId="16" fillId="7" borderId="9" xfId="0" applyNumberFormat="1" applyFont="1" applyFill="1" applyBorder="1" applyAlignment="1">
      <alignment horizontal="center" vertical="center" wrapText="1" shrinkToFit="1"/>
    </xf>
    <xf numFmtId="49" fontId="16" fillId="7" borderId="5" xfId="0" applyNumberFormat="1" applyFont="1" applyFill="1" applyBorder="1" applyAlignment="1">
      <alignment horizontal="center" vertical="center" wrapText="1" shrinkToFit="1"/>
    </xf>
    <xf numFmtId="49" fontId="16" fillId="7" borderId="6" xfId="0" applyNumberFormat="1" applyFont="1" applyFill="1" applyBorder="1" applyAlignment="1">
      <alignment horizontal="center" vertical="center" wrapText="1" shrinkToFit="1"/>
    </xf>
    <xf numFmtId="49" fontId="16" fillId="7" borderId="2" xfId="0" applyNumberFormat="1" applyFont="1" applyFill="1" applyBorder="1" applyAlignment="1">
      <alignment horizontal="center" vertical="center" wrapText="1" shrinkToFit="1"/>
    </xf>
    <xf numFmtId="49" fontId="16" fillId="7" borderId="4" xfId="0" applyNumberFormat="1" applyFont="1" applyFill="1" applyBorder="1" applyAlignment="1">
      <alignment horizontal="center" vertical="center" wrapText="1" shrinkToFit="1"/>
    </xf>
    <xf numFmtId="0" fontId="18" fillId="7" borderId="1" xfId="0" applyFont="1" applyFill="1" applyBorder="1" applyAlignment="1">
      <alignment horizontal="center" vertical="center" shrinkToFit="1"/>
    </xf>
    <xf numFmtId="0" fontId="25" fillId="7" borderId="11" xfId="0" applyFont="1" applyFill="1" applyBorder="1" applyAlignment="1">
      <alignment horizontal="right" shrinkToFit="1"/>
    </xf>
    <xf numFmtId="0" fontId="25" fillId="7" borderId="12" xfId="0" applyFont="1" applyFill="1" applyBorder="1" applyAlignment="1">
      <alignment horizontal="right" shrinkToFit="1"/>
    </xf>
    <xf numFmtId="0" fontId="25" fillId="7" borderId="13" xfId="0" applyFont="1" applyFill="1" applyBorder="1" applyAlignment="1">
      <alignment horizontal="right" shrinkToFit="1"/>
    </xf>
    <xf numFmtId="0" fontId="28" fillId="8" borderId="11" xfId="0" applyFont="1" applyFill="1" applyBorder="1" applyAlignment="1">
      <alignment horizontal="center" vertical="center" shrinkToFit="1"/>
    </xf>
    <xf numFmtId="0" fontId="28" fillId="8" borderId="12" xfId="0" applyFont="1" applyFill="1" applyBorder="1" applyAlignment="1">
      <alignment horizontal="center" vertical="center" shrinkToFit="1"/>
    </xf>
    <xf numFmtId="0" fontId="28" fillId="8" borderId="13" xfId="0" applyFont="1" applyFill="1" applyBorder="1" applyAlignment="1">
      <alignment horizontal="center" vertical="center" shrinkToFit="1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readingOrder="2"/>
    </xf>
    <xf numFmtId="0" fontId="17" fillId="0" borderId="17" xfId="0" applyFont="1" applyBorder="1" applyAlignment="1">
      <alignment horizontal="center" vertical="center" readingOrder="2"/>
    </xf>
    <xf numFmtId="0" fontId="17" fillId="0" borderId="16" xfId="0" applyFont="1" applyBorder="1" applyAlignment="1">
      <alignment horizontal="center" vertical="center" readingOrder="2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readingOrder="2"/>
    </xf>
    <xf numFmtId="0" fontId="17" fillId="0" borderId="20" xfId="0" applyFont="1" applyBorder="1" applyAlignment="1">
      <alignment horizontal="center" vertical="center" readingOrder="2"/>
    </xf>
    <xf numFmtId="0" fontId="17" fillId="0" borderId="21" xfId="0" applyFont="1" applyBorder="1" applyAlignment="1">
      <alignment horizontal="center" vertical="center" readingOrder="2"/>
    </xf>
    <xf numFmtId="0" fontId="17" fillId="0" borderId="22" xfId="0" applyFont="1" applyBorder="1" applyAlignment="1">
      <alignment horizontal="center" vertical="center" readingOrder="2"/>
    </xf>
    <xf numFmtId="0" fontId="17" fillId="0" borderId="24" xfId="0" applyFont="1" applyBorder="1" applyAlignment="1">
      <alignment horizontal="center" vertical="center" readingOrder="2"/>
    </xf>
    <xf numFmtId="0" fontId="17" fillId="0" borderId="25" xfId="0" applyFont="1" applyBorder="1" applyAlignment="1">
      <alignment horizontal="center" vertical="center" readingOrder="2"/>
    </xf>
    <xf numFmtId="0" fontId="17" fillId="0" borderId="26" xfId="0" applyFont="1" applyBorder="1" applyAlignment="1">
      <alignment horizontal="center" vertical="center" readingOrder="2"/>
    </xf>
    <xf numFmtId="0" fontId="3" fillId="0" borderId="14" xfId="0" applyFont="1" applyFill="1" applyBorder="1" applyAlignment="1">
      <alignment horizontal="center" vertical="center" readingOrder="2"/>
    </xf>
    <xf numFmtId="0" fontId="3" fillId="0" borderId="23" xfId="0" applyFont="1" applyFill="1" applyBorder="1" applyAlignment="1">
      <alignment horizontal="center" vertical="center" readingOrder="2"/>
    </xf>
    <xf numFmtId="0" fontId="3" fillId="0" borderId="18" xfId="0" applyFont="1" applyFill="1" applyBorder="1" applyAlignment="1">
      <alignment horizontal="center" vertical="center" readingOrder="2"/>
    </xf>
    <xf numFmtId="0" fontId="3" fillId="0" borderId="20" xfId="0" applyFont="1" applyFill="1" applyBorder="1" applyAlignment="1">
      <alignment horizontal="center" vertical="center" readingOrder="2"/>
    </xf>
    <xf numFmtId="0" fontId="3" fillId="0" borderId="21" xfId="0" applyFont="1" applyFill="1" applyBorder="1" applyAlignment="1">
      <alignment horizontal="center" vertical="center" readingOrder="2"/>
    </xf>
    <xf numFmtId="0" fontId="3" fillId="0" borderId="22" xfId="0" applyFont="1" applyFill="1" applyBorder="1" applyAlignment="1">
      <alignment horizontal="center" vertical="center" readingOrder="2"/>
    </xf>
    <xf numFmtId="0" fontId="3" fillId="0" borderId="24" xfId="0" applyFont="1" applyFill="1" applyBorder="1" applyAlignment="1">
      <alignment horizontal="center" vertical="center" readingOrder="2"/>
    </xf>
    <xf numFmtId="0" fontId="3" fillId="0" borderId="25" xfId="0" applyFont="1" applyFill="1" applyBorder="1" applyAlignment="1">
      <alignment horizontal="center" vertical="center" readingOrder="2"/>
    </xf>
    <xf numFmtId="0" fontId="3" fillId="0" borderId="26" xfId="0" applyFont="1" applyFill="1" applyBorder="1" applyAlignment="1">
      <alignment horizontal="center" vertical="center" readingOrder="2"/>
    </xf>
    <xf numFmtId="0" fontId="17" fillId="0" borderId="20" xfId="0" applyFont="1" applyBorder="1" applyAlignment="1">
      <alignment horizontal="center" vertical="center" wrapText="1" readingOrder="2"/>
    </xf>
    <xf numFmtId="0" fontId="17" fillId="0" borderId="21" xfId="0" applyFont="1" applyBorder="1" applyAlignment="1">
      <alignment horizontal="center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7" fillId="0" borderId="24" xfId="0" applyFont="1" applyBorder="1" applyAlignment="1">
      <alignment horizontal="center" vertical="center" wrapText="1" readingOrder="2"/>
    </xf>
    <xf numFmtId="0" fontId="17" fillId="0" borderId="25" xfId="0" applyFont="1" applyBorder="1" applyAlignment="1">
      <alignment horizontal="center" vertical="center" wrapText="1" readingOrder="2"/>
    </xf>
    <xf numFmtId="0" fontId="17" fillId="0" borderId="26" xfId="0" applyFont="1" applyBorder="1" applyAlignment="1">
      <alignment horizontal="center" vertical="center" wrapText="1" readingOrder="2"/>
    </xf>
    <xf numFmtId="0" fontId="3" fillId="0" borderId="0" xfId="0" applyFont="1" applyFill="1" applyAlignment="1">
      <alignment horizontal="center" readingOrder="2"/>
    </xf>
    <xf numFmtId="0" fontId="3" fillId="0" borderId="0" xfId="0" applyFont="1" applyAlignment="1">
      <alignment horizontal="center" vertical="center" readingOrder="2"/>
    </xf>
    <xf numFmtId="0" fontId="1" fillId="0" borderId="15" xfId="0" applyFont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 vertical="center" wrapText="1" readingOrder="2"/>
    </xf>
    <xf numFmtId="0" fontId="1" fillId="0" borderId="17" xfId="0" applyFont="1" applyBorder="1" applyAlignment="1">
      <alignment horizontal="center" vertical="center" wrapText="1" readingOrder="2"/>
    </xf>
    <xf numFmtId="0" fontId="17" fillId="0" borderId="15" xfId="0" applyFont="1" applyBorder="1" applyAlignment="1">
      <alignment horizontal="center" vertical="center" wrapText="1" readingOrder="2"/>
    </xf>
    <xf numFmtId="0" fontId="17" fillId="0" borderId="16" xfId="0" applyFont="1" applyBorder="1" applyAlignment="1">
      <alignment horizontal="center" vertical="center" wrapText="1" readingOrder="2"/>
    </xf>
    <xf numFmtId="0" fontId="17" fillId="0" borderId="17" xfId="0" applyFont="1" applyBorder="1" applyAlignment="1">
      <alignment horizontal="center" vertical="center" wrapText="1" readingOrder="2"/>
    </xf>
    <xf numFmtId="0" fontId="3" fillId="0" borderId="15" xfId="0" applyFont="1" applyFill="1" applyBorder="1" applyAlignment="1">
      <alignment horizontal="center" vertical="center" readingOrder="2"/>
    </xf>
    <xf numFmtId="0" fontId="3" fillId="0" borderId="16" xfId="0" applyFont="1" applyFill="1" applyBorder="1" applyAlignment="1">
      <alignment horizontal="center" vertical="center" readingOrder="2"/>
    </xf>
    <xf numFmtId="0" fontId="3" fillId="0" borderId="17" xfId="0" applyFont="1" applyFill="1" applyBorder="1" applyAlignment="1">
      <alignment horizontal="center" vertical="center" readingOrder="2"/>
    </xf>
    <xf numFmtId="0" fontId="1" fillId="0" borderId="15" xfId="0" applyFont="1" applyBorder="1" applyAlignment="1">
      <alignment horizontal="center" vertical="center" readingOrder="2"/>
    </xf>
    <xf numFmtId="0" fontId="1" fillId="0" borderId="16" xfId="0" applyFont="1" applyBorder="1" applyAlignment="1">
      <alignment horizontal="center" vertical="center" readingOrder="2"/>
    </xf>
    <xf numFmtId="0" fontId="1" fillId="0" borderId="17" xfId="0" applyFont="1" applyBorder="1" applyAlignment="1">
      <alignment horizontal="center" vertical="center" readingOrder="2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4" fillId="0" borderId="14" xfId="0" applyFont="1" applyFill="1" applyBorder="1" applyAlignment="1">
      <alignment horizontal="center" vertical="center" textRotation="90"/>
    </xf>
    <xf numFmtId="0" fontId="4" fillId="0" borderId="23" xfId="0" applyFont="1" applyFill="1" applyBorder="1" applyAlignment="1">
      <alignment horizontal="center" vertical="center" textRotation="90"/>
    </xf>
    <xf numFmtId="0" fontId="4" fillId="0" borderId="18" xfId="0" applyFont="1" applyFill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9" fillId="0" borderId="21" xfId="0" applyFont="1" applyFill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textRotation="90"/>
    </xf>
    <xf numFmtId="0" fontId="9" fillId="0" borderId="23" xfId="0" applyFont="1" applyFill="1" applyBorder="1" applyAlignment="1">
      <alignment horizontal="center" vertical="center" textRotation="90"/>
    </xf>
    <xf numFmtId="0" fontId="9" fillId="0" borderId="18" xfId="0" applyFont="1" applyFill="1" applyBorder="1" applyAlignment="1">
      <alignment horizontal="center" vertical="center" textRotation="90"/>
    </xf>
    <xf numFmtId="0" fontId="10" fillId="0" borderId="1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textRotation="90"/>
    </xf>
    <xf numFmtId="0" fontId="6" fillId="0" borderId="23" xfId="0" applyFont="1" applyBorder="1" applyAlignment="1">
      <alignment horizontal="center" vertical="center" textRotation="90"/>
    </xf>
    <xf numFmtId="0" fontId="6" fillId="0" borderId="18" xfId="0" applyFont="1" applyBorder="1" applyAlignment="1">
      <alignment horizontal="center" vertical="center" textRotation="90"/>
    </xf>
    <xf numFmtId="0" fontId="6" fillId="0" borderId="2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1" fillId="0" borderId="15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7" fillId="0" borderId="2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7" fillId="0" borderId="14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6" fillId="0" borderId="14" xfId="0" applyFont="1" applyBorder="1" applyAlignment="1">
      <alignment horizontal="center" vertical="center" textRotation="90" wrapText="1"/>
    </xf>
    <xf numFmtId="0" fontId="16" fillId="0" borderId="18" xfId="0" applyFont="1" applyBorder="1" applyAlignment="1">
      <alignment horizontal="center" vertical="center" textRotation="90" wrapText="1"/>
    </xf>
    <xf numFmtId="0" fontId="4" fillId="0" borderId="1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readingOrder="2"/>
    </xf>
    <xf numFmtId="0" fontId="9" fillId="0" borderId="17" xfId="0" applyFont="1" applyBorder="1" applyAlignment="1">
      <alignment horizontal="center" vertical="center" readingOrder="2"/>
    </xf>
    <xf numFmtId="0" fontId="9" fillId="0" borderId="15" xfId="0" applyFont="1" applyBorder="1" applyAlignment="1">
      <alignment horizontal="center" vertical="center" readingOrder="2"/>
    </xf>
    <xf numFmtId="0" fontId="11" fillId="0" borderId="37" xfId="0" applyFont="1" applyBorder="1" applyAlignment="1">
      <alignment horizontal="center" vertical="center" readingOrder="2"/>
    </xf>
    <xf numFmtId="0" fontId="11" fillId="0" borderId="36" xfId="0" applyFont="1" applyBorder="1" applyAlignment="1">
      <alignment horizontal="center" vertical="center" readingOrder="2"/>
    </xf>
    <xf numFmtId="0" fontId="4" fillId="0" borderId="14" xfId="0" applyFont="1" applyFill="1" applyBorder="1" applyAlignment="1">
      <alignment horizontal="center" vertical="center" textRotation="90" wrapText="1"/>
    </xf>
    <xf numFmtId="0" fontId="4" fillId="0" borderId="18" xfId="0" applyFont="1" applyFill="1" applyBorder="1" applyAlignment="1">
      <alignment horizontal="center" vertical="center" textRotation="90" wrapText="1"/>
    </xf>
    <xf numFmtId="0" fontId="4" fillId="0" borderId="19" xfId="0" applyFont="1" applyFill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readingOrder="2"/>
    </xf>
    <xf numFmtId="0" fontId="9" fillId="0" borderId="28" xfId="0" applyFont="1" applyBorder="1" applyAlignment="1">
      <alignment horizontal="center" vertical="center" readingOrder="2"/>
    </xf>
    <xf numFmtId="0" fontId="9" fillId="0" borderId="29" xfId="0" applyFont="1" applyBorder="1" applyAlignment="1">
      <alignment horizontal="center" vertical="center" readingOrder="2"/>
    </xf>
    <xf numFmtId="0" fontId="9" fillId="0" borderId="30" xfId="0" applyFont="1" applyBorder="1" applyAlignment="1">
      <alignment horizontal="center" vertical="center" readingOrder="2"/>
    </xf>
    <xf numFmtId="0" fontId="9" fillId="0" borderId="31" xfId="0" applyFont="1" applyBorder="1" applyAlignment="1">
      <alignment horizontal="center" vertical="center" readingOrder="2"/>
    </xf>
    <xf numFmtId="0" fontId="9" fillId="0" borderId="32" xfId="0" applyFont="1" applyBorder="1" applyAlignment="1">
      <alignment horizontal="center" vertical="center" readingOrder="2"/>
    </xf>
    <xf numFmtId="0" fontId="9" fillId="0" borderId="35" xfId="0" applyFont="1" applyBorder="1" applyAlignment="1">
      <alignment horizontal="center" vertical="center" readingOrder="2"/>
    </xf>
    <xf numFmtId="0" fontId="9" fillId="0" borderId="36" xfId="0" applyFont="1" applyBorder="1" applyAlignment="1">
      <alignment horizontal="center" vertical="center" readingOrder="2"/>
    </xf>
    <xf numFmtId="0" fontId="10" fillId="0" borderId="39" xfId="0" applyFont="1" applyBorder="1" applyAlignment="1">
      <alignment horizontal="center" vertical="top"/>
    </xf>
    <xf numFmtId="0" fontId="11" fillId="0" borderId="38" xfId="0" applyFont="1" applyBorder="1" applyAlignment="1">
      <alignment horizontal="center" vertical="center" readingOrder="2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37" xfId="0" applyFont="1" applyBorder="1" applyAlignment="1">
      <alignment horizontal="center" vertical="center" readingOrder="2"/>
    </xf>
    <xf numFmtId="0" fontId="9" fillId="0" borderId="38" xfId="0" applyFont="1" applyBorder="1" applyAlignment="1">
      <alignment horizontal="center" vertical="center" readingOrder="2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27" fillId="0" borderId="15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49" fontId="27" fillId="0" borderId="15" xfId="0" applyNumberFormat="1" applyFont="1" applyFill="1" applyBorder="1" applyAlignment="1">
      <alignment horizontal="center" vertical="center" wrapText="1"/>
    </xf>
    <xf numFmtId="49" fontId="27" fillId="0" borderId="17" xfId="0" applyNumberFormat="1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PR19"/>
  <sheetViews>
    <sheetView rightToLeft="1" zoomScale="70" zoomScaleNormal="70" workbookViewId="0">
      <pane xSplit="5" ySplit="5" topLeftCell="KS9" activePane="bottomRight" state="frozen"/>
      <selection pane="topRight" activeCell="F1" sqref="F1"/>
      <selection pane="bottomLeft" activeCell="A6" sqref="A6"/>
      <selection pane="bottomRight" activeCell="LM17" sqref="LM17"/>
    </sheetView>
  </sheetViews>
  <sheetFormatPr defaultColWidth="9.109375" defaultRowHeight="15.6"/>
  <cols>
    <col min="1" max="1" width="5.21875" style="23" customWidth="1"/>
    <col min="2" max="2" width="5.109375" style="23" customWidth="1"/>
    <col min="3" max="3" width="3.109375" style="23" customWidth="1"/>
    <col min="4" max="4" width="9.21875" style="23" customWidth="1"/>
    <col min="5" max="5" width="22.33203125" style="23" bestFit="1" customWidth="1"/>
    <col min="6" max="12" width="4.88671875" style="23" customWidth="1"/>
    <col min="13" max="13" width="5.88671875" style="23" customWidth="1"/>
    <col min="14" max="14" width="4.88671875" style="23" customWidth="1"/>
    <col min="15" max="16" width="6.21875" style="23" customWidth="1"/>
    <col min="17" max="19" width="6.6640625" style="23" customWidth="1"/>
    <col min="20" max="20" width="6.33203125" style="23" customWidth="1"/>
    <col min="21" max="21" width="4.109375" style="23" bestFit="1" customWidth="1"/>
    <col min="22" max="22" width="3.88671875" style="23" bestFit="1" customWidth="1"/>
    <col min="23" max="23" width="5" style="23" bestFit="1" customWidth="1"/>
    <col min="24" max="41" width="6.109375" style="23" customWidth="1"/>
    <col min="42" max="44" width="6.33203125" style="23" customWidth="1"/>
    <col min="45" max="62" width="6.109375" style="23" customWidth="1"/>
    <col min="63" max="65" width="6.77734375" style="23" customWidth="1"/>
    <col min="66" max="81" width="7" style="23" customWidth="1"/>
    <col min="82" max="84" width="6.21875" style="23" customWidth="1"/>
    <col min="85" max="101" width="6.33203125" style="23" customWidth="1"/>
    <col min="102" max="116" width="7.109375" style="23" customWidth="1"/>
    <col min="117" max="165" width="8.6640625" style="23" customWidth="1"/>
    <col min="166" max="184" width="6.88671875" style="23" customWidth="1"/>
    <col min="185" max="197" width="8.109375" style="23" customWidth="1"/>
    <col min="198" max="210" width="6.88671875" style="23" hidden="1" customWidth="1"/>
    <col min="211" max="223" width="8" style="23" customWidth="1"/>
    <col min="224" max="236" width="7.33203125" style="23" customWidth="1"/>
    <col min="237" max="249" width="7.88671875" style="23" customWidth="1"/>
    <col min="250" max="262" width="8.109375" style="23" customWidth="1"/>
    <col min="263" max="339" width="7.33203125" style="23" customWidth="1"/>
    <col min="340" max="347" width="6.21875" style="23" customWidth="1"/>
    <col min="348" max="358" width="7.33203125" style="23" customWidth="1"/>
    <col min="359" max="366" width="6.21875" style="23" customWidth="1"/>
    <col min="367" max="377" width="7.33203125" style="23" customWidth="1"/>
    <col min="378" max="385" width="6.21875" style="23" customWidth="1"/>
    <col min="386" max="396" width="7.33203125" style="23" customWidth="1"/>
    <col min="397" max="404" width="6.21875" style="23" customWidth="1"/>
    <col min="405" max="415" width="7.33203125" style="23" customWidth="1"/>
    <col min="416" max="423" width="6.21875" style="23" customWidth="1"/>
    <col min="424" max="434" width="7.33203125" style="23" customWidth="1"/>
    <col min="435" max="442" width="6.21875" style="23" customWidth="1"/>
    <col min="443" max="453" width="7.33203125" style="23" customWidth="1"/>
    <col min="454" max="461" width="6.21875" style="23" customWidth="1"/>
    <col min="462" max="472" width="7.33203125" style="23" customWidth="1"/>
    <col min="473" max="480" width="6.21875" style="23" customWidth="1"/>
    <col min="481" max="491" width="7.33203125" style="23" customWidth="1"/>
    <col min="492" max="499" width="6.21875" style="23" customWidth="1"/>
    <col min="500" max="510" width="7.33203125" style="23" customWidth="1"/>
    <col min="511" max="518" width="6.21875" style="23" customWidth="1"/>
    <col min="519" max="529" width="7.33203125" style="23" customWidth="1"/>
    <col min="530" max="537" width="6.21875" style="23" customWidth="1"/>
    <col min="538" max="548" width="7.33203125" style="23" customWidth="1"/>
    <col min="549" max="556" width="6.21875" style="23" customWidth="1"/>
    <col min="557" max="567" width="7.33203125" style="23" customWidth="1"/>
    <col min="568" max="575" width="6.21875" style="23" customWidth="1"/>
    <col min="576" max="586" width="7.33203125" style="23" customWidth="1"/>
    <col min="587" max="594" width="6.21875" style="23" customWidth="1"/>
    <col min="595" max="605" width="7.33203125" style="23" customWidth="1"/>
    <col min="606" max="613" width="6.21875" style="23" customWidth="1"/>
    <col min="614" max="624" width="7.33203125" style="23" customWidth="1"/>
    <col min="625" max="632" width="6.21875" style="23" customWidth="1"/>
    <col min="633" max="643" width="7.33203125" style="23" customWidth="1"/>
    <col min="644" max="651" width="6.21875" style="23" customWidth="1"/>
    <col min="652" max="662" width="7.33203125" style="23" customWidth="1"/>
    <col min="663" max="670" width="6.21875" style="23" customWidth="1"/>
    <col min="671" max="681" width="7.33203125" style="23" customWidth="1"/>
    <col min="682" max="689" width="6.21875" style="23" customWidth="1"/>
    <col min="690" max="700" width="7.33203125" style="23" customWidth="1"/>
    <col min="701" max="708" width="6.21875" style="23" customWidth="1"/>
    <col min="709" max="719" width="7.33203125" style="23" customWidth="1"/>
    <col min="720" max="727" width="6.21875" style="23" customWidth="1"/>
    <col min="728" max="738" width="7.33203125" style="23" customWidth="1"/>
    <col min="739" max="746" width="6.21875" style="23" customWidth="1"/>
    <col min="747" max="757" width="7.33203125" style="23" customWidth="1"/>
    <col min="758" max="765" width="6.21875" style="23" customWidth="1"/>
    <col min="766" max="776" width="7.33203125" style="23" customWidth="1"/>
    <col min="777" max="784" width="6.21875" style="23" customWidth="1"/>
    <col min="785" max="795" width="7.33203125" style="23" customWidth="1"/>
    <col min="796" max="803" width="6.21875" style="23" customWidth="1"/>
    <col min="804" max="814" width="7.33203125" style="23" customWidth="1"/>
    <col min="815" max="822" width="6.21875" style="23" customWidth="1"/>
    <col min="823" max="833" width="7.33203125" style="23" customWidth="1"/>
    <col min="834" max="841" width="6.21875" style="23" customWidth="1"/>
    <col min="842" max="852" width="7.33203125" style="23" customWidth="1"/>
    <col min="853" max="860" width="6.21875" style="23" customWidth="1"/>
    <col min="861" max="871" width="7.33203125" style="23" customWidth="1"/>
    <col min="872" max="879" width="6.21875" style="23" customWidth="1"/>
    <col min="880" max="890" width="7.33203125" style="23" customWidth="1"/>
    <col min="891" max="917" width="6.21875" style="23" customWidth="1"/>
    <col min="918" max="928" width="7.33203125" style="23" customWidth="1"/>
    <col min="929" max="936" width="6.21875" style="23" customWidth="1"/>
    <col min="937" max="947" width="7.33203125" style="23" customWidth="1"/>
    <col min="948" max="989" width="6.21875" style="23" customWidth="1"/>
    <col min="990" max="990" width="8.109375" style="23" customWidth="1"/>
    <col min="991" max="992" width="6.21875" style="23" customWidth="1"/>
    <col min="993" max="995" width="6.21875" style="24" customWidth="1"/>
    <col min="996" max="996" width="10" style="24" bestFit="1" customWidth="1"/>
    <col min="997" max="1004" width="6.21875" style="24" customWidth="1"/>
    <col min="1005" max="1006" width="7.77734375" style="24" customWidth="1"/>
    <col min="1007" max="1013" width="6.33203125" style="24" customWidth="1"/>
    <col min="1014" max="1019" width="5.109375" style="24" customWidth="1"/>
    <col min="1020" max="1025" width="6.6640625" style="24" customWidth="1"/>
    <col min="1026" max="1029" width="5.109375" style="24" customWidth="1"/>
    <col min="1030" max="1030" width="6.6640625" style="24" customWidth="1"/>
    <col min="1031" max="1036" width="7.33203125" style="24" customWidth="1"/>
    <col min="1037" max="1052" width="6.6640625" style="24" customWidth="1"/>
    <col min="1053" max="1053" width="6.21875" style="24" customWidth="1"/>
    <col min="1054" max="1061" width="5.109375" style="24" customWidth="1"/>
    <col min="1062" max="1071" width="8.109375" style="23" customWidth="1"/>
    <col min="1072" max="1091" width="9.109375" style="24"/>
    <col min="1092" max="1106" width="6.33203125" style="24" customWidth="1"/>
    <col min="1107" max="1107" width="8.109375" style="24" customWidth="1"/>
    <col min="1108" max="1108" width="24.88671875" style="24" customWidth="1"/>
    <col min="1109" max="1109" width="28.21875" style="24" customWidth="1"/>
    <col min="1110" max="1110" width="17.44140625" style="23" bestFit="1" customWidth="1"/>
    <col min="1111" max="16384" width="9.109375" style="23"/>
  </cols>
  <sheetData>
    <row r="1" spans="1:1110" s="102" customFormat="1" ht="27" customHeight="1">
      <c r="A1" s="206" t="s">
        <v>178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8"/>
      <c r="O1" s="162" t="s">
        <v>69</v>
      </c>
      <c r="P1" s="163"/>
      <c r="Q1" s="161" t="s">
        <v>19</v>
      </c>
      <c r="R1" s="162"/>
      <c r="S1" s="162"/>
      <c r="T1" s="163"/>
      <c r="U1" s="212" t="s">
        <v>127</v>
      </c>
      <c r="V1" s="213"/>
      <c r="W1" s="214"/>
      <c r="X1" s="143" t="s">
        <v>53</v>
      </c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 t="s">
        <v>59</v>
      </c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 t="s">
        <v>54</v>
      </c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 t="s">
        <v>55</v>
      </c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/>
      <c r="CU1" s="143"/>
      <c r="CV1" s="143"/>
      <c r="CW1" s="143"/>
      <c r="CX1" s="143" t="s">
        <v>74</v>
      </c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3"/>
      <c r="DJ1" s="143"/>
      <c r="DK1" s="143"/>
      <c r="DL1" s="143"/>
      <c r="DM1" s="143" t="s">
        <v>75</v>
      </c>
      <c r="DN1" s="143"/>
      <c r="DO1" s="143"/>
      <c r="DP1" s="143"/>
      <c r="DQ1" s="143"/>
      <c r="DR1" s="143"/>
      <c r="DS1" s="143"/>
      <c r="DT1" s="143"/>
      <c r="DU1" s="143"/>
      <c r="DV1" s="143"/>
      <c r="DW1" s="143"/>
      <c r="DX1" s="143"/>
      <c r="DY1" s="143"/>
      <c r="DZ1" s="161" t="s">
        <v>82</v>
      </c>
      <c r="EA1" s="162"/>
      <c r="EB1" s="162"/>
      <c r="EC1" s="162"/>
      <c r="ED1" s="162"/>
      <c r="EE1" s="162"/>
      <c r="EF1" s="162"/>
      <c r="EG1" s="162"/>
      <c r="EH1" s="162"/>
      <c r="EI1" s="162"/>
      <c r="EJ1" s="162"/>
      <c r="EK1" s="162"/>
      <c r="EL1" s="162"/>
      <c r="EM1" s="162"/>
      <c r="EN1" s="162"/>
      <c r="EO1" s="162"/>
      <c r="EP1" s="162"/>
      <c r="EQ1" s="162"/>
      <c r="ER1" s="162"/>
      <c r="ES1" s="162"/>
      <c r="ET1" s="163"/>
      <c r="EU1" s="161" t="s">
        <v>414</v>
      </c>
      <c r="EV1" s="162"/>
      <c r="EW1" s="162"/>
      <c r="EX1" s="162"/>
      <c r="EY1" s="162"/>
      <c r="EZ1" s="162"/>
      <c r="FA1" s="162"/>
      <c r="FB1" s="162"/>
      <c r="FC1" s="162"/>
      <c r="FD1" s="162"/>
      <c r="FE1" s="162"/>
      <c r="FF1" s="162"/>
      <c r="FG1" s="162"/>
      <c r="FH1" s="162"/>
      <c r="FI1" s="162"/>
      <c r="FJ1" s="186" t="s">
        <v>21</v>
      </c>
      <c r="FK1" s="187"/>
      <c r="FL1" s="187"/>
      <c r="FM1" s="187"/>
      <c r="FN1" s="187"/>
      <c r="FO1" s="187"/>
      <c r="FP1" s="187"/>
      <c r="FQ1" s="187"/>
      <c r="FR1" s="187"/>
      <c r="FS1" s="187"/>
      <c r="FT1" s="187"/>
      <c r="FU1" s="187"/>
      <c r="FV1" s="187"/>
      <c r="FW1" s="187"/>
      <c r="FX1" s="187"/>
      <c r="FY1" s="187"/>
      <c r="FZ1" s="187"/>
      <c r="GA1" s="187"/>
      <c r="GB1" s="188"/>
      <c r="GC1" s="143" t="s">
        <v>446</v>
      </c>
      <c r="GD1" s="143"/>
      <c r="GE1" s="143"/>
      <c r="GF1" s="143"/>
      <c r="GG1" s="143"/>
      <c r="GH1" s="143"/>
      <c r="GI1" s="143"/>
      <c r="GJ1" s="143"/>
      <c r="GK1" s="143"/>
      <c r="GL1" s="143"/>
      <c r="GM1" s="143"/>
      <c r="GN1" s="143"/>
      <c r="GO1" s="143"/>
      <c r="GP1" s="143" t="s">
        <v>332</v>
      </c>
      <c r="GQ1" s="143"/>
      <c r="GR1" s="143"/>
      <c r="GS1" s="143"/>
      <c r="GT1" s="143"/>
      <c r="GU1" s="143"/>
      <c r="GV1" s="143"/>
      <c r="GW1" s="143"/>
      <c r="GX1" s="143"/>
      <c r="GY1" s="143"/>
      <c r="GZ1" s="143"/>
      <c r="HA1" s="143"/>
      <c r="HB1" s="143"/>
      <c r="HC1" s="143" t="s">
        <v>445</v>
      </c>
      <c r="HD1" s="143"/>
      <c r="HE1" s="143"/>
      <c r="HF1" s="143"/>
      <c r="HG1" s="143"/>
      <c r="HH1" s="143"/>
      <c r="HI1" s="143"/>
      <c r="HJ1" s="143"/>
      <c r="HK1" s="143"/>
      <c r="HL1" s="143"/>
      <c r="HM1" s="143"/>
      <c r="HN1" s="143"/>
      <c r="HO1" s="143"/>
      <c r="HP1" s="143" t="s">
        <v>447</v>
      </c>
      <c r="HQ1" s="143"/>
      <c r="HR1" s="143"/>
      <c r="HS1" s="143"/>
      <c r="HT1" s="143"/>
      <c r="HU1" s="143"/>
      <c r="HV1" s="143"/>
      <c r="HW1" s="143"/>
      <c r="HX1" s="143"/>
      <c r="HY1" s="143"/>
      <c r="HZ1" s="143"/>
      <c r="IA1" s="143"/>
      <c r="IB1" s="143"/>
      <c r="IC1" s="143" t="s">
        <v>448</v>
      </c>
      <c r="ID1" s="143"/>
      <c r="IE1" s="143"/>
      <c r="IF1" s="143"/>
      <c r="IG1" s="143"/>
      <c r="IH1" s="143"/>
      <c r="II1" s="143"/>
      <c r="IJ1" s="143"/>
      <c r="IK1" s="143"/>
      <c r="IL1" s="143"/>
      <c r="IM1" s="143"/>
      <c r="IN1" s="143"/>
      <c r="IO1" s="143"/>
      <c r="IP1" s="143" t="s">
        <v>449</v>
      </c>
      <c r="IQ1" s="143"/>
      <c r="IR1" s="143"/>
      <c r="IS1" s="143"/>
      <c r="IT1" s="143"/>
      <c r="IU1" s="143"/>
      <c r="IV1" s="143"/>
      <c r="IW1" s="143"/>
      <c r="IX1" s="143"/>
      <c r="IY1" s="143"/>
      <c r="IZ1" s="143"/>
      <c r="JA1" s="143"/>
      <c r="JB1" s="143"/>
      <c r="JC1" s="143" t="s">
        <v>64</v>
      </c>
      <c r="JD1" s="143"/>
      <c r="JE1" s="143"/>
      <c r="JF1" s="143"/>
      <c r="JG1" s="143"/>
      <c r="JH1" s="143"/>
      <c r="JI1" s="143"/>
      <c r="JJ1" s="143"/>
      <c r="JK1" s="143"/>
      <c r="JL1" s="143"/>
      <c r="JM1" s="143"/>
      <c r="JN1" s="143"/>
      <c r="JO1" s="143"/>
      <c r="JP1" s="161" t="s">
        <v>188</v>
      </c>
      <c r="JQ1" s="162"/>
      <c r="JR1" s="162"/>
      <c r="JS1" s="162"/>
      <c r="JT1" s="162"/>
      <c r="JU1" s="162"/>
      <c r="JV1" s="162"/>
      <c r="JW1" s="162"/>
      <c r="JX1" s="162"/>
      <c r="JY1" s="162"/>
      <c r="JZ1" s="162"/>
      <c r="KA1" s="162"/>
      <c r="KB1" s="162"/>
      <c r="KC1" s="162"/>
      <c r="KD1" s="162"/>
      <c r="KE1" s="162"/>
      <c r="KF1" s="162"/>
      <c r="KG1" s="162"/>
      <c r="KH1" s="162"/>
      <c r="KI1" s="162"/>
      <c r="KJ1" s="162"/>
      <c r="KK1" s="162"/>
      <c r="KL1" s="163"/>
      <c r="KM1" s="161" t="s">
        <v>192</v>
      </c>
      <c r="KN1" s="162"/>
      <c r="KO1" s="162"/>
      <c r="KP1" s="162"/>
      <c r="KQ1" s="162"/>
      <c r="KR1" s="162"/>
      <c r="KS1" s="162"/>
      <c r="KT1" s="162"/>
      <c r="KU1" s="163"/>
      <c r="KV1" s="161" t="s">
        <v>201</v>
      </c>
      <c r="KW1" s="162"/>
      <c r="KX1" s="162"/>
      <c r="KY1" s="162"/>
      <c r="KZ1" s="162"/>
      <c r="LA1" s="162"/>
      <c r="LB1" s="162"/>
      <c r="LC1" s="162"/>
      <c r="LD1" s="162"/>
      <c r="LE1" s="162"/>
      <c r="LF1" s="162"/>
      <c r="LG1" s="162"/>
      <c r="LH1" s="162"/>
      <c r="LI1" s="162"/>
      <c r="LJ1" s="162"/>
      <c r="LK1" s="162"/>
      <c r="LL1" s="162"/>
      <c r="LM1" s="162"/>
      <c r="LN1" s="162"/>
      <c r="LO1" s="162"/>
      <c r="LP1" s="163"/>
      <c r="LQ1" s="161" t="s">
        <v>85</v>
      </c>
      <c r="LR1" s="162"/>
      <c r="LS1" s="162"/>
      <c r="LT1" s="162"/>
      <c r="LU1" s="162"/>
      <c r="LV1" s="162"/>
      <c r="LW1" s="162"/>
      <c r="LX1" s="162"/>
      <c r="LY1" s="162"/>
      <c r="LZ1" s="162"/>
      <c r="MA1" s="162"/>
      <c r="MB1" s="162"/>
      <c r="MC1" s="162"/>
      <c r="MD1" s="162"/>
      <c r="ME1" s="162"/>
      <c r="MF1" s="162"/>
      <c r="MG1" s="162"/>
      <c r="MH1" s="162"/>
      <c r="MI1" s="163"/>
      <c r="MJ1" s="161" t="s">
        <v>85</v>
      </c>
      <c r="MK1" s="162"/>
      <c r="ML1" s="162"/>
      <c r="MM1" s="162"/>
      <c r="MN1" s="162"/>
      <c r="MO1" s="162"/>
      <c r="MP1" s="162"/>
      <c r="MQ1" s="162"/>
      <c r="MR1" s="162"/>
      <c r="MS1" s="162"/>
      <c r="MT1" s="162"/>
      <c r="MU1" s="162"/>
      <c r="MV1" s="162"/>
      <c r="MW1" s="162"/>
      <c r="MX1" s="162"/>
      <c r="MY1" s="162"/>
      <c r="MZ1" s="162"/>
      <c r="NA1" s="162"/>
      <c r="NB1" s="163"/>
      <c r="NC1" s="161" t="s">
        <v>85</v>
      </c>
      <c r="ND1" s="162"/>
      <c r="NE1" s="162"/>
      <c r="NF1" s="162"/>
      <c r="NG1" s="162"/>
      <c r="NH1" s="162"/>
      <c r="NI1" s="162"/>
      <c r="NJ1" s="162"/>
      <c r="NK1" s="162"/>
      <c r="NL1" s="162"/>
      <c r="NM1" s="162"/>
      <c r="NN1" s="162"/>
      <c r="NO1" s="162"/>
      <c r="NP1" s="162"/>
      <c r="NQ1" s="162"/>
      <c r="NR1" s="162"/>
      <c r="NS1" s="162"/>
      <c r="NT1" s="162"/>
      <c r="NU1" s="163"/>
      <c r="NV1" s="161" t="s">
        <v>85</v>
      </c>
      <c r="NW1" s="162"/>
      <c r="NX1" s="162"/>
      <c r="NY1" s="162"/>
      <c r="NZ1" s="162"/>
      <c r="OA1" s="162"/>
      <c r="OB1" s="162"/>
      <c r="OC1" s="162"/>
      <c r="OD1" s="162"/>
      <c r="OE1" s="162"/>
      <c r="OF1" s="162"/>
      <c r="OG1" s="162"/>
      <c r="OH1" s="162"/>
      <c r="OI1" s="162"/>
      <c r="OJ1" s="162"/>
      <c r="OK1" s="162"/>
      <c r="OL1" s="162"/>
      <c r="OM1" s="162"/>
      <c r="ON1" s="163"/>
      <c r="OO1" s="161" t="s">
        <v>85</v>
      </c>
      <c r="OP1" s="162"/>
      <c r="OQ1" s="162"/>
      <c r="OR1" s="162"/>
      <c r="OS1" s="162"/>
      <c r="OT1" s="162"/>
      <c r="OU1" s="162"/>
      <c r="OV1" s="162"/>
      <c r="OW1" s="162"/>
      <c r="OX1" s="162"/>
      <c r="OY1" s="162"/>
      <c r="OZ1" s="162"/>
      <c r="PA1" s="162"/>
      <c r="PB1" s="162"/>
      <c r="PC1" s="162"/>
      <c r="PD1" s="162"/>
      <c r="PE1" s="162"/>
      <c r="PF1" s="162"/>
      <c r="PG1" s="163"/>
      <c r="PH1" s="161" t="s">
        <v>85</v>
      </c>
      <c r="PI1" s="162"/>
      <c r="PJ1" s="162"/>
      <c r="PK1" s="162"/>
      <c r="PL1" s="162"/>
      <c r="PM1" s="162"/>
      <c r="PN1" s="162"/>
      <c r="PO1" s="162"/>
      <c r="PP1" s="162"/>
      <c r="PQ1" s="162"/>
      <c r="PR1" s="162"/>
      <c r="PS1" s="162"/>
      <c r="PT1" s="162"/>
      <c r="PU1" s="162"/>
      <c r="PV1" s="162"/>
      <c r="PW1" s="162"/>
      <c r="PX1" s="162"/>
      <c r="PY1" s="162"/>
      <c r="PZ1" s="163"/>
      <c r="QA1" s="161" t="s">
        <v>85</v>
      </c>
      <c r="QB1" s="162"/>
      <c r="QC1" s="162"/>
      <c r="QD1" s="162"/>
      <c r="QE1" s="162"/>
      <c r="QF1" s="162"/>
      <c r="QG1" s="162"/>
      <c r="QH1" s="162"/>
      <c r="QI1" s="162"/>
      <c r="QJ1" s="162"/>
      <c r="QK1" s="162"/>
      <c r="QL1" s="162"/>
      <c r="QM1" s="162"/>
      <c r="QN1" s="162"/>
      <c r="QO1" s="162"/>
      <c r="QP1" s="162"/>
      <c r="QQ1" s="162"/>
      <c r="QR1" s="162"/>
      <c r="QS1" s="163"/>
      <c r="QT1" s="161" t="s">
        <v>85</v>
      </c>
      <c r="QU1" s="162"/>
      <c r="QV1" s="162"/>
      <c r="QW1" s="162"/>
      <c r="QX1" s="162"/>
      <c r="QY1" s="162"/>
      <c r="QZ1" s="162"/>
      <c r="RA1" s="162"/>
      <c r="RB1" s="162"/>
      <c r="RC1" s="162"/>
      <c r="RD1" s="162"/>
      <c r="RE1" s="162"/>
      <c r="RF1" s="162"/>
      <c r="RG1" s="162"/>
      <c r="RH1" s="162"/>
      <c r="RI1" s="162"/>
      <c r="RJ1" s="162"/>
      <c r="RK1" s="162"/>
      <c r="RL1" s="163"/>
      <c r="RM1" s="161" t="s">
        <v>85</v>
      </c>
      <c r="RN1" s="162"/>
      <c r="RO1" s="162"/>
      <c r="RP1" s="162"/>
      <c r="RQ1" s="162"/>
      <c r="RR1" s="162"/>
      <c r="RS1" s="162"/>
      <c r="RT1" s="162"/>
      <c r="RU1" s="162"/>
      <c r="RV1" s="162"/>
      <c r="RW1" s="162"/>
      <c r="RX1" s="162"/>
      <c r="RY1" s="162"/>
      <c r="RZ1" s="162"/>
      <c r="SA1" s="162"/>
      <c r="SB1" s="162"/>
      <c r="SC1" s="162"/>
      <c r="SD1" s="162"/>
      <c r="SE1" s="163"/>
      <c r="SF1" s="161" t="s">
        <v>85</v>
      </c>
      <c r="SG1" s="162"/>
      <c r="SH1" s="162"/>
      <c r="SI1" s="162"/>
      <c r="SJ1" s="162"/>
      <c r="SK1" s="162"/>
      <c r="SL1" s="162"/>
      <c r="SM1" s="162"/>
      <c r="SN1" s="162"/>
      <c r="SO1" s="162"/>
      <c r="SP1" s="162"/>
      <c r="SQ1" s="162"/>
      <c r="SR1" s="162"/>
      <c r="SS1" s="162"/>
      <c r="ST1" s="162"/>
      <c r="SU1" s="162"/>
      <c r="SV1" s="162"/>
      <c r="SW1" s="162"/>
      <c r="SX1" s="163"/>
      <c r="SY1" s="161" t="s">
        <v>85</v>
      </c>
      <c r="SZ1" s="162"/>
      <c r="TA1" s="162"/>
      <c r="TB1" s="162"/>
      <c r="TC1" s="162"/>
      <c r="TD1" s="162"/>
      <c r="TE1" s="162"/>
      <c r="TF1" s="162"/>
      <c r="TG1" s="162"/>
      <c r="TH1" s="162"/>
      <c r="TI1" s="162"/>
      <c r="TJ1" s="162"/>
      <c r="TK1" s="162"/>
      <c r="TL1" s="162"/>
      <c r="TM1" s="162"/>
      <c r="TN1" s="162"/>
      <c r="TO1" s="162"/>
      <c r="TP1" s="162"/>
      <c r="TQ1" s="163"/>
      <c r="TR1" s="161" t="s">
        <v>85</v>
      </c>
      <c r="TS1" s="162"/>
      <c r="TT1" s="162"/>
      <c r="TU1" s="162"/>
      <c r="TV1" s="162"/>
      <c r="TW1" s="162"/>
      <c r="TX1" s="162"/>
      <c r="TY1" s="162"/>
      <c r="TZ1" s="162"/>
      <c r="UA1" s="162"/>
      <c r="UB1" s="162"/>
      <c r="UC1" s="162"/>
      <c r="UD1" s="162"/>
      <c r="UE1" s="162"/>
      <c r="UF1" s="162"/>
      <c r="UG1" s="162"/>
      <c r="UH1" s="162"/>
      <c r="UI1" s="162"/>
      <c r="UJ1" s="163"/>
      <c r="UK1" s="161" t="s">
        <v>85</v>
      </c>
      <c r="UL1" s="162"/>
      <c r="UM1" s="162"/>
      <c r="UN1" s="162"/>
      <c r="UO1" s="162"/>
      <c r="UP1" s="162"/>
      <c r="UQ1" s="162"/>
      <c r="UR1" s="162"/>
      <c r="US1" s="162"/>
      <c r="UT1" s="162"/>
      <c r="UU1" s="162"/>
      <c r="UV1" s="162"/>
      <c r="UW1" s="162"/>
      <c r="UX1" s="162"/>
      <c r="UY1" s="162"/>
      <c r="UZ1" s="162"/>
      <c r="VA1" s="162"/>
      <c r="VB1" s="162"/>
      <c r="VC1" s="163"/>
      <c r="VD1" s="161" t="s">
        <v>85</v>
      </c>
      <c r="VE1" s="162"/>
      <c r="VF1" s="162"/>
      <c r="VG1" s="162"/>
      <c r="VH1" s="162"/>
      <c r="VI1" s="162"/>
      <c r="VJ1" s="162"/>
      <c r="VK1" s="162"/>
      <c r="VL1" s="162"/>
      <c r="VM1" s="162"/>
      <c r="VN1" s="162"/>
      <c r="VO1" s="162"/>
      <c r="VP1" s="162"/>
      <c r="VQ1" s="162"/>
      <c r="VR1" s="162"/>
      <c r="VS1" s="162"/>
      <c r="VT1" s="162"/>
      <c r="VU1" s="162"/>
      <c r="VV1" s="163"/>
      <c r="VW1" s="161" t="s">
        <v>85</v>
      </c>
      <c r="VX1" s="162"/>
      <c r="VY1" s="162"/>
      <c r="VZ1" s="162"/>
      <c r="WA1" s="162"/>
      <c r="WB1" s="162"/>
      <c r="WC1" s="162"/>
      <c r="WD1" s="162"/>
      <c r="WE1" s="162"/>
      <c r="WF1" s="162"/>
      <c r="WG1" s="162"/>
      <c r="WH1" s="162"/>
      <c r="WI1" s="162"/>
      <c r="WJ1" s="162"/>
      <c r="WK1" s="162"/>
      <c r="WL1" s="162"/>
      <c r="WM1" s="162"/>
      <c r="WN1" s="162"/>
      <c r="WO1" s="163"/>
      <c r="WP1" s="161" t="s">
        <v>85</v>
      </c>
      <c r="WQ1" s="162"/>
      <c r="WR1" s="162"/>
      <c r="WS1" s="162"/>
      <c r="WT1" s="162"/>
      <c r="WU1" s="162"/>
      <c r="WV1" s="162"/>
      <c r="WW1" s="162"/>
      <c r="WX1" s="162"/>
      <c r="WY1" s="162"/>
      <c r="WZ1" s="162"/>
      <c r="XA1" s="162"/>
      <c r="XB1" s="162"/>
      <c r="XC1" s="162"/>
      <c r="XD1" s="162"/>
      <c r="XE1" s="162"/>
      <c r="XF1" s="162"/>
      <c r="XG1" s="162"/>
      <c r="XH1" s="163"/>
      <c r="XI1" s="161" t="s">
        <v>85</v>
      </c>
      <c r="XJ1" s="162"/>
      <c r="XK1" s="162"/>
      <c r="XL1" s="162"/>
      <c r="XM1" s="162"/>
      <c r="XN1" s="162"/>
      <c r="XO1" s="162"/>
      <c r="XP1" s="162"/>
      <c r="XQ1" s="162"/>
      <c r="XR1" s="162"/>
      <c r="XS1" s="162"/>
      <c r="XT1" s="162"/>
      <c r="XU1" s="162"/>
      <c r="XV1" s="162"/>
      <c r="XW1" s="162"/>
      <c r="XX1" s="162"/>
      <c r="XY1" s="162"/>
      <c r="XZ1" s="162"/>
      <c r="YA1" s="163"/>
      <c r="YB1" s="161" t="s">
        <v>85</v>
      </c>
      <c r="YC1" s="162"/>
      <c r="YD1" s="162"/>
      <c r="YE1" s="162"/>
      <c r="YF1" s="162"/>
      <c r="YG1" s="162"/>
      <c r="YH1" s="162"/>
      <c r="YI1" s="162"/>
      <c r="YJ1" s="162"/>
      <c r="YK1" s="162"/>
      <c r="YL1" s="162"/>
      <c r="YM1" s="162"/>
      <c r="YN1" s="162"/>
      <c r="YO1" s="162"/>
      <c r="YP1" s="162"/>
      <c r="YQ1" s="162"/>
      <c r="YR1" s="162"/>
      <c r="YS1" s="162"/>
      <c r="YT1" s="163"/>
      <c r="YU1" s="161" t="s">
        <v>85</v>
      </c>
      <c r="YV1" s="162"/>
      <c r="YW1" s="162"/>
      <c r="YX1" s="162"/>
      <c r="YY1" s="162"/>
      <c r="YZ1" s="162"/>
      <c r="ZA1" s="162"/>
      <c r="ZB1" s="162"/>
      <c r="ZC1" s="162"/>
      <c r="ZD1" s="162"/>
      <c r="ZE1" s="162"/>
      <c r="ZF1" s="162"/>
      <c r="ZG1" s="162"/>
      <c r="ZH1" s="162"/>
      <c r="ZI1" s="162"/>
      <c r="ZJ1" s="162"/>
      <c r="ZK1" s="162"/>
      <c r="ZL1" s="162"/>
      <c r="ZM1" s="163"/>
      <c r="ZN1" s="161" t="s">
        <v>85</v>
      </c>
      <c r="ZO1" s="162"/>
      <c r="ZP1" s="162"/>
      <c r="ZQ1" s="162"/>
      <c r="ZR1" s="162"/>
      <c r="ZS1" s="162"/>
      <c r="ZT1" s="162"/>
      <c r="ZU1" s="162"/>
      <c r="ZV1" s="162"/>
      <c r="ZW1" s="162"/>
      <c r="ZX1" s="162"/>
      <c r="ZY1" s="162"/>
      <c r="ZZ1" s="162"/>
      <c r="AAA1" s="162"/>
      <c r="AAB1" s="162"/>
      <c r="AAC1" s="162"/>
      <c r="AAD1" s="162"/>
      <c r="AAE1" s="162"/>
      <c r="AAF1" s="163"/>
      <c r="AAG1" s="161" t="s">
        <v>85</v>
      </c>
      <c r="AAH1" s="162"/>
      <c r="AAI1" s="162"/>
      <c r="AAJ1" s="162"/>
      <c r="AAK1" s="162"/>
      <c r="AAL1" s="162"/>
      <c r="AAM1" s="162"/>
      <c r="AAN1" s="162"/>
      <c r="AAO1" s="162"/>
      <c r="AAP1" s="162"/>
      <c r="AAQ1" s="162"/>
      <c r="AAR1" s="162"/>
      <c r="AAS1" s="162"/>
      <c r="AAT1" s="162"/>
      <c r="AAU1" s="162"/>
      <c r="AAV1" s="162"/>
      <c r="AAW1" s="162"/>
      <c r="AAX1" s="162"/>
      <c r="AAY1" s="163"/>
      <c r="AAZ1" s="161" t="s">
        <v>85</v>
      </c>
      <c r="ABA1" s="162"/>
      <c r="ABB1" s="162"/>
      <c r="ABC1" s="162"/>
      <c r="ABD1" s="162"/>
      <c r="ABE1" s="162"/>
      <c r="ABF1" s="162"/>
      <c r="ABG1" s="162"/>
      <c r="ABH1" s="162"/>
      <c r="ABI1" s="162"/>
      <c r="ABJ1" s="162"/>
      <c r="ABK1" s="162"/>
      <c r="ABL1" s="162"/>
      <c r="ABM1" s="162"/>
      <c r="ABN1" s="162"/>
      <c r="ABO1" s="162"/>
      <c r="ABP1" s="162"/>
      <c r="ABQ1" s="162"/>
      <c r="ABR1" s="163"/>
      <c r="ABS1" s="161" t="s">
        <v>85</v>
      </c>
      <c r="ABT1" s="162"/>
      <c r="ABU1" s="162"/>
      <c r="ABV1" s="162"/>
      <c r="ABW1" s="162"/>
      <c r="ABX1" s="162"/>
      <c r="ABY1" s="162"/>
      <c r="ABZ1" s="162"/>
      <c r="ACA1" s="162"/>
      <c r="ACB1" s="162"/>
      <c r="ACC1" s="162"/>
      <c r="ACD1" s="162"/>
      <c r="ACE1" s="162"/>
      <c r="ACF1" s="162"/>
      <c r="ACG1" s="162"/>
      <c r="ACH1" s="162"/>
      <c r="ACI1" s="162"/>
      <c r="ACJ1" s="162"/>
      <c r="ACK1" s="163"/>
      <c r="ACL1" s="161" t="s">
        <v>85</v>
      </c>
      <c r="ACM1" s="162"/>
      <c r="ACN1" s="162"/>
      <c r="ACO1" s="162"/>
      <c r="ACP1" s="162"/>
      <c r="ACQ1" s="162"/>
      <c r="ACR1" s="162"/>
      <c r="ACS1" s="162"/>
      <c r="ACT1" s="162"/>
      <c r="ACU1" s="162"/>
      <c r="ACV1" s="162"/>
      <c r="ACW1" s="162"/>
      <c r="ACX1" s="162"/>
      <c r="ACY1" s="162"/>
      <c r="ACZ1" s="162"/>
      <c r="ADA1" s="162"/>
      <c r="ADB1" s="162"/>
      <c r="ADC1" s="162"/>
      <c r="ADD1" s="163"/>
      <c r="ADE1" s="161" t="s">
        <v>85</v>
      </c>
      <c r="ADF1" s="162"/>
      <c r="ADG1" s="162"/>
      <c r="ADH1" s="162"/>
      <c r="ADI1" s="162"/>
      <c r="ADJ1" s="162"/>
      <c r="ADK1" s="162"/>
      <c r="ADL1" s="162"/>
      <c r="ADM1" s="162"/>
      <c r="ADN1" s="162"/>
      <c r="ADO1" s="162"/>
      <c r="ADP1" s="162"/>
      <c r="ADQ1" s="162"/>
      <c r="ADR1" s="162"/>
      <c r="ADS1" s="162"/>
      <c r="ADT1" s="162"/>
      <c r="ADU1" s="162"/>
      <c r="ADV1" s="162"/>
      <c r="ADW1" s="163"/>
      <c r="ADX1" s="161" t="s">
        <v>85</v>
      </c>
      <c r="ADY1" s="162"/>
      <c r="ADZ1" s="162"/>
      <c r="AEA1" s="162"/>
      <c r="AEB1" s="162"/>
      <c r="AEC1" s="162"/>
      <c r="AED1" s="162"/>
      <c r="AEE1" s="162"/>
      <c r="AEF1" s="162"/>
      <c r="AEG1" s="162"/>
      <c r="AEH1" s="162"/>
      <c r="AEI1" s="162"/>
      <c r="AEJ1" s="162"/>
      <c r="AEK1" s="162"/>
      <c r="AEL1" s="162"/>
      <c r="AEM1" s="162"/>
      <c r="AEN1" s="162"/>
      <c r="AEO1" s="162"/>
      <c r="AEP1" s="163"/>
      <c r="AEQ1" s="161" t="s">
        <v>85</v>
      </c>
      <c r="AER1" s="162"/>
      <c r="AES1" s="162"/>
      <c r="AET1" s="162"/>
      <c r="AEU1" s="162"/>
      <c r="AEV1" s="162"/>
      <c r="AEW1" s="162"/>
      <c r="AEX1" s="162"/>
      <c r="AEY1" s="162"/>
      <c r="AEZ1" s="162"/>
      <c r="AFA1" s="162"/>
      <c r="AFB1" s="162"/>
      <c r="AFC1" s="162"/>
      <c r="AFD1" s="162"/>
      <c r="AFE1" s="162"/>
      <c r="AFF1" s="162"/>
      <c r="AFG1" s="162"/>
      <c r="AFH1" s="162"/>
      <c r="AFI1" s="163"/>
      <c r="AFJ1" s="161" t="s">
        <v>85</v>
      </c>
      <c r="AFK1" s="162"/>
      <c r="AFL1" s="162"/>
      <c r="AFM1" s="162"/>
      <c r="AFN1" s="162"/>
      <c r="AFO1" s="162"/>
      <c r="AFP1" s="162"/>
      <c r="AFQ1" s="162"/>
      <c r="AFR1" s="162"/>
      <c r="AFS1" s="162"/>
      <c r="AFT1" s="162"/>
      <c r="AFU1" s="162"/>
      <c r="AFV1" s="162"/>
      <c r="AFW1" s="162"/>
      <c r="AFX1" s="162"/>
      <c r="AFY1" s="162"/>
      <c r="AFZ1" s="162"/>
      <c r="AGA1" s="162"/>
      <c r="AGB1" s="163"/>
      <c r="AGC1" s="161" t="s">
        <v>85</v>
      </c>
      <c r="AGD1" s="162"/>
      <c r="AGE1" s="162"/>
      <c r="AGF1" s="162"/>
      <c r="AGG1" s="162"/>
      <c r="AGH1" s="162"/>
      <c r="AGI1" s="162"/>
      <c r="AGJ1" s="162"/>
      <c r="AGK1" s="162"/>
      <c r="AGL1" s="162"/>
      <c r="AGM1" s="162"/>
      <c r="AGN1" s="162"/>
      <c r="AGO1" s="162"/>
      <c r="AGP1" s="162"/>
      <c r="AGQ1" s="162"/>
      <c r="AGR1" s="162"/>
      <c r="AGS1" s="162"/>
      <c r="AGT1" s="162"/>
      <c r="AGU1" s="163"/>
      <c r="AGV1" s="161" t="s">
        <v>85</v>
      </c>
      <c r="AGW1" s="162"/>
      <c r="AGX1" s="162"/>
      <c r="AGY1" s="162"/>
      <c r="AGZ1" s="162"/>
      <c r="AHA1" s="162"/>
      <c r="AHB1" s="162"/>
      <c r="AHC1" s="162"/>
      <c r="AHD1" s="162"/>
      <c r="AHE1" s="162"/>
      <c r="AHF1" s="162"/>
      <c r="AHG1" s="162"/>
      <c r="AHH1" s="162"/>
      <c r="AHI1" s="162"/>
      <c r="AHJ1" s="162"/>
      <c r="AHK1" s="162"/>
      <c r="AHL1" s="162"/>
      <c r="AHM1" s="162"/>
      <c r="AHN1" s="163"/>
      <c r="AHO1" s="161" t="s">
        <v>85</v>
      </c>
      <c r="AHP1" s="162"/>
      <c r="AHQ1" s="162"/>
      <c r="AHR1" s="162"/>
      <c r="AHS1" s="162"/>
      <c r="AHT1" s="162"/>
      <c r="AHU1" s="162"/>
      <c r="AHV1" s="162"/>
      <c r="AHW1" s="162"/>
      <c r="AHX1" s="162"/>
      <c r="AHY1" s="162"/>
      <c r="AHZ1" s="162"/>
      <c r="AIA1" s="162"/>
      <c r="AIB1" s="162"/>
      <c r="AIC1" s="162"/>
      <c r="AID1" s="162"/>
      <c r="AIE1" s="162"/>
      <c r="AIF1" s="162"/>
      <c r="AIG1" s="163"/>
      <c r="AIH1" s="161" t="s">
        <v>85</v>
      </c>
      <c r="AII1" s="162"/>
      <c r="AIJ1" s="162"/>
      <c r="AIK1" s="162"/>
      <c r="AIL1" s="162"/>
      <c r="AIM1" s="162"/>
      <c r="AIN1" s="162"/>
      <c r="AIO1" s="162"/>
      <c r="AIP1" s="162"/>
      <c r="AIQ1" s="162"/>
      <c r="AIR1" s="162"/>
      <c r="AIS1" s="162"/>
      <c r="AIT1" s="162"/>
      <c r="AIU1" s="162"/>
      <c r="AIV1" s="162"/>
      <c r="AIW1" s="162"/>
      <c r="AIX1" s="162"/>
      <c r="AIY1" s="162"/>
      <c r="AIZ1" s="163"/>
      <c r="AJA1" s="161" t="s">
        <v>85</v>
      </c>
      <c r="AJB1" s="162"/>
      <c r="AJC1" s="162"/>
      <c r="AJD1" s="162"/>
      <c r="AJE1" s="162"/>
      <c r="AJF1" s="162"/>
      <c r="AJG1" s="162"/>
      <c r="AJH1" s="162"/>
      <c r="AJI1" s="162"/>
      <c r="AJJ1" s="162"/>
      <c r="AJK1" s="162"/>
      <c r="AJL1" s="162"/>
      <c r="AJM1" s="99"/>
      <c r="AJN1" s="99"/>
      <c r="AJO1" s="99"/>
      <c r="AJP1" s="99"/>
      <c r="AJQ1" s="99"/>
      <c r="AJR1" s="99"/>
      <c r="AJS1" s="100"/>
      <c r="AJT1" s="224" t="s">
        <v>371</v>
      </c>
      <c r="AJU1" s="225"/>
      <c r="AJV1" s="225"/>
      <c r="AJW1" s="225"/>
      <c r="AJX1" s="225"/>
      <c r="AJY1" s="225"/>
      <c r="AJZ1" s="225"/>
      <c r="AKA1" s="225"/>
      <c r="AKB1" s="225"/>
      <c r="AKC1" s="225"/>
      <c r="AKD1" s="226"/>
      <c r="AKE1" s="224" t="s">
        <v>372</v>
      </c>
      <c r="AKF1" s="225"/>
      <c r="AKG1" s="225"/>
      <c r="AKH1" s="225"/>
      <c r="AKI1" s="225"/>
      <c r="AKJ1" s="225"/>
      <c r="AKK1" s="225"/>
      <c r="AKL1" s="225"/>
      <c r="AKM1" s="225"/>
      <c r="AKN1" s="225"/>
      <c r="AKO1" s="225"/>
      <c r="AKP1" s="225"/>
      <c r="AKQ1" s="226"/>
      <c r="AKR1" s="161" t="s">
        <v>276</v>
      </c>
      <c r="AKS1" s="162"/>
      <c r="AKT1" s="162"/>
      <c r="AKU1" s="162"/>
      <c r="AKV1" s="162"/>
      <c r="AKW1" s="162"/>
      <c r="AKX1" s="162"/>
      <c r="AKY1" s="162"/>
      <c r="AKZ1" s="162"/>
      <c r="ALA1" s="162"/>
      <c r="ALB1" s="162"/>
      <c r="ALC1" s="251" t="s">
        <v>281</v>
      </c>
      <c r="ALD1" s="252"/>
      <c r="ALE1" s="101"/>
      <c r="ALF1" s="101"/>
      <c r="ALG1" s="101"/>
      <c r="ALH1" s="101"/>
      <c r="ALI1" s="101"/>
      <c r="ALJ1" s="101"/>
      <c r="ALK1" s="101"/>
      <c r="ALL1" s="101"/>
      <c r="ALM1" s="101"/>
      <c r="ALN1" s="101"/>
      <c r="ALO1" s="101"/>
      <c r="ALP1" s="101"/>
      <c r="ALQ1" s="101"/>
      <c r="ALR1" s="101"/>
      <c r="ALS1" s="101"/>
      <c r="ALT1" s="101"/>
      <c r="ALU1" s="101"/>
      <c r="ALV1" s="101"/>
      <c r="ALW1" s="101"/>
      <c r="ALX1" s="101"/>
      <c r="ALY1" s="101"/>
      <c r="ALZ1" s="101"/>
      <c r="AMA1" s="101"/>
      <c r="AMB1" s="101"/>
      <c r="AMC1" s="101"/>
      <c r="AMD1" s="101"/>
      <c r="AME1" s="101"/>
      <c r="AMF1" s="101"/>
      <c r="AMG1" s="101"/>
      <c r="AMH1" s="101"/>
      <c r="AMI1" s="101"/>
      <c r="AMJ1" s="101"/>
      <c r="AMK1" s="101"/>
      <c r="AML1" s="101"/>
      <c r="AMM1" s="101"/>
      <c r="AMN1" s="101"/>
      <c r="AMO1" s="101"/>
      <c r="AMP1" s="101"/>
      <c r="AMQ1" s="101"/>
      <c r="AMR1" s="101"/>
      <c r="AMS1" s="101"/>
      <c r="AMT1" s="101"/>
      <c r="AMU1" s="101"/>
      <c r="AMV1" s="101"/>
      <c r="AMW1" s="101"/>
      <c r="AMX1" s="101"/>
      <c r="AMY1" s="101"/>
      <c r="AMZ1" s="101"/>
      <c r="ANA1" s="101"/>
      <c r="ANB1" s="101"/>
      <c r="ANC1" s="101"/>
      <c r="AND1" s="101"/>
      <c r="ANE1" s="101"/>
      <c r="ANF1" s="101"/>
      <c r="ANG1" s="101"/>
      <c r="ANH1" s="101"/>
      <c r="ANI1" s="101"/>
      <c r="ANJ1" s="101"/>
      <c r="ANK1" s="101"/>
      <c r="ANL1" s="101"/>
      <c r="ANM1" s="101"/>
      <c r="ANN1" s="101"/>
      <c r="ANO1" s="101"/>
      <c r="ANP1" s="101"/>
      <c r="ANQ1" s="101"/>
      <c r="ANR1" s="101"/>
      <c r="ANS1" s="101"/>
      <c r="ANT1" s="101"/>
      <c r="ANU1" s="101"/>
      <c r="ANV1" s="161" t="s">
        <v>378</v>
      </c>
      <c r="ANW1" s="162"/>
      <c r="ANX1" s="162"/>
      <c r="ANY1" s="163"/>
      <c r="ANZ1" s="212" t="s">
        <v>422</v>
      </c>
      <c r="AOA1" s="214"/>
      <c r="AOB1" s="212" t="s">
        <v>425</v>
      </c>
      <c r="AOC1" s="214"/>
      <c r="AOD1" s="212" t="s">
        <v>426</v>
      </c>
      <c r="AOE1" s="214"/>
      <c r="AOF1" s="101"/>
      <c r="AOG1" s="101"/>
      <c r="AOH1" s="101"/>
      <c r="AOI1" s="101"/>
      <c r="AOJ1" s="101"/>
      <c r="AOK1" s="101"/>
      <c r="AOL1" s="101"/>
      <c r="AOM1" s="101"/>
      <c r="AON1" s="101"/>
      <c r="AOO1" s="101"/>
      <c r="AOP1" s="101"/>
      <c r="AOQ1" s="101"/>
      <c r="AOR1" s="101"/>
      <c r="AOS1" s="101"/>
      <c r="AOT1" s="101"/>
      <c r="AOU1" s="101"/>
      <c r="AOV1" s="101"/>
      <c r="AOW1" s="101"/>
      <c r="AOX1" s="101"/>
      <c r="AOY1" s="101"/>
      <c r="AOZ1" s="101"/>
      <c r="APA1" s="101"/>
      <c r="APB1" s="101"/>
      <c r="APC1" s="101"/>
      <c r="APD1" s="101"/>
      <c r="APE1" s="101"/>
      <c r="APF1" s="101"/>
      <c r="APG1" s="101"/>
      <c r="APH1" s="101"/>
      <c r="API1" s="101"/>
      <c r="APJ1" s="101"/>
      <c r="APK1" s="101"/>
      <c r="APL1" s="101"/>
      <c r="APM1" s="101"/>
      <c r="APN1" s="101"/>
      <c r="APO1" s="101"/>
      <c r="APP1" s="101"/>
      <c r="APQ1" s="101"/>
    </row>
    <row r="2" spans="1:1110" s="102" customFormat="1" ht="30.75" customHeight="1">
      <c r="A2" s="177" t="s">
        <v>179</v>
      </c>
      <c r="B2" s="178"/>
      <c r="C2" s="178"/>
      <c r="D2" s="178"/>
      <c r="E2" s="179"/>
      <c r="F2" s="177" t="s">
        <v>66</v>
      </c>
      <c r="G2" s="178"/>
      <c r="H2" s="179"/>
      <c r="I2" s="177" t="s">
        <v>67</v>
      </c>
      <c r="J2" s="179"/>
      <c r="K2" s="177" t="s">
        <v>68</v>
      </c>
      <c r="L2" s="178"/>
      <c r="M2" s="178"/>
      <c r="N2" s="179"/>
      <c r="O2" s="177"/>
      <c r="P2" s="179"/>
      <c r="Q2" s="177"/>
      <c r="R2" s="178"/>
      <c r="S2" s="178"/>
      <c r="T2" s="179"/>
      <c r="U2" s="215"/>
      <c r="V2" s="216"/>
      <c r="W2" s="217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  <c r="CW2" s="143"/>
      <c r="CX2" s="143"/>
      <c r="CY2" s="143"/>
      <c r="CZ2" s="143"/>
      <c r="DA2" s="143"/>
      <c r="DB2" s="143"/>
      <c r="DC2" s="143"/>
      <c r="DD2" s="143"/>
      <c r="DE2" s="143"/>
      <c r="DF2" s="143"/>
      <c r="DG2" s="143"/>
      <c r="DH2" s="143"/>
      <c r="DI2" s="143"/>
      <c r="DJ2" s="143"/>
      <c r="DK2" s="143"/>
      <c r="DL2" s="143"/>
      <c r="DM2" s="143"/>
      <c r="DN2" s="143"/>
      <c r="DO2" s="143"/>
      <c r="DP2" s="143"/>
      <c r="DQ2" s="143"/>
      <c r="DR2" s="143"/>
      <c r="DS2" s="143"/>
      <c r="DT2" s="143"/>
      <c r="DU2" s="143"/>
      <c r="DV2" s="143"/>
      <c r="DW2" s="143"/>
      <c r="DX2" s="143"/>
      <c r="DY2" s="143"/>
      <c r="DZ2" s="177"/>
      <c r="EA2" s="178"/>
      <c r="EB2" s="178"/>
      <c r="EC2" s="178"/>
      <c r="ED2" s="178"/>
      <c r="EE2" s="178"/>
      <c r="EF2" s="178"/>
      <c r="EG2" s="178"/>
      <c r="EH2" s="178"/>
      <c r="EI2" s="178"/>
      <c r="EJ2" s="178"/>
      <c r="EK2" s="178"/>
      <c r="EL2" s="178"/>
      <c r="EM2" s="178"/>
      <c r="EN2" s="178"/>
      <c r="EO2" s="178"/>
      <c r="EP2" s="178"/>
      <c r="EQ2" s="178"/>
      <c r="ER2" s="178"/>
      <c r="ES2" s="178"/>
      <c r="ET2" s="179"/>
      <c r="EU2" s="177"/>
      <c r="EV2" s="178"/>
      <c r="EW2" s="178"/>
      <c r="EX2" s="178"/>
      <c r="EY2" s="178"/>
      <c r="EZ2" s="178"/>
      <c r="FA2" s="178"/>
      <c r="FB2" s="178"/>
      <c r="FC2" s="178"/>
      <c r="FD2" s="178"/>
      <c r="FE2" s="178"/>
      <c r="FF2" s="178"/>
      <c r="FG2" s="178"/>
      <c r="FH2" s="178"/>
      <c r="FI2" s="178"/>
      <c r="FJ2" s="189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1"/>
      <c r="GC2" s="143"/>
      <c r="GD2" s="143"/>
      <c r="GE2" s="143"/>
      <c r="GF2" s="143"/>
      <c r="GG2" s="143"/>
      <c r="GH2" s="143"/>
      <c r="GI2" s="143"/>
      <c r="GJ2" s="143"/>
      <c r="GK2" s="143"/>
      <c r="GL2" s="143"/>
      <c r="GM2" s="143"/>
      <c r="GN2" s="143"/>
      <c r="GO2" s="143"/>
      <c r="GP2" s="143"/>
      <c r="GQ2" s="143"/>
      <c r="GR2" s="143"/>
      <c r="GS2" s="143"/>
      <c r="GT2" s="143"/>
      <c r="GU2" s="143"/>
      <c r="GV2" s="143"/>
      <c r="GW2" s="143"/>
      <c r="GX2" s="143"/>
      <c r="GY2" s="143"/>
      <c r="GZ2" s="143"/>
      <c r="HA2" s="143"/>
      <c r="HB2" s="143"/>
      <c r="HC2" s="143"/>
      <c r="HD2" s="143"/>
      <c r="HE2" s="143"/>
      <c r="HF2" s="143"/>
      <c r="HG2" s="143"/>
      <c r="HH2" s="143"/>
      <c r="HI2" s="143"/>
      <c r="HJ2" s="143"/>
      <c r="HK2" s="143"/>
      <c r="HL2" s="143"/>
      <c r="HM2" s="143"/>
      <c r="HN2" s="143"/>
      <c r="HO2" s="143"/>
      <c r="HP2" s="143"/>
      <c r="HQ2" s="143"/>
      <c r="HR2" s="143"/>
      <c r="HS2" s="143"/>
      <c r="HT2" s="143"/>
      <c r="HU2" s="143"/>
      <c r="HV2" s="143"/>
      <c r="HW2" s="143"/>
      <c r="HX2" s="143"/>
      <c r="HY2" s="143"/>
      <c r="HZ2" s="143"/>
      <c r="IA2" s="143"/>
      <c r="IB2" s="143"/>
      <c r="IC2" s="143"/>
      <c r="ID2" s="143"/>
      <c r="IE2" s="143"/>
      <c r="IF2" s="143"/>
      <c r="IG2" s="143"/>
      <c r="IH2" s="143"/>
      <c r="II2" s="143"/>
      <c r="IJ2" s="143"/>
      <c r="IK2" s="143"/>
      <c r="IL2" s="143"/>
      <c r="IM2" s="143"/>
      <c r="IN2" s="143"/>
      <c r="IO2" s="143"/>
      <c r="IP2" s="143"/>
      <c r="IQ2" s="143"/>
      <c r="IR2" s="143"/>
      <c r="IS2" s="143"/>
      <c r="IT2" s="143"/>
      <c r="IU2" s="143"/>
      <c r="IV2" s="143"/>
      <c r="IW2" s="143"/>
      <c r="IX2" s="143"/>
      <c r="IY2" s="143"/>
      <c r="IZ2" s="143"/>
      <c r="JA2" s="143"/>
      <c r="JB2" s="143"/>
      <c r="JC2" s="143"/>
      <c r="JD2" s="143"/>
      <c r="JE2" s="143"/>
      <c r="JF2" s="143"/>
      <c r="JG2" s="143"/>
      <c r="JH2" s="143"/>
      <c r="JI2" s="143"/>
      <c r="JJ2" s="143"/>
      <c r="JK2" s="143"/>
      <c r="JL2" s="143"/>
      <c r="JM2" s="143"/>
      <c r="JN2" s="143"/>
      <c r="JO2" s="143"/>
      <c r="JP2" s="177"/>
      <c r="JQ2" s="178"/>
      <c r="JR2" s="178"/>
      <c r="JS2" s="178"/>
      <c r="JT2" s="178"/>
      <c r="JU2" s="178"/>
      <c r="JV2" s="178"/>
      <c r="JW2" s="178"/>
      <c r="JX2" s="178"/>
      <c r="JY2" s="178"/>
      <c r="JZ2" s="178"/>
      <c r="KA2" s="178"/>
      <c r="KB2" s="178"/>
      <c r="KC2" s="178"/>
      <c r="KD2" s="178"/>
      <c r="KE2" s="178"/>
      <c r="KF2" s="178"/>
      <c r="KG2" s="178"/>
      <c r="KH2" s="178"/>
      <c r="KI2" s="178"/>
      <c r="KJ2" s="178"/>
      <c r="KK2" s="178"/>
      <c r="KL2" s="179"/>
      <c r="KM2" s="177"/>
      <c r="KN2" s="178"/>
      <c r="KO2" s="178"/>
      <c r="KP2" s="178"/>
      <c r="KQ2" s="178"/>
      <c r="KR2" s="178"/>
      <c r="KS2" s="178"/>
      <c r="KT2" s="178"/>
      <c r="KU2" s="179"/>
      <c r="KV2" s="164"/>
      <c r="KW2" s="165"/>
      <c r="KX2" s="165"/>
      <c r="KY2" s="165"/>
      <c r="KZ2" s="165"/>
      <c r="LA2" s="165"/>
      <c r="LB2" s="165"/>
      <c r="LC2" s="165"/>
      <c r="LD2" s="165"/>
      <c r="LE2" s="165"/>
      <c r="LF2" s="165"/>
      <c r="LG2" s="165"/>
      <c r="LH2" s="165"/>
      <c r="LI2" s="165"/>
      <c r="LJ2" s="165"/>
      <c r="LK2" s="165"/>
      <c r="LL2" s="165"/>
      <c r="LM2" s="165"/>
      <c r="LN2" s="165"/>
      <c r="LO2" s="165"/>
      <c r="LP2" s="166"/>
      <c r="LQ2" s="164"/>
      <c r="LR2" s="165"/>
      <c r="LS2" s="165"/>
      <c r="LT2" s="165"/>
      <c r="LU2" s="165"/>
      <c r="LV2" s="165"/>
      <c r="LW2" s="165"/>
      <c r="LX2" s="165"/>
      <c r="LY2" s="165"/>
      <c r="LZ2" s="165"/>
      <c r="MA2" s="165"/>
      <c r="MB2" s="165"/>
      <c r="MC2" s="165"/>
      <c r="MD2" s="165"/>
      <c r="ME2" s="165"/>
      <c r="MF2" s="165"/>
      <c r="MG2" s="165"/>
      <c r="MH2" s="165"/>
      <c r="MI2" s="166"/>
      <c r="MJ2" s="164"/>
      <c r="MK2" s="165"/>
      <c r="ML2" s="165"/>
      <c r="MM2" s="165"/>
      <c r="MN2" s="165"/>
      <c r="MO2" s="165"/>
      <c r="MP2" s="165"/>
      <c r="MQ2" s="165"/>
      <c r="MR2" s="165"/>
      <c r="MS2" s="165"/>
      <c r="MT2" s="165"/>
      <c r="MU2" s="165"/>
      <c r="MV2" s="165"/>
      <c r="MW2" s="165"/>
      <c r="MX2" s="165"/>
      <c r="MY2" s="165"/>
      <c r="MZ2" s="165"/>
      <c r="NA2" s="165"/>
      <c r="NB2" s="166"/>
      <c r="NC2" s="164"/>
      <c r="ND2" s="165"/>
      <c r="NE2" s="165"/>
      <c r="NF2" s="165"/>
      <c r="NG2" s="165"/>
      <c r="NH2" s="165"/>
      <c r="NI2" s="165"/>
      <c r="NJ2" s="165"/>
      <c r="NK2" s="165"/>
      <c r="NL2" s="165"/>
      <c r="NM2" s="165"/>
      <c r="NN2" s="165"/>
      <c r="NO2" s="165"/>
      <c r="NP2" s="165"/>
      <c r="NQ2" s="165"/>
      <c r="NR2" s="165"/>
      <c r="NS2" s="165"/>
      <c r="NT2" s="165"/>
      <c r="NU2" s="166"/>
      <c r="NV2" s="164"/>
      <c r="NW2" s="165"/>
      <c r="NX2" s="165"/>
      <c r="NY2" s="165"/>
      <c r="NZ2" s="165"/>
      <c r="OA2" s="165"/>
      <c r="OB2" s="165"/>
      <c r="OC2" s="165"/>
      <c r="OD2" s="165"/>
      <c r="OE2" s="165"/>
      <c r="OF2" s="165"/>
      <c r="OG2" s="165"/>
      <c r="OH2" s="165"/>
      <c r="OI2" s="165"/>
      <c r="OJ2" s="165"/>
      <c r="OK2" s="165"/>
      <c r="OL2" s="165"/>
      <c r="OM2" s="165"/>
      <c r="ON2" s="166"/>
      <c r="OO2" s="164"/>
      <c r="OP2" s="165"/>
      <c r="OQ2" s="165"/>
      <c r="OR2" s="165"/>
      <c r="OS2" s="165"/>
      <c r="OT2" s="165"/>
      <c r="OU2" s="165"/>
      <c r="OV2" s="165"/>
      <c r="OW2" s="165"/>
      <c r="OX2" s="165"/>
      <c r="OY2" s="165"/>
      <c r="OZ2" s="165"/>
      <c r="PA2" s="165"/>
      <c r="PB2" s="165"/>
      <c r="PC2" s="165"/>
      <c r="PD2" s="165"/>
      <c r="PE2" s="165"/>
      <c r="PF2" s="165"/>
      <c r="PG2" s="166"/>
      <c r="PH2" s="164"/>
      <c r="PI2" s="165"/>
      <c r="PJ2" s="165"/>
      <c r="PK2" s="165"/>
      <c r="PL2" s="165"/>
      <c r="PM2" s="165"/>
      <c r="PN2" s="165"/>
      <c r="PO2" s="165"/>
      <c r="PP2" s="165"/>
      <c r="PQ2" s="165"/>
      <c r="PR2" s="165"/>
      <c r="PS2" s="165"/>
      <c r="PT2" s="165"/>
      <c r="PU2" s="165"/>
      <c r="PV2" s="165"/>
      <c r="PW2" s="165"/>
      <c r="PX2" s="165"/>
      <c r="PY2" s="165"/>
      <c r="PZ2" s="166"/>
      <c r="QA2" s="164"/>
      <c r="QB2" s="165"/>
      <c r="QC2" s="165"/>
      <c r="QD2" s="165"/>
      <c r="QE2" s="165"/>
      <c r="QF2" s="165"/>
      <c r="QG2" s="165"/>
      <c r="QH2" s="165"/>
      <c r="QI2" s="165"/>
      <c r="QJ2" s="165"/>
      <c r="QK2" s="165"/>
      <c r="QL2" s="165"/>
      <c r="QM2" s="165"/>
      <c r="QN2" s="165"/>
      <c r="QO2" s="165"/>
      <c r="QP2" s="165"/>
      <c r="QQ2" s="165"/>
      <c r="QR2" s="165"/>
      <c r="QS2" s="166"/>
      <c r="QT2" s="164"/>
      <c r="QU2" s="165"/>
      <c r="QV2" s="165"/>
      <c r="QW2" s="165"/>
      <c r="QX2" s="165"/>
      <c r="QY2" s="165"/>
      <c r="QZ2" s="165"/>
      <c r="RA2" s="165"/>
      <c r="RB2" s="165"/>
      <c r="RC2" s="165"/>
      <c r="RD2" s="165"/>
      <c r="RE2" s="165"/>
      <c r="RF2" s="165"/>
      <c r="RG2" s="165"/>
      <c r="RH2" s="165"/>
      <c r="RI2" s="165"/>
      <c r="RJ2" s="165"/>
      <c r="RK2" s="165"/>
      <c r="RL2" s="166"/>
      <c r="RM2" s="164"/>
      <c r="RN2" s="165"/>
      <c r="RO2" s="165"/>
      <c r="RP2" s="165"/>
      <c r="RQ2" s="165"/>
      <c r="RR2" s="165"/>
      <c r="RS2" s="165"/>
      <c r="RT2" s="165"/>
      <c r="RU2" s="165"/>
      <c r="RV2" s="165"/>
      <c r="RW2" s="165"/>
      <c r="RX2" s="165"/>
      <c r="RY2" s="165"/>
      <c r="RZ2" s="165"/>
      <c r="SA2" s="165"/>
      <c r="SB2" s="165"/>
      <c r="SC2" s="165"/>
      <c r="SD2" s="165"/>
      <c r="SE2" s="166"/>
      <c r="SF2" s="164"/>
      <c r="SG2" s="165"/>
      <c r="SH2" s="165"/>
      <c r="SI2" s="165"/>
      <c r="SJ2" s="165"/>
      <c r="SK2" s="165"/>
      <c r="SL2" s="165"/>
      <c r="SM2" s="165"/>
      <c r="SN2" s="165"/>
      <c r="SO2" s="165"/>
      <c r="SP2" s="165"/>
      <c r="SQ2" s="165"/>
      <c r="SR2" s="165"/>
      <c r="SS2" s="165"/>
      <c r="ST2" s="165"/>
      <c r="SU2" s="165"/>
      <c r="SV2" s="165"/>
      <c r="SW2" s="165"/>
      <c r="SX2" s="166"/>
      <c r="SY2" s="164"/>
      <c r="SZ2" s="165"/>
      <c r="TA2" s="165"/>
      <c r="TB2" s="165"/>
      <c r="TC2" s="165"/>
      <c r="TD2" s="165"/>
      <c r="TE2" s="165"/>
      <c r="TF2" s="165"/>
      <c r="TG2" s="165"/>
      <c r="TH2" s="165"/>
      <c r="TI2" s="165"/>
      <c r="TJ2" s="165"/>
      <c r="TK2" s="165"/>
      <c r="TL2" s="165"/>
      <c r="TM2" s="165"/>
      <c r="TN2" s="165"/>
      <c r="TO2" s="165"/>
      <c r="TP2" s="165"/>
      <c r="TQ2" s="166"/>
      <c r="TR2" s="164"/>
      <c r="TS2" s="165"/>
      <c r="TT2" s="165"/>
      <c r="TU2" s="165"/>
      <c r="TV2" s="165"/>
      <c r="TW2" s="165"/>
      <c r="TX2" s="165"/>
      <c r="TY2" s="165"/>
      <c r="TZ2" s="165"/>
      <c r="UA2" s="165"/>
      <c r="UB2" s="165"/>
      <c r="UC2" s="165"/>
      <c r="UD2" s="165"/>
      <c r="UE2" s="165"/>
      <c r="UF2" s="165"/>
      <c r="UG2" s="165"/>
      <c r="UH2" s="165"/>
      <c r="UI2" s="165"/>
      <c r="UJ2" s="166"/>
      <c r="UK2" s="164"/>
      <c r="UL2" s="165"/>
      <c r="UM2" s="165"/>
      <c r="UN2" s="165"/>
      <c r="UO2" s="165"/>
      <c r="UP2" s="165"/>
      <c r="UQ2" s="165"/>
      <c r="UR2" s="165"/>
      <c r="US2" s="165"/>
      <c r="UT2" s="165"/>
      <c r="UU2" s="165"/>
      <c r="UV2" s="165"/>
      <c r="UW2" s="165"/>
      <c r="UX2" s="165"/>
      <c r="UY2" s="165"/>
      <c r="UZ2" s="165"/>
      <c r="VA2" s="165"/>
      <c r="VB2" s="165"/>
      <c r="VC2" s="166"/>
      <c r="VD2" s="164"/>
      <c r="VE2" s="165"/>
      <c r="VF2" s="165"/>
      <c r="VG2" s="165"/>
      <c r="VH2" s="165"/>
      <c r="VI2" s="165"/>
      <c r="VJ2" s="165"/>
      <c r="VK2" s="165"/>
      <c r="VL2" s="165"/>
      <c r="VM2" s="165"/>
      <c r="VN2" s="165"/>
      <c r="VO2" s="165"/>
      <c r="VP2" s="165"/>
      <c r="VQ2" s="165"/>
      <c r="VR2" s="165"/>
      <c r="VS2" s="165"/>
      <c r="VT2" s="165"/>
      <c r="VU2" s="165"/>
      <c r="VV2" s="166"/>
      <c r="VW2" s="164"/>
      <c r="VX2" s="165"/>
      <c r="VY2" s="165"/>
      <c r="VZ2" s="165"/>
      <c r="WA2" s="165"/>
      <c r="WB2" s="165"/>
      <c r="WC2" s="165"/>
      <c r="WD2" s="165"/>
      <c r="WE2" s="165"/>
      <c r="WF2" s="165"/>
      <c r="WG2" s="165"/>
      <c r="WH2" s="165"/>
      <c r="WI2" s="165"/>
      <c r="WJ2" s="165"/>
      <c r="WK2" s="165"/>
      <c r="WL2" s="165"/>
      <c r="WM2" s="165"/>
      <c r="WN2" s="165"/>
      <c r="WO2" s="166"/>
      <c r="WP2" s="164"/>
      <c r="WQ2" s="165"/>
      <c r="WR2" s="165"/>
      <c r="WS2" s="165"/>
      <c r="WT2" s="165"/>
      <c r="WU2" s="165"/>
      <c r="WV2" s="165"/>
      <c r="WW2" s="165"/>
      <c r="WX2" s="165"/>
      <c r="WY2" s="165"/>
      <c r="WZ2" s="165"/>
      <c r="XA2" s="165"/>
      <c r="XB2" s="165"/>
      <c r="XC2" s="165"/>
      <c r="XD2" s="165"/>
      <c r="XE2" s="165"/>
      <c r="XF2" s="165"/>
      <c r="XG2" s="165"/>
      <c r="XH2" s="166"/>
      <c r="XI2" s="164"/>
      <c r="XJ2" s="165"/>
      <c r="XK2" s="165"/>
      <c r="XL2" s="165"/>
      <c r="XM2" s="165"/>
      <c r="XN2" s="165"/>
      <c r="XO2" s="165"/>
      <c r="XP2" s="165"/>
      <c r="XQ2" s="165"/>
      <c r="XR2" s="165"/>
      <c r="XS2" s="165"/>
      <c r="XT2" s="165"/>
      <c r="XU2" s="165"/>
      <c r="XV2" s="165"/>
      <c r="XW2" s="165"/>
      <c r="XX2" s="165"/>
      <c r="XY2" s="165"/>
      <c r="XZ2" s="165"/>
      <c r="YA2" s="166"/>
      <c r="YB2" s="164"/>
      <c r="YC2" s="165"/>
      <c r="YD2" s="165"/>
      <c r="YE2" s="165"/>
      <c r="YF2" s="165"/>
      <c r="YG2" s="165"/>
      <c r="YH2" s="165"/>
      <c r="YI2" s="165"/>
      <c r="YJ2" s="165"/>
      <c r="YK2" s="165"/>
      <c r="YL2" s="165"/>
      <c r="YM2" s="165"/>
      <c r="YN2" s="165"/>
      <c r="YO2" s="165"/>
      <c r="YP2" s="165"/>
      <c r="YQ2" s="165"/>
      <c r="YR2" s="165"/>
      <c r="YS2" s="165"/>
      <c r="YT2" s="166"/>
      <c r="YU2" s="164"/>
      <c r="YV2" s="165"/>
      <c r="YW2" s="165"/>
      <c r="YX2" s="165"/>
      <c r="YY2" s="165"/>
      <c r="YZ2" s="165"/>
      <c r="ZA2" s="165"/>
      <c r="ZB2" s="165"/>
      <c r="ZC2" s="165"/>
      <c r="ZD2" s="165"/>
      <c r="ZE2" s="165"/>
      <c r="ZF2" s="165"/>
      <c r="ZG2" s="165"/>
      <c r="ZH2" s="165"/>
      <c r="ZI2" s="165"/>
      <c r="ZJ2" s="165"/>
      <c r="ZK2" s="165"/>
      <c r="ZL2" s="165"/>
      <c r="ZM2" s="166"/>
      <c r="ZN2" s="164"/>
      <c r="ZO2" s="165"/>
      <c r="ZP2" s="165"/>
      <c r="ZQ2" s="165"/>
      <c r="ZR2" s="165"/>
      <c r="ZS2" s="165"/>
      <c r="ZT2" s="165"/>
      <c r="ZU2" s="165"/>
      <c r="ZV2" s="165"/>
      <c r="ZW2" s="165"/>
      <c r="ZX2" s="165"/>
      <c r="ZY2" s="165"/>
      <c r="ZZ2" s="165"/>
      <c r="AAA2" s="165"/>
      <c r="AAB2" s="165"/>
      <c r="AAC2" s="165"/>
      <c r="AAD2" s="165"/>
      <c r="AAE2" s="165"/>
      <c r="AAF2" s="166"/>
      <c r="AAG2" s="164"/>
      <c r="AAH2" s="165"/>
      <c r="AAI2" s="165"/>
      <c r="AAJ2" s="165"/>
      <c r="AAK2" s="165"/>
      <c r="AAL2" s="165"/>
      <c r="AAM2" s="165"/>
      <c r="AAN2" s="165"/>
      <c r="AAO2" s="165"/>
      <c r="AAP2" s="165"/>
      <c r="AAQ2" s="165"/>
      <c r="AAR2" s="165"/>
      <c r="AAS2" s="165"/>
      <c r="AAT2" s="165"/>
      <c r="AAU2" s="165"/>
      <c r="AAV2" s="165"/>
      <c r="AAW2" s="165"/>
      <c r="AAX2" s="165"/>
      <c r="AAY2" s="166"/>
      <c r="AAZ2" s="164"/>
      <c r="ABA2" s="165"/>
      <c r="ABB2" s="165"/>
      <c r="ABC2" s="165"/>
      <c r="ABD2" s="165"/>
      <c r="ABE2" s="165"/>
      <c r="ABF2" s="165"/>
      <c r="ABG2" s="165"/>
      <c r="ABH2" s="165"/>
      <c r="ABI2" s="165"/>
      <c r="ABJ2" s="165"/>
      <c r="ABK2" s="165"/>
      <c r="ABL2" s="165"/>
      <c r="ABM2" s="165"/>
      <c r="ABN2" s="165"/>
      <c r="ABO2" s="165"/>
      <c r="ABP2" s="165"/>
      <c r="ABQ2" s="165"/>
      <c r="ABR2" s="166"/>
      <c r="ABS2" s="164"/>
      <c r="ABT2" s="165"/>
      <c r="ABU2" s="165"/>
      <c r="ABV2" s="165"/>
      <c r="ABW2" s="165"/>
      <c r="ABX2" s="165"/>
      <c r="ABY2" s="165"/>
      <c r="ABZ2" s="165"/>
      <c r="ACA2" s="165"/>
      <c r="ACB2" s="165"/>
      <c r="ACC2" s="165"/>
      <c r="ACD2" s="165"/>
      <c r="ACE2" s="165"/>
      <c r="ACF2" s="165"/>
      <c r="ACG2" s="165"/>
      <c r="ACH2" s="165"/>
      <c r="ACI2" s="165"/>
      <c r="ACJ2" s="165"/>
      <c r="ACK2" s="166"/>
      <c r="ACL2" s="164"/>
      <c r="ACM2" s="165"/>
      <c r="ACN2" s="165"/>
      <c r="ACO2" s="165"/>
      <c r="ACP2" s="165"/>
      <c r="ACQ2" s="165"/>
      <c r="ACR2" s="165"/>
      <c r="ACS2" s="165"/>
      <c r="ACT2" s="165"/>
      <c r="ACU2" s="165"/>
      <c r="ACV2" s="165"/>
      <c r="ACW2" s="165"/>
      <c r="ACX2" s="165"/>
      <c r="ACY2" s="165"/>
      <c r="ACZ2" s="165"/>
      <c r="ADA2" s="165"/>
      <c r="ADB2" s="165"/>
      <c r="ADC2" s="165"/>
      <c r="ADD2" s="166"/>
      <c r="ADE2" s="164"/>
      <c r="ADF2" s="165"/>
      <c r="ADG2" s="165"/>
      <c r="ADH2" s="165"/>
      <c r="ADI2" s="165"/>
      <c r="ADJ2" s="165"/>
      <c r="ADK2" s="165"/>
      <c r="ADL2" s="165"/>
      <c r="ADM2" s="165"/>
      <c r="ADN2" s="165"/>
      <c r="ADO2" s="165"/>
      <c r="ADP2" s="165"/>
      <c r="ADQ2" s="165"/>
      <c r="ADR2" s="165"/>
      <c r="ADS2" s="165"/>
      <c r="ADT2" s="165"/>
      <c r="ADU2" s="165"/>
      <c r="ADV2" s="165"/>
      <c r="ADW2" s="166"/>
      <c r="ADX2" s="164"/>
      <c r="ADY2" s="165"/>
      <c r="ADZ2" s="165"/>
      <c r="AEA2" s="165"/>
      <c r="AEB2" s="165"/>
      <c r="AEC2" s="165"/>
      <c r="AED2" s="165"/>
      <c r="AEE2" s="165"/>
      <c r="AEF2" s="165"/>
      <c r="AEG2" s="165"/>
      <c r="AEH2" s="165"/>
      <c r="AEI2" s="165"/>
      <c r="AEJ2" s="165"/>
      <c r="AEK2" s="165"/>
      <c r="AEL2" s="165"/>
      <c r="AEM2" s="165"/>
      <c r="AEN2" s="165"/>
      <c r="AEO2" s="165"/>
      <c r="AEP2" s="166"/>
      <c r="AEQ2" s="164"/>
      <c r="AER2" s="165"/>
      <c r="AES2" s="165"/>
      <c r="AET2" s="165"/>
      <c r="AEU2" s="165"/>
      <c r="AEV2" s="165"/>
      <c r="AEW2" s="165"/>
      <c r="AEX2" s="165"/>
      <c r="AEY2" s="165"/>
      <c r="AEZ2" s="165"/>
      <c r="AFA2" s="165"/>
      <c r="AFB2" s="165"/>
      <c r="AFC2" s="165"/>
      <c r="AFD2" s="165"/>
      <c r="AFE2" s="165"/>
      <c r="AFF2" s="165"/>
      <c r="AFG2" s="165"/>
      <c r="AFH2" s="165"/>
      <c r="AFI2" s="166"/>
      <c r="AFJ2" s="164"/>
      <c r="AFK2" s="165"/>
      <c r="AFL2" s="165"/>
      <c r="AFM2" s="165"/>
      <c r="AFN2" s="165"/>
      <c r="AFO2" s="165"/>
      <c r="AFP2" s="165"/>
      <c r="AFQ2" s="165"/>
      <c r="AFR2" s="165"/>
      <c r="AFS2" s="165"/>
      <c r="AFT2" s="165"/>
      <c r="AFU2" s="165"/>
      <c r="AFV2" s="165"/>
      <c r="AFW2" s="165"/>
      <c r="AFX2" s="165"/>
      <c r="AFY2" s="165"/>
      <c r="AFZ2" s="165"/>
      <c r="AGA2" s="165"/>
      <c r="AGB2" s="166"/>
      <c r="AGC2" s="164"/>
      <c r="AGD2" s="165"/>
      <c r="AGE2" s="165"/>
      <c r="AGF2" s="165"/>
      <c r="AGG2" s="165"/>
      <c r="AGH2" s="165"/>
      <c r="AGI2" s="165"/>
      <c r="AGJ2" s="165"/>
      <c r="AGK2" s="165"/>
      <c r="AGL2" s="165"/>
      <c r="AGM2" s="165"/>
      <c r="AGN2" s="165"/>
      <c r="AGO2" s="165"/>
      <c r="AGP2" s="165"/>
      <c r="AGQ2" s="165"/>
      <c r="AGR2" s="165"/>
      <c r="AGS2" s="165"/>
      <c r="AGT2" s="165"/>
      <c r="AGU2" s="166"/>
      <c r="AGV2" s="164"/>
      <c r="AGW2" s="165"/>
      <c r="AGX2" s="165"/>
      <c r="AGY2" s="165"/>
      <c r="AGZ2" s="165"/>
      <c r="AHA2" s="165"/>
      <c r="AHB2" s="165"/>
      <c r="AHC2" s="165"/>
      <c r="AHD2" s="165"/>
      <c r="AHE2" s="165"/>
      <c r="AHF2" s="165"/>
      <c r="AHG2" s="165"/>
      <c r="AHH2" s="165"/>
      <c r="AHI2" s="165"/>
      <c r="AHJ2" s="165"/>
      <c r="AHK2" s="165"/>
      <c r="AHL2" s="165"/>
      <c r="AHM2" s="165"/>
      <c r="AHN2" s="166"/>
      <c r="AHO2" s="164"/>
      <c r="AHP2" s="165"/>
      <c r="AHQ2" s="165"/>
      <c r="AHR2" s="165"/>
      <c r="AHS2" s="165"/>
      <c r="AHT2" s="165"/>
      <c r="AHU2" s="165"/>
      <c r="AHV2" s="165"/>
      <c r="AHW2" s="165"/>
      <c r="AHX2" s="165"/>
      <c r="AHY2" s="165"/>
      <c r="AHZ2" s="165"/>
      <c r="AIA2" s="165"/>
      <c r="AIB2" s="165"/>
      <c r="AIC2" s="165"/>
      <c r="AID2" s="165"/>
      <c r="AIE2" s="165"/>
      <c r="AIF2" s="165"/>
      <c r="AIG2" s="166"/>
      <c r="AIH2" s="164"/>
      <c r="AII2" s="165"/>
      <c r="AIJ2" s="165"/>
      <c r="AIK2" s="165"/>
      <c r="AIL2" s="165"/>
      <c r="AIM2" s="165"/>
      <c r="AIN2" s="165"/>
      <c r="AIO2" s="165"/>
      <c r="AIP2" s="165"/>
      <c r="AIQ2" s="165"/>
      <c r="AIR2" s="165"/>
      <c r="AIS2" s="165"/>
      <c r="AIT2" s="165"/>
      <c r="AIU2" s="165"/>
      <c r="AIV2" s="165"/>
      <c r="AIW2" s="165"/>
      <c r="AIX2" s="165"/>
      <c r="AIY2" s="165"/>
      <c r="AIZ2" s="166"/>
      <c r="AJA2" s="164"/>
      <c r="AJB2" s="165"/>
      <c r="AJC2" s="165"/>
      <c r="AJD2" s="165"/>
      <c r="AJE2" s="165"/>
      <c r="AJF2" s="165"/>
      <c r="AJG2" s="165"/>
      <c r="AJH2" s="165"/>
      <c r="AJI2" s="165"/>
      <c r="AJJ2" s="165"/>
      <c r="AJK2" s="165"/>
      <c r="AJL2" s="165"/>
      <c r="AJM2" s="103"/>
      <c r="AJN2" s="103"/>
      <c r="AJO2" s="103"/>
      <c r="AJP2" s="103"/>
      <c r="AJQ2" s="103"/>
      <c r="AJR2" s="103"/>
      <c r="AJS2" s="104"/>
      <c r="AJT2" s="227"/>
      <c r="AJU2" s="228"/>
      <c r="AJV2" s="228"/>
      <c r="AJW2" s="228"/>
      <c r="AJX2" s="228"/>
      <c r="AJY2" s="228"/>
      <c r="AJZ2" s="228"/>
      <c r="AKA2" s="228"/>
      <c r="AKB2" s="228"/>
      <c r="AKC2" s="228"/>
      <c r="AKD2" s="229"/>
      <c r="AKE2" s="227"/>
      <c r="AKF2" s="228"/>
      <c r="AKG2" s="228"/>
      <c r="AKH2" s="228"/>
      <c r="AKI2" s="228"/>
      <c r="AKJ2" s="228"/>
      <c r="AKK2" s="228"/>
      <c r="AKL2" s="228"/>
      <c r="AKM2" s="228"/>
      <c r="AKN2" s="228"/>
      <c r="AKO2" s="228"/>
      <c r="AKP2" s="228"/>
      <c r="AKQ2" s="229"/>
      <c r="AKR2" s="177"/>
      <c r="AKS2" s="178"/>
      <c r="AKT2" s="178"/>
      <c r="AKU2" s="178"/>
      <c r="AKV2" s="178"/>
      <c r="AKW2" s="178"/>
      <c r="AKX2" s="178"/>
      <c r="AKY2" s="178"/>
      <c r="AKZ2" s="178"/>
      <c r="ALA2" s="178"/>
      <c r="ALB2" s="178"/>
      <c r="ALC2" s="253"/>
      <c r="ALD2" s="254"/>
      <c r="ALE2" s="105" t="s">
        <v>116</v>
      </c>
      <c r="ALF2" s="106"/>
      <c r="ALG2" s="106"/>
      <c r="ALH2" s="106"/>
      <c r="ALI2" s="106"/>
      <c r="ALJ2" s="106"/>
      <c r="ALK2" s="106"/>
      <c r="ALL2" s="106"/>
      <c r="ALM2" s="106"/>
      <c r="ALN2" s="106"/>
      <c r="ALO2" s="106"/>
      <c r="ALP2" s="106"/>
      <c r="ALQ2" s="106"/>
      <c r="ALR2" s="106"/>
      <c r="ALS2" s="106"/>
      <c r="ALT2" s="106"/>
      <c r="ALU2" s="106"/>
      <c r="ALV2" s="106"/>
      <c r="ALW2" s="106"/>
      <c r="ALX2" s="106"/>
      <c r="ALY2" s="106"/>
      <c r="ALZ2" s="106"/>
      <c r="AMA2" s="106"/>
      <c r="AMB2" s="106"/>
      <c r="AMC2" s="106"/>
      <c r="AMD2" s="106"/>
      <c r="AME2" s="107"/>
      <c r="AMF2" s="108"/>
      <c r="AMG2" s="109"/>
      <c r="AMH2" s="109"/>
      <c r="AMI2" s="109"/>
      <c r="AMJ2" s="109"/>
      <c r="AMK2" s="109"/>
      <c r="AML2" s="108"/>
      <c r="AMM2" s="109"/>
      <c r="AMN2" s="110"/>
      <c r="AMO2" s="110"/>
      <c r="AMP2" s="108"/>
      <c r="AMQ2" s="109"/>
      <c r="AMR2" s="110"/>
      <c r="AMS2" s="110"/>
      <c r="AMT2" s="110"/>
      <c r="AMU2" s="110"/>
      <c r="AMV2" s="110"/>
      <c r="AMW2" s="108"/>
      <c r="AMX2" s="109"/>
      <c r="AMY2" s="110"/>
      <c r="AMZ2" s="110"/>
      <c r="ANA2" s="110"/>
      <c r="ANB2" s="110"/>
      <c r="ANC2" s="110"/>
      <c r="AND2" s="110"/>
      <c r="ANE2" s="110"/>
      <c r="ANF2" s="110"/>
      <c r="ANG2" s="110"/>
      <c r="ANH2" s="110"/>
      <c r="ANI2" s="110"/>
      <c r="ANJ2" s="110"/>
      <c r="ANK2" s="108"/>
      <c r="ANL2" s="109"/>
      <c r="ANM2" s="106"/>
      <c r="ANN2" s="106"/>
      <c r="ANO2" s="106"/>
      <c r="ANP2" s="106"/>
      <c r="ANQ2" s="106"/>
      <c r="ANR2" s="106"/>
      <c r="ANS2" s="106"/>
      <c r="ANT2" s="106"/>
      <c r="ANU2" s="106"/>
      <c r="ANV2" s="177"/>
      <c r="ANW2" s="178"/>
      <c r="ANX2" s="178"/>
      <c r="ANY2" s="179"/>
      <c r="ANZ2" s="215"/>
      <c r="AOA2" s="217"/>
      <c r="AOB2" s="215"/>
      <c r="AOC2" s="217"/>
      <c r="AOD2" s="215"/>
      <c r="AOE2" s="217"/>
      <c r="AOF2" s="246" t="s">
        <v>87</v>
      </c>
      <c r="AOG2" s="246"/>
      <c r="AOH2" s="246"/>
      <c r="AOI2" s="246"/>
      <c r="AOJ2" s="246"/>
      <c r="AOK2" s="111"/>
      <c r="AOL2" s="247" t="s">
        <v>88</v>
      </c>
      <c r="AOM2" s="248"/>
      <c r="AON2" s="248"/>
      <c r="AOO2" s="248"/>
      <c r="AOP2" s="248"/>
      <c r="AOQ2" s="248"/>
      <c r="AOR2" s="248"/>
      <c r="AOS2" s="248"/>
      <c r="AOT2" s="248"/>
      <c r="AOU2" s="248"/>
      <c r="AOV2" s="248"/>
      <c r="AOW2" s="248"/>
      <c r="AOX2" s="248"/>
      <c r="AOY2" s="249"/>
      <c r="AOZ2" s="112"/>
      <c r="APA2" s="112"/>
      <c r="APB2" s="247" t="s">
        <v>89</v>
      </c>
      <c r="APC2" s="248"/>
      <c r="APD2" s="248"/>
      <c r="APE2" s="248"/>
      <c r="APF2" s="248"/>
      <c r="APG2" s="248"/>
      <c r="APH2" s="248"/>
      <c r="API2" s="248"/>
      <c r="APJ2" s="248"/>
      <c r="APK2" s="248"/>
      <c r="APL2" s="248"/>
      <c r="APM2" s="248"/>
      <c r="APN2" s="248"/>
      <c r="APO2" s="249"/>
    </row>
    <row r="3" spans="1:1110" s="117" customFormat="1" ht="31.5" customHeight="1">
      <c r="A3" s="209" t="s">
        <v>436</v>
      </c>
      <c r="B3" s="210"/>
      <c r="C3" s="210"/>
      <c r="D3" s="210"/>
      <c r="E3" s="211"/>
      <c r="F3" s="177"/>
      <c r="G3" s="178"/>
      <c r="H3" s="179"/>
      <c r="I3" s="177"/>
      <c r="J3" s="179"/>
      <c r="K3" s="177"/>
      <c r="L3" s="178"/>
      <c r="M3" s="178"/>
      <c r="N3" s="179"/>
      <c r="O3" s="177"/>
      <c r="P3" s="179"/>
      <c r="Q3" s="177"/>
      <c r="R3" s="178"/>
      <c r="S3" s="178"/>
      <c r="T3" s="179"/>
      <c r="U3" s="215"/>
      <c r="V3" s="216"/>
      <c r="W3" s="217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3"/>
      <c r="CP3" s="143"/>
      <c r="CQ3" s="143"/>
      <c r="CR3" s="143"/>
      <c r="CS3" s="143"/>
      <c r="CT3" s="143"/>
      <c r="CU3" s="143"/>
      <c r="CV3" s="143"/>
      <c r="CW3" s="143"/>
      <c r="CX3" s="143"/>
      <c r="CY3" s="143"/>
      <c r="CZ3" s="143"/>
      <c r="DA3" s="143"/>
      <c r="DB3" s="143"/>
      <c r="DC3" s="143"/>
      <c r="DD3" s="143"/>
      <c r="DE3" s="143"/>
      <c r="DF3" s="143"/>
      <c r="DG3" s="143"/>
      <c r="DH3" s="143"/>
      <c r="DI3" s="143"/>
      <c r="DJ3" s="143"/>
      <c r="DK3" s="143"/>
      <c r="DL3" s="143"/>
      <c r="DM3" s="143"/>
      <c r="DN3" s="143"/>
      <c r="DO3" s="143"/>
      <c r="DP3" s="143"/>
      <c r="DQ3" s="143"/>
      <c r="DR3" s="143"/>
      <c r="DS3" s="143"/>
      <c r="DT3" s="143"/>
      <c r="DU3" s="143"/>
      <c r="DV3" s="143"/>
      <c r="DW3" s="143"/>
      <c r="DX3" s="143"/>
      <c r="DY3" s="143"/>
      <c r="DZ3" s="164"/>
      <c r="EA3" s="165"/>
      <c r="EB3" s="165"/>
      <c r="EC3" s="165"/>
      <c r="ED3" s="165"/>
      <c r="EE3" s="165"/>
      <c r="EF3" s="165"/>
      <c r="EG3" s="165"/>
      <c r="EH3" s="165"/>
      <c r="EI3" s="165"/>
      <c r="EJ3" s="165"/>
      <c r="EK3" s="165"/>
      <c r="EL3" s="165"/>
      <c r="EM3" s="165"/>
      <c r="EN3" s="165"/>
      <c r="EO3" s="165"/>
      <c r="EP3" s="165"/>
      <c r="EQ3" s="165"/>
      <c r="ER3" s="165"/>
      <c r="ES3" s="165"/>
      <c r="ET3" s="166"/>
      <c r="EU3" s="164"/>
      <c r="EV3" s="165"/>
      <c r="EW3" s="165"/>
      <c r="EX3" s="165"/>
      <c r="EY3" s="165"/>
      <c r="EZ3" s="165"/>
      <c r="FA3" s="165"/>
      <c r="FB3" s="165"/>
      <c r="FC3" s="165"/>
      <c r="FD3" s="165"/>
      <c r="FE3" s="165"/>
      <c r="FF3" s="165"/>
      <c r="FG3" s="165"/>
      <c r="FH3" s="165"/>
      <c r="FI3" s="165"/>
      <c r="FJ3" s="192"/>
      <c r="FK3" s="193"/>
      <c r="FL3" s="193"/>
      <c r="FM3" s="193"/>
      <c r="FN3" s="193"/>
      <c r="FO3" s="193"/>
      <c r="FP3" s="193"/>
      <c r="FQ3" s="193"/>
      <c r="FR3" s="193"/>
      <c r="FS3" s="193"/>
      <c r="FT3" s="193"/>
      <c r="FU3" s="193"/>
      <c r="FV3" s="193"/>
      <c r="FW3" s="193"/>
      <c r="FX3" s="193"/>
      <c r="FY3" s="193"/>
      <c r="FZ3" s="193"/>
      <c r="GA3" s="193"/>
      <c r="GB3" s="194"/>
      <c r="GC3" s="143"/>
      <c r="GD3" s="143"/>
      <c r="GE3" s="143"/>
      <c r="GF3" s="143"/>
      <c r="GG3" s="143"/>
      <c r="GH3" s="143"/>
      <c r="GI3" s="143"/>
      <c r="GJ3" s="143"/>
      <c r="GK3" s="143"/>
      <c r="GL3" s="143"/>
      <c r="GM3" s="143"/>
      <c r="GN3" s="143"/>
      <c r="GO3" s="143"/>
      <c r="GP3" s="143"/>
      <c r="GQ3" s="143"/>
      <c r="GR3" s="143"/>
      <c r="GS3" s="143"/>
      <c r="GT3" s="143"/>
      <c r="GU3" s="143"/>
      <c r="GV3" s="143"/>
      <c r="GW3" s="143"/>
      <c r="GX3" s="143"/>
      <c r="GY3" s="143"/>
      <c r="GZ3" s="143"/>
      <c r="HA3" s="143"/>
      <c r="HB3" s="143"/>
      <c r="HC3" s="143"/>
      <c r="HD3" s="143"/>
      <c r="HE3" s="143"/>
      <c r="HF3" s="143"/>
      <c r="HG3" s="143"/>
      <c r="HH3" s="143"/>
      <c r="HI3" s="143"/>
      <c r="HJ3" s="143"/>
      <c r="HK3" s="143"/>
      <c r="HL3" s="143"/>
      <c r="HM3" s="143"/>
      <c r="HN3" s="143"/>
      <c r="HO3" s="143"/>
      <c r="HP3" s="143"/>
      <c r="HQ3" s="143"/>
      <c r="HR3" s="143"/>
      <c r="HS3" s="143"/>
      <c r="HT3" s="143"/>
      <c r="HU3" s="143"/>
      <c r="HV3" s="143"/>
      <c r="HW3" s="143"/>
      <c r="HX3" s="143"/>
      <c r="HY3" s="143"/>
      <c r="HZ3" s="143"/>
      <c r="IA3" s="143"/>
      <c r="IB3" s="143"/>
      <c r="IC3" s="143"/>
      <c r="ID3" s="143"/>
      <c r="IE3" s="143"/>
      <c r="IF3" s="143"/>
      <c r="IG3" s="143"/>
      <c r="IH3" s="143"/>
      <c r="II3" s="143"/>
      <c r="IJ3" s="143"/>
      <c r="IK3" s="143"/>
      <c r="IL3" s="143"/>
      <c r="IM3" s="143"/>
      <c r="IN3" s="143"/>
      <c r="IO3" s="143"/>
      <c r="IP3" s="143"/>
      <c r="IQ3" s="143"/>
      <c r="IR3" s="143"/>
      <c r="IS3" s="143"/>
      <c r="IT3" s="143"/>
      <c r="IU3" s="143"/>
      <c r="IV3" s="143"/>
      <c r="IW3" s="143"/>
      <c r="IX3" s="143"/>
      <c r="IY3" s="143"/>
      <c r="IZ3" s="143"/>
      <c r="JA3" s="143"/>
      <c r="JB3" s="143"/>
      <c r="JC3" s="143"/>
      <c r="JD3" s="143"/>
      <c r="JE3" s="143"/>
      <c r="JF3" s="143"/>
      <c r="JG3" s="143"/>
      <c r="JH3" s="143"/>
      <c r="JI3" s="143"/>
      <c r="JJ3" s="143"/>
      <c r="JK3" s="143"/>
      <c r="JL3" s="143"/>
      <c r="JM3" s="143"/>
      <c r="JN3" s="143"/>
      <c r="JO3" s="143"/>
      <c r="JP3" s="164"/>
      <c r="JQ3" s="165"/>
      <c r="JR3" s="165"/>
      <c r="JS3" s="165"/>
      <c r="JT3" s="165"/>
      <c r="JU3" s="165"/>
      <c r="JV3" s="165"/>
      <c r="JW3" s="165"/>
      <c r="JX3" s="165"/>
      <c r="JY3" s="165"/>
      <c r="JZ3" s="165"/>
      <c r="KA3" s="165"/>
      <c r="KB3" s="165"/>
      <c r="KC3" s="165"/>
      <c r="KD3" s="165"/>
      <c r="KE3" s="165"/>
      <c r="KF3" s="165"/>
      <c r="KG3" s="165"/>
      <c r="KH3" s="165"/>
      <c r="KI3" s="165"/>
      <c r="KJ3" s="165"/>
      <c r="KK3" s="165"/>
      <c r="KL3" s="166"/>
      <c r="KM3" s="164"/>
      <c r="KN3" s="165"/>
      <c r="KO3" s="165"/>
      <c r="KP3" s="165"/>
      <c r="KQ3" s="165"/>
      <c r="KR3" s="165"/>
      <c r="KS3" s="165"/>
      <c r="KT3" s="165"/>
      <c r="KU3" s="166"/>
      <c r="KV3" s="167" t="s">
        <v>193</v>
      </c>
      <c r="KW3" s="168"/>
      <c r="KX3" s="171" t="s">
        <v>86</v>
      </c>
      <c r="KY3" s="172"/>
      <c r="KZ3" s="172"/>
      <c r="LA3" s="172"/>
      <c r="LB3" s="172"/>
      <c r="LC3" s="172"/>
      <c r="LD3" s="172"/>
      <c r="LE3" s="172"/>
      <c r="LF3" s="172"/>
      <c r="LG3" s="172"/>
      <c r="LH3" s="172"/>
      <c r="LI3" s="172"/>
      <c r="LJ3" s="172"/>
      <c r="LK3" s="172"/>
      <c r="LL3" s="172"/>
      <c r="LM3" s="172"/>
      <c r="LN3" s="167" t="s">
        <v>128</v>
      </c>
      <c r="LO3" s="174"/>
      <c r="LP3" s="168"/>
      <c r="LQ3" s="154" t="s">
        <v>202</v>
      </c>
      <c r="LR3" s="155"/>
      <c r="LS3" s="155"/>
      <c r="LT3" s="155"/>
      <c r="LU3" s="155"/>
      <c r="LV3" s="155"/>
      <c r="LW3" s="155"/>
      <c r="LX3" s="155"/>
      <c r="LY3" s="155"/>
      <c r="LZ3" s="155"/>
      <c r="MA3" s="155"/>
      <c r="MB3" s="155"/>
      <c r="MC3" s="155"/>
      <c r="MD3" s="155"/>
      <c r="ME3" s="155"/>
      <c r="MF3" s="155"/>
      <c r="MG3" s="155"/>
      <c r="MH3" s="155"/>
      <c r="MI3" s="156"/>
      <c r="MJ3" s="154" t="s">
        <v>203</v>
      </c>
      <c r="MK3" s="155"/>
      <c r="ML3" s="155"/>
      <c r="MM3" s="155"/>
      <c r="MN3" s="155"/>
      <c r="MO3" s="155"/>
      <c r="MP3" s="155"/>
      <c r="MQ3" s="155"/>
      <c r="MR3" s="155"/>
      <c r="MS3" s="155"/>
      <c r="MT3" s="155"/>
      <c r="MU3" s="155"/>
      <c r="MV3" s="155"/>
      <c r="MW3" s="155"/>
      <c r="MX3" s="155"/>
      <c r="MY3" s="155"/>
      <c r="MZ3" s="155"/>
      <c r="NA3" s="155"/>
      <c r="NB3" s="156"/>
      <c r="NC3" s="154" t="s">
        <v>204</v>
      </c>
      <c r="ND3" s="155"/>
      <c r="NE3" s="155"/>
      <c r="NF3" s="155"/>
      <c r="NG3" s="155"/>
      <c r="NH3" s="155"/>
      <c r="NI3" s="155"/>
      <c r="NJ3" s="155"/>
      <c r="NK3" s="155"/>
      <c r="NL3" s="155"/>
      <c r="NM3" s="155"/>
      <c r="NN3" s="155"/>
      <c r="NO3" s="155"/>
      <c r="NP3" s="155"/>
      <c r="NQ3" s="155"/>
      <c r="NR3" s="155"/>
      <c r="NS3" s="155"/>
      <c r="NT3" s="155"/>
      <c r="NU3" s="156"/>
      <c r="NV3" s="154" t="s">
        <v>205</v>
      </c>
      <c r="NW3" s="155"/>
      <c r="NX3" s="155"/>
      <c r="NY3" s="155"/>
      <c r="NZ3" s="155"/>
      <c r="OA3" s="155"/>
      <c r="OB3" s="155"/>
      <c r="OC3" s="155"/>
      <c r="OD3" s="155"/>
      <c r="OE3" s="155"/>
      <c r="OF3" s="155"/>
      <c r="OG3" s="155"/>
      <c r="OH3" s="155"/>
      <c r="OI3" s="155"/>
      <c r="OJ3" s="155"/>
      <c r="OK3" s="155"/>
      <c r="OL3" s="155"/>
      <c r="OM3" s="155"/>
      <c r="ON3" s="156"/>
      <c r="OO3" s="154" t="s">
        <v>206</v>
      </c>
      <c r="OP3" s="155"/>
      <c r="OQ3" s="155"/>
      <c r="OR3" s="155"/>
      <c r="OS3" s="155"/>
      <c r="OT3" s="155"/>
      <c r="OU3" s="155"/>
      <c r="OV3" s="155"/>
      <c r="OW3" s="155"/>
      <c r="OX3" s="155"/>
      <c r="OY3" s="155"/>
      <c r="OZ3" s="155"/>
      <c r="PA3" s="155"/>
      <c r="PB3" s="155"/>
      <c r="PC3" s="155"/>
      <c r="PD3" s="155"/>
      <c r="PE3" s="155"/>
      <c r="PF3" s="155"/>
      <c r="PG3" s="156"/>
      <c r="PH3" s="154" t="s">
        <v>207</v>
      </c>
      <c r="PI3" s="155"/>
      <c r="PJ3" s="155"/>
      <c r="PK3" s="155"/>
      <c r="PL3" s="155"/>
      <c r="PM3" s="155"/>
      <c r="PN3" s="155"/>
      <c r="PO3" s="155"/>
      <c r="PP3" s="155"/>
      <c r="PQ3" s="155"/>
      <c r="PR3" s="155"/>
      <c r="PS3" s="155"/>
      <c r="PT3" s="155"/>
      <c r="PU3" s="155"/>
      <c r="PV3" s="155"/>
      <c r="PW3" s="155"/>
      <c r="PX3" s="155"/>
      <c r="PY3" s="155"/>
      <c r="PZ3" s="156"/>
      <c r="QA3" s="154" t="s">
        <v>208</v>
      </c>
      <c r="QB3" s="155"/>
      <c r="QC3" s="155"/>
      <c r="QD3" s="155"/>
      <c r="QE3" s="155"/>
      <c r="QF3" s="155"/>
      <c r="QG3" s="155"/>
      <c r="QH3" s="155"/>
      <c r="QI3" s="155"/>
      <c r="QJ3" s="155"/>
      <c r="QK3" s="155"/>
      <c r="QL3" s="155"/>
      <c r="QM3" s="155"/>
      <c r="QN3" s="155"/>
      <c r="QO3" s="155"/>
      <c r="QP3" s="155"/>
      <c r="QQ3" s="155"/>
      <c r="QR3" s="155"/>
      <c r="QS3" s="156"/>
      <c r="QT3" s="154" t="s">
        <v>209</v>
      </c>
      <c r="QU3" s="155"/>
      <c r="QV3" s="155"/>
      <c r="QW3" s="155"/>
      <c r="QX3" s="155"/>
      <c r="QY3" s="155"/>
      <c r="QZ3" s="155"/>
      <c r="RA3" s="155"/>
      <c r="RB3" s="155"/>
      <c r="RC3" s="155"/>
      <c r="RD3" s="155"/>
      <c r="RE3" s="155"/>
      <c r="RF3" s="155"/>
      <c r="RG3" s="155"/>
      <c r="RH3" s="155"/>
      <c r="RI3" s="155"/>
      <c r="RJ3" s="155"/>
      <c r="RK3" s="155"/>
      <c r="RL3" s="156"/>
      <c r="RM3" s="154" t="s">
        <v>210</v>
      </c>
      <c r="RN3" s="155"/>
      <c r="RO3" s="155"/>
      <c r="RP3" s="155"/>
      <c r="RQ3" s="155"/>
      <c r="RR3" s="155"/>
      <c r="RS3" s="155"/>
      <c r="RT3" s="155"/>
      <c r="RU3" s="155"/>
      <c r="RV3" s="155"/>
      <c r="RW3" s="155"/>
      <c r="RX3" s="155"/>
      <c r="RY3" s="155"/>
      <c r="RZ3" s="155"/>
      <c r="SA3" s="155"/>
      <c r="SB3" s="155"/>
      <c r="SC3" s="155"/>
      <c r="SD3" s="155"/>
      <c r="SE3" s="156"/>
      <c r="SF3" s="154" t="s">
        <v>211</v>
      </c>
      <c r="SG3" s="155"/>
      <c r="SH3" s="155"/>
      <c r="SI3" s="155"/>
      <c r="SJ3" s="155"/>
      <c r="SK3" s="155"/>
      <c r="SL3" s="155"/>
      <c r="SM3" s="155"/>
      <c r="SN3" s="155"/>
      <c r="SO3" s="155"/>
      <c r="SP3" s="155"/>
      <c r="SQ3" s="155"/>
      <c r="SR3" s="155"/>
      <c r="SS3" s="155"/>
      <c r="ST3" s="155"/>
      <c r="SU3" s="155"/>
      <c r="SV3" s="155"/>
      <c r="SW3" s="155"/>
      <c r="SX3" s="156"/>
      <c r="SY3" s="154" t="s">
        <v>212</v>
      </c>
      <c r="SZ3" s="155"/>
      <c r="TA3" s="155"/>
      <c r="TB3" s="155"/>
      <c r="TC3" s="155"/>
      <c r="TD3" s="155"/>
      <c r="TE3" s="155"/>
      <c r="TF3" s="155"/>
      <c r="TG3" s="155"/>
      <c r="TH3" s="155"/>
      <c r="TI3" s="155"/>
      <c r="TJ3" s="155"/>
      <c r="TK3" s="155"/>
      <c r="TL3" s="155"/>
      <c r="TM3" s="155"/>
      <c r="TN3" s="155"/>
      <c r="TO3" s="155"/>
      <c r="TP3" s="155"/>
      <c r="TQ3" s="156"/>
      <c r="TR3" s="154" t="s">
        <v>213</v>
      </c>
      <c r="TS3" s="155"/>
      <c r="TT3" s="155"/>
      <c r="TU3" s="155"/>
      <c r="TV3" s="155"/>
      <c r="TW3" s="155"/>
      <c r="TX3" s="155"/>
      <c r="TY3" s="155"/>
      <c r="TZ3" s="155"/>
      <c r="UA3" s="155"/>
      <c r="UB3" s="155"/>
      <c r="UC3" s="155"/>
      <c r="UD3" s="155"/>
      <c r="UE3" s="155"/>
      <c r="UF3" s="155"/>
      <c r="UG3" s="155"/>
      <c r="UH3" s="155"/>
      <c r="UI3" s="155"/>
      <c r="UJ3" s="156"/>
      <c r="UK3" s="154" t="s">
        <v>214</v>
      </c>
      <c r="UL3" s="155"/>
      <c r="UM3" s="155"/>
      <c r="UN3" s="155"/>
      <c r="UO3" s="155"/>
      <c r="UP3" s="155"/>
      <c r="UQ3" s="155"/>
      <c r="UR3" s="155"/>
      <c r="US3" s="155"/>
      <c r="UT3" s="155"/>
      <c r="UU3" s="155"/>
      <c r="UV3" s="155"/>
      <c r="UW3" s="155"/>
      <c r="UX3" s="155"/>
      <c r="UY3" s="155"/>
      <c r="UZ3" s="155"/>
      <c r="VA3" s="155"/>
      <c r="VB3" s="155"/>
      <c r="VC3" s="156"/>
      <c r="VD3" s="154" t="s">
        <v>215</v>
      </c>
      <c r="VE3" s="155"/>
      <c r="VF3" s="155"/>
      <c r="VG3" s="155"/>
      <c r="VH3" s="155"/>
      <c r="VI3" s="155"/>
      <c r="VJ3" s="155"/>
      <c r="VK3" s="155"/>
      <c r="VL3" s="155"/>
      <c r="VM3" s="155"/>
      <c r="VN3" s="155"/>
      <c r="VO3" s="155"/>
      <c r="VP3" s="155"/>
      <c r="VQ3" s="155"/>
      <c r="VR3" s="155"/>
      <c r="VS3" s="155"/>
      <c r="VT3" s="155"/>
      <c r="VU3" s="155"/>
      <c r="VV3" s="156"/>
      <c r="VW3" s="154" t="s">
        <v>216</v>
      </c>
      <c r="VX3" s="155"/>
      <c r="VY3" s="155"/>
      <c r="VZ3" s="155"/>
      <c r="WA3" s="155"/>
      <c r="WB3" s="155"/>
      <c r="WC3" s="155"/>
      <c r="WD3" s="155"/>
      <c r="WE3" s="155"/>
      <c r="WF3" s="155"/>
      <c r="WG3" s="155"/>
      <c r="WH3" s="155"/>
      <c r="WI3" s="155"/>
      <c r="WJ3" s="155"/>
      <c r="WK3" s="155"/>
      <c r="WL3" s="155"/>
      <c r="WM3" s="155"/>
      <c r="WN3" s="155"/>
      <c r="WO3" s="156"/>
      <c r="WP3" s="154" t="s">
        <v>217</v>
      </c>
      <c r="WQ3" s="155"/>
      <c r="WR3" s="155"/>
      <c r="WS3" s="155"/>
      <c r="WT3" s="155"/>
      <c r="WU3" s="155"/>
      <c r="WV3" s="155"/>
      <c r="WW3" s="155"/>
      <c r="WX3" s="155"/>
      <c r="WY3" s="155"/>
      <c r="WZ3" s="155"/>
      <c r="XA3" s="155"/>
      <c r="XB3" s="155"/>
      <c r="XC3" s="155"/>
      <c r="XD3" s="155"/>
      <c r="XE3" s="155"/>
      <c r="XF3" s="155"/>
      <c r="XG3" s="155"/>
      <c r="XH3" s="156"/>
      <c r="XI3" s="154" t="s">
        <v>218</v>
      </c>
      <c r="XJ3" s="155"/>
      <c r="XK3" s="155"/>
      <c r="XL3" s="155"/>
      <c r="XM3" s="155"/>
      <c r="XN3" s="155"/>
      <c r="XO3" s="155"/>
      <c r="XP3" s="155"/>
      <c r="XQ3" s="155"/>
      <c r="XR3" s="155"/>
      <c r="XS3" s="155"/>
      <c r="XT3" s="155"/>
      <c r="XU3" s="155"/>
      <c r="XV3" s="155"/>
      <c r="XW3" s="155"/>
      <c r="XX3" s="155"/>
      <c r="XY3" s="155"/>
      <c r="XZ3" s="155"/>
      <c r="YA3" s="156"/>
      <c r="YB3" s="154" t="s">
        <v>219</v>
      </c>
      <c r="YC3" s="155"/>
      <c r="YD3" s="155"/>
      <c r="YE3" s="155"/>
      <c r="YF3" s="155"/>
      <c r="YG3" s="155"/>
      <c r="YH3" s="155"/>
      <c r="YI3" s="155"/>
      <c r="YJ3" s="155"/>
      <c r="YK3" s="155"/>
      <c r="YL3" s="155"/>
      <c r="YM3" s="155"/>
      <c r="YN3" s="155"/>
      <c r="YO3" s="155"/>
      <c r="YP3" s="155"/>
      <c r="YQ3" s="155"/>
      <c r="YR3" s="155"/>
      <c r="YS3" s="155"/>
      <c r="YT3" s="156"/>
      <c r="YU3" s="154" t="s">
        <v>220</v>
      </c>
      <c r="YV3" s="155"/>
      <c r="YW3" s="155"/>
      <c r="YX3" s="155"/>
      <c r="YY3" s="155"/>
      <c r="YZ3" s="155"/>
      <c r="ZA3" s="155"/>
      <c r="ZB3" s="155"/>
      <c r="ZC3" s="155"/>
      <c r="ZD3" s="155"/>
      <c r="ZE3" s="155"/>
      <c r="ZF3" s="155"/>
      <c r="ZG3" s="155"/>
      <c r="ZH3" s="155"/>
      <c r="ZI3" s="155"/>
      <c r="ZJ3" s="155"/>
      <c r="ZK3" s="155"/>
      <c r="ZL3" s="155"/>
      <c r="ZM3" s="156"/>
      <c r="ZN3" s="154" t="s">
        <v>221</v>
      </c>
      <c r="ZO3" s="155"/>
      <c r="ZP3" s="155"/>
      <c r="ZQ3" s="155"/>
      <c r="ZR3" s="155"/>
      <c r="ZS3" s="155"/>
      <c r="ZT3" s="155"/>
      <c r="ZU3" s="155"/>
      <c r="ZV3" s="155"/>
      <c r="ZW3" s="155"/>
      <c r="ZX3" s="155"/>
      <c r="ZY3" s="155"/>
      <c r="ZZ3" s="155"/>
      <c r="AAA3" s="155"/>
      <c r="AAB3" s="155"/>
      <c r="AAC3" s="155"/>
      <c r="AAD3" s="155"/>
      <c r="AAE3" s="155"/>
      <c r="AAF3" s="156"/>
      <c r="AAG3" s="154" t="s">
        <v>222</v>
      </c>
      <c r="AAH3" s="155"/>
      <c r="AAI3" s="155"/>
      <c r="AAJ3" s="155"/>
      <c r="AAK3" s="155"/>
      <c r="AAL3" s="155"/>
      <c r="AAM3" s="155"/>
      <c r="AAN3" s="155"/>
      <c r="AAO3" s="155"/>
      <c r="AAP3" s="155"/>
      <c r="AAQ3" s="155"/>
      <c r="AAR3" s="155"/>
      <c r="AAS3" s="155"/>
      <c r="AAT3" s="155"/>
      <c r="AAU3" s="155"/>
      <c r="AAV3" s="155"/>
      <c r="AAW3" s="155"/>
      <c r="AAX3" s="155"/>
      <c r="AAY3" s="156"/>
      <c r="AAZ3" s="154" t="s">
        <v>223</v>
      </c>
      <c r="ABA3" s="155"/>
      <c r="ABB3" s="155"/>
      <c r="ABC3" s="155"/>
      <c r="ABD3" s="155"/>
      <c r="ABE3" s="155"/>
      <c r="ABF3" s="155"/>
      <c r="ABG3" s="155"/>
      <c r="ABH3" s="155"/>
      <c r="ABI3" s="155"/>
      <c r="ABJ3" s="155"/>
      <c r="ABK3" s="155"/>
      <c r="ABL3" s="155"/>
      <c r="ABM3" s="155"/>
      <c r="ABN3" s="155"/>
      <c r="ABO3" s="155"/>
      <c r="ABP3" s="155"/>
      <c r="ABQ3" s="155"/>
      <c r="ABR3" s="156"/>
      <c r="ABS3" s="154" t="s">
        <v>224</v>
      </c>
      <c r="ABT3" s="155"/>
      <c r="ABU3" s="155"/>
      <c r="ABV3" s="155"/>
      <c r="ABW3" s="155"/>
      <c r="ABX3" s="155"/>
      <c r="ABY3" s="155"/>
      <c r="ABZ3" s="155"/>
      <c r="ACA3" s="155"/>
      <c r="ACB3" s="155"/>
      <c r="ACC3" s="155"/>
      <c r="ACD3" s="155"/>
      <c r="ACE3" s="155"/>
      <c r="ACF3" s="155"/>
      <c r="ACG3" s="155"/>
      <c r="ACH3" s="155"/>
      <c r="ACI3" s="155"/>
      <c r="ACJ3" s="155"/>
      <c r="ACK3" s="156"/>
      <c r="ACL3" s="154" t="s">
        <v>225</v>
      </c>
      <c r="ACM3" s="155"/>
      <c r="ACN3" s="155"/>
      <c r="ACO3" s="155"/>
      <c r="ACP3" s="155"/>
      <c r="ACQ3" s="155"/>
      <c r="ACR3" s="155"/>
      <c r="ACS3" s="155"/>
      <c r="ACT3" s="155"/>
      <c r="ACU3" s="155"/>
      <c r="ACV3" s="155"/>
      <c r="ACW3" s="155"/>
      <c r="ACX3" s="155"/>
      <c r="ACY3" s="155"/>
      <c r="ACZ3" s="155"/>
      <c r="ADA3" s="155"/>
      <c r="ADB3" s="155"/>
      <c r="ADC3" s="155"/>
      <c r="ADD3" s="156"/>
      <c r="ADE3" s="154" t="s">
        <v>226</v>
      </c>
      <c r="ADF3" s="155"/>
      <c r="ADG3" s="155"/>
      <c r="ADH3" s="155"/>
      <c r="ADI3" s="155"/>
      <c r="ADJ3" s="155"/>
      <c r="ADK3" s="155"/>
      <c r="ADL3" s="155"/>
      <c r="ADM3" s="155"/>
      <c r="ADN3" s="155"/>
      <c r="ADO3" s="155"/>
      <c r="ADP3" s="155"/>
      <c r="ADQ3" s="155"/>
      <c r="ADR3" s="155"/>
      <c r="ADS3" s="155"/>
      <c r="ADT3" s="155"/>
      <c r="ADU3" s="155"/>
      <c r="ADV3" s="155"/>
      <c r="ADW3" s="156"/>
      <c r="ADX3" s="154" t="s">
        <v>227</v>
      </c>
      <c r="ADY3" s="155"/>
      <c r="ADZ3" s="155"/>
      <c r="AEA3" s="155"/>
      <c r="AEB3" s="155"/>
      <c r="AEC3" s="155"/>
      <c r="AED3" s="155"/>
      <c r="AEE3" s="155"/>
      <c r="AEF3" s="155"/>
      <c r="AEG3" s="155"/>
      <c r="AEH3" s="155"/>
      <c r="AEI3" s="155"/>
      <c r="AEJ3" s="155"/>
      <c r="AEK3" s="155"/>
      <c r="AEL3" s="155"/>
      <c r="AEM3" s="155"/>
      <c r="AEN3" s="155"/>
      <c r="AEO3" s="155"/>
      <c r="AEP3" s="156"/>
      <c r="AEQ3" s="154" t="s">
        <v>228</v>
      </c>
      <c r="AER3" s="155"/>
      <c r="AES3" s="155"/>
      <c r="AET3" s="155"/>
      <c r="AEU3" s="155"/>
      <c r="AEV3" s="155"/>
      <c r="AEW3" s="155"/>
      <c r="AEX3" s="155"/>
      <c r="AEY3" s="155"/>
      <c r="AEZ3" s="155"/>
      <c r="AFA3" s="155"/>
      <c r="AFB3" s="155"/>
      <c r="AFC3" s="155"/>
      <c r="AFD3" s="155"/>
      <c r="AFE3" s="155"/>
      <c r="AFF3" s="155"/>
      <c r="AFG3" s="155"/>
      <c r="AFH3" s="155"/>
      <c r="AFI3" s="156"/>
      <c r="AFJ3" s="154" t="s">
        <v>229</v>
      </c>
      <c r="AFK3" s="155"/>
      <c r="AFL3" s="155"/>
      <c r="AFM3" s="155"/>
      <c r="AFN3" s="155"/>
      <c r="AFO3" s="155"/>
      <c r="AFP3" s="155"/>
      <c r="AFQ3" s="155"/>
      <c r="AFR3" s="155"/>
      <c r="AFS3" s="155"/>
      <c r="AFT3" s="155"/>
      <c r="AFU3" s="155"/>
      <c r="AFV3" s="155"/>
      <c r="AFW3" s="155"/>
      <c r="AFX3" s="155"/>
      <c r="AFY3" s="155"/>
      <c r="AFZ3" s="155"/>
      <c r="AGA3" s="155"/>
      <c r="AGB3" s="156"/>
      <c r="AGC3" s="154" t="s">
        <v>230</v>
      </c>
      <c r="AGD3" s="155"/>
      <c r="AGE3" s="155"/>
      <c r="AGF3" s="155"/>
      <c r="AGG3" s="155"/>
      <c r="AGH3" s="155"/>
      <c r="AGI3" s="155"/>
      <c r="AGJ3" s="155"/>
      <c r="AGK3" s="155"/>
      <c r="AGL3" s="155"/>
      <c r="AGM3" s="155"/>
      <c r="AGN3" s="155"/>
      <c r="AGO3" s="155"/>
      <c r="AGP3" s="155"/>
      <c r="AGQ3" s="155"/>
      <c r="AGR3" s="155"/>
      <c r="AGS3" s="155"/>
      <c r="AGT3" s="155"/>
      <c r="AGU3" s="156"/>
      <c r="AGV3" s="154" t="s">
        <v>231</v>
      </c>
      <c r="AGW3" s="155"/>
      <c r="AGX3" s="155"/>
      <c r="AGY3" s="155"/>
      <c r="AGZ3" s="155"/>
      <c r="AHA3" s="155"/>
      <c r="AHB3" s="155"/>
      <c r="AHC3" s="155"/>
      <c r="AHD3" s="155"/>
      <c r="AHE3" s="155"/>
      <c r="AHF3" s="155"/>
      <c r="AHG3" s="155"/>
      <c r="AHH3" s="155"/>
      <c r="AHI3" s="155"/>
      <c r="AHJ3" s="155"/>
      <c r="AHK3" s="155"/>
      <c r="AHL3" s="155"/>
      <c r="AHM3" s="155"/>
      <c r="AHN3" s="156"/>
      <c r="AHO3" s="154" t="s">
        <v>387</v>
      </c>
      <c r="AHP3" s="155"/>
      <c r="AHQ3" s="155"/>
      <c r="AHR3" s="155"/>
      <c r="AHS3" s="155"/>
      <c r="AHT3" s="155"/>
      <c r="AHU3" s="155"/>
      <c r="AHV3" s="155"/>
      <c r="AHW3" s="155"/>
      <c r="AHX3" s="155"/>
      <c r="AHY3" s="155"/>
      <c r="AHZ3" s="155"/>
      <c r="AIA3" s="155"/>
      <c r="AIB3" s="155"/>
      <c r="AIC3" s="155"/>
      <c r="AID3" s="155"/>
      <c r="AIE3" s="155"/>
      <c r="AIF3" s="155"/>
      <c r="AIG3" s="156"/>
      <c r="AIH3" s="154" t="s">
        <v>30</v>
      </c>
      <c r="AII3" s="155"/>
      <c r="AIJ3" s="155"/>
      <c r="AIK3" s="155"/>
      <c r="AIL3" s="155"/>
      <c r="AIM3" s="155"/>
      <c r="AIN3" s="155"/>
      <c r="AIO3" s="155"/>
      <c r="AIP3" s="155"/>
      <c r="AIQ3" s="155"/>
      <c r="AIR3" s="155"/>
      <c r="AIS3" s="155"/>
      <c r="AIT3" s="155"/>
      <c r="AIU3" s="155"/>
      <c r="AIV3" s="155"/>
      <c r="AIW3" s="155"/>
      <c r="AIX3" s="155"/>
      <c r="AIY3" s="155"/>
      <c r="AIZ3" s="156"/>
      <c r="AJA3" s="171" t="s">
        <v>20</v>
      </c>
      <c r="AJB3" s="172"/>
      <c r="AJC3" s="172"/>
      <c r="AJD3" s="172"/>
      <c r="AJE3" s="172"/>
      <c r="AJF3" s="172"/>
      <c r="AJG3" s="172"/>
      <c r="AJH3" s="172"/>
      <c r="AJI3" s="172"/>
      <c r="AJJ3" s="172"/>
      <c r="AJK3" s="172"/>
      <c r="AJL3" s="113"/>
      <c r="AJM3" s="113"/>
      <c r="AJN3" s="113"/>
      <c r="AJO3" s="113"/>
      <c r="AJP3" s="113"/>
      <c r="AJQ3" s="113"/>
      <c r="AJR3" s="113"/>
      <c r="AJS3" s="114"/>
      <c r="AJT3" s="230"/>
      <c r="AJU3" s="231"/>
      <c r="AJV3" s="231"/>
      <c r="AJW3" s="231"/>
      <c r="AJX3" s="231"/>
      <c r="AJY3" s="231"/>
      <c r="AJZ3" s="231"/>
      <c r="AKA3" s="231"/>
      <c r="AKB3" s="231"/>
      <c r="AKC3" s="231"/>
      <c r="AKD3" s="232"/>
      <c r="AKE3" s="230"/>
      <c r="AKF3" s="231"/>
      <c r="AKG3" s="231"/>
      <c r="AKH3" s="231"/>
      <c r="AKI3" s="231"/>
      <c r="AKJ3" s="231"/>
      <c r="AKK3" s="231"/>
      <c r="AKL3" s="231"/>
      <c r="AKM3" s="231"/>
      <c r="AKN3" s="231"/>
      <c r="AKO3" s="231"/>
      <c r="AKP3" s="231"/>
      <c r="AKQ3" s="232"/>
      <c r="AKR3" s="164"/>
      <c r="AKS3" s="165"/>
      <c r="AKT3" s="165"/>
      <c r="AKU3" s="165"/>
      <c r="AKV3" s="165"/>
      <c r="AKW3" s="165"/>
      <c r="AKX3" s="165"/>
      <c r="AKY3" s="165"/>
      <c r="AKZ3" s="165"/>
      <c r="ALA3" s="165"/>
      <c r="ALB3" s="165"/>
      <c r="ALC3" s="253"/>
      <c r="ALD3" s="254"/>
      <c r="ALE3" s="159" t="s">
        <v>90</v>
      </c>
      <c r="ALF3" s="160"/>
      <c r="ALG3" s="160"/>
      <c r="ALH3" s="160"/>
      <c r="ALI3" s="160"/>
      <c r="ALJ3" s="160"/>
      <c r="ALK3" s="160"/>
      <c r="ALL3" s="160"/>
      <c r="ALM3" s="115"/>
      <c r="ALN3" s="115"/>
      <c r="ALO3" s="115"/>
      <c r="ALP3" s="115"/>
      <c r="ALQ3" s="115"/>
      <c r="ALR3" s="115"/>
      <c r="ALS3" s="115"/>
      <c r="ALT3" s="115"/>
      <c r="ALU3" s="115"/>
      <c r="ALV3" s="115"/>
      <c r="ALW3" s="115"/>
      <c r="ALX3" s="115"/>
      <c r="ALY3" s="115"/>
      <c r="ALZ3" s="115"/>
      <c r="AMA3" s="115"/>
      <c r="AMB3" s="115"/>
      <c r="AMC3" s="115"/>
      <c r="AMD3" s="115"/>
      <c r="AME3" s="116"/>
      <c r="AMF3" s="148" t="s">
        <v>94</v>
      </c>
      <c r="AMG3" s="157"/>
      <c r="AMH3" s="157"/>
      <c r="AMI3" s="157"/>
      <c r="AMJ3" s="157"/>
      <c r="AMK3" s="149"/>
      <c r="AML3" s="223" t="s">
        <v>91</v>
      </c>
      <c r="AMM3" s="223"/>
      <c r="AMN3" s="148" t="s">
        <v>300</v>
      </c>
      <c r="AMO3" s="149"/>
      <c r="AMP3" s="223" t="s">
        <v>92</v>
      </c>
      <c r="AMQ3" s="223"/>
      <c r="AMR3" s="148" t="s">
        <v>303</v>
      </c>
      <c r="AMS3" s="157"/>
      <c r="AMT3" s="157"/>
      <c r="AMU3" s="157"/>
      <c r="AMV3" s="149"/>
      <c r="AMW3" s="148" t="s">
        <v>93</v>
      </c>
      <c r="AMX3" s="149"/>
      <c r="AMY3" s="148" t="s">
        <v>308</v>
      </c>
      <c r="AMZ3" s="157"/>
      <c r="ANA3" s="149"/>
      <c r="ANB3" s="148" t="s">
        <v>312</v>
      </c>
      <c r="ANC3" s="149"/>
      <c r="AND3" s="157" t="s">
        <v>313</v>
      </c>
      <c r="ANE3" s="157"/>
      <c r="ANF3" s="157"/>
      <c r="ANG3" s="157"/>
      <c r="ANH3" s="149"/>
      <c r="ANI3" s="148" t="s">
        <v>290</v>
      </c>
      <c r="ANJ3" s="149"/>
      <c r="ANK3" s="148" t="s">
        <v>318</v>
      </c>
      <c r="ANL3" s="149"/>
      <c r="ANM3" s="115"/>
      <c r="ANN3" s="115"/>
      <c r="ANO3" s="115"/>
      <c r="ANP3" s="115"/>
      <c r="ANQ3" s="115"/>
      <c r="ANR3" s="115"/>
      <c r="ANS3" s="115"/>
      <c r="ANT3" s="115"/>
      <c r="ANU3" s="115"/>
      <c r="ANV3" s="177"/>
      <c r="ANW3" s="178"/>
      <c r="ANX3" s="178"/>
      <c r="ANY3" s="179"/>
      <c r="ANZ3" s="215"/>
      <c r="AOA3" s="217"/>
      <c r="AOB3" s="215"/>
      <c r="AOC3" s="217"/>
      <c r="AOD3" s="215"/>
      <c r="AOE3" s="217"/>
      <c r="AOF3" s="238" t="s">
        <v>397</v>
      </c>
      <c r="AOG3" s="239"/>
      <c r="AOH3" s="238" t="s">
        <v>398</v>
      </c>
      <c r="AOI3" s="239" t="s">
        <v>373</v>
      </c>
      <c r="AOJ3" s="238" t="s">
        <v>399</v>
      </c>
      <c r="AOK3" s="239" t="s">
        <v>374</v>
      </c>
      <c r="AOL3" s="195" t="s">
        <v>95</v>
      </c>
      <c r="AOM3" s="195"/>
      <c r="AON3" s="180" t="s">
        <v>254</v>
      </c>
      <c r="AOO3" s="181"/>
      <c r="AOP3" s="181"/>
      <c r="AOQ3" s="181"/>
      <c r="AOR3" s="182"/>
      <c r="AOS3" s="180" t="s">
        <v>255</v>
      </c>
      <c r="AOT3" s="181"/>
      <c r="AOU3" s="181"/>
      <c r="AOV3" s="182"/>
      <c r="AOW3" s="180" t="s">
        <v>39</v>
      </c>
      <c r="AOX3" s="182"/>
      <c r="AOY3" s="257" t="s">
        <v>261</v>
      </c>
      <c r="AOZ3" s="258" t="s">
        <v>96</v>
      </c>
      <c r="APA3" s="259"/>
      <c r="APB3" s="259"/>
      <c r="APC3" s="259"/>
      <c r="APD3" s="259"/>
      <c r="APE3" s="259"/>
      <c r="APF3" s="259"/>
      <c r="APG3" s="259"/>
      <c r="APH3" s="259"/>
      <c r="API3" s="259"/>
      <c r="APJ3" s="259"/>
      <c r="APK3" s="259"/>
      <c r="APL3" s="259"/>
      <c r="APM3" s="259"/>
      <c r="APN3" s="259"/>
      <c r="APO3" s="260"/>
    </row>
    <row r="4" spans="1:1110" s="122" customFormat="1" ht="30" customHeight="1">
      <c r="A4" s="118"/>
      <c r="B4" s="119"/>
      <c r="C4" s="119"/>
      <c r="D4" s="119"/>
      <c r="E4" s="120"/>
      <c r="F4" s="164"/>
      <c r="G4" s="165"/>
      <c r="H4" s="166"/>
      <c r="I4" s="164"/>
      <c r="J4" s="166"/>
      <c r="K4" s="164"/>
      <c r="L4" s="165"/>
      <c r="M4" s="165"/>
      <c r="N4" s="166"/>
      <c r="O4" s="164"/>
      <c r="P4" s="166"/>
      <c r="Q4" s="164"/>
      <c r="R4" s="165"/>
      <c r="S4" s="165"/>
      <c r="T4" s="166"/>
      <c r="U4" s="218"/>
      <c r="V4" s="219"/>
      <c r="W4" s="220"/>
      <c r="X4" s="196" t="s">
        <v>420</v>
      </c>
      <c r="Y4" s="196"/>
      <c r="Z4" s="196" t="s">
        <v>40</v>
      </c>
      <c r="AA4" s="196"/>
      <c r="AB4" s="196" t="s">
        <v>41</v>
      </c>
      <c r="AC4" s="196"/>
      <c r="AD4" s="196" t="s">
        <v>42</v>
      </c>
      <c r="AE4" s="196"/>
      <c r="AF4" s="196" t="s">
        <v>43</v>
      </c>
      <c r="AG4" s="196"/>
      <c r="AH4" s="196" t="s">
        <v>44</v>
      </c>
      <c r="AI4" s="196"/>
      <c r="AJ4" s="196" t="s">
        <v>71</v>
      </c>
      <c r="AK4" s="196"/>
      <c r="AL4" s="196" t="s">
        <v>72</v>
      </c>
      <c r="AM4" s="196"/>
      <c r="AN4" s="196" t="s">
        <v>73</v>
      </c>
      <c r="AO4" s="196"/>
      <c r="AP4" s="144" t="s">
        <v>20</v>
      </c>
      <c r="AQ4" s="144"/>
      <c r="AR4" s="144"/>
      <c r="AS4" s="196" t="s">
        <v>420</v>
      </c>
      <c r="AT4" s="196"/>
      <c r="AU4" s="196" t="s">
        <v>40</v>
      </c>
      <c r="AV4" s="196"/>
      <c r="AW4" s="196" t="s">
        <v>41</v>
      </c>
      <c r="AX4" s="196"/>
      <c r="AY4" s="196" t="s">
        <v>42</v>
      </c>
      <c r="AZ4" s="196"/>
      <c r="BA4" s="196" t="s">
        <v>43</v>
      </c>
      <c r="BB4" s="196"/>
      <c r="BC4" s="196" t="s">
        <v>44</v>
      </c>
      <c r="BD4" s="196"/>
      <c r="BE4" s="196" t="s">
        <v>71</v>
      </c>
      <c r="BF4" s="196"/>
      <c r="BG4" s="196" t="s">
        <v>72</v>
      </c>
      <c r="BH4" s="196"/>
      <c r="BI4" s="196" t="s">
        <v>73</v>
      </c>
      <c r="BJ4" s="196"/>
      <c r="BK4" s="144" t="s">
        <v>20</v>
      </c>
      <c r="BL4" s="144"/>
      <c r="BM4" s="144"/>
      <c r="BN4" s="196" t="s">
        <v>40</v>
      </c>
      <c r="BO4" s="196"/>
      <c r="BP4" s="196" t="s">
        <v>41</v>
      </c>
      <c r="BQ4" s="196"/>
      <c r="BR4" s="196" t="s">
        <v>42</v>
      </c>
      <c r="BS4" s="196"/>
      <c r="BT4" s="196" t="s">
        <v>43</v>
      </c>
      <c r="BU4" s="196"/>
      <c r="BV4" s="196" t="s">
        <v>44</v>
      </c>
      <c r="BW4" s="196"/>
      <c r="BX4" s="196" t="s">
        <v>71</v>
      </c>
      <c r="BY4" s="196"/>
      <c r="BZ4" s="196" t="s">
        <v>72</v>
      </c>
      <c r="CA4" s="196"/>
      <c r="CB4" s="196" t="s">
        <v>73</v>
      </c>
      <c r="CC4" s="196"/>
      <c r="CD4" s="144" t="s">
        <v>20</v>
      </c>
      <c r="CE4" s="144"/>
      <c r="CF4" s="144"/>
      <c r="CG4" s="196" t="s">
        <v>45</v>
      </c>
      <c r="CH4" s="196"/>
      <c r="CI4" s="196" t="s">
        <v>46</v>
      </c>
      <c r="CJ4" s="196"/>
      <c r="CK4" s="196" t="s">
        <v>47</v>
      </c>
      <c r="CL4" s="196"/>
      <c r="CM4" s="196" t="s">
        <v>48</v>
      </c>
      <c r="CN4" s="196"/>
      <c r="CO4" s="196" t="s">
        <v>49</v>
      </c>
      <c r="CP4" s="196"/>
      <c r="CQ4" s="196" t="s">
        <v>72</v>
      </c>
      <c r="CR4" s="196"/>
      <c r="CS4" s="196" t="s">
        <v>73</v>
      </c>
      <c r="CT4" s="196"/>
      <c r="CU4" s="144" t="s">
        <v>20</v>
      </c>
      <c r="CV4" s="144"/>
      <c r="CW4" s="144"/>
      <c r="CX4" s="196" t="s">
        <v>46</v>
      </c>
      <c r="CY4" s="196"/>
      <c r="CZ4" s="196" t="s">
        <v>47</v>
      </c>
      <c r="DA4" s="196"/>
      <c r="DB4" s="196" t="s">
        <v>48</v>
      </c>
      <c r="DC4" s="196"/>
      <c r="DD4" s="196" t="s">
        <v>49</v>
      </c>
      <c r="DE4" s="196"/>
      <c r="DF4" s="196" t="s">
        <v>72</v>
      </c>
      <c r="DG4" s="196"/>
      <c r="DH4" s="196" t="s">
        <v>73</v>
      </c>
      <c r="DI4" s="196"/>
      <c r="DJ4" s="144" t="s">
        <v>20</v>
      </c>
      <c r="DK4" s="144"/>
      <c r="DL4" s="144"/>
      <c r="DM4" s="196" t="s">
        <v>47</v>
      </c>
      <c r="DN4" s="196"/>
      <c r="DO4" s="196" t="s">
        <v>48</v>
      </c>
      <c r="DP4" s="196"/>
      <c r="DQ4" s="196" t="s">
        <v>49</v>
      </c>
      <c r="DR4" s="196"/>
      <c r="DS4" s="196" t="s">
        <v>72</v>
      </c>
      <c r="DT4" s="196"/>
      <c r="DU4" s="196" t="s">
        <v>73</v>
      </c>
      <c r="DV4" s="196"/>
      <c r="DW4" s="144" t="s">
        <v>20</v>
      </c>
      <c r="DX4" s="144"/>
      <c r="DY4" s="144"/>
      <c r="DZ4" s="152" t="s">
        <v>81</v>
      </c>
      <c r="EA4" s="153"/>
      <c r="EB4" s="152" t="s">
        <v>45</v>
      </c>
      <c r="EC4" s="153"/>
      <c r="ED4" s="152" t="s">
        <v>45</v>
      </c>
      <c r="EE4" s="153"/>
      <c r="EF4" s="152" t="s">
        <v>46</v>
      </c>
      <c r="EG4" s="153"/>
      <c r="EH4" s="152" t="s">
        <v>47</v>
      </c>
      <c r="EI4" s="153"/>
      <c r="EJ4" s="152" t="s">
        <v>48</v>
      </c>
      <c r="EK4" s="176"/>
      <c r="EL4" s="152" t="s">
        <v>49</v>
      </c>
      <c r="EM4" s="176"/>
      <c r="EN4" s="152" t="s">
        <v>83</v>
      </c>
      <c r="EO4" s="176"/>
      <c r="EP4" s="152" t="s">
        <v>84</v>
      </c>
      <c r="EQ4" s="176"/>
      <c r="ER4" s="141" t="s">
        <v>20</v>
      </c>
      <c r="ES4" s="173"/>
      <c r="ET4" s="142"/>
      <c r="EU4" s="141" t="s">
        <v>409</v>
      </c>
      <c r="EV4" s="142"/>
      <c r="EW4" s="141" t="s">
        <v>410</v>
      </c>
      <c r="EX4" s="142"/>
      <c r="EY4" s="141" t="s">
        <v>411</v>
      </c>
      <c r="EZ4" s="142"/>
      <c r="FA4" s="141" t="s">
        <v>412</v>
      </c>
      <c r="FB4" s="142"/>
      <c r="FC4" s="141" t="s">
        <v>413</v>
      </c>
      <c r="FD4" s="142"/>
      <c r="FE4" s="141" t="s">
        <v>229</v>
      </c>
      <c r="FF4" s="142"/>
      <c r="FG4" s="141" t="s">
        <v>20</v>
      </c>
      <c r="FH4" s="173"/>
      <c r="FI4" s="142"/>
      <c r="FJ4" s="152" t="s">
        <v>50</v>
      </c>
      <c r="FK4" s="176"/>
      <c r="FL4" s="153"/>
      <c r="FM4" s="152" t="s">
        <v>51</v>
      </c>
      <c r="FN4" s="176"/>
      <c r="FO4" s="153"/>
      <c r="FP4" s="152" t="s">
        <v>52</v>
      </c>
      <c r="FQ4" s="176"/>
      <c r="FR4" s="153"/>
      <c r="FS4" s="152" t="s">
        <v>76</v>
      </c>
      <c r="FT4" s="176"/>
      <c r="FU4" s="153"/>
      <c r="FV4" s="152" t="s">
        <v>77</v>
      </c>
      <c r="FW4" s="176"/>
      <c r="FX4" s="153"/>
      <c r="FY4" s="141" t="s">
        <v>20</v>
      </c>
      <c r="FZ4" s="173"/>
      <c r="GA4" s="173"/>
      <c r="GB4" s="142"/>
      <c r="GC4" s="152" t="s">
        <v>50</v>
      </c>
      <c r="GD4" s="153"/>
      <c r="GE4" s="152" t="s">
        <v>51</v>
      </c>
      <c r="GF4" s="153"/>
      <c r="GG4" s="152" t="s">
        <v>52</v>
      </c>
      <c r="GH4" s="153"/>
      <c r="GI4" s="152" t="s">
        <v>76</v>
      </c>
      <c r="GJ4" s="153"/>
      <c r="GK4" s="152" t="s">
        <v>77</v>
      </c>
      <c r="GL4" s="153"/>
      <c r="GM4" s="141" t="s">
        <v>20</v>
      </c>
      <c r="GN4" s="173"/>
      <c r="GO4" s="142"/>
      <c r="GP4" s="152" t="s">
        <v>50</v>
      </c>
      <c r="GQ4" s="153"/>
      <c r="GR4" s="152" t="s">
        <v>51</v>
      </c>
      <c r="GS4" s="153"/>
      <c r="GT4" s="152" t="s">
        <v>52</v>
      </c>
      <c r="GU4" s="153"/>
      <c r="GV4" s="152" t="s">
        <v>76</v>
      </c>
      <c r="GW4" s="153"/>
      <c r="GX4" s="152" t="s">
        <v>77</v>
      </c>
      <c r="GY4" s="153"/>
      <c r="GZ4" s="141" t="s">
        <v>20</v>
      </c>
      <c r="HA4" s="173"/>
      <c r="HB4" s="142"/>
      <c r="HC4" s="152" t="s">
        <v>50</v>
      </c>
      <c r="HD4" s="153"/>
      <c r="HE4" s="152" t="s">
        <v>51</v>
      </c>
      <c r="HF4" s="153"/>
      <c r="HG4" s="152" t="s">
        <v>52</v>
      </c>
      <c r="HH4" s="153"/>
      <c r="HI4" s="152" t="s">
        <v>76</v>
      </c>
      <c r="HJ4" s="153"/>
      <c r="HK4" s="152" t="s">
        <v>77</v>
      </c>
      <c r="HL4" s="153"/>
      <c r="HM4" s="141" t="s">
        <v>20</v>
      </c>
      <c r="HN4" s="173"/>
      <c r="HO4" s="142"/>
      <c r="HP4" s="152" t="s">
        <v>50</v>
      </c>
      <c r="HQ4" s="153"/>
      <c r="HR4" s="152" t="s">
        <v>51</v>
      </c>
      <c r="HS4" s="153"/>
      <c r="HT4" s="152" t="s">
        <v>52</v>
      </c>
      <c r="HU4" s="153"/>
      <c r="HV4" s="152" t="s">
        <v>76</v>
      </c>
      <c r="HW4" s="153"/>
      <c r="HX4" s="152" t="s">
        <v>77</v>
      </c>
      <c r="HY4" s="153"/>
      <c r="HZ4" s="141" t="s">
        <v>20</v>
      </c>
      <c r="IA4" s="173"/>
      <c r="IB4" s="142"/>
      <c r="IC4" s="152" t="s">
        <v>50</v>
      </c>
      <c r="ID4" s="153"/>
      <c r="IE4" s="152" t="s">
        <v>51</v>
      </c>
      <c r="IF4" s="153"/>
      <c r="IG4" s="152" t="s">
        <v>52</v>
      </c>
      <c r="IH4" s="153"/>
      <c r="II4" s="152" t="s">
        <v>76</v>
      </c>
      <c r="IJ4" s="153"/>
      <c r="IK4" s="152" t="s">
        <v>77</v>
      </c>
      <c r="IL4" s="153"/>
      <c r="IM4" s="141" t="s">
        <v>20</v>
      </c>
      <c r="IN4" s="173"/>
      <c r="IO4" s="142"/>
      <c r="IP4" s="152" t="s">
        <v>50</v>
      </c>
      <c r="IQ4" s="153"/>
      <c r="IR4" s="152" t="s">
        <v>51</v>
      </c>
      <c r="IS4" s="153"/>
      <c r="IT4" s="152" t="s">
        <v>52</v>
      </c>
      <c r="IU4" s="153"/>
      <c r="IV4" s="152" t="s">
        <v>76</v>
      </c>
      <c r="IW4" s="153"/>
      <c r="IX4" s="152" t="s">
        <v>77</v>
      </c>
      <c r="IY4" s="153"/>
      <c r="IZ4" s="141" t="s">
        <v>20</v>
      </c>
      <c r="JA4" s="173"/>
      <c r="JB4" s="142"/>
      <c r="JC4" s="144" t="s">
        <v>24</v>
      </c>
      <c r="JD4" s="144"/>
      <c r="JE4" s="144" t="s">
        <v>25</v>
      </c>
      <c r="JF4" s="144"/>
      <c r="JG4" s="144" t="s">
        <v>56</v>
      </c>
      <c r="JH4" s="144"/>
      <c r="JI4" s="144" t="s">
        <v>26</v>
      </c>
      <c r="JJ4" s="144"/>
      <c r="JK4" s="144" t="s">
        <v>61</v>
      </c>
      <c r="JL4" s="144"/>
      <c r="JM4" s="144" t="s">
        <v>20</v>
      </c>
      <c r="JN4" s="144"/>
      <c r="JO4" s="144"/>
      <c r="JP4" s="141" t="s">
        <v>180</v>
      </c>
      <c r="JQ4" s="142"/>
      <c r="JR4" s="141" t="s">
        <v>253</v>
      </c>
      <c r="JS4" s="142"/>
      <c r="JT4" s="141" t="s">
        <v>181</v>
      </c>
      <c r="JU4" s="142"/>
      <c r="JV4" s="141" t="s">
        <v>182</v>
      </c>
      <c r="JW4" s="142"/>
      <c r="JX4" s="141" t="s">
        <v>183</v>
      </c>
      <c r="JY4" s="142"/>
      <c r="JZ4" s="141" t="s">
        <v>184</v>
      </c>
      <c r="KA4" s="142"/>
      <c r="KB4" s="141" t="s">
        <v>185</v>
      </c>
      <c r="KC4" s="142"/>
      <c r="KD4" s="141" t="s">
        <v>186</v>
      </c>
      <c r="KE4" s="142"/>
      <c r="KF4" s="141" t="s">
        <v>421</v>
      </c>
      <c r="KG4" s="142"/>
      <c r="KH4" s="141" t="s">
        <v>187</v>
      </c>
      <c r="KI4" s="142"/>
      <c r="KJ4" s="141" t="s">
        <v>20</v>
      </c>
      <c r="KK4" s="173"/>
      <c r="KL4" s="142"/>
      <c r="KM4" s="141" t="s">
        <v>189</v>
      </c>
      <c r="KN4" s="142"/>
      <c r="KO4" s="141" t="s">
        <v>190</v>
      </c>
      <c r="KP4" s="142"/>
      <c r="KQ4" s="141" t="s">
        <v>191</v>
      </c>
      <c r="KR4" s="142"/>
      <c r="KS4" s="141" t="s">
        <v>20</v>
      </c>
      <c r="KT4" s="173"/>
      <c r="KU4" s="142"/>
      <c r="KV4" s="169"/>
      <c r="KW4" s="170"/>
      <c r="KX4" s="141" t="s">
        <v>194</v>
      </c>
      <c r="KY4" s="142"/>
      <c r="KZ4" s="141" t="s">
        <v>195</v>
      </c>
      <c r="LA4" s="142"/>
      <c r="LB4" s="141" t="s">
        <v>196</v>
      </c>
      <c r="LC4" s="142"/>
      <c r="LD4" s="141" t="s">
        <v>197</v>
      </c>
      <c r="LE4" s="142"/>
      <c r="LF4" s="141" t="s">
        <v>198</v>
      </c>
      <c r="LG4" s="142"/>
      <c r="LH4" s="141" t="s">
        <v>199</v>
      </c>
      <c r="LI4" s="142"/>
      <c r="LJ4" s="141" t="s">
        <v>200</v>
      </c>
      <c r="LK4" s="142"/>
      <c r="LL4" s="141" t="s">
        <v>450</v>
      </c>
      <c r="LM4" s="173"/>
      <c r="LN4" s="169"/>
      <c r="LO4" s="175"/>
      <c r="LP4" s="170"/>
      <c r="LQ4" s="144" t="s">
        <v>62</v>
      </c>
      <c r="LR4" s="144"/>
      <c r="LS4" s="144" t="s">
        <v>57</v>
      </c>
      <c r="LT4" s="144"/>
      <c r="LU4" s="144" t="s">
        <v>58</v>
      </c>
      <c r="LV4" s="144"/>
      <c r="LW4" s="144" t="s">
        <v>63</v>
      </c>
      <c r="LX4" s="144"/>
      <c r="LY4" s="144" t="s">
        <v>27</v>
      </c>
      <c r="LZ4" s="144"/>
      <c r="MA4" s="144" t="s">
        <v>28</v>
      </c>
      <c r="MB4" s="144"/>
      <c r="MC4" s="144" t="s">
        <v>29</v>
      </c>
      <c r="MD4" s="144"/>
      <c r="ME4" s="144" t="s">
        <v>30</v>
      </c>
      <c r="MF4" s="144"/>
      <c r="MG4" s="141" t="s">
        <v>20</v>
      </c>
      <c r="MH4" s="173"/>
      <c r="MI4" s="142"/>
      <c r="MJ4" s="144" t="s">
        <v>62</v>
      </c>
      <c r="MK4" s="144"/>
      <c r="ML4" s="144" t="s">
        <v>57</v>
      </c>
      <c r="MM4" s="144"/>
      <c r="MN4" s="144" t="s">
        <v>58</v>
      </c>
      <c r="MO4" s="144"/>
      <c r="MP4" s="144" t="s">
        <v>63</v>
      </c>
      <c r="MQ4" s="144"/>
      <c r="MR4" s="144" t="s">
        <v>27</v>
      </c>
      <c r="MS4" s="144"/>
      <c r="MT4" s="144" t="s">
        <v>28</v>
      </c>
      <c r="MU4" s="144"/>
      <c r="MV4" s="144" t="s">
        <v>29</v>
      </c>
      <c r="MW4" s="144"/>
      <c r="MX4" s="144" t="s">
        <v>30</v>
      </c>
      <c r="MY4" s="144"/>
      <c r="MZ4" s="141" t="s">
        <v>20</v>
      </c>
      <c r="NA4" s="173"/>
      <c r="NB4" s="142"/>
      <c r="NC4" s="144" t="s">
        <v>62</v>
      </c>
      <c r="ND4" s="144"/>
      <c r="NE4" s="144" t="s">
        <v>57</v>
      </c>
      <c r="NF4" s="144"/>
      <c r="NG4" s="144" t="s">
        <v>58</v>
      </c>
      <c r="NH4" s="144"/>
      <c r="NI4" s="144" t="s">
        <v>63</v>
      </c>
      <c r="NJ4" s="144"/>
      <c r="NK4" s="144" t="s">
        <v>27</v>
      </c>
      <c r="NL4" s="144"/>
      <c r="NM4" s="144" t="s">
        <v>28</v>
      </c>
      <c r="NN4" s="144"/>
      <c r="NO4" s="144" t="s">
        <v>29</v>
      </c>
      <c r="NP4" s="144"/>
      <c r="NQ4" s="144" t="s">
        <v>30</v>
      </c>
      <c r="NR4" s="144"/>
      <c r="NS4" s="141" t="s">
        <v>20</v>
      </c>
      <c r="NT4" s="173"/>
      <c r="NU4" s="142"/>
      <c r="NV4" s="144" t="s">
        <v>62</v>
      </c>
      <c r="NW4" s="144"/>
      <c r="NX4" s="144" t="s">
        <v>57</v>
      </c>
      <c r="NY4" s="144"/>
      <c r="NZ4" s="144" t="s">
        <v>58</v>
      </c>
      <c r="OA4" s="144"/>
      <c r="OB4" s="144" t="s">
        <v>63</v>
      </c>
      <c r="OC4" s="144"/>
      <c r="OD4" s="144" t="s">
        <v>27</v>
      </c>
      <c r="OE4" s="144"/>
      <c r="OF4" s="144" t="s">
        <v>28</v>
      </c>
      <c r="OG4" s="144"/>
      <c r="OH4" s="144" t="s">
        <v>29</v>
      </c>
      <c r="OI4" s="144"/>
      <c r="OJ4" s="144" t="s">
        <v>30</v>
      </c>
      <c r="OK4" s="144"/>
      <c r="OL4" s="141" t="s">
        <v>20</v>
      </c>
      <c r="OM4" s="173"/>
      <c r="ON4" s="142"/>
      <c r="OO4" s="144" t="s">
        <v>62</v>
      </c>
      <c r="OP4" s="144"/>
      <c r="OQ4" s="144" t="s">
        <v>57</v>
      </c>
      <c r="OR4" s="144"/>
      <c r="OS4" s="144" t="s">
        <v>58</v>
      </c>
      <c r="OT4" s="144"/>
      <c r="OU4" s="144" t="s">
        <v>63</v>
      </c>
      <c r="OV4" s="144"/>
      <c r="OW4" s="144" t="s">
        <v>27</v>
      </c>
      <c r="OX4" s="144"/>
      <c r="OY4" s="144" t="s">
        <v>28</v>
      </c>
      <c r="OZ4" s="144"/>
      <c r="PA4" s="144" t="s">
        <v>29</v>
      </c>
      <c r="PB4" s="144"/>
      <c r="PC4" s="144" t="s">
        <v>30</v>
      </c>
      <c r="PD4" s="144"/>
      <c r="PE4" s="141" t="s">
        <v>20</v>
      </c>
      <c r="PF4" s="173"/>
      <c r="PG4" s="142"/>
      <c r="PH4" s="144" t="s">
        <v>62</v>
      </c>
      <c r="PI4" s="144"/>
      <c r="PJ4" s="144" t="s">
        <v>57</v>
      </c>
      <c r="PK4" s="144"/>
      <c r="PL4" s="144" t="s">
        <v>58</v>
      </c>
      <c r="PM4" s="144"/>
      <c r="PN4" s="144" t="s">
        <v>63</v>
      </c>
      <c r="PO4" s="144"/>
      <c r="PP4" s="144" t="s">
        <v>27</v>
      </c>
      <c r="PQ4" s="144"/>
      <c r="PR4" s="144" t="s">
        <v>28</v>
      </c>
      <c r="PS4" s="144"/>
      <c r="PT4" s="144" t="s">
        <v>29</v>
      </c>
      <c r="PU4" s="144"/>
      <c r="PV4" s="144" t="s">
        <v>30</v>
      </c>
      <c r="PW4" s="144"/>
      <c r="PX4" s="141" t="s">
        <v>20</v>
      </c>
      <c r="PY4" s="173"/>
      <c r="PZ4" s="142"/>
      <c r="QA4" s="144" t="s">
        <v>62</v>
      </c>
      <c r="QB4" s="144"/>
      <c r="QC4" s="144" t="s">
        <v>57</v>
      </c>
      <c r="QD4" s="144"/>
      <c r="QE4" s="144" t="s">
        <v>58</v>
      </c>
      <c r="QF4" s="144"/>
      <c r="QG4" s="144" t="s">
        <v>63</v>
      </c>
      <c r="QH4" s="144"/>
      <c r="QI4" s="144" t="s">
        <v>27</v>
      </c>
      <c r="QJ4" s="144"/>
      <c r="QK4" s="144" t="s">
        <v>28</v>
      </c>
      <c r="QL4" s="144"/>
      <c r="QM4" s="144" t="s">
        <v>29</v>
      </c>
      <c r="QN4" s="144"/>
      <c r="QO4" s="144" t="s">
        <v>30</v>
      </c>
      <c r="QP4" s="144"/>
      <c r="QQ4" s="141" t="s">
        <v>20</v>
      </c>
      <c r="QR4" s="173"/>
      <c r="QS4" s="142"/>
      <c r="QT4" s="144" t="s">
        <v>62</v>
      </c>
      <c r="QU4" s="144"/>
      <c r="QV4" s="144" t="s">
        <v>57</v>
      </c>
      <c r="QW4" s="144"/>
      <c r="QX4" s="144" t="s">
        <v>58</v>
      </c>
      <c r="QY4" s="144"/>
      <c r="QZ4" s="144" t="s">
        <v>63</v>
      </c>
      <c r="RA4" s="144"/>
      <c r="RB4" s="144" t="s">
        <v>27</v>
      </c>
      <c r="RC4" s="144"/>
      <c r="RD4" s="144" t="s">
        <v>28</v>
      </c>
      <c r="RE4" s="144"/>
      <c r="RF4" s="144" t="s">
        <v>29</v>
      </c>
      <c r="RG4" s="144"/>
      <c r="RH4" s="144" t="s">
        <v>30</v>
      </c>
      <c r="RI4" s="144"/>
      <c r="RJ4" s="141" t="s">
        <v>20</v>
      </c>
      <c r="RK4" s="173"/>
      <c r="RL4" s="142"/>
      <c r="RM4" s="144" t="s">
        <v>62</v>
      </c>
      <c r="RN4" s="144"/>
      <c r="RO4" s="144" t="s">
        <v>57</v>
      </c>
      <c r="RP4" s="144"/>
      <c r="RQ4" s="144" t="s">
        <v>58</v>
      </c>
      <c r="RR4" s="144"/>
      <c r="RS4" s="144" t="s">
        <v>63</v>
      </c>
      <c r="RT4" s="144"/>
      <c r="RU4" s="144" t="s">
        <v>27</v>
      </c>
      <c r="RV4" s="144"/>
      <c r="RW4" s="144" t="s">
        <v>28</v>
      </c>
      <c r="RX4" s="144"/>
      <c r="RY4" s="144" t="s">
        <v>29</v>
      </c>
      <c r="RZ4" s="144"/>
      <c r="SA4" s="144" t="s">
        <v>30</v>
      </c>
      <c r="SB4" s="144"/>
      <c r="SC4" s="141" t="s">
        <v>20</v>
      </c>
      <c r="SD4" s="173"/>
      <c r="SE4" s="142"/>
      <c r="SF4" s="144" t="s">
        <v>62</v>
      </c>
      <c r="SG4" s="144"/>
      <c r="SH4" s="144" t="s">
        <v>57</v>
      </c>
      <c r="SI4" s="144"/>
      <c r="SJ4" s="144" t="s">
        <v>58</v>
      </c>
      <c r="SK4" s="144"/>
      <c r="SL4" s="144" t="s">
        <v>63</v>
      </c>
      <c r="SM4" s="144"/>
      <c r="SN4" s="144" t="s">
        <v>27</v>
      </c>
      <c r="SO4" s="144"/>
      <c r="SP4" s="144" t="s">
        <v>28</v>
      </c>
      <c r="SQ4" s="144"/>
      <c r="SR4" s="144" t="s">
        <v>29</v>
      </c>
      <c r="SS4" s="144"/>
      <c r="ST4" s="144" t="s">
        <v>30</v>
      </c>
      <c r="SU4" s="144"/>
      <c r="SV4" s="141" t="s">
        <v>20</v>
      </c>
      <c r="SW4" s="173"/>
      <c r="SX4" s="142"/>
      <c r="SY4" s="144" t="s">
        <v>62</v>
      </c>
      <c r="SZ4" s="144"/>
      <c r="TA4" s="144" t="s">
        <v>57</v>
      </c>
      <c r="TB4" s="144"/>
      <c r="TC4" s="144" t="s">
        <v>58</v>
      </c>
      <c r="TD4" s="144"/>
      <c r="TE4" s="144" t="s">
        <v>63</v>
      </c>
      <c r="TF4" s="144"/>
      <c r="TG4" s="144" t="s">
        <v>27</v>
      </c>
      <c r="TH4" s="144"/>
      <c r="TI4" s="144" t="s">
        <v>28</v>
      </c>
      <c r="TJ4" s="144"/>
      <c r="TK4" s="144" t="s">
        <v>29</v>
      </c>
      <c r="TL4" s="144"/>
      <c r="TM4" s="144" t="s">
        <v>30</v>
      </c>
      <c r="TN4" s="144"/>
      <c r="TO4" s="141" t="s">
        <v>20</v>
      </c>
      <c r="TP4" s="173"/>
      <c r="TQ4" s="142"/>
      <c r="TR4" s="144" t="s">
        <v>62</v>
      </c>
      <c r="TS4" s="144"/>
      <c r="TT4" s="144" t="s">
        <v>57</v>
      </c>
      <c r="TU4" s="144"/>
      <c r="TV4" s="144" t="s">
        <v>58</v>
      </c>
      <c r="TW4" s="144"/>
      <c r="TX4" s="144" t="s">
        <v>63</v>
      </c>
      <c r="TY4" s="144"/>
      <c r="TZ4" s="144" t="s">
        <v>27</v>
      </c>
      <c r="UA4" s="144"/>
      <c r="UB4" s="144" t="s">
        <v>28</v>
      </c>
      <c r="UC4" s="144"/>
      <c r="UD4" s="144" t="s">
        <v>29</v>
      </c>
      <c r="UE4" s="144"/>
      <c r="UF4" s="144" t="s">
        <v>30</v>
      </c>
      <c r="UG4" s="144"/>
      <c r="UH4" s="141" t="s">
        <v>20</v>
      </c>
      <c r="UI4" s="173"/>
      <c r="UJ4" s="142"/>
      <c r="UK4" s="144" t="s">
        <v>62</v>
      </c>
      <c r="UL4" s="144"/>
      <c r="UM4" s="144" t="s">
        <v>57</v>
      </c>
      <c r="UN4" s="144"/>
      <c r="UO4" s="144" t="s">
        <v>58</v>
      </c>
      <c r="UP4" s="144"/>
      <c r="UQ4" s="144" t="s">
        <v>63</v>
      </c>
      <c r="UR4" s="144"/>
      <c r="US4" s="144" t="s">
        <v>27</v>
      </c>
      <c r="UT4" s="144"/>
      <c r="UU4" s="144" t="s">
        <v>28</v>
      </c>
      <c r="UV4" s="144"/>
      <c r="UW4" s="144" t="s">
        <v>29</v>
      </c>
      <c r="UX4" s="144"/>
      <c r="UY4" s="144" t="s">
        <v>30</v>
      </c>
      <c r="UZ4" s="144"/>
      <c r="VA4" s="141" t="s">
        <v>20</v>
      </c>
      <c r="VB4" s="173"/>
      <c r="VC4" s="142"/>
      <c r="VD4" s="144" t="s">
        <v>62</v>
      </c>
      <c r="VE4" s="144"/>
      <c r="VF4" s="144" t="s">
        <v>57</v>
      </c>
      <c r="VG4" s="144"/>
      <c r="VH4" s="144" t="s">
        <v>58</v>
      </c>
      <c r="VI4" s="144"/>
      <c r="VJ4" s="144" t="s">
        <v>63</v>
      </c>
      <c r="VK4" s="144"/>
      <c r="VL4" s="144" t="s">
        <v>27</v>
      </c>
      <c r="VM4" s="144"/>
      <c r="VN4" s="144" t="s">
        <v>28</v>
      </c>
      <c r="VO4" s="144"/>
      <c r="VP4" s="144" t="s">
        <v>29</v>
      </c>
      <c r="VQ4" s="144"/>
      <c r="VR4" s="144" t="s">
        <v>30</v>
      </c>
      <c r="VS4" s="144"/>
      <c r="VT4" s="141" t="s">
        <v>20</v>
      </c>
      <c r="VU4" s="173"/>
      <c r="VV4" s="142"/>
      <c r="VW4" s="144" t="s">
        <v>62</v>
      </c>
      <c r="VX4" s="144"/>
      <c r="VY4" s="144" t="s">
        <v>57</v>
      </c>
      <c r="VZ4" s="144"/>
      <c r="WA4" s="144" t="s">
        <v>58</v>
      </c>
      <c r="WB4" s="144"/>
      <c r="WC4" s="144" t="s">
        <v>63</v>
      </c>
      <c r="WD4" s="144"/>
      <c r="WE4" s="144" t="s">
        <v>27</v>
      </c>
      <c r="WF4" s="144"/>
      <c r="WG4" s="144" t="s">
        <v>28</v>
      </c>
      <c r="WH4" s="144"/>
      <c r="WI4" s="144" t="s">
        <v>29</v>
      </c>
      <c r="WJ4" s="144"/>
      <c r="WK4" s="144" t="s">
        <v>30</v>
      </c>
      <c r="WL4" s="144"/>
      <c r="WM4" s="141" t="s">
        <v>20</v>
      </c>
      <c r="WN4" s="173"/>
      <c r="WO4" s="142"/>
      <c r="WP4" s="144" t="s">
        <v>62</v>
      </c>
      <c r="WQ4" s="144"/>
      <c r="WR4" s="144" t="s">
        <v>57</v>
      </c>
      <c r="WS4" s="144"/>
      <c r="WT4" s="144" t="s">
        <v>58</v>
      </c>
      <c r="WU4" s="144"/>
      <c r="WV4" s="144" t="s">
        <v>63</v>
      </c>
      <c r="WW4" s="144"/>
      <c r="WX4" s="144" t="s">
        <v>27</v>
      </c>
      <c r="WY4" s="144"/>
      <c r="WZ4" s="144" t="s">
        <v>28</v>
      </c>
      <c r="XA4" s="144"/>
      <c r="XB4" s="144" t="s">
        <v>29</v>
      </c>
      <c r="XC4" s="144"/>
      <c r="XD4" s="144" t="s">
        <v>30</v>
      </c>
      <c r="XE4" s="144"/>
      <c r="XF4" s="141" t="s">
        <v>20</v>
      </c>
      <c r="XG4" s="173"/>
      <c r="XH4" s="142"/>
      <c r="XI4" s="144" t="s">
        <v>62</v>
      </c>
      <c r="XJ4" s="144"/>
      <c r="XK4" s="144" t="s">
        <v>57</v>
      </c>
      <c r="XL4" s="144"/>
      <c r="XM4" s="144" t="s">
        <v>58</v>
      </c>
      <c r="XN4" s="144"/>
      <c r="XO4" s="144" t="s">
        <v>63</v>
      </c>
      <c r="XP4" s="144"/>
      <c r="XQ4" s="144" t="s">
        <v>27</v>
      </c>
      <c r="XR4" s="144"/>
      <c r="XS4" s="144" t="s">
        <v>28</v>
      </c>
      <c r="XT4" s="144"/>
      <c r="XU4" s="144" t="s">
        <v>29</v>
      </c>
      <c r="XV4" s="144"/>
      <c r="XW4" s="144" t="s">
        <v>30</v>
      </c>
      <c r="XX4" s="144"/>
      <c r="XY4" s="141" t="s">
        <v>20</v>
      </c>
      <c r="XZ4" s="173"/>
      <c r="YA4" s="142"/>
      <c r="YB4" s="144" t="s">
        <v>62</v>
      </c>
      <c r="YC4" s="144"/>
      <c r="YD4" s="144" t="s">
        <v>57</v>
      </c>
      <c r="YE4" s="144"/>
      <c r="YF4" s="144" t="s">
        <v>58</v>
      </c>
      <c r="YG4" s="144"/>
      <c r="YH4" s="144" t="s">
        <v>63</v>
      </c>
      <c r="YI4" s="144"/>
      <c r="YJ4" s="144" t="s">
        <v>27</v>
      </c>
      <c r="YK4" s="144"/>
      <c r="YL4" s="144" t="s">
        <v>28</v>
      </c>
      <c r="YM4" s="144"/>
      <c r="YN4" s="144" t="s">
        <v>29</v>
      </c>
      <c r="YO4" s="144"/>
      <c r="YP4" s="144" t="s">
        <v>30</v>
      </c>
      <c r="YQ4" s="144"/>
      <c r="YR4" s="141" t="s">
        <v>20</v>
      </c>
      <c r="YS4" s="173"/>
      <c r="YT4" s="142"/>
      <c r="YU4" s="144" t="s">
        <v>62</v>
      </c>
      <c r="YV4" s="144"/>
      <c r="YW4" s="144" t="s">
        <v>57</v>
      </c>
      <c r="YX4" s="144"/>
      <c r="YY4" s="144" t="s">
        <v>58</v>
      </c>
      <c r="YZ4" s="144"/>
      <c r="ZA4" s="144" t="s">
        <v>63</v>
      </c>
      <c r="ZB4" s="144"/>
      <c r="ZC4" s="144" t="s">
        <v>27</v>
      </c>
      <c r="ZD4" s="144"/>
      <c r="ZE4" s="144" t="s">
        <v>28</v>
      </c>
      <c r="ZF4" s="144"/>
      <c r="ZG4" s="144" t="s">
        <v>29</v>
      </c>
      <c r="ZH4" s="144"/>
      <c r="ZI4" s="144" t="s">
        <v>30</v>
      </c>
      <c r="ZJ4" s="144"/>
      <c r="ZK4" s="141" t="s">
        <v>20</v>
      </c>
      <c r="ZL4" s="173"/>
      <c r="ZM4" s="142"/>
      <c r="ZN4" s="144" t="s">
        <v>62</v>
      </c>
      <c r="ZO4" s="144"/>
      <c r="ZP4" s="144" t="s">
        <v>57</v>
      </c>
      <c r="ZQ4" s="144"/>
      <c r="ZR4" s="144" t="s">
        <v>58</v>
      </c>
      <c r="ZS4" s="144"/>
      <c r="ZT4" s="144" t="s">
        <v>63</v>
      </c>
      <c r="ZU4" s="144"/>
      <c r="ZV4" s="144" t="s">
        <v>27</v>
      </c>
      <c r="ZW4" s="144"/>
      <c r="ZX4" s="144" t="s">
        <v>28</v>
      </c>
      <c r="ZY4" s="144"/>
      <c r="ZZ4" s="144" t="s">
        <v>29</v>
      </c>
      <c r="AAA4" s="144"/>
      <c r="AAB4" s="144" t="s">
        <v>30</v>
      </c>
      <c r="AAC4" s="144"/>
      <c r="AAD4" s="141" t="s">
        <v>20</v>
      </c>
      <c r="AAE4" s="173"/>
      <c r="AAF4" s="142"/>
      <c r="AAG4" s="144" t="s">
        <v>62</v>
      </c>
      <c r="AAH4" s="144"/>
      <c r="AAI4" s="144" t="s">
        <v>57</v>
      </c>
      <c r="AAJ4" s="144"/>
      <c r="AAK4" s="144" t="s">
        <v>58</v>
      </c>
      <c r="AAL4" s="144"/>
      <c r="AAM4" s="144" t="s">
        <v>63</v>
      </c>
      <c r="AAN4" s="144"/>
      <c r="AAO4" s="144" t="s">
        <v>27</v>
      </c>
      <c r="AAP4" s="144"/>
      <c r="AAQ4" s="144" t="s">
        <v>28</v>
      </c>
      <c r="AAR4" s="144"/>
      <c r="AAS4" s="144" t="s">
        <v>29</v>
      </c>
      <c r="AAT4" s="144"/>
      <c r="AAU4" s="144" t="s">
        <v>30</v>
      </c>
      <c r="AAV4" s="144"/>
      <c r="AAW4" s="141" t="s">
        <v>20</v>
      </c>
      <c r="AAX4" s="173"/>
      <c r="AAY4" s="142"/>
      <c r="AAZ4" s="144" t="s">
        <v>62</v>
      </c>
      <c r="ABA4" s="144"/>
      <c r="ABB4" s="144" t="s">
        <v>57</v>
      </c>
      <c r="ABC4" s="144"/>
      <c r="ABD4" s="144" t="s">
        <v>58</v>
      </c>
      <c r="ABE4" s="144"/>
      <c r="ABF4" s="144" t="s">
        <v>63</v>
      </c>
      <c r="ABG4" s="144"/>
      <c r="ABH4" s="144" t="s">
        <v>27</v>
      </c>
      <c r="ABI4" s="144"/>
      <c r="ABJ4" s="144" t="s">
        <v>28</v>
      </c>
      <c r="ABK4" s="144"/>
      <c r="ABL4" s="144" t="s">
        <v>29</v>
      </c>
      <c r="ABM4" s="144"/>
      <c r="ABN4" s="144" t="s">
        <v>30</v>
      </c>
      <c r="ABO4" s="144"/>
      <c r="ABP4" s="141" t="s">
        <v>20</v>
      </c>
      <c r="ABQ4" s="173"/>
      <c r="ABR4" s="142"/>
      <c r="ABS4" s="144" t="s">
        <v>62</v>
      </c>
      <c r="ABT4" s="144"/>
      <c r="ABU4" s="144" t="s">
        <v>57</v>
      </c>
      <c r="ABV4" s="144"/>
      <c r="ABW4" s="144" t="s">
        <v>58</v>
      </c>
      <c r="ABX4" s="144"/>
      <c r="ABY4" s="144" t="s">
        <v>63</v>
      </c>
      <c r="ABZ4" s="144"/>
      <c r="ACA4" s="144" t="s">
        <v>27</v>
      </c>
      <c r="ACB4" s="144"/>
      <c r="ACC4" s="144" t="s">
        <v>28</v>
      </c>
      <c r="ACD4" s="144"/>
      <c r="ACE4" s="144" t="s">
        <v>29</v>
      </c>
      <c r="ACF4" s="144"/>
      <c r="ACG4" s="144" t="s">
        <v>30</v>
      </c>
      <c r="ACH4" s="144"/>
      <c r="ACI4" s="141" t="s">
        <v>20</v>
      </c>
      <c r="ACJ4" s="173"/>
      <c r="ACK4" s="142"/>
      <c r="ACL4" s="144" t="s">
        <v>62</v>
      </c>
      <c r="ACM4" s="144"/>
      <c r="ACN4" s="144" t="s">
        <v>57</v>
      </c>
      <c r="ACO4" s="144"/>
      <c r="ACP4" s="144" t="s">
        <v>58</v>
      </c>
      <c r="ACQ4" s="144"/>
      <c r="ACR4" s="144" t="s">
        <v>63</v>
      </c>
      <c r="ACS4" s="144"/>
      <c r="ACT4" s="144" t="s">
        <v>27</v>
      </c>
      <c r="ACU4" s="144"/>
      <c r="ACV4" s="144" t="s">
        <v>28</v>
      </c>
      <c r="ACW4" s="144"/>
      <c r="ACX4" s="144" t="s">
        <v>29</v>
      </c>
      <c r="ACY4" s="144"/>
      <c r="ACZ4" s="144" t="s">
        <v>30</v>
      </c>
      <c r="ADA4" s="144"/>
      <c r="ADB4" s="141" t="s">
        <v>20</v>
      </c>
      <c r="ADC4" s="173"/>
      <c r="ADD4" s="142"/>
      <c r="ADE4" s="144" t="s">
        <v>62</v>
      </c>
      <c r="ADF4" s="144"/>
      <c r="ADG4" s="144" t="s">
        <v>57</v>
      </c>
      <c r="ADH4" s="144"/>
      <c r="ADI4" s="144" t="s">
        <v>58</v>
      </c>
      <c r="ADJ4" s="144"/>
      <c r="ADK4" s="144" t="s">
        <v>63</v>
      </c>
      <c r="ADL4" s="144"/>
      <c r="ADM4" s="144" t="s">
        <v>27</v>
      </c>
      <c r="ADN4" s="144"/>
      <c r="ADO4" s="144" t="s">
        <v>28</v>
      </c>
      <c r="ADP4" s="144"/>
      <c r="ADQ4" s="144" t="s">
        <v>29</v>
      </c>
      <c r="ADR4" s="144"/>
      <c r="ADS4" s="144" t="s">
        <v>30</v>
      </c>
      <c r="ADT4" s="144"/>
      <c r="ADU4" s="141" t="s">
        <v>20</v>
      </c>
      <c r="ADV4" s="173"/>
      <c r="ADW4" s="142"/>
      <c r="ADX4" s="144" t="s">
        <v>62</v>
      </c>
      <c r="ADY4" s="144"/>
      <c r="ADZ4" s="144" t="s">
        <v>57</v>
      </c>
      <c r="AEA4" s="144"/>
      <c r="AEB4" s="144" t="s">
        <v>58</v>
      </c>
      <c r="AEC4" s="144"/>
      <c r="AED4" s="144" t="s">
        <v>63</v>
      </c>
      <c r="AEE4" s="144"/>
      <c r="AEF4" s="144" t="s">
        <v>27</v>
      </c>
      <c r="AEG4" s="144"/>
      <c r="AEH4" s="144" t="s">
        <v>28</v>
      </c>
      <c r="AEI4" s="144"/>
      <c r="AEJ4" s="144" t="s">
        <v>29</v>
      </c>
      <c r="AEK4" s="144"/>
      <c r="AEL4" s="144" t="s">
        <v>30</v>
      </c>
      <c r="AEM4" s="144"/>
      <c r="AEN4" s="141" t="s">
        <v>20</v>
      </c>
      <c r="AEO4" s="173"/>
      <c r="AEP4" s="142"/>
      <c r="AEQ4" s="144" t="s">
        <v>62</v>
      </c>
      <c r="AER4" s="144"/>
      <c r="AES4" s="144" t="s">
        <v>57</v>
      </c>
      <c r="AET4" s="144"/>
      <c r="AEU4" s="144" t="s">
        <v>58</v>
      </c>
      <c r="AEV4" s="144"/>
      <c r="AEW4" s="144" t="s">
        <v>63</v>
      </c>
      <c r="AEX4" s="144"/>
      <c r="AEY4" s="144" t="s">
        <v>27</v>
      </c>
      <c r="AEZ4" s="144"/>
      <c r="AFA4" s="144" t="s">
        <v>28</v>
      </c>
      <c r="AFB4" s="144"/>
      <c r="AFC4" s="144" t="s">
        <v>29</v>
      </c>
      <c r="AFD4" s="144"/>
      <c r="AFE4" s="144" t="s">
        <v>30</v>
      </c>
      <c r="AFF4" s="144"/>
      <c r="AFG4" s="141" t="s">
        <v>20</v>
      </c>
      <c r="AFH4" s="173"/>
      <c r="AFI4" s="142"/>
      <c r="AFJ4" s="144" t="s">
        <v>62</v>
      </c>
      <c r="AFK4" s="144"/>
      <c r="AFL4" s="144" t="s">
        <v>57</v>
      </c>
      <c r="AFM4" s="144"/>
      <c r="AFN4" s="144" t="s">
        <v>58</v>
      </c>
      <c r="AFO4" s="144"/>
      <c r="AFP4" s="144" t="s">
        <v>63</v>
      </c>
      <c r="AFQ4" s="144"/>
      <c r="AFR4" s="144" t="s">
        <v>27</v>
      </c>
      <c r="AFS4" s="144"/>
      <c r="AFT4" s="144" t="s">
        <v>28</v>
      </c>
      <c r="AFU4" s="144"/>
      <c r="AFV4" s="144" t="s">
        <v>29</v>
      </c>
      <c r="AFW4" s="144"/>
      <c r="AFX4" s="144" t="s">
        <v>30</v>
      </c>
      <c r="AFY4" s="144"/>
      <c r="AFZ4" s="141" t="s">
        <v>20</v>
      </c>
      <c r="AGA4" s="173"/>
      <c r="AGB4" s="142"/>
      <c r="AGC4" s="144" t="s">
        <v>62</v>
      </c>
      <c r="AGD4" s="144"/>
      <c r="AGE4" s="144" t="s">
        <v>57</v>
      </c>
      <c r="AGF4" s="144"/>
      <c r="AGG4" s="144" t="s">
        <v>58</v>
      </c>
      <c r="AGH4" s="144"/>
      <c r="AGI4" s="144" t="s">
        <v>63</v>
      </c>
      <c r="AGJ4" s="144"/>
      <c r="AGK4" s="144" t="s">
        <v>27</v>
      </c>
      <c r="AGL4" s="144"/>
      <c r="AGM4" s="144" t="s">
        <v>28</v>
      </c>
      <c r="AGN4" s="144"/>
      <c r="AGO4" s="144" t="s">
        <v>29</v>
      </c>
      <c r="AGP4" s="144"/>
      <c r="AGQ4" s="144" t="s">
        <v>30</v>
      </c>
      <c r="AGR4" s="144"/>
      <c r="AGS4" s="141" t="s">
        <v>20</v>
      </c>
      <c r="AGT4" s="173"/>
      <c r="AGU4" s="142"/>
      <c r="AGV4" s="144" t="s">
        <v>62</v>
      </c>
      <c r="AGW4" s="144"/>
      <c r="AGX4" s="144" t="s">
        <v>57</v>
      </c>
      <c r="AGY4" s="144"/>
      <c r="AGZ4" s="144" t="s">
        <v>58</v>
      </c>
      <c r="AHA4" s="144"/>
      <c r="AHB4" s="144" t="s">
        <v>63</v>
      </c>
      <c r="AHC4" s="144"/>
      <c r="AHD4" s="144" t="s">
        <v>27</v>
      </c>
      <c r="AHE4" s="144"/>
      <c r="AHF4" s="144" t="s">
        <v>28</v>
      </c>
      <c r="AHG4" s="144"/>
      <c r="AHH4" s="144" t="s">
        <v>29</v>
      </c>
      <c r="AHI4" s="144"/>
      <c r="AHJ4" s="144" t="s">
        <v>30</v>
      </c>
      <c r="AHK4" s="144"/>
      <c r="AHL4" s="141" t="s">
        <v>20</v>
      </c>
      <c r="AHM4" s="173"/>
      <c r="AHN4" s="142"/>
      <c r="AHO4" s="144" t="s">
        <v>62</v>
      </c>
      <c r="AHP4" s="144"/>
      <c r="AHQ4" s="144" t="s">
        <v>57</v>
      </c>
      <c r="AHR4" s="144"/>
      <c r="AHS4" s="144" t="s">
        <v>58</v>
      </c>
      <c r="AHT4" s="144"/>
      <c r="AHU4" s="144" t="s">
        <v>63</v>
      </c>
      <c r="AHV4" s="144"/>
      <c r="AHW4" s="144" t="s">
        <v>27</v>
      </c>
      <c r="AHX4" s="144"/>
      <c r="AHY4" s="144" t="s">
        <v>28</v>
      </c>
      <c r="AHZ4" s="144"/>
      <c r="AIA4" s="144" t="s">
        <v>29</v>
      </c>
      <c r="AIB4" s="144"/>
      <c r="AIC4" s="144" t="s">
        <v>30</v>
      </c>
      <c r="AID4" s="144"/>
      <c r="AIE4" s="141" t="s">
        <v>20</v>
      </c>
      <c r="AIF4" s="173"/>
      <c r="AIG4" s="142"/>
      <c r="AIH4" s="144" t="s">
        <v>62</v>
      </c>
      <c r="AII4" s="144"/>
      <c r="AIJ4" s="144" t="s">
        <v>57</v>
      </c>
      <c r="AIK4" s="144"/>
      <c r="AIL4" s="144" t="s">
        <v>58</v>
      </c>
      <c r="AIM4" s="144"/>
      <c r="AIN4" s="144" t="s">
        <v>63</v>
      </c>
      <c r="AIO4" s="144"/>
      <c r="AIP4" s="144" t="s">
        <v>27</v>
      </c>
      <c r="AIQ4" s="144"/>
      <c r="AIR4" s="144" t="s">
        <v>28</v>
      </c>
      <c r="AIS4" s="144"/>
      <c r="AIT4" s="144" t="s">
        <v>29</v>
      </c>
      <c r="AIU4" s="144"/>
      <c r="AIV4" s="144" t="s">
        <v>30</v>
      </c>
      <c r="AIW4" s="144"/>
      <c r="AIX4" s="141" t="s">
        <v>20</v>
      </c>
      <c r="AIY4" s="173"/>
      <c r="AIZ4" s="142"/>
      <c r="AJA4" s="144" t="s">
        <v>62</v>
      </c>
      <c r="AJB4" s="144"/>
      <c r="AJC4" s="144" t="s">
        <v>57</v>
      </c>
      <c r="AJD4" s="144"/>
      <c r="AJE4" s="144" t="s">
        <v>63</v>
      </c>
      <c r="AJF4" s="144"/>
      <c r="AJG4" s="144" t="s">
        <v>58</v>
      </c>
      <c r="AJH4" s="144"/>
      <c r="AJI4" s="144" t="s">
        <v>27</v>
      </c>
      <c r="AJJ4" s="144"/>
      <c r="AJK4" s="144" t="s">
        <v>28</v>
      </c>
      <c r="AJL4" s="144"/>
      <c r="AJM4" s="144" t="s">
        <v>29</v>
      </c>
      <c r="AJN4" s="144"/>
      <c r="AJO4" s="144" t="s">
        <v>30</v>
      </c>
      <c r="AJP4" s="144"/>
      <c r="AJQ4" s="141" t="s">
        <v>20</v>
      </c>
      <c r="AJR4" s="173"/>
      <c r="AJS4" s="142"/>
      <c r="AJT4" s="141" t="s">
        <v>364</v>
      </c>
      <c r="AJU4" s="142"/>
      <c r="AJV4" s="141" t="s">
        <v>365</v>
      </c>
      <c r="AJW4" s="142"/>
      <c r="AJX4" s="141" t="s">
        <v>366</v>
      </c>
      <c r="AJY4" s="142"/>
      <c r="AJZ4" s="141" t="s">
        <v>385</v>
      </c>
      <c r="AKA4" s="142"/>
      <c r="AKB4" s="141" t="s">
        <v>128</v>
      </c>
      <c r="AKC4" s="173"/>
      <c r="AKD4" s="142"/>
      <c r="AKE4" s="141" t="s">
        <v>367</v>
      </c>
      <c r="AKF4" s="142"/>
      <c r="AKG4" s="141" t="s">
        <v>368</v>
      </c>
      <c r="AKH4" s="142"/>
      <c r="AKI4" s="141" t="s">
        <v>369</v>
      </c>
      <c r="AKJ4" s="142"/>
      <c r="AKK4" s="141" t="s">
        <v>370</v>
      </c>
      <c r="AKL4" s="142"/>
      <c r="AKM4" s="141" t="s">
        <v>380</v>
      </c>
      <c r="AKN4" s="142"/>
      <c r="AKO4" s="141" t="s">
        <v>128</v>
      </c>
      <c r="AKP4" s="173"/>
      <c r="AKQ4" s="142"/>
      <c r="AKR4" s="141" t="s">
        <v>277</v>
      </c>
      <c r="AKS4" s="142"/>
      <c r="AKT4" s="221" t="s">
        <v>278</v>
      </c>
      <c r="AKU4" s="222"/>
      <c r="AKV4" s="221" t="s">
        <v>279</v>
      </c>
      <c r="AKW4" s="222"/>
      <c r="AKX4" s="221" t="s">
        <v>280</v>
      </c>
      <c r="AKY4" s="222"/>
      <c r="AKZ4" s="221" t="s">
        <v>20</v>
      </c>
      <c r="ALA4" s="250"/>
      <c r="ALB4" s="250"/>
      <c r="ALC4" s="255"/>
      <c r="ALD4" s="256"/>
      <c r="ALE4" s="145" t="s">
        <v>97</v>
      </c>
      <c r="ALF4" s="146"/>
      <c r="ALG4" s="121"/>
      <c r="ALH4" s="145" t="s">
        <v>296</v>
      </c>
      <c r="ALI4" s="146"/>
      <c r="ALJ4" s="147" t="s">
        <v>299</v>
      </c>
      <c r="ALK4" s="146"/>
      <c r="ALL4" s="145" t="s">
        <v>98</v>
      </c>
      <c r="ALM4" s="147"/>
      <c r="ALN4" s="146"/>
      <c r="ALO4" s="145" t="s">
        <v>245</v>
      </c>
      <c r="ALP4" s="147"/>
      <c r="ALQ4" s="146"/>
      <c r="ALR4" s="145" t="s">
        <v>249</v>
      </c>
      <c r="ALS4" s="147"/>
      <c r="ALT4" s="146"/>
      <c r="ALU4" s="145" t="s">
        <v>284</v>
      </c>
      <c r="ALV4" s="147"/>
      <c r="ALW4" s="147"/>
      <c r="ALX4" s="147"/>
      <c r="ALY4" s="146"/>
      <c r="ALZ4" s="233" t="s">
        <v>102</v>
      </c>
      <c r="AMA4" s="237"/>
      <c r="AMB4" s="237"/>
      <c r="AMC4" s="237"/>
      <c r="AMD4" s="237"/>
      <c r="AME4" s="234"/>
      <c r="AMF4" s="150"/>
      <c r="AMG4" s="158"/>
      <c r="AMH4" s="158"/>
      <c r="AMI4" s="158"/>
      <c r="AMJ4" s="158"/>
      <c r="AMK4" s="151"/>
      <c r="AML4" s="223"/>
      <c r="AMM4" s="223"/>
      <c r="AMN4" s="150"/>
      <c r="AMO4" s="151"/>
      <c r="AMP4" s="223"/>
      <c r="AMQ4" s="223"/>
      <c r="AMR4" s="150"/>
      <c r="AMS4" s="158"/>
      <c r="AMT4" s="158"/>
      <c r="AMU4" s="158"/>
      <c r="AMV4" s="151"/>
      <c r="AMW4" s="150"/>
      <c r="AMX4" s="151"/>
      <c r="AMY4" s="150"/>
      <c r="AMZ4" s="158"/>
      <c r="ANA4" s="151"/>
      <c r="ANB4" s="150"/>
      <c r="ANC4" s="151"/>
      <c r="AND4" s="158"/>
      <c r="ANE4" s="158"/>
      <c r="ANF4" s="158"/>
      <c r="ANG4" s="158"/>
      <c r="ANH4" s="151"/>
      <c r="ANI4" s="150"/>
      <c r="ANJ4" s="151"/>
      <c r="ANK4" s="150"/>
      <c r="ANL4" s="151"/>
      <c r="ANM4" s="236" t="s">
        <v>99</v>
      </c>
      <c r="ANN4" s="236"/>
      <c r="ANO4" s="236"/>
      <c r="ANP4" s="235" t="s">
        <v>100</v>
      </c>
      <c r="ANQ4" s="235"/>
      <c r="ANR4" s="235"/>
      <c r="ANS4" s="233" t="s">
        <v>101</v>
      </c>
      <c r="ANT4" s="237"/>
      <c r="ANU4" s="234"/>
      <c r="ANV4" s="164"/>
      <c r="ANW4" s="165"/>
      <c r="ANX4" s="165"/>
      <c r="ANY4" s="166"/>
      <c r="ANZ4" s="218"/>
      <c r="AOA4" s="220"/>
      <c r="AOB4" s="218"/>
      <c r="AOC4" s="220"/>
      <c r="AOD4" s="218"/>
      <c r="AOE4" s="220"/>
      <c r="AOF4" s="240"/>
      <c r="AOG4" s="241"/>
      <c r="AOH4" s="240"/>
      <c r="AOI4" s="241"/>
      <c r="AOJ4" s="240"/>
      <c r="AOK4" s="241"/>
      <c r="AOL4" s="195"/>
      <c r="AOM4" s="195"/>
      <c r="AON4" s="183"/>
      <c r="AOO4" s="184"/>
      <c r="AOP4" s="184"/>
      <c r="AOQ4" s="184"/>
      <c r="AOR4" s="185"/>
      <c r="AOS4" s="183"/>
      <c r="AOT4" s="184"/>
      <c r="AOU4" s="184"/>
      <c r="AOV4" s="185"/>
      <c r="AOW4" s="183"/>
      <c r="AOX4" s="185"/>
      <c r="AOY4" s="257"/>
      <c r="AOZ4" s="233" t="s">
        <v>262</v>
      </c>
      <c r="APA4" s="234"/>
      <c r="APB4" s="235" t="s">
        <v>400</v>
      </c>
      <c r="APC4" s="235"/>
      <c r="APD4" s="235" t="s">
        <v>401</v>
      </c>
      <c r="APE4" s="235"/>
      <c r="APF4" s="235" t="s">
        <v>402</v>
      </c>
      <c r="APG4" s="235"/>
      <c r="APH4" s="235" t="s">
        <v>403</v>
      </c>
      <c r="API4" s="235"/>
      <c r="APJ4" s="235" t="s">
        <v>106</v>
      </c>
      <c r="APK4" s="235"/>
      <c r="APL4" s="235" t="s">
        <v>404</v>
      </c>
      <c r="APM4" s="235"/>
      <c r="APN4" s="235" t="s">
        <v>405</v>
      </c>
      <c r="APO4" s="235"/>
    </row>
    <row r="5" spans="1:1110" s="122" customFormat="1" ht="81.75" customHeight="1">
      <c r="A5" s="123" t="s">
        <v>2</v>
      </c>
      <c r="B5" s="123" t="s">
        <v>3</v>
      </c>
      <c r="C5" s="123" t="s">
        <v>0</v>
      </c>
      <c r="D5" s="123" t="s">
        <v>1</v>
      </c>
      <c r="E5" s="123" t="s">
        <v>70</v>
      </c>
      <c r="F5" s="124" t="s">
        <v>4</v>
      </c>
      <c r="G5" s="124" t="s">
        <v>5</v>
      </c>
      <c r="H5" s="124" t="s">
        <v>6</v>
      </c>
      <c r="I5" s="124" t="s">
        <v>7</v>
      </c>
      <c r="J5" s="124" t="s">
        <v>8</v>
      </c>
      <c r="K5" s="124" t="s">
        <v>9</v>
      </c>
      <c r="L5" s="124" t="s">
        <v>10</v>
      </c>
      <c r="M5" s="125" t="s">
        <v>11</v>
      </c>
      <c r="N5" s="124" t="s">
        <v>12</v>
      </c>
      <c r="O5" s="124" t="s">
        <v>13</v>
      </c>
      <c r="P5" s="124" t="s">
        <v>14</v>
      </c>
      <c r="Q5" s="125" t="s">
        <v>15</v>
      </c>
      <c r="R5" s="124" t="s">
        <v>16</v>
      </c>
      <c r="S5" s="124" t="s">
        <v>17</v>
      </c>
      <c r="T5" s="125" t="s">
        <v>18</v>
      </c>
      <c r="U5" s="124" t="s">
        <v>4</v>
      </c>
      <c r="V5" s="124" t="s">
        <v>5</v>
      </c>
      <c r="W5" s="124" t="s">
        <v>6</v>
      </c>
      <c r="X5" s="123" t="s">
        <v>4</v>
      </c>
      <c r="Y5" s="123" t="s">
        <v>5</v>
      </c>
      <c r="Z5" s="123" t="s">
        <v>4</v>
      </c>
      <c r="AA5" s="123" t="s">
        <v>5</v>
      </c>
      <c r="AB5" s="123" t="s">
        <v>4</v>
      </c>
      <c r="AC5" s="123" t="s">
        <v>5</v>
      </c>
      <c r="AD5" s="123" t="s">
        <v>4</v>
      </c>
      <c r="AE5" s="123" t="s">
        <v>5</v>
      </c>
      <c r="AF5" s="123" t="s">
        <v>4</v>
      </c>
      <c r="AG5" s="123" t="s">
        <v>5</v>
      </c>
      <c r="AH5" s="123" t="s">
        <v>4</v>
      </c>
      <c r="AI5" s="123" t="s">
        <v>5</v>
      </c>
      <c r="AJ5" s="123" t="s">
        <v>4</v>
      </c>
      <c r="AK5" s="123" t="s">
        <v>5</v>
      </c>
      <c r="AL5" s="123" t="s">
        <v>4</v>
      </c>
      <c r="AM5" s="123" t="s">
        <v>5</v>
      </c>
      <c r="AN5" s="123" t="s">
        <v>4</v>
      </c>
      <c r="AO5" s="123" t="s">
        <v>5</v>
      </c>
      <c r="AP5" s="123" t="s">
        <v>4</v>
      </c>
      <c r="AQ5" s="123" t="s">
        <v>5</v>
      </c>
      <c r="AR5" s="123" t="s">
        <v>20</v>
      </c>
      <c r="AS5" s="123" t="s">
        <v>4</v>
      </c>
      <c r="AT5" s="123" t="s">
        <v>5</v>
      </c>
      <c r="AU5" s="123" t="s">
        <v>4</v>
      </c>
      <c r="AV5" s="123" t="s">
        <v>5</v>
      </c>
      <c r="AW5" s="123" t="s">
        <v>4</v>
      </c>
      <c r="AX5" s="123" t="s">
        <v>5</v>
      </c>
      <c r="AY5" s="123" t="s">
        <v>4</v>
      </c>
      <c r="AZ5" s="123" t="s">
        <v>5</v>
      </c>
      <c r="BA5" s="123" t="s">
        <v>4</v>
      </c>
      <c r="BB5" s="123" t="s">
        <v>5</v>
      </c>
      <c r="BC5" s="123" t="s">
        <v>4</v>
      </c>
      <c r="BD5" s="123" t="s">
        <v>5</v>
      </c>
      <c r="BE5" s="123" t="s">
        <v>4</v>
      </c>
      <c r="BF5" s="123" t="s">
        <v>5</v>
      </c>
      <c r="BG5" s="123" t="s">
        <v>4</v>
      </c>
      <c r="BH5" s="123" t="s">
        <v>5</v>
      </c>
      <c r="BI5" s="123" t="s">
        <v>4</v>
      </c>
      <c r="BJ5" s="123" t="s">
        <v>5</v>
      </c>
      <c r="BK5" s="123" t="s">
        <v>4</v>
      </c>
      <c r="BL5" s="123" t="s">
        <v>5</v>
      </c>
      <c r="BM5" s="123" t="s">
        <v>20</v>
      </c>
      <c r="BN5" s="123" t="s">
        <v>4</v>
      </c>
      <c r="BO5" s="123" t="s">
        <v>5</v>
      </c>
      <c r="BP5" s="123" t="s">
        <v>4</v>
      </c>
      <c r="BQ5" s="123" t="s">
        <v>5</v>
      </c>
      <c r="BR5" s="123" t="s">
        <v>4</v>
      </c>
      <c r="BS5" s="123" t="s">
        <v>5</v>
      </c>
      <c r="BT5" s="123" t="s">
        <v>4</v>
      </c>
      <c r="BU5" s="123" t="s">
        <v>5</v>
      </c>
      <c r="BV5" s="123" t="s">
        <v>4</v>
      </c>
      <c r="BW5" s="123" t="s">
        <v>5</v>
      </c>
      <c r="BX5" s="123" t="s">
        <v>4</v>
      </c>
      <c r="BY5" s="123" t="s">
        <v>5</v>
      </c>
      <c r="BZ5" s="123" t="s">
        <v>4</v>
      </c>
      <c r="CA5" s="123" t="s">
        <v>5</v>
      </c>
      <c r="CB5" s="123" t="s">
        <v>4</v>
      </c>
      <c r="CC5" s="123" t="s">
        <v>5</v>
      </c>
      <c r="CD5" s="123" t="s">
        <v>4</v>
      </c>
      <c r="CE5" s="123" t="s">
        <v>5</v>
      </c>
      <c r="CF5" s="123" t="s">
        <v>20</v>
      </c>
      <c r="CG5" s="123" t="s">
        <v>4</v>
      </c>
      <c r="CH5" s="123" t="s">
        <v>5</v>
      </c>
      <c r="CI5" s="123" t="s">
        <v>4</v>
      </c>
      <c r="CJ5" s="123" t="s">
        <v>5</v>
      </c>
      <c r="CK5" s="123" t="s">
        <v>4</v>
      </c>
      <c r="CL5" s="123" t="s">
        <v>5</v>
      </c>
      <c r="CM5" s="123" t="s">
        <v>4</v>
      </c>
      <c r="CN5" s="123" t="s">
        <v>5</v>
      </c>
      <c r="CO5" s="123" t="s">
        <v>4</v>
      </c>
      <c r="CP5" s="123" t="s">
        <v>5</v>
      </c>
      <c r="CQ5" s="123" t="s">
        <v>4</v>
      </c>
      <c r="CR5" s="123" t="s">
        <v>5</v>
      </c>
      <c r="CS5" s="123" t="s">
        <v>4</v>
      </c>
      <c r="CT5" s="123" t="s">
        <v>5</v>
      </c>
      <c r="CU5" s="123" t="s">
        <v>4</v>
      </c>
      <c r="CV5" s="123" t="s">
        <v>5</v>
      </c>
      <c r="CW5" s="123" t="s">
        <v>20</v>
      </c>
      <c r="CX5" s="123" t="s">
        <v>4</v>
      </c>
      <c r="CY5" s="123" t="s">
        <v>5</v>
      </c>
      <c r="CZ5" s="123" t="s">
        <v>4</v>
      </c>
      <c r="DA5" s="123" t="s">
        <v>5</v>
      </c>
      <c r="DB5" s="123" t="s">
        <v>4</v>
      </c>
      <c r="DC5" s="123" t="s">
        <v>5</v>
      </c>
      <c r="DD5" s="123" t="s">
        <v>4</v>
      </c>
      <c r="DE5" s="123" t="s">
        <v>5</v>
      </c>
      <c r="DF5" s="123" t="s">
        <v>4</v>
      </c>
      <c r="DG5" s="123" t="s">
        <v>5</v>
      </c>
      <c r="DH5" s="123" t="s">
        <v>4</v>
      </c>
      <c r="DI5" s="123" t="s">
        <v>5</v>
      </c>
      <c r="DJ5" s="123" t="s">
        <v>4</v>
      </c>
      <c r="DK5" s="123" t="s">
        <v>5</v>
      </c>
      <c r="DL5" s="123" t="s">
        <v>20</v>
      </c>
      <c r="DM5" s="123" t="s">
        <v>4</v>
      </c>
      <c r="DN5" s="123" t="s">
        <v>5</v>
      </c>
      <c r="DO5" s="123" t="s">
        <v>4</v>
      </c>
      <c r="DP5" s="123" t="s">
        <v>5</v>
      </c>
      <c r="DQ5" s="123" t="s">
        <v>4</v>
      </c>
      <c r="DR5" s="123" t="s">
        <v>5</v>
      </c>
      <c r="DS5" s="123" t="s">
        <v>4</v>
      </c>
      <c r="DT5" s="123" t="s">
        <v>5</v>
      </c>
      <c r="DU5" s="123" t="s">
        <v>4</v>
      </c>
      <c r="DV5" s="123" t="s">
        <v>5</v>
      </c>
      <c r="DW5" s="123" t="s">
        <v>4</v>
      </c>
      <c r="DX5" s="123" t="s">
        <v>5</v>
      </c>
      <c r="DY5" s="123" t="s">
        <v>20</v>
      </c>
      <c r="DZ5" s="123" t="s">
        <v>4</v>
      </c>
      <c r="EA5" s="123" t="s">
        <v>5</v>
      </c>
      <c r="EB5" s="123" t="s">
        <v>4</v>
      </c>
      <c r="EC5" s="123" t="s">
        <v>5</v>
      </c>
      <c r="ED5" s="123" t="s">
        <v>4</v>
      </c>
      <c r="EE5" s="123" t="s">
        <v>5</v>
      </c>
      <c r="EF5" s="123" t="s">
        <v>4</v>
      </c>
      <c r="EG5" s="123" t="s">
        <v>5</v>
      </c>
      <c r="EH5" s="123" t="s">
        <v>4</v>
      </c>
      <c r="EI5" s="123" t="s">
        <v>5</v>
      </c>
      <c r="EJ5" s="123" t="s">
        <v>4</v>
      </c>
      <c r="EK5" s="123" t="s">
        <v>5</v>
      </c>
      <c r="EL5" s="123" t="s">
        <v>4</v>
      </c>
      <c r="EM5" s="123" t="s">
        <v>5</v>
      </c>
      <c r="EN5" s="123" t="s">
        <v>4</v>
      </c>
      <c r="EO5" s="123" t="s">
        <v>5</v>
      </c>
      <c r="EP5" s="123" t="s">
        <v>4</v>
      </c>
      <c r="EQ5" s="123" t="s">
        <v>5</v>
      </c>
      <c r="ER5" s="123" t="s">
        <v>4</v>
      </c>
      <c r="ES5" s="123" t="s">
        <v>5</v>
      </c>
      <c r="ET5" s="123" t="s">
        <v>20</v>
      </c>
      <c r="EU5" s="123" t="s">
        <v>4</v>
      </c>
      <c r="EV5" s="123" t="s">
        <v>5</v>
      </c>
      <c r="EW5" s="123" t="s">
        <v>4</v>
      </c>
      <c r="EX5" s="123" t="s">
        <v>5</v>
      </c>
      <c r="EY5" s="123" t="s">
        <v>4</v>
      </c>
      <c r="EZ5" s="123" t="s">
        <v>5</v>
      </c>
      <c r="FA5" s="123" t="s">
        <v>4</v>
      </c>
      <c r="FB5" s="123" t="s">
        <v>5</v>
      </c>
      <c r="FC5" s="123" t="s">
        <v>4</v>
      </c>
      <c r="FD5" s="123" t="s">
        <v>5</v>
      </c>
      <c r="FE5" s="123" t="s">
        <v>4</v>
      </c>
      <c r="FF5" s="123" t="s">
        <v>5</v>
      </c>
      <c r="FG5" s="123" t="s">
        <v>4</v>
      </c>
      <c r="FH5" s="123" t="s">
        <v>5</v>
      </c>
      <c r="FI5" s="123" t="s">
        <v>20</v>
      </c>
      <c r="FJ5" s="123" t="s">
        <v>4</v>
      </c>
      <c r="FK5" s="123" t="s">
        <v>5</v>
      </c>
      <c r="FL5" s="123" t="s">
        <v>60</v>
      </c>
      <c r="FM5" s="123" t="s">
        <v>4</v>
      </c>
      <c r="FN5" s="123" t="s">
        <v>5</v>
      </c>
      <c r="FO5" s="123" t="s">
        <v>60</v>
      </c>
      <c r="FP5" s="123" t="s">
        <v>4</v>
      </c>
      <c r="FQ5" s="123" t="s">
        <v>5</v>
      </c>
      <c r="FR5" s="123" t="s">
        <v>60</v>
      </c>
      <c r="FS5" s="123" t="s">
        <v>4</v>
      </c>
      <c r="FT5" s="123" t="s">
        <v>5</v>
      </c>
      <c r="FU5" s="123" t="s">
        <v>60</v>
      </c>
      <c r="FV5" s="123" t="s">
        <v>4</v>
      </c>
      <c r="FW5" s="123" t="s">
        <v>5</v>
      </c>
      <c r="FX5" s="123" t="s">
        <v>60</v>
      </c>
      <c r="FY5" s="123" t="s">
        <v>4</v>
      </c>
      <c r="FZ5" s="123" t="s">
        <v>5</v>
      </c>
      <c r="GA5" s="123" t="s">
        <v>60</v>
      </c>
      <c r="GB5" s="123" t="s">
        <v>20</v>
      </c>
      <c r="GC5" s="123" t="s">
        <v>4</v>
      </c>
      <c r="GD5" s="123" t="s">
        <v>5</v>
      </c>
      <c r="GE5" s="123" t="s">
        <v>4</v>
      </c>
      <c r="GF5" s="123" t="s">
        <v>5</v>
      </c>
      <c r="GG5" s="123" t="s">
        <v>4</v>
      </c>
      <c r="GH5" s="123" t="s">
        <v>5</v>
      </c>
      <c r="GI5" s="123" t="s">
        <v>4</v>
      </c>
      <c r="GJ5" s="123" t="s">
        <v>5</v>
      </c>
      <c r="GK5" s="123" t="s">
        <v>4</v>
      </c>
      <c r="GL5" s="123" t="s">
        <v>5</v>
      </c>
      <c r="GM5" s="123" t="s">
        <v>4</v>
      </c>
      <c r="GN5" s="123" t="s">
        <v>5</v>
      </c>
      <c r="GO5" s="123" t="s">
        <v>20</v>
      </c>
      <c r="GP5" s="123" t="s">
        <v>4</v>
      </c>
      <c r="GQ5" s="123" t="s">
        <v>5</v>
      </c>
      <c r="GR5" s="123" t="s">
        <v>4</v>
      </c>
      <c r="GS5" s="123" t="s">
        <v>5</v>
      </c>
      <c r="GT5" s="123" t="s">
        <v>4</v>
      </c>
      <c r="GU5" s="123" t="s">
        <v>5</v>
      </c>
      <c r="GV5" s="123" t="s">
        <v>4</v>
      </c>
      <c r="GW5" s="123" t="s">
        <v>5</v>
      </c>
      <c r="GX5" s="123" t="s">
        <v>4</v>
      </c>
      <c r="GY5" s="123" t="s">
        <v>5</v>
      </c>
      <c r="GZ5" s="123" t="s">
        <v>4</v>
      </c>
      <c r="HA5" s="123" t="s">
        <v>5</v>
      </c>
      <c r="HB5" s="123" t="s">
        <v>20</v>
      </c>
      <c r="HC5" s="123" t="s">
        <v>4</v>
      </c>
      <c r="HD5" s="123" t="s">
        <v>5</v>
      </c>
      <c r="HE5" s="123" t="s">
        <v>4</v>
      </c>
      <c r="HF5" s="123" t="s">
        <v>5</v>
      </c>
      <c r="HG5" s="123" t="s">
        <v>4</v>
      </c>
      <c r="HH5" s="123" t="s">
        <v>5</v>
      </c>
      <c r="HI5" s="123" t="s">
        <v>4</v>
      </c>
      <c r="HJ5" s="123" t="s">
        <v>5</v>
      </c>
      <c r="HK5" s="123" t="s">
        <v>4</v>
      </c>
      <c r="HL5" s="123" t="s">
        <v>5</v>
      </c>
      <c r="HM5" s="123" t="s">
        <v>4</v>
      </c>
      <c r="HN5" s="123" t="s">
        <v>5</v>
      </c>
      <c r="HO5" s="123" t="s">
        <v>20</v>
      </c>
      <c r="HP5" s="123" t="s">
        <v>4</v>
      </c>
      <c r="HQ5" s="123" t="s">
        <v>5</v>
      </c>
      <c r="HR5" s="123" t="s">
        <v>4</v>
      </c>
      <c r="HS5" s="123" t="s">
        <v>5</v>
      </c>
      <c r="HT5" s="123" t="s">
        <v>4</v>
      </c>
      <c r="HU5" s="123" t="s">
        <v>5</v>
      </c>
      <c r="HV5" s="123" t="s">
        <v>4</v>
      </c>
      <c r="HW5" s="123" t="s">
        <v>5</v>
      </c>
      <c r="HX5" s="123" t="s">
        <v>4</v>
      </c>
      <c r="HY5" s="123" t="s">
        <v>5</v>
      </c>
      <c r="HZ5" s="123" t="s">
        <v>4</v>
      </c>
      <c r="IA5" s="123" t="s">
        <v>5</v>
      </c>
      <c r="IB5" s="123" t="s">
        <v>20</v>
      </c>
      <c r="IC5" s="123" t="s">
        <v>4</v>
      </c>
      <c r="ID5" s="123" t="s">
        <v>5</v>
      </c>
      <c r="IE5" s="123" t="s">
        <v>4</v>
      </c>
      <c r="IF5" s="123" t="s">
        <v>5</v>
      </c>
      <c r="IG5" s="123" t="s">
        <v>4</v>
      </c>
      <c r="IH5" s="123" t="s">
        <v>5</v>
      </c>
      <c r="II5" s="123" t="s">
        <v>4</v>
      </c>
      <c r="IJ5" s="123" t="s">
        <v>5</v>
      </c>
      <c r="IK5" s="123" t="s">
        <v>4</v>
      </c>
      <c r="IL5" s="123" t="s">
        <v>5</v>
      </c>
      <c r="IM5" s="123" t="s">
        <v>4</v>
      </c>
      <c r="IN5" s="123" t="s">
        <v>5</v>
      </c>
      <c r="IO5" s="123" t="s">
        <v>20</v>
      </c>
      <c r="IP5" s="123" t="s">
        <v>4</v>
      </c>
      <c r="IQ5" s="123" t="s">
        <v>5</v>
      </c>
      <c r="IR5" s="123" t="s">
        <v>4</v>
      </c>
      <c r="IS5" s="123" t="s">
        <v>5</v>
      </c>
      <c r="IT5" s="123" t="s">
        <v>4</v>
      </c>
      <c r="IU5" s="123" t="s">
        <v>5</v>
      </c>
      <c r="IV5" s="123" t="s">
        <v>4</v>
      </c>
      <c r="IW5" s="123" t="s">
        <v>5</v>
      </c>
      <c r="IX5" s="123" t="s">
        <v>4</v>
      </c>
      <c r="IY5" s="123" t="s">
        <v>5</v>
      </c>
      <c r="IZ5" s="123" t="s">
        <v>4</v>
      </c>
      <c r="JA5" s="123" t="s">
        <v>5</v>
      </c>
      <c r="JB5" s="123" t="s">
        <v>20</v>
      </c>
      <c r="JC5" s="123" t="s">
        <v>22</v>
      </c>
      <c r="JD5" s="123" t="s">
        <v>23</v>
      </c>
      <c r="JE5" s="123" t="s">
        <v>22</v>
      </c>
      <c r="JF5" s="123" t="s">
        <v>23</v>
      </c>
      <c r="JG5" s="123" t="s">
        <v>22</v>
      </c>
      <c r="JH5" s="123" t="s">
        <v>23</v>
      </c>
      <c r="JI5" s="123" t="s">
        <v>22</v>
      </c>
      <c r="JJ5" s="123" t="s">
        <v>23</v>
      </c>
      <c r="JK5" s="123" t="s">
        <v>22</v>
      </c>
      <c r="JL5" s="123" t="s">
        <v>23</v>
      </c>
      <c r="JM5" s="123" t="s">
        <v>22</v>
      </c>
      <c r="JN5" s="123" t="s">
        <v>23</v>
      </c>
      <c r="JO5" s="123" t="s">
        <v>20</v>
      </c>
      <c r="JP5" s="123" t="s">
        <v>65</v>
      </c>
      <c r="JQ5" s="123" t="s">
        <v>23</v>
      </c>
      <c r="JR5" s="123" t="s">
        <v>65</v>
      </c>
      <c r="JS5" s="123" t="s">
        <v>23</v>
      </c>
      <c r="JT5" s="123" t="s">
        <v>65</v>
      </c>
      <c r="JU5" s="123" t="s">
        <v>23</v>
      </c>
      <c r="JV5" s="123" t="s">
        <v>65</v>
      </c>
      <c r="JW5" s="123" t="s">
        <v>23</v>
      </c>
      <c r="JX5" s="123" t="s">
        <v>65</v>
      </c>
      <c r="JY5" s="123" t="s">
        <v>23</v>
      </c>
      <c r="JZ5" s="123" t="s">
        <v>65</v>
      </c>
      <c r="KA5" s="123" t="s">
        <v>23</v>
      </c>
      <c r="KB5" s="123" t="s">
        <v>65</v>
      </c>
      <c r="KC5" s="123" t="s">
        <v>23</v>
      </c>
      <c r="KD5" s="123" t="s">
        <v>65</v>
      </c>
      <c r="KE5" s="123" t="s">
        <v>23</v>
      </c>
      <c r="KF5" s="123" t="s">
        <v>65</v>
      </c>
      <c r="KG5" s="123" t="s">
        <v>23</v>
      </c>
      <c r="KH5" s="123" t="s">
        <v>65</v>
      </c>
      <c r="KI5" s="123" t="s">
        <v>23</v>
      </c>
      <c r="KJ5" s="123" t="s">
        <v>65</v>
      </c>
      <c r="KK5" s="123" t="s">
        <v>23</v>
      </c>
      <c r="KL5" s="123" t="s">
        <v>20</v>
      </c>
      <c r="KM5" s="123" t="s">
        <v>65</v>
      </c>
      <c r="KN5" s="123" t="s">
        <v>23</v>
      </c>
      <c r="KO5" s="123" t="s">
        <v>65</v>
      </c>
      <c r="KP5" s="123" t="s">
        <v>23</v>
      </c>
      <c r="KQ5" s="123" t="s">
        <v>65</v>
      </c>
      <c r="KR5" s="123" t="s">
        <v>23</v>
      </c>
      <c r="KS5" s="123" t="s">
        <v>65</v>
      </c>
      <c r="KT5" s="123" t="s">
        <v>23</v>
      </c>
      <c r="KU5" s="123" t="s">
        <v>20</v>
      </c>
      <c r="KV5" s="123" t="s">
        <v>65</v>
      </c>
      <c r="KW5" s="123" t="s">
        <v>23</v>
      </c>
      <c r="KX5" s="123" t="s">
        <v>65</v>
      </c>
      <c r="KY5" s="123" t="s">
        <v>23</v>
      </c>
      <c r="KZ5" s="123" t="s">
        <v>65</v>
      </c>
      <c r="LA5" s="123" t="s">
        <v>23</v>
      </c>
      <c r="LB5" s="123" t="s">
        <v>65</v>
      </c>
      <c r="LC5" s="123" t="s">
        <v>23</v>
      </c>
      <c r="LD5" s="123" t="s">
        <v>65</v>
      </c>
      <c r="LE5" s="123" t="s">
        <v>23</v>
      </c>
      <c r="LF5" s="123" t="s">
        <v>65</v>
      </c>
      <c r="LG5" s="123" t="s">
        <v>23</v>
      </c>
      <c r="LH5" s="123" t="s">
        <v>65</v>
      </c>
      <c r="LI5" s="123" t="s">
        <v>23</v>
      </c>
      <c r="LJ5" s="123" t="s">
        <v>65</v>
      </c>
      <c r="LK5" s="123" t="s">
        <v>23</v>
      </c>
      <c r="LL5" s="123" t="s">
        <v>65</v>
      </c>
      <c r="LM5" s="123" t="s">
        <v>23</v>
      </c>
      <c r="LN5" s="123" t="s">
        <v>65</v>
      </c>
      <c r="LO5" s="123" t="s">
        <v>23</v>
      </c>
      <c r="LP5" s="123" t="s">
        <v>20</v>
      </c>
      <c r="LQ5" s="123" t="s">
        <v>22</v>
      </c>
      <c r="LR5" s="123" t="s">
        <v>23</v>
      </c>
      <c r="LS5" s="123" t="s">
        <v>22</v>
      </c>
      <c r="LT5" s="123" t="s">
        <v>23</v>
      </c>
      <c r="LU5" s="123" t="s">
        <v>22</v>
      </c>
      <c r="LV5" s="123" t="s">
        <v>23</v>
      </c>
      <c r="LW5" s="123" t="s">
        <v>22</v>
      </c>
      <c r="LX5" s="123" t="s">
        <v>23</v>
      </c>
      <c r="LY5" s="123" t="s">
        <v>22</v>
      </c>
      <c r="LZ5" s="123" t="s">
        <v>23</v>
      </c>
      <c r="MA5" s="123" t="s">
        <v>22</v>
      </c>
      <c r="MB5" s="123" t="s">
        <v>23</v>
      </c>
      <c r="MC5" s="123" t="s">
        <v>22</v>
      </c>
      <c r="MD5" s="123" t="s">
        <v>23</v>
      </c>
      <c r="ME5" s="123" t="s">
        <v>22</v>
      </c>
      <c r="MF5" s="123" t="s">
        <v>23</v>
      </c>
      <c r="MG5" s="123" t="s">
        <v>22</v>
      </c>
      <c r="MH5" s="123" t="s">
        <v>23</v>
      </c>
      <c r="MI5" s="123" t="s">
        <v>20</v>
      </c>
      <c r="MJ5" s="123" t="s">
        <v>22</v>
      </c>
      <c r="MK5" s="123" t="s">
        <v>23</v>
      </c>
      <c r="ML5" s="123" t="s">
        <v>22</v>
      </c>
      <c r="MM5" s="123" t="s">
        <v>23</v>
      </c>
      <c r="MN5" s="123" t="s">
        <v>22</v>
      </c>
      <c r="MO5" s="123" t="s">
        <v>23</v>
      </c>
      <c r="MP5" s="123" t="s">
        <v>22</v>
      </c>
      <c r="MQ5" s="123" t="s">
        <v>23</v>
      </c>
      <c r="MR5" s="123" t="s">
        <v>22</v>
      </c>
      <c r="MS5" s="123" t="s">
        <v>23</v>
      </c>
      <c r="MT5" s="123" t="s">
        <v>22</v>
      </c>
      <c r="MU5" s="123" t="s">
        <v>23</v>
      </c>
      <c r="MV5" s="123" t="s">
        <v>22</v>
      </c>
      <c r="MW5" s="123" t="s">
        <v>23</v>
      </c>
      <c r="MX5" s="123" t="s">
        <v>22</v>
      </c>
      <c r="MY5" s="123" t="s">
        <v>23</v>
      </c>
      <c r="MZ5" s="123" t="s">
        <v>22</v>
      </c>
      <c r="NA5" s="123" t="s">
        <v>23</v>
      </c>
      <c r="NB5" s="123" t="s">
        <v>20</v>
      </c>
      <c r="NC5" s="123" t="s">
        <v>22</v>
      </c>
      <c r="ND5" s="123" t="s">
        <v>23</v>
      </c>
      <c r="NE5" s="123" t="s">
        <v>22</v>
      </c>
      <c r="NF5" s="123" t="s">
        <v>23</v>
      </c>
      <c r="NG5" s="123" t="s">
        <v>22</v>
      </c>
      <c r="NH5" s="123" t="s">
        <v>23</v>
      </c>
      <c r="NI5" s="123" t="s">
        <v>22</v>
      </c>
      <c r="NJ5" s="123" t="s">
        <v>23</v>
      </c>
      <c r="NK5" s="123" t="s">
        <v>22</v>
      </c>
      <c r="NL5" s="123" t="s">
        <v>23</v>
      </c>
      <c r="NM5" s="123" t="s">
        <v>22</v>
      </c>
      <c r="NN5" s="123" t="s">
        <v>23</v>
      </c>
      <c r="NO5" s="123" t="s">
        <v>22</v>
      </c>
      <c r="NP5" s="123" t="s">
        <v>23</v>
      </c>
      <c r="NQ5" s="123" t="s">
        <v>22</v>
      </c>
      <c r="NR5" s="123" t="s">
        <v>23</v>
      </c>
      <c r="NS5" s="123" t="s">
        <v>22</v>
      </c>
      <c r="NT5" s="123" t="s">
        <v>23</v>
      </c>
      <c r="NU5" s="123" t="s">
        <v>20</v>
      </c>
      <c r="NV5" s="123" t="s">
        <v>22</v>
      </c>
      <c r="NW5" s="123" t="s">
        <v>23</v>
      </c>
      <c r="NX5" s="123" t="s">
        <v>22</v>
      </c>
      <c r="NY5" s="123" t="s">
        <v>23</v>
      </c>
      <c r="NZ5" s="123" t="s">
        <v>22</v>
      </c>
      <c r="OA5" s="123" t="s">
        <v>23</v>
      </c>
      <c r="OB5" s="123" t="s">
        <v>22</v>
      </c>
      <c r="OC5" s="123" t="s">
        <v>23</v>
      </c>
      <c r="OD5" s="123" t="s">
        <v>22</v>
      </c>
      <c r="OE5" s="123" t="s">
        <v>23</v>
      </c>
      <c r="OF5" s="123" t="s">
        <v>22</v>
      </c>
      <c r="OG5" s="123" t="s">
        <v>23</v>
      </c>
      <c r="OH5" s="123" t="s">
        <v>22</v>
      </c>
      <c r="OI5" s="123" t="s">
        <v>23</v>
      </c>
      <c r="OJ5" s="123" t="s">
        <v>22</v>
      </c>
      <c r="OK5" s="123" t="s">
        <v>23</v>
      </c>
      <c r="OL5" s="123" t="s">
        <v>22</v>
      </c>
      <c r="OM5" s="123" t="s">
        <v>23</v>
      </c>
      <c r="ON5" s="123" t="s">
        <v>20</v>
      </c>
      <c r="OO5" s="123" t="s">
        <v>22</v>
      </c>
      <c r="OP5" s="123" t="s">
        <v>23</v>
      </c>
      <c r="OQ5" s="123" t="s">
        <v>22</v>
      </c>
      <c r="OR5" s="123" t="s">
        <v>23</v>
      </c>
      <c r="OS5" s="123" t="s">
        <v>22</v>
      </c>
      <c r="OT5" s="123" t="s">
        <v>23</v>
      </c>
      <c r="OU5" s="123" t="s">
        <v>22</v>
      </c>
      <c r="OV5" s="123" t="s">
        <v>23</v>
      </c>
      <c r="OW5" s="123" t="s">
        <v>22</v>
      </c>
      <c r="OX5" s="123" t="s">
        <v>23</v>
      </c>
      <c r="OY5" s="123" t="s">
        <v>22</v>
      </c>
      <c r="OZ5" s="123" t="s">
        <v>23</v>
      </c>
      <c r="PA5" s="123" t="s">
        <v>22</v>
      </c>
      <c r="PB5" s="123" t="s">
        <v>23</v>
      </c>
      <c r="PC5" s="123" t="s">
        <v>22</v>
      </c>
      <c r="PD5" s="123" t="s">
        <v>23</v>
      </c>
      <c r="PE5" s="123" t="s">
        <v>22</v>
      </c>
      <c r="PF5" s="123" t="s">
        <v>23</v>
      </c>
      <c r="PG5" s="123" t="s">
        <v>20</v>
      </c>
      <c r="PH5" s="123" t="s">
        <v>22</v>
      </c>
      <c r="PI5" s="123" t="s">
        <v>23</v>
      </c>
      <c r="PJ5" s="123" t="s">
        <v>22</v>
      </c>
      <c r="PK5" s="123" t="s">
        <v>23</v>
      </c>
      <c r="PL5" s="123" t="s">
        <v>22</v>
      </c>
      <c r="PM5" s="123" t="s">
        <v>23</v>
      </c>
      <c r="PN5" s="123" t="s">
        <v>22</v>
      </c>
      <c r="PO5" s="123" t="s">
        <v>23</v>
      </c>
      <c r="PP5" s="123" t="s">
        <v>22</v>
      </c>
      <c r="PQ5" s="123" t="s">
        <v>23</v>
      </c>
      <c r="PR5" s="123" t="s">
        <v>22</v>
      </c>
      <c r="PS5" s="123" t="s">
        <v>23</v>
      </c>
      <c r="PT5" s="123" t="s">
        <v>22</v>
      </c>
      <c r="PU5" s="123" t="s">
        <v>23</v>
      </c>
      <c r="PV5" s="123" t="s">
        <v>22</v>
      </c>
      <c r="PW5" s="123" t="s">
        <v>23</v>
      </c>
      <c r="PX5" s="123" t="s">
        <v>22</v>
      </c>
      <c r="PY5" s="123" t="s">
        <v>23</v>
      </c>
      <c r="PZ5" s="123" t="s">
        <v>20</v>
      </c>
      <c r="QA5" s="123" t="s">
        <v>22</v>
      </c>
      <c r="QB5" s="123" t="s">
        <v>23</v>
      </c>
      <c r="QC5" s="123" t="s">
        <v>22</v>
      </c>
      <c r="QD5" s="123" t="s">
        <v>23</v>
      </c>
      <c r="QE5" s="123" t="s">
        <v>22</v>
      </c>
      <c r="QF5" s="123" t="s">
        <v>23</v>
      </c>
      <c r="QG5" s="123" t="s">
        <v>22</v>
      </c>
      <c r="QH5" s="123" t="s">
        <v>23</v>
      </c>
      <c r="QI5" s="123" t="s">
        <v>22</v>
      </c>
      <c r="QJ5" s="123" t="s">
        <v>23</v>
      </c>
      <c r="QK5" s="123" t="s">
        <v>22</v>
      </c>
      <c r="QL5" s="123" t="s">
        <v>23</v>
      </c>
      <c r="QM5" s="123" t="s">
        <v>22</v>
      </c>
      <c r="QN5" s="123" t="s">
        <v>23</v>
      </c>
      <c r="QO5" s="123" t="s">
        <v>22</v>
      </c>
      <c r="QP5" s="123" t="s">
        <v>23</v>
      </c>
      <c r="QQ5" s="123" t="s">
        <v>22</v>
      </c>
      <c r="QR5" s="123" t="s">
        <v>23</v>
      </c>
      <c r="QS5" s="123" t="s">
        <v>20</v>
      </c>
      <c r="QT5" s="123" t="s">
        <v>22</v>
      </c>
      <c r="QU5" s="123" t="s">
        <v>23</v>
      </c>
      <c r="QV5" s="123" t="s">
        <v>22</v>
      </c>
      <c r="QW5" s="123" t="s">
        <v>23</v>
      </c>
      <c r="QX5" s="123" t="s">
        <v>22</v>
      </c>
      <c r="QY5" s="123" t="s">
        <v>23</v>
      </c>
      <c r="QZ5" s="123" t="s">
        <v>22</v>
      </c>
      <c r="RA5" s="123" t="s">
        <v>23</v>
      </c>
      <c r="RB5" s="123" t="s">
        <v>22</v>
      </c>
      <c r="RC5" s="123" t="s">
        <v>23</v>
      </c>
      <c r="RD5" s="123" t="s">
        <v>22</v>
      </c>
      <c r="RE5" s="123" t="s">
        <v>23</v>
      </c>
      <c r="RF5" s="123" t="s">
        <v>22</v>
      </c>
      <c r="RG5" s="123" t="s">
        <v>23</v>
      </c>
      <c r="RH5" s="123" t="s">
        <v>22</v>
      </c>
      <c r="RI5" s="123" t="s">
        <v>23</v>
      </c>
      <c r="RJ5" s="123" t="s">
        <v>22</v>
      </c>
      <c r="RK5" s="123" t="s">
        <v>23</v>
      </c>
      <c r="RL5" s="123" t="s">
        <v>20</v>
      </c>
      <c r="RM5" s="123" t="s">
        <v>22</v>
      </c>
      <c r="RN5" s="123" t="s">
        <v>23</v>
      </c>
      <c r="RO5" s="123" t="s">
        <v>22</v>
      </c>
      <c r="RP5" s="123" t="s">
        <v>23</v>
      </c>
      <c r="RQ5" s="123" t="s">
        <v>22</v>
      </c>
      <c r="RR5" s="123" t="s">
        <v>23</v>
      </c>
      <c r="RS5" s="123" t="s">
        <v>22</v>
      </c>
      <c r="RT5" s="123" t="s">
        <v>23</v>
      </c>
      <c r="RU5" s="123" t="s">
        <v>22</v>
      </c>
      <c r="RV5" s="123" t="s">
        <v>23</v>
      </c>
      <c r="RW5" s="123" t="s">
        <v>22</v>
      </c>
      <c r="RX5" s="123" t="s">
        <v>23</v>
      </c>
      <c r="RY5" s="123" t="s">
        <v>22</v>
      </c>
      <c r="RZ5" s="123" t="s">
        <v>23</v>
      </c>
      <c r="SA5" s="123" t="s">
        <v>22</v>
      </c>
      <c r="SB5" s="123" t="s">
        <v>23</v>
      </c>
      <c r="SC5" s="123" t="s">
        <v>22</v>
      </c>
      <c r="SD5" s="123" t="s">
        <v>23</v>
      </c>
      <c r="SE5" s="123" t="s">
        <v>20</v>
      </c>
      <c r="SF5" s="123" t="s">
        <v>22</v>
      </c>
      <c r="SG5" s="123" t="s">
        <v>23</v>
      </c>
      <c r="SH5" s="123" t="s">
        <v>22</v>
      </c>
      <c r="SI5" s="123" t="s">
        <v>23</v>
      </c>
      <c r="SJ5" s="123" t="s">
        <v>22</v>
      </c>
      <c r="SK5" s="123" t="s">
        <v>23</v>
      </c>
      <c r="SL5" s="123" t="s">
        <v>22</v>
      </c>
      <c r="SM5" s="123" t="s">
        <v>23</v>
      </c>
      <c r="SN5" s="123" t="s">
        <v>22</v>
      </c>
      <c r="SO5" s="123" t="s">
        <v>23</v>
      </c>
      <c r="SP5" s="123" t="s">
        <v>22</v>
      </c>
      <c r="SQ5" s="123" t="s">
        <v>23</v>
      </c>
      <c r="SR5" s="123" t="s">
        <v>22</v>
      </c>
      <c r="SS5" s="123" t="s">
        <v>23</v>
      </c>
      <c r="ST5" s="123" t="s">
        <v>22</v>
      </c>
      <c r="SU5" s="123" t="s">
        <v>23</v>
      </c>
      <c r="SV5" s="123" t="s">
        <v>22</v>
      </c>
      <c r="SW5" s="123" t="s">
        <v>23</v>
      </c>
      <c r="SX5" s="123" t="s">
        <v>20</v>
      </c>
      <c r="SY5" s="123" t="s">
        <v>22</v>
      </c>
      <c r="SZ5" s="123" t="s">
        <v>23</v>
      </c>
      <c r="TA5" s="123" t="s">
        <v>22</v>
      </c>
      <c r="TB5" s="123" t="s">
        <v>23</v>
      </c>
      <c r="TC5" s="123" t="s">
        <v>22</v>
      </c>
      <c r="TD5" s="123" t="s">
        <v>23</v>
      </c>
      <c r="TE5" s="123" t="s">
        <v>22</v>
      </c>
      <c r="TF5" s="123" t="s">
        <v>23</v>
      </c>
      <c r="TG5" s="123" t="s">
        <v>22</v>
      </c>
      <c r="TH5" s="123" t="s">
        <v>23</v>
      </c>
      <c r="TI5" s="123" t="s">
        <v>22</v>
      </c>
      <c r="TJ5" s="123" t="s">
        <v>23</v>
      </c>
      <c r="TK5" s="123" t="s">
        <v>22</v>
      </c>
      <c r="TL5" s="123" t="s">
        <v>23</v>
      </c>
      <c r="TM5" s="123" t="s">
        <v>22</v>
      </c>
      <c r="TN5" s="123" t="s">
        <v>23</v>
      </c>
      <c r="TO5" s="123" t="s">
        <v>22</v>
      </c>
      <c r="TP5" s="123" t="s">
        <v>23</v>
      </c>
      <c r="TQ5" s="123" t="s">
        <v>20</v>
      </c>
      <c r="TR5" s="123" t="s">
        <v>22</v>
      </c>
      <c r="TS5" s="123" t="s">
        <v>23</v>
      </c>
      <c r="TT5" s="123" t="s">
        <v>22</v>
      </c>
      <c r="TU5" s="123" t="s">
        <v>23</v>
      </c>
      <c r="TV5" s="123" t="s">
        <v>22</v>
      </c>
      <c r="TW5" s="123" t="s">
        <v>23</v>
      </c>
      <c r="TX5" s="123" t="s">
        <v>22</v>
      </c>
      <c r="TY5" s="123" t="s">
        <v>23</v>
      </c>
      <c r="TZ5" s="123" t="s">
        <v>22</v>
      </c>
      <c r="UA5" s="123" t="s">
        <v>23</v>
      </c>
      <c r="UB5" s="123" t="s">
        <v>22</v>
      </c>
      <c r="UC5" s="123" t="s">
        <v>23</v>
      </c>
      <c r="UD5" s="123" t="s">
        <v>22</v>
      </c>
      <c r="UE5" s="123" t="s">
        <v>23</v>
      </c>
      <c r="UF5" s="123" t="s">
        <v>22</v>
      </c>
      <c r="UG5" s="123" t="s">
        <v>23</v>
      </c>
      <c r="UH5" s="123" t="s">
        <v>22</v>
      </c>
      <c r="UI5" s="123" t="s">
        <v>23</v>
      </c>
      <c r="UJ5" s="123" t="s">
        <v>20</v>
      </c>
      <c r="UK5" s="123" t="s">
        <v>22</v>
      </c>
      <c r="UL5" s="123" t="s">
        <v>23</v>
      </c>
      <c r="UM5" s="123" t="s">
        <v>22</v>
      </c>
      <c r="UN5" s="123" t="s">
        <v>23</v>
      </c>
      <c r="UO5" s="123" t="s">
        <v>22</v>
      </c>
      <c r="UP5" s="123" t="s">
        <v>23</v>
      </c>
      <c r="UQ5" s="123" t="s">
        <v>22</v>
      </c>
      <c r="UR5" s="123" t="s">
        <v>23</v>
      </c>
      <c r="US5" s="123" t="s">
        <v>22</v>
      </c>
      <c r="UT5" s="123" t="s">
        <v>23</v>
      </c>
      <c r="UU5" s="123" t="s">
        <v>22</v>
      </c>
      <c r="UV5" s="123" t="s">
        <v>23</v>
      </c>
      <c r="UW5" s="123" t="s">
        <v>22</v>
      </c>
      <c r="UX5" s="123" t="s">
        <v>23</v>
      </c>
      <c r="UY5" s="123" t="s">
        <v>22</v>
      </c>
      <c r="UZ5" s="123" t="s">
        <v>23</v>
      </c>
      <c r="VA5" s="123" t="s">
        <v>22</v>
      </c>
      <c r="VB5" s="123" t="s">
        <v>23</v>
      </c>
      <c r="VC5" s="123" t="s">
        <v>20</v>
      </c>
      <c r="VD5" s="123" t="s">
        <v>22</v>
      </c>
      <c r="VE5" s="123" t="s">
        <v>23</v>
      </c>
      <c r="VF5" s="123" t="s">
        <v>22</v>
      </c>
      <c r="VG5" s="123" t="s">
        <v>23</v>
      </c>
      <c r="VH5" s="123" t="s">
        <v>22</v>
      </c>
      <c r="VI5" s="123" t="s">
        <v>23</v>
      </c>
      <c r="VJ5" s="123" t="s">
        <v>22</v>
      </c>
      <c r="VK5" s="123" t="s">
        <v>23</v>
      </c>
      <c r="VL5" s="123" t="s">
        <v>22</v>
      </c>
      <c r="VM5" s="123" t="s">
        <v>23</v>
      </c>
      <c r="VN5" s="123" t="s">
        <v>22</v>
      </c>
      <c r="VO5" s="123" t="s">
        <v>23</v>
      </c>
      <c r="VP5" s="123" t="s">
        <v>22</v>
      </c>
      <c r="VQ5" s="123" t="s">
        <v>23</v>
      </c>
      <c r="VR5" s="123" t="s">
        <v>22</v>
      </c>
      <c r="VS5" s="123" t="s">
        <v>23</v>
      </c>
      <c r="VT5" s="123" t="s">
        <v>22</v>
      </c>
      <c r="VU5" s="123" t="s">
        <v>23</v>
      </c>
      <c r="VV5" s="123" t="s">
        <v>20</v>
      </c>
      <c r="VW5" s="123" t="s">
        <v>22</v>
      </c>
      <c r="VX5" s="123" t="s">
        <v>23</v>
      </c>
      <c r="VY5" s="123" t="s">
        <v>22</v>
      </c>
      <c r="VZ5" s="123" t="s">
        <v>23</v>
      </c>
      <c r="WA5" s="123" t="s">
        <v>22</v>
      </c>
      <c r="WB5" s="123" t="s">
        <v>23</v>
      </c>
      <c r="WC5" s="123" t="s">
        <v>22</v>
      </c>
      <c r="WD5" s="123" t="s">
        <v>23</v>
      </c>
      <c r="WE5" s="123" t="s">
        <v>22</v>
      </c>
      <c r="WF5" s="123" t="s">
        <v>23</v>
      </c>
      <c r="WG5" s="123" t="s">
        <v>22</v>
      </c>
      <c r="WH5" s="123" t="s">
        <v>23</v>
      </c>
      <c r="WI5" s="123" t="s">
        <v>22</v>
      </c>
      <c r="WJ5" s="123" t="s">
        <v>23</v>
      </c>
      <c r="WK5" s="123" t="s">
        <v>22</v>
      </c>
      <c r="WL5" s="123" t="s">
        <v>23</v>
      </c>
      <c r="WM5" s="123" t="s">
        <v>22</v>
      </c>
      <c r="WN5" s="123" t="s">
        <v>23</v>
      </c>
      <c r="WO5" s="123" t="s">
        <v>20</v>
      </c>
      <c r="WP5" s="123" t="s">
        <v>22</v>
      </c>
      <c r="WQ5" s="123" t="s">
        <v>23</v>
      </c>
      <c r="WR5" s="123" t="s">
        <v>22</v>
      </c>
      <c r="WS5" s="123" t="s">
        <v>23</v>
      </c>
      <c r="WT5" s="123" t="s">
        <v>22</v>
      </c>
      <c r="WU5" s="123" t="s">
        <v>23</v>
      </c>
      <c r="WV5" s="123" t="s">
        <v>22</v>
      </c>
      <c r="WW5" s="123" t="s">
        <v>23</v>
      </c>
      <c r="WX5" s="123" t="s">
        <v>22</v>
      </c>
      <c r="WY5" s="123" t="s">
        <v>23</v>
      </c>
      <c r="WZ5" s="123" t="s">
        <v>22</v>
      </c>
      <c r="XA5" s="123" t="s">
        <v>23</v>
      </c>
      <c r="XB5" s="123" t="s">
        <v>22</v>
      </c>
      <c r="XC5" s="123" t="s">
        <v>23</v>
      </c>
      <c r="XD5" s="123" t="s">
        <v>22</v>
      </c>
      <c r="XE5" s="123" t="s">
        <v>23</v>
      </c>
      <c r="XF5" s="123" t="s">
        <v>22</v>
      </c>
      <c r="XG5" s="123" t="s">
        <v>23</v>
      </c>
      <c r="XH5" s="123" t="s">
        <v>20</v>
      </c>
      <c r="XI5" s="123" t="s">
        <v>22</v>
      </c>
      <c r="XJ5" s="123" t="s">
        <v>23</v>
      </c>
      <c r="XK5" s="123" t="s">
        <v>22</v>
      </c>
      <c r="XL5" s="123" t="s">
        <v>23</v>
      </c>
      <c r="XM5" s="123" t="s">
        <v>22</v>
      </c>
      <c r="XN5" s="123" t="s">
        <v>23</v>
      </c>
      <c r="XO5" s="123" t="s">
        <v>22</v>
      </c>
      <c r="XP5" s="123" t="s">
        <v>23</v>
      </c>
      <c r="XQ5" s="123" t="s">
        <v>22</v>
      </c>
      <c r="XR5" s="123" t="s">
        <v>23</v>
      </c>
      <c r="XS5" s="123" t="s">
        <v>22</v>
      </c>
      <c r="XT5" s="123" t="s">
        <v>23</v>
      </c>
      <c r="XU5" s="123" t="s">
        <v>22</v>
      </c>
      <c r="XV5" s="123" t="s">
        <v>23</v>
      </c>
      <c r="XW5" s="123" t="s">
        <v>22</v>
      </c>
      <c r="XX5" s="123" t="s">
        <v>23</v>
      </c>
      <c r="XY5" s="123" t="s">
        <v>22</v>
      </c>
      <c r="XZ5" s="123" t="s">
        <v>23</v>
      </c>
      <c r="YA5" s="123" t="s">
        <v>20</v>
      </c>
      <c r="YB5" s="123" t="s">
        <v>22</v>
      </c>
      <c r="YC5" s="123" t="s">
        <v>23</v>
      </c>
      <c r="YD5" s="123" t="s">
        <v>22</v>
      </c>
      <c r="YE5" s="123" t="s">
        <v>23</v>
      </c>
      <c r="YF5" s="123" t="s">
        <v>22</v>
      </c>
      <c r="YG5" s="123" t="s">
        <v>23</v>
      </c>
      <c r="YH5" s="123" t="s">
        <v>22</v>
      </c>
      <c r="YI5" s="123" t="s">
        <v>23</v>
      </c>
      <c r="YJ5" s="123" t="s">
        <v>22</v>
      </c>
      <c r="YK5" s="123" t="s">
        <v>23</v>
      </c>
      <c r="YL5" s="123" t="s">
        <v>22</v>
      </c>
      <c r="YM5" s="123" t="s">
        <v>23</v>
      </c>
      <c r="YN5" s="123" t="s">
        <v>22</v>
      </c>
      <c r="YO5" s="123" t="s">
        <v>23</v>
      </c>
      <c r="YP5" s="123" t="s">
        <v>22</v>
      </c>
      <c r="YQ5" s="123" t="s">
        <v>23</v>
      </c>
      <c r="YR5" s="123" t="s">
        <v>22</v>
      </c>
      <c r="YS5" s="123" t="s">
        <v>23</v>
      </c>
      <c r="YT5" s="123" t="s">
        <v>20</v>
      </c>
      <c r="YU5" s="123" t="s">
        <v>22</v>
      </c>
      <c r="YV5" s="123" t="s">
        <v>23</v>
      </c>
      <c r="YW5" s="123" t="s">
        <v>22</v>
      </c>
      <c r="YX5" s="123" t="s">
        <v>23</v>
      </c>
      <c r="YY5" s="123" t="s">
        <v>22</v>
      </c>
      <c r="YZ5" s="123" t="s">
        <v>23</v>
      </c>
      <c r="ZA5" s="123" t="s">
        <v>22</v>
      </c>
      <c r="ZB5" s="123" t="s">
        <v>23</v>
      </c>
      <c r="ZC5" s="123" t="s">
        <v>22</v>
      </c>
      <c r="ZD5" s="123" t="s">
        <v>23</v>
      </c>
      <c r="ZE5" s="123" t="s">
        <v>22</v>
      </c>
      <c r="ZF5" s="123" t="s">
        <v>23</v>
      </c>
      <c r="ZG5" s="123" t="s">
        <v>22</v>
      </c>
      <c r="ZH5" s="123" t="s">
        <v>23</v>
      </c>
      <c r="ZI5" s="123" t="s">
        <v>22</v>
      </c>
      <c r="ZJ5" s="123" t="s">
        <v>23</v>
      </c>
      <c r="ZK5" s="123" t="s">
        <v>22</v>
      </c>
      <c r="ZL5" s="123" t="s">
        <v>23</v>
      </c>
      <c r="ZM5" s="123" t="s">
        <v>20</v>
      </c>
      <c r="ZN5" s="123" t="s">
        <v>22</v>
      </c>
      <c r="ZO5" s="123" t="s">
        <v>23</v>
      </c>
      <c r="ZP5" s="123" t="s">
        <v>22</v>
      </c>
      <c r="ZQ5" s="123" t="s">
        <v>23</v>
      </c>
      <c r="ZR5" s="123" t="s">
        <v>22</v>
      </c>
      <c r="ZS5" s="123" t="s">
        <v>23</v>
      </c>
      <c r="ZT5" s="123" t="s">
        <v>22</v>
      </c>
      <c r="ZU5" s="123" t="s">
        <v>23</v>
      </c>
      <c r="ZV5" s="123" t="s">
        <v>22</v>
      </c>
      <c r="ZW5" s="123" t="s">
        <v>23</v>
      </c>
      <c r="ZX5" s="123" t="s">
        <v>22</v>
      </c>
      <c r="ZY5" s="123" t="s">
        <v>23</v>
      </c>
      <c r="ZZ5" s="123" t="s">
        <v>22</v>
      </c>
      <c r="AAA5" s="123" t="s">
        <v>23</v>
      </c>
      <c r="AAB5" s="123" t="s">
        <v>22</v>
      </c>
      <c r="AAC5" s="123" t="s">
        <v>23</v>
      </c>
      <c r="AAD5" s="123" t="s">
        <v>22</v>
      </c>
      <c r="AAE5" s="123" t="s">
        <v>23</v>
      </c>
      <c r="AAF5" s="123" t="s">
        <v>20</v>
      </c>
      <c r="AAG5" s="123" t="s">
        <v>22</v>
      </c>
      <c r="AAH5" s="123" t="s">
        <v>23</v>
      </c>
      <c r="AAI5" s="123" t="s">
        <v>22</v>
      </c>
      <c r="AAJ5" s="123" t="s">
        <v>23</v>
      </c>
      <c r="AAK5" s="123" t="s">
        <v>22</v>
      </c>
      <c r="AAL5" s="123" t="s">
        <v>23</v>
      </c>
      <c r="AAM5" s="123" t="s">
        <v>22</v>
      </c>
      <c r="AAN5" s="123" t="s">
        <v>23</v>
      </c>
      <c r="AAO5" s="123" t="s">
        <v>22</v>
      </c>
      <c r="AAP5" s="123" t="s">
        <v>23</v>
      </c>
      <c r="AAQ5" s="123" t="s">
        <v>22</v>
      </c>
      <c r="AAR5" s="123" t="s">
        <v>23</v>
      </c>
      <c r="AAS5" s="123" t="s">
        <v>22</v>
      </c>
      <c r="AAT5" s="123" t="s">
        <v>23</v>
      </c>
      <c r="AAU5" s="123" t="s">
        <v>22</v>
      </c>
      <c r="AAV5" s="123" t="s">
        <v>23</v>
      </c>
      <c r="AAW5" s="123" t="s">
        <v>22</v>
      </c>
      <c r="AAX5" s="123" t="s">
        <v>23</v>
      </c>
      <c r="AAY5" s="123" t="s">
        <v>20</v>
      </c>
      <c r="AAZ5" s="123" t="s">
        <v>22</v>
      </c>
      <c r="ABA5" s="123" t="s">
        <v>23</v>
      </c>
      <c r="ABB5" s="123" t="s">
        <v>22</v>
      </c>
      <c r="ABC5" s="123" t="s">
        <v>23</v>
      </c>
      <c r="ABD5" s="123" t="s">
        <v>22</v>
      </c>
      <c r="ABE5" s="123" t="s">
        <v>23</v>
      </c>
      <c r="ABF5" s="123" t="s">
        <v>22</v>
      </c>
      <c r="ABG5" s="123" t="s">
        <v>23</v>
      </c>
      <c r="ABH5" s="123" t="s">
        <v>22</v>
      </c>
      <c r="ABI5" s="123" t="s">
        <v>23</v>
      </c>
      <c r="ABJ5" s="123" t="s">
        <v>22</v>
      </c>
      <c r="ABK5" s="123" t="s">
        <v>23</v>
      </c>
      <c r="ABL5" s="123" t="s">
        <v>22</v>
      </c>
      <c r="ABM5" s="123" t="s">
        <v>23</v>
      </c>
      <c r="ABN5" s="123" t="s">
        <v>22</v>
      </c>
      <c r="ABO5" s="123" t="s">
        <v>23</v>
      </c>
      <c r="ABP5" s="123" t="s">
        <v>22</v>
      </c>
      <c r="ABQ5" s="123" t="s">
        <v>23</v>
      </c>
      <c r="ABR5" s="123" t="s">
        <v>20</v>
      </c>
      <c r="ABS5" s="123" t="s">
        <v>22</v>
      </c>
      <c r="ABT5" s="123" t="s">
        <v>23</v>
      </c>
      <c r="ABU5" s="123" t="s">
        <v>22</v>
      </c>
      <c r="ABV5" s="123" t="s">
        <v>23</v>
      </c>
      <c r="ABW5" s="123" t="s">
        <v>22</v>
      </c>
      <c r="ABX5" s="123" t="s">
        <v>23</v>
      </c>
      <c r="ABY5" s="123" t="s">
        <v>22</v>
      </c>
      <c r="ABZ5" s="123" t="s">
        <v>23</v>
      </c>
      <c r="ACA5" s="123" t="s">
        <v>22</v>
      </c>
      <c r="ACB5" s="123" t="s">
        <v>23</v>
      </c>
      <c r="ACC5" s="123" t="s">
        <v>22</v>
      </c>
      <c r="ACD5" s="123" t="s">
        <v>23</v>
      </c>
      <c r="ACE5" s="123" t="s">
        <v>22</v>
      </c>
      <c r="ACF5" s="123" t="s">
        <v>23</v>
      </c>
      <c r="ACG5" s="123" t="s">
        <v>22</v>
      </c>
      <c r="ACH5" s="123" t="s">
        <v>23</v>
      </c>
      <c r="ACI5" s="123" t="s">
        <v>22</v>
      </c>
      <c r="ACJ5" s="123" t="s">
        <v>23</v>
      </c>
      <c r="ACK5" s="123" t="s">
        <v>20</v>
      </c>
      <c r="ACL5" s="123" t="s">
        <v>22</v>
      </c>
      <c r="ACM5" s="123" t="s">
        <v>23</v>
      </c>
      <c r="ACN5" s="123" t="s">
        <v>22</v>
      </c>
      <c r="ACO5" s="123" t="s">
        <v>23</v>
      </c>
      <c r="ACP5" s="123" t="s">
        <v>22</v>
      </c>
      <c r="ACQ5" s="123" t="s">
        <v>23</v>
      </c>
      <c r="ACR5" s="123" t="s">
        <v>22</v>
      </c>
      <c r="ACS5" s="123" t="s">
        <v>23</v>
      </c>
      <c r="ACT5" s="123" t="s">
        <v>22</v>
      </c>
      <c r="ACU5" s="123" t="s">
        <v>23</v>
      </c>
      <c r="ACV5" s="123" t="s">
        <v>22</v>
      </c>
      <c r="ACW5" s="123" t="s">
        <v>23</v>
      </c>
      <c r="ACX5" s="123" t="s">
        <v>22</v>
      </c>
      <c r="ACY5" s="123" t="s">
        <v>23</v>
      </c>
      <c r="ACZ5" s="123" t="s">
        <v>22</v>
      </c>
      <c r="ADA5" s="123" t="s">
        <v>23</v>
      </c>
      <c r="ADB5" s="123" t="s">
        <v>22</v>
      </c>
      <c r="ADC5" s="123" t="s">
        <v>23</v>
      </c>
      <c r="ADD5" s="123" t="s">
        <v>20</v>
      </c>
      <c r="ADE5" s="123" t="s">
        <v>22</v>
      </c>
      <c r="ADF5" s="123" t="s">
        <v>23</v>
      </c>
      <c r="ADG5" s="123" t="s">
        <v>22</v>
      </c>
      <c r="ADH5" s="123" t="s">
        <v>23</v>
      </c>
      <c r="ADI5" s="123" t="s">
        <v>22</v>
      </c>
      <c r="ADJ5" s="123" t="s">
        <v>23</v>
      </c>
      <c r="ADK5" s="123" t="s">
        <v>22</v>
      </c>
      <c r="ADL5" s="123" t="s">
        <v>23</v>
      </c>
      <c r="ADM5" s="123" t="s">
        <v>22</v>
      </c>
      <c r="ADN5" s="123" t="s">
        <v>23</v>
      </c>
      <c r="ADO5" s="123" t="s">
        <v>22</v>
      </c>
      <c r="ADP5" s="123" t="s">
        <v>23</v>
      </c>
      <c r="ADQ5" s="123" t="s">
        <v>22</v>
      </c>
      <c r="ADR5" s="123" t="s">
        <v>23</v>
      </c>
      <c r="ADS5" s="123" t="s">
        <v>22</v>
      </c>
      <c r="ADT5" s="123" t="s">
        <v>23</v>
      </c>
      <c r="ADU5" s="123" t="s">
        <v>22</v>
      </c>
      <c r="ADV5" s="123" t="s">
        <v>23</v>
      </c>
      <c r="ADW5" s="123" t="s">
        <v>20</v>
      </c>
      <c r="ADX5" s="123" t="s">
        <v>22</v>
      </c>
      <c r="ADY5" s="123" t="s">
        <v>23</v>
      </c>
      <c r="ADZ5" s="123" t="s">
        <v>22</v>
      </c>
      <c r="AEA5" s="123" t="s">
        <v>23</v>
      </c>
      <c r="AEB5" s="123" t="s">
        <v>22</v>
      </c>
      <c r="AEC5" s="123" t="s">
        <v>23</v>
      </c>
      <c r="AED5" s="123" t="s">
        <v>22</v>
      </c>
      <c r="AEE5" s="123" t="s">
        <v>23</v>
      </c>
      <c r="AEF5" s="123" t="s">
        <v>22</v>
      </c>
      <c r="AEG5" s="123" t="s">
        <v>23</v>
      </c>
      <c r="AEH5" s="123" t="s">
        <v>22</v>
      </c>
      <c r="AEI5" s="123" t="s">
        <v>23</v>
      </c>
      <c r="AEJ5" s="123" t="s">
        <v>22</v>
      </c>
      <c r="AEK5" s="123" t="s">
        <v>23</v>
      </c>
      <c r="AEL5" s="123" t="s">
        <v>22</v>
      </c>
      <c r="AEM5" s="123" t="s">
        <v>23</v>
      </c>
      <c r="AEN5" s="123" t="s">
        <v>22</v>
      </c>
      <c r="AEO5" s="123" t="s">
        <v>23</v>
      </c>
      <c r="AEP5" s="123" t="s">
        <v>20</v>
      </c>
      <c r="AEQ5" s="123" t="s">
        <v>22</v>
      </c>
      <c r="AER5" s="123" t="s">
        <v>23</v>
      </c>
      <c r="AES5" s="123" t="s">
        <v>22</v>
      </c>
      <c r="AET5" s="123" t="s">
        <v>23</v>
      </c>
      <c r="AEU5" s="123" t="s">
        <v>22</v>
      </c>
      <c r="AEV5" s="123" t="s">
        <v>23</v>
      </c>
      <c r="AEW5" s="123" t="s">
        <v>22</v>
      </c>
      <c r="AEX5" s="123" t="s">
        <v>23</v>
      </c>
      <c r="AEY5" s="123" t="s">
        <v>22</v>
      </c>
      <c r="AEZ5" s="123" t="s">
        <v>23</v>
      </c>
      <c r="AFA5" s="123" t="s">
        <v>22</v>
      </c>
      <c r="AFB5" s="123" t="s">
        <v>23</v>
      </c>
      <c r="AFC5" s="123" t="s">
        <v>22</v>
      </c>
      <c r="AFD5" s="123" t="s">
        <v>23</v>
      </c>
      <c r="AFE5" s="123" t="s">
        <v>22</v>
      </c>
      <c r="AFF5" s="123" t="s">
        <v>23</v>
      </c>
      <c r="AFG5" s="123" t="s">
        <v>22</v>
      </c>
      <c r="AFH5" s="123" t="s">
        <v>23</v>
      </c>
      <c r="AFI5" s="123" t="s">
        <v>20</v>
      </c>
      <c r="AFJ5" s="123" t="s">
        <v>22</v>
      </c>
      <c r="AFK5" s="123" t="s">
        <v>23</v>
      </c>
      <c r="AFL5" s="123" t="s">
        <v>22</v>
      </c>
      <c r="AFM5" s="123" t="s">
        <v>23</v>
      </c>
      <c r="AFN5" s="123" t="s">
        <v>22</v>
      </c>
      <c r="AFO5" s="123" t="s">
        <v>23</v>
      </c>
      <c r="AFP5" s="123" t="s">
        <v>22</v>
      </c>
      <c r="AFQ5" s="123" t="s">
        <v>23</v>
      </c>
      <c r="AFR5" s="123" t="s">
        <v>22</v>
      </c>
      <c r="AFS5" s="123" t="s">
        <v>23</v>
      </c>
      <c r="AFT5" s="123" t="s">
        <v>22</v>
      </c>
      <c r="AFU5" s="123" t="s">
        <v>23</v>
      </c>
      <c r="AFV5" s="123" t="s">
        <v>22</v>
      </c>
      <c r="AFW5" s="123" t="s">
        <v>23</v>
      </c>
      <c r="AFX5" s="123" t="s">
        <v>22</v>
      </c>
      <c r="AFY5" s="123" t="s">
        <v>23</v>
      </c>
      <c r="AFZ5" s="123" t="s">
        <v>22</v>
      </c>
      <c r="AGA5" s="123" t="s">
        <v>23</v>
      </c>
      <c r="AGB5" s="123" t="s">
        <v>20</v>
      </c>
      <c r="AGC5" s="123" t="s">
        <v>22</v>
      </c>
      <c r="AGD5" s="123" t="s">
        <v>23</v>
      </c>
      <c r="AGE5" s="123" t="s">
        <v>22</v>
      </c>
      <c r="AGF5" s="123" t="s">
        <v>23</v>
      </c>
      <c r="AGG5" s="123" t="s">
        <v>22</v>
      </c>
      <c r="AGH5" s="123" t="s">
        <v>23</v>
      </c>
      <c r="AGI5" s="123" t="s">
        <v>22</v>
      </c>
      <c r="AGJ5" s="123" t="s">
        <v>23</v>
      </c>
      <c r="AGK5" s="123" t="s">
        <v>22</v>
      </c>
      <c r="AGL5" s="123" t="s">
        <v>23</v>
      </c>
      <c r="AGM5" s="123" t="s">
        <v>22</v>
      </c>
      <c r="AGN5" s="123" t="s">
        <v>23</v>
      </c>
      <c r="AGO5" s="123" t="s">
        <v>22</v>
      </c>
      <c r="AGP5" s="123" t="s">
        <v>23</v>
      </c>
      <c r="AGQ5" s="123" t="s">
        <v>22</v>
      </c>
      <c r="AGR5" s="123" t="s">
        <v>23</v>
      </c>
      <c r="AGS5" s="123" t="s">
        <v>22</v>
      </c>
      <c r="AGT5" s="123" t="s">
        <v>23</v>
      </c>
      <c r="AGU5" s="123" t="s">
        <v>20</v>
      </c>
      <c r="AGV5" s="123" t="s">
        <v>22</v>
      </c>
      <c r="AGW5" s="123" t="s">
        <v>23</v>
      </c>
      <c r="AGX5" s="123" t="s">
        <v>22</v>
      </c>
      <c r="AGY5" s="123" t="s">
        <v>23</v>
      </c>
      <c r="AGZ5" s="123" t="s">
        <v>22</v>
      </c>
      <c r="AHA5" s="123" t="s">
        <v>23</v>
      </c>
      <c r="AHB5" s="123" t="s">
        <v>22</v>
      </c>
      <c r="AHC5" s="123" t="s">
        <v>23</v>
      </c>
      <c r="AHD5" s="123" t="s">
        <v>22</v>
      </c>
      <c r="AHE5" s="123" t="s">
        <v>23</v>
      </c>
      <c r="AHF5" s="123" t="s">
        <v>22</v>
      </c>
      <c r="AHG5" s="123" t="s">
        <v>23</v>
      </c>
      <c r="AHH5" s="123" t="s">
        <v>22</v>
      </c>
      <c r="AHI5" s="123" t="s">
        <v>23</v>
      </c>
      <c r="AHJ5" s="123" t="s">
        <v>22</v>
      </c>
      <c r="AHK5" s="123" t="s">
        <v>23</v>
      </c>
      <c r="AHL5" s="123" t="s">
        <v>22</v>
      </c>
      <c r="AHM5" s="123" t="s">
        <v>23</v>
      </c>
      <c r="AHN5" s="123" t="s">
        <v>20</v>
      </c>
      <c r="AHO5" s="123" t="s">
        <v>22</v>
      </c>
      <c r="AHP5" s="123" t="s">
        <v>23</v>
      </c>
      <c r="AHQ5" s="123" t="s">
        <v>22</v>
      </c>
      <c r="AHR5" s="123" t="s">
        <v>23</v>
      </c>
      <c r="AHS5" s="123" t="s">
        <v>22</v>
      </c>
      <c r="AHT5" s="123" t="s">
        <v>23</v>
      </c>
      <c r="AHU5" s="123" t="s">
        <v>22</v>
      </c>
      <c r="AHV5" s="123" t="s">
        <v>23</v>
      </c>
      <c r="AHW5" s="123" t="s">
        <v>22</v>
      </c>
      <c r="AHX5" s="123" t="s">
        <v>23</v>
      </c>
      <c r="AHY5" s="123" t="s">
        <v>22</v>
      </c>
      <c r="AHZ5" s="123" t="s">
        <v>23</v>
      </c>
      <c r="AIA5" s="123" t="s">
        <v>22</v>
      </c>
      <c r="AIB5" s="123" t="s">
        <v>23</v>
      </c>
      <c r="AIC5" s="123" t="s">
        <v>22</v>
      </c>
      <c r="AID5" s="123" t="s">
        <v>23</v>
      </c>
      <c r="AIE5" s="123" t="s">
        <v>22</v>
      </c>
      <c r="AIF5" s="123" t="s">
        <v>23</v>
      </c>
      <c r="AIG5" s="123" t="s">
        <v>20</v>
      </c>
      <c r="AIH5" s="123" t="s">
        <v>22</v>
      </c>
      <c r="AII5" s="123" t="s">
        <v>23</v>
      </c>
      <c r="AIJ5" s="123" t="s">
        <v>22</v>
      </c>
      <c r="AIK5" s="123" t="s">
        <v>23</v>
      </c>
      <c r="AIL5" s="123" t="s">
        <v>22</v>
      </c>
      <c r="AIM5" s="123" t="s">
        <v>23</v>
      </c>
      <c r="AIN5" s="123" t="s">
        <v>22</v>
      </c>
      <c r="AIO5" s="123" t="s">
        <v>23</v>
      </c>
      <c r="AIP5" s="123" t="s">
        <v>22</v>
      </c>
      <c r="AIQ5" s="123" t="s">
        <v>23</v>
      </c>
      <c r="AIR5" s="123" t="s">
        <v>22</v>
      </c>
      <c r="AIS5" s="123" t="s">
        <v>23</v>
      </c>
      <c r="AIT5" s="123" t="s">
        <v>22</v>
      </c>
      <c r="AIU5" s="123" t="s">
        <v>23</v>
      </c>
      <c r="AIV5" s="123" t="s">
        <v>22</v>
      </c>
      <c r="AIW5" s="123" t="s">
        <v>23</v>
      </c>
      <c r="AIX5" s="123" t="s">
        <v>22</v>
      </c>
      <c r="AIY5" s="123" t="s">
        <v>23</v>
      </c>
      <c r="AIZ5" s="123" t="s">
        <v>20</v>
      </c>
      <c r="AJA5" s="123" t="s">
        <v>22</v>
      </c>
      <c r="AJB5" s="123" t="s">
        <v>23</v>
      </c>
      <c r="AJC5" s="123" t="s">
        <v>22</v>
      </c>
      <c r="AJD5" s="123" t="s">
        <v>23</v>
      </c>
      <c r="AJE5" s="123" t="s">
        <v>22</v>
      </c>
      <c r="AJF5" s="123" t="s">
        <v>23</v>
      </c>
      <c r="AJG5" s="123" t="s">
        <v>22</v>
      </c>
      <c r="AJH5" s="123" t="s">
        <v>23</v>
      </c>
      <c r="AJI5" s="123" t="s">
        <v>22</v>
      </c>
      <c r="AJJ5" s="123" t="s">
        <v>23</v>
      </c>
      <c r="AJK5" s="123" t="s">
        <v>22</v>
      </c>
      <c r="AJL5" s="123" t="s">
        <v>23</v>
      </c>
      <c r="AJM5" s="123" t="s">
        <v>22</v>
      </c>
      <c r="AJN5" s="123" t="s">
        <v>23</v>
      </c>
      <c r="AJO5" s="123" t="s">
        <v>22</v>
      </c>
      <c r="AJP5" s="123" t="s">
        <v>23</v>
      </c>
      <c r="AJQ5" s="123" t="s">
        <v>22</v>
      </c>
      <c r="AJR5" s="123" t="s">
        <v>23</v>
      </c>
      <c r="AJS5" s="123" t="s">
        <v>20</v>
      </c>
      <c r="AJT5" s="126" t="s">
        <v>22</v>
      </c>
      <c r="AJU5" s="126" t="s">
        <v>23</v>
      </c>
      <c r="AJV5" s="126" t="s">
        <v>22</v>
      </c>
      <c r="AJW5" s="126" t="s">
        <v>23</v>
      </c>
      <c r="AJX5" s="126" t="s">
        <v>22</v>
      </c>
      <c r="AJY5" s="126" t="s">
        <v>23</v>
      </c>
      <c r="AJZ5" s="126" t="s">
        <v>22</v>
      </c>
      <c r="AKA5" s="126" t="s">
        <v>23</v>
      </c>
      <c r="AKB5" s="126" t="s">
        <v>22</v>
      </c>
      <c r="AKC5" s="126" t="s">
        <v>23</v>
      </c>
      <c r="AKD5" s="126" t="s">
        <v>20</v>
      </c>
      <c r="AKE5" s="126" t="s">
        <v>22</v>
      </c>
      <c r="AKF5" s="126" t="s">
        <v>23</v>
      </c>
      <c r="AKG5" s="126" t="s">
        <v>22</v>
      </c>
      <c r="AKH5" s="126" t="s">
        <v>23</v>
      </c>
      <c r="AKI5" s="126" t="s">
        <v>22</v>
      </c>
      <c r="AKJ5" s="126" t="s">
        <v>23</v>
      </c>
      <c r="AKK5" s="126" t="s">
        <v>22</v>
      </c>
      <c r="AKL5" s="126" t="s">
        <v>23</v>
      </c>
      <c r="AKM5" s="126" t="s">
        <v>22</v>
      </c>
      <c r="AKN5" s="126" t="s">
        <v>23</v>
      </c>
      <c r="AKO5" s="126" t="s">
        <v>22</v>
      </c>
      <c r="AKP5" s="126" t="s">
        <v>23</v>
      </c>
      <c r="AKQ5" s="126" t="s">
        <v>20</v>
      </c>
      <c r="AKR5" s="123" t="s">
        <v>22</v>
      </c>
      <c r="AKS5" s="123" t="s">
        <v>23</v>
      </c>
      <c r="AKT5" s="123" t="s">
        <v>22</v>
      </c>
      <c r="AKU5" s="123" t="s">
        <v>23</v>
      </c>
      <c r="AKV5" s="123" t="s">
        <v>22</v>
      </c>
      <c r="AKW5" s="123" t="s">
        <v>23</v>
      </c>
      <c r="AKX5" s="123" t="s">
        <v>22</v>
      </c>
      <c r="AKY5" s="123" t="s">
        <v>23</v>
      </c>
      <c r="AKZ5" s="123" t="s">
        <v>22</v>
      </c>
      <c r="ALA5" s="123" t="s">
        <v>23</v>
      </c>
      <c r="ALB5" s="127" t="s">
        <v>128</v>
      </c>
      <c r="ALC5" s="123" t="s">
        <v>22</v>
      </c>
      <c r="ALD5" s="123" t="s">
        <v>23</v>
      </c>
      <c r="ALE5" s="128" t="s">
        <v>107</v>
      </c>
      <c r="ALF5" s="128" t="s">
        <v>36</v>
      </c>
      <c r="ALG5" s="128" t="s">
        <v>330</v>
      </c>
      <c r="ALH5" s="128" t="s">
        <v>297</v>
      </c>
      <c r="ALI5" s="128" t="s">
        <v>298</v>
      </c>
      <c r="ALJ5" s="128" t="s">
        <v>78</v>
      </c>
      <c r="ALK5" s="128" t="s">
        <v>79</v>
      </c>
      <c r="ALL5" s="128" t="s">
        <v>108</v>
      </c>
      <c r="ALM5" s="128" t="s">
        <v>109</v>
      </c>
      <c r="ALN5" s="128" t="s">
        <v>110</v>
      </c>
      <c r="ALO5" s="128" t="s">
        <v>78</v>
      </c>
      <c r="ALP5" s="128" t="s">
        <v>79</v>
      </c>
      <c r="ALQ5" s="129" t="s">
        <v>246</v>
      </c>
      <c r="ALR5" s="129" t="s">
        <v>247</v>
      </c>
      <c r="ALS5" s="129" t="s">
        <v>248</v>
      </c>
      <c r="ALT5" s="128" t="s">
        <v>20</v>
      </c>
      <c r="ALU5" s="128" t="s">
        <v>285</v>
      </c>
      <c r="ALV5" s="128" t="s">
        <v>286</v>
      </c>
      <c r="ALW5" s="128" t="s">
        <v>287</v>
      </c>
      <c r="ALX5" s="128" t="s">
        <v>288</v>
      </c>
      <c r="ALY5" s="128" t="s">
        <v>289</v>
      </c>
      <c r="ALZ5" s="130" t="s">
        <v>114</v>
      </c>
      <c r="AMA5" s="130" t="s">
        <v>271</v>
      </c>
      <c r="AMB5" s="130" t="s">
        <v>272</v>
      </c>
      <c r="AMC5" s="130" t="s">
        <v>37</v>
      </c>
      <c r="AMD5" s="130" t="s">
        <v>273</v>
      </c>
      <c r="AME5" s="130" t="s">
        <v>30</v>
      </c>
      <c r="AMF5" s="130" t="s">
        <v>78</v>
      </c>
      <c r="AMG5" s="130" t="s">
        <v>79</v>
      </c>
      <c r="AMH5" s="130" t="s">
        <v>34</v>
      </c>
      <c r="AMI5" s="130" t="s">
        <v>291</v>
      </c>
      <c r="AMJ5" s="130" t="s">
        <v>292</v>
      </c>
      <c r="AMK5" s="130" t="s">
        <v>293</v>
      </c>
      <c r="AML5" s="130" t="s">
        <v>78</v>
      </c>
      <c r="AMM5" s="130" t="s">
        <v>79</v>
      </c>
      <c r="AMN5" s="130" t="s">
        <v>301</v>
      </c>
      <c r="AMO5" s="130" t="s">
        <v>302</v>
      </c>
      <c r="AMP5" s="130" t="s">
        <v>115</v>
      </c>
      <c r="AMQ5" s="130" t="s">
        <v>79</v>
      </c>
      <c r="AMR5" s="130" t="s">
        <v>304</v>
      </c>
      <c r="AMS5" s="130" t="s">
        <v>305</v>
      </c>
      <c r="AMT5" s="130" t="s">
        <v>306</v>
      </c>
      <c r="AMU5" s="130" t="s">
        <v>307</v>
      </c>
      <c r="AMV5" s="130" t="s">
        <v>30</v>
      </c>
      <c r="AMW5" s="130" t="s">
        <v>78</v>
      </c>
      <c r="AMX5" s="130" t="s">
        <v>79</v>
      </c>
      <c r="AMY5" s="130" t="s">
        <v>309</v>
      </c>
      <c r="AMZ5" s="130" t="s">
        <v>310</v>
      </c>
      <c r="ANA5" s="130" t="s">
        <v>311</v>
      </c>
      <c r="ANB5" s="130" t="s">
        <v>78</v>
      </c>
      <c r="ANC5" s="130" t="s">
        <v>79</v>
      </c>
      <c r="AND5" s="130" t="s">
        <v>314</v>
      </c>
      <c r="ANE5" s="130" t="s">
        <v>315</v>
      </c>
      <c r="ANF5" s="130" t="s">
        <v>316</v>
      </c>
      <c r="ANG5" s="130" t="s">
        <v>317</v>
      </c>
      <c r="ANH5" s="130" t="s">
        <v>30</v>
      </c>
      <c r="ANI5" s="130" t="s">
        <v>78</v>
      </c>
      <c r="ANJ5" s="130" t="s">
        <v>79</v>
      </c>
      <c r="ANK5" s="130" t="s">
        <v>78</v>
      </c>
      <c r="ANL5" s="130" t="s">
        <v>79</v>
      </c>
      <c r="ANM5" s="130" t="s">
        <v>111</v>
      </c>
      <c r="ANN5" s="130" t="s">
        <v>112</v>
      </c>
      <c r="ANO5" s="130" t="s">
        <v>31</v>
      </c>
      <c r="ANP5" s="130" t="s">
        <v>32</v>
      </c>
      <c r="ANQ5" s="130" t="s">
        <v>33</v>
      </c>
      <c r="ANR5" s="130" t="s">
        <v>113</v>
      </c>
      <c r="ANS5" s="130" t="s">
        <v>34</v>
      </c>
      <c r="ANT5" s="130" t="s">
        <v>38</v>
      </c>
      <c r="ANU5" s="130" t="s">
        <v>35</v>
      </c>
      <c r="ANV5" s="127" t="s">
        <v>334</v>
      </c>
      <c r="ANW5" s="127" t="s">
        <v>376</v>
      </c>
      <c r="ANX5" s="127" t="s">
        <v>377</v>
      </c>
      <c r="ANY5" s="127" t="s">
        <v>339</v>
      </c>
      <c r="ANZ5" s="127" t="s">
        <v>423</v>
      </c>
      <c r="AOA5" s="127" t="s">
        <v>424</v>
      </c>
      <c r="AOB5" s="127" t="s">
        <v>423</v>
      </c>
      <c r="AOC5" s="127" t="s">
        <v>424</v>
      </c>
      <c r="AOD5" s="127" t="s">
        <v>423</v>
      </c>
      <c r="AOE5" s="127" t="s">
        <v>424</v>
      </c>
      <c r="AOF5" s="129" t="s">
        <v>34</v>
      </c>
      <c r="AOG5" s="129" t="s">
        <v>35</v>
      </c>
      <c r="AOH5" s="129" t="s">
        <v>34</v>
      </c>
      <c r="AOI5" s="129" t="s">
        <v>35</v>
      </c>
      <c r="AOJ5" s="129" t="s">
        <v>34</v>
      </c>
      <c r="AOK5" s="129" t="s">
        <v>35</v>
      </c>
      <c r="AOL5" s="128" t="s">
        <v>78</v>
      </c>
      <c r="AOM5" s="128" t="s">
        <v>79</v>
      </c>
      <c r="AON5" s="128" t="s">
        <v>250</v>
      </c>
      <c r="AOO5" s="128" t="s">
        <v>25</v>
      </c>
      <c r="AOP5" s="128" t="s">
        <v>251</v>
      </c>
      <c r="AOQ5" s="128" t="s">
        <v>252</v>
      </c>
      <c r="AOR5" s="128" t="s">
        <v>253</v>
      </c>
      <c r="AOS5" s="128" t="s">
        <v>319</v>
      </c>
      <c r="AOT5" s="128" t="s">
        <v>256</v>
      </c>
      <c r="AOU5" s="128" t="s">
        <v>257</v>
      </c>
      <c r="AOV5" s="128" t="s">
        <v>258</v>
      </c>
      <c r="AOW5" s="128" t="s">
        <v>259</v>
      </c>
      <c r="AOX5" s="128" t="s">
        <v>260</v>
      </c>
      <c r="AOY5" s="257"/>
      <c r="AOZ5" s="128" t="s">
        <v>78</v>
      </c>
      <c r="APA5" s="128" t="s">
        <v>79</v>
      </c>
      <c r="APB5" s="128" t="s">
        <v>78</v>
      </c>
      <c r="APC5" s="128" t="s">
        <v>79</v>
      </c>
      <c r="APD5" s="128" t="s">
        <v>78</v>
      </c>
      <c r="APE5" s="128" t="s">
        <v>79</v>
      </c>
      <c r="APF5" s="128" t="s">
        <v>78</v>
      </c>
      <c r="APG5" s="128" t="s">
        <v>79</v>
      </c>
      <c r="APH5" s="128" t="s">
        <v>78</v>
      </c>
      <c r="API5" s="128" t="s">
        <v>79</v>
      </c>
      <c r="APJ5" s="128" t="s">
        <v>78</v>
      </c>
      <c r="APK5" s="128" t="s">
        <v>79</v>
      </c>
      <c r="APL5" s="128" t="s">
        <v>78</v>
      </c>
      <c r="APM5" s="128" t="s">
        <v>79</v>
      </c>
      <c r="APN5" s="128" t="s">
        <v>78</v>
      </c>
      <c r="APO5" s="128" t="s">
        <v>79</v>
      </c>
      <c r="APP5" s="128" t="s">
        <v>407</v>
      </c>
      <c r="APQ5" s="128" t="s">
        <v>408</v>
      </c>
    </row>
    <row r="6" spans="1:1110" s="140" customFormat="1" ht="34.5" customHeight="1">
      <c r="A6" s="138" t="s">
        <v>117</v>
      </c>
      <c r="B6" s="138" t="s">
        <v>118</v>
      </c>
      <c r="C6" s="138">
        <v>1</v>
      </c>
      <c r="D6" s="138">
        <v>1500953</v>
      </c>
      <c r="E6" s="138" t="s">
        <v>283</v>
      </c>
      <c r="F6" s="139">
        <v>1</v>
      </c>
      <c r="G6" s="139"/>
      <c r="H6" s="139"/>
      <c r="I6" s="139">
        <v>1</v>
      </c>
      <c r="J6" s="139"/>
      <c r="K6" s="139">
        <v>1</v>
      </c>
      <c r="L6" s="139"/>
      <c r="M6" s="139"/>
      <c r="N6" s="139"/>
      <c r="O6" s="139">
        <v>1</v>
      </c>
      <c r="P6" s="139"/>
      <c r="Q6" s="139">
        <v>1</v>
      </c>
      <c r="R6" s="139"/>
      <c r="S6" s="139"/>
      <c r="T6" s="139"/>
      <c r="U6" s="139"/>
      <c r="V6" s="139"/>
      <c r="W6" s="139"/>
      <c r="X6" s="139">
        <v>1</v>
      </c>
      <c r="Y6" s="139"/>
      <c r="Z6" s="139">
        <v>47</v>
      </c>
      <c r="AA6" s="139"/>
      <c r="AB6" s="139">
        <v>45</v>
      </c>
      <c r="AC6" s="139"/>
      <c r="AD6" s="139">
        <v>13</v>
      </c>
      <c r="AE6" s="139"/>
      <c r="AF6" s="139">
        <v>5</v>
      </c>
      <c r="AG6" s="139"/>
      <c r="AH6" s="139">
        <v>4</v>
      </c>
      <c r="AI6" s="139"/>
      <c r="AJ6" s="139"/>
      <c r="AK6" s="139"/>
      <c r="AL6" s="139"/>
      <c r="AM6" s="139"/>
      <c r="AN6" s="139"/>
      <c r="AO6" s="139"/>
      <c r="AP6" s="139">
        <f t="shared" ref="AP6:AQ15" si="0">AN6+AL6+AJ6+AH6+AF6+AD6+AB6+Z6+X6</f>
        <v>115</v>
      </c>
      <c r="AQ6" s="139">
        <f t="shared" si="0"/>
        <v>0</v>
      </c>
      <c r="AR6" s="139">
        <f t="shared" ref="AR6:AR15" si="1">AQ6+AP6</f>
        <v>115</v>
      </c>
      <c r="AS6" s="139">
        <v>1</v>
      </c>
      <c r="AT6" s="139"/>
      <c r="AU6" s="139">
        <v>47</v>
      </c>
      <c r="AV6" s="139"/>
      <c r="AW6" s="139">
        <v>45</v>
      </c>
      <c r="AX6" s="139"/>
      <c r="AY6" s="139">
        <v>13</v>
      </c>
      <c r="AZ6" s="139"/>
      <c r="BA6" s="139">
        <v>5</v>
      </c>
      <c r="BB6" s="139"/>
      <c r="BC6" s="139">
        <v>4</v>
      </c>
      <c r="BD6" s="139"/>
      <c r="BE6" s="139"/>
      <c r="BF6" s="139"/>
      <c r="BG6" s="139"/>
      <c r="BH6" s="139"/>
      <c r="BI6" s="139"/>
      <c r="BJ6" s="139"/>
      <c r="BK6" s="139">
        <f t="shared" ref="BK6:BL15" si="2">BI6+BG6+BE6+BC6+BA6+AY6+AW6+AU6+AS6</f>
        <v>115</v>
      </c>
      <c r="BL6" s="139">
        <f t="shared" si="2"/>
        <v>0</v>
      </c>
      <c r="BM6" s="139">
        <f t="shared" ref="BM6:BM15" si="3">BL6+BK6</f>
        <v>115</v>
      </c>
      <c r="BN6" s="139">
        <v>1</v>
      </c>
      <c r="BO6" s="139"/>
      <c r="BP6" s="139">
        <v>55</v>
      </c>
      <c r="BQ6" s="139"/>
      <c r="BR6" s="139">
        <v>41</v>
      </c>
      <c r="BS6" s="139"/>
      <c r="BT6" s="139">
        <v>4</v>
      </c>
      <c r="BU6" s="139"/>
      <c r="BV6" s="139"/>
      <c r="BW6" s="139"/>
      <c r="BX6" s="139"/>
      <c r="BY6" s="139"/>
      <c r="BZ6" s="139"/>
      <c r="CA6" s="139"/>
      <c r="CB6" s="139"/>
      <c r="CC6" s="139"/>
      <c r="CD6" s="139">
        <f t="shared" ref="CD6:CE15" si="4">CB6+BZ6+BX6+BV6+BT6+BR6+BP6+BN6</f>
        <v>101</v>
      </c>
      <c r="CE6" s="139">
        <f t="shared" si="4"/>
        <v>0</v>
      </c>
      <c r="CF6" s="139">
        <f t="shared" ref="CF6:CF15" si="5">CE6+CD6</f>
        <v>101</v>
      </c>
      <c r="CG6" s="139">
        <v>4</v>
      </c>
      <c r="CH6" s="139"/>
      <c r="CI6" s="139">
        <v>20</v>
      </c>
      <c r="CJ6" s="139"/>
      <c r="CK6" s="139">
        <v>31</v>
      </c>
      <c r="CL6" s="139"/>
      <c r="CM6" s="139">
        <v>22</v>
      </c>
      <c r="CN6" s="139"/>
      <c r="CO6" s="139">
        <v>6</v>
      </c>
      <c r="CP6" s="139"/>
      <c r="CQ6" s="139">
        <v>5</v>
      </c>
      <c r="CR6" s="139"/>
      <c r="CS6" s="139">
        <v>2</v>
      </c>
      <c r="CT6" s="139"/>
      <c r="CU6" s="139">
        <f t="shared" ref="CU6:CV15" si="6">CS6+CQ6+CO6+CM6+CK6+CI6+CG6</f>
        <v>90</v>
      </c>
      <c r="CV6" s="139">
        <f t="shared" si="6"/>
        <v>0</v>
      </c>
      <c r="CW6" s="139">
        <f t="shared" ref="CW6:CW15" si="7">CV6+CU6</f>
        <v>90</v>
      </c>
      <c r="CX6" s="139">
        <v>3</v>
      </c>
      <c r="CY6" s="139"/>
      <c r="CZ6" s="139">
        <v>15</v>
      </c>
      <c r="DA6" s="139"/>
      <c r="DB6" s="139">
        <v>23</v>
      </c>
      <c r="DC6" s="139"/>
      <c r="DD6" s="139">
        <v>12</v>
      </c>
      <c r="DE6" s="139"/>
      <c r="DF6" s="139">
        <v>14</v>
      </c>
      <c r="DG6" s="139"/>
      <c r="DH6" s="139">
        <v>8</v>
      </c>
      <c r="DI6" s="139"/>
      <c r="DJ6" s="139">
        <f t="shared" ref="DJ6:DK15" si="8">DH6+DF6+DD6+DB6+CZ6+CX6</f>
        <v>75</v>
      </c>
      <c r="DK6" s="139">
        <f t="shared" si="8"/>
        <v>0</v>
      </c>
      <c r="DL6" s="139">
        <f t="shared" ref="DL6:DL15" si="9">DK6+DJ6</f>
        <v>75</v>
      </c>
      <c r="DM6" s="139">
        <v>2</v>
      </c>
      <c r="DN6" s="139"/>
      <c r="DO6" s="139">
        <v>14</v>
      </c>
      <c r="DP6" s="139"/>
      <c r="DQ6" s="139">
        <v>16</v>
      </c>
      <c r="DR6" s="139"/>
      <c r="DS6" s="139">
        <v>22</v>
      </c>
      <c r="DT6" s="139"/>
      <c r="DU6" s="139">
        <v>15</v>
      </c>
      <c r="DV6" s="139"/>
      <c r="DW6" s="139">
        <f t="shared" ref="DW6:DX15" si="10">DU6+DS6+DQ6+DO6+DM6</f>
        <v>69</v>
      </c>
      <c r="DX6" s="139">
        <f t="shared" si="10"/>
        <v>0</v>
      </c>
      <c r="DY6" s="139">
        <f t="shared" ref="DY6:DY15" si="11">DX6+DW6</f>
        <v>69</v>
      </c>
      <c r="DZ6" s="139">
        <f t="shared" ref="DZ6:EA15" si="12">AS6</f>
        <v>1</v>
      </c>
      <c r="EA6" s="139">
        <f t="shared" si="12"/>
        <v>0</v>
      </c>
      <c r="EB6" s="139">
        <f t="shared" ref="EB6:EC15" si="13">BN6+AU6</f>
        <v>48</v>
      </c>
      <c r="EC6" s="139">
        <f t="shared" si="13"/>
        <v>0</v>
      </c>
      <c r="ED6" s="139">
        <f t="shared" ref="ED6:EE15" si="14">CG6+BP6+AW6</f>
        <v>104</v>
      </c>
      <c r="EE6" s="139">
        <f t="shared" si="14"/>
        <v>0</v>
      </c>
      <c r="EF6" s="139">
        <f t="shared" ref="EF6:EG15" si="15">CX6+CI6+BR6+AY6</f>
        <v>77</v>
      </c>
      <c r="EG6" s="139">
        <f t="shared" si="15"/>
        <v>0</v>
      </c>
      <c r="EH6" s="139">
        <f t="shared" ref="EH6:EH15" si="16">DM6+CZ6+CK6+BT6+BA6</f>
        <v>57</v>
      </c>
      <c r="EI6" s="139">
        <f t="shared" ref="EI6:EI15" si="17">DN6+DA6+CL6+BU6+BB6+AG6</f>
        <v>0</v>
      </c>
      <c r="EJ6" s="139">
        <f t="shared" ref="EJ6:EQ15" si="18">DO6+DB6+CM6+BV6+BC6</f>
        <v>63</v>
      </c>
      <c r="EK6" s="139">
        <f t="shared" si="18"/>
        <v>0</v>
      </c>
      <c r="EL6" s="139">
        <f t="shared" si="18"/>
        <v>34</v>
      </c>
      <c r="EM6" s="139">
        <f t="shared" si="18"/>
        <v>0</v>
      </c>
      <c r="EN6" s="139">
        <f t="shared" si="18"/>
        <v>41</v>
      </c>
      <c r="EO6" s="139">
        <f t="shared" si="18"/>
        <v>0</v>
      </c>
      <c r="EP6" s="139">
        <f t="shared" si="18"/>
        <v>25</v>
      </c>
      <c r="EQ6" s="139">
        <f t="shared" si="18"/>
        <v>0</v>
      </c>
      <c r="ER6" s="139">
        <f t="shared" ref="ER6:ES15" si="19">EP6+EN6+EL6+EJ6+EH6+EF6+ED6+EB6+DZ6</f>
        <v>450</v>
      </c>
      <c r="ES6" s="139">
        <f t="shared" si="19"/>
        <v>0</v>
      </c>
      <c r="ET6" s="139">
        <f t="shared" ref="ET6:ET15" si="20">ES6+ER6</f>
        <v>450</v>
      </c>
      <c r="EU6" s="139"/>
      <c r="EV6" s="139"/>
      <c r="EW6" s="139">
        <v>87</v>
      </c>
      <c r="EX6" s="139"/>
      <c r="EY6" s="139">
        <v>101</v>
      </c>
      <c r="EZ6" s="139"/>
      <c r="FA6" s="139">
        <v>149</v>
      </c>
      <c r="FB6" s="139"/>
      <c r="FC6" s="139">
        <v>113</v>
      </c>
      <c r="FD6" s="139"/>
      <c r="FE6" s="139"/>
      <c r="FF6" s="139"/>
      <c r="FG6" s="139">
        <f t="shared" ref="FG6:FH9" si="21">FC6+FA6+EY6+EW6+EU6+FE6</f>
        <v>450</v>
      </c>
      <c r="FH6" s="139">
        <f t="shared" si="21"/>
        <v>0</v>
      </c>
      <c r="FI6" s="139">
        <f t="shared" ref="FI6:FI15" si="22">FH6+FG6</f>
        <v>450</v>
      </c>
      <c r="FJ6" s="139">
        <v>4</v>
      </c>
      <c r="FK6" s="139"/>
      <c r="FL6" s="139"/>
      <c r="FM6" s="139">
        <v>4</v>
      </c>
      <c r="FN6" s="139"/>
      <c r="FO6" s="139"/>
      <c r="FP6" s="139">
        <v>5</v>
      </c>
      <c r="FQ6" s="139"/>
      <c r="FR6" s="139"/>
      <c r="FS6" s="139">
        <v>5</v>
      </c>
      <c r="FT6" s="139"/>
      <c r="FU6" s="139"/>
      <c r="FV6" s="139">
        <v>5</v>
      </c>
      <c r="FW6" s="139"/>
      <c r="FX6" s="139"/>
      <c r="FY6" s="139">
        <f t="shared" ref="FY6:GA15" si="23">FV6+FS6+FP6+FM6+FJ6</f>
        <v>23</v>
      </c>
      <c r="FZ6" s="139">
        <f t="shared" si="23"/>
        <v>0</v>
      </c>
      <c r="GA6" s="139">
        <f t="shared" si="23"/>
        <v>0</v>
      </c>
      <c r="GB6" s="139">
        <f t="shared" ref="GB6:GB15" si="24">GA6+FZ6+FY6</f>
        <v>23</v>
      </c>
      <c r="GC6" s="139"/>
      <c r="GD6" s="139"/>
      <c r="GE6" s="139"/>
      <c r="GF6" s="139"/>
      <c r="GG6" s="139"/>
      <c r="GH6" s="139"/>
      <c r="GI6" s="139"/>
      <c r="GJ6" s="139"/>
      <c r="GK6" s="139"/>
      <c r="GL6" s="139"/>
      <c r="GM6" s="139">
        <f t="shared" ref="GM6:GN15" si="25">GK6+GI6+GG6+GE6+GC6</f>
        <v>0</v>
      </c>
      <c r="GN6" s="139">
        <f t="shared" si="25"/>
        <v>0</v>
      </c>
      <c r="GO6" s="139">
        <f t="shared" ref="GO6:GO15" si="26">GN6+GM6</f>
        <v>0</v>
      </c>
      <c r="GP6" s="139"/>
      <c r="GQ6" s="139"/>
      <c r="GR6" s="139"/>
      <c r="GS6" s="139"/>
      <c r="GT6" s="139"/>
      <c r="GU6" s="139"/>
      <c r="GV6" s="139"/>
      <c r="GW6" s="139"/>
      <c r="GX6" s="139"/>
      <c r="GY6" s="139"/>
      <c r="GZ6" s="139">
        <f>GX6+GV6+GT6+GR6+GP6</f>
        <v>0</v>
      </c>
      <c r="HA6" s="139">
        <f>GY6+GW6+GU6+GS6+GQ6</f>
        <v>0</v>
      </c>
      <c r="HB6" s="139">
        <f>HA6+GZ6</f>
        <v>0</v>
      </c>
      <c r="HC6" s="139">
        <v>99</v>
      </c>
      <c r="HD6" s="139"/>
      <c r="HE6" s="139">
        <v>86</v>
      </c>
      <c r="HF6" s="139"/>
      <c r="HG6" s="139">
        <v>72</v>
      </c>
      <c r="HH6" s="139"/>
      <c r="HI6" s="139">
        <v>69</v>
      </c>
      <c r="HJ6" s="139"/>
      <c r="HK6" s="139">
        <v>109</v>
      </c>
      <c r="HL6" s="139"/>
      <c r="HM6" s="139">
        <f t="shared" ref="HM6:HN15" si="27">HK6+HI6+HG6+HE6+HC6</f>
        <v>435</v>
      </c>
      <c r="HN6" s="139">
        <f t="shared" si="27"/>
        <v>0</v>
      </c>
      <c r="HO6" s="139">
        <f t="shared" ref="HO6:HO15" si="28">HN6+HM6</f>
        <v>435</v>
      </c>
      <c r="HP6" s="139"/>
      <c r="HQ6" s="139"/>
      <c r="HR6" s="139">
        <v>4</v>
      </c>
      <c r="HS6" s="139"/>
      <c r="HT6" s="139">
        <v>7</v>
      </c>
      <c r="HU6" s="139"/>
      <c r="HV6" s="139">
        <v>5</v>
      </c>
      <c r="HW6" s="139"/>
      <c r="HX6" s="139"/>
      <c r="HY6" s="139"/>
      <c r="HZ6" s="139">
        <f t="shared" ref="HZ6:IA15" si="29">HX6+HV6+HT6+HR6+HP6</f>
        <v>16</v>
      </c>
      <c r="IA6" s="139">
        <f t="shared" si="29"/>
        <v>0</v>
      </c>
      <c r="IB6" s="139">
        <f t="shared" ref="IB6:IB15" si="30">IA6+HZ6</f>
        <v>16</v>
      </c>
      <c r="IC6" s="139">
        <v>1</v>
      </c>
      <c r="ID6" s="139"/>
      <c r="IE6" s="139"/>
      <c r="IF6" s="139"/>
      <c r="IG6" s="139"/>
      <c r="IH6" s="139"/>
      <c r="II6" s="139">
        <v>1</v>
      </c>
      <c r="IJ6" s="139"/>
      <c r="IK6" s="139"/>
      <c r="IL6" s="139"/>
      <c r="IM6" s="139">
        <f t="shared" ref="IM6:IN15" si="31">IK6+II6+IG6+IE6+IC6</f>
        <v>2</v>
      </c>
      <c r="IN6" s="139">
        <f t="shared" si="31"/>
        <v>0</v>
      </c>
      <c r="IO6" s="139">
        <f t="shared" ref="IO6:IO15" si="32">IN6+IM6</f>
        <v>2</v>
      </c>
      <c r="IP6" s="139"/>
      <c r="IQ6" s="139"/>
      <c r="IR6" s="139"/>
      <c r="IS6" s="139"/>
      <c r="IT6" s="139"/>
      <c r="IU6" s="139"/>
      <c r="IV6" s="139"/>
      <c r="IW6" s="139"/>
      <c r="IX6" s="139"/>
      <c r="IY6" s="139"/>
      <c r="IZ6" s="139">
        <f t="shared" ref="IZ6:JA15" si="33">IX6+IV6+IT6+IR6+IP6</f>
        <v>0</v>
      </c>
      <c r="JA6" s="139">
        <f t="shared" si="33"/>
        <v>0</v>
      </c>
      <c r="JB6" s="139">
        <f t="shared" ref="JB6:JB15" si="34">JA6+IZ6</f>
        <v>0</v>
      </c>
      <c r="JC6" s="139">
        <v>1</v>
      </c>
      <c r="JD6" s="139"/>
      <c r="JE6" s="139">
        <v>3</v>
      </c>
      <c r="JF6" s="139"/>
      <c r="JG6" s="139">
        <v>29</v>
      </c>
      <c r="JH6" s="139">
        <v>5</v>
      </c>
      <c r="JI6" s="139">
        <v>10</v>
      </c>
      <c r="JJ6" s="139"/>
      <c r="JK6" s="139">
        <v>2</v>
      </c>
      <c r="JL6" s="139"/>
      <c r="JM6" s="139">
        <f t="shared" ref="JM6:JN15" si="35">JK6+JI6+JG6+JE6+JC6</f>
        <v>45</v>
      </c>
      <c r="JN6" s="139">
        <f t="shared" si="35"/>
        <v>5</v>
      </c>
      <c r="JO6" s="139">
        <f t="shared" ref="JO6:JO15" si="36">JN6+JM6</f>
        <v>50</v>
      </c>
      <c r="JP6" s="139"/>
      <c r="JQ6" s="139"/>
      <c r="JR6" s="139"/>
      <c r="JS6" s="139"/>
      <c r="JT6" s="139"/>
      <c r="JU6" s="139">
        <v>1</v>
      </c>
      <c r="JV6" s="139"/>
      <c r="JW6" s="139"/>
      <c r="JX6" s="139"/>
      <c r="JY6" s="139">
        <v>1</v>
      </c>
      <c r="JZ6" s="139">
        <v>4</v>
      </c>
      <c r="KA6" s="139"/>
      <c r="KB6" s="139">
        <v>1</v>
      </c>
      <c r="KC6" s="139"/>
      <c r="KD6" s="139"/>
      <c r="KE6" s="139"/>
      <c r="KF6" s="139"/>
      <c r="KG6" s="139"/>
      <c r="KH6" s="139"/>
      <c r="KI6" s="139"/>
      <c r="KJ6" s="139">
        <f t="shared" ref="KJ6:KK9" si="37">KH6+KD6+KB6+JZ6+JX6+JV6+JT6+JP6+JR6+KF6</f>
        <v>5</v>
      </c>
      <c r="KK6" s="139">
        <f t="shared" si="37"/>
        <v>2</v>
      </c>
      <c r="KL6" s="139">
        <f>KK6+KJ6</f>
        <v>7</v>
      </c>
      <c r="KM6" s="139">
        <v>45</v>
      </c>
      <c r="KN6" s="139">
        <v>5</v>
      </c>
      <c r="KO6" s="139"/>
      <c r="KP6" s="139"/>
      <c r="KQ6" s="139"/>
      <c r="KR6" s="139"/>
      <c r="KS6" s="139">
        <f t="shared" ref="KS6:KT15" si="38">KQ6+KO6+KM6</f>
        <v>45</v>
      </c>
      <c r="KT6" s="139">
        <f t="shared" si="38"/>
        <v>5</v>
      </c>
      <c r="KU6" s="139">
        <f t="shared" ref="KU6:KU15" si="39">KT6+KS6</f>
        <v>50</v>
      </c>
      <c r="KV6" s="139">
        <v>41</v>
      </c>
      <c r="KW6" s="139">
        <v>4</v>
      </c>
      <c r="KX6" s="139"/>
      <c r="KY6" s="139"/>
      <c r="KZ6" s="139">
        <v>2</v>
      </c>
      <c r="LA6" s="139"/>
      <c r="LB6" s="139"/>
      <c r="LC6" s="139"/>
      <c r="LD6" s="139"/>
      <c r="LE6" s="139"/>
      <c r="LF6" s="139"/>
      <c r="LG6" s="139">
        <v>1</v>
      </c>
      <c r="LH6" s="139"/>
      <c r="LI6" s="139"/>
      <c r="LJ6" s="139"/>
      <c r="LK6" s="139"/>
      <c r="LL6" s="139">
        <v>2</v>
      </c>
      <c r="LM6" s="139"/>
      <c r="LN6" s="139">
        <f>LL6+KV6+LJ6+LH6+LF6+LD6+LB6+KZ6+KX6</f>
        <v>45</v>
      </c>
      <c r="LO6" s="139">
        <f>LM6+KW6+LK6+LI6+LG6+LE6+LC6+LA6+KY6</f>
        <v>5</v>
      </c>
      <c r="LP6" s="139">
        <f t="shared" ref="LP6:LP15" si="40">LO6+LN6</f>
        <v>50</v>
      </c>
      <c r="LQ6" s="139"/>
      <c r="LR6" s="139"/>
      <c r="LS6" s="139"/>
      <c r="LT6" s="139"/>
      <c r="LU6" s="139"/>
      <c r="LV6" s="139"/>
      <c r="LW6" s="139"/>
      <c r="LX6" s="139">
        <v>1</v>
      </c>
      <c r="LY6" s="139"/>
      <c r="LZ6" s="139"/>
      <c r="MA6" s="139">
        <v>1</v>
      </c>
      <c r="MB6" s="139"/>
      <c r="MC6" s="139"/>
      <c r="MD6" s="139">
        <v>2</v>
      </c>
      <c r="ME6" s="139"/>
      <c r="MF6" s="139"/>
      <c r="MG6" s="139">
        <f t="shared" ref="MG6:MH15" si="41">ME6+MC6+MA6+LY6+LW6+LU6+LS6+LQ6</f>
        <v>1</v>
      </c>
      <c r="MH6" s="139">
        <f t="shared" si="41"/>
        <v>3</v>
      </c>
      <c r="MI6" s="139">
        <f t="shared" ref="MI6:MI15" si="42">MH6+MG6</f>
        <v>4</v>
      </c>
      <c r="MJ6" s="139"/>
      <c r="MK6" s="139"/>
      <c r="ML6" s="139"/>
      <c r="MM6" s="139"/>
      <c r="MN6" s="139"/>
      <c r="MO6" s="139"/>
      <c r="MP6" s="139">
        <v>1</v>
      </c>
      <c r="MQ6" s="139"/>
      <c r="MR6" s="139"/>
      <c r="MS6" s="139"/>
      <c r="MT6" s="139">
        <v>2</v>
      </c>
      <c r="MU6" s="139">
        <v>1</v>
      </c>
      <c r="MV6" s="139">
        <v>1</v>
      </c>
      <c r="MW6" s="139"/>
      <c r="MX6" s="139"/>
      <c r="MY6" s="139"/>
      <c r="MZ6" s="139">
        <f t="shared" ref="MZ6:NA15" si="43">MX6+MV6+MT6+MR6+MP6+MN6+ML6+MJ6</f>
        <v>4</v>
      </c>
      <c r="NA6" s="139">
        <f t="shared" si="43"/>
        <v>1</v>
      </c>
      <c r="NB6" s="139">
        <f t="shared" ref="NB6:NB15" si="44">NA6+MZ6</f>
        <v>5</v>
      </c>
      <c r="NC6" s="139"/>
      <c r="ND6" s="139"/>
      <c r="NE6" s="139"/>
      <c r="NF6" s="139"/>
      <c r="NG6" s="139">
        <v>1</v>
      </c>
      <c r="NH6" s="139"/>
      <c r="NI6" s="139">
        <v>1</v>
      </c>
      <c r="NJ6" s="139">
        <v>1</v>
      </c>
      <c r="NK6" s="139"/>
      <c r="NL6" s="139"/>
      <c r="NM6" s="139">
        <v>1</v>
      </c>
      <c r="NN6" s="139"/>
      <c r="NO6" s="139"/>
      <c r="NP6" s="139"/>
      <c r="NQ6" s="139"/>
      <c r="NR6" s="139"/>
      <c r="NS6" s="139">
        <f t="shared" ref="NS6:NT15" si="45">NQ6+NO6+NM6+NK6+NI6+NG6+NE6+NC6</f>
        <v>3</v>
      </c>
      <c r="NT6" s="139">
        <f t="shared" si="45"/>
        <v>1</v>
      </c>
      <c r="NU6" s="139">
        <f t="shared" ref="NU6:NU15" si="46">NT6+NS6</f>
        <v>4</v>
      </c>
      <c r="NV6" s="139"/>
      <c r="NW6" s="139"/>
      <c r="NX6" s="139"/>
      <c r="NY6" s="139"/>
      <c r="NZ6" s="139"/>
      <c r="OA6" s="139"/>
      <c r="OB6" s="139"/>
      <c r="OC6" s="139"/>
      <c r="OD6" s="139"/>
      <c r="OE6" s="139"/>
      <c r="OF6" s="139"/>
      <c r="OG6" s="139"/>
      <c r="OH6" s="139"/>
      <c r="OI6" s="139"/>
      <c r="OJ6" s="139"/>
      <c r="OK6" s="139"/>
      <c r="OL6" s="139">
        <f t="shared" ref="OL6:OM15" si="47">OJ6+OH6+OF6+OD6+OB6+NZ6+NX6+NV6</f>
        <v>0</v>
      </c>
      <c r="OM6" s="139">
        <f t="shared" si="47"/>
        <v>0</v>
      </c>
      <c r="ON6" s="139">
        <f t="shared" ref="ON6:ON15" si="48">OM6+OL6</f>
        <v>0</v>
      </c>
      <c r="OO6" s="139"/>
      <c r="OP6" s="139"/>
      <c r="OQ6" s="139"/>
      <c r="OR6" s="139"/>
      <c r="OS6" s="139"/>
      <c r="OT6" s="139"/>
      <c r="OU6" s="139"/>
      <c r="OV6" s="139"/>
      <c r="OW6" s="139"/>
      <c r="OX6" s="139"/>
      <c r="OY6" s="139"/>
      <c r="OZ6" s="139"/>
      <c r="PA6" s="139"/>
      <c r="PB6" s="139"/>
      <c r="PC6" s="139"/>
      <c r="PD6" s="139"/>
      <c r="PE6" s="139">
        <f t="shared" ref="PE6:PF15" si="49">PC6+PA6+OY6+OW6+OU6+OS6+OQ6+OO6</f>
        <v>0</v>
      </c>
      <c r="PF6" s="139">
        <f t="shared" si="49"/>
        <v>0</v>
      </c>
      <c r="PG6" s="139">
        <f t="shared" ref="PG6:PG15" si="50">PF6+PE6</f>
        <v>0</v>
      </c>
      <c r="PH6" s="139"/>
      <c r="PI6" s="139"/>
      <c r="PJ6" s="139"/>
      <c r="PK6" s="139"/>
      <c r="PL6" s="139"/>
      <c r="PM6" s="139"/>
      <c r="PN6" s="139"/>
      <c r="PO6" s="139"/>
      <c r="PP6" s="139"/>
      <c r="PQ6" s="139"/>
      <c r="PR6" s="139"/>
      <c r="PS6" s="139"/>
      <c r="PT6" s="139"/>
      <c r="PU6" s="139"/>
      <c r="PV6" s="139"/>
      <c r="PW6" s="139"/>
      <c r="PX6" s="139">
        <f t="shared" ref="PX6:PY15" si="51">PV6+PT6+PR6+PP6+PN6+PL6+PJ6+PH6</f>
        <v>0</v>
      </c>
      <c r="PY6" s="139">
        <f t="shared" si="51"/>
        <v>0</v>
      </c>
      <c r="PZ6" s="139">
        <f t="shared" ref="PZ6:PZ15" si="52">PY6+PX6</f>
        <v>0</v>
      </c>
      <c r="QA6" s="139"/>
      <c r="QB6" s="139"/>
      <c r="QC6" s="139"/>
      <c r="QD6" s="139"/>
      <c r="QE6" s="139"/>
      <c r="QF6" s="139"/>
      <c r="QG6" s="139"/>
      <c r="QH6" s="139"/>
      <c r="QI6" s="139"/>
      <c r="QJ6" s="139"/>
      <c r="QK6" s="139"/>
      <c r="QL6" s="139"/>
      <c r="QM6" s="139"/>
      <c r="QN6" s="139"/>
      <c r="QO6" s="139"/>
      <c r="QP6" s="139"/>
      <c r="QQ6" s="139">
        <f t="shared" ref="QQ6:QR15" si="53">QO6+QM6+QK6+QI6+QG6+QE6+QC6+QA6</f>
        <v>0</v>
      </c>
      <c r="QR6" s="139">
        <f t="shared" si="53"/>
        <v>0</v>
      </c>
      <c r="QS6" s="139">
        <f t="shared" ref="QS6:QS15" si="54">QR6+QQ6</f>
        <v>0</v>
      </c>
      <c r="QT6" s="139"/>
      <c r="QU6" s="139"/>
      <c r="QV6" s="139"/>
      <c r="QW6" s="139"/>
      <c r="QX6" s="139"/>
      <c r="QY6" s="139"/>
      <c r="QZ6" s="139"/>
      <c r="RA6" s="139"/>
      <c r="RB6" s="139"/>
      <c r="RC6" s="139"/>
      <c r="RD6" s="139"/>
      <c r="RE6" s="139"/>
      <c r="RF6" s="139"/>
      <c r="RG6" s="139"/>
      <c r="RH6" s="139"/>
      <c r="RI6" s="139"/>
      <c r="RJ6" s="139">
        <f t="shared" ref="RJ6:RK15" si="55">RH6+RF6+RD6+RB6+QZ6+QX6+QV6+QT6</f>
        <v>0</v>
      </c>
      <c r="RK6" s="139">
        <f t="shared" si="55"/>
        <v>0</v>
      </c>
      <c r="RL6" s="139">
        <f t="shared" ref="RL6:RL15" si="56">RK6+RJ6</f>
        <v>0</v>
      </c>
      <c r="RM6" s="139"/>
      <c r="RN6" s="139"/>
      <c r="RO6" s="139"/>
      <c r="RP6" s="139"/>
      <c r="RQ6" s="139"/>
      <c r="RR6" s="139"/>
      <c r="RS6" s="139"/>
      <c r="RT6" s="139"/>
      <c r="RU6" s="139"/>
      <c r="RV6" s="139"/>
      <c r="RW6" s="139"/>
      <c r="RX6" s="139"/>
      <c r="RY6" s="139"/>
      <c r="RZ6" s="139"/>
      <c r="SA6" s="139"/>
      <c r="SB6" s="139"/>
      <c r="SC6" s="139">
        <f t="shared" ref="SC6:SD15" si="57">SA6+RY6+RW6+RU6+RS6+RQ6+RO6+RM6</f>
        <v>0</v>
      </c>
      <c r="SD6" s="139">
        <f t="shared" si="57"/>
        <v>0</v>
      </c>
      <c r="SE6" s="139">
        <f t="shared" ref="SE6:SE15" si="58">SD6+SC6</f>
        <v>0</v>
      </c>
      <c r="SF6" s="139"/>
      <c r="SG6" s="139"/>
      <c r="SH6" s="139"/>
      <c r="SI6" s="139"/>
      <c r="SJ6" s="139"/>
      <c r="SK6" s="139"/>
      <c r="SL6" s="139"/>
      <c r="SM6" s="139"/>
      <c r="SN6" s="139"/>
      <c r="SO6" s="139"/>
      <c r="SP6" s="139"/>
      <c r="SQ6" s="139"/>
      <c r="SR6" s="139"/>
      <c r="SS6" s="139"/>
      <c r="ST6" s="139"/>
      <c r="SU6" s="139"/>
      <c r="SV6" s="139">
        <f t="shared" ref="SV6:SW15" si="59">ST6+SR6+SP6+SN6+SL6+SJ6+SH6+SF6</f>
        <v>0</v>
      </c>
      <c r="SW6" s="139">
        <f t="shared" si="59"/>
        <v>0</v>
      </c>
      <c r="SX6" s="139">
        <f t="shared" ref="SX6:SX15" si="60">SW6+SV6</f>
        <v>0</v>
      </c>
      <c r="SY6" s="139"/>
      <c r="SZ6" s="139"/>
      <c r="TA6" s="139"/>
      <c r="TB6" s="139"/>
      <c r="TC6" s="139"/>
      <c r="TD6" s="139"/>
      <c r="TE6" s="139"/>
      <c r="TF6" s="139"/>
      <c r="TG6" s="139"/>
      <c r="TH6" s="139"/>
      <c r="TI6" s="139"/>
      <c r="TJ6" s="139"/>
      <c r="TK6" s="139"/>
      <c r="TL6" s="139"/>
      <c r="TM6" s="139"/>
      <c r="TN6" s="139"/>
      <c r="TO6" s="139">
        <f t="shared" ref="TO6:TP15" si="61">TM6+TK6+TI6+TG6+TE6+TC6+TA6+SY6</f>
        <v>0</v>
      </c>
      <c r="TP6" s="139">
        <f t="shared" si="61"/>
        <v>0</v>
      </c>
      <c r="TQ6" s="139">
        <f t="shared" ref="TQ6:TQ15" si="62">TP6+TO6</f>
        <v>0</v>
      </c>
      <c r="TR6" s="139"/>
      <c r="TS6" s="139"/>
      <c r="TT6" s="139"/>
      <c r="TU6" s="139"/>
      <c r="TV6" s="139"/>
      <c r="TW6" s="139"/>
      <c r="TX6" s="139"/>
      <c r="TY6" s="139"/>
      <c r="TZ6" s="139"/>
      <c r="UA6" s="139"/>
      <c r="UB6" s="139"/>
      <c r="UC6" s="139"/>
      <c r="UD6" s="139"/>
      <c r="UE6" s="139"/>
      <c r="UF6" s="139"/>
      <c r="UG6" s="139"/>
      <c r="UH6" s="139">
        <f t="shared" ref="UH6:UI15" si="63">UF6+UD6+UB6+TZ6+TX6+TV6+TT6+TR6</f>
        <v>0</v>
      </c>
      <c r="UI6" s="139">
        <f t="shared" si="63"/>
        <v>0</v>
      </c>
      <c r="UJ6" s="139">
        <f t="shared" ref="UJ6:UJ15" si="64">UI6+UH6</f>
        <v>0</v>
      </c>
      <c r="UK6" s="139"/>
      <c r="UL6" s="139"/>
      <c r="UM6" s="139"/>
      <c r="UN6" s="139"/>
      <c r="UO6" s="139"/>
      <c r="UP6" s="139"/>
      <c r="UQ6" s="139"/>
      <c r="UR6" s="139"/>
      <c r="US6" s="139"/>
      <c r="UT6" s="139"/>
      <c r="UU6" s="139"/>
      <c r="UV6" s="139"/>
      <c r="UW6" s="139"/>
      <c r="UX6" s="139"/>
      <c r="UY6" s="139"/>
      <c r="UZ6" s="139"/>
      <c r="VA6" s="139">
        <f t="shared" ref="VA6:VB15" si="65">UY6+UW6+UU6+US6+UQ6+UO6+UM6+UK6</f>
        <v>0</v>
      </c>
      <c r="VB6" s="139">
        <f t="shared" si="65"/>
        <v>0</v>
      </c>
      <c r="VC6" s="139">
        <f t="shared" ref="VC6:VC15" si="66">VB6+VA6</f>
        <v>0</v>
      </c>
      <c r="VD6" s="139"/>
      <c r="VE6" s="139"/>
      <c r="VF6" s="139"/>
      <c r="VG6" s="139"/>
      <c r="VH6" s="139"/>
      <c r="VI6" s="139"/>
      <c r="VJ6" s="139">
        <v>2</v>
      </c>
      <c r="VK6" s="139"/>
      <c r="VL6" s="139"/>
      <c r="VM6" s="139"/>
      <c r="VN6" s="139"/>
      <c r="VO6" s="139"/>
      <c r="VP6" s="139"/>
      <c r="VQ6" s="139"/>
      <c r="VR6" s="139"/>
      <c r="VS6" s="139"/>
      <c r="VT6" s="139">
        <f t="shared" ref="VT6:VU15" si="67">VR6+VP6+VN6+VL6+VJ6+VH6+VF6+VD6</f>
        <v>2</v>
      </c>
      <c r="VU6" s="139">
        <f t="shared" si="67"/>
        <v>0</v>
      </c>
      <c r="VV6" s="139">
        <f t="shared" ref="VV6:VV15" si="68">VU6+VT6</f>
        <v>2</v>
      </c>
      <c r="VW6" s="139">
        <v>2</v>
      </c>
      <c r="VX6" s="139"/>
      <c r="VY6" s="139"/>
      <c r="VZ6" s="139"/>
      <c r="WA6" s="139"/>
      <c r="WB6" s="139"/>
      <c r="WC6" s="139">
        <v>3</v>
      </c>
      <c r="WD6" s="139"/>
      <c r="WE6" s="139"/>
      <c r="WF6" s="139"/>
      <c r="WG6" s="139">
        <v>2</v>
      </c>
      <c r="WH6" s="139"/>
      <c r="WI6" s="139">
        <v>1</v>
      </c>
      <c r="WJ6" s="139"/>
      <c r="WK6" s="139"/>
      <c r="WL6" s="139"/>
      <c r="WM6" s="139">
        <f t="shared" ref="WM6:WN15" si="69">WK6+WI6+WG6+WE6+WC6+WA6+VY6+VW6</f>
        <v>8</v>
      </c>
      <c r="WN6" s="139">
        <f t="shared" si="69"/>
        <v>0</v>
      </c>
      <c r="WO6" s="139">
        <f t="shared" ref="WO6:WO15" si="70">WN6+WM6</f>
        <v>8</v>
      </c>
      <c r="WP6" s="139"/>
      <c r="WQ6" s="139"/>
      <c r="WR6" s="139"/>
      <c r="WS6" s="139"/>
      <c r="WT6" s="139"/>
      <c r="WU6" s="139"/>
      <c r="WV6" s="139"/>
      <c r="WW6" s="139"/>
      <c r="WX6" s="139"/>
      <c r="WY6" s="139"/>
      <c r="WZ6" s="139"/>
      <c r="XA6" s="139"/>
      <c r="XB6" s="139"/>
      <c r="XC6" s="139"/>
      <c r="XD6" s="139"/>
      <c r="XE6" s="139"/>
      <c r="XF6" s="139">
        <f t="shared" ref="XF6:XG15" si="71">XD6+XB6+WZ6+WX6+WV6+WT6+WR6+WP6</f>
        <v>0</v>
      </c>
      <c r="XG6" s="139">
        <f t="shared" si="71"/>
        <v>0</v>
      </c>
      <c r="XH6" s="139">
        <f t="shared" ref="XH6:XH15" si="72">XG6+XF6</f>
        <v>0</v>
      </c>
      <c r="XI6" s="139"/>
      <c r="XJ6" s="139"/>
      <c r="XK6" s="139"/>
      <c r="XL6" s="139"/>
      <c r="XM6" s="139"/>
      <c r="XN6" s="139"/>
      <c r="XO6" s="139">
        <v>1</v>
      </c>
      <c r="XP6" s="139"/>
      <c r="XQ6" s="139"/>
      <c r="XR6" s="139"/>
      <c r="XS6" s="139">
        <v>1</v>
      </c>
      <c r="XT6" s="139"/>
      <c r="XU6" s="139"/>
      <c r="XV6" s="139"/>
      <c r="XW6" s="139"/>
      <c r="XX6" s="139"/>
      <c r="XY6" s="139">
        <f t="shared" ref="XY6:XZ15" si="73">XW6+XU6+XS6+XQ6+XO6+XM6+XK6+XI6</f>
        <v>2</v>
      </c>
      <c r="XZ6" s="139">
        <f t="shared" si="73"/>
        <v>0</v>
      </c>
      <c r="YA6" s="139">
        <f t="shared" ref="YA6:YA15" si="74">XZ6+XY6</f>
        <v>2</v>
      </c>
      <c r="YB6" s="139"/>
      <c r="YC6" s="139"/>
      <c r="YD6" s="139"/>
      <c r="YE6" s="139"/>
      <c r="YF6" s="139"/>
      <c r="YG6" s="139"/>
      <c r="YH6" s="139"/>
      <c r="YI6" s="139"/>
      <c r="YJ6" s="139"/>
      <c r="YK6" s="139"/>
      <c r="YL6" s="139"/>
      <c r="YM6" s="139"/>
      <c r="YN6" s="139"/>
      <c r="YO6" s="139"/>
      <c r="YP6" s="139"/>
      <c r="YQ6" s="139"/>
      <c r="YR6" s="139">
        <f t="shared" ref="YR6:YS15" si="75">YP6+YN6+YL6+YJ6+YH6+YF6+YD6+YB6</f>
        <v>0</v>
      </c>
      <c r="YS6" s="139">
        <f t="shared" si="75"/>
        <v>0</v>
      </c>
      <c r="YT6" s="139">
        <f t="shared" ref="YT6:YT15" si="76">YS6+YR6</f>
        <v>0</v>
      </c>
      <c r="YU6" s="139"/>
      <c r="YV6" s="139"/>
      <c r="YW6" s="139"/>
      <c r="YX6" s="139"/>
      <c r="YY6" s="139"/>
      <c r="YZ6" s="139"/>
      <c r="ZA6" s="139"/>
      <c r="ZB6" s="139"/>
      <c r="ZC6" s="139"/>
      <c r="ZD6" s="139"/>
      <c r="ZE6" s="139"/>
      <c r="ZF6" s="139"/>
      <c r="ZG6" s="139"/>
      <c r="ZH6" s="139"/>
      <c r="ZI6" s="139"/>
      <c r="ZJ6" s="139"/>
      <c r="ZK6" s="139">
        <f t="shared" ref="ZK6:ZL15" si="77">ZI6+ZG6+ZE6+ZC6+ZA6+YY6+YW6+YU6</f>
        <v>0</v>
      </c>
      <c r="ZL6" s="139">
        <f t="shared" si="77"/>
        <v>0</v>
      </c>
      <c r="ZM6" s="139">
        <f t="shared" ref="ZM6:ZM15" si="78">ZL6+ZK6</f>
        <v>0</v>
      </c>
      <c r="ZN6" s="139"/>
      <c r="ZO6" s="139"/>
      <c r="ZP6" s="139"/>
      <c r="ZQ6" s="139"/>
      <c r="ZR6" s="139"/>
      <c r="ZS6" s="139"/>
      <c r="ZT6" s="139">
        <v>1</v>
      </c>
      <c r="ZU6" s="139"/>
      <c r="ZV6" s="139"/>
      <c r="ZW6" s="139"/>
      <c r="ZX6" s="139"/>
      <c r="ZY6" s="139"/>
      <c r="ZZ6" s="139"/>
      <c r="AAA6" s="139"/>
      <c r="AAB6" s="139"/>
      <c r="AAC6" s="139"/>
      <c r="AAD6" s="139">
        <f t="shared" ref="AAD6:AAE15" si="79">AAB6+ZZ6+ZX6+ZV6+ZT6+ZR6+ZP6+ZN6</f>
        <v>1</v>
      </c>
      <c r="AAE6" s="139">
        <f t="shared" si="79"/>
        <v>0</v>
      </c>
      <c r="AAF6" s="139">
        <f t="shared" ref="AAF6:AAF15" si="80">AAE6+AAD6</f>
        <v>1</v>
      </c>
      <c r="AAG6" s="139"/>
      <c r="AAH6" s="139"/>
      <c r="AAI6" s="139"/>
      <c r="AAJ6" s="139"/>
      <c r="AAK6" s="139"/>
      <c r="AAL6" s="139"/>
      <c r="AAM6" s="139">
        <v>7</v>
      </c>
      <c r="AAN6" s="139"/>
      <c r="AAO6" s="139"/>
      <c r="AAP6" s="139"/>
      <c r="AAQ6" s="139"/>
      <c r="AAR6" s="139"/>
      <c r="AAS6" s="139">
        <v>1</v>
      </c>
      <c r="AAT6" s="139"/>
      <c r="AAU6" s="139"/>
      <c r="AAV6" s="139"/>
      <c r="AAW6" s="139">
        <f t="shared" ref="AAW6:AAX15" si="81">AAU6+AAS6+AAQ6+AAO6+AAM6+AAK6+AAI6+AAG6</f>
        <v>8</v>
      </c>
      <c r="AAX6" s="139">
        <f t="shared" si="81"/>
        <v>0</v>
      </c>
      <c r="AAY6" s="139">
        <f t="shared" ref="AAY6:AAY15" si="82">AAX6+AAW6</f>
        <v>8</v>
      </c>
      <c r="AAZ6" s="139"/>
      <c r="ABA6" s="139"/>
      <c r="ABB6" s="139"/>
      <c r="ABC6" s="139"/>
      <c r="ABD6" s="139"/>
      <c r="ABE6" s="139"/>
      <c r="ABF6" s="139"/>
      <c r="ABG6" s="139"/>
      <c r="ABH6" s="139"/>
      <c r="ABI6" s="139"/>
      <c r="ABJ6" s="139"/>
      <c r="ABK6" s="139"/>
      <c r="ABL6" s="139"/>
      <c r="ABM6" s="139"/>
      <c r="ABN6" s="139"/>
      <c r="ABO6" s="139"/>
      <c r="ABP6" s="139">
        <f t="shared" ref="ABP6:ABQ15" si="83">ABN6+ABL6+ABJ6+ABH6+ABF6+ABD6+ABB6+AAZ6</f>
        <v>0</v>
      </c>
      <c r="ABQ6" s="139">
        <f t="shared" si="83"/>
        <v>0</v>
      </c>
      <c r="ABR6" s="139">
        <f t="shared" ref="ABR6:ABR15" si="84">ABQ6+ABP6</f>
        <v>0</v>
      </c>
      <c r="ABS6" s="139"/>
      <c r="ABT6" s="139"/>
      <c r="ABU6" s="139"/>
      <c r="ABV6" s="139"/>
      <c r="ABW6" s="139"/>
      <c r="ABX6" s="139"/>
      <c r="ABY6" s="139"/>
      <c r="ABZ6" s="139"/>
      <c r="ACA6" s="139"/>
      <c r="ACB6" s="139"/>
      <c r="ACC6" s="139"/>
      <c r="ACD6" s="139"/>
      <c r="ACE6" s="139"/>
      <c r="ACF6" s="139"/>
      <c r="ACG6" s="139"/>
      <c r="ACH6" s="139"/>
      <c r="ACI6" s="139">
        <f t="shared" ref="ACI6:ACJ15" si="85">ACG6+ACE6+ACC6+ACA6+ABY6+ABW6+ABU6+ABS6</f>
        <v>0</v>
      </c>
      <c r="ACJ6" s="139">
        <f t="shared" si="85"/>
        <v>0</v>
      </c>
      <c r="ACK6" s="139">
        <f t="shared" ref="ACK6:ACK15" si="86">ACJ6+ACI6</f>
        <v>0</v>
      </c>
      <c r="ACL6" s="139"/>
      <c r="ACM6" s="139"/>
      <c r="ACN6" s="139"/>
      <c r="ACO6" s="139"/>
      <c r="ACP6" s="139"/>
      <c r="ACQ6" s="139"/>
      <c r="ACR6" s="139"/>
      <c r="ACS6" s="139"/>
      <c r="ACT6" s="139"/>
      <c r="ACU6" s="139"/>
      <c r="ACV6" s="139"/>
      <c r="ACW6" s="139"/>
      <c r="ACX6" s="139"/>
      <c r="ACY6" s="139"/>
      <c r="ACZ6" s="139"/>
      <c r="ADA6" s="139"/>
      <c r="ADB6" s="139">
        <f t="shared" ref="ADB6:ADC15" si="87">ACZ6+ACX6+ACV6+ACT6+ACR6+ACP6+ACN6+ACL6</f>
        <v>0</v>
      </c>
      <c r="ADC6" s="139">
        <f t="shared" si="87"/>
        <v>0</v>
      </c>
      <c r="ADD6" s="139">
        <f t="shared" ref="ADD6:ADD15" si="88">ADC6+ADB6</f>
        <v>0</v>
      </c>
      <c r="ADE6" s="139"/>
      <c r="ADF6" s="139"/>
      <c r="ADG6" s="139"/>
      <c r="ADH6" s="139"/>
      <c r="ADI6" s="139"/>
      <c r="ADJ6" s="139"/>
      <c r="ADK6" s="139">
        <v>5</v>
      </c>
      <c r="ADL6" s="139"/>
      <c r="ADM6" s="139"/>
      <c r="ADN6" s="139"/>
      <c r="ADO6" s="139">
        <v>2</v>
      </c>
      <c r="ADP6" s="139"/>
      <c r="ADQ6" s="139">
        <v>1</v>
      </c>
      <c r="ADR6" s="139"/>
      <c r="ADS6" s="139"/>
      <c r="ADT6" s="139"/>
      <c r="ADU6" s="139">
        <f t="shared" ref="ADU6:ADV15" si="89">ADS6+ADQ6+ADO6+ADM6+ADK6+ADI6+ADG6+ADE6</f>
        <v>8</v>
      </c>
      <c r="ADV6" s="139">
        <f t="shared" si="89"/>
        <v>0</v>
      </c>
      <c r="ADW6" s="139">
        <f t="shared" ref="ADW6:ADW15" si="90">ADV6+ADU6</f>
        <v>8</v>
      </c>
      <c r="ADX6" s="139"/>
      <c r="ADY6" s="139"/>
      <c r="ADZ6" s="139"/>
      <c r="AEA6" s="139"/>
      <c r="AEB6" s="139"/>
      <c r="AEC6" s="139"/>
      <c r="AED6" s="139">
        <v>1</v>
      </c>
      <c r="AEE6" s="139"/>
      <c r="AEF6" s="139"/>
      <c r="AEG6" s="139"/>
      <c r="AEH6" s="139">
        <v>1</v>
      </c>
      <c r="AEI6" s="139"/>
      <c r="AEJ6" s="139"/>
      <c r="AEK6" s="139"/>
      <c r="AEL6" s="139"/>
      <c r="AEM6" s="139"/>
      <c r="AEN6" s="139">
        <f t="shared" ref="AEN6:AEO15" si="91">AEL6+AEJ6+AEH6+AEF6+AED6+AEB6+ADZ6+ADX6</f>
        <v>2</v>
      </c>
      <c r="AEO6" s="139">
        <f t="shared" si="91"/>
        <v>0</v>
      </c>
      <c r="AEP6" s="139">
        <f t="shared" ref="AEP6:AEP15" si="92">AEO6+AEN6</f>
        <v>2</v>
      </c>
      <c r="AEQ6" s="139"/>
      <c r="AER6" s="139"/>
      <c r="AES6" s="139"/>
      <c r="AET6" s="139"/>
      <c r="AEU6" s="139"/>
      <c r="AEV6" s="139"/>
      <c r="AEW6" s="139"/>
      <c r="AEX6" s="139"/>
      <c r="AEY6" s="139"/>
      <c r="AEZ6" s="139"/>
      <c r="AFA6" s="139"/>
      <c r="AFB6" s="139"/>
      <c r="AFC6" s="139"/>
      <c r="AFD6" s="139"/>
      <c r="AFE6" s="139"/>
      <c r="AFF6" s="139"/>
      <c r="AFG6" s="139">
        <f t="shared" ref="AFG6:AFH15" si="93">AFE6+AFC6+AFA6+AEY6+AEW6+AEU6+AES6+AEQ6</f>
        <v>0</v>
      </c>
      <c r="AFH6" s="139">
        <f t="shared" si="93"/>
        <v>0</v>
      </c>
      <c r="AFI6" s="139">
        <f t="shared" ref="AFI6:AFI15" si="94">AFH6+AFG6</f>
        <v>0</v>
      </c>
      <c r="AFJ6" s="139"/>
      <c r="AFK6" s="139"/>
      <c r="AFL6" s="139"/>
      <c r="AFM6" s="139"/>
      <c r="AFN6" s="139"/>
      <c r="AFO6" s="139"/>
      <c r="AFP6" s="139">
        <v>1</v>
      </c>
      <c r="AFQ6" s="139"/>
      <c r="AFR6" s="139"/>
      <c r="AFS6" s="139"/>
      <c r="AFT6" s="139"/>
      <c r="AFU6" s="139"/>
      <c r="AFV6" s="139"/>
      <c r="AFW6" s="139"/>
      <c r="AFX6" s="139"/>
      <c r="AFY6" s="139"/>
      <c r="AFZ6" s="139">
        <f t="shared" ref="AFZ6:AGA15" si="95">AFX6+AFV6+AFT6+AFR6+AFP6+AFN6+AFL6+AFJ6</f>
        <v>1</v>
      </c>
      <c r="AGA6" s="139">
        <f t="shared" si="95"/>
        <v>0</v>
      </c>
      <c r="AGB6" s="139">
        <f t="shared" ref="AGB6:AGB15" si="96">AGA6+AFZ6</f>
        <v>1</v>
      </c>
      <c r="AGC6" s="139"/>
      <c r="AGD6" s="139"/>
      <c r="AGE6" s="139"/>
      <c r="AGF6" s="139"/>
      <c r="AGG6" s="139"/>
      <c r="AGH6" s="139"/>
      <c r="AGI6" s="139"/>
      <c r="AGJ6" s="139"/>
      <c r="AGK6" s="139"/>
      <c r="AGL6" s="139"/>
      <c r="AGM6" s="139"/>
      <c r="AGN6" s="139"/>
      <c r="AGO6" s="139"/>
      <c r="AGP6" s="139"/>
      <c r="AGQ6" s="139"/>
      <c r="AGR6" s="139"/>
      <c r="AGS6" s="139">
        <f t="shared" ref="AGS6:AGT15" si="97">AGQ6+AGO6+AGM6+AGK6+AGI6+AGG6+AGE6+AGC6</f>
        <v>0</v>
      </c>
      <c r="AGT6" s="139">
        <f t="shared" si="97"/>
        <v>0</v>
      </c>
      <c r="AGU6" s="139">
        <f t="shared" ref="AGU6:AGU15" si="98">AGT6+AGS6</f>
        <v>0</v>
      </c>
      <c r="AGV6" s="139"/>
      <c r="AGW6" s="139"/>
      <c r="AGX6" s="139"/>
      <c r="AGY6" s="139"/>
      <c r="AGZ6" s="139"/>
      <c r="AHA6" s="139"/>
      <c r="AHB6" s="139"/>
      <c r="AHC6" s="139"/>
      <c r="AHD6" s="139"/>
      <c r="AHE6" s="139"/>
      <c r="AHF6" s="139"/>
      <c r="AHG6" s="139"/>
      <c r="AHH6" s="139"/>
      <c r="AHI6" s="139"/>
      <c r="AHJ6" s="139"/>
      <c r="AHK6" s="139"/>
      <c r="AHL6" s="139">
        <f t="shared" ref="AHL6:AHM15" si="99">AHJ6+AHH6+AHF6+AHD6+AHB6+AGZ6+AGX6+AGV6</f>
        <v>0</v>
      </c>
      <c r="AHM6" s="139">
        <f t="shared" si="99"/>
        <v>0</v>
      </c>
      <c r="AHN6" s="139">
        <f t="shared" ref="AHN6:AHN15" si="100">AHM6+AHL6</f>
        <v>0</v>
      </c>
      <c r="AHO6" s="139">
        <v>1</v>
      </c>
      <c r="AHP6" s="139"/>
      <c r="AHQ6" s="139"/>
      <c r="AHR6" s="139"/>
      <c r="AHS6" s="139"/>
      <c r="AHT6" s="139"/>
      <c r="AHU6" s="139"/>
      <c r="AHV6" s="139"/>
      <c r="AHW6" s="139"/>
      <c r="AHX6" s="139"/>
      <c r="AHY6" s="139"/>
      <c r="AHZ6" s="139"/>
      <c r="AIA6" s="139"/>
      <c r="AIB6" s="139"/>
      <c r="AIC6" s="139"/>
      <c r="AID6" s="139"/>
      <c r="AIE6" s="139">
        <f>AIC6+AIA6+AHY6+AHW6+AHU6+AHS6+AHQ6+AHO6</f>
        <v>1</v>
      </c>
      <c r="AIF6" s="139">
        <f>AID6+AIB6+AHZ6+AHX6+AHV6+AHT6+AHR6+AHP6</f>
        <v>0</v>
      </c>
      <c r="AIG6" s="139">
        <f>AIF6+AIE6</f>
        <v>1</v>
      </c>
      <c r="AIH6" s="139"/>
      <c r="AII6" s="139"/>
      <c r="AIJ6" s="139"/>
      <c r="AIK6" s="139"/>
      <c r="AIL6" s="139"/>
      <c r="AIM6" s="139"/>
      <c r="AIN6" s="139"/>
      <c r="AIO6" s="139"/>
      <c r="AIP6" s="139"/>
      <c r="AIQ6" s="139"/>
      <c r="AIR6" s="139">
        <v>1</v>
      </c>
      <c r="AIS6" s="139"/>
      <c r="AIT6" s="139">
        <v>3</v>
      </c>
      <c r="AIU6" s="139"/>
      <c r="AIV6" s="139"/>
      <c r="AIW6" s="139"/>
      <c r="AIX6" s="139">
        <f t="shared" ref="AIX6:AIY15" si="101">AIV6+AIT6+AIR6+AIP6+AIN6+AIL6+AIJ6+AIH6</f>
        <v>4</v>
      </c>
      <c r="AIY6" s="139">
        <f t="shared" si="101"/>
        <v>0</v>
      </c>
      <c r="AIZ6" s="139">
        <f t="shared" ref="AIZ6:AIZ15" si="102">AIY6+AIX6</f>
        <v>4</v>
      </c>
      <c r="AJA6" s="139">
        <f>AIH6+AGV6+AGC6+AFJ6+AEQ6+ADX6+ADE6+ACL6+ABS6+AAZ6+AAG6+ZN6+YU6+YB6+XI6+WP6+VW6+VD6+UK6+TR6+SY6+SF6+RM6+QT6+QA6+PH6+OO6+NV6+NC6+MJ6+LQ6+AHO6</f>
        <v>3</v>
      </c>
      <c r="AJB6" s="139">
        <f t="shared" ref="AJB6:AJP6" si="103">AII6+AGW6+AGD6+AFK6+AER6+ADY6+ADF6+ACM6+ABT6+ABA6+AAH6+ZO6+YV6+YC6+XJ6+WQ6+VX6+VE6+UL6+TS6+SZ6+SG6+RN6+QU6+QB6+PI6+OP6+NW6+ND6+MK6+LR6+AHP6</f>
        <v>0</v>
      </c>
      <c r="AJC6" s="139">
        <f t="shared" si="103"/>
        <v>0</v>
      </c>
      <c r="AJD6" s="139">
        <f t="shared" si="103"/>
        <v>0</v>
      </c>
      <c r="AJE6" s="139">
        <f t="shared" si="103"/>
        <v>1</v>
      </c>
      <c r="AJF6" s="139">
        <f t="shared" si="103"/>
        <v>0</v>
      </c>
      <c r="AJG6" s="139">
        <f t="shared" si="103"/>
        <v>23</v>
      </c>
      <c r="AJH6" s="139">
        <f t="shared" si="103"/>
        <v>2</v>
      </c>
      <c r="AJI6" s="139">
        <f t="shared" si="103"/>
        <v>0</v>
      </c>
      <c r="AJJ6" s="139">
        <f t="shared" si="103"/>
        <v>0</v>
      </c>
      <c r="AJK6" s="139">
        <f t="shared" si="103"/>
        <v>11</v>
      </c>
      <c r="AJL6" s="139">
        <f t="shared" si="103"/>
        <v>1</v>
      </c>
      <c r="AJM6" s="139">
        <f t="shared" si="103"/>
        <v>7</v>
      </c>
      <c r="AJN6" s="139">
        <f t="shared" si="103"/>
        <v>2</v>
      </c>
      <c r="AJO6" s="139">
        <f t="shared" si="103"/>
        <v>0</v>
      </c>
      <c r="AJP6" s="139">
        <f t="shared" si="103"/>
        <v>0</v>
      </c>
      <c r="AJQ6" s="139">
        <f t="shared" ref="AJQ6:AJR9" si="104">AJO6+AJM6+AJK6+AJI6+AJE6+AJG6+AJC6+AJA6</f>
        <v>45</v>
      </c>
      <c r="AJR6" s="139">
        <f t="shared" si="104"/>
        <v>5</v>
      </c>
      <c r="AJS6" s="139">
        <f t="shared" ref="AJS6:AJS15" si="105">AJR6+AJQ6</f>
        <v>50</v>
      </c>
      <c r="AJT6" s="139"/>
      <c r="AJU6" s="139"/>
      <c r="AJV6" s="139">
        <v>9</v>
      </c>
      <c r="AJW6" s="139"/>
      <c r="AJX6" s="139">
        <v>16</v>
      </c>
      <c r="AJY6" s="139">
        <v>3</v>
      </c>
      <c r="AJZ6" s="139">
        <v>20</v>
      </c>
      <c r="AKA6" s="139">
        <v>2</v>
      </c>
      <c r="AKB6" s="139">
        <f t="shared" ref="AKB6:AKC9" si="106">AJX6+AJV6+AJT6+AJZ6</f>
        <v>45</v>
      </c>
      <c r="AKC6" s="139">
        <f t="shared" si="106"/>
        <v>5</v>
      </c>
      <c r="AKD6" s="139">
        <f>AKC6+AKB6</f>
        <v>50</v>
      </c>
      <c r="AKE6" s="139"/>
      <c r="AKF6" s="139"/>
      <c r="AKG6" s="139">
        <v>8</v>
      </c>
      <c r="AKH6" s="139"/>
      <c r="AKI6" s="139">
        <v>21</v>
      </c>
      <c r="AKJ6" s="139">
        <v>3</v>
      </c>
      <c r="AKK6" s="139">
        <v>16</v>
      </c>
      <c r="AKL6" s="139">
        <v>2</v>
      </c>
      <c r="AKM6" s="139"/>
      <c r="AKN6" s="139"/>
      <c r="AKO6" s="139">
        <f t="shared" ref="AKO6:AKP9" si="107">AKM6+AKK6+AKI6+AKG6+AKE6</f>
        <v>45</v>
      </c>
      <c r="AKP6" s="139">
        <f t="shared" si="107"/>
        <v>5</v>
      </c>
      <c r="AKQ6" s="139">
        <f>AKP6+AKO6</f>
        <v>50</v>
      </c>
      <c r="AKR6" s="139"/>
      <c r="AKS6" s="139"/>
      <c r="AKT6" s="139">
        <v>45</v>
      </c>
      <c r="AKU6" s="139">
        <v>5</v>
      </c>
      <c r="AKV6" s="139"/>
      <c r="AKW6" s="139"/>
      <c r="AKX6" s="139"/>
      <c r="AKY6" s="139"/>
      <c r="AKZ6" s="139">
        <f t="shared" ref="AKZ6:ALA9" si="108">AKX6+AKV6+AKT6+AKR6</f>
        <v>45</v>
      </c>
      <c r="ALA6" s="139">
        <f t="shared" si="108"/>
        <v>5</v>
      </c>
      <c r="ALB6" s="139">
        <f>SUM(AKZ6:ALA6)</f>
        <v>50</v>
      </c>
      <c r="ALC6" s="139">
        <v>5</v>
      </c>
      <c r="ALD6" s="139"/>
      <c r="ALE6" s="138">
        <v>1</v>
      </c>
      <c r="ALF6" s="138"/>
      <c r="ALG6" s="138">
        <v>2022</v>
      </c>
      <c r="ALH6" s="138" t="s">
        <v>329</v>
      </c>
      <c r="ALI6" s="138">
        <v>2</v>
      </c>
      <c r="ALJ6" s="138"/>
      <c r="ALK6" s="138">
        <v>1</v>
      </c>
      <c r="ALL6" s="138"/>
      <c r="ALM6" s="138"/>
      <c r="ALN6" s="138">
        <v>1</v>
      </c>
      <c r="ALO6" s="138"/>
      <c r="ALP6" s="138">
        <v>1</v>
      </c>
      <c r="ALQ6" s="138"/>
      <c r="ALR6" s="138">
        <v>27</v>
      </c>
      <c r="ALS6" s="138">
        <v>10</v>
      </c>
      <c r="ALT6" s="138">
        <f t="shared" ref="ALT6:ALT15" si="109">ALS6+ALR6</f>
        <v>37</v>
      </c>
      <c r="ALU6" s="138"/>
      <c r="ALV6" s="138"/>
      <c r="ALW6" s="138"/>
      <c r="ALX6" s="138"/>
      <c r="ALY6" s="138">
        <v>1</v>
      </c>
      <c r="ALZ6" s="138">
        <v>1</v>
      </c>
      <c r="AMA6" s="138"/>
      <c r="AMB6" s="138"/>
      <c r="AMC6" s="138"/>
      <c r="AMD6" s="138"/>
      <c r="AME6" s="138"/>
      <c r="AMF6" s="138">
        <v>1</v>
      </c>
      <c r="AMG6" s="138"/>
      <c r="AMH6" s="138">
        <v>1</v>
      </c>
      <c r="AMI6" s="138"/>
      <c r="AMJ6" s="138">
        <v>1</v>
      </c>
      <c r="AMK6" s="138"/>
      <c r="AML6" s="138">
        <v>1</v>
      </c>
      <c r="AMM6" s="138"/>
      <c r="AMN6" s="138">
        <v>1</v>
      </c>
      <c r="AMO6" s="138"/>
      <c r="AMP6" s="138">
        <v>1</v>
      </c>
      <c r="AMQ6" s="138"/>
      <c r="AMR6" s="138">
        <v>1</v>
      </c>
      <c r="AMS6" s="138"/>
      <c r="AMT6" s="138"/>
      <c r="AMU6" s="138"/>
      <c r="AMV6" s="138"/>
      <c r="AMW6" s="138">
        <v>1</v>
      </c>
      <c r="AMX6" s="138"/>
      <c r="AMY6" s="138">
        <v>1</v>
      </c>
      <c r="AMZ6" s="138"/>
      <c r="ANA6" s="138"/>
      <c r="ANB6" s="138">
        <v>1</v>
      </c>
      <c r="ANC6" s="138"/>
      <c r="AND6" s="138"/>
      <c r="ANE6" s="138"/>
      <c r="ANF6" s="138"/>
      <c r="ANG6" s="138"/>
      <c r="ANH6" s="138">
        <v>1</v>
      </c>
      <c r="ANI6" s="138">
        <v>1</v>
      </c>
      <c r="ANJ6" s="138"/>
      <c r="ANK6" s="138">
        <v>1</v>
      </c>
      <c r="ANL6" s="138"/>
      <c r="ANM6" s="138"/>
      <c r="ANN6" s="138">
        <v>1</v>
      </c>
      <c r="ANO6" s="138"/>
      <c r="ANP6" s="138">
        <v>1</v>
      </c>
      <c r="ANQ6" s="138"/>
      <c r="ANR6" s="138"/>
      <c r="ANS6" s="138">
        <v>1</v>
      </c>
      <c r="ANT6" s="138"/>
      <c r="ANU6" s="138"/>
      <c r="ANV6" s="139">
        <v>1</v>
      </c>
      <c r="ANW6" s="139">
        <v>1</v>
      </c>
      <c r="ANX6" s="139"/>
      <c r="ANY6" s="139"/>
      <c r="ANZ6" s="139">
        <v>250</v>
      </c>
      <c r="AOA6" s="139"/>
      <c r="AOB6" s="139"/>
      <c r="AOC6" s="139"/>
      <c r="AOD6" s="139">
        <v>25</v>
      </c>
      <c r="AOE6" s="139"/>
      <c r="AOF6" s="138">
        <v>27</v>
      </c>
      <c r="AOG6" s="138">
        <v>16</v>
      </c>
      <c r="AOH6" s="138">
        <v>4</v>
      </c>
      <c r="AOI6" s="138">
        <v>13</v>
      </c>
      <c r="AOJ6" s="138">
        <v>1</v>
      </c>
      <c r="AOK6" s="138"/>
      <c r="AOL6" s="138">
        <v>1</v>
      </c>
      <c r="AOM6" s="138"/>
      <c r="AON6" s="138"/>
      <c r="AOO6" s="138"/>
      <c r="AOP6" s="138"/>
      <c r="AOQ6" s="138">
        <v>1</v>
      </c>
      <c r="AOR6" s="138"/>
      <c r="AOS6" s="138"/>
      <c r="AOT6" s="138">
        <v>1</v>
      </c>
      <c r="AOU6" s="138"/>
      <c r="AOV6" s="138"/>
      <c r="AOW6" s="138">
        <v>1316</v>
      </c>
      <c r="AOX6" s="138">
        <v>330</v>
      </c>
      <c r="AOY6" s="138">
        <f t="shared" ref="AOY6:AOY15" si="110">AOX6+AOW6</f>
        <v>1646</v>
      </c>
      <c r="AOZ6" s="138">
        <v>1</v>
      </c>
      <c r="APA6" s="138"/>
      <c r="APB6" s="138"/>
      <c r="APC6" s="138">
        <v>1</v>
      </c>
      <c r="APD6" s="138"/>
      <c r="APE6" s="138">
        <v>1</v>
      </c>
      <c r="APF6" s="138"/>
      <c r="APG6" s="138">
        <v>1</v>
      </c>
      <c r="APH6" s="138"/>
      <c r="API6" s="138">
        <v>1</v>
      </c>
      <c r="APJ6" s="138"/>
      <c r="APK6" s="138">
        <v>1</v>
      </c>
      <c r="APL6" s="138"/>
      <c r="APM6" s="138">
        <v>1</v>
      </c>
      <c r="APN6" s="138">
        <v>1</v>
      </c>
      <c r="APO6" s="138"/>
      <c r="APP6" s="138" t="s">
        <v>415</v>
      </c>
      <c r="APQ6" s="138">
        <v>7811661655</v>
      </c>
    </row>
    <row r="7" spans="1:1110" s="140" customFormat="1" ht="34.5" customHeight="1">
      <c r="A7" s="138" t="s">
        <v>117</v>
      </c>
      <c r="B7" s="138" t="s">
        <v>118</v>
      </c>
      <c r="C7" s="138">
        <v>2</v>
      </c>
      <c r="D7" s="138">
        <v>1501039</v>
      </c>
      <c r="E7" s="138" t="s">
        <v>282</v>
      </c>
      <c r="F7" s="139"/>
      <c r="G7" s="139">
        <v>1</v>
      </c>
      <c r="H7" s="139"/>
      <c r="I7" s="139">
        <v>1</v>
      </c>
      <c r="J7" s="139"/>
      <c r="K7" s="139">
        <v>1</v>
      </c>
      <c r="L7" s="139"/>
      <c r="M7" s="139"/>
      <c r="N7" s="139"/>
      <c r="O7" s="139">
        <v>1</v>
      </c>
      <c r="P7" s="139"/>
      <c r="Q7" s="139"/>
      <c r="R7" s="139"/>
      <c r="S7" s="139">
        <v>1</v>
      </c>
      <c r="T7" s="139"/>
      <c r="U7" s="139"/>
      <c r="V7" s="139"/>
      <c r="W7" s="139"/>
      <c r="X7" s="139"/>
      <c r="Y7" s="139">
        <v>5</v>
      </c>
      <c r="Z7" s="139"/>
      <c r="AA7" s="139">
        <v>57</v>
      </c>
      <c r="AB7" s="139"/>
      <c r="AC7" s="139">
        <v>47</v>
      </c>
      <c r="AD7" s="139"/>
      <c r="AE7" s="139">
        <v>29</v>
      </c>
      <c r="AF7" s="139"/>
      <c r="AG7" s="139">
        <v>11</v>
      </c>
      <c r="AH7" s="139"/>
      <c r="AI7" s="139">
        <v>14</v>
      </c>
      <c r="AJ7" s="139"/>
      <c r="AK7" s="139">
        <v>4</v>
      </c>
      <c r="AL7" s="139"/>
      <c r="AM7" s="139"/>
      <c r="AN7" s="139"/>
      <c r="AO7" s="139"/>
      <c r="AP7" s="139">
        <f t="shared" ref="AP7:AQ9" si="111">AN7+AL7+AJ7+AH7+AF7+AD7+AB7+Z7+X7</f>
        <v>0</v>
      </c>
      <c r="AQ7" s="139">
        <f t="shared" si="111"/>
        <v>167</v>
      </c>
      <c r="AR7" s="139">
        <f>AQ7+AP7</f>
        <v>167</v>
      </c>
      <c r="AS7" s="139"/>
      <c r="AT7" s="139">
        <v>5</v>
      </c>
      <c r="AU7" s="139"/>
      <c r="AV7" s="139">
        <v>57</v>
      </c>
      <c r="AW7" s="139"/>
      <c r="AX7" s="139">
        <v>47</v>
      </c>
      <c r="AY7" s="139"/>
      <c r="AZ7" s="139">
        <v>29</v>
      </c>
      <c r="BA7" s="139"/>
      <c r="BB7" s="139">
        <v>11</v>
      </c>
      <c r="BC7" s="139"/>
      <c r="BD7" s="139">
        <v>14</v>
      </c>
      <c r="BE7" s="139"/>
      <c r="BF7" s="139">
        <v>4</v>
      </c>
      <c r="BG7" s="139"/>
      <c r="BH7" s="139"/>
      <c r="BI7" s="139"/>
      <c r="BJ7" s="139"/>
      <c r="BK7" s="139">
        <f t="shared" ref="BK7:BL9" si="112">BI7+BG7+BE7+BC7+BA7+AY7+AW7+AU7+AS7</f>
        <v>0</v>
      </c>
      <c r="BL7" s="139">
        <f t="shared" si="112"/>
        <v>167</v>
      </c>
      <c r="BM7" s="139">
        <f>BL7+BK7</f>
        <v>167</v>
      </c>
      <c r="BN7" s="139"/>
      <c r="BO7" s="139">
        <v>32</v>
      </c>
      <c r="BP7" s="139"/>
      <c r="BQ7" s="139">
        <v>40</v>
      </c>
      <c r="BR7" s="139"/>
      <c r="BS7" s="139">
        <v>20</v>
      </c>
      <c r="BT7" s="139"/>
      <c r="BU7" s="139">
        <v>17</v>
      </c>
      <c r="BV7" s="139"/>
      <c r="BW7" s="139">
        <v>11</v>
      </c>
      <c r="BX7" s="139"/>
      <c r="BY7" s="139">
        <v>5</v>
      </c>
      <c r="BZ7" s="139"/>
      <c r="CA7" s="139">
        <v>1</v>
      </c>
      <c r="CB7" s="139"/>
      <c r="CC7" s="139">
        <v>1</v>
      </c>
      <c r="CD7" s="139">
        <f t="shared" ref="CD7:CE9" si="113">CB7+BZ7+BX7+BV7+BT7+BR7+BP7+BN7</f>
        <v>0</v>
      </c>
      <c r="CE7" s="139">
        <f t="shared" si="113"/>
        <v>127</v>
      </c>
      <c r="CF7" s="139">
        <f>CE7+CD7</f>
        <v>127</v>
      </c>
      <c r="CG7" s="139"/>
      <c r="CH7" s="139">
        <v>31</v>
      </c>
      <c r="CI7" s="139"/>
      <c r="CJ7" s="139">
        <v>17</v>
      </c>
      <c r="CK7" s="139"/>
      <c r="CL7" s="139">
        <v>21</v>
      </c>
      <c r="CM7" s="139"/>
      <c r="CN7" s="139">
        <v>9</v>
      </c>
      <c r="CO7" s="139"/>
      <c r="CP7" s="139">
        <v>8</v>
      </c>
      <c r="CQ7" s="139"/>
      <c r="CR7" s="139">
        <v>5</v>
      </c>
      <c r="CS7" s="139"/>
      <c r="CT7" s="139">
        <v>9</v>
      </c>
      <c r="CU7" s="139">
        <f t="shared" ref="CU7:CV9" si="114">CS7+CQ7+CO7+CM7+CK7+CI7+CG7</f>
        <v>0</v>
      </c>
      <c r="CV7" s="139">
        <f t="shared" si="114"/>
        <v>100</v>
      </c>
      <c r="CW7" s="139">
        <f>CV7+CU7</f>
        <v>100</v>
      </c>
      <c r="CX7" s="139"/>
      <c r="CY7" s="139">
        <v>6</v>
      </c>
      <c r="CZ7" s="139"/>
      <c r="DA7" s="139">
        <v>24</v>
      </c>
      <c r="DB7" s="139"/>
      <c r="DC7" s="139">
        <v>19</v>
      </c>
      <c r="DD7" s="139"/>
      <c r="DE7" s="139">
        <v>8</v>
      </c>
      <c r="DF7" s="139"/>
      <c r="DG7" s="139">
        <v>5</v>
      </c>
      <c r="DH7" s="139"/>
      <c r="DI7" s="139">
        <v>6</v>
      </c>
      <c r="DJ7" s="139">
        <f t="shared" ref="DJ7:DK9" si="115">DH7+DF7+DD7+DB7+CZ7+CX7</f>
        <v>0</v>
      </c>
      <c r="DK7" s="139">
        <f t="shared" si="115"/>
        <v>68</v>
      </c>
      <c r="DL7" s="139">
        <f>DK7+DJ7</f>
        <v>68</v>
      </c>
      <c r="DM7" s="139"/>
      <c r="DN7" s="139">
        <v>4</v>
      </c>
      <c r="DO7" s="139"/>
      <c r="DP7" s="139">
        <v>30</v>
      </c>
      <c r="DQ7" s="139"/>
      <c r="DR7" s="139">
        <v>8</v>
      </c>
      <c r="DS7" s="139"/>
      <c r="DT7" s="139">
        <v>8</v>
      </c>
      <c r="DU7" s="139"/>
      <c r="DV7" s="139">
        <v>28</v>
      </c>
      <c r="DW7" s="139">
        <f t="shared" ref="DW7:DX9" si="116">DU7+DS7+DQ7+DO7+DM7</f>
        <v>0</v>
      </c>
      <c r="DX7" s="139">
        <f t="shared" si="116"/>
        <v>78</v>
      </c>
      <c r="DY7" s="139">
        <f>DX7+DW7</f>
        <v>78</v>
      </c>
      <c r="DZ7" s="139">
        <f t="shared" ref="DZ7:EA9" si="117">AS7</f>
        <v>0</v>
      </c>
      <c r="EA7" s="139">
        <f t="shared" si="117"/>
        <v>5</v>
      </c>
      <c r="EB7" s="139">
        <f t="shared" ref="EB7:EC9" si="118">BN7+AU7</f>
        <v>0</v>
      </c>
      <c r="EC7" s="139">
        <f t="shared" si="118"/>
        <v>89</v>
      </c>
      <c r="ED7" s="139">
        <f t="shared" ref="ED7:EE9" si="119">CG7+BP7+AW7</f>
        <v>0</v>
      </c>
      <c r="EE7" s="139">
        <f t="shared" si="119"/>
        <v>118</v>
      </c>
      <c r="EF7" s="139">
        <f t="shared" ref="EF7:EG9" si="120">CX7+CI7+BR7+AY7</f>
        <v>0</v>
      </c>
      <c r="EG7" s="139">
        <f t="shared" si="120"/>
        <v>72</v>
      </c>
      <c r="EH7" s="139">
        <f t="shared" ref="EH7:EQ7" si="121">DM7+CZ7+CK7+BT7+BA7</f>
        <v>0</v>
      </c>
      <c r="EI7" s="139">
        <f t="shared" si="121"/>
        <v>77</v>
      </c>
      <c r="EJ7" s="139">
        <f t="shared" si="121"/>
        <v>0</v>
      </c>
      <c r="EK7" s="139">
        <f t="shared" si="121"/>
        <v>83</v>
      </c>
      <c r="EL7" s="139">
        <f t="shared" si="121"/>
        <v>0</v>
      </c>
      <c r="EM7" s="139">
        <f t="shared" si="121"/>
        <v>33</v>
      </c>
      <c r="EN7" s="139">
        <f t="shared" si="121"/>
        <v>0</v>
      </c>
      <c r="EO7" s="139">
        <f t="shared" si="121"/>
        <v>19</v>
      </c>
      <c r="EP7" s="139">
        <f t="shared" si="121"/>
        <v>0</v>
      </c>
      <c r="EQ7" s="139">
        <f t="shared" si="121"/>
        <v>44</v>
      </c>
      <c r="ER7" s="139">
        <f t="shared" ref="ER7:ES9" si="122">EP7+EN7+EL7+EJ7+EH7+EF7+ED7+EB7+DZ7</f>
        <v>0</v>
      </c>
      <c r="ES7" s="139">
        <f t="shared" si="122"/>
        <v>540</v>
      </c>
      <c r="ET7" s="139">
        <f>ES7+ER7</f>
        <v>540</v>
      </c>
      <c r="EU7" s="139"/>
      <c r="EV7" s="139"/>
      <c r="EW7" s="139"/>
      <c r="EX7" s="139">
        <v>174</v>
      </c>
      <c r="EY7" s="139"/>
      <c r="EZ7" s="139">
        <v>181</v>
      </c>
      <c r="FA7" s="139"/>
      <c r="FB7" s="139"/>
      <c r="FC7" s="139"/>
      <c r="FD7" s="139"/>
      <c r="FE7" s="139"/>
      <c r="FF7" s="139">
        <v>185</v>
      </c>
      <c r="FG7" s="139">
        <f t="shared" si="21"/>
        <v>0</v>
      </c>
      <c r="FH7" s="139">
        <f t="shared" si="21"/>
        <v>540</v>
      </c>
      <c r="FI7" s="139">
        <f>FH7+FG7</f>
        <v>540</v>
      </c>
      <c r="FJ7" s="139"/>
      <c r="FK7" s="139">
        <v>6</v>
      </c>
      <c r="FL7" s="139"/>
      <c r="FM7" s="139"/>
      <c r="FN7" s="139">
        <v>4</v>
      </c>
      <c r="FO7" s="139"/>
      <c r="FP7" s="139"/>
      <c r="FQ7" s="139">
        <v>4</v>
      </c>
      <c r="FR7" s="139"/>
      <c r="FS7" s="139"/>
      <c r="FT7" s="139">
        <v>4</v>
      </c>
      <c r="FU7" s="139"/>
      <c r="FV7" s="139"/>
      <c r="FW7" s="139">
        <v>4</v>
      </c>
      <c r="FX7" s="139"/>
      <c r="FY7" s="139">
        <f t="shared" ref="FY7:GA9" si="123">FV7+FS7+FP7+FM7+FJ7</f>
        <v>0</v>
      </c>
      <c r="FZ7" s="139">
        <f t="shared" si="123"/>
        <v>22</v>
      </c>
      <c r="GA7" s="139">
        <f t="shared" si="123"/>
        <v>0</v>
      </c>
      <c r="GB7" s="139">
        <f>GA7+FZ7+FY7</f>
        <v>22</v>
      </c>
      <c r="GC7" s="139"/>
      <c r="GD7" s="139"/>
      <c r="GE7" s="139"/>
      <c r="GF7" s="139">
        <v>5</v>
      </c>
      <c r="GG7" s="139"/>
      <c r="GH7" s="139">
        <v>1</v>
      </c>
      <c r="GI7" s="139"/>
      <c r="GJ7" s="139"/>
      <c r="GK7" s="139"/>
      <c r="GL7" s="139"/>
      <c r="GM7" s="139">
        <f t="shared" ref="GM7:GN9" si="124">GK7+GI7+GG7+GE7+GC7</f>
        <v>0</v>
      </c>
      <c r="GN7" s="139">
        <f t="shared" si="124"/>
        <v>6</v>
      </c>
      <c r="GO7" s="139">
        <f>GN7+GM7</f>
        <v>6</v>
      </c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39">
        <f>GX7+GV7+GT7+GR7+GP7</f>
        <v>0</v>
      </c>
      <c r="HA7" s="139">
        <f>GY7+GW7+GU7+GS7+GQ7</f>
        <v>0</v>
      </c>
      <c r="HB7" s="139">
        <f>HA7+GZ7</f>
        <v>0</v>
      </c>
      <c r="HC7" s="139"/>
      <c r="HD7" s="139">
        <v>122</v>
      </c>
      <c r="HE7" s="139"/>
      <c r="HF7" s="139">
        <v>102</v>
      </c>
      <c r="HG7" s="139"/>
      <c r="HH7" s="139">
        <v>66</v>
      </c>
      <c r="HI7" s="139"/>
      <c r="HJ7" s="139">
        <v>78</v>
      </c>
      <c r="HK7" s="139"/>
      <c r="HL7" s="139">
        <v>101</v>
      </c>
      <c r="HM7" s="139">
        <f t="shared" ref="HM7:HN9" si="125">HK7+HI7+HG7+HE7+HC7</f>
        <v>0</v>
      </c>
      <c r="HN7" s="139">
        <f t="shared" si="125"/>
        <v>469</v>
      </c>
      <c r="HO7" s="139">
        <f>HN7+HM7</f>
        <v>469</v>
      </c>
      <c r="HP7" s="139"/>
      <c r="HQ7" s="139">
        <v>3</v>
      </c>
      <c r="HR7" s="139"/>
      <c r="HS7" s="139">
        <v>4</v>
      </c>
      <c r="HT7" s="139"/>
      <c r="HU7" s="139">
        <v>1</v>
      </c>
      <c r="HV7" s="139"/>
      <c r="HW7" s="139"/>
      <c r="HX7" s="139"/>
      <c r="HY7" s="139"/>
      <c r="HZ7" s="139">
        <f t="shared" ref="HZ7:IA9" si="126">HX7+HV7+HT7+HR7+HP7</f>
        <v>0</v>
      </c>
      <c r="IA7" s="139">
        <f t="shared" si="126"/>
        <v>8</v>
      </c>
      <c r="IB7" s="139">
        <f>IA7+HZ7</f>
        <v>8</v>
      </c>
      <c r="IC7" s="139"/>
      <c r="ID7" s="139"/>
      <c r="IE7" s="139"/>
      <c r="IF7" s="139">
        <v>9</v>
      </c>
      <c r="IG7" s="139"/>
      <c r="IH7" s="139">
        <v>1</v>
      </c>
      <c r="II7" s="139"/>
      <c r="IJ7" s="139"/>
      <c r="IK7" s="139"/>
      <c r="IL7" s="139"/>
      <c r="IM7" s="139">
        <f t="shared" ref="IM7:IN9" si="127">IK7+II7+IG7+IE7+IC7</f>
        <v>0</v>
      </c>
      <c r="IN7" s="139">
        <f t="shared" si="127"/>
        <v>10</v>
      </c>
      <c r="IO7" s="139">
        <f>IN7+IM7</f>
        <v>10</v>
      </c>
      <c r="IP7" s="139"/>
      <c r="IQ7" s="139"/>
      <c r="IR7" s="139"/>
      <c r="IS7" s="139"/>
      <c r="IT7" s="139"/>
      <c r="IU7" s="139"/>
      <c r="IV7" s="139"/>
      <c r="IW7" s="139"/>
      <c r="IX7" s="139"/>
      <c r="IY7" s="139"/>
      <c r="IZ7" s="139">
        <f t="shared" ref="IZ7:JA9" si="128">IX7+IV7+IT7+IR7+IP7</f>
        <v>0</v>
      </c>
      <c r="JA7" s="139">
        <f t="shared" si="128"/>
        <v>0</v>
      </c>
      <c r="JB7" s="139">
        <f>JA7+IZ7</f>
        <v>0</v>
      </c>
      <c r="JC7" s="139"/>
      <c r="JD7" s="139">
        <v>1</v>
      </c>
      <c r="JE7" s="139"/>
      <c r="JF7" s="139">
        <v>2</v>
      </c>
      <c r="JG7" s="139">
        <v>4</v>
      </c>
      <c r="JH7" s="139">
        <v>14</v>
      </c>
      <c r="JI7" s="139"/>
      <c r="JJ7" s="139">
        <v>1</v>
      </c>
      <c r="JK7" s="139"/>
      <c r="JL7" s="139">
        <v>1</v>
      </c>
      <c r="JM7" s="139">
        <f t="shared" ref="JM7:JN9" si="129">JK7+JI7+JG7+JE7+JC7</f>
        <v>4</v>
      </c>
      <c r="JN7" s="139">
        <f t="shared" si="129"/>
        <v>19</v>
      </c>
      <c r="JO7" s="139">
        <f>JN7+JM7</f>
        <v>23</v>
      </c>
      <c r="JP7" s="139"/>
      <c r="JQ7" s="139"/>
      <c r="JR7" s="139"/>
      <c r="JS7" s="139">
        <v>2</v>
      </c>
      <c r="JT7" s="139"/>
      <c r="JU7" s="139"/>
      <c r="JV7" s="139"/>
      <c r="JW7" s="139"/>
      <c r="JX7" s="139"/>
      <c r="JY7" s="139"/>
      <c r="JZ7" s="139"/>
      <c r="KA7" s="139">
        <v>2</v>
      </c>
      <c r="KB7" s="139"/>
      <c r="KC7" s="139"/>
      <c r="KD7" s="139"/>
      <c r="KE7" s="139"/>
      <c r="KF7" s="139"/>
      <c r="KG7" s="139"/>
      <c r="KH7" s="139"/>
      <c r="KI7" s="139"/>
      <c r="KJ7" s="139">
        <f t="shared" si="37"/>
        <v>0</v>
      </c>
      <c r="KK7" s="139">
        <f t="shared" si="37"/>
        <v>4</v>
      </c>
      <c r="KL7" s="139">
        <f>KK7+KJ7</f>
        <v>4</v>
      </c>
      <c r="KM7" s="139">
        <v>4</v>
      </c>
      <c r="KN7" s="139">
        <v>19</v>
      </c>
      <c r="KO7" s="139"/>
      <c r="KP7" s="139"/>
      <c r="KQ7" s="139"/>
      <c r="KR7" s="139"/>
      <c r="KS7" s="139">
        <f t="shared" ref="KS7:KT9" si="130">KQ7+KO7+KM7</f>
        <v>4</v>
      </c>
      <c r="KT7" s="139">
        <f t="shared" si="130"/>
        <v>19</v>
      </c>
      <c r="KU7" s="139">
        <f>KT7+KS7</f>
        <v>23</v>
      </c>
      <c r="KV7" s="139">
        <v>3</v>
      </c>
      <c r="KW7" s="139">
        <v>18</v>
      </c>
      <c r="KX7" s="139"/>
      <c r="KY7" s="139"/>
      <c r="KZ7" s="139">
        <v>1</v>
      </c>
      <c r="LA7" s="139"/>
      <c r="LB7" s="139"/>
      <c r="LC7" s="139"/>
      <c r="LD7" s="139"/>
      <c r="LE7" s="139"/>
      <c r="LF7" s="139"/>
      <c r="LG7" s="139">
        <v>1</v>
      </c>
      <c r="LH7" s="139"/>
      <c r="LI7" s="139"/>
      <c r="LJ7" s="139"/>
      <c r="LK7" s="139"/>
      <c r="LL7" s="139"/>
      <c r="LM7" s="139"/>
      <c r="LN7" s="139">
        <f t="shared" ref="LN7:LN17" si="131">LL7+KV7+LJ7+LH7+LF7+LD7+LB7+KZ7+KX7</f>
        <v>4</v>
      </c>
      <c r="LO7" s="139">
        <f t="shared" ref="LO7:LO17" si="132">LM7+KW7+LK7+LI7+LG7+LE7+LC7+LA7+KY7</f>
        <v>19</v>
      </c>
      <c r="LP7" s="139">
        <f>LO7+LN7</f>
        <v>23</v>
      </c>
      <c r="LQ7" s="139"/>
      <c r="LR7" s="139"/>
      <c r="LS7" s="139"/>
      <c r="LT7" s="139"/>
      <c r="LU7" s="139"/>
      <c r="LV7" s="139"/>
      <c r="LW7" s="139"/>
      <c r="LX7" s="139">
        <v>1</v>
      </c>
      <c r="LY7" s="139"/>
      <c r="LZ7" s="139"/>
      <c r="MA7" s="139"/>
      <c r="MB7" s="139">
        <v>1</v>
      </c>
      <c r="MC7" s="139"/>
      <c r="MD7" s="139">
        <v>1</v>
      </c>
      <c r="ME7" s="139"/>
      <c r="MF7" s="139"/>
      <c r="MG7" s="139">
        <f t="shared" ref="MG7:MH9" si="133">ME7+MC7+MA7+LY7+LW7+LU7+LS7+LQ7</f>
        <v>0</v>
      </c>
      <c r="MH7" s="139">
        <f t="shared" si="133"/>
        <v>3</v>
      </c>
      <c r="MI7" s="139">
        <f>MH7+MG7</f>
        <v>3</v>
      </c>
      <c r="MJ7" s="139"/>
      <c r="MK7" s="139"/>
      <c r="ML7" s="139"/>
      <c r="MM7" s="139"/>
      <c r="MN7" s="139"/>
      <c r="MO7" s="139"/>
      <c r="MP7" s="139"/>
      <c r="MQ7" s="139">
        <v>2</v>
      </c>
      <c r="MR7" s="139"/>
      <c r="MS7" s="139"/>
      <c r="MT7" s="139"/>
      <c r="MU7" s="139"/>
      <c r="MV7" s="139"/>
      <c r="MW7" s="139"/>
      <c r="MX7" s="139"/>
      <c r="MY7" s="139"/>
      <c r="MZ7" s="139">
        <f t="shared" ref="MZ7:NA9" si="134">MX7+MV7+MT7+MR7+MP7+MN7+ML7+MJ7</f>
        <v>0</v>
      </c>
      <c r="NA7" s="139">
        <f t="shared" si="134"/>
        <v>2</v>
      </c>
      <c r="NB7" s="139">
        <f>NA7+MZ7</f>
        <v>2</v>
      </c>
      <c r="NC7" s="139"/>
      <c r="ND7" s="139"/>
      <c r="NE7" s="139"/>
      <c r="NF7" s="139"/>
      <c r="NG7" s="139"/>
      <c r="NH7" s="139">
        <v>4</v>
      </c>
      <c r="NI7" s="139"/>
      <c r="NJ7" s="139">
        <v>1</v>
      </c>
      <c r="NK7" s="139"/>
      <c r="NL7" s="139"/>
      <c r="NM7" s="139"/>
      <c r="NN7" s="139"/>
      <c r="NO7" s="139"/>
      <c r="NP7" s="139"/>
      <c r="NQ7" s="139"/>
      <c r="NR7" s="139"/>
      <c r="NS7" s="139">
        <f t="shared" ref="NS7:NT9" si="135">NQ7+NO7+NM7+NK7+NI7+NG7+NE7+NC7</f>
        <v>0</v>
      </c>
      <c r="NT7" s="139">
        <f t="shared" si="135"/>
        <v>5</v>
      </c>
      <c r="NU7" s="139">
        <f>NT7+NS7</f>
        <v>5</v>
      </c>
      <c r="NV7" s="139"/>
      <c r="NW7" s="139"/>
      <c r="NX7" s="139"/>
      <c r="NY7" s="139"/>
      <c r="NZ7" s="139"/>
      <c r="OA7" s="139"/>
      <c r="OB7" s="139"/>
      <c r="OC7" s="139"/>
      <c r="OD7" s="139"/>
      <c r="OE7" s="139"/>
      <c r="OF7" s="139"/>
      <c r="OG7" s="139"/>
      <c r="OH7" s="139"/>
      <c r="OI7" s="139"/>
      <c r="OJ7" s="139"/>
      <c r="OK7" s="139"/>
      <c r="OL7" s="139">
        <f t="shared" ref="OL7:OM9" si="136">OJ7+OH7+OF7+OD7+OB7+NZ7+NX7+NV7</f>
        <v>0</v>
      </c>
      <c r="OM7" s="139">
        <f t="shared" si="136"/>
        <v>0</v>
      </c>
      <c r="ON7" s="139">
        <f>OM7+OL7</f>
        <v>0</v>
      </c>
      <c r="OO7" s="139"/>
      <c r="OP7" s="139"/>
      <c r="OQ7" s="139"/>
      <c r="OR7" s="139"/>
      <c r="OS7" s="139"/>
      <c r="OT7" s="139"/>
      <c r="OU7" s="139"/>
      <c r="OV7" s="139"/>
      <c r="OW7" s="139"/>
      <c r="OX7" s="139"/>
      <c r="OY7" s="139"/>
      <c r="OZ7" s="139"/>
      <c r="PA7" s="139"/>
      <c r="PB7" s="139"/>
      <c r="PC7" s="139"/>
      <c r="PD7" s="139"/>
      <c r="PE7" s="139">
        <f t="shared" ref="PE7:PF9" si="137">PC7+PA7+OY7+OW7+OU7+OS7+OQ7+OO7</f>
        <v>0</v>
      </c>
      <c r="PF7" s="139">
        <f t="shared" si="137"/>
        <v>0</v>
      </c>
      <c r="PG7" s="139">
        <f>PF7+PE7</f>
        <v>0</v>
      </c>
      <c r="PH7" s="139"/>
      <c r="PI7" s="139"/>
      <c r="PJ7" s="139"/>
      <c r="PK7" s="139"/>
      <c r="PL7" s="139"/>
      <c r="PM7" s="139"/>
      <c r="PN7" s="139"/>
      <c r="PO7" s="139"/>
      <c r="PP7" s="139"/>
      <c r="PQ7" s="139"/>
      <c r="PR7" s="139"/>
      <c r="PS7" s="139"/>
      <c r="PT7" s="139"/>
      <c r="PU7" s="139"/>
      <c r="PV7" s="139"/>
      <c r="PW7" s="139"/>
      <c r="PX7" s="139">
        <f t="shared" ref="PX7:PY9" si="138">PV7+PT7+PR7+PP7+PN7+PL7+PJ7+PH7</f>
        <v>0</v>
      </c>
      <c r="PY7" s="139">
        <f t="shared" si="138"/>
        <v>0</v>
      </c>
      <c r="PZ7" s="139">
        <f>PY7+PX7</f>
        <v>0</v>
      </c>
      <c r="QA7" s="139"/>
      <c r="QB7" s="139"/>
      <c r="QC7" s="139"/>
      <c r="QD7" s="139"/>
      <c r="QE7" s="139"/>
      <c r="QF7" s="139"/>
      <c r="QG7" s="139"/>
      <c r="QH7" s="139"/>
      <c r="QI7" s="139"/>
      <c r="QJ7" s="139"/>
      <c r="QK7" s="139"/>
      <c r="QL7" s="139"/>
      <c r="QM7" s="139"/>
      <c r="QN7" s="139"/>
      <c r="QO7" s="139"/>
      <c r="QP7" s="139"/>
      <c r="QQ7" s="139">
        <f t="shared" ref="QQ7:QR9" si="139">QO7+QM7+QK7+QI7+QG7+QE7+QC7+QA7</f>
        <v>0</v>
      </c>
      <c r="QR7" s="139">
        <f t="shared" si="139"/>
        <v>0</v>
      </c>
      <c r="QS7" s="139">
        <f>QR7+QQ7</f>
        <v>0</v>
      </c>
      <c r="QT7" s="139"/>
      <c r="QU7" s="139"/>
      <c r="QV7" s="139"/>
      <c r="QW7" s="139"/>
      <c r="QX7" s="139"/>
      <c r="QY7" s="139"/>
      <c r="QZ7" s="139"/>
      <c r="RA7" s="139"/>
      <c r="RB7" s="139"/>
      <c r="RC7" s="139"/>
      <c r="RD7" s="139"/>
      <c r="RE7" s="139"/>
      <c r="RF7" s="139"/>
      <c r="RG7" s="139"/>
      <c r="RH7" s="139"/>
      <c r="RI7" s="139"/>
      <c r="RJ7" s="139">
        <f t="shared" ref="RJ7:RK9" si="140">RH7+RF7+RD7+RB7+QZ7+QX7+QV7+QT7</f>
        <v>0</v>
      </c>
      <c r="RK7" s="139">
        <f t="shared" si="140"/>
        <v>0</v>
      </c>
      <c r="RL7" s="139">
        <f>RK7+RJ7</f>
        <v>0</v>
      </c>
      <c r="RM7" s="139"/>
      <c r="RN7" s="139"/>
      <c r="RO7" s="139"/>
      <c r="RP7" s="139"/>
      <c r="RQ7" s="139"/>
      <c r="RR7" s="139"/>
      <c r="RS7" s="139"/>
      <c r="RT7" s="139"/>
      <c r="RU7" s="139"/>
      <c r="RV7" s="139"/>
      <c r="RW7" s="139"/>
      <c r="RX7" s="139"/>
      <c r="RY7" s="139"/>
      <c r="RZ7" s="139"/>
      <c r="SA7" s="139"/>
      <c r="SB7" s="139"/>
      <c r="SC7" s="139">
        <f t="shared" ref="SC7:SD9" si="141">SA7+RY7+RW7+RU7+RS7+RQ7+RO7+RM7</f>
        <v>0</v>
      </c>
      <c r="SD7" s="139">
        <f t="shared" si="141"/>
        <v>0</v>
      </c>
      <c r="SE7" s="139">
        <f>SD7+SC7</f>
        <v>0</v>
      </c>
      <c r="SF7" s="139"/>
      <c r="SG7" s="139"/>
      <c r="SH7" s="139"/>
      <c r="SI7" s="139"/>
      <c r="SJ7" s="139"/>
      <c r="SK7" s="139"/>
      <c r="SL7" s="139"/>
      <c r="SM7" s="139"/>
      <c r="SN7" s="139"/>
      <c r="SO7" s="139"/>
      <c r="SP7" s="139"/>
      <c r="SQ7" s="139"/>
      <c r="SR7" s="139"/>
      <c r="SS7" s="139"/>
      <c r="ST7" s="139"/>
      <c r="SU7" s="139"/>
      <c r="SV7" s="139">
        <f t="shared" ref="SV7:SW9" si="142">ST7+SR7+SP7+SN7+SL7+SJ7+SH7+SF7</f>
        <v>0</v>
      </c>
      <c r="SW7" s="139">
        <f t="shared" si="142"/>
        <v>0</v>
      </c>
      <c r="SX7" s="139">
        <f>SW7+SV7</f>
        <v>0</v>
      </c>
      <c r="SY7" s="139"/>
      <c r="SZ7" s="139"/>
      <c r="TA7" s="139"/>
      <c r="TB7" s="139"/>
      <c r="TC7" s="139"/>
      <c r="TD7" s="139"/>
      <c r="TE7" s="139"/>
      <c r="TF7" s="139"/>
      <c r="TG7" s="139"/>
      <c r="TH7" s="139"/>
      <c r="TI7" s="139"/>
      <c r="TJ7" s="139"/>
      <c r="TK7" s="139"/>
      <c r="TL7" s="139"/>
      <c r="TM7" s="139"/>
      <c r="TN7" s="139"/>
      <c r="TO7" s="139">
        <f t="shared" ref="TO7:TP9" si="143">TM7+TK7+TI7+TG7+TE7+TC7+TA7+SY7</f>
        <v>0</v>
      </c>
      <c r="TP7" s="139">
        <f t="shared" si="143"/>
        <v>0</v>
      </c>
      <c r="TQ7" s="139">
        <f>TP7+TO7</f>
        <v>0</v>
      </c>
      <c r="TR7" s="139"/>
      <c r="TS7" s="139"/>
      <c r="TT7" s="139"/>
      <c r="TU7" s="139"/>
      <c r="TV7" s="139"/>
      <c r="TW7" s="139"/>
      <c r="TX7" s="139"/>
      <c r="TY7" s="139"/>
      <c r="TZ7" s="139"/>
      <c r="UA7" s="139"/>
      <c r="UB7" s="139"/>
      <c r="UC7" s="139"/>
      <c r="UD7" s="139"/>
      <c r="UE7" s="139"/>
      <c r="UF7" s="139"/>
      <c r="UG7" s="139"/>
      <c r="UH7" s="139">
        <f t="shared" ref="UH7:UI9" si="144">UF7+UD7+UB7+TZ7+TX7+TV7+TT7+TR7</f>
        <v>0</v>
      </c>
      <c r="UI7" s="139">
        <f t="shared" si="144"/>
        <v>0</v>
      </c>
      <c r="UJ7" s="139">
        <f>UI7+UH7</f>
        <v>0</v>
      </c>
      <c r="UK7" s="139"/>
      <c r="UL7" s="139"/>
      <c r="UM7" s="139"/>
      <c r="UN7" s="139"/>
      <c r="UO7" s="139"/>
      <c r="UP7" s="139"/>
      <c r="UQ7" s="139"/>
      <c r="UR7" s="139"/>
      <c r="US7" s="139"/>
      <c r="UT7" s="139"/>
      <c r="UU7" s="139"/>
      <c r="UV7" s="139"/>
      <c r="UW7" s="139"/>
      <c r="UX7" s="139"/>
      <c r="UY7" s="139"/>
      <c r="UZ7" s="139"/>
      <c r="VA7" s="139">
        <f t="shared" ref="VA7:VB9" si="145">UY7+UW7+UU7+US7+UQ7+UO7+UM7+UK7</f>
        <v>0</v>
      </c>
      <c r="VB7" s="139">
        <f t="shared" si="145"/>
        <v>0</v>
      </c>
      <c r="VC7" s="139">
        <f>VB7+VA7</f>
        <v>0</v>
      </c>
      <c r="VD7" s="139"/>
      <c r="VE7" s="139"/>
      <c r="VF7" s="139"/>
      <c r="VG7" s="139"/>
      <c r="VH7" s="139"/>
      <c r="VI7" s="139"/>
      <c r="VJ7" s="139"/>
      <c r="VK7" s="139">
        <v>1</v>
      </c>
      <c r="VL7" s="139"/>
      <c r="VM7" s="139"/>
      <c r="VN7" s="139"/>
      <c r="VO7" s="139"/>
      <c r="VP7" s="139"/>
      <c r="VQ7" s="139"/>
      <c r="VR7" s="139"/>
      <c r="VS7" s="139"/>
      <c r="VT7" s="139">
        <f t="shared" ref="VT7:VU9" si="146">VR7+VP7+VN7+VL7+VJ7+VH7+VF7+VD7</f>
        <v>0</v>
      </c>
      <c r="VU7" s="139">
        <f t="shared" si="146"/>
        <v>1</v>
      </c>
      <c r="VV7" s="139">
        <f>VU7+VT7</f>
        <v>1</v>
      </c>
      <c r="VW7" s="139"/>
      <c r="VX7" s="139"/>
      <c r="VY7" s="139"/>
      <c r="VZ7" s="139"/>
      <c r="WA7" s="139"/>
      <c r="WB7" s="139"/>
      <c r="WC7" s="139">
        <v>1</v>
      </c>
      <c r="WD7" s="139">
        <v>2</v>
      </c>
      <c r="WE7" s="139"/>
      <c r="WF7" s="139"/>
      <c r="WG7" s="139"/>
      <c r="WH7" s="139"/>
      <c r="WI7" s="139"/>
      <c r="WJ7" s="139"/>
      <c r="WK7" s="139"/>
      <c r="WL7" s="139"/>
      <c r="WM7" s="139">
        <f t="shared" ref="WM7:WN9" si="147">WK7+WI7+WG7+WE7+WC7+WA7+VY7+VW7</f>
        <v>1</v>
      </c>
      <c r="WN7" s="139">
        <f t="shared" si="147"/>
        <v>2</v>
      </c>
      <c r="WO7" s="139">
        <f>WN7+WM7</f>
        <v>3</v>
      </c>
      <c r="WP7" s="139"/>
      <c r="WQ7" s="139"/>
      <c r="WR7" s="139"/>
      <c r="WS7" s="139"/>
      <c r="WT7" s="139"/>
      <c r="WU7" s="139"/>
      <c r="WV7" s="139"/>
      <c r="WW7" s="139"/>
      <c r="WX7" s="139"/>
      <c r="WY7" s="139"/>
      <c r="WZ7" s="139"/>
      <c r="XA7" s="139"/>
      <c r="XB7" s="139"/>
      <c r="XC7" s="139"/>
      <c r="XD7" s="139"/>
      <c r="XE7" s="139"/>
      <c r="XF7" s="139">
        <f t="shared" ref="XF7:XG9" si="148">XD7+XB7+WZ7+WX7+WV7+WT7+WR7+WP7</f>
        <v>0</v>
      </c>
      <c r="XG7" s="139">
        <f t="shared" si="148"/>
        <v>0</v>
      </c>
      <c r="XH7" s="139">
        <f>XG7+XF7</f>
        <v>0</v>
      </c>
      <c r="XI7" s="139"/>
      <c r="XJ7" s="139"/>
      <c r="XK7" s="139"/>
      <c r="XL7" s="139"/>
      <c r="XM7" s="139"/>
      <c r="XN7" s="139"/>
      <c r="XO7" s="139"/>
      <c r="XP7" s="139"/>
      <c r="XQ7" s="139"/>
      <c r="XR7" s="139"/>
      <c r="XS7" s="139"/>
      <c r="XT7" s="139">
        <v>1</v>
      </c>
      <c r="XU7" s="139"/>
      <c r="XV7" s="139"/>
      <c r="XW7" s="139"/>
      <c r="XX7" s="139"/>
      <c r="XY7" s="139">
        <f t="shared" ref="XY7:XZ9" si="149">XW7+XU7+XS7+XQ7+XO7+XM7+XK7+XI7</f>
        <v>0</v>
      </c>
      <c r="XZ7" s="139">
        <f t="shared" si="149"/>
        <v>1</v>
      </c>
      <c r="YA7" s="139">
        <f>XZ7+XY7</f>
        <v>1</v>
      </c>
      <c r="YB7" s="139"/>
      <c r="YC7" s="139"/>
      <c r="YD7" s="139"/>
      <c r="YE7" s="139"/>
      <c r="YF7" s="139"/>
      <c r="YG7" s="139"/>
      <c r="YH7" s="139"/>
      <c r="YI7" s="139"/>
      <c r="YJ7" s="139"/>
      <c r="YK7" s="139"/>
      <c r="YL7" s="139"/>
      <c r="YM7" s="139"/>
      <c r="YN7" s="139"/>
      <c r="YO7" s="139"/>
      <c r="YP7" s="139"/>
      <c r="YQ7" s="139"/>
      <c r="YR7" s="139">
        <f t="shared" ref="YR7:YS9" si="150">YP7+YN7+YL7+YJ7+YH7+YF7+YD7+YB7</f>
        <v>0</v>
      </c>
      <c r="YS7" s="139">
        <f t="shared" si="150"/>
        <v>0</v>
      </c>
      <c r="YT7" s="139">
        <f>YS7+YR7</f>
        <v>0</v>
      </c>
      <c r="YU7" s="139"/>
      <c r="YV7" s="139"/>
      <c r="YW7" s="139"/>
      <c r="YX7" s="139"/>
      <c r="YY7" s="139"/>
      <c r="YZ7" s="139"/>
      <c r="ZA7" s="139"/>
      <c r="ZB7" s="139"/>
      <c r="ZC7" s="139"/>
      <c r="ZD7" s="139"/>
      <c r="ZE7" s="139"/>
      <c r="ZF7" s="139"/>
      <c r="ZG7" s="139"/>
      <c r="ZH7" s="139"/>
      <c r="ZI7" s="139"/>
      <c r="ZJ7" s="139"/>
      <c r="ZK7" s="139">
        <f t="shared" ref="ZK7:ZL9" si="151">ZI7+ZG7+ZE7+ZC7+ZA7+YY7+YW7+YU7</f>
        <v>0</v>
      </c>
      <c r="ZL7" s="139">
        <f t="shared" si="151"/>
        <v>0</v>
      </c>
      <c r="ZM7" s="139">
        <f>ZL7+ZK7</f>
        <v>0</v>
      </c>
      <c r="ZN7" s="139"/>
      <c r="ZO7" s="139"/>
      <c r="ZP7" s="139"/>
      <c r="ZQ7" s="139"/>
      <c r="ZR7" s="139"/>
      <c r="ZS7" s="139">
        <v>1</v>
      </c>
      <c r="ZT7" s="139"/>
      <c r="ZU7" s="139">
        <v>1</v>
      </c>
      <c r="ZV7" s="139"/>
      <c r="ZW7" s="139"/>
      <c r="ZX7" s="139"/>
      <c r="ZY7" s="139"/>
      <c r="ZZ7" s="139"/>
      <c r="AAA7" s="139"/>
      <c r="AAB7" s="139"/>
      <c r="AAC7" s="139"/>
      <c r="AAD7" s="139">
        <f t="shared" ref="AAD7:AAE9" si="152">AAB7+ZZ7+ZX7+ZV7+ZT7+ZR7+ZP7+ZN7</f>
        <v>0</v>
      </c>
      <c r="AAE7" s="139">
        <f t="shared" si="152"/>
        <v>2</v>
      </c>
      <c r="AAF7" s="139">
        <f>AAE7+AAD7</f>
        <v>2</v>
      </c>
      <c r="AAG7" s="139"/>
      <c r="AAH7" s="139"/>
      <c r="AAI7" s="139"/>
      <c r="AAJ7" s="139"/>
      <c r="AAK7" s="139"/>
      <c r="AAL7" s="139"/>
      <c r="AAM7" s="139"/>
      <c r="AAN7" s="139">
        <v>1</v>
      </c>
      <c r="AAO7" s="139"/>
      <c r="AAP7" s="139"/>
      <c r="AAQ7" s="139"/>
      <c r="AAR7" s="139"/>
      <c r="AAS7" s="139"/>
      <c r="AAT7" s="139"/>
      <c r="AAU7" s="139"/>
      <c r="AAV7" s="139"/>
      <c r="AAW7" s="139">
        <f t="shared" ref="AAW7:AAX9" si="153">AAU7+AAS7+AAQ7+AAO7+AAM7+AAK7+AAI7+AAG7</f>
        <v>0</v>
      </c>
      <c r="AAX7" s="139">
        <f t="shared" si="153"/>
        <v>1</v>
      </c>
      <c r="AAY7" s="139">
        <f>AAX7+AAW7</f>
        <v>1</v>
      </c>
      <c r="AAZ7" s="139"/>
      <c r="ABA7" s="139"/>
      <c r="ABB7" s="139"/>
      <c r="ABC7" s="139"/>
      <c r="ABD7" s="139"/>
      <c r="ABE7" s="139"/>
      <c r="ABF7" s="139"/>
      <c r="ABG7" s="139"/>
      <c r="ABH7" s="139"/>
      <c r="ABI7" s="139"/>
      <c r="ABJ7" s="139"/>
      <c r="ABK7" s="139"/>
      <c r="ABL7" s="139"/>
      <c r="ABM7" s="139"/>
      <c r="ABN7" s="139"/>
      <c r="ABO7" s="139"/>
      <c r="ABP7" s="139">
        <f t="shared" ref="ABP7:ABQ9" si="154">ABN7+ABL7+ABJ7+ABH7+ABF7+ABD7+ABB7+AAZ7</f>
        <v>0</v>
      </c>
      <c r="ABQ7" s="139">
        <f t="shared" si="154"/>
        <v>0</v>
      </c>
      <c r="ABR7" s="139">
        <f>ABQ7+ABP7</f>
        <v>0</v>
      </c>
      <c r="ABS7" s="139"/>
      <c r="ABT7" s="139"/>
      <c r="ABU7" s="139"/>
      <c r="ABV7" s="139"/>
      <c r="ABW7" s="139"/>
      <c r="ABX7" s="139"/>
      <c r="ABY7" s="139"/>
      <c r="ABZ7" s="139"/>
      <c r="ACA7" s="139"/>
      <c r="ACB7" s="139"/>
      <c r="ACC7" s="139"/>
      <c r="ACD7" s="139"/>
      <c r="ACE7" s="139"/>
      <c r="ACF7" s="139"/>
      <c r="ACG7" s="139"/>
      <c r="ACH7" s="139"/>
      <c r="ACI7" s="139">
        <f t="shared" ref="ACI7:ACJ9" si="155">ACG7+ACE7+ACC7+ACA7+ABY7+ABW7+ABU7+ABS7</f>
        <v>0</v>
      </c>
      <c r="ACJ7" s="139">
        <f t="shared" si="155"/>
        <v>0</v>
      </c>
      <c r="ACK7" s="139">
        <f>ACJ7+ACI7</f>
        <v>0</v>
      </c>
      <c r="ACL7" s="139"/>
      <c r="ACM7" s="139"/>
      <c r="ACN7" s="139"/>
      <c r="ACO7" s="139"/>
      <c r="ACP7" s="139"/>
      <c r="ACQ7" s="139"/>
      <c r="ACR7" s="139"/>
      <c r="ACS7" s="139"/>
      <c r="ACT7" s="139"/>
      <c r="ACU7" s="139"/>
      <c r="ACV7" s="139"/>
      <c r="ACW7" s="139"/>
      <c r="ACX7" s="139"/>
      <c r="ACY7" s="139"/>
      <c r="ACZ7" s="139"/>
      <c r="ADA7" s="139"/>
      <c r="ADB7" s="139">
        <f t="shared" ref="ADB7:ADC9" si="156">ACZ7+ACX7+ACV7+ACT7+ACR7+ACP7+ACN7+ACL7</f>
        <v>0</v>
      </c>
      <c r="ADC7" s="139">
        <f t="shared" si="156"/>
        <v>0</v>
      </c>
      <c r="ADD7" s="139">
        <f>ADC7+ADB7</f>
        <v>0</v>
      </c>
      <c r="ADE7" s="139"/>
      <c r="ADF7" s="139"/>
      <c r="ADG7" s="139"/>
      <c r="ADH7" s="139"/>
      <c r="ADI7" s="139"/>
      <c r="ADJ7" s="139"/>
      <c r="ADK7" s="139"/>
      <c r="ADL7" s="139">
        <v>1</v>
      </c>
      <c r="ADM7" s="139"/>
      <c r="ADN7" s="139"/>
      <c r="ADO7" s="139"/>
      <c r="ADP7" s="139"/>
      <c r="ADQ7" s="139"/>
      <c r="ADR7" s="139"/>
      <c r="ADS7" s="139"/>
      <c r="ADT7" s="139"/>
      <c r="ADU7" s="139">
        <f t="shared" ref="ADU7:ADV9" si="157">ADS7+ADQ7+ADO7+ADM7+ADK7+ADI7+ADG7+ADE7</f>
        <v>0</v>
      </c>
      <c r="ADV7" s="139">
        <f t="shared" si="157"/>
        <v>1</v>
      </c>
      <c r="ADW7" s="139">
        <f>ADV7+ADU7</f>
        <v>1</v>
      </c>
      <c r="ADX7" s="139"/>
      <c r="ADY7" s="139"/>
      <c r="ADZ7" s="139"/>
      <c r="AEA7" s="139"/>
      <c r="AEB7" s="139"/>
      <c r="AEC7" s="139"/>
      <c r="AED7" s="139"/>
      <c r="AEE7" s="139"/>
      <c r="AEF7" s="139"/>
      <c r="AEG7" s="139"/>
      <c r="AEH7" s="139"/>
      <c r="AEI7" s="139"/>
      <c r="AEJ7" s="139"/>
      <c r="AEK7" s="139"/>
      <c r="AEL7" s="139"/>
      <c r="AEM7" s="139"/>
      <c r="AEN7" s="139">
        <f t="shared" ref="AEN7:AEO9" si="158">AEL7+AEJ7+AEH7+AEF7+AED7+AEB7+ADZ7+ADX7</f>
        <v>0</v>
      </c>
      <c r="AEO7" s="139">
        <f t="shared" si="158"/>
        <v>0</v>
      </c>
      <c r="AEP7" s="139">
        <f>AEO7+AEN7</f>
        <v>0</v>
      </c>
      <c r="AEQ7" s="139"/>
      <c r="AER7" s="139"/>
      <c r="AES7" s="139"/>
      <c r="AET7" s="139"/>
      <c r="AEU7" s="139"/>
      <c r="AEV7" s="139"/>
      <c r="AEW7" s="139"/>
      <c r="AEX7" s="139"/>
      <c r="AEY7" s="139"/>
      <c r="AEZ7" s="139"/>
      <c r="AFA7" s="139"/>
      <c r="AFB7" s="139"/>
      <c r="AFC7" s="139"/>
      <c r="AFD7" s="139"/>
      <c r="AFE7" s="139"/>
      <c r="AFF7" s="139"/>
      <c r="AFG7" s="139">
        <f t="shared" ref="AFG7:AFH9" si="159">AFE7+AFC7+AFA7+AEY7+AEW7+AEU7+AES7+AEQ7</f>
        <v>0</v>
      </c>
      <c r="AFH7" s="139">
        <f t="shared" si="159"/>
        <v>0</v>
      </c>
      <c r="AFI7" s="139">
        <f>AFH7+AFG7</f>
        <v>0</v>
      </c>
      <c r="AFJ7" s="139"/>
      <c r="AFK7" s="139"/>
      <c r="AFL7" s="139"/>
      <c r="AFM7" s="139"/>
      <c r="AFN7" s="139"/>
      <c r="AFO7" s="139"/>
      <c r="AFP7" s="139"/>
      <c r="AFQ7" s="139">
        <v>1</v>
      </c>
      <c r="AFR7" s="139"/>
      <c r="AFS7" s="139"/>
      <c r="AFT7" s="139"/>
      <c r="AFU7" s="139"/>
      <c r="AFV7" s="139"/>
      <c r="AFW7" s="139"/>
      <c r="AFX7" s="139"/>
      <c r="AFY7" s="139"/>
      <c r="AFZ7" s="139">
        <f t="shared" ref="AFZ7:AGA9" si="160">AFX7+AFV7+AFT7+AFR7+AFP7+AFN7+AFL7+AFJ7</f>
        <v>0</v>
      </c>
      <c r="AGA7" s="139">
        <f t="shared" si="160"/>
        <v>1</v>
      </c>
      <c r="AGB7" s="139">
        <f>AGA7+AFZ7</f>
        <v>1</v>
      </c>
      <c r="AGC7" s="139"/>
      <c r="AGD7" s="139"/>
      <c r="AGE7" s="139"/>
      <c r="AGF7" s="139"/>
      <c r="AGG7" s="139"/>
      <c r="AGH7" s="139"/>
      <c r="AGI7" s="139">
        <v>3</v>
      </c>
      <c r="AGJ7" s="139"/>
      <c r="AGK7" s="139"/>
      <c r="AGL7" s="139"/>
      <c r="AGM7" s="139"/>
      <c r="AGN7" s="139"/>
      <c r="AGO7" s="139"/>
      <c r="AGP7" s="139"/>
      <c r="AGQ7" s="139"/>
      <c r="AGR7" s="139"/>
      <c r="AGS7" s="139">
        <f t="shared" ref="AGS7:AGT9" si="161">AGQ7+AGO7+AGM7+AGK7+AGI7+AGG7+AGE7+AGC7</f>
        <v>3</v>
      </c>
      <c r="AGT7" s="139">
        <f t="shared" si="161"/>
        <v>0</v>
      </c>
      <c r="AGU7" s="139">
        <f>AGT7+AGS7</f>
        <v>3</v>
      </c>
      <c r="AGV7" s="139"/>
      <c r="AGW7" s="139"/>
      <c r="AGX7" s="139"/>
      <c r="AGY7" s="139"/>
      <c r="AGZ7" s="139"/>
      <c r="AHA7" s="139"/>
      <c r="AHB7" s="139"/>
      <c r="AHC7" s="139"/>
      <c r="AHD7" s="139"/>
      <c r="AHE7" s="139"/>
      <c r="AHF7" s="139"/>
      <c r="AHG7" s="139"/>
      <c r="AHH7" s="139"/>
      <c r="AHI7" s="139"/>
      <c r="AHJ7" s="139"/>
      <c r="AHK7" s="139"/>
      <c r="AHL7" s="139">
        <f t="shared" ref="AHL7:AHM9" si="162">AHJ7+AHH7+AHF7+AHD7+AHB7+AGZ7+AGX7+AGV7</f>
        <v>0</v>
      </c>
      <c r="AHM7" s="139">
        <f t="shared" si="162"/>
        <v>0</v>
      </c>
      <c r="AHN7" s="139">
        <f>AHM7+AHL7</f>
        <v>0</v>
      </c>
      <c r="AHO7" s="139"/>
      <c r="AHP7" s="139"/>
      <c r="AHQ7" s="139"/>
      <c r="AHR7" s="139"/>
      <c r="AHS7" s="139"/>
      <c r="AHT7" s="139"/>
      <c r="AHU7" s="139"/>
      <c r="AHV7" s="139"/>
      <c r="AHW7" s="139"/>
      <c r="AHX7" s="139"/>
      <c r="AHY7" s="139"/>
      <c r="AHZ7" s="139"/>
      <c r="AIA7" s="139"/>
      <c r="AIB7" s="139"/>
      <c r="AIC7" s="139"/>
      <c r="AID7" s="139"/>
      <c r="AIE7" s="139">
        <f>AIC7+AIA7+AHY7+AHW7+AHU7+AHS7+AHQ7+AHO7</f>
        <v>0</v>
      </c>
      <c r="AIF7" s="139">
        <f>AID7+AIB7+AHZ7+AHX7+AHV7+AHT7+AHR7+AHP7</f>
        <v>0</v>
      </c>
      <c r="AIG7" s="139">
        <f>AIF7+AIE7</f>
        <v>0</v>
      </c>
      <c r="AIH7" s="139"/>
      <c r="AII7" s="139"/>
      <c r="AIJ7" s="139"/>
      <c r="AIK7" s="139"/>
      <c r="AIL7" s="139"/>
      <c r="AIM7" s="139"/>
      <c r="AIN7" s="139"/>
      <c r="AIO7" s="139"/>
      <c r="AIP7" s="139"/>
      <c r="AIQ7" s="139"/>
      <c r="AIR7" s="139"/>
      <c r="AIS7" s="139"/>
      <c r="AIT7" s="139"/>
      <c r="AIU7" s="139"/>
      <c r="AIV7" s="139"/>
      <c r="AIW7" s="139"/>
      <c r="AIX7" s="139">
        <f t="shared" ref="AIX7:AIY9" si="163">AIV7+AIT7+AIR7+AIP7+AIN7+AIL7+AIJ7+AIH7</f>
        <v>0</v>
      </c>
      <c r="AIY7" s="139">
        <f t="shared" si="163"/>
        <v>0</v>
      </c>
      <c r="AIZ7" s="139">
        <f>AIY7+AIX7</f>
        <v>0</v>
      </c>
      <c r="AJA7" s="139">
        <f>AIH7+AGV7+AGC7+AFJ7+AEQ7+ADX7+ADE7+ACL7+ABS7+AAZ7+AAG7+ZN7+YU7+YB7+XI7+WP7+VW7+VD7+UK7+TR7+SY7+SF7+RM7+QT7+QA7+PH7+OO7+NV7+NC7+MJ7+LQ7+AHO7</f>
        <v>0</v>
      </c>
      <c r="AJB7" s="139">
        <f t="shared" ref="AJB7:AJP9" si="164">AII7+AGW7+AGD7+AFK7+AER7+ADY7+ADF7+ACM7+ABT7+ABA7+AAH7+ZO7+YV7+YC7+XJ7+WQ7+VX7+VE7+UL7+TS7+SZ7+SG7+RN7+QU7+QB7+PI7+OP7+NW7+ND7+MK7+LR7+AHP7</f>
        <v>0</v>
      </c>
      <c r="AJC7" s="139">
        <f t="shared" si="164"/>
        <v>0</v>
      </c>
      <c r="AJD7" s="139">
        <f t="shared" si="164"/>
        <v>0</v>
      </c>
      <c r="AJE7" s="139">
        <f t="shared" si="164"/>
        <v>0</v>
      </c>
      <c r="AJF7" s="139">
        <f t="shared" si="164"/>
        <v>5</v>
      </c>
      <c r="AJG7" s="139">
        <f t="shared" si="164"/>
        <v>4</v>
      </c>
      <c r="AJH7" s="139">
        <f t="shared" si="164"/>
        <v>11</v>
      </c>
      <c r="AJI7" s="139">
        <f t="shared" si="164"/>
        <v>0</v>
      </c>
      <c r="AJJ7" s="139">
        <f t="shared" si="164"/>
        <v>0</v>
      </c>
      <c r="AJK7" s="139">
        <f t="shared" si="164"/>
        <v>0</v>
      </c>
      <c r="AJL7" s="139">
        <f t="shared" si="164"/>
        <v>2</v>
      </c>
      <c r="AJM7" s="139">
        <f t="shared" si="164"/>
        <v>0</v>
      </c>
      <c r="AJN7" s="139">
        <f t="shared" si="164"/>
        <v>1</v>
      </c>
      <c r="AJO7" s="139">
        <f t="shared" si="164"/>
        <v>0</v>
      </c>
      <c r="AJP7" s="139">
        <f t="shared" si="164"/>
        <v>0</v>
      </c>
      <c r="AJQ7" s="139">
        <f t="shared" si="104"/>
        <v>4</v>
      </c>
      <c r="AJR7" s="139">
        <f t="shared" si="104"/>
        <v>19</v>
      </c>
      <c r="AJS7" s="139">
        <f>AJR7+AJQ7</f>
        <v>23</v>
      </c>
      <c r="AJT7" s="139"/>
      <c r="AJU7" s="139"/>
      <c r="AJV7" s="139"/>
      <c r="AJW7" s="139"/>
      <c r="AJX7" s="139"/>
      <c r="AJY7" s="139"/>
      <c r="AJZ7" s="139">
        <v>4</v>
      </c>
      <c r="AKA7" s="139">
        <v>19</v>
      </c>
      <c r="AKB7" s="139">
        <f t="shared" si="106"/>
        <v>4</v>
      </c>
      <c r="AKC7" s="139">
        <f t="shared" si="106"/>
        <v>19</v>
      </c>
      <c r="AKD7" s="139">
        <f>AKC7+AKB7</f>
        <v>23</v>
      </c>
      <c r="AKE7" s="139"/>
      <c r="AKF7" s="139"/>
      <c r="AKG7" s="139"/>
      <c r="AKH7" s="139"/>
      <c r="AKI7" s="139">
        <v>3</v>
      </c>
      <c r="AKJ7" s="139">
        <v>8</v>
      </c>
      <c r="AKK7" s="139">
        <v>1</v>
      </c>
      <c r="AKL7" s="139">
        <v>11</v>
      </c>
      <c r="AKM7" s="139"/>
      <c r="AKN7" s="139"/>
      <c r="AKO7" s="139">
        <f t="shared" si="107"/>
        <v>4</v>
      </c>
      <c r="AKP7" s="139">
        <f t="shared" si="107"/>
        <v>19</v>
      </c>
      <c r="AKQ7" s="139">
        <f>AKP7+AKO7</f>
        <v>23</v>
      </c>
      <c r="AKR7" s="139"/>
      <c r="AKS7" s="139">
        <v>1</v>
      </c>
      <c r="AKT7" s="139">
        <v>4</v>
      </c>
      <c r="AKU7" s="139">
        <v>16</v>
      </c>
      <c r="AKV7" s="139"/>
      <c r="AKW7" s="139">
        <v>2</v>
      </c>
      <c r="AKX7" s="139"/>
      <c r="AKY7" s="139"/>
      <c r="AKZ7" s="139">
        <f t="shared" si="108"/>
        <v>4</v>
      </c>
      <c r="ALA7" s="139">
        <f t="shared" si="108"/>
        <v>19</v>
      </c>
      <c r="ALB7" s="139">
        <f>SUM(AKZ7:ALA7)</f>
        <v>23</v>
      </c>
      <c r="ALC7" s="139">
        <v>2</v>
      </c>
      <c r="ALD7" s="139">
        <v>5</v>
      </c>
      <c r="ALE7" s="138">
        <v>1</v>
      </c>
      <c r="ALF7" s="138"/>
      <c r="ALG7" s="138">
        <v>2007</v>
      </c>
      <c r="ALH7" s="138" t="s">
        <v>331</v>
      </c>
      <c r="ALI7" s="138">
        <v>3</v>
      </c>
      <c r="ALJ7" s="138">
        <v>1</v>
      </c>
      <c r="ALK7" s="138"/>
      <c r="ALL7" s="138"/>
      <c r="ALM7" s="138">
        <v>1</v>
      </c>
      <c r="ALN7" s="138"/>
      <c r="ALO7" s="138">
        <v>1</v>
      </c>
      <c r="ALP7" s="138"/>
      <c r="ALQ7" s="138">
        <v>6</v>
      </c>
      <c r="ALR7" s="138">
        <v>18</v>
      </c>
      <c r="ALS7" s="138">
        <v>18</v>
      </c>
      <c r="ALT7" s="138">
        <f>ALS7+ALR7</f>
        <v>36</v>
      </c>
      <c r="ALU7" s="138"/>
      <c r="ALV7" s="138"/>
      <c r="ALW7" s="138"/>
      <c r="ALX7" s="138">
        <v>1</v>
      </c>
      <c r="ALY7" s="138"/>
      <c r="ALZ7" s="138">
        <v>1</v>
      </c>
      <c r="AMA7" s="138"/>
      <c r="AMB7" s="138"/>
      <c r="AMC7" s="138"/>
      <c r="AMD7" s="138"/>
      <c r="AME7" s="138"/>
      <c r="AMF7" s="138">
        <v>1</v>
      </c>
      <c r="AMG7" s="138"/>
      <c r="AMH7" s="138"/>
      <c r="AMI7" s="138">
        <v>1</v>
      </c>
      <c r="AMJ7" s="138">
        <v>1</v>
      </c>
      <c r="AMK7" s="138"/>
      <c r="AML7" s="138">
        <v>1</v>
      </c>
      <c r="AMM7" s="138"/>
      <c r="AMN7" s="138">
        <v>1</v>
      </c>
      <c r="AMO7" s="138"/>
      <c r="AMP7" s="138">
        <v>1</v>
      </c>
      <c r="AMQ7" s="138"/>
      <c r="AMR7" s="138">
        <v>1</v>
      </c>
      <c r="AMS7" s="138"/>
      <c r="AMT7" s="138"/>
      <c r="AMU7" s="138"/>
      <c r="AMV7" s="138"/>
      <c r="AMW7" s="138">
        <v>1</v>
      </c>
      <c r="AMX7" s="138"/>
      <c r="AMY7" s="138">
        <v>1</v>
      </c>
      <c r="AMZ7" s="138"/>
      <c r="ANA7" s="138"/>
      <c r="ANB7" s="138">
        <v>1</v>
      </c>
      <c r="ANC7" s="138"/>
      <c r="AND7" s="138"/>
      <c r="ANE7" s="138">
        <v>1</v>
      </c>
      <c r="ANF7" s="138"/>
      <c r="ANG7" s="138"/>
      <c r="ANH7" s="138"/>
      <c r="ANI7" s="138">
        <v>1</v>
      </c>
      <c r="ANJ7" s="138" t="s">
        <v>396</v>
      </c>
      <c r="ANK7" s="138">
        <v>1</v>
      </c>
      <c r="ANL7" s="138"/>
      <c r="ANM7" s="138"/>
      <c r="ANN7" s="138">
        <v>1</v>
      </c>
      <c r="ANO7" s="138"/>
      <c r="ANP7" s="138"/>
      <c r="ANQ7" s="138">
        <v>1</v>
      </c>
      <c r="ANR7" s="138"/>
      <c r="ANS7" s="138"/>
      <c r="ANT7" s="138">
        <v>1</v>
      </c>
      <c r="ANU7" s="138"/>
      <c r="ANV7" s="139">
        <v>1</v>
      </c>
      <c r="ANW7" s="139">
        <v>1</v>
      </c>
      <c r="ANX7" s="139"/>
      <c r="ANY7" s="139"/>
      <c r="ANZ7" s="139">
        <v>50</v>
      </c>
      <c r="AOA7" s="139"/>
      <c r="AOB7" s="139">
        <v>400</v>
      </c>
      <c r="AOC7" s="139">
        <v>108</v>
      </c>
      <c r="AOD7" s="139">
        <v>23</v>
      </c>
      <c r="AOE7" s="139">
        <v>1</v>
      </c>
      <c r="AOF7" s="138">
        <v>12</v>
      </c>
      <c r="AOG7" s="138">
        <v>10</v>
      </c>
      <c r="AOH7" s="138">
        <v>2</v>
      </c>
      <c r="AOI7" s="138">
        <v>1</v>
      </c>
      <c r="AOJ7" s="138"/>
      <c r="AOK7" s="138">
        <v>2</v>
      </c>
      <c r="AOL7" s="138">
        <v>1</v>
      </c>
      <c r="AOM7" s="138"/>
      <c r="AON7" s="138"/>
      <c r="AOO7" s="138"/>
      <c r="AOP7" s="138">
        <v>1</v>
      </c>
      <c r="AOQ7" s="138"/>
      <c r="AOR7" s="138"/>
      <c r="AOS7" s="138">
        <v>1</v>
      </c>
      <c r="AOT7" s="138"/>
      <c r="AOU7" s="138"/>
      <c r="AOV7" s="138"/>
      <c r="AOW7" s="138">
        <v>2505</v>
      </c>
      <c r="AOX7" s="138"/>
      <c r="AOY7" s="138">
        <f>AOX7+AOW7</f>
        <v>2505</v>
      </c>
      <c r="AOZ7" s="138">
        <v>1</v>
      </c>
      <c r="APA7" s="138"/>
      <c r="APB7" s="138"/>
      <c r="APC7" s="138">
        <v>1</v>
      </c>
      <c r="APD7" s="138"/>
      <c r="APE7" s="138">
        <v>1</v>
      </c>
      <c r="APF7" s="138"/>
      <c r="APG7" s="138">
        <v>1</v>
      </c>
      <c r="APH7" s="138"/>
      <c r="API7" s="138">
        <v>1</v>
      </c>
      <c r="APJ7" s="138"/>
      <c r="APK7" s="138">
        <v>1</v>
      </c>
      <c r="APL7" s="138"/>
      <c r="APM7" s="138">
        <v>1</v>
      </c>
      <c r="APN7" s="138">
        <v>1</v>
      </c>
      <c r="APO7" s="138"/>
      <c r="APP7" s="138" t="s">
        <v>416</v>
      </c>
      <c r="APQ7" s="138">
        <v>7803343910</v>
      </c>
    </row>
    <row r="8" spans="1:1110" s="137" customFormat="1" ht="34.5" customHeight="1">
      <c r="A8" s="135" t="s">
        <v>117</v>
      </c>
      <c r="B8" s="135" t="s">
        <v>118</v>
      </c>
      <c r="C8" s="135">
        <v>3</v>
      </c>
      <c r="D8" s="135"/>
      <c r="E8" s="135" t="s">
        <v>427</v>
      </c>
      <c r="F8" s="136">
        <v>1</v>
      </c>
      <c r="G8" s="136"/>
      <c r="H8" s="136"/>
      <c r="I8" s="136">
        <v>1</v>
      </c>
      <c r="J8" s="136"/>
      <c r="K8" s="136"/>
      <c r="L8" s="136"/>
      <c r="M8" s="136"/>
      <c r="N8" s="136">
        <v>1</v>
      </c>
      <c r="O8" s="136">
        <v>1</v>
      </c>
      <c r="P8" s="136"/>
      <c r="Q8" s="136">
        <v>1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>
        <v>153</v>
      </c>
      <c r="AO8" s="136"/>
      <c r="AP8" s="136">
        <f t="shared" si="111"/>
        <v>153</v>
      </c>
      <c r="AQ8" s="136">
        <f t="shared" si="111"/>
        <v>0</v>
      </c>
      <c r="AR8" s="136">
        <f>AQ8+AP8</f>
        <v>153</v>
      </c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>
        <v>181</v>
      </c>
      <c r="BJ8" s="136"/>
      <c r="BK8" s="136">
        <f t="shared" si="112"/>
        <v>181</v>
      </c>
      <c r="BL8" s="136">
        <f t="shared" si="112"/>
        <v>0</v>
      </c>
      <c r="BM8" s="136">
        <f>BL8+BK8</f>
        <v>181</v>
      </c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>
        <v>124</v>
      </c>
      <c r="CC8" s="136"/>
      <c r="CD8" s="136">
        <f t="shared" si="113"/>
        <v>124</v>
      </c>
      <c r="CE8" s="136">
        <f t="shared" si="113"/>
        <v>0</v>
      </c>
      <c r="CF8" s="136">
        <f>CE8+CD8</f>
        <v>124</v>
      </c>
      <c r="CG8" s="136"/>
      <c r="CH8" s="136"/>
      <c r="CI8" s="136"/>
      <c r="CJ8" s="136"/>
      <c r="CK8" s="136"/>
      <c r="CL8" s="136"/>
      <c r="CM8" s="136"/>
      <c r="CN8" s="136"/>
      <c r="CO8" s="136"/>
      <c r="CP8" s="136"/>
      <c r="CQ8" s="136"/>
      <c r="CR8" s="136"/>
      <c r="CS8" s="136">
        <v>123</v>
      </c>
      <c r="CT8" s="136"/>
      <c r="CU8" s="136">
        <f t="shared" si="114"/>
        <v>123</v>
      </c>
      <c r="CV8" s="136">
        <f t="shared" si="114"/>
        <v>0</v>
      </c>
      <c r="CW8" s="136">
        <f>CV8+CU8</f>
        <v>123</v>
      </c>
      <c r="CX8" s="136"/>
      <c r="CY8" s="136"/>
      <c r="CZ8" s="136"/>
      <c r="DA8" s="136"/>
      <c r="DB8" s="136"/>
      <c r="DC8" s="136"/>
      <c r="DD8" s="136"/>
      <c r="DE8" s="136"/>
      <c r="DF8" s="136"/>
      <c r="DG8" s="136"/>
      <c r="DH8" s="136"/>
      <c r="DI8" s="136"/>
      <c r="DJ8" s="136">
        <f t="shared" si="115"/>
        <v>0</v>
      </c>
      <c r="DK8" s="136">
        <f t="shared" si="115"/>
        <v>0</v>
      </c>
      <c r="DL8" s="136">
        <f>DK8+DJ8</f>
        <v>0</v>
      </c>
      <c r="DM8" s="136"/>
      <c r="DN8" s="136"/>
      <c r="DO8" s="136"/>
      <c r="DP8" s="136"/>
      <c r="DQ8" s="136"/>
      <c r="DR8" s="136"/>
      <c r="DS8" s="136"/>
      <c r="DT8" s="136"/>
      <c r="DU8" s="136"/>
      <c r="DV8" s="136"/>
      <c r="DW8" s="136">
        <f t="shared" si="116"/>
        <v>0</v>
      </c>
      <c r="DX8" s="136">
        <f t="shared" si="116"/>
        <v>0</v>
      </c>
      <c r="DY8" s="136">
        <f>DX8+DW8</f>
        <v>0</v>
      </c>
      <c r="DZ8" s="136">
        <f t="shared" si="117"/>
        <v>0</v>
      </c>
      <c r="EA8" s="136">
        <f t="shared" si="117"/>
        <v>0</v>
      </c>
      <c r="EB8" s="136">
        <f t="shared" si="118"/>
        <v>0</v>
      </c>
      <c r="EC8" s="136">
        <f t="shared" si="118"/>
        <v>0</v>
      </c>
      <c r="ED8" s="136">
        <f t="shared" si="119"/>
        <v>0</v>
      </c>
      <c r="EE8" s="136">
        <f t="shared" si="119"/>
        <v>0</v>
      </c>
      <c r="EF8" s="136">
        <f t="shared" si="120"/>
        <v>0</v>
      </c>
      <c r="EG8" s="136">
        <f t="shared" si="120"/>
        <v>0</v>
      </c>
      <c r="EH8" s="136">
        <f t="shared" ref="EH8:EQ9" si="165">DM8+CZ8+CK8+BT8+BA8</f>
        <v>0</v>
      </c>
      <c r="EI8" s="136">
        <f t="shared" si="165"/>
        <v>0</v>
      </c>
      <c r="EJ8" s="136">
        <f t="shared" si="165"/>
        <v>0</v>
      </c>
      <c r="EK8" s="136">
        <f t="shared" si="165"/>
        <v>0</v>
      </c>
      <c r="EL8" s="136">
        <f t="shared" si="165"/>
        <v>0</v>
      </c>
      <c r="EM8" s="136">
        <f t="shared" si="165"/>
        <v>0</v>
      </c>
      <c r="EN8" s="136">
        <f t="shared" si="165"/>
        <v>0</v>
      </c>
      <c r="EO8" s="136">
        <f t="shared" si="165"/>
        <v>0</v>
      </c>
      <c r="EP8" s="136">
        <f t="shared" si="165"/>
        <v>428</v>
      </c>
      <c r="EQ8" s="136">
        <f t="shared" si="165"/>
        <v>0</v>
      </c>
      <c r="ER8" s="136">
        <f t="shared" si="122"/>
        <v>428</v>
      </c>
      <c r="ES8" s="136">
        <f t="shared" si="122"/>
        <v>0</v>
      </c>
      <c r="ET8" s="136">
        <f>ES8+ER8</f>
        <v>428</v>
      </c>
      <c r="EU8" s="136"/>
      <c r="EV8" s="136"/>
      <c r="EW8" s="136">
        <v>96</v>
      </c>
      <c r="EX8" s="136"/>
      <c r="EY8" s="136">
        <v>111</v>
      </c>
      <c r="EZ8" s="136"/>
      <c r="FA8" s="136">
        <v>127</v>
      </c>
      <c r="FB8" s="136"/>
      <c r="FC8" s="136">
        <v>94</v>
      </c>
      <c r="FD8" s="136"/>
      <c r="FE8" s="136"/>
      <c r="FF8" s="136"/>
      <c r="FG8" s="136">
        <f t="shared" si="21"/>
        <v>428</v>
      </c>
      <c r="FH8" s="136">
        <f t="shared" si="21"/>
        <v>0</v>
      </c>
      <c r="FI8" s="136">
        <f>FH8+FG8</f>
        <v>428</v>
      </c>
      <c r="FJ8" s="136">
        <v>8</v>
      </c>
      <c r="FK8" s="136"/>
      <c r="FL8" s="136"/>
      <c r="FM8" s="136">
        <v>8</v>
      </c>
      <c r="FN8" s="136"/>
      <c r="FO8" s="136"/>
      <c r="FP8" s="136">
        <v>8</v>
      </c>
      <c r="FQ8" s="136"/>
      <c r="FR8" s="136"/>
      <c r="FS8" s="136"/>
      <c r="FT8" s="136"/>
      <c r="FU8" s="136"/>
      <c r="FV8" s="136"/>
      <c r="FW8" s="136"/>
      <c r="FX8" s="136"/>
      <c r="FY8" s="136">
        <f t="shared" si="123"/>
        <v>24</v>
      </c>
      <c r="FZ8" s="136">
        <f t="shared" si="123"/>
        <v>0</v>
      </c>
      <c r="GA8" s="136">
        <f t="shared" si="123"/>
        <v>0</v>
      </c>
      <c r="GB8" s="136">
        <f>GA8+FZ8+FY8</f>
        <v>24</v>
      </c>
      <c r="GC8" s="136">
        <v>28</v>
      </c>
      <c r="GD8" s="136"/>
      <c r="GE8" s="136">
        <v>4</v>
      </c>
      <c r="GF8" s="136"/>
      <c r="GG8" s="136">
        <v>1</v>
      </c>
      <c r="GH8" s="136"/>
      <c r="GI8" s="136"/>
      <c r="GJ8" s="136"/>
      <c r="GK8" s="136"/>
      <c r="GL8" s="136"/>
      <c r="GM8" s="136">
        <f t="shared" si="124"/>
        <v>33</v>
      </c>
      <c r="GN8" s="136">
        <f t="shared" si="124"/>
        <v>0</v>
      </c>
      <c r="GO8" s="136">
        <f>GN8+GM8</f>
        <v>33</v>
      </c>
      <c r="GP8" s="136"/>
      <c r="GQ8" s="136"/>
      <c r="GR8" s="136"/>
      <c r="GS8" s="136"/>
      <c r="GT8" s="136"/>
      <c r="GU8" s="136"/>
      <c r="GV8" s="136"/>
      <c r="GW8" s="136"/>
      <c r="GX8" s="136"/>
      <c r="GY8" s="136"/>
      <c r="GZ8" s="136"/>
      <c r="HA8" s="136"/>
      <c r="HB8" s="136"/>
      <c r="HC8" s="136">
        <v>120</v>
      </c>
      <c r="HD8" s="136"/>
      <c r="HE8" s="136">
        <v>122</v>
      </c>
      <c r="HF8" s="136"/>
      <c r="HG8" s="136"/>
      <c r="HH8" s="136"/>
      <c r="HI8" s="136"/>
      <c r="HJ8" s="136"/>
      <c r="HK8" s="136"/>
      <c r="HL8" s="136"/>
      <c r="HM8" s="136">
        <f t="shared" si="125"/>
        <v>242</v>
      </c>
      <c r="HN8" s="136">
        <f t="shared" si="125"/>
        <v>0</v>
      </c>
      <c r="HO8" s="136">
        <f>HN8+HM8</f>
        <v>242</v>
      </c>
      <c r="HP8" s="136">
        <v>8</v>
      </c>
      <c r="HQ8" s="136"/>
      <c r="HR8" s="136">
        <v>1</v>
      </c>
      <c r="HS8" s="136"/>
      <c r="HT8" s="136"/>
      <c r="HU8" s="136"/>
      <c r="HV8" s="136"/>
      <c r="HW8" s="136"/>
      <c r="HX8" s="136"/>
      <c r="HY8" s="136"/>
      <c r="HZ8" s="136">
        <f t="shared" si="126"/>
        <v>9</v>
      </c>
      <c r="IA8" s="136">
        <f t="shared" si="126"/>
        <v>0</v>
      </c>
      <c r="IB8" s="136">
        <f>IA8+HZ8</f>
        <v>9</v>
      </c>
      <c r="IC8" s="136"/>
      <c r="ID8" s="136"/>
      <c r="IE8" s="136"/>
      <c r="IF8" s="136"/>
      <c r="IG8" s="136"/>
      <c r="IH8" s="136"/>
      <c r="II8" s="136"/>
      <c r="IJ8" s="136"/>
      <c r="IK8" s="136"/>
      <c r="IL8" s="136"/>
      <c r="IM8" s="136">
        <f t="shared" si="127"/>
        <v>0</v>
      </c>
      <c r="IN8" s="136">
        <f t="shared" si="127"/>
        <v>0</v>
      </c>
      <c r="IO8" s="136">
        <f>IN8+IM8</f>
        <v>0</v>
      </c>
      <c r="IP8" s="136"/>
      <c r="IQ8" s="136"/>
      <c r="IR8" s="136"/>
      <c r="IS8" s="136"/>
      <c r="IT8" s="136"/>
      <c r="IU8" s="136"/>
      <c r="IV8" s="136"/>
      <c r="IW8" s="136"/>
      <c r="IX8" s="136"/>
      <c r="IY8" s="136"/>
      <c r="IZ8" s="136">
        <f t="shared" si="128"/>
        <v>0</v>
      </c>
      <c r="JA8" s="136">
        <f t="shared" si="128"/>
        <v>0</v>
      </c>
      <c r="JB8" s="136">
        <f>JA8+IZ8</f>
        <v>0</v>
      </c>
      <c r="JC8" s="136">
        <v>1</v>
      </c>
      <c r="JD8" s="136"/>
      <c r="JE8" s="136">
        <v>1</v>
      </c>
      <c r="JF8" s="136"/>
      <c r="JG8" s="136">
        <v>6</v>
      </c>
      <c r="JH8" s="136"/>
      <c r="JI8" s="136"/>
      <c r="JJ8" s="136"/>
      <c r="JK8" s="136"/>
      <c r="JL8" s="136"/>
      <c r="JM8" s="136">
        <f t="shared" si="129"/>
        <v>8</v>
      </c>
      <c r="JN8" s="136">
        <f t="shared" si="129"/>
        <v>0</v>
      </c>
      <c r="JO8" s="136">
        <f>JN8+JM8</f>
        <v>8</v>
      </c>
      <c r="JP8" s="136">
        <v>1</v>
      </c>
      <c r="JQ8" s="136"/>
      <c r="JR8" s="136"/>
      <c r="JS8" s="136"/>
      <c r="JT8" s="136"/>
      <c r="JU8" s="136"/>
      <c r="JV8" s="136"/>
      <c r="JW8" s="136"/>
      <c r="JX8" s="136"/>
      <c r="JY8" s="136"/>
      <c r="JZ8" s="136"/>
      <c r="KA8" s="136"/>
      <c r="KB8" s="136">
        <v>1</v>
      </c>
      <c r="KC8" s="136"/>
      <c r="KD8" s="136"/>
      <c r="KE8" s="136"/>
      <c r="KF8" s="136"/>
      <c r="KG8" s="136"/>
      <c r="KH8" s="136"/>
      <c r="KI8" s="136"/>
      <c r="KJ8" s="136">
        <f t="shared" si="37"/>
        <v>2</v>
      </c>
      <c r="KK8" s="136">
        <f t="shared" si="37"/>
        <v>0</v>
      </c>
      <c r="KL8" s="136">
        <f>KK8+KJ8</f>
        <v>2</v>
      </c>
      <c r="KM8" s="136">
        <v>8</v>
      </c>
      <c r="KN8" s="136"/>
      <c r="KO8" s="136"/>
      <c r="KP8" s="136"/>
      <c r="KQ8" s="136"/>
      <c r="KR8" s="136"/>
      <c r="KS8" s="136">
        <f t="shared" si="130"/>
        <v>8</v>
      </c>
      <c r="KT8" s="136">
        <f t="shared" si="130"/>
        <v>0</v>
      </c>
      <c r="KU8" s="136">
        <f>KT8+KS8</f>
        <v>8</v>
      </c>
      <c r="KV8" s="136">
        <v>5</v>
      </c>
      <c r="KW8" s="136"/>
      <c r="KX8" s="136"/>
      <c r="KY8" s="136"/>
      <c r="KZ8" s="136">
        <v>2</v>
      </c>
      <c r="LA8" s="136"/>
      <c r="LB8" s="136"/>
      <c r="LC8" s="136"/>
      <c r="LD8" s="136"/>
      <c r="LE8" s="136"/>
      <c r="LF8" s="136">
        <v>1</v>
      </c>
      <c r="LG8" s="136"/>
      <c r="LH8" s="136"/>
      <c r="LI8" s="136"/>
      <c r="LJ8" s="136"/>
      <c r="LK8" s="136"/>
      <c r="LL8" s="136"/>
      <c r="LM8" s="136"/>
      <c r="LN8" s="139">
        <f t="shared" si="131"/>
        <v>8</v>
      </c>
      <c r="LO8" s="139">
        <f t="shared" si="132"/>
        <v>0</v>
      </c>
      <c r="LP8" s="136">
        <f>LO8+LN8</f>
        <v>8</v>
      </c>
      <c r="LQ8" s="136"/>
      <c r="LR8" s="136"/>
      <c r="LS8" s="136"/>
      <c r="LT8" s="136"/>
      <c r="LU8" s="136"/>
      <c r="LV8" s="136"/>
      <c r="LW8" s="136"/>
      <c r="LX8" s="136"/>
      <c r="LY8" s="136"/>
      <c r="LZ8" s="136"/>
      <c r="MA8" s="136"/>
      <c r="MB8" s="136"/>
      <c r="MC8" s="136">
        <v>1</v>
      </c>
      <c r="MD8" s="136"/>
      <c r="ME8" s="136"/>
      <c r="MF8" s="136"/>
      <c r="MG8" s="136">
        <f t="shared" si="133"/>
        <v>1</v>
      </c>
      <c r="MH8" s="136">
        <f t="shared" si="133"/>
        <v>0</v>
      </c>
      <c r="MI8" s="136">
        <f>MH8+MG8</f>
        <v>1</v>
      </c>
      <c r="MJ8" s="136"/>
      <c r="MK8" s="136"/>
      <c r="ML8" s="136"/>
      <c r="MM8" s="136"/>
      <c r="MN8" s="136"/>
      <c r="MO8" s="136"/>
      <c r="MP8" s="136"/>
      <c r="MQ8" s="136"/>
      <c r="MR8" s="136"/>
      <c r="MS8" s="136"/>
      <c r="MT8" s="136"/>
      <c r="MU8" s="136"/>
      <c r="MV8" s="136">
        <v>1</v>
      </c>
      <c r="MW8" s="136"/>
      <c r="MX8" s="136"/>
      <c r="MY8" s="136"/>
      <c r="MZ8" s="136">
        <f t="shared" si="134"/>
        <v>1</v>
      </c>
      <c r="NA8" s="136">
        <f t="shared" si="134"/>
        <v>0</v>
      </c>
      <c r="NB8" s="136">
        <f>NA8+MZ8</f>
        <v>1</v>
      </c>
      <c r="NC8" s="136"/>
      <c r="ND8" s="136"/>
      <c r="NE8" s="136"/>
      <c r="NF8" s="136"/>
      <c r="NG8" s="136"/>
      <c r="NH8" s="136"/>
      <c r="NI8" s="136"/>
      <c r="NJ8" s="136"/>
      <c r="NK8" s="136">
        <v>1</v>
      </c>
      <c r="NL8" s="136"/>
      <c r="NM8" s="136"/>
      <c r="NN8" s="136"/>
      <c r="NO8" s="136"/>
      <c r="NP8" s="136"/>
      <c r="NQ8" s="136"/>
      <c r="NR8" s="136"/>
      <c r="NS8" s="136">
        <f t="shared" si="135"/>
        <v>1</v>
      </c>
      <c r="NT8" s="136">
        <f t="shared" si="135"/>
        <v>0</v>
      </c>
      <c r="NU8" s="136">
        <f>NT8+NS8</f>
        <v>1</v>
      </c>
      <c r="NV8" s="136"/>
      <c r="NW8" s="136"/>
      <c r="NX8" s="136"/>
      <c r="NY8" s="136"/>
      <c r="NZ8" s="136"/>
      <c r="OA8" s="136"/>
      <c r="OB8" s="136"/>
      <c r="OC8" s="136"/>
      <c r="OD8" s="136"/>
      <c r="OE8" s="136"/>
      <c r="OF8" s="136"/>
      <c r="OG8" s="136"/>
      <c r="OH8" s="136"/>
      <c r="OI8" s="136"/>
      <c r="OJ8" s="136"/>
      <c r="OK8" s="136"/>
      <c r="OL8" s="136">
        <f t="shared" si="136"/>
        <v>0</v>
      </c>
      <c r="OM8" s="136">
        <f t="shared" si="136"/>
        <v>0</v>
      </c>
      <c r="ON8" s="136">
        <f>OM8+OL8</f>
        <v>0</v>
      </c>
      <c r="OO8" s="136"/>
      <c r="OP8" s="136"/>
      <c r="OQ8" s="136"/>
      <c r="OR8" s="136"/>
      <c r="OS8" s="136"/>
      <c r="OT8" s="136"/>
      <c r="OU8" s="136"/>
      <c r="OV8" s="136"/>
      <c r="OW8" s="136"/>
      <c r="OX8" s="136"/>
      <c r="OY8" s="136"/>
      <c r="OZ8" s="136"/>
      <c r="PA8" s="136"/>
      <c r="PB8" s="136"/>
      <c r="PC8" s="136"/>
      <c r="PD8" s="136"/>
      <c r="PE8" s="136">
        <f t="shared" si="137"/>
        <v>0</v>
      </c>
      <c r="PF8" s="136">
        <f t="shared" si="137"/>
        <v>0</v>
      </c>
      <c r="PG8" s="136">
        <f>PF8+PE8</f>
        <v>0</v>
      </c>
      <c r="PH8" s="136"/>
      <c r="PI8" s="136"/>
      <c r="PJ8" s="136"/>
      <c r="PK8" s="136"/>
      <c r="PL8" s="136"/>
      <c r="PM8" s="136"/>
      <c r="PN8" s="136"/>
      <c r="PO8" s="136"/>
      <c r="PP8" s="136"/>
      <c r="PQ8" s="136"/>
      <c r="PR8" s="136"/>
      <c r="PS8" s="136"/>
      <c r="PT8" s="136"/>
      <c r="PU8" s="136"/>
      <c r="PV8" s="136"/>
      <c r="PW8" s="136"/>
      <c r="PX8" s="136">
        <f t="shared" si="138"/>
        <v>0</v>
      </c>
      <c r="PY8" s="136">
        <f t="shared" si="138"/>
        <v>0</v>
      </c>
      <c r="PZ8" s="136">
        <f>PY8+PX8</f>
        <v>0</v>
      </c>
      <c r="QA8" s="136"/>
      <c r="QB8" s="136"/>
      <c r="QC8" s="136"/>
      <c r="QD8" s="136"/>
      <c r="QE8" s="136"/>
      <c r="QF8" s="136"/>
      <c r="QG8" s="136"/>
      <c r="QH8" s="136"/>
      <c r="QI8" s="136"/>
      <c r="QJ8" s="136"/>
      <c r="QK8" s="136"/>
      <c r="QL8" s="136"/>
      <c r="QM8" s="136"/>
      <c r="QN8" s="136"/>
      <c r="QO8" s="136"/>
      <c r="QP8" s="136"/>
      <c r="QQ8" s="136">
        <f t="shared" si="139"/>
        <v>0</v>
      </c>
      <c r="QR8" s="136">
        <f t="shared" si="139"/>
        <v>0</v>
      </c>
      <c r="QS8" s="136">
        <f>QR8+QQ8</f>
        <v>0</v>
      </c>
      <c r="QT8" s="136"/>
      <c r="QU8" s="136"/>
      <c r="QV8" s="136"/>
      <c r="QW8" s="136"/>
      <c r="QX8" s="136"/>
      <c r="QY8" s="136"/>
      <c r="QZ8" s="136"/>
      <c r="RA8" s="136"/>
      <c r="RB8" s="136"/>
      <c r="RC8" s="136"/>
      <c r="RD8" s="136"/>
      <c r="RE8" s="136"/>
      <c r="RF8" s="136"/>
      <c r="RG8" s="136"/>
      <c r="RH8" s="136"/>
      <c r="RI8" s="136"/>
      <c r="RJ8" s="136">
        <f t="shared" si="140"/>
        <v>0</v>
      </c>
      <c r="RK8" s="136">
        <f t="shared" si="140"/>
        <v>0</v>
      </c>
      <c r="RL8" s="136">
        <f>RK8+RJ8</f>
        <v>0</v>
      </c>
      <c r="RM8" s="136"/>
      <c r="RN8" s="136"/>
      <c r="RO8" s="136"/>
      <c r="RP8" s="136"/>
      <c r="RQ8" s="136"/>
      <c r="RR8" s="136"/>
      <c r="RS8" s="136"/>
      <c r="RT8" s="136"/>
      <c r="RU8" s="136"/>
      <c r="RV8" s="136"/>
      <c r="RW8" s="136"/>
      <c r="RX8" s="136"/>
      <c r="RY8" s="136"/>
      <c r="RZ8" s="136"/>
      <c r="SA8" s="136"/>
      <c r="SB8" s="136"/>
      <c r="SC8" s="136">
        <f t="shared" si="141"/>
        <v>0</v>
      </c>
      <c r="SD8" s="136">
        <f t="shared" si="141"/>
        <v>0</v>
      </c>
      <c r="SE8" s="136">
        <f>SD8+SC8</f>
        <v>0</v>
      </c>
      <c r="SF8" s="136"/>
      <c r="SG8" s="136"/>
      <c r="SH8" s="136"/>
      <c r="SI8" s="136"/>
      <c r="SJ8" s="136"/>
      <c r="SK8" s="136"/>
      <c r="SL8" s="136"/>
      <c r="SM8" s="136"/>
      <c r="SN8" s="136"/>
      <c r="SO8" s="136"/>
      <c r="SP8" s="136"/>
      <c r="SQ8" s="136"/>
      <c r="SR8" s="136"/>
      <c r="SS8" s="136"/>
      <c r="ST8" s="136"/>
      <c r="SU8" s="136"/>
      <c r="SV8" s="136">
        <f t="shared" si="142"/>
        <v>0</v>
      </c>
      <c r="SW8" s="136">
        <f t="shared" si="142"/>
        <v>0</v>
      </c>
      <c r="SX8" s="136">
        <f>SW8+SV8</f>
        <v>0</v>
      </c>
      <c r="SY8" s="136"/>
      <c r="SZ8" s="136"/>
      <c r="TA8" s="136"/>
      <c r="TB8" s="136"/>
      <c r="TC8" s="136"/>
      <c r="TD8" s="136"/>
      <c r="TE8" s="136"/>
      <c r="TF8" s="136"/>
      <c r="TG8" s="136"/>
      <c r="TH8" s="136"/>
      <c r="TI8" s="136"/>
      <c r="TJ8" s="136"/>
      <c r="TK8" s="136"/>
      <c r="TL8" s="136"/>
      <c r="TM8" s="136"/>
      <c r="TN8" s="136"/>
      <c r="TO8" s="136">
        <f t="shared" si="143"/>
        <v>0</v>
      </c>
      <c r="TP8" s="136">
        <f t="shared" si="143"/>
        <v>0</v>
      </c>
      <c r="TQ8" s="136">
        <f>TP8+TO8</f>
        <v>0</v>
      </c>
      <c r="TR8" s="136"/>
      <c r="TS8" s="136"/>
      <c r="TT8" s="136"/>
      <c r="TU8" s="136"/>
      <c r="TV8" s="136"/>
      <c r="TW8" s="136"/>
      <c r="TX8" s="136"/>
      <c r="TY8" s="136"/>
      <c r="TZ8" s="136"/>
      <c r="UA8" s="136"/>
      <c r="UB8" s="136"/>
      <c r="UC8" s="136"/>
      <c r="UD8" s="136"/>
      <c r="UE8" s="136"/>
      <c r="UF8" s="136"/>
      <c r="UG8" s="136"/>
      <c r="UH8" s="136">
        <f t="shared" si="144"/>
        <v>0</v>
      </c>
      <c r="UI8" s="136">
        <f t="shared" si="144"/>
        <v>0</v>
      </c>
      <c r="UJ8" s="136">
        <f>UI8+UH8</f>
        <v>0</v>
      </c>
      <c r="UK8" s="136"/>
      <c r="UL8" s="136"/>
      <c r="UM8" s="136"/>
      <c r="UN8" s="136"/>
      <c r="UO8" s="136"/>
      <c r="UP8" s="136"/>
      <c r="UQ8" s="136"/>
      <c r="UR8" s="136"/>
      <c r="US8" s="136"/>
      <c r="UT8" s="136"/>
      <c r="UU8" s="136"/>
      <c r="UV8" s="136"/>
      <c r="UW8" s="136"/>
      <c r="UX8" s="136"/>
      <c r="UY8" s="136"/>
      <c r="UZ8" s="136"/>
      <c r="VA8" s="136">
        <f t="shared" si="145"/>
        <v>0</v>
      </c>
      <c r="VB8" s="136">
        <f t="shared" si="145"/>
        <v>0</v>
      </c>
      <c r="VC8" s="136">
        <f>VB8+VA8</f>
        <v>0</v>
      </c>
      <c r="VD8" s="136"/>
      <c r="VE8" s="136"/>
      <c r="VF8" s="136"/>
      <c r="VG8" s="136"/>
      <c r="VH8" s="136"/>
      <c r="VI8" s="136"/>
      <c r="VJ8" s="136"/>
      <c r="VK8" s="136"/>
      <c r="VL8" s="136"/>
      <c r="VM8" s="136"/>
      <c r="VN8" s="136"/>
      <c r="VO8" s="136"/>
      <c r="VP8" s="136"/>
      <c r="VQ8" s="136"/>
      <c r="VR8" s="136"/>
      <c r="VS8" s="136"/>
      <c r="VT8" s="136">
        <f t="shared" si="146"/>
        <v>0</v>
      </c>
      <c r="VU8" s="136">
        <f t="shared" si="146"/>
        <v>0</v>
      </c>
      <c r="VV8" s="136">
        <f>VU8+VT8</f>
        <v>0</v>
      </c>
      <c r="VW8" s="136"/>
      <c r="VX8" s="136"/>
      <c r="VY8" s="136"/>
      <c r="VZ8" s="136"/>
      <c r="WA8" s="136"/>
      <c r="WB8" s="136"/>
      <c r="WC8" s="136">
        <v>5</v>
      </c>
      <c r="WD8" s="136"/>
      <c r="WE8" s="136"/>
      <c r="WF8" s="136"/>
      <c r="WG8" s="136"/>
      <c r="WH8" s="136"/>
      <c r="WI8" s="136"/>
      <c r="WJ8" s="136"/>
      <c r="WK8" s="136"/>
      <c r="WL8" s="136"/>
      <c r="WM8" s="136">
        <f t="shared" si="147"/>
        <v>5</v>
      </c>
      <c r="WN8" s="136">
        <f t="shared" si="147"/>
        <v>0</v>
      </c>
      <c r="WO8" s="136">
        <f>WN8+WM8</f>
        <v>5</v>
      </c>
      <c r="WP8" s="136"/>
      <c r="WQ8" s="136"/>
      <c r="WR8" s="136"/>
      <c r="WS8" s="136"/>
      <c r="WT8" s="136"/>
      <c r="WU8" s="136"/>
      <c r="WV8" s="136"/>
      <c r="WW8" s="136"/>
      <c r="WX8" s="136"/>
      <c r="WY8" s="136"/>
      <c r="WZ8" s="136"/>
      <c r="XA8" s="136"/>
      <c r="XB8" s="136"/>
      <c r="XC8" s="136"/>
      <c r="XD8" s="136"/>
      <c r="XE8" s="136"/>
      <c r="XF8" s="136">
        <f t="shared" si="148"/>
        <v>0</v>
      </c>
      <c r="XG8" s="136">
        <f t="shared" si="148"/>
        <v>0</v>
      </c>
      <c r="XH8" s="136">
        <f>XG8+XF8</f>
        <v>0</v>
      </c>
      <c r="XI8" s="136"/>
      <c r="XJ8" s="136"/>
      <c r="XK8" s="136"/>
      <c r="XL8" s="136"/>
      <c r="XM8" s="136"/>
      <c r="XN8" s="136"/>
      <c r="XO8" s="136"/>
      <c r="XP8" s="136"/>
      <c r="XQ8" s="136"/>
      <c r="XR8" s="136"/>
      <c r="XS8" s="136"/>
      <c r="XT8" s="136"/>
      <c r="XU8" s="136"/>
      <c r="XV8" s="136"/>
      <c r="XW8" s="136"/>
      <c r="XX8" s="136"/>
      <c r="XY8" s="136">
        <f t="shared" si="149"/>
        <v>0</v>
      </c>
      <c r="XZ8" s="136">
        <f t="shared" si="149"/>
        <v>0</v>
      </c>
      <c r="YA8" s="136">
        <f>XZ8+XY8</f>
        <v>0</v>
      </c>
      <c r="YB8" s="136"/>
      <c r="YC8" s="136"/>
      <c r="YD8" s="136"/>
      <c r="YE8" s="136"/>
      <c r="YF8" s="136"/>
      <c r="YG8" s="136"/>
      <c r="YH8" s="136"/>
      <c r="YI8" s="136"/>
      <c r="YJ8" s="136"/>
      <c r="YK8" s="136"/>
      <c r="YL8" s="136"/>
      <c r="YM8" s="136"/>
      <c r="YN8" s="136"/>
      <c r="YO8" s="136"/>
      <c r="YP8" s="136"/>
      <c r="YQ8" s="136"/>
      <c r="YR8" s="136">
        <f t="shared" si="150"/>
        <v>0</v>
      </c>
      <c r="YS8" s="136">
        <f t="shared" si="150"/>
        <v>0</v>
      </c>
      <c r="YT8" s="136">
        <f>YS8+YR8</f>
        <v>0</v>
      </c>
      <c r="YU8" s="136"/>
      <c r="YV8" s="136"/>
      <c r="YW8" s="136"/>
      <c r="YX8" s="136"/>
      <c r="YY8" s="136"/>
      <c r="YZ8" s="136"/>
      <c r="ZA8" s="136"/>
      <c r="ZB8" s="136"/>
      <c r="ZC8" s="136"/>
      <c r="ZD8" s="136"/>
      <c r="ZE8" s="136"/>
      <c r="ZF8" s="136"/>
      <c r="ZG8" s="136"/>
      <c r="ZH8" s="136"/>
      <c r="ZI8" s="136"/>
      <c r="ZJ8" s="136"/>
      <c r="ZK8" s="136">
        <f t="shared" si="151"/>
        <v>0</v>
      </c>
      <c r="ZL8" s="136">
        <f t="shared" si="151"/>
        <v>0</v>
      </c>
      <c r="ZM8" s="136">
        <f>ZL8+ZK8</f>
        <v>0</v>
      </c>
      <c r="ZN8" s="136"/>
      <c r="ZO8" s="136"/>
      <c r="ZP8" s="136"/>
      <c r="ZQ8" s="136"/>
      <c r="ZR8" s="136"/>
      <c r="ZS8" s="136"/>
      <c r="ZT8" s="136"/>
      <c r="ZU8" s="136"/>
      <c r="ZV8" s="136"/>
      <c r="ZW8" s="136"/>
      <c r="ZX8" s="136"/>
      <c r="ZY8" s="136"/>
      <c r="ZZ8" s="136"/>
      <c r="AAA8" s="136"/>
      <c r="AAB8" s="136"/>
      <c r="AAC8" s="136"/>
      <c r="AAD8" s="136">
        <f t="shared" si="152"/>
        <v>0</v>
      </c>
      <c r="AAE8" s="136">
        <f t="shared" si="152"/>
        <v>0</v>
      </c>
      <c r="AAF8" s="136">
        <f>AAE8+AAD8</f>
        <v>0</v>
      </c>
      <c r="AAG8" s="136"/>
      <c r="AAH8" s="136"/>
      <c r="AAI8" s="136"/>
      <c r="AAJ8" s="136"/>
      <c r="AAK8" s="136"/>
      <c r="AAL8" s="136"/>
      <c r="AAM8" s="136"/>
      <c r="AAN8" s="136"/>
      <c r="AAO8" s="136"/>
      <c r="AAP8" s="136"/>
      <c r="AAQ8" s="136"/>
      <c r="AAR8" s="136"/>
      <c r="AAS8" s="136"/>
      <c r="AAT8" s="136"/>
      <c r="AAU8" s="136"/>
      <c r="AAV8" s="136"/>
      <c r="AAW8" s="136">
        <f t="shared" si="153"/>
        <v>0</v>
      </c>
      <c r="AAX8" s="136">
        <f t="shared" si="153"/>
        <v>0</v>
      </c>
      <c r="AAY8" s="136">
        <f>AAX8+AAW8</f>
        <v>0</v>
      </c>
      <c r="AAZ8" s="136"/>
      <c r="ABA8" s="136"/>
      <c r="ABB8" s="136"/>
      <c r="ABC8" s="136"/>
      <c r="ABD8" s="136"/>
      <c r="ABE8" s="136"/>
      <c r="ABF8" s="136"/>
      <c r="ABG8" s="136"/>
      <c r="ABH8" s="136"/>
      <c r="ABI8" s="136"/>
      <c r="ABJ8" s="136"/>
      <c r="ABK8" s="136"/>
      <c r="ABL8" s="136"/>
      <c r="ABM8" s="136"/>
      <c r="ABN8" s="136"/>
      <c r="ABO8" s="136"/>
      <c r="ABP8" s="136">
        <f t="shared" si="154"/>
        <v>0</v>
      </c>
      <c r="ABQ8" s="136">
        <f t="shared" si="154"/>
        <v>0</v>
      </c>
      <c r="ABR8" s="136">
        <f>ABQ8+ABP8</f>
        <v>0</v>
      </c>
      <c r="ABS8" s="136"/>
      <c r="ABT8" s="136"/>
      <c r="ABU8" s="136"/>
      <c r="ABV8" s="136"/>
      <c r="ABW8" s="136"/>
      <c r="ABX8" s="136"/>
      <c r="ABY8" s="136"/>
      <c r="ABZ8" s="136"/>
      <c r="ACA8" s="136"/>
      <c r="ACB8" s="136"/>
      <c r="ACC8" s="136"/>
      <c r="ACD8" s="136"/>
      <c r="ACE8" s="136"/>
      <c r="ACF8" s="136"/>
      <c r="ACG8" s="136"/>
      <c r="ACH8" s="136"/>
      <c r="ACI8" s="136">
        <f t="shared" si="155"/>
        <v>0</v>
      </c>
      <c r="ACJ8" s="136">
        <f t="shared" si="155"/>
        <v>0</v>
      </c>
      <c r="ACK8" s="136">
        <f>ACJ8+ACI8</f>
        <v>0</v>
      </c>
      <c r="ACL8" s="136"/>
      <c r="ACM8" s="136"/>
      <c r="ACN8" s="136"/>
      <c r="ACO8" s="136"/>
      <c r="ACP8" s="136"/>
      <c r="ACQ8" s="136"/>
      <c r="ACR8" s="136"/>
      <c r="ACS8" s="136"/>
      <c r="ACT8" s="136"/>
      <c r="ACU8" s="136"/>
      <c r="ACV8" s="136"/>
      <c r="ACW8" s="136"/>
      <c r="ACX8" s="136"/>
      <c r="ACY8" s="136"/>
      <c r="ACZ8" s="136"/>
      <c r="ADA8" s="136"/>
      <c r="ADB8" s="136">
        <f t="shared" si="156"/>
        <v>0</v>
      </c>
      <c r="ADC8" s="136">
        <f t="shared" si="156"/>
        <v>0</v>
      </c>
      <c r="ADD8" s="136">
        <f>ADC8+ADB8</f>
        <v>0</v>
      </c>
      <c r="ADE8" s="136"/>
      <c r="ADF8" s="136"/>
      <c r="ADG8" s="136"/>
      <c r="ADH8" s="136"/>
      <c r="ADI8" s="136"/>
      <c r="ADJ8" s="136"/>
      <c r="ADK8" s="136"/>
      <c r="ADL8" s="136"/>
      <c r="ADM8" s="136"/>
      <c r="ADN8" s="136"/>
      <c r="ADO8" s="136"/>
      <c r="ADP8" s="136"/>
      <c r="ADQ8" s="136"/>
      <c r="ADR8" s="136"/>
      <c r="ADS8" s="136"/>
      <c r="ADT8" s="136"/>
      <c r="ADU8" s="136">
        <f t="shared" si="157"/>
        <v>0</v>
      </c>
      <c r="ADV8" s="136">
        <f t="shared" si="157"/>
        <v>0</v>
      </c>
      <c r="ADW8" s="136">
        <f>ADV8+ADU8</f>
        <v>0</v>
      </c>
      <c r="ADX8" s="136"/>
      <c r="ADY8" s="136"/>
      <c r="ADZ8" s="136"/>
      <c r="AEA8" s="136"/>
      <c r="AEB8" s="136"/>
      <c r="AEC8" s="136"/>
      <c r="AED8" s="136"/>
      <c r="AEE8" s="136"/>
      <c r="AEF8" s="136"/>
      <c r="AEG8" s="136"/>
      <c r="AEH8" s="136"/>
      <c r="AEI8" s="136"/>
      <c r="AEJ8" s="136"/>
      <c r="AEK8" s="136"/>
      <c r="AEL8" s="136"/>
      <c r="AEM8" s="136"/>
      <c r="AEN8" s="136">
        <f t="shared" si="158"/>
        <v>0</v>
      </c>
      <c r="AEO8" s="136">
        <f t="shared" si="158"/>
        <v>0</v>
      </c>
      <c r="AEP8" s="136">
        <f>AEO8+AEN8</f>
        <v>0</v>
      </c>
      <c r="AEQ8" s="136"/>
      <c r="AER8" s="136"/>
      <c r="AES8" s="136"/>
      <c r="AET8" s="136"/>
      <c r="AEU8" s="136"/>
      <c r="AEV8" s="136"/>
      <c r="AEW8" s="136"/>
      <c r="AEX8" s="136"/>
      <c r="AEY8" s="136"/>
      <c r="AEZ8" s="136"/>
      <c r="AFA8" s="136"/>
      <c r="AFB8" s="136"/>
      <c r="AFC8" s="136"/>
      <c r="AFD8" s="136"/>
      <c r="AFE8" s="136"/>
      <c r="AFF8" s="136"/>
      <c r="AFG8" s="136">
        <f t="shared" si="159"/>
        <v>0</v>
      </c>
      <c r="AFH8" s="136">
        <f t="shared" si="159"/>
        <v>0</v>
      </c>
      <c r="AFI8" s="136">
        <f>AFH8+AFG8</f>
        <v>0</v>
      </c>
      <c r="AFJ8" s="136"/>
      <c r="AFK8" s="136"/>
      <c r="AFL8" s="136"/>
      <c r="AFM8" s="136"/>
      <c r="AFN8" s="136"/>
      <c r="AFO8" s="136"/>
      <c r="AFP8" s="136"/>
      <c r="AFQ8" s="136"/>
      <c r="AFR8" s="136"/>
      <c r="AFS8" s="136"/>
      <c r="AFT8" s="136"/>
      <c r="AFU8" s="136"/>
      <c r="AFV8" s="136"/>
      <c r="AFW8" s="136"/>
      <c r="AFX8" s="136"/>
      <c r="AFY8" s="136"/>
      <c r="AFZ8" s="136">
        <f t="shared" si="160"/>
        <v>0</v>
      </c>
      <c r="AGA8" s="136">
        <f t="shared" si="160"/>
        <v>0</v>
      </c>
      <c r="AGB8" s="136">
        <f>AGA8+AFZ8</f>
        <v>0</v>
      </c>
      <c r="AGC8" s="136"/>
      <c r="AGD8" s="136"/>
      <c r="AGE8" s="136"/>
      <c r="AGF8" s="136"/>
      <c r="AGG8" s="136"/>
      <c r="AGH8" s="136"/>
      <c r="AGI8" s="136"/>
      <c r="AGJ8" s="136"/>
      <c r="AGK8" s="136"/>
      <c r="AGL8" s="136"/>
      <c r="AGM8" s="136"/>
      <c r="AGN8" s="136"/>
      <c r="AGO8" s="136"/>
      <c r="AGP8" s="136"/>
      <c r="AGQ8" s="136"/>
      <c r="AGR8" s="136"/>
      <c r="AGS8" s="136">
        <f t="shared" si="161"/>
        <v>0</v>
      </c>
      <c r="AGT8" s="136">
        <f t="shared" si="161"/>
        <v>0</v>
      </c>
      <c r="AGU8" s="136">
        <f>AGT8+AGS8</f>
        <v>0</v>
      </c>
      <c r="AGV8" s="136"/>
      <c r="AGW8" s="136"/>
      <c r="AGX8" s="136"/>
      <c r="AGY8" s="136"/>
      <c r="AGZ8" s="136"/>
      <c r="AHA8" s="136"/>
      <c r="AHB8" s="136"/>
      <c r="AHC8" s="136"/>
      <c r="AHD8" s="136"/>
      <c r="AHE8" s="136"/>
      <c r="AHF8" s="136"/>
      <c r="AHG8" s="136"/>
      <c r="AHH8" s="136"/>
      <c r="AHI8" s="136"/>
      <c r="AHJ8" s="136"/>
      <c r="AHK8" s="136"/>
      <c r="AHL8" s="136">
        <f t="shared" si="162"/>
        <v>0</v>
      </c>
      <c r="AHM8" s="136">
        <f t="shared" si="162"/>
        <v>0</v>
      </c>
      <c r="AHN8" s="136">
        <f>AHM8+AHL8</f>
        <v>0</v>
      </c>
      <c r="AHO8" s="136"/>
      <c r="AHP8" s="136"/>
      <c r="AHQ8" s="136"/>
      <c r="AHR8" s="136"/>
      <c r="AHS8" s="136"/>
      <c r="AHT8" s="136"/>
      <c r="AHU8" s="136"/>
      <c r="AHV8" s="136"/>
      <c r="AHW8" s="136"/>
      <c r="AHX8" s="136"/>
      <c r="AHY8" s="136"/>
      <c r="AHZ8" s="136"/>
      <c r="AIA8" s="136"/>
      <c r="AIB8" s="136"/>
      <c r="AIC8" s="136"/>
      <c r="AID8" s="136"/>
      <c r="AIE8" s="136">
        <f t="shared" ref="AIE8:AIE9" si="166">AIC8+AIA8+AHY8+AHW8+AHU8+AHS8+AHQ8+AHO8</f>
        <v>0</v>
      </c>
      <c r="AIF8" s="136">
        <f t="shared" ref="AIF8:AIF9" si="167">AID8+AIB8+AHZ8+AHX8+AHV8+AHT8+AHR8+AHP8</f>
        <v>0</v>
      </c>
      <c r="AIG8" s="136">
        <f t="shared" ref="AIG8:AIG9" si="168">AIF8+AIE8</f>
        <v>0</v>
      </c>
      <c r="AIH8" s="136"/>
      <c r="AII8" s="136"/>
      <c r="AIJ8" s="136"/>
      <c r="AIK8" s="136"/>
      <c r="AIL8" s="136"/>
      <c r="AIM8" s="136"/>
      <c r="AIN8" s="136"/>
      <c r="AIO8" s="136"/>
      <c r="AIP8" s="136"/>
      <c r="AIQ8" s="136"/>
      <c r="AIR8" s="136"/>
      <c r="AIS8" s="136"/>
      <c r="AIT8" s="136"/>
      <c r="AIU8" s="136"/>
      <c r="AIV8" s="136"/>
      <c r="AIW8" s="136"/>
      <c r="AIX8" s="136">
        <f t="shared" si="163"/>
        <v>0</v>
      </c>
      <c r="AIY8" s="136">
        <f t="shared" si="163"/>
        <v>0</v>
      </c>
      <c r="AIZ8" s="136">
        <f>AIY8+AIX8</f>
        <v>0</v>
      </c>
      <c r="AJA8" s="136">
        <f>AIH8+AGV8+AGC8+AFJ8+AEQ8+ADX8+ADE8+ACL8+ABS8+AAZ8+AAG8+ZN8+YU8+YB8+XI8+WP8+VW8+VD8+UK8+TR8+SY8+SF8+RM8+QT8+QA8+PH8+OO8+NV8+NC8+MJ8+LQ8+AHO8</f>
        <v>0</v>
      </c>
      <c r="AJB8" s="136">
        <f t="shared" si="164"/>
        <v>0</v>
      </c>
      <c r="AJC8" s="136">
        <f t="shared" si="164"/>
        <v>0</v>
      </c>
      <c r="AJD8" s="136">
        <f t="shared" si="164"/>
        <v>0</v>
      </c>
      <c r="AJE8" s="136">
        <f t="shared" si="164"/>
        <v>0</v>
      </c>
      <c r="AJF8" s="136">
        <f t="shared" si="164"/>
        <v>0</v>
      </c>
      <c r="AJG8" s="136">
        <f t="shared" si="164"/>
        <v>5</v>
      </c>
      <c r="AJH8" s="136">
        <f t="shared" si="164"/>
        <v>0</v>
      </c>
      <c r="AJI8" s="136">
        <f t="shared" si="164"/>
        <v>1</v>
      </c>
      <c r="AJJ8" s="136">
        <f t="shared" si="164"/>
        <v>0</v>
      </c>
      <c r="AJK8" s="136">
        <f t="shared" si="164"/>
        <v>0</v>
      </c>
      <c r="AJL8" s="136">
        <f t="shared" si="164"/>
        <v>0</v>
      </c>
      <c r="AJM8" s="136">
        <f t="shared" si="164"/>
        <v>2</v>
      </c>
      <c r="AJN8" s="136">
        <f t="shared" si="164"/>
        <v>0</v>
      </c>
      <c r="AJO8" s="136">
        <f t="shared" si="164"/>
        <v>0</v>
      </c>
      <c r="AJP8" s="136">
        <f t="shared" si="164"/>
        <v>0</v>
      </c>
      <c r="AJQ8" s="136">
        <f t="shared" si="104"/>
        <v>8</v>
      </c>
      <c r="AJR8" s="136">
        <f t="shared" si="104"/>
        <v>0</v>
      </c>
      <c r="AJS8" s="136">
        <f>AJR8+AJQ8</f>
        <v>8</v>
      </c>
      <c r="AJT8" s="136">
        <v>1</v>
      </c>
      <c r="AJU8" s="136"/>
      <c r="AJV8" s="136">
        <v>2</v>
      </c>
      <c r="AJW8" s="136"/>
      <c r="AJX8" s="136">
        <v>2</v>
      </c>
      <c r="AJY8" s="136"/>
      <c r="AJZ8" s="136">
        <v>3</v>
      </c>
      <c r="AKA8" s="136"/>
      <c r="AKB8" s="136">
        <f t="shared" si="106"/>
        <v>8</v>
      </c>
      <c r="AKC8" s="136">
        <f t="shared" si="106"/>
        <v>0</v>
      </c>
      <c r="AKD8" s="136">
        <f>AKC8+AKB8</f>
        <v>8</v>
      </c>
      <c r="AKE8" s="136"/>
      <c r="AKF8" s="136"/>
      <c r="AKG8" s="136">
        <v>3</v>
      </c>
      <c r="AKH8" s="136"/>
      <c r="AKI8" s="136">
        <v>1</v>
      </c>
      <c r="AKJ8" s="136"/>
      <c r="AKK8" s="136">
        <v>4</v>
      </c>
      <c r="AKL8" s="136"/>
      <c r="AKM8" s="136"/>
      <c r="AKN8" s="136"/>
      <c r="AKO8" s="136">
        <f t="shared" si="107"/>
        <v>8</v>
      </c>
      <c r="AKP8" s="136">
        <f t="shared" si="107"/>
        <v>0</v>
      </c>
      <c r="AKQ8" s="136">
        <f>AKP8+AKO8</f>
        <v>8</v>
      </c>
      <c r="AKR8" s="136"/>
      <c r="AKS8" s="136"/>
      <c r="AKT8" s="136">
        <v>8</v>
      </c>
      <c r="AKU8" s="136"/>
      <c r="AKV8" s="136"/>
      <c r="AKW8" s="136"/>
      <c r="AKX8" s="136"/>
      <c r="AKY8" s="136"/>
      <c r="AKZ8" s="136">
        <f t="shared" si="108"/>
        <v>8</v>
      </c>
      <c r="ALA8" s="136">
        <f t="shared" si="108"/>
        <v>0</v>
      </c>
      <c r="ALB8" s="136">
        <f>SUM(AKZ8:ALA8)</f>
        <v>8</v>
      </c>
      <c r="ALC8" s="136">
        <v>1</v>
      </c>
      <c r="ALD8" s="136"/>
      <c r="ALE8" s="135">
        <v>1</v>
      </c>
      <c r="ALF8" s="135"/>
      <c r="ALG8" s="135">
        <v>2014</v>
      </c>
      <c r="ALH8" s="135"/>
      <c r="ALI8" s="135"/>
      <c r="ALJ8" s="135">
        <v>1</v>
      </c>
      <c r="ALK8" s="135"/>
      <c r="ALL8" s="135"/>
      <c r="ALM8" s="135">
        <v>1</v>
      </c>
      <c r="ALN8" s="135"/>
      <c r="ALO8" s="135"/>
      <c r="ALP8" s="135">
        <v>1</v>
      </c>
      <c r="ALQ8" s="135"/>
      <c r="ALR8" s="135">
        <v>18</v>
      </c>
      <c r="ALS8" s="135">
        <v>12</v>
      </c>
      <c r="ALT8" s="135"/>
      <c r="ALU8" s="135"/>
      <c r="ALV8" s="135"/>
      <c r="ALW8" s="135"/>
      <c r="ALX8" s="135">
        <v>1</v>
      </c>
      <c r="ALY8" s="135"/>
      <c r="ALZ8" s="135">
        <v>1</v>
      </c>
      <c r="AMA8" s="135"/>
      <c r="AMB8" s="135"/>
      <c r="AMC8" s="135"/>
      <c r="AMD8" s="135"/>
      <c r="AME8" s="135"/>
      <c r="AMF8" s="135">
        <v>1</v>
      </c>
      <c r="AMG8" s="135"/>
      <c r="AMH8" s="135"/>
      <c r="AMI8" s="135">
        <v>1</v>
      </c>
      <c r="AMJ8" s="135">
        <v>1</v>
      </c>
      <c r="AMK8" s="135"/>
      <c r="AML8" s="135">
        <v>1</v>
      </c>
      <c r="AMM8" s="135"/>
      <c r="AMN8" s="135"/>
      <c r="AMO8" s="135">
        <v>1</v>
      </c>
      <c r="AMP8" s="135">
        <v>1</v>
      </c>
      <c r="AMQ8" s="135"/>
      <c r="AMR8" s="135">
        <v>1</v>
      </c>
      <c r="AMS8" s="135"/>
      <c r="AMT8" s="135"/>
      <c r="AMU8" s="135"/>
      <c r="AMV8" s="135"/>
      <c r="AMW8" s="135">
        <v>1</v>
      </c>
      <c r="AMX8" s="135"/>
      <c r="AMY8" s="135">
        <v>1</v>
      </c>
      <c r="AMZ8" s="135"/>
      <c r="ANA8" s="135"/>
      <c r="ANB8" s="135">
        <v>1</v>
      </c>
      <c r="ANC8" s="135"/>
      <c r="AND8" s="135">
        <v>1</v>
      </c>
      <c r="ANE8" s="135"/>
      <c r="ANF8" s="135"/>
      <c r="ANG8" s="135"/>
      <c r="ANH8" s="135"/>
      <c r="ANI8" s="135">
        <v>1</v>
      </c>
      <c r="ANJ8" s="135"/>
      <c r="ANK8" s="135">
        <v>1</v>
      </c>
      <c r="ANL8" s="135"/>
      <c r="ANM8" s="135"/>
      <c r="ANN8" s="135">
        <v>1</v>
      </c>
      <c r="ANO8" s="135"/>
      <c r="ANP8" s="135">
        <v>1</v>
      </c>
      <c r="ANQ8" s="135"/>
      <c r="ANR8" s="135"/>
      <c r="ANS8" s="135"/>
      <c r="ANT8" s="135">
        <v>1</v>
      </c>
      <c r="ANU8" s="135"/>
      <c r="ANV8" s="136"/>
      <c r="ANW8" s="136"/>
      <c r="ANX8" s="136"/>
      <c r="ANY8" s="136"/>
      <c r="ANZ8" s="136">
        <v>150</v>
      </c>
      <c r="AOA8" s="136"/>
      <c r="AOB8" s="136"/>
      <c r="AOC8" s="136"/>
      <c r="AOD8" s="136">
        <v>10</v>
      </c>
      <c r="AOE8" s="136"/>
      <c r="AOF8" s="135"/>
      <c r="AOG8" s="135"/>
      <c r="AOH8" s="135">
        <v>2</v>
      </c>
      <c r="AOI8" s="135"/>
      <c r="AOJ8" s="135"/>
      <c r="AOK8" s="135"/>
      <c r="AOL8" s="135"/>
      <c r="AOM8" s="135">
        <v>1</v>
      </c>
      <c r="AON8" s="135"/>
      <c r="AOO8" s="135"/>
      <c r="AOP8" s="135"/>
      <c r="AOQ8" s="135"/>
      <c r="AOR8" s="135"/>
      <c r="AOS8" s="135"/>
      <c r="AOT8" s="135"/>
      <c r="AOU8" s="135"/>
      <c r="AOV8" s="135"/>
      <c r="AOW8" s="135"/>
      <c r="AOX8" s="135"/>
      <c r="AOY8" s="135">
        <f>AOX8+AOW8</f>
        <v>0</v>
      </c>
      <c r="AOZ8" s="135"/>
      <c r="APA8" s="135">
        <v>1</v>
      </c>
      <c r="APB8" s="135"/>
      <c r="APC8" s="135"/>
      <c r="APD8" s="135"/>
      <c r="APE8" s="135"/>
      <c r="APF8" s="135"/>
      <c r="APG8" s="135"/>
      <c r="APH8" s="135"/>
      <c r="API8" s="135"/>
      <c r="APJ8" s="135"/>
      <c r="APK8" s="135"/>
      <c r="APL8" s="135"/>
      <c r="APM8" s="135"/>
      <c r="APN8" s="135"/>
      <c r="APO8" s="135"/>
      <c r="APP8" s="135" t="s">
        <v>451</v>
      </c>
      <c r="APQ8" s="135">
        <v>7813968478</v>
      </c>
    </row>
    <row r="9" spans="1:1110" s="140" customFormat="1" ht="34.5" customHeight="1">
      <c r="A9" s="138" t="s">
        <v>117</v>
      </c>
      <c r="B9" s="138" t="s">
        <v>118</v>
      </c>
      <c r="C9" s="138">
        <v>4</v>
      </c>
      <c r="D9" s="138"/>
      <c r="E9" s="138" t="s">
        <v>428</v>
      </c>
      <c r="F9" s="139"/>
      <c r="G9" s="139">
        <v>1</v>
      </c>
      <c r="H9" s="139"/>
      <c r="I9" s="139">
        <v>1</v>
      </c>
      <c r="J9" s="139"/>
      <c r="K9" s="139"/>
      <c r="L9" s="139"/>
      <c r="M9" s="139"/>
      <c r="N9" s="139">
        <v>1</v>
      </c>
      <c r="O9" s="139"/>
      <c r="P9" s="139">
        <v>1</v>
      </c>
      <c r="Q9" s="139"/>
      <c r="R9" s="139"/>
      <c r="S9" s="139">
        <v>1</v>
      </c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>
        <v>278</v>
      </c>
      <c r="AP9" s="139">
        <f t="shared" si="111"/>
        <v>0</v>
      </c>
      <c r="AQ9" s="139">
        <f t="shared" si="111"/>
        <v>278</v>
      </c>
      <c r="AR9" s="139">
        <f>AQ9+AP9</f>
        <v>278</v>
      </c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>
        <v>278</v>
      </c>
      <c r="BK9" s="139">
        <f t="shared" si="112"/>
        <v>0</v>
      </c>
      <c r="BL9" s="139">
        <f t="shared" si="112"/>
        <v>278</v>
      </c>
      <c r="BM9" s="139">
        <f>BL9+BK9</f>
        <v>278</v>
      </c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>
        <v>230</v>
      </c>
      <c r="CD9" s="139">
        <f t="shared" si="113"/>
        <v>0</v>
      </c>
      <c r="CE9" s="139">
        <f t="shared" si="113"/>
        <v>230</v>
      </c>
      <c r="CF9" s="139">
        <f>CE9+CD9</f>
        <v>230</v>
      </c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>
        <v>188</v>
      </c>
      <c r="CU9" s="139">
        <f t="shared" si="114"/>
        <v>0</v>
      </c>
      <c r="CV9" s="139">
        <f t="shared" si="114"/>
        <v>188</v>
      </c>
      <c r="CW9" s="139">
        <f>CV9+CU9</f>
        <v>188</v>
      </c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>
        <f t="shared" si="115"/>
        <v>0</v>
      </c>
      <c r="DK9" s="139">
        <f t="shared" si="115"/>
        <v>0</v>
      </c>
      <c r="DL9" s="139">
        <f>DK9+DJ9</f>
        <v>0</v>
      </c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>
        <f t="shared" si="116"/>
        <v>0</v>
      </c>
      <c r="DX9" s="139">
        <f t="shared" si="116"/>
        <v>0</v>
      </c>
      <c r="DY9" s="139">
        <f>DX9+DW9</f>
        <v>0</v>
      </c>
      <c r="DZ9" s="139">
        <f t="shared" si="117"/>
        <v>0</v>
      </c>
      <c r="EA9" s="139">
        <f t="shared" si="117"/>
        <v>0</v>
      </c>
      <c r="EB9" s="139">
        <f t="shared" si="118"/>
        <v>0</v>
      </c>
      <c r="EC9" s="139">
        <f t="shared" si="118"/>
        <v>0</v>
      </c>
      <c r="ED9" s="139">
        <f t="shared" si="119"/>
        <v>0</v>
      </c>
      <c r="EE9" s="139">
        <f t="shared" si="119"/>
        <v>0</v>
      </c>
      <c r="EF9" s="139">
        <f t="shared" si="120"/>
        <v>0</v>
      </c>
      <c r="EG9" s="139">
        <f t="shared" si="120"/>
        <v>0</v>
      </c>
      <c r="EH9" s="139">
        <f t="shared" si="165"/>
        <v>0</v>
      </c>
      <c r="EI9" s="139">
        <f t="shared" si="165"/>
        <v>0</v>
      </c>
      <c r="EJ9" s="139">
        <f t="shared" si="165"/>
        <v>0</v>
      </c>
      <c r="EK9" s="139">
        <f t="shared" si="165"/>
        <v>0</v>
      </c>
      <c r="EL9" s="139">
        <f t="shared" si="165"/>
        <v>0</v>
      </c>
      <c r="EM9" s="139">
        <f t="shared" si="165"/>
        <v>0</v>
      </c>
      <c r="EN9" s="139">
        <f t="shared" si="165"/>
        <v>0</v>
      </c>
      <c r="EO9" s="139">
        <f t="shared" si="165"/>
        <v>0</v>
      </c>
      <c r="EP9" s="139">
        <f t="shared" si="165"/>
        <v>0</v>
      </c>
      <c r="EQ9" s="139">
        <f t="shared" si="165"/>
        <v>696</v>
      </c>
      <c r="ER9" s="139">
        <f t="shared" si="122"/>
        <v>0</v>
      </c>
      <c r="ES9" s="139">
        <f t="shared" si="122"/>
        <v>696</v>
      </c>
      <c r="ET9" s="139">
        <f>ES9+ER9</f>
        <v>696</v>
      </c>
      <c r="EU9" s="139"/>
      <c r="EV9" s="139"/>
      <c r="EW9" s="139"/>
      <c r="EX9" s="139">
        <v>222</v>
      </c>
      <c r="EY9" s="139"/>
      <c r="EZ9" s="139">
        <v>227</v>
      </c>
      <c r="FA9" s="139"/>
      <c r="FB9" s="139"/>
      <c r="FC9" s="139"/>
      <c r="FD9" s="139"/>
      <c r="FE9" s="139"/>
      <c r="FF9" s="139">
        <v>247</v>
      </c>
      <c r="FG9" s="139">
        <f t="shared" si="21"/>
        <v>0</v>
      </c>
      <c r="FH9" s="139">
        <f t="shared" si="21"/>
        <v>696</v>
      </c>
      <c r="FI9" s="139">
        <f>FH9+FG9</f>
        <v>696</v>
      </c>
      <c r="FJ9" s="139"/>
      <c r="FK9" s="139">
        <v>6</v>
      </c>
      <c r="FL9" s="139"/>
      <c r="FM9" s="139"/>
      <c r="FN9" s="139">
        <v>6</v>
      </c>
      <c r="FO9" s="139"/>
      <c r="FP9" s="139"/>
      <c r="FQ9" s="139">
        <v>6</v>
      </c>
      <c r="FR9" s="139"/>
      <c r="FS9" s="139"/>
      <c r="FT9" s="139"/>
      <c r="FU9" s="139"/>
      <c r="FV9" s="139"/>
      <c r="FW9" s="139"/>
      <c r="FX9" s="139"/>
      <c r="FY9" s="139">
        <f t="shared" si="123"/>
        <v>0</v>
      </c>
      <c r="FZ9" s="139">
        <f t="shared" si="123"/>
        <v>18</v>
      </c>
      <c r="GA9" s="139">
        <f t="shared" si="123"/>
        <v>0</v>
      </c>
      <c r="GB9" s="139">
        <f>GA9+FZ9+FY9</f>
        <v>18</v>
      </c>
      <c r="GC9" s="139"/>
      <c r="GD9" s="139">
        <v>6</v>
      </c>
      <c r="GE9" s="139"/>
      <c r="GF9" s="139">
        <v>7</v>
      </c>
      <c r="GG9" s="139"/>
      <c r="GH9" s="139">
        <v>1</v>
      </c>
      <c r="GI9" s="139"/>
      <c r="GJ9" s="139"/>
      <c r="GK9" s="139"/>
      <c r="GL9" s="139"/>
      <c r="GM9" s="139">
        <f t="shared" si="124"/>
        <v>0</v>
      </c>
      <c r="GN9" s="139">
        <f t="shared" si="124"/>
        <v>14</v>
      </c>
      <c r="GO9" s="139">
        <f>GN9+GM9</f>
        <v>14</v>
      </c>
      <c r="GP9" s="139"/>
      <c r="GQ9" s="139"/>
      <c r="GR9" s="139"/>
      <c r="GS9" s="139"/>
      <c r="GT9" s="139"/>
      <c r="GU9" s="139"/>
      <c r="GV9" s="139"/>
      <c r="GW9" s="139"/>
      <c r="GX9" s="139"/>
      <c r="GY9" s="139"/>
      <c r="GZ9" s="139"/>
      <c r="HA9" s="139"/>
      <c r="HB9" s="139"/>
      <c r="HC9" s="139"/>
      <c r="HD9" s="139">
        <v>217</v>
      </c>
      <c r="HE9" s="139"/>
      <c r="HF9" s="139">
        <v>186</v>
      </c>
      <c r="HG9" s="139"/>
      <c r="HH9" s="139"/>
      <c r="HI9" s="139"/>
      <c r="HJ9" s="139"/>
      <c r="HK9" s="139"/>
      <c r="HL9" s="139"/>
      <c r="HM9" s="139">
        <f t="shared" si="125"/>
        <v>0</v>
      </c>
      <c r="HN9" s="139">
        <f t="shared" si="125"/>
        <v>403</v>
      </c>
      <c r="HO9" s="139">
        <f>HN9+HM9</f>
        <v>403</v>
      </c>
      <c r="HP9" s="139"/>
      <c r="HQ9" s="139">
        <v>4</v>
      </c>
      <c r="HR9" s="139"/>
      <c r="HS9" s="139"/>
      <c r="HT9" s="139"/>
      <c r="HU9" s="139"/>
      <c r="HV9" s="139"/>
      <c r="HW9" s="139"/>
      <c r="HX9" s="139"/>
      <c r="HY9" s="139"/>
      <c r="HZ9" s="139">
        <f t="shared" si="126"/>
        <v>0</v>
      </c>
      <c r="IA9" s="139">
        <f t="shared" si="126"/>
        <v>4</v>
      </c>
      <c r="IB9" s="139">
        <f>IA9+HZ9</f>
        <v>4</v>
      </c>
      <c r="IC9" s="139"/>
      <c r="ID9" s="139">
        <v>15</v>
      </c>
      <c r="IE9" s="139"/>
      <c r="IF9" s="139">
        <v>4</v>
      </c>
      <c r="IG9" s="139"/>
      <c r="IH9" s="139"/>
      <c r="II9" s="139"/>
      <c r="IJ9" s="139"/>
      <c r="IK9" s="139"/>
      <c r="IL9" s="139"/>
      <c r="IM9" s="139">
        <f t="shared" si="127"/>
        <v>0</v>
      </c>
      <c r="IN9" s="139">
        <f t="shared" si="127"/>
        <v>19</v>
      </c>
      <c r="IO9" s="139">
        <f>IN9+IM9</f>
        <v>19</v>
      </c>
      <c r="IP9" s="139"/>
      <c r="IQ9" s="139"/>
      <c r="IR9" s="139"/>
      <c r="IS9" s="139"/>
      <c r="IT9" s="139"/>
      <c r="IU9" s="139"/>
      <c r="IV9" s="139"/>
      <c r="IW9" s="139"/>
      <c r="IX9" s="139"/>
      <c r="IY9" s="139"/>
      <c r="IZ9" s="139">
        <f t="shared" si="128"/>
        <v>0</v>
      </c>
      <c r="JA9" s="139">
        <f t="shared" si="128"/>
        <v>0</v>
      </c>
      <c r="JB9" s="139">
        <f>JA9+IZ9</f>
        <v>0</v>
      </c>
      <c r="JC9" s="139"/>
      <c r="JD9" s="139">
        <v>1</v>
      </c>
      <c r="JE9" s="139"/>
      <c r="JF9" s="139">
        <v>2</v>
      </c>
      <c r="JG9" s="139"/>
      <c r="JH9" s="139">
        <v>13</v>
      </c>
      <c r="JI9" s="139"/>
      <c r="JJ9" s="139"/>
      <c r="JK9" s="139"/>
      <c r="JL9" s="139"/>
      <c r="JM9" s="139">
        <f t="shared" si="129"/>
        <v>0</v>
      </c>
      <c r="JN9" s="139">
        <f t="shared" si="129"/>
        <v>16</v>
      </c>
      <c r="JO9" s="139">
        <f>JN9+JM9</f>
        <v>16</v>
      </c>
      <c r="JP9" s="139"/>
      <c r="JQ9" s="139"/>
      <c r="JR9" s="139"/>
      <c r="JS9" s="139">
        <v>1</v>
      </c>
      <c r="JT9" s="139"/>
      <c r="JU9" s="139"/>
      <c r="JV9" s="139"/>
      <c r="JW9" s="139"/>
      <c r="JX9" s="139"/>
      <c r="JY9" s="139"/>
      <c r="JZ9" s="139"/>
      <c r="KA9" s="139">
        <v>1</v>
      </c>
      <c r="KB9" s="139"/>
      <c r="KC9" s="139"/>
      <c r="KD9" s="139"/>
      <c r="KE9" s="139"/>
      <c r="KF9" s="139"/>
      <c r="KG9" s="139"/>
      <c r="KH9" s="139"/>
      <c r="KI9" s="139"/>
      <c r="KJ9" s="139">
        <f t="shared" si="37"/>
        <v>0</v>
      </c>
      <c r="KK9" s="139">
        <f t="shared" si="37"/>
        <v>2</v>
      </c>
      <c r="KL9" s="139">
        <f>KK9+KJ9</f>
        <v>2</v>
      </c>
      <c r="KM9" s="139"/>
      <c r="KN9" s="139">
        <v>16</v>
      </c>
      <c r="KO9" s="139"/>
      <c r="KP9" s="139"/>
      <c r="KQ9" s="139"/>
      <c r="KR9" s="139"/>
      <c r="KS9" s="139">
        <f t="shared" si="130"/>
        <v>0</v>
      </c>
      <c r="KT9" s="139">
        <f t="shared" si="130"/>
        <v>16</v>
      </c>
      <c r="KU9" s="139">
        <f>KT9+KS9</f>
        <v>16</v>
      </c>
      <c r="KV9" s="139"/>
      <c r="KW9" s="139">
        <v>13</v>
      </c>
      <c r="KX9" s="139"/>
      <c r="KY9" s="139"/>
      <c r="KZ9" s="139"/>
      <c r="LA9" s="139">
        <v>1</v>
      </c>
      <c r="LB9" s="139"/>
      <c r="LC9" s="139"/>
      <c r="LD9" s="139"/>
      <c r="LE9" s="139"/>
      <c r="LF9" s="139"/>
      <c r="LG9" s="139"/>
      <c r="LH9" s="139"/>
      <c r="LI9" s="139"/>
      <c r="LJ9" s="139"/>
      <c r="LK9" s="139"/>
      <c r="LL9" s="139"/>
      <c r="LM9" s="139">
        <v>2</v>
      </c>
      <c r="LN9" s="139">
        <f t="shared" si="131"/>
        <v>0</v>
      </c>
      <c r="LO9" s="139">
        <f t="shared" si="132"/>
        <v>16</v>
      </c>
      <c r="LP9" s="139">
        <f>LO9+LN9</f>
        <v>16</v>
      </c>
      <c r="LQ9" s="139"/>
      <c r="LR9" s="139"/>
      <c r="LS9" s="139"/>
      <c r="LT9" s="139"/>
      <c r="LU9" s="139"/>
      <c r="LV9" s="139"/>
      <c r="LW9" s="139"/>
      <c r="LX9" s="139">
        <v>2</v>
      </c>
      <c r="LY9" s="139"/>
      <c r="LZ9" s="139"/>
      <c r="MA9" s="139"/>
      <c r="MB9" s="139"/>
      <c r="MC9" s="139"/>
      <c r="MD9" s="139"/>
      <c r="ME9" s="139"/>
      <c r="MF9" s="139"/>
      <c r="MG9" s="139">
        <f t="shared" si="133"/>
        <v>0</v>
      </c>
      <c r="MH9" s="139">
        <f t="shared" si="133"/>
        <v>2</v>
      </c>
      <c r="MI9" s="139">
        <f>MH9+MG9</f>
        <v>2</v>
      </c>
      <c r="MJ9" s="139"/>
      <c r="MK9" s="139"/>
      <c r="ML9" s="139"/>
      <c r="MM9" s="139"/>
      <c r="MN9" s="139"/>
      <c r="MO9" s="139">
        <v>1</v>
      </c>
      <c r="MP9" s="139"/>
      <c r="MQ9" s="139">
        <v>1</v>
      </c>
      <c r="MR9" s="139"/>
      <c r="MS9" s="139"/>
      <c r="MT9" s="139"/>
      <c r="MU9" s="139"/>
      <c r="MV9" s="139"/>
      <c r="MW9" s="139">
        <v>1</v>
      </c>
      <c r="MX9" s="139"/>
      <c r="MY9" s="139"/>
      <c r="MZ9" s="139">
        <f t="shared" si="134"/>
        <v>0</v>
      </c>
      <c r="NA9" s="139">
        <f t="shared" si="134"/>
        <v>3</v>
      </c>
      <c r="NB9" s="139">
        <f>NA9+MZ9</f>
        <v>3</v>
      </c>
      <c r="NC9" s="139"/>
      <c r="ND9" s="139"/>
      <c r="NE9" s="139"/>
      <c r="NF9" s="139"/>
      <c r="NG9" s="139"/>
      <c r="NH9" s="139">
        <v>2</v>
      </c>
      <c r="NI9" s="139"/>
      <c r="NJ9" s="139"/>
      <c r="NK9" s="139"/>
      <c r="NL9" s="139"/>
      <c r="NM9" s="139"/>
      <c r="NN9" s="139">
        <v>1</v>
      </c>
      <c r="NO9" s="139"/>
      <c r="NP9" s="139"/>
      <c r="NQ9" s="139"/>
      <c r="NR9" s="139"/>
      <c r="NS9" s="139">
        <f t="shared" si="135"/>
        <v>0</v>
      </c>
      <c r="NT9" s="139">
        <f t="shared" si="135"/>
        <v>3</v>
      </c>
      <c r="NU9" s="139">
        <f>NT9+NS9</f>
        <v>3</v>
      </c>
      <c r="NV9" s="139"/>
      <c r="NW9" s="139"/>
      <c r="NX9" s="139"/>
      <c r="NY9" s="139"/>
      <c r="NZ9" s="139"/>
      <c r="OA9" s="139"/>
      <c r="OB9" s="139"/>
      <c r="OC9" s="139"/>
      <c r="OD9" s="139"/>
      <c r="OE9" s="139"/>
      <c r="OF9" s="139"/>
      <c r="OG9" s="139"/>
      <c r="OH9" s="139"/>
      <c r="OI9" s="139"/>
      <c r="OJ9" s="139"/>
      <c r="OK9" s="139"/>
      <c r="OL9" s="139">
        <f t="shared" si="136"/>
        <v>0</v>
      </c>
      <c r="OM9" s="139">
        <f t="shared" si="136"/>
        <v>0</v>
      </c>
      <c r="ON9" s="139">
        <f>OM9+OL9</f>
        <v>0</v>
      </c>
      <c r="OO9" s="139"/>
      <c r="OP9" s="139"/>
      <c r="OQ9" s="139"/>
      <c r="OR9" s="139"/>
      <c r="OS9" s="139"/>
      <c r="OT9" s="139"/>
      <c r="OU9" s="139"/>
      <c r="OV9" s="139"/>
      <c r="OW9" s="139"/>
      <c r="OX9" s="139"/>
      <c r="OY9" s="139"/>
      <c r="OZ9" s="139"/>
      <c r="PA9" s="139"/>
      <c r="PB9" s="139"/>
      <c r="PC9" s="139"/>
      <c r="PD9" s="139"/>
      <c r="PE9" s="139">
        <f t="shared" si="137"/>
        <v>0</v>
      </c>
      <c r="PF9" s="139">
        <f t="shared" si="137"/>
        <v>0</v>
      </c>
      <c r="PG9" s="139">
        <f>PF9+PE9</f>
        <v>0</v>
      </c>
      <c r="PH9" s="139"/>
      <c r="PI9" s="139"/>
      <c r="PJ9" s="139"/>
      <c r="PK9" s="139"/>
      <c r="PL9" s="139"/>
      <c r="PM9" s="139"/>
      <c r="PN9" s="139"/>
      <c r="PO9" s="139"/>
      <c r="PP9" s="139"/>
      <c r="PQ9" s="139"/>
      <c r="PR9" s="139"/>
      <c r="PS9" s="139"/>
      <c r="PT9" s="139"/>
      <c r="PU9" s="139"/>
      <c r="PV9" s="139"/>
      <c r="PW9" s="139"/>
      <c r="PX9" s="139">
        <f t="shared" si="138"/>
        <v>0</v>
      </c>
      <c r="PY9" s="139">
        <f t="shared" si="138"/>
        <v>0</v>
      </c>
      <c r="PZ9" s="139">
        <f>PY9+PX9</f>
        <v>0</v>
      </c>
      <c r="QA9" s="139"/>
      <c r="QB9" s="139"/>
      <c r="QC9" s="139"/>
      <c r="QD9" s="139"/>
      <c r="QE9" s="139"/>
      <c r="QF9" s="139"/>
      <c r="QG9" s="139"/>
      <c r="QH9" s="139"/>
      <c r="QI9" s="139"/>
      <c r="QJ9" s="139"/>
      <c r="QK9" s="139"/>
      <c r="QL9" s="139"/>
      <c r="QM9" s="139"/>
      <c r="QN9" s="139"/>
      <c r="QO9" s="139"/>
      <c r="QP9" s="139"/>
      <c r="QQ9" s="139">
        <f t="shared" si="139"/>
        <v>0</v>
      </c>
      <c r="QR9" s="139">
        <f t="shared" si="139"/>
        <v>0</v>
      </c>
      <c r="QS9" s="139">
        <f>QR9+QQ9</f>
        <v>0</v>
      </c>
      <c r="QT9" s="139"/>
      <c r="QU9" s="139"/>
      <c r="QV9" s="139"/>
      <c r="QW9" s="139"/>
      <c r="QX9" s="139"/>
      <c r="QY9" s="139"/>
      <c r="QZ9" s="139"/>
      <c r="RA9" s="139"/>
      <c r="RB9" s="139"/>
      <c r="RC9" s="139"/>
      <c r="RD9" s="139"/>
      <c r="RE9" s="139"/>
      <c r="RF9" s="139"/>
      <c r="RG9" s="139"/>
      <c r="RH9" s="139"/>
      <c r="RI9" s="139"/>
      <c r="RJ9" s="139">
        <f t="shared" si="140"/>
        <v>0</v>
      </c>
      <c r="RK9" s="139">
        <f t="shared" si="140"/>
        <v>0</v>
      </c>
      <c r="RL9" s="139">
        <f>RK9+RJ9</f>
        <v>0</v>
      </c>
      <c r="RM9" s="139"/>
      <c r="RN9" s="139"/>
      <c r="RO9" s="139"/>
      <c r="RP9" s="139"/>
      <c r="RQ9" s="139"/>
      <c r="RR9" s="139"/>
      <c r="RS9" s="139"/>
      <c r="RT9" s="139"/>
      <c r="RU9" s="139"/>
      <c r="RV9" s="139"/>
      <c r="RW9" s="139"/>
      <c r="RX9" s="139"/>
      <c r="RY9" s="139"/>
      <c r="RZ9" s="139"/>
      <c r="SA9" s="139"/>
      <c r="SB9" s="139"/>
      <c r="SC9" s="139">
        <f t="shared" si="141"/>
        <v>0</v>
      </c>
      <c r="SD9" s="139">
        <f t="shared" si="141"/>
        <v>0</v>
      </c>
      <c r="SE9" s="139">
        <f>SD9+SC9</f>
        <v>0</v>
      </c>
      <c r="SF9" s="139"/>
      <c r="SG9" s="139"/>
      <c r="SH9" s="139"/>
      <c r="SI9" s="139"/>
      <c r="SJ9" s="139"/>
      <c r="SK9" s="139"/>
      <c r="SL9" s="139"/>
      <c r="SM9" s="139"/>
      <c r="SN9" s="139"/>
      <c r="SO9" s="139"/>
      <c r="SP9" s="139"/>
      <c r="SQ9" s="139"/>
      <c r="SR9" s="139"/>
      <c r="SS9" s="139"/>
      <c r="ST9" s="139"/>
      <c r="SU9" s="139"/>
      <c r="SV9" s="139">
        <f t="shared" si="142"/>
        <v>0</v>
      </c>
      <c r="SW9" s="139">
        <f t="shared" si="142"/>
        <v>0</v>
      </c>
      <c r="SX9" s="139">
        <f>SW9+SV9</f>
        <v>0</v>
      </c>
      <c r="SY9" s="139"/>
      <c r="SZ9" s="139"/>
      <c r="TA9" s="139"/>
      <c r="TB9" s="139"/>
      <c r="TC9" s="139"/>
      <c r="TD9" s="139"/>
      <c r="TE9" s="139"/>
      <c r="TF9" s="139"/>
      <c r="TG9" s="139"/>
      <c r="TH9" s="139"/>
      <c r="TI9" s="139"/>
      <c r="TJ9" s="139"/>
      <c r="TK9" s="139"/>
      <c r="TL9" s="139"/>
      <c r="TM9" s="139"/>
      <c r="TN9" s="139"/>
      <c r="TO9" s="139">
        <f t="shared" si="143"/>
        <v>0</v>
      </c>
      <c r="TP9" s="139">
        <f t="shared" si="143"/>
        <v>0</v>
      </c>
      <c r="TQ9" s="139">
        <f>TP9+TO9</f>
        <v>0</v>
      </c>
      <c r="TR9" s="139"/>
      <c r="TS9" s="139"/>
      <c r="TT9" s="139"/>
      <c r="TU9" s="139"/>
      <c r="TV9" s="139"/>
      <c r="TW9" s="139"/>
      <c r="TX9" s="139"/>
      <c r="TY9" s="139"/>
      <c r="TZ9" s="139"/>
      <c r="UA9" s="139"/>
      <c r="UB9" s="139"/>
      <c r="UC9" s="139"/>
      <c r="UD9" s="139"/>
      <c r="UE9" s="139"/>
      <c r="UF9" s="139"/>
      <c r="UG9" s="139"/>
      <c r="UH9" s="139">
        <f t="shared" si="144"/>
        <v>0</v>
      </c>
      <c r="UI9" s="139">
        <f t="shared" si="144"/>
        <v>0</v>
      </c>
      <c r="UJ9" s="139">
        <f>UI9+UH9</f>
        <v>0</v>
      </c>
      <c r="UK9" s="139"/>
      <c r="UL9" s="139"/>
      <c r="UM9" s="139"/>
      <c r="UN9" s="139"/>
      <c r="UO9" s="139"/>
      <c r="UP9" s="139"/>
      <c r="UQ9" s="139"/>
      <c r="UR9" s="139"/>
      <c r="US9" s="139"/>
      <c r="UT9" s="139"/>
      <c r="UU9" s="139"/>
      <c r="UV9" s="139"/>
      <c r="UW9" s="139"/>
      <c r="UX9" s="139"/>
      <c r="UY9" s="139"/>
      <c r="UZ9" s="139"/>
      <c r="VA9" s="139">
        <f t="shared" si="145"/>
        <v>0</v>
      </c>
      <c r="VB9" s="139">
        <f t="shared" si="145"/>
        <v>0</v>
      </c>
      <c r="VC9" s="139">
        <f>VB9+VA9</f>
        <v>0</v>
      </c>
      <c r="VD9" s="139"/>
      <c r="VE9" s="139"/>
      <c r="VF9" s="139"/>
      <c r="VG9" s="139"/>
      <c r="VH9" s="139"/>
      <c r="VI9" s="139"/>
      <c r="VJ9" s="139"/>
      <c r="VK9" s="139"/>
      <c r="VL9" s="139"/>
      <c r="VM9" s="139"/>
      <c r="VN9" s="139"/>
      <c r="VO9" s="139"/>
      <c r="VP9" s="139"/>
      <c r="VQ9" s="139"/>
      <c r="VR9" s="139"/>
      <c r="VS9" s="139"/>
      <c r="VT9" s="139">
        <f t="shared" si="146"/>
        <v>0</v>
      </c>
      <c r="VU9" s="139">
        <f t="shared" si="146"/>
        <v>0</v>
      </c>
      <c r="VV9" s="139">
        <f>VU9+VT9</f>
        <v>0</v>
      </c>
      <c r="VW9" s="139"/>
      <c r="VX9" s="139"/>
      <c r="VY9" s="139"/>
      <c r="VZ9" s="139"/>
      <c r="WA9" s="139"/>
      <c r="WB9" s="139"/>
      <c r="WC9" s="139"/>
      <c r="WD9" s="139">
        <v>4</v>
      </c>
      <c r="WE9" s="139"/>
      <c r="WF9" s="139"/>
      <c r="WG9" s="139"/>
      <c r="WH9" s="139">
        <v>3</v>
      </c>
      <c r="WI9" s="139"/>
      <c r="WJ9" s="139"/>
      <c r="WK9" s="139"/>
      <c r="WL9" s="139"/>
      <c r="WM9" s="139">
        <f t="shared" si="147"/>
        <v>0</v>
      </c>
      <c r="WN9" s="139">
        <f t="shared" si="147"/>
        <v>7</v>
      </c>
      <c r="WO9" s="139">
        <f>WN9+WM9</f>
        <v>7</v>
      </c>
      <c r="WP9" s="139"/>
      <c r="WQ9" s="139"/>
      <c r="WR9" s="139"/>
      <c r="WS9" s="139"/>
      <c r="WT9" s="139"/>
      <c r="WU9" s="139"/>
      <c r="WV9" s="139"/>
      <c r="WW9" s="139"/>
      <c r="WX9" s="139"/>
      <c r="WY9" s="139"/>
      <c r="WZ9" s="139"/>
      <c r="XA9" s="139"/>
      <c r="XB9" s="139"/>
      <c r="XC9" s="139"/>
      <c r="XD9" s="139"/>
      <c r="XE9" s="139"/>
      <c r="XF9" s="139">
        <f t="shared" si="148"/>
        <v>0</v>
      </c>
      <c r="XG9" s="139">
        <f t="shared" si="148"/>
        <v>0</v>
      </c>
      <c r="XH9" s="139">
        <f>XG9+XF9</f>
        <v>0</v>
      </c>
      <c r="XI9" s="139"/>
      <c r="XJ9" s="139"/>
      <c r="XK9" s="139"/>
      <c r="XL9" s="139"/>
      <c r="XM9" s="139"/>
      <c r="XN9" s="139"/>
      <c r="XO9" s="139"/>
      <c r="XP9" s="139"/>
      <c r="XQ9" s="139"/>
      <c r="XR9" s="139"/>
      <c r="XS9" s="139"/>
      <c r="XT9" s="139"/>
      <c r="XU9" s="139"/>
      <c r="XV9" s="139"/>
      <c r="XW9" s="139"/>
      <c r="XX9" s="139"/>
      <c r="XY9" s="139">
        <f t="shared" si="149"/>
        <v>0</v>
      </c>
      <c r="XZ9" s="139">
        <f t="shared" si="149"/>
        <v>0</v>
      </c>
      <c r="YA9" s="139">
        <f>XZ9+XY9</f>
        <v>0</v>
      </c>
      <c r="YB9" s="139"/>
      <c r="YC9" s="139"/>
      <c r="YD9" s="139"/>
      <c r="YE9" s="139"/>
      <c r="YF9" s="139"/>
      <c r="YG9" s="139"/>
      <c r="YH9" s="139"/>
      <c r="YI9" s="139"/>
      <c r="YJ9" s="139"/>
      <c r="YK9" s="139"/>
      <c r="YL9" s="139"/>
      <c r="YM9" s="139"/>
      <c r="YN9" s="139"/>
      <c r="YO9" s="139"/>
      <c r="YP9" s="139"/>
      <c r="YQ9" s="139"/>
      <c r="YR9" s="139">
        <f t="shared" si="150"/>
        <v>0</v>
      </c>
      <c r="YS9" s="139">
        <f t="shared" si="150"/>
        <v>0</v>
      </c>
      <c r="YT9" s="139">
        <f>YS9+YR9</f>
        <v>0</v>
      </c>
      <c r="YU9" s="139"/>
      <c r="YV9" s="139"/>
      <c r="YW9" s="139"/>
      <c r="YX9" s="139"/>
      <c r="YY9" s="139"/>
      <c r="YZ9" s="139"/>
      <c r="ZA9" s="139"/>
      <c r="ZB9" s="139"/>
      <c r="ZC9" s="139"/>
      <c r="ZD9" s="139"/>
      <c r="ZE9" s="139"/>
      <c r="ZF9" s="139"/>
      <c r="ZG9" s="139"/>
      <c r="ZH9" s="139"/>
      <c r="ZI9" s="139"/>
      <c r="ZJ9" s="139"/>
      <c r="ZK9" s="139">
        <f t="shared" si="151"/>
        <v>0</v>
      </c>
      <c r="ZL9" s="139">
        <f t="shared" si="151"/>
        <v>0</v>
      </c>
      <c r="ZM9" s="139">
        <f>ZL9+ZK9</f>
        <v>0</v>
      </c>
      <c r="ZN9" s="139"/>
      <c r="ZO9" s="139"/>
      <c r="ZP9" s="139"/>
      <c r="ZQ9" s="139"/>
      <c r="ZR9" s="139"/>
      <c r="ZS9" s="139"/>
      <c r="ZT9" s="139"/>
      <c r="ZU9" s="139"/>
      <c r="ZV9" s="139"/>
      <c r="ZW9" s="139"/>
      <c r="ZX9" s="139"/>
      <c r="ZY9" s="139"/>
      <c r="ZZ9" s="139"/>
      <c r="AAA9" s="139"/>
      <c r="AAB9" s="139"/>
      <c r="AAC9" s="139"/>
      <c r="AAD9" s="139">
        <f t="shared" si="152"/>
        <v>0</v>
      </c>
      <c r="AAE9" s="139">
        <f t="shared" si="152"/>
        <v>0</v>
      </c>
      <c r="AAF9" s="139">
        <f>AAE9+AAD9</f>
        <v>0</v>
      </c>
      <c r="AAG9" s="139"/>
      <c r="AAH9" s="139"/>
      <c r="AAI9" s="139"/>
      <c r="AAJ9" s="139"/>
      <c r="AAK9" s="139"/>
      <c r="AAL9" s="139"/>
      <c r="AAM9" s="139"/>
      <c r="AAN9" s="139">
        <v>1</v>
      </c>
      <c r="AAO9" s="139"/>
      <c r="AAP9" s="139"/>
      <c r="AAQ9" s="139"/>
      <c r="AAR9" s="139"/>
      <c r="AAS9" s="139"/>
      <c r="AAT9" s="139"/>
      <c r="AAU9" s="139"/>
      <c r="AAV9" s="139"/>
      <c r="AAW9" s="139">
        <f t="shared" si="153"/>
        <v>0</v>
      </c>
      <c r="AAX9" s="139">
        <f t="shared" si="153"/>
        <v>1</v>
      </c>
      <c r="AAY9" s="139">
        <f>AAX9+AAW9</f>
        <v>1</v>
      </c>
      <c r="AAZ9" s="139"/>
      <c r="ABA9" s="139"/>
      <c r="ABB9" s="139"/>
      <c r="ABC9" s="139"/>
      <c r="ABD9" s="139"/>
      <c r="ABE9" s="139"/>
      <c r="ABF9" s="139"/>
      <c r="ABG9" s="139"/>
      <c r="ABH9" s="139"/>
      <c r="ABI9" s="139"/>
      <c r="ABJ9" s="139"/>
      <c r="ABK9" s="139"/>
      <c r="ABL9" s="139"/>
      <c r="ABM9" s="139"/>
      <c r="ABN9" s="139"/>
      <c r="ABO9" s="139"/>
      <c r="ABP9" s="139">
        <f t="shared" si="154"/>
        <v>0</v>
      </c>
      <c r="ABQ9" s="139">
        <f t="shared" si="154"/>
        <v>0</v>
      </c>
      <c r="ABR9" s="139">
        <f>ABQ9+ABP9</f>
        <v>0</v>
      </c>
      <c r="ABS9" s="139"/>
      <c r="ABT9" s="139"/>
      <c r="ABU9" s="139"/>
      <c r="ABV9" s="139"/>
      <c r="ABW9" s="139"/>
      <c r="ABX9" s="139"/>
      <c r="ABY9" s="139"/>
      <c r="ABZ9" s="139"/>
      <c r="ACA9" s="139"/>
      <c r="ACB9" s="139"/>
      <c r="ACC9" s="139"/>
      <c r="ACD9" s="139"/>
      <c r="ACE9" s="139"/>
      <c r="ACF9" s="139"/>
      <c r="ACG9" s="139"/>
      <c r="ACH9" s="139"/>
      <c r="ACI9" s="139">
        <f t="shared" si="155"/>
        <v>0</v>
      </c>
      <c r="ACJ9" s="139">
        <f t="shared" si="155"/>
        <v>0</v>
      </c>
      <c r="ACK9" s="139">
        <f>ACJ9+ACI9</f>
        <v>0</v>
      </c>
      <c r="ACL9" s="139"/>
      <c r="ACM9" s="139"/>
      <c r="ACN9" s="139"/>
      <c r="ACO9" s="139"/>
      <c r="ACP9" s="139"/>
      <c r="ACQ9" s="139"/>
      <c r="ACR9" s="139"/>
      <c r="ACS9" s="139"/>
      <c r="ACT9" s="139"/>
      <c r="ACU9" s="139"/>
      <c r="ACV9" s="139"/>
      <c r="ACW9" s="139"/>
      <c r="ACX9" s="139"/>
      <c r="ACY9" s="139"/>
      <c r="ACZ9" s="139"/>
      <c r="ADA9" s="139"/>
      <c r="ADB9" s="139">
        <f t="shared" si="156"/>
        <v>0</v>
      </c>
      <c r="ADC9" s="139">
        <f t="shared" si="156"/>
        <v>0</v>
      </c>
      <c r="ADD9" s="139">
        <f>ADC9+ADB9</f>
        <v>0</v>
      </c>
      <c r="ADE9" s="139"/>
      <c r="ADF9" s="139"/>
      <c r="ADG9" s="139"/>
      <c r="ADH9" s="139"/>
      <c r="ADI9" s="139"/>
      <c r="ADJ9" s="139"/>
      <c r="ADK9" s="139"/>
      <c r="ADL9" s="139"/>
      <c r="ADM9" s="139"/>
      <c r="ADN9" s="139"/>
      <c r="ADO9" s="139"/>
      <c r="ADP9" s="139"/>
      <c r="ADQ9" s="139"/>
      <c r="ADR9" s="139"/>
      <c r="ADS9" s="139"/>
      <c r="ADT9" s="139"/>
      <c r="ADU9" s="139">
        <f t="shared" si="157"/>
        <v>0</v>
      </c>
      <c r="ADV9" s="139">
        <f t="shared" si="157"/>
        <v>0</v>
      </c>
      <c r="ADW9" s="139">
        <f>ADV9+ADU9</f>
        <v>0</v>
      </c>
      <c r="ADX9" s="139"/>
      <c r="ADY9" s="139"/>
      <c r="ADZ9" s="139"/>
      <c r="AEA9" s="139"/>
      <c r="AEB9" s="139"/>
      <c r="AEC9" s="139"/>
      <c r="AED9" s="139"/>
      <c r="AEE9" s="139"/>
      <c r="AEF9" s="139"/>
      <c r="AEG9" s="139"/>
      <c r="AEH9" s="139"/>
      <c r="AEI9" s="139"/>
      <c r="AEJ9" s="139"/>
      <c r="AEK9" s="139"/>
      <c r="AEL9" s="139"/>
      <c r="AEM9" s="139"/>
      <c r="AEN9" s="139">
        <f t="shared" si="158"/>
        <v>0</v>
      </c>
      <c r="AEO9" s="139">
        <f t="shared" si="158"/>
        <v>0</v>
      </c>
      <c r="AEP9" s="139">
        <f>AEO9+AEN9</f>
        <v>0</v>
      </c>
      <c r="AEQ9" s="139"/>
      <c r="AER9" s="139"/>
      <c r="AES9" s="139"/>
      <c r="AET9" s="139"/>
      <c r="AEU9" s="139"/>
      <c r="AEV9" s="139"/>
      <c r="AEW9" s="139"/>
      <c r="AEX9" s="139"/>
      <c r="AEY9" s="139"/>
      <c r="AEZ9" s="139"/>
      <c r="AFA9" s="139"/>
      <c r="AFB9" s="139"/>
      <c r="AFC9" s="139"/>
      <c r="AFD9" s="139"/>
      <c r="AFE9" s="139"/>
      <c r="AFF9" s="139"/>
      <c r="AFG9" s="139">
        <f t="shared" si="159"/>
        <v>0</v>
      </c>
      <c r="AFH9" s="139">
        <f t="shared" si="159"/>
        <v>0</v>
      </c>
      <c r="AFI9" s="139">
        <f>AFH9+AFG9</f>
        <v>0</v>
      </c>
      <c r="AFJ9" s="139"/>
      <c r="AFK9" s="139"/>
      <c r="AFL9" s="139"/>
      <c r="AFM9" s="139"/>
      <c r="AFN9" s="139"/>
      <c r="AFO9" s="139"/>
      <c r="AFP9" s="139"/>
      <c r="AFQ9" s="139"/>
      <c r="AFR9" s="139"/>
      <c r="AFS9" s="139"/>
      <c r="AFT9" s="139"/>
      <c r="AFU9" s="139"/>
      <c r="AFV9" s="139"/>
      <c r="AFW9" s="139"/>
      <c r="AFX9" s="139"/>
      <c r="AFY9" s="139"/>
      <c r="AFZ9" s="139">
        <f t="shared" si="160"/>
        <v>0</v>
      </c>
      <c r="AGA9" s="139">
        <f t="shared" si="160"/>
        <v>0</v>
      </c>
      <c r="AGB9" s="139">
        <f>AGA9+AFZ9</f>
        <v>0</v>
      </c>
      <c r="AGC9" s="139"/>
      <c r="AGD9" s="139"/>
      <c r="AGE9" s="139"/>
      <c r="AGF9" s="139"/>
      <c r="AGG9" s="139"/>
      <c r="AGH9" s="139"/>
      <c r="AGI9" s="139"/>
      <c r="AGJ9" s="139"/>
      <c r="AGK9" s="139"/>
      <c r="AGL9" s="139"/>
      <c r="AGM9" s="139"/>
      <c r="AGN9" s="139"/>
      <c r="AGO9" s="139"/>
      <c r="AGP9" s="139"/>
      <c r="AGQ9" s="139"/>
      <c r="AGR9" s="139"/>
      <c r="AGS9" s="139">
        <f t="shared" si="161"/>
        <v>0</v>
      </c>
      <c r="AGT9" s="139">
        <f t="shared" si="161"/>
        <v>0</v>
      </c>
      <c r="AGU9" s="139">
        <f>AGT9+AGS9</f>
        <v>0</v>
      </c>
      <c r="AGV9" s="139"/>
      <c r="AGW9" s="139"/>
      <c r="AGX9" s="139"/>
      <c r="AGY9" s="139"/>
      <c r="AGZ9" s="139"/>
      <c r="AHA9" s="139"/>
      <c r="AHB9" s="139"/>
      <c r="AHC9" s="139"/>
      <c r="AHD9" s="139"/>
      <c r="AHE9" s="139"/>
      <c r="AHF9" s="139"/>
      <c r="AHG9" s="139"/>
      <c r="AHH9" s="139"/>
      <c r="AHI9" s="139"/>
      <c r="AHJ9" s="139"/>
      <c r="AHK9" s="139"/>
      <c r="AHL9" s="139">
        <f t="shared" si="162"/>
        <v>0</v>
      </c>
      <c r="AHM9" s="139">
        <f t="shared" si="162"/>
        <v>0</v>
      </c>
      <c r="AHN9" s="139">
        <f>AHM9+AHL9</f>
        <v>0</v>
      </c>
      <c r="AHO9" s="139"/>
      <c r="AHP9" s="139"/>
      <c r="AHQ9" s="139"/>
      <c r="AHR9" s="139"/>
      <c r="AHS9" s="139"/>
      <c r="AHT9" s="139"/>
      <c r="AHU9" s="139"/>
      <c r="AHV9" s="139"/>
      <c r="AHW9" s="139"/>
      <c r="AHX9" s="139"/>
      <c r="AHY9" s="139"/>
      <c r="AHZ9" s="139"/>
      <c r="AIA9" s="139"/>
      <c r="AIB9" s="139"/>
      <c r="AIC9" s="139"/>
      <c r="AID9" s="139"/>
      <c r="AIE9" s="139">
        <f t="shared" si="166"/>
        <v>0</v>
      </c>
      <c r="AIF9" s="139">
        <f t="shared" si="167"/>
        <v>0</v>
      </c>
      <c r="AIG9" s="139">
        <f t="shared" si="168"/>
        <v>0</v>
      </c>
      <c r="AIH9" s="139"/>
      <c r="AII9" s="139"/>
      <c r="AIJ9" s="139"/>
      <c r="AIK9" s="139"/>
      <c r="AIL9" s="139"/>
      <c r="AIM9" s="139"/>
      <c r="AIN9" s="139"/>
      <c r="AIO9" s="139"/>
      <c r="AIP9" s="139"/>
      <c r="AIQ9" s="139"/>
      <c r="AIR9" s="139"/>
      <c r="AIS9" s="139"/>
      <c r="AIT9" s="139"/>
      <c r="AIU9" s="139"/>
      <c r="AIV9" s="139"/>
      <c r="AIW9" s="139"/>
      <c r="AIX9" s="139">
        <f t="shared" si="163"/>
        <v>0</v>
      </c>
      <c r="AIY9" s="139">
        <f t="shared" si="163"/>
        <v>0</v>
      </c>
      <c r="AIZ9" s="139">
        <f>AIY9+AIX9</f>
        <v>0</v>
      </c>
      <c r="AJA9" s="139">
        <f>AIH9+AGV9+AGC9+AFJ9+AEQ9+ADX9+ADE9+ACL9+ABS9+AAZ9+AAG9+ZN9+YU9+YB9+XI9+WP9+VW9+VD9+UK9+TR9+SY9+SF9+RM9+QT9+QA9+PH9+OO9+NV9+NC9+MJ9+LQ9+AHO9</f>
        <v>0</v>
      </c>
      <c r="AJB9" s="139">
        <f t="shared" si="164"/>
        <v>0</v>
      </c>
      <c r="AJC9" s="139">
        <f t="shared" si="164"/>
        <v>0</v>
      </c>
      <c r="AJD9" s="139">
        <f t="shared" si="164"/>
        <v>0</v>
      </c>
      <c r="AJE9" s="139">
        <f t="shared" si="164"/>
        <v>0</v>
      </c>
      <c r="AJF9" s="139">
        <f t="shared" si="164"/>
        <v>3</v>
      </c>
      <c r="AJG9" s="139">
        <f t="shared" si="164"/>
        <v>0</v>
      </c>
      <c r="AJH9" s="139">
        <f t="shared" si="164"/>
        <v>8</v>
      </c>
      <c r="AJI9" s="139">
        <f t="shared" si="164"/>
        <v>0</v>
      </c>
      <c r="AJJ9" s="139">
        <f t="shared" si="164"/>
        <v>0</v>
      </c>
      <c r="AJK9" s="139">
        <f t="shared" si="164"/>
        <v>0</v>
      </c>
      <c r="AJL9" s="139">
        <f t="shared" si="164"/>
        <v>4</v>
      </c>
      <c r="AJM9" s="139">
        <f t="shared" si="164"/>
        <v>0</v>
      </c>
      <c r="AJN9" s="139">
        <f t="shared" si="164"/>
        <v>1</v>
      </c>
      <c r="AJO9" s="139">
        <f t="shared" si="164"/>
        <v>0</v>
      </c>
      <c r="AJP9" s="139">
        <f t="shared" si="164"/>
        <v>0</v>
      </c>
      <c r="AJQ9" s="139">
        <f t="shared" si="104"/>
        <v>0</v>
      </c>
      <c r="AJR9" s="139">
        <f t="shared" si="104"/>
        <v>16</v>
      </c>
      <c r="AJS9" s="139">
        <f>AJR9+AJQ9</f>
        <v>16</v>
      </c>
      <c r="AJT9" s="139"/>
      <c r="AJU9" s="139"/>
      <c r="AJV9" s="139"/>
      <c r="AJW9" s="139">
        <v>10</v>
      </c>
      <c r="AJX9" s="139"/>
      <c r="AJY9" s="139">
        <v>3</v>
      </c>
      <c r="AJZ9" s="139"/>
      <c r="AKA9" s="139">
        <v>3</v>
      </c>
      <c r="AKB9" s="139">
        <f t="shared" si="106"/>
        <v>0</v>
      </c>
      <c r="AKC9" s="139">
        <f t="shared" si="106"/>
        <v>16</v>
      </c>
      <c r="AKD9" s="139">
        <f>AKC9+AKB9</f>
        <v>16</v>
      </c>
      <c r="AKE9" s="139"/>
      <c r="AKF9" s="139"/>
      <c r="AKG9" s="139"/>
      <c r="AKH9" s="139">
        <v>4</v>
      </c>
      <c r="AKI9" s="139"/>
      <c r="AKJ9" s="139">
        <v>7</v>
      </c>
      <c r="AKK9" s="139"/>
      <c r="AKL9" s="139">
        <v>3</v>
      </c>
      <c r="AKM9" s="139"/>
      <c r="AKN9" s="139">
        <v>2</v>
      </c>
      <c r="AKO9" s="139">
        <f t="shared" si="107"/>
        <v>0</v>
      </c>
      <c r="AKP9" s="139">
        <f t="shared" si="107"/>
        <v>16</v>
      </c>
      <c r="AKQ9" s="139">
        <f>AKP9+AKO9</f>
        <v>16</v>
      </c>
      <c r="AKR9" s="139"/>
      <c r="AKS9" s="139">
        <v>1</v>
      </c>
      <c r="AKT9" s="139"/>
      <c r="AKU9" s="139">
        <v>15</v>
      </c>
      <c r="AKV9" s="139"/>
      <c r="AKW9" s="139"/>
      <c r="AKX9" s="139"/>
      <c r="AKY9" s="139"/>
      <c r="AKZ9" s="139">
        <f t="shared" si="108"/>
        <v>0</v>
      </c>
      <c r="ALA9" s="139">
        <f t="shared" si="108"/>
        <v>16</v>
      </c>
      <c r="ALB9" s="139">
        <f>SUM(AKZ9:ALA9)</f>
        <v>16</v>
      </c>
      <c r="ALC9" s="139"/>
      <c r="ALD9" s="139">
        <v>2</v>
      </c>
      <c r="ALE9" s="138"/>
      <c r="ALF9" s="138"/>
      <c r="ALG9" s="138"/>
      <c r="ALH9" s="138"/>
      <c r="ALI9" s="138"/>
      <c r="ALJ9" s="138"/>
      <c r="ALK9" s="138"/>
      <c r="ALL9" s="138"/>
      <c r="ALM9" s="138"/>
      <c r="ALN9" s="138"/>
      <c r="ALO9" s="138"/>
      <c r="ALP9" s="138"/>
      <c r="ALQ9" s="138"/>
      <c r="ALR9" s="138"/>
      <c r="ALS9" s="138"/>
      <c r="ALT9" s="138"/>
      <c r="ALU9" s="138"/>
      <c r="ALV9" s="138"/>
      <c r="ALW9" s="138"/>
      <c r="ALX9" s="138"/>
      <c r="ALY9" s="138"/>
      <c r="ALZ9" s="138"/>
      <c r="AMA9" s="138"/>
      <c r="AMB9" s="138"/>
      <c r="AMC9" s="138"/>
      <c r="AMD9" s="138"/>
      <c r="AME9" s="138"/>
      <c r="AMF9" s="138"/>
      <c r="AMG9" s="138"/>
      <c r="AMH9" s="138"/>
      <c r="AMI9" s="138"/>
      <c r="AMJ9" s="138"/>
      <c r="AMK9" s="138"/>
      <c r="AML9" s="138"/>
      <c r="AMM9" s="138"/>
      <c r="AMN9" s="138"/>
      <c r="AMO9" s="138"/>
      <c r="AMP9" s="138"/>
      <c r="AMQ9" s="138"/>
      <c r="AMR9" s="138"/>
      <c r="AMS9" s="138"/>
      <c r="AMT9" s="138"/>
      <c r="AMU9" s="138"/>
      <c r="AMV9" s="138"/>
      <c r="AMW9" s="138"/>
      <c r="AMX9" s="138"/>
      <c r="AMY9" s="138"/>
      <c r="AMZ9" s="138"/>
      <c r="ANA9" s="138"/>
      <c r="ANB9" s="138"/>
      <c r="ANC9" s="138"/>
      <c r="AND9" s="138"/>
      <c r="ANE9" s="138"/>
      <c r="ANF9" s="138"/>
      <c r="ANG9" s="138"/>
      <c r="ANH9" s="138"/>
      <c r="ANI9" s="138"/>
      <c r="ANJ9" s="138"/>
      <c r="ANK9" s="138"/>
      <c r="ANL9" s="138"/>
      <c r="ANM9" s="138"/>
      <c r="ANN9" s="138"/>
      <c r="ANO9" s="138"/>
      <c r="ANP9" s="138"/>
      <c r="ANQ9" s="138"/>
      <c r="ANR9" s="138"/>
      <c r="ANS9" s="138"/>
      <c r="ANT9" s="138"/>
      <c r="ANU9" s="138"/>
      <c r="ANV9" s="139"/>
      <c r="ANW9" s="139"/>
      <c r="ANX9" s="139"/>
      <c r="ANY9" s="139"/>
      <c r="ANZ9" s="139"/>
      <c r="AOA9" s="139"/>
      <c r="AOB9" s="139"/>
      <c r="AOC9" s="139"/>
      <c r="AOD9" s="139"/>
      <c r="AOE9" s="139"/>
      <c r="AOF9" s="138"/>
      <c r="AOG9" s="138"/>
      <c r="AOH9" s="138">
        <v>2</v>
      </c>
      <c r="AOI9" s="138"/>
      <c r="AOJ9" s="138"/>
      <c r="AOK9" s="138"/>
      <c r="AOL9" s="138"/>
      <c r="AOM9" s="138">
        <v>1</v>
      </c>
      <c r="AON9" s="138"/>
      <c r="AOO9" s="138"/>
      <c r="AOP9" s="138"/>
      <c r="AOQ9" s="138"/>
      <c r="AOR9" s="138"/>
      <c r="AOS9" s="138"/>
      <c r="AOT9" s="138"/>
      <c r="AOU9" s="138"/>
      <c r="AOV9" s="138"/>
      <c r="AOW9" s="138"/>
      <c r="AOX9" s="138"/>
      <c r="AOY9" s="138">
        <f>AOX9+AOW9</f>
        <v>0</v>
      </c>
      <c r="AOZ9" s="138"/>
      <c r="APA9" s="138">
        <v>1</v>
      </c>
      <c r="APB9" s="138"/>
      <c r="APC9" s="138"/>
      <c r="APD9" s="138"/>
      <c r="APE9" s="138"/>
      <c r="APF9" s="138"/>
      <c r="APG9" s="138"/>
      <c r="APH9" s="138"/>
      <c r="API9" s="138"/>
      <c r="APJ9" s="138"/>
      <c r="APK9" s="138"/>
      <c r="APL9" s="138"/>
      <c r="APM9" s="138"/>
      <c r="APN9" s="138"/>
      <c r="APO9" s="138"/>
      <c r="APP9" s="138" t="s">
        <v>429</v>
      </c>
      <c r="APQ9" s="138">
        <v>7831135628</v>
      </c>
      <c r="APR9" s="140">
        <v>7815726038</v>
      </c>
    </row>
    <row r="10" spans="1:1110" s="132" customFormat="1" ht="26.25" customHeight="1">
      <c r="A10" s="200" t="s">
        <v>243</v>
      </c>
      <c r="B10" s="201"/>
      <c r="C10" s="201"/>
      <c r="D10" s="201"/>
      <c r="E10" s="202"/>
      <c r="F10" s="131">
        <f>SUM(F6:F9)</f>
        <v>2</v>
      </c>
      <c r="G10" s="131">
        <f t="shared" ref="G10:BR10" si="169">SUM(G6:G9)</f>
        <v>2</v>
      </c>
      <c r="H10" s="131">
        <f t="shared" si="169"/>
        <v>0</v>
      </c>
      <c r="I10" s="131">
        <f t="shared" si="169"/>
        <v>4</v>
      </c>
      <c r="J10" s="131">
        <f t="shared" si="169"/>
        <v>0</v>
      </c>
      <c r="K10" s="131">
        <f t="shared" si="169"/>
        <v>2</v>
      </c>
      <c r="L10" s="131">
        <f t="shared" si="169"/>
        <v>0</v>
      </c>
      <c r="M10" s="131">
        <f t="shared" si="169"/>
        <v>0</v>
      </c>
      <c r="N10" s="131">
        <f t="shared" si="169"/>
        <v>2</v>
      </c>
      <c r="O10" s="131">
        <f t="shared" si="169"/>
        <v>3</v>
      </c>
      <c r="P10" s="131">
        <f t="shared" si="169"/>
        <v>1</v>
      </c>
      <c r="Q10" s="131">
        <f t="shared" si="169"/>
        <v>2</v>
      </c>
      <c r="R10" s="131">
        <f t="shared" si="169"/>
        <v>0</v>
      </c>
      <c r="S10" s="131">
        <f t="shared" si="169"/>
        <v>2</v>
      </c>
      <c r="T10" s="131">
        <f t="shared" si="169"/>
        <v>0</v>
      </c>
      <c r="U10" s="131">
        <f t="shared" si="169"/>
        <v>0</v>
      </c>
      <c r="V10" s="131">
        <f t="shared" si="169"/>
        <v>0</v>
      </c>
      <c r="W10" s="131">
        <f t="shared" si="169"/>
        <v>0</v>
      </c>
      <c r="X10" s="131">
        <f t="shared" si="169"/>
        <v>1</v>
      </c>
      <c r="Y10" s="131">
        <f t="shared" si="169"/>
        <v>5</v>
      </c>
      <c r="Z10" s="131">
        <f t="shared" si="169"/>
        <v>47</v>
      </c>
      <c r="AA10" s="131">
        <f t="shared" si="169"/>
        <v>57</v>
      </c>
      <c r="AB10" s="131">
        <f t="shared" si="169"/>
        <v>45</v>
      </c>
      <c r="AC10" s="131">
        <f t="shared" si="169"/>
        <v>47</v>
      </c>
      <c r="AD10" s="131">
        <f t="shared" si="169"/>
        <v>13</v>
      </c>
      <c r="AE10" s="131">
        <f t="shared" si="169"/>
        <v>29</v>
      </c>
      <c r="AF10" s="131">
        <f t="shared" si="169"/>
        <v>5</v>
      </c>
      <c r="AG10" s="131">
        <f t="shared" si="169"/>
        <v>11</v>
      </c>
      <c r="AH10" s="131">
        <f t="shared" si="169"/>
        <v>4</v>
      </c>
      <c r="AI10" s="131">
        <f t="shared" si="169"/>
        <v>14</v>
      </c>
      <c r="AJ10" s="131">
        <f t="shared" si="169"/>
        <v>0</v>
      </c>
      <c r="AK10" s="131">
        <f t="shared" si="169"/>
        <v>4</v>
      </c>
      <c r="AL10" s="131">
        <f t="shared" si="169"/>
        <v>0</v>
      </c>
      <c r="AM10" s="131">
        <f t="shared" si="169"/>
        <v>0</v>
      </c>
      <c r="AN10" s="131">
        <f t="shared" si="169"/>
        <v>153</v>
      </c>
      <c r="AO10" s="131">
        <f t="shared" si="169"/>
        <v>278</v>
      </c>
      <c r="AP10" s="131">
        <f t="shared" si="169"/>
        <v>268</v>
      </c>
      <c r="AQ10" s="131">
        <f t="shared" si="169"/>
        <v>445</v>
      </c>
      <c r="AR10" s="131">
        <f t="shared" si="169"/>
        <v>713</v>
      </c>
      <c r="AS10" s="131">
        <f t="shared" si="169"/>
        <v>1</v>
      </c>
      <c r="AT10" s="131">
        <f t="shared" si="169"/>
        <v>5</v>
      </c>
      <c r="AU10" s="131">
        <f t="shared" si="169"/>
        <v>47</v>
      </c>
      <c r="AV10" s="131">
        <f t="shared" si="169"/>
        <v>57</v>
      </c>
      <c r="AW10" s="131">
        <f t="shared" si="169"/>
        <v>45</v>
      </c>
      <c r="AX10" s="131">
        <f t="shared" si="169"/>
        <v>47</v>
      </c>
      <c r="AY10" s="131">
        <f t="shared" si="169"/>
        <v>13</v>
      </c>
      <c r="AZ10" s="131">
        <f t="shared" si="169"/>
        <v>29</v>
      </c>
      <c r="BA10" s="131">
        <f t="shared" si="169"/>
        <v>5</v>
      </c>
      <c r="BB10" s="131">
        <f t="shared" si="169"/>
        <v>11</v>
      </c>
      <c r="BC10" s="131">
        <f t="shared" si="169"/>
        <v>4</v>
      </c>
      <c r="BD10" s="131">
        <f t="shared" si="169"/>
        <v>14</v>
      </c>
      <c r="BE10" s="131">
        <f t="shared" si="169"/>
        <v>0</v>
      </c>
      <c r="BF10" s="131">
        <f t="shared" si="169"/>
        <v>4</v>
      </c>
      <c r="BG10" s="131">
        <f t="shared" si="169"/>
        <v>0</v>
      </c>
      <c r="BH10" s="131">
        <f t="shared" si="169"/>
        <v>0</v>
      </c>
      <c r="BI10" s="131">
        <f t="shared" si="169"/>
        <v>181</v>
      </c>
      <c r="BJ10" s="131">
        <f t="shared" si="169"/>
        <v>278</v>
      </c>
      <c r="BK10" s="131">
        <f t="shared" si="169"/>
        <v>296</v>
      </c>
      <c r="BL10" s="131">
        <f t="shared" si="169"/>
        <v>445</v>
      </c>
      <c r="BM10" s="131">
        <f t="shared" si="169"/>
        <v>741</v>
      </c>
      <c r="BN10" s="131">
        <f t="shared" si="169"/>
        <v>1</v>
      </c>
      <c r="BO10" s="131">
        <f t="shared" si="169"/>
        <v>32</v>
      </c>
      <c r="BP10" s="131">
        <f t="shared" si="169"/>
        <v>55</v>
      </c>
      <c r="BQ10" s="131">
        <f t="shared" si="169"/>
        <v>40</v>
      </c>
      <c r="BR10" s="131">
        <f t="shared" si="169"/>
        <v>41</v>
      </c>
      <c r="BS10" s="131">
        <f t="shared" ref="BS10:ED10" si="170">SUM(BS6:BS9)</f>
        <v>20</v>
      </c>
      <c r="BT10" s="131">
        <f t="shared" si="170"/>
        <v>4</v>
      </c>
      <c r="BU10" s="131">
        <f t="shared" si="170"/>
        <v>17</v>
      </c>
      <c r="BV10" s="131">
        <f t="shared" si="170"/>
        <v>0</v>
      </c>
      <c r="BW10" s="131">
        <f t="shared" si="170"/>
        <v>11</v>
      </c>
      <c r="BX10" s="131">
        <f t="shared" si="170"/>
        <v>0</v>
      </c>
      <c r="BY10" s="131">
        <f t="shared" si="170"/>
        <v>5</v>
      </c>
      <c r="BZ10" s="131">
        <f t="shared" si="170"/>
        <v>0</v>
      </c>
      <c r="CA10" s="131">
        <f t="shared" si="170"/>
        <v>1</v>
      </c>
      <c r="CB10" s="131">
        <f t="shared" si="170"/>
        <v>124</v>
      </c>
      <c r="CC10" s="131">
        <f t="shared" si="170"/>
        <v>231</v>
      </c>
      <c r="CD10" s="131">
        <f t="shared" si="170"/>
        <v>225</v>
      </c>
      <c r="CE10" s="131">
        <f t="shared" si="170"/>
        <v>357</v>
      </c>
      <c r="CF10" s="131">
        <f t="shared" si="170"/>
        <v>582</v>
      </c>
      <c r="CG10" s="131">
        <f t="shared" si="170"/>
        <v>4</v>
      </c>
      <c r="CH10" s="131">
        <f t="shared" si="170"/>
        <v>31</v>
      </c>
      <c r="CI10" s="131">
        <f t="shared" si="170"/>
        <v>20</v>
      </c>
      <c r="CJ10" s="131">
        <f t="shared" si="170"/>
        <v>17</v>
      </c>
      <c r="CK10" s="131">
        <f t="shared" si="170"/>
        <v>31</v>
      </c>
      <c r="CL10" s="131">
        <f t="shared" si="170"/>
        <v>21</v>
      </c>
      <c r="CM10" s="131">
        <f t="shared" si="170"/>
        <v>22</v>
      </c>
      <c r="CN10" s="131">
        <f t="shared" si="170"/>
        <v>9</v>
      </c>
      <c r="CO10" s="131">
        <f t="shared" si="170"/>
        <v>6</v>
      </c>
      <c r="CP10" s="131">
        <f t="shared" si="170"/>
        <v>8</v>
      </c>
      <c r="CQ10" s="131">
        <f t="shared" si="170"/>
        <v>5</v>
      </c>
      <c r="CR10" s="131">
        <f t="shared" si="170"/>
        <v>5</v>
      </c>
      <c r="CS10" s="131">
        <f t="shared" si="170"/>
        <v>125</v>
      </c>
      <c r="CT10" s="131">
        <f t="shared" si="170"/>
        <v>197</v>
      </c>
      <c r="CU10" s="131">
        <f t="shared" si="170"/>
        <v>213</v>
      </c>
      <c r="CV10" s="131">
        <f t="shared" si="170"/>
        <v>288</v>
      </c>
      <c r="CW10" s="131">
        <f t="shared" si="170"/>
        <v>501</v>
      </c>
      <c r="CX10" s="131">
        <f t="shared" si="170"/>
        <v>3</v>
      </c>
      <c r="CY10" s="131">
        <f t="shared" si="170"/>
        <v>6</v>
      </c>
      <c r="CZ10" s="131">
        <f t="shared" si="170"/>
        <v>15</v>
      </c>
      <c r="DA10" s="131">
        <f t="shared" si="170"/>
        <v>24</v>
      </c>
      <c r="DB10" s="131">
        <f t="shared" si="170"/>
        <v>23</v>
      </c>
      <c r="DC10" s="131">
        <f t="shared" si="170"/>
        <v>19</v>
      </c>
      <c r="DD10" s="131">
        <f t="shared" si="170"/>
        <v>12</v>
      </c>
      <c r="DE10" s="131">
        <f t="shared" si="170"/>
        <v>8</v>
      </c>
      <c r="DF10" s="131">
        <f t="shared" si="170"/>
        <v>14</v>
      </c>
      <c r="DG10" s="131">
        <f t="shared" si="170"/>
        <v>5</v>
      </c>
      <c r="DH10" s="131">
        <f t="shared" si="170"/>
        <v>8</v>
      </c>
      <c r="DI10" s="131">
        <f t="shared" si="170"/>
        <v>6</v>
      </c>
      <c r="DJ10" s="131">
        <f t="shared" si="170"/>
        <v>75</v>
      </c>
      <c r="DK10" s="131">
        <f t="shared" si="170"/>
        <v>68</v>
      </c>
      <c r="DL10" s="131">
        <f t="shared" si="170"/>
        <v>143</v>
      </c>
      <c r="DM10" s="131">
        <f t="shared" si="170"/>
        <v>2</v>
      </c>
      <c r="DN10" s="131">
        <f t="shared" si="170"/>
        <v>4</v>
      </c>
      <c r="DO10" s="131">
        <f t="shared" si="170"/>
        <v>14</v>
      </c>
      <c r="DP10" s="131">
        <f t="shared" si="170"/>
        <v>30</v>
      </c>
      <c r="DQ10" s="131">
        <f t="shared" si="170"/>
        <v>16</v>
      </c>
      <c r="DR10" s="131">
        <f t="shared" si="170"/>
        <v>8</v>
      </c>
      <c r="DS10" s="131">
        <f t="shared" si="170"/>
        <v>22</v>
      </c>
      <c r="DT10" s="131">
        <f t="shared" si="170"/>
        <v>8</v>
      </c>
      <c r="DU10" s="131">
        <f t="shared" si="170"/>
        <v>15</v>
      </c>
      <c r="DV10" s="131">
        <f t="shared" si="170"/>
        <v>28</v>
      </c>
      <c r="DW10" s="131">
        <f t="shared" si="170"/>
        <v>69</v>
      </c>
      <c r="DX10" s="131">
        <f t="shared" si="170"/>
        <v>78</v>
      </c>
      <c r="DY10" s="131">
        <f t="shared" si="170"/>
        <v>147</v>
      </c>
      <c r="DZ10" s="131">
        <f t="shared" si="170"/>
        <v>1</v>
      </c>
      <c r="EA10" s="131">
        <f t="shared" si="170"/>
        <v>5</v>
      </c>
      <c r="EB10" s="131">
        <f t="shared" si="170"/>
        <v>48</v>
      </c>
      <c r="EC10" s="131">
        <f t="shared" si="170"/>
        <v>89</v>
      </c>
      <c r="ED10" s="131">
        <f t="shared" si="170"/>
        <v>104</v>
      </c>
      <c r="EE10" s="131">
        <f t="shared" ref="EE10:GP10" si="171">SUM(EE6:EE9)</f>
        <v>118</v>
      </c>
      <c r="EF10" s="131">
        <f t="shared" si="171"/>
        <v>77</v>
      </c>
      <c r="EG10" s="131">
        <f t="shared" si="171"/>
        <v>72</v>
      </c>
      <c r="EH10" s="131">
        <f t="shared" si="171"/>
        <v>57</v>
      </c>
      <c r="EI10" s="131">
        <f t="shared" si="171"/>
        <v>77</v>
      </c>
      <c r="EJ10" s="131">
        <f t="shared" si="171"/>
        <v>63</v>
      </c>
      <c r="EK10" s="131">
        <f t="shared" si="171"/>
        <v>83</v>
      </c>
      <c r="EL10" s="131">
        <f t="shared" si="171"/>
        <v>34</v>
      </c>
      <c r="EM10" s="131">
        <f t="shared" si="171"/>
        <v>33</v>
      </c>
      <c r="EN10" s="131">
        <f t="shared" si="171"/>
        <v>41</v>
      </c>
      <c r="EO10" s="131">
        <f t="shared" si="171"/>
        <v>19</v>
      </c>
      <c r="EP10" s="131">
        <f t="shared" si="171"/>
        <v>453</v>
      </c>
      <c r="EQ10" s="131">
        <f t="shared" si="171"/>
        <v>740</v>
      </c>
      <c r="ER10" s="131">
        <f t="shared" si="171"/>
        <v>878</v>
      </c>
      <c r="ES10" s="131">
        <f t="shared" si="171"/>
        <v>1236</v>
      </c>
      <c r="ET10" s="131">
        <f t="shared" si="171"/>
        <v>2114</v>
      </c>
      <c r="EU10" s="131">
        <f t="shared" si="171"/>
        <v>0</v>
      </c>
      <c r="EV10" s="131">
        <f t="shared" si="171"/>
        <v>0</v>
      </c>
      <c r="EW10" s="131">
        <f t="shared" si="171"/>
        <v>183</v>
      </c>
      <c r="EX10" s="131">
        <f t="shared" si="171"/>
        <v>396</v>
      </c>
      <c r="EY10" s="131">
        <f t="shared" si="171"/>
        <v>212</v>
      </c>
      <c r="EZ10" s="131">
        <f t="shared" si="171"/>
        <v>408</v>
      </c>
      <c r="FA10" s="131">
        <f t="shared" si="171"/>
        <v>276</v>
      </c>
      <c r="FB10" s="131">
        <f t="shared" si="171"/>
        <v>0</v>
      </c>
      <c r="FC10" s="131">
        <f t="shared" si="171"/>
        <v>207</v>
      </c>
      <c r="FD10" s="131">
        <f t="shared" si="171"/>
        <v>0</v>
      </c>
      <c r="FE10" s="131">
        <f t="shared" si="171"/>
        <v>0</v>
      </c>
      <c r="FF10" s="131">
        <f t="shared" si="171"/>
        <v>432</v>
      </c>
      <c r="FG10" s="131">
        <f t="shared" si="171"/>
        <v>878</v>
      </c>
      <c r="FH10" s="131">
        <f t="shared" si="171"/>
        <v>1236</v>
      </c>
      <c r="FI10" s="131">
        <f t="shared" si="171"/>
        <v>2114</v>
      </c>
      <c r="FJ10" s="131">
        <f t="shared" si="171"/>
        <v>12</v>
      </c>
      <c r="FK10" s="131">
        <f t="shared" si="171"/>
        <v>12</v>
      </c>
      <c r="FL10" s="131">
        <f t="shared" si="171"/>
        <v>0</v>
      </c>
      <c r="FM10" s="131">
        <f t="shared" si="171"/>
        <v>12</v>
      </c>
      <c r="FN10" s="131">
        <f t="shared" si="171"/>
        <v>10</v>
      </c>
      <c r="FO10" s="131">
        <f t="shared" si="171"/>
        <v>0</v>
      </c>
      <c r="FP10" s="131">
        <f t="shared" si="171"/>
        <v>13</v>
      </c>
      <c r="FQ10" s="131">
        <f t="shared" si="171"/>
        <v>10</v>
      </c>
      <c r="FR10" s="131">
        <f t="shared" si="171"/>
        <v>0</v>
      </c>
      <c r="FS10" s="131">
        <f t="shared" si="171"/>
        <v>5</v>
      </c>
      <c r="FT10" s="131">
        <f t="shared" si="171"/>
        <v>4</v>
      </c>
      <c r="FU10" s="131">
        <f t="shared" si="171"/>
        <v>0</v>
      </c>
      <c r="FV10" s="131">
        <f t="shared" si="171"/>
        <v>5</v>
      </c>
      <c r="FW10" s="131">
        <f t="shared" si="171"/>
        <v>4</v>
      </c>
      <c r="FX10" s="131">
        <f t="shared" si="171"/>
        <v>0</v>
      </c>
      <c r="FY10" s="131">
        <f t="shared" si="171"/>
        <v>47</v>
      </c>
      <c r="FZ10" s="131">
        <f t="shared" si="171"/>
        <v>40</v>
      </c>
      <c r="GA10" s="131">
        <f t="shared" si="171"/>
        <v>0</v>
      </c>
      <c r="GB10" s="131">
        <f t="shared" si="171"/>
        <v>87</v>
      </c>
      <c r="GC10" s="131">
        <f t="shared" si="171"/>
        <v>28</v>
      </c>
      <c r="GD10" s="131">
        <f t="shared" si="171"/>
        <v>6</v>
      </c>
      <c r="GE10" s="131">
        <f t="shared" si="171"/>
        <v>4</v>
      </c>
      <c r="GF10" s="131">
        <f t="shared" si="171"/>
        <v>12</v>
      </c>
      <c r="GG10" s="131">
        <f t="shared" si="171"/>
        <v>1</v>
      </c>
      <c r="GH10" s="131">
        <f t="shared" si="171"/>
        <v>2</v>
      </c>
      <c r="GI10" s="131">
        <f t="shared" si="171"/>
        <v>0</v>
      </c>
      <c r="GJ10" s="131">
        <f t="shared" si="171"/>
        <v>0</v>
      </c>
      <c r="GK10" s="131">
        <f t="shared" si="171"/>
        <v>0</v>
      </c>
      <c r="GL10" s="131">
        <f t="shared" si="171"/>
        <v>0</v>
      </c>
      <c r="GM10" s="131">
        <f t="shared" si="171"/>
        <v>33</v>
      </c>
      <c r="GN10" s="131">
        <f t="shared" si="171"/>
        <v>20</v>
      </c>
      <c r="GO10" s="131">
        <f t="shared" si="171"/>
        <v>53</v>
      </c>
      <c r="GP10" s="131">
        <f t="shared" si="171"/>
        <v>0</v>
      </c>
      <c r="GQ10" s="131">
        <f t="shared" ref="GQ10:JB10" si="172">SUM(GQ6:GQ9)</f>
        <v>0</v>
      </c>
      <c r="GR10" s="131">
        <f t="shared" si="172"/>
        <v>0</v>
      </c>
      <c r="GS10" s="131">
        <f t="shared" si="172"/>
        <v>0</v>
      </c>
      <c r="GT10" s="131">
        <f t="shared" si="172"/>
        <v>0</v>
      </c>
      <c r="GU10" s="131">
        <f t="shared" si="172"/>
        <v>0</v>
      </c>
      <c r="GV10" s="131">
        <f t="shared" si="172"/>
        <v>0</v>
      </c>
      <c r="GW10" s="131">
        <f t="shared" si="172"/>
        <v>0</v>
      </c>
      <c r="GX10" s="131">
        <f t="shared" si="172"/>
        <v>0</v>
      </c>
      <c r="GY10" s="131">
        <f t="shared" si="172"/>
        <v>0</v>
      </c>
      <c r="GZ10" s="131">
        <f t="shared" si="172"/>
        <v>0</v>
      </c>
      <c r="HA10" s="131">
        <f t="shared" si="172"/>
        <v>0</v>
      </c>
      <c r="HB10" s="131">
        <f t="shared" si="172"/>
        <v>0</v>
      </c>
      <c r="HC10" s="131">
        <f t="shared" si="172"/>
        <v>219</v>
      </c>
      <c r="HD10" s="131">
        <f t="shared" si="172"/>
        <v>339</v>
      </c>
      <c r="HE10" s="131">
        <f t="shared" si="172"/>
        <v>208</v>
      </c>
      <c r="HF10" s="131">
        <f t="shared" si="172"/>
        <v>288</v>
      </c>
      <c r="HG10" s="131">
        <f t="shared" si="172"/>
        <v>72</v>
      </c>
      <c r="HH10" s="131">
        <f t="shared" si="172"/>
        <v>66</v>
      </c>
      <c r="HI10" s="131">
        <f t="shared" si="172"/>
        <v>69</v>
      </c>
      <c r="HJ10" s="131">
        <f t="shared" si="172"/>
        <v>78</v>
      </c>
      <c r="HK10" s="131">
        <f t="shared" si="172"/>
        <v>109</v>
      </c>
      <c r="HL10" s="131">
        <f t="shared" si="172"/>
        <v>101</v>
      </c>
      <c r="HM10" s="131">
        <f t="shared" si="172"/>
        <v>677</v>
      </c>
      <c r="HN10" s="131">
        <f t="shared" si="172"/>
        <v>872</v>
      </c>
      <c r="HO10" s="131">
        <f t="shared" si="172"/>
        <v>1549</v>
      </c>
      <c r="HP10" s="131">
        <f t="shared" si="172"/>
        <v>8</v>
      </c>
      <c r="HQ10" s="131">
        <f t="shared" si="172"/>
        <v>7</v>
      </c>
      <c r="HR10" s="131">
        <f t="shared" si="172"/>
        <v>5</v>
      </c>
      <c r="HS10" s="131">
        <f t="shared" si="172"/>
        <v>4</v>
      </c>
      <c r="HT10" s="131">
        <f t="shared" si="172"/>
        <v>7</v>
      </c>
      <c r="HU10" s="131">
        <f t="shared" si="172"/>
        <v>1</v>
      </c>
      <c r="HV10" s="131">
        <f t="shared" si="172"/>
        <v>5</v>
      </c>
      <c r="HW10" s="131">
        <f t="shared" si="172"/>
        <v>0</v>
      </c>
      <c r="HX10" s="131">
        <f t="shared" si="172"/>
        <v>0</v>
      </c>
      <c r="HY10" s="131">
        <f t="shared" si="172"/>
        <v>0</v>
      </c>
      <c r="HZ10" s="131">
        <f t="shared" si="172"/>
        <v>25</v>
      </c>
      <c r="IA10" s="131">
        <f t="shared" si="172"/>
        <v>12</v>
      </c>
      <c r="IB10" s="131">
        <f t="shared" si="172"/>
        <v>37</v>
      </c>
      <c r="IC10" s="131">
        <f t="shared" si="172"/>
        <v>1</v>
      </c>
      <c r="ID10" s="131">
        <f t="shared" si="172"/>
        <v>15</v>
      </c>
      <c r="IE10" s="131">
        <f t="shared" si="172"/>
        <v>0</v>
      </c>
      <c r="IF10" s="131">
        <f t="shared" si="172"/>
        <v>13</v>
      </c>
      <c r="IG10" s="131">
        <f t="shared" si="172"/>
        <v>0</v>
      </c>
      <c r="IH10" s="131">
        <f t="shared" si="172"/>
        <v>1</v>
      </c>
      <c r="II10" s="131">
        <f t="shared" si="172"/>
        <v>1</v>
      </c>
      <c r="IJ10" s="131">
        <f t="shared" si="172"/>
        <v>0</v>
      </c>
      <c r="IK10" s="131">
        <f t="shared" si="172"/>
        <v>0</v>
      </c>
      <c r="IL10" s="131">
        <f t="shared" si="172"/>
        <v>0</v>
      </c>
      <c r="IM10" s="131">
        <f t="shared" si="172"/>
        <v>2</v>
      </c>
      <c r="IN10" s="131">
        <f t="shared" si="172"/>
        <v>29</v>
      </c>
      <c r="IO10" s="131">
        <f t="shared" si="172"/>
        <v>31</v>
      </c>
      <c r="IP10" s="131">
        <f t="shared" si="172"/>
        <v>0</v>
      </c>
      <c r="IQ10" s="131">
        <f t="shared" si="172"/>
        <v>0</v>
      </c>
      <c r="IR10" s="131">
        <f t="shared" si="172"/>
        <v>0</v>
      </c>
      <c r="IS10" s="131">
        <f t="shared" si="172"/>
        <v>0</v>
      </c>
      <c r="IT10" s="131">
        <f t="shared" si="172"/>
        <v>0</v>
      </c>
      <c r="IU10" s="131">
        <f t="shared" si="172"/>
        <v>0</v>
      </c>
      <c r="IV10" s="131">
        <f t="shared" si="172"/>
        <v>0</v>
      </c>
      <c r="IW10" s="131">
        <f t="shared" si="172"/>
        <v>0</v>
      </c>
      <c r="IX10" s="131">
        <f t="shared" si="172"/>
        <v>0</v>
      </c>
      <c r="IY10" s="131">
        <f t="shared" si="172"/>
        <v>0</v>
      </c>
      <c r="IZ10" s="131">
        <f t="shared" si="172"/>
        <v>0</v>
      </c>
      <c r="JA10" s="131">
        <f t="shared" si="172"/>
        <v>0</v>
      </c>
      <c r="JB10" s="131">
        <f t="shared" si="172"/>
        <v>0</v>
      </c>
      <c r="JC10" s="131">
        <f t="shared" ref="JC10:LM10" si="173">SUM(JC6:JC9)</f>
        <v>2</v>
      </c>
      <c r="JD10" s="131">
        <f t="shared" si="173"/>
        <v>2</v>
      </c>
      <c r="JE10" s="131">
        <f t="shared" si="173"/>
        <v>4</v>
      </c>
      <c r="JF10" s="131">
        <f t="shared" si="173"/>
        <v>4</v>
      </c>
      <c r="JG10" s="131">
        <f t="shared" si="173"/>
        <v>39</v>
      </c>
      <c r="JH10" s="131">
        <f t="shared" si="173"/>
        <v>32</v>
      </c>
      <c r="JI10" s="131">
        <f t="shared" si="173"/>
        <v>10</v>
      </c>
      <c r="JJ10" s="131">
        <f t="shared" si="173"/>
        <v>1</v>
      </c>
      <c r="JK10" s="131">
        <f t="shared" si="173"/>
        <v>2</v>
      </c>
      <c r="JL10" s="131">
        <f t="shared" si="173"/>
        <v>1</v>
      </c>
      <c r="JM10" s="131">
        <f t="shared" si="173"/>
        <v>57</v>
      </c>
      <c r="JN10" s="131">
        <f t="shared" si="173"/>
        <v>40</v>
      </c>
      <c r="JO10" s="131">
        <f t="shared" si="173"/>
        <v>97</v>
      </c>
      <c r="JP10" s="131">
        <f t="shared" si="173"/>
        <v>1</v>
      </c>
      <c r="JQ10" s="131">
        <f t="shared" si="173"/>
        <v>0</v>
      </c>
      <c r="JR10" s="131">
        <f t="shared" si="173"/>
        <v>0</v>
      </c>
      <c r="JS10" s="131">
        <f t="shared" si="173"/>
        <v>3</v>
      </c>
      <c r="JT10" s="131">
        <f t="shared" si="173"/>
        <v>0</v>
      </c>
      <c r="JU10" s="131">
        <f t="shared" si="173"/>
        <v>1</v>
      </c>
      <c r="JV10" s="131">
        <f t="shared" si="173"/>
        <v>0</v>
      </c>
      <c r="JW10" s="131">
        <f t="shared" si="173"/>
        <v>0</v>
      </c>
      <c r="JX10" s="131">
        <f t="shared" si="173"/>
        <v>0</v>
      </c>
      <c r="JY10" s="131">
        <f t="shared" si="173"/>
        <v>1</v>
      </c>
      <c r="JZ10" s="131">
        <f t="shared" si="173"/>
        <v>4</v>
      </c>
      <c r="KA10" s="131">
        <f t="shared" si="173"/>
        <v>3</v>
      </c>
      <c r="KB10" s="131">
        <f t="shared" si="173"/>
        <v>2</v>
      </c>
      <c r="KC10" s="131">
        <f t="shared" si="173"/>
        <v>0</v>
      </c>
      <c r="KD10" s="131">
        <f t="shared" si="173"/>
        <v>0</v>
      </c>
      <c r="KE10" s="131">
        <f t="shared" si="173"/>
        <v>0</v>
      </c>
      <c r="KF10" s="131">
        <f t="shared" si="173"/>
        <v>0</v>
      </c>
      <c r="KG10" s="131">
        <f t="shared" si="173"/>
        <v>0</v>
      </c>
      <c r="KH10" s="131">
        <f t="shared" si="173"/>
        <v>0</v>
      </c>
      <c r="KI10" s="131">
        <f t="shared" si="173"/>
        <v>0</v>
      </c>
      <c r="KJ10" s="131">
        <f t="shared" si="173"/>
        <v>7</v>
      </c>
      <c r="KK10" s="131">
        <f t="shared" si="173"/>
        <v>8</v>
      </c>
      <c r="KL10" s="131">
        <f t="shared" si="173"/>
        <v>15</v>
      </c>
      <c r="KM10" s="131">
        <f t="shared" si="173"/>
        <v>57</v>
      </c>
      <c r="KN10" s="131">
        <f t="shared" si="173"/>
        <v>40</v>
      </c>
      <c r="KO10" s="131">
        <f t="shared" si="173"/>
        <v>0</v>
      </c>
      <c r="KP10" s="131">
        <f t="shared" si="173"/>
        <v>0</v>
      </c>
      <c r="KQ10" s="131">
        <f t="shared" si="173"/>
        <v>0</v>
      </c>
      <c r="KR10" s="131">
        <f t="shared" si="173"/>
        <v>0</v>
      </c>
      <c r="KS10" s="131">
        <f t="shared" si="173"/>
        <v>57</v>
      </c>
      <c r="KT10" s="131">
        <f t="shared" si="173"/>
        <v>40</v>
      </c>
      <c r="KU10" s="131">
        <f t="shared" si="173"/>
        <v>97</v>
      </c>
      <c r="KV10" s="131">
        <f t="shared" si="173"/>
        <v>49</v>
      </c>
      <c r="KW10" s="131">
        <f t="shared" si="173"/>
        <v>35</v>
      </c>
      <c r="KX10" s="131">
        <f t="shared" si="173"/>
        <v>0</v>
      </c>
      <c r="KY10" s="131">
        <f t="shared" si="173"/>
        <v>0</v>
      </c>
      <c r="KZ10" s="131">
        <f t="shared" si="173"/>
        <v>5</v>
      </c>
      <c r="LA10" s="131">
        <f t="shared" si="173"/>
        <v>1</v>
      </c>
      <c r="LB10" s="131">
        <f t="shared" si="173"/>
        <v>0</v>
      </c>
      <c r="LC10" s="131">
        <f t="shared" si="173"/>
        <v>0</v>
      </c>
      <c r="LD10" s="131">
        <f t="shared" si="173"/>
        <v>0</v>
      </c>
      <c r="LE10" s="131">
        <f t="shared" si="173"/>
        <v>0</v>
      </c>
      <c r="LF10" s="131">
        <f t="shared" si="173"/>
        <v>1</v>
      </c>
      <c r="LG10" s="131">
        <f t="shared" si="173"/>
        <v>2</v>
      </c>
      <c r="LH10" s="131">
        <f t="shared" si="173"/>
        <v>0</v>
      </c>
      <c r="LI10" s="131">
        <f t="shared" si="173"/>
        <v>0</v>
      </c>
      <c r="LJ10" s="131">
        <f t="shared" si="173"/>
        <v>0</v>
      </c>
      <c r="LK10" s="131">
        <f t="shared" si="173"/>
        <v>0</v>
      </c>
      <c r="LL10" s="131">
        <f t="shared" si="173"/>
        <v>2</v>
      </c>
      <c r="LM10" s="131">
        <f t="shared" si="173"/>
        <v>2</v>
      </c>
      <c r="LN10" s="139">
        <f t="shared" si="131"/>
        <v>57</v>
      </c>
      <c r="LO10" s="139">
        <f t="shared" si="132"/>
        <v>40</v>
      </c>
      <c r="LP10" s="131">
        <f t="shared" ref="LP10:NY10" si="174">SUM(LP6:LP9)</f>
        <v>97</v>
      </c>
      <c r="LQ10" s="131">
        <f t="shared" si="174"/>
        <v>0</v>
      </c>
      <c r="LR10" s="131">
        <f t="shared" si="174"/>
        <v>0</v>
      </c>
      <c r="LS10" s="131">
        <f t="shared" si="174"/>
        <v>0</v>
      </c>
      <c r="LT10" s="131">
        <f t="shared" si="174"/>
        <v>0</v>
      </c>
      <c r="LU10" s="131">
        <f t="shared" si="174"/>
        <v>0</v>
      </c>
      <c r="LV10" s="131">
        <f t="shared" si="174"/>
        <v>0</v>
      </c>
      <c r="LW10" s="131">
        <f t="shared" si="174"/>
        <v>0</v>
      </c>
      <c r="LX10" s="131">
        <f t="shared" si="174"/>
        <v>4</v>
      </c>
      <c r="LY10" s="131">
        <f t="shared" si="174"/>
        <v>0</v>
      </c>
      <c r="LZ10" s="131">
        <f t="shared" si="174"/>
        <v>0</v>
      </c>
      <c r="MA10" s="131">
        <f t="shared" si="174"/>
        <v>1</v>
      </c>
      <c r="MB10" s="131">
        <f t="shared" si="174"/>
        <v>1</v>
      </c>
      <c r="MC10" s="131">
        <f t="shared" si="174"/>
        <v>1</v>
      </c>
      <c r="MD10" s="131">
        <f t="shared" si="174"/>
        <v>3</v>
      </c>
      <c r="ME10" s="131">
        <f t="shared" si="174"/>
        <v>0</v>
      </c>
      <c r="MF10" s="131">
        <f t="shared" si="174"/>
        <v>0</v>
      </c>
      <c r="MG10" s="131">
        <f t="shared" si="174"/>
        <v>2</v>
      </c>
      <c r="MH10" s="131">
        <f t="shared" si="174"/>
        <v>8</v>
      </c>
      <c r="MI10" s="131">
        <f t="shared" si="174"/>
        <v>10</v>
      </c>
      <c r="MJ10" s="131">
        <f t="shared" si="174"/>
        <v>0</v>
      </c>
      <c r="MK10" s="131">
        <f t="shared" si="174"/>
        <v>0</v>
      </c>
      <c r="ML10" s="131">
        <f t="shared" si="174"/>
        <v>0</v>
      </c>
      <c r="MM10" s="131">
        <f t="shared" si="174"/>
        <v>0</v>
      </c>
      <c r="MN10" s="131">
        <f t="shared" si="174"/>
        <v>0</v>
      </c>
      <c r="MO10" s="131">
        <f t="shared" si="174"/>
        <v>1</v>
      </c>
      <c r="MP10" s="131">
        <f t="shared" si="174"/>
        <v>1</v>
      </c>
      <c r="MQ10" s="131">
        <f t="shared" si="174"/>
        <v>3</v>
      </c>
      <c r="MR10" s="131">
        <f t="shared" si="174"/>
        <v>0</v>
      </c>
      <c r="MS10" s="131">
        <f t="shared" si="174"/>
        <v>0</v>
      </c>
      <c r="MT10" s="131">
        <f t="shared" si="174"/>
        <v>2</v>
      </c>
      <c r="MU10" s="131">
        <f t="shared" si="174"/>
        <v>1</v>
      </c>
      <c r="MV10" s="131">
        <f t="shared" si="174"/>
        <v>2</v>
      </c>
      <c r="MW10" s="131">
        <f t="shared" si="174"/>
        <v>1</v>
      </c>
      <c r="MX10" s="131">
        <f t="shared" si="174"/>
        <v>0</v>
      </c>
      <c r="MY10" s="131">
        <f t="shared" si="174"/>
        <v>0</v>
      </c>
      <c r="MZ10" s="131">
        <f t="shared" si="174"/>
        <v>5</v>
      </c>
      <c r="NA10" s="131">
        <f t="shared" si="174"/>
        <v>6</v>
      </c>
      <c r="NB10" s="131">
        <f t="shared" si="174"/>
        <v>11</v>
      </c>
      <c r="NC10" s="131">
        <f t="shared" si="174"/>
        <v>0</v>
      </c>
      <c r="ND10" s="131">
        <f t="shared" si="174"/>
        <v>0</v>
      </c>
      <c r="NE10" s="131">
        <f t="shared" si="174"/>
        <v>0</v>
      </c>
      <c r="NF10" s="131">
        <f t="shared" si="174"/>
        <v>0</v>
      </c>
      <c r="NG10" s="131">
        <f t="shared" si="174"/>
        <v>1</v>
      </c>
      <c r="NH10" s="131">
        <f t="shared" si="174"/>
        <v>6</v>
      </c>
      <c r="NI10" s="131">
        <f t="shared" si="174"/>
        <v>1</v>
      </c>
      <c r="NJ10" s="131">
        <f t="shared" si="174"/>
        <v>2</v>
      </c>
      <c r="NK10" s="131">
        <f t="shared" si="174"/>
        <v>1</v>
      </c>
      <c r="NL10" s="131">
        <f t="shared" si="174"/>
        <v>0</v>
      </c>
      <c r="NM10" s="131">
        <f t="shared" si="174"/>
        <v>1</v>
      </c>
      <c r="NN10" s="131">
        <f t="shared" si="174"/>
        <v>1</v>
      </c>
      <c r="NO10" s="131">
        <f t="shared" si="174"/>
        <v>0</v>
      </c>
      <c r="NP10" s="131">
        <f t="shared" si="174"/>
        <v>0</v>
      </c>
      <c r="NQ10" s="131">
        <f t="shared" si="174"/>
        <v>0</v>
      </c>
      <c r="NR10" s="131">
        <f t="shared" si="174"/>
        <v>0</v>
      </c>
      <c r="NS10" s="131">
        <f t="shared" si="174"/>
        <v>4</v>
      </c>
      <c r="NT10" s="131">
        <f t="shared" si="174"/>
        <v>9</v>
      </c>
      <c r="NU10" s="131">
        <f t="shared" si="174"/>
        <v>13</v>
      </c>
      <c r="NV10" s="131">
        <f t="shared" si="174"/>
        <v>0</v>
      </c>
      <c r="NW10" s="131">
        <f t="shared" si="174"/>
        <v>0</v>
      </c>
      <c r="NX10" s="131">
        <f t="shared" si="174"/>
        <v>0</v>
      </c>
      <c r="NY10" s="131">
        <f t="shared" si="174"/>
        <v>0</v>
      </c>
      <c r="NZ10" s="131">
        <f t="shared" ref="NZ10:QK10" si="175">SUM(NZ6:NZ9)</f>
        <v>0</v>
      </c>
      <c r="OA10" s="131">
        <f t="shared" si="175"/>
        <v>0</v>
      </c>
      <c r="OB10" s="131">
        <f t="shared" si="175"/>
        <v>0</v>
      </c>
      <c r="OC10" s="131">
        <f t="shared" si="175"/>
        <v>0</v>
      </c>
      <c r="OD10" s="131">
        <f t="shared" si="175"/>
        <v>0</v>
      </c>
      <c r="OE10" s="131">
        <f t="shared" si="175"/>
        <v>0</v>
      </c>
      <c r="OF10" s="131">
        <f t="shared" si="175"/>
        <v>0</v>
      </c>
      <c r="OG10" s="131">
        <f t="shared" si="175"/>
        <v>0</v>
      </c>
      <c r="OH10" s="131">
        <f t="shared" si="175"/>
        <v>0</v>
      </c>
      <c r="OI10" s="131">
        <f t="shared" si="175"/>
        <v>0</v>
      </c>
      <c r="OJ10" s="131">
        <f t="shared" si="175"/>
        <v>0</v>
      </c>
      <c r="OK10" s="131">
        <f t="shared" si="175"/>
        <v>0</v>
      </c>
      <c r="OL10" s="131">
        <f t="shared" si="175"/>
        <v>0</v>
      </c>
      <c r="OM10" s="131">
        <f t="shared" si="175"/>
        <v>0</v>
      </c>
      <c r="ON10" s="131">
        <f t="shared" si="175"/>
        <v>0</v>
      </c>
      <c r="OO10" s="131">
        <f t="shared" si="175"/>
        <v>0</v>
      </c>
      <c r="OP10" s="131">
        <f t="shared" si="175"/>
        <v>0</v>
      </c>
      <c r="OQ10" s="131">
        <f t="shared" si="175"/>
        <v>0</v>
      </c>
      <c r="OR10" s="131">
        <f t="shared" si="175"/>
        <v>0</v>
      </c>
      <c r="OS10" s="131">
        <f t="shared" si="175"/>
        <v>0</v>
      </c>
      <c r="OT10" s="131">
        <f t="shared" si="175"/>
        <v>0</v>
      </c>
      <c r="OU10" s="131">
        <f t="shared" si="175"/>
        <v>0</v>
      </c>
      <c r="OV10" s="131">
        <f t="shared" si="175"/>
        <v>0</v>
      </c>
      <c r="OW10" s="131">
        <f t="shared" si="175"/>
        <v>0</v>
      </c>
      <c r="OX10" s="131">
        <f t="shared" si="175"/>
        <v>0</v>
      </c>
      <c r="OY10" s="131">
        <f t="shared" si="175"/>
        <v>0</v>
      </c>
      <c r="OZ10" s="131">
        <f t="shared" si="175"/>
        <v>0</v>
      </c>
      <c r="PA10" s="131">
        <f t="shared" si="175"/>
        <v>0</v>
      </c>
      <c r="PB10" s="131">
        <f t="shared" si="175"/>
        <v>0</v>
      </c>
      <c r="PC10" s="131">
        <f t="shared" si="175"/>
        <v>0</v>
      </c>
      <c r="PD10" s="131">
        <f t="shared" si="175"/>
        <v>0</v>
      </c>
      <c r="PE10" s="131">
        <f t="shared" si="175"/>
        <v>0</v>
      </c>
      <c r="PF10" s="131">
        <f t="shared" si="175"/>
        <v>0</v>
      </c>
      <c r="PG10" s="131">
        <f t="shared" si="175"/>
        <v>0</v>
      </c>
      <c r="PH10" s="131">
        <f t="shared" si="175"/>
        <v>0</v>
      </c>
      <c r="PI10" s="131">
        <f t="shared" si="175"/>
        <v>0</v>
      </c>
      <c r="PJ10" s="131">
        <f t="shared" si="175"/>
        <v>0</v>
      </c>
      <c r="PK10" s="131">
        <f t="shared" si="175"/>
        <v>0</v>
      </c>
      <c r="PL10" s="131">
        <f t="shared" si="175"/>
        <v>0</v>
      </c>
      <c r="PM10" s="131">
        <f t="shared" si="175"/>
        <v>0</v>
      </c>
      <c r="PN10" s="131">
        <f t="shared" si="175"/>
        <v>0</v>
      </c>
      <c r="PO10" s="131">
        <f t="shared" si="175"/>
        <v>0</v>
      </c>
      <c r="PP10" s="131">
        <f t="shared" si="175"/>
        <v>0</v>
      </c>
      <c r="PQ10" s="131">
        <f t="shared" si="175"/>
        <v>0</v>
      </c>
      <c r="PR10" s="131">
        <f t="shared" si="175"/>
        <v>0</v>
      </c>
      <c r="PS10" s="131">
        <f t="shared" si="175"/>
        <v>0</v>
      </c>
      <c r="PT10" s="131">
        <f t="shared" si="175"/>
        <v>0</v>
      </c>
      <c r="PU10" s="131">
        <f t="shared" si="175"/>
        <v>0</v>
      </c>
      <c r="PV10" s="131">
        <f t="shared" si="175"/>
        <v>0</v>
      </c>
      <c r="PW10" s="131">
        <f t="shared" si="175"/>
        <v>0</v>
      </c>
      <c r="PX10" s="131">
        <f t="shared" si="175"/>
        <v>0</v>
      </c>
      <c r="PY10" s="131">
        <f t="shared" si="175"/>
        <v>0</v>
      </c>
      <c r="PZ10" s="131">
        <f t="shared" si="175"/>
        <v>0</v>
      </c>
      <c r="QA10" s="131">
        <f t="shared" si="175"/>
        <v>0</v>
      </c>
      <c r="QB10" s="131">
        <f t="shared" si="175"/>
        <v>0</v>
      </c>
      <c r="QC10" s="131">
        <f t="shared" si="175"/>
        <v>0</v>
      </c>
      <c r="QD10" s="131">
        <f t="shared" si="175"/>
        <v>0</v>
      </c>
      <c r="QE10" s="131">
        <f t="shared" si="175"/>
        <v>0</v>
      </c>
      <c r="QF10" s="131">
        <f t="shared" si="175"/>
        <v>0</v>
      </c>
      <c r="QG10" s="131">
        <f t="shared" si="175"/>
        <v>0</v>
      </c>
      <c r="QH10" s="131">
        <f t="shared" si="175"/>
        <v>0</v>
      </c>
      <c r="QI10" s="131">
        <f t="shared" si="175"/>
        <v>0</v>
      </c>
      <c r="QJ10" s="131">
        <f t="shared" si="175"/>
        <v>0</v>
      </c>
      <c r="QK10" s="131">
        <f t="shared" si="175"/>
        <v>0</v>
      </c>
      <c r="QL10" s="131">
        <f t="shared" ref="QL10:SW10" si="176">SUM(QL6:QL9)</f>
        <v>0</v>
      </c>
      <c r="QM10" s="131">
        <f t="shared" si="176"/>
        <v>0</v>
      </c>
      <c r="QN10" s="131">
        <f t="shared" si="176"/>
        <v>0</v>
      </c>
      <c r="QO10" s="131">
        <f t="shared" si="176"/>
        <v>0</v>
      </c>
      <c r="QP10" s="131">
        <f t="shared" si="176"/>
        <v>0</v>
      </c>
      <c r="QQ10" s="131">
        <f t="shared" si="176"/>
        <v>0</v>
      </c>
      <c r="QR10" s="131">
        <f t="shared" si="176"/>
        <v>0</v>
      </c>
      <c r="QS10" s="131">
        <f t="shared" si="176"/>
        <v>0</v>
      </c>
      <c r="QT10" s="131">
        <f t="shared" si="176"/>
        <v>0</v>
      </c>
      <c r="QU10" s="131">
        <f t="shared" si="176"/>
        <v>0</v>
      </c>
      <c r="QV10" s="131">
        <f t="shared" si="176"/>
        <v>0</v>
      </c>
      <c r="QW10" s="131">
        <f t="shared" si="176"/>
        <v>0</v>
      </c>
      <c r="QX10" s="131">
        <f t="shared" si="176"/>
        <v>0</v>
      </c>
      <c r="QY10" s="131">
        <f t="shared" si="176"/>
        <v>0</v>
      </c>
      <c r="QZ10" s="131">
        <f t="shared" si="176"/>
        <v>0</v>
      </c>
      <c r="RA10" s="131">
        <f t="shared" si="176"/>
        <v>0</v>
      </c>
      <c r="RB10" s="131">
        <f t="shared" si="176"/>
        <v>0</v>
      </c>
      <c r="RC10" s="131">
        <f t="shared" si="176"/>
        <v>0</v>
      </c>
      <c r="RD10" s="131">
        <f t="shared" si="176"/>
        <v>0</v>
      </c>
      <c r="RE10" s="131">
        <f t="shared" si="176"/>
        <v>0</v>
      </c>
      <c r="RF10" s="131">
        <f t="shared" si="176"/>
        <v>0</v>
      </c>
      <c r="RG10" s="131">
        <f t="shared" si="176"/>
        <v>0</v>
      </c>
      <c r="RH10" s="131">
        <f t="shared" si="176"/>
        <v>0</v>
      </c>
      <c r="RI10" s="131">
        <f t="shared" si="176"/>
        <v>0</v>
      </c>
      <c r="RJ10" s="131">
        <f t="shared" si="176"/>
        <v>0</v>
      </c>
      <c r="RK10" s="131">
        <f t="shared" si="176"/>
        <v>0</v>
      </c>
      <c r="RL10" s="131">
        <f t="shared" si="176"/>
        <v>0</v>
      </c>
      <c r="RM10" s="131">
        <f t="shared" si="176"/>
        <v>0</v>
      </c>
      <c r="RN10" s="131">
        <f t="shared" si="176"/>
        <v>0</v>
      </c>
      <c r="RO10" s="131">
        <f t="shared" si="176"/>
        <v>0</v>
      </c>
      <c r="RP10" s="131">
        <f t="shared" si="176"/>
        <v>0</v>
      </c>
      <c r="RQ10" s="131">
        <f t="shared" si="176"/>
        <v>0</v>
      </c>
      <c r="RR10" s="131">
        <f t="shared" si="176"/>
        <v>0</v>
      </c>
      <c r="RS10" s="131">
        <f t="shared" si="176"/>
        <v>0</v>
      </c>
      <c r="RT10" s="131">
        <f t="shared" si="176"/>
        <v>0</v>
      </c>
      <c r="RU10" s="131">
        <f t="shared" si="176"/>
        <v>0</v>
      </c>
      <c r="RV10" s="131">
        <f t="shared" si="176"/>
        <v>0</v>
      </c>
      <c r="RW10" s="131">
        <f t="shared" si="176"/>
        <v>0</v>
      </c>
      <c r="RX10" s="131">
        <f t="shared" si="176"/>
        <v>0</v>
      </c>
      <c r="RY10" s="131">
        <f t="shared" si="176"/>
        <v>0</v>
      </c>
      <c r="RZ10" s="131">
        <f t="shared" si="176"/>
        <v>0</v>
      </c>
      <c r="SA10" s="131">
        <f t="shared" si="176"/>
        <v>0</v>
      </c>
      <c r="SB10" s="131">
        <f t="shared" si="176"/>
        <v>0</v>
      </c>
      <c r="SC10" s="131">
        <f t="shared" si="176"/>
        <v>0</v>
      </c>
      <c r="SD10" s="131">
        <f t="shared" si="176"/>
        <v>0</v>
      </c>
      <c r="SE10" s="131">
        <f t="shared" si="176"/>
        <v>0</v>
      </c>
      <c r="SF10" s="131">
        <f t="shared" si="176"/>
        <v>0</v>
      </c>
      <c r="SG10" s="131">
        <f t="shared" si="176"/>
        <v>0</v>
      </c>
      <c r="SH10" s="131">
        <f t="shared" si="176"/>
        <v>0</v>
      </c>
      <c r="SI10" s="131">
        <f t="shared" si="176"/>
        <v>0</v>
      </c>
      <c r="SJ10" s="131">
        <f t="shared" si="176"/>
        <v>0</v>
      </c>
      <c r="SK10" s="131">
        <f t="shared" si="176"/>
        <v>0</v>
      </c>
      <c r="SL10" s="131">
        <f t="shared" si="176"/>
        <v>0</v>
      </c>
      <c r="SM10" s="131">
        <f t="shared" si="176"/>
        <v>0</v>
      </c>
      <c r="SN10" s="131">
        <f t="shared" si="176"/>
        <v>0</v>
      </c>
      <c r="SO10" s="131">
        <f t="shared" si="176"/>
        <v>0</v>
      </c>
      <c r="SP10" s="131">
        <f t="shared" si="176"/>
        <v>0</v>
      </c>
      <c r="SQ10" s="131">
        <f t="shared" si="176"/>
        <v>0</v>
      </c>
      <c r="SR10" s="131">
        <f t="shared" si="176"/>
        <v>0</v>
      </c>
      <c r="SS10" s="131">
        <f t="shared" si="176"/>
        <v>0</v>
      </c>
      <c r="ST10" s="131">
        <f t="shared" si="176"/>
        <v>0</v>
      </c>
      <c r="SU10" s="131">
        <f t="shared" si="176"/>
        <v>0</v>
      </c>
      <c r="SV10" s="131">
        <f t="shared" si="176"/>
        <v>0</v>
      </c>
      <c r="SW10" s="131">
        <f t="shared" si="176"/>
        <v>0</v>
      </c>
      <c r="SX10" s="131">
        <f t="shared" ref="SX10:VI10" si="177">SUM(SX6:SX9)</f>
        <v>0</v>
      </c>
      <c r="SY10" s="131">
        <f t="shared" si="177"/>
        <v>0</v>
      </c>
      <c r="SZ10" s="131">
        <f t="shared" si="177"/>
        <v>0</v>
      </c>
      <c r="TA10" s="131">
        <f t="shared" si="177"/>
        <v>0</v>
      </c>
      <c r="TB10" s="131">
        <f t="shared" si="177"/>
        <v>0</v>
      </c>
      <c r="TC10" s="131">
        <f t="shared" si="177"/>
        <v>0</v>
      </c>
      <c r="TD10" s="131">
        <f t="shared" si="177"/>
        <v>0</v>
      </c>
      <c r="TE10" s="131">
        <f t="shared" si="177"/>
        <v>0</v>
      </c>
      <c r="TF10" s="131">
        <f t="shared" si="177"/>
        <v>0</v>
      </c>
      <c r="TG10" s="131">
        <f t="shared" si="177"/>
        <v>0</v>
      </c>
      <c r="TH10" s="131">
        <f t="shared" si="177"/>
        <v>0</v>
      </c>
      <c r="TI10" s="131">
        <f t="shared" si="177"/>
        <v>0</v>
      </c>
      <c r="TJ10" s="131">
        <f t="shared" si="177"/>
        <v>0</v>
      </c>
      <c r="TK10" s="131">
        <f t="shared" si="177"/>
        <v>0</v>
      </c>
      <c r="TL10" s="131">
        <f t="shared" si="177"/>
        <v>0</v>
      </c>
      <c r="TM10" s="131">
        <f t="shared" si="177"/>
        <v>0</v>
      </c>
      <c r="TN10" s="131">
        <f t="shared" si="177"/>
        <v>0</v>
      </c>
      <c r="TO10" s="131">
        <f t="shared" si="177"/>
        <v>0</v>
      </c>
      <c r="TP10" s="131">
        <f t="shared" si="177"/>
        <v>0</v>
      </c>
      <c r="TQ10" s="131">
        <f t="shared" si="177"/>
        <v>0</v>
      </c>
      <c r="TR10" s="131">
        <f t="shared" si="177"/>
        <v>0</v>
      </c>
      <c r="TS10" s="131">
        <f t="shared" si="177"/>
        <v>0</v>
      </c>
      <c r="TT10" s="131">
        <f t="shared" si="177"/>
        <v>0</v>
      </c>
      <c r="TU10" s="131">
        <f t="shared" si="177"/>
        <v>0</v>
      </c>
      <c r="TV10" s="131">
        <f t="shared" si="177"/>
        <v>0</v>
      </c>
      <c r="TW10" s="131">
        <f t="shared" si="177"/>
        <v>0</v>
      </c>
      <c r="TX10" s="131">
        <f t="shared" si="177"/>
        <v>0</v>
      </c>
      <c r="TY10" s="131">
        <f t="shared" si="177"/>
        <v>0</v>
      </c>
      <c r="TZ10" s="131">
        <f t="shared" si="177"/>
        <v>0</v>
      </c>
      <c r="UA10" s="131">
        <f t="shared" si="177"/>
        <v>0</v>
      </c>
      <c r="UB10" s="131">
        <f t="shared" si="177"/>
        <v>0</v>
      </c>
      <c r="UC10" s="131">
        <f t="shared" si="177"/>
        <v>0</v>
      </c>
      <c r="UD10" s="131">
        <f t="shared" si="177"/>
        <v>0</v>
      </c>
      <c r="UE10" s="131">
        <f t="shared" si="177"/>
        <v>0</v>
      </c>
      <c r="UF10" s="131">
        <f t="shared" si="177"/>
        <v>0</v>
      </c>
      <c r="UG10" s="131">
        <f t="shared" si="177"/>
        <v>0</v>
      </c>
      <c r="UH10" s="131">
        <f t="shared" si="177"/>
        <v>0</v>
      </c>
      <c r="UI10" s="131">
        <f t="shared" si="177"/>
        <v>0</v>
      </c>
      <c r="UJ10" s="131">
        <f t="shared" si="177"/>
        <v>0</v>
      </c>
      <c r="UK10" s="131">
        <f t="shared" si="177"/>
        <v>0</v>
      </c>
      <c r="UL10" s="131">
        <f t="shared" si="177"/>
        <v>0</v>
      </c>
      <c r="UM10" s="131">
        <f t="shared" si="177"/>
        <v>0</v>
      </c>
      <c r="UN10" s="131">
        <f t="shared" si="177"/>
        <v>0</v>
      </c>
      <c r="UO10" s="131">
        <f t="shared" si="177"/>
        <v>0</v>
      </c>
      <c r="UP10" s="131">
        <f t="shared" si="177"/>
        <v>0</v>
      </c>
      <c r="UQ10" s="131">
        <f t="shared" si="177"/>
        <v>0</v>
      </c>
      <c r="UR10" s="131">
        <f t="shared" si="177"/>
        <v>0</v>
      </c>
      <c r="US10" s="131">
        <f t="shared" si="177"/>
        <v>0</v>
      </c>
      <c r="UT10" s="131">
        <f t="shared" si="177"/>
        <v>0</v>
      </c>
      <c r="UU10" s="131">
        <f t="shared" si="177"/>
        <v>0</v>
      </c>
      <c r="UV10" s="131">
        <f t="shared" si="177"/>
        <v>0</v>
      </c>
      <c r="UW10" s="131">
        <f t="shared" si="177"/>
        <v>0</v>
      </c>
      <c r="UX10" s="131">
        <f t="shared" si="177"/>
        <v>0</v>
      </c>
      <c r="UY10" s="131">
        <f t="shared" si="177"/>
        <v>0</v>
      </c>
      <c r="UZ10" s="131">
        <f t="shared" si="177"/>
        <v>0</v>
      </c>
      <c r="VA10" s="131">
        <f t="shared" si="177"/>
        <v>0</v>
      </c>
      <c r="VB10" s="131">
        <f t="shared" si="177"/>
        <v>0</v>
      </c>
      <c r="VC10" s="131">
        <f t="shared" si="177"/>
        <v>0</v>
      </c>
      <c r="VD10" s="131">
        <f t="shared" si="177"/>
        <v>0</v>
      </c>
      <c r="VE10" s="131">
        <f t="shared" si="177"/>
        <v>0</v>
      </c>
      <c r="VF10" s="131">
        <f t="shared" si="177"/>
        <v>0</v>
      </c>
      <c r="VG10" s="131">
        <f t="shared" si="177"/>
        <v>0</v>
      </c>
      <c r="VH10" s="131">
        <f t="shared" si="177"/>
        <v>0</v>
      </c>
      <c r="VI10" s="131">
        <f t="shared" si="177"/>
        <v>0</v>
      </c>
      <c r="VJ10" s="131">
        <f t="shared" ref="VJ10:XU10" si="178">SUM(VJ6:VJ9)</f>
        <v>2</v>
      </c>
      <c r="VK10" s="131">
        <f t="shared" si="178"/>
        <v>1</v>
      </c>
      <c r="VL10" s="131">
        <f t="shared" si="178"/>
        <v>0</v>
      </c>
      <c r="VM10" s="131">
        <f t="shared" si="178"/>
        <v>0</v>
      </c>
      <c r="VN10" s="131">
        <f t="shared" si="178"/>
        <v>0</v>
      </c>
      <c r="VO10" s="131">
        <f t="shared" si="178"/>
        <v>0</v>
      </c>
      <c r="VP10" s="131">
        <f t="shared" si="178"/>
        <v>0</v>
      </c>
      <c r="VQ10" s="131">
        <f t="shared" si="178"/>
        <v>0</v>
      </c>
      <c r="VR10" s="131">
        <f t="shared" si="178"/>
        <v>0</v>
      </c>
      <c r="VS10" s="131">
        <f t="shared" si="178"/>
        <v>0</v>
      </c>
      <c r="VT10" s="131">
        <f t="shared" si="178"/>
        <v>2</v>
      </c>
      <c r="VU10" s="131">
        <f t="shared" si="178"/>
        <v>1</v>
      </c>
      <c r="VV10" s="131">
        <f t="shared" si="178"/>
        <v>3</v>
      </c>
      <c r="VW10" s="131">
        <f t="shared" si="178"/>
        <v>2</v>
      </c>
      <c r="VX10" s="131">
        <f t="shared" si="178"/>
        <v>0</v>
      </c>
      <c r="VY10" s="131">
        <f t="shared" si="178"/>
        <v>0</v>
      </c>
      <c r="VZ10" s="131">
        <f t="shared" si="178"/>
        <v>0</v>
      </c>
      <c r="WA10" s="131">
        <f t="shared" si="178"/>
        <v>0</v>
      </c>
      <c r="WB10" s="131">
        <f t="shared" si="178"/>
        <v>0</v>
      </c>
      <c r="WC10" s="131">
        <f t="shared" si="178"/>
        <v>9</v>
      </c>
      <c r="WD10" s="131">
        <f t="shared" si="178"/>
        <v>6</v>
      </c>
      <c r="WE10" s="131">
        <f t="shared" si="178"/>
        <v>0</v>
      </c>
      <c r="WF10" s="131">
        <f t="shared" si="178"/>
        <v>0</v>
      </c>
      <c r="WG10" s="131">
        <f t="shared" si="178"/>
        <v>2</v>
      </c>
      <c r="WH10" s="131">
        <f t="shared" si="178"/>
        <v>3</v>
      </c>
      <c r="WI10" s="131">
        <f t="shared" si="178"/>
        <v>1</v>
      </c>
      <c r="WJ10" s="131">
        <f t="shared" si="178"/>
        <v>0</v>
      </c>
      <c r="WK10" s="131">
        <f t="shared" si="178"/>
        <v>0</v>
      </c>
      <c r="WL10" s="131">
        <f t="shared" si="178"/>
        <v>0</v>
      </c>
      <c r="WM10" s="131">
        <f t="shared" si="178"/>
        <v>14</v>
      </c>
      <c r="WN10" s="131">
        <f t="shared" si="178"/>
        <v>9</v>
      </c>
      <c r="WO10" s="131">
        <f t="shared" si="178"/>
        <v>23</v>
      </c>
      <c r="WP10" s="131">
        <f t="shared" si="178"/>
        <v>0</v>
      </c>
      <c r="WQ10" s="131">
        <f t="shared" si="178"/>
        <v>0</v>
      </c>
      <c r="WR10" s="131">
        <f t="shared" si="178"/>
        <v>0</v>
      </c>
      <c r="WS10" s="131">
        <f t="shared" si="178"/>
        <v>0</v>
      </c>
      <c r="WT10" s="131">
        <f t="shared" si="178"/>
        <v>0</v>
      </c>
      <c r="WU10" s="131">
        <f t="shared" si="178"/>
        <v>0</v>
      </c>
      <c r="WV10" s="131">
        <f t="shared" si="178"/>
        <v>0</v>
      </c>
      <c r="WW10" s="131">
        <f t="shared" si="178"/>
        <v>0</v>
      </c>
      <c r="WX10" s="131">
        <f t="shared" si="178"/>
        <v>0</v>
      </c>
      <c r="WY10" s="131">
        <f t="shared" si="178"/>
        <v>0</v>
      </c>
      <c r="WZ10" s="131">
        <f t="shared" si="178"/>
        <v>0</v>
      </c>
      <c r="XA10" s="131">
        <f t="shared" si="178"/>
        <v>0</v>
      </c>
      <c r="XB10" s="131">
        <f t="shared" si="178"/>
        <v>0</v>
      </c>
      <c r="XC10" s="131">
        <f t="shared" si="178"/>
        <v>0</v>
      </c>
      <c r="XD10" s="131">
        <f t="shared" si="178"/>
        <v>0</v>
      </c>
      <c r="XE10" s="131">
        <f t="shared" si="178"/>
        <v>0</v>
      </c>
      <c r="XF10" s="131">
        <f t="shared" si="178"/>
        <v>0</v>
      </c>
      <c r="XG10" s="131">
        <f t="shared" si="178"/>
        <v>0</v>
      </c>
      <c r="XH10" s="131">
        <f t="shared" si="178"/>
        <v>0</v>
      </c>
      <c r="XI10" s="131">
        <f t="shared" si="178"/>
        <v>0</v>
      </c>
      <c r="XJ10" s="131">
        <f t="shared" si="178"/>
        <v>0</v>
      </c>
      <c r="XK10" s="131">
        <f t="shared" si="178"/>
        <v>0</v>
      </c>
      <c r="XL10" s="131">
        <f t="shared" si="178"/>
        <v>0</v>
      </c>
      <c r="XM10" s="131">
        <f t="shared" si="178"/>
        <v>0</v>
      </c>
      <c r="XN10" s="131">
        <f t="shared" si="178"/>
        <v>0</v>
      </c>
      <c r="XO10" s="131">
        <f t="shared" si="178"/>
        <v>1</v>
      </c>
      <c r="XP10" s="131">
        <f t="shared" si="178"/>
        <v>0</v>
      </c>
      <c r="XQ10" s="131">
        <f t="shared" si="178"/>
        <v>0</v>
      </c>
      <c r="XR10" s="131">
        <f t="shared" si="178"/>
        <v>0</v>
      </c>
      <c r="XS10" s="131">
        <f t="shared" si="178"/>
        <v>1</v>
      </c>
      <c r="XT10" s="131">
        <f t="shared" si="178"/>
        <v>1</v>
      </c>
      <c r="XU10" s="131">
        <f t="shared" si="178"/>
        <v>0</v>
      </c>
      <c r="XV10" s="131">
        <f t="shared" ref="XV10:AAG10" si="179">SUM(XV6:XV9)</f>
        <v>0</v>
      </c>
      <c r="XW10" s="131">
        <f t="shared" si="179"/>
        <v>0</v>
      </c>
      <c r="XX10" s="131">
        <f t="shared" si="179"/>
        <v>0</v>
      </c>
      <c r="XY10" s="131">
        <f t="shared" si="179"/>
        <v>2</v>
      </c>
      <c r="XZ10" s="131">
        <f t="shared" si="179"/>
        <v>1</v>
      </c>
      <c r="YA10" s="131">
        <f t="shared" si="179"/>
        <v>3</v>
      </c>
      <c r="YB10" s="131">
        <f t="shared" si="179"/>
        <v>0</v>
      </c>
      <c r="YC10" s="131">
        <f t="shared" si="179"/>
        <v>0</v>
      </c>
      <c r="YD10" s="131">
        <f t="shared" si="179"/>
        <v>0</v>
      </c>
      <c r="YE10" s="131">
        <f t="shared" si="179"/>
        <v>0</v>
      </c>
      <c r="YF10" s="131">
        <f t="shared" si="179"/>
        <v>0</v>
      </c>
      <c r="YG10" s="131">
        <f t="shared" si="179"/>
        <v>0</v>
      </c>
      <c r="YH10" s="131">
        <f t="shared" si="179"/>
        <v>0</v>
      </c>
      <c r="YI10" s="131">
        <f t="shared" si="179"/>
        <v>0</v>
      </c>
      <c r="YJ10" s="131">
        <f t="shared" si="179"/>
        <v>0</v>
      </c>
      <c r="YK10" s="131">
        <f t="shared" si="179"/>
        <v>0</v>
      </c>
      <c r="YL10" s="131">
        <f t="shared" si="179"/>
        <v>0</v>
      </c>
      <c r="YM10" s="131">
        <f t="shared" si="179"/>
        <v>0</v>
      </c>
      <c r="YN10" s="131">
        <f t="shared" si="179"/>
        <v>0</v>
      </c>
      <c r="YO10" s="131">
        <f t="shared" si="179"/>
        <v>0</v>
      </c>
      <c r="YP10" s="131">
        <f t="shared" si="179"/>
        <v>0</v>
      </c>
      <c r="YQ10" s="131">
        <f t="shared" si="179"/>
        <v>0</v>
      </c>
      <c r="YR10" s="131">
        <f t="shared" si="179"/>
        <v>0</v>
      </c>
      <c r="YS10" s="131">
        <f t="shared" si="179"/>
        <v>0</v>
      </c>
      <c r="YT10" s="131">
        <f t="shared" si="179"/>
        <v>0</v>
      </c>
      <c r="YU10" s="131">
        <f t="shared" si="179"/>
        <v>0</v>
      </c>
      <c r="YV10" s="131">
        <f t="shared" si="179"/>
        <v>0</v>
      </c>
      <c r="YW10" s="131">
        <f t="shared" si="179"/>
        <v>0</v>
      </c>
      <c r="YX10" s="131">
        <f t="shared" si="179"/>
        <v>0</v>
      </c>
      <c r="YY10" s="131">
        <f t="shared" si="179"/>
        <v>0</v>
      </c>
      <c r="YZ10" s="131">
        <f t="shared" si="179"/>
        <v>0</v>
      </c>
      <c r="ZA10" s="131">
        <f t="shared" si="179"/>
        <v>0</v>
      </c>
      <c r="ZB10" s="131">
        <f t="shared" si="179"/>
        <v>0</v>
      </c>
      <c r="ZC10" s="131">
        <f t="shared" si="179"/>
        <v>0</v>
      </c>
      <c r="ZD10" s="131">
        <f t="shared" si="179"/>
        <v>0</v>
      </c>
      <c r="ZE10" s="131">
        <f t="shared" si="179"/>
        <v>0</v>
      </c>
      <c r="ZF10" s="131">
        <f t="shared" si="179"/>
        <v>0</v>
      </c>
      <c r="ZG10" s="131">
        <f t="shared" si="179"/>
        <v>0</v>
      </c>
      <c r="ZH10" s="131">
        <f t="shared" si="179"/>
        <v>0</v>
      </c>
      <c r="ZI10" s="131">
        <f t="shared" si="179"/>
        <v>0</v>
      </c>
      <c r="ZJ10" s="131">
        <f t="shared" si="179"/>
        <v>0</v>
      </c>
      <c r="ZK10" s="131">
        <f t="shared" si="179"/>
        <v>0</v>
      </c>
      <c r="ZL10" s="131">
        <f t="shared" si="179"/>
        <v>0</v>
      </c>
      <c r="ZM10" s="131">
        <f t="shared" si="179"/>
        <v>0</v>
      </c>
      <c r="ZN10" s="131">
        <f t="shared" si="179"/>
        <v>0</v>
      </c>
      <c r="ZO10" s="131">
        <f t="shared" si="179"/>
        <v>0</v>
      </c>
      <c r="ZP10" s="131">
        <f t="shared" si="179"/>
        <v>0</v>
      </c>
      <c r="ZQ10" s="131">
        <f t="shared" si="179"/>
        <v>0</v>
      </c>
      <c r="ZR10" s="131">
        <f t="shared" si="179"/>
        <v>0</v>
      </c>
      <c r="ZS10" s="131">
        <f t="shared" si="179"/>
        <v>1</v>
      </c>
      <c r="ZT10" s="131">
        <f t="shared" si="179"/>
        <v>1</v>
      </c>
      <c r="ZU10" s="131">
        <f t="shared" si="179"/>
        <v>1</v>
      </c>
      <c r="ZV10" s="131">
        <f t="shared" si="179"/>
        <v>0</v>
      </c>
      <c r="ZW10" s="131">
        <f t="shared" si="179"/>
        <v>0</v>
      </c>
      <c r="ZX10" s="131">
        <f t="shared" si="179"/>
        <v>0</v>
      </c>
      <c r="ZY10" s="131">
        <f t="shared" si="179"/>
        <v>0</v>
      </c>
      <c r="ZZ10" s="131">
        <f t="shared" si="179"/>
        <v>0</v>
      </c>
      <c r="AAA10" s="131">
        <f t="shared" si="179"/>
        <v>0</v>
      </c>
      <c r="AAB10" s="131">
        <f t="shared" si="179"/>
        <v>0</v>
      </c>
      <c r="AAC10" s="131">
        <f t="shared" si="179"/>
        <v>0</v>
      </c>
      <c r="AAD10" s="131">
        <f t="shared" si="179"/>
        <v>1</v>
      </c>
      <c r="AAE10" s="131">
        <f t="shared" si="179"/>
        <v>2</v>
      </c>
      <c r="AAF10" s="131">
        <f t="shared" si="179"/>
        <v>3</v>
      </c>
      <c r="AAG10" s="131">
        <f t="shared" si="179"/>
        <v>0</v>
      </c>
      <c r="AAH10" s="131">
        <f t="shared" ref="AAH10:ACS10" si="180">SUM(AAH6:AAH9)</f>
        <v>0</v>
      </c>
      <c r="AAI10" s="131">
        <f t="shared" si="180"/>
        <v>0</v>
      </c>
      <c r="AAJ10" s="131">
        <f t="shared" si="180"/>
        <v>0</v>
      </c>
      <c r="AAK10" s="131">
        <f t="shared" si="180"/>
        <v>0</v>
      </c>
      <c r="AAL10" s="131">
        <f t="shared" si="180"/>
        <v>0</v>
      </c>
      <c r="AAM10" s="131">
        <f t="shared" si="180"/>
        <v>7</v>
      </c>
      <c r="AAN10" s="131">
        <f t="shared" si="180"/>
        <v>2</v>
      </c>
      <c r="AAO10" s="131">
        <f t="shared" si="180"/>
        <v>0</v>
      </c>
      <c r="AAP10" s="131">
        <f t="shared" si="180"/>
        <v>0</v>
      </c>
      <c r="AAQ10" s="131">
        <f t="shared" si="180"/>
        <v>0</v>
      </c>
      <c r="AAR10" s="131">
        <f t="shared" si="180"/>
        <v>0</v>
      </c>
      <c r="AAS10" s="131">
        <f t="shared" si="180"/>
        <v>1</v>
      </c>
      <c r="AAT10" s="131">
        <f t="shared" si="180"/>
        <v>0</v>
      </c>
      <c r="AAU10" s="131">
        <f t="shared" si="180"/>
        <v>0</v>
      </c>
      <c r="AAV10" s="131">
        <f t="shared" si="180"/>
        <v>0</v>
      </c>
      <c r="AAW10" s="131">
        <f t="shared" si="180"/>
        <v>8</v>
      </c>
      <c r="AAX10" s="131">
        <f t="shared" si="180"/>
        <v>2</v>
      </c>
      <c r="AAY10" s="131">
        <f t="shared" si="180"/>
        <v>10</v>
      </c>
      <c r="AAZ10" s="131">
        <f t="shared" si="180"/>
        <v>0</v>
      </c>
      <c r="ABA10" s="131">
        <f t="shared" si="180"/>
        <v>0</v>
      </c>
      <c r="ABB10" s="131">
        <f t="shared" si="180"/>
        <v>0</v>
      </c>
      <c r="ABC10" s="131">
        <f t="shared" si="180"/>
        <v>0</v>
      </c>
      <c r="ABD10" s="131">
        <f t="shared" si="180"/>
        <v>0</v>
      </c>
      <c r="ABE10" s="131">
        <f t="shared" si="180"/>
        <v>0</v>
      </c>
      <c r="ABF10" s="131">
        <f t="shared" si="180"/>
        <v>0</v>
      </c>
      <c r="ABG10" s="131">
        <f t="shared" si="180"/>
        <v>0</v>
      </c>
      <c r="ABH10" s="131">
        <f t="shared" si="180"/>
        <v>0</v>
      </c>
      <c r="ABI10" s="131">
        <f t="shared" si="180"/>
        <v>0</v>
      </c>
      <c r="ABJ10" s="131">
        <f t="shared" si="180"/>
        <v>0</v>
      </c>
      <c r="ABK10" s="131">
        <f t="shared" si="180"/>
        <v>0</v>
      </c>
      <c r="ABL10" s="131">
        <f t="shared" si="180"/>
        <v>0</v>
      </c>
      <c r="ABM10" s="131">
        <f t="shared" si="180"/>
        <v>0</v>
      </c>
      <c r="ABN10" s="131">
        <f t="shared" si="180"/>
        <v>0</v>
      </c>
      <c r="ABO10" s="131">
        <f t="shared" si="180"/>
        <v>0</v>
      </c>
      <c r="ABP10" s="131">
        <f t="shared" si="180"/>
        <v>0</v>
      </c>
      <c r="ABQ10" s="131">
        <f t="shared" si="180"/>
        <v>0</v>
      </c>
      <c r="ABR10" s="131">
        <f t="shared" si="180"/>
        <v>0</v>
      </c>
      <c r="ABS10" s="131">
        <f t="shared" si="180"/>
        <v>0</v>
      </c>
      <c r="ABT10" s="131">
        <f t="shared" si="180"/>
        <v>0</v>
      </c>
      <c r="ABU10" s="131">
        <f t="shared" si="180"/>
        <v>0</v>
      </c>
      <c r="ABV10" s="131">
        <f t="shared" si="180"/>
        <v>0</v>
      </c>
      <c r="ABW10" s="131">
        <f t="shared" si="180"/>
        <v>0</v>
      </c>
      <c r="ABX10" s="131">
        <f t="shared" si="180"/>
        <v>0</v>
      </c>
      <c r="ABY10" s="131">
        <f t="shared" si="180"/>
        <v>0</v>
      </c>
      <c r="ABZ10" s="131">
        <f t="shared" si="180"/>
        <v>0</v>
      </c>
      <c r="ACA10" s="131">
        <f t="shared" si="180"/>
        <v>0</v>
      </c>
      <c r="ACB10" s="131">
        <f t="shared" si="180"/>
        <v>0</v>
      </c>
      <c r="ACC10" s="131">
        <f t="shared" si="180"/>
        <v>0</v>
      </c>
      <c r="ACD10" s="131">
        <f t="shared" si="180"/>
        <v>0</v>
      </c>
      <c r="ACE10" s="131">
        <f t="shared" si="180"/>
        <v>0</v>
      </c>
      <c r="ACF10" s="131">
        <f t="shared" si="180"/>
        <v>0</v>
      </c>
      <c r="ACG10" s="131">
        <f t="shared" si="180"/>
        <v>0</v>
      </c>
      <c r="ACH10" s="131">
        <f t="shared" si="180"/>
        <v>0</v>
      </c>
      <c r="ACI10" s="131">
        <f t="shared" si="180"/>
        <v>0</v>
      </c>
      <c r="ACJ10" s="131">
        <f t="shared" si="180"/>
        <v>0</v>
      </c>
      <c r="ACK10" s="131">
        <f t="shared" si="180"/>
        <v>0</v>
      </c>
      <c r="ACL10" s="131">
        <f t="shared" si="180"/>
        <v>0</v>
      </c>
      <c r="ACM10" s="131">
        <f t="shared" si="180"/>
        <v>0</v>
      </c>
      <c r="ACN10" s="131">
        <f t="shared" si="180"/>
        <v>0</v>
      </c>
      <c r="ACO10" s="131">
        <f t="shared" si="180"/>
        <v>0</v>
      </c>
      <c r="ACP10" s="131">
        <f t="shared" si="180"/>
        <v>0</v>
      </c>
      <c r="ACQ10" s="131">
        <f t="shared" si="180"/>
        <v>0</v>
      </c>
      <c r="ACR10" s="131">
        <f t="shared" si="180"/>
        <v>0</v>
      </c>
      <c r="ACS10" s="131">
        <f t="shared" si="180"/>
        <v>0</v>
      </c>
      <c r="ACT10" s="131">
        <f t="shared" ref="ACT10:AFE10" si="181">SUM(ACT6:ACT9)</f>
        <v>0</v>
      </c>
      <c r="ACU10" s="131">
        <f t="shared" si="181"/>
        <v>0</v>
      </c>
      <c r="ACV10" s="131">
        <f t="shared" si="181"/>
        <v>0</v>
      </c>
      <c r="ACW10" s="131">
        <f t="shared" si="181"/>
        <v>0</v>
      </c>
      <c r="ACX10" s="131">
        <f t="shared" si="181"/>
        <v>0</v>
      </c>
      <c r="ACY10" s="131">
        <f t="shared" si="181"/>
        <v>0</v>
      </c>
      <c r="ACZ10" s="131">
        <f t="shared" si="181"/>
        <v>0</v>
      </c>
      <c r="ADA10" s="131">
        <f t="shared" si="181"/>
        <v>0</v>
      </c>
      <c r="ADB10" s="131">
        <f t="shared" si="181"/>
        <v>0</v>
      </c>
      <c r="ADC10" s="131">
        <f t="shared" si="181"/>
        <v>0</v>
      </c>
      <c r="ADD10" s="131">
        <f t="shared" si="181"/>
        <v>0</v>
      </c>
      <c r="ADE10" s="131">
        <f t="shared" si="181"/>
        <v>0</v>
      </c>
      <c r="ADF10" s="131">
        <f t="shared" si="181"/>
        <v>0</v>
      </c>
      <c r="ADG10" s="131">
        <f t="shared" si="181"/>
        <v>0</v>
      </c>
      <c r="ADH10" s="131">
        <f t="shared" si="181"/>
        <v>0</v>
      </c>
      <c r="ADI10" s="131">
        <f t="shared" si="181"/>
        <v>0</v>
      </c>
      <c r="ADJ10" s="131">
        <f t="shared" si="181"/>
        <v>0</v>
      </c>
      <c r="ADK10" s="131">
        <f t="shared" si="181"/>
        <v>5</v>
      </c>
      <c r="ADL10" s="131">
        <f t="shared" si="181"/>
        <v>1</v>
      </c>
      <c r="ADM10" s="131">
        <f t="shared" si="181"/>
        <v>0</v>
      </c>
      <c r="ADN10" s="131">
        <f t="shared" si="181"/>
        <v>0</v>
      </c>
      <c r="ADO10" s="131">
        <f t="shared" si="181"/>
        <v>2</v>
      </c>
      <c r="ADP10" s="131">
        <f t="shared" si="181"/>
        <v>0</v>
      </c>
      <c r="ADQ10" s="131">
        <f t="shared" si="181"/>
        <v>1</v>
      </c>
      <c r="ADR10" s="131">
        <f t="shared" si="181"/>
        <v>0</v>
      </c>
      <c r="ADS10" s="131">
        <f t="shared" si="181"/>
        <v>0</v>
      </c>
      <c r="ADT10" s="131">
        <f t="shared" si="181"/>
        <v>0</v>
      </c>
      <c r="ADU10" s="131">
        <f t="shared" si="181"/>
        <v>8</v>
      </c>
      <c r="ADV10" s="131">
        <f t="shared" si="181"/>
        <v>1</v>
      </c>
      <c r="ADW10" s="131">
        <f t="shared" si="181"/>
        <v>9</v>
      </c>
      <c r="ADX10" s="131">
        <f t="shared" si="181"/>
        <v>0</v>
      </c>
      <c r="ADY10" s="131">
        <f t="shared" si="181"/>
        <v>0</v>
      </c>
      <c r="ADZ10" s="131">
        <f t="shared" si="181"/>
        <v>0</v>
      </c>
      <c r="AEA10" s="131">
        <f t="shared" si="181"/>
        <v>0</v>
      </c>
      <c r="AEB10" s="131">
        <f t="shared" si="181"/>
        <v>0</v>
      </c>
      <c r="AEC10" s="131">
        <f t="shared" si="181"/>
        <v>0</v>
      </c>
      <c r="AED10" s="131">
        <f t="shared" si="181"/>
        <v>1</v>
      </c>
      <c r="AEE10" s="131">
        <f t="shared" si="181"/>
        <v>0</v>
      </c>
      <c r="AEF10" s="131">
        <f t="shared" si="181"/>
        <v>0</v>
      </c>
      <c r="AEG10" s="131">
        <f t="shared" si="181"/>
        <v>0</v>
      </c>
      <c r="AEH10" s="131">
        <f t="shared" si="181"/>
        <v>1</v>
      </c>
      <c r="AEI10" s="131">
        <f t="shared" si="181"/>
        <v>0</v>
      </c>
      <c r="AEJ10" s="131">
        <f t="shared" si="181"/>
        <v>0</v>
      </c>
      <c r="AEK10" s="131">
        <f t="shared" si="181"/>
        <v>0</v>
      </c>
      <c r="AEL10" s="131">
        <f t="shared" si="181"/>
        <v>0</v>
      </c>
      <c r="AEM10" s="131">
        <f t="shared" si="181"/>
        <v>0</v>
      </c>
      <c r="AEN10" s="131">
        <f t="shared" si="181"/>
        <v>2</v>
      </c>
      <c r="AEO10" s="131">
        <f t="shared" si="181"/>
        <v>0</v>
      </c>
      <c r="AEP10" s="131">
        <f t="shared" si="181"/>
        <v>2</v>
      </c>
      <c r="AEQ10" s="131">
        <f t="shared" si="181"/>
        <v>0</v>
      </c>
      <c r="AER10" s="131">
        <f t="shared" si="181"/>
        <v>0</v>
      </c>
      <c r="AES10" s="131">
        <f t="shared" si="181"/>
        <v>0</v>
      </c>
      <c r="AET10" s="131">
        <f t="shared" si="181"/>
        <v>0</v>
      </c>
      <c r="AEU10" s="131">
        <f t="shared" si="181"/>
        <v>0</v>
      </c>
      <c r="AEV10" s="131">
        <f t="shared" si="181"/>
        <v>0</v>
      </c>
      <c r="AEW10" s="131">
        <f t="shared" si="181"/>
        <v>0</v>
      </c>
      <c r="AEX10" s="131">
        <f t="shared" si="181"/>
        <v>0</v>
      </c>
      <c r="AEY10" s="131">
        <f t="shared" si="181"/>
        <v>0</v>
      </c>
      <c r="AEZ10" s="131">
        <f t="shared" si="181"/>
        <v>0</v>
      </c>
      <c r="AFA10" s="131">
        <f t="shared" si="181"/>
        <v>0</v>
      </c>
      <c r="AFB10" s="131">
        <f t="shared" si="181"/>
        <v>0</v>
      </c>
      <c r="AFC10" s="131">
        <f t="shared" si="181"/>
        <v>0</v>
      </c>
      <c r="AFD10" s="131">
        <f t="shared" si="181"/>
        <v>0</v>
      </c>
      <c r="AFE10" s="131">
        <f t="shared" si="181"/>
        <v>0</v>
      </c>
      <c r="AFF10" s="131">
        <f t="shared" ref="AFF10:AHQ10" si="182">SUM(AFF6:AFF9)</f>
        <v>0</v>
      </c>
      <c r="AFG10" s="131">
        <f t="shared" si="182"/>
        <v>0</v>
      </c>
      <c r="AFH10" s="131">
        <f t="shared" si="182"/>
        <v>0</v>
      </c>
      <c r="AFI10" s="131">
        <f t="shared" si="182"/>
        <v>0</v>
      </c>
      <c r="AFJ10" s="131">
        <f t="shared" si="182"/>
        <v>0</v>
      </c>
      <c r="AFK10" s="131">
        <f t="shared" si="182"/>
        <v>0</v>
      </c>
      <c r="AFL10" s="131">
        <f t="shared" si="182"/>
        <v>0</v>
      </c>
      <c r="AFM10" s="131">
        <f t="shared" si="182"/>
        <v>0</v>
      </c>
      <c r="AFN10" s="131">
        <f t="shared" si="182"/>
        <v>0</v>
      </c>
      <c r="AFO10" s="131">
        <f t="shared" si="182"/>
        <v>0</v>
      </c>
      <c r="AFP10" s="131">
        <f t="shared" si="182"/>
        <v>1</v>
      </c>
      <c r="AFQ10" s="131">
        <f t="shared" si="182"/>
        <v>1</v>
      </c>
      <c r="AFR10" s="131">
        <f t="shared" si="182"/>
        <v>0</v>
      </c>
      <c r="AFS10" s="131">
        <f t="shared" si="182"/>
        <v>0</v>
      </c>
      <c r="AFT10" s="131">
        <f t="shared" si="182"/>
        <v>0</v>
      </c>
      <c r="AFU10" s="131">
        <f t="shared" si="182"/>
        <v>0</v>
      </c>
      <c r="AFV10" s="131">
        <f t="shared" si="182"/>
        <v>0</v>
      </c>
      <c r="AFW10" s="131">
        <f t="shared" si="182"/>
        <v>0</v>
      </c>
      <c r="AFX10" s="131">
        <f t="shared" si="182"/>
        <v>0</v>
      </c>
      <c r="AFY10" s="131">
        <f t="shared" si="182"/>
        <v>0</v>
      </c>
      <c r="AFZ10" s="131">
        <f t="shared" si="182"/>
        <v>1</v>
      </c>
      <c r="AGA10" s="131">
        <f t="shared" si="182"/>
        <v>1</v>
      </c>
      <c r="AGB10" s="131">
        <f t="shared" si="182"/>
        <v>2</v>
      </c>
      <c r="AGC10" s="131">
        <f t="shared" si="182"/>
        <v>0</v>
      </c>
      <c r="AGD10" s="131">
        <f t="shared" si="182"/>
        <v>0</v>
      </c>
      <c r="AGE10" s="131">
        <f t="shared" si="182"/>
        <v>0</v>
      </c>
      <c r="AGF10" s="131">
        <f t="shared" si="182"/>
        <v>0</v>
      </c>
      <c r="AGG10" s="131">
        <f t="shared" si="182"/>
        <v>0</v>
      </c>
      <c r="AGH10" s="131">
        <f t="shared" si="182"/>
        <v>0</v>
      </c>
      <c r="AGI10" s="131">
        <f t="shared" si="182"/>
        <v>3</v>
      </c>
      <c r="AGJ10" s="131">
        <f t="shared" si="182"/>
        <v>0</v>
      </c>
      <c r="AGK10" s="131">
        <f t="shared" si="182"/>
        <v>0</v>
      </c>
      <c r="AGL10" s="131">
        <f t="shared" si="182"/>
        <v>0</v>
      </c>
      <c r="AGM10" s="131">
        <f t="shared" si="182"/>
        <v>0</v>
      </c>
      <c r="AGN10" s="131">
        <f t="shared" si="182"/>
        <v>0</v>
      </c>
      <c r="AGO10" s="131">
        <f t="shared" si="182"/>
        <v>0</v>
      </c>
      <c r="AGP10" s="131">
        <f t="shared" si="182"/>
        <v>0</v>
      </c>
      <c r="AGQ10" s="131">
        <f t="shared" si="182"/>
        <v>0</v>
      </c>
      <c r="AGR10" s="131">
        <f t="shared" si="182"/>
        <v>0</v>
      </c>
      <c r="AGS10" s="131">
        <f t="shared" si="182"/>
        <v>3</v>
      </c>
      <c r="AGT10" s="131">
        <f t="shared" si="182"/>
        <v>0</v>
      </c>
      <c r="AGU10" s="131">
        <f t="shared" si="182"/>
        <v>3</v>
      </c>
      <c r="AGV10" s="131">
        <f t="shared" si="182"/>
        <v>0</v>
      </c>
      <c r="AGW10" s="131">
        <f t="shared" si="182"/>
        <v>0</v>
      </c>
      <c r="AGX10" s="131">
        <f t="shared" si="182"/>
        <v>0</v>
      </c>
      <c r="AGY10" s="131">
        <f t="shared" si="182"/>
        <v>0</v>
      </c>
      <c r="AGZ10" s="131">
        <f t="shared" si="182"/>
        <v>0</v>
      </c>
      <c r="AHA10" s="131">
        <f t="shared" si="182"/>
        <v>0</v>
      </c>
      <c r="AHB10" s="131">
        <f t="shared" si="182"/>
        <v>0</v>
      </c>
      <c r="AHC10" s="131">
        <f t="shared" si="182"/>
        <v>0</v>
      </c>
      <c r="AHD10" s="131">
        <f t="shared" si="182"/>
        <v>0</v>
      </c>
      <c r="AHE10" s="131">
        <f t="shared" si="182"/>
        <v>0</v>
      </c>
      <c r="AHF10" s="131">
        <f t="shared" si="182"/>
        <v>0</v>
      </c>
      <c r="AHG10" s="131">
        <f t="shared" si="182"/>
        <v>0</v>
      </c>
      <c r="AHH10" s="131">
        <f t="shared" si="182"/>
        <v>0</v>
      </c>
      <c r="AHI10" s="131">
        <f t="shared" si="182"/>
        <v>0</v>
      </c>
      <c r="AHJ10" s="131">
        <f t="shared" si="182"/>
        <v>0</v>
      </c>
      <c r="AHK10" s="131">
        <f t="shared" si="182"/>
        <v>0</v>
      </c>
      <c r="AHL10" s="131">
        <f t="shared" si="182"/>
        <v>0</v>
      </c>
      <c r="AHM10" s="131">
        <f t="shared" si="182"/>
        <v>0</v>
      </c>
      <c r="AHN10" s="131">
        <f t="shared" si="182"/>
        <v>0</v>
      </c>
      <c r="AHO10" s="131">
        <f t="shared" si="182"/>
        <v>1</v>
      </c>
      <c r="AHP10" s="131">
        <f t="shared" si="182"/>
        <v>0</v>
      </c>
      <c r="AHQ10" s="131">
        <f t="shared" si="182"/>
        <v>0</v>
      </c>
      <c r="AHR10" s="131">
        <f t="shared" ref="AHR10:AKC10" si="183">SUM(AHR6:AHR9)</f>
        <v>0</v>
      </c>
      <c r="AHS10" s="131">
        <f t="shared" si="183"/>
        <v>0</v>
      </c>
      <c r="AHT10" s="131">
        <f t="shared" si="183"/>
        <v>0</v>
      </c>
      <c r="AHU10" s="131">
        <f t="shared" si="183"/>
        <v>0</v>
      </c>
      <c r="AHV10" s="131">
        <f t="shared" si="183"/>
        <v>0</v>
      </c>
      <c r="AHW10" s="131">
        <f t="shared" si="183"/>
        <v>0</v>
      </c>
      <c r="AHX10" s="131">
        <f t="shared" si="183"/>
        <v>0</v>
      </c>
      <c r="AHY10" s="131">
        <f t="shared" si="183"/>
        <v>0</v>
      </c>
      <c r="AHZ10" s="131">
        <f t="shared" si="183"/>
        <v>0</v>
      </c>
      <c r="AIA10" s="131">
        <f t="shared" si="183"/>
        <v>0</v>
      </c>
      <c r="AIB10" s="131">
        <f t="shared" si="183"/>
        <v>0</v>
      </c>
      <c r="AIC10" s="131">
        <f t="shared" si="183"/>
        <v>0</v>
      </c>
      <c r="AID10" s="131">
        <f t="shared" si="183"/>
        <v>0</v>
      </c>
      <c r="AIE10" s="131">
        <f t="shared" si="183"/>
        <v>1</v>
      </c>
      <c r="AIF10" s="131">
        <f t="shared" si="183"/>
        <v>0</v>
      </c>
      <c r="AIG10" s="131">
        <f t="shared" si="183"/>
        <v>1</v>
      </c>
      <c r="AIH10" s="131">
        <f t="shared" si="183"/>
        <v>0</v>
      </c>
      <c r="AII10" s="131">
        <f t="shared" si="183"/>
        <v>0</v>
      </c>
      <c r="AIJ10" s="131">
        <f t="shared" si="183"/>
        <v>0</v>
      </c>
      <c r="AIK10" s="131">
        <f t="shared" si="183"/>
        <v>0</v>
      </c>
      <c r="AIL10" s="131">
        <f t="shared" si="183"/>
        <v>0</v>
      </c>
      <c r="AIM10" s="131">
        <f t="shared" si="183"/>
        <v>0</v>
      </c>
      <c r="AIN10" s="131">
        <f t="shared" si="183"/>
        <v>0</v>
      </c>
      <c r="AIO10" s="131">
        <f t="shared" si="183"/>
        <v>0</v>
      </c>
      <c r="AIP10" s="131">
        <f t="shared" si="183"/>
        <v>0</v>
      </c>
      <c r="AIQ10" s="131">
        <f t="shared" si="183"/>
        <v>0</v>
      </c>
      <c r="AIR10" s="131">
        <f t="shared" si="183"/>
        <v>1</v>
      </c>
      <c r="AIS10" s="131">
        <f t="shared" si="183"/>
        <v>0</v>
      </c>
      <c r="AIT10" s="131">
        <f t="shared" si="183"/>
        <v>3</v>
      </c>
      <c r="AIU10" s="131">
        <f t="shared" si="183"/>
        <v>0</v>
      </c>
      <c r="AIV10" s="131">
        <f t="shared" si="183"/>
        <v>0</v>
      </c>
      <c r="AIW10" s="131">
        <f t="shared" si="183"/>
        <v>0</v>
      </c>
      <c r="AIX10" s="131">
        <f t="shared" si="183"/>
        <v>4</v>
      </c>
      <c r="AIY10" s="131">
        <f t="shared" si="183"/>
        <v>0</v>
      </c>
      <c r="AIZ10" s="131">
        <f t="shared" si="183"/>
        <v>4</v>
      </c>
      <c r="AJA10" s="131">
        <f t="shared" si="183"/>
        <v>3</v>
      </c>
      <c r="AJB10" s="131">
        <f t="shared" si="183"/>
        <v>0</v>
      </c>
      <c r="AJC10" s="131">
        <f t="shared" si="183"/>
        <v>0</v>
      </c>
      <c r="AJD10" s="131">
        <f t="shared" si="183"/>
        <v>0</v>
      </c>
      <c r="AJE10" s="131">
        <f t="shared" si="183"/>
        <v>1</v>
      </c>
      <c r="AJF10" s="131">
        <f t="shared" si="183"/>
        <v>8</v>
      </c>
      <c r="AJG10" s="131">
        <f t="shared" si="183"/>
        <v>32</v>
      </c>
      <c r="AJH10" s="131">
        <f t="shared" si="183"/>
        <v>21</v>
      </c>
      <c r="AJI10" s="131">
        <f t="shared" si="183"/>
        <v>1</v>
      </c>
      <c r="AJJ10" s="131">
        <f t="shared" si="183"/>
        <v>0</v>
      </c>
      <c r="AJK10" s="131">
        <f t="shared" si="183"/>
        <v>11</v>
      </c>
      <c r="AJL10" s="131">
        <f t="shared" si="183"/>
        <v>7</v>
      </c>
      <c r="AJM10" s="131">
        <f t="shared" si="183"/>
        <v>9</v>
      </c>
      <c r="AJN10" s="131">
        <f t="shared" si="183"/>
        <v>4</v>
      </c>
      <c r="AJO10" s="131">
        <f t="shared" si="183"/>
        <v>0</v>
      </c>
      <c r="AJP10" s="131">
        <f t="shared" si="183"/>
        <v>0</v>
      </c>
      <c r="AJQ10" s="131">
        <f t="shared" si="183"/>
        <v>57</v>
      </c>
      <c r="AJR10" s="131">
        <f t="shared" si="183"/>
        <v>40</v>
      </c>
      <c r="AJS10" s="131">
        <f t="shared" si="183"/>
        <v>97</v>
      </c>
      <c r="AJT10" s="131">
        <f t="shared" si="183"/>
        <v>1</v>
      </c>
      <c r="AJU10" s="131">
        <f t="shared" si="183"/>
        <v>0</v>
      </c>
      <c r="AJV10" s="131">
        <f t="shared" si="183"/>
        <v>11</v>
      </c>
      <c r="AJW10" s="131">
        <f t="shared" si="183"/>
        <v>10</v>
      </c>
      <c r="AJX10" s="131">
        <f t="shared" si="183"/>
        <v>18</v>
      </c>
      <c r="AJY10" s="131">
        <f t="shared" si="183"/>
        <v>6</v>
      </c>
      <c r="AJZ10" s="131">
        <f t="shared" si="183"/>
        <v>27</v>
      </c>
      <c r="AKA10" s="131">
        <f t="shared" si="183"/>
        <v>24</v>
      </c>
      <c r="AKB10" s="131">
        <f t="shared" si="183"/>
        <v>57</v>
      </c>
      <c r="AKC10" s="131">
        <f t="shared" si="183"/>
        <v>40</v>
      </c>
      <c r="AKD10" s="131">
        <f t="shared" ref="AKD10:AMO10" si="184">SUM(AKD6:AKD9)</f>
        <v>97</v>
      </c>
      <c r="AKE10" s="131">
        <f t="shared" si="184"/>
        <v>0</v>
      </c>
      <c r="AKF10" s="131">
        <f t="shared" si="184"/>
        <v>0</v>
      </c>
      <c r="AKG10" s="131">
        <f t="shared" si="184"/>
        <v>11</v>
      </c>
      <c r="AKH10" s="131">
        <f t="shared" si="184"/>
        <v>4</v>
      </c>
      <c r="AKI10" s="131">
        <f t="shared" si="184"/>
        <v>25</v>
      </c>
      <c r="AKJ10" s="131">
        <f t="shared" si="184"/>
        <v>18</v>
      </c>
      <c r="AKK10" s="131">
        <f t="shared" si="184"/>
        <v>21</v>
      </c>
      <c r="AKL10" s="131">
        <f t="shared" si="184"/>
        <v>16</v>
      </c>
      <c r="AKM10" s="131">
        <f t="shared" si="184"/>
        <v>0</v>
      </c>
      <c r="AKN10" s="131">
        <f t="shared" si="184"/>
        <v>2</v>
      </c>
      <c r="AKO10" s="131">
        <f t="shared" si="184"/>
        <v>57</v>
      </c>
      <c r="AKP10" s="131">
        <f t="shared" si="184"/>
        <v>40</v>
      </c>
      <c r="AKQ10" s="131">
        <f t="shared" si="184"/>
        <v>97</v>
      </c>
      <c r="AKR10" s="131">
        <f t="shared" si="184"/>
        <v>0</v>
      </c>
      <c r="AKS10" s="131">
        <f t="shared" si="184"/>
        <v>2</v>
      </c>
      <c r="AKT10" s="131">
        <f t="shared" si="184"/>
        <v>57</v>
      </c>
      <c r="AKU10" s="131">
        <f t="shared" si="184"/>
        <v>36</v>
      </c>
      <c r="AKV10" s="131">
        <f t="shared" si="184"/>
        <v>0</v>
      </c>
      <c r="AKW10" s="131">
        <f t="shared" si="184"/>
        <v>2</v>
      </c>
      <c r="AKX10" s="131">
        <f t="shared" si="184"/>
        <v>0</v>
      </c>
      <c r="AKY10" s="131">
        <f t="shared" si="184"/>
        <v>0</v>
      </c>
      <c r="AKZ10" s="131">
        <f t="shared" si="184"/>
        <v>57</v>
      </c>
      <c r="ALA10" s="131">
        <f t="shared" si="184"/>
        <v>40</v>
      </c>
      <c r="ALB10" s="131">
        <f t="shared" si="184"/>
        <v>97</v>
      </c>
      <c r="ALC10" s="131">
        <f t="shared" si="184"/>
        <v>8</v>
      </c>
      <c r="ALD10" s="131">
        <f t="shared" si="184"/>
        <v>7</v>
      </c>
      <c r="ALE10" s="131">
        <f t="shared" si="184"/>
        <v>3</v>
      </c>
      <c r="ALF10" s="131">
        <f t="shared" si="184"/>
        <v>0</v>
      </c>
      <c r="ALG10" s="131"/>
      <c r="ALH10" s="131"/>
      <c r="ALI10" s="131"/>
      <c r="ALJ10" s="131">
        <f t="shared" si="184"/>
        <v>2</v>
      </c>
      <c r="ALK10" s="131">
        <f t="shared" si="184"/>
        <v>1</v>
      </c>
      <c r="ALL10" s="131">
        <f t="shared" si="184"/>
        <v>0</v>
      </c>
      <c r="ALM10" s="131">
        <f t="shared" si="184"/>
        <v>2</v>
      </c>
      <c r="ALN10" s="131">
        <f t="shared" si="184"/>
        <v>1</v>
      </c>
      <c r="ALO10" s="131">
        <f t="shared" si="184"/>
        <v>1</v>
      </c>
      <c r="ALP10" s="131">
        <f t="shared" si="184"/>
        <v>2</v>
      </c>
      <c r="ALQ10" s="131">
        <f t="shared" si="184"/>
        <v>6</v>
      </c>
      <c r="ALR10" s="131">
        <f t="shared" si="184"/>
        <v>63</v>
      </c>
      <c r="ALS10" s="131">
        <f t="shared" si="184"/>
        <v>40</v>
      </c>
      <c r="ALT10" s="131">
        <f t="shared" si="184"/>
        <v>73</v>
      </c>
      <c r="ALU10" s="131">
        <f t="shared" si="184"/>
        <v>0</v>
      </c>
      <c r="ALV10" s="131">
        <f t="shared" si="184"/>
        <v>0</v>
      </c>
      <c r="ALW10" s="131">
        <f t="shared" si="184"/>
        <v>0</v>
      </c>
      <c r="ALX10" s="131">
        <f t="shared" si="184"/>
        <v>2</v>
      </c>
      <c r="ALY10" s="131">
        <f t="shared" si="184"/>
        <v>1</v>
      </c>
      <c r="ALZ10" s="131">
        <f t="shared" si="184"/>
        <v>3</v>
      </c>
      <c r="AMA10" s="131">
        <f t="shared" si="184"/>
        <v>0</v>
      </c>
      <c r="AMB10" s="131">
        <f t="shared" si="184"/>
        <v>0</v>
      </c>
      <c r="AMC10" s="131">
        <f t="shared" si="184"/>
        <v>0</v>
      </c>
      <c r="AMD10" s="131">
        <f t="shared" si="184"/>
        <v>0</v>
      </c>
      <c r="AME10" s="131">
        <f t="shared" si="184"/>
        <v>0</v>
      </c>
      <c r="AMF10" s="131">
        <f t="shared" si="184"/>
        <v>3</v>
      </c>
      <c r="AMG10" s="131">
        <f t="shared" si="184"/>
        <v>0</v>
      </c>
      <c r="AMH10" s="131">
        <f t="shared" si="184"/>
        <v>1</v>
      </c>
      <c r="AMI10" s="131">
        <f t="shared" si="184"/>
        <v>2</v>
      </c>
      <c r="AMJ10" s="131">
        <f t="shared" si="184"/>
        <v>3</v>
      </c>
      <c r="AMK10" s="131">
        <f t="shared" si="184"/>
        <v>0</v>
      </c>
      <c r="AML10" s="131">
        <f t="shared" si="184"/>
        <v>3</v>
      </c>
      <c r="AMM10" s="131">
        <f t="shared" si="184"/>
        <v>0</v>
      </c>
      <c r="AMN10" s="131">
        <f t="shared" si="184"/>
        <v>2</v>
      </c>
      <c r="AMO10" s="131">
        <f t="shared" si="184"/>
        <v>1</v>
      </c>
      <c r="AMP10" s="131">
        <f t="shared" ref="AMP10:APA10" si="185">SUM(AMP6:AMP9)</f>
        <v>3</v>
      </c>
      <c r="AMQ10" s="131">
        <f t="shared" si="185"/>
        <v>0</v>
      </c>
      <c r="AMR10" s="131">
        <f t="shared" si="185"/>
        <v>3</v>
      </c>
      <c r="AMS10" s="131">
        <f t="shared" si="185"/>
        <v>0</v>
      </c>
      <c r="AMT10" s="131">
        <f t="shared" si="185"/>
        <v>0</v>
      </c>
      <c r="AMU10" s="131">
        <f t="shared" si="185"/>
        <v>0</v>
      </c>
      <c r="AMV10" s="131">
        <f t="shared" si="185"/>
        <v>0</v>
      </c>
      <c r="AMW10" s="131">
        <f t="shared" si="185"/>
        <v>3</v>
      </c>
      <c r="AMX10" s="131">
        <f t="shared" si="185"/>
        <v>0</v>
      </c>
      <c r="AMY10" s="131">
        <f t="shared" si="185"/>
        <v>3</v>
      </c>
      <c r="AMZ10" s="131">
        <f t="shared" si="185"/>
        <v>0</v>
      </c>
      <c r="ANA10" s="131">
        <f t="shared" si="185"/>
        <v>0</v>
      </c>
      <c r="ANB10" s="131">
        <f t="shared" si="185"/>
        <v>3</v>
      </c>
      <c r="ANC10" s="131">
        <f t="shared" si="185"/>
        <v>0</v>
      </c>
      <c r="AND10" s="131">
        <f t="shared" si="185"/>
        <v>1</v>
      </c>
      <c r="ANE10" s="131">
        <f t="shared" si="185"/>
        <v>1</v>
      </c>
      <c r="ANF10" s="131">
        <f t="shared" si="185"/>
        <v>0</v>
      </c>
      <c r="ANG10" s="131">
        <f t="shared" si="185"/>
        <v>0</v>
      </c>
      <c r="ANH10" s="131">
        <f t="shared" si="185"/>
        <v>1</v>
      </c>
      <c r="ANI10" s="131">
        <f t="shared" si="185"/>
        <v>3</v>
      </c>
      <c r="ANJ10" s="131">
        <f t="shared" si="185"/>
        <v>0</v>
      </c>
      <c r="ANK10" s="131">
        <f t="shared" si="185"/>
        <v>3</v>
      </c>
      <c r="ANL10" s="131">
        <f t="shared" si="185"/>
        <v>0</v>
      </c>
      <c r="ANM10" s="131">
        <f t="shared" si="185"/>
        <v>0</v>
      </c>
      <c r="ANN10" s="131">
        <f t="shared" si="185"/>
        <v>3</v>
      </c>
      <c r="ANO10" s="131">
        <f t="shared" si="185"/>
        <v>0</v>
      </c>
      <c r="ANP10" s="131">
        <f t="shared" si="185"/>
        <v>2</v>
      </c>
      <c r="ANQ10" s="131">
        <f t="shared" si="185"/>
        <v>1</v>
      </c>
      <c r="ANR10" s="131">
        <f t="shared" si="185"/>
        <v>0</v>
      </c>
      <c r="ANS10" s="131">
        <f t="shared" si="185"/>
        <v>1</v>
      </c>
      <c r="ANT10" s="131">
        <f t="shared" si="185"/>
        <v>2</v>
      </c>
      <c r="ANU10" s="131">
        <f t="shared" si="185"/>
        <v>0</v>
      </c>
      <c r="ANV10" s="131">
        <f t="shared" si="185"/>
        <v>2</v>
      </c>
      <c r="ANW10" s="131">
        <f t="shared" si="185"/>
        <v>2</v>
      </c>
      <c r="ANX10" s="131">
        <f t="shared" si="185"/>
        <v>0</v>
      </c>
      <c r="ANY10" s="131">
        <f t="shared" si="185"/>
        <v>0</v>
      </c>
      <c r="ANZ10" s="131">
        <f t="shared" si="185"/>
        <v>450</v>
      </c>
      <c r="AOA10" s="131">
        <f t="shared" si="185"/>
        <v>0</v>
      </c>
      <c r="AOB10" s="131">
        <f t="shared" si="185"/>
        <v>400</v>
      </c>
      <c r="AOC10" s="131">
        <f t="shared" si="185"/>
        <v>108</v>
      </c>
      <c r="AOD10" s="131">
        <f t="shared" si="185"/>
        <v>58</v>
      </c>
      <c r="AOE10" s="131">
        <f t="shared" si="185"/>
        <v>1</v>
      </c>
      <c r="AOF10" s="131">
        <f t="shared" si="185"/>
        <v>39</v>
      </c>
      <c r="AOG10" s="131">
        <f t="shared" si="185"/>
        <v>26</v>
      </c>
      <c r="AOH10" s="131">
        <f t="shared" si="185"/>
        <v>10</v>
      </c>
      <c r="AOI10" s="131">
        <f t="shared" si="185"/>
        <v>14</v>
      </c>
      <c r="AOJ10" s="131">
        <f t="shared" si="185"/>
        <v>1</v>
      </c>
      <c r="AOK10" s="131">
        <f t="shared" si="185"/>
        <v>2</v>
      </c>
      <c r="AOL10" s="131">
        <f t="shared" si="185"/>
        <v>2</v>
      </c>
      <c r="AOM10" s="131">
        <f t="shared" si="185"/>
        <v>2</v>
      </c>
      <c r="AON10" s="131">
        <f t="shared" si="185"/>
        <v>0</v>
      </c>
      <c r="AOO10" s="131">
        <f t="shared" si="185"/>
        <v>0</v>
      </c>
      <c r="AOP10" s="131">
        <f t="shared" si="185"/>
        <v>1</v>
      </c>
      <c r="AOQ10" s="131">
        <f t="shared" si="185"/>
        <v>1</v>
      </c>
      <c r="AOR10" s="131">
        <f t="shared" si="185"/>
        <v>0</v>
      </c>
      <c r="AOS10" s="131">
        <f t="shared" si="185"/>
        <v>1</v>
      </c>
      <c r="AOT10" s="131">
        <f t="shared" si="185"/>
        <v>1</v>
      </c>
      <c r="AOU10" s="131">
        <f t="shared" si="185"/>
        <v>0</v>
      </c>
      <c r="AOV10" s="131">
        <f t="shared" si="185"/>
        <v>0</v>
      </c>
      <c r="AOW10" s="131">
        <f t="shared" si="185"/>
        <v>3821</v>
      </c>
      <c r="AOX10" s="131">
        <f t="shared" si="185"/>
        <v>330</v>
      </c>
      <c r="AOY10" s="131">
        <f t="shared" si="185"/>
        <v>4151</v>
      </c>
      <c r="AOZ10" s="131">
        <f t="shared" si="185"/>
        <v>2</v>
      </c>
      <c r="APA10" s="131">
        <f t="shared" si="185"/>
        <v>2</v>
      </c>
      <c r="APB10" s="131">
        <f t="shared" ref="APB10:APO10" si="186">SUM(APB6:APB9)</f>
        <v>0</v>
      </c>
      <c r="APC10" s="131">
        <f t="shared" si="186"/>
        <v>2</v>
      </c>
      <c r="APD10" s="131">
        <f t="shared" si="186"/>
        <v>0</v>
      </c>
      <c r="APE10" s="131">
        <f t="shared" si="186"/>
        <v>2</v>
      </c>
      <c r="APF10" s="131">
        <f t="shared" si="186"/>
        <v>0</v>
      </c>
      <c r="APG10" s="131">
        <f t="shared" si="186"/>
        <v>2</v>
      </c>
      <c r="APH10" s="131">
        <f t="shared" si="186"/>
        <v>0</v>
      </c>
      <c r="API10" s="131">
        <f t="shared" si="186"/>
        <v>2</v>
      </c>
      <c r="APJ10" s="131">
        <f t="shared" si="186"/>
        <v>0</v>
      </c>
      <c r="APK10" s="131">
        <f t="shared" si="186"/>
        <v>2</v>
      </c>
      <c r="APL10" s="131">
        <f t="shared" si="186"/>
        <v>0</v>
      </c>
      <c r="APM10" s="131">
        <f t="shared" si="186"/>
        <v>2</v>
      </c>
      <c r="APN10" s="131">
        <f t="shared" si="186"/>
        <v>2</v>
      </c>
      <c r="APO10" s="131">
        <f t="shared" si="186"/>
        <v>0</v>
      </c>
      <c r="APP10" s="131"/>
      <c r="APQ10" s="131"/>
    </row>
    <row r="11" spans="1:1110" s="20" customFormat="1" ht="21">
      <c r="A11" s="22"/>
      <c r="B11" s="22"/>
      <c r="C11" s="22"/>
      <c r="D11" s="242" t="s">
        <v>294</v>
      </c>
      <c r="E11" s="24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>
        <f t="shared" si="0"/>
        <v>0</v>
      </c>
      <c r="AQ11" s="1">
        <f t="shared" si="0"/>
        <v>0</v>
      </c>
      <c r="AR11" s="1">
        <f t="shared" si="1"/>
        <v>0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>
        <f t="shared" si="2"/>
        <v>0</v>
      </c>
      <c r="BL11" s="1">
        <f t="shared" si="2"/>
        <v>0</v>
      </c>
      <c r="BM11" s="1">
        <f t="shared" si="3"/>
        <v>0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>
        <f t="shared" si="4"/>
        <v>0</v>
      </c>
      <c r="CE11" s="1">
        <f t="shared" si="4"/>
        <v>0</v>
      </c>
      <c r="CF11" s="1">
        <f t="shared" si="5"/>
        <v>0</v>
      </c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>
        <f t="shared" si="6"/>
        <v>0</v>
      </c>
      <c r="CV11" s="1">
        <f t="shared" si="6"/>
        <v>0</v>
      </c>
      <c r="CW11" s="1">
        <f t="shared" si="7"/>
        <v>0</v>
      </c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>
        <f t="shared" si="8"/>
        <v>0</v>
      </c>
      <c r="DK11" s="1">
        <f t="shared" si="8"/>
        <v>0</v>
      </c>
      <c r="DL11" s="1">
        <f t="shared" si="9"/>
        <v>0</v>
      </c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>
        <f t="shared" si="10"/>
        <v>0</v>
      </c>
      <c r="DX11" s="1">
        <f t="shared" si="10"/>
        <v>0</v>
      </c>
      <c r="DY11" s="1">
        <f t="shared" si="11"/>
        <v>0</v>
      </c>
      <c r="DZ11" s="1">
        <f t="shared" si="12"/>
        <v>0</v>
      </c>
      <c r="EA11" s="1">
        <f t="shared" si="12"/>
        <v>0</v>
      </c>
      <c r="EB11" s="1">
        <f t="shared" si="13"/>
        <v>0</v>
      </c>
      <c r="EC11" s="1">
        <f t="shared" si="13"/>
        <v>0</v>
      </c>
      <c r="ED11" s="1">
        <f t="shared" si="14"/>
        <v>0</v>
      </c>
      <c r="EE11" s="1">
        <f t="shared" si="14"/>
        <v>0</v>
      </c>
      <c r="EF11" s="1">
        <f t="shared" si="15"/>
        <v>0</v>
      </c>
      <c r="EG11" s="1">
        <f t="shared" si="15"/>
        <v>0</v>
      </c>
      <c r="EH11" s="1">
        <f t="shared" si="16"/>
        <v>0</v>
      </c>
      <c r="EI11" s="1">
        <f t="shared" si="17"/>
        <v>0</v>
      </c>
      <c r="EJ11" s="1">
        <f t="shared" si="18"/>
        <v>0</v>
      </c>
      <c r="EK11" s="1">
        <f t="shared" si="18"/>
        <v>0</v>
      </c>
      <c r="EL11" s="1">
        <f t="shared" si="18"/>
        <v>0</v>
      </c>
      <c r="EM11" s="1">
        <f t="shared" si="18"/>
        <v>0</v>
      </c>
      <c r="EN11" s="1">
        <f t="shared" si="18"/>
        <v>0</v>
      </c>
      <c r="EO11" s="1">
        <f t="shared" si="18"/>
        <v>0</v>
      </c>
      <c r="EP11" s="1">
        <f t="shared" si="18"/>
        <v>0</v>
      </c>
      <c r="EQ11" s="1">
        <f t="shared" si="18"/>
        <v>0</v>
      </c>
      <c r="ER11" s="1">
        <f t="shared" si="19"/>
        <v>0</v>
      </c>
      <c r="ES11" s="1">
        <f t="shared" si="19"/>
        <v>0</v>
      </c>
      <c r="ET11" s="1">
        <f t="shared" si="20"/>
        <v>0</v>
      </c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>
        <f>FC11+FA11+EY11+EW11+EU11</f>
        <v>0</v>
      </c>
      <c r="FH11" s="1">
        <f>FD11+FB11+EZ11+EX11+EV11</f>
        <v>0</v>
      </c>
      <c r="FI11" s="1">
        <f t="shared" si="22"/>
        <v>0</v>
      </c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>
        <f t="shared" si="23"/>
        <v>0</v>
      </c>
      <c r="FZ11" s="1">
        <f t="shared" si="23"/>
        <v>0</v>
      </c>
      <c r="GA11" s="1">
        <f t="shared" si="23"/>
        <v>0</v>
      </c>
      <c r="GB11" s="1">
        <f t="shared" si="24"/>
        <v>0</v>
      </c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>
        <f t="shared" si="25"/>
        <v>0</v>
      </c>
      <c r="GN11" s="1">
        <f t="shared" si="25"/>
        <v>0</v>
      </c>
      <c r="GO11" s="1">
        <f t="shared" si="26"/>
        <v>0</v>
      </c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>
        <f t="shared" si="27"/>
        <v>0</v>
      </c>
      <c r="HN11" s="1">
        <f t="shared" si="27"/>
        <v>0</v>
      </c>
      <c r="HO11" s="1">
        <f t="shared" si="28"/>
        <v>0</v>
      </c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>
        <f t="shared" si="29"/>
        <v>0</v>
      </c>
      <c r="IA11" s="1">
        <f t="shared" si="29"/>
        <v>0</v>
      </c>
      <c r="IB11" s="1">
        <f t="shared" si="30"/>
        <v>0</v>
      </c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>
        <f t="shared" si="31"/>
        <v>0</v>
      </c>
      <c r="IN11" s="1">
        <f t="shared" si="31"/>
        <v>0</v>
      </c>
      <c r="IO11" s="1">
        <f t="shared" si="32"/>
        <v>0</v>
      </c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>
        <f t="shared" si="33"/>
        <v>0</v>
      </c>
      <c r="JA11" s="1">
        <f t="shared" si="33"/>
        <v>0</v>
      </c>
      <c r="JB11" s="1">
        <f t="shared" si="34"/>
        <v>0</v>
      </c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>
        <f t="shared" si="35"/>
        <v>0</v>
      </c>
      <c r="JN11" s="1">
        <f t="shared" si="35"/>
        <v>0</v>
      </c>
      <c r="JO11" s="1">
        <f t="shared" si="36"/>
        <v>0</v>
      </c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>
        <f>KH11+KD11+KB11+JZ11+JX11+JV11+JT11+JP11+JR11+KF11</f>
        <v>0</v>
      </c>
      <c r="KK11" s="1">
        <f>KI11+KE11+KC11+KA11+JY11+JW11+JU11+JQ11+JS11+KG11</f>
        <v>0</v>
      </c>
      <c r="KL11" s="1">
        <f>KK11+KJ11</f>
        <v>0</v>
      </c>
      <c r="KM11" s="1"/>
      <c r="KN11" s="1"/>
      <c r="KO11" s="1"/>
      <c r="KP11" s="1"/>
      <c r="KQ11" s="1"/>
      <c r="KR11" s="1"/>
      <c r="KS11" s="1">
        <f t="shared" si="38"/>
        <v>0</v>
      </c>
      <c r="KT11" s="1">
        <f t="shared" si="38"/>
        <v>0</v>
      </c>
      <c r="KU11" s="1">
        <f t="shared" si="39"/>
        <v>0</v>
      </c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75"/>
      <c r="LI11" s="1"/>
      <c r="LJ11" s="1"/>
      <c r="LK11" s="1"/>
      <c r="LL11" s="1"/>
      <c r="LM11" s="1"/>
      <c r="LN11" s="139">
        <f t="shared" si="131"/>
        <v>0</v>
      </c>
      <c r="LO11" s="139">
        <f t="shared" si="132"/>
        <v>0</v>
      </c>
      <c r="LP11" s="1">
        <f t="shared" si="40"/>
        <v>0</v>
      </c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>
        <f t="shared" si="41"/>
        <v>0</v>
      </c>
      <c r="MH11" s="1">
        <f t="shared" si="41"/>
        <v>0</v>
      </c>
      <c r="MI11" s="1">
        <f t="shared" si="42"/>
        <v>0</v>
      </c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>
        <f t="shared" si="43"/>
        <v>0</v>
      </c>
      <c r="NA11" s="1">
        <f t="shared" si="43"/>
        <v>0</v>
      </c>
      <c r="NB11" s="1">
        <f t="shared" si="44"/>
        <v>0</v>
      </c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>
        <f t="shared" si="45"/>
        <v>0</v>
      </c>
      <c r="NT11" s="1">
        <f t="shared" si="45"/>
        <v>0</v>
      </c>
      <c r="NU11" s="1">
        <f t="shared" si="46"/>
        <v>0</v>
      </c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>
        <f t="shared" si="47"/>
        <v>0</v>
      </c>
      <c r="OM11" s="1">
        <f t="shared" si="47"/>
        <v>0</v>
      </c>
      <c r="ON11" s="1">
        <f t="shared" si="48"/>
        <v>0</v>
      </c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>
        <f t="shared" si="49"/>
        <v>0</v>
      </c>
      <c r="PF11" s="1">
        <f t="shared" si="49"/>
        <v>0</v>
      </c>
      <c r="PG11" s="1">
        <f t="shared" si="50"/>
        <v>0</v>
      </c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>
        <f t="shared" si="51"/>
        <v>0</v>
      </c>
      <c r="PY11" s="1">
        <f t="shared" si="51"/>
        <v>0</v>
      </c>
      <c r="PZ11" s="1">
        <f t="shared" si="52"/>
        <v>0</v>
      </c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>
        <f t="shared" si="53"/>
        <v>0</v>
      </c>
      <c r="QR11" s="1">
        <f t="shared" si="53"/>
        <v>0</v>
      </c>
      <c r="QS11" s="1">
        <f t="shared" si="54"/>
        <v>0</v>
      </c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>
        <f t="shared" si="55"/>
        <v>0</v>
      </c>
      <c r="RK11" s="1">
        <f t="shared" si="55"/>
        <v>0</v>
      </c>
      <c r="RL11" s="1">
        <f t="shared" si="56"/>
        <v>0</v>
      </c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>
        <f t="shared" si="57"/>
        <v>0</v>
      </c>
      <c r="SD11" s="1">
        <f t="shared" si="57"/>
        <v>0</v>
      </c>
      <c r="SE11" s="1">
        <f t="shared" si="58"/>
        <v>0</v>
      </c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>
        <f t="shared" si="59"/>
        <v>0</v>
      </c>
      <c r="SW11" s="1">
        <f t="shared" si="59"/>
        <v>0</v>
      </c>
      <c r="SX11" s="1">
        <f t="shared" si="60"/>
        <v>0</v>
      </c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>
        <f t="shared" si="61"/>
        <v>0</v>
      </c>
      <c r="TP11" s="1">
        <f t="shared" si="61"/>
        <v>0</v>
      </c>
      <c r="TQ11" s="1">
        <f t="shared" si="62"/>
        <v>0</v>
      </c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>
        <f t="shared" si="63"/>
        <v>0</v>
      </c>
      <c r="UI11" s="1">
        <f t="shared" si="63"/>
        <v>0</v>
      </c>
      <c r="UJ11" s="1">
        <f t="shared" si="64"/>
        <v>0</v>
      </c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>
        <f t="shared" si="65"/>
        <v>0</v>
      </c>
      <c r="VB11" s="1">
        <f t="shared" si="65"/>
        <v>0</v>
      </c>
      <c r="VC11" s="1">
        <f t="shared" si="66"/>
        <v>0</v>
      </c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>
        <f t="shared" si="67"/>
        <v>0</v>
      </c>
      <c r="VU11" s="1">
        <f t="shared" si="67"/>
        <v>0</v>
      </c>
      <c r="VV11" s="1">
        <f t="shared" si="68"/>
        <v>0</v>
      </c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>
        <f t="shared" si="69"/>
        <v>0</v>
      </c>
      <c r="WN11" s="1">
        <f t="shared" si="69"/>
        <v>0</v>
      </c>
      <c r="WO11" s="1">
        <f t="shared" si="70"/>
        <v>0</v>
      </c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>
        <f t="shared" si="71"/>
        <v>0</v>
      </c>
      <c r="XG11" s="1">
        <f t="shared" si="71"/>
        <v>0</v>
      </c>
      <c r="XH11" s="1">
        <f t="shared" si="72"/>
        <v>0</v>
      </c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>
        <f t="shared" si="73"/>
        <v>0</v>
      </c>
      <c r="XZ11" s="1">
        <f t="shared" si="73"/>
        <v>0</v>
      </c>
      <c r="YA11" s="1">
        <f t="shared" si="74"/>
        <v>0</v>
      </c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>
        <f t="shared" si="75"/>
        <v>0</v>
      </c>
      <c r="YS11" s="1">
        <f t="shared" si="75"/>
        <v>0</v>
      </c>
      <c r="YT11" s="1">
        <f t="shared" si="76"/>
        <v>0</v>
      </c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>
        <f t="shared" si="77"/>
        <v>0</v>
      </c>
      <c r="ZL11" s="1">
        <f t="shared" si="77"/>
        <v>0</v>
      </c>
      <c r="ZM11" s="1">
        <f t="shared" si="78"/>
        <v>0</v>
      </c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>
        <f t="shared" si="79"/>
        <v>0</v>
      </c>
      <c r="AAE11" s="1">
        <f t="shared" si="79"/>
        <v>0</v>
      </c>
      <c r="AAF11" s="1">
        <f t="shared" si="80"/>
        <v>0</v>
      </c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>
        <f t="shared" si="81"/>
        <v>0</v>
      </c>
      <c r="AAX11" s="1">
        <f t="shared" si="81"/>
        <v>0</v>
      </c>
      <c r="AAY11" s="1">
        <f t="shared" si="82"/>
        <v>0</v>
      </c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>
        <f t="shared" si="83"/>
        <v>0</v>
      </c>
      <c r="ABQ11" s="1">
        <f t="shared" si="83"/>
        <v>0</v>
      </c>
      <c r="ABR11" s="1">
        <f t="shared" si="84"/>
        <v>0</v>
      </c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>
        <f t="shared" si="85"/>
        <v>0</v>
      </c>
      <c r="ACJ11" s="1">
        <f t="shared" si="85"/>
        <v>0</v>
      </c>
      <c r="ACK11" s="1">
        <f t="shared" si="86"/>
        <v>0</v>
      </c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>
        <f t="shared" si="87"/>
        <v>0</v>
      </c>
      <c r="ADC11" s="1">
        <f t="shared" si="87"/>
        <v>0</v>
      </c>
      <c r="ADD11" s="1">
        <f t="shared" si="88"/>
        <v>0</v>
      </c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>
        <f t="shared" si="89"/>
        <v>0</v>
      </c>
      <c r="ADV11" s="1">
        <f t="shared" si="89"/>
        <v>0</v>
      </c>
      <c r="ADW11" s="1">
        <f t="shared" si="90"/>
        <v>0</v>
      </c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>
        <f t="shared" si="91"/>
        <v>0</v>
      </c>
      <c r="AEO11" s="1">
        <f t="shared" si="91"/>
        <v>0</v>
      </c>
      <c r="AEP11" s="1">
        <f t="shared" si="92"/>
        <v>0</v>
      </c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>
        <f t="shared" si="93"/>
        <v>0</v>
      </c>
      <c r="AFH11" s="1">
        <f t="shared" si="93"/>
        <v>0</v>
      </c>
      <c r="AFI11" s="1">
        <f t="shared" si="94"/>
        <v>0</v>
      </c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>
        <f t="shared" si="95"/>
        <v>0</v>
      </c>
      <c r="AGA11" s="1">
        <f t="shared" si="95"/>
        <v>0</v>
      </c>
      <c r="AGB11" s="1">
        <f t="shared" si="96"/>
        <v>0</v>
      </c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>
        <f t="shared" si="97"/>
        <v>0</v>
      </c>
      <c r="AGT11" s="1">
        <f t="shared" si="97"/>
        <v>0</v>
      </c>
      <c r="AGU11" s="1">
        <f t="shared" si="98"/>
        <v>0</v>
      </c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>
        <f t="shared" si="99"/>
        <v>0</v>
      </c>
      <c r="AHM11" s="1">
        <f t="shared" si="99"/>
        <v>0</v>
      </c>
      <c r="AHN11" s="1">
        <f t="shared" si="100"/>
        <v>0</v>
      </c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>
        <f t="shared" si="101"/>
        <v>0</v>
      </c>
      <c r="AIY11" s="1">
        <f t="shared" si="101"/>
        <v>0</v>
      </c>
      <c r="AIZ11" s="1">
        <f t="shared" si="102"/>
        <v>0</v>
      </c>
      <c r="AJA11" s="1">
        <f t="shared" ref="AJA11:AJD12" si="187">AIH11+AGV11+AGC11+AFJ11+AEQ11+ADX11+ADE11+ACL11+ABS11+AAZ11+AAG11+ZN11+YU11+YB11+XI11+WP11+VW11+VD11+UK11+TR11+SY11+SF11+RM11+QT11+QA11+PH11+OO11+NV11+NC11+MJ11+LQ11</f>
        <v>0</v>
      </c>
      <c r="AJB11" s="1">
        <f t="shared" si="187"/>
        <v>0</v>
      </c>
      <c r="AJC11" s="1">
        <f t="shared" si="187"/>
        <v>0</v>
      </c>
      <c r="AJD11" s="1">
        <f t="shared" si="187"/>
        <v>0</v>
      </c>
      <c r="AJE11" s="1">
        <f>AIN11+AHB11+AGI11+AFP11+AEW11+AED11+ADK11+ACR11+ABY11+ABF11+AAM11+ZT11+ZA11+YH11+XO11+WV11+WC11+VJ11+UQ11+TX11+TE11+SL11+RS11+QZ11+QG11+PN11+OU11+OB11+NI11+MP11+LW11</f>
        <v>0</v>
      </c>
      <c r="AJF11" s="1">
        <f>AIO11+AHC11+AGJ11+AFQ11+AEX11+AEE11+ADL11+ACS11+ABZ11+ABG11+AAN11+ZU11+ZB11+YI11+XP11+WW11+WD11+VK11+UR11+TY11+TF11+SM11+RT11+RA11+QH11+PO11+OV11+OC11+NJ11+MQ11+LX11</f>
        <v>0</v>
      </c>
      <c r="AJG11" s="1">
        <f>AIL11+AGZ11+AGG11+AFN11+AEU11+AEB11+ADI11+ACP11+ABW11+ABD11+AAK11+ZR11+YY11+YF11+XM11+WT11+WA11+VH11+UO11+TV11+TC11+SJ11+RQ11+QX11+QE11+PL11+OS11+NZ11+NG11+MN11+LU11</f>
        <v>0</v>
      </c>
      <c r="AJH11" s="1">
        <f>AIM11+AHA11+AGH11+AFO11+AEV11+AEC11+ADJ11+ACQ11+ABX11+ABE11+AAL11+ZS11+YZ11+YG11+XN11+WU11+WB11+VI11+UP11+TW11+TD11+SK11+RR11+QY11+QF11+PM11+OT11+OA11+NH11+MO11+LV11</f>
        <v>0</v>
      </c>
      <c r="AJI11" s="1">
        <f t="shared" ref="AJI11:AJP12" si="188">AIP11+AHD11+AGK11+AFR11+AEY11+AEF11+ADM11+ACT11+ACA11+ABH11+AAO11+ZV11+ZC11+YJ11+XQ11+WX11+WE11+VL11+US11+TZ11+TG11+SN11+RU11+RB11+QI11+PP11+OW11+OD11+NK11+MR11+LY11</f>
        <v>0</v>
      </c>
      <c r="AJJ11" s="1">
        <f t="shared" si="188"/>
        <v>0</v>
      </c>
      <c r="AJK11" s="1">
        <f t="shared" si="188"/>
        <v>0</v>
      </c>
      <c r="AJL11" s="1">
        <f t="shared" si="188"/>
        <v>0</v>
      </c>
      <c r="AJM11" s="1">
        <f t="shared" si="188"/>
        <v>0</v>
      </c>
      <c r="AJN11" s="1">
        <f t="shared" si="188"/>
        <v>0</v>
      </c>
      <c r="AJO11" s="1">
        <f t="shared" si="188"/>
        <v>0</v>
      </c>
      <c r="AJP11" s="1">
        <f t="shared" si="188"/>
        <v>0</v>
      </c>
      <c r="AJQ11" s="1">
        <f>AJO11+AJM11+AJK11+AJI11+AJE11+AJG11+AJC11+AJA11</f>
        <v>0</v>
      </c>
      <c r="AJR11" s="1">
        <f>AJP11+AJN11+AJL11+AJJ11+AJF11+AJH11+AJD11+AJB11</f>
        <v>0</v>
      </c>
      <c r="AJS11" s="1">
        <f t="shared" si="105"/>
        <v>0</v>
      </c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>
        <f t="shared" si="109"/>
        <v>0</v>
      </c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>
        <f t="shared" si="110"/>
        <v>0</v>
      </c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</row>
    <row r="12" spans="1:1110" s="20" customFormat="1" ht="21">
      <c r="A12" s="22"/>
      <c r="B12" s="22"/>
      <c r="C12" s="22"/>
      <c r="D12" s="244"/>
      <c r="E12" s="24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>
        <f t="shared" si="0"/>
        <v>0</v>
      </c>
      <c r="AQ12" s="1">
        <f t="shared" si="0"/>
        <v>0</v>
      </c>
      <c r="AR12" s="1">
        <f t="shared" si="1"/>
        <v>0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>
        <f t="shared" si="2"/>
        <v>0</v>
      </c>
      <c r="BL12" s="1">
        <f t="shared" si="2"/>
        <v>0</v>
      </c>
      <c r="BM12" s="1">
        <f t="shared" si="3"/>
        <v>0</v>
      </c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>
        <f t="shared" si="4"/>
        <v>0</v>
      </c>
      <c r="CE12" s="1">
        <f t="shared" si="4"/>
        <v>0</v>
      </c>
      <c r="CF12" s="1">
        <f t="shared" si="5"/>
        <v>0</v>
      </c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>
        <f t="shared" si="6"/>
        <v>0</v>
      </c>
      <c r="CV12" s="1">
        <f t="shared" si="6"/>
        <v>0</v>
      </c>
      <c r="CW12" s="1">
        <f t="shared" si="7"/>
        <v>0</v>
      </c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>
        <f t="shared" si="8"/>
        <v>0</v>
      </c>
      <c r="DK12" s="1">
        <f t="shared" si="8"/>
        <v>0</v>
      </c>
      <c r="DL12" s="1">
        <f t="shared" si="9"/>
        <v>0</v>
      </c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>
        <f t="shared" si="10"/>
        <v>0</v>
      </c>
      <c r="DX12" s="1">
        <f t="shared" si="10"/>
        <v>0</v>
      </c>
      <c r="DY12" s="1">
        <f t="shared" si="11"/>
        <v>0</v>
      </c>
      <c r="DZ12" s="1">
        <f t="shared" si="12"/>
        <v>0</v>
      </c>
      <c r="EA12" s="1">
        <f t="shared" si="12"/>
        <v>0</v>
      </c>
      <c r="EB12" s="1">
        <f t="shared" si="13"/>
        <v>0</v>
      </c>
      <c r="EC12" s="1">
        <f t="shared" si="13"/>
        <v>0</v>
      </c>
      <c r="ED12" s="1">
        <f t="shared" si="14"/>
        <v>0</v>
      </c>
      <c r="EE12" s="1">
        <f t="shared" si="14"/>
        <v>0</v>
      </c>
      <c r="EF12" s="1">
        <f t="shared" si="15"/>
        <v>0</v>
      </c>
      <c r="EG12" s="1">
        <f t="shared" si="15"/>
        <v>0</v>
      </c>
      <c r="EH12" s="1">
        <f t="shared" si="16"/>
        <v>0</v>
      </c>
      <c r="EI12" s="1">
        <f t="shared" si="17"/>
        <v>0</v>
      </c>
      <c r="EJ12" s="1">
        <f t="shared" si="18"/>
        <v>0</v>
      </c>
      <c r="EK12" s="1">
        <f t="shared" si="18"/>
        <v>0</v>
      </c>
      <c r="EL12" s="1">
        <f t="shared" si="18"/>
        <v>0</v>
      </c>
      <c r="EM12" s="1">
        <f t="shared" si="18"/>
        <v>0</v>
      </c>
      <c r="EN12" s="1">
        <f t="shared" si="18"/>
        <v>0</v>
      </c>
      <c r="EO12" s="1">
        <f t="shared" si="18"/>
        <v>0</v>
      </c>
      <c r="EP12" s="1">
        <f t="shared" si="18"/>
        <v>0</v>
      </c>
      <c r="EQ12" s="1">
        <f t="shared" si="18"/>
        <v>0</v>
      </c>
      <c r="ER12" s="1">
        <f t="shared" si="19"/>
        <v>0</v>
      </c>
      <c r="ES12" s="1">
        <f t="shared" si="19"/>
        <v>0</v>
      </c>
      <c r="ET12" s="1">
        <f t="shared" si="20"/>
        <v>0</v>
      </c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>
        <f>FC12+FA12+EY12+EW12+EU12</f>
        <v>0</v>
      </c>
      <c r="FH12" s="1">
        <f>FD12+FB12+EZ12+EX12+EV12</f>
        <v>0</v>
      </c>
      <c r="FI12" s="1">
        <f t="shared" si="22"/>
        <v>0</v>
      </c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>
        <f t="shared" si="23"/>
        <v>0</v>
      </c>
      <c r="FZ12" s="1">
        <f t="shared" si="23"/>
        <v>0</v>
      </c>
      <c r="GA12" s="1">
        <f t="shared" si="23"/>
        <v>0</v>
      </c>
      <c r="GB12" s="1">
        <f t="shared" si="24"/>
        <v>0</v>
      </c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>
        <f t="shared" si="25"/>
        <v>0</v>
      </c>
      <c r="GN12" s="1">
        <f t="shared" si="25"/>
        <v>0</v>
      </c>
      <c r="GO12" s="1">
        <f t="shared" si="26"/>
        <v>0</v>
      </c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>
        <f t="shared" si="27"/>
        <v>0</v>
      </c>
      <c r="HN12" s="1">
        <f t="shared" si="27"/>
        <v>0</v>
      </c>
      <c r="HO12" s="1">
        <f t="shared" si="28"/>
        <v>0</v>
      </c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>
        <f t="shared" si="29"/>
        <v>0</v>
      </c>
      <c r="IA12" s="1">
        <f t="shared" si="29"/>
        <v>0</v>
      </c>
      <c r="IB12" s="1">
        <f t="shared" si="30"/>
        <v>0</v>
      </c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>
        <f t="shared" si="31"/>
        <v>0</v>
      </c>
      <c r="IN12" s="1">
        <f t="shared" si="31"/>
        <v>0</v>
      </c>
      <c r="IO12" s="1">
        <f t="shared" si="32"/>
        <v>0</v>
      </c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>
        <f t="shared" si="33"/>
        <v>0</v>
      </c>
      <c r="JA12" s="1">
        <f t="shared" si="33"/>
        <v>0</v>
      </c>
      <c r="JB12" s="1">
        <f t="shared" si="34"/>
        <v>0</v>
      </c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>
        <f t="shared" si="35"/>
        <v>0</v>
      </c>
      <c r="JN12" s="1">
        <f t="shared" si="35"/>
        <v>0</v>
      </c>
      <c r="JO12" s="1">
        <f t="shared" si="36"/>
        <v>0</v>
      </c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>
        <f>KH12+KD12+KB12+JZ12+JX12+JV12+JT12+JP12+JR12+KF12</f>
        <v>0</v>
      </c>
      <c r="KK12" s="1">
        <f>KI12+KE12+KC12+KA12+JY12+JW12+JU12+JQ12+JS12+KG12</f>
        <v>0</v>
      </c>
      <c r="KL12" s="1">
        <f>KK12+KJ12</f>
        <v>0</v>
      </c>
      <c r="KM12" s="1"/>
      <c r="KN12" s="1"/>
      <c r="KO12" s="1"/>
      <c r="KP12" s="1"/>
      <c r="KQ12" s="1"/>
      <c r="KR12" s="1"/>
      <c r="KS12" s="1">
        <f t="shared" si="38"/>
        <v>0</v>
      </c>
      <c r="KT12" s="1">
        <f t="shared" si="38"/>
        <v>0</v>
      </c>
      <c r="KU12" s="1">
        <f t="shared" si="39"/>
        <v>0</v>
      </c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75"/>
      <c r="LI12" s="1"/>
      <c r="LJ12" s="1"/>
      <c r="LK12" s="1"/>
      <c r="LL12" s="1"/>
      <c r="LM12" s="1"/>
      <c r="LN12" s="139">
        <f t="shared" si="131"/>
        <v>0</v>
      </c>
      <c r="LO12" s="139">
        <f t="shared" si="132"/>
        <v>0</v>
      </c>
      <c r="LP12" s="1">
        <f t="shared" si="40"/>
        <v>0</v>
      </c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>
        <f t="shared" si="41"/>
        <v>0</v>
      </c>
      <c r="MH12" s="1">
        <f t="shared" si="41"/>
        <v>0</v>
      </c>
      <c r="MI12" s="1">
        <f t="shared" si="42"/>
        <v>0</v>
      </c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>
        <f t="shared" si="43"/>
        <v>0</v>
      </c>
      <c r="NA12" s="1">
        <f t="shared" si="43"/>
        <v>0</v>
      </c>
      <c r="NB12" s="1">
        <f t="shared" si="44"/>
        <v>0</v>
      </c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>
        <f t="shared" si="45"/>
        <v>0</v>
      </c>
      <c r="NT12" s="1">
        <f t="shared" si="45"/>
        <v>0</v>
      </c>
      <c r="NU12" s="1">
        <f t="shared" si="46"/>
        <v>0</v>
      </c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>
        <f t="shared" si="47"/>
        <v>0</v>
      </c>
      <c r="OM12" s="1">
        <f t="shared" si="47"/>
        <v>0</v>
      </c>
      <c r="ON12" s="1">
        <f t="shared" si="48"/>
        <v>0</v>
      </c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>
        <f t="shared" si="49"/>
        <v>0</v>
      </c>
      <c r="PF12" s="1">
        <f t="shared" si="49"/>
        <v>0</v>
      </c>
      <c r="PG12" s="1">
        <f t="shared" si="50"/>
        <v>0</v>
      </c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>
        <f t="shared" si="51"/>
        <v>0</v>
      </c>
      <c r="PY12" s="1">
        <f t="shared" si="51"/>
        <v>0</v>
      </c>
      <c r="PZ12" s="1">
        <f t="shared" si="52"/>
        <v>0</v>
      </c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>
        <f t="shared" si="53"/>
        <v>0</v>
      </c>
      <c r="QR12" s="1">
        <f t="shared" si="53"/>
        <v>0</v>
      </c>
      <c r="QS12" s="1">
        <f t="shared" si="54"/>
        <v>0</v>
      </c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>
        <f t="shared" si="55"/>
        <v>0</v>
      </c>
      <c r="RK12" s="1">
        <f t="shared" si="55"/>
        <v>0</v>
      </c>
      <c r="RL12" s="1">
        <f t="shared" si="56"/>
        <v>0</v>
      </c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>
        <f t="shared" si="57"/>
        <v>0</v>
      </c>
      <c r="SD12" s="1">
        <f t="shared" si="57"/>
        <v>0</v>
      </c>
      <c r="SE12" s="1">
        <f t="shared" si="58"/>
        <v>0</v>
      </c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>
        <f t="shared" si="59"/>
        <v>0</v>
      </c>
      <c r="SW12" s="1">
        <f t="shared" si="59"/>
        <v>0</v>
      </c>
      <c r="SX12" s="1">
        <f t="shared" si="60"/>
        <v>0</v>
      </c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>
        <f t="shared" si="61"/>
        <v>0</v>
      </c>
      <c r="TP12" s="1">
        <f t="shared" si="61"/>
        <v>0</v>
      </c>
      <c r="TQ12" s="1">
        <f t="shared" si="62"/>
        <v>0</v>
      </c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>
        <f t="shared" si="63"/>
        <v>0</v>
      </c>
      <c r="UI12" s="1">
        <f t="shared" si="63"/>
        <v>0</v>
      </c>
      <c r="UJ12" s="1">
        <f t="shared" si="64"/>
        <v>0</v>
      </c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>
        <f t="shared" si="65"/>
        <v>0</v>
      </c>
      <c r="VB12" s="1">
        <f t="shared" si="65"/>
        <v>0</v>
      </c>
      <c r="VC12" s="1">
        <f t="shared" si="66"/>
        <v>0</v>
      </c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>
        <f t="shared" si="67"/>
        <v>0</v>
      </c>
      <c r="VU12" s="1">
        <f t="shared" si="67"/>
        <v>0</v>
      </c>
      <c r="VV12" s="1">
        <f t="shared" si="68"/>
        <v>0</v>
      </c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>
        <f t="shared" si="69"/>
        <v>0</v>
      </c>
      <c r="WN12" s="1">
        <f t="shared" si="69"/>
        <v>0</v>
      </c>
      <c r="WO12" s="1">
        <f t="shared" si="70"/>
        <v>0</v>
      </c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>
        <f t="shared" si="71"/>
        <v>0</v>
      </c>
      <c r="XG12" s="1">
        <f t="shared" si="71"/>
        <v>0</v>
      </c>
      <c r="XH12" s="1">
        <f t="shared" si="72"/>
        <v>0</v>
      </c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>
        <f t="shared" si="73"/>
        <v>0</v>
      </c>
      <c r="XZ12" s="1">
        <f t="shared" si="73"/>
        <v>0</v>
      </c>
      <c r="YA12" s="1">
        <f t="shared" si="74"/>
        <v>0</v>
      </c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>
        <f t="shared" si="75"/>
        <v>0</v>
      </c>
      <c r="YS12" s="1">
        <f t="shared" si="75"/>
        <v>0</v>
      </c>
      <c r="YT12" s="1">
        <f t="shared" si="76"/>
        <v>0</v>
      </c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>
        <f t="shared" si="77"/>
        <v>0</v>
      </c>
      <c r="ZL12" s="1">
        <f t="shared" si="77"/>
        <v>0</v>
      </c>
      <c r="ZM12" s="1">
        <f t="shared" si="78"/>
        <v>0</v>
      </c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>
        <f t="shared" si="79"/>
        <v>0</v>
      </c>
      <c r="AAE12" s="1">
        <f t="shared" si="79"/>
        <v>0</v>
      </c>
      <c r="AAF12" s="1">
        <f t="shared" si="80"/>
        <v>0</v>
      </c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>
        <f t="shared" si="81"/>
        <v>0</v>
      </c>
      <c r="AAX12" s="1">
        <f t="shared" si="81"/>
        <v>0</v>
      </c>
      <c r="AAY12" s="1">
        <f t="shared" si="82"/>
        <v>0</v>
      </c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>
        <f t="shared" si="83"/>
        <v>0</v>
      </c>
      <c r="ABQ12" s="1">
        <f t="shared" si="83"/>
        <v>0</v>
      </c>
      <c r="ABR12" s="1">
        <f t="shared" si="84"/>
        <v>0</v>
      </c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>
        <f t="shared" si="85"/>
        <v>0</v>
      </c>
      <c r="ACJ12" s="1">
        <f t="shared" si="85"/>
        <v>0</v>
      </c>
      <c r="ACK12" s="1">
        <f t="shared" si="86"/>
        <v>0</v>
      </c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>
        <f t="shared" si="87"/>
        <v>0</v>
      </c>
      <c r="ADC12" s="1">
        <f t="shared" si="87"/>
        <v>0</v>
      </c>
      <c r="ADD12" s="1">
        <f t="shared" si="88"/>
        <v>0</v>
      </c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>
        <f t="shared" si="89"/>
        <v>0</v>
      </c>
      <c r="ADV12" s="1">
        <f t="shared" si="89"/>
        <v>0</v>
      </c>
      <c r="ADW12" s="1">
        <f t="shared" si="90"/>
        <v>0</v>
      </c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>
        <f t="shared" si="91"/>
        <v>0</v>
      </c>
      <c r="AEO12" s="1">
        <f t="shared" si="91"/>
        <v>0</v>
      </c>
      <c r="AEP12" s="1">
        <f t="shared" si="92"/>
        <v>0</v>
      </c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>
        <f t="shared" si="93"/>
        <v>0</v>
      </c>
      <c r="AFH12" s="1">
        <f t="shared" si="93"/>
        <v>0</v>
      </c>
      <c r="AFI12" s="1">
        <f t="shared" si="94"/>
        <v>0</v>
      </c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>
        <f t="shared" si="95"/>
        <v>0</v>
      </c>
      <c r="AGA12" s="1">
        <f t="shared" si="95"/>
        <v>0</v>
      </c>
      <c r="AGB12" s="1">
        <f t="shared" si="96"/>
        <v>0</v>
      </c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>
        <f t="shared" si="97"/>
        <v>0</v>
      </c>
      <c r="AGT12" s="1">
        <f t="shared" si="97"/>
        <v>0</v>
      </c>
      <c r="AGU12" s="1">
        <f t="shared" si="98"/>
        <v>0</v>
      </c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>
        <f t="shared" si="99"/>
        <v>0</v>
      </c>
      <c r="AHM12" s="1">
        <f t="shared" si="99"/>
        <v>0</v>
      </c>
      <c r="AHN12" s="1">
        <f t="shared" si="100"/>
        <v>0</v>
      </c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>
        <f t="shared" si="101"/>
        <v>0</v>
      </c>
      <c r="AIY12" s="1">
        <f t="shared" si="101"/>
        <v>0</v>
      </c>
      <c r="AIZ12" s="1">
        <f t="shared" si="102"/>
        <v>0</v>
      </c>
      <c r="AJA12" s="1">
        <f t="shared" si="187"/>
        <v>0</v>
      </c>
      <c r="AJB12" s="1">
        <f t="shared" si="187"/>
        <v>0</v>
      </c>
      <c r="AJC12" s="1">
        <f t="shared" si="187"/>
        <v>0</v>
      </c>
      <c r="AJD12" s="1">
        <f t="shared" si="187"/>
        <v>0</v>
      </c>
      <c r="AJE12" s="1">
        <f>AIN12+AHB12+AGI12+AFP12+AEW12+AED12+ADK12+ACR12+ABY12+ABF12+AAM12+ZT12+ZA12+YH12+XO12+WV12+WC12+VJ12+UQ12+TX12+TE12+SL12+RS12+QZ12+QG12+PN12+OU12+OB12+NI12+MP12+LW12</f>
        <v>0</v>
      </c>
      <c r="AJF12" s="1">
        <f>AIO12+AHC12+AGJ12+AFQ12+AEX12+AEE12+ADL12+ACS12+ABZ12+ABG12+AAN12+ZU12+ZB12+YI12+XP12+WW12+WD12+VK12+UR12+TY12+TF12+SM12+RT12+RA12+QH12+PO12+OV12+OC12+NJ12+MQ12+LX12</f>
        <v>0</v>
      </c>
      <c r="AJG12" s="1">
        <f>AIL12+AGZ12+AGG12+AFN12+AEU12+AEB12+ADI12+ACP12+ABW12+ABD12+AAK12+ZR12+YY12+YF12+XM12+WT12+WA12+VH12+UO12+TV12+TC12+SJ12+RQ12+QX12+QE12+PL12+OS12+NZ12+NG12+MN12+LU12</f>
        <v>0</v>
      </c>
      <c r="AJH12" s="1">
        <f>AIM12+AHA12+AGH12+AFO12+AEV12+AEC12+ADJ12+ACQ12+ABX12+ABE12+AAL12+ZS12+YZ12+YG12+XN12+WU12+WB12+VI12+UP12+TW12+TD12+SK12+RR12+QY12+QF12+PM12+OT12+OA12+NH12+MO12+LV12</f>
        <v>0</v>
      </c>
      <c r="AJI12" s="1">
        <f t="shared" si="188"/>
        <v>0</v>
      </c>
      <c r="AJJ12" s="1">
        <f t="shared" si="188"/>
        <v>0</v>
      </c>
      <c r="AJK12" s="1">
        <f t="shared" si="188"/>
        <v>0</v>
      </c>
      <c r="AJL12" s="1">
        <f t="shared" si="188"/>
        <v>0</v>
      </c>
      <c r="AJM12" s="1">
        <f t="shared" si="188"/>
        <v>0</v>
      </c>
      <c r="AJN12" s="1">
        <f t="shared" si="188"/>
        <v>0</v>
      </c>
      <c r="AJO12" s="1">
        <f t="shared" si="188"/>
        <v>0</v>
      </c>
      <c r="AJP12" s="1">
        <f t="shared" si="188"/>
        <v>0</v>
      </c>
      <c r="AJQ12" s="1">
        <f>AJO12+AJM12+AJK12+AJI12+AJE12+AJG12+AJC12+AJA12</f>
        <v>0</v>
      </c>
      <c r="AJR12" s="1">
        <f>AJP12+AJN12+AJL12+AJJ12+AJF12+AJH12+AJD12+AJB12</f>
        <v>0</v>
      </c>
      <c r="AJS12" s="1">
        <f t="shared" si="105"/>
        <v>0</v>
      </c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>
        <f t="shared" si="109"/>
        <v>0</v>
      </c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>
        <f t="shared" si="110"/>
        <v>0</v>
      </c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</row>
    <row r="13" spans="1:1110" s="21" customFormat="1" ht="26.25" customHeight="1">
      <c r="A13" s="203" t="s">
        <v>242</v>
      </c>
      <c r="B13" s="204"/>
      <c r="C13" s="204"/>
      <c r="D13" s="204"/>
      <c r="E13" s="205"/>
      <c r="F13" s="8">
        <f t="shared" ref="F13:BS13" si="189">SUM(F11:F12)</f>
        <v>0</v>
      </c>
      <c r="G13" s="8">
        <f t="shared" si="189"/>
        <v>0</v>
      </c>
      <c r="H13" s="8">
        <f t="shared" si="189"/>
        <v>0</v>
      </c>
      <c r="I13" s="8">
        <f t="shared" si="189"/>
        <v>0</v>
      </c>
      <c r="J13" s="8">
        <f t="shared" si="189"/>
        <v>0</v>
      </c>
      <c r="K13" s="8">
        <f t="shared" si="189"/>
        <v>0</v>
      </c>
      <c r="L13" s="8">
        <f t="shared" si="189"/>
        <v>0</v>
      </c>
      <c r="M13" s="8">
        <f t="shared" si="189"/>
        <v>0</v>
      </c>
      <c r="N13" s="8">
        <f t="shared" si="189"/>
        <v>0</v>
      </c>
      <c r="O13" s="8">
        <f t="shared" si="189"/>
        <v>0</v>
      </c>
      <c r="P13" s="8">
        <f t="shared" si="189"/>
        <v>0</v>
      </c>
      <c r="Q13" s="8">
        <f t="shared" si="189"/>
        <v>0</v>
      </c>
      <c r="R13" s="8">
        <f t="shared" si="189"/>
        <v>0</v>
      </c>
      <c r="S13" s="8">
        <f t="shared" si="189"/>
        <v>0</v>
      </c>
      <c r="T13" s="8">
        <f t="shared" si="189"/>
        <v>0</v>
      </c>
      <c r="U13" s="8">
        <f t="shared" si="189"/>
        <v>0</v>
      </c>
      <c r="V13" s="8">
        <f t="shared" si="189"/>
        <v>0</v>
      </c>
      <c r="W13" s="8">
        <f t="shared" si="189"/>
        <v>0</v>
      </c>
      <c r="X13" s="8">
        <f t="shared" si="189"/>
        <v>0</v>
      </c>
      <c r="Y13" s="8">
        <f t="shared" si="189"/>
        <v>0</v>
      </c>
      <c r="Z13" s="8">
        <f t="shared" si="189"/>
        <v>0</v>
      </c>
      <c r="AA13" s="8">
        <f t="shared" si="189"/>
        <v>0</v>
      </c>
      <c r="AB13" s="8">
        <f t="shared" si="189"/>
        <v>0</v>
      </c>
      <c r="AC13" s="8">
        <f t="shared" si="189"/>
        <v>0</v>
      </c>
      <c r="AD13" s="8">
        <f t="shared" si="189"/>
        <v>0</v>
      </c>
      <c r="AE13" s="8">
        <f t="shared" si="189"/>
        <v>0</v>
      </c>
      <c r="AF13" s="8">
        <f t="shared" si="189"/>
        <v>0</v>
      </c>
      <c r="AG13" s="8">
        <f t="shared" si="189"/>
        <v>0</v>
      </c>
      <c r="AH13" s="8">
        <f t="shared" si="189"/>
        <v>0</v>
      </c>
      <c r="AI13" s="8">
        <f t="shared" si="189"/>
        <v>0</v>
      </c>
      <c r="AJ13" s="8">
        <f t="shared" si="189"/>
        <v>0</v>
      </c>
      <c r="AK13" s="8">
        <f t="shared" si="189"/>
        <v>0</v>
      </c>
      <c r="AL13" s="8">
        <f t="shared" si="189"/>
        <v>0</v>
      </c>
      <c r="AM13" s="8">
        <f t="shared" si="189"/>
        <v>0</v>
      </c>
      <c r="AN13" s="8">
        <f t="shared" si="189"/>
        <v>0</v>
      </c>
      <c r="AO13" s="8">
        <f t="shared" si="189"/>
        <v>0</v>
      </c>
      <c r="AP13" s="8">
        <f t="shared" si="189"/>
        <v>0</v>
      </c>
      <c r="AQ13" s="8">
        <f t="shared" si="189"/>
        <v>0</v>
      </c>
      <c r="AR13" s="8">
        <f t="shared" si="189"/>
        <v>0</v>
      </c>
      <c r="AS13" s="8">
        <f t="shared" si="189"/>
        <v>0</v>
      </c>
      <c r="AT13" s="8">
        <f t="shared" si="189"/>
        <v>0</v>
      </c>
      <c r="AU13" s="8">
        <f t="shared" si="189"/>
        <v>0</v>
      </c>
      <c r="AV13" s="8">
        <f t="shared" si="189"/>
        <v>0</v>
      </c>
      <c r="AW13" s="8">
        <f t="shared" si="189"/>
        <v>0</v>
      </c>
      <c r="AX13" s="8">
        <f t="shared" si="189"/>
        <v>0</v>
      </c>
      <c r="AY13" s="8">
        <f t="shared" si="189"/>
        <v>0</v>
      </c>
      <c r="AZ13" s="8">
        <f t="shared" si="189"/>
        <v>0</v>
      </c>
      <c r="BA13" s="8">
        <f t="shared" si="189"/>
        <v>0</v>
      </c>
      <c r="BB13" s="8">
        <f t="shared" si="189"/>
        <v>0</v>
      </c>
      <c r="BC13" s="8">
        <f t="shared" si="189"/>
        <v>0</v>
      </c>
      <c r="BD13" s="8">
        <f t="shared" si="189"/>
        <v>0</v>
      </c>
      <c r="BE13" s="8">
        <f t="shared" si="189"/>
        <v>0</v>
      </c>
      <c r="BF13" s="8">
        <f t="shared" si="189"/>
        <v>0</v>
      </c>
      <c r="BG13" s="8">
        <f t="shared" si="189"/>
        <v>0</v>
      </c>
      <c r="BH13" s="8">
        <f t="shared" si="189"/>
        <v>0</v>
      </c>
      <c r="BI13" s="8">
        <f t="shared" si="189"/>
        <v>0</v>
      </c>
      <c r="BJ13" s="8">
        <f t="shared" si="189"/>
        <v>0</v>
      </c>
      <c r="BK13" s="8">
        <f t="shared" si="189"/>
        <v>0</v>
      </c>
      <c r="BL13" s="8">
        <f t="shared" si="189"/>
        <v>0</v>
      </c>
      <c r="BM13" s="8">
        <f t="shared" si="189"/>
        <v>0</v>
      </c>
      <c r="BN13" s="8">
        <f t="shared" si="189"/>
        <v>0</v>
      </c>
      <c r="BO13" s="8">
        <f t="shared" si="189"/>
        <v>0</v>
      </c>
      <c r="BP13" s="8">
        <f t="shared" si="189"/>
        <v>0</v>
      </c>
      <c r="BQ13" s="8">
        <f t="shared" si="189"/>
        <v>0</v>
      </c>
      <c r="BR13" s="8">
        <f t="shared" si="189"/>
        <v>0</v>
      </c>
      <c r="BS13" s="8">
        <f t="shared" si="189"/>
        <v>0</v>
      </c>
      <c r="BT13" s="8">
        <f t="shared" ref="BT13:EE13" si="190">SUM(BT11:BT12)</f>
        <v>0</v>
      </c>
      <c r="BU13" s="8">
        <f t="shared" si="190"/>
        <v>0</v>
      </c>
      <c r="BV13" s="8">
        <f t="shared" si="190"/>
        <v>0</v>
      </c>
      <c r="BW13" s="8">
        <f t="shared" si="190"/>
        <v>0</v>
      </c>
      <c r="BX13" s="8">
        <f t="shared" si="190"/>
        <v>0</v>
      </c>
      <c r="BY13" s="8">
        <f t="shared" si="190"/>
        <v>0</v>
      </c>
      <c r="BZ13" s="8">
        <f t="shared" si="190"/>
        <v>0</v>
      </c>
      <c r="CA13" s="8">
        <f t="shared" si="190"/>
        <v>0</v>
      </c>
      <c r="CB13" s="8">
        <f t="shared" si="190"/>
        <v>0</v>
      </c>
      <c r="CC13" s="8">
        <f t="shared" si="190"/>
        <v>0</v>
      </c>
      <c r="CD13" s="8">
        <f t="shared" si="190"/>
        <v>0</v>
      </c>
      <c r="CE13" s="8">
        <f t="shared" si="190"/>
        <v>0</v>
      </c>
      <c r="CF13" s="8">
        <f t="shared" si="190"/>
        <v>0</v>
      </c>
      <c r="CG13" s="8">
        <f t="shared" si="190"/>
        <v>0</v>
      </c>
      <c r="CH13" s="8">
        <f t="shared" si="190"/>
        <v>0</v>
      </c>
      <c r="CI13" s="8">
        <f t="shared" si="190"/>
        <v>0</v>
      </c>
      <c r="CJ13" s="8">
        <f t="shared" si="190"/>
        <v>0</v>
      </c>
      <c r="CK13" s="8">
        <f t="shared" si="190"/>
        <v>0</v>
      </c>
      <c r="CL13" s="8">
        <f t="shared" si="190"/>
        <v>0</v>
      </c>
      <c r="CM13" s="8">
        <f t="shared" si="190"/>
        <v>0</v>
      </c>
      <c r="CN13" s="8">
        <f t="shared" si="190"/>
        <v>0</v>
      </c>
      <c r="CO13" s="8">
        <f t="shared" si="190"/>
        <v>0</v>
      </c>
      <c r="CP13" s="8">
        <f t="shared" si="190"/>
        <v>0</v>
      </c>
      <c r="CQ13" s="8">
        <f t="shared" si="190"/>
        <v>0</v>
      </c>
      <c r="CR13" s="8">
        <f t="shared" si="190"/>
        <v>0</v>
      </c>
      <c r="CS13" s="8">
        <f t="shared" si="190"/>
        <v>0</v>
      </c>
      <c r="CT13" s="8">
        <f t="shared" si="190"/>
        <v>0</v>
      </c>
      <c r="CU13" s="8">
        <f t="shared" si="190"/>
        <v>0</v>
      </c>
      <c r="CV13" s="8">
        <f t="shared" si="190"/>
        <v>0</v>
      </c>
      <c r="CW13" s="8">
        <f t="shared" si="190"/>
        <v>0</v>
      </c>
      <c r="CX13" s="8">
        <f t="shared" si="190"/>
        <v>0</v>
      </c>
      <c r="CY13" s="8">
        <f t="shared" si="190"/>
        <v>0</v>
      </c>
      <c r="CZ13" s="8">
        <f t="shared" si="190"/>
        <v>0</v>
      </c>
      <c r="DA13" s="8">
        <f t="shared" si="190"/>
        <v>0</v>
      </c>
      <c r="DB13" s="8">
        <f t="shared" si="190"/>
        <v>0</v>
      </c>
      <c r="DC13" s="8">
        <f t="shared" si="190"/>
        <v>0</v>
      </c>
      <c r="DD13" s="8">
        <f t="shared" si="190"/>
        <v>0</v>
      </c>
      <c r="DE13" s="8">
        <f t="shared" si="190"/>
        <v>0</v>
      </c>
      <c r="DF13" s="8">
        <f t="shared" si="190"/>
        <v>0</v>
      </c>
      <c r="DG13" s="8">
        <f t="shared" si="190"/>
        <v>0</v>
      </c>
      <c r="DH13" s="8">
        <f t="shared" si="190"/>
        <v>0</v>
      </c>
      <c r="DI13" s="8">
        <f t="shared" si="190"/>
        <v>0</v>
      </c>
      <c r="DJ13" s="8">
        <f t="shared" si="190"/>
        <v>0</v>
      </c>
      <c r="DK13" s="8">
        <f t="shared" si="190"/>
        <v>0</v>
      </c>
      <c r="DL13" s="8">
        <f t="shared" si="190"/>
        <v>0</v>
      </c>
      <c r="DM13" s="8">
        <f t="shared" si="190"/>
        <v>0</v>
      </c>
      <c r="DN13" s="8">
        <f t="shared" si="190"/>
        <v>0</v>
      </c>
      <c r="DO13" s="8">
        <f t="shared" si="190"/>
        <v>0</v>
      </c>
      <c r="DP13" s="8">
        <f t="shared" si="190"/>
        <v>0</v>
      </c>
      <c r="DQ13" s="8">
        <f t="shared" si="190"/>
        <v>0</v>
      </c>
      <c r="DR13" s="8">
        <f t="shared" si="190"/>
        <v>0</v>
      </c>
      <c r="DS13" s="8">
        <f t="shared" si="190"/>
        <v>0</v>
      </c>
      <c r="DT13" s="8">
        <f t="shared" si="190"/>
        <v>0</v>
      </c>
      <c r="DU13" s="8">
        <f t="shared" si="190"/>
        <v>0</v>
      </c>
      <c r="DV13" s="8">
        <f t="shared" si="190"/>
        <v>0</v>
      </c>
      <c r="DW13" s="8">
        <f t="shared" si="190"/>
        <v>0</v>
      </c>
      <c r="DX13" s="8">
        <f t="shared" si="190"/>
        <v>0</v>
      </c>
      <c r="DY13" s="8">
        <f t="shared" si="190"/>
        <v>0</v>
      </c>
      <c r="DZ13" s="8">
        <f t="shared" si="190"/>
        <v>0</v>
      </c>
      <c r="EA13" s="8">
        <f t="shared" si="190"/>
        <v>0</v>
      </c>
      <c r="EB13" s="8">
        <f t="shared" si="190"/>
        <v>0</v>
      </c>
      <c r="EC13" s="8">
        <f t="shared" si="190"/>
        <v>0</v>
      </c>
      <c r="ED13" s="8">
        <f t="shared" si="190"/>
        <v>0</v>
      </c>
      <c r="EE13" s="8">
        <f t="shared" si="190"/>
        <v>0</v>
      </c>
      <c r="EF13" s="8">
        <f t="shared" ref="EF13:IF13" si="191">SUM(EF11:EF12)</f>
        <v>0</v>
      </c>
      <c r="EG13" s="8">
        <f t="shared" si="191"/>
        <v>0</v>
      </c>
      <c r="EH13" s="8">
        <f t="shared" si="191"/>
        <v>0</v>
      </c>
      <c r="EI13" s="8">
        <f t="shared" si="191"/>
        <v>0</v>
      </c>
      <c r="EJ13" s="8">
        <f t="shared" si="191"/>
        <v>0</v>
      </c>
      <c r="EK13" s="8">
        <f t="shared" si="191"/>
        <v>0</v>
      </c>
      <c r="EL13" s="8">
        <f t="shared" si="191"/>
        <v>0</v>
      </c>
      <c r="EM13" s="8">
        <f t="shared" si="191"/>
        <v>0</v>
      </c>
      <c r="EN13" s="8">
        <f t="shared" si="191"/>
        <v>0</v>
      </c>
      <c r="EO13" s="8">
        <f t="shared" si="191"/>
        <v>0</v>
      </c>
      <c r="EP13" s="8">
        <f t="shared" si="191"/>
        <v>0</v>
      </c>
      <c r="EQ13" s="8">
        <f t="shared" si="191"/>
        <v>0</v>
      </c>
      <c r="ER13" s="8">
        <f t="shared" si="191"/>
        <v>0</v>
      </c>
      <c r="ES13" s="8">
        <f t="shared" si="191"/>
        <v>0</v>
      </c>
      <c r="ET13" s="8">
        <f t="shared" si="191"/>
        <v>0</v>
      </c>
      <c r="EU13" s="8">
        <f t="shared" si="191"/>
        <v>0</v>
      </c>
      <c r="EV13" s="8">
        <f t="shared" si="191"/>
        <v>0</v>
      </c>
      <c r="EW13" s="8">
        <f t="shared" si="191"/>
        <v>0</v>
      </c>
      <c r="EX13" s="8">
        <f t="shared" si="191"/>
        <v>0</v>
      </c>
      <c r="EY13" s="8">
        <f t="shared" si="191"/>
        <v>0</v>
      </c>
      <c r="EZ13" s="8">
        <f t="shared" si="191"/>
        <v>0</v>
      </c>
      <c r="FA13" s="8">
        <f t="shared" si="191"/>
        <v>0</v>
      </c>
      <c r="FB13" s="8">
        <f t="shared" si="191"/>
        <v>0</v>
      </c>
      <c r="FC13" s="8">
        <f t="shared" si="191"/>
        <v>0</v>
      </c>
      <c r="FD13" s="8">
        <f t="shared" si="191"/>
        <v>0</v>
      </c>
      <c r="FE13" s="8"/>
      <c r="FF13" s="8"/>
      <c r="FG13" s="8">
        <f t="shared" si="191"/>
        <v>0</v>
      </c>
      <c r="FH13" s="8">
        <f t="shared" si="191"/>
        <v>0</v>
      </c>
      <c r="FI13" s="8">
        <f t="shared" si="191"/>
        <v>0</v>
      </c>
      <c r="FJ13" s="8">
        <f t="shared" si="191"/>
        <v>0</v>
      </c>
      <c r="FK13" s="8">
        <f t="shared" si="191"/>
        <v>0</v>
      </c>
      <c r="FL13" s="8">
        <f t="shared" si="191"/>
        <v>0</v>
      </c>
      <c r="FM13" s="8">
        <f t="shared" si="191"/>
        <v>0</v>
      </c>
      <c r="FN13" s="8">
        <f t="shared" si="191"/>
        <v>0</v>
      </c>
      <c r="FO13" s="8">
        <f t="shared" si="191"/>
        <v>0</v>
      </c>
      <c r="FP13" s="8">
        <f t="shared" si="191"/>
        <v>0</v>
      </c>
      <c r="FQ13" s="8">
        <f t="shared" si="191"/>
        <v>0</v>
      </c>
      <c r="FR13" s="8">
        <f t="shared" si="191"/>
        <v>0</v>
      </c>
      <c r="FS13" s="8">
        <f t="shared" si="191"/>
        <v>0</v>
      </c>
      <c r="FT13" s="8">
        <f t="shared" si="191"/>
        <v>0</v>
      </c>
      <c r="FU13" s="8">
        <f t="shared" si="191"/>
        <v>0</v>
      </c>
      <c r="FV13" s="8">
        <f t="shared" si="191"/>
        <v>0</v>
      </c>
      <c r="FW13" s="8">
        <f t="shared" si="191"/>
        <v>0</v>
      </c>
      <c r="FX13" s="8">
        <f t="shared" si="191"/>
        <v>0</v>
      </c>
      <c r="FY13" s="8">
        <f t="shared" si="191"/>
        <v>0</v>
      </c>
      <c r="FZ13" s="8">
        <f t="shared" si="191"/>
        <v>0</v>
      </c>
      <c r="GA13" s="8">
        <f t="shared" si="191"/>
        <v>0</v>
      </c>
      <c r="GB13" s="8">
        <f t="shared" si="191"/>
        <v>0</v>
      </c>
      <c r="GC13" s="8">
        <f t="shared" ref="GC13:HO13" si="192">SUM(GC11:GC12)</f>
        <v>0</v>
      </c>
      <c r="GD13" s="8">
        <f t="shared" si="192"/>
        <v>0</v>
      </c>
      <c r="GE13" s="8">
        <f t="shared" si="192"/>
        <v>0</v>
      </c>
      <c r="GF13" s="8">
        <f t="shared" si="192"/>
        <v>0</v>
      </c>
      <c r="GG13" s="8">
        <f t="shared" si="192"/>
        <v>0</v>
      </c>
      <c r="GH13" s="8">
        <f t="shared" si="192"/>
        <v>0</v>
      </c>
      <c r="GI13" s="8">
        <f t="shared" si="192"/>
        <v>0</v>
      </c>
      <c r="GJ13" s="8">
        <f t="shared" si="192"/>
        <v>0</v>
      </c>
      <c r="GK13" s="8">
        <f t="shared" si="192"/>
        <v>0</v>
      </c>
      <c r="GL13" s="8">
        <f t="shared" si="192"/>
        <v>0</v>
      </c>
      <c r="GM13" s="8">
        <f t="shared" si="192"/>
        <v>0</v>
      </c>
      <c r="GN13" s="8">
        <f t="shared" si="192"/>
        <v>0</v>
      </c>
      <c r="GO13" s="8">
        <f t="shared" si="192"/>
        <v>0</v>
      </c>
      <c r="GP13" s="8">
        <f t="shared" ref="GP13:HB13" si="193">SUM(GP11:GP12)</f>
        <v>0</v>
      </c>
      <c r="GQ13" s="8">
        <f t="shared" si="193"/>
        <v>0</v>
      </c>
      <c r="GR13" s="8">
        <f t="shared" si="193"/>
        <v>0</v>
      </c>
      <c r="GS13" s="8">
        <f t="shared" si="193"/>
        <v>0</v>
      </c>
      <c r="GT13" s="8">
        <f t="shared" si="193"/>
        <v>0</v>
      </c>
      <c r="GU13" s="8">
        <f t="shared" si="193"/>
        <v>0</v>
      </c>
      <c r="GV13" s="8">
        <f t="shared" si="193"/>
        <v>0</v>
      </c>
      <c r="GW13" s="8">
        <f t="shared" si="193"/>
        <v>0</v>
      </c>
      <c r="GX13" s="8">
        <f t="shared" si="193"/>
        <v>0</v>
      </c>
      <c r="GY13" s="8">
        <f t="shared" si="193"/>
        <v>0</v>
      </c>
      <c r="GZ13" s="8">
        <f t="shared" si="193"/>
        <v>0</v>
      </c>
      <c r="HA13" s="8">
        <f t="shared" si="193"/>
        <v>0</v>
      </c>
      <c r="HB13" s="8">
        <f t="shared" si="193"/>
        <v>0</v>
      </c>
      <c r="HC13" s="8">
        <f t="shared" si="192"/>
        <v>0</v>
      </c>
      <c r="HD13" s="8">
        <f t="shared" si="192"/>
        <v>0</v>
      </c>
      <c r="HE13" s="8">
        <f t="shared" si="192"/>
        <v>0</v>
      </c>
      <c r="HF13" s="8">
        <f t="shared" si="192"/>
        <v>0</v>
      </c>
      <c r="HG13" s="8">
        <f t="shared" si="192"/>
        <v>0</v>
      </c>
      <c r="HH13" s="8">
        <f t="shared" si="192"/>
        <v>0</v>
      </c>
      <c r="HI13" s="8">
        <f t="shared" si="192"/>
        <v>0</v>
      </c>
      <c r="HJ13" s="8">
        <f t="shared" si="192"/>
        <v>0</v>
      </c>
      <c r="HK13" s="8">
        <f t="shared" si="192"/>
        <v>0</v>
      </c>
      <c r="HL13" s="8">
        <f t="shared" si="192"/>
        <v>0</v>
      </c>
      <c r="HM13" s="8">
        <f t="shared" si="192"/>
        <v>0</v>
      </c>
      <c r="HN13" s="8">
        <f t="shared" si="192"/>
        <v>0</v>
      </c>
      <c r="HO13" s="8">
        <f t="shared" si="192"/>
        <v>0</v>
      </c>
      <c r="HP13" s="8">
        <f t="shared" si="191"/>
        <v>0</v>
      </c>
      <c r="HQ13" s="8">
        <f t="shared" si="191"/>
        <v>0</v>
      </c>
      <c r="HR13" s="8">
        <f t="shared" si="191"/>
        <v>0</v>
      </c>
      <c r="HS13" s="8">
        <f t="shared" si="191"/>
        <v>0</v>
      </c>
      <c r="HT13" s="8">
        <f t="shared" si="191"/>
        <v>0</v>
      </c>
      <c r="HU13" s="8">
        <f t="shared" si="191"/>
        <v>0</v>
      </c>
      <c r="HV13" s="8">
        <f t="shared" si="191"/>
        <v>0</v>
      </c>
      <c r="HW13" s="8">
        <f t="shared" si="191"/>
        <v>0</v>
      </c>
      <c r="HX13" s="8">
        <f t="shared" si="191"/>
        <v>0</v>
      </c>
      <c r="HY13" s="8">
        <f t="shared" si="191"/>
        <v>0</v>
      </c>
      <c r="HZ13" s="8">
        <f t="shared" si="191"/>
        <v>0</v>
      </c>
      <c r="IA13" s="8">
        <f t="shared" si="191"/>
        <v>0</v>
      </c>
      <c r="IB13" s="8">
        <f t="shared" si="191"/>
        <v>0</v>
      </c>
      <c r="IC13" s="8">
        <f t="shared" si="191"/>
        <v>0</v>
      </c>
      <c r="ID13" s="8">
        <f t="shared" si="191"/>
        <v>0</v>
      </c>
      <c r="IE13" s="8">
        <f t="shared" si="191"/>
        <v>0</v>
      </c>
      <c r="IF13" s="8">
        <f t="shared" si="191"/>
        <v>0</v>
      </c>
      <c r="IG13" s="8">
        <f t="shared" ref="IG13:JT13" si="194">SUM(IG11:IG12)</f>
        <v>0</v>
      </c>
      <c r="IH13" s="8">
        <f t="shared" si="194"/>
        <v>0</v>
      </c>
      <c r="II13" s="8">
        <f t="shared" si="194"/>
        <v>0</v>
      </c>
      <c r="IJ13" s="8">
        <f t="shared" si="194"/>
        <v>0</v>
      </c>
      <c r="IK13" s="8">
        <f t="shared" si="194"/>
        <v>0</v>
      </c>
      <c r="IL13" s="8">
        <f t="shared" si="194"/>
        <v>0</v>
      </c>
      <c r="IM13" s="8">
        <f t="shared" si="194"/>
        <v>0</v>
      </c>
      <c r="IN13" s="8">
        <f t="shared" si="194"/>
        <v>0</v>
      </c>
      <c r="IO13" s="8">
        <f t="shared" si="194"/>
        <v>0</v>
      </c>
      <c r="IP13" s="8">
        <f t="shared" si="194"/>
        <v>0</v>
      </c>
      <c r="IQ13" s="8">
        <f t="shared" si="194"/>
        <v>0</v>
      </c>
      <c r="IR13" s="8">
        <f t="shared" si="194"/>
        <v>0</v>
      </c>
      <c r="IS13" s="8">
        <f t="shared" si="194"/>
        <v>0</v>
      </c>
      <c r="IT13" s="8">
        <f t="shared" si="194"/>
        <v>0</v>
      </c>
      <c r="IU13" s="8">
        <f t="shared" si="194"/>
        <v>0</v>
      </c>
      <c r="IV13" s="8">
        <f t="shared" si="194"/>
        <v>0</v>
      </c>
      <c r="IW13" s="8">
        <f t="shared" si="194"/>
        <v>0</v>
      </c>
      <c r="IX13" s="8">
        <f t="shared" si="194"/>
        <v>0</v>
      </c>
      <c r="IY13" s="8">
        <f t="shared" si="194"/>
        <v>0</v>
      </c>
      <c r="IZ13" s="8">
        <f t="shared" si="194"/>
        <v>0</v>
      </c>
      <c r="JA13" s="8">
        <f t="shared" si="194"/>
        <v>0</v>
      </c>
      <c r="JB13" s="8">
        <f t="shared" si="194"/>
        <v>0</v>
      </c>
      <c r="JC13" s="8">
        <f t="shared" si="194"/>
        <v>0</v>
      </c>
      <c r="JD13" s="8">
        <f t="shared" si="194"/>
        <v>0</v>
      </c>
      <c r="JE13" s="8">
        <f t="shared" si="194"/>
        <v>0</v>
      </c>
      <c r="JF13" s="8">
        <f t="shared" si="194"/>
        <v>0</v>
      </c>
      <c r="JG13" s="8">
        <f t="shared" si="194"/>
        <v>0</v>
      </c>
      <c r="JH13" s="8">
        <f t="shared" si="194"/>
        <v>0</v>
      </c>
      <c r="JI13" s="8">
        <f t="shared" si="194"/>
        <v>0</v>
      </c>
      <c r="JJ13" s="8">
        <f t="shared" si="194"/>
        <v>0</v>
      </c>
      <c r="JK13" s="8">
        <f t="shared" si="194"/>
        <v>0</v>
      </c>
      <c r="JL13" s="8">
        <f t="shared" si="194"/>
        <v>0</v>
      </c>
      <c r="JM13" s="8">
        <f t="shared" si="194"/>
        <v>0</v>
      </c>
      <c r="JN13" s="8">
        <f t="shared" si="194"/>
        <v>0</v>
      </c>
      <c r="JO13" s="8">
        <f t="shared" si="194"/>
        <v>0</v>
      </c>
      <c r="JP13" s="8">
        <f t="shared" si="194"/>
        <v>0</v>
      </c>
      <c r="JQ13" s="8">
        <f t="shared" si="194"/>
        <v>0</v>
      </c>
      <c r="JR13" s="8">
        <f t="shared" si="194"/>
        <v>0</v>
      </c>
      <c r="JS13" s="8">
        <f t="shared" si="194"/>
        <v>0</v>
      </c>
      <c r="JT13" s="8">
        <f t="shared" si="194"/>
        <v>0</v>
      </c>
      <c r="JU13" s="8">
        <f t="shared" ref="JU13:MG13" si="195">SUM(JU11:JU12)</f>
        <v>0</v>
      </c>
      <c r="JV13" s="8">
        <f t="shared" si="195"/>
        <v>0</v>
      </c>
      <c r="JW13" s="8">
        <f t="shared" si="195"/>
        <v>0</v>
      </c>
      <c r="JX13" s="8">
        <f t="shared" si="195"/>
        <v>0</v>
      </c>
      <c r="JY13" s="8">
        <f t="shared" si="195"/>
        <v>0</v>
      </c>
      <c r="JZ13" s="8">
        <f t="shared" si="195"/>
        <v>0</v>
      </c>
      <c r="KA13" s="8">
        <f t="shared" si="195"/>
        <v>0</v>
      </c>
      <c r="KB13" s="8">
        <f t="shared" si="195"/>
        <v>0</v>
      </c>
      <c r="KC13" s="8">
        <f t="shared" si="195"/>
        <v>0</v>
      </c>
      <c r="KD13" s="8">
        <f t="shared" si="195"/>
        <v>0</v>
      </c>
      <c r="KE13" s="8">
        <f t="shared" si="195"/>
        <v>0</v>
      </c>
      <c r="KF13" s="8"/>
      <c r="KG13" s="8"/>
      <c r="KH13" s="8">
        <f t="shared" si="195"/>
        <v>0</v>
      </c>
      <c r="KI13" s="8">
        <f t="shared" si="195"/>
        <v>0</v>
      </c>
      <c r="KJ13" s="8">
        <f t="shared" si="195"/>
        <v>0</v>
      </c>
      <c r="KK13" s="8">
        <f t="shared" si="195"/>
        <v>0</v>
      </c>
      <c r="KL13" s="8">
        <f t="shared" si="195"/>
        <v>0</v>
      </c>
      <c r="KM13" s="8">
        <f t="shared" si="195"/>
        <v>0</v>
      </c>
      <c r="KN13" s="8">
        <f t="shared" si="195"/>
        <v>0</v>
      </c>
      <c r="KO13" s="8">
        <f t="shared" si="195"/>
        <v>0</v>
      </c>
      <c r="KP13" s="8">
        <f t="shared" si="195"/>
        <v>0</v>
      </c>
      <c r="KQ13" s="8">
        <f t="shared" si="195"/>
        <v>0</v>
      </c>
      <c r="KR13" s="8">
        <f t="shared" si="195"/>
        <v>0</v>
      </c>
      <c r="KS13" s="8">
        <f t="shared" si="195"/>
        <v>0</v>
      </c>
      <c r="KT13" s="8">
        <f t="shared" si="195"/>
        <v>0</v>
      </c>
      <c r="KU13" s="8">
        <f t="shared" si="195"/>
        <v>0</v>
      </c>
      <c r="KV13" s="8">
        <f t="shared" si="195"/>
        <v>0</v>
      </c>
      <c r="KW13" s="8">
        <f t="shared" si="195"/>
        <v>0</v>
      </c>
      <c r="KX13" s="8">
        <f t="shared" si="195"/>
        <v>0</v>
      </c>
      <c r="KY13" s="8">
        <f t="shared" si="195"/>
        <v>0</v>
      </c>
      <c r="KZ13" s="8">
        <f t="shared" si="195"/>
        <v>0</v>
      </c>
      <c r="LA13" s="8">
        <f t="shared" si="195"/>
        <v>0</v>
      </c>
      <c r="LB13" s="8">
        <f t="shared" si="195"/>
        <v>0</v>
      </c>
      <c r="LC13" s="8">
        <f t="shared" si="195"/>
        <v>0</v>
      </c>
      <c r="LD13" s="8">
        <f t="shared" si="195"/>
        <v>0</v>
      </c>
      <c r="LE13" s="8">
        <f t="shared" si="195"/>
        <v>0</v>
      </c>
      <c r="LF13" s="8">
        <f t="shared" si="195"/>
        <v>0</v>
      </c>
      <c r="LG13" s="8">
        <f t="shared" si="195"/>
        <v>0</v>
      </c>
      <c r="LH13" s="74">
        <f t="shared" si="195"/>
        <v>0</v>
      </c>
      <c r="LI13" s="8">
        <f t="shared" si="195"/>
        <v>0</v>
      </c>
      <c r="LJ13" s="8">
        <f t="shared" si="195"/>
        <v>0</v>
      </c>
      <c r="LK13" s="8">
        <f t="shared" si="195"/>
        <v>0</v>
      </c>
      <c r="LL13" s="8">
        <f t="shared" si="195"/>
        <v>0</v>
      </c>
      <c r="LM13" s="8">
        <f t="shared" si="195"/>
        <v>0</v>
      </c>
      <c r="LN13" s="139">
        <f t="shared" si="131"/>
        <v>0</v>
      </c>
      <c r="LO13" s="139">
        <f t="shared" si="132"/>
        <v>0</v>
      </c>
      <c r="LP13" s="8">
        <f t="shared" si="195"/>
        <v>0</v>
      </c>
      <c r="LQ13" s="8">
        <f t="shared" si="195"/>
        <v>0</v>
      </c>
      <c r="LR13" s="8">
        <f t="shared" si="195"/>
        <v>0</v>
      </c>
      <c r="LS13" s="8">
        <f t="shared" si="195"/>
        <v>0</v>
      </c>
      <c r="LT13" s="8">
        <f t="shared" si="195"/>
        <v>0</v>
      </c>
      <c r="LU13" s="8">
        <f t="shared" si="195"/>
        <v>0</v>
      </c>
      <c r="LV13" s="8">
        <f t="shared" si="195"/>
        <v>0</v>
      </c>
      <c r="LW13" s="8">
        <f t="shared" si="195"/>
        <v>0</v>
      </c>
      <c r="LX13" s="8">
        <f t="shared" si="195"/>
        <v>0</v>
      </c>
      <c r="LY13" s="8">
        <f t="shared" si="195"/>
        <v>0</v>
      </c>
      <c r="LZ13" s="8">
        <f t="shared" si="195"/>
        <v>0</v>
      </c>
      <c r="MA13" s="8">
        <f t="shared" si="195"/>
        <v>0</v>
      </c>
      <c r="MB13" s="8">
        <f t="shared" si="195"/>
        <v>0</v>
      </c>
      <c r="MC13" s="8">
        <f t="shared" si="195"/>
        <v>0</v>
      </c>
      <c r="MD13" s="8">
        <f t="shared" si="195"/>
        <v>0</v>
      </c>
      <c r="ME13" s="8">
        <f t="shared" si="195"/>
        <v>0</v>
      </c>
      <c r="MF13" s="8">
        <f t="shared" si="195"/>
        <v>0</v>
      </c>
      <c r="MG13" s="8">
        <f t="shared" si="195"/>
        <v>0</v>
      </c>
      <c r="MH13" s="8">
        <f t="shared" ref="MH13:OS13" si="196">SUM(MH11:MH12)</f>
        <v>0</v>
      </c>
      <c r="MI13" s="8">
        <f t="shared" si="196"/>
        <v>0</v>
      </c>
      <c r="MJ13" s="8">
        <f t="shared" si="196"/>
        <v>0</v>
      </c>
      <c r="MK13" s="8">
        <f t="shared" si="196"/>
        <v>0</v>
      </c>
      <c r="ML13" s="8">
        <f t="shared" si="196"/>
        <v>0</v>
      </c>
      <c r="MM13" s="8">
        <f t="shared" si="196"/>
        <v>0</v>
      </c>
      <c r="MN13" s="8">
        <f t="shared" si="196"/>
        <v>0</v>
      </c>
      <c r="MO13" s="8">
        <f t="shared" si="196"/>
        <v>0</v>
      </c>
      <c r="MP13" s="8">
        <f t="shared" si="196"/>
        <v>0</v>
      </c>
      <c r="MQ13" s="8">
        <f t="shared" si="196"/>
        <v>0</v>
      </c>
      <c r="MR13" s="8">
        <f t="shared" si="196"/>
        <v>0</v>
      </c>
      <c r="MS13" s="8">
        <f t="shared" si="196"/>
        <v>0</v>
      </c>
      <c r="MT13" s="8">
        <f t="shared" si="196"/>
        <v>0</v>
      </c>
      <c r="MU13" s="8">
        <f t="shared" si="196"/>
        <v>0</v>
      </c>
      <c r="MV13" s="8">
        <f t="shared" si="196"/>
        <v>0</v>
      </c>
      <c r="MW13" s="8">
        <f t="shared" si="196"/>
        <v>0</v>
      </c>
      <c r="MX13" s="8">
        <f t="shared" si="196"/>
        <v>0</v>
      </c>
      <c r="MY13" s="8">
        <f t="shared" si="196"/>
        <v>0</v>
      </c>
      <c r="MZ13" s="8">
        <f t="shared" si="196"/>
        <v>0</v>
      </c>
      <c r="NA13" s="8">
        <f t="shared" si="196"/>
        <v>0</v>
      </c>
      <c r="NB13" s="8">
        <f t="shared" si="196"/>
        <v>0</v>
      </c>
      <c r="NC13" s="8">
        <f t="shared" si="196"/>
        <v>0</v>
      </c>
      <c r="ND13" s="8">
        <f t="shared" si="196"/>
        <v>0</v>
      </c>
      <c r="NE13" s="8">
        <f t="shared" si="196"/>
        <v>0</v>
      </c>
      <c r="NF13" s="8">
        <f t="shared" si="196"/>
        <v>0</v>
      </c>
      <c r="NG13" s="8">
        <f t="shared" si="196"/>
        <v>0</v>
      </c>
      <c r="NH13" s="8">
        <f t="shared" si="196"/>
        <v>0</v>
      </c>
      <c r="NI13" s="8">
        <f t="shared" si="196"/>
        <v>0</v>
      </c>
      <c r="NJ13" s="8">
        <f t="shared" si="196"/>
        <v>0</v>
      </c>
      <c r="NK13" s="8">
        <f t="shared" si="196"/>
        <v>0</v>
      </c>
      <c r="NL13" s="8">
        <f t="shared" si="196"/>
        <v>0</v>
      </c>
      <c r="NM13" s="8">
        <f t="shared" si="196"/>
        <v>0</v>
      </c>
      <c r="NN13" s="8">
        <f t="shared" si="196"/>
        <v>0</v>
      </c>
      <c r="NO13" s="8">
        <f t="shared" si="196"/>
        <v>0</v>
      </c>
      <c r="NP13" s="8">
        <f t="shared" si="196"/>
        <v>0</v>
      </c>
      <c r="NQ13" s="8">
        <f t="shared" si="196"/>
        <v>0</v>
      </c>
      <c r="NR13" s="8">
        <f t="shared" si="196"/>
        <v>0</v>
      </c>
      <c r="NS13" s="8">
        <f t="shared" si="196"/>
        <v>0</v>
      </c>
      <c r="NT13" s="8">
        <f t="shared" si="196"/>
        <v>0</v>
      </c>
      <c r="NU13" s="8">
        <f t="shared" si="196"/>
        <v>0</v>
      </c>
      <c r="NV13" s="8">
        <f t="shared" si="196"/>
        <v>0</v>
      </c>
      <c r="NW13" s="8">
        <f t="shared" si="196"/>
        <v>0</v>
      </c>
      <c r="NX13" s="8">
        <f t="shared" si="196"/>
        <v>0</v>
      </c>
      <c r="NY13" s="8">
        <f t="shared" si="196"/>
        <v>0</v>
      </c>
      <c r="NZ13" s="8">
        <f t="shared" si="196"/>
        <v>0</v>
      </c>
      <c r="OA13" s="8">
        <f t="shared" si="196"/>
        <v>0</v>
      </c>
      <c r="OB13" s="8">
        <f t="shared" si="196"/>
        <v>0</v>
      </c>
      <c r="OC13" s="8">
        <f t="shared" si="196"/>
        <v>0</v>
      </c>
      <c r="OD13" s="8">
        <f t="shared" si="196"/>
        <v>0</v>
      </c>
      <c r="OE13" s="8">
        <f t="shared" si="196"/>
        <v>0</v>
      </c>
      <c r="OF13" s="8">
        <f t="shared" si="196"/>
        <v>0</v>
      </c>
      <c r="OG13" s="8">
        <f t="shared" si="196"/>
        <v>0</v>
      </c>
      <c r="OH13" s="8">
        <f t="shared" si="196"/>
        <v>0</v>
      </c>
      <c r="OI13" s="8">
        <f t="shared" si="196"/>
        <v>0</v>
      </c>
      <c r="OJ13" s="8">
        <f t="shared" si="196"/>
        <v>0</v>
      </c>
      <c r="OK13" s="8">
        <f t="shared" si="196"/>
        <v>0</v>
      </c>
      <c r="OL13" s="8">
        <f t="shared" si="196"/>
        <v>0</v>
      </c>
      <c r="OM13" s="8">
        <f t="shared" si="196"/>
        <v>0</v>
      </c>
      <c r="ON13" s="8">
        <f t="shared" si="196"/>
        <v>0</v>
      </c>
      <c r="OO13" s="8">
        <f t="shared" si="196"/>
        <v>0</v>
      </c>
      <c r="OP13" s="8">
        <f t="shared" si="196"/>
        <v>0</v>
      </c>
      <c r="OQ13" s="8">
        <f t="shared" si="196"/>
        <v>0</v>
      </c>
      <c r="OR13" s="8">
        <f t="shared" si="196"/>
        <v>0</v>
      </c>
      <c r="OS13" s="8">
        <f t="shared" si="196"/>
        <v>0</v>
      </c>
      <c r="OT13" s="8">
        <f t="shared" ref="OT13:RE13" si="197">SUM(OT11:OT12)</f>
        <v>0</v>
      </c>
      <c r="OU13" s="8">
        <f t="shared" si="197"/>
        <v>0</v>
      </c>
      <c r="OV13" s="8">
        <f t="shared" si="197"/>
        <v>0</v>
      </c>
      <c r="OW13" s="8">
        <f t="shared" si="197"/>
        <v>0</v>
      </c>
      <c r="OX13" s="8">
        <f t="shared" si="197"/>
        <v>0</v>
      </c>
      <c r="OY13" s="8">
        <f t="shared" si="197"/>
        <v>0</v>
      </c>
      <c r="OZ13" s="8">
        <f t="shared" si="197"/>
        <v>0</v>
      </c>
      <c r="PA13" s="8">
        <f t="shared" si="197"/>
        <v>0</v>
      </c>
      <c r="PB13" s="8">
        <f t="shared" si="197"/>
        <v>0</v>
      </c>
      <c r="PC13" s="8">
        <f t="shared" si="197"/>
        <v>0</v>
      </c>
      <c r="PD13" s="8">
        <f t="shared" si="197"/>
        <v>0</v>
      </c>
      <c r="PE13" s="8">
        <f t="shared" si="197"/>
        <v>0</v>
      </c>
      <c r="PF13" s="8">
        <f t="shared" si="197"/>
        <v>0</v>
      </c>
      <c r="PG13" s="8">
        <f t="shared" si="197"/>
        <v>0</v>
      </c>
      <c r="PH13" s="8">
        <f t="shared" si="197"/>
        <v>0</v>
      </c>
      <c r="PI13" s="8">
        <f t="shared" si="197"/>
        <v>0</v>
      </c>
      <c r="PJ13" s="8">
        <f t="shared" si="197"/>
        <v>0</v>
      </c>
      <c r="PK13" s="8">
        <f t="shared" si="197"/>
        <v>0</v>
      </c>
      <c r="PL13" s="8">
        <f t="shared" si="197"/>
        <v>0</v>
      </c>
      <c r="PM13" s="8">
        <f t="shared" si="197"/>
        <v>0</v>
      </c>
      <c r="PN13" s="8">
        <f t="shared" si="197"/>
        <v>0</v>
      </c>
      <c r="PO13" s="8">
        <f t="shared" si="197"/>
        <v>0</v>
      </c>
      <c r="PP13" s="8">
        <f t="shared" si="197"/>
        <v>0</v>
      </c>
      <c r="PQ13" s="8">
        <f t="shared" si="197"/>
        <v>0</v>
      </c>
      <c r="PR13" s="8">
        <f t="shared" si="197"/>
        <v>0</v>
      </c>
      <c r="PS13" s="8">
        <f t="shared" si="197"/>
        <v>0</v>
      </c>
      <c r="PT13" s="8">
        <f t="shared" si="197"/>
        <v>0</v>
      </c>
      <c r="PU13" s="8">
        <f t="shared" si="197"/>
        <v>0</v>
      </c>
      <c r="PV13" s="8">
        <f t="shared" si="197"/>
        <v>0</v>
      </c>
      <c r="PW13" s="8">
        <f t="shared" si="197"/>
        <v>0</v>
      </c>
      <c r="PX13" s="8">
        <f t="shared" si="197"/>
        <v>0</v>
      </c>
      <c r="PY13" s="8">
        <f t="shared" si="197"/>
        <v>0</v>
      </c>
      <c r="PZ13" s="8">
        <f t="shared" si="197"/>
        <v>0</v>
      </c>
      <c r="QA13" s="8">
        <f t="shared" si="197"/>
        <v>0</v>
      </c>
      <c r="QB13" s="8">
        <f t="shared" si="197"/>
        <v>0</v>
      </c>
      <c r="QC13" s="8">
        <f t="shared" si="197"/>
        <v>0</v>
      </c>
      <c r="QD13" s="8">
        <f t="shared" si="197"/>
        <v>0</v>
      </c>
      <c r="QE13" s="8">
        <f t="shared" si="197"/>
        <v>0</v>
      </c>
      <c r="QF13" s="8">
        <f t="shared" si="197"/>
        <v>0</v>
      </c>
      <c r="QG13" s="8">
        <f t="shared" si="197"/>
        <v>0</v>
      </c>
      <c r="QH13" s="8">
        <f t="shared" si="197"/>
        <v>0</v>
      </c>
      <c r="QI13" s="8">
        <f t="shared" si="197"/>
        <v>0</v>
      </c>
      <c r="QJ13" s="8">
        <f t="shared" si="197"/>
        <v>0</v>
      </c>
      <c r="QK13" s="8">
        <f t="shared" si="197"/>
        <v>0</v>
      </c>
      <c r="QL13" s="8">
        <f t="shared" si="197"/>
        <v>0</v>
      </c>
      <c r="QM13" s="8">
        <f t="shared" si="197"/>
        <v>0</v>
      </c>
      <c r="QN13" s="8">
        <f t="shared" si="197"/>
        <v>0</v>
      </c>
      <c r="QO13" s="8">
        <f t="shared" si="197"/>
        <v>0</v>
      </c>
      <c r="QP13" s="8">
        <f t="shared" si="197"/>
        <v>0</v>
      </c>
      <c r="QQ13" s="8">
        <f t="shared" si="197"/>
        <v>0</v>
      </c>
      <c r="QR13" s="8">
        <f t="shared" si="197"/>
        <v>0</v>
      </c>
      <c r="QS13" s="8">
        <f t="shared" si="197"/>
        <v>0</v>
      </c>
      <c r="QT13" s="8">
        <f t="shared" si="197"/>
        <v>0</v>
      </c>
      <c r="QU13" s="8">
        <f t="shared" si="197"/>
        <v>0</v>
      </c>
      <c r="QV13" s="8">
        <f t="shared" si="197"/>
        <v>0</v>
      </c>
      <c r="QW13" s="8">
        <f t="shared" si="197"/>
        <v>0</v>
      </c>
      <c r="QX13" s="8">
        <f t="shared" si="197"/>
        <v>0</v>
      </c>
      <c r="QY13" s="8">
        <f t="shared" si="197"/>
        <v>0</v>
      </c>
      <c r="QZ13" s="8">
        <f t="shared" si="197"/>
        <v>0</v>
      </c>
      <c r="RA13" s="8">
        <f t="shared" si="197"/>
        <v>0</v>
      </c>
      <c r="RB13" s="8">
        <f t="shared" si="197"/>
        <v>0</v>
      </c>
      <c r="RC13" s="8">
        <f t="shared" si="197"/>
        <v>0</v>
      </c>
      <c r="RD13" s="8">
        <f t="shared" si="197"/>
        <v>0</v>
      </c>
      <c r="RE13" s="8">
        <f t="shared" si="197"/>
        <v>0</v>
      </c>
      <c r="RF13" s="8">
        <f t="shared" ref="RF13:TQ13" si="198">SUM(RF11:RF12)</f>
        <v>0</v>
      </c>
      <c r="RG13" s="8">
        <f t="shared" si="198"/>
        <v>0</v>
      </c>
      <c r="RH13" s="8">
        <f t="shared" si="198"/>
        <v>0</v>
      </c>
      <c r="RI13" s="8">
        <f t="shared" si="198"/>
        <v>0</v>
      </c>
      <c r="RJ13" s="8">
        <f t="shared" si="198"/>
        <v>0</v>
      </c>
      <c r="RK13" s="8">
        <f t="shared" si="198"/>
        <v>0</v>
      </c>
      <c r="RL13" s="8">
        <f t="shared" si="198"/>
        <v>0</v>
      </c>
      <c r="RM13" s="8">
        <f t="shared" si="198"/>
        <v>0</v>
      </c>
      <c r="RN13" s="8">
        <f t="shared" si="198"/>
        <v>0</v>
      </c>
      <c r="RO13" s="8">
        <f t="shared" si="198"/>
        <v>0</v>
      </c>
      <c r="RP13" s="8">
        <f t="shared" si="198"/>
        <v>0</v>
      </c>
      <c r="RQ13" s="8">
        <f t="shared" si="198"/>
        <v>0</v>
      </c>
      <c r="RR13" s="8">
        <f t="shared" si="198"/>
        <v>0</v>
      </c>
      <c r="RS13" s="8">
        <f t="shared" si="198"/>
        <v>0</v>
      </c>
      <c r="RT13" s="8">
        <f t="shared" si="198"/>
        <v>0</v>
      </c>
      <c r="RU13" s="8">
        <f t="shared" si="198"/>
        <v>0</v>
      </c>
      <c r="RV13" s="8">
        <f t="shared" si="198"/>
        <v>0</v>
      </c>
      <c r="RW13" s="8">
        <f t="shared" si="198"/>
        <v>0</v>
      </c>
      <c r="RX13" s="8">
        <f t="shared" si="198"/>
        <v>0</v>
      </c>
      <c r="RY13" s="8">
        <f t="shared" si="198"/>
        <v>0</v>
      </c>
      <c r="RZ13" s="8">
        <f t="shared" si="198"/>
        <v>0</v>
      </c>
      <c r="SA13" s="8">
        <f t="shared" si="198"/>
        <v>0</v>
      </c>
      <c r="SB13" s="8">
        <f t="shared" si="198"/>
        <v>0</v>
      </c>
      <c r="SC13" s="8">
        <f t="shared" si="198"/>
        <v>0</v>
      </c>
      <c r="SD13" s="8">
        <f t="shared" si="198"/>
        <v>0</v>
      </c>
      <c r="SE13" s="8">
        <f t="shared" si="198"/>
        <v>0</v>
      </c>
      <c r="SF13" s="8">
        <f t="shared" si="198"/>
        <v>0</v>
      </c>
      <c r="SG13" s="8">
        <f t="shared" si="198"/>
        <v>0</v>
      </c>
      <c r="SH13" s="8">
        <f t="shared" si="198"/>
        <v>0</v>
      </c>
      <c r="SI13" s="8">
        <f t="shared" si="198"/>
        <v>0</v>
      </c>
      <c r="SJ13" s="8">
        <f t="shared" si="198"/>
        <v>0</v>
      </c>
      <c r="SK13" s="8">
        <f t="shared" si="198"/>
        <v>0</v>
      </c>
      <c r="SL13" s="8">
        <f t="shared" si="198"/>
        <v>0</v>
      </c>
      <c r="SM13" s="8">
        <f t="shared" si="198"/>
        <v>0</v>
      </c>
      <c r="SN13" s="8">
        <f t="shared" si="198"/>
        <v>0</v>
      </c>
      <c r="SO13" s="8">
        <f t="shared" si="198"/>
        <v>0</v>
      </c>
      <c r="SP13" s="8">
        <f t="shared" si="198"/>
        <v>0</v>
      </c>
      <c r="SQ13" s="8">
        <f t="shared" si="198"/>
        <v>0</v>
      </c>
      <c r="SR13" s="8">
        <f t="shared" si="198"/>
        <v>0</v>
      </c>
      <c r="SS13" s="8">
        <f t="shared" si="198"/>
        <v>0</v>
      </c>
      <c r="ST13" s="8">
        <f t="shared" si="198"/>
        <v>0</v>
      </c>
      <c r="SU13" s="8">
        <f t="shared" si="198"/>
        <v>0</v>
      </c>
      <c r="SV13" s="8">
        <f t="shared" si="198"/>
        <v>0</v>
      </c>
      <c r="SW13" s="8">
        <f t="shared" si="198"/>
        <v>0</v>
      </c>
      <c r="SX13" s="8">
        <f t="shared" si="198"/>
        <v>0</v>
      </c>
      <c r="SY13" s="8">
        <f t="shared" si="198"/>
        <v>0</v>
      </c>
      <c r="SZ13" s="8">
        <f t="shared" si="198"/>
        <v>0</v>
      </c>
      <c r="TA13" s="8">
        <f t="shared" si="198"/>
        <v>0</v>
      </c>
      <c r="TB13" s="8">
        <f t="shared" si="198"/>
        <v>0</v>
      </c>
      <c r="TC13" s="8">
        <f t="shared" si="198"/>
        <v>0</v>
      </c>
      <c r="TD13" s="8">
        <f t="shared" si="198"/>
        <v>0</v>
      </c>
      <c r="TE13" s="8">
        <f t="shared" si="198"/>
        <v>0</v>
      </c>
      <c r="TF13" s="8">
        <f t="shared" si="198"/>
        <v>0</v>
      </c>
      <c r="TG13" s="8">
        <f t="shared" si="198"/>
        <v>0</v>
      </c>
      <c r="TH13" s="8">
        <f t="shared" si="198"/>
        <v>0</v>
      </c>
      <c r="TI13" s="8">
        <f t="shared" si="198"/>
        <v>0</v>
      </c>
      <c r="TJ13" s="8">
        <f t="shared" si="198"/>
        <v>0</v>
      </c>
      <c r="TK13" s="8">
        <f t="shared" si="198"/>
        <v>0</v>
      </c>
      <c r="TL13" s="8">
        <f t="shared" si="198"/>
        <v>0</v>
      </c>
      <c r="TM13" s="8">
        <f t="shared" si="198"/>
        <v>0</v>
      </c>
      <c r="TN13" s="8">
        <f t="shared" si="198"/>
        <v>0</v>
      </c>
      <c r="TO13" s="8">
        <f t="shared" si="198"/>
        <v>0</v>
      </c>
      <c r="TP13" s="8">
        <f t="shared" si="198"/>
        <v>0</v>
      </c>
      <c r="TQ13" s="8">
        <f t="shared" si="198"/>
        <v>0</v>
      </c>
      <c r="TR13" s="8">
        <f t="shared" ref="TR13:WC13" si="199">SUM(TR11:TR12)</f>
        <v>0</v>
      </c>
      <c r="TS13" s="8">
        <f t="shared" si="199"/>
        <v>0</v>
      </c>
      <c r="TT13" s="8">
        <f t="shared" si="199"/>
        <v>0</v>
      </c>
      <c r="TU13" s="8">
        <f t="shared" si="199"/>
        <v>0</v>
      </c>
      <c r="TV13" s="8">
        <f t="shared" si="199"/>
        <v>0</v>
      </c>
      <c r="TW13" s="8">
        <f t="shared" si="199"/>
        <v>0</v>
      </c>
      <c r="TX13" s="8">
        <f t="shared" si="199"/>
        <v>0</v>
      </c>
      <c r="TY13" s="8">
        <f t="shared" si="199"/>
        <v>0</v>
      </c>
      <c r="TZ13" s="8">
        <f t="shared" si="199"/>
        <v>0</v>
      </c>
      <c r="UA13" s="8">
        <f t="shared" si="199"/>
        <v>0</v>
      </c>
      <c r="UB13" s="8">
        <f t="shared" si="199"/>
        <v>0</v>
      </c>
      <c r="UC13" s="8">
        <f t="shared" si="199"/>
        <v>0</v>
      </c>
      <c r="UD13" s="8">
        <f t="shared" si="199"/>
        <v>0</v>
      </c>
      <c r="UE13" s="8">
        <f t="shared" si="199"/>
        <v>0</v>
      </c>
      <c r="UF13" s="8">
        <f t="shared" si="199"/>
        <v>0</v>
      </c>
      <c r="UG13" s="8">
        <f t="shared" si="199"/>
        <v>0</v>
      </c>
      <c r="UH13" s="8">
        <f t="shared" si="199"/>
        <v>0</v>
      </c>
      <c r="UI13" s="8">
        <f t="shared" si="199"/>
        <v>0</v>
      </c>
      <c r="UJ13" s="8">
        <f t="shared" si="199"/>
        <v>0</v>
      </c>
      <c r="UK13" s="8">
        <f t="shared" si="199"/>
        <v>0</v>
      </c>
      <c r="UL13" s="8">
        <f t="shared" si="199"/>
        <v>0</v>
      </c>
      <c r="UM13" s="8">
        <f t="shared" si="199"/>
        <v>0</v>
      </c>
      <c r="UN13" s="8">
        <f t="shared" si="199"/>
        <v>0</v>
      </c>
      <c r="UO13" s="8">
        <f t="shared" si="199"/>
        <v>0</v>
      </c>
      <c r="UP13" s="8">
        <f t="shared" si="199"/>
        <v>0</v>
      </c>
      <c r="UQ13" s="8">
        <f t="shared" si="199"/>
        <v>0</v>
      </c>
      <c r="UR13" s="8">
        <f t="shared" si="199"/>
        <v>0</v>
      </c>
      <c r="US13" s="8">
        <f t="shared" si="199"/>
        <v>0</v>
      </c>
      <c r="UT13" s="8">
        <f t="shared" si="199"/>
        <v>0</v>
      </c>
      <c r="UU13" s="8">
        <f t="shared" si="199"/>
        <v>0</v>
      </c>
      <c r="UV13" s="8">
        <f t="shared" si="199"/>
        <v>0</v>
      </c>
      <c r="UW13" s="8">
        <f t="shared" si="199"/>
        <v>0</v>
      </c>
      <c r="UX13" s="8">
        <f t="shared" si="199"/>
        <v>0</v>
      </c>
      <c r="UY13" s="8">
        <f t="shared" si="199"/>
        <v>0</v>
      </c>
      <c r="UZ13" s="8">
        <f t="shared" si="199"/>
        <v>0</v>
      </c>
      <c r="VA13" s="8">
        <f t="shared" si="199"/>
        <v>0</v>
      </c>
      <c r="VB13" s="8">
        <f t="shared" si="199"/>
        <v>0</v>
      </c>
      <c r="VC13" s="8">
        <f t="shared" si="199"/>
        <v>0</v>
      </c>
      <c r="VD13" s="8">
        <f t="shared" si="199"/>
        <v>0</v>
      </c>
      <c r="VE13" s="8">
        <f t="shared" si="199"/>
        <v>0</v>
      </c>
      <c r="VF13" s="8">
        <f t="shared" si="199"/>
        <v>0</v>
      </c>
      <c r="VG13" s="8">
        <f t="shared" si="199"/>
        <v>0</v>
      </c>
      <c r="VH13" s="8">
        <f t="shared" si="199"/>
        <v>0</v>
      </c>
      <c r="VI13" s="8">
        <f t="shared" si="199"/>
        <v>0</v>
      </c>
      <c r="VJ13" s="8">
        <f t="shared" si="199"/>
        <v>0</v>
      </c>
      <c r="VK13" s="8">
        <f t="shared" si="199"/>
        <v>0</v>
      </c>
      <c r="VL13" s="8">
        <f t="shared" si="199"/>
        <v>0</v>
      </c>
      <c r="VM13" s="8">
        <f t="shared" si="199"/>
        <v>0</v>
      </c>
      <c r="VN13" s="8">
        <f t="shared" si="199"/>
        <v>0</v>
      </c>
      <c r="VO13" s="8">
        <f t="shared" si="199"/>
        <v>0</v>
      </c>
      <c r="VP13" s="8">
        <f t="shared" si="199"/>
        <v>0</v>
      </c>
      <c r="VQ13" s="8">
        <f t="shared" si="199"/>
        <v>0</v>
      </c>
      <c r="VR13" s="8">
        <f t="shared" si="199"/>
        <v>0</v>
      </c>
      <c r="VS13" s="8">
        <f t="shared" si="199"/>
        <v>0</v>
      </c>
      <c r="VT13" s="8">
        <f t="shared" si="199"/>
        <v>0</v>
      </c>
      <c r="VU13" s="8">
        <f t="shared" si="199"/>
        <v>0</v>
      </c>
      <c r="VV13" s="8">
        <f t="shared" si="199"/>
        <v>0</v>
      </c>
      <c r="VW13" s="8">
        <f t="shared" si="199"/>
        <v>0</v>
      </c>
      <c r="VX13" s="8">
        <f t="shared" si="199"/>
        <v>0</v>
      </c>
      <c r="VY13" s="8">
        <f t="shared" si="199"/>
        <v>0</v>
      </c>
      <c r="VZ13" s="8">
        <f t="shared" si="199"/>
        <v>0</v>
      </c>
      <c r="WA13" s="8">
        <f t="shared" si="199"/>
        <v>0</v>
      </c>
      <c r="WB13" s="8">
        <f t="shared" si="199"/>
        <v>0</v>
      </c>
      <c r="WC13" s="8">
        <f t="shared" si="199"/>
        <v>0</v>
      </c>
      <c r="WD13" s="8">
        <f t="shared" ref="WD13:YO13" si="200">SUM(WD11:WD12)</f>
        <v>0</v>
      </c>
      <c r="WE13" s="8">
        <f t="shared" si="200"/>
        <v>0</v>
      </c>
      <c r="WF13" s="8">
        <f t="shared" si="200"/>
        <v>0</v>
      </c>
      <c r="WG13" s="8">
        <f t="shared" si="200"/>
        <v>0</v>
      </c>
      <c r="WH13" s="8">
        <f t="shared" si="200"/>
        <v>0</v>
      </c>
      <c r="WI13" s="8">
        <f t="shared" si="200"/>
        <v>0</v>
      </c>
      <c r="WJ13" s="8">
        <f t="shared" si="200"/>
        <v>0</v>
      </c>
      <c r="WK13" s="8">
        <f t="shared" si="200"/>
        <v>0</v>
      </c>
      <c r="WL13" s="8">
        <f t="shared" si="200"/>
        <v>0</v>
      </c>
      <c r="WM13" s="8">
        <f t="shared" si="200"/>
        <v>0</v>
      </c>
      <c r="WN13" s="8">
        <f t="shared" si="200"/>
        <v>0</v>
      </c>
      <c r="WO13" s="8">
        <f t="shared" si="200"/>
        <v>0</v>
      </c>
      <c r="WP13" s="8">
        <f t="shared" si="200"/>
        <v>0</v>
      </c>
      <c r="WQ13" s="8">
        <f t="shared" si="200"/>
        <v>0</v>
      </c>
      <c r="WR13" s="8">
        <f t="shared" si="200"/>
        <v>0</v>
      </c>
      <c r="WS13" s="8">
        <f t="shared" si="200"/>
        <v>0</v>
      </c>
      <c r="WT13" s="8">
        <f t="shared" si="200"/>
        <v>0</v>
      </c>
      <c r="WU13" s="8">
        <f t="shared" si="200"/>
        <v>0</v>
      </c>
      <c r="WV13" s="8">
        <f t="shared" si="200"/>
        <v>0</v>
      </c>
      <c r="WW13" s="8">
        <f t="shared" si="200"/>
        <v>0</v>
      </c>
      <c r="WX13" s="8">
        <f t="shared" si="200"/>
        <v>0</v>
      </c>
      <c r="WY13" s="8">
        <f t="shared" si="200"/>
        <v>0</v>
      </c>
      <c r="WZ13" s="8">
        <f t="shared" si="200"/>
        <v>0</v>
      </c>
      <c r="XA13" s="8">
        <f t="shared" si="200"/>
        <v>0</v>
      </c>
      <c r="XB13" s="8">
        <f t="shared" si="200"/>
        <v>0</v>
      </c>
      <c r="XC13" s="8">
        <f t="shared" si="200"/>
        <v>0</v>
      </c>
      <c r="XD13" s="8">
        <f t="shared" si="200"/>
        <v>0</v>
      </c>
      <c r="XE13" s="8">
        <f t="shared" si="200"/>
        <v>0</v>
      </c>
      <c r="XF13" s="8">
        <f t="shared" si="200"/>
        <v>0</v>
      </c>
      <c r="XG13" s="8">
        <f t="shared" si="200"/>
        <v>0</v>
      </c>
      <c r="XH13" s="8">
        <f t="shared" si="200"/>
        <v>0</v>
      </c>
      <c r="XI13" s="8">
        <f t="shared" si="200"/>
        <v>0</v>
      </c>
      <c r="XJ13" s="8">
        <f t="shared" si="200"/>
        <v>0</v>
      </c>
      <c r="XK13" s="8">
        <f t="shared" si="200"/>
        <v>0</v>
      </c>
      <c r="XL13" s="8">
        <f t="shared" si="200"/>
        <v>0</v>
      </c>
      <c r="XM13" s="8">
        <f t="shared" si="200"/>
        <v>0</v>
      </c>
      <c r="XN13" s="8">
        <f t="shared" si="200"/>
        <v>0</v>
      </c>
      <c r="XO13" s="8">
        <f t="shared" si="200"/>
        <v>0</v>
      </c>
      <c r="XP13" s="8">
        <f t="shared" si="200"/>
        <v>0</v>
      </c>
      <c r="XQ13" s="8">
        <f t="shared" si="200"/>
        <v>0</v>
      </c>
      <c r="XR13" s="8">
        <f t="shared" si="200"/>
        <v>0</v>
      </c>
      <c r="XS13" s="8">
        <f t="shared" si="200"/>
        <v>0</v>
      </c>
      <c r="XT13" s="8">
        <f t="shared" si="200"/>
        <v>0</v>
      </c>
      <c r="XU13" s="8">
        <f t="shared" si="200"/>
        <v>0</v>
      </c>
      <c r="XV13" s="8">
        <f t="shared" si="200"/>
        <v>0</v>
      </c>
      <c r="XW13" s="8">
        <f t="shared" si="200"/>
        <v>0</v>
      </c>
      <c r="XX13" s="8">
        <f t="shared" si="200"/>
        <v>0</v>
      </c>
      <c r="XY13" s="8">
        <f t="shared" si="200"/>
        <v>0</v>
      </c>
      <c r="XZ13" s="8">
        <f t="shared" si="200"/>
        <v>0</v>
      </c>
      <c r="YA13" s="8">
        <f t="shared" si="200"/>
        <v>0</v>
      </c>
      <c r="YB13" s="8">
        <f t="shared" si="200"/>
        <v>0</v>
      </c>
      <c r="YC13" s="8">
        <f t="shared" si="200"/>
        <v>0</v>
      </c>
      <c r="YD13" s="8">
        <f t="shared" si="200"/>
        <v>0</v>
      </c>
      <c r="YE13" s="8">
        <f t="shared" si="200"/>
        <v>0</v>
      </c>
      <c r="YF13" s="8">
        <f t="shared" si="200"/>
        <v>0</v>
      </c>
      <c r="YG13" s="8">
        <f t="shared" si="200"/>
        <v>0</v>
      </c>
      <c r="YH13" s="8">
        <f t="shared" si="200"/>
        <v>0</v>
      </c>
      <c r="YI13" s="8">
        <f t="shared" si="200"/>
        <v>0</v>
      </c>
      <c r="YJ13" s="8">
        <f t="shared" si="200"/>
        <v>0</v>
      </c>
      <c r="YK13" s="8">
        <f t="shared" si="200"/>
        <v>0</v>
      </c>
      <c r="YL13" s="8">
        <f t="shared" si="200"/>
        <v>0</v>
      </c>
      <c r="YM13" s="8">
        <f t="shared" si="200"/>
        <v>0</v>
      </c>
      <c r="YN13" s="8">
        <f t="shared" si="200"/>
        <v>0</v>
      </c>
      <c r="YO13" s="8">
        <f t="shared" si="200"/>
        <v>0</v>
      </c>
      <c r="YP13" s="8">
        <f t="shared" ref="YP13:ABA13" si="201">SUM(YP11:YP12)</f>
        <v>0</v>
      </c>
      <c r="YQ13" s="8">
        <f t="shared" si="201"/>
        <v>0</v>
      </c>
      <c r="YR13" s="8">
        <f t="shared" si="201"/>
        <v>0</v>
      </c>
      <c r="YS13" s="8">
        <f t="shared" si="201"/>
        <v>0</v>
      </c>
      <c r="YT13" s="8">
        <f t="shared" si="201"/>
        <v>0</v>
      </c>
      <c r="YU13" s="8">
        <f t="shared" si="201"/>
        <v>0</v>
      </c>
      <c r="YV13" s="8">
        <f t="shared" si="201"/>
        <v>0</v>
      </c>
      <c r="YW13" s="8">
        <f t="shared" si="201"/>
        <v>0</v>
      </c>
      <c r="YX13" s="8">
        <f t="shared" si="201"/>
        <v>0</v>
      </c>
      <c r="YY13" s="8">
        <f t="shared" si="201"/>
        <v>0</v>
      </c>
      <c r="YZ13" s="8">
        <f t="shared" si="201"/>
        <v>0</v>
      </c>
      <c r="ZA13" s="8">
        <f t="shared" si="201"/>
        <v>0</v>
      </c>
      <c r="ZB13" s="8">
        <f t="shared" si="201"/>
        <v>0</v>
      </c>
      <c r="ZC13" s="8">
        <f t="shared" si="201"/>
        <v>0</v>
      </c>
      <c r="ZD13" s="8">
        <f t="shared" si="201"/>
        <v>0</v>
      </c>
      <c r="ZE13" s="8">
        <f t="shared" si="201"/>
        <v>0</v>
      </c>
      <c r="ZF13" s="8">
        <f t="shared" si="201"/>
        <v>0</v>
      </c>
      <c r="ZG13" s="8">
        <f t="shared" si="201"/>
        <v>0</v>
      </c>
      <c r="ZH13" s="8">
        <f t="shared" si="201"/>
        <v>0</v>
      </c>
      <c r="ZI13" s="8">
        <f t="shared" si="201"/>
        <v>0</v>
      </c>
      <c r="ZJ13" s="8">
        <f t="shared" si="201"/>
        <v>0</v>
      </c>
      <c r="ZK13" s="8">
        <f t="shared" si="201"/>
        <v>0</v>
      </c>
      <c r="ZL13" s="8">
        <f t="shared" si="201"/>
        <v>0</v>
      </c>
      <c r="ZM13" s="8">
        <f t="shared" si="201"/>
        <v>0</v>
      </c>
      <c r="ZN13" s="8">
        <f t="shared" si="201"/>
        <v>0</v>
      </c>
      <c r="ZO13" s="8">
        <f t="shared" si="201"/>
        <v>0</v>
      </c>
      <c r="ZP13" s="8">
        <f t="shared" si="201"/>
        <v>0</v>
      </c>
      <c r="ZQ13" s="8">
        <f t="shared" si="201"/>
        <v>0</v>
      </c>
      <c r="ZR13" s="8">
        <f t="shared" si="201"/>
        <v>0</v>
      </c>
      <c r="ZS13" s="8">
        <f t="shared" si="201"/>
        <v>0</v>
      </c>
      <c r="ZT13" s="8">
        <f t="shared" si="201"/>
        <v>0</v>
      </c>
      <c r="ZU13" s="8">
        <f t="shared" si="201"/>
        <v>0</v>
      </c>
      <c r="ZV13" s="8">
        <f t="shared" si="201"/>
        <v>0</v>
      </c>
      <c r="ZW13" s="8">
        <f t="shared" si="201"/>
        <v>0</v>
      </c>
      <c r="ZX13" s="8">
        <f t="shared" si="201"/>
        <v>0</v>
      </c>
      <c r="ZY13" s="8">
        <f t="shared" si="201"/>
        <v>0</v>
      </c>
      <c r="ZZ13" s="8">
        <f t="shared" si="201"/>
        <v>0</v>
      </c>
      <c r="AAA13" s="8">
        <f t="shared" si="201"/>
        <v>0</v>
      </c>
      <c r="AAB13" s="8">
        <f t="shared" si="201"/>
        <v>0</v>
      </c>
      <c r="AAC13" s="8">
        <f t="shared" si="201"/>
        <v>0</v>
      </c>
      <c r="AAD13" s="8">
        <f t="shared" si="201"/>
        <v>0</v>
      </c>
      <c r="AAE13" s="8">
        <f t="shared" si="201"/>
        <v>0</v>
      </c>
      <c r="AAF13" s="8">
        <f t="shared" si="201"/>
        <v>0</v>
      </c>
      <c r="AAG13" s="8">
        <f t="shared" si="201"/>
        <v>0</v>
      </c>
      <c r="AAH13" s="8">
        <f t="shared" si="201"/>
        <v>0</v>
      </c>
      <c r="AAI13" s="8">
        <f t="shared" si="201"/>
        <v>0</v>
      </c>
      <c r="AAJ13" s="8">
        <f t="shared" si="201"/>
        <v>0</v>
      </c>
      <c r="AAK13" s="8">
        <f t="shared" si="201"/>
        <v>0</v>
      </c>
      <c r="AAL13" s="8">
        <f t="shared" si="201"/>
        <v>0</v>
      </c>
      <c r="AAM13" s="8">
        <f t="shared" si="201"/>
        <v>0</v>
      </c>
      <c r="AAN13" s="8">
        <f t="shared" si="201"/>
        <v>0</v>
      </c>
      <c r="AAO13" s="8">
        <f t="shared" si="201"/>
        <v>0</v>
      </c>
      <c r="AAP13" s="8">
        <f t="shared" si="201"/>
        <v>0</v>
      </c>
      <c r="AAQ13" s="8">
        <f t="shared" si="201"/>
        <v>0</v>
      </c>
      <c r="AAR13" s="8">
        <f t="shared" si="201"/>
        <v>0</v>
      </c>
      <c r="AAS13" s="8">
        <f t="shared" si="201"/>
        <v>0</v>
      </c>
      <c r="AAT13" s="8">
        <f t="shared" si="201"/>
        <v>0</v>
      </c>
      <c r="AAU13" s="8">
        <f t="shared" si="201"/>
        <v>0</v>
      </c>
      <c r="AAV13" s="8">
        <f t="shared" si="201"/>
        <v>0</v>
      </c>
      <c r="AAW13" s="8">
        <f t="shared" si="201"/>
        <v>0</v>
      </c>
      <c r="AAX13" s="8">
        <f t="shared" si="201"/>
        <v>0</v>
      </c>
      <c r="AAY13" s="8">
        <f t="shared" si="201"/>
        <v>0</v>
      </c>
      <c r="AAZ13" s="8">
        <f t="shared" si="201"/>
        <v>0</v>
      </c>
      <c r="ABA13" s="8">
        <f t="shared" si="201"/>
        <v>0</v>
      </c>
      <c r="ABB13" s="8">
        <f t="shared" ref="ABB13:ADM13" si="202">SUM(ABB11:ABB12)</f>
        <v>0</v>
      </c>
      <c r="ABC13" s="8">
        <f t="shared" si="202"/>
        <v>0</v>
      </c>
      <c r="ABD13" s="8">
        <f t="shared" si="202"/>
        <v>0</v>
      </c>
      <c r="ABE13" s="8">
        <f t="shared" si="202"/>
        <v>0</v>
      </c>
      <c r="ABF13" s="8">
        <f t="shared" si="202"/>
        <v>0</v>
      </c>
      <c r="ABG13" s="8">
        <f t="shared" si="202"/>
        <v>0</v>
      </c>
      <c r="ABH13" s="8">
        <f t="shared" si="202"/>
        <v>0</v>
      </c>
      <c r="ABI13" s="8">
        <f t="shared" si="202"/>
        <v>0</v>
      </c>
      <c r="ABJ13" s="8">
        <f t="shared" si="202"/>
        <v>0</v>
      </c>
      <c r="ABK13" s="8">
        <f t="shared" si="202"/>
        <v>0</v>
      </c>
      <c r="ABL13" s="8">
        <f t="shared" si="202"/>
        <v>0</v>
      </c>
      <c r="ABM13" s="8">
        <f t="shared" si="202"/>
        <v>0</v>
      </c>
      <c r="ABN13" s="8">
        <f t="shared" si="202"/>
        <v>0</v>
      </c>
      <c r="ABO13" s="8">
        <f t="shared" si="202"/>
        <v>0</v>
      </c>
      <c r="ABP13" s="8">
        <f t="shared" si="202"/>
        <v>0</v>
      </c>
      <c r="ABQ13" s="8">
        <f t="shared" si="202"/>
        <v>0</v>
      </c>
      <c r="ABR13" s="8">
        <f t="shared" si="202"/>
        <v>0</v>
      </c>
      <c r="ABS13" s="8">
        <f t="shared" si="202"/>
        <v>0</v>
      </c>
      <c r="ABT13" s="8">
        <f t="shared" si="202"/>
        <v>0</v>
      </c>
      <c r="ABU13" s="8">
        <f t="shared" si="202"/>
        <v>0</v>
      </c>
      <c r="ABV13" s="8">
        <f t="shared" si="202"/>
        <v>0</v>
      </c>
      <c r="ABW13" s="8">
        <f t="shared" si="202"/>
        <v>0</v>
      </c>
      <c r="ABX13" s="8">
        <f t="shared" si="202"/>
        <v>0</v>
      </c>
      <c r="ABY13" s="8">
        <f t="shared" si="202"/>
        <v>0</v>
      </c>
      <c r="ABZ13" s="8">
        <f t="shared" si="202"/>
        <v>0</v>
      </c>
      <c r="ACA13" s="8">
        <f t="shared" si="202"/>
        <v>0</v>
      </c>
      <c r="ACB13" s="8">
        <f t="shared" si="202"/>
        <v>0</v>
      </c>
      <c r="ACC13" s="8">
        <f t="shared" si="202"/>
        <v>0</v>
      </c>
      <c r="ACD13" s="8">
        <f t="shared" si="202"/>
        <v>0</v>
      </c>
      <c r="ACE13" s="8">
        <f t="shared" si="202"/>
        <v>0</v>
      </c>
      <c r="ACF13" s="8">
        <f t="shared" si="202"/>
        <v>0</v>
      </c>
      <c r="ACG13" s="8">
        <f t="shared" si="202"/>
        <v>0</v>
      </c>
      <c r="ACH13" s="8">
        <f t="shared" si="202"/>
        <v>0</v>
      </c>
      <c r="ACI13" s="8">
        <f t="shared" si="202"/>
        <v>0</v>
      </c>
      <c r="ACJ13" s="8">
        <f t="shared" si="202"/>
        <v>0</v>
      </c>
      <c r="ACK13" s="8">
        <f t="shared" si="202"/>
        <v>0</v>
      </c>
      <c r="ACL13" s="8">
        <f t="shared" si="202"/>
        <v>0</v>
      </c>
      <c r="ACM13" s="8">
        <f t="shared" si="202"/>
        <v>0</v>
      </c>
      <c r="ACN13" s="8">
        <f t="shared" si="202"/>
        <v>0</v>
      </c>
      <c r="ACO13" s="8">
        <f t="shared" si="202"/>
        <v>0</v>
      </c>
      <c r="ACP13" s="8">
        <f t="shared" si="202"/>
        <v>0</v>
      </c>
      <c r="ACQ13" s="8">
        <f t="shared" si="202"/>
        <v>0</v>
      </c>
      <c r="ACR13" s="8">
        <f t="shared" si="202"/>
        <v>0</v>
      </c>
      <c r="ACS13" s="8">
        <f t="shared" si="202"/>
        <v>0</v>
      </c>
      <c r="ACT13" s="8">
        <f t="shared" si="202"/>
        <v>0</v>
      </c>
      <c r="ACU13" s="8">
        <f t="shared" si="202"/>
        <v>0</v>
      </c>
      <c r="ACV13" s="8">
        <f t="shared" si="202"/>
        <v>0</v>
      </c>
      <c r="ACW13" s="8">
        <f t="shared" si="202"/>
        <v>0</v>
      </c>
      <c r="ACX13" s="8">
        <f t="shared" si="202"/>
        <v>0</v>
      </c>
      <c r="ACY13" s="8">
        <f t="shared" si="202"/>
        <v>0</v>
      </c>
      <c r="ACZ13" s="8">
        <f t="shared" si="202"/>
        <v>0</v>
      </c>
      <c r="ADA13" s="8">
        <f t="shared" si="202"/>
        <v>0</v>
      </c>
      <c r="ADB13" s="8">
        <f t="shared" si="202"/>
        <v>0</v>
      </c>
      <c r="ADC13" s="8">
        <f t="shared" si="202"/>
        <v>0</v>
      </c>
      <c r="ADD13" s="8">
        <f t="shared" si="202"/>
        <v>0</v>
      </c>
      <c r="ADE13" s="8">
        <f t="shared" si="202"/>
        <v>0</v>
      </c>
      <c r="ADF13" s="8">
        <f t="shared" si="202"/>
        <v>0</v>
      </c>
      <c r="ADG13" s="8">
        <f t="shared" si="202"/>
        <v>0</v>
      </c>
      <c r="ADH13" s="8">
        <f t="shared" si="202"/>
        <v>0</v>
      </c>
      <c r="ADI13" s="8">
        <f t="shared" si="202"/>
        <v>0</v>
      </c>
      <c r="ADJ13" s="8">
        <f t="shared" si="202"/>
        <v>0</v>
      </c>
      <c r="ADK13" s="8">
        <f t="shared" si="202"/>
        <v>0</v>
      </c>
      <c r="ADL13" s="8">
        <f t="shared" si="202"/>
        <v>0</v>
      </c>
      <c r="ADM13" s="8">
        <f t="shared" si="202"/>
        <v>0</v>
      </c>
      <c r="ADN13" s="8">
        <f t="shared" ref="ADN13:AFY13" si="203">SUM(ADN11:ADN12)</f>
        <v>0</v>
      </c>
      <c r="ADO13" s="8">
        <f t="shared" si="203"/>
        <v>0</v>
      </c>
      <c r="ADP13" s="8">
        <f t="shared" si="203"/>
        <v>0</v>
      </c>
      <c r="ADQ13" s="8">
        <f t="shared" si="203"/>
        <v>0</v>
      </c>
      <c r="ADR13" s="8">
        <f t="shared" si="203"/>
        <v>0</v>
      </c>
      <c r="ADS13" s="8">
        <f t="shared" si="203"/>
        <v>0</v>
      </c>
      <c r="ADT13" s="8">
        <f t="shared" si="203"/>
        <v>0</v>
      </c>
      <c r="ADU13" s="8">
        <f t="shared" si="203"/>
        <v>0</v>
      </c>
      <c r="ADV13" s="8">
        <f t="shared" si="203"/>
        <v>0</v>
      </c>
      <c r="ADW13" s="8">
        <f t="shared" si="203"/>
        <v>0</v>
      </c>
      <c r="ADX13" s="8">
        <f t="shared" si="203"/>
        <v>0</v>
      </c>
      <c r="ADY13" s="8">
        <f t="shared" si="203"/>
        <v>0</v>
      </c>
      <c r="ADZ13" s="8">
        <f t="shared" si="203"/>
        <v>0</v>
      </c>
      <c r="AEA13" s="8">
        <f t="shared" si="203"/>
        <v>0</v>
      </c>
      <c r="AEB13" s="8">
        <f t="shared" si="203"/>
        <v>0</v>
      </c>
      <c r="AEC13" s="8">
        <f t="shared" si="203"/>
        <v>0</v>
      </c>
      <c r="AED13" s="8">
        <f t="shared" si="203"/>
        <v>0</v>
      </c>
      <c r="AEE13" s="8">
        <f t="shared" si="203"/>
        <v>0</v>
      </c>
      <c r="AEF13" s="8">
        <f t="shared" si="203"/>
        <v>0</v>
      </c>
      <c r="AEG13" s="8">
        <f t="shared" si="203"/>
        <v>0</v>
      </c>
      <c r="AEH13" s="8">
        <f t="shared" si="203"/>
        <v>0</v>
      </c>
      <c r="AEI13" s="8">
        <f t="shared" si="203"/>
        <v>0</v>
      </c>
      <c r="AEJ13" s="8">
        <f t="shared" si="203"/>
        <v>0</v>
      </c>
      <c r="AEK13" s="8">
        <f t="shared" si="203"/>
        <v>0</v>
      </c>
      <c r="AEL13" s="8">
        <f t="shared" si="203"/>
        <v>0</v>
      </c>
      <c r="AEM13" s="8">
        <f t="shared" si="203"/>
        <v>0</v>
      </c>
      <c r="AEN13" s="8">
        <f t="shared" si="203"/>
        <v>0</v>
      </c>
      <c r="AEO13" s="8">
        <f t="shared" si="203"/>
        <v>0</v>
      </c>
      <c r="AEP13" s="8">
        <f t="shared" si="203"/>
        <v>0</v>
      </c>
      <c r="AEQ13" s="8">
        <f t="shared" si="203"/>
        <v>0</v>
      </c>
      <c r="AER13" s="8">
        <f t="shared" si="203"/>
        <v>0</v>
      </c>
      <c r="AES13" s="8">
        <f t="shared" si="203"/>
        <v>0</v>
      </c>
      <c r="AET13" s="8">
        <f t="shared" si="203"/>
        <v>0</v>
      </c>
      <c r="AEU13" s="8">
        <f t="shared" si="203"/>
        <v>0</v>
      </c>
      <c r="AEV13" s="8">
        <f t="shared" si="203"/>
        <v>0</v>
      </c>
      <c r="AEW13" s="8">
        <f t="shared" si="203"/>
        <v>0</v>
      </c>
      <c r="AEX13" s="8">
        <f t="shared" si="203"/>
        <v>0</v>
      </c>
      <c r="AEY13" s="8">
        <f t="shared" si="203"/>
        <v>0</v>
      </c>
      <c r="AEZ13" s="8">
        <f t="shared" si="203"/>
        <v>0</v>
      </c>
      <c r="AFA13" s="8">
        <f t="shared" si="203"/>
        <v>0</v>
      </c>
      <c r="AFB13" s="8">
        <f t="shared" si="203"/>
        <v>0</v>
      </c>
      <c r="AFC13" s="8">
        <f t="shared" si="203"/>
        <v>0</v>
      </c>
      <c r="AFD13" s="8">
        <f t="shared" si="203"/>
        <v>0</v>
      </c>
      <c r="AFE13" s="8">
        <f t="shared" si="203"/>
        <v>0</v>
      </c>
      <c r="AFF13" s="8">
        <f t="shared" si="203"/>
        <v>0</v>
      </c>
      <c r="AFG13" s="8">
        <f t="shared" si="203"/>
        <v>0</v>
      </c>
      <c r="AFH13" s="8">
        <f t="shared" si="203"/>
        <v>0</v>
      </c>
      <c r="AFI13" s="8">
        <f t="shared" si="203"/>
        <v>0</v>
      </c>
      <c r="AFJ13" s="8">
        <f t="shared" si="203"/>
        <v>0</v>
      </c>
      <c r="AFK13" s="8">
        <f t="shared" si="203"/>
        <v>0</v>
      </c>
      <c r="AFL13" s="8">
        <f t="shared" si="203"/>
        <v>0</v>
      </c>
      <c r="AFM13" s="8">
        <f t="shared" si="203"/>
        <v>0</v>
      </c>
      <c r="AFN13" s="8">
        <f t="shared" si="203"/>
        <v>0</v>
      </c>
      <c r="AFO13" s="8">
        <f t="shared" si="203"/>
        <v>0</v>
      </c>
      <c r="AFP13" s="8">
        <f t="shared" si="203"/>
        <v>0</v>
      </c>
      <c r="AFQ13" s="8">
        <f t="shared" si="203"/>
        <v>0</v>
      </c>
      <c r="AFR13" s="8">
        <f t="shared" si="203"/>
        <v>0</v>
      </c>
      <c r="AFS13" s="8">
        <f t="shared" si="203"/>
        <v>0</v>
      </c>
      <c r="AFT13" s="8">
        <f t="shared" si="203"/>
        <v>0</v>
      </c>
      <c r="AFU13" s="8">
        <f t="shared" si="203"/>
        <v>0</v>
      </c>
      <c r="AFV13" s="8">
        <f t="shared" si="203"/>
        <v>0</v>
      </c>
      <c r="AFW13" s="8">
        <f t="shared" si="203"/>
        <v>0</v>
      </c>
      <c r="AFX13" s="8">
        <f t="shared" si="203"/>
        <v>0</v>
      </c>
      <c r="AFY13" s="8">
        <f t="shared" si="203"/>
        <v>0</v>
      </c>
      <c r="AFZ13" s="8">
        <f t="shared" ref="AFZ13:AJD13" si="204">SUM(AFZ11:AFZ12)</f>
        <v>0</v>
      </c>
      <c r="AGA13" s="8">
        <f t="shared" si="204"/>
        <v>0</v>
      </c>
      <c r="AGB13" s="8">
        <f t="shared" si="204"/>
        <v>0</v>
      </c>
      <c r="AGC13" s="8">
        <f t="shared" si="204"/>
        <v>0</v>
      </c>
      <c r="AGD13" s="8">
        <f t="shared" si="204"/>
        <v>0</v>
      </c>
      <c r="AGE13" s="8">
        <f t="shared" si="204"/>
        <v>0</v>
      </c>
      <c r="AGF13" s="8">
        <f t="shared" si="204"/>
        <v>0</v>
      </c>
      <c r="AGG13" s="8">
        <f t="shared" si="204"/>
        <v>0</v>
      </c>
      <c r="AGH13" s="8">
        <f t="shared" si="204"/>
        <v>0</v>
      </c>
      <c r="AGI13" s="8">
        <f t="shared" si="204"/>
        <v>0</v>
      </c>
      <c r="AGJ13" s="8">
        <f t="shared" si="204"/>
        <v>0</v>
      </c>
      <c r="AGK13" s="8">
        <f t="shared" si="204"/>
        <v>0</v>
      </c>
      <c r="AGL13" s="8">
        <f t="shared" si="204"/>
        <v>0</v>
      </c>
      <c r="AGM13" s="8">
        <f t="shared" si="204"/>
        <v>0</v>
      </c>
      <c r="AGN13" s="8">
        <f t="shared" si="204"/>
        <v>0</v>
      </c>
      <c r="AGO13" s="8">
        <f t="shared" si="204"/>
        <v>0</v>
      </c>
      <c r="AGP13" s="8">
        <f t="shared" si="204"/>
        <v>0</v>
      </c>
      <c r="AGQ13" s="8">
        <f t="shared" si="204"/>
        <v>0</v>
      </c>
      <c r="AGR13" s="8">
        <f t="shared" si="204"/>
        <v>0</v>
      </c>
      <c r="AGS13" s="8">
        <f t="shared" si="204"/>
        <v>0</v>
      </c>
      <c r="AGT13" s="8">
        <f t="shared" si="204"/>
        <v>0</v>
      </c>
      <c r="AGU13" s="8">
        <f t="shared" si="204"/>
        <v>0</v>
      </c>
      <c r="AGV13" s="8">
        <f t="shared" si="204"/>
        <v>0</v>
      </c>
      <c r="AGW13" s="8">
        <f t="shared" si="204"/>
        <v>0</v>
      </c>
      <c r="AGX13" s="8">
        <f t="shared" si="204"/>
        <v>0</v>
      </c>
      <c r="AGY13" s="8">
        <f t="shared" si="204"/>
        <v>0</v>
      </c>
      <c r="AGZ13" s="8">
        <f t="shared" si="204"/>
        <v>0</v>
      </c>
      <c r="AHA13" s="8">
        <f t="shared" si="204"/>
        <v>0</v>
      </c>
      <c r="AHB13" s="8">
        <f t="shared" si="204"/>
        <v>0</v>
      </c>
      <c r="AHC13" s="8">
        <f t="shared" si="204"/>
        <v>0</v>
      </c>
      <c r="AHD13" s="8">
        <f t="shared" si="204"/>
        <v>0</v>
      </c>
      <c r="AHE13" s="8">
        <f t="shared" si="204"/>
        <v>0</v>
      </c>
      <c r="AHF13" s="8">
        <f t="shared" si="204"/>
        <v>0</v>
      </c>
      <c r="AHG13" s="8">
        <f t="shared" si="204"/>
        <v>0</v>
      </c>
      <c r="AHH13" s="8">
        <f t="shared" si="204"/>
        <v>0</v>
      </c>
      <c r="AHI13" s="8">
        <f t="shared" si="204"/>
        <v>0</v>
      </c>
      <c r="AHJ13" s="8">
        <f t="shared" si="204"/>
        <v>0</v>
      </c>
      <c r="AHK13" s="8">
        <f t="shared" si="204"/>
        <v>0</v>
      </c>
      <c r="AHL13" s="8">
        <f t="shared" si="204"/>
        <v>0</v>
      </c>
      <c r="AHM13" s="8">
        <f t="shared" si="204"/>
        <v>0</v>
      </c>
      <c r="AHN13" s="8">
        <f t="shared" si="204"/>
        <v>0</v>
      </c>
      <c r="AHO13" s="8">
        <f t="shared" si="204"/>
        <v>0</v>
      </c>
      <c r="AHP13" s="8">
        <f t="shared" si="204"/>
        <v>0</v>
      </c>
      <c r="AHQ13" s="8">
        <f t="shared" si="204"/>
        <v>0</v>
      </c>
      <c r="AHR13" s="8">
        <f t="shared" si="204"/>
        <v>0</v>
      </c>
      <c r="AHS13" s="8">
        <f t="shared" si="204"/>
        <v>0</v>
      </c>
      <c r="AHT13" s="8">
        <f t="shared" si="204"/>
        <v>0</v>
      </c>
      <c r="AHU13" s="8">
        <f t="shared" si="204"/>
        <v>0</v>
      </c>
      <c r="AHV13" s="8">
        <f t="shared" si="204"/>
        <v>0</v>
      </c>
      <c r="AHW13" s="8">
        <f t="shared" si="204"/>
        <v>0</v>
      </c>
      <c r="AHX13" s="8">
        <f t="shared" si="204"/>
        <v>0</v>
      </c>
      <c r="AHY13" s="8">
        <f t="shared" si="204"/>
        <v>0</v>
      </c>
      <c r="AHZ13" s="8">
        <f t="shared" si="204"/>
        <v>0</v>
      </c>
      <c r="AIA13" s="8">
        <f t="shared" si="204"/>
        <v>0</v>
      </c>
      <c r="AIB13" s="8">
        <f t="shared" si="204"/>
        <v>0</v>
      </c>
      <c r="AIC13" s="8">
        <f t="shared" si="204"/>
        <v>0</v>
      </c>
      <c r="AID13" s="8">
        <f t="shared" si="204"/>
        <v>0</v>
      </c>
      <c r="AIE13" s="8">
        <f t="shared" si="204"/>
        <v>0</v>
      </c>
      <c r="AIF13" s="8">
        <f t="shared" si="204"/>
        <v>0</v>
      </c>
      <c r="AIG13" s="8">
        <f t="shared" si="204"/>
        <v>0</v>
      </c>
      <c r="AIH13" s="8">
        <f t="shared" si="204"/>
        <v>0</v>
      </c>
      <c r="AII13" s="8">
        <f t="shared" si="204"/>
        <v>0</v>
      </c>
      <c r="AIJ13" s="8">
        <f t="shared" si="204"/>
        <v>0</v>
      </c>
      <c r="AIK13" s="8">
        <f t="shared" si="204"/>
        <v>0</v>
      </c>
      <c r="AIL13" s="8">
        <f t="shared" si="204"/>
        <v>0</v>
      </c>
      <c r="AIM13" s="8">
        <f t="shared" si="204"/>
        <v>0</v>
      </c>
      <c r="AIN13" s="8">
        <f t="shared" si="204"/>
        <v>0</v>
      </c>
      <c r="AIO13" s="8">
        <f t="shared" si="204"/>
        <v>0</v>
      </c>
      <c r="AIP13" s="8">
        <f t="shared" si="204"/>
        <v>0</v>
      </c>
      <c r="AIQ13" s="8">
        <f t="shared" si="204"/>
        <v>0</v>
      </c>
      <c r="AIR13" s="8">
        <f t="shared" si="204"/>
        <v>0</v>
      </c>
      <c r="AIS13" s="8">
        <f t="shared" si="204"/>
        <v>0</v>
      </c>
      <c r="AIT13" s="8">
        <f t="shared" si="204"/>
        <v>0</v>
      </c>
      <c r="AIU13" s="8">
        <f t="shared" si="204"/>
        <v>0</v>
      </c>
      <c r="AIV13" s="8">
        <f t="shared" si="204"/>
        <v>0</v>
      </c>
      <c r="AIW13" s="8">
        <f t="shared" si="204"/>
        <v>0</v>
      </c>
      <c r="AIX13" s="8">
        <f t="shared" si="204"/>
        <v>0</v>
      </c>
      <c r="AIY13" s="8">
        <f t="shared" si="204"/>
        <v>0</v>
      </c>
      <c r="AIZ13" s="8">
        <f t="shared" si="204"/>
        <v>0</v>
      </c>
      <c r="AJA13" s="8">
        <f t="shared" si="204"/>
        <v>0</v>
      </c>
      <c r="AJB13" s="8">
        <f t="shared" si="204"/>
        <v>0</v>
      </c>
      <c r="AJC13" s="8">
        <f t="shared" si="204"/>
        <v>0</v>
      </c>
      <c r="AJD13" s="8">
        <f t="shared" si="204"/>
        <v>0</v>
      </c>
      <c r="AJE13" s="8">
        <f t="shared" ref="AJE13:AJS13" si="205">SUM(AJE11:AJE12)</f>
        <v>0</v>
      </c>
      <c r="AJF13" s="8">
        <f t="shared" si="205"/>
        <v>0</v>
      </c>
      <c r="AJG13" s="8">
        <f t="shared" si="205"/>
        <v>0</v>
      </c>
      <c r="AJH13" s="8">
        <f t="shared" si="205"/>
        <v>0</v>
      </c>
      <c r="AJI13" s="8">
        <f t="shared" si="205"/>
        <v>0</v>
      </c>
      <c r="AJJ13" s="8">
        <f t="shared" si="205"/>
        <v>0</v>
      </c>
      <c r="AJK13" s="8">
        <f t="shared" si="205"/>
        <v>0</v>
      </c>
      <c r="AJL13" s="8">
        <f t="shared" si="205"/>
        <v>0</v>
      </c>
      <c r="AJM13" s="8">
        <f t="shared" si="205"/>
        <v>0</v>
      </c>
      <c r="AJN13" s="8">
        <f t="shared" si="205"/>
        <v>0</v>
      </c>
      <c r="AJO13" s="8">
        <f t="shared" si="205"/>
        <v>0</v>
      </c>
      <c r="AJP13" s="8">
        <f t="shared" si="205"/>
        <v>0</v>
      </c>
      <c r="AJQ13" s="8">
        <f t="shared" si="205"/>
        <v>0</v>
      </c>
      <c r="AJR13" s="8">
        <f t="shared" si="205"/>
        <v>0</v>
      </c>
      <c r="AJS13" s="8">
        <f t="shared" si="205"/>
        <v>0</v>
      </c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>
        <f t="shared" ref="AKR13:ALF13" si="206">SUM(AKR11:AKR12)</f>
        <v>0</v>
      </c>
      <c r="AKS13" s="8">
        <f t="shared" si="206"/>
        <v>0</v>
      </c>
      <c r="AKT13" s="8">
        <f t="shared" si="206"/>
        <v>0</v>
      </c>
      <c r="AKU13" s="8">
        <f t="shared" si="206"/>
        <v>0</v>
      </c>
      <c r="AKV13" s="8">
        <f t="shared" si="206"/>
        <v>0</v>
      </c>
      <c r="AKW13" s="8">
        <f t="shared" si="206"/>
        <v>0</v>
      </c>
      <c r="AKX13" s="8">
        <f t="shared" si="206"/>
        <v>0</v>
      </c>
      <c r="AKY13" s="8">
        <f t="shared" si="206"/>
        <v>0</v>
      </c>
      <c r="AKZ13" s="8">
        <f t="shared" si="206"/>
        <v>0</v>
      </c>
      <c r="ALA13" s="8">
        <f t="shared" si="206"/>
        <v>0</v>
      </c>
      <c r="ALB13" s="8">
        <f t="shared" si="206"/>
        <v>0</v>
      </c>
      <c r="ALC13" s="8">
        <f t="shared" si="206"/>
        <v>0</v>
      </c>
      <c r="ALD13" s="8">
        <f t="shared" si="206"/>
        <v>0</v>
      </c>
      <c r="ALE13" s="8">
        <f t="shared" si="206"/>
        <v>0</v>
      </c>
      <c r="ALF13" s="8">
        <f t="shared" si="206"/>
        <v>0</v>
      </c>
      <c r="ALG13" s="8"/>
      <c r="ALH13" s="8"/>
      <c r="ALI13" s="8">
        <f t="shared" ref="ALI13:ALT13" si="207">SUM(ALI11:ALI12)</f>
        <v>0</v>
      </c>
      <c r="ALJ13" s="8">
        <f t="shared" si="207"/>
        <v>0</v>
      </c>
      <c r="ALK13" s="8">
        <f t="shared" si="207"/>
        <v>0</v>
      </c>
      <c r="ALL13" s="8">
        <f t="shared" si="207"/>
        <v>0</v>
      </c>
      <c r="ALM13" s="8">
        <f t="shared" si="207"/>
        <v>0</v>
      </c>
      <c r="ALN13" s="8">
        <f t="shared" si="207"/>
        <v>0</v>
      </c>
      <c r="ALO13" s="8">
        <f t="shared" si="207"/>
        <v>0</v>
      </c>
      <c r="ALP13" s="8">
        <f t="shared" si="207"/>
        <v>0</v>
      </c>
      <c r="ALQ13" s="8">
        <f t="shared" si="207"/>
        <v>0</v>
      </c>
      <c r="ALR13" s="8">
        <f t="shared" si="207"/>
        <v>0</v>
      </c>
      <c r="ALS13" s="8">
        <f t="shared" si="207"/>
        <v>0</v>
      </c>
      <c r="ALT13" s="8">
        <f t="shared" si="207"/>
        <v>0</v>
      </c>
      <c r="ALU13" s="8"/>
      <c r="ALV13" s="8"/>
      <c r="ALW13" s="8"/>
      <c r="ALX13" s="8"/>
      <c r="ALY13" s="8"/>
      <c r="ALZ13" s="8">
        <f>SUM(ALZ11:ALZ12)</f>
        <v>0</v>
      </c>
      <c r="AMA13" s="8">
        <f>SUM(AMA11:AMA12)</f>
        <v>0</v>
      </c>
      <c r="AMB13" s="8">
        <f>SUM(AMB11:AMB12)</f>
        <v>0</v>
      </c>
      <c r="AMC13" s="8">
        <f>SUM(AMC11:AMC12)</f>
        <v>0</v>
      </c>
      <c r="AMD13" s="8"/>
      <c r="AME13" s="8">
        <f t="shared" ref="AME13:AMM13" si="208">SUM(AME11:AME12)</f>
        <v>0</v>
      </c>
      <c r="AMF13" s="8">
        <f t="shared" si="208"/>
        <v>0</v>
      </c>
      <c r="AMG13" s="8">
        <f t="shared" si="208"/>
        <v>0</v>
      </c>
      <c r="AMH13" s="8">
        <f t="shared" si="208"/>
        <v>0</v>
      </c>
      <c r="AMI13" s="8">
        <f t="shared" si="208"/>
        <v>0</v>
      </c>
      <c r="AMJ13" s="8">
        <f t="shared" si="208"/>
        <v>0</v>
      </c>
      <c r="AMK13" s="8">
        <f t="shared" si="208"/>
        <v>0</v>
      </c>
      <c r="AML13" s="8">
        <f t="shared" si="208"/>
        <v>0</v>
      </c>
      <c r="AMM13" s="8">
        <f t="shared" si="208"/>
        <v>0</v>
      </c>
      <c r="AMN13" s="8">
        <f t="shared" ref="AMN13:AMX13" si="209">SUM(AMN11:AMN12)</f>
        <v>0</v>
      </c>
      <c r="AMO13" s="8">
        <f t="shared" si="209"/>
        <v>0</v>
      </c>
      <c r="AMP13" s="8">
        <f t="shared" si="209"/>
        <v>0</v>
      </c>
      <c r="AMQ13" s="8">
        <f t="shared" si="209"/>
        <v>0</v>
      </c>
      <c r="AMR13" s="8">
        <f t="shared" si="209"/>
        <v>0</v>
      </c>
      <c r="AMS13" s="8">
        <f t="shared" si="209"/>
        <v>0</v>
      </c>
      <c r="AMT13" s="8">
        <f t="shared" si="209"/>
        <v>0</v>
      </c>
      <c r="AMU13" s="8">
        <f t="shared" si="209"/>
        <v>0</v>
      </c>
      <c r="AMV13" s="8">
        <f t="shared" si="209"/>
        <v>0</v>
      </c>
      <c r="AMW13" s="8">
        <f t="shared" si="209"/>
        <v>0</v>
      </c>
      <c r="AMX13" s="8">
        <f t="shared" si="209"/>
        <v>0</v>
      </c>
      <c r="AMY13" s="8">
        <f t="shared" ref="AMY13:ANK13" si="210">SUM(AMY11:AMY12)</f>
        <v>0</v>
      </c>
      <c r="AMZ13" s="8">
        <f t="shared" si="210"/>
        <v>0</v>
      </c>
      <c r="ANA13" s="8">
        <f t="shared" si="210"/>
        <v>0</v>
      </c>
      <c r="ANB13" s="8">
        <f t="shared" si="210"/>
        <v>0</v>
      </c>
      <c r="ANC13" s="8">
        <f t="shared" si="210"/>
        <v>0</v>
      </c>
      <c r="AND13" s="8">
        <f t="shared" si="210"/>
        <v>0</v>
      </c>
      <c r="ANE13" s="8">
        <f t="shared" si="210"/>
        <v>0</v>
      </c>
      <c r="ANF13" s="8">
        <f t="shared" si="210"/>
        <v>0</v>
      </c>
      <c r="ANG13" s="8">
        <f t="shared" si="210"/>
        <v>0</v>
      </c>
      <c r="ANH13" s="8">
        <f t="shared" si="210"/>
        <v>0</v>
      </c>
      <c r="ANI13" s="8">
        <f t="shared" si="210"/>
        <v>0</v>
      </c>
      <c r="ANJ13" s="8">
        <f t="shared" si="210"/>
        <v>0</v>
      </c>
      <c r="ANK13" s="8">
        <f t="shared" si="210"/>
        <v>0</v>
      </c>
      <c r="ANL13" s="8">
        <f t="shared" ref="ANL13:ANU13" si="211">SUM(ANL11:ANL12)</f>
        <v>0</v>
      </c>
      <c r="ANM13" s="8">
        <f t="shared" si="211"/>
        <v>0</v>
      </c>
      <c r="ANN13" s="8">
        <f t="shared" si="211"/>
        <v>0</v>
      </c>
      <c r="ANO13" s="8">
        <f t="shared" si="211"/>
        <v>0</v>
      </c>
      <c r="ANP13" s="8">
        <f t="shared" si="211"/>
        <v>0</v>
      </c>
      <c r="ANQ13" s="8">
        <f t="shared" si="211"/>
        <v>0</v>
      </c>
      <c r="ANR13" s="8">
        <f t="shared" si="211"/>
        <v>0</v>
      </c>
      <c r="ANS13" s="8">
        <f t="shared" si="211"/>
        <v>0</v>
      </c>
      <c r="ANT13" s="8">
        <f t="shared" si="211"/>
        <v>0</v>
      </c>
      <c r="ANU13" s="8">
        <f t="shared" si="211"/>
        <v>0</v>
      </c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>
        <f t="shared" ref="AOF13:APO13" si="212">SUM(AOF11:AOF12)</f>
        <v>0</v>
      </c>
      <c r="AOG13" s="8"/>
      <c r="AOH13" s="8">
        <f t="shared" si="212"/>
        <v>0</v>
      </c>
      <c r="AOI13" s="8"/>
      <c r="AOJ13" s="8">
        <f t="shared" si="212"/>
        <v>0</v>
      </c>
      <c r="AOK13" s="8"/>
      <c r="AOL13" s="8">
        <f t="shared" si="212"/>
        <v>0</v>
      </c>
      <c r="AOM13" s="8">
        <f t="shared" si="212"/>
        <v>0</v>
      </c>
      <c r="AON13" s="8">
        <f t="shared" si="212"/>
        <v>0</v>
      </c>
      <c r="AOO13" s="8">
        <f t="shared" si="212"/>
        <v>0</v>
      </c>
      <c r="AOP13" s="8">
        <f t="shared" si="212"/>
        <v>0</v>
      </c>
      <c r="AOQ13" s="8">
        <f t="shared" si="212"/>
        <v>0</v>
      </c>
      <c r="AOR13" s="8">
        <f t="shared" si="212"/>
        <v>0</v>
      </c>
      <c r="AOS13" s="8"/>
      <c r="AOT13" s="8">
        <f t="shared" si="212"/>
        <v>0</v>
      </c>
      <c r="AOU13" s="8">
        <f t="shared" si="212"/>
        <v>0</v>
      </c>
      <c r="AOV13" s="8">
        <f t="shared" si="212"/>
        <v>0</v>
      </c>
      <c r="AOW13" s="8">
        <f t="shared" si="212"/>
        <v>0</v>
      </c>
      <c r="AOX13" s="8">
        <f t="shared" si="212"/>
        <v>0</v>
      </c>
      <c r="AOY13" s="8">
        <f t="shared" si="212"/>
        <v>0</v>
      </c>
      <c r="AOZ13" s="8">
        <f t="shared" si="212"/>
        <v>0</v>
      </c>
      <c r="APA13" s="8">
        <f t="shared" si="212"/>
        <v>0</v>
      </c>
      <c r="APB13" s="8">
        <f t="shared" si="212"/>
        <v>0</v>
      </c>
      <c r="APC13" s="8">
        <f t="shared" si="212"/>
        <v>0</v>
      </c>
      <c r="APD13" s="8">
        <f t="shared" si="212"/>
        <v>0</v>
      </c>
      <c r="APE13" s="8">
        <f t="shared" si="212"/>
        <v>0</v>
      </c>
      <c r="APF13" s="8">
        <f t="shared" si="212"/>
        <v>0</v>
      </c>
      <c r="APG13" s="8">
        <f t="shared" si="212"/>
        <v>0</v>
      </c>
      <c r="APH13" s="8">
        <f t="shared" si="212"/>
        <v>0</v>
      </c>
      <c r="API13" s="8">
        <f t="shared" si="212"/>
        <v>0</v>
      </c>
      <c r="APJ13" s="8">
        <f t="shared" si="212"/>
        <v>0</v>
      </c>
      <c r="APK13" s="8">
        <f t="shared" si="212"/>
        <v>0</v>
      </c>
      <c r="APL13" s="8">
        <f t="shared" si="212"/>
        <v>0</v>
      </c>
      <c r="APM13" s="8">
        <f t="shared" si="212"/>
        <v>0</v>
      </c>
      <c r="APN13" s="8">
        <f t="shared" si="212"/>
        <v>0</v>
      </c>
      <c r="APO13" s="8">
        <f t="shared" si="212"/>
        <v>0</v>
      </c>
      <c r="APP13" s="8"/>
      <c r="APQ13" s="8"/>
    </row>
    <row r="14" spans="1:1110" s="20" customFormat="1" ht="21">
      <c r="A14" s="22"/>
      <c r="B14" s="22"/>
      <c r="C14" s="22"/>
      <c r="D14" s="242" t="s">
        <v>295</v>
      </c>
      <c r="E14" s="24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>
        <f t="shared" si="0"/>
        <v>0</v>
      </c>
      <c r="AQ14" s="1">
        <f t="shared" si="0"/>
        <v>0</v>
      </c>
      <c r="AR14" s="1">
        <f t="shared" si="1"/>
        <v>0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>
        <f t="shared" si="2"/>
        <v>0</v>
      </c>
      <c r="BL14" s="1">
        <f t="shared" si="2"/>
        <v>0</v>
      </c>
      <c r="BM14" s="1">
        <f t="shared" si="3"/>
        <v>0</v>
      </c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>
        <f t="shared" si="4"/>
        <v>0</v>
      </c>
      <c r="CE14" s="1">
        <f t="shared" si="4"/>
        <v>0</v>
      </c>
      <c r="CF14" s="1">
        <f t="shared" si="5"/>
        <v>0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>
        <f t="shared" si="6"/>
        <v>0</v>
      </c>
      <c r="CV14" s="1">
        <f t="shared" si="6"/>
        <v>0</v>
      </c>
      <c r="CW14" s="1">
        <f t="shared" si="7"/>
        <v>0</v>
      </c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>
        <f t="shared" si="8"/>
        <v>0</v>
      </c>
      <c r="DK14" s="1">
        <f t="shared" si="8"/>
        <v>0</v>
      </c>
      <c r="DL14" s="1">
        <f t="shared" si="9"/>
        <v>0</v>
      </c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>
        <f t="shared" si="10"/>
        <v>0</v>
      </c>
      <c r="DX14" s="1">
        <f t="shared" si="10"/>
        <v>0</v>
      </c>
      <c r="DY14" s="1">
        <f t="shared" si="11"/>
        <v>0</v>
      </c>
      <c r="DZ14" s="1">
        <f t="shared" si="12"/>
        <v>0</v>
      </c>
      <c r="EA14" s="1">
        <f t="shared" si="12"/>
        <v>0</v>
      </c>
      <c r="EB14" s="1">
        <f t="shared" si="13"/>
        <v>0</v>
      </c>
      <c r="EC14" s="1">
        <f t="shared" si="13"/>
        <v>0</v>
      </c>
      <c r="ED14" s="1">
        <f t="shared" si="14"/>
        <v>0</v>
      </c>
      <c r="EE14" s="1">
        <f t="shared" si="14"/>
        <v>0</v>
      </c>
      <c r="EF14" s="1">
        <f t="shared" si="15"/>
        <v>0</v>
      </c>
      <c r="EG14" s="1">
        <f t="shared" si="15"/>
        <v>0</v>
      </c>
      <c r="EH14" s="1">
        <f t="shared" si="16"/>
        <v>0</v>
      </c>
      <c r="EI14" s="1">
        <f t="shared" si="17"/>
        <v>0</v>
      </c>
      <c r="EJ14" s="1">
        <f t="shared" si="18"/>
        <v>0</v>
      </c>
      <c r="EK14" s="1">
        <f t="shared" si="18"/>
        <v>0</v>
      </c>
      <c r="EL14" s="1">
        <f t="shared" si="18"/>
        <v>0</v>
      </c>
      <c r="EM14" s="1">
        <f t="shared" si="18"/>
        <v>0</v>
      </c>
      <c r="EN14" s="1">
        <f t="shared" si="18"/>
        <v>0</v>
      </c>
      <c r="EO14" s="1">
        <f t="shared" si="18"/>
        <v>0</v>
      </c>
      <c r="EP14" s="1">
        <f t="shared" si="18"/>
        <v>0</v>
      </c>
      <c r="EQ14" s="1">
        <f t="shared" si="18"/>
        <v>0</v>
      </c>
      <c r="ER14" s="1">
        <f t="shared" si="19"/>
        <v>0</v>
      </c>
      <c r="ES14" s="1">
        <f t="shared" si="19"/>
        <v>0</v>
      </c>
      <c r="ET14" s="1">
        <f t="shared" si="20"/>
        <v>0</v>
      </c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>
        <f>FC14+FA14+EY14+EW14+EU14</f>
        <v>0</v>
      </c>
      <c r="FH14" s="1">
        <f>FD14+FB14+EZ14+EX14+EV14</f>
        <v>0</v>
      </c>
      <c r="FI14" s="1">
        <f t="shared" si="22"/>
        <v>0</v>
      </c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>
        <f t="shared" si="23"/>
        <v>0</v>
      </c>
      <c r="FZ14" s="1">
        <f t="shared" si="23"/>
        <v>0</v>
      </c>
      <c r="GA14" s="1">
        <f t="shared" si="23"/>
        <v>0</v>
      </c>
      <c r="GB14" s="1">
        <f t="shared" si="24"/>
        <v>0</v>
      </c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>
        <f t="shared" si="25"/>
        <v>0</v>
      </c>
      <c r="GN14" s="1">
        <f t="shared" si="25"/>
        <v>0</v>
      </c>
      <c r="GO14" s="1">
        <f t="shared" si="26"/>
        <v>0</v>
      </c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>
        <f t="shared" si="27"/>
        <v>0</v>
      </c>
      <c r="HN14" s="1">
        <f t="shared" si="27"/>
        <v>0</v>
      </c>
      <c r="HO14" s="1">
        <f t="shared" si="28"/>
        <v>0</v>
      </c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>
        <f t="shared" si="29"/>
        <v>0</v>
      </c>
      <c r="IA14" s="1">
        <f t="shared" si="29"/>
        <v>0</v>
      </c>
      <c r="IB14" s="1">
        <f t="shared" si="30"/>
        <v>0</v>
      </c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>
        <f t="shared" si="31"/>
        <v>0</v>
      </c>
      <c r="IN14" s="1">
        <f t="shared" si="31"/>
        <v>0</v>
      </c>
      <c r="IO14" s="1">
        <f t="shared" si="32"/>
        <v>0</v>
      </c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>
        <f t="shared" si="33"/>
        <v>0</v>
      </c>
      <c r="JA14" s="1">
        <f t="shared" si="33"/>
        <v>0</v>
      </c>
      <c r="JB14" s="1">
        <f t="shared" si="34"/>
        <v>0</v>
      </c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>
        <f t="shared" si="35"/>
        <v>0</v>
      </c>
      <c r="JN14" s="1">
        <f t="shared" si="35"/>
        <v>0</v>
      </c>
      <c r="JO14" s="1">
        <f t="shared" si="36"/>
        <v>0</v>
      </c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>
        <f>KH14+KD14+KB14+JZ14+JX14+JV14+JT14+JP14+JR14+KF14</f>
        <v>0</v>
      </c>
      <c r="KK14" s="1">
        <f>KI14+KE14+KC14+KA14+JY14+JW14+JU14+JQ14+JS14+KG14</f>
        <v>0</v>
      </c>
      <c r="KL14" s="1">
        <f>KK14+KJ14</f>
        <v>0</v>
      </c>
      <c r="KM14" s="1"/>
      <c r="KN14" s="1"/>
      <c r="KO14" s="1"/>
      <c r="KP14" s="1"/>
      <c r="KQ14" s="1"/>
      <c r="KR14" s="1"/>
      <c r="KS14" s="1">
        <f t="shared" si="38"/>
        <v>0</v>
      </c>
      <c r="KT14" s="1">
        <f t="shared" si="38"/>
        <v>0</v>
      </c>
      <c r="KU14" s="1">
        <f t="shared" si="39"/>
        <v>0</v>
      </c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75"/>
      <c r="LI14" s="1"/>
      <c r="LJ14" s="1"/>
      <c r="LK14" s="1"/>
      <c r="LL14" s="1"/>
      <c r="LM14" s="1"/>
      <c r="LN14" s="139">
        <f t="shared" si="131"/>
        <v>0</v>
      </c>
      <c r="LO14" s="139">
        <f t="shared" si="132"/>
        <v>0</v>
      </c>
      <c r="LP14" s="1">
        <f t="shared" si="40"/>
        <v>0</v>
      </c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>
        <f t="shared" si="41"/>
        <v>0</v>
      </c>
      <c r="MH14" s="1">
        <f t="shared" si="41"/>
        <v>0</v>
      </c>
      <c r="MI14" s="1">
        <f t="shared" si="42"/>
        <v>0</v>
      </c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>
        <f t="shared" si="43"/>
        <v>0</v>
      </c>
      <c r="NA14" s="1">
        <f t="shared" si="43"/>
        <v>0</v>
      </c>
      <c r="NB14" s="1">
        <f t="shared" si="44"/>
        <v>0</v>
      </c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>
        <f t="shared" si="45"/>
        <v>0</v>
      </c>
      <c r="NT14" s="1">
        <f t="shared" si="45"/>
        <v>0</v>
      </c>
      <c r="NU14" s="1">
        <f t="shared" si="46"/>
        <v>0</v>
      </c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>
        <f t="shared" si="47"/>
        <v>0</v>
      </c>
      <c r="OM14" s="1">
        <f t="shared" si="47"/>
        <v>0</v>
      </c>
      <c r="ON14" s="1">
        <f t="shared" si="48"/>
        <v>0</v>
      </c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>
        <f t="shared" si="49"/>
        <v>0</v>
      </c>
      <c r="PF14" s="1">
        <f t="shared" si="49"/>
        <v>0</v>
      </c>
      <c r="PG14" s="1">
        <f t="shared" si="50"/>
        <v>0</v>
      </c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>
        <f t="shared" si="51"/>
        <v>0</v>
      </c>
      <c r="PY14" s="1">
        <f t="shared" si="51"/>
        <v>0</v>
      </c>
      <c r="PZ14" s="1">
        <f t="shared" si="52"/>
        <v>0</v>
      </c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>
        <f t="shared" si="53"/>
        <v>0</v>
      </c>
      <c r="QR14" s="1">
        <f t="shared" si="53"/>
        <v>0</v>
      </c>
      <c r="QS14" s="1">
        <f t="shared" si="54"/>
        <v>0</v>
      </c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>
        <f t="shared" si="55"/>
        <v>0</v>
      </c>
      <c r="RK14" s="1">
        <f t="shared" si="55"/>
        <v>0</v>
      </c>
      <c r="RL14" s="1">
        <f t="shared" si="56"/>
        <v>0</v>
      </c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>
        <f t="shared" si="57"/>
        <v>0</v>
      </c>
      <c r="SD14" s="1">
        <f t="shared" si="57"/>
        <v>0</v>
      </c>
      <c r="SE14" s="1">
        <f t="shared" si="58"/>
        <v>0</v>
      </c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>
        <f t="shared" si="59"/>
        <v>0</v>
      </c>
      <c r="SW14" s="1">
        <f t="shared" si="59"/>
        <v>0</v>
      </c>
      <c r="SX14" s="1">
        <f t="shared" si="60"/>
        <v>0</v>
      </c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>
        <f t="shared" si="61"/>
        <v>0</v>
      </c>
      <c r="TP14" s="1">
        <f t="shared" si="61"/>
        <v>0</v>
      </c>
      <c r="TQ14" s="1">
        <f t="shared" si="62"/>
        <v>0</v>
      </c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>
        <f t="shared" si="63"/>
        <v>0</v>
      </c>
      <c r="UI14" s="1">
        <f t="shared" si="63"/>
        <v>0</v>
      </c>
      <c r="UJ14" s="1">
        <f t="shared" si="64"/>
        <v>0</v>
      </c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>
        <f t="shared" si="65"/>
        <v>0</v>
      </c>
      <c r="VB14" s="1">
        <f t="shared" si="65"/>
        <v>0</v>
      </c>
      <c r="VC14" s="1">
        <f t="shared" si="66"/>
        <v>0</v>
      </c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>
        <f t="shared" si="67"/>
        <v>0</v>
      </c>
      <c r="VU14" s="1">
        <f t="shared" si="67"/>
        <v>0</v>
      </c>
      <c r="VV14" s="1">
        <f t="shared" si="68"/>
        <v>0</v>
      </c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>
        <f t="shared" si="69"/>
        <v>0</v>
      </c>
      <c r="WN14" s="1">
        <f t="shared" si="69"/>
        <v>0</v>
      </c>
      <c r="WO14" s="1">
        <f t="shared" si="70"/>
        <v>0</v>
      </c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>
        <f t="shared" si="71"/>
        <v>0</v>
      </c>
      <c r="XG14" s="1">
        <f t="shared" si="71"/>
        <v>0</v>
      </c>
      <c r="XH14" s="1">
        <f t="shared" si="72"/>
        <v>0</v>
      </c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>
        <f t="shared" si="73"/>
        <v>0</v>
      </c>
      <c r="XZ14" s="1">
        <f t="shared" si="73"/>
        <v>0</v>
      </c>
      <c r="YA14" s="1">
        <f t="shared" si="74"/>
        <v>0</v>
      </c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>
        <f t="shared" si="75"/>
        <v>0</v>
      </c>
      <c r="YS14" s="1">
        <f t="shared" si="75"/>
        <v>0</v>
      </c>
      <c r="YT14" s="1">
        <f t="shared" si="76"/>
        <v>0</v>
      </c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>
        <f t="shared" si="77"/>
        <v>0</v>
      </c>
      <c r="ZL14" s="1">
        <f t="shared" si="77"/>
        <v>0</v>
      </c>
      <c r="ZM14" s="1">
        <f t="shared" si="78"/>
        <v>0</v>
      </c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>
        <f t="shared" si="79"/>
        <v>0</v>
      </c>
      <c r="AAE14" s="1">
        <f t="shared" si="79"/>
        <v>0</v>
      </c>
      <c r="AAF14" s="1">
        <f t="shared" si="80"/>
        <v>0</v>
      </c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>
        <f t="shared" si="81"/>
        <v>0</v>
      </c>
      <c r="AAX14" s="1">
        <f t="shared" si="81"/>
        <v>0</v>
      </c>
      <c r="AAY14" s="1">
        <f t="shared" si="82"/>
        <v>0</v>
      </c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>
        <f t="shared" si="83"/>
        <v>0</v>
      </c>
      <c r="ABQ14" s="1">
        <f t="shared" si="83"/>
        <v>0</v>
      </c>
      <c r="ABR14" s="1">
        <f t="shared" si="84"/>
        <v>0</v>
      </c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>
        <f t="shared" si="85"/>
        <v>0</v>
      </c>
      <c r="ACJ14" s="1">
        <f t="shared" si="85"/>
        <v>0</v>
      </c>
      <c r="ACK14" s="1">
        <f t="shared" si="86"/>
        <v>0</v>
      </c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>
        <f t="shared" si="87"/>
        <v>0</v>
      </c>
      <c r="ADC14" s="1">
        <f t="shared" si="87"/>
        <v>0</v>
      </c>
      <c r="ADD14" s="1">
        <f t="shared" si="88"/>
        <v>0</v>
      </c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>
        <f t="shared" si="89"/>
        <v>0</v>
      </c>
      <c r="ADV14" s="1">
        <f t="shared" si="89"/>
        <v>0</v>
      </c>
      <c r="ADW14" s="1">
        <f t="shared" si="90"/>
        <v>0</v>
      </c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>
        <f t="shared" si="91"/>
        <v>0</v>
      </c>
      <c r="AEO14" s="1">
        <f t="shared" si="91"/>
        <v>0</v>
      </c>
      <c r="AEP14" s="1">
        <f t="shared" si="92"/>
        <v>0</v>
      </c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>
        <f t="shared" si="93"/>
        <v>0</v>
      </c>
      <c r="AFH14" s="1">
        <f t="shared" si="93"/>
        <v>0</v>
      </c>
      <c r="AFI14" s="1">
        <f t="shared" si="94"/>
        <v>0</v>
      </c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>
        <f t="shared" si="95"/>
        <v>0</v>
      </c>
      <c r="AGA14" s="1">
        <f t="shared" si="95"/>
        <v>0</v>
      </c>
      <c r="AGB14" s="1">
        <f t="shared" si="96"/>
        <v>0</v>
      </c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>
        <f t="shared" si="97"/>
        <v>0</v>
      </c>
      <c r="AGT14" s="1">
        <f t="shared" si="97"/>
        <v>0</v>
      </c>
      <c r="AGU14" s="1">
        <f t="shared" si="98"/>
        <v>0</v>
      </c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>
        <f t="shared" si="99"/>
        <v>0</v>
      </c>
      <c r="AHM14" s="1">
        <f t="shared" si="99"/>
        <v>0</v>
      </c>
      <c r="AHN14" s="1">
        <f t="shared" si="100"/>
        <v>0</v>
      </c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>
        <f t="shared" si="101"/>
        <v>0</v>
      </c>
      <c r="AIY14" s="1">
        <f t="shared" si="101"/>
        <v>0</v>
      </c>
      <c r="AIZ14" s="1">
        <f t="shared" si="102"/>
        <v>0</v>
      </c>
      <c r="AJA14" s="1">
        <f t="shared" ref="AJA14:AJD15" si="213">AIH14+AGV14+AGC14+AFJ14+AEQ14+ADX14+ADE14+ACL14+ABS14+AAZ14+AAG14+ZN14+YU14+YB14+XI14+WP14+VW14+VD14+UK14+TR14+SY14+SF14+RM14+QT14+QA14+PH14+OO14+NV14+NC14+MJ14+LQ14</f>
        <v>0</v>
      </c>
      <c r="AJB14" s="1">
        <f t="shared" si="213"/>
        <v>0</v>
      </c>
      <c r="AJC14" s="1">
        <f t="shared" si="213"/>
        <v>0</v>
      </c>
      <c r="AJD14" s="1">
        <f t="shared" si="213"/>
        <v>0</v>
      </c>
      <c r="AJE14" s="1">
        <f>AIN14+AHB14+AGI14+AFP14+AEW14+AED14+ADK14+ACR14+ABY14+ABF14+AAM14+ZT14+ZA14+YH14+XO14+WV14+WC14+VJ14+UQ14+TX14+TE14+SL14+RS14+QZ14+QG14+PN14+OU14+OB14+NI14+MP14+LW14</f>
        <v>0</v>
      </c>
      <c r="AJF14" s="1">
        <f>AIO14+AHC14+AGJ14+AFQ14+AEX14+AEE14+ADL14+ACS14+ABZ14+ABG14+AAN14+ZU14+ZB14+YI14+XP14+WW14+WD14+VK14+UR14+TY14+TF14+SM14+RT14+RA14+QH14+PO14+OV14+OC14+NJ14+MQ14+LX14</f>
        <v>0</v>
      </c>
      <c r="AJG14" s="1">
        <f>AIL14+AGZ14+AGG14+AFN14+AEU14+AEB14+ADI14+ACP14+ABW14+ABD14+AAK14+ZR14+YY14+YF14+XM14+WT14+WA14+VH14+UO14+TV14+TC14+SJ14+RQ14+QX14+QE14+PL14+OS14+NZ14+NG14+MN14+LU14</f>
        <v>0</v>
      </c>
      <c r="AJH14" s="1">
        <f>AIM14+AHA14+AGH14+AFO14+AEV14+AEC14+ADJ14+ACQ14+ABX14+ABE14+AAL14+ZS14+YZ14+YG14+XN14+WU14+WB14+VI14+UP14+TW14+TD14+SK14+RR14+QY14+QF14+PM14+OT14+OA14+NH14+MO14+LV14</f>
        <v>0</v>
      </c>
      <c r="AJI14" s="1">
        <f t="shared" ref="AJI14:AJP15" si="214">AIP14+AHD14+AGK14+AFR14+AEY14+AEF14+ADM14+ACT14+ACA14+ABH14+AAO14+ZV14+ZC14+YJ14+XQ14+WX14+WE14+VL14+US14+TZ14+TG14+SN14+RU14+RB14+QI14+PP14+OW14+OD14+NK14+MR14+LY14</f>
        <v>0</v>
      </c>
      <c r="AJJ14" s="1">
        <f t="shared" si="214"/>
        <v>0</v>
      </c>
      <c r="AJK14" s="1">
        <f t="shared" si="214"/>
        <v>0</v>
      </c>
      <c r="AJL14" s="1">
        <f t="shared" si="214"/>
        <v>0</v>
      </c>
      <c r="AJM14" s="1">
        <f t="shared" si="214"/>
        <v>0</v>
      </c>
      <c r="AJN14" s="1">
        <f t="shared" si="214"/>
        <v>0</v>
      </c>
      <c r="AJO14" s="1">
        <f t="shared" si="214"/>
        <v>0</v>
      </c>
      <c r="AJP14" s="1">
        <f t="shared" si="214"/>
        <v>0</v>
      </c>
      <c r="AJQ14" s="1">
        <f>AJO14+AJM14+AJK14+AJI14+AJE14+AJG14+AJC14+AJA14</f>
        <v>0</v>
      </c>
      <c r="AJR14" s="1">
        <f>AJP14+AJN14+AJL14+AJJ14+AJF14+AJH14+AJD14+AJB14</f>
        <v>0</v>
      </c>
      <c r="AJS14" s="1">
        <f t="shared" si="105"/>
        <v>0</v>
      </c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>
        <f t="shared" si="109"/>
        <v>0</v>
      </c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>
        <f t="shared" si="110"/>
        <v>0</v>
      </c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</row>
    <row r="15" spans="1:1110" s="20" customFormat="1" ht="21">
      <c r="A15" s="22"/>
      <c r="B15" s="22"/>
      <c r="C15" s="22"/>
      <c r="D15" s="244"/>
      <c r="E15" s="24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>
        <f t="shared" si="0"/>
        <v>0</v>
      </c>
      <c r="AQ15" s="1">
        <f t="shared" si="0"/>
        <v>0</v>
      </c>
      <c r="AR15" s="1">
        <f t="shared" si="1"/>
        <v>0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>
        <f t="shared" si="2"/>
        <v>0</v>
      </c>
      <c r="BL15" s="1">
        <f t="shared" si="2"/>
        <v>0</v>
      </c>
      <c r="BM15" s="1">
        <f t="shared" si="3"/>
        <v>0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>
        <f t="shared" si="4"/>
        <v>0</v>
      </c>
      <c r="CE15" s="1">
        <f t="shared" si="4"/>
        <v>0</v>
      </c>
      <c r="CF15" s="1">
        <f t="shared" si="5"/>
        <v>0</v>
      </c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>
        <f t="shared" si="6"/>
        <v>0</v>
      </c>
      <c r="CV15" s="1">
        <f t="shared" si="6"/>
        <v>0</v>
      </c>
      <c r="CW15" s="1">
        <f t="shared" si="7"/>
        <v>0</v>
      </c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>
        <f t="shared" si="8"/>
        <v>0</v>
      </c>
      <c r="DK15" s="1">
        <f t="shared" si="8"/>
        <v>0</v>
      </c>
      <c r="DL15" s="1">
        <f t="shared" si="9"/>
        <v>0</v>
      </c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>
        <f t="shared" si="10"/>
        <v>0</v>
      </c>
      <c r="DX15" s="1">
        <f t="shared" si="10"/>
        <v>0</v>
      </c>
      <c r="DY15" s="1">
        <f t="shared" si="11"/>
        <v>0</v>
      </c>
      <c r="DZ15" s="1">
        <f t="shared" si="12"/>
        <v>0</v>
      </c>
      <c r="EA15" s="1">
        <f t="shared" si="12"/>
        <v>0</v>
      </c>
      <c r="EB15" s="1">
        <f t="shared" si="13"/>
        <v>0</v>
      </c>
      <c r="EC15" s="1">
        <f t="shared" si="13"/>
        <v>0</v>
      </c>
      <c r="ED15" s="1">
        <f t="shared" si="14"/>
        <v>0</v>
      </c>
      <c r="EE15" s="1">
        <f t="shared" si="14"/>
        <v>0</v>
      </c>
      <c r="EF15" s="1">
        <f t="shared" si="15"/>
        <v>0</v>
      </c>
      <c r="EG15" s="1">
        <f t="shared" si="15"/>
        <v>0</v>
      </c>
      <c r="EH15" s="1">
        <f t="shared" si="16"/>
        <v>0</v>
      </c>
      <c r="EI15" s="1">
        <f t="shared" si="17"/>
        <v>0</v>
      </c>
      <c r="EJ15" s="1">
        <f t="shared" si="18"/>
        <v>0</v>
      </c>
      <c r="EK15" s="1">
        <f t="shared" si="18"/>
        <v>0</v>
      </c>
      <c r="EL15" s="1">
        <f t="shared" si="18"/>
        <v>0</v>
      </c>
      <c r="EM15" s="1">
        <f t="shared" si="18"/>
        <v>0</v>
      </c>
      <c r="EN15" s="1">
        <f t="shared" si="18"/>
        <v>0</v>
      </c>
      <c r="EO15" s="1">
        <f t="shared" si="18"/>
        <v>0</v>
      </c>
      <c r="EP15" s="1">
        <f t="shared" si="18"/>
        <v>0</v>
      </c>
      <c r="EQ15" s="1">
        <f t="shared" si="18"/>
        <v>0</v>
      </c>
      <c r="ER15" s="1">
        <f t="shared" si="19"/>
        <v>0</v>
      </c>
      <c r="ES15" s="1">
        <f t="shared" si="19"/>
        <v>0</v>
      </c>
      <c r="ET15" s="1">
        <f t="shared" si="20"/>
        <v>0</v>
      </c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>
        <f>FC15+FA15+EY15+EW15+EU15</f>
        <v>0</v>
      </c>
      <c r="FH15" s="1">
        <f>FD15+FB15+EZ15+EX15+EV15</f>
        <v>0</v>
      </c>
      <c r="FI15" s="1">
        <f t="shared" si="22"/>
        <v>0</v>
      </c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>
        <f t="shared" si="23"/>
        <v>0</v>
      </c>
      <c r="FZ15" s="1">
        <f t="shared" si="23"/>
        <v>0</v>
      </c>
      <c r="GA15" s="1">
        <f t="shared" si="23"/>
        <v>0</v>
      </c>
      <c r="GB15" s="1">
        <f t="shared" si="24"/>
        <v>0</v>
      </c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>
        <f t="shared" si="25"/>
        <v>0</v>
      </c>
      <c r="GN15" s="1">
        <f t="shared" si="25"/>
        <v>0</v>
      </c>
      <c r="GO15" s="1">
        <f t="shared" si="26"/>
        <v>0</v>
      </c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>
        <f t="shared" si="27"/>
        <v>0</v>
      </c>
      <c r="HN15" s="1">
        <f t="shared" si="27"/>
        <v>0</v>
      </c>
      <c r="HO15" s="1">
        <f t="shared" si="28"/>
        <v>0</v>
      </c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>
        <f t="shared" si="29"/>
        <v>0</v>
      </c>
      <c r="IA15" s="1">
        <f t="shared" si="29"/>
        <v>0</v>
      </c>
      <c r="IB15" s="1">
        <f t="shared" si="30"/>
        <v>0</v>
      </c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>
        <f t="shared" si="31"/>
        <v>0</v>
      </c>
      <c r="IN15" s="1">
        <f t="shared" si="31"/>
        <v>0</v>
      </c>
      <c r="IO15" s="1">
        <f t="shared" si="32"/>
        <v>0</v>
      </c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>
        <f t="shared" si="33"/>
        <v>0</v>
      </c>
      <c r="JA15" s="1">
        <f t="shared" si="33"/>
        <v>0</v>
      </c>
      <c r="JB15" s="1">
        <f t="shared" si="34"/>
        <v>0</v>
      </c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>
        <f t="shared" si="35"/>
        <v>0</v>
      </c>
      <c r="JN15" s="1">
        <f t="shared" si="35"/>
        <v>0</v>
      </c>
      <c r="JO15" s="1">
        <f t="shared" si="36"/>
        <v>0</v>
      </c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>
        <f>KH15+KD15+KB15+JZ15+JX15+JV15+JT15+JP15+JR15+KF15</f>
        <v>0</v>
      </c>
      <c r="KK15" s="1">
        <f>KI15+KE15+KC15+KA15+JY15+JW15+JU15+JQ15+JS15+KG15</f>
        <v>0</v>
      </c>
      <c r="KL15" s="1">
        <f>KK15+KJ15</f>
        <v>0</v>
      </c>
      <c r="KM15" s="1"/>
      <c r="KN15" s="1"/>
      <c r="KO15" s="1"/>
      <c r="KP15" s="1"/>
      <c r="KQ15" s="1"/>
      <c r="KR15" s="1"/>
      <c r="KS15" s="1">
        <f t="shared" si="38"/>
        <v>0</v>
      </c>
      <c r="KT15" s="1">
        <f t="shared" si="38"/>
        <v>0</v>
      </c>
      <c r="KU15" s="1">
        <f t="shared" si="39"/>
        <v>0</v>
      </c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75"/>
      <c r="LI15" s="1"/>
      <c r="LJ15" s="1"/>
      <c r="LK15" s="1"/>
      <c r="LL15" s="1"/>
      <c r="LM15" s="1"/>
      <c r="LN15" s="139">
        <f t="shared" si="131"/>
        <v>0</v>
      </c>
      <c r="LO15" s="139">
        <f t="shared" si="132"/>
        <v>0</v>
      </c>
      <c r="LP15" s="1">
        <f t="shared" si="40"/>
        <v>0</v>
      </c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>
        <f t="shared" si="41"/>
        <v>0</v>
      </c>
      <c r="MH15" s="1">
        <f t="shared" si="41"/>
        <v>0</v>
      </c>
      <c r="MI15" s="1">
        <f t="shared" si="42"/>
        <v>0</v>
      </c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>
        <f t="shared" si="43"/>
        <v>0</v>
      </c>
      <c r="NA15" s="1">
        <f t="shared" si="43"/>
        <v>0</v>
      </c>
      <c r="NB15" s="1">
        <f t="shared" si="44"/>
        <v>0</v>
      </c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>
        <f t="shared" si="45"/>
        <v>0</v>
      </c>
      <c r="NT15" s="1">
        <f t="shared" si="45"/>
        <v>0</v>
      </c>
      <c r="NU15" s="1">
        <f t="shared" si="46"/>
        <v>0</v>
      </c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>
        <f t="shared" si="47"/>
        <v>0</v>
      </c>
      <c r="OM15" s="1">
        <f t="shared" si="47"/>
        <v>0</v>
      </c>
      <c r="ON15" s="1">
        <f t="shared" si="48"/>
        <v>0</v>
      </c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>
        <f t="shared" si="49"/>
        <v>0</v>
      </c>
      <c r="PF15" s="1">
        <f t="shared" si="49"/>
        <v>0</v>
      </c>
      <c r="PG15" s="1">
        <f t="shared" si="50"/>
        <v>0</v>
      </c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>
        <f t="shared" si="51"/>
        <v>0</v>
      </c>
      <c r="PY15" s="1">
        <f t="shared" si="51"/>
        <v>0</v>
      </c>
      <c r="PZ15" s="1">
        <f t="shared" si="52"/>
        <v>0</v>
      </c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>
        <f t="shared" si="53"/>
        <v>0</v>
      </c>
      <c r="QR15" s="1">
        <f t="shared" si="53"/>
        <v>0</v>
      </c>
      <c r="QS15" s="1">
        <f t="shared" si="54"/>
        <v>0</v>
      </c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>
        <f t="shared" si="55"/>
        <v>0</v>
      </c>
      <c r="RK15" s="1">
        <f t="shared" si="55"/>
        <v>0</v>
      </c>
      <c r="RL15" s="1">
        <f t="shared" si="56"/>
        <v>0</v>
      </c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>
        <f t="shared" si="57"/>
        <v>0</v>
      </c>
      <c r="SD15" s="1">
        <f t="shared" si="57"/>
        <v>0</v>
      </c>
      <c r="SE15" s="1">
        <f t="shared" si="58"/>
        <v>0</v>
      </c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>
        <f t="shared" si="59"/>
        <v>0</v>
      </c>
      <c r="SW15" s="1">
        <f t="shared" si="59"/>
        <v>0</v>
      </c>
      <c r="SX15" s="1">
        <f t="shared" si="60"/>
        <v>0</v>
      </c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>
        <f t="shared" si="61"/>
        <v>0</v>
      </c>
      <c r="TP15" s="1">
        <f t="shared" si="61"/>
        <v>0</v>
      </c>
      <c r="TQ15" s="1">
        <f t="shared" si="62"/>
        <v>0</v>
      </c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>
        <f t="shared" si="63"/>
        <v>0</v>
      </c>
      <c r="UI15" s="1">
        <f t="shared" si="63"/>
        <v>0</v>
      </c>
      <c r="UJ15" s="1">
        <f t="shared" si="64"/>
        <v>0</v>
      </c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>
        <f t="shared" si="65"/>
        <v>0</v>
      </c>
      <c r="VB15" s="1">
        <f t="shared" si="65"/>
        <v>0</v>
      </c>
      <c r="VC15" s="1">
        <f t="shared" si="66"/>
        <v>0</v>
      </c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>
        <f t="shared" si="67"/>
        <v>0</v>
      </c>
      <c r="VU15" s="1">
        <f t="shared" si="67"/>
        <v>0</v>
      </c>
      <c r="VV15" s="1">
        <f t="shared" si="68"/>
        <v>0</v>
      </c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>
        <f t="shared" si="69"/>
        <v>0</v>
      </c>
      <c r="WN15" s="1">
        <f t="shared" si="69"/>
        <v>0</v>
      </c>
      <c r="WO15" s="1">
        <f t="shared" si="70"/>
        <v>0</v>
      </c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>
        <f t="shared" si="71"/>
        <v>0</v>
      </c>
      <c r="XG15" s="1">
        <f t="shared" si="71"/>
        <v>0</v>
      </c>
      <c r="XH15" s="1">
        <f t="shared" si="72"/>
        <v>0</v>
      </c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>
        <f t="shared" si="73"/>
        <v>0</v>
      </c>
      <c r="XZ15" s="1">
        <f t="shared" si="73"/>
        <v>0</v>
      </c>
      <c r="YA15" s="1">
        <f t="shared" si="74"/>
        <v>0</v>
      </c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>
        <f t="shared" si="75"/>
        <v>0</v>
      </c>
      <c r="YS15" s="1">
        <f t="shared" si="75"/>
        <v>0</v>
      </c>
      <c r="YT15" s="1">
        <f t="shared" si="76"/>
        <v>0</v>
      </c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>
        <f t="shared" si="77"/>
        <v>0</v>
      </c>
      <c r="ZL15" s="1">
        <f t="shared" si="77"/>
        <v>0</v>
      </c>
      <c r="ZM15" s="1">
        <f t="shared" si="78"/>
        <v>0</v>
      </c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>
        <f t="shared" si="79"/>
        <v>0</v>
      </c>
      <c r="AAE15" s="1">
        <f t="shared" si="79"/>
        <v>0</v>
      </c>
      <c r="AAF15" s="1">
        <f t="shared" si="80"/>
        <v>0</v>
      </c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>
        <f t="shared" si="81"/>
        <v>0</v>
      </c>
      <c r="AAX15" s="1">
        <f t="shared" si="81"/>
        <v>0</v>
      </c>
      <c r="AAY15" s="1">
        <f t="shared" si="82"/>
        <v>0</v>
      </c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>
        <f t="shared" si="83"/>
        <v>0</v>
      </c>
      <c r="ABQ15" s="1">
        <f t="shared" si="83"/>
        <v>0</v>
      </c>
      <c r="ABR15" s="1">
        <f t="shared" si="84"/>
        <v>0</v>
      </c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>
        <f t="shared" si="85"/>
        <v>0</v>
      </c>
      <c r="ACJ15" s="1">
        <f t="shared" si="85"/>
        <v>0</v>
      </c>
      <c r="ACK15" s="1">
        <f t="shared" si="86"/>
        <v>0</v>
      </c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>
        <f t="shared" si="87"/>
        <v>0</v>
      </c>
      <c r="ADC15" s="1">
        <f t="shared" si="87"/>
        <v>0</v>
      </c>
      <c r="ADD15" s="1">
        <f t="shared" si="88"/>
        <v>0</v>
      </c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>
        <f t="shared" si="89"/>
        <v>0</v>
      </c>
      <c r="ADV15" s="1">
        <f t="shared" si="89"/>
        <v>0</v>
      </c>
      <c r="ADW15" s="1">
        <f t="shared" si="90"/>
        <v>0</v>
      </c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>
        <f t="shared" si="91"/>
        <v>0</v>
      </c>
      <c r="AEO15" s="1">
        <f t="shared" si="91"/>
        <v>0</v>
      </c>
      <c r="AEP15" s="1">
        <f t="shared" si="92"/>
        <v>0</v>
      </c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>
        <f t="shared" si="93"/>
        <v>0</v>
      </c>
      <c r="AFH15" s="1">
        <f t="shared" si="93"/>
        <v>0</v>
      </c>
      <c r="AFI15" s="1">
        <f t="shared" si="94"/>
        <v>0</v>
      </c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>
        <f t="shared" si="95"/>
        <v>0</v>
      </c>
      <c r="AGA15" s="1">
        <f t="shared" si="95"/>
        <v>0</v>
      </c>
      <c r="AGB15" s="1">
        <f t="shared" si="96"/>
        <v>0</v>
      </c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>
        <f t="shared" si="97"/>
        <v>0</v>
      </c>
      <c r="AGT15" s="1">
        <f t="shared" si="97"/>
        <v>0</v>
      </c>
      <c r="AGU15" s="1">
        <f t="shared" si="98"/>
        <v>0</v>
      </c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>
        <f t="shared" si="99"/>
        <v>0</v>
      </c>
      <c r="AHM15" s="1">
        <f t="shared" si="99"/>
        <v>0</v>
      </c>
      <c r="AHN15" s="1">
        <f t="shared" si="100"/>
        <v>0</v>
      </c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>
        <f t="shared" si="101"/>
        <v>0</v>
      </c>
      <c r="AIY15" s="1">
        <f t="shared" si="101"/>
        <v>0</v>
      </c>
      <c r="AIZ15" s="1">
        <f t="shared" si="102"/>
        <v>0</v>
      </c>
      <c r="AJA15" s="1">
        <f t="shared" si="213"/>
        <v>0</v>
      </c>
      <c r="AJB15" s="1">
        <f t="shared" si="213"/>
        <v>0</v>
      </c>
      <c r="AJC15" s="1">
        <f t="shared" si="213"/>
        <v>0</v>
      </c>
      <c r="AJD15" s="1">
        <f t="shared" si="213"/>
        <v>0</v>
      </c>
      <c r="AJE15" s="1">
        <f>AIN15+AHB15+AGI15+AFP15+AEW15+AED15+ADK15+ACR15+ABY15+ABF15+AAM15+ZT15+ZA15+YH15+XO15+WV15+WC15+VJ15+UQ15+TX15+TE15+SL15+RS15+QZ15+QG15+PN15+OU15+OB15+NI15+MP15+LW15</f>
        <v>0</v>
      </c>
      <c r="AJF15" s="1">
        <f>AIO15+AHC15+AGJ15+AFQ15+AEX15+AEE15+ADL15+ACS15+ABZ15+ABG15+AAN15+ZU15+ZB15+YI15+XP15+WW15+WD15+VK15+UR15+TY15+TF15+SM15+RT15+RA15+QH15+PO15+OV15+OC15+NJ15+MQ15+LX15</f>
        <v>0</v>
      </c>
      <c r="AJG15" s="1">
        <f>AIL15+AGZ15+AGG15+AFN15+AEU15+AEB15+ADI15+ACP15+ABW15+ABD15+AAK15+ZR15+YY15+YF15+XM15+WT15+WA15+VH15+UO15+TV15+TC15+SJ15+RQ15+QX15+QE15+PL15+OS15+NZ15+NG15+MN15+LU15</f>
        <v>0</v>
      </c>
      <c r="AJH15" s="1">
        <f>AIM15+AHA15+AGH15+AFO15+AEV15+AEC15+ADJ15+ACQ15+ABX15+ABE15+AAL15+ZS15+YZ15+YG15+XN15+WU15+WB15+VI15+UP15+TW15+TD15+SK15+RR15+QY15+QF15+PM15+OT15+OA15+NH15+MO15+LV15</f>
        <v>0</v>
      </c>
      <c r="AJI15" s="1">
        <f t="shared" si="214"/>
        <v>0</v>
      </c>
      <c r="AJJ15" s="1">
        <f t="shared" si="214"/>
        <v>0</v>
      </c>
      <c r="AJK15" s="1">
        <f t="shared" si="214"/>
        <v>0</v>
      </c>
      <c r="AJL15" s="1">
        <f t="shared" si="214"/>
        <v>0</v>
      </c>
      <c r="AJM15" s="1">
        <f t="shared" si="214"/>
        <v>0</v>
      </c>
      <c r="AJN15" s="1">
        <f t="shared" si="214"/>
        <v>0</v>
      </c>
      <c r="AJO15" s="1">
        <f t="shared" si="214"/>
        <v>0</v>
      </c>
      <c r="AJP15" s="1">
        <f t="shared" si="214"/>
        <v>0</v>
      </c>
      <c r="AJQ15" s="1">
        <f>AJO15+AJM15+AJK15+AJI15+AJE15+AJG15+AJC15+AJA15</f>
        <v>0</v>
      </c>
      <c r="AJR15" s="1">
        <f>AJP15+AJN15+AJL15+AJJ15+AJF15+AJH15+AJD15+AJB15</f>
        <v>0</v>
      </c>
      <c r="AJS15" s="1">
        <f t="shared" si="105"/>
        <v>0</v>
      </c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>
        <f t="shared" si="109"/>
        <v>0</v>
      </c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>
        <f t="shared" si="110"/>
        <v>0</v>
      </c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</row>
    <row r="16" spans="1:1110" s="21" customFormat="1" ht="25.5" customHeight="1">
      <c r="A16" s="203" t="s">
        <v>244</v>
      </c>
      <c r="B16" s="204"/>
      <c r="C16" s="204"/>
      <c r="D16" s="204"/>
      <c r="E16" s="205"/>
      <c r="F16" s="8">
        <f>SUM(F14:F15)</f>
        <v>0</v>
      </c>
      <c r="G16" s="8">
        <f t="shared" ref="G16:BR16" si="215">SUM(G14:G15)</f>
        <v>0</v>
      </c>
      <c r="H16" s="8">
        <f t="shared" si="215"/>
        <v>0</v>
      </c>
      <c r="I16" s="8">
        <f t="shared" si="215"/>
        <v>0</v>
      </c>
      <c r="J16" s="8">
        <f t="shared" si="215"/>
        <v>0</v>
      </c>
      <c r="K16" s="8">
        <f t="shared" si="215"/>
        <v>0</v>
      </c>
      <c r="L16" s="8">
        <f t="shared" si="215"/>
        <v>0</v>
      </c>
      <c r="M16" s="8">
        <f t="shared" si="215"/>
        <v>0</v>
      </c>
      <c r="N16" s="8">
        <f t="shared" si="215"/>
        <v>0</v>
      </c>
      <c r="O16" s="8">
        <f t="shared" si="215"/>
        <v>0</v>
      </c>
      <c r="P16" s="8">
        <f t="shared" si="215"/>
        <v>0</v>
      </c>
      <c r="Q16" s="8">
        <f t="shared" si="215"/>
        <v>0</v>
      </c>
      <c r="R16" s="8">
        <f t="shared" si="215"/>
        <v>0</v>
      </c>
      <c r="S16" s="8">
        <f t="shared" si="215"/>
        <v>0</v>
      </c>
      <c r="T16" s="8">
        <f t="shared" si="215"/>
        <v>0</v>
      </c>
      <c r="U16" s="8">
        <f t="shared" si="215"/>
        <v>0</v>
      </c>
      <c r="V16" s="8">
        <f t="shared" si="215"/>
        <v>0</v>
      </c>
      <c r="W16" s="8">
        <f t="shared" si="215"/>
        <v>0</v>
      </c>
      <c r="X16" s="8">
        <f t="shared" si="215"/>
        <v>0</v>
      </c>
      <c r="Y16" s="8">
        <f t="shared" si="215"/>
        <v>0</v>
      </c>
      <c r="Z16" s="8">
        <f t="shared" si="215"/>
        <v>0</v>
      </c>
      <c r="AA16" s="8">
        <f t="shared" si="215"/>
        <v>0</v>
      </c>
      <c r="AB16" s="8">
        <f t="shared" si="215"/>
        <v>0</v>
      </c>
      <c r="AC16" s="8">
        <f t="shared" si="215"/>
        <v>0</v>
      </c>
      <c r="AD16" s="8">
        <f t="shared" si="215"/>
        <v>0</v>
      </c>
      <c r="AE16" s="8">
        <f t="shared" si="215"/>
        <v>0</v>
      </c>
      <c r="AF16" s="8">
        <f t="shared" si="215"/>
        <v>0</v>
      </c>
      <c r="AG16" s="8">
        <f t="shared" si="215"/>
        <v>0</v>
      </c>
      <c r="AH16" s="8">
        <f t="shared" si="215"/>
        <v>0</v>
      </c>
      <c r="AI16" s="8">
        <f t="shared" si="215"/>
        <v>0</v>
      </c>
      <c r="AJ16" s="8">
        <f t="shared" si="215"/>
        <v>0</v>
      </c>
      <c r="AK16" s="8">
        <f t="shared" si="215"/>
        <v>0</v>
      </c>
      <c r="AL16" s="8">
        <f t="shared" si="215"/>
        <v>0</v>
      </c>
      <c r="AM16" s="8">
        <f t="shared" si="215"/>
        <v>0</v>
      </c>
      <c r="AN16" s="8">
        <f t="shared" si="215"/>
        <v>0</v>
      </c>
      <c r="AO16" s="8">
        <f t="shared" si="215"/>
        <v>0</v>
      </c>
      <c r="AP16" s="8">
        <f t="shared" si="215"/>
        <v>0</v>
      </c>
      <c r="AQ16" s="8">
        <f t="shared" si="215"/>
        <v>0</v>
      </c>
      <c r="AR16" s="8">
        <f t="shared" si="215"/>
        <v>0</v>
      </c>
      <c r="AS16" s="8">
        <f t="shared" si="215"/>
        <v>0</v>
      </c>
      <c r="AT16" s="8">
        <f t="shared" si="215"/>
        <v>0</v>
      </c>
      <c r="AU16" s="8">
        <f t="shared" si="215"/>
        <v>0</v>
      </c>
      <c r="AV16" s="8">
        <f t="shared" si="215"/>
        <v>0</v>
      </c>
      <c r="AW16" s="8">
        <f t="shared" si="215"/>
        <v>0</v>
      </c>
      <c r="AX16" s="8">
        <f t="shared" si="215"/>
        <v>0</v>
      </c>
      <c r="AY16" s="8">
        <f t="shared" si="215"/>
        <v>0</v>
      </c>
      <c r="AZ16" s="8">
        <f t="shared" si="215"/>
        <v>0</v>
      </c>
      <c r="BA16" s="8">
        <f t="shared" si="215"/>
        <v>0</v>
      </c>
      <c r="BB16" s="8">
        <f t="shared" si="215"/>
        <v>0</v>
      </c>
      <c r="BC16" s="8">
        <f t="shared" si="215"/>
        <v>0</v>
      </c>
      <c r="BD16" s="8">
        <f t="shared" si="215"/>
        <v>0</v>
      </c>
      <c r="BE16" s="8">
        <f t="shared" si="215"/>
        <v>0</v>
      </c>
      <c r="BF16" s="8">
        <f t="shared" si="215"/>
        <v>0</v>
      </c>
      <c r="BG16" s="8">
        <f t="shared" si="215"/>
        <v>0</v>
      </c>
      <c r="BH16" s="8">
        <f t="shared" si="215"/>
        <v>0</v>
      </c>
      <c r="BI16" s="8">
        <f t="shared" si="215"/>
        <v>0</v>
      </c>
      <c r="BJ16" s="8">
        <f t="shared" si="215"/>
        <v>0</v>
      </c>
      <c r="BK16" s="8">
        <f t="shared" si="215"/>
        <v>0</v>
      </c>
      <c r="BL16" s="8">
        <f t="shared" si="215"/>
        <v>0</v>
      </c>
      <c r="BM16" s="8">
        <f t="shared" si="215"/>
        <v>0</v>
      </c>
      <c r="BN16" s="8">
        <f t="shared" si="215"/>
        <v>0</v>
      </c>
      <c r="BO16" s="8">
        <f t="shared" si="215"/>
        <v>0</v>
      </c>
      <c r="BP16" s="8">
        <f t="shared" si="215"/>
        <v>0</v>
      </c>
      <c r="BQ16" s="8">
        <f t="shared" si="215"/>
        <v>0</v>
      </c>
      <c r="BR16" s="8">
        <f t="shared" si="215"/>
        <v>0</v>
      </c>
      <c r="BS16" s="8">
        <f t="shared" ref="BS16:ED16" si="216">SUM(BS14:BS15)</f>
        <v>0</v>
      </c>
      <c r="BT16" s="8">
        <f t="shared" si="216"/>
        <v>0</v>
      </c>
      <c r="BU16" s="8">
        <f t="shared" si="216"/>
        <v>0</v>
      </c>
      <c r="BV16" s="8">
        <f t="shared" si="216"/>
        <v>0</v>
      </c>
      <c r="BW16" s="8">
        <f t="shared" si="216"/>
        <v>0</v>
      </c>
      <c r="BX16" s="8">
        <f t="shared" si="216"/>
        <v>0</v>
      </c>
      <c r="BY16" s="8">
        <f t="shared" si="216"/>
        <v>0</v>
      </c>
      <c r="BZ16" s="8">
        <f t="shared" si="216"/>
        <v>0</v>
      </c>
      <c r="CA16" s="8">
        <f t="shared" si="216"/>
        <v>0</v>
      </c>
      <c r="CB16" s="8">
        <f t="shared" si="216"/>
        <v>0</v>
      </c>
      <c r="CC16" s="8">
        <f t="shared" si="216"/>
        <v>0</v>
      </c>
      <c r="CD16" s="8">
        <f t="shared" si="216"/>
        <v>0</v>
      </c>
      <c r="CE16" s="8">
        <f t="shared" si="216"/>
        <v>0</v>
      </c>
      <c r="CF16" s="8">
        <f t="shared" si="216"/>
        <v>0</v>
      </c>
      <c r="CG16" s="8">
        <f t="shared" si="216"/>
        <v>0</v>
      </c>
      <c r="CH16" s="8">
        <f t="shared" si="216"/>
        <v>0</v>
      </c>
      <c r="CI16" s="8">
        <f t="shared" si="216"/>
        <v>0</v>
      </c>
      <c r="CJ16" s="8">
        <f t="shared" si="216"/>
        <v>0</v>
      </c>
      <c r="CK16" s="8">
        <f t="shared" si="216"/>
        <v>0</v>
      </c>
      <c r="CL16" s="8">
        <f t="shared" si="216"/>
        <v>0</v>
      </c>
      <c r="CM16" s="8">
        <f t="shared" si="216"/>
        <v>0</v>
      </c>
      <c r="CN16" s="8">
        <f t="shared" si="216"/>
        <v>0</v>
      </c>
      <c r="CO16" s="8">
        <f t="shared" si="216"/>
        <v>0</v>
      </c>
      <c r="CP16" s="8">
        <f t="shared" si="216"/>
        <v>0</v>
      </c>
      <c r="CQ16" s="8">
        <f t="shared" si="216"/>
        <v>0</v>
      </c>
      <c r="CR16" s="8">
        <f t="shared" si="216"/>
        <v>0</v>
      </c>
      <c r="CS16" s="8">
        <f t="shared" si="216"/>
        <v>0</v>
      </c>
      <c r="CT16" s="8">
        <f t="shared" si="216"/>
        <v>0</v>
      </c>
      <c r="CU16" s="8">
        <f t="shared" si="216"/>
        <v>0</v>
      </c>
      <c r="CV16" s="8">
        <f t="shared" si="216"/>
        <v>0</v>
      </c>
      <c r="CW16" s="8">
        <f t="shared" si="216"/>
        <v>0</v>
      </c>
      <c r="CX16" s="8">
        <f t="shared" si="216"/>
        <v>0</v>
      </c>
      <c r="CY16" s="8">
        <f t="shared" si="216"/>
        <v>0</v>
      </c>
      <c r="CZ16" s="8">
        <f t="shared" si="216"/>
        <v>0</v>
      </c>
      <c r="DA16" s="8">
        <f t="shared" si="216"/>
        <v>0</v>
      </c>
      <c r="DB16" s="8">
        <f t="shared" si="216"/>
        <v>0</v>
      </c>
      <c r="DC16" s="8">
        <f t="shared" si="216"/>
        <v>0</v>
      </c>
      <c r="DD16" s="8">
        <f t="shared" si="216"/>
        <v>0</v>
      </c>
      <c r="DE16" s="8">
        <f t="shared" si="216"/>
        <v>0</v>
      </c>
      <c r="DF16" s="8">
        <f t="shared" si="216"/>
        <v>0</v>
      </c>
      <c r="DG16" s="8">
        <f t="shared" si="216"/>
        <v>0</v>
      </c>
      <c r="DH16" s="8">
        <f t="shared" si="216"/>
        <v>0</v>
      </c>
      <c r="DI16" s="8">
        <f t="shared" si="216"/>
        <v>0</v>
      </c>
      <c r="DJ16" s="8">
        <f t="shared" si="216"/>
        <v>0</v>
      </c>
      <c r="DK16" s="8">
        <f t="shared" si="216"/>
        <v>0</v>
      </c>
      <c r="DL16" s="8">
        <f t="shared" si="216"/>
        <v>0</v>
      </c>
      <c r="DM16" s="8">
        <f t="shared" si="216"/>
        <v>0</v>
      </c>
      <c r="DN16" s="8">
        <f t="shared" si="216"/>
        <v>0</v>
      </c>
      <c r="DO16" s="8">
        <f t="shared" si="216"/>
        <v>0</v>
      </c>
      <c r="DP16" s="8">
        <f t="shared" si="216"/>
        <v>0</v>
      </c>
      <c r="DQ16" s="8">
        <f t="shared" si="216"/>
        <v>0</v>
      </c>
      <c r="DR16" s="8">
        <f t="shared" si="216"/>
        <v>0</v>
      </c>
      <c r="DS16" s="8">
        <f t="shared" si="216"/>
        <v>0</v>
      </c>
      <c r="DT16" s="8">
        <f t="shared" si="216"/>
        <v>0</v>
      </c>
      <c r="DU16" s="8">
        <f t="shared" si="216"/>
        <v>0</v>
      </c>
      <c r="DV16" s="8">
        <f t="shared" si="216"/>
        <v>0</v>
      </c>
      <c r="DW16" s="8">
        <f t="shared" si="216"/>
        <v>0</v>
      </c>
      <c r="DX16" s="8">
        <f t="shared" si="216"/>
        <v>0</v>
      </c>
      <c r="DY16" s="8">
        <f t="shared" si="216"/>
        <v>0</v>
      </c>
      <c r="DZ16" s="8">
        <f t="shared" si="216"/>
        <v>0</v>
      </c>
      <c r="EA16" s="8">
        <f t="shared" si="216"/>
        <v>0</v>
      </c>
      <c r="EB16" s="8">
        <f t="shared" si="216"/>
        <v>0</v>
      </c>
      <c r="EC16" s="8">
        <f t="shared" si="216"/>
        <v>0</v>
      </c>
      <c r="ED16" s="8">
        <f t="shared" si="216"/>
        <v>0</v>
      </c>
      <c r="EE16" s="8">
        <f t="shared" ref="EE16:HR16" si="217">SUM(EE14:EE15)</f>
        <v>0</v>
      </c>
      <c r="EF16" s="8">
        <f t="shared" si="217"/>
        <v>0</v>
      </c>
      <c r="EG16" s="8">
        <f t="shared" si="217"/>
        <v>0</v>
      </c>
      <c r="EH16" s="8">
        <f t="shared" si="217"/>
        <v>0</v>
      </c>
      <c r="EI16" s="8">
        <f t="shared" si="217"/>
        <v>0</v>
      </c>
      <c r="EJ16" s="8">
        <f t="shared" si="217"/>
        <v>0</v>
      </c>
      <c r="EK16" s="8">
        <f t="shared" si="217"/>
        <v>0</v>
      </c>
      <c r="EL16" s="8">
        <f t="shared" si="217"/>
        <v>0</v>
      </c>
      <c r="EM16" s="8">
        <f t="shared" si="217"/>
        <v>0</v>
      </c>
      <c r="EN16" s="8">
        <f t="shared" si="217"/>
        <v>0</v>
      </c>
      <c r="EO16" s="8">
        <f t="shared" si="217"/>
        <v>0</v>
      </c>
      <c r="EP16" s="8">
        <f t="shared" si="217"/>
        <v>0</v>
      </c>
      <c r="EQ16" s="8">
        <f t="shared" si="217"/>
        <v>0</v>
      </c>
      <c r="ER16" s="8">
        <f t="shared" si="217"/>
        <v>0</v>
      </c>
      <c r="ES16" s="8">
        <f t="shared" si="217"/>
        <v>0</v>
      </c>
      <c r="ET16" s="8">
        <f t="shared" si="217"/>
        <v>0</v>
      </c>
      <c r="EU16" s="8">
        <f t="shared" si="217"/>
        <v>0</v>
      </c>
      <c r="EV16" s="8">
        <f t="shared" si="217"/>
        <v>0</v>
      </c>
      <c r="EW16" s="8">
        <f t="shared" si="217"/>
        <v>0</v>
      </c>
      <c r="EX16" s="8">
        <f t="shared" si="217"/>
        <v>0</v>
      </c>
      <c r="EY16" s="8">
        <f t="shared" si="217"/>
        <v>0</v>
      </c>
      <c r="EZ16" s="8">
        <f t="shared" si="217"/>
        <v>0</v>
      </c>
      <c r="FA16" s="8">
        <f t="shared" si="217"/>
        <v>0</v>
      </c>
      <c r="FB16" s="8">
        <f t="shared" si="217"/>
        <v>0</v>
      </c>
      <c r="FC16" s="8">
        <f t="shared" si="217"/>
        <v>0</v>
      </c>
      <c r="FD16" s="8">
        <f t="shared" si="217"/>
        <v>0</v>
      </c>
      <c r="FE16" s="8"/>
      <c r="FF16" s="8"/>
      <c r="FG16" s="8">
        <f t="shared" si="217"/>
        <v>0</v>
      </c>
      <c r="FH16" s="8">
        <f t="shared" si="217"/>
        <v>0</v>
      </c>
      <c r="FI16" s="8">
        <f t="shared" si="217"/>
        <v>0</v>
      </c>
      <c r="FJ16" s="8">
        <f t="shared" si="217"/>
        <v>0</v>
      </c>
      <c r="FK16" s="8">
        <f t="shared" si="217"/>
        <v>0</v>
      </c>
      <c r="FL16" s="8">
        <f t="shared" si="217"/>
        <v>0</v>
      </c>
      <c r="FM16" s="8">
        <f t="shared" si="217"/>
        <v>0</v>
      </c>
      <c r="FN16" s="8">
        <f t="shared" si="217"/>
        <v>0</v>
      </c>
      <c r="FO16" s="8">
        <f t="shared" si="217"/>
        <v>0</v>
      </c>
      <c r="FP16" s="8">
        <f t="shared" si="217"/>
        <v>0</v>
      </c>
      <c r="FQ16" s="8">
        <f t="shared" si="217"/>
        <v>0</v>
      </c>
      <c r="FR16" s="8">
        <f t="shared" si="217"/>
        <v>0</v>
      </c>
      <c r="FS16" s="8">
        <f t="shared" si="217"/>
        <v>0</v>
      </c>
      <c r="FT16" s="8">
        <f t="shared" si="217"/>
        <v>0</v>
      </c>
      <c r="FU16" s="8">
        <f t="shared" si="217"/>
        <v>0</v>
      </c>
      <c r="FV16" s="8">
        <f t="shared" si="217"/>
        <v>0</v>
      </c>
      <c r="FW16" s="8">
        <f t="shared" si="217"/>
        <v>0</v>
      </c>
      <c r="FX16" s="8">
        <f t="shared" si="217"/>
        <v>0</v>
      </c>
      <c r="FY16" s="8">
        <f t="shared" si="217"/>
        <v>0</v>
      </c>
      <c r="FZ16" s="8">
        <f t="shared" si="217"/>
        <v>0</v>
      </c>
      <c r="GA16" s="8">
        <f t="shared" si="217"/>
        <v>0</v>
      </c>
      <c r="GB16" s="8">
        <f t="shared" si="217"/>
        <v>0</v>
      </c>
      <c r="GC16" s="8">
        <f t="shared" ref="GC16:HO16" si="218">SUM(GC14:GC15)</f>
        <v>0</v>
      </c>
      <c r="GD16" s="8">
        <f t="shared" si="218"/>
        <v>0</v>
      </c>
      <c r="GE16" s="8">
        <f t="shared" si="218"/>
        <v>0</v>
      </c>
      <c r="GF16" s="8">
        <f t="shared" si="218"/>
        <v>0</v>
      </c>
      <c r="GG16" s="8">
        <f t="shared" si="218"/>
        <v>0</v>
      </c>
      <c r="GH16" s="8">
        <f t="shared" si="218"/>
        <v>0</v>
      </c>
      <c r="GI16" s="8">
        <f t="shared" si="218"/>
        <v>0</v>
      </c>
      <c r="GJ16" s="8">
        <f t="shared" si="218"/>
        <v>0</v>
      </c>
      <c r="GK16" s="8">
        <f t="shared" si="218"/>
        <v>0</v>
      </c>
      <c r="GL16" s="8">
        <f t="shared" si="218"/>
        <v>0</v>
      </c>
      <c r="GM16" s="8">
        <f t="shared" si="218"/>
        <v>0</v>
      </c>
      <c r="GN16" s="8">
        <f t="shared" si="218"/>
        <v>0</v>
      </c>
      <c r="GO16" s="8">
        <f t="shared" si="218"/>
        <v>0</v>
      </c>
      <c r="GP16" s="8">
        <f t="shared" ref="GP16:HB16" si="219">SUM(GP14:GP15)</f>
        <v>0</v>
      </c>
      <c r="GQ16" s="8">
        <f t="shared" si="219"/>
        <v>0</v>
      </c>
      <c r="GR16" s="8">
        <f t="shared" si="219"/>
        <v>0</v>
      </c>
      <c r="GS16" s="8">
        <f t="shared" si="219"/>
        <v>0</v>
      </c>
      <c r="GT16" s="8">
        <f t="shared" si="219"/>
        <v>0</v>
      </c>
      <c r="GU16" s="8">
        <f t="shared" si="219"/>
        <v>0</v>
      </c>
      <c r="GV16" s="8">
        <f t="shared" si="219"/>
        <v>0</v>
      </c>
      <c r="GW16" s="8">
        <f t="shared" si="219"/>
        <v>0</v>
      </c>
      <c r="GX16" s="8">
        <f t="shared" si="219"/>
        <v>0</v>
      </c>
      <c r="GY16" s="8">
        <f t="shared" si="219"/>
        <v>0</v>
      </c>
      <c r="GZ16" s="8">
        <f t="shared" si="219"/>
        <v>0</v>
      </c>
      <c r="HA16" s="8">
        <f t="shared" si="219"/>
        <v>0</v>
      </c>
      <c r="HB16" s="8">
        <f t="shared" si="219"/>
        <v>0</v>
      </c>
      <c r="HC16" s="8">
        <f t="shared" si="218"/>
        <v>0</v>
      </c>
      <c r="HD16" s="8">
        <f t="shared" si="218"/>
        <v>0</v>
      </c>
      <c r="HE16" s="8">
        <f t="shared" si="218"/>
        <v>0</v>
      </c>
      <c r="HF16" s="8">
        <f t="shared" si="218"/>
        <v>0</v>
      </c>
      <c r="HG16" s="8">
        <f t="shared" si="218"/>
        <v>0</v>
      </c>
      <c r="HH16" s="8">
        <f t="shared" si="218"/>
        <v>0</v>
      </c>
      <c r="HI16" s="8">
        <f t="shared" si="218"/>
        <v>0</v>
      </c>
      <c r="HJ16" s="8">
        <f t="shared" si="218"/>
        <v>0</v>
      </c>
      <c r="HK16" s="8">
        <f t="shared" si="218"/>
        <v>0</v>
      </c>
      <c r="HL16" s="8">
        <f t="shared" si="218"/>
        <v>0</v>
      </c>
      <c r="HM16" s="8">
        <f t="shared" si="218"/>
        <v>0</v>
      </c>
      <c r="HN16" s="8">
        <f t="shared" si="218"/>
        <v>0</v>
      </c>
      <c r="HO16" s="8">
        <f t="shared" si="218"/>
        <v>0</v>
      </c>
      <c r="HP16" s="8">
        <f t="shared" si="217"/>
        <v>0</v>
      </c>
      <c r="HQ16" s="8">
        <f t="shared" si="217"/>
        <v>0</v>
      </c>
      <c r="HR16" s="8">
        <f t="shared" si="217"/>
        <v>0</v>
      </c>
      <c r="HS16" s="8">
        <f t="shared" ref="HS16:JD16" si="220">SUM(HS14:HS15)</f>
        <v>0</v>
      </c>
      <c r="HT16" s="8">
        <f t="shared" si="220"/>
        <v>0</v>
      </c>
      <c r="HU16" s="8">
        <f t="shared" si="220"/>
        <v>0</v>
      </c>
      <c r="HV16" s="8">
        <f t="shared" si="220"/>
        <v>0</v>
      </c>
      <c r="HW16" s="8">
        <f t="shared" si="220"/>
        <v>0</v>
      </c>
      <c r="HX16" s="8">
        <f t="shared" si="220"/>
        <v>0</v>
      </c>
      <c r="HY16" s="8">
        <f t="shared" si="220"/>
        <v>0</v>
      </c>
      <c r="HZ16" s="8">
        <f t="shared" si="220"/>
        <v>0</v>
      </c>
      <c r="IA16" s="8">
        <f t="shared" si="220"/>
        <v>0</v>
      </c>
      <c r="IB16" s="8">
        <f t="shared" si="220"/>
        <v>0</v>
      </c>
      <c r="IC16" s="8">
        <f t="shared" si="220"/>
        <v>0</v>
      </c>
      <c r="ID16" s="8">
        <f t="shared" si="220"/>
        <v>0</v>
      </c>
      <c r="IE16" s="8">
        <f t="shared" si="220"/>
        <v>0</v>
      </c>
      <c r="IF16" s="8">
        <f t="shared" si="220"/>
        <v>0</v>
      </c>
      <c r="IG16" s="8">
        <f t="shared" si="220"/>
        <v>0</v>
      </c>
      <c r="IH16" s="8">
        <f t="shared" si="220"/>
        <v>0</v>
      </c>
      <c r="II16" s="8">
        <f t="shared" si="220"/>
        <v>0</v>
      </c>
      <c r="IJ16" s="8">
        <f t="shared" si="220"/>
        <v>0</v>
      </c>
      <c r="IK16" s="8">
        <f t="shared" si="220"/>
        <v>0</v>
      </c>
      <c r="IL16" s="8">
        <f t="shared" si="220"/>
        <v>0</v>
      </c>
      <c r="IM16" s="8">
        <f t="shared" si="220"/>
        <v>0</v>
      </c>
      <c r="IN16" s="8">
        <f t="shared" si="220"/>
        <v>0</v>
      </c>
      <c r="IO16" s="8">
        <f t="shared" si="220"/>
        <v>0</v>
      </c>
      <c r="IP16" s="8">
        <f t="shared" si="220"/>
        <v>0</v>
      </c>
      <c r="IQ16" s="8">
        <f t="shared" si="220"/>
        <v>0</v>
      </c>
      <c r="IR16" s="8">
        <f t="shared" si="220"/>
        <v>0</v>
      </c>
      <c r="IS16" s="8">
        <f t="shared" si="220"/>
        <v>0</v>
      </c>
      <c r="IT16" s="8">
        <f t="shared" si="220"/>
        <v>0</v>
      </c>
      <c r="IU16" s="8">
        <f t="shared" si="220"/>
        <v>0</v>
      </c>
      <c r="IV16" s="8">
        <f t="shared" si="220"/>
        <v>0</v>
      </c>
      <c r="IW16" s="8">
        <f t="shared" si="220"/>
        <v>0</v>
      </c>
      <c r="IX16" s="8">
        <f t="shared" si="220"/>
        <v>0</v>
      </c>
      <c r="IY16" s="8">
        <f t="shared" si="220"/>
        <v>0</v>
      </c>
      <c r="IZ16" s="8">
        <f t="shared" si="220"/>
        <v>0</v>
      </c>
      <c r="JA16" s="8">
        <f t="shared" si="220"/>
        <v>0</v>
      </c>
      <c r="JB16" s="8">
        <f t="shared" si="220"/>
        <v>0</v>
      </c>
      <c r="JC16" s="8">
        <f t="shared" si="220"/>
        <v>0</v>
      </c>
      <c r="JD16" s="8">
        <f t="shared" si="220"/>
        <v>0</v>
      </c>
      <c r="JE16" s="8">
        <f t="shared" ref="JE16:LS16" si="221">SUM(JE14:JE15)</f>
        <v>0</v>
      </c>
      <c r="JF16" s="8">
        <f t="shared" si="221"/>
        <v>0</v>
      </c>
      <c r="JG16" s="8">
        <f t="shared" si="221"/>
        <v>0</v>
      </c>
      <c r="JH16" s="8">
        <f t="shared" si="221"/>
        <v>0</v>
      </c>
      <c r="JI16" s="8">
        <f t="shared" si="221"/>
        <v>0</v>
      </c>
      <c r="JJ16" s="8">
        <f t="shared" si="221"/>
        <v>0</v>
      </c>
      <c r="JK16" s="8">
        <f t="shared" si="221"/>
        <v>0</v>
      </c>
      <c r="JL16" s="8">
        <f t="shared" si="221"/>
        <v>0</v>
      </c>
      <c r="JM16" s="8">
        <f t="shared" si="221"/>
        <v>0</v>
      </c>
      <c r="JN16" s="8">
        <f t="shared" si="221"/>
        <v>0</v>
      </c>
      <c r="JO16" s="8">
        <f t="shared" si="221"/>
        <v>0</v>
      </c>
      <c r="JP16" s="8">
        <f t="shared" si="221"/>
        <v>0</v>
      </c>
      <c r="JQ16" s="8">
        <f t="shared" si="221"/>
        <v>0</v>
      </c>
      <c r="JR16" s="8">
        <f>SUM(JR14:JR15)</f>
        <v>0</v>
      </c>
      <c r="JS16" s="8">
        <f>SUM(JS14:JS15)</f>
        <v>0</v>
      </c>
      <c r="JT16" s="8">
        <f>SUM(JT14:JT15)</f>
        <v>0</v>
      </c>
      <c r="JU16" s="8">
        <f t="shared" si="221"/>
        <v>0</v>
      </c>
      <c r="JV16" s="8">
        <f t="shared" si="221"/>
        <v>0</v>
      </c>
      <c r="JW16" s="8">
        <f t="shared" si="221"/>
        <v>0</v>
      </c>
      <c r="JX16" s="8">
        <f t="shared" si="221"/>
        <v>0</v>
      </c>
      <c r="JY16" s="8">
        <f t="shared" si="221"/>
        <v>0</v>
      </c>
      <c r="JZ16" s="8">
        <f t="shared" si="221"/>
        <v>0</v>
      </c>
      <c r="KA16" s="8">
        <f t="shared" si="221"/>
        <v>0</v>
      </c>
      <c r="KB16" s="8">
        <f t="shared" si="221"/>
        <v>0</v>
      </c>
      <c r="KC16" s="8">
        <f t="shared" si="221"/>
        <v>0</v>
      </c>
      <c r="KD16" s="8">
        <f t="shared" si="221"/>
        <v>0</v>
      </c>
      <c r="KE16" s="8">
        <f t="shared" si="221"/>
        <v>0</v>
      </c>
      <c r="KF16" s="8"/>
      <c r="KG16" s="8"/>
      <c r="KH16" s="8">
        <f t="shared" si="221"/>
        <v>0</v>
      </c>
      <c r="KI16" s="8">
        <f t="shared" si="221"/>
        <v>0</v>
      </c>
      <c r="KJ16" s="8">
        <f t="shared" si="221"/>
        <v>0</v>
      </c>
      <c r="KK16" s="8">
        <f t="shared" si="221"/>
        <v>0</v>
      </c>
      <c r="KL16" s="8">
        <f t="shared" si="221"/>
        <v>0</v>
      </c>
      <c r="KM16" s="8">
        <f t="shared" si="221"/>
        <v>0</v>
      </c>
      <c r="KN16" s="8">
        <f t="shared" si="221"/>
        <v>0</v>
      </c>
      <c r="KO16" s="8">
        <f t="shared" si="221"/>
        <v>0</v>
      </c>
      <c r="KP16" s="8">
        <f t="shared" si="221"/>
        <v>0</v>
      </c>
      <c r="KQ16" s="8">
        <f t="shared" si="221"/>
        <v>0</v>
      </c>
      <c r="KR16" s="8">
        <f t="shared" si="221"/>
        <v>0</v>
      </c>
      <c r="KS16" s="8">
        <f t="shared" si="221"/>
        <v>0</v>
      </c>
      <c r="KT16" s="8">
        <f t="shared" si="221"/>
        <v>0</v>
      </c>
      <c r="KU16" s="8">
        <f t="shared" si="221"/>
        <v>0</v>
      </c>
      <c r="KV16" s="8">
        <f t="shared" si="221"/>
        <v>0</v>
      </c>
      <c r="KW16" s="8">
        <f t="shared" si="221"/>
        <v>0</v>
      </c>
      <c r="KX16" s="8">
        <f t="shared" si="221"/>
        <v>0</v>
      </c>
      <c r="KY16" s="8">
        <f t="shared" si="221"/>
        <v>0</v>
      </c>
      <c r="KZ16" s="8">
        <f t="shared" si="221"/>
        <v>0</v>
      </c>
      <c r="LA16" s="8">
        <f t="shared" si="221"/>
        <v>0</v>
      </c>
      <c r="LB16" s="8">
        <f t="shared" si="221"/>
        <v>0</v>
      </c>
      <c r="LC16" s="8">
        <f t="shared" si="221"/>
        <v>0</v>
      </c>
      <c r="LD16" s="8">
        <f t="shared" si="221"/>
        <v>0</v>
      </c>
      <c r="LE16" s="8">
        <f t="shared" si="221"/>
        <v>0</v>
      </c>
      <c r="LF16" s="8">
        <f t="shared" si="221"/>
        <v>0</v>
      </c>
      <c r="LG16" s="8">
        <f t="shared" si="221"/>
        <v>0</v>
      </c>
      <c r="LH16" s="74">
        <f t="shared" si="221"/>
        <v>0</v>
      </c>
      <c r="LI16" s="8">
        <f t="shared" si="221"/>
        <v>0</v>
      </c>
      <c r="LJ16" s="8">
        <f t="shared" si="221"/>
        <v>0</v>
      </c>
      <c r="LK16" s="8">
        <f t="shared" si="221"/>
        <v>0</v>
      </c>
      <c r="LL16" s="8">
        <f t="shared" si="221"/>
        <v>0</v>
      </c>
      <c r="LM16" s="8">
        <f t="shared" si="221"/>
        <v>0</v>
      </c>
      <c r="LN16" s="139">
        <f t="shared" si="131"/>
        <v>0</v>
      </c>
      <c r="LO16" s="139">
        <f t="shared" si="132"/>
        <v>0</v>
      </c>
      <c r="LP16" s="8">
        <f t="shared" si="221"/>
        <v>0</v>
      </c>
      <c r="LQ16" s="8">
        <f t="shared" si="221"/>
        <v>0</v>
      </c>
      <c r="LR16" s="8">
        <f t="shared" si="221"/>
        <v>0</v>
      </c>
      <c r="LS16" s="8">
        <f t="shared" si="221"/>
        <v>0</v>
      </c>
      <c r="LT16" s="8">
        <f t="shared" ref="LT16:OE16" si="222">SUM(LT14:LT15)</f>
        <v>0</v>
      </c>
      <c r="LU16" s="8">
        <f t="shared" si="222"/>
        <v>0</v>
      </c>
      <c r="LV16" s="8">
        <f t="shared" si="222"/>
        <v>0</v>
      </c>
      <c r="LW16" s="8">
        <f t="shared" si="222"/>
        <v>0</v>
      </c>
      <c r="LX16" s="8">
        <f t="shared" si="222"/>
        <v>0</v>
      </c>
      <c r="LY16" s="8">
        <f t="shared" si="222"/>
        <v>0</v>
      </c>
      <c r="LZ16" s="8">
        <f t="shared" si="222"/>
        <v>0</v>
      </c>
      <c r="MA16" s="8">
        <f t="shared" si="222"/>
        <v>0</v>
      </c>
      <c r="MB16" s="8">
        <f t="shared" si="222"/>
        <v>0</v>
      </c>
      <c r="MC16" s="8">
        <f t="shared" si="222"/>
        <v>0</v>
      </c>
      <c r="MD16" s="8">
        <f t="shared" si="222"/>
        <v>0</v>
      </c>
      <c r="ME16" s="8">
        <f t="shared" si="222"/>
        <v>0</v>
      </c>
      <c r="MF16" s="8">
        <f t="shared" si="222"/>
        <v>0</v>
      </c>
      <c r="MG16" s="8">
        <f t="shared" si="222"/>
        <v>0</v>
      </c>
      <c r="MH16" s="8">
        <f t="shared" si="222"/>
        <v>0</v>
      </c>
      <c r="MI16" s="8">
        <f t="shared" si="222"/>
        <v>0</v>
      </c>
      <c r="MJ16" s="8">
        <f t="shared" si="222"/>
        <v>0</v>
      </c>
      <c r="MK16" s="8">
        <f t="shared" si="222"/>
        <v>0</v>
      </c>
      <c r="ML16" s="8">
        <f t="shared" si="222"/>
        <v>0</v>
      </c>
      <c r="MM16" s="8">
        <f t="shared" si="222"/>
        <v>0</v>
      </c>
      <c r="MN16" s="8">
        <f t="shared" si="222"/>
        <v>0</v>
      </c>
      <c r="MO16" s="8">
        <f t="shared" si="222"/>
        <v>0</v>
      </c>
      <c r="MP16" s="8">
        <f t="shared" si="222"/>
        <v>0</v>
      </c>
      <c r="MQ16" s="8">
        <f t="shared" si="222"/>
        <v>0</v>
      </c>
      <c r="MR16" s="8">
        <f t="shared" si="222"/>
        <v>0</v>
      </c>
      <c r="MS16" s="8">
        <f t="shared" si="222"/>
        <v>0</v>
      </c>
      <c r="MT16" s="8">
        <f t="shared" si="222"/>
        <v>0</v>
      </c>
      <c r="MU16" s="8">
        <f t="shared" si="222"/>
        <v>0</v>
      </c>
      <c r="MV16" s="8">
        <f t="shared" si="222"/>
        <v>0</v>
      </c>
      <c r="MW16" s="8">
        <f t="shared" si="222"/>
        <v>0</v>
      </c>
      <c r="MX16" s="8">
        <f t="shared" si="222"/>
        <v>0</v>
      </c>
      <c r="MY16" s="8">
        <f t="shared" si="222"/>
        <v>0</v>
      </c>
      <c r="MZ16" s="8">
        <f t="shared" si="222"/>
        <v>0</v>
      </c>
      <c r="NA16" s="8">
        <f t="shared" si="222"/>
        <v>0</v>
      </c>
      <c r="NB16" s="8">
        <f t="shared" si="222"/>
        <v>0</v>
      </c>
      <c r="NC16" s="8">
        <f t="shared" si="222"/>
        <v>0</v>
      </c>
      <c r="ND16" s="8">
        <f t="shared" si="222"/>
        <v>0</v>
      </c>
      <c r="NE16" s="8">
        <f t="shared" si="222"/>
        <v>0</v>
      </c>
      <c r="NF16" s="8">
        <f t="shared" si="222"/>
        <v>0</v>
      </c>
      <c r="NG16" s="8">
        <f t="shared" si="222"/>
        <v>0</v>
      </c>
      <c r="NH16" s="8">
        <f t="shared" si="222"/>
        <v>0</v>
      </c>
      <c r="NI16" s="8">
        <f t="shared" si="222"/>
        <v>0</v>
      </c>
      <c r="NJ16" s="8">
        <f t="shared" si="222"/>
        <v>0</v>
      </c>
      <c r="NK16" s="8">
        <f t="shared" si="222"/>
        <v>0</v>
      </c>
      <c r="NL16" s="8">
        <f t="shared" si="222"/>
        <v>0</v>
      </c>
      <c r="NM16" s="8">
        <f t="shared" si="222"/>
        <v>0</v>
      </c>
      <c r="NN16" s="8">
        <f t="shared" si="222"/>
        <v>0</v>
      </c>
      <c r="NO16" s="8">
        <f t="shared" si="222"/>
        <v>0</v>
      </c>
      <c r="NP16" s="8">
        <f t="shared" si="222"/>
        <v>0</v>
      </c>
      <c r="NQ16" s="8">
        <f t="shared" si="222"/>
        <v>0</v>
      </c>
      <c r="NR16" s="8">
        <f t="shared" si="222"/>
        <v>0</v>
      </c>
      <c r="NS16" s="8">
        <f t="shared" si="222"/>
        <v>0</v>
      </c>
      <c r="NT16" s="8">
        <f t="shared" si="222"/>
        <v>0</v>
      </c>
      <c r="NU16" s="8">
        <f t="shared" si="222"/>
        <v>0</v>
      </c>
      <c r="NV16" s="8">
        <f t="shared" si="222"/>
        <v>0</v>
      </c>
      <c r="NW16" s="8">
        <f t="shared" si="222"/>
        <v>0</v>
      </c>
      <c r="NX16" s="8">
        <f t="shared" si="222"/>
        <v>0</v>
      </c>
      <c r="NY16" s="8">
        <f t="shared" si="222"/>
        <v>0</v>
      </c>
      <c r="NZ16" s="8">
        <f t="shared" si="222"/>
        <v>0</v>
      </c>
      <c r="OA16" s="8">
        <f t="shared" si="222"/>
        <v>0</v>
      </c>
      <c r="OB16" s="8">
        <f t="shared" si="222"/>
        <v>0</v>
      </c>
      <c r="OC16" s="8">
        <f t="shared" si="222"/>
        <v>0</v>
      </c>
      <c r="OD16" s="8">
        <f t="shared" si="222"/>
        <v>0</v>
      </c>
      <c r="OE16" s="8">
        <f t="shared" si="222"/>
        <v>0</v>
      </c>
      <c r="OF16" s="8">
        <f t="shared" ref="OF16:QQ16" si="223">SUM(OF14:OF15)</f>
        <v>0</v>
      </c>
      <c r="OG16" s="8">
        <f t="shared" si="223"/>
        <v>0</v>
      </c>
      <c r="OH16" s="8">
        <f t="shared" si="223"/>
        <v>0</v>
      </c>
      <c r="OI16" s="8">
        <f t="shared" si="223"/>
        <v>0</v>
      </c>
      <c r="OJ16" s="8">
        <f t="shared" si="223"/>
        <v>0</v>
      </c>
      <c r="OK16" s="8">
        <f t="shared" si="223"/>
        <v>0</v>
      </c>
      <c r="OL16" s="8">
        <f t="shared" si="223"/>
        <v>0</v>
      </c>
      <c r="OM16" s="8">
        <f t="shared" si="223"/>
        <v>0</v>
      </c>
      <c r="ON16" s="8">
        <f t="shared" si="223"/>
        <v>0</v>
      </c>
      <c r="OO16" s="8">
        <f t="shared" si="223"/>
        <v>0</v>
      </c>
      <c r="OP16" s="8">
        <f t="shared" si="223"/>
        <v>0</v>
      </c>
      <c r="OQ16" s="8">
        <f t="shared" si="223"/>
        <v>0</v>
      </c>
      <c r="OR16" s="8">
        <f t="shared" si="223"/>
        <v>0</v>
      </c>
      <c r="OS16" s="8">
        <f t="shared" si="223"/>
        <v>0</v>
      </c>
      <c r="OT16" s="8">
        <f t="shared" si="223"/>
        <v>0</v>
      </c>
      <c r="OU16" s="8">
        <f t="shared" si="223"/>
        <v>0</v>
      </c>
      <c r="OV16" s="8">
        <f t="shared" si="223"/>
        <v>0</v>
      </c>
      <c r="OW16" s="8">
        <f t="shared" si="223"/>
        <v>0</v>
      </c>
      <c r="OX16" s="8">
        <f t="shared" si="223"/>
        <v>0</v>
      </c>
      <c r="OY16" s="8">
        <f t="shared" si="223"/>
        <v>0</v>
      </c>
      <c r="OZ16" s="8">
        <f t="shared" si="223"/>
        <v>0</v>
      </c>
      <c r="PA16" s="8">
        <f t="shared" si="223"/>
        <v>0</v>
      </c>
      <c r="PB16" s="8">
        <f t="shared" si="223"/>
        <v>0</v>
      </c>
      <c r="PC16" s="8">
        <f t="shared" si="223"/>
        <v>0</v>
      </c>
      <c r="PD16" s="8">
        <f t="shared" si="223"/>
        <v>0</v>
      </c>
      <c r="PE16" s="8">
        <f t="shared" si="223"/>
        <v>0</v>
      </c>
      <c r="PF16" s="8">
        <f t="shared" si="223"/>
        <v>0</v>
      </c>
      <c r="PG16" s="8">
        <f t="shared" si="223"/>
        <v>0</v>
      </c>
      <c r="PH16" s="8">
        <f t="shared" si="223"/>
        <v>0</v>
      </c>
      <c r="PI16" s="8">
        <f t="shared" si="223"/>
        <v>0</v>
      </c>
      <c r="PJ16" s="8">
        <f t="shared" si="223"/>
        <v>0</v>
      </c>
      <c r="PK16" s="8">
        <f t="shared" si="223"/>
        <v>0</v>
      </c>
      <c r="PL16" s="8">
        <f t="shared" si="223"/>
        <v>0</v>
      </c>
      <c r="PM16" s="8">
        <f t="shared" si="223"/>
        <v>0</v>
      </c>
      <c r="PN16" s="8">
        <f t="shared" si="223"/>
        <v>0</v>
      </c>
      <c r="PO16" s="8">
        <f t="shared" si="223"/>
        <v>0</v>
      </c>
      <c r="PP16" s="8">
        <f t="shared" si="223"/>
        <v>0</v>
      </c>
      <c r="PQ16" s="8">
        <f t="shared" si="223"/>
        <v>0</v>
      </c>
      <c r="PR16" s="8">
        <f t="shared" si="223"/>
        <v>0</v>
      </c>
      <c r="PS16" s="8">
        <f t="shared" si="223"/>
        <v>0</v>
      </c>
      <c r="PT16" s="8">
        <f t="shared" si="223"/>
        <v>0</v>
      </c>
      <c r="PU16" s="8">
        <f t="shared" si="223"/>
        <v>0</v>
      </c>
      <c r="PV16" s="8">
        <f t="shared" si="223"/>
        <v>0</v>
      </c>
      <c r="PW16" s="8">
        <f t="shared" si="223"/>
        <v>0</v>
      </c>
      <c r="PX16" s="8">
        <f t="shared" si="223"/>
        <v>0</v>
      </c>
      <c r="PY16" s="8">
        <f t="shared" si="223"/>
        <v>0</v>
      </c>
      <c r="PZ16" s="8">
        <f t="shared" si="223"/>
        <v>0</v>
      </c>
      <c r="QA16" s="8">
        <f t="shared" si="223"/>
        <v>0</v>
      </c>
      <c r="QB16" s="8">
        <f t="shared" si="223"/>
        <v>0</v>
      </c>
      <c r="QC16" s="8">
        <f t="shared" si="223"/>
        <v>0</v>
      </c>
      <c r="QD16" s="8">
        <f t="shared" si="223"/>
        <v>0</v>
      </c>
      <c r="QE16" s="8">
        <f t="shared" si="223"/>
        <v>0</v>
      </c>
      <c r="QF16" s="8">
        <f t="shared" si="223"/>
        <v>0</v>
      </c>
      <c r="QG16" s="8">
        <f t="shared" si="223"/>
        <v>0</v>
      </c>
      <c r="QH16" s="8">
        <f t="shared" si="223"/>
        <v>0</v>
      </c>
      <c r="QI16" s="8">
        <f t="shared" si="223"/>
        <v>0</v>
      </c>
      <c r="QJ16" s="8">
        <f t="shared" si="223"/>
        <v>0</v>
      </c>
      <c r="QK16" s="8">
        <f t="shared" si="223"/>
        <v>0</v>
      </c>
      <c r="QL16" s="8">
        <f t="shared" si="223"/>
        <v>0</v>
      </c>
      <c r="QM16" s="8">
        <f t="shared" si="223"/>
        <v>0</v>
      </c>
      <c r="QN16" s="8">
        <f t="shared" si="223"/>
        <v>0</v>
      </c>
      <c r="QO16" s="8">
        <f t="shared" si="223"/>
        <v>0</v>
      </c>
      <c r="QP16" s="8">
        <f t="shared" si="223"/>
        <v>0</v>
      </c>
      <c r="QQ16" s="8">
        <f t="shared" si="223"/>
        <v>0</v>
      </c>
      <c r="QR16" s="8">
        <f t="shared" ref="QR16:TC16" si="224">SUM(QR14:QR15)</f>
        <v>0</v>
      </c>
      <c r="QS16" s="8">
        <f t="shared" si="224"/>
        <v>0</v>
      </c>
      <c r="QT16" s="8">
        <f t="shared" si="224"/>
        <v>0</v>
      </c>
      <c r="QU16" s="8">
        <f t="shared" si="224"/>
        <v>0</v>
      </c>
      <c r="QV16" s="8">
        <f t="shared" si="224"/>
        <v>0</v>
      </c>
      <c r="QW16" s="8">
        <f t="shared" si="224"/>
        <v>0</v>
      </c>
      <c r="QX16" s="8">
        <f t="shared" si="224"/>
        <v>0</v>
      </c>
      <c r="QY16" s="8">
        <f t="shared" si="224"/>
        <v>0</v>
      </c>
      <c r="QZ16" s="8">
        <f t="shared" si="224"/>
        <v>0</v>
      </c>
      <c r="RA16" s="8">
        <f t="shared" si="224"/>
        <v>0</v>
      </c>
      <c r="RB16" s="8">
        <f t="shared" si="224"/>
        <v>0</v>
      </c>
      <c r="RC16" s="8">
        <f t="shared" si="224"/>
        <v>0</v>
      </c>
      <c r="RD16" s="8">
        <f t="shared" si="224"/>
        <v>0</v>
      </c>
      <c r="RE16" s="8">
        <f t="shared" si="224"/>
        <v>0</v>
      </c>
      <c r="RF16" s="8">
        <f t="shared" si="224"/>
        <v>0</v>
      </c>
      <c r="RG16" s="8">
        <f t="shared" si="224"/>
        <v>0</v>
      </c>
      <c r="RH16" s="8">
        <f t="shared" si="224"/>
        <v>0</v>
      </c>
      <c r="RI16" s="8">
        <f t="shared" si="224"/>
        <v>0</v>
      </c>
      <c r="RJ16" s="8">
        <f t="shared" si="224"/>
        <v>0</v>
      </c>
      <c r="RK16" s="8">
        <f t="shared" si="224"/>
        <v>0</v>
      </c>
      <c r="RL16" s="8">
        <f t="shared" si="224"/>
        <v>0</v>
      </c>
      <c r="RM16" s="8">
        <f t="shared" si="224"/>
        <v>0</v>
      </c>
      <c r="RN16" s="8">
        <f t="shared" si="224"/>
        <v>0</v>
      </c>
      <c r="RO16" s="8">
        <f t="shared" si="224"/>
        <v>0</v>
      </c>
      <c r="RP16" s="8">
        <f t="shared" si="224"/>
        <v>0</v>
      </c>
      <c r="RQ16" s="8">
        <f t="shared" si="224"/>
        <v>0</v>
      </c>
      <c r="RR16" s="8">
        <f t="shared" si="224"/>
        <v>0</v>
      </c>
      <c r="RS16" s="8">
        <f t="shared" si="224"/>
        <v>0</v>
      </c>
      <c r="RT16" s="8">
        <f t="shared" si="224"/>
        <v>0</v>
      </c>
      <c r="RU16" s="8">
        <f t="shared" si="224"/>
        <v>0</v>
      </c>
      <c r="RV16" s="8">
        <f t="shared" si="224"/>
        <v>0</v>
      </c>
      <c r="RW16" s="8">
        <f t="shared" si="224"/>
        <v>0</v>
      </c>
      <c r="RX16" s="8">
        <f t="shared" si="224"/>
        <v>0</v>
      </c>
      <c r="RY16" s="8">
        <f t="shared" si="224"/>
        <v>0</v>
      </c>
      <c r="RZ16" s="8">
        <f t="shared" si="224"/>
        <v>0</v>
      </c>
      <c r="SA16" s="8">
        <f t="shared" si="224"/>
        <v>0</v>
      </c>
      <c r="SB16" s="8">
        <f t="shared" si="224"/>
        <v>0</v>
      </c>
      <c r="SC16" s="8">
        <f t="shared" si="224"/>
        <v>0</v>
      </c>
      <c r="SD16" s="8">
        <f t="shared" si="224"/>
        <v>0</v>
      </c>
      <c r="SE16" s="8">
        <f t="shared" si="224"/>
        <v>0</v>
      </c>
      <c r="SF16" s="8">
        <f t="shared" si="224"/>
        <v>0</v>
      </c>
      <c r="SG16" s="8">
        <f t="shared" si="224"/>
        <v>0</v>
      </c>
      <c r="SH16" s="8">
        <f t="shared" si="224"/>
        <v>0</v>
      </c>
      <c r="SI16" s="8">
        <f t="shared" si="224"/>
        <v>0</v>
      </c>
      <c r="SJ16" s="8">
        <f t="shared" si="224"/>
        <v>0</v>
      </c>
      <c r="SK16" s="8">
        <f t="shared" si="224"/>
        <v>0</v>
      </c>
      <c r="SL16" s="8">
        <f t="shared" si="224"/>
        <v>0</v>
      </c>
      <c r="SM16" s="8">
        <f t="shared" si="224"/>
        <v>0</v>
      </c>
      <c r="SN16" s="8">
        <f t="shared" si="224"/>
        <v>0</v>
      </c>
      <c r="SO16" s="8">
        <f t="shared" si="224"/>
        <v>0</v>
      </c>
      <c r="SP16" s="8">
        <f t="shared" si="224"/>
        <v>0</v>
      </c>
      <c r="SQ16" s="8">
        <f t="shared" si="224"/>
        <v>0</v>
      </c>
      <c r="SR16" s="8">
        <f t="shared" si="224"/>
        <v>0</v>
      </c>
      <c r="SS16" s="8">
        <f t="shared" si="224"/>
        <v>0</v>
      </c>
      <c r="ST16" s="8">
        <f t="shared" si="224"/>
        <v>0</v>
      </c>
      <c r="SU16" s="8">
        <f t="shared" si="224"/>
        <v>0</v>
      </c>
      <c r="SV16" s="8">
        <f t="shared" si="224"/>
        <v>0</v>
      </c>
      <c r="SW16" s="8">
        <f t="shared" si="224"/>
        <v>0</v>
      </c>
      <c r="SX16" s="8">
        <f t="shared" si="224"/>
        <v>0</v>
      </c>
      <c r="SY16" s="8">
        <f t="shared" si="224"/>
        <v>0</v>
      </c>
      <c r="SZ16" s="8">
        <f t="shared" si="224"/>
        <v>0</v>
      </c>
      <c r="TA16" s="8">
        <f t="shared" si="224"/>
        <v>0</v>
      </c>
      <c r="TB16" s="8">
        <f t="shared" si="224"/>
        <v>0</v>
      </c>
      <c r="TC16" s="8">
        <f t="shared" si="224"/>
        <v>0</v>
      </c>
      <c r="TD16" s="8">
        <f t="shared" ref="TD16:VO16" si="225">SUM(TD14:TD15)</f>
        <v>0</v>
      </c>
      <c r="TE16" s="8">
        <f t="shared" si="225"/>
        <v>0</v>
      </c>
      <c r="TF16" s="8">
        <f t="shared" si="225"/>
        <v>0</v>
      </c>
      <c r="TG16" s="8">
        <f t="shared" si="225"/>
        <v>0</v>
      </c>
      <c r="TH16" s="8">
        <f t="shared" si="225"/>
        <v>0</v>
      </c>
      <c r="TI16" s="8">
        <f t="shared" si="225"/>
        <v>0</v>
      </c>
      <c r="TJ16" s="8">
        <f t="shared" si="225"/>
        <v>0</v>
      </c>
      <c r="TK16" s="8">
        <f t="shared" si="225"/>
        <v>0</v>
      </c>
      <c r="TL16" s="8">
        <f t="shared" si="225"/>
        <v>0</v>
      </c>
      <c r="TM16" s="8">
        <f t="shared" si="225"/>
        <v>0</v>
      </c>
      <c r="TN16" s="8">
        <f t="shared" si="225"/>
        <v>0</v>
      </c>
      <c r="TO16" s="8">
        <f t="shared" si="225"/>
        <v>0</v>
      </c>
      <c r="TP16" s="8">
        <f t="shared" si="225"/>
        <v>0</v>
      </c>
      <c r="TQ16" s="8">
        <f t="shared" si="225"/>
        <v>0</v>
      </c>
      <c r="TR16" s="8">
        <f t="shared" si="225"/>
        <v>0</v>
      </c>
      <c r="TS16" s="8">
        <f t="shared" si="225"/>
        <v>0</v>
      </c>
      <c r="TT16" s="8">
        <f t="shared" si="225"/>
        <v>0</v>
      </c>
      <c r="TU16" s="8">
        <f t="shared" si="225"/>
        <v>0</v>
      </c>
      <c r="TV16" s="8">
        <f t="shared" si="225"/>
        <v>0</v>
      </c>
      <c r="TW16" s="8">
        <f t="shared" si="225"/>
        <v>0</v>
      </c>
      <c r="TX16" s="8">
        <f t="shared" si="225"/>
        <v>0</v>
      </c>
      <c r="TY16" s="8">
        <f t="shared" si="225"/>
        <v>0</v>
      </c>
      <c r="TZ16" s="8">
        <f t="shared" si="225"/>
        <v>0</v>
      </c>
      <c r="UA16" s="8">
        <f t="shared" si="225"/>
        <v>0</v>
      </c>
      <c r="UB16" s="8">
        <f t="shared" si="225"/>
        <v>0</v>
      </c>
      <c r="UC16" s="8">
        <f t="shared" si="225"/>
        <v>0</v>
      </c>
      <c r="UD16" s="8">
        <f t="shared" si="225"/>
        <v>0</v>
      </c>
      <c r="UE16" s="8">
        <f t="shared" si="225"/>
        <v>0</v>
      </c>
      <c r="UF16" s="8">
        <f t="shared" si="225"/>
        <v>0</v>
      </c>
      <c r="UG16" s="8">
        <f t="shared" si="225"/>
        <v>0</v>
      </c>
      <c r="UH16" s="8">
        <f t="shared" si="225"/>
        <v>0</v>
      </c>
      <c r="UI16" s="8">
        <f t="shared" si="225"/>
        <v>0</v>
      </c>
      <c r="UJ16" s="8">
        <f t="shared" si="225"/>
        <v>0</v>
      </c>
      <c r="UK16" s="8">
        <f t="shared" si="225"/>
        <v>0</v>
      </c>
      <c r="UL16" s="8">
        <f t="shared" si="225"/>
        <v>0</v>
      </c>
      <c r="UM16" s="8">
        <f t="shared" si="225"/>
        <v>0</v>
      </c>
      <c r="UN16" s="8">
        <f t="shared" si="225"/>
        <v>0</v>
      </c>
      <c r="UO16" s="8">
        <f t="shared" si="225"/>
        <v>0</v>
      </c>
      <c r="UP16" s="8">
        <f t="shared" si="225"/>
        <v>0</v>
      </c>
      <c r="UQ16" s="8">
        <f t="shared" si="225"/>
        <v>0</v>
      </c>
      <c r="UR16" s="8">
        <f t="shared" si="225"/>
        <v>0</v>
      </c>
      <c r="US16" s="8">
        <f t="shared" si="225"/>
        <v>0</v>
      </c>
      <c r="UT16" s="8">
        <f t="shared" si="225"/>
        <v>0</v>
      </c>
      <c r="UU16" s="8">
        <f t="shared" si="225"/>
        <v>0</v>
      </c>
      <c r="UV16" s="8">
        <f t="shared" si="225"/>
        <v>0</v>
      </c>
      <c r="UW16" s="8">
        <f t="shared" si="225"/>
        <v>0</v>
      </c>
      <c r="UX16" s="8">
        <f t="shared" si="225"/>
        <v>0</v>
      </c>
      <c r="UY16" s="8">
        <f t="shared" si="225"/>
        <v>0</v>
      </c>
      <c r="UZ16" s="8">
        <f t="shared" si="225"/>
        <v>0</v>
      </c>
      <c r="VA16" s="8">
        <f t="shared" si="225"/>
        <v>0</v>
      </c>
      <c r="VB16" s="8">
        <f t="shared" si="225"/>
        <v>0</v>
      </c>
      <c r="VC16" s="8">
        <f t="shared" si="225"/>
        <v>0</v>
      </c>
      <c r="VD16" s="8">
        <f t="shared" si="225"/>
        <v>0</v>
      </c>
      <c r="VE16" s="8">
        <f t="shared" si="225"/>
        <v>0</v>
      </c>
      <c r="VF16" s="8">
        <f t="shared" si="225"/>
        <v>0</v>
      </c>
      <c r="VG16" s="8">
        <f t="shared" si="225"/>
        <v>0</v>
      </c>
      <c r="VH16" s="8">
        <f t="shared" si="225"/>
        <v>0</v>
      </c>
      <c r="VI16" s="8">
        <f t="shared" si="225"/>
        <v>0</v>
      </c>
      <c r="VJ16" s="8">
        <f t="shared" si="225"/>
        <v>0</v>
      </c>
      <c r="VK16" s="8">
        <f t="shared" si="225"/>
        <v>0</v>
      </c>
      <c r="VL16" s="8">
        <f t="shared" si="225"/>
        <v>0</v>
      </c>
      <c r="VM16" s="8">
        <f t="shared" si="225"/>
        <v>0</v>
      </c>
      <c r="VN16" s="8">
        <f t="shared" si="225"/>
        <v>0</v>
      </c>
      <c r="VO16" s="8">
        <f t="shared" si="225"/>
        <v>0</v>
      </c>
      <c r="VP16" s="8">
        <f t="shared" ref="VP16:YA16" si="226">SUM(VP14:VP15)</f>
        <v>0</v>
      </c>
      <c r="VQ16" s="8">
        <f t="shared" si="226"/>
        <v>0</v>
      </c>
      <c r="VR16" s="8">
        <f t="shared" si="226"/>
        <v>0</v>
      </c>
      <c r="VS16" s="8">
        <f t="shared" si="226"/>
        <v>0</v>
      </c>
      <c r="VT16" s="8">
        <f t="shared" si="226"/>
        <v>0</v>
      </c>
      <c r="VU16" s="8">
        <f t="shared" si="226"/>
        <v>0</v>
      </c>
      <c r="VV16" s="8">
        <f t="shared" si="226"/>
        <v>0</v>
      </c>
      <c r="VW16" s="8">
        <f t="shared" si="226"/>
        <v>0</v>
      </c>
      <c r="VX16" s="8">
        <f t="shared" si="226"/>
        <v>0</v>
      </c>
      <c r="VY16" s="8">
        <f t="shared" si="226"/>
        <v>0</v>
      </c>
      <c r="VZ16" s="8">
        <f t="shared" si="226"/>
        <v>0</v>
      </c>
      <c r="WA16" s="8">
        <f t="shared" si="226"/>
        <v>0</v>
      </c>
      <c r="WB16" s="8">
        <f t="shared" si="226"/>
        <v>0</v>
      </c>
      <c r="WC16" s="8">
        <f t="shared" si="226"/>
        <v>0</v>
      </c>
      <c r="WD16" s="8">
        <f t="shared" si="226"/>
        <v>0</v>
      </c>
      <c r="WE16" s="8">
        <f t="shared" si="226"/>
        <v>0</v>
      </c>
      <c r="WF16" s="8">
        <f t="shared" si="226"/>
        <v>0</v>
      </c>
      <c r="WG16" s="8">
        <f t="shared" si="226"/>
        <v>0</v>
      </c>
      <c r="WH16" s="8">
        <f t="shared" si="226"/>
        <v>0</v>
      </c>
      <c r="WI16" s="8">
        <f t="shared" si="226"/>
        <v>0</v>
      </c>
      <c r="WJ16" s="8">
        <f t="shared" si="226"/>
        <v>0</v>
      </c>
      <c r="WK16" s="8">
        <f t="shared" si="226"/>
        <v>0</v>
      </c>
      <c r="WL16" s="8">
        <f t="shared" si="226"/>
        <v>0</v>
      </c>
      <c r="WM16" s="8">
        <f t="shared" si="226"/>
        <v>0</v>
      </c>
      <c r="WN16" s="8">
        <f t="shared" si="226"/>
        <v>0</v>
      </c>
      <c r="WO16" s="8">
        <f t="shared" si="226"/>
        <v>0</v>
      </c>
      <c r="WP16" s="8">
        <f t="shared" si="226"/>
        <v>0</v>
      </c>
      <c r="WQ16" s="8">
        <f t="shared" si="226"/>
        <v>0</v>
      </c>
      <c r="WR16" s="8">
        <f t="shared" si="226"/>
        <v>0</v>
      </c>
      <c r="WS16" s="8">
        <f t="shared" si="226"/>
        <v>0</v>
      </c>
      <c r="WT16" s="8">
        <f t="shared" si="226"/>
        <v>0</v>
      </c>
      <c r="WU16" s="8">
        <f t="shared" si="226"/>
        <v>0</v>
      </c>
      <c r="WV16" s="8">
        <f t="shared" si="226"/>
        <v>0</v>
      </c>
      <c r="WW16" s="8">
        <f t="shared" si="226"/>
        <v>0</v>
      </c>
      <c r="WX16" s="8">
        <f t="shared" si="226"/>
        <v>0</v>
      </c>
      <c r="WY16" s="8">
        <f t="shared" si="226"/>
        <v>0</v>
      </c>
      <c r="WZ16" s="8">
        <f t="shared" si="226"/>
        <v>0</v>
      </c>
      <c r="XA16" s="8">
        <f t="shared" si="226"/>
        <v>0</v>
      </c>
      <c r="XB16" s="8">
        <f t="shared" si="226"/>
        <v>0</v>
      </c>
      <c r="XC16" s="8">
        <f t="shared" si="226"/>
        <v>0</v>
      </c>
      <c r="XD16" s="8">
        <f t="shared" si="226"/>
        <v>0</v>
      </c>
      <c r="XE16" s="8">
        <f t="shared" si="226"/>
        <v>0</v>
      </c>
      <c r="XF16" s="8">
        <f t="shared" si="226"/>
        <v>0</v>
      </c>
      <c r="XG16" s="8">
        <f t="shared" si="226"/>
        <v>0</v>
      </c>
      <c r="XH16" s="8">
        <f t="shared" si="226"/>
        <v>0</v>
      </c>
      <c r="XI16" s="8">
        <f t="shared" si="226"/>
        <v>0</v>
      </c>
      <c r="XJ16" s="8">
        <f t="shared" si="226"/>
        <v>0</v>
      </c>
      <c r="XK16" s="8">
        <f t="shared" si="226"/>
        <v>0</v>
      </c>
      <c r="XL16" s="8">
        <f t="shared" si="226"/>
        <v>0</v>
      </c>
      <c r="XM16" s="8">
        <f t="shared" si="226"/>
        <v>0</v>
      </c>
      <c r="XN16" s="8">
        <f t="shared" si="226"/>
        <v>0</v>
      </c>
      <c r="XO16" s="8">
        <f t="shared" si="226"/>
        <v>0</v>
      </c>
      <c r="XP16" s="8">
        <f t="shared" si="226"/>
        <v>0</v>
      </c>
      <c r="XQ16" s="8">
        <f t="shared" si="226"/>
        <v>0</v>
      </c>
      <c r="XR16" s="8">
        <f t="shared" si="226"/>
        <v>0</v>
      </c>
      <c r="XS16" s="8">
        <f t="shared" si="226"/>
        <v>0</v>
      </c>
      <c r="XT16" s="8">
        <f t="shared" si="226"/>
        <v>0</v>
      </c>
      <c r="XU16" s="8">
        <f t="shared" si="226"/>
        <v>0</v>
      </c>
      <c r="XV16" s="8">
        <f t="shared" si="226"/>
        <v>0</v>
      </c>
      <c r="XW16" s="8">
        <f t="shared" si="226"/>
        <v>0</v>
      </c>
      <c r="XX16" s="8">
        <f t="shared" si="226"/>
        <v>0</v>
      </c>
      <c r="XY16" s="8">
        <f t="shared" si="226"/>
        <v>0</v>
      </c>
      <c r="XZ16" s="8">
        <f t="shared" si="226"/>
        <v>0</v>
      </c>
      <c r="YA16" s="8">
        <f t="shared" si="226"/>
        <v>0</v>
      </c>
      <c r="YB16" s="8">
        <f t="shared" ref="YB16:AAM16" si="227">SUM(YB14:YB15)</f>
        <v>0</v>
      </c>
      <c r="YC16" s="8">
        <f t="shared" si="227"/>
        <v>0</v>
      </c>
      <c r="YD16" s="8">
        <f t="shared" si="227"/>
        <v>0</v>
      </c>
      <c r="YE16" s="8">
        <f t="shared" si="227"/>
        <v>0</v>
      </c>
      <c r="YF16" s="8">
        <f t="shared" si="227"/>
        <v>0</v>
      </c>
      <c r="YG16" s="8">
        <f t="shared" si="227"/>
        <v>0</v>
      </c>
      <c r="YH16" s="8">
        <f t="shared" si="227"/>
        <v>0</v>
      </c>
      <c r="YI16" s="8">
        <f t="shared" si="227"/>
        <v>0</v>
      </c>
      <c r="YJ16" s="8">
        <f t="shared" si="227"/>
        <v>0</v>
      </c>
      <c r="YK16" s="8">
        <f t="shared" si="227"/>
        <v>0</v>
      </c>
      <c r="YL16" s="8">
        <f t="shared" si="227"/>
        <v>0</v>
      </c>
      <c r="YM16" s="8">
        <f t="shared" si="227"/>
        <v>0</v>
      </c>
      <c r="YN16" s="8">
        <f t="shared" si="227"/>
        <v>0</v>
      </c>
      <c r="YO16" s="8">
        <f t="shared" si="227"/>
        <v>0</v>
      </c>
      <c r="YP16" s="8">
        <f t="shared" si="227"/>
        <v>0</v>
      </c>
      <c r="YQ16" s="8">
        <f t="shared" si="227"/>
        <v>0</v>
      </c>
      <c r="YR16" s="8">
        <f t="shared" si="227"/>
        <v>0</v>
      </c>
      <c r="YS16" s="8">
        <f t="shared" si="227"/>
        <v>0</v>
      </c>
      <c r="YT16" s="8">
        <f t="shared" si="227"/>
        <v>0</v>
      </c>
      <c r="YU16" s="8">
        <f t="shared" si="227"/>
        <v>0</v>
      </c>
      <c r="YV16" s="8">
        <f t="shared" si="227"/>
        <v>0</v>
      </c>
      <c r="YW16" s="8">
        <f t="shared" si="227"/>
        <v>0</v>
      </c>
      <c r="YX16" s="8">
        <f t="shared" si="227"/>
        <v>0</v>
      </c>
      <c r="YY16" s="8">
        <f t="shared" si="227"/>
        <v>0</v>
      </c>
      <c r="YZ16" s="8">
        <f t="shared" si="227"/>
        <v>0</v>
      </c>
      <c r="ZA16" s="8">
        <f t="shared" si="227"/>
        <v>0</v>
      </c>
      <c r="ZB16" s="8">
        <f t="shared" si="227"/>
        <v>0</v>
      </c>
      <c r="ZC16" s="8">
        <f t="shared" si="227"/>
        <v>0</v>
      </c>
      <c r="ZD16" s="8">
        <f t="shared" si="227"/>
        <v>0</v>
      </c>
      <c r="ZE16" s="8">
        <f t="shared" si="227"/>
        <v>0</v>
      </c>
      <c r="ZF16" s="8">
        <f t="shared" si="227"/>
        <v>0</v>
      </c>
      <c r="ZG16" s="8">
        <f t="shared" si="227"/>
        <v>0</v>
      </c>
      <c r="ZH16" s="8">
        <f t="shared" si="227"/>
        <v>0</v>
      </c>
      <c r="ZI16" s="8">
        <f t="shared" si="227"/>
        <v>0</v>
      </c>
      <c r="ZJ16" s="8">
        <f t="shared" si="227"/>
        <v>0</v>
      </c>
      <c r="ZK16" s="8">
        <f t="shared" si="227"/>
        <v>0</v>
      </c>
      <c r="ZL16" s="8">
        <f t="shared" si="227"/>
        <v>0</v>
      </c>
      <c r="ZM16" s="8">
        <f t="shared" si="227"/>
        <v>0</v>
      </c>
      <c r="ZN16" s="8">
        <f t="shared" si="227"/>
        <v>0</v>
      </c>
      <c r="ZO16" s="8">
        <f t="shared" si="227"/>
        <v>0</v>
      </c>
      <c r="ZP16" s="8">
        <f t="shared" si="227"/>
        <v>0</v>
      </c>
      <c r="ZQ16" s="8">
        <f t="shared" si="227"/>
        <v>0</v>
      </c>
      <c r="ZR16" s="8">
        <f t="shared" si="227"/>
        <v>0</v>
      </c>
      <c r="ZS16" s="8">
        <f t="shared" si="227"/>
        <v>0</v>
      </c>
      <c r="ZT16" s="8">
        <f t="shared" si="227"/>
        <v>0</v>
      </c>
      <c r="ZU16" s="8">
        <f t="shared" si="227"/>
        <v>0</v>
      </c>
      <c r="ZV16" s="8">
        <f t="shared" si="227"/>
        <v>0</v>
      </c>
      <c r="ZW16" s="8">
        <f t="shared" si="227"/>
        <v>0</v>
      </c>
      <c r="ZX16" s="8">
        <f t="shared" si="227"/>
        <v>0</v>
      </c>
      <c r="ZY16" s="8">
        <f t="shared" si="227"/>
        <v>0</v>
      </c>
      <c r="ZZ16" s="8">
        <f t="shared" si="227"/>
        <v>0</v>
      </c>
      <c r="AAA16" s="8">
        <f t="shared" si="227"/>
        <v>0</v>
      </c>
      <c r="AAB16" s="8">
        <f t="shared" si="227"/>
        <v>0</v>
      </c>
      <c r="AAC16" s="8">
        <f t="shared" si="227"/>
        <v>0</v>
      </c>
      <c r="AAD16" s="8">
        <f t="shared" si="227"/>
        <v>0</v>
      </c>
      <c r="AAE16" s="8">
        <f t="shared" si="227"/>
        <v>0</v>
      </c>
      <c r="AAF16" s="8">
        <f t="shared" si="227"/>
        <v>0</v>
      </c>
      <c r="AAG16" s="8">
        <f t="shared" si="227"/>
        <v>0</v>
      </c>
      <c r="AAH16" s="8">
        <f t="shared" si="227"/>
        <v>0</v>
      </c>
      <c r="AAI16" s="8">
        <f t="shared" si="227"/>
        <v>0</v>
      </c>
      <c r="AAJ16" s="8">
        <f t="shared" si="227"/>
        <v>0</v>
      </c>
      <c r="AAK16" s="8">
        <f t="shared" si="227"/>
        <v>0</v>
      </c>
      <c r="AAL16" s="8">
        <f t="shared" si="227"/>
        <v>0</v>
      </c>
      <c r="AAM16" s="8">
        <f t="shared" si="227"/>
        <v>0</v>
      </c>
      <c r="AAN16" s="8">
        <f t="shared" ref="AAN16:ACY16" si="228">SUM(AAN14:AAN15)</f>
        <v>0</v>
      </c>
      <c r="AAO16" s="8">
        <f t="shared" si="228"/>
        <v>0</v>
      </c>
      <c r="AAP16" s="8">
        <f t="shared" si="228"/>
        <v>0</v>
      </c>
      <c r="AAQ16" s="8">
        <f t="shared" si="228"/>
        <v>0</v>
      </c>
      <c r="AAR16" s="8">
        <f t="shared" si="228"/>
        <v>0</v>
      </c>
      <c r="AAS16" s="8">
        <f t="shared" si="228"/>
        <v>0</v>
      </c>
      <c r="AAT16" s="8">
        <f t="shared" si="228"/>
        <v>0</v>
      </c>
      <c r="AAU16" s="8">
        <f t="shared" si="228"/>
        <v>0</v>
      </c>
      <c r="AAV16" s="8">
        <f t="shared" si="228"/>
        <v>0</v>
      </c>
      <c r="AAW16" s="8">
        <f t="shared" si="228"/>
        <v>0</v>
      </c>
      <c r="AAX16" s="8">
        <f t="shared" si="228"/>
        <v>0</v>
      </c>
      <c r="AAY16" s="8">
        <f t="shared" si="228"/>
        <v>0</v>
      </c>
      <c r="AAZ16" s="8">
        <f t="shared" si="228"/>
        <v>0</v>
      </c>
      <c r="ABA16" s="8">
        <f t="shared" si="228"/>
        <v>0</v>
      </c>
      <c r="ABB16" s="8">
        <f t="shared" si="228"/>
        <v>0</v>
      </c>
      <c r="ABC16" s="8">
        <f t="shared" si="228"/>
        <v>0</v>
      </c>
      <c r="ABD16" s="8">
        <f t="shared" si="228"/>
        <v>0</v>
      </c>
      <c r="ABE16" s="8">
        <f t="shared" si="228"/>
        <v>0</v>
      </c>
      <c r="ABF16" s="8">
        <f t="shared" si="228"/>
        <v>0</v>
      </c>
      <c r="ABG16" s="8">
        <f t="shared" si="228"/>
        <v>0</v>
      </c>
      <c r="ABH16" s="8">
        <f t="shared" si="228"/>
        <v>0</v>
      </c>
      <c r="ABI16" s="8">
        <f t="shared" si="228"/>
        <v>0</v>
      </c>
      <c r="ABJ16" s="8">
        <f t="shared" si="228"/>
        <v>0</v>
      </c>
      <c r="ABK16" s="8">
        <f t="shared" si="228"/>
        <v>0</v>
      </c>
      <c r="ABL16" s="8">
        <f t="shared" si="228"/>
        <v>0</v>
      </c>
      <c r="ABM16" s="8">
        <f t="shared" si="228"/>
        <v>0</v>
      </c>
      <c r="ABN16" s="8">
        <f t="shared" si="228"/>
        <v>0</v>
      </c>
      <c r="ABO16" s="8">
        <f t="shared" si="228"/>
        <v>0</v>
      </c>
      <c r="ABP16" s="8">
        <f t="shared" si="228"/>
        <v>0</v>
      </c>
      <c r="ABQ16" s="8">
        <f t="shared" si="228"/>
        <v>0</v>
      </c>
      <c r="ABR16" s="8">
        <f t="shared" si="228"/>
        <v>0</v>
      </c>
      <c r="ABS16" s="8">
        <f t="shared" si="228"/>
        <v>0</v>
      </c>
      <c r="ABT16" s="8">
        <f t="shared" si="228"/>
        <v>0</v>
      </c>
      <c r="ABU16" s="8">
        <f t="shared" si="228"/>
        <v>0</v>
      </c>
      <c r="ABV16" s="8">
        <f t="shared" si="228"/>
        <v>0</v>
      </c>
      <c r="ABW16" s="8">
        <f t="shared" si="228"/>
        <v>0</v>
      </c>
      <c r="ABX16" s="8">
        <f t="shared" si="228"/>
        <v>0</v>
      </c>
      <c r="ABY16" s="8">
        <f t="shared" si="228"/>
        <v>0</v>
      </c>
      <c r="ABZ16" s="8">
        <f t="shared" si="228"/>
        <v>0</v>
      </c>
      <c r="ACA16" s="8">
        <f t="shared" si="228"/>
        <v>0</v>
      </c>
      <c r="ACB16" s="8">
        <f t="shared" si="228"/>
        <v>0</v>
      </c>
      <c r="ACC16" s="8">
        <f t="shared" si="228"/>
        <v>0</v>
      </c>
      <c r="ACD16" s="8">
        <f t="shared" si="228"/>
        <v>0</v>
      </c>
      <c r="ACE16" s="8">
        <f t="shared" si="228"/>
        <v>0</v>
      </c>
      <c r="ACF16" s="8">
        <f t="shared" si="228"/>
        <v>0</v>
      </c>
      <c r="ACG16" s="8">
        <f t="shared" si="228"/>
        <v>0</v>
      </c>
      <c r="ACH16" s="8">
        <f t="shared" si="228"/>
        <v>0</v>
      </c>
      <c r="ACI16" s="8">
        <f t="shared" si="228"/>
        <v>0</v>
      </c>
      <c r="ACJ16" s="8">
        <f t="shared" si="228"/>
        <v>0</v>
      </c>
      <c r="ACK16" s="8">
        <f t="shared" si="228"/>
        <v>0</v>
      </c>
      <c r="ACL16" s="8">
        <f t="shared" si="228"/>
        <v>0</v>
      </c>
      <c r="ACM16" s="8">
        <f t="shared" si="228"/>
        <v>0</v>
      </c>
      <c r="ACN16" s="8">
        <f t="shared" si="228"/>
        <v>0</v>
      </c>
      <c r="ACO16" s="8">
        <f t="shared" si="228"/>
        <v>0</v>
      </c>
      <c r="ACP16" s="8">
        <f t="shared" si="228"/>
        <v>0</v>
      </c>
      <c r="ACQ16" s="8">
        <f t="shared" si="228"/>
        <v>0</v>
      </c>
      <c r="ACR16" s="8">
        <f t="shared" si="228"/>
        <v>0</v>
      </c>
      <c r="ACS16" s="8">
        <f t="shared" si="228"/>
        <v>0</v>
      </c>
      <c r="ACT16" s="8">
        <f t="shared" si="228"/>
        <v>0</v>
      </c>
      <c r="ACU16" s="8">
        <f t="shared" si="228"/>
        <v>0</v>
      </c>
      <c r="ACV16" s="8">
        <f t="shared" si="228"/>
        <v>0</v>
      </c>
      <c r="ACW16" s="8">
        <f t="shared" si="228"/>
        <v>0</v>
      </c>
      <c r="ACX16" s="8">
        <f t="shared" si="228"/>
        <v>0</v>
      </c>
      <c r="ACY16" s="8">
        <f t="shared" si="228"/>
        <v>0</v>
      </c>
      <c r="ACZ16" s="8">
        <f t="shared" ref="ACZ16:AFK16" si="229">SUM(ACZ14:ACZ15)</f>
        <v>0</v>
      </c>
      <c r="ADA16" s="8">
        <f t="shared" si="229"/>
        <v>0</v>
      </c>
      <c r="ADB16" s="8">
        <f t="shared" si="229"/>
        <v>0</v>
      </c>
      <c r="ADC16" s="8">
        <f t="shared" si="229"/>
        <v>0</v>
      </c>
      <c r="ADD16" s="8">
        <f t="shared" si="229"/>
        <v>0</v>
      </c>
      <c r="ADE16" s="8">
        <f t="shared" si="229"/>
        <v>0</v>
      </c>
      <c r="ADF16" s="8">
        <f t="shared" si="229"/>
        <v>0</v>
      </c>
      <c r="ADG16" s="8">
        <f t="shared" si="229"/>
        <v>0</v>
      </c>
      <c r="ADH16" s="8">
        <f t="shared" si="229"/>
        <v>0</v>
      </c>
      <c r="ADI16" s="8">
        <f t="shared" si="229"/>
        <v>0</v>
      </c>
      <c r="ADJ16" s="8">
        <f t="shared" si="229"/>
        <v>0</v>
      </c>
      <c r="ADK16" s="8">
        <f t="shared" si="229"/>
        <v>0</v>
      </c>
      <c r="ADL16" s="8">
        <f t="shared" si="229"/>
        <v>0</v>
      </c>
      <c r="ADM16" s="8">
        <f t="shared" si="229"/>
        <v>0</v>
      </c>
      <c r="ADN16" s="8">
        <f t="shared" si="229"/>
        <v>0</v>
      </c>
      <c r="ADO16" s="8">
        <f t="shared" si="229"/>
        <v>0</v>
      </c>
      <c r="ADP16" s="8">
        <f t="shared" si="229"/>
        <v>0</v>
      </c>
      <c r="ADQ16" s="8">
        <f t="shared" si="229"/>
        <v>0</v>
      </c>
      <c r="ADR16" s="8">
        <f t="shared" si="229"/>
        <v>0</v>
      </c>
      <c r="ADS16" s="8">
        <f t="shared" si="229"/>
        <v>0</v>
      </c>
      <c r="ADT16" s="8">
        <f t="shared" si="229"/>
        <v>0</v>
      </c>
      <c r="ADU16" s="8">
        <f t="shared" si="229"/>
        <v>0</v>
      </c>
      <c r="ADV16" s="8">
        <f t="shared" si="229"/>
        <v>0</v>
      </c>
      <c r="ADW16" s="8">
        <f t="shared" si="229"/>
        <v>0</v>
      </c>
      <c r="ADX16" s="8">
        <f t="shared" si="229"/>
        <v>0</v>
      </c>
      <c r="ADY16" s="8">
        <f t="shared" si="229"/>
        <v>0</v>
      </c>
      <c r="ADZ16" s="8">
        <f t="shared" si="229"/>
        <v>0</v>
      </c>
      <c r="AEA16" s="8">
        <f t="shared" si="229"/>
        <v>0</v>
      </c>
      <c r="AEB16" s="8">
        <f t="shared" si="229"/>
        <v>0</v>
      </c>
      <c r="AEC16" s="8">
        <f t="shared" si="229"/>
        <v>0</v>
      </c>
      <c r="AED16" s="8">
        <f t="shared" si="229"/>
        <v>0</v>
      </c>
      <c r="AEE16" s="8">
        <f t="shared" si="229"/>
        <v>0</v>
      </c>
      <c r="AEF16" s="8">
        <f t="shared" si="229"/>
        <v>0</v>
      </c>
      <c r="AEG16" s="8">
        <f t="shared" si="229"/>
        <v>0</v>
      </c>
      <c r="AEH16" s="8">
        <f t="shared" si="229"/>
        <v>0</v>
      </c>
      <c r="AEI16" s="8">
        <f t="shared" si="229"/>
        <v>0</v>
      </c>
      <c r="AEJ16" s="8">
        <f t="shared" si="229"/>
        <v>0</v>
      </c>
      <c r="AEK16" s="8">
        <f t="shared" si="229"/>
        <v>0</v>
      </c>
      <c r="AEL16" s="8">
        <f t="shared" si="229"/>
        <v>0</v>
      </c>
      <c r="AEM16" s="8">
        <f t="shared" si="229"/>
        <v>0</v>
      </c>
      <c r="AEN16" s="8">
        <f t="shared" si="229"/>
        <v>0</v>
      </c>
      <c r="AEO16" s="8">
        <f t="shared" si="229"/>
        <v>0</v>
      </c>
      <c r="AEP16" s="8">
        <f t="shared" si="229"/>
        <v>0</v>
      </c>
      <c r="AEQ16" s="8">
        <f t="shared" si="229"/>
        <v>0</v>
      </c>
      <c r="AER16" s="8">
        <f t="shared" si="229"/>
        <v>0</v>
      </c>
      <c r="AES16" s="8">
        <f t="shared" si="229"/>
        <v>0</v>
      </c>
      <c r="AET16" s="8">
        <f t="shared" si="229"/>
        <v>0</v>
      </c>
      <c r="AEU16" s="8">
        <f t="shared" si="229"/>
        <v>0</v>
      </c>
      <c r="AEV16" s="8">
        <f t="shared" si="229"/>
        <v>0</v>
      </c>
      <c r="AEW16" s="8">
        <f t="shared" si="229"/>
        <v>0</v>
      </c>
      <c r="AEX16" s="8">
        <f t="shared" si="229"/>
        <v>0</v>
      </c>
      <c r="AEY16" s="8">
        <f t="shared" si="229"/>
        <v>0</v>
      </c>
      <c r="AEZ16" s="8">
        <f t="shared" si="229"/>
        <v>0</v>
      </c>
      <c r="AFA16" s="8">
        <f t="shared" si="229"/>
        <v>0</v>
      </c>
      <c r="AFB16" s="8">
        <f t="shared" si="229"/>
        <v>0</v>
      </c>
      <c r="AFC16" s="8">
        <f t="shared" si="229"/>
        <v>0</v>
      </c>
      <c r="AFD16" s="8">
        <f t="shared" si="229"/>
        <v>0</v>
      </c>
      <c r="AFE16" s="8">
        <f t="shared" si="229"/>
        <v>0</v>
      </c>
      <c r="AFF16" s="8">
        <f t="shared" si="229"/>
        <v>0</v>
      </c>
      <c r="AFG16" s="8">
        <f t="shared" si="229"/>
        <v>0</v>
      </c>
      <c r="AFH16" s="8">
        <f t="shared" si="229"/>
        <v>0</v>
      </c>
      <c r="AFI16" s="8">
        <f t="shared" si="229"/>
        <v>0</v>
      </c>
      <c r="AFJ16" s="8">
        <f t="shared" si="229"/>
        <v>0</v>
      </c>
      <c r="AFK16" s="8">
        <f t="shared" si="229"/>
        <v>0</v>
      </c>
      <c r="AFL16" s="8">
        <f t="shared" ref="AFL16:AIP16" si="230">SUM(AFL14:AFL15)</f>
        <v>0</v>
      </c>
      <c r="AFM16" s="8">
        <f t="shared" si="230"/>
        <v>0</v>
      </c>
      <c r="AFN16" s="8">
        <f t="shared" si="230"/>
        <v>0</v>
      </c>
      <c r="AFO16" s="8">
        <f t="shared" si="230"/>
        <v>0</v>
      </c>
      <c r="AFP16" s="8">
        <f t="shared" si="230"/>
        <v>0</v>
      </c>
      <c r="AFQ16" s="8">
        <f t="shared" si="230"/>
        <v>0</v>
      </c>
      <c r="AFR16" s="8">
        <f t="shared" si="230"/>
        <v>0</v>
      </c>
      <c r="AFS16" s="8">
        <f t="shared" si="230"/>
        <v>0</v>
      </c>
      <c r="AFT16" s="8">
        <f t="shared" si="230"/>
        <v>0</v>
      </c>
      <c r="AFU16" s="8">
        <f t="shared" si="230"/>
        <v>0</v>
      </c>
      <c r="AFV16" s="8">
        <f t="shared" si="230"/>
        <v>0</v>
      </c>
      <c r="AFW16" s="8">
        <f t="shared" si="230"/>
        <v>0</v>
      </c>
      <c r="AFX16" s="8">
        <f t="shared" si="230"/>
        <v>0</v>
      </c>
      <c r="AFY16" s="8">
        <f t="shared" si="230"/>
        <v>0</v>
      </c>
      <c r="AFZ16" s="8">
        <f t="shared" si="230"/>
        <v>0</v>
      </c>
      <c r="AGA16" s="8">
        <f t="shared" si="230"/>
        <v>0</v>
      </c>
      <c r="AGB16" s="8">
        <f t="shared" si="230"/>
        <v>0</v>
      </c>
      <c r="AGC16" s="8">
        <f t="shared" si="230"/>
        <v>0</v>
      </c>
      <c r="AGD16" s="8">
        <f t="shared" si="230"/>
        <v>0</v>
      </c>
      <c r="AGE16" s="8">
        <f t="shared" si="230"/>
        <v>0</v>
      </c>
      <c r="AGF16" s="8">
        <f t="shared" si="230"/>
        <v>0</v>
      </c>
      <c r="AGG16" s="8">
        <f t="shared" si="230"/>
        <v>0</v>
      </c>
      <c r="AGH16" s="8">
        <f t="shared" si="230"/>
        <v>0</v>
      </c>
      <c r="AGI16" s="8">
        <f t="shared" si="230"/>
        <v>0</v>
      </c>
      <c r="AGJ16" s="8">
        <f t="shared" si="230"/>
        <v>0</v>
      </c>
      <c r="AGK16" s="8">
        <f t="shared" si="230"/>
        <v>0</v>
      </c>
      <c r="AGL16" s="8">
        <f t="shared" si="230"/>
        <v>0</v>
      </c>
      <c r="AGM16" s="8">
        <f t="shared" si="230"/>
        <v>0</v>
      </c>
      <c r="AGN16" s="8">
        <f t="shared" si="230"/>
        <v>0</v>
      </c>
      <c r="AGO16" s="8">
        <f t="shared" si="230"/>
        <v>0</v>
      </c>
      <c r="AGP16" s="8">
        <f t="shared" si="230"/>
        <v>0</v>
      </c>
      <c r="AGQ16" s="8">
        <f t="shared" si="230"/>
        <v>0</v>
      </c>
      <c r="AGR16" s="8">
        <f t="shared" si="230"/>
        <v>0</v>
      </c>
      <c r="AGS16" s="8">
        <f t="shared" si="230"/>
        <v>0</v>
      </c>
      <c r="AGT16" s="8">
        <f t="shared" si="230"/>
        <v>0</v>
      </c>
      <c r="AGU16" s="8">
        <f t="shared" si="230"/>
        <v>0</v>
      </c>
      <c r="AGV16" s="8">
        <f t="shared" si="230"/>
        <v>0</v>
      </c>
      <c r="AGW16" s="8">
        <f t="shared" si="230"/>
        <v>0</v>
      </c>
      <c r="AGX16" s="8">
        <f t="shared" si="230"/>
        <v>0</v>
      </c>
      <c r="AGY16" s="8">
        <f t="shared" si="230"/>
        <v>0</v>
      </c>
      <c r="AGZ16" s="8">
        <f t="shared" si="230"/>
        <v>0</v>
      </c>
      <c r="AHA16" s="8">
        <f t="shared" si="230"/>
        <v>0</v>
      </c>
      <c r="AHB16" s="8">
        <f t="shared" si="230"/>
        <v>0</v>
      </c>
      <c r="AHC16" s="8">
        <f t="shared" si="230"/>
        <v>0</v>
      </c>
      <c r="AHD16" s="8">
        <f t="shared" si="230"/>
        <v>0</v>
      </c>
      <c r="AHE16" s="8">
        <f t="shared" si="230"/>
        <v>0</v>
      </c>
      <c r="AHF16" s="8">
        <f t="shared" si="230"/>
        <v>0</v>
      </c>
      <c r="AHG16" s="8">
        <f t="shared" si="230"/>
        <v>0</v>
      </c>
      <c r="AHH16" s="8">
        <f t="shared" si="230"/>
        <v>0</v>
      </c>
      <c r="AHI16" s="8">
        <f t="shared" si="230"/>
        <v>0</v>
      </c>
      <c r="AHJ16" s="8">
        <f t="shared" si="230"/>
        <v>0</v>
      </c>
      <c r="AHK16" s="8">
        <f t="shared" si="230"/>
        <v>0</v>
      </c>
      <c r="AHL16" s="8">
        <f t="shared" si="230"/>
        <v>0</v>
      </c>
      <c r="AHM16" s="8">
        <f t="shared" si="230"/>
        <v>0</v>
      </c>
      <c r="AHN16" s="8">
        <f t="shared" ref="AHN16:AIL16" si="231">SUM(AHN14:AHN15)</f>
        <v>0</v>
      </c>
      <c r="AHO16" s="8">
        <f t="shared" si="231"/>
        <v>0</v>
      </c>
      <c r="AHP16" s="8">
        <f t="shared" si="231"/>
        <v>0</v>
      </c>
      <c r="AHQ16" s="8">
        <f t="shared" si="231"/>
        <v>0</v>
      </c>
      <c r="AHR16" s="8">
        <f t="shared" si="231"/>
        <v>0</v>
      </c>
      <c r="AHS16" s="8">
        <f t="shared" si="231"/>
        <v>0</v>
      </c>
      <c r="AHT16" s="8">
        <f t="shared" si="231"/>
        <v>0</v>
      </c>
      <c r="AHU16" s="8">
        <f t="shared" si="231"/>
        <v>0</v>
      </c>
      <c r="AHV16" s="8">
        <f t="shared" si="231"/>
        <v>0</v>
      </c>
      <c r="AHW16" s="8">
        <f t="shared" si="231"/>
        <v>0</v>
      </c>
      <c r="AHX16" s="8">
        <f t="shared" si="231"/>
        <v>0</v>
      </c>
      <c r="AHY16" s="8">
        <f t="shared" si="231"/>
        <v>0</v>
      </c>
      <c r="AHZ16" s="8">
        <f t="shared" si="231"/>
        <v>0</v>
      </c>
      <c r="AIA16" s="8">
        <f t="shared" si="231"/>
        <v>0</v>
      </c>
      <c r="AIB16" s="8">
        <f t="shared" si="231"/>
        <v>0</v>
      </c>
      <c r="AIC16" s="8">
        <f t="shared" si="231"/>
        <v>0</v>
      </c>
      <c r="AID16" s="8">
        <f t="shared" si="231"/>
        <v>0</v>
      </c>
      <c r="AIE16" s="8">
        <f t="shared" si="231"/>
        <v>0</v>
      </c>
      <c r="AIF16" s="8">
        <f t="shared" si="231"/>
        <v>0</v>
      </c>
      <c r="AIG16" s="8">
        <f t="shared" si="231"/>
        <v>0</v>
      </c>
      <c r="AIH16" s="8">
        <f t="shared" si="231"/>
        <v>0</v>
      </c>
      <c r="AII16" s="8">
        <f t="shared" si="231"/>
        <v>0</v>
      </c>
      <c r="AIJ16" s="8">
        <f t="shared" si="231"/>
        <v>0</v>
      </c>
      <c r="AIK16" s="8">
        <f t="shared" si="231"/>
        <v>0</v>
      </c>
      <c r="AIL16" s="8">
        <f t="shared" si="231"/>
        <v>0</v>
      </c>
      <c r="AIM16" s="8">
        <f t="shared" si="230"/>
        <v>0</v>
      </c>
      <c r="AIN16" s="8">
        <f t="shared" si="230"/>
        <v>0</v>
      </c>
      <c r="AIO16" s="8">
        <f t="shared" si="230"/>
        <v>0</v>
      </c>
      <c r="AIP16" s="8">
        <f t="shared" si="230"/>
        <v>0</v>
      </c>
      <c r="AIQ16" s="8">
        <f t="shared" ref="AIQ16:AJS16" si="232">SUM(AIQ14:AIQ15)</f>
        <v>0</v>
      </c>
      <c r="AIR16" s="8">
        <f t="shared" si="232"/>
        <v>0</v>
      </c>
      <c r="AIS16" s="8">
        <f t="shared" si="232"/>
        <v>0</v>
      </c>
      <c r="AIT16" s="8">
        <f t="shared" si="232"/>
        <v>0</v>
      </c>
      <c r="AIU16" s="8">
        <f t="shared" si="232"/>
        <v>0</v>
      </c>
      <c r="AIV16" s="8">
        <f t="shared" si="232"/>
        <v>0</v>
      </c>
      <c r="AIW16" s="8">
        <f t="shared" si="232"/>
        <v>0</v>
      </c>
      <c r="AIX16" s="8">
        <f t="shared" si="232"/>
        <v>0</v>
      </c>
      <c r="AIY16" s="8">
        <f t="shared" si="232"/>
        <v>0</v>
      </c>
      <c r="AIZ16" s="8">
        <f t="shared" si="232"/>
        <v>0</v>
      </c>
      <c r="AJA16" s="8">
        <f t="shared" si="232"/>
        <v>0</v>
      </c>
      <c r="AJB16" s="8">
        <f t="shared" si="232"/>
        <v>0</v>
      </c>
      <c r="AJC16" s="8">
        <f t="shared" si="232"/>
        <v>0</v>
      </c>
      <c r="AJD16" s="8">
        <f t="shared" si="232"/>
        <v>0</v>
      </c>
      <c r="AJE16" s="8">
        <f t="shared" si="232"/>
        <v>0</v>
      </c>
      <c r="AJF16" s="8">
        <f t="shared" si="232"/>
        <v>0</v>
      </c>
      <c r="AJG16" s="8">
        <f t="shared" si="232"/>
        <v>0</v>
      </c>
      <c r="AJH16" s="8">
        <f t="shared" si="232"/>
        <v>0</v>
      </c>
      <c r="AJI16" s="8">
        <f t="shared" si="232"/>
        <v>0</v>
      </c>
      <c r="AJJ16" s="8">
        <f t="shared" si="232"/>
        <v>0</v>
      </c>
      <c r="AJK16" s="8">
        <f t="shared" si="232"/>
        <v>0</v>
      </c>
      <c r="AJL16" s="8">
        <f t="shared" si="232"/>
        <v>0</v>
      </c>
      <c r="AJM16" s="8">
        <f t="shared" si="232"/>
        <v>0</v>
      </c>
      <c r="AJN16" s="8">
        <f t="shared" si="232"/>
        <v>0</v>
      </c>
      <c r="AJO16" s="8">
        <f t="shared" si="232"/>
        <v>0</v>
      </c>
      <c r="AJP16" s="8">
        <f t="shared" si="232"/>
        <v>0</v>
      </c>
      <c r="AJQ16" s="8">
        <f t="shared" si="232"/>
        <v>0</v>
      </c>
      <c r="AJR16" s="8">
        <f t="shared" si="232"/>
        <v>0</v>
      </c>
      <c r="AJS16" s="8">
        <f t="shared" si="232"/>
        <v>0</v>
      </c>
      <c r="AJT16" s="8">
        <f t="shared" ref="AJT16:ALD16" si="233">SUM(AJT14:AJT15)</f>
        <v>0</v>
      </c>
      <c r="AJU16" s="8">
        <f t="shared" si="233"/>
        <v>0</v>
      </c>
      <c r="AJV16" s="8">
        <f t="shared" si="233"/>
        <v>0</v>
      </c>
      <c r="AJW16" s="8">
        <f t="shared" si="233"/>
        <v>0</v>
      </c>
      <c r="AJX16" s="8">
        <f t="shared" si="233"/>
        <v>0</v>
      </c>
      <c r="AJY16" s="8">
        <f t="shared" si="233"/>
        <v>0</v>
      </c>
      <c r="AJZ16" s="8">
        <f>SUM(AJZ14:AJZ15)</f>
        <v>0</v>
      </c>
      <c r="AKA16" s="8">
        <f>SUM(AKA14:AKA15)</f>
        <v>0</v>
      </c>
      <c r="AKB16" s="8">
        <f t="shared" si="233"/>
        <v>0</v>
      </c>
      <c r="AKC16" s="8">
        <f t="shared" si="233"/>
        <v>0</v>
      </c>
      <c r="AKD16" s="8">
        <f t="shared" si="233"/>
        <v>0</v>
      </c>
      <c r="AKE16" s="8">
        <f t="shared" si="233"/>
        <v>0</v>
      </c>
      <c r="AKF16" s="8">
        <f t="shared" si="233"/>
        <v>0</v>
      </c>
      <c r="AKG16" s="8">
        <f t="shared" si="233"/>
        <v>0</v>
      </c>
      <c r="AKH16" s="8">
        <f t="shared" si="233"/>
        <v>0</v>
      </c>
      <c r="AKI16" s="8">
        <f t="shared" si="233"/>
        <v>0</v>
      </c>
      <c r="AKJ16" s="8">
        <f t="shared" si="233"/>
        <v>0</v>
      </c>
      <c r="AKK16" s="8">
        <f t="shared" si="233"/>
        <v>0</v>
      </c>
      <c r="AKL16" s="8">
        <f t="shared" si="233"/>
        <v>0</v>
      </c>
      <c r="AKM16" s="8">
        <f t="shared" si="233"/>
        <v>0</v>
      </c>
      <c r="AKN16" s="8">
        <f t="shared" si="233"/>
        <v>0</v>
      </c>
      <c r="AKO16" s="8">
        <f t="shared" si="233"/>
        <v>0</v>
      </c>
      <c r="AKP16" s="8">
        <f t="shared" si="233"/>
        <v>0</v>
      </c>
      <c r="AKQ16" s="8">
        <f t="shared" si="233"/>
        <v>0</v>
      </c>
      <c r="AKR16" s="8">
        <f t="shared" si="233"/>
        <v>0</v>
      </c>
      <c r="AKS16" s="8">
        <f t="shared" si="233"/>
        <v>0</v>
      </c>
      <c r="AKT16" s="8">
        <f t="shared" si="233"/>
        <v>0</v>
      </c>
      <c r="AKU16" s="8">
        <f t="shared" si="233"/>
        <v>0</v>
      </c>
      <c r="AKV16" s="8">
        <f t="shared" si="233"/>
        <v>0</v>
      </c>
      <c r="AKW16" s="8">
        <f t="shared" si="233"/>
        <v>0</v>
      </c>
      <c r="AKX16" s="8">
        <f t="shared" si="233"/>
        <v>0</v>
      </c>
      <c r="AKY16" s="8">
        <f t="shared" si="233"/>
        <v>0</v>
      </c>
      <c r="AKZ16" s="8">
        <f t="shared" si="233"/>
        <v>0</v>
      </c>
      <c r="ALA16" s="8">
        <f t="shared" si="233"/>
        <v>0</v>
      </c>
      <c r="ALB16" s="8">
        <f t="shared" si="233"/>
        <v>0</v>
      </c>
      <c r="ALC16" s="8">
        <f t="shared" si="233"/>
        <v>0</v>
      </c>
      <c r="ALD16" s="8">
        <f t="shared" si="233"/>
        <v>0</v>
      </c>
      <c r="ALE16" s="8">
        <f t="shared" ref="ALE16:ALS16" si="234">SUM(ALE14:ALE15)</f>
        <v>0</v>
      </c>
      <c r="ALF16" s="8">
        <f t="shared" si="234"/>
        <v>0</v>
      </c>
      <c r="ALG16" s="8"/>
      <c r="ALH16" s="8">
        <f t="shared" si="234"/>
        <v>0</v>
      </c>
      <c r="ALI16" s="8">
        <f t="shared" si="234"/>
        <v>0</v>
      </c>
      <c r="ALJ16" s="8">
        <f t="shared" si="234"/>
        <v>0</v>
      </c>
      <c r="ALK16" s="8">
        <f t="shared" si="234"/>
        <v>0</v>
      </c>
      <c r="ALL16" s="8">
        <f t="shared" si="234"/>
        <v>0</v>
      </c>
      <c r="ALM16" s="8">
        <f t="shared" si="234"/>
        <v>0</v>
      </c>
      <c r="ALN16" s="8">
        <f t="shared" si="234"/>
        <v>0</v>
      </c>
      <c r="ALO16" s="8">
        <f t="shared" si="234"/>
        <v>0</v>
      </c>
      <c r="ALP16" s="8">
        <f t="shared" si="234"/>
        <v>0</v>
      </c>
      <c r="ALQ16" s="8">
        <f t="shared" si="234"/>
        <v>0</v>
      </c>
      <c r="ALR16" s="8">
        <f t="shared" si="234"/>
        <v>0</v>
      </c>
      <c r="ALS16" s="8">
        <f t="shared" si="234"/>
        <v>0</v>
      </c>
      <c r="ALT16" s="8">
        <f t="shared" ref="ALT16:ALY16" si="235">SUM(ALT14:ALT15)</f>
        <v>0</v>
      </c>
      <c r="ALU16" s="8">
        <f t="shared" si="235"/>
        <v>0</v>
      </c>
      <c r="ALV16" s="8">
        <f t="shared" si="235"/>
        <v>0</v>
      </c>
      <c r="ALW16" s="8">
        <f t="shared" si="235"/>
        <v>0</v>
      </c>
      <c r="ALX16" s="8">
        <f t="shared" si="235"/>
        <v>0</v>
      </c>
      <c r="ALY16" s="8">
        <f t="shared" si="235"/>
        <v>0</v>
      </c>
      <c r="ALZ16" s="8">
        <f t="shared" ref="ALZ16:AML16" si="236">SUM(ALZ14:ALZ15)</f>
        <v>0</v>
      </c>
      <c r="AMA16" s="8">
        <f t="shared" si="236"/>
        <v>0</v>
      </c>
      <c r="AMB16" s="8">
        <f t="shared" si="236"/>
        <v>0</v>
      </c>
      <c r="AMC16" s="8">
        <f t="shared" si="236"/>
        <v>0</v>
      </c>
      <c r="AMD16" s="8">
        <f t="shared" si="236"/>
        <v>0</v>
      </c>
      <c r="AME16" s="8">
        <f t="shared" si="236"/>
        <v>0</v>
      </c>
      <c r="AMF16" s="8">
        <f t="shared" ref="AMF16:AMK16" si="237">SUM(AMF14:AMF15)</f>
        <v>0</v>
      </c>
      <c r="AMG16" s="8">
        <f t="shared" si="237"/>
        <v>0</v>
      </c>
      <c r="AMH16" s="8">
        <f t="shared" si="237"/>
        <v>0</v>
      </c>
      <c r="AMI16" s="8">
        <f t="shared" si="237"/>
        <v>0</v>
      </c>
      <c r="AMJ16" s="8">
        <f t="shared" si="237"/>
        <v>0</v>
      </c>
      <c r="AMK16" s="8">
        <f t="shared" si="237"/>
        <v>0</v>
      </c>
      <c r="AML16" s="8">
        <f t="shared" si="236"/>
        <v>0</v>
      </c>
      <c r="AMM16" s="8">
        <f t="shared" ref="AMM16:AMZ16" si="238">SUM(AMM14:AMM15)</f>
        <v>0</v>
      </c>
      <c r="AMN16" s="8">
        <f t="shared" si="238"/>
        <v>0</v>
      </c>
      <c r="AMO16" s="8">
        <f t="shared" si="238"/>
        <v>0</v>
      </c>
      <c r="AMP16" s="8">
        <f t="shared" si="238"/>
        <v>0</v>
      </c>
      <c r="AMQ16" s="8">
        <f t="shared" si="238"/>
        <v>0</v>
      </c>
      <c r="AMR16" s="8">
        <f t="shared" si="238"/>
        <v>0</v>
      </c>
      <c r="AMS16" s="8">
        <f t="shared" si="238"/>
        <v>0</v>
      </c>
      <c r="AMT16" s="8">
        <f t="shared" si="238"/>
        <v>0</v>
      </c>
      <c r="AMU16" s="8">
        <f t="shared" si="238"/>
        <v>0</v>
      </c>
      <c r="AMV16" s="8">
        <f t="shared" si="238"/>
        <v>0</v>
      </c>
      <c r="AMW16" s="8">
        <f t="shared" si="238"/>
        <v>0</v>
      </c>
      <c r="AMX16" s="8">
        <f t="shared" si="238"/>
        <v>0</v>
      </c>
      <c r="AMY16" s="8">
        <f t="shared" si="238"/>
        <v>0</v>
      </c>
      <c r="AMZ16" s="8">
        <f t="shared" si="238"/>
        <v>0</v>
      </c>
      <c r="ANA16" s="8">
        <f t="shared" ref="ANA16:ANL16" si="239">SUM(ANA14:ANA15)</f>
        <v>0</v>
      </c>
      <c r="ANB16" s="8">
        <f t="shared" si="239"/>
        <v>0</v>
      </c>
      <c r="ANC16" s="8">
        <f t="shared" si="239"/>
        <v>0</v>
      </c>
      <c r="AND16" s="8">
        <f t="shared" si="239"/>
        <v>0</v>
      </c>
      <c r="ANE16" s="8">
        <f t="shared" si="239"/>
        <v>0</v>
      </c>
      <c r="ANF16" s="8">
        <f t="shared" si="239"/>
        <v>0</v>
      </c>
      <c r="ANG16" s="8">
        <f t="shared" si="239"/>
        <v>0</v>
      </c>
      <c r="ANH16" s="8">
        <f t="shared" si="239"/>
        <v>0</v>
      </c>
      <c r="ANI16" s="8">
        <f t="shared" si="239"/>
        <v>0</v>
      </c>
      <c r="ANJ16" s="8">
        <f t="shared" si="239"/>
        <v>0</v>
      </c>
      <c r="ANK16" s="8">
        <f t="shared" si="239"/>
        <v>0</v>
      </c>
      <c r="ANL16" s="8">
        <f t="shared" si="239"/>
        <v>0</v>
      </c>
      <c r="ANM16" s="8">
        <f>SUM(ANM14:ANM15)</f>
        <v>0</v>
      </c>
      <c r="ANN16" s="8">
        <f>SUM(ANN14:ANN15)</f>
        <v>0</v>
      </c>
      <c r="ANO16" s="8">
        <f>SUM(ANO14:ANO15)</f>
        <v>0</v>
      </c>
      <c r="ANP16" s="8">
        <f>SUM(ANP14:ANP15)</f>
        <v>0</v>
      </c>
      <c r="ANQ16" s="8">
        <f t="shared" ref="ANQ16:APO16" si="240">SUM(ANQ14:ANQ15)</f>
        <v>0</v>
      </c>
      <c r="ANR16" s="8">
        <f t="shared" si="240"/>
        <v>0</v>
      </c>
      <c r="ANS16" s="8">
        <f>SUM(ANS14:ANS15)</f>
        <v>0</v>
      </c>
      <c r="ANT16" s="8">
        <f>SUM(ANT14:ANT15)</f>
        <v>0</v>
      </c>
      <c r="ANU16" s="8">
        <f>SUM(ANU14:ANU15)</f>
        <v>0</v>
      </c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>
        <f t="shared" ref="AOF16:AOM16" si="241">SUM(AOF14:AOF15)</f>
        <v>0</v>
      </c>
      <c r="AOG16" s="8">
        <f t="shared" si="241"/>
        <v>0</v>
      </c>
      <c r="AOH16" s="8">
        <f t="shared" si="241"/>
        <v>0</v>
      </c>
      <c r="AOI16" s="8">
        <f t="shared" si="241"/>
        <v>0</v>
      </c>
      <c r="AOJ16" s="8">
        <f t="shared" si="241"/>
        <v>0</v>
      </c>
      <c r="AOK16" s="8">
        <f t="shared" si="241"/>
        <v>0</v>
      </c>
      <c r="AOL16" s="8">
        <f t="shared" si="241"/>
        <v>0</v>
      </c>
      <c r="AOM16" s="8">
        <f t="shared" si="241"/>
        <v>0</v>
      </c>
      <c r="AON16" s="8">
        <f t="shared" si="240"/>
        <v>0</v>
      </c>
      <c r="AOO16" s="8">
        <f t="shared" si="240"/>
        <v>0</v>
      </c>
      <c r="AOP16" s="8">
        <f t="shared" si="240"/>
        <v>0</v>
      </c>
      <c r="AOQ16" s="8">
        <f t="shared" si="240"/>
        <v>0</v>
      </c>
      <c r="AOR16" s="8">
        <f t="shared" si="240"/>
        <v>0</v>
      </c>
      <c r="AOS16" s="8"/>
      <c r="AOT16" s="8">
        <f t="shared" si="240"/>
        <v>0</v>
      </c>
      <c r="AOU16" s="8">
        <f t="shared" si="240"/>
        <v>0</v>
      </c>
      <c r="AOV16" s="8">
        <f t="shared" si="240"/>
        <v>0</v>
      </c>
      <c r="AOW16" s="8">
        <f t="shared" si="240"/>
        <v>0</v>
      </c>
      <c r="AOX16" s="8">
        <f t="shared" si="240"/>
        <v>0</v>
      </c>
      <c r="AOY16" s="8">
        <f t="shared" si="240"/>
        <v>0</v>
      </c>
      <c r="AOZ16" s="8">
        <f t="shared" si="240"/>
        <v>0</v>
      </c>
      <c r="APA16" s="8">
        <f t="shared" si="240"/>
        <v>0</v>
      </c>
      <c r="APB16" s="8">
        <f t="shared" si="240"/>
        <v>0</v>
      </c>
      <c r="APC16" s="8">
        <f t="shared" si="240"/>
        <v>0</v>
      </c>
      <c r="APD16" s="8">
        <f t="shared" si="240"/>
        <v>0</v>
      </c>
      <c r="APE16" s="8">
        <f t="shared" si="240"/>
        <v>0</v>
      </c>
      <c r="APF16" s="8">
        <f t="shared" si="240"/>
        <v>0</v>
      </c>
      <c r="APG16" s="8">
        <f t="shared" si="240"/>
        <v>0</v>
      </c>
      <c r="APH16" s="8">
        <f t="shared" si="240"/>
        <v>0</v>
      </c>
      <c r="API16" s="8">
        <f t="shared" si="240"/>
        <v>0</v>
      </c>
      <c r="APJ16" s="8">
        <f t="shared" si="240"/>
        <v>0</v>
      </c>
      <c r="APK16" s="8">
        <f t="shared" si="240"/>
        <v>0</v>
      </c>
      <c r="APL16" s="8">
        <f t="shared" si="240"/>
        <v>0</v>
      </c>
      <c r="APM16" s="8">
        <f t="shared" si="240"/>
        <v>0</v>
      </c>
      <c r="APN16" s="8">
        <f t="shared" si="240"/>
        <v>0</v>
      </c>
      <c r="APO16" s="8">
        <f t="shared" si="240"/>
        <v>0</v>
      </c>
      <c r="APP16" s="8"/>
      <c r="APQ16" s="8"/>
    </row>
    <row r="17" spans="1:1109" s="79" customFormat="1" ht="44.25" customHeight="1">
      <c r="A17" s="197" t="s">
        <v>122</v>
      </c>
      <c r="B17" s="198"/>
      <c r="C17" s="198"/>
      <c r="D17" s="198"/>
      <c r="E17" s="199"/>
      <c r="F17" s="78">
        <f>F13+F10</f>
        <v>2</v>
      </c>
      <c r="G17" s="78">
        <f t="shared" ref="G17:BR17" si="242">G13+G10</f>
        <v>2</v>
      </c>
      <c r="H17" s="78">
        <f t="shared" si="242"/>
        <v>0</v>
      </c>
      <c r="I17" s="78">
        <f t="shared" si="242"/>
        <v>4</v>
      </c>
      <c r="J17" s="78">
        <f t="shared" si="242"/>
        <v>0</v>
      </c>
      <c r="K17" s="78">
        <f t="shared" si="242"/>
        <v>2</v>
      </c>
      <c r="L17" s="78">
        <f t="shared" si="242"/>
        <v>0</v>
      </c>
      <c r="M17" s="78">
        <f t="shared" si="242"/>
        <v>0</v>
      </c>
      <c r="N17" s="78">
        <f t="shared" si="242"/>
        <v>2</v>
      </c>
      <c r="O17" s="78">
        <f t="shared" si="242"/>
        <v>3</v>
      </c>
      <c r="P17" s="78">
        <f t="shared" si="242"/>
        <v>1</v>
      </c>
      <c r="Q17" s="78">
        <f t="shared" si="242"/>
        <v>2</v>
      </c>
      <c r="R17" s="78">
        <f t="shared" si="242"/>
        <v>0</v>
      </c>
      <c r="S17" s="78">
        <f t="shared" si="242"/>
        <v>2</v>
      </c>
      <c r="T17" s="78">
        <f t="shared" si="242"/>
        <v>0</v>
      </c>
      <c r="U17" s="78">
        <f t="shared" si="242"/>
        <v>0</v>
      </c>
      <c r="V17" s="78">
        <f t="shared" si="242"/>
        <v>0</v>
      </c>
      <c r="W17" s="78">
        <f t="shared" si="242"/>
        <v>0</v>
      </c>
      <c r="X17" s="78">
        <f t="shared" si="242"/>
        <v>1</v>
      </c>
      <c r="Y17" s="78">
        <f t="shared" si="242"/>
        <v>5</v>
      </c>
      <c r="Z17" s="78">
        <f t="shared" si="242"/>
        <v>47</v>
      </c>
      <c r="AA17" s="78">
        <f t="shared" si="242"/>
        <v>57</v>
      </c>
      <c r="AB17" s="78">
        <f t="shared" si="242"/>
        <v>45</v>
      </c>
      <c r="AC17" s="78">
        <f t="shared" si="242"/>
        <v>47</v>
      </c>
      <c r="AD17" s="78">
        <f t="shared" si="242"/>
        <v>13</v>
      </c>
      <c r="AE17" s="78">
        <f t="shared" si="242"/>
        <v>29</v>
      </c>
      <c r="AF17" s="78">
        <f t="shared" si="242"/>
        <v>5</v>
      </c>
      <c r="AG17" s="78">
        <f t="shared" si="242"/>
        <v>11</v>
      </c>
      <c r="AH17" s="78">
        <f t="shared" si="242"/>
        <v>4</v>
      </c>
      <c r="AI17" s="78">
        <f t="shared" si="242"/>
        <v>14</v>
      </c>
      <c r="AJ17" s="78">
        <f t="shared" si="242"/>
        <v>0</v>
      </c>
      <c r="AK17" s="78">
        <f t="shared" si="242"/>
        <v>4</v>
      </c>
      <c r="AL17" s="78">
        <f t="shared" si="242"/>
        <v>0</v>
      </c>
      <c r="AM17" s="78">
        <f t="shared" si="242"/>
        <v>0</v>
      </c>
      <c r="AN17" s="78">
        <f t="shared" si="242"/>
        <v>153</v>
      </c>
      <c r="AO17" s="78">
        <f t="shared" si="242"/>
        <v>278</v>
      </c>
      <c r="AP17" s="78">
        <f t="shared" si="242"/>
        <v>268</v>
      </c>
      <c r="AQ17" s="78">
        <f t="shared" si="242"/>
        <v>445</v>
      </c>
      <c r="AR17" s="78">
        <f t="shared" si="242"/>
        <v>713</v>
      </c>
      <c r="AS17" s="78">
        <f t="shared" si="242"/>
        <v>1</v>
      </c>
      <c r="AT17" s="78">
        <f t="shared" si="242"/>
        <v>5</v>
      </c>
      <c r="AU17" s="78">
        <f t="shared" si="242"/>
        <v>47</v>
      </c>
      <c r="AV17" s="78">
        <f t="shared" si="242"/>
        <v>57</v>
      </c>
      <c r="AW17" s="78">
        <f t="shared" si="242"/>
        <v>45</v>
      </c>
      <c r="AX17" s="78">
        <f t="shared" si="242"/>
        <v>47</v>
      </c>
      <c r="AY17" s="78">
        <f t="shared" si="242"/>
        <v>13</v>
      </c>
      <c r="AZ17" s="78">
        <f t="shared" si="242"/>
        <v>29</v>
      </c>
      <c r="BA17" s="78">
        <f t="shared" si="242"/>
        <v>5</v>
      </c>
      <c r="BB17" s="78">
        <f t="shared" si="242"/>
        <v>11</v>
      </c>
      <c r="BC17" s="78">
        <f t="shared" si="242"/>
        <v>4</v>
      </c>
      <c r="BD17" s="78">
        <f t="shared" si="242"/>
        <v>14</v>
      </c>
      <c r="BE17" s="78">
        <f t="shared" si="242"/>
        <v>0</v>
      </c>
      <c r="BF17" s="78">
        <f t="shared" si="242"/>
        <v>4</v>
      </c>
      <c r="BG17" s="78">
        <f t="shared" si="242"/>
        <v>0</v>
      </c>
      <c r="BH17" s="78">
        <f t="shared" si="242"/>
        <v>0</v>
      </c>
      <c r="BI17" s="78">
        <f t="shared" si="242"/>
        <v>181</v>
      </c>
      <c r="BJ17" s="78">
        <f t="shared" si="242"/>
        <v>278</v>
      </c>
      <c r="BK17" s="78">
        <f t="shared" si="242"/>
        <v>296</v>
      </c>
      <c r="BL17" s="78">
        <f t="shared" si="242"/>
        <v>445</v>
      </c>
      <c r="BM17" s="78">
        <f t="shared" si="242"/>
        <v>741</v>
      </c>
      <c r="BN17" s="78">
        <f t="shared" si="242"/>
        <v>1</v>
      </c>
      <c r="BO17" s="78">
        <f t="shared" si="242"/>
        <v>32</v>
      </c>
      <c r="BP17" s="78">
        <f t="shared" si="242"/>
        <v>55</v>
      </c>
      <c r="BQ17" s="78">
        <f t="shared" si="242"/>
        <v>40</v>
      </c>
      <c r="BR17" s="78">
        <f t="shared" si="242"/>
        <v>41</v>
      </c>
      <c r="BS17" s="78">
        <f t="shared" ref="BS17:ED17" si="243">BS13+BS10</f>
        <v>20</v>
      </c>
      <c r="BT17" s="78">
        <f t="shared" si="243"/>
        <v>4</v>
      </c>
      <c r="BU17" s="78">
        <f t="shared" si="243"/>
        <v>17</v>
      </c>
      <c r="BV17" s="78">
        <f t="shared" si="243"/>
        <v>0</v>
      </c>
      <c r="BW17" s="78">
        <f t="shared" si="243"/>
        <v>11</v>
      </c>
      <c r="BX17" s="78">
        <f t="shared" si="243"/>
        <v>0</v>
      </c>
      <c r="BY17" s="78">
        <f t="shared" si="243"/>
        <v>5</v>
      </c>
      <c r="BZ17" s="78">
        <f t="shared" si="243"/>
        <v>0</v>
      </c>
      <c r="CA17" s="78">
        <f t="shared" si="243"/>
        <v>1</v>
      </c>
      <c r="CB17" s="78">
        <f t="shared" si="243"/>
        <v>124</v>
      </c>
      <c r="CC17" s="78">
        <f t="shared" si="243"/>
        <v>231</v>
      </c>
      <c r="CD17" s="78">
        <f t="shared" si="243"/>
        <v>225</v>
      </c>
      <c r="CE17" s="78">
        <f t="shared" si="243"/>
        <v>357</v>
      </c>
      <c r="CF17" s="78">
        <f t="shared" si="243"/>
        <v>582</v>
      </c>
      <c r="CG17" s="78">
        <f t="shared" si="243"/>
        <v>4</v>
      </c>
      <c r="CH17" s="78">
        <f t="shared" si="243"/>
        <v>31</v>
      </c>
      <c r="CI17" s="78">
        <f t="shared" si="243"/>
        <v>20</v>
      </c>
      <c r="CJ17" s="78">
        <f t="shared" si="243"/>
        <v>17</v>
      </c>
      <c r="CK17" s="78">
        <f t="shared" si="243"/>
        <v>31</v>
      </c>
      <c r="CL17" s="78">
        <f t="shared" si="243"/>
        <v>21</v>
      </c>
      <c r="CM17" s="78">
        <f t="shared" si="243"/>
        <v>22</v>
      </c>
      <c r="CN17" s="78">
        <f t="shared" si="243"/>
        <v>9</v>
      </c>
      <c r="CO17" s="78">
        <f t="shared" si="243"/>
        <v>6</v>
      </c>
      <c r="CP17" s="78">
        <f t="shared" si="243"/>
        <v>8</v>
      </c>
      <c r="CQ17" s="78">
        <f t="shared" si="243"/>
        <v>5</v>
      </c>
      <c r="CR17" s="78">
        <f t="shared" si="243"/>
        <v>5</v>
      </c>
      <c r="CS17" s="78">
        <f t="shared" si="243"/>
        <v>125</v>
      </c>
      <c r="CT17" s="78">
        <f t="shared" si="243"/>
        <v>197</v>
      </c>
      <c r="CU17" s="78">
        <f t="shared" si="243"/>
        <v>213</v>
      </c>
      <c r="CV17" s="78">
        <f t="shared" si="243"/>
        <v>288</v>
      </c>
      <c r="CW17" s="78">
        <f t="shared" si="243"/>
        <v>501</v>
      </c>
      <c r="CX17" s="78">
        <f t="shared" si="243"/>
        <v>3</v>
      </c>
      <c r="CY17" s="78">
        <f t="shared" si="243"/>
        <v>6</v>
      </c>
      <c r="CZ17" s="78">
        <f t="shared" si="243"/>
        <v>15</v>
      </c>
      <c r="DA17" s="78">
        <f t="shared" si="243"/>
        <v>24</v>
      </c>
      <c r="DB17" s="78">
        <f t="shared" si="243"/>
        <v>23</v>
      </c>
      <c r="DC17" s="78">
        <f t="shared" si="243"/>
        <v>19</v>
      </c>
      <c r="DD17" s="78">
        <f t="shared" si="243"/>
        <v>12</v>
      </c>
      <c r="DE17" s="78">
        <f t="shared" si="243"/>
        <v>8</v>
      </c>
      <c r="DF17" s="78">
        <f t="shared" si="243"/>
        <v>14</v>
      </c>
      <c r="DG17" s="78">
        <f t="shared" si="243"/>
        <v>5</v>
      </c>
      <c r="DH17" s="78">
        <f t="shared" si="243"/>
        <v>8</v>
      </c>
      <c r="DI17" s="78">
        <f t="shared" si="243"/>
        <v>6</v>
      </c>
      <c r="DJ17" s="78">
        <f t="shared" si="243"/>
        <v>75</v>
      </c>
      <c r="DK17" s="78">
        <f t="shared" si="243"/>
        <v>68</v>
      </c>
      <c r="DL17" s="78">
        <f t="shared" si="243"/>
        <v>143</v>
      </c>
      <c r="DM17" s="78">
        <f t="shared" si="243"/>
        <v>2</v>
      </c>
      <c r="DN17" s="78">
        <f t="shared" si="243"/>
        <v>4</v>
      </c>
      <c r="DO17" s="78">
        <f t="shared" si="243"/>
        <v>14</v>
      </c>
      <c r="DP17" s="78">
        <f t="shared" si="243"/>
        <v>30</v>
      </c>
      <c r="DQ17" s="78">
        <f t="shared" si="243"/>
        <v>16</v>
      </c>
      <c r="DR17" s="78">
        <f t="shared" si="243"/>
        <v>8</v>
      </c>
      <c r="DS17" s="78">
        <f t="shared" si="243"/>
        <v>22</v>
      </c>
      <c r="DT17" s="78">
        <f t="shared" si="243"/>
        <v>8</v>
      </c>
      <c r="DU17" s="78">
        <f t="shared" si="243"/>
        <v>15</v>
      </c>
      <c r="DV17" s="78">
        <f t="shared" si="243"/>
        <v>28</v>
      </c>
      <c r="DW17" s="78">
        <f t="shared" si="243"/>
        <v>69</v>
      </c>
      <c r="DX17" s="78">
        <f t="shared" si="243"/>
        <v>78</v>
      </c>
      <c r="DY17" s="78">
        <f t="shared" si="243"/>
        <v>147</v>
      </c>
      <c r="DZ17" s="78">
        <f t="shared" si="243"/>
        <v>1</v>
      </c>
      <c r="EA17" s="78">
        <f t="shared" si="243"/>
        <v>5</v>
      </c>
      <c r="EB17" s="78">
        <f t="shared" si="243"/>
        <v>48</v>
      </c>
      <c r="EC17" s="78">
        <f t="shared" si="243"/>
        <v>89</v>
      </c>
      <c r="ED17" s="78">
        <f t="shared" si="243"/>
        <v>104</v>
      </c>
      <c r="EE17" s="78">
        <f t="shared" ref="EE17:GR17" si="244">EE13+EE10</f>
        <v>118</v>
      </c>
      <c r="EF17" s="78">
        <f t="shared" si="244"/>
        <v>77</v>
      </c>
      <c r="EG17" s="78">
        <f t="shared" si="244"/>
        <v>72</v>
      </c>
      <c r="EH17" s="78">
        <f t="shared" si="244"/>
        <v>57</v>
      </c>
      <c r="EI17" s="78">
        <f t="shared" si="244"/>
        <v>77</v>
      </c>
      <c r="EJ17" s="78">
        <f t="shared" si="244"/>
        <v>63</v>
      </c>
      <c r="EK17" s="78">
        <f t="shared" si="244"/>
        <v>83</v>
      </c>
      <c r="EL17" s="78">
        <f t="shared" si="244"/>
        <v>34</v>
      </c>
      <c r="EM17" s="78">
        <f t="shared" si="244"/>
        <v>33</v>
      </c>
      <c r="EN17" s="78">
        <f t="shared" si="244"/>
        <v>41</v>
      </c>
      <c r="EO17" s="78">
        <f t="shared" si="244"/>
        <v>19</v>
      </c>
      <c r="EP17" s="78">
        <f t="shared" si="244"/>
        <v>453</v>
      </c>
      <c r="EQ17" s="78">
        <f t="shared" si="244"/>
        <v>740</v>
      </c>
      <c r="ER17" s="78">
        <f t="shared" si="244"/>
        <v>878</v>
      </c>
      <c r="ES17" s="78">
        <f t="shared" si="244"/>
        <v>1236</v>
      </c>
      <c r="ET17" s="78">
        <f t="shared" si="244"/>
        <v>2114</v>
      </c>
      <c r="EU17" s="78">
        <f t="shared" si="244"/>
        <v>0</v>
      </c>
      <c r="EV17" s="78">
        <f t="shared" si="244"/>
        <v>0</v>
      </c>
      <c r="EW17" s="78">
        <f t="shared" si="244"/>
        <v>183</v>
      </c>
      <c r="EX17" s="78">
        <f t="shared" si="244"/>
        <v>396</v>
      </c>
      <c r="EY17" s="78">
        <f t="shared" si="244"/>
        <v>212</v>
      </c>
      <c r="EZ17" s="78">
        <f t="shared" si="244"/>
        <v>408</v>
      </c>
      <c r="FA17" s="78">
        <f t="shared" si="244"/>
        <v>276</v>
      </c>
      <c r="FB17" s="78">
        <f t="shared" si="244"/>
        <v>0</v>
      </c>
      <c r="FC17" s="78">
        <f t="shared" si="244"/>
        <v>207</v>
      </c>
      <c r="FD17" s="78">
        <f t="shared" si="244"/>
        <v>0</v>
      </c>
      <c r="FE17" s="78">
        <f t="shared" si="244"/>
        <v>0</v>
      </c>
      <c r="FF17" s="78">
        <f t="shared" si="244"/>
        <v>432</v>
      </c>
      <c r="FG17" s="78">
        <f t="shared" si="244"/>
        <v>878</v>
      </c>
      <c r="FH17" s="78">
        <f t="shared" si="244"/>
        <v>1236</v>
      </c>
      <c r="FI17" s="78">
        <f t="shared" si="244"/>
        <v>2114</v>
      </c>
      <c r="FJ17" s="78">
        <f t="shared" si="244"/>
        <v>12</v>
      </c>
      <c r="FK17" s="78">
        <f t="shared" si="244"/>
        <v>12</v>
      </c>
      <c r="FL17" s="78">
        <f t="shared" si="244"/>
        <v>0</v>
      </c>
      <c r="FM17" s="78">
        <f t="shared" si="244"/>
        <v>12</v>
      </c>
      <c r="FN17" s="78">
        <f t="shared" si="244"/>
        <v>10</v>
      </c>
      <c r="FO17" s="78">
        <f t="shared" si="244"/>
        <v>0</v>
      </c>
      <c r="FP17" s="78">
        <f t="shared" si="244"/>
        <v>13</v>
      </c>
      <c r="FQ17" s="78">
        <f t="shared" si="244"/>
        <v>10</v>
      </c>
      <c r="FR17" s="78">
        <f t="shared" si="244"/>
        <v>0</v>
      </c>
      <c r="FS17" s="78">
        <f t="shared" si="244"/>
        <v>5</v>
      </c>
      <c r="FT17" s="78">
        <f t="shared" si="244"/>
        <v>4</v>
      </c>
      <c r="FU17" s="78">
        <f t="shared" si="244"/>
        <v>0</v>
      </c>
      <c r="FV17" s="78">
        <f t="shared" si="244"/>
        <v>5</v>
      </c>
      <c r="FW17" s="78">
        <f t="shared" si="244"/>
        <v>4</v>
      </c>
      <c r="FX17" s="78">
        <f t="shared" si="244"/>
        <v>0</v>
      </c>
      <c r="FY17" s="78">
        <f t="shared" si="244"/>
        <v>47</v>
      </c>
      <c r="FZ17" s="78">
        <f t="shared" si="244"/>
        <v>40</v>
      </c>
      <c r="GA17" s="78">
        <f t="shared" si="244"/>
        <v>0</v>
      </c>
      <c r="GB17" s="78">
        <f t="shared" si="244"/>
        <v>87</v>
      </c>
      <c r="GC17" s="78">
        <f t="shared" si="244"/>
        <v>28</v>
      </c>
      <c r="GD17" s="78">
        <f t="shared" si="244"/>
        <v>6</v>
      </c>
      <c r="GE17" s="78">
        <f t="shared" si="244"/>
        <v>4</v>
      </c>
      <c r="GF17" s="78">
        <f t="shared" si="244"/>
        <v>12</v>
      </c>
      <c r="GG17" s="78">
        <f t="shared" si="244"/>
        <v>1</v>
      </c>
      <c r="GH17" s="78">
        <f t="shared" si="244"/>
        <v>2</v>
      </c>
      <c r="GI17" s="78">
        <f t="shared" si="244"/>
        <v>0</v>
      </c>
      <c r="GJ17" s="78">
        <f t="shared" si="244"/>
        <v>0</v>
      </c>
      <c r="GK17" s="78">
        <f t="shared" si="244"/>
        <v>0</v>
      </c>
      <c r="GL17" s="78">
        <f t="shared" si="244"/>
        <v>0</v>
      </c>
      <c r="GM17" s="78">
        <f t="shared" si="244"/>
        <v>33</v>
      </c>
      <c r="GN17" s="78">
        <f t="shared" si="244"/>
        <v>20</v>
      </c>
      <c r="GO17" s="78">
        <f t="shared" si="244"/>
        <v>53</v>
      </c>
      <c r="GP17" s="78">
        <f t="shared" si="244"/>
        <v>0</v>
      </c>
      <c r="GQ17" s="78">
        <f t="shared" si="244"/>
        <v>0</v>
      </c>
      <c r="GR17" s="78">
        <f t="shared" si="244"/>
        <v>0</v>
      </c>
      <c r="GS17" s="78">
        <f t="shared" ref="GS17:JD17" si="245">GS13+GS10</f>
        <v>0</v>
      </c>
      <c r="GT17" s="78">
        <f t="shared" si="245"/>
        <v>0</v>
      </c>
      <c r="GU17" s="78">
        <f t="shared" si="245"/>
        <v>0</v>
      </c>
      <c r="GV17" s="78">
        <f t="shared" si="245"/>
        <v>0</v>
      </c>
      <c r="GW17" s="78">
        <f t="shared" si="245"/>
        <v>0</v>
      </c>
      <c r="GX17" s="78">
        <f t="shared" si="245"/>
        <v>0</v>
      </c>
      <c r="GY17" s="78">
        <f t="shared" si="245"/>
        <v>0</v>
      </c>
      <c r="GZ17" s="78">
        <f t="shared" si="245"/>
        <v>0</v>
      </c>
      <c r="HA17" s="78">
        <f t="shared" si="245"/>
        <v>0</v>
      </c>
      <c r="HB17" s="78">
        <f t="shared" si="245"/>
        <v>0</v>
      </c>
      <c r="HC17" s="78">
        <f t="shared" si="245"/>
        <v>219</v>
      </c>
      <c r="HD17" s="78">
        <f t="shared" si="245"/>
        <v>339</v>
      </c>
      <c r="HE17" s="78">
        <f t="shared" si="245"/>
        <v>208</v>
      </c>
      <c r="HF17" s="78">
        <f t="shared" si="245"/>
        <v>288</v>
      </c>
      <c r="HG17" s="78">
        <f t="shared" si="245"/>
        <v>72</v>
      </c>
      <c r="HH17" s="78">
        <f t="shared" si="245"/>
        <v>66</v>
      </c>
      <c r="HI17" s="78">
        <f t="shared" si="245"/>
        <v>69</v>
      </c>
      <c r="HJ17" s="78">
        <f t="shared" si="245"/>
        <v>78</v>
      </c>
      <c r="HK17" s="78">
        <f t="shared" si="245"/>
        <v>109</v>
      </c>
      <c r="HL17" s="78">
        <f t="shared" si="245"/>
        <v>101</v>
      </c>
      <c r="HM17" s="78">
        <f t="shared" si="245"/>
        <v>677</v>
      </c>
      <c r="HN17" s="78">
        <f t="shared" si="245"/>
        <v>872</v>
      </c>
      <c r="HO17" s="78">
        <f t="shared" si="245"/>
        <v>1549</v>
      </c>
      <c r="HP17" s="78">
        <f t="shared" si="245"/>
        <v>8</v>
      </c>
      <c r="HQ17" s="78">
        <f t="shared" si="245"/>
        <v>7</v>
      </c>
      <c r="HR17" s="78">
        <f t="shared" si="245"/>
        <v>5</v>
      </c>
      <c r="HS17" s="78">
        <f t="shared" si="245"/>
        <v>4</v>
      </c>
      <c r="HT17" s="78">
        <f t="shared" si="245"/>
        <v>7</v>
      </c>
      <c r="HU17" s="78">
        <f t="shared" si="245"/>
        <v>1</v>
      </c>
      <c r="HV17" s="78">
        <f t="shared" si="245"/>
        <v>5</v>
      </c>
      <c r="HW17" s="78">
        <f t="shared" si="245"/>
        <v>0</v>
      </c>
      <c r="HX17" s="78">
        <f t="shared" si="245"/>
        <v>0</v>
      </c>
      <c r="HY17" s="78">
        <f t="shared" si="245"/>
        <v>0</v>
      </c>
      <c r="HZ17" s="78">
        <f t="shared" si="245"/>
        <v>25</v>
      </c>
      <c r="IA17" s="78">
        <f t="shared" si="245"/>
        <v>12</v>
      </c>
      <c r="IB17" s="78">
        <f t="shared" si="245"/>
        <v>37</v>
      </c>
      <c r="IC17" s="78">
        <f t="shared" si="245"/>
        <v>1</v>
      </c>
      <c r="ID17" s="78">
        <f t="shared" si="245"/>
        <v>15</v>
      </c>
      <c r="IE17" s="78">
        <f t="shared" si="245"/>
        <v>0</v>
      </c>
      <c r="IF17" s="78">
        <f t="shared" si="245"/>
        <v>13</v>
      </c>
      <c r="IG17" s="78">
        <f t="shared" si="245"/>
        <v>0</v>
      </c>
      <c r="IH17" s="78">
        <f t="shared" si="245"/>
        <v>1</v>
      </c>
      <c r="II17" s="78">
        <f t="shared" si="245"/>
        <v>1</v>
      </c>
      <c r="IJ17" s="78">
        <f t="shared" si="245"/>
        <v>0</v>
      </c>
      <c r="IK17" s="78">
        <f t="shared" si="245"/>
        <v>0</v>
      </c>
      <c r="IL17" s="78">
        <f t="shared" si="245"/>
        <v>0</v>
      </c>
      <c r="IM17" s="78">
        <f t="shared" si="245"/>
        <v>2</v>
      </c>
      <c r="IN17" s="78">
        <f t="shared" si="245"/>
        <v>29</v>
      </c>
      <c r="IO17" s="78">
        <f t="shared" si="245"/>
        <v>31</v>
      </c>
      <c r="IP17" s="78">
        <f t="shared" si="245"/>
        <v>0</v>
      </c>
      <c r="IQ17" s="78">
        <f t="shared" si="245"/>
        <v>0</v>
      </c>
      <c r="IR17" s="78">
        <f t="shared" si="245"/>
        <v>0</v>
      </c>
      <c r="IS17" s="78">
        <f t="shared" si="245"/>
        <v>0</v>
      </c>
      <c r="IT17" s="78">
        <f t="shared" si="245"/>
        <v>0</v>
      </c>
      <c r="IU17" s="78">
        <f t="shared" si="245"/>
        <v>0</v>
      </c>
      <c r="IV17" s="78">
        <f t="shared" si="245"/>
        <v>0</v>
      </c>
      <c r="IW17" s="78">
        <f t="shared" si="245"/>
        <v>0</v>
      </c>
      <c r="IX17" s="78">
        <f t="shared" si="245"/>
        <v>0</v>
      </c>
      <c r="IY17" s="78">
        <f t="shared" si="245"/>
        <v>0</v>
      </c>
      <c r="IZ17" s="78">
        <f t="shared" si="245"/>
        <v>0</v>
      </c>
      <c r="JA17" s="78">
        <f t="shared" si="245"/>
        <v>0</v>
      </c>
      <c r="JB17" s="78">
        <f t="shared" si="245"/>
        <v>0</v>
      </c>
      <c r="JC17" s="78">
        <f t="shared" si="245"/>
        <v>2</v>
      </c>
      <c r="JD17" s="78">
        <f t="shared" si="245"/>
        <v>2</v>
      </c>
      <c r="JE17" s="78">
        <f t="shared" ref="JE17:LS17" si="246">JE13+JE10</f>
        <v>4</v>
      </c>
      <c r="JF17" s="78">
        <f t="shared" si="246"/>
        <v>4</v>
      </c>
      <c r="JG17" s="78">
        <f t="shared" si="246"/>
        <v>39</v>
      </c>
      <c r="JH17" s="78">
        <f t="shared" si="246"/>
        <v>32</v>
      </c>
      <c r="JI17" s="78">
        <f t="shared" si="246"/>
        <v>10</v>
      </c>
      <c r="JJ17" s="78">
        <f t="shared" si="246"/>
        <v>1</v>
      </c>
      <c r="JK17" s="78">
        <f t="shared" si="246"/>
        <v>2</v>
      </c>
      <c r="JL17" s="78">
        <f t="shared" si="246"/>
        <v>1</v>
      </c>
      <c r="JM17" s="78">
        <f t="shared" si="246"/>
        <v>57</v>
      </c>
      <c r="JN17" s="78">
        <f t="shared" si="246"/>
        <v>40</v>
      </c>
      <c r="JO17" s="78">
        <f t="shared" si="246"/>
        <v>97</v>
      </c>
      <c r="JP17" s="78">
        <f t="shared" si="246"/>
        <v>1</v>
      </c>
      <c r="JQ17" s="78">
        <f t="shared" si="246"/>
        <v>0</v>
      </c>
      <c r="JR17" s="78">
        <f>JR13+JR10</f>
        <v>0</v>
      </c>
      <c r="JS17" s="78">
        <f>JS13+JS10</f>
        <v>3</v>
      </c>
      <c r="JT17" s="78">
        <f>JT13+JT10</f>
        <v>0</v>
      </c>
      <c r="JU17" s="78">
        <f t="shared" si="246"/>
        <v>1</v>
      </c>
      <c r="JV17" s="78">
        <f t="shared" si="246"/>
        <v>0</v>
      </c>
      <c r="JW17" s="78">
        <f t="shared" si="246"/>
        <v>0</v>
      </c>
      <c r="JX17" s="78">
        <f t="shared" si="246"/>
        <v>0</v>
      </c>
      <c r="JY17" s="78">
        <f t="shared" si="246"/>
        <v>1</v>
      </c>
      <c r="JZ17" s="78">
        <f t="shared" si="246"/>
        <v>4</v>
      </c>
      <c r="KA17" s="78">
        <f t="shared" si="246"/>
        <v>3</v>
      </c>
      <c r="KB17" s="78">
        <f t="shared" si="246"/>
        <v>2</v>
      </c>
      <c r="KC17" s="78">
        <f t="shared" si="246"/>
        <v>0</v>
      </c>
      <c r="KD17" s="78">
        <f t="shared" si="246"/>
        <v>0</v>
      </c>
      <c r="KE17" s="78">
        <f t="shared" si="246"/>
        <v>0</v>
      </c>
      <c r="KF17" s="78"/>
      <c r="KG17" s="78"/>
      <c r="KH17" s="78">
        <f t="shared" si="246"/>
        <v>0</v>
      </c>
      <c r="KI17" s="78">
        <f t="shared" si="246"/>
        <v>0</v>
      </c>
      <c r="KJ17" s="78">
        <f t="shared" si="246"/>
        <v>7</v>
      </c>
      <c r="KK17" s="78">
        <f t="shared" si="246"/>
        <v>8</v>
      </c>
      <c r="KL17" s="78">
        <f t="shared" si="246"/>
        <v>15</v>
      </c>
      <c r="KM17" s="78">
        <f t="shared" si="246"/>
        <v>57</v>
      </c>
      <c r="KN17" s="78">
        <f t="shared" si="246"/>
        <v>40</v>
      </c>
      <c r="KO17" s="78">
        <f t="shared" si="246"/>
        <v>0</v>
      </c>
      <c r="KP17" s="78">
        <f t="shared" si="246"/>
        <v>0</v>
      </c>
      <c r="KQ17" s="78">
        <f t="shared" si="246"/>
        <v>0</v>
      </c>
      <c r="KR17" s="78">
        <f t="shared" si="246"/>
        <v>0</v>
      </c>
      <c r="KS17" s="78">
        <f t="shared" si="246"/>
        <v>57</v>
      </c>
      <c r="KT17" s="78">
        <f t="shared" si="246"/>
        <v>40</v>
      </c>
      <c r="KU17" s="78">
        <f t="shared" si="246"/>
        <v>97</v>
      </c>
      <c r="KV17" s="78">
        <f t="shared" si="246"/>
        <v>49</v>
      </c>
      <c r="KW17" s="78">
        <f t="shared" si="246"/>
        <v>35</v>
      </c>
      <c r="KX17" s="78">
        <f t="shared" si="246"/>
        <v>0</v>
      </c>
      <c r="KY17" s="78">
        <f t="shared" si="246"/>
        <v>0</v>
      </c>
      <c r="KZ17" s="78">
        <f t="shared" si="246"/>
        <v>5</v>
      </c>
      <c r="LA17" s="78">
        <f t="shared" si="246"/>
        <v>1</v>
      </c>
      <c r="LB17" s="78">
        <f t="shared" si="246"/>
        <v>0</v>
      </c>
      <c r="LC17" s="78">
        <f t="shared" si="246"/>
        <v>0</v>
      </c>
      <c r="LD17" s="78">
        <f t="shared" si="246"/>
        <v>0</v>
      </c>
      <c r="LE17" s="78">
        <f t="shared" si="246"/>
        <v>0</v>
      </c>
      <c r="LF17" s="78">
        <f t="shared" si="246"/>
        <v>1</v>
      </c>
      <c r="LG17" s="78">
        <f t="shared" si="246"/>
        <v>2</v>
      </c>
      <c r="LH17" s="78">
        <f t="shared" si="246"/>
        <v>0</v>
      </c>
      <c r="LI17" s="78">
        <f t="shared" si="246"/>
        <v>0</v>
      </c>
      <c r="LJ17" s="78">
        <f t="shared" si="246"/>
        <v>0</v>
      </c>
      <c r="LK17" s="78">
        <f t="shared" si="246"/>
        <v>0</v>
      </c>
      <c r="LL17" s="78">
        <f t="shared" si="246"/>
        <v>2</v>
      </c>
      <c r="LM17" s="78">
        <f t="shared" si="246"/>
        <v>2</v>
      </c>
      <c r="LN17" s="139">
        <f t="shared" si="131"/>
        <v>57</v>
      </c>
      <c r="LO17" s="139">
        <f>LM17+KW17+LK17+LI17+LG17+LE17+LC17+LA17+KY17</f>
        <v>40</v>
      </c>
      <c r="LP17" s="78">
        <f t="shared" si="246"/>
        <v>97</v>
      </c>
      <c r="LQ17" s="78">
        <f t="shared" si="246"/>
        <v>0</v>
      </c>
      <c r="LR17" s="78">
        <f t="shared" si="246"/>
        <v>0</v>
      </c>
      <c r="LS17" s="78">
        <f t="shared" si="246"/>
        <v>0</v>
      </c>
      <c r="LT17" s="78">
        <f t="shared" ref="LT17:OE17" si="247">LT13+LT10</f>
        <v>0</v>
      </c>
      <c r="LU17" s="78">
        <f t="shared" si="247"/>
        <v>0</v>
      </c>
      <c r="LV17" s="78">
        <f t="shared" si="247"/>
        <v>0</v>
      </c>
      <c r="LW17" s="78">
        <f t="shared" si="247"/>
        <v>0</v>
      </c>
      <c r="LX17" s="78">
        <f t="shared" si="247"/>
        <v>4</v>
      </c>
      <c r="LY17" s="78">
        <f t="shared" si="247"/>
        <v>0</v>
      </c>
      <c r="LZ17" s="78">
        <f t="shared" si="247"/>
        <v>0</v>
      </c>
      <c r="MA17" s="78">
        <f t="shared" si="247"/>
        <v>1</v>
      </c>
      <c r="MB17" s="78">
        <f t="shared" si="247"/>
        <v>1</v>
      </c>
      <c r="MC17" s="78">
        <f t="shared" si="247"/>
        <v>1</v>
      </c>
      <c r="MD17" s="78">
        <f t="shared" si="247"/>
        <v>3</v>
      </c>
      <c r="ME17" s="78">
        <f t="shared" si="247"/>
        <v>0</v>
      </c>
      <c r="MF17" s="78">
        <f t="shared" si="247"/>
        <v>0</v>
      </c>
      <c r="MG17" s="78">
        <f t="shared" si="247"/>
        <v>2</v>
      </c>
      <c r="MH17" s="78">
        <f t="shared" si="247"/>
        <v>8</v>
      </c>
      <c r="MI17" s="78">
        <f t="shared" si="247"/>
        <v>10</v>
      </c>
      <c r="MJ17" s="78">
        <f t="shared" si="247"/>
        <v>0</v>
      </c>
      <c r="MK17" s="78">
        <f t="shared" si="247"/>
        <v>0</v>
      </c>
      <c r="ML17" s="78">
        <f t="shared" si="247"/>
        <v>0</v>
      </c>
      <c r="MM17" s="78">
        <f t="shared" si="247"/>
        <v>0</v>
      </c>
      <c r="MN17" s="78">
        <f t="shared" si="247"/>
        <v>0</v>
      </c>
      <c r="MO17" s="78">
        <f t="shared" si="247"/>
        <v>1</v>
      </c>
      <c r="MP17" s="78">
        <f t="shared" si="247"/>
        <v>1</v>
      </c>
      <c r="MQ17" s="78">
        <f t="shared" si="247"/>
        <v>3</v>
      </c>
      <c r="MR17" s="78">
        <f t="shared" si="247"/>
        <v>0</v>
      </c>
      <c r="MS17" s="78">
        <f t="shared" si="247"/>
        <v>0</v>
      </c>
      <c r="MT17" s="78">
        <f t="shared" si="247"/>
        <v>2</v>
      </c>
      <c r="MU17" s="78">
        <f t="shared" si="247"/>
        <v>1</v>
      </c>
      <c r="MV17" s="78">
        <f t="shared" si="247"/>
        <v>2</v>
      </c>
      <c r="MW17" s="78">
        <f t="shared" si="247"/>
        <v>1</v>
      </c>
      <c r="MX17" s="78">
        <f t="shared" si="247"/>
        <v>0</v>
      </c>
      <c r="MY17" s="78">
        <f t="shared" si="247"/>
        <v>0</v>
      </c>
      <c r="MZ17" s="78">
        <f t="shared" si="247"/>
        <v>5</v>
      </c>
      <c r="NA17" s="78">
        <f t="shared" si="247"/>
        <v>6</v>
      </c>
      <c r="NB17" s="78">
        <f t="shared" si="247"/>
        <v>11</v>
      </c>
      <c r="NC17" s="78">
        <f t="shared" si="247"/>
        <v>0</v>
      </c>
      <c r="ND17" s="78">
        <f t="shared" si="247"/>
        <v>0</v>
      </c>
      <c r="NE17" s="78">
        <f t="shared" si="247"/>
        <v>0</v>
      </c>
      <c r="NF17" s="78">
        <f t="shared" si="247"/>
        <v>0</v>
      </c>
      <c r="NG17" s="78">
        <f t="shared" si="247"/>
        <v>1</v>
      </c>
      <c r="NH17" s="78">
        <f t="shared" si="247"/>
        <v>6</v>
      </c>
      <c r="NI17" s="78">
        <f t="shared" si="247"/>
        <v>1</v>
      </c>
      <c r="NJ17" s="78">
        <f t="shared" si="247"/>
        <v>2</v>
      </c>
      <c r="NK17" s="78">
        <f t="shared" si="247"/>
        <v>1</v>
      </c>
      <c r="NL17" s="78">
        <f t="shared" si="247"/>
        <v>0</v>
      </c>
      <c r="NM17" s="78">
        <f t="shared" si="247"/>
        <v>1</v>
      </c>
      <c r="NN17" s="78">
        <f t="shared" si="247"/>
        <v>1</v>
      </c>
      <c r="NO17" s="78">
        <f t="shared" si="247"/>
        <v>0</v>
      </c>
      <c r="NP17" s="78">
        <f t="shared" si="247"/>
        <v>0</v>
      </c>
      <c r="NQ17" s="78">
        <f t="shared" si="247"/>
        <v>0</v>
      </c>
      <c r="NR17" s="78">
        <f t="shared" si="247"/>
        <v>0</v>
      </c>
      <c r="NS17" s="78">
        <f t="shared" si="247"/>
        <v>4</v>
      </c>
      <c r="NT17" s="78">
        <f t="shared" si="247"/>
        <v>9</v>
      </c>
      <c r="NU17" s="78">
        <f t="shared" si="247"/>
        <v>13</v>
      </c>
      <c r="NV17" s="78">
        <f t="shared" si="247"/>
        <v>0</v>
      </c>
      <c r="NW17" s="78">
        <f t="shared" si="247"/>
        <v>0</v>
      </c>
      <c r="NX17" s="78">
        <f t="shared" si="247"/>
        <v>0</v>
      </c>
      <c r="NY17" s="78">
        <f t="shared" si="247"/>
        <v>0</v>
      </c>
      <c r="NZ17" s="78">
        <f t="shared" si="247"/>
        <v>0</v>
      </c>
      <c r="OA17" s="78">
        <f t="shared" si="247"/>
        <v>0</v>
      </c>
      <c r="OB17" s="78">
        <f t="shared" si="247"/>
        <v>0</v>
      </c>
      <c r="OC17" s="78">
        <f t="shared" si="247"/>
        <v>0</v>
      </c>
      <c r="OD17" s="78">
        <f t="shared" si="247"/>
        <v>0</v>
      </c>
      <c r="OE17" s="78">
        <f t="shared" si="247"/>
        <v>0</v>
      </c>
      <c r="OF17" s="78">
        <f t="shared" ref="OF17:QQ17" si="248">OF13+OF10</f>
        <v>0</v>
      </c>
      <c r="OG17" s="78">
        <f t="shared" si="248"/>
        <v>0</v>
      </c>
      <c r="OH17" s="78">
        <f t="shared" si="248"/>
        <v>0</v>
      </c>
      <c r="OI17" s="78">
        <f t="shared" si="248"/>
        <v>0</v>
      </c>
      <c r="OJ17" s="78">
        <f t="shared" si="248"/>
        <v>0</v>
      </c>
      <c r="OK17" s="78">
        <f t="shared" si="248"/>
        <v>0</v>
      </c>
      <c r="OL17" s="78">
        <f t="shared" si="248"/>
        <v>0</v>
      </c>
      <c r="OM17" s="78">
        <f t="shared" si="248"/>
        <v>0</v>
      </c>
      <c r="ON17" s="78">
        <f t="shared" si="248"/>
        <v>0</v>
      </c>
      <c r="OO17" s="78">
        <f t="shared" si="248"/>
        <v>0</v>
      </c>
      <c r="OP17" s="78">
        <f t="shared" si="248"/>
        <v>0</v>
      </c>
      <c r="OQ17" s="78">
        <f t="shared" si="248"/>
        <v>0</v>
      </c>
      <c r="OR17" s="78">
        <f t="shared" si="248"/>
        <v>0</v>
      </c>
      <c r="OS17" s="78">
        <f t="shared" si="248"/>
        <v>0</v>
      </c>
      <c r="OT17" s="78">
        <f t="shared" si="248"/>
        <v>0</v>
      </c>
      <c r="OU17" s="78">
        <f t="shared" si="248"/>
        <v>0</v>
      </c>
      <c r="OV17" s="78">
        <f t="shared" si="248"/>
        <v>0</v>
      </c>
      <c r="OW17" s="78">
        <f t="shared" si="248"/>
        <v>0</v>
      </c>
      <c r="OX17" s="78">
        <f t="shared" si="248"/>
        <v>0</v>
      </c>
      <c r="OY17" s="78">
        <f t="shared" si="248"/>
        <v>0</v>
      </c>
      <c r="OZ17" s="78">
        <f t="shared" si="248"/>
        <v>0</v>
      </c>
      <c r="PA17" s="78">
        <f t="shared" si="248"/>
        <v>0</v>
      </c>
      <c r="PB17" s="78">
        <f t="shared" si="248"/>
        <v>0</v>
      </c>
      <c r="PC17" s="78">
        <f t="shared" si="248"/>
        <v>0</v>
      </c>
      <c r="PD17" s="78">
        <f t="shared" si="248"/>
        <v>0</v>
      </c>
      <c r="PE17" s="78">
        <f t="shared" si="248"/>
        <v>0</v>
      </c>
      <c r="PF17" s="78">
        <f t="shared" si="248"/>
        <v>0</v>
      </c>
      <c r="PG17" s="78">
        <f t="shared" si="248"/>
        <v>0</v>
      </c>
      <c r="PH17" s="78">
        <f t="shared" si="248"/>
        <v>0</v>
      </c>
      <c r="PI17" s="78">
        <f t="shared" si="248"/>
        <v>0</v>
      </c>
      <c r="PJ17" s="78">
        <f t="shared" si="248"/>
        <v>0</v>
      </c>
      <c r="PK17" s="78">
        <f t="shared" si="248"/>
        <v>0</v>
      </c>
      <c r="PL17" s="78">
        <f t="shared" si="248"/>
        <v>0</v>
      </c>
      <c r="PM17" s="78">
        <f t="shared" si="248"/>
        <v>0</v>
      </c>
      <c r="PN17" s="78">
        <f t="shared" si="248"/>
        <v>0</v>
      </c>
      <c r="PO17" s="78">
        <f t="shared" si="248"/>
        <v>0</v>
      </c>
      <c r="PP17" s="78">
        <f t="shared" si="248"/>
        <v>0</v>
      </c>
      <c r="PQ17" s="78">
        <f t="shared" si="248"/>
        <v>0</v>
      </c>
      <c r="PR17" s="78">
        <f t="shared" si="248"/>
        <v>0</v>
      </c>
      <c r="PS17" s="78">
        <f t="shared" si="248"/>
        <v>0</v>
      </c>
      <c r="PT17" s="78">
        <f t="shared" si="248"/>
        <v>0</v>
      </c>
      <c r="PU17" s="78">
        <f t="shared" si="248"/>
        <v>0</v>
      </c>
      <c r="PV17" s="78">
        <f t="shared" si="248"/>
        <v>0</v>
      </c>
      <c r="PW17" s="78">
        <f t="shared" si="248"/>
        <v>0</v>
      </c>
      <c r="PX17" s="78">
        <f t="shared" si="248"/>
        <v>0</v>
      </c>
      <c r="PY17" s="78">
        <f t="shared" si="248"/>
        <v>0</v>
      </c>
      <c r="PZ17" s="78">
        <f t="shared" si="248"/>
        <v>0</v>
      </c>
      <c r="QA17" s="78">
        <f t="shared" si="248"/>
        <v>0</v>
      </c>
      <c r="QB17" s="78">
        <f t="shared" si="248"/>
        <v>0</v>
      </c>
      <c r="QC17" s="78">
        <f t="shared" si="248"/>
        <v>0</v>
      </c>
      <c r="QD17" s="78">
        <f t="shared" si="248"/>
        <v>0</v>
      </c>
      <c r="QE17" s="78">
        <f t="shared" si="248"/>
        <v>0</v>
      </c>
      <c r="QF17" s="78">
        <f t="shared" si="248"/>
        <v>0</v>
      </c>
      <c r="QG17" s="78">
        <f t="shared" si="248"/>
        <v>0</v>
      </c>
      <c r="QH17" s="78">
        <f t="shared" si="248"/>
        <v>0</v>
      </c>
      <c r="QI17" s="78">
        <f t="shared" si="248"/>
        <v>0</v>
      </c>
      <c r="QJ17" s="78">
        <f t="shared" si="248"/>
        <v>0</v>
      </c>
      <c r="QK17" s="78">
        <f t="shared" si="248"/>
        <v>0</v>
      </c>
      <c r="QL17" s="78">
        <f t="shared" si="248"/>
        <v>0</v>
      </c>
      <c r="QM17" s="78">
        <f t="shared" si="248"/>
        <v>0</v>
      </c>
      <c r="QN17" s="78">
        <f t="shared" si="248"/>
        <v>0</v>
      </c>
      <c r="QO17" s="78">
        <f t="shared" si="248"/>
        <v>0</v>
      </c>
      <c r="QP17" s="78">
        <f t="shared" si="248"/>
        <v>0</v>
      </c>
      <c r="QQ17" s="78">
        <f t="shared" si="248"/>
        <v>0</v>
      </c>
      <c r="QR17" s="78">
        <f t="shared" ref="QR17:TC17" si="249">QR13+QR10</f>
        <v>0</v>
      </c>
      <c r="QS17" s="78">
        <f t="shared" si="249"/>
        <v>0</v>
      </c>
      <c r="QT17" s="78">
        <f t="shared" si="249"/>
        <v>0</v>
      </c>
      <c r="QU17" s="78">
        <f t="shared" si="249"/>
        <v>0</v>
      </c>
      <c r="QV17" s="78">
        <f t="shared" si="249"/>
        <v>0</v>
      </c>
      <c r="QW17" s="78">
        <f t="shared" si="249"/>
        <v>0</v>
      </c>
      <c r="QX17" s="78">
        <f t="shared" si="249"/>
        <v>0</v>
      </c>
      <c r="QY17" s="78">
        <f t="shared" si="249"/>
        <v>0</v>
      </c>
      <c r="QZ17" s="78">
        <f t="shared" si="249"/>
        <v>0</v>
      </c>
      <c r="RA17" s="78">
        <f t="shared" si="249"/>
        <v>0</v>
      </c>
      <c r="RB17" s="78">
        <f t="shared" si="249"/>
        <v>0</v>
      </c>
      <c r="RC17" s="78">
        <f t="shared" si="249"/>
        <v>0</v>
      </c>
      <c r="RD17" s="78">
        <f t="shared" si="249"/>
        <v>0</v>
      </c>
      <c r="RE17" s="78">
        <f t="shared" si="249"/>
        <v>0</v>
      </c>
      <c r="RF17" s="78">
        <f t="shared" si="249"/>
        <v>0</v>
      </c>
      <c r="RG17" s="78">
        <f t="shared" si="249"/>
        <v>0</v>
      </c>
      <c r="RH17" s="78">
        <f t="shared" si="249"/>
        <v>0</v>
      </c>
      <c r="RI17" s="78">
        <f t="shared" si="249"/>
        <v>0</v>
      </c>
      <c r="RJ17" s="78">
        <f t="shared" si="249"/>
        <v>0</v>
      </c>
      <c r="RK17" s="78">
        <f t="shared" si="249"/>
        <v>0</v>
      </c>
      <c r="RL17" s="78">
        <f t="shared" si="249"/>
        <v>0</v>
      </c>
      <c r="RM17" s="78">
        <f t="shared" si="249"/>
        <v>0</v>
      </c>
      <c r="RN17" s="78">
        <f t="shared" si="249"/>
        <v>0</v>
      </c>
      <c r="RO17" s="78">
        <f t="shared" si="249"/>
        <v>0</v>
      </c>
      <c r="RP17" s="78">
        <f t="shared" si="249"/>
        <v>0</v>
      </c>
      <c r="RQ17" s="78">
        <f t="shared" si="249"/>
        <v>0</v>
      </c>
      <c r="RR17" s="78">
        <f t="shared" si="249"/>
        <v>0</v>
      </c>
      <c r="RS17" s="78">
        <f t="shared" si="249"/>
        <v>0</v>
      </c>
      <c r="RT17" s="78">
        <f t="shared" si="249"/>
        <v>0</v>
      </c>
      <c r="RU17" s="78">
        <f t="shared" si="249"/>
        <v>0</v>
      </c>
      <c r="RV17" s="78">
        <f t="shared" si="249"/>
        <v>0</v>
      </c>
      <c r="RW17" s="78">
        <f t="shared" si="249"/>
        <v>0</v>
      </c>
      <c r="RX17" s="78">
        <f t="shared" si="249"/>
        <v>0</v>
      </c>
      <c r="RY17" s="78">
        <f t="shared" si="249"/>
        <v>0</v>
      </c>
      <c r="RZ17" s="78">
        <f t="shared" si="249"/>
        <v>0</v>
      </c>
      <c r="SA17" s="78">
        <f t="shared" si="249"/>
        <v>0</v>
      </c>
      <c r="SB17" s="78">
        <f t="shared" si="249"/>
        <v>0</v>
      </c>
      <c r="SC17" s="78">
        <f t="shared" si="249"/>
        <v>0</v>
      </c>
      <c r="SD17" s="78">
        <f t="shared" si="249"/>
        <v>0</v>
      </c>
      <c r="SE17" s="78">
        <f t="shared" si="249"/>
        <v>0</v>
      </c>
      <c r="SF17" s="78">
        <f t="shared" si="249"/>
        <v>0</v>
      </c>
      <c r="SG17" s="78">
        <f t="shared" si="249"/>
        <v>0</v>
      </c>
      <c r="SH17" s="78">
        <f t="shared" si="249"/>
        <v>0</v>
      </c>
      <c r="SI17" s="78">
        <f t="shared" si="249"/>
        <v>0</v>
      </c>
      <c r="SJ17" s="78">
        <f t="shared" si="249"/>
        <v>0</v>
      </c>
      <c r="SK17" s="78">
        <f t="shared" si="249"/>
        <v>0</v>
      </c>
      <c r="SL17" s="78">
        <f t="shared" si="249"/>
        <v>0</v>
      </c>
      <c r="SM17" s="78">
        <f t="shared" si="249"/>
        <v>0</v>
      </c>
      <c r="SN17" s="78">
        <f t="shared" si="249"/>
        <v>0</v>
      </c>
      <c r="SO17" s="78">
        <f t="shared" si="249"/>
        <v>0</v>
      </c>
      <c r="SP17" s="78">
        <f t="shared" si="249"/>
        <v>0</v>
      </c>
      <c r="SQ17" s="78">
        <f t="shared" si="249"/>
        <v>0</v>
      </c>
      <c r="SR17" s="78">
        <f t="shared" si="249"/>
        <v>0</v>
      </c>
      <c r="SS17" s="78">
        <f t="shared" si="249"/>
        <v>0</v>
      </c>
      <c r="ST17" s="78">
        <f t="shared" si="249"/>
        <v>0</v>
      </c>
      <c r="SU17" s="78">
        <f t="shared" si="249"/>
        <v>0</v>
      </c>
      <c r="SV17" s="78">
        <f t="shared" si="249"/>
        <v>0</v>
      </c>
      <c r="SW17" s="78">
        <f t="shared" si="249"/>
        <v>0</v>
      </c>
      <c r="SX17" s="78">
        <f t="shared" si="249"/>
        <v>0</v>
      </c>
      <c r="SY17" s="78">
        <f t="shared" si="249"/>
        <v>0</v>
      </c>
      <c r="SZ17" s="78">
        <f t="shared" si="249"/>
        <v>0</v>
      </c>
      <c r="TA17" s="78">
        <f t="shared" si="249"/>
        <v>0</v>
      </c>
      <c r="TB17" s="78">
        <f t="shared" si="249"/>
        <v>0</v>
      </c>
      <c r="TC17" s="78">
        <f t="shared" si="249"/>
        <v>0</v>
      </c>
      <c r="TD17" s="78">
        <f t="shared" ref="TD17:VO17" si="250">TD13+TD10</f>
        <v>0</v>
      </c>
      <c r="TE17" s="78">
        <f t="shared" si="250"/>
        <v>0</v>
      </c>
      <c r="TF17" s="78">
        <f t="shared" si="250"/>
        <v>0</v>
      </c>
      <c r="TG17" s="78">
        <f t="shared" si="250"/>
        <v>0</v>
      </c>
      <c r="TH17" s="78">
        <f t="shared" si="250"/>
        <v>0</v>
      </c>
      <c r="TI17" s="78">
        <f t="shared" si="250"/>
        <v>0</v>
      </c>
      <c r="TJ17" s="78">
        <f t="shared" si="250"/>
        <v>0</v>
      </c>
      <c r="TK17" s="78">
        <f t="shared" si="250"/>
        <v>0</v>
      </c>
      <c r="TL17" s="78">
        <f t="shared" si="250"/>
        <v>0</v>
      </c>
      <c r="TM17" s="78">
        <f t="shared" si="250"/>
        <v>0</v>
      </c>
      <c r="TN17" s="78">
        <f t="shared" si="250"/>
        <v>0</v>
      </c>
      <c r="TO17" s="78">
        <f t="shared" si="250"/>
        <v>0</v>
      </c>
      <c r="TP17" s="78">
        <f t="shared" si="250"/>
        <v>0</v>
      </c>
      <c r="TQ17" s="78">
        <f t="shared" si="250"/>
        <v>0</v>
      </c>
      <c r="TR17" s="78">
        <f t="shared" si="250"/>
        <v>0</v>
      </c>
      <c r="TS17" s="78">
        <f t="shared" si="250"/>
        <v>0</v>
      </c>
      <c r="TT17" s="78">
        <f t="shared" si="250"/>
        <v>0</v>
      </c>
      <c r="TU17" s="78">
        <f t="shared" si="250"/>
        <v>0</v>
      </c>
      <c r="TV17" s="78">
        <f t="shared" si="250"/>
        <v>0</v>
      </c>
      <c r="TW17" s="78">
        <f t="shared" si="250"/>
        <v>0</v>
      </c>
      <c r="TX17" s="78">
        <f t="shared" si="250"/>
        <v>0</v>
      </c>
      <c r="TY17" s="78">
        <f t="shared" si="250"/>
        <v>0</v>
      </c>
      <c r="TZ17" s="78">
        <f t="shared" si="250"/>
        <v>0</v>
      </c>
      <c r="UA17" s="78">
        <f t="shared" si="250"/>
        <v>0</v>
      </c>
      <c r="UB17" s="78">
        <f t="shared" si="250"/>
        <v>0</v>
      </c>
      <c r="UC17" s="78">
        <f t="shared" si="250"/>
        <v>0</v>
      </c>
      <c r="UD17" s="78">
        <f t="shared" si="250"/>
        <v>0</v>
      </c>
      <c r="UE17" s="78">
        <f t="shared" si="250"/>
        <v>0</v>
      </c>
      <c r="UF17" s="78">
        <f t="shared" si="250"/>
        <v>0</v>
      </c>
      <c r="UG17" s="78">
        <f t="shared" si="250"/>
        <v>0</v>
      </c>
      <c r="UH17" s="78">
        <f t="shared" si="250"/>
        <v>0</v>
      </c>
      <c r="UI17" s="78">
        <f t="shared" si="250"/>
        <v>0</v>
      </c>
      <c r="UJ17" s="78">
        <f t="shared" si="250"/>
        <v>0</v>
      </c>
      <c r="UK17" s="78">
        <f t="shared" si="250"/>
        <v>0</v>
      </c>
      <c r="UL17" s="78">
        <f t="shared" si="250"/>
        <v>0</v>
      </c>
      <c r="UM17" s="78">
        <f t="shared" si="250"/>
        <v>0</v>
      </c>
      <c r="UN17" s="78">
        <f t="shared" si="250"/>
        <v>0</v>
      </c>
      <c r="UO17" s="78">
        <f t="shared" si="250"/>
        <v>0</v>
      </c>
      <c r="UP17" s="78">
        <f t="shared" si="250"/>
        <v>0</v>
      </c>
      <c r="UQ17" s="78">
        <f t="shared" si="250"/>
        <v>0</v>
      </c>
      <c r="UR17" s="78">
        <f t="shared" si="250"/>
        <v>0</v>
      </c>
      <c r="US17" s="78">
        <f t="shared" si="250"/>
        <v>0</v>
      </c>
      <c r="UT17" s="78">
        <f t="shared" si="250"/>
        <v>0</v>
      </c>
      <c r="UU17" s="78">
        <f t="shared" si="250"/>
        <v>0</v>
      </c>
      <c r="UV17" s="78">
        <f t="shared" si="250"/>
        <v>0</v>
      </c>
      <c r="UW17" s="78">
        <f t="shared" si="250"/>
        <v>0</v>
      </c>
      <c r="UX17" s="78">
        <f t="shared" si="250"/>
        <v>0</v>
      </c>
      <c r="UY17" s="78">
        <f t="shared" si="250"/>
        <v>0</v>
      </c>
      <c r="UZ17" s="78">
        <f t="shared" si="250"/>
        <v>0</v>
      </c>
      <c r="VA17" s="78">
        <f t="shared" si="250"/>
        <v>0</v>
      </c>
      <c r="VB17" s="78">
        <f t="shared" si="250"/>
        <v>0</v>
      </c>
      <c r="VC17" s="78">
        <f t="shared" si="250"/>
        <v>0</v>
      </c>
      <c r="VD17" s="78">
        <f t="shared" si="250"/>
        <v>0</v>
      </c>
      <c r="VE17" s="78">
        <f t="shared" si="250"/>
        <v>0</v>
      </c>
      <c r="VF17" s="78">
        <f t="shared" si="250"/>
        <v>0</v>
      </c>
      <c r="VG17" s="78">
        <f t="shared" si="250"/>
        <v>0</v>
      </c>
      <c r="VH17" s="78">
        <f t="shared" si="250"/>
        <v>0</v>
      </c>
      <c r="VI17" s="78">
        <f t="shared" si="250"/>
        <v>0</v>
      </c>
      <c r="VJ17" s="78">
        <f t="shared" si="250"/>
        <v>2</v>
      </c>
      <c r="VK17" s="78">
        <f t="shared" si="250"/>
        <v>1</v>
      </c>
      <c r="VL17" s="78">
        <f t="shared" si="250"/>
        <v>0</v>
      </c>
      <c r="VM17" s="78">
        <f t="shared" si="250"/>
        <v>0</v>
      </c>
      <c r="VN17" s="78">
        <f t="shared" si="250"/>
        <v>0</v>
      </c>
      <c r="VO17" s="78">
        <f t="shared" si="250"/>
        <v>0</v>
      </c>
      <c r="VP17" s="78">
        <f t="shared" ref="VP17:YA17" si="251">VP13+VP10</f>
        <v>0</v>
      </c>
      <c r="VQ17" s="78">
        <f t="shared" si="251"/>
        <v>0</v>
      </c>
      <c r="VR17" s="78">
        <f t="shared" si="251"/>
        <v>0</v>
      </c>
      <c r="VS17" s="78">
        <f t="shared" si="251"/>
        <v>0</v>
      </c>
      <c r="VT17" s="78">
        <f t="shared" si="251"/>
        <v>2</v>
      </c>
      <c r="VU17" s="78">
        <f t="shared" si="251"/>
        <v>1</v>
      </c>
      <c r="VV17" s="78">
        <f t="shared" si="251"/>
        <v>3</v>
      </c>
      <c r="VW17" s="78">
        <f t="shared" si="251"/>
        <v>2</v>
      </c>
      <c r="VX17" s="78">
        <f t="shared" si="251"/>
        <v>0</v>
      </c>
      <c r="VY17" s="78">
        <f t="shared" si="251"/>
        <v>0</v>
      </c>
      <c r="VZ17" s="78">
        <f t="shared" si="251"/>
        <v>0</v>
      </c>
      <c r="WA17" s="78">
        <f t="shared" si="251"/>
        <v>0</v>
      </c>
      <c r="WB17" s="78">
        <f t="shared" si="251"/>
        <v>0</v>
      </c>
      <c r="WC17" s="78">
        <f t="shared" si="251"/>
        <v>9</v>
      </c>
      <c r="WD17" s="78">
        <f t="shared" si="251"/>
        <v>6</v>
      </c>
      <c r="WE17" s="78">
        <f t="shared" si="251"/>
        <v>0</v>
      </c>
      <c r="WF17" s="78">
        <f t="shared" si="251"/>
        <v>0</v>
      </c>
      <c r="WG17" s="78">
        <f t="shared" si="251"/>
        <v>2</v>
      </c>
      <c r="WH17" s="78">
        <f t="shared" si="251"/>
        <v>3</v>
      </c>
      <c r="WI17" s="78">
        <f t="shared" si="251"/>
        <v>1</v>
      </c>
      <c r="WJ17" s="78">
        <f t="shared" si="251"/>
        <v>0</v>
      </c>
      <c r="WK17" s="78">
        <f t="shared" si="251"/>
        <v>0</v>
      </c>
      <c r="WL17" s="78">
        <f t="shared" si="251"/>
        <v>0</v>
      </c>
      <c r="WM17" s="78">
        <f t="shared" si="251"/>
        <v>14</v>
      </c>
      <c r="WN17" s="78">
        <f t="shared" si="251"/>
        <v>9</v>
      </c>
      <c r="WO17" s="78">
        <f t="shared" si="251"/>
        <v>23</v>
      </c>
      <c r="WP17" s="78">
        <f t="shared" si="251"/>
        <v>0</v>
      </c>
      <c r="WQ17" s="78">
        <f t="shared" si="251"/>
        <v>0</v>
      </c>
      <c r="WR17" s="78">
        <f t="shared" si="251"/>
        <v>0</v>
      </c>
      <c r="WS17" s="78">
        <f t="shared" si="251"/>
        <v>0</v>
      </c>
      <c r="WT17" s="78">
        <f t="shared" si="251"/>
        <v>0</v>
      </c>
      <c r="WU17" s="78">
        <f t="shared" si="251"/>
        <v>0</v>
      </c>
      <c r="WV17" s="78">
        <f t="shared" si="251"/>
        <v>0</v>
      </c>
      <c r="WW17" s="78">
        <f t="shared" si="251"/>
        <v>0</v>
      </c>
      <c r="WX17" s="78">
        <f t="shared" si="251"/>
        <v>0</v>
      </c>
      <c r="WY17" s="78">
        <f t="shared" si="251"/>
        <v>0</v>
      </c>
      <c r="WZ17" s="78">
        <f t="shared" si="251"/>
        <v>0</v>
      </c>
      <c r="XA17" s="78">
        <f t="shared" si="251"/>
        <v>0</v>
      </c>
      <c r="XB17" s="78">
        <f t="shared" si="251"/>
        <v>0</v>
      </c>
      <c r="XC17" s="78">
        <f t="shared" si="251"/>
        <v>0</v>
      </c>
      <c r="XD17" s="78">
        <f t="shared" si="251"/>
        <v>0</v>
      </c>
      <c r="XE17" s="78">
        <f t="shared" si="251"/>
        <v>0</v>
      </c>
      <c r="XF17" s="78">
        <f t="shared" si="251"/>
        <v>0</v>
      </c>
      <c r="XG17" s="78">
        <f t="shared" si="251"/>
        <v>0</v>
      </c>
      <c r="XH17" s="78">
        <f t="shared" si="251"/>
        <v>0</v>
      </c>
      <c r="XI17" s="78">
        <f t="shared" si="251"/>
        <v>0</v>
      </c>
      <c r="XJ17" s="78">
        <f t="shared" si="251"/>
        <v>0</v>
      </c>
      <c r="XK17" s="78">
        <f t="shared" si="251"/>
        <v>0</v>
      </c>
      <c r="XL17" s="78">
        <f t="shared" si="251"/>
        <v>0</v>
      </c>
      <c r="XM17" s="78">
        <f t="shared" si="251"/>
        <v>0</v>
      </c>
      <c r="XN17" s="78">
        <f t="shared" si="251"/>
        <v>0</v>
      </c>
      <c r="XO17" s="78">
        <f t="shared" si="251"/>
        <v>1</v>
      </c>
      <c r="XP17" s="78">
        <f t="shared" si="251"/>
        <v>0</v>
      </c>
      <c r="XQ17" s="78">
        <f t="shared" si="251"/>
        <v>0</v>
      </c>
      <c r="XR17" s="78">
        <f t="shared" si="251"/>
        <v>0</v>
      </c>
      <c r="XS17" s="78">
        <f t="shared" si="251"/>
        <v>1</v>
      </c>
      <c r="XT17" s="78">
        <f t="shared" si="251"/>
        <v>1</v>
      </c>
      <c r="XU17" s="78">
        <f t="shared" si="251"/>
        <v>0</v>
      </c>
      <c r="XV17" s="78">
        <f t="shared" si="251"/>
        <v>0</v>
      </c>
      <c r="XW17" s="78">
        <f t="shared" si="251"/>
        <v>0</v>
      </c>
      <c r="XX17" s="78">
        <f t="shared" si="251"/>
        <v>0</v>
      </c>
      <c r="XY17" s="78">
        <f t="shared" si="251"/>
        <v>2</v>
      </c>
      <c r="XZ17" s="78">
        <f t="shared" si="251"/>
        <v>1</v>
      </c>
      <c r="YA17" s="78">
        <f t="shared" si="251"/>
        <v>3</v>
      </c>
      <c r="YB17" s="78">
        <f t="shared" ref="YB17:AAM17" si="252">YB13+YB10</f>
        <v>0</v>
      </c>
      <c r="YC17" s="78">
        <f t="shared" si="252"/>
        <v>0</v>
      </c>
      <c r="YD17" s="78">
        <f t="shared" si="252"/>
        <v>0</v>
      </c>
      <c r="YE17" s="78">
        <f t="shared" si="252"/>
        <v>0</v>
      </c>
      <c r="YF17" s="78">
        <f t="shared" si="252"/>
        <v>0</v>
      </c>
      <c r="YG17" s="78">
        <f t="shared" si="252"/>
        <v>0</v>
      </c>
      <c r="YH17" s="78">
        <f t="shared" si="252"/>
        <v>0</v>
      </c>
      <c r="YI17" s="78">
        <f t="shared" si="252"/>
        <v>0</v>
      </c>
      <c r="YJ17" s="78">
        <f t="shared" si="252"/>
        <v>0</v>
      </c>
      <c r="YK17" s="78">
        <f t="shared" si="252"/>
        <v>0</v>
      </c>
      <c r="YL17" s="78">
        <f t="shared" si="252"/>
        <v>0</v>
      </c>
      <c r="YM17" s="78">
        <f t="shared" si="252"/>
        <v>0</v>
      </c>
      <c r="YN17" s="78">
        <f t="shared" si="252"/>
        <v>0</v>
      </c>
      <c r="YO17" s="78">
        <f t="shared" si="252"/>
        <v>0</v>
      </c>
      <c r="YP17" s="78">
        <f t="shared" si="252"/>
        <v>0</v>
      </c>
      <c r="YQ17" s="78">
        <f t="shared" si="252"/>
        <v>0</v>
      </c>
      <c r="YR17" s="78">
        <f t="shared" si="252"/>
        <v>0</v>
      </c>
      <c r="YS17" s="78">
        <f t="shared" si="252"/>
        <v>0</v>
      </c>
      <c r="YT17" s="78">
        <f t="shared" si="252"/>
        <v>0</v>
      </c>
      <c r="YU17" s="78">
        <f t="shared" si="252"/>
        <v>0</v>
      </c>
      <c r="YV17" s="78">
        <f t="shared" si="252"/>
        <v>0</v>
      </c>
      <c r="YW17" s="78">
        <f t="shared" si="252"/>
        <v>0</v>
      </c>
      <c r="YX17" s="78">
        <f t="shared" si="252"/>
        <v>0</v>
      </c>
      <c r="YY17" s="78">
        <f t="shared" si="252"/>
        <v>0</v>
      </c>
      <c r="YZ17" s="78">
        <f t="shared" si="252"/>
        <v>0</v>
      </c>
      <c r="ZA17" s="78">
        <f t="shared" si="252"/>
        <v>0</v>
      </c>
      <c r="ZB17" s="78">
        <f t="shared" si="252"/>
        <v>0</v>
      </c>
      <c r="ZC17" s="78">
        <f t="shared" si="252"/>
        <v>0</v>
      </c>
      <c r="ZD17" s="78">
        <f t="shared" si="252"/>
        <v>0</v>
      </c>
      <c r="ZE17" s="78">
        <f t="shared" si="252"/>
        <v>0</v>
      </c>
      <c r="ZF17" s="78">
        <f t="shared" si="252"/>
        <v>0</v>
      </c>
      <c r="ZG17" s="78">
        <f t="shared" si="252"/>
        <v>0</v>
      </c>
      <c r="ZH17" s="78">
        <f t="shared" si="252"/>
        <v>0</v>
      </c>
      <c r="ZI17" s="78">
        <f t="shared" si="252"/>
        <v>0</v>
      </c>
      <c r="ZJ17" s="78">
        <f t="shared" si="252"/>
        <v>0</v>
      </c>
      <c r="ZK17" s="78">
        <f t="shared" si="252"/>
        <v>0</v>
      </c>
      <c r="ZL17" s="78">
        <f t="shared" si="252"/>
        <v>0</v>
      </c>
      <c r="ZM17" s="78">
        <f t="shared" si="252"/>
        <v>0</v>
      </c>
      <c r="ZN17" s="78">
        <f t="shared" si="252"/>
        <v>0</v>
      </c>
      <c r="ZO17" s="78">
        <f t="shared" si="252"/>
        <v>0</v>
      </c>
      <c r="ZP17" s="78">
        <f t="shared" si="252"/>
        <v>0</v>
      </c>
      <c r="ZQ17" s="78">
        <f t="shared" si="252"/>
        <v>0</v>
      </c>
      <c r="ZR17" s="78">
        <f t="shared" si="252"/>
        <v>0</v>
      </c>
      <c r="ZS17" s="78">
        <f t="shared" si="252"/>
        <v>1</v>
      </c>
      <c r="ZT17" s="78">
        <f t="shared" si="252"/>
        <v>1</v>
      </c>
      <c r="ZU17" s="78">
        <f t="shared" si="252"/>
        <v>1</v>
      </c>
      <c r="ZV17" s="78">
        <f t="shared" si="252"/>
        <v>0</v>
      </c>
      <c r="ZW17" s="78">
        <f t="shared" si="252"/>
        <v>0</v>
      </c>
      <c r="ZX17" s="78">
        <f t="shared" si="252"/>
        <v>0</v>
      </c>
      <c r="ZY17" s="78">
        <f t="shared" si="252"/>
        <v>0</v>
      </c>
      <c r="ZZ17" s="78">
        <f t="shared" si="252"/>
        <v>0</v>
      </c>
      <c r="AAA17" s="78">
        <f t="shared" si="252"/>
        <v>0</v>
      </c>
      <c r="AAB17" s="78">
        <f t="shared" si="252"/>
        <v>0</v>
      </c>
      <c r="AAC17" s="78">
        <f t="shared" si="252"/>
        <v>0</v>
      </c>
      <c r="AAD17" s="78">
        <f t="shared" si="252"/>
        <v>1</v>
      </c>
      <c r="AAE17" s="78">
        <f t="shared" si="252"/>
        <v>2</v>
      </c>
      <c r="AAF17" s="78">
        <f t="shared" si="252"/>
        <v>3</v>
      </c>
      <c r="AAG17" s="78">
        <f t="shared" si="252"/>
        <v>0</v>
      </c>
      <c r="AAH17" s="78">
        <f t="shared" si="252"/>
        <v>0</v>
      </c>
      <c r="AAI17" s="78">
        <f t="shared" si="252"/>
        <v>0</v>
      </c>
      <c r="AAJ17" s="78">
        <f t="shared" si="252"/>
        <v>0</v>
      </c>
      <c r="AAK17" s="78">
        <f t="shared" si="252"/>
        <v>0</v>
      </c>
      <c r="AAL17" s="78">
        <f t="shared" si="252"/>
        <v>0</v>
      </c>
      <c r="AAM17" s="78">
        <f t="shared" si="252"/>
        <v>7</v>
      </c>
      <c r="AAN17" s="78">
        <f t="shared" ref="AAN17:ACY17" si="253">AAN13+AAN10</f>
        <v>2</v>
      </c>
      <c r="AAO17" s="78">
        <f t="shared" si="253"/>
        <v>0</v>
      </c>
      <c r="AAP17" s="78">
        <f t="shared" si="253"/>
        <v>0</v>
      </c>
      <c r="AAQ17" s="78">
        <f t="shared" si="253"/>
        <v>0</v>
      </c>
      <c r="AAR17" s="78">
        <f t="shared" si="253"/>
        <v>0</v>
      </c>
      <c r="AAS17" s="78">
        <f t="shared" si="253"/>
        <v>1</v>
      </c>
      <c r="AAT17" s="78">
        <f t="shared" si="253"/>
        <v>0</v>
      </c>
      <c r="AAU17" s="78">
        <f t="shared" si="253"/>
        <v>0</v>
      </c>
      <c r="AAV17" s="78">
        <f t="shared" si="253"/>
        <v>0</v>
      </c>
      <c r="AAW17" s="78">
        <f t="shared" si="253"/>
        <v>8</v>
      </c>
      <c r="AAX17" s="78">
        <f t="shared" si="253"/>
        <v>2</v>
      </c>
      <c r="AAY17" s="78">
        <f t="shared" si="253"/>
        <v>10</v>
      </c>
      <c r="AAZ17" s="78">
        <f t="shared" si="253"/>
        <v>0</v>
      </c>
      <c r="ABA17" s="78">
        <f t="shared" si="253"/>
        <v>0</v>
      </c>
      <c r="ABB17" s="78">
        <f t="shared" si="253"/>
        <v>0</v>
      </c>
      <c r="ABC17" s="78">
        <f t="shared" si="253"/>
        <v>0</v>
      </c>
      <c r="ABD17" s="78">
        <f t="shared" si="253"/>
        <v>0</v>
      </c>
      <c r="ABE17" s="78">
        <f t="shared" si="253"/>
        <v>0</v>
      </c>
      <c r="ABF17" s="78">
        <f t="shared" si="253"/>
        <v>0</v>
      </c>
      <c r="ABG17" s="78">
        <f t="shared" si="253"/>
        <v>0</v>
      </c>
      <c r="ABH17" s="78">
        <f t="shared" si="253"/>
        <v>0</v>
      </c>
      <c r="ABI17" s="78">
        <f t="shared" si="253"/>
        <v>0</v>
      </c>
      <c r="ABJ17" s="78">
        <f t="shared" si="253"/>
        <v>0</v>
      </c>
      <c r="ABK17" s="78">
        <f t="shared" si="253"/>
        <v>0</v>
      </c>
      <c r="ABL17" s="78">
        <f t="shared" si="253"/>
        <v>0</v>
      </c>
      <c r="ABM17" s="78">
        <f t="shared" si="253"/>
        <v>0</v>
      </c>
      <c r="ABN17" s="78">
        <f t="shared" si="253"/>
        <v>0</v>
      </c>
      <c r="ABO17" s="78">
        <f t="shared" si="253"/>
        <v>0</v>
      </c>
      <c r="ABP17" s="78">
        <f t="shared" si="253"/>
        <v>0</v>
      </c>
      <c r="ABQ17" s="78">
        <f t="shared" si="253"/>
        <v>0</v>
      </c>
      <c r="ABR17" s="78">
        <f t="shared" si="253"/>
        <v>0</v>
      </c>
      <c r="ABS17" s="78">
        <f t="shared" si="253"/>
        <v>0</v>
      </c>
      <c r="ABT17" s="78">
        <f t="shared" si="253"/>
        <v>0</v>
      </c>
      <c r="ABU17" s="78">
        <f t="shared" si="253"/>
        <v>0</v>
      </c>
      <c r="ABV17" s="78">
        <f t="shared" si="253"/>
        <v>0</v>
      </c>
      <c r="ABW17" s="78">
        <f t="shared" si="253"/>
        <v>0</v>
      </c>
      <c r="ABX17" s="78">
        <f t="shared" si="253"/>
        <v>0</v>
      </c>
      <c r="ABY17" s="78">
        <f t="shared" si="253"/>
        <v>0</v>
      </c>
      <c r="ABZ17" s="78">
        <f t="shared" si="253"/>
        <v>0</v>
      </c>
      <c r="ACA17" s="78">
        <f t="shared" si="253"/>
        <v>0</v>
      </c>
      <c r="ACB17" s="78">
        <f t="shared" si="253"/>
        <v>0</v>
      </c>
      <c r="ACC17" s="78">
        <f t="shared" si="253"/>
        <v>0</v>
      </c>
      <c r="ACD17" s="78">
        <f t="shared" si="253"/>
        <v>0</v>
      </c>
      <c r="ACE17" s="78">
        <f t="shared" si="253"/>
        <v>0</v>
      </c>
      <c r="ACF17" s="78">
        <f t="shared" si="253"/>
        <v>0</v>
      </c>
      <c r="ACG17" s="78">
        <f t="shared" si="253"/>
        <v>0</v>
      </c>
      <c r="ACH17" s="78">
        <f t="shared" si="253"/>
        <v>0</v>
      </c>
      <c r="ACI17" s="78">
        <f t="shared" si="253"/>
        <v>0</v>
      </c>
      <c r="ACJ17" s="78">
        <f t="shared" si="253"/>
        <v>0</v>
      </c>
      <c r="ACK17" s="78">
        <f t="shared" si="253"/>
        <v>0</v>
      </c>
      <c r="ACL17" s="78">
        <f t="shared" si="253"/>
        <v>0</v>
      </c>
      <c r="ACM17" s="78">
        <f t="shared" si="253"/>
        <v>0</v>
      </c>
      <c r="ACN17" s="78">
        <f t="shared" si="253"/>
        <v>0</v>
      </c>
      <c r="ACO17" s="78">
        <f t="shared" si="253"/>
        <v>0</v>
      </c>
      <c r="ACP17" s="78">
        <f t="shared" si="253"/>
        <v>0</v>
      </c>
      <c r="ACQ17" s="78">
        <f t="shared" si="253"/>
        <v>0</v>
      </c>
      <c r="ACR17" s="78">
        <f t="shared" si="253"/>
        <v>0</v>
      </c>
      <c r="ACS17" s="78">
        <f t="shared" si="253"/>
        <v>0</v>
      </c>
      <c r="ACT17" s="78">
        <f t="shared" si="253"/>
        <v>0</v>
      </c>
      <c r="ACU17" s="78">
        <f t="shared" si="253"/>
        <v>0</v>
      </c>
      <c r="ACV17" s="78">
        <f t="shared" si="253"/>
        <v>0</v>
      </c>
      <c r="ACW17" s="78">
        <f t="shared" si="253"/>
        <v>0</v>
      </c>
      <c r="ACX17" s="78">
        <f t="shared" si="253"/>
        <v>0</v>
      </c>
      <c r="ACY17" s="78">
        <f t="shared" si="253"/>
        <v>0</v>
      </c>
      <c r="ACZ17" s="78">
        <f t="shared" ref="ACZ17:AFK17" si="254">ACZ13+ACZ10</f>
        <v>0</v>
      </c>
      <c r="ADA17" s="78">
        <f t="shared" si="254"/>
        <v>0</v>
      </c>
      <c r="ADB17" s="78">
        <f t="shared" si="254"/>
        <v>0</v>
      </c>
      <c r="ADC17" s="78">
        <f t="shared" si="254"/>
        <v>0</v>
      </c>
      <c r="ADD17" s="78">
        <f t="shared" si="254"/>
        <v>0</v>
      </c>
      <c r="ADE17" s="78">
        <f t="shared" si="254"/>
        <v>0</v>
      </c>
      <c r="ADF17" s="78">
        <f t="shared" si="254"/>
        <v>0</v>
      </c>
      <c r="ADG17" s="78">
        <f t="shared" si="254"/>
        <v>0</v>
      </c>
      <c r="ADH17" s="78">
        <f t="shared" si="254"/>
        <v>0</v>
      </c>
      <c r="ADI17" s="78">
        <f t="shared" si="254"/>
        <v>0</v>
      </c>
      <c r="ADJ17" s="78">
        <f t="shared" si="254"/>
        <v>0</v>
      </c>
      <c r="ADK17" s="78">
        <f t="shared" si="254"/>
        <v>5</v>
      </c>
      <c r="ADL17" s="78">
        <f t="shared" si="254"/>
        <v>1</v>
      </c>
      <c r="ADM17" s="78">
        <f t="shared" si="254"/>
        <v>0</v>
      </c>
      <c r="ADN17" s="78">
        <f t="shared" si="254"/>
        <v>0</v>
      </c>
      <c r="ADO17" s="78">
        <f t="shared" si="254"/>
        <v>2</v>
      </c>
      <c r="ADP17" s="78">
        <f t="shared" si="254"/>
        <v>0</v>
      </c>
      <c r="ADQ17" s="78">
        <f t="shared" si="254"/>
        <v>1</v>
      </c>
      <c r="ADR17" s="78">
        <f t="shared" si="254"/>
        <v>0</v>
      </c>
      <c r="ADS17" s="78">
        <f t="shared" si="254"/>
        <v>0</v>
      </c>
      <c r="ADT17" s="78">
        <f t="shared" si="254"/>
        <v>0</v>
      </c>
      <c r="ADU17" s="78">
        <f t="shared" si="254"/>
        <v>8</v>
      </c>
      <c r="ADV17" s="78">
        <f t="shared" si="254"/>
        <v>1</v>
      </c>
      <c r="ADW17" s="78">
        <f t="shared" si="254"/>
        <v>9</v>
      </c>
      <c r="ADX17" s="78">
        <f t="shared" si="254"/>
        <v>0</v>
      </c>
      <c r="ADY17" s="78">
        <f t="shared" si="254"/>
        <v>0</v>
      </c>
      <c r="ADZ17" s="78">
        <f t="shared" si="254"/>
        <v>0</v>
      </c>
      <c r="AEA17" s="78">
        <f t="shared" si="254"/>
        <v>0</v>
      </c>
      <c r="AEB17" s="78">
        <f t="shared" si="254"/>
        <v>0</v>
      </c>
      <c r="AEC17" s="78">
        <f t="shared" si="254"/>
        <v>0</v>
      </c>
      <c r="AED17" s="78">
        <f t="shared" si="254"/>
        <v>1</v>
      </c>
      <c r="AEE17" s="78">
        <f t="shared" si="254"/>
        <v>0</v>
      </c>
      <c r="AEF17" s="78">
        <f t="shared" si="254"/>
        <v>0</v>
      </c>
      <c r="AEG17" s="78">
        <f t="shared" si="254"/>
        <v>0</v>
      </c>
      <c r="AEH17" s="78">
        <f t="shared" si="254"/>
        <v>1</v>
      </c>
      <c r="AEI17" s="78">
        <f t="shared" si="254"/>
        <v>0</v>
      </c>
      <c r="AEJ17" s="78">
        <f t="shared" si="254"/>
        <v>0</v>
      </c>
      <c r="AEK17" s="78">
        <f t="shared" si="254"/>
        <v>0</v>
      </c>
      <c r="AEL17" s="78">
        <f t="shared" si="254"/>
        <v>0</v>
      </c>
      <c r="AEM17" s="78">
        <f t="shared" si="254"/>
        <v>0</v>
      </c>
      <c r="AEN17" s="78">
        <f t="shared" si="254"/>
        <v>2</v>
      </c>
      <c r="AEO17" s="78">
        <f t="shared" si="254"/>
        <v>0</v>
      </c>
      <c r="AEP17" s="78">
        <f t="shared" si="254"/>
        <v>2</v>
      </c>
      <c r="AEQ17" s="78">
        <f t="shared" si="254"/>
        <v>0</v>
      </c>
      <c r="AER17" s="78">
        <f t="shared" si="254"/>
        <v>0</v>
      </c>
      <c r="AES17" s="78">
        <f t="shared" si="254"/>
        <v>0</v>
      </c>
      <c r="AET17" s="78">
        <f t="shared" si="254"/>
        <v>0</v>
      </c>
      <c r="AEU17" s="78">
        <f t="shared" si="254"/>
        <v>0</v>
      </c>
      <c r="AEV17" s="78">
        <f t="shared" si="254"/>
        <v>0</v>
      </c>
      <c r="AEW17" s="78">
        <f t="shared" si="254"/>
        <v>0</v>
      </c>
      <c r="AEX17" s="78">
        <f t="shared" si="254"/>
        <v>0</v>
      </c>
      <c r="AEY17" s="78">
        <f t="shared" si="254"/>
        <v>0</v>
      </c>
      <c r="AEZ17" s="78">
        <f t="shared" si="254"/>
        <v>0</v>
      </c>
      <c r="AFA17" s="78">
        <f t="shared" si="254"/>
        <v>0</v>
      </c>
      <c r="AFB17" s="78">
        <f t="shared" si="254"/>
        <v>0</v>
      </c>
      <c r="AFC17" s="78">
        <f t="shared" si="254"/>
        <v>0</v>
      </c>
      <c r="AFD17" s="78">
        <f t="shared" si="254"/>
        <v>0</v>
      </c>
      <c r="AFE17" s="78">
        <f t="shared" si="254"/>
        <v>0</v>
      </c>
      <c r="AFF17" s="78">
        <f t="shared" si="254"/>
        <v>0</v>
      </c>
      <c r="AFG17" s="78">
        <f t="shared" si="254"/>
        <v>0</v>
      </c>
      <c r="AFH17" s="78">
        <f t="shared" si="254"/>
        <v>0</v>
      </c>
      <c r="AFI17" s="78">
        <f t="shared" si="254"/>
        <v>0</v>
      </c>
      <c r="AFJ17" s="78">
        <f t="shared" si="254"/>
        <v>0</v>
      </c>
      <c r="AFK17" s="78">
        <f t="shared" si="254"/>
        <v>0</v>
      </c>
      <c r="AFL17" s="78">
        <f t="shared" ref="AFL17:AIP17" si="255">AFL13+AFL10</f>
        <v>0</v>
      </c>
      <c r="AFM17" s="78">
        <f t="shared" si="255"/>
        <v>0</v>
      </c>
      <c r="AFN17" s="78">
        <f t="shared" si="255"/>
        <v>0</v>
      </c>
      <c r="AFO17" s="78">
        <f t="shared" si="255"/>
        <v>0</v>
      </c>
      <c r="AFP17" s="78">
        <f t="shared" si="255"/>
        <v>1</v>
      </c>
      <c r="AFQ17" s="78">
        <f t="shared" si="255"/>
        <v>1</v>
      </c>
      <c r="AFR17" s="78">
        <f t="shared" si="255"/>
        <v>0</v>
      </c>
      <c r="AFS17" s="78">
        <f t="shared" si="255"/>
        <v>0</v>
      </c>
      <c r="AFT17" s="78">
        <f t="shared" si="255"/>
        <v>0</v>
      </c>
      <c r="AFU17" s="78">
        <f t="shared" si="255"/>
        <v>0</v>
      </c>
      <c r="AFV17" s="78">
        <f t="shared" si="255"/>
        <v>0</v>
      </c>
      <c r="AFW17" s="78">
        <f t="shared" si="255"/>
        <v>0</v>
      </c>
      <c r="AFX17" s="78">
        <f t="shared" si="255"/>
        <v>0</v>
      </c>
      <c r="AFY17" s="78">
        <f t="shared" si="255"/>
        <v>0</v>
      </c>
      <c r="AFZ17" s="78">
        <f t="shared" si="255"/>
        <v>1</v>
      </c>
      <c r="AGA17" s="78">
        <f t="shared" si="255"/>
        <v>1</v>
      </c>
      <c r="AGB17" s="78">
        <f t="shared" si="255"/>
        <v>2</v>
      </c>
      <c r="AGC17" s="78">
        <f t="shared" si="255"/>
        <v>0</v>
      </c>
      <c r="AGD17" s="78">
        <f t="shared" si="255"/>
        <v>0</v>
      </c>
      <c r="AGE17" s="78">
        <f t="shared" si="255"/>
        <v>0</v>
      </c>
      <c r="AGF17" s="78">
        <f t="shared" si="255"/>
        <v>0</v>
      </c>
      <c r="AGG17" s="78">
        <f t="shared" si="255"/>
        <v>0</v>
      </c>
      <c r="AGH17" s="78">
        <f t="shared" si="255"/>
        <v>0</v>
      </c>
      <c r="AGI17" s="78">
        <f t="shared" si="255"/>
        <v>3</v>
      </c>
      <c r="AGJ17" s="78">
        <f t="shared" si="255"/>
        <v>0</v>
      </c>
      <c r="AGK17" s="78">
        <f t="shared" si="255"/>
        <v>0</v>
      </c>
      <c r="AGL17" s="78">
        <f t="shared" si="255"/>
        <v>0</v>
      </c>
      <c r="AGM17" s="78">
        <f t="shared" si="255"/>
        <v>0</v>
      </c>
      <c r="AGN17" s="78">
        <f t="shared" si="255"/>
        <v>0</v>
      </c>
      <c r="AGO17" s="78">
        <f t="shared" si="255"/>
        <v>0</v>
      </c>
      <c r="AGP17" s="78">
        <f t="shared" si="255"/>
        <v>0</v>
      </c>
      <c r="AGQ17" s="78">
        <f t="shared" si="255"/>
        <v>0</v>
      </c>
      <c r="AGR17" s="78">
        <f t="shared" si="255"/>
        <v>0</v>
      </c>
      <c r="AGS17" s="78">
        <f t="shared" si="255"/>
        <v>3</v>
      </c>
      <c r="AGT17" s="78">
        <f t="shared" si="255"/>
        <v>0</v>
      </c>
      <c r="AGU17" s="78">
        <f t="shared" si="255"/>
        <v>3</v>
      </c>
      <c r="AGV17" s="78">
        <f t="shared" si="255"/>
        <v>0</v>
      </c>
      <c r="AGW17" s="78">
        <f t="shared" si="255"/>
        <v>0</v>
      </c>
      <c r="AGX17" s="78">
        <f t="shared" si="255"/>
        <v>0</v>
      </c>
      <c r="AGY17" s="78">
        <f t="shared" si="255"/>
        <v>0</v>
      </c>
      <c r="AGZ17" s="78">
        <f t="shared" si="255"/>
        <v>0</v>
      </c>
      <c r="AHA17" s="78">
        <f t="shared" si="255"/>
        <v>0</v>
      </c>
      <c r="AHB17" s="78">
        <f t="shared" si="255"/>
        <v>0</v>
      </c>
      <c r="AHC17" s="78">
        <f t="shared" si="255"/>
        <v>0</v>
      </c>
      <c r="AHD17" s="78">
        <f t="shared" si="255"/>
        <v>0</v>
      </c>
      <c r="AHE17" s="78">
        <f t="shared" si="255"/>
        <v>0</v>
      </c>
      <c r="AHF17" s="78">
        <f t="shared" si="255"/>
        <v>0</v>
      </c>
      <c r="AHG17" s="78">
        <f t="shared" si="255"/>
        <v>0</v>
      </c>
      <c r="AHH17" s="78">
        <f t="shared" si="255"/>
        <v>0</v>
      </c>
      <c r="AHI17" s="78">
        <f t="shared" si="255"/>
        <v>0</v>
      </c>
      <c r="AHJ17" s="78">
        <f t="shared" si="255"/>
        <v>0</v>
      </c>
      <c r="AHK17" s="78">
        <f t="shared" si="255"/>
        <v>0</v>
      </c>
      <c r="AHL17" s="78">
        <f t="shared" si="255"/>
        <v>0</v>
      </c>
      <c r="AHM17" s="78">
        <f t="shared" si="255"/>
        <v>0</v>
      </c>
      <c r="AHN17" s="78">
        <f t="shared" ref="AHN17:AIL17" si="256">AHN13+AHN10</f>
        <v>0</v>
      </c>
      <c r="AHO17" s="78">
        <f t="shared" si="256"/>
        <v>1</v>
      </c>
      <c r="AHP17" s="78">
        <f t="shared" si="256"/>
        <v>0</v>
      </c>
      <c r="AHQ17" s="78">
        <f t="shared" si="256"/>
        <v>0</v>
      </c>
      <c r="AHR17" s="78">
        <f t="shared" si="256"/>
        <v>0</v>
      </c>
      <c r="AHS17" s="78">
        <f t="shared" si="256"/>
        <v>0</v>
      </c>
      <c r="AHT17" s="78">
        <f t="shared" si="256"/>
        <v>0</v>
      </c>
      <c r="AHU17" s="78">
        <f t="shared" si="256"/>
        <v>0</v>
      </c>
      <c r="AHV17" s="78">
        <f t="shared" si="256"/>
        <v>0</v>
      </c>
      <c r="AHW17" s="78">
        <f t="shared" si="256"/>
        <v>0</v>
      </c>
      <c r="AHX17" s="78">
        <f t="shared" si="256"/>
        <v>0</v>
      </c>
      <c r="AHY17" s="78">
        <f t="shared" si="256"/>
        <v>0</v>
      </c>
      <c r="AHZ17" s="78">
        <f t="shared" si="256"/>
        <v>0</v>
      </c>
      <c r="AIA17" s="78">
        <f t="shared" si="256"/>
        <v>0</v>
      </c>
      <c r="AIB17" s="78">
        <f t="shared" si="256"/>
        <v>0</v>
      </c>
      <c r="AIC17" s="78">
        <f t="shared" si="256"/>
        <v>0</v>
      </c>
      <c r="AID17" s="78">
        <f t="shared" si="256"/>
        <v>0</v>
      </c>
      <c r="AIE17" s="78">
        <f t="shared" si="256"/>
        <v>1</v>
      </c>
      <c r="AIF17" s="78">
        <f t="shared" si="256"/>
        <v>0</v>
      </c>
      <c r="AIG17" s="78">
        <f t="shared" si="256"/>
        <v>1</v>
      </c>
      <c r="AIH17" s="78">
        <f t="shared" si="256"/>
        <v>0</v>
      </c>
      <c r="AII17" s="78">
        <f t="shared" si="256"/>
        <v>0</v>
      </c>
      <c r="AIJ17" s="78">
        <f t="shared" si="256"/>
        <v>0</v>
      </c>
      <c r="AIK17" s="78">
        <f t="shared" si="256"/>
        <v>0</v>
      </c>
      <c r="AIL17" s="78">
        <f t="shared" si="256"/>
        <v>0</v>
      </c>
      <c r="AIM17" s="78">
        <f t="shared" si="255"/>
        <v>0</v>
      </c>
      <c r="AIN17" s="78">
        <f t="shared" si="255"/>
        <v>0</v>
      </c>
      <c r="AIO17" s="78">
        <f t="shared" si="255"/>
        <v>0</v>
      </c>
      <c r="AIP17" s="78">
        <f t="shared" si="255"/>
        <v>0</v>
      </c>
      <c r="AIQ17" s="78">
        <f t="shared" ref="AIQ17:ALB17" si="257">AIQ13+AIQ10</f>
        <v>0</v>
      </c>
      <c r="AIR17" s="78">
        <f t="shared" si="257"/>
        <v>1</v>
      </c>
      <c r="AIS17" s="78">
        <f t="shared" si="257"/>
        <v>0</v>
      </c>
      <c r="AIT17" s="78">
        <f t="shared" si="257"/>
        <v>3</v>
      </c>
      <c r="AIU17" s="78">
        <f t="shared" si="257"/>
        <v>0</v>
      </c>
      <c r="AIV17" s="78">
        <f t="shared" si="257"/>
        <v>0</v>
      </c>
      <c r="AIW17" s="78">
        <f t="shared" si="257"/>
        <v>0</v>
      </c>
      <c r="AIX17" s="78">
        <f t="shared" si="257"/>
        <v>4</v>
      </c>
      <c r="AIY17" s="78">
        <f t="shared" si="257"/>
        <v>0</v>
      </c>
      <c r="AIZ17" s="78">
        <f t="shared" si="257"/>
        <v>4</v>
      </c>
      <c r="AJA17" s="78">
        <f t="shared" si="257"/>
        <v>3</v>
      </c>
      <c r="AJB17" s="78">
        <f t="shared" si="257"/>
        <v>0</v>
      </c>
      <c r="AJC17" s="78">
        <f t="shared" si="257"/>
        <v>0</v>
      </c>
      <c r="AJD17" s="78">
        <f t="shared" si="257"/>
        <v>0</v>
      </c>
      <c r="AJE17" s="78">
        <f t="shared" si="257"/>
        <v>1</v>
      </c>
      <c r="AJF17" s="78">
        <f t="shared" si="257"/>
        <v>8</v>
      </c>
      <c r="AJG17" s="78">
        <f t="shared" si="257"/>
        <v>32</v>
      </c>
      <c r="AJH17" s="78">
        <f t="shared" si="257"/>
        <v>21</v>
      </c>
      <c r="AJI17" s="78">
        <f t="shared" si="257"/>
        <v>1</v>
      </c>
      <c r="AJJ17" s="78">
        <f t="shared" si="257"/>
        <v>0</v>
      </c>
      <c r="AJK17" s="78">
        <f t="shared" si="257"/>
        <v>11</v>
      </c>
      <c r="AJL17" s="78">
        <f t="shared" si="257"/>
        <v>7</v>
      </c>
      <c r="AJM17" s="78">
        <f t="shared" si="257"/>
        <v>9</v>
      </c>
      <c r="AJN17" s="78">
        <f t="shared" si="257"/>
        <v>4</v>
      </c>
      <c r="AJO17" s="78">
        <f t="shared" si="257"/>
        <v>0</v>
      </c>
      <c r="AJP17" s="78">
        <f t="shared" si="257"/>
        <v>0</v>
      </c>
      <c r="AJQ17" s="78">
        <f t="shared" si="257"/>
        <v>57</v>
      </c>
      <c r="AJR17" s="78">
        <f t="shared" si="257"/>
        <v>40</v>
      </c>
      <c r="AJS17" s="78">
        <f t="shared" si="257"/>
        <v>97</v>
      </c>
      <c r="AJT17" s="78">
        <f t="shared" si="257"/>
        <v>1</v>
      </c>
      <c r="AJU17" s="78">
        <f t="shared" si="257"/>
        <v>0</v>
      </c>
      <c r="AJV17" s="78">
        <f t="shared" si="257"/>
        <v>11</v>
      </c>
      <c r="AJW17" s="78">
        <f t="shared" si="257"/>
        <v>10</v>
      </c>
      <c r="AJX17" s="78">
        <f t="shared" si="257"/>
        <v>18</v>
      </c>
      <c r="AJY17" s="78">
        <f t="shared" si="257"/>
        <v>6</v>
      </c>
      <c r="AJZ17" s="78">
        <f>AJZ13+AJZ10</f>
        <v>27</v>
      </c>
      <c r="AKA17" s="78">
        <f>AKA13+AKA10</f>
        <v>24</v>
      </c>
      <c r="AKB17" s="78">
        <f>AKB13+AKB10</f>
        <v>57</v>
      </c>
      <c r="AKC17" s="78">
        <f t="shared" si="257"/>
        <v>40</v>
      </c>
      <c r="AKD17" s="78">
        <f t="shared" si="257"/>
        <v>97</v>
      </c>
      <c r="AKE17" s="78">
        <f t="shared" si="257"/>
        <v>0</v>
      </c>
      <c r="AKF17" s="78">
        <f t="shared" si="257"/>
        <v>0</v>
      </c>
      <c r="AKG17" s="78">
        <f t="shared" si="257"/>
        <v>11</v>
      </c>
      <c r="AKH17" s="78">
        <f t="shared" si="257"/>
        <v>4</v>
      </c>
      <c r="AKI17" s="78">
        <f t="shared" si="257"/>
        <v>25</v>
      </c>
      <c r="AKJ17" s="78">
        <f t="shared" si="257"/>
        <v>18</v>
      </c>
      <c r="AKK17" s="78">
        <f t="shared" si="257"/>
        <v>21</v>
      </c>
      <c r="AKL17" s="78">
        <f t="shared" si="257"/>
        <v>16</v>
      </c>
      <c r="AKM17" s="78">
        <f t="shared" si="257"/>
        <v>0</v>
      </c>
      <c r="AKN17" s="78">
        <f t="shared" si="257"/>
        <v>2</v>
      </c>
      <c r="AKO17" s="78">
        <f t="shared" si="257"/>
        <v>57</v>
      </c>
      <c r="AKP17" s="78">
        <f t="shared" si="257"/>
        <v>40</v>
      </c>
      <c r="AKQ17" s="78">
        <f t="shared" si="257"/>
        <v>97</v>
      </c>
      <c r="AKR17" s="78">
        <f t="shared" si="257"/>
        <v>0</v>
      </c>
      <c r="AKS17" s="78">
        <f t="shared" si="257"/>
        <v>2</v>
      </c>
      <c r="AKT17" s="78">
        <f t="shared" si="257"/>
        <v>57</v>
      </c>
      <c r="AKU17" s="78">
        <f t="shared" si="257"/>
        <v>36</v>
      </c>
      <c r="AKV17" s="78">
        <f t="shared" si="257"/>
        <v>0</v>
      </c>
      <c r="AKW17" s="78">
        <f t="shared" si="257"/>
        <v>2</v>
      </c>
      <c r="AKX17" s="78">
        <f t="shared" si="257"/>
        <v>0</v>
      </c>
      <c r="AKY17" s="78">
        <f t="shared" si="257"/>
        <v>0</v>
      </c>
      <c r="AKZ17" s="78">
        <f t="shared" si="257"/>
        <v>57</v>
      </c>
      <c r="ALA17" s="78">
        <f t="shared" si="257"/>
        <v>40</v>
      </c>
      <c r="ALB17" s="78">
        <f t="shared" si="257"/>
        <v>97</v>
      </c>
      <c r="ALC17" s="78">
        <f>ALC13+ALC10</f>
        <v>8</v>
      </c>
      <c r="ALD17" s="78">
        <f t="shared" ref="ALD17:ANM17" si="258">ALD13+ALD10</f>
        <v>7</v>
      </c>
      <c r="ALE17" s="78">
        <f t="shared" si="258"/>
        <v>3</v>
      </c>
      <c r="ALF17" s="78">
        <f t="shared" si="258"/>
        <v>0</v>
      </c>
      <c r="ALG17" s="78"/>
      <c r="ALH17" s="78"/>
      <c r="ALI17" s="78"/>
      <c r="ALJ17" s="78">
        <f t="shared" si="258"/>
        <v>2</v>
      </c>
      <c r="ALK17" s="78">
        <f t="shared" si="258"/>
        <v>1</v>
      </c>
      <c r="ALL17" s="78">
        <f t="shared" si="258"/>
        <v>0</v>
      </c>
      <c r="ALM17" s="78">
        <f t="shared" si="258"/>
        <v>2</v>
      </c>
      <c r="ALN17" s="78">
        <f t="shared" si="258"/>
        <v>1</v>
      </c>
      <c r="ALO17" s="78">
        <f t="shared" si="258"/>
        <v>1</v>
      </c>
      <c r="ALP17" s="78">
        <f t="shared" si="258"/>
        <v>2</v>
      </c>
      <c r="ALQ17" s="78">
        <f t="shared" si="258"/>
        <v>6</v>
      </c>
      <c r="ALR17" s="78">
        <f t="shared" si="258"/>
        <v>63</v>
      </c>
      <c r="ALS17" s="78">
        <f t="shared" si="258"/>
        <v>40</v>
      </c>
      <c r="ALT17" s="78">
        <f t="shared" si="258"/>
        <v>73</v>
      </c>
      <c r="ALU17" s="78">
        <f t="shared" si="258"/>
        <v>0</v>
      </c>
      <c r="ALV17" s="78">
        <f t="shared" si="258"/>
        <v>0</v>
      </c>
      <c r="ALW17" s="78">
        <f t="shared" si="258"/>
        <v>0</v>
      </c>
      <c r="ALX17" s="78">
        <f t="shared" si="258"/>
        <v>2</v>
      </c>
      <c r="ALY17" s="78">
        <f t="shared" si="258"/>
        <v>1</v>
      </c>
      <c r="ALZ17" s="78">
        <f t="shared" si="258"/>
        <v>3</v>
      </c>
      <c r="AMA17" s="78">
        <f t="shared" si="258"/>
        <v>0</v>
      </c>
      <c r="AMB17" s="78">
        <f t="shared" si="258"/>
        <v>0</v>
      </c>
      <c r="AMC17" s="78">
        <f t="shared" si="258"/>
        <v>0</v>
      </c>
      <c r="AMD17" s="78">
        <f t="shared" si="258"/>
        <v>0</v>
      </c>
      <c r="AME17" s="78">
        <f t="shared" si="258"/>
        <v>0</v>
      </c>
      <c r="AMF17" s="78">
        <f t="shared" ref="AMF17:AMK17" si="259">AMF13+AMF10</f>
        <v>3</v>
      </c>
      <c r="AMG17" s="78">
        <f t="shared" si="259"/>
        <v>0</v>
      </c>
      <c r="AMH17" s="78">
        <f t="shared" si="259"/>
        <v>1</v>
      </c>
      <c r="AMI17" s="78">
        <f t="shared" si="259"/>
        <v>2</v>
      </c>
      <c r="AMJ17" s="78">
        <f t="shared" si="259"/>
        <v>3</v>
      </c>
      <c r="AMK17" s="78">
        <f t="shared" si="259"/>
        <v>0</v>
      </c>
      <c r="AML17" s="78">
        <f t="shared" si="258"/>
        <v>3</v>
      </c>
      <c r="AMM17" s="78">
        <f t="shared" si="258"/>
        <v>0</v>
      </c>
      <c r="AMN17" s="78">
        <f t="shared" si="258"/>
        <v>2</v>
      </c>
      <c r="AMO17" s="78">
        <f t="shared" si="258"/>
        <v>1</v>
      </c>
      <c r="AMP17" s="78">
        <f t="shared" si="258"/>
        <v>3</v>
      </c>
      <c r="AMQ17" s="78">
        <f t="shared" si="258"/>
        <v>0</v>
      </c>
      <c r="AMR17" s="78">
        <f t="shared" si="258"/>
        <v>3</v>
      </c>
      <c r="AMS17" s="78">
        <f t="shared" si="258"/>
        <v>0</v>
      </c>
      <c r="AMT17" s="78">
        <f t="shared" si="258"/>
        <v>0</v>
      </c>
      <c r="AMU17" s="78">
        <f t="shared" si="258"/>
        <v>0</v>
      </c>
      <c r="AMV17" s="78">
        <f t="shared" si="258"/>
        <v>0</v>
      </c>
      <c r="AMW17" s="78">
        <f t="shared" si="258"/>
        <v>3</v>
      </c>
      <c r="AMX17" s="78">
        <f t="shared" si="258"/>
        <v>0</v>
      </c>
      <c r="AMY17" s="78">
        <f t="shared" si="258"/>
        <v>3</v>
      </c>
      <c r="AMZ17" s="78">
        <f t="shared" si="258"/>
        <v>0</v>
      </c>
      <c r="ANA17" s="78">
        <f t="shared" si="258"/>
        <v>0</v>
      </c>
      <c r="ANB17" s="78">
        <f t="shared" si="258"/>
        <v>3</v>
      </c>
      <c r="ANC17" s="78">
        <f t="shared" si="258"/>
        <v>0</v>
      </c>
      <c r="AND17" s="78">
        <f t="shared" si="258"/>
        <v>1</v>
      </c>
      <c r="ANE17" s="78">
        <f t="shared" si="258"/>
        <v>1</v>
      </c>
      <c r="ANF17" s="78">
        <f t="shared" si="258"/>
        <v>0</v>
      </c>
      <c r="ANG17" s="78">
        <f t="shared" si="258"/>
        <v>0</v>
      </c>
      <c r="ANH17" s="78">
        <f t="shared" si="258"/>
        <v>1</v>
      </c>
      <c r="ANI17" s="78">
        <f t="shared" si="258"/>
        <v>3</v>
      </c>
      <c r="ANJ17" s="78">
        <f t="shared" si="258"/>
        <v>0</v>
      </c>
      <c r="ANK17" s="78">
        <f t="shared" si="258"/>
        <v>3</v>
      </c>
      <c r="ANL17" s="78">
        <f t="shared" si="258"/>
        <v>0</v>
      </c>
      <c r="ANM17" s="78">
        <f t="shared" si="258"/>
        <v>0</v>
      </c>
      <c r="ANN17" s="78">
        <f t="shared" ref="ANN17:APO17" si="260">ANN13+ANN10</f>
        <v>3</v>
      </c>
      <c r="ANO17" s="78">
        <f t="shared" si="260"/>
        <v>0</v>
      </c>
      <c r="ANP17" s="78">
        <f t="shared" si="260"/>
        <v>2</v>
      </c>
      <c r="ANQ17" s="78">
        <f t="shared" si="260"/>
        <v>1</v>
      </c>
      <c r="ANR17" s="78">
        <f t="shared" si="260"/>
        <v>0</v>
      </c>
      <c r="ANS17" s="78">
        <f t="shared" si="260"/>
        <v>1</v>
      </c>
      <c r="ANT17" s="78">
        <f t="shared" si="260"/>
        <v>2</v>
      </c>
      <c r="ANU17" s="78">
        <f t="shared" si="260"/>
        <v>0</v>
      </c>
      <c r="ANV17" s="78">
        <f>ANV13+ANV10</f>
        <v>2</v>
      </c>
      <c r="ANW17" s="78">
        <f>ANW13+ANW10</f>
        <v>2</v>
      </c>
      <c r="ANX17" s="78">
        <f t="shared" ref="ANX17:AOH17" si="261">ANX13+ANX10</f>
        <v>0</v>
      </c>
      <c r="ANY17" s="78">
        <f t="shared" si="261"/>
        <v>0</v>
      </c>
      <c r="ANZ17" s="78">
        <f t="shared" si="261"/>
        <v>450</v>
      </c>
      <c r="AOA17" s="78">
        <f t="shared" si="261"/>
        <v>0</v>
      </c>
      <c r="AOB17" s="78">
        <f t="shared" si="261"/>
        <v>400</v>
      </c>
      <c r="AOC17" s="78">
        <f t="shared" si="261"/>
        <v>108</v>
      </c>
      <c r="AOD17" s="78">
        <f t="shared" si="261"/>
        <v>58</v>
      </c>
      <c r="AOE17" s="78">
        <f t="shared" si="261"/>
        <v>1</v>
      </c>
      <c r="AOF17" s="78">
        <f t="shared" si="261"/>
        <v>39</v>
      </c>
      <c r="AOG17" s="78">
        <f t="shared" si="261"/>
        <v>26</v>
      </c>
      <c r="AOH17" s="78">
        <f t="shared" si="261"/>
        <v>10</v>
      </c>
      <c r="AOI17" s="78">
        <f t="shared" si="260"/>
        <v>14</v>
      </c>
      <c r="AOJ17" s="78">
        <f t="shared" si="260"/>
        <v>1</v>
      </c>
      <c r="AOK17" s="78">
        <f t="shared" si="260"/>
        <v>2</v>
      </c>
      <c r="AOL17" s="78">
        <f t="shared" si="260"/>
        <v>2</v>
      </c>
      <c r="AOM17" s="78">
        <f t="shared" si="260"/>
        <v>2</v>
      </c>
      <c r="AON17" s="78">
        <f t="shared" si="260"/>
        <v>0</v>
      </c>
      <c r="AOO17" s="78">
        <f t="shared" si="260"/>
        <v>0</v>
      </c>
      <c r="AOP17" s="78">
        <f t="shared" si="260"/>
        <v>1</v>
      </c>
      <c r="AOQ17" s="78">
        <f t="shared" si="260"/>
        <v>1</v>
      </c>
      <c r="AOR17" s="78">
        <f t="shared" si="260"/>
        <v>0</v>
      </c>
      <c r="AOS17" s="78">
        <f t="shared" si="260"/>
        <v>1</v>
      </c>
      <c r="AOT17" s="78">
        <f t="shared" si="260"/>
        <v>1</v>
      </c>
      <c r="AOU17" s="78">
        <f t="shared" si="260"/>
        <v>0</v>
      </c>
      <c r="AOV17" s="78">
        <f t="shared" si="260"/>
        <v>0</v>
      </c>
      <c r="AOW17" s="78">
        <f t="shared" si="260"/>
        <v>3821</v>
      </c>
      <c r="AOX17" s="78">
        <f t="shared" si="260"/>
        <v>330</v>
      </c>
      <c r="AOY17" s="78">
        <f t="shared" si="260"/>
        <v>4151</v>
      </c>
      <c r="AOZ17" s="78">
        <f t="shared" si="260"/>
        <v>2</v>
      </c>
      <c r="APA17" s="78">
        <f t="shared" si="260"/>
        <v>2</v>
      </c>
      <c r="APB17" s="78">
        <f t="shared" si="260"/>
        <v>0</v>
      </c>
      <c r="APC17" s="78">
        <f t="shared" si="260"/>
        <v>2</v>
      </c>
      <c r="APD17" s="78">
        <f t="shared" si="260"/>
        <v>0</v>
      </c>
      <c r="APE17" s="78">
        <f t="shared" si="260"/>
        <v>2</v>
      </c>
      <c r="APF17" s="78">
        <f t="shared" si="260"/>
        <v>0</v>
      </c>
      <c r="APG17" s="78">
        <f t="shared" si="260"/>
        <v>2</v>
      </c>
      <c r="APH17" s="78">
        <f t="shared" si="260"/>
        <v>0</v>
      </c>
      <c r="API17" s="78">
        <f t="shared" si="260"/>
        <v>2</v>
      </c>
      <c r="APJ17" s="78">
        <f t="shared" si="260"/>
        <v>0</v>
      </c>
      <c r="APK17" s="78">
        <f t="shared" si="260"/>
        <v>2</v>
      </c>
      <c r="APL17" s="78">
        <f t="shared" si="260"/>
        <v>0</v>
      </c>
      <c r="APM17" s="78">
        <f t="shared" si="260"/>
        <v>2</v>
      </c>
      <c r="APN17" s="78">
        <f t="shared" si="260"/>
        <v>2</v>
      </c>
      <c r="APO17" s="78">
        <f t="shared" si="260"/>
        <v>0</v>
      </c>
      <c r="APP17" s="78"/>
      <c r="APQ17" s="78"/>
    </row>
    <row r="19" spans="1:1109" s="134" customFormat="1" ht="44.25" customHeight="1">
      <c r="A19" s="261" t="s">
        <v>430</v>
      </c>
      <c r="B19" s="262"/>
      <c r="C19" s="262"/>
      <c r="D19" s="262"/>
      <c r="E19" s="263"/>
      <c r="F19" s="133">
        <f>F8+F9</f>
        <v>1</v>
      </c>
      <c r="G19" s="133">
        <f t="shared" ref="G19:BR19" si="262">G8+G9</f>
        <v>1</v>
      </c>
      <c r="H19" s="133">
        <f t="shared" si="262"/>
        <v>0</v>
      </c>
      <c r="I19" s="133">
        <f t="shared" si="262"/>
        <v>2</v>
      </c>
      <c r="J19" s="133">
        <f t="shared" si="262"/>
        <v>0</v>
      </c>
      <c r="K19" s="133">
        <f t="shared" si="262"/>
        <v>0</v>
      </c>
      <c r="L19" s="133">
        <f t="shared" si="262"/>
        <v>0</v>
      </c>
      <c r="M19" s="133">
        <f t="shared" si="262"/>
        <v>0</v>
      </c>
      <c r="N19" s="133">
        <f t="shared" si="262"/>
        <v>2</v>
      </c>
      <c r="O19" s="133">
        <f t="shared" si="262"/>
        <v>1</v>
      </c>
      <c r="P19" s="133">
        <f t="shared" si="262"/>
        <v>1</v>
      </c>
      <c r="Q19" s="133">
        <f t="shared" si="262"/>
        <v>1</v>
      </c>
      <c r="R19" s="133">
        <f t="shared" si="262"/>
        <v>0</v>
      </c>
      <c r="S19" s="133">
        <f t="shared" si="262"/>
        <v>1</v>
      </c>
      <c r="T19" s="133">
        <f t="shared" si="262"/>
        <v>0</v>
      </c>
      <c r="U19" s="133">
        <f t="shared" si="262"/>
        <v>0</v>
      </c>
      <c r="V19" s="133">
        <f t="shared" si="262"/>
        <v>0</v>
      </c>
      <c r="W19" s="133">
        <f t="shared" si="262"/>
        <v>0</v>
      </c>
      <c r="X19" s="133">
        <f t="shared" si="262"/>
        <v>0</v>
      </c>
      <c r="Y19" s="133">
        <f t="shared" si="262"/>
        <v>0</v>
      </c>
      <c r="Z19" s="133">
        <f t="shared" si="262"/>
        <v>0</v>
      </c>
      <c r="AA19" s="133">
        <f t="shared" si="262"/>
        <v>0</v>
      </c>
      <c r="AB19" s="133">
        <f t="shared" si="262"/>
        <v>0</v>
      </c>
      <c r="AC19" s="133">
        <f t="shared" si="262"/>
        <v>0</v>
      </c>
      <c r="AD19" s="133">
        <f t="shared" si="262"/>
        <v>0</v>
      </c>
      <c r="AE19" s="133">
        <f t="shared" si="262"/>
        <v>0</v>
      </c>
      <c r="AF19" s="133">
        <f t="shared" si="262"/>
        <v>0</v>
      </c>
      <c r="AG19" s="133">
        <f t="shared" si="262"/>
        <v>0</v>
      </c>
      <c r="AH19" s="133">
        <f t="shared" si="262"/>
        <v>0</v>
      </c>
      <c r="AI19" s="133">
        <f t="shared" si="262"/>
        <v>0</v>
      </c>
      <c r="AJ19" s="133">
        <f t="shared" si="262"/>
        <v>0</v>
      </c>
      <c r="AK19" s="133">
        <f t="shared" si="262"/>
        <v>0</v>
      </c>
      <c r="AL19" s="133">
        <f t="shared" si="262"/>
        <v>0</v>
      </c>
      <c r="AM19" s="133">
        <f t="shared" si="262"/>
        <v>0</v>
      </c>
      <c r="AN19" s="133">
        <f t="shared" si="262"/>
        <v>153</v>
      </c>
      <c r="AO19" s="133">
        <f t="shared" si="262"/>
        <v>278</v>
      </c>
      <c r="AP19" s="133">
        <f t="shared" si="262"/>
        <v>153</v>
      </c>
      <c r="AQ19" s="133">
        <f t="shared" si="262"/>
        <v>278</v>
      </c>
      <c r="AR19" s="133">
        <f t="shared" si="262"/>
        <v>431</v>
      </c>
      <c r="AS19" s="133">
        <f t="shared" si="262"/>
        <v>0</v>
      </c>
      <c r="AT19" s="133">
        <f t="shared" si="262"/>
        <v>0</v>
      </c>
      <c r="AU19" s="133">
        <f t="shared" si="262"/>
        <v>0</v>
      </c>
      <c r="AV19" s="133">
        <f t="shared" si="262"/>
        <v>0</v>
      </c>
      <c r="AW19" s="133">
        <f t="shared" si="262"/>
        <v>0</v>
      </c>
      <c r="AX19" s="133">
        <f t="shared" si="262"/>
        <v>0</v>
      </c>
      <c r="AY19" s="133">
        <f t="shared" si="262"/>
        <v>0</v>
      </c>
      <c r="AZ19" s="133">
        <f t="shared" si="262"/>
        <v>0</v>
      </c>
      <c r="BA19" s="133">
        <f t="shared" si="262"/>
        <v>0</v>
      </c>
      <c r="BB19" s="133">
        <f t="shared" si="262"/>
        <v>0</v>
      </c>
      <c r="BC19" s="133">
        <f t="shared" si="262"/>
        <v>0</v>
      </c>
      <c r="BD19" s="133">
        <f t="shared" si="262"/>
        <v>0</v>
      </c>
      <c r="BE19" s="133">
        <f t="shared" si="262"/>
        <v>0</v>
      </c>
      <c r="BF19" s="133">
        <f t="shared" si="262"/>
        <v>0</v>
      </c>
      <c r="BG19" s="133">
        <f t="shared" si="262"/>
        <v>0</v>
      </c>
      <c r="BH19" s="133">
        <f t="shared" si="262"/>
        <v>0</v>
      </c>
      <c r="BI19" s="133">
        <f t="shared" si="262"/>
        <v>181</v>
      </c>
      <c r="BJ19" s="133">
        <f t="shared" si="262"/>
        <v>278</v>
      </c>
      <c r="BK19" s="133">
        <f t="shared" si="262"/>
        <v>181</v>
      </c>
      <c r="BL19" s="133">
        <f t="shared" si="262"/>
        <v>278</v>
      </c>
      <c r="BM19" s="133">
        <f t="shared" si="262"/>
        <v>459</v>
      </c>
      <c r="BN19" s="133">
        <f t="shared" si="262"/>
        <v>0</v>
      </c>
      <c r="BO19" s="133">
        <f t="shared" si="262"/>
        <v>0</v>
      </c>
      <c r="BP19" s="133">
        <f t="shared" si="262"/>
        <v>0</v>
      </c>
      <c r="BQ19" s="133">
        <f t="shared" si="262"/>
        <v>0</v>
      </c>
      <c r="BR19" s="133">
        <f t="shared" si="262"/>
        <v>0</v>
      </c>
      <c r="BS19" s="133">
        <f t="shared" ref="BS19:ED19" si="263">BS8+BS9</f>
        <v>0</v>
      </c>
      <c r="BT19" s="133">
        <f t="shared" si="263"/>
        <v>0</v>
      </c>
      <c r="BU19" s="133">
        <f t="shared" si="263"/>
        <v>0</v>
      </c>
      <c r="BV19" s="133">
        <f t="shared" si="263"/>
        <v>0</v>
      </c>
      <c r="BW19" s="133">
        <f t="shared" si="263"/>
        <v>0</v>
      </c>
      <c r="BX19" s="133">
        <f t="shared" si="263"/>
        <v>0</v>
      </c>
      <c r="BY19" s="133">
        <f t="shared" si="263"/>
        <v>0</v>
      </c>
      <c r="BZ19" s="133">
        <f t="shared" si="263"/>
        <v>0</v>
      </c>
      <c r="CA19" s="133">
        <f t="shared" si="263"/>
        <v>0</v>
      </c>
      <c r="CB19" s="133">
        <f t="shared" si="263"/>
        <v>124</v>
      </c>
      <c r="CC19" s="133">
        <f t="shared" si="263"/>
        <v>230</v>
      </c>
      <c r="CD19" s="133">
        <f t="shared" si="263"/>
        <v>124</v>
      </c>
      <c r="CE19" s="133">
        <f t="shared" si="263"/>
        <v>230</v>
      </c>
      <c r="CF19" s="133">
        <f t="shared" si="263"/>
        <v>354</v>
      </c>
      <c r="CG19" s="133">
        <f t="shared" si="263"/>
        <v>0</v>
      </c>
      <c r="CH19" s="133">
        <f t="shared" si="263"/>
        <v>0</v>
      </c>
      <c r="CI19" s="133">
        <f t="shared" si="263"/>
        <v>0</v>
      </c>
      <c r="CJ19" s="133">
        <f t="shared" si="263"/>
        <v>0</v>
      </c>
      <c r="CK19" s="133">
        <f t="shared" si="263"/>
        <v>0</v>
      </c>
      <c r="CL19" s="133">
        <f t="shared" si="263"/>
        <v>0</v>
      </c>
      <c r="CM19" s="133">
        <f t="shared" si="263"/>
        <v>0</v>
      </c>
      <c r="CN19" s="133">
        <f t="shared" si="263"/>
        <v>0</v>
      </c>
      <c r="CO19" s="133">
        <f t="shared" si="263"/>
        <v>0</v>
      </c>
      <c r="CP19" s="133">
        <f t="shared" si="263"/>
        <v>0</v>
      </c>
      <c r="CQ19" s="133">
        <f t="shared" si="263"/>
        <v>0</v>
      </c>
      <c r="CR19" s="133">
        <f t="shared" si="263"/>
        <v>0</v>
      </c>
      <c r="CS19" s="133">
        <f t="shared" si="263"/>
        <v>123</v>
      </c>
      <c r="CT19" s="133">
        <f t="shared" si="263"/>
        <v>188</v>
      </c>
      <c r="CU19" s="133">
        <f t="shared" si="263"/>
        <v>123</v>
      </c>
      <c r="CV19" s="133">
        <f t="shared" si="263"/>
        <v>188</v>
      </c>
      <c r="CW19" s="133">
        <f t="shared" si="263"/>
        <v>311</v>
      </c>
      <c r="CX19" s="133">
        <f t="shared" si="263"/>
        <v>0</v>
      </c>
      <c r="CY19" s="133">
        <f t="shared" si="263"/>
        <v>0</v>
      </c>
      <c r="CZ19" s="133">
        <f t="shared" si="263"/>
        <v>0</v>
      </c>
      <c r="DA19" s="133">
        <f t="shared" si="263"/>
        <v>0</v>
      </c>
      <c r="DB19" s="133">
        <f t="shared" si="263"/>
        <v>0</v>
      </c>
      <c r="DC19" s="133">
        <f t="shared" si="263"/>
        <v>0</v>
      </c>
      <c r="DD19" s="133">
        <f t="shared" si="263"/>
        <v>0</v>
      </c>
      <c r="DE19" s="133">
        <f t="shared" si="263"/>
        <v>0</v>
      </c>
      <c r="DF19" s="133">
        <f t="shared" si="263"/>
        <v>0</v>
      </c>
      <c r="DG19" s="133">
        <f t="shared" si="263"/>
        <v>0</v>
      </c>
      <c r="DH19" s="133">
        <f t="shared" si="263"/>
        <v>0</v>
      </c>
      <c r="DI19" s="133">
        <f t="shared" si="263"/>
        <v>0</v>
      </c>
      <c r="DJ19" s="133">
        <f t="shared" si="263"/>
        <v>0</v>
      </c>
      <c r="DK19" s="133">
        <f t="shared" si="263"/>
        <v>0</v>
      </c>
      <c r="DL19" s="133">
        <f t="shared" si="263"/>
        <v>0</v>
      </c>
      <c r="DM19" s="133">
        <f t="shared" si="263"/>
        <v>0</v>
      </c>
      <c r="DN19" s="133">
        <f t="shared" si="263"/>
        <v>0</v>
      </c>
      <c r="DO19" s="133">
        <f t="shared" si="263"/>
        <v>0</v>
      </c>
      <c r="DP19" s="133">
        <f t="shared" si="263"/>
        <v>0</v>
      </c>
      <c r="DQ19" s="133">
        <f t="shared" si="263"/>
        <v>0</v>
      </c>
      <c r="DR19" s="133">
        <f t="shared" si="263"/>
        <v>0</v>
      </c>
      <c r="DS19" s="133">
        <f t="shared" si="263"/>
        <v>0</v>
      </c>
      <c r="DT19" s="133">
        <f t="shared" si="263"/>
        <v>0</v>
      </c>
      <c r="DU19" s="133">
        <f t="shared" si="263"/>
        <v>0</v>
      </c>
      <c r="DV19" s="133">
        <f t="shared" si="263"/>
        <v>0</v>
      </c>
      <c r="DW19" s="133">
        <f t="shared" si="263"/>
        <v>0</v>
      </c>
      <c r="DX19" s="133">
        <f t="shared" si="263"/>
        <v>0</v>
      </c>
      <c r="DY19" s="133">
        <f t="shared" si="263"/>
        <v>0</v>
      </c>
      <c r="DZ19" s="133">
        <f t="shared" si="263"/>
        <v>0</v>
      </c>
      <c r="EA19" s="133">
        <f t="shared" si="263"/>
        <v>0</v>
      </c>
      <c r="EB19" s="133">
        <f t="shared" si="263"/>
        <v>0</v>
      </c>
      <c r="EC19" s="133">
        <f t="shared" si="263"/>
        <v>0</v>
      </c>
      <c r="ED19" s="133">
        <f t="shared" si="263"/>
        <v>0</v>
      </c>
      <c r="EE19" s="133">
        <f t="shared" ref="EE19:GP19" si="264">EE8+EE9</f>
        <v>0</v>
      </c>
      <c r="EF19" s="133">
        <f t="shared" si="264"/>
        <v>0</v>
      </c>
      <c r="EG19" s="133">
        <f t="shared" si="264"/>
        <v>0</v>
      </c>
      <c r="EH19" s="133">
        <f t="shared" si="264"/>
        <v>0</v>
      </c>
      <c r="EI19" s="133">
        <f t="shared" si="264"/>
        <v>0</v>
      </c>
      <c r="EJ19" s="133">
        <f t="shared" si="264"/>
        <v>0</v>
      </c>
      <c r="EK19" s="133">
        <f t="shared" si="264"/>
        <v>0</v>
      </c>
      <c r="EL19" s="133">
        <f t="shared" si="264"/>
        <v>0</v>
      </c>
      <c r="EM19" s="133">
        <f t="shared" si="264"/>
        <v>0</v>
      </c>
      <c r="EN19" s="133">
        <f t="shared" si="264"/>
        <v>0</v>
      </c>
      <c r="EO19" s="133">
        <f t="shared" si="264"/>
        <v>0</v>
      </c>
      <c r="EP19" s="133">
        <f t="shared" si="264"/>
        <v>428</v>
      </c>
      <c r="EQ19" s="133">
        <f t="shared" si="264"/>
        <v>696</v>
      </c>
      <c r="ER19" s="133">
        <f t="shared" si="264"/>
        <v>428</v>
      </c>
      <c r="ES19" s="133">
        <f t="shared" si="264"/>
        <v>696</v>
      </c>
      <c r="ET19" s="133">
        <f t="shared" si="264"/>
        <v>1124</v>
      </c>
      <c r="EU19" s="133">
        <f t="shared" si="264"/>
        <v>0</v>
      </c>
      <c r="EV19" s="133">
        <f t="shared" si="264"/>
        <v>0</v>
      </c>
      <c r="EW19" s="133">
        <f t="shared" si="264"/>
        <v>96</v>
      </c>
      <c r="EX19" s="133">
        <f t="shared" si="264"/>
        <v>222</v>
      </c>
      <c r="EY19" s="133">
        <f t="shared" si="264"/>
        <v>111</v>
      </c>
      <c r="EZ19" s="133">
        <f t="shared" si="264"/>
        <v>227</v>
      </c>
      <c r="FA19" s="133">
        <f t="shared" si="264"/>
        <v>127</v>
      </c>
      <c r="FB19" s="133">
        <f t="shared" si="264"/>
        <v>0</v>
      </c>
      <c r="FC19" s="133">
        <f t="shared" si="264"/>
        <v>94</v>
      </c>
      <c r="FD19" s="133">
        <f t="shared" si="264"/>
        <v>0</v>
      </c>
      <c r="FE19" s="133">
        <f t="shared" si="264"/>
        <v>0</v>
      </c>
      <c r="FF19" s="133">
        <f t="shared" si="264"/>
        <v>247</v>
      </c>
      <c r="FG19" s="133">
        <f t="shared" si="264"/>
        <v>428</v>
      </c>
      <c r="FH19" s="133">
        <f t="shared" si="264"/>
        <v>696</v>
      </c>
      <c r="FI19" s="133">
        <f t="shared" si="264"/>
        <v>1124</v>
      </c>
      <c r="FJ19" s="133">
        <f t="shared" si="264"/>
        <v>8</v>
      </c>
      <c r="FK19" s="133">
        <f t="shared" si="264"/>
        <v>6</v>
      </c>
      <c r="FL19" s="133">
        <f t="shared" si="264"/>
        <v>0</v>
      </c>
      <c r="FM19" s="133">
        <f t="shared" si="264"/>
        <v>8</v>
      </c>
      <c r="FN19" s="133">
        <f t="shared" si="264"/>
        <v>6</v>
      </c>
      <c r="FO19" s="133">
        <f t="shared" si="264"/>
        <v>0</v>
      </c>
      <c r="FP19" s="133">
        <f t="shared" si="264"/>
        <v>8</v>
      </c>
      <c r="FQ19" s="133">
        <f t="shared" si="264"/>
        <v>6</v>
      </c>
      <c r="FR19" s="133">
        <f t="shared" si="264"/>
        <v>0</v>
      </c>
      <c r="FS19" s="133">
        <f t="shared" si="264"/>
        <v>0</v>
      </c>
      <c r="FT19" s="133">
        <f t="shared" si="264"/>
        <v>0</v>
      </c>
      <c r="FU19" s="133">
        <f t="shared" si="264"/>
        <v>0</v>
      </c>
      <c r="FV19" s="133">
        <f t="shared" si="264"/>
        <v>0</v>
      </c>
      <c r="FW19" s="133">
        <f t="shared" si="264"/>
        <v>0</v>
      </c>
      <c r="FX19" s="133">
        <f t="shared" si="264"/>
        <v>0</v>
      </c>
      <c r="FY19" s="133">
        <f t="shared" si="264"/>
        <v>24</v>
      </c>
      <c r="FZ19" s="133">
        <f t="shared" si="264"/>
        <v>18</v>
      </c>
      <c r="GA19" s="133">
        <f t="shared" si="264"/>
        <v>0</v>
      </c>
      <c r="GB19" s="133">
        <f t="shared" si="264"/>
        <v>42</v>
      </c>
      <c r="GC19" s="133">
        <f t="shared" si="264"/>
        <v>28</v>
      </c>
      <c r="GD19" s="133">
        <f t="shared" si="264"/>
        <v>6</v>
      </c>
      <c r="GE19" s="133">
        <f t="shared" si="264"/>
        <v>4</v>
      </c>
      <c r="GF19" s="133">
        <f t="shared" si="264"/>
        <v>7</v>
      </c>
      <c r="GG19" s="133">
        <f t="shared" si="264"/>
        <v>1</v>
      </c>
      <c r="GH19" s="133">
        <f t="shared" si="264"/>
        <v>1</v>
      </c>
      <c r="GI19" s="133">
        <f t="shared" si="264"/>
        <v>0</v>
      </c>
      <c r="GJ19" s="133">
        <f t="shared" si="264"/>
        <v>0</v>
      </c>
      <c r="GK19" s="133">
        <f t="shared" si="264"/>
        <v>0</v>
      </c>
      <c r="GL19" s="133">
        <f t="shared" si="264"/>
        <v>0</v>
      </c>
      <c r="GM19" s="133">
        <f t="shared" si="264"/>
        <v>33</v>
      </c>
      <c r="GN19" s="133">
        <f t="shared" si="264"/>
        <v>14</v>
      </c>
      <c r="GO19" s="133">
        <f t="shared" si="264"/>
        <v>47</v>
      </c>
      <c r="GP19" s="133">
        <f t="shared" si="264"/>
        <v>0</v>
      </c>
      <c r="GQ19" s="133">
        <f t="shared" ref="GQ19:JB19" si="265">GQ8+GQ9</f>
        <v>0</v>
      </c>
      <c r="GR19" s="133">
        <f t="shared" si="265"/>
        <v>0</v>
      </c>
      <c r="GS19" s="133">
        <f t="shared" si="265"/>
        <v>0</v>
      </c>
      <c r="GT19" s="133">
        <f t="shared" si="265"/>
        <v>0</v>
      </c>
      <c r="GU19" s="133">
        <f t="shared" si="265"/>
        <v>0</v>
      </c>
      <c r="GV19" s="133">
        <f t="shared" si="265"/>
        <v>0</v>
      </c>
      <c r="GW19" s="133">
        <f t="shared" si="265"/>
        <v>0</v>
      </c>
      <c r="GX19" s="133">
        <f t="shared" si="265"/>
        <v>0</v>
      </c>
      <c r="GY19" s="133">
        <f t="shared" si="265"/>
        <v>0</v>
      </c>
      <c r="GZ19" s="133">
        <f t="shared" si="265"/>
        <v>0</v>
      </c>
      <c r="HA19" s="133">
        <f t="shared" si="265"/>
        <v>0</v>
      </c>
      <c r="HB19" s="133">
        <f t="shared" si="265"/>
        <v>0</v>
      </c>
      <c r="HC19" s="133">
        <f t="shared" si="265"/>
        <v>120</v>
      </c>
      <c r="HD19" s="133">
        <f t="shared" si="265"/>
        <v>217</v>
      </c>
      <c r="HE19" s="133">
        <f t="shared" si="265"/>
        <v>122</v>
      </c>
      <c r="HF19" s="133">
        <f t="shared" si="265"/>
        <v>186</v>
      </c>
      <c r="HG19" s="133">
        <f t="shared" si="265"/>
        <v>0</v>
      </c>
      <c r="HH19" s="133">
        <f t="shared" si="265"/>
        <v>0</v>
      </c>
      <c r="HI19" s="133">
        <f t="shared" si="265"/>
        <v>0</v>
      </c>
      <c r="HJ19" s="133">
        <f t="shared" si="265"/>
        <v>0</v>
      </c>
      <c r="HK19" s="133">
        <f t="shared" si="265"/>
        <v>0</v>
      </c>
      <c r="HL19" s="133">
        <f t="shared" si="265"/>
        <v>0</v>
      </c>
      <c r="HM19" s="133">
        <f t="shared" si="265"/>
        <v>242</v>
      </c>
      <c r="HN19" s="133">
        <f t="shared" si="265"/>
        <v>403</v>
      </c>
      <c r="HO19" s="133">
        <f t="shared" si="265"/>
        <v>645</v>
      </c>
      <c r="HP19" s="133">
        <f t="shared" si="265"/>
        <v>8</v>
      </c>
      <c r="HQ19" s="133">
        <f t="shared" si="265"/>
        <v>4</v>
      </c>
      <c r="HR19" s="133">
        <f t="shared" si="265"/>
        <v>1</v>
      </c>
      <c r="HS19" s="133">
        <f t="shared" si="265"/>
        <v>0</v>
      </c>
      <c r="HT19" s="133">
        <f t="shared" si="265"/>
        <v>0</v>
      </c>
      <c r="HU19" s="133">
        <f t="shared" si="265"/>
        <v>0</v>
      </c>
      <c r="HV19" s="133">
        <f t="shared" si="265"/>
        <v>0</v>
      </c>
      <c r="HW19" s="133">
        <f t="shared" si="265"/>
        <v>0</v>
      </c>
      <c r="HX19" s="133">
        <f t="shared" si="265"/>
        <v>0</v>
      </c>
      <c r="HY19" s="133">
        <f t="shared" si="265"/>
        <v>0</v>
      </c>
      <c r="HZ19" s="133">
        <f t="shared" si="265"/>
        <v>9</v>
      </c>
      <c r="IA19" s="133">
        <f t="shared" si="265"/>
        <v>4</v>
      </c>
      <c r="IB19" s="133">
        <f t="shared" si="265"/>
        <v>13</v>
      </c>
      <c r="IC19" s="133">
        <f t="shared" si="265"/>
        <v>0</v>
      </c>
      <c r="ID19" s="133">
        <f t="shared" si="265"/>
        <v>15</v>
      </c>
      <c r="IE19" s="133">
        <f t="shared" si="265"/>
        <v>0</v>
      </c>
      <c r="IF19" s="133">
        <f t="shared" si="265"/>
        <v>4</v>
      </c>
      <c r="IG19" s="133">
        <f t="shared" si="265"/>
        <v>0</v>
      </c>
      <c r="IH19" s="133">
        <f t="shared" si="265"/>
        <v>0</v>
      </c>
      <c r="II19" s="133">
        <f t="shared" si="265"/>
        <v>0</v>
      </c>
      <c r="IJ19" s="133">
        <f t="shared" si="265"/>
        <v>0</v>
      </c>
      <c r="IK19" s="133">
        <f t="shared" si="265"/>
        <v>0</v>
      </c>
      <c r="IL19" s="133">
        <f t="shared" si="265"/>
        <v>0</v>
      </c>
      <c r="IM19" s="133">
        <f t="shared" si="265"/>
        <v>0</v>
      </c>
      <c r="IN19" s="133">
        <f t="shared" si="265"/>
        <v>19</v>
      </c>
      <c r="IO19" s="133">
        <f t="shared" si="265"/>
        <v>19</v>
      </c>
      <c r="IP19" s="133">
        <f t="shared" si="265"/>
        <v>0</v>
      </c>
      <c r="IQ19" s="133">
        <f t="shared" si="265"/>
        <v>0</v>
      </c>
      <c r="IR19" s="133">
        <f t="shared" si="265"/>
        <v>0</v>
      </c>
      <c r="IS19" s="133">
        <f t="shared" si="265"/>
        <v>0</v>
      </c>
      <c r="IT19" s="133">
        <f t="shared" si="265"/>
        <v>0</v>
      </c>
      <c r="IU19" s="133">
        <f t="shared" si="265"/>
        <v>0</v>
      </c>
      <c r="IV19" s="133">
        <f t="shared" si="265"/>
        <v>0</v>
      </c>
      <c r="IW19" s="133">
        <f t="shared" si="265"/>
        <v>0</v>
      </c>
      <c r="IX19" s="133">
        <f t="shared" si="265"/>
        <v>0</v>
      </c>
      <c r="IY19" s="133">
        <f t="shared" si="265"/>
        <v>0</v>
      </c>
      <c r="IZ19" s="133">
        <f t="shared" si="265"/>
        <v>0</v>
      </c>
      <c r="JA19" s="133">
        <f t="shared" si="265"/>
        <v>0</v>
      </c>
      <c r="JB19" s="133">
        <f t="shared" si="265"/>
        <v>0</v>
      </c>
      <c r="JC19" s="133">
        <f t="shared" ref="JC19:LM19" si="266">JC8+JC9</f>
        <v>1</v>
      </c>
      <c r="JD19" s="133">
        <f t="shared" si="266"/>
        <v>1</v>
      </c>
      <c r="JE19" s="133">
        <f t="shared" si="266"/>
        <v>1</v>
      </c>
      <c r="JF19" s="133">
        <f t="shared" si="266"/>
        <v>2</v>
      </c>
      <c r="JG19" s="133">
        <f t="shared" si="266"/>
        <v>6</v>
      </c>
      <c r="JH19" s="133">
        <f t="shared" si="266"/>
        <v>13</v>
      </c>
      <c r="JI19" s="133">
        <f t="shared" si="266"/>
        <v>0</v>
      </c>
      <c r="JJ19" s="133">
        <f t="shared" si="266"/>
        <v>0</v>
      </c>
      <c r="JK19" s="133">
        <f t="shared" si="266"/>
        <v>0</v>
      </c>
      <c r="JL19" s="133">
        <f t="shared" si="266"/>
        <v>0</v>
      </c>
      <c r="JM19" s="133">
        <f t="shared" si="266"/>
        <v>8</v>
      </c>
      <c r="JN19" s="133">
        <f t="shared" si="266"/>
        <v>16</v>
      </c>
      <c r="JO19" s="133">
        <f t="shared" si="266"/>
        <v>24</v>
      </c>
      <c r="JP19" s="133">
        <f t="shared" si="266"/>
        <v>1</v>
      </c>
      <c r="JQ19" s="133">
        <f t="shared" si="266"/>
        <v>0</v>
      </c>
      <c r="JR19" s="133">
        <f t="shared" si="266"/>
        <v>0</v>
      </c>
      <c r="JS19" s="133">
        <f t="shared" si="266"/>
        <v>1</v>
      </c>
      <c r="JT19" s="133">
        <f t="shared" si="266"/>
        <v>0</v>
      </c>
      <c r="JU19" s="133">
        <f t="shared" si="266"/>
        <v>0</v>
      </c>
      <c r="JV19" s="133">
        <f t="shared" si="266"/>
        <v>0</v>
      </c>
      <c r="JW19" s="133">
        <f t="shared" si="266"/>
        <v>0</v>
      </c>
      <c r="JX19" s="133">
        <f t="shared" si="266"/>
        <v>0</v>
      </c>
      <c r="JY19" s="133">
        <f t="shared" si="266"/>
        <v>0</v>
      </c>
      <c r="JZ19" s="133">
        <f t="shared" si="266"/>
        <v>0</v>
      </c>
      <c r="KA19" s="133">
        <f t="shared" si="266"/>
        <v>1</v>
      </c>
      <c r="KB19" s="133">
        <f t="shared" si="266"/>
        <v>1</v>
      </c>
      <c r="KC19" s="133">
        <f t="shared" si="266"/>
        <v>0</v>
      </c>
      <c r="KD19" s="133">
        <f t="shared" si="266"/>
        <v>0</v>
      </c>
      <c r="KE19" s="133">
        <f t="shared" si="266"/>
        <v>0</v>
      </c>
      <c r="KF19" s="133">
        <f t="shared" si="266"/>
        <v>0</v>
      </c>
      <c r="KG19" s="133">
        <f t="shared" si="266"/>
        <v>0</v>
      </c>
      <c r="KH19" s="133">
        <f t="shared" si="266"/>
        <v>0</v>
      </c>
      <c r="KI19" s="133">
        <f t="shared" si="266"/>
        <v>0</v>
      </c>
      <c r="KJ19" s="133">
        <f t="shared" si="266"/>
        <v>2</v>
      </c>
      <c r="KK19" s="133">
        <f t="shared" si="266"/>
        <v>2</v>
      </c>
      <c r="KL19" s="133">
        <f t="shared" si="266"/>
        <v>4</v>
      </c>
      <c r="KM19" s="133">
        <f t="shared" si="266"/>
        <v>8</v>
      </c>
      <c r="KN19" s="133">
        <f t="shared" si="266"/>
        <v>16</v>
      </c>
      <c r="KO19" s="133">
        <f t="shared" si="266"/>
        <v>0</v>
      </c>
      <c r="KP19" s="133">
        <f t="shared" si="266"/>
        <v>0</v>
      </c>
      <c r="KQ19" s="133">
        <f t="shared" si="266"/>
        <v>0</v>
      </c>
      <c r="KR19" s="133">
        <f t="shared" si="266"/>
        <v>0</v>
      </c>
      <c r="KS19" s="133">
        <f t="shared" si="266"/>
        <v>8</v>
      </c>
      <c r="KT19" s="133">
        <f t="shared" si="266"/>
        <v>16</v>
      </c>
      <c r="KU19" s="133">
        <f t="shared" si="266"/>
        <v>24</v>
      </c>
      <c r="KV19" s="133">
        <f t="shared" si="266"/>
        <v>5</v>
      </c>
      <c r="KW19" s="133">
        <f t="shared" si="266"/>
        <v>13</v>
      </c>
      <c r="KX19" s="133">
        <f t="shared" si="266"/>
        <v>0</v>
      </c>
      <c r="KY19" s="133">
        <f t="shared" si="266"/>
        <v>0</v>
      </c>
      <c r="KZ19" s="133">
        <f t="shared" si="266"/>
        <v>2</v>
      </c>
      <c r="LA19" s="133">
        <f t="shared" si="266"/>
        <v>1</v>
      </c>
      <c r="LB19" s="133">
        <f t="shared" si="266"/>
        <v>0</v>
      </c>
      <c r="LC19" s="133">
        <f t="shared" si="266"/>
        <v>0</v>
      </c>
      <c r="LD19" s="133">
        <f t="shared" si="266"/>
        <v>0</v>
      </c>
      <c r="LE19" s="133">
        <f t="shared" si="266"/>
        <v>0</v>
      </c>
      <c r="LF19" s="133">
        <f t="shared" si="266"/>
        <v>1</v>
      </c>
      <c r="LG19" s="133">
        <f t="shared" si="266"/>
        <v>0</v>
      </c>
      <c r="LH19" s="133">
        <f t="shared" si="266"/>
        <v>0</v>
      </c>
      <c r="LI19" s="133">
        <f t="shared" si="266"/>
        <v>0</v>
      </c>
      <c r="LJ19" s="133">
        <f t="shared" si="266"/>
        <v>0</v>
      </c>
      <c r="LK19" s="133">
        <f t="shared" si="266"/>
        <v>0</v>
      </c>
      <c r="LL19" s="133">
        <f t="shared" si="266"/>
        <v>0</v>
      </c>
      <c r="LM19" s="133">
        <f t="shared" si="266"/>
        <v>2</v>
      </c>
      <c r="LN19" s="133">
        <f t="shared" ref="LN19:NY19" si="267">LN8+LN9</f>
        <v>8</v>
      </c>
      <c r="LO19" s="133">
        <f t="shared" si="267"/>
        <v>16</v>
      </c>
      <c r="LP19" s="133">
        <f t="shared" si="267"/>
        <v>24</v>
      </c>
      <c r="LQ19" s="133">
        <f t="shared" si="267"/>
        <v>0</v>
      </c>
      <c r="LR19" s="133">
        <f t="shared" si="267"/>
        <v>0</v>
      </c>
      <c r="LS19" s="133">
        <f t="shared" si="267"/>
        <v>0</v>
      </c>
      <c r="LT19" s="133">
        <f t="shared" si="267"/>
        <v>0</v>
      </c>
      <c r="LU19" s="133">
        <f t="shared" si="267"/>
        <v>0</v>
      </c>
      <c r="LV19" s="133">
        <f t="shared" si="267"/>
        <v>0</v>
      </c>
      <c r="LW19" s="133">
        <f t="shared" si="267"/>
        <v>0</v>
      </c>
      <c r="LX19" s="133">
        <f t="shared" si="267"/>
        <v>2</v>
      </c>
      <c r="LY19" s="133">
        <f t="shared" si="267"/>
        <v>0</v>
      </c>
      <c r="LZ19" s="133">
        <f t="shared" si="267"/>
        <v>0</v>
      </c>
      <c r="MA19" s="133">
        <f t="shared" si="267"/>
        <v>0</v>
      </c>
      <c r="MB19" s="133">
        <f t="shared" si="267"/>
        <v>0</v>
      </c>
      <c r="MC19" s="133">
        <f t="shared" si="267"/>
        <v>1</v>
      </c>
      <c r="MD19" s="133">
        <f t="shared" si="267"/>
        <v>0</v>
      </c>
      <c r="ME19" s="133">
        <f t="shared" si="267"/>
        <v>0</v>
      </c>
      <c r="MF19" s="133">
        <f t="shared" si="267"/>
        <v>0</v>
      </c>
      <c r="MG19" s="133">
        <f t="shared" si="267"/>
        <v>1</v>
      </c>
      <c r="MH19" s="133">
        <f t="shared" si="267"/>
        <v>2</v>
      </c>
      <c r="MI19" s="133">
        <f t="shared" si="267"/>
        <v>3</v>
      </c>
      <c r="MJ19" s="133">
        <f t="shared" si="267"/>
        <v>0</v>
      </c>
      <c r="MK19" s="133">
        <f t="shared" si="267"/>
        <v>0</v>
      </c>
      <c r="ML19" s="133">
        <f t="shared" si="267"/>
        <v>0</v>
      </c>
      <c r="MM19" s="133">
        <f t="shared" si="267"/>
        <v>0</v>
      </c>
      <c r="MN19" s="133">
        <f t="shared" si="267"/>
        <v>0</v>
      </c>
      <c r="MO19" s="133">
        <f t="shared" si="267"/>
        <v>1</v>
      </c>
      <c r="MP19" s="133">
        <f t="shared" si="267"/>
        <v>0</v>
      </c>
      <c r="MQ19" s="133">
        <f t="shared" si="267"/>
        <v>1</v>
      </c>
      <c r="MR19" s="133">
        <f t="shared" si="267"/>
        <v>0</v>
      </c>
      <c r="MS19" s="133">
        <f t="shared" si="267"/>
        <v>0</v>
      </c>
      <c r="MT19" s="133">
        <f t="shared" si="267"/>
        <v>0</v>
      </c>
      <c r="MU19" s="133">
        <f t="shared" si="267"/>
        <v>0</v>
      </c>
      <c r="MV19" s="133">
        <f t="shared" si="267"/>
        <v>1</v>
      </c>
      <c r="MW19" s="133">
        <f t="shared" si="267"/>
        <v>1</v>
      </c>
      <c r="MX19" s="133">
        <f t="shared" si="267"/>
        <v>0</v>
      </c>
      <c r="MY19" s="133">
        <f t="shared" si="267"/>
        <v>0</v>
      </c>
      <c r="MZ19" s="133">
        <f t="shared" si="267"/>
        <v>1</v>
      </c>
      <c r="NA19" s="133">
        <f t="shared" si="267"/>
        <v>3</v>
      </c>
      <c r="NB19" s="133">
        <f t="shared" si="267"/>
        <v>4</v>
      </c>
      <c r="NC19" s="133">
        <f t="shared" si="267"/>
        <v>0</v>
      </c>
      <c r="ND19" s="133">
        <f t="shared" si="267"/>
        <v>0</v>
      </c>
      <c r="NE19" s="133">
        <f t="shared" si="267"/>
        <v>0</v>
      </c>
      <c r="NF19" s="133">
        <f t="shared" si="267"/>
        <v>0</v>
      </c>
      <c r="NG19" s="133">
        <f t="shared" si="267"/>
        <v>0</v>
      </c>
      <c r="NH19" s="133">
        <f t="shared" si="267"/>
        <v>2</v>
      </c>
      <c r="NI19" s="133">
        <f t="shared" si="267"/>
        <v>0</v>
      </c>
      <c r="NJ19" s="133">
        <f t="shared" si="267"/>
        <v>0</v>
      </c>
      <c r="NK19" s="133">
        <f t="shared" si="267"/>
        <v>1</v>
      </c>
      <c r="NL19" s="133">
        <f t="shared" si="267"/>
        <v>0</v>
      </c>
      <c r="NM19" s="133">
        <f t="shared" si="267"/>
        <v>0</v>
      </c>
      <c r="NN19" s="133">
        <f t="shared" si="267"/>
        <v>1</v>
      </c>
      <c r="NO19" s="133">
        <f t="shared" si="267"/>
        <v>0</v>
      </c>
      <c r="NP19" s="133">
        <f t="shared" si="267"/>
        <v>0</v>
      </c>
      <c r="NQ19" s="133">
        <f t="shared" si="267"/>
        <v>0</v>
      </c>
      <c r="NR19" s="133">
        <f t="shared" si="267"/>
        <v>0</v>
      </c>
      <c r="NS19" s="133">
        <f t="shared" si="267"/>
        <v>1</v>
      </c>
      <c r="NT19" s="133">
        <f t="shared" si="267"/>
        <v>3</v>
      </c>
      <c r="NU19" s="133">
        <f t="shared" si="267"/>
        <v>4</v>
      </c>
      <c r="NV19" s="133">
        <f t="shared" si="267"/>
        <v>0</v>
      </c>
      <c r="NW19" s="133">
        <f t="shared" si="267"/>
        <v>0</v>
      </c>
      <c r="NX19" s="133">
        <f t="shared" si="267"/>
        <v>0</v>
      </c>
      <c r="NY19" s="133">
        <f t="shared" si="267"/>
        <v>0</v>
      </c>
      <c r="NZ19" s="133">
        <f t="shared" ref="NZ19:QK19" si="268">NZ8+NZ9</f>
        <v>0</v>
      </c>
      <c r="OA19" s="133">
        <f t="shared" si="268"/>
        <v>0</v>
      </c>
      <c r="OB19" s="133">
        <f t="shared" si="268"/>
        <v>0</v>
      </c>
      <c r="OC19" s="133">
        <f t="shared" si="268"/>
        <v>0</v>
      </c>
      <c r="OD19" s="133">
        <f t="shared" si="268"/>
        <v>0</v>
      </c>
      <c r="OE19" s="133">
        <f t="shared" si="268"/>
        <v>0</v>
      </c>
      <c r="OF19" s="133">
        <f t="shared" si="268"/>
        <v>0</v>
      </c>
      <c r="OG19" s="133">
        <f t="shared" si="268"/>
        <v>0</v>
      </c>
      <c r="OH19" s="133">
        <f t="shared" si="268"/>
        <v>0</v>
      </c>
      <c r="OI19" s="133">
        <f t="shared" si="268"/>
        <v>0</v>
      </c>
      <c r="OJ19" s="133">
        <f t="shared" si="268"/>
        <v>0</v>
      </c>
      <c r="OK19" s="133">
        <f t="shared" si="268"/>
        <v>0</v>
      </c>
      <c r="OL19" s="133">
        <f t="shared" si="268"/>
        <v>0</v>
      </c>
      <c r="OM19" s="133">
        <f t="shared" si="268"/>
        <v>0</v>
      </c>
      <c r="ON19" s="133">
        <f t="shared" si="268"/>
        <v>0</v>
      </c>
      <c r="OO19" s="133">
        <f t="shared" si="268"/>
        <v>0</v>
      </c>
      <c r="OP19" s="133">
        <f t="shared" si="268"/>
        <v>0</v>
      </c>
      <c r="OQ19" s="133">
        <f t="shared" si="268"/>
        <v>0</v>
      </c>
      <c r="OR19" s="133">
        <f t="shared" si="268"/>
        <v>0</v>
      </c>
      <c r="OS19" s="133">
        <f t="shared" si="268"/>
        <v>0</v>
      </c>
      <c r="OT19" s="133">
        <f t="shared" si="268"/>
        <v>0</v>
      </c>
      <c r="OU19" s="133">
        <f t="shared" si="268"/>
        <v>0</v>
      </c>
      <c r="OV19" s="133">
        <f t="shared" si="268"/>
        <v>0</v>
      </c>
      <c r="OW19" s="133">
        <f t="shared" si="268"/>
        <v>0</v>
      </c>
      <c r="OX19" s="133">
        <f t="shared" si="268"/>
        <v>0</v>
      </c>
      <c r="OY19" s="133">
        <f t="shared" si="268"/>
        <v>0</v>
      </c>
      <c r="OZ19" s="133">
        <f t="shared" si="268"/>
        <v>0</v>
      </c>
      <c r="PA19" s="133">
        <f t="shared" si="268"/>
        <v>0</v>
      </c>
      <c r="PB19" s="133">
        <f t="shared" si="268"/>
        <v>0</v>
      </c>
      <c r="PC19" s="133">
        <f t="shared" si="268"/>
        <v>0</v>
      </c>
      <c r="PD19" s="133">
        <f t="shared" si="268"/>
        <v>0</v>
      </c>
      <c r="PE19" s="133">
        <f t="shared" si="268"/>
        <v>0</v>
      </c>
      <c r="PF19" s="133">
        <f t="shared" si="268"/>
        <v>0</v>
      </c>
      <c r="PG19" s="133">
        <f t="shared" si="268"/>
        <v>0</v>
      </c>
      <c r="PH19" s="133">
        <f t="shared" si="268"/>
        <v>0</v>
      </c>
      <c r="PI19" s="133">
        <f t="shared" si="268"/>
        <v>0</v>
      </c>
      <c r="PJ19" s="133">
        <f t="shared" si="268"/>
        <v>0</v>
      </c>
      <c r="PK19" s="133">
        <f t="shared" si="268"/>
        <v>0</v>
      </c>
      <c r="PL19" s="133">
        <f t="shared" si="268"/>
        <v>0</v>
      </c>
      <c r="PM19" s="133">
        <f t="shared" si="268"/>
        <v>0</v>
      </c>
      <c r="PN19" s="133">
        <f t="shared" si="268"/>
        <v>0</v>
      </c>
      <c r="PO19" s="133">
        <f t="shared" si="268"/>
        <v>0</v>
      </c>
      <c r="PP19" s="133">
        <f t="shared" si="268"/>
        <v>0</v>
      </c>
      <c r="PQ19" s="133">
        <f t="shared" si="268"/>
        <v>0</v>
      </c>
      <c r="PR19" s="133">
        <f t="shared" si="268"/>
        <v>0</v>
      </c>
      <c r="PS19" s="133">
        <f t="shared" si="268"/>
        <v>0</v>
      </c>
      <c r="PT19" s="133">
        <f t="shared" si="268"/>
        <v>0</v>
      </c>
      <c r="PU19" s="133">
        <f t="shared" si="268"/>
        <v>0</v>
      </c>
      <c r="PV19" s="133">
        <f t="shared" si="268"/>
        <v>0</v>
      </c>
      <c r="PW19" s="133">
        <f t="shared" si="268"/>
        <v>0</v>
      </c>
      <c r="PX19" s="133">
        <f t="shared" si="268"/>
        <v>0</v>
      </c>
      <c r="PY19" s="133">
        <f t="shared" si="268"/>
        <v>0</v>
      </c>
      <c r="PZ19" s="133">
        <f t="shared" si="268"/>
        <v>0</v>
      </c>
      <c r="QA19" s="133">
        <f t="shared" si="268"/>
        <v>0</v>
      </c>
      <c r="QB19" s="133">
        <f t="shared" si="268"/>
        <v>0</v>
      </c>
      <c r="QC19" s="133">
        <f t="shared" si="268"/>
        <v>0</v>
      </c>
      <c r="QD19" s="133">
        <f t="shared" si="268"/>
        <v>0</v>
      </c>
      <c r="QE19" s="133">
        <f t="shared" si="268"/>
        <v>0</v>
      </c>
      <c r="QF19" s="133">
        <f t="shared" si="268"/>
        <v>0</v>
      </c>
      <c r="QG19" s="133">
        <f t="shared" si="268"/>
        <v>0</v>
      </c>
      <c r="QH19" s="133">
        <f t="shared" si="268"/>
        <v>0</v>
      </c>
      <c r="QI19" s="133">
        <f t="shared" si="268"/>
        <v>0</v>
      </c>
      <c r="QJ19" s="133">
        <f t="shared" si="268"/>
        <v>0</v>
      </c>
      <c r="QK19" s="133">
        <f t="shared" si="268"/>
        <v>0</v>
      </c>
      <c r="QL19" s="133">
        <f t="shared" ref="QL19:SW19" si="269">QL8+QL9</f>
        <v>0</v>
      </c>
      <c r="QM19" s="133">
        <f t="shared" si="269"/>
        <v>0</v>
      </c>
      <c r="QN19" s="133">
        <f t="shared" si="269"/>
        <v>0</v>
      </c>
      <c r="QO19" s="133">
        <f t="shared" si="269"/>
        <v>0</v>
      </c>
      <c r="QP19" s="133">
        <f t="shared" si="269"/>
        <v>0</v>
      </c>
      <c r="QQ19" s="133">
        <f t="shared" si="269"/>
        <v>0</v>
      </c>
      <c r="QR19" s="133">
        <f t="shared" si="269"/>
        <v>0</v>
      </c>
      <c r="QS19" s="133">
        <f t="shared" si="269"/>
        <v>0</v>
      </c>
      <c r="QT19" s="133">
        <f t="shared" si="269"/>
        <v>0</v>
      </c>
      <c r="QU19" s="133">
        <f t="shared" si="269"/>
        <v>0</v>
      </c>
      <c r="QV19" s="133">
        <f t="shared" si="269"/>
        <v>0</v>
      </c>
      <c r="QW19" s="133">
        <f t="shared" si="269"/>
        <v>0</v>
      </c>
      <c r="QX19" s="133">
        <f t="shared" si="269"/>
        <v>0</v>
      </c>
      <c r="QY19" s="133">
        <f t="shared" si="269"/>
        <v>0</v>
      </c>
      <c r="QZ19" s="133">
        <f t="shared" si="269"/>
        <v>0</v>
      </c>
      <c r="RA19" s="133">
        <f t="shared" si="269"/>
        <v>0</v>
      </c>
      <c r="RB19" s="133">
        <f t="shared" si="269"/>
        <v>0</v>
      </c>
      <c r="RC19" s="133">
        <f t="shared" si="269"/>
        <v>0</v>
      </c>
      <c r="RD19" s="133">
        <f t="shared" si="269"/>
        <v>0</v>
      </c>
      <c r="RE19" s="133">
        <f t="shared" si="269"/>
        <v>0</v>
      </c>
      <c r="RF19" s="133">
        <f t="shared" si="269"/>
        <v>0</v>
      </c>
      <c r="RG19" s="133">
        <f t="shared" si="269"/>
        <v>0</v>
      </c>
      <c r="RH19" s="133">
        <f t="shared" si="269"/>
        <v>0</v>
      </c>
      <c r="RI19" s="133">
        <f t="shared" si="269"/>
        <v>0</v>
      </c>
      <c r="RJ19" s="133">
        <f t="shared" si="269"/>
        <v>0</v>
      </c>
      <c r="RK19" s="133">
        <f t="shared" si="269"/>
        <v>0</v>
      </c>
      <c r="RL19" s="133">
        <f t="shared" si="269"/>
        <v>0</v>
      </c>
      <c r="RM19" s="133">
        <f t="shared" si="269"/>
        <v>0</v>
      </c>
      <c r="RN19" s="133">
        <f t="shared" si="269"/>
        <v>0</v>
      </c>
      <c r="RO19" s="133">
        <f t="shared" si="269"/>
        <v>0</v>
      </c>
      <c r="RP19" s="133">
        <f t="shared" si="269"/>
        <v>0</v>
      </c>
      <c r="RQ19" s="133">
        <f t="shared" si="269"/>
        <v>0</v>
      </c>
      <c r="RR19" s="133">
        <f t="shared" si="269"/>
        <v>0</v>
      </c>
      <c r="RS19" s="133">
        <f t="shared" si="269"/>
        <v>0</v>
      </c>
      <c r="RT19" s="133">
        <f t="shared" si="269"/>
        <v>0</v>
      </c>
      <c r="RU19" s="133">
        <f t="shared" si="269"/>
        <v>0</v>
      </c>
      <c r="RV19" s="133">
        <f t="shared" si="269"/>
        <v>0</v>
      </c>
      <c r="RW19" s="133">
        <f t="shared" si="269"/>
        <v>0</v>
      </c>
      <c r="RX19" s="133">
        <f t="shared" si="269"/>
        <v>0</v>
      </c>
      <c r="RY19" s="133">
        <f t="shared" si="269"/>
        <v>0</v>
      </c>
      <c r="RZ19" s="133">
        <f t="shared" si="269"/>
        <v>0</v>
      </c>
      <c r="SA19" s="133">
        <f t="shared" si="269"/>
        <v>0</v>
      </c>
      <c r="SB19" s="133">
        <f t="shared" si="269"/>
        <v>0</v>
      </c>
      <c r="SC19" s="133">
        <f t="shared" si="269"/>
        <v>0</v>
      </c>
      <c r="SD19" s="133">
        <f t="shared" si="269"/>
        <v>0</v>
      </c>
      <c r="SE19" s="133">
        <f t="shared" si="269"/>
        <v>0</v>
      </c>
      <c r="SF19" s="133">
        <f t="shared" si="269"/>
        <v>0</v>
      </c>
      <c r="SG19" s="133">
        <f t="shared" si="269"/>
        <v>0</v>
      </c>
      <c r="SH19" s="133">
        <f t="shared" si="269"/>
        <v>0</v>
      </c>
      <c r="SI19" s="133">
        <f t="shared" si="269"/>
        <v>0</v>
      </c>
      <c r="SJ19" s="133">
        <f t="shared" si="269"/>
        <v>0</v>
      </c>
      <c r="SK19" s="133">
        <f t="shared" si="269"/>
        <v>0</v>
      </c>
      <c r="SL19" s="133">
        <f t="shared" si="269"/>
        <v>0</v>
      </c>
      <c r="SM19" s="133">
        <f t="shared" si="269"/>
        <v>0</v>
      </c>
      <c r="SN19" s="133">
        <f t="shared" si="269"/>
        <v>0</v>
      </c>
      <c r="SO19" s="133">
        <f t="shared" si="269"/>
        <v>0</v>
      </c>
      <c r="SP19" s="133">
        <f t="shared" si="269"/>
        <v>0</v>
      </c>
      <c r="SQ19" s="133">
        <f t="shared" si="269"/>
        <v>0</v>
      </c>
      <c r="SR19" s="133">
        <f t="shared" si="269"/>
        <v>0</v>
      </c>
      <c r="SS19" s="133">
        <f t="shared" si="269"/>
        <v>0</v>
      </c>
      <c r="ST19" s="133">
        <f t="shared" si="269"/>
        <v>0</v>
      </c>
      <c r="SU19" s="133">
        <f t="shared" si="269"/>
        <v>0</v>
      </c>
      <c r="SV19" s="133">
        <f t="shared" si="269"/>
        <v>0</v>
      </c>
      <c r="SW19" s="133">
        <f t="shared" si="269"/>
        <v>0</v>
      </c>
      <c r="SX19" s="133">
        <f t="shared" ref="SX19:VI19" si="270">SX8+SX9</f>
        <v>0</v>
      </c>
      <c r="SY19" s="133">
        <f t="shared" si="270"/>
        <v>0</v>
      </c>
      <c r="SZ19" s="133">
        <f t="shared" si="270"/>
        <v>0</v>
      </c>
      <c r="TA19" s="133">
        <f t="shared" si="270"/>
        <v>0</v>
      </c>
      <c r="TB19" s="133">
        <f t="shared" si="270"/>
        <v>0</v>
      </c>
      <c r="TC19" s="133">
        <f t="shared" si="270"/>
        <v>0</v>
      </c>
      <c r="TD19" s="133">
        <f t="shared" si="270"/>
        <v>0</v>
      </c>
      <c r="TE19" s="133">
        <f t="shared" si="270"/>
        <v>0</v>
      </c>
      <c r="TF19" s="133">
        <f t="shared" si="270"/>
        <v>0</v>
      </c>
      <c r="TG19" s="133">
        <f t="shared" si="270"/>
        <v>0</v>
      </c>
      <c r="TH19" s="133">
        <f t="shared" si="270"/>
        <v>0</v>
      </c>
      <c r="TI19" s="133">
        <f t="shared" si="270"/>
        <v>0</v>
      </c>
      <c r="TJ19" s="133">
        <f t="shared" si="270"/>
        <v>0</v>
      </c>
      <c r="TK19" s="133">
        <f t="shared" si="270"/>
        <v>0</v>
      </c>
      <c r="TL19" s="133">
        <f t="shared" si="270"/>
        <v>0</v>
      </c>
      <c r="TM19" s="133">
        <f t="shared" si="270"/>
        <v>0</v>
      </c>
      <c r="TN19" s="133">
        <f t="shared" si="270"/>
        <v>0</v>
      </c>
      <c r="TO19" s="133">
        <f t="shared" si="270"/>
        <v>0</v>
      </c>
      <c r="TP19" s="133">
        <f t="shared" si="270"/>
        <v>0</v>
      </c>
      <c r="TQ19" s="133">
        <f t="shared" si="270"/>
        <v>0</v>
      </c>
      <c r="TR19" s="133">
        <f t="shared" si="270"/>
        <v>0</v>
      </c>
      <c r="TS19" s="133">
        <f t="shared" si="270"/>
        <v>0</v>
      </c>
      <c r="TT19" s="133">
        <f t="shared" si="270"/>
        <v>0</v>
      </c>
      <c r="TU19" s="133">
        <f t="shared" si="270"/>
        <v>0</v>
      </c>
      <c r="TV19" s="133">
        <f t="shared" si="270"/>
        <v>0</v>
      </c>
      <c r="TW19" s="133">
        <f t="shared" si="270"/>
        <v>0</v>
      </c>
      <c r="TX19" s="133">
        <f t="shared" si="270"/>
        <v>0</v>
      </c>
      <c r="TY19" s="133">
        <f t="shared" si="270"/>
        <v>0</v>
      </c>
      <c r="TZ19" s="133">
        <f t="shared" si="270"/>
        <v>0</v>
      </c>
      <c r="UA19" s="133">
        <f t="shared" si="270"/>
        <v>0</v>
      </c>
      <c r="UB19" s="133">
        <f t="shared" si="270"/>
        <v>0</v>
      </c>
      <c r="UC19" s="133">
        <f t="shared" si="270"/>
        <v>0</v>
      </c>
      <c r="UD19" s="133">
        <f t="shared" si="270"/>
        <v>0</v>
      </c>
      <c r="UE19" s="133">
        <f t="shared" si="270"/>
        <v>0</v>
      </c>
      <c r="UF19" s="133">
        <f t="shared" si="270"/>
        <v>0</v>
      </c>
      <c r="UG19" s="133">
        <f t="shared" si="270"/>
        <v>0</v>
      </c>
      <c r="UH19" s="133">
        <f t="shared" si="270"/>
        <v>0</v>
      </c>
      <c r="UI19" s="133">
        <f t="shared" si="270"/>
        <v>0</v>
      </c>
      <c r="UJ19" s="133">
        <f t="shared" si="270"/>
        <v>0</v>
      </c>
      <c r="UK19" s="133">
        <f t="shared" si="270"/>
        <v>0</v>
      </c>
      <c r="UL19" s="133">
        <f t="shared" si="270"/>
        <v>0</v>
      </c>
      <c r="UM19" s="133">
        <f t="shared" si="270"/>
        <v>0</v>
      </c>
      <c r="UN19" s="133">
        <f t="shared" si="270"/>
        <v>0</v>
      </c>
      <c r="UO19" s="133">
        <f t="shared" si="270"/>
        <v>0</v>
      </c>
      <c r="UP19" s="133">
        <f t="shared" si="270"/>
        <v>0</v>
      </c>
      <c r="UQ19" s="133">
        <f t="shared" si="270"/>
        <v>0</v>
      </c>
      <c r="UR19" s="133">
        <f t="shared" si="270"/>
        <v>0</v>
      </c>
      <c r="US19" s="133">
        <f t="shared" si="270"/>
        <v>0</v>
      </c>
      <c r="UT19" s="133">
        <f t="shared" si="270"/>
        <v>0</v>
      </c>
      <c r="UU19" s="133">
        <f t="shared" si="270"/>
        <v>0</v>
      </c>
      <c r="UV19" s="133">
        <f t="shared" si="270"/>
        <v>0</v>
      </c>
      <c r="UW19" s="133">
        <f t="shared" si="270"/>
        <v>0</v>
      </c>
      <c r="UX19" s="133">
        <f t="shared" si="270"/>
        <v>0</v>
      </c>
      <c r="UY19" s="133">
        <f t="shared" si="270"/>
        <v>0</v>
      </c>
      <c r="UZ19" s="133">
        <f t="shared" si="270"/>
        <v>0</v>
      </c>
      <c r="VA19" s="133">
        <f t="shared" si="270"/>
        <v>0</v>
      </c>
      <c r="VB19" s="133">
        <f t="shared" si="270"/>
        <v>0</v>
      </c>
      <c r="VC19" s="133">
        <f t="shared" si="270"/>
        <v>0</v>
      </c>
      <c r="VD19" s="133">
        <f t="shared" si="270"/>
        <v>0</v>
      </c>
      <c r="VE19" s="133">
        <f t="shared" si="270"/>
        <v>0</v>
      </c>
      <c r="VF19" s="133">
        <f t="shared" si="270"/>
        <v>0</v>
      </c>
      <c r="VG19" s="133">
        <f t="shared" si="270"/>
        <v>0</v>
      </c>
      <c r="VH19" s="133">
        <f t="shared" si="270"/>
        <v>0</v>
      </c>
      <c r="VI19" s="133">
        <f t="shared" si="270"/>
        <v>0</v>
      </c>
      <c r="VJ19" s="133">
        <f t="shared" ref="VJ19:XU19" si="271">VJ8+VJ9</f>
        <v>0</v>
      </c>
      <c r="VK19" s="133">
        <f t="shared" si="271"/>
        <v>0</v>
      </c>
      <c r="VL19" s="133">
        <f t="shared" si="271"/>
        <v>0</v>
      </c>
      <c r="VM19" s="133">
        <f t="shared" si="271"/>
        <v>0</v>
      </c>
      <c r="VN19" s="133">
        <f t="shared" si="271"/>
        <v>0</v>
      </c>
      <c r="VO19" s="133">
        <f t="shared" si="271"/>
        <v>0</v>
      </c>
      <c r="VP19" s="133">
        <f t="shared" si="271"/>
        <v>0</v>
      </c>
      <c r="VQ19" s="133">
        <f t="shared" si="271"/>
        <v>0</v>
      </c>
      <c r="VR19" s="133">
        <f t="shared" si="271"/>
        <v>0</v>
      </c>
      <c r="VS19" s="133">
        <f t="shared" si="271"/>
        <v>0</v>
      </c>
      <c r="VT19" s="133">
        <f t="shared" si="271"/>
        <v>0</v>
      </c>
      <c r="VU19" s="133">
        <f t="shared" si="271"/>
        <v>0</v>
      </c>
      <c r="VV19" s="133">
        <f t="shared" si="271"/>
        <v>0</v>
      </c>
      <c r="VW19" s="133">
        <f t="shared" si="271"/>
        <v>0</v>
      </c>
      <c r="VX19" s="133">
        <f t="shared" si="271"/>
        <v>0</v>
      </c>
      <c r="VY19" s="133">
        <f t="shared" si="271"/>
        <v>0</v>
      </c>
      <c r="VZ19" s="133">
        <f t="shared" si="271"/>
        <v>0</v>
      </c>
      <c r="WA19" s="133">
        <f t="shared" si="271"/>
        <v>0</v>
      </c>
      <c r="WB19" s="133">
        <f t="shared" si="271"/>
        <v>0</v>
      </c>
      <c r="WC19" s="133">
        <f t="shared" si="271"/>
        <v>5</v>
      </c>
      <c r="WD19" s="133">
        <f t="shared" si="271"/>
        <v>4</v>
      </c>
      <c r="WE19" s="133">
        <f t="shared" si="271"/>
        <v>0</v>
      </c>
      <c r="WF19" s="133">
        <f t="shared" si="271"/>
        <v>0</v>
      </c>
      <c r="WG19" s="133">
        <f t="shared" si="271"/>
        <v>0</v>
      </c>
      <c r="WH19" s="133">
        <f t="shared" si="271"/>
        <v>3</v>
      </c>
      <c r="WI19" s="133">
        <f t="shared" si="271"/>
        <v>0</v>
      </c>
      <c r="WJ19" s="133">
        <f t="shared" si="271"/>
        <v>0</v>
      </c>
      <c r="WK19" s="133">
        <f t="shared" si="271"/>
        <v>0</v>
      </c>
      <c r="WL19" s="133">
        <f t="shared" si="271"/>
        <v>0</v>
      </c>
      <c r="WM19" s="133">
        <f t="shared" si="271"/>
        <v>5</v>
      </c>
      <c r="WN19" s="133">
        <f t="shared" si="271"/>
        <v>7</v>
      </c>
      <c r="WO19" s="133">
        <f t="shared" si="271"/>
        <v>12</v>
      </c>
      <c r="WP19" s="133">
        <f t="shared" si="271"/>
        <v>0</v>
      </c>
      <c r="WQ19" s="133">
        <f t="shared" si="271"/>
        <v>0</v>
      </c>
      <c r="WR19" s="133">
        <f t="shared" si="271"/>
        <v>0</v>
      </c>
      <c r="WS19" s="133">
        <f t="shared" si="271"/>
        <v>0</v>
      </c>
      <c r="WT19" s="133">
        <f t="shared" si="271"/>
        <v>0</v>
      </c>
      <c r="WU19" s="133">
        <f t="shared" si="271"/>
        <v>0</v>
      </c>
      <c r="WV19" s="133">
        <f t="shared" si="271"/>
        <v>0</v>
      </c>
      <c r="WW19" s="133">
        <f t="shared" si="271"/>
        <v>0</v>
      </c>
      <c r="WX19" s="133">
        <f t="shared" si="271"/>
        <v>0</v>
      </c>
      <c r="WY19" s="133">
        <f t="shared" si="271"/>
        <v>0</v>
      </c>
      <c r="WZ19" s="133">
        <f t="shared" si="271"/>
        <v>0</v>
      </c>
      <c r="XA19" s="133">
        <f t="shared" si="271"/>
        <v>0</v>
      </c>
      <c r="XB19" s="133">
        <f t="shared" si="271"/>
        <v>0</v>
      </c>
      <c r="XC19" s="133">
        <f t="shared" si="271"/>
        <v>0</v>
      </c>
      <c r="XD19" s="133">
        <f t="shared" si="271"/>
        <v>0</v>
      </c>
      <c r="XE19" s="133">
        <f t="shared" si="271"/>
        <v>0</v>
      </c>
      <c r="XF19" s="133">
        <f t="shared" si="271"/>
        <v>0</v>
      </c>
      <c r="XG19" s="133">
        <f t="shared" si="271"/>
        <v>0</v>
      </c>
      <c r="XH19" s="133">
        <f t="shared" si="271"/>
        <v>0</v>
      </c>
      <c r="XI19" s="133">
        <f t="shared" si="271"/>
        <v>0</v>
      </c>
      <c r="XJ19" s="133">
        <f t="shared" si="271"/>
        <v>0</v>
      </c>
      <c r="XK19" s="133">
        <f t="shared" si="271"/>
        <v>0</v>
      </c>
      <c r="XL19" s="133">
        <f t="shared" si="271"/>
        <v>0</v>
      </c>
      <c r="XM19" s="133">
        <f t="shared" si="271"/>
        <v>0</v>
      </c>
      <c r="XN19" s="133">
        <f t="shared" si="271"/>
        <v>0</v>
      </c>
      <c r="XO19" s="133">
        <f t="shared" si="271"/>
        <v>0</v>
      </c>
      <c r="XP19" s="133">
        <f t="shared" si="271"/>
        <v>0</v>
      </c>
      <c r="XQ19" s="133">
        <f t="shared" si="271"/>
        <v>0</v>
      </c>
      <c r="XR19" s="133">
        <f t="shared" si="271"/>
        <v>0</v>
      </c>
      <c r="XS19" s="133">
        <f t="shared" si="271"/>
        <v>0</v>
      </c>
      <c r="XT19" s="133">
        <f t="shared" si="271"/>
        <v>0</v>
      </c>
      <c r="XU19" s="133">
        <f t="shared" si="271"/>
        <v>0</v>
      </c>
      <c r="XV19" s="133">
        <f t="shared" ref="XV19:AAG19" si="272">XV8+XV9</f>
        <v>0</v>
      </c>
      <c r="XW19" s="133">
        <f t="shared" si="272"/>
        <v>0</v>
      </c>
      <c r="XX19" s="133">
        <f t="shared" si="272"/>
        <v>0</v>
      </c>
      <c r="XY19" s="133">
        <f t="shared" si="272"/>
        <v>0</v>
      </c>
      <c r="XZ19" s="133">
        <f t="shared" si="272"/>
        <v>0</v>
      </c>
      <c r="YA19" s="133">
        <f t="shared" si="272"/>
        <v>0</v>
      </c>
      <c r="YB19" s="133">
        <f t="shared" si="272"/>
        <v>0</v>
      </c>
      <c r="YC19" s="133">
        <f t="shared" si="272"/>
        <v>0</v>
      </c>
      <c r="YD19" s="133">
        <f t="shared" si="272"/>
        <v>0</v>
      </c>
      <c r="YE19" s="133">
        <f t="shared" si="272"/>
        <v>0</v>
      </c>
      <c r="YF19" s="133">
        <f t="shared" si="272"/>
        <v>0</v>
      </c>
      <c r="YG19" s="133">
        <f t="shared" si="272"/>
        <v>0</v>
      </c>
      <c r="YH19" s="133">
        <f t="shared" si="272"/>
        <v>0</v>
      </c>
      <c r="YI19" s="133">
        <f t="shared" si="272"/>
        <v>0</v>
      </c>
      <c r="YJ19" s="133">
        <f t="shared" si="272"/>
        <v>0</v>
      </c>
      <c r="YK19" s="133">
        <f t="shared" si="272"/>
        <v>0</v>
      </c>
      <c r="YL19" s="133">
        <f t="shared" si="272"/>
        <v>0</v>
      </c>
      <c r="YM19" s="133">
        <f t="shared" si="272"/>
        <v>0</v>
      </c>
      <c r="YN19" s="133">
        <f t="shared" si="272"/>
        <v>0</v>
      </c>
      <c r="YO19" s="133">
        <f t="shared" si="272"/>
        <v>0</v>
      </c>
      <c r="YP19" s="133">
        <f t="shared" si="272"/>
        <v>0</v>
      </c>
      <c r="YQ19" s="133">
        <f t="shared" si="272"/>
        <v>0</v>
      </c>
      <c r="YR19" s="133">
        <f t="shared" si="272"/>
        <v>0</v>
      </c>
      <c r="YS19" s="133">
        <f t="shared" si="272"/>
        <v>0</v>
      </c>
      <c r="YT19" s="133">
        <f t="shared" si="272"/>
        <v>0</v>
      </c>
      <c r="YU19" s="133">
        <f t="shared" si="272"/>
        <v>0</v>
      </c>
      <c r="YV19" s="133">
        <f t="shared" si="272"/>
        <v>0</v>
      </c>
      <c r="YW19" s="133">
        <f t="shared" si="272"/>
        <v>0</v>
      </c>
      <c r="YX19" s="133">
        <f t="shared" si="272"/>
        <v>0</v>
      </c>
      <c r="YY19" s="133">
        <f t="shared" si="272"/>
        <v>0</v>
      </c>
      <c r="YZ19" s="133">
        <f t="shared" si="272"/>
        <v>0</v>
      </c>
      <c r="ZA19" s="133">
        <f t="shared" si="272"/>
        <v>0</v>
      </c>
      <c r="ZB19" s="133">
        <f t="shared" si="272"/>
        <v>0</v>
      </c>
      <c r="ZC19" s="133">
        <f t="shared" si="272"/>
        <v>0</v>
      </c>
      <c r="ZD19" s="133">
        <f t="shared" si="272"/>
        <v>0</v>
      </c>
      <c r="ZE19" s="133">
        <f t="shared" si="272"/>
        <v>0</v>
      </c>
      <c r="ZF19" s="133">
        <f t="shared" si="272"/>
        <v>0</v>
      </c>
      <c r="ZG19" s="133">
        <f t="shared" si="272"/>
        <v>0</v>
      </c>
      <c r="ZH19" s="133">
        <f t="shared" si="272"/>
        <v>0</v>
      </c>
      <c r="ZI19" s="133">
        <f t="shared" si="272"/>
        <v>0</v>
      </c>
      <c r="ZJ19" s="133">
        <f t="shared" si="272"/>
        <v>0</v>
      </c>
      <c r="ZK19" s="133">
        <f t="shared" si="272"/>
        <v>0</v>
      </c>
      <c r="ZL19" s="133">
        <f t="shared" si="272"/>
        <v>0</v>
      </c>
      <c r="ZM19" s="133">
        <f t="shared" si="272"/>
        <v>0</v>
      </c>
      <c r="ZN19" s="133">
        <f t="shared" si="272"/>
        <v>0</v>
      </c>
      <c r="ZO19" s="133">
        <f t="shared" si="272"/>
        <v>0</v>
      </c>
      <c r="ZP19" s="133">
        <f t="shared" si="272"/>
        <v>0</v>
      </c>
      <c r="ZQ19" s="133">
        <f t="shared" si="272"/>
        <v>0</v>
      </c>
      <c r="ZR19" s="133">
        <f t="shared" si="272"/>
        <v>0</v>
      </c>
      <c r="ZS19" s="133">
        <f t="shared" si="272"/>
        <v>0</v>
      </c>
      <c r="ZT19" s="133">
        <f t="shared" si="272"/>
        <v>0</v>
      </c>
      <c r="ZU19" s="133">
        <f t="shared" si="272"/>
        <v>0</v>
      </c>
      <c r="ZV19" s="133">
        <f t="shared" si="272"/>
        <v>0</v>
      </c>
      <c r="ZW19" s="133">
        <f t="shared" si="272"/>
        <v>0</v>
      </c>
      <c r="ZX19" s="133">
        <f t="shared" si="272"/>
        <v>0</v>
      </c>
      <c r="ZY19" s="133">
        <f t="shared" si="272"/>
        <v>0</v>
      </c>
      <c r="ZZ19" s="133">
        <f t="shared" si="272"/>
        <v>0</v>
      </c>
      <c r="AAA19" s="133">
        <f t="shared" si="272"/>
        <v>0</v>
      </c>
      <c r="AAB19" s="133">
        <f t="shared" si="272"/>
        <v>0</v>
      </c>
      <c r="AAC19" s="133">
        <f t="shared" si="272"/>
        <v>0</v>
      </c>
      <c r="AAD19" s="133">
        <f t="shared" si="272"/>
        <v>0</v>
      </c>
      <c r="AAE19" s="133">
        <f t="shared" si="272"/>
        <v>0</v>
      </c>
      <c r="AAF19" s="133">
        <f t="shared" si="272"/>
        <v>0</v>
      </c>
      <c r="AAG19" s="133">
        <f t="shared" si="272"/>
        <v>0</v>
      </c>
      <c r="AAH19" s="133">
        <f t="shared" ref="AAH19:ACS19" si="273">AAH8+AAH9</f>
        <v>0</v>
      </c>
      <c r="AAI19" s="133">
        <f t="shared" si="273"/>
        <v>0</v>
      </c>
      <c r="AAJ19" s="133">
        <f t="shared" si="273"/>
        <v>0</v>
      </c>
      <c r="AAK19" s="133">
        <f t="shared" si="273"/>
        <v>0</v>
      </c>
      <c r="AAL19" s="133">
        <f t="shared" si="273"/>
        <v>0</v>
      </c>
      <c r="AAM19" s="133">
        <f t="shared" si="273"/>
        <v>0</v>
      </c>
      <c r="AAN19" s="133">
        <f t="shared" si="273"/>
        <v>1</v>
      </c>
      <c r="AAO19" s="133">
        <f t="shared" si="273"/>
        <v>0</v>
      </c>
      <c r="AAP19" s="133">
        <f t="shared" si="273"/>
        <v>0</v>
      </c>
      <c r="AAQ19" s="133">
        <f t="shared" si="273"/>
        <v>0</v>
      </c>
      <c r="AAR19" s="133">
        <f t="shared" si="273"/>
        <v>0</v>
      </c>
      <c r="AAS19" s="133">
        <f t="shared" si="273"/>
        <v>0</v>
      </c>
      <c r="AAT19" s="133">
        <f t="shared" si="273"/>
        <v>0</v>
      </c>
      <c r="AAU19" s="133">
        <f t="shared" si="273"/>
        <v>0</v>
      </c>
      <c r="AAV19" s="133">
        <f t="shared" si="273"/>
        <v>0</v>
      </c>
      <c r="AAW19" s="133">
        <f t="shared" si="273"/>
        <v>0</v>
      </c>
      <c r="AAX19" s="133">
        <f t="shared" si="273"/>
        <v>1</v>
      </c>
      <c r="AAY19" s="133">
        <f t="shared" si="273"/>
        <v>1</v>
      </c>
      <c r="AAZ19" s="133">
        <f t="shared" si="273"/>
        <v>0</v>
      </c>
      <c r="ABA19" s="133">
        <f t="shared" si="273"/>
        <v>0</v>
      </c>
      <c r="ABB19" s="133">
        <f t="shared" si="273"/>
        <v>0</v>
      </c>
      <c r="ABC19" s="133">
        <f t="shared" si="273"/>
        <v>0</v>
      </c>
      <c r="ABD19" s="133">
        <f t="shared" si="273"/>
        <v>0</v>
      </c>
      <c r="ABE19" s="133">
        <f t="shared" si="273"/>
        <v>0</v>
      </c>
      <c r="ABF19" s="133">
        <f t="shared" si="273"/>
        <v>0</v>
      </c>
      <c r="ABG19" s="133">
        <f t="shared" si="273"/>
        <v>0</v>
      </c>
      <c r="ABH19" s="133">
        <f t="shared" si="273"/>
        <v>0</v>
      </c>
      <c r="ABI19" s="133">
        <f t="shared" si="273"/>
        <v>0</v>
      </c>
      <c r="ABJ19" s="133">
        <f t="shared" si="273"/>
        <v>0</v>
      </c>
      <c r="ABK19" s="133">
        <f t="shared" si="273"/>
        <v>0</v>
      </c>
      <c r="ABL19" s="133">
        <f t="shared" si="273"/>
        <v>0</v>
      </c>
      <c r="ABM19" s="133">
        <f t="shared" si="273"/>
        <v>0</v>
      </c>
      <c r="ABN19" s="133">
        <f t="shared" si="273"/>
        <v>0</v>
      </c>
      <c r="ABO19" s="133">
        <f t="shared" si="273"/>
        <v>0</v>
      </c>
      <c r="ABP19" s="133">
        <f t="shared" si="273"/>
        <v>0</v>
      </c>
      <c r="ABQ19" s="133">
        <f t="shared" si="273"/>
        <v>0</v>
      </c>
      <c r="ABR19" s="133">
        <f t="shared" si="273"/>
        <v>0</v>
      </c>
      <c r="ABS19" s="133">
        <f t="shared" si="273"/>
        <v>0</v>
      </c>
      <c r="ABT19" s="133">
        <f t="shared" si="273"/>
        <v>0</v>
      </c>
      <c r="ABU19" s="133">
        <f t="shared" si="273"/>
        <v>0</v>
      </c>
      <c r="ABV19" s="133">
        <f t="shared" si="273"/>
        <v>0</v>
      </c>
      <c r="ABW19" s="133">
        <f t="shared" si="273"/>
        <v>0</v>
      </c>
      <c r="ABX19" s="133">
        <f t="shared" si="273"/>
        <v>0</v>
      </c>
      <c r="ABY19" s="133">
        <f t="shared" si="273"/>
        <v>0</v>
      </c>
      <c r="ABZ19" s="133">
        <f t="shared" si="273"/>
        <v>0</v>
      </c>
      <c r="ACA19" s="133">
        <f t="shared" si="273"/>
        <v>0</v>
      </c>
      <c r="ACB19" s="133">
        <f t="shared" si="273"/>
        <v>0</v>
      </c>
      <c r="ACC19" s="133">
        <f t="shared" si="273"/>
        <v>0</v>
      </c>
      <c r="ACD19" s="133">
        <f t="shared" si="273"/>
        <v>0</v>
      </c>
      <c r="ACE19" s="133">
        <f t="shared" si="273"/>
        <v>0</v>
      </c>
      <c r="ACF19" s="133">
        <f t="shared" si="273"/>
        <v>0</v>
      </c>
      <c r="ACG19" s="133">
        <f t="shared" si="273"/>
        <v>0</v>
      </c>
      <c r="ACH19" s="133">
        <f t="shared" si="273"/>
        <v>0</v>
      </c>
      <c r="ACI19" s="133">
        <f t="shared" si="273"/>
        <v>0</v>
      </c>
      <c r="ACJ19" s="133">
        <f t="shared" si="273"/>
        <v>0</v>
      </c>
      <c r="ACK19" s="133">
        <f t="shared" si="273"/>
        <v>0</v>
      </c>
      <c r="ACL19" s="133">
        <f t="shared" si="273"/>
        <v>0</v>
      </c>
      <c r="ACM19" s="133">
        <f t="shared" si="273"/>
        <v>0</v>
      </c>
      <c r="ACN19" s="133">
        <f t="shared" si="273"/>
        <v>0</v>
      </c>
      <c r="ACO19" s="133">
        <f t="shared" si="273"/>
        <v>0</v>
      </c>
      <c r="ACP19" s="133">
        <f t="shared" si="273"/>
        <v>0</v>
      </c>
      <c r="ACQ19" s="133">
        <f t="shared" si="273"/>
        <v>0</v>
      </c>
      <c r="ACR19" s="133">
        <f t="shared" si="273"/>
        <v>0</v>
      </c>
      <c r="ACS19" s="133">
        <f t="shared" si="273"/>
        <v>0</v>
      </c>
      <c r="ACT19" s="133">
        <f t="shared" ref="ACT19:AFE19" si="274">ACT8+ACT9</f>
        <v>0</v>
      </c>
      <c r="ACU19" s="133">
        <f t="shared" si="274"/>
        <v>0</v>
      </c>
      <c r="ACV19" s="133">
        <f t="shared" si="274"/>
        <v>0</v>
      </c>
      <c r="ACW19" s="133">
        <f t="shared" si="274"/>
        <v>0</v>
      </c>
      <c r="ACX19" s="133">
        <f t="shared" si="274"/>
        <v>0</v>
      </c>
      <c r="ACY19" s="133">
        <f t="shared" si="274"/>
        <v>0</v>
      </c>
      <c r="ACZ19" s="133">
        <f t="shared" si="274"/>
        <v>0</v>
      </c>
      <c r="ADA19" s="133">
        <f t="shared" si="274"/>
        <v>0</v>
      </c>
      <c r="ADB19" s="133">
        <f t="shared" si="274"/>
        <v>0</v>
      </c>
      <c r="ADC19" s="133">
        <f t="shared" si="274"/>
        <v>0</v>
      </c>
      <c r="ADD19" s="133">
        <f t="shared" si="274"/>
        <v>0</v>
      </c>
      <c r="ADE19" s="133">
        <f t="shared" si="274"/>
        <v>0</v>
      </c>
      <c r="ADF19" s="133">
        <f t="shared" si="274"/>
        <v>0</v>
      </c>
      <c r="ADG19" s="133">
        <f t="shared" si="274"/>
        <v>0</v>
      </c>
      <c r="ADH19" s="133">
        <f t="shared" si="274"/>
        <v>0</v>
      </c>
      <c r="ADI19" s="133">
        <f t="shared" si="274"/>
        <v>0</v>
      </c>
      <c r="ADJ19" s="133">
        <f t="shared" si="274"/>
        <v>0</v>
      </c>
      <c r="ADK19" s="133">
        <f t="shared" si="274"/>
        <v>0</v>
      </c>
      <c r="ADL19" s="133">
        <f t="shared" si="274"/>
        <v>0</v>
      </c>
      <c r="ADM19" s="133">
        <f t="shared" si="274"/>
        <v>0</v>
      </c>
      <c r="ADN19" s="133">
        <f t="shared" si="274"/>
        <v>0</v>
      </c>
      <c r="ADO19" s="133">
        <f t="shared" si="274"/>
        <v>0</v>
      </c>
      <c r="ADP19" s="133">
        <f t="shared" si="274"/>
        <v>0</v>
      </c>
      <c r="ADQ19" s="133">
        <f t="shared" si="274"/>
        <v>0</v>
      </c>
      <c r="ADR19" s="133">
        <f t="shared" si="274"/>
        <v>0</v>
      </c>
      <c r="ADS19" s="133">
        <f t="shared" si="274"/>
        <v>0</v>
      </c>
      <c r="ADT19" s="133">
        <f t="shared" si="274"/>
        <v>0</v>
      </c>
      <c r="ADU19" s="133">
        <f t="shared" si="274"/>
        <v>0</v>
      </c>
      <c r="ADV19" s="133">
        <f t="shared" si="274"/>
        <v>0</v>
      </c>
      <c r="ADW19" s="133">
        <f t="shared" si="274"/>
        <v>0</v>
      </c>
      <c r="ADX19" s="133">
        <f t="shared" si="274"/>
        <v>0</v>
      </c>
      <c r="ADY19" s="133">
        <f t="shared" si="274"/>
        <v>0</v>
      </c>
      <c r="ADZ19" s="133">
        <f t="shared" si="274"/>
        <v>0</v>
      </c>
      <c r="AEA19" s="133">
        <f t="shared" si="274"/>
        <v>0</v>
      </c>
      <c r="AEB19" s="133">
        <f t="shared" si="274"/>
        <v>0</v>
      </c>
      <c r="AEC19" s="133">
        <f t="shared" si="274"/>
        <v>0</v>
      </c>
      <c r="AED19" s="133">
        <f t="shared" si="274"/>
        <v>0</v>
      </c>
      <c r="AEE19" s="133">
        <f t="shared" si="274"/>
        <v>0</v>
      </c>
      <c r="AEF19" s="133">
        <f t="shared" si="274"/>
        <v>0</v>
      </c>
      <c r="AEG19" s="133">
        <f t="shared" si="274"/>
        <v>0</v>
      </c>
      <c r="AEH19" s="133">
        <f t="shared" si="274"/>
        <v>0</v>
      </c>
      <c r="AEI19" s="133">
        <f t="shared" si="274"/>
        <v>0</v>
      </c>
      <c r="AEJ19" s="133">
        <f t="shared" si="274"/>
        <v>0</v>
      </c>
      <c r="AEK19" s="133">
        <f t="shared" si="274"/>
        <v>0</v>
      </c>
      <c r="AEL19" s="133">
        <f t="shared" si="274"/>
        <v>0</v>
      </c>
      <c r="AEM19" s="133">
        <f t="shared" si="274"/>
        <v>0</v>
      </c>
      <c r="AEN19" s="133">
        <f t="shared" si="274"/>
        <v>0</v>
      </c>
      <c r="AEO19" s="133">
        <f t="shared" si="274"/>
        <v>0</v>
      </c>
      <c r="AEP19" s="133">
        <f t="shared" si="274"/>
        <v>0</v>
      </c>
      <c r="AEQ19" s="133">
        <f t="shared" si="274"/>
        <v>0</v>
      </c>
      <c r="AER19" s="133">
        <f t="shared" si="274"/>
        <v>0</v>
      </c>
      <c r="AES19" s="133">
        <f t="shared" si="274"/>
        <v>0</v>
      </c>
      <c r="AET19" s="133">
        <f t="shared" si="274"/>
        <v>0</v>
      </c>
      <c r="AEU19" s="133">
        <f t="shared" si="274"/>
        <v>0</v>
      </c>
      <c r="AEV19" s="133">
        <f t="shared" si="274"/>
        <v>0</v>
      </c>
      <c r="AEW19" s="133">
        <f t="shared" si="274"/>
        <v>0</v>
      </c>
      <c r="AEX19" s="133">
        <f t="shared" si="274"/>
        <v>0</v>
      </c>
      <c r="AEY19" s="133">
        <f t="shared" si="274"/>
        <v>0</v>
      </c>
      <c r="AEZ19" s="133">
        <f t="shared" si="274"/>
        <v>0</v>
      </c>
      <c r="AFA19" s="133">
        <f t="shared" si="274"/>
        <v>0</v>
      </c>
      <c r="AFB19" s="133">
        <f t="shared" si="274"/>
        <v>0</v>
      </c>
      <c r="AFC19" s="133">
        <f t="shared" si="274"/>
        <v>0</v>
      </c>
      <c r="AFD19" s="133">
        <f t="shared" si="274"/>
        <v>0</v>
      </c>
      <c r="AFE19" s="133">
        <f t="shared" si="274"/>
        <v>0</v>
      </c>
      <c r="AFF19" s="133">
        <f t="shared" ref="AFF19:AHQ19" si="275">AFF8+AFF9</f>
        <v>0</v>
      </c>
      <c r="AFG19" s="133">
        <f t="shared" si="275"/>
        <v>0</v>
      </c>
      <c r="AFH19" s="133">
        <f t="shared" si="275"/>
        <v>0</v>
      </c>
      <c r="AFI19" s="133">
        <f t="shared" si="275"/>
        <v>0</v>
      </c>
      <c r="AFJ19" s="133">
        <f t="shared" si="275"/>
        <v>0</v>
      </c>
      <c r="AFK19" s="133">
        <f t="shared" si="275"/>
        <v>0</v>
      </c>
      <c r="AFL19" s="133">
        <f t="shared" si="275"/>
        <v>0</v>
      </c>
      <c r="AFM19" s="133">
        <f t="shared" si="275"/>
        <v>0</v>
      </c>
      <c r="AFN19" s="133">
        <f t="shared" si="275"/>
        <v>0</v>
      </c>
      <c r="AFO19" s="133">
        <f t="shared" si="275"/>
        <v>0</v>
      </c>
      <c r="AFP19" s="133">
        <f t="shared" si="275"/>
        <v>0</v>
      </c>
      <c r="AFQ19" s="133">
        <f t="shared" si="275"/>
        <v>0</v>
      </c>
      <c r="AFR19" s="133">
        <f t="shared" si="275"/>
        <v>0</v>
      </c>
      <c r="AFS19" s="133">
        <f t="shared" si="275"/>
        <v>0</v>
      </c>
      <c r="AFT19" s="133">
        <f t="shared" si="275"/>
        <v>0</v>
      </c>
      <c r="AFU19" s="133">
        <f t="shared" si="275"/>
        <v>0</v>
      </c>
      <c r="AFV19" s="133">
        <f t="shared" si="275"/>
        <v>0</v>
      </c>
      <c r="AFW19" s="133">
        <f t="shared" si="275"/>
        <v>0</v>
      </c>
      <c r="AFX19" s="133">
        <f t="shared" si="275"/>
        <v>0</v>
      </c>
      <c r="AFY19" s="133">
        <f t="shared" si="275"/>
        <v>0</v>
      </c>
      <c r="AFZ19" s="133">
        <f t="shared" si="275"/>
        <v>0</v>
      </c>
      <c r="AGA19" s="133">
        <f t="shared" si="275"/>
        <v>0</v>
      </c>
      <c r="AGB19" s="133">
        <f t="shared" si="275"/>
        <v>0</v>
      </c>
      <c r="AGC19" s="133">
        <f t="shared" si="275"/>
        <v>0</v>
      </c>
      <c r="AGD19" s="133">
        <f t="shared" si="275"/>
        <v>0</v>
      </c>
      <c r="AGE19" s="133">
        <f t="shared" si="275"/>
        <v>0</v>
      </c>
      <c r="AGF19" s="133">
        <f t="shared" si="275"/>
        <v>0</v>
      </c>
      <c r="AGG19" s="133">
        <f t="shared" si="275"/>
        <v>0</v>
      </c>
      <c r="AGH19" s="133">
        <f t="shared" si="275"/>
        <v>0</v>
      </c>
      <c r="AGI19" s="133">
        <f t="shared" si="275"/>
        <v>0</v>
      </c>
      <c r="AGJ19" s="133">
        <f t="shared" si="275"/>
        <v>0</v>
      </c>
      <c r="AGK19" s="133">
        <f t="shared" si="275"/>
        <v>0</v>
      </c>
      <c r="AGL19" s="133">
        <f t="shared" si="275"/>
        <v>0</v>
      </c>
      <c r="AGM19" s="133">
        <f t="shared" si="275"/>
        <v>0</v>
      </c>
      <c r="AGN19" s="133">
        <f t="shared" si="275"/>
        <v>0</v>
      </c>
      <c r="AGO19" s="133">
        <f t="shared" si="275"/>
        <v>0</v>
      </c>
      <c r="AGP19" s="133">
        <f t="shared" si="275"/>
        <v>0</v>
      </c>
      <c r="AGQ19" s="133">
        <f t="shared" si="275"/>
        <v>0</v>
      </c>
      <c r="AGR19" s="133">
        <f t="shared" si="275"/>
        <v>0</v>
      </c>
      <c r="AGS19" s="133">
        <f t="shared" si="275"/>
        <v>0</v>
      </c>
      <c r="AGT19" s="133">
        <f t="shared" si="275"/>
        <v>0</v>
      </c>
      <c r="AGU19" s="133">
        <f t="shared" si="275"/>
        <v>0</v>
      </c>
      <c r="AGV19" s="133">
        <f t="shared" si="275"/>
        <v>0</v>
      </c>
      <c r="AGW19" s="133">
        <f t="shared" si="275"/>
        <v>0</v>
      </c>
      <c r="AGX19" s="133">
        <f t="shared" si="275"/>
        <v>0</v>
      </c>
      <c r="AGY19" s="133">
        <f t="shared" si="275"/>
        <v>0</v>
      </c>
      <c r="AGZ19" s="133">
        <f t="shared" si="275"/>
        <v>0</v>
      </c>
      <c r="AHA19" s="133">
        <f t="shared" si="275"/>
        <v>0</v>
      </c>
      <c r="AHB19" s="133">
        <f t="shared" si="275"/>
        <v>0</v>
      </c>
      <c r="AHC19" s="133">
        <f t="shared" si="275"/>
        <v>0</v>
      </c>
      <c r="AHD19" s="133">
        <f t="shared" si="275"/>
        <v>0</v>
      </c>
      <c r="AHE19" s="133">
        <f t="shared" si="275"/>
        <v>0</v>
      </c>
      <c r="AHF19" s="133">
        <f t="shared" si="275"/>
        <v>0</v>
      </c>
      <c r="AHG19" s="133">
        <f t="shared" si="275"/>
        <v>0</v>
      </c>
      <c r="AHH19" s="133">
        <f t="shared" si="275"/>
        <v>0</v>
      </c>
      <c r="AHI19" s="133">
        <f t="shared" si="275"/>
        <v>0</v>
      </c>
      <c r="AHJ19" s="133">
        <f t="shared" si="275"/>
        <v>0</v>
      </c>
      <c r="AHK19" s="133">
        <f t="shared" si="275"/>
        <v>0</v>
      </c>
      <c r="AHL19" s="133">
        <f t="shared" si="275"/>
        <v>0</v>
      </c>
      <c r="AHM19" s="133">
        <f t="shared" si="275"/>
        <v>0</v>
      </c>
      <c r="AHN19" s="133">
        <f t="shared" si="275"/>
        <v>0</v>
      </c>
      <c r="AHO19" s="133">
        <f t="shared" si="275"/>
        <v>0</v>
      </c>
      <c r="AHP19" s="133">
        <f t="shared" si="275"/>
        <v>0</v>
      </c>
      <c r="AHQ19" s="133">
        <f t="shared" si="275"/>
        <v>0</v>
      </c>
      <c r="AHR19" s="133">
        <f t="shared" ref="AHR19:AKC19" si="276">AHR8+AHR9</f>
        <v>0</v>
      </c>
      <c r="AHS19" s="133">
        <f t="shared" si="276"/>
        <v>0</v>
      </c>
      <c r="AHT19" s="133">
        <f t="shared" si="276"/>
        <v>0</v>
      </c>
      <c r="AHU19" s="133">
        <f t="shared" si="276"/>
        <v>0</v>
      </c>
      <c r="AHV19" s="133">
        <f t="shared" si="276"/>
        <v>0</v>
      </c>
      <c r="AHW19" s="133">
        <f t="shared" si="276"/>
        <v>0</v>
      </c>
      <c r="AHX19" s="133">
        <f t="shared" si="276"/>
        <v>0</v>
      </c>
      <c r="AHY19" s="133">
        <f t="shared" si="276"/>
        <v>0</v>
      </c>
      <c r="AHZ19" s="133">
        <f t="shared" si="276"/>
        <v>0</v>
      </c>
      <c r="AIA19" s="133">
        <f t="shared" si="276"/>
        <v>0</v>
      </c>
      <c r="AIB19" s="133">
        <f t="shared" si="276"/>
        <v>0</v>
      </c>
      <c r="AIC19" s="133">
        <f t="shared" si="276"/>
        <v>0</v>
      </c>
      <c r="AID19" s="133">
        <f t="shared" si="276"/>
        <v>0</v>
      </c>
      <c r="AIE19" s="133">
        <f t="shared" si="276"/>
        <v>0</v>
      </c>
      <c r="AIF19" s="133">
        <f t="shared" si="276"/>
        <v>0</v>
      </c>
      <c r="AIG19" s="133">
        <f t="shared" si="276"/>
        <v>0</v>
      </c>
      <c r="AIH19" s="133">
        <f t="shared" si="276"/>
        <v>0</v>
      </c>
      <c r="AII19" s="133">
        <f t="shared" si="276"/>
        <v>0</v>
      </c>
      <c r="AIJ19" s="133">
        <f t="shared" si="276"/>
        <v>0</v>
      </c>
      <c r="AIK19" s="133">
        <f t="shared" si="276"/>
        <v>0</v>
      </c>
      <c r="AIL19" s="133">
        <f t="shared" si="276"/>
        <v>0</v>
      </c>
      <c r="AIM19" s="133">
        <f t="shared" si="276"/>
        <v>0</v>
      </c>
      <c r="AIN19" s="133">
        <f t="shared" si="276"/>
        <v>0</v>
      </c>
      <c r="AIO19" s="133">
        <f t="shared" si="276"/>
        <v>0</v>
      </c>
      <c r="AIP19" s="133">
        <f t="shared" si="276"/>
        <v>0</v>
      </c>
      <c r="AIQ19" s="133">
        <f t="shared" si="276"/>
        <v>0</v>
      </c>
      <c r="AIR19" s="133">
        <f t="shared" si="276"/>
        <v>0</v>
      </c>
      <c r="AIS19" s="133">
        <f t="shared" si="276"/>
        <v>0</v>
      </c>
      <c r="AIT19" s="133">
        <f t="shared" si="276"/>
        <v>0</v>
      </c>
      <c r="AIU19" s="133">
        <f t="shared" si="276"/>
        <v>0</v>
      </c>
      <c r="AIV19" s="133">
        <f t="shared" si="276"/>
        <v>0</v>
      </c>
      <c r="AIW19" s="133">
        <f t="shared" si="276"/>
        <v>0</v>
      </c>
      <c r="AIX19" s="133">
        <f t="shared" si="276"/>
        <v>0</v>
      </c>
      <c r="AIY19" s="133">
        <f t="shared" si="276"/>
        <v>0</v>
      </c>
      <c r="AIZ19" s="133">
        <f t="shared" si="276"/>
        <v>0</v>
      </c>
      <c r="AJA19" s="133">
        <f t="shared" si="276"/>
        <v>0</v>
      </c>
      <c r="AJB19" s="133">
        <f t="shared" si="276"/>
        <v>0</v>
      </c>
      <c r="AJC19" s="133">
        <f t="shared" si="276"/>
        <v>0</v>
      </c>
      <c r="AJD19" s="133">
        <f t="shared" si="276"/>
        <v>0</v>
      </c>
      <c r="AJE19" s="133">
        <f t="shared" si="276"/>
        <v>0</v>
      </c>
      <c r="AJF19" s="133">
        <f t="shared" si="276"/>
        <v>3</v>
      </c>
      <c r="AJG19" s="133">
        <f t="shared" si="276"/>
        <v>5</v>
      </c>
      <c r="AJH19" s="133">
        <f t="shared" si="276"/>
        <v>8</v>
      </c>
      <c r="AJI19" s="133">
        <f t="shared" si="276"/>
        <v>1</v>
      </c>
      <c r="AJJ19" s="133">
        <f t="shared" si="276"/>
        <v>0</v>
      </c>
      <c r="AJK19" s="133">
        <f t="shared" si="276"/>
        <v>0</v>
      </c>
      <c r="AJL19" s="133">
        <f t="shared" si="276"/>
        <v>4</v>
      </c>
      <c r="AJM19" s="133">
        <f t="shared" si="276"/>
        <v>2</v>
      </c>
      <c r="AJN19" s="133">
        <f t="shared" si="276"/>
        <v>1</v>
      </c>
      <c r="AJO19" s="133">
        <f t="shared" si="276"/>
        <v>0</v>
      </c>
      <c r="AJP19" s="133">
        <f t="shared" si="276"/>
        <v>0</v>
      </c>
      <c r="AJQ19" s="133">
        <f t="shared" si="276"/>
        <v>8</v>
      </c>
      <c r="AJR19" s="133">
        <f t="shared" si="276"/>
        <v>16</v>
      </c>
      <c r="AJS19" s="133">
        <f t="shared" si="276"/>
        <v>24</v>
      </c>
      <c r="AJT19" s="133">
        <f t="shared" si="276"/>
        <v>1</v>
      </c>
      <c r="AJU19" s="133">
        <f t="shared" si="276"/>
        <v>0</v>
      </c>
      <c r="AJV19" s="133">
        <f t="shared" si="276"/>
        <v>2</v>
      </c>
      <c r="AJW19" s="133">
        <f t="shared" si="276"/>
        <v>10</v>
      </c>
      <c r="AJX19" s="133">
        <f t="shared" si="276"/>
        <v>2</v>
      </c>
      <c r="AJY19" s="133">
        <f t="shared" si="276"/>
        <v>3</v>
      </c>
      <c r="AJZ19" s="133">
        <f t="shared" si="276"/>
        <v>3</v>
      </c>
      <c r="AKA19" s="133">
        <f t="shared" si="276"/>
        <v>3</v>
      </c>
      <c r="AKB19" s="133">
        <f t="shared" si="276"/>
        <v>8</v>
      </c>
      <c r="AKC19" s="133">
        <f t="shared" si="276"/>
        <v>16</v>
      </c>
      <c r="AKD19" s="133">
        <f t="shared" ref="AKD19:AMO19" si="277">AKD8+AKD9</f>
        <v>24</v>
      </c>
      <c r="AKE19" s="133">
        <f t="shared" si="277"/>
        <v>0</v>
      </c>
      <c r="AKF19" s="133">
        <f t="shared" si="277"/>
        <v>0</v>
      </c>
      <c r="AKG19" s="133">
        <f t="shared" si="277"/>
        <v>3</v>
      </c>
      <c r="AKH19" s="133">
        <f t="shared" si="277"/>
        <v>4</v>
      </c>
      <c r="AKI19" s="133">
        <f t="shared" si="277"/>
        <v>1</v>
      </c>
      <c r="AKJ19" s="133">
        <f t="shared" si="277"/>
        <v>7</v>
      </c>
      <c r="AKK19" s="133">
        <f t="shared" si="277"/>
        <v>4</v>
      </c>
      <c r="AKL19" s="133">
        <f t="shared" si="277"/>
        <v>3</v>
      </c>
      <c r="AKM19" s="133">
        <f t="shared" si="277"/>
        <v>0</v>
      </c>
      <c r="AKN19" s="133">
        <f t="shared" si="277"/>
        <v>2</v>
      </c>
      <c r="AKO19" s="133">
        <f t="shared" si="277"/>
        <v>8</v>
      </c>
      <c r="AKP19" s="133">
        <f t="shared" si="277"/>
        <v>16</v>
      </c>
      <c r="AKQ19" s="133">
        <f t="shared" si="277"/>
        <v>24</v>
      </c>
      <c r="AKR19" s="133">
        <f t="shared" si="277"/>
        <v>0</v>
      </c>
      <c r="AKS19" s="133">
        <f t="shared" si="277"/>
        <v>1</v>
      </c>
      <c r="AKT19" s="133">
        <f t="shared" si="277"/>
        <v>8</v>
      </c>
      <c r="AKU19" s="133">
        <f t="shared" si="277"/>
        <v>15</v>
      </c>
      <c r="AKV19" s="133">
        <f t="shared" si="277"/>
        <v>0</v>
      </c>
      <c r="AKW19" s="133">
        <f t="shared" si="277"/>
        <v>0</v>
      </c>
      <c r="AKX19" s="133">
        <f t="shared" si="277"/>
        <v>0</v>
      </c>
      <c r="AKY19" s="133">
        <f t="shared" si="277"/>
        <v>0</v>
      </c>
      <c r="AKZ19" s="133">
        <f t="shared" si="277"/>
        <v>8</v>
      </c>
      <c r="ALA19" s="133">
        <f t="shared" si="277"/>
        <v>16</v>
      </c>
      <c r="ALB19" s="133">
        <f t="shared" si="277"/>
        <v>24</v>
      </c>
      <c r="ALC19" s="133">
        <f t="shared" si="277"/>
        <v>1</v>
      </c>
      <c r="ALD19" s="133">
        <f t="shared" si="277"/>
        <v>2</v>
      </c>
      <c r="ALE19" s="133">
        <f t="shared" si="277"/>
        <v>1</v>
      </c>
      <c r="ALF19" s="133">
        <f t="shared" si="277"/>
        <v>0</v>
      </c>
      <c r="ALG19" s="133">
        <f t="shared" si="277"/>
        <v>2014</v>
      </c>
      <c r="ALH19" s="133">
        <f t="shared" si="277"/>
        <v>0</v>
      </c>
      <c r="ALI19" s="133">
        <f t="shared" si="277"/>
        <v>0</v>
      </c>
      <c r="ALJ19" s="133">
        <f t="shared" si="277"/>
        <v>1</v>
      </c>
      <c r="ALK19" s="133">
        <f t="shared" si="277"/>
        <v>0</v>
      </c>
      <c r="ALL19" s="133">
        <f t="shared" si="277"/>
        <v>0</v>
      </c>
      <c r="ALM19" s="133">
        <f t="shared" si="277"/>
        <v>1</v>
      </c>
      <c r="ALN19" s="133">
        <f t="shared" si="277"/>
        <v>0</v>
      </c>
      <c r="ALO19" s="133">
        <f t="shared" si="277"/>
        <v>0</v>
      </c>
      <c r="ALP19" s="133">
        <f t="shared" si="277"/>
        <v>1</v>
      </c>
      <c r="ALQ19" s="133">
        <f t="shared" si="277"/>
        <v>0</v>
      </c>
      <c r="ALR19" s="133">
        <f t="shared" si="277"/>
        <v>18</v>
      </c>
      <c r="ALS19" s="133">
        <f t="shared" si="277"/>
        <v>12</v>
      </c>
      <c r="ALT19" s="133">
        <f t="shared" si="277"/>
        <v>0</v>
      </c>
      <c r="ALU19" s="133">
        <f t="shared" si="277"/>
        <v>0</v>
      </c>
      <c r="ALV19" s="133">
        <f t="shared" si="277"/>
        <v>0</v>
      </c>
      <c r="ALW19" s="133">
        <f t="shared" si="277"/>
        <v>0</v>
      </c>
      <c r="ALX19" s="133">
        <f t="shared" si="277"/>
        <v>1</v>
      </c>
      <c r="ALY19" s="133">
        <f t="shared" si="277"/>
        <v>0</v>
      </c>
      <c r="ALZ19" s="133">
        <f t="shared" si="277"/>
        <v>1</v>
      </c>
      <c r="AMA19" s="133">
        <f t="shared" si="277"/>
        <v>0</v>
      </c>
      <c r="AMB19" s="133">
        <f t="shared" si="277"/>
        <v>0</v>
      </c>
      <c r="AMC19" s="133">
        <f t="shared" si="277"/>
        <v>0</v>
      </c>
      <c r="AMD19" s="133">
        <f t="shared" si="277"/>
        <v>0</v>
      </c>
      <c r="AME19" s="133">
        <f t="shared" si="277"/>
        <v>0</v>
      </c>
      <c r="AMF19" s="133">
        <f t="shared" si="277"/>
        <v>1</v>
      </c>
      <c r="AMG19" s="133">
        <f t="shared" si="277"/>
        <v>0</v>
      </c>
      <c r="AMH19" s="133">
        <f t="shared" si="277"/>
        <v>0</v>
      </c>
      <c r="AMI19" s="133">
        <f t="shared" si="277"/>
        <v>1</v>
      </c>
      <c r="AMJ19" s="133">
        <f t="shared" si="277"/>
        <v>1</v>
      </c>
      <c r="AMK19" s="133">
        <f t="shared" si="277"/>
        <v>0</v>
      </c>
      <c r="AML19" s="133">
        <f t="shared" si="277"/>
        <v>1</v>
      </c>
      <c r="AMM19" s="133">
        <f t="shared" si="277"/>
        <v>0</v>
      </c>
      <c r="AMN19" s="133">
        <f t="shared" si="277"/>
        <v>0</v>
      </c>
      <c r="AMO19" s="133">
        <f t="shared" si="277"/>
        <v>1</v>
      </c>
      <c r="AMP19" s="133">
        <f t="shared" ref="AMP19:APA19" si="278">AMP8+AMP9</f>
        <v>1</v>
      </c>
      <c r="AMQ19" s="133">
        <f t="shared" si="278"/>
        <v>0</v>
      </c>
      <c r="AMR19" s="133">
        <f t="shared" si="278"/>
        <v>1</v>
      </c>
      <c r="AMS19" s="133">
        <f t="shared" si="278"/>
        <v>0</v>
      </c>
      <c r="AMT19" s="133">
        <f t="shared" si="278"/>
        <v>0</v>
      </c>
      <c r="AMU19" s="133">
        <f t="shared" si="278"/>
        <v>0</v>
      </c>
      <c r="AMV19" s="133">
        <f t="shared" si="278"/>
        <v>0</v>
      </c>
      <c r="AMW19" s="133">
        <f t="shared" si="278"/>
        <v>1</v>
      </c>
      <c r="AMX19" s="133">
        <f t="shared" si="278"/>
        <v>0</v>
      </c>
      <c r="AMY19" s="133">
        <f t="shared" si="278"/>
        <v>1</v>
      </c>
      <c r="AMZ19" s="133">
        <f t="shared" si="278"/>
        <v>0</v>
      </c>
      <c r="ANA19" s="133">
        <f t="shared" si="278"/>
        <v>0</v>
      </c>
      <c r="ANB19" s="133">
        <f t="shared" si="278"/>
        <v>1</v>
      </c>
      <c r="ANC19" s="133">
        <f t="shared" si="278"/>
        <v>0</v>
      </c>
      <c r="AND19" s="133">
        <f t="shared" si="278"/>
        <v>1</v>
      </c>
      <c r="ANE19" s="133">
        <f t="shared" si="278"/>
        <v>0</v>
      </c>
      <c r="ANF19" s="133">
        <f t="shared" si="278"/>
        <v>0</v>
      </c>
      <c r="ANG19" s="133">
        <f t="shared" si="278"/>
        <v>0</v>
      </c>
      <c r="ANH19" s="133">
        <f t="shared" si="278"/>
        <v>0</v>
      </c>
      <c r="ANI19" s="133">
        <f t="shared" si="278"/>
        <v>1</v>
      </c>
      <c r="ANJ19" s="133">
        <f t="shared" si="278"/>
        <v>0</v>
      </c>
      <c r="ANK19" s="133">
        <f t="shared" si="278"/>
        <v>1</v>
      </c>
      <c r="ANL19" s="133">
        <f t="shared" si="278"/>
        <v>0</v>
      </c>
      <c r="ANM19" s="133">
        <f t="shared" si="278"/>
        <v>0</v>
      </c>
      <c r="ANN19" s="133">
        <f t="shared" si="278"/>
        <v>1</v>
      </c>
      <c r="ANO19" s="133">
        <f t="shared" si="278"/>
        <v>0</v>
      </c>
      <c r="ANP19" s="133">
        <f t="shared" si="278"/>
        <v>1</v>
      </c>
      <c r="ANQ19" s="133">
        <f t="shared" si="278"/>
        <v>0</v>
      </c>
      <c r="ANR19" s="133">
        <f t="shared" si="278"/>
        <v>0</v>
      </c>
      <c r="ANS19" s="133">
        <f t="shared" si="278"/>
        <v>0</v>
      </c>
      <c r="ANT19" s="133">
        <f t="shared" si="278"/>
        <v>1</v>
      </c>
      <c r="ANU19" s="133">
        <f t="shared" si="278"/>
        <v>0</v>
      </c>
      <c r="ANV19" s="133">
        <f t="shared" si="278"/>
        <v>0</v>
      </c>
      <c r="ANW19" s="133">
        <f t="shared" si="278"/>
        <v>0</v>
      </c>
      <c r="ANX19" s="133">
        <f t="shared" si="278"/>
        <v>0</v>
      </c>
      <c r="ANY19" s="133">
        <f t="shared" si="278"/>
        <v>0</v>
      </c>
      <c r="ANZ19" s="133">
        <f t="shared" si="278"/>
        <v>150</v>
      </c>
      <c r="AOA19" s="133">
        <f t="shared" si="278"/>
        <v>0</v>
      </c>
      <c r="AOB19" s="133">
        <f t="shared" si="278"/>
        <v>0</v>
      </c>
      <c r="AOC19" s="133">
        <f t="shared" si="278"/>
        <v>0</v>
      </c>
      <c r="AOD19" s="133">
        <f t="shared" si="278"/>
        <v>10</v>
      </c>
      <c r="AOE19" s="133">
        <f t="shared" si="278"/>
        <v>0</v>
      </c>
      <c r="AOF19" s="133">
        <f t="shared" si="278"/>
        <v>0</v>
      </c>
      <c r="AOG19" s="133">
        <f t="shared" si="278"/>
        <v>0</v>
      </c>
      <c r="AOH19" s="133">
        <f t="shared" si="278"/>
        <v>4</v>
      </c>
      <c r="AOI19" s="133">
        <f t="shared" si="278"/>
        <v>0</v>
      </c>
      <c r="AOJ19" s="133">
        <f t="shared" si="278"/>
        <v>0</v>
      </c>
      <c r="AOK19" s="133">
        <f t="shared" si="278"/>
        <v>0</v>
      </c>
      <c r="AOL19" s="133">
        <f t="shared" si="278"/>
        <v>0</v>
      </c>
      <c r="AOM19" s="133">
        <f t="shared" si="278"/>
        <v>2</v>
      </c>
      <c r="AON19" s="133">
        <f t="shared" si="278"/>
        <v>0</v>
      </c>
      <c r="AOO19" s="133">
        <f t="shared" si="278"/>
        <v>0</v>
      </c>
      <c r="AOP19" s="133">
        <f t="shared" si="278"/>
        <v>0</v>
      </c>
      <c r="AOQ19" s="133">
        <f t="shared" si="278"/>
        <v>0</v>
      </c>
      <c r="AOR19" s="133">
        <f t="shared" si="278"/>
        <v>0</v>
      </c>
      <c r="AOS19" s="133">
        <f t="shared" si="278"/>
        <v>0</v>
      </c>
      <c r="AOT19" s="133">
        <f t="shared" si="278"/>
        <v>0</v>
      </c>
      <c r="AOU19" s="133">
        <f t="shared" si="278"/>
        <v>0</v>
      </c>
      <c r="AOV19" s="133">
        <f t="shared" si="278"/>
        <v>0</v>
      </c>
      <c r="AOW19" s="133">
        <f t="shared" si="278"/>
        <v>0</v>
      </c>
      <c r="AOX19" s="133">
        <f t="shared" si="278"/>
        <v>0</v>
      </c>
      <c r="AOY19" s="133">
        <f t="shared" si="278"/>
        <v>0</v>
      </c>
      <c r="AOZ19" s="133">
        <f t="shared" si="278"/>
        <v>0</v>
      </c>
      <c r="APA19" s="133">
        <f t="shared" si="278"/>
        <v>2</v>
      </c>
      <c r="APB19" s="133">
        <f t="shared" ref="APB19:APO19" si="279">APB8+APB9</f>
        <v>0</v>
      </c>
      <c r="APC19" s="133">
        <f t="shared" si="279"/>
        <v>0</v>
      </c>
      <c r="APD19" s="133">
        <f t="shared" si="279"/>
        <v>0</v>
      </c>
      <c r="APE19" s="133">
        <f t="shared" si="279"/>
        <v>0</v>
      </c>
      <c r="APF19" s="133">
        <f t="shared" si="279"/>
        <v>0</v>
      </c>
      <c r="APG19" s="133">
        <f t="shared" si="279"/>
        <v>0</v>
      </c>
      <c r="APH19" s="133">
        <f t="shared" si="279"/>
        <v>0</v>
      </c>
      <c r="API19" s="133">
        <f t="shared" si="279"/>
        <v>0</v>
      </c>
      <c r="APJ19" s="133">
        <f t="shared" si="279"/>
        <v>0</v>
      </c>
      <c r="APK19" s="133">
        <f t="shared" si="279"/>
        <v>0</v>
      </c>
      <c r="APL19" s="133">
        <f t="shared" si="279"/>
        <v>0</v>
      </c>
      <c r="APM19" s="133">
        <f t="shared" si="279"/>
        <v>0</v>
      </c>
      <c r="APN19" s="133">
        <f t="shared" si="279"/>
        <v>0</v>
      </c>
      <c r="APO19" s="133">
        <f t="shared" si="279"/>
        <v>0</v>
      </c>
      <c r="APP19" s="133"/>
      <c r="APQ19" s="133"/>
    </row>
  </sheetData>
  <autoFilter ref="A5:APQ17"/>
  <mergeCells count="606">
    <mergeCell ref="A19:E19"/>
    <mergeCell ref="D14:E15"/>
    <mergeCell ref="AJA3:AJK3"/>
    <mergeCell ref="AJA1:AJL2"/>
    <mergeCell ref="AHB4:AHC4"/>
    <mergeCell ref="AEH4:AEI4"/>
    <mergeCell ref="AEJ4:AEK4"/>
    <mergeCell ref="AEL4:AEM4"/>
    <mergeCell ref="AEN4:AEP4"/>
    <mergeCell ref="AEQ4:AER4"/>
    <mergeCell ref="AES4:AET4"/>
    <mergeCell ref="AEU4:AEV4"/>
    <mergeCell ref="AEW4:AEX4"/>
    <mergeCell ref="AEY4:AEZ4"/>
    <mergeCell ref="ADO4:ADP4"/>
    <mergeCell ref="ADQ4:ADR4"/>
    <mergeCell ref="ADS4:ADT4"/>
    <mergeCell ref="AEF4:AEG4"/>
    <mergeCell ref="ACV4:ACW4"/>
    <mergeCell ref="ACX4:ACY4"/>
    <mergeCell ref="JR4:JS4"/>
    <mergeCell ref="A13:E13"/>
    <mergeCell ref="AHJ4:AHK4"/>
    <mergeCell ref="AHL4:AHN4"/>
    <mergeCell ref="AFA4:AFB4"/>
    <mergeCell ref="AFC4:AFD4"/>
    <mergeCell ref="AFE4:AFF4"/>
    <mergeCell ref="D11:E12"/>
    <mergeCell ref="AOF2:AOJ2"/>
    <mergeCell ref="AOL2:AOY2"/>
    <mergeCell ref="APB2:APO2"/>
    <mergeCell ref="ACZ4:ADA4"/>
    <mergeCell ref="ALZ4:AME4"/>
    <mergeCell ref="AKR1:ALB3"/>
    <mergeCell ref="AKZ4:ALB4"/>
    <mergeCell ref="ALC1:ALD4"/>
    <mergeCell ref="AIT4:AIU4"/>
    <mergeCell ref="AKK4:AKL4"/>
    <mergeCell ref="AKM4:AKN4"/>
    <mergeCell ref="AKO4:AKQ4"/>
    <mergeCell ref="AFG4:AFI4"/>
    <mergeCell ref="ALU4:ALY4"/>
    <mergeCell ref="ANK3:ANL4"/>
    <mergeCell ref="ANI3:ANJ4"/>
    <mergeCell ref="AMF3:AMK4"/>
    <mergeCell ref="AOY3:AOY5"/>
    <mergeCell ref="AOZ3:APO3"/>
    <mergeCell ref="APH4:API4"/>
    <mergeCell ref="APJ4:APK4"/>
    <mergeCell ref="APL4:APM4"/>
    <mergeCell ref="APN4:APO4"/>
    <mergeCell ref="ANP4:ANR4"/>
    <mergeCell ref="ANS4:ANU4"/>
    <mergeCell ref="AON3:AOR4"/>
    <mergeCell ref="AOW3:AOX4"/>
    <mergeCell ref="AOF3:AOG4"/>
    <mergeCell ref="AOH3:AOI4"/>
    <mergeCell ref="AOJ3:AOK4"/>
    <mergeCell ref="ANZ1:AOA4"/>
    <mergeCell ref="AOB1:AOC4"/>
    <mergeCell ref="AOD1:AOE4"/>
    <mergeCell ref="AGV3:AHN3"/>
    <mergeCell ref="AML3:AMM4"/>
    <mergeCell ref="AJT1:AKD3"/>
    <mergeCell ref="AJT4:AJU4"/>
    <mergeCell ref="AJV4:AJW4"/>
    <mergeCell ref="AOZ4:APA4"/>
    <mergeCell ref="APB4:APC4"/>
    <mergeCell ref="APD4:APE4"/>
    <mergeCell ref="APF4:APG4"/>
    <mergeCell ref="ANV1:ANY4"/>
    <mergeCell ref="AKE1:AKQ3"/>
    <mergeCell ref="AKE4:AKF4"/>
    <mergeCell ref="AKG4:AKH4"/>
    <mergeCell ref="AJZ4:AKA4"/>
    <mergeCell ref="AMP3:AMQ4"/>
    <mergeCell ref="ANM4:ANO4"/>
    <mergeCell ref="AHD4:AHE4"/>
    <mergeCell ref="AMW3:AMX4"/>
    <mergeCell ref="AJX4:AJY4"/>
    <mergeCell ref="ALE4:ALF4"/>
    <mergeCell ref="ALL4:ALN4"/>
    <mergeCell ref="ALO4:ALQ4"/>
    <mergeCell ref="ALR4:ALT4"/>
    <mergeCell ref="AJA4:AJB4"/>
    <mergeCell ref="AFJ4:AFK4"/>
    <mergeCell ref="AFL4:AFM4"/>
    <mergeCell ref="AFN4:AFO4"/>
    <mergeCell ref="AFP4:AFQ4"/>
    <mergeCell ref="AFR4:AFS4"/>
    <mergeCell ref="AFT4:AFU4"/>
    <mergeCell ref="AFV4:AFW4"/>
    <mergeCell ref="AHF4:AHG4"/>
    <mergeCell ref="AHH4:AHI4"/>
    <mergeCell ref="AFX4:AFY4"/>
    <mergeCell ref="AFZ4:AGB4"/>
    <mergeCell ref="AGC4:AGD4"/>
    <mergeCell ref="AGE4:AGF4"/>
    <mergeCell ref="AGG4:AGH4"/>
    <mergeCell ref="AGI4:AGJ4"/>
    <mergeCell ref="AJC4:AJD4"/>
    <mergeCell ref="AJG4:AJH4"/>
    <mergeCell ref="AJE4:AJF4"/>
    <mergeCell ref="AJI4:AJJ4"/>
    <mergeCell ref="AJK4:AJL4"/>
    <mergeCell ref="AJM4:AJN4"/>
    <mergeCell ref="AJO4:AJP4"/>
    <mergeCell ref="AJQ4:AJS4"/>
    <mergeCell ref="AKR4:AKS4"/>
    <mergeCell ref="ACG4:ACH4"/>
    <mergeCell ref="ACI4:ACK4"/>
    <mergeCell ref="ACL4:ACM4"/>
    <mergeCell ref="AKT4:AKU4"/>
    <mergeCell ref="AKV4:AKW4"/>
    <mergeCell ref="AKX4:AKY4"/>
    <mergeCell ref="AKB4:AKD4"/>
    <mergeCell ref="AKI4:AKJ4"/>
    <mergeCell ref="ADU4:ADW4"/>
    <mergeCell ref="ADX4:ADY4"/>
    <mergeCell ref="ADZ4:AEA4"/>
    <mergeCell ref="AEB4:AEC4"/>
    <mergeCell ref="AED4:AEE4"/>
    <mergeCell ref="AIV4:AIW4"/>
    <mergeCell ref="AIX4:AIZ4"/>
    <mergeCell ref="AGM4:AGN4"/>
    <mergeCell ref="AGO4:AGP4"/>
    <mergeCell ref="AGZ4:AHA4"/>
    <mergeCell ref="AGK4:AGL4"/>
    <mergeCell ref="AHO4:AHP4"/>
    <mergeCell ref="AHQ4:AHR4"/>
    <mergeCell ref="AHS4:AHT4"/>
    <mergeCell ref="AHU4:AHV4"/>
    <mergeCell ref="AHW4:AHX4"/>
    <mergeCell ref="ADB4:ADD4"/>
    <mergeCell ref="ADE4:ADF4"/>
    <mergeCell ref="ADG4:ADH4"/>
    <mergeCell ref="ADI4:ADJ4"/>
    <mergeCell ref="ADK4:ADL4"/>
    <mergeCell ref="ADM4:ADN4"/>
    <mergeCell ref="ACN4:ACO4"/>
    <mergeCell ref="ACP4:ACQ4"/>
    <mergeCell ref="ACR4:ACS4"/>
    <mergeCell ref="AAK4:AAL4"/>
    <mergeCell ref="AAM4:AAN4"/>
    <mergeCell ref="AAO4:AAP4"/>
    <mergeCell ref="AAQ4:AAR4"/>
    <mergeCell ref="AAS4:AAT4"/>
    <mergeCell ref="AAU4:AAV4"/>
    <mergeCell ref="AAW4:AAY4"/>
    <mergeCell ref="AAZ4:ABA4"/>
    <mergeCell ref="ACT4:ACU4"/>
    <mergeCell ref="ABB4:ABC4"/>
    <mergeCell ref="ABD4:ABE4"/>
    <mergeCell ref="ABF4:ABG4"/>
    <mergeCell ref="ABH4:ABI4"/>
    <mergeCell ref="ABJ4:ABK4"/>
    <mergeCell ref="ABL4:ABM4"/>
    <mergeCell ref="ABN4:ABO4"/>
    <mergeCell ref="ABP4:ABR4"/>
    <mergeCell ref="ABS4:ABT4"/>
    <mergeCell ref="ABU4:ABV4"/>
    <mergeCell ref="ABW4:ABX4"/>
    <mergeCell ref="ABY4:ABZ4"/>
    <mergeCell ref="ACA4:ACB4"/>
    <mergeCell ref="ACC4:ACD4"/>
    <mergeCell ref="ACE4:ACF4"/>
    <mergeCell ref="ZR4:ZS4"/>
    <mergeCell ref="ZT4:ZU4"/>
    <mergeCell ref="ZV4:ZW4"/>
    <mergeCell ref="ZX4:ZY4"/>
    <mergeCell ref="ZZ4:AAA4"/>
    <mergeCell ref="AAB4:AAC4"/>
    <mergeCell ref="AAD4:AAF4"/>
    <mergeCell ref="AAG4:AAH4"/>
    <mergeCell ref="AAI4:AAJ4"/>
    <mergeCell ref="YY4:YZ4"/>
    <mergeCell ref="ZA4:ZB4"/>
    <mergeCell ref="ZC4:ZD4"/>
    <mergeCell ref="ZE4:ZF4"/>
    <mergeCell ref="ZG4:ZH4"/>
    <mergeCell ref="ZI4:ZJ4"/>
    <mergeCell ref="ZK4:ZM4"/>
    <mergeCell ref="ZN4:ZO4"/>
    <mergeCell ref="ZP4:ZQ4"/>
    <mergeCell ref="YF4:YG4"/>
    <mergeCell ref="YH4:YI4"/>
    <mergeCell ref="YJ4:YK4"/>
    <mergeCell ref="YL4:YM4"/>
    <mergeCell ref="YN4:YO4"/>
    <mergeCell ref="YP4:YQ4"/>
    <mergeCell ref="YR4:YT4"/>
    <mergeCell ref="YU4:YV4"/>
    <mergeCell ref="YW4:YX4"/>
    <mergeCell ref="XM4:XN4"/>
    <mergeCell ref="XO4:XP4"/>
    <mergeCell ref="XQ4:XR4"/>
    <mergeCell ref="XS4:XT4"/>
    <mergeCell ref="XU4:XV4"/>
    <mergeCell ref="XW4:XX4"/>
    <mergeCell ref="XY4:YA4"/>
    <mergeCell ref="YB4:YC4"/>
    <mergeCell ref="YD4:YE4"/>
    <mergeCell ref="WT4:WU4"/>
    <mergeCell ref="WV4:WW4"/>
    <mergeCell ref="WX4:WY4"/>
    <mergeCell ref="WZ4:XA4"/>
    <mergeCell ref="XB4:XC4"/>
    <mergeCell ref="XD4:XE4"/>
    <mergeCell ref="XF4:XH4"/>
    <mergeCell ref="XI4:XJ4"/>
    <mergeCell ref="XK4:XL4"/>
    <mergeCell ref="WA4:WB4"/>
    <mergeCell ref="WC4:WD4"/>
    <mergeCell ref="WE4:WF4"/>
    <mergeCell ref="WG4:WH4"/>
    <mergeCell ref="WI4:WJ4"/>
    <mergeCell ref="WK4:WL4"/>
    <mergeCell ref="WM4:WO4"/>
    <mergeCell ref="WP4:WQ4"/>
    <mergeCell ref="WR4:WS4"/>
    <mergeCell ref="VH4:VI4"/>
    <mergeCell ref="VJ4:VK4"/>
    <mergeCell ref="VL4:VM4"/>
    <mergeCell ref="VN4:VO4"/>
    <mergeCell ref="VP4:VQ4"/>
    <mergeCell ref="VR4:VS4"/>
    <mergeCell ref="VT4:VV4"/>
    <mergeCell ref="VW4:VX4"/>
    <mergeCell ref="VY4:VZ4"/>
    <mergeCell ref="UO4:UP4"/>
    <mergeCell ref="UQ4:UR4"/>
    <mergeCell ref="US4:UT4"/>
    <mergeCell ref="UU4:UV4"/>
    <mergeCell ref="UW4:UX4"/>
    <mergeCell ref="UY4:UZ4"/>
    <mergeCell ref="VA4:VC4"/>
    <mergeCell ref="VD4:VE4"/>
    <mergeCell ref="VF4:VG4"/>
    <mergeCell ref="TV4:TW4"/>
    <mergeCell ref="TX4:TY4"/>
    <mergeCell ref="TZ4:UA4"/>
    <mergeCell ref="UB4:UC4"/>
    <mergeCell ref="UD4:UE4"/>
    <mergeCell ref="UF4:UG4"/>
    <mergeCell ref="UH4:UJ4"/>
    <mergeCell ref="UK4:UL4"/>
    <mergeCell ref="UM4:UN4"/>
    <mergeCell ref="TC4:TD4"/>
    <mergeCell ref="TE4:TF4"/>
    <mergeCell ref="TG4:TH4"/>
    <mergeCell ref="TI4:TJ4"/>
    <mergeCell ref="TK4:TL4"/>
    <mergeCell ref="TM4:TN4"/>
    <mergeCell ref="TO4:TQ4"/>
    <mergeCell ref="TR4:TS4"/>
    <mergeCell ref="TT4:TU4"/>
    <mergeCell ref="SJ4:SK4"/>
    <mergeCell ref="SL4:SM4"/>
    <mergeCell ref="SN4:SO4"/>
    <mergeCell ref="SP4:SQ4"/>
    <mergeCell ref="SR4:SS4"/>
    <mergeCell ref="ST4:SU4"/>
    <mergeCell ref="SV4:SX4"/>
    <mergeCell ref="SY4:SZ4"/>
    <mergeCell ref="TA4:TB4"/>
    <mergeCell ref="RQ4:RR4"/>
    <mergeCell ref="RS4:RT4"/>
    <mergeCell ref="RU4:RV4"/>
    <mergeCell ref="RW4:RX4"/>
    <mergeCell ref="RY4:RZ4"/>
    <mergeCell ref="SA4:SB4"/>
    <mergeCell ref="SC4:SE4"/>
    <mergeCell ref="SF4:SG4"/>
    <mergeCell ref="SH4:SI4"/>
    <mergeCell ref="QX4:QY4"/>
    <mergeCell ref="QZ4:RA4"/>
    <mergeCell ref="RB4:RC4"/>
    <mergeCell ref="RD4:RE4"/>
    <mergeCell ref="RF4:RG4"/>
    <mergeCell ref="RH4:RI4"/>
    <mergeCell ref="RJ4:RL4"/>
    <mergeCell ref="RM4:RN4"/>
    <mergeCell ref="RO4:RP4"/>
    <mergeCell ref="QE4:QF4"/>
    <mergeCell ref="QG4:QH4"/>
    <mergeCell ref="QI4:QJ4"/>
    <mergeCell ref="QK4:QL4"/>
    <mergeCell ref="QM4:QN4"/>
    <mergeCell ref="QO4:QP4"/>
    <mergeCell ref="QQ4:QS4"/>
    <mergeCell ref="QT4:QU4"/>
    <mergeCell ref="QV4:QW4"/>
    <mergeCell ref="PL4:PM4"/>
    <mergeCell ref="PN4:PO4"/>
    <mergeCell ref="PP4:PQ4"/>
    <mergeCell ref="PR4:PS4"/>
    <mergeCell ref="PT4:PU4"/>
    <mergeCell ref="PV4:PW4"/>
    <mergeCell ref="PX4:PZ4"/>
    <mergeCell ref="QA4:QB4"/>
    <mergeCell ref="QC4:QD4"/>
    <mergeCell ref="OS4:OT4"/>
    <mergeCell ref="OU4:OV4"/>
    <mergeCell ref="OW4:OX4"/>
    <mergeCell ref="OY4:OZ4"/>
    <mergeCell ref="PA4:PB4"/>
    <mergeCell ref="PC4:PD4"/>
    <mergeCell ref="PE4:PG4"/>
    <mergeCell ref="PH4:PI4"/>
    <mergeCell ref="PJ4:PK4"/>
    <mergeCell ref="NZ4:OA4"/>
    <mergeCell ref="OB4:OC4"/>
    <mergeCell ref="OD4:OE4"/>
    <mergeCell ref="OF4:OG4"/>
    <mergeCell ref="OH4:OI4"/>
    <mergeCell ref="OJ4:OK4"/>
    <mergeCell ref="OL4:ON4"/>
    <mergeCell ref="OO4:OP4"/>
    <mergeCell ref="OQ4:OR4"/>
    <mergeCell ref="NQ4:NR4"/>
    <mergeCell ref="NS4:NU4"/>
    <mergeCell ref="NV4:NW4"/>
    <mergeCell ref="NC4:ND4"/>
    <mergeCell ref="NE4:NF4"/>
    <mergeCell ref="NG4:NH4"/>
    <mergeCell ref="NI4:NJ4"/>
    <mergeCell ref="NK4:NL4"/>
    <mergeCell ref="NX4:NY4"/>
    <mergeCell ref="NO4:NP4"/>
    <mergeCell ref="AIE4:AIG4"/>
    <mergeCell ref="AIJ4:AIK4"/>
    <mergeCell ref="AIL4:AIM4"/>
    <mergeCell ref="AIN4:AIO4"/>
    <mergeCell ref="AIP4:AIQ4"/>
    <mergeCell ref="AIR4:AIS4"/>
    <mergeCell ref="AGQ4:AGR4"/>
    <mergeCell ref="AGS4:AGU4"/>
    <mergeCell ref="AGV4:AGW4"/>
    <mergeCell ref="AGX4:AGY4"/>
    <mergeCell ref="AHY4:AHZ4"/>
    <mergeCell ref="AIA4:AIB4"/>
    <mergeCell ref="AIC4:AID4"/>
    <mergeCell ref="AIH4:AII4"/>
    <mergeCell ref="YB3:YT3"/>
    <mergeCell ref="YU3:ZM3"/>
    <mergeCell ref="ZN3:AAF3"/>
    <mergeCell ref="TR1:UJ2"/>
    <mergeCell ref="AIH1:AIZ2"/>
    <mergeCell ref="AFJ1:AGB2"/>
    <mergeCell ref="AGC1:AGU2"/>
    <mergeCell ref="AGV1:AHN2"/>
    <mergeCell ref="AHO3:AIG3"/>
    <mergeCell ref="AHO1:AIG2"/>
    <mergeCell ref="ADX1:AEP2"/>
    <mergeCell ref="AEQ1:AFI2"/>
    <mergeCell ref="WP1:XH2"/>
    <mergeCell ref="XI1:YA2"/>
    <mergeCell ref="YB1:YT2"/>
    <mergeCell ref="YU1:ZM2"/>
    <mergeCell ref="ZN1:AAF2"/>
    <mergeCell ref="UK1:VC2"/>
    <mergeCell ref="VD1:VV2"/>
    <mergeCell ref="VW1:WO2"/>
    <mergeCell ref="AIH3:AIZ3"/>
    <mergeCell ref="AAZ3:ABR3"/>
    <mergeCell ref="ABS3:ACK3"/>
    <mergeCell ref="ACL3:ADD3"/>
    <mergeCell ref="GC4:GD4"/>
    <mergeCell ref="KX4:KY4"/>
    <mergeCell ref="KZ4:LA4"/>
    <mergeCell ref="KJ4:KL4"/>
    <mergeCell ref="NC1:NU2"/>
    <mergeCell ref="NV1:ON2"/>
    <mergeCell ref="OO1:PG2"/>
    <mergeCell ref="ACL1:ADD2"/>
    <mergeCell ref="PH3:PZ3"/>
    <mergeCell ref="QA3:QS3"/>
    <mergeCell ref="QT3:RL3"/>
    <mergeCell ref="RM3:SE3"/>
    <mergeCell ref="SF3:SX3"/>
    <mergeCell ref="SY3:TQ3"/>
    <mergeCell ref="TR3:UJ3"/>
    <mergeCell ref="AAZ1:ABR2"/>
    <mergeCell ref="ABS1:ACK2"/>
    <mergeCell ref="AAG3:AAY3"/>
    <mergeCell ref="AAG1:AAY2"/>
    <mergeCell ref="UK3:VC3"/>
    <mergeCell ref="VD3:VV3"/>
    <mergeCell ref="VW3:WO3"/>
    <mergeCell ref="WP3:XH3"/>
    <mergeCell ref="XI3:YA3"/>
    <mergeCell ref="BN4:BO4"/>
    <mergeCell ref="HZ4:IB4"/>
    <mergeCell ref="IE4:IF4"/>
    <mergeCell ref="HI4:HJ4"/>
    <mergeCell ref="DH4:DI4"/>
    <mergeCell ref="CI4:CJ4"/>
    <mergeCell ref="CK4:CL4"/>
    <mergeCell ref="CM4:CN4"/>
    <mergeCell ref="CO4:CP4"/>
    <mergeCell ref="DD4:DE4"/>
    <mergeCell ref="DF4:DG4"/>
    <mergeCell ref="CQ4:CR4"/>
    <mergeCell ref="CS4:CT4"/>
    <mergeCell ref="BV4:BW4"/>
    <mergeCell ref="GE4:GF4"/>
    <mergeCell ref="CZ4:DA4"/>
    <mergeCell ref="DB4:DC4"/>
    <mergeCell ref="DZ4:EA4"/>
    <mergeCell ref="HT4:HU4"/>
    <mergeCell ref="HV4:HW4"/>
    <mergeCell ref="HX4:HY4"/>
    <mergeCell ref="FS4:FU4"/>
    <mergeCell ref="FV4:FX4"/>
    <mergeCell ref="FY4:GB4"/>
    <mergeCell ref="BP4:BQ4"/>
    <mergeCell ref="BR4:BS4"/>
    <mergeCell ref="HK4:HL4"/>
    <mergeCell ref="DZ1:ET3"/>
    <mergeCell ref="HP1:IB3"/>
    <mergeCell ref="IC1:IO3"/>
    <mergeCell ref="IP1:JB3"/>
    <mergeCell ref="IG4:IH4"/>
    <mergeCell ref="II4:IJ4"/>
    <mergeCell ref="IK4:IL4"/>
    <mergeCell ref="IM4:IO4"/>
    <mergeCell ref="IR4:IS4"/>
    <mergeCell ref="IT4:IU4"/>
    <mergeCell ref="IV4:IW4"/>
    <mergeCell ref="IX4:IY4"/>
    <mergeCell ref="IZ4:JB4"/>
    <mergeCell ref="GG4:GH4"/>
    <mergeCell ref="GI4:GJ4"/>
    <mergeCell ref="GM4:GO4"/>
    <mergeCell ref="HE4:HF4"/>
    <mergeCell ref="HG4:HH4"/>
    <mergeCell ref="EJ4:EK4"/>
    <mergeCell ref="EL4:EM4"/>
    <mergeCell ref="EN4:EO4"/>
    <mergeCell ref="A1:N1"/>
    <mergeCell ref="F2:H4"/>
    <mergeCell ref="I2:J4"/>
    <mergeCell ref="K2:N4"/>
    <mergeCell ref="A3:E3"/>
    <mergeCell ref="AH4:AI4"/>
    <mergeCell ref="A2:E2"/>
    <mergeCell ref="AS4:AT4"/>
    <mergeCell ref="AU4:AV4"/>
    <mergeCell ref="X4:Y4"/>
    <mergeCell ref="Z4:AA4"/>
    <mergeCell ref="AB4:AC4"/>
    <mergeCell ref="AD4:AE4"/>
    <mergeCell ref="AF4:AG4"/>
    <mergeCell ref="X1:AR3"/>
    <mergeCell ref="AS1:BM3"/>
    <mergeCell ref="BK4:BM4"/>
    <mergeCell ref="BI4:BJ4"/>
    <mergeCell ref="AY4:AZ4"/>
    <mergeCell ref="BA4:BB4"/>
    <mergeCell ref="BC4:BD4"/>
    <mergeCell ref="BE4:BF4"/>
    <mergeCell ref="BG4:BH4"/>
    <mergeCell ref="U1:W4"/>
    <mergeCell ref="DJ4:DL4"/>
    <mergeCell ref="DM4:DN4"/>
    <mergeCell ref="DO4:DP4"/>
    <mergeCell ref="DQ4:DR4"/>
    <mergeCell ref="DS4:DT4"/>
    <mergeCell ref="A17:E17"/>
    <mergeCell ref="DU4:DV4"/>
    <mergeCell ref="A10:E10"/>
    <mergeCell ref="A16:E16"/>
    <mergeCell ref="BX4:BY4"/>
    <mergeCell ref="BZ4:CA4"/>
    <mergeCell ref="CB4:CC4"/>
    <mergeCell ref="CD4:CF4"/>
    <mergeCell ref="CG4:CH4"/>
    <mergeCell ref="CU4:CW4"/>
    <mergeCell ref="CX4:CY4"/>
    <mergeCell ref="BT4:BU4"/>
    <mergeCell ref="AW4:AX4"/>
    <mergeCell ref="O1:P4"/>
    <mergeCell ref="Q1:T4"/>
    <mergeCell ref="AJ4:AK4"/>
    <mergeCell ref="AL4:AM4"/>
    <mergeCell ref="AN4:AO4"/>
    <mergeCell ref="AP4:AR4"/>
    <mergeCell ref="AMY3:ANA4"/>
    <mergeCell ref="ANB3:ANC4"/>
    <mergeCell ref="AND3:ANH4"/>
    <mergeCell ref="AOS3:AOV4"/>
    <mergeCell ref="EB4:EC4"/>
    <mergeCell ref="ED4:EE4"/>
    <mergeCell ref="EF4:EG4"/>
    <mergeCell ref="IP4:IQ4"/>
    <mergeCell ref="EU1:FI3"/>
    <mergeCell ref="FJ1:GB3"/>
    <mergeCell ref="EP4:EQ4"/>
    <mergeCell ref="ER4:ET4"/>
    <mergeCell ref="HR4:HS4"/>
    <mergeCell ref="EU4:EV4"/>
    <mergeCell ref="EW4:EX4"/>
    <mergeCell ref="EY4:EZ4"/>
    <mergeCell ref="FA4:FB4"/>
    <mergeCell ref="FC4:FD4"/>
    <mergeCell ref="FG4:FI4"/>
    <mergeCell ref="FJ4:FL4"/>
    <mergeCell ref="FM4:FO4"/>
    <mergeCell ref="GK4:GL4"/>
    <mergeCell ref="AOL3:AOM4"/>
    <mergeCell ref="LH4:LI4"/>
    <mergeCell ref="ADE3:ADW3"/>
    <mergeCell ref="ADX3:AEP3"/>
    <mergeCell ref="AEQ3:AFI3"/>
    <mergeCell ref="AFJ3:AGB3"/>
    <mergeCell ref="AGC3:AGU3"/>
    <mergeCell ref="FP4:FR4"/>
    <mergeCell ref="IC4:ID4"/>
    <mergeCell ref="HP4:HQ4"/>
    <mergeCell ref="JC1:JO3"/>
    <mergeCell ref="JP1:KL3"/>
    <mergeCell ref="RM1:SE2"/>
    <mergeCell ref="SF1:SX2"/>
    <mergeCell ref="SY1:TQ2"/>
    <mergeCell ref="ADE1:ADW2"/>
    <mergeCell ref="KM1:KU3"/>
    <mergeCell ref="KV1:LP2"/>
    <mergeCell ref="LQ1:MI2"/>
    <mergeCell ref="MJ1:NB2"/>
    <mergeCell ref="KD4:KE4"/>
    <mergeCell ref="KH4:KI4"/>
    <mergeCell ref="KM4:KN4"/>
    <mergeCell ref="KO4:KP4"/>
    <mergeCell ref="KQ4:KR4"/>
    <mergeCell ref="KS4:KU4"/>
    <mergeCell ref="MA4:MB4"/>
    <mergeCell ref="MC4:MD4"/>
    <mergeCell ref="MX4:MY4"/>
    <mergeCell ref="MZ4:NB4"/>
    <mergeCell ref="LQ4:LR4"/>
    <mergeCell ref="GZ4:HB4"/>
    <mergeCell ref="GP1:HB3"/>
    <mergeCell ref="LS4:LT4"/>
    <mergeCell ref="LU4:LV4"/>
    <mergeCell ref="LW4:LX4"/>
    <mergeCell ref="MG4:MI4"/>
    <mergeCell ref="JC4:JD4"/>
    <mergeCell ref="JE4:JF4"/>
    <mergeCell ref="JG4:JH4"/>
    <mergeCell ref="HM4:HO4"/>
    <mergeCell ref="LJ4:LK4"/>
    <mergeCell ref="LL4:LM4"/>
    <mergeCell ref="LN3:LP4"/>
    <mergeCell ref="LQ3:MI3"/>
    <mergeCell ref="ME4:MF4"/>
    <mergeCell ref="LY4:LZ4"/>
    <mergeCell ref="HC4:HD4"/>
    <mergeCell ref="KF4:KG4"/>
    <mergeCell ref="AMR3:AMV4"/>
    <mergeCell ref="ALE3:ALL3"/>
    <mergeCell ref="JM4:JO4"/>
    <mergeCell ref="JP4:JQ4"/>
    <mergeCell ref="JT4:JU4"/>
    <mergeCell ref="JV4:JW4"/>
    <mergeCell ref="JX4:JY4"/>
    <mergeCell ref="JZ4:KA4"/>
    <mergeCell ref="GC1:GO3"/>
    <mergeCell ref="HC1:HO3"/>
    <mergeCell ref="GP4:GQ4"/>
    <mergeCell ref="GR4:GS4"/>
    <mergeCell ref="GT4:GU4"/>
    <mergeCell ref="GV4:GW4"/>
    <mergeCell ref="GX4:GY4"/>
    <mergeCell ref="PH1:PZ2"/>
    <mergeCell ref="QA1:QS2"/>
    <mergeCell ref="QT1:RL2"/>
    <mergeCell ref="LB4:LC4"/>
    <mergeCell ref="LD4:LE4"/>
    <mergeCell ref="LF4:LG4"/>
    <mergeCell ref="KV3:KW4"/>
    <mergeCell ref="KX3:LM3"/>
    <mergeCell ref="JI4:JJ4"/>
    <mergeCell ref="FE4:FF4"/>
    <mergeCell ref="BN1:CF3"/>
    <mergeCell ref="CG1:CW3"/>
    <mergeCell ref="CX1:DL3"/>
    <mergeCell ref="DM1:DY3"/>
    <mergeCell ref="DW4:DY4"/>
    <mergeCell ref="ALH4:ALI4"/>
    <mergeCell ref="ALJ4:ALK4"/>
    <mergeCell ref="AMN3:AMO4"/>
    <mergeCell ref="EH4:EI4"/>
    <mergeCell ref="JK4:JL4"/>
    <mergeCell ref="KB4:KC4"/>
    <mergeCell ref="MJ3:NB3"/>
    <mergeCell ref="NC3:NU3"/>
    <mergeCell ref="NV3:ON3"/>
    <mergeCell ref="OO3:PG3"/>
    <mergeCell ref="MR4:MS4"/>
    <mergeCell ref="MT4:MU4"/>
    <mergeCell ref="MV4:MW4"/>
    <mergeCell ref="MJ4:MK4"/>
    <mergeCell ref="ML4:MM4"/>
    <mergeCell ref="MN4:MO4"/>
    <mergeCell ref="MP4:MQ4"/>
    <mergeCell ref="NM4:NN4"/>
  </mergeCells>
  <pageMargins left="0.7" right="0.7" top="0.75" bottom="0.75" header="0.3" footer="0.3"/>
  <pageSetup paperSize="9" orientation="landscape" horizontalDpi="300" verticalDpi="300" r:id="rId1"/>
  <ignoredErrors>
    <ignoredError sqref="AJQ10:AJS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5"/>
  <sheetViews>
    <sheetView rightToLeft="1" tabSelected="1" view="pageBreakPreview" zoomScale="80" zoomScaleNormal="100" zoomScaleSheetLayoutView="80" workbookViewId="0">
      <selection activeCell="A22" sqref="A22:V22"/>
    </sheetView>
  </sheetViews>
  <sheetFormatPr defaultColWidth="25.6640625" defaultRowHeight="27.75" customHeight="1"/>
  <cols>
    <col min="1" max="1" width="19.33203125" style="50" bestFit="1" customWidth="1"/>
    <col min="2" max="2" width="5.109375" style="50" bestFit="1" customWidth="1"/>
    <col min="3" max="3" width="6.21875" style="50" customWidth="1"/>
    <col min="4" max="4" width="6.33203125" style="50" bestFit="1" customWidth="1"/>
    <col min="5" max="5" width="8.33203125" style="48" bestFit="1" customWidth="1"/>
    <col min="6" max="6" width="6.33203125" style="48" customWidth="1"/>
    <col min="7" max="7" width="7" style="48" customWidth="1"/>
    <col min="8" max="8" width="8.33203125" style="48" bestFit="1" customWidth="1"/>
    <col min="9" max="9" width="6.88671875" style="48" customWidth="1"/>
    <col min="10" max="10" width="7.44140625" style="48" customWidth="1"/>
    <col min="11" max="11" width="8.33203125" style="48" bestFit="1" customWidth="1"/>
    <col min="12" max="12" width="7.21875" style="48" customWidth="1"/>
    <col min="13" max="13" width="7" style="48" customWidth="1"/>
    <col min="14" max="14" width="8.33203125" style="48" bestFit="1" customWidth="1"/>
    <col min="15" max="15" width="7.88671875" style="48" customWidth="1"/>
    <col min="16" max="16" width="8.109375" style="48" customWidth="1"/>
    <col min="17" max="17" width="5.109375" style="48" bestFit="1" customWidth="1"/>
    <col min="18" max="18" width="8" style="48" customWidth="1"/>
    <col min="19" max="19" width="7.44140625" style="48" customWidth="1"/>
    <col min="20" max="21" width="8.33203125" style="48" bestFit="1" customWidth="1"/>
    <col min="22" max="22" width="8.21875" style="48" customWidth="1"/>
    <col min="23" max="23" width="5" style="48" bestFit="1" customWidth="1"/>
    <col min="24" max="24" width="6.33203125" style="48" bestFit="1" customWidth="1"/>
    <col min="25" max="25" width="7.44140625" style="48" customWidth="1"/>
    <col min="26" max="16384" width="25.6640625" style="48"/>
  </cols>
  <sheetData>
    <row r="1" spans="1:25" ht="27.75" customHeight="1">
      <c r="A1" s="295" t="s">
        <v>119</v>
      </c>
      <c r="B1" s="295"/>
      <c r="C1" s="295"/>
      <c r="D1" s="295"/>
      <c r="E1" s="295"/>
    </row>
    <row r="2" spans="1:25" ht="27.75" customHeight="1">
      <c r="A2" s="273" t="s">
        <v>121</v>
      </c>
      <c r="B2" s="273"/>
      <c r="C2" s="273"/>
      <c r="D2" s="273"/>
      <c r="E2" s="273"/>
      <c r="H2" s="273" t="s">
        <v>122</v>
      </c>
      <c r="I2" s="273"/>
      <c r="J2" s="273"/>
      <c r="K2" s="273"/>
      <c r="L2" s="273"/>
      <c r="M2" s="49"/>
      <c r="V2" s="296" t="s">
        <v>389</v>
      </c>
      <c r="W2" s="296"/>
      <c r="X2" s="296"/>
      <c r="Y2" s="296"/>
    </row>
    <row r="3" spans="1:25" ht="27.75" customHeight="1">
      <c r="E3" s="50"/>
      <c r="H3" s="273" t="s">
        <v>130</v>
      </c>
      <c r="I3" s="273"/>
      <c r="J3" s="273"/>
      <c r="K3" s="273"/>
      <c r="L3" s="273"/>
      <c r="M3" s="49"/>
      <c r="Q3" s="49"/>
      <c r="R3" s="49"/>
      <c r="S3" s="49"/>
      <c r="T3" s="49"/>
    </row>
    <row r="4" spans="1:25" ht="27.75" customHeight="1">
      <c r="A4" s="273" t="s">
        <v>437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</row>
    <row r="5" spans="1:25" ht="27.75" customHeight="1">
      <c r="A5" s="273" t="s">
        <v>390</v>
      </c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</row>
    <row r="6" spans="1:25" ht="27.75" customHeight="1" thickBot="1"/>
    <row r="7" spans="1:25" ht="36" customHeight="1" thickTop="1" thickBot="1">
      <c r="A7" s="280" t="s">
        <v>232</v>
      </c>
      <c r="B7" s="303" t="s">
        <v>391</v>
      </c>
      <c r="C7" s="304"/>
      <c r="D7" s="304"/>
      <c r="E7" s="305"/>
      <c r="F7" s="297" t="s">
        <v>123</v>
      </c>
      <c r="G7" s="298"/>
      <c r="H7" s="299"/>
      <c r="I7" s="269" t="s">
        <v>124</v>
      </c>
      <c r="J7" s="271"/>
      <c r="K7" s="270"/>
      <c r="L7" s="300" t="s">
        <v>125</v>
      </c>
      <c r="M7" s="301"/>
      <c r="N7" s="302"/>
      <c r="O7" s="269" t="s">
        <v>126</v>
      </c>
      <c r="P7" s="270"/>
      <c r="Q7" s="269" t="s">
        <v>395</v>
      </c>
      <c r="R7" s="271"/>
      <c r="S7" s="271"/>
      <c r="T7" s="270"/>
    </row>
    <row r="8" spans="1:25" ht="27.75" customHeight="1" thickTop="1" thickBot="1">
      <c r="A8" s="282"/>
      <c r="B8" s="51" t="s">
        <v>4</v>
      </c>
      <c r="C8" s="51" t="s">
        <v>5</v>
      </c>
      <c r="D8" s="51" t="s">
        <v>6</v>
      </c>
      <c r="E8" s="51" t="s">
        <v>20</v>
      </c>
      <c r="F8" s="51" t="s">
        <v>4</v>
      </c>
      <c r="G8" s="51" t="s">
        <v>5</v>
      </c>
      <c r="H8" s="51" t="s">
        <v>20</v>
      </c>
      <c r="I8" s="51" t="s">
        <v>4</v>
      </c>
      <c r="J8" s="51" t="s">
        <v>5</v>
      </c>
      <c r="K8" s="51" t="s">
        <v>20</v>
      </c>
      <c r="L8" s="51" t="s">
        <v>65</v>
      </c>
      <c r="M8" s="51" t="s">
        <v>23</v>
      </c>
      <c r="N8" s="51" t="s">
        <v>20</v>
      </c>
      <c r="O8" s="51" t="s">
        <v>120</v>
      </c>
      <c r="P8" s="51" t="s">
        <v>14</v>
      </c>
      <c r="Q8" s="51" t="s">
        <v>4</v>
      </c>
      <c r="R8" s="51" t="s">
        <v>5</v>
      </c>
      <c r="S8" s="51" t="s">
        <v>6</v>
      </c>
      <c r="T8" s="51" t="s">
        <v>20</v>
      </c>
    </row>
    <row r="9" spans="1:25" ht="33.75" customHeight="1" thickTop="1" thickBot="1">
      <c r="A9" s="51" t="s">
        <v>80</v>
      </c>
      <c r="B9" s="96">
        <f>'الفنون الجميلة'!F17</f>
        <v>2</v>
      </c>
      <c r="C9" s="96">
        <f>'الفنون الجميلة'!G17</f>
        <v>2</v>
      </c>
      <c r="D9" s="96">
        <f>'الفنون الجميلة'!H17</f>
        <v>0</v>
      </c>
      <c r="E9" s="97">
        <f>D9+C9+B9</f>
        <v>4</v>
      </c>
      <c r="F9" s="97">
        <f>'الفنون الجميلة'!AP17</f>
        <v>268</v>
      </c>
      <c r="G9" s="97">
        <f>'الفنون الجميلة'!AQ17</f>
        <v>445</v>
      </c>
      <c r="H9" s="97">
        <f>G9+F9</f>
        <v>713</v>
      </c>
      <c r="I9" s="97">
        <f>'الفنون الجميلة'!ER17</f>
        <v>878</v>
      </c>
      <c r="J9" s="97">
        <f>'الفنون الجميلة'!ES17</f>
        <v>1236</v>
      </c>
      <c r="K9" s="97">
        <f>J9+I9</f>
        <v>2114</v>
      </c>
      <c r="L9" s="97">
        <f>'الفنون الجميلة'!JM17</f>
        <v>57</v>
      </c>
      <c r="M9" s="97">
        <f>'الفنون الجميلة'!JN17</f>
        <v>40</v>
      </c>
      <c r="N9" s="97">
        <f>M9+L9</f>
        <v>97</v>
      </c>
      <c r="O9" s="97">
        <f>'الفنون الجميلة'!O17</f>
        <v>3</v>
      </c>
      <c r="P9" s="97">
        <f>'الفنون الجميلة'!P17</f>
        <v>1</v>
      </c>
      <c r="Q9" s="97">
        <f>'الفنون الجميلة'!U17</f>
        <v>0</v>
      </c>
      <c r="R9" s="97">
        <f>'الفنون الجميلة'!V17</f>
        <v>0</v>
      </c>
      <c r="S9" s="97">
        <f>'الفنون الجميلة'!W17</f>
        <v>0</v>
      </c>
      <c r="T9" s="97">
        <f>S9+R9+Q9</f>
        <v>0</v>
      </c>
    </row>
    <row r="10" spans="1:25" ht="15.75" customHeight="1" thickTop="1"/>
    <row r="11" spans="1:25" ht="27.75" customHeight="1">
      <c r="A11" s="273" t="s">
        <v>129</v>
      </c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spans="1:25" ht="27.75" customHeight="1">
      <c r="A12" s="273" t="s">
        <v>437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spans="1:25" ht="27.75" customHeight="1">
      <c r="A13" s="273" t="s">
        <v>392</v>
      </c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spans="1:25" ht="18.600000000000001" thickBot="1"/>
    <row r="15" spans="1:25" ht="27.75" customHeight="1" thickTop="1" thickBot="1">
      <c r="A15" s="280" t="s">
        <v>232</v>
      </c>
      <c r="B15" s="283" t="s">
        <v>391</v>
      </c>
      <c r="C15" s="284"/>
      <c r="D15" s="284"/>
      <c r="E15" s="285"/>
      <c r="F15" s="289" t="s">
        <v>125</v>
      </c>
      <c r="G15" s="290"/>
      <c r="H15" s="291"/>
      <c r="I15" s="269" t="s">
        <v>438</v>
      </c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0"/>
      <c r="V15" s="274" t="s">
        <v>131</v>
      </c>
      <c r="W15" s="275"/>
      <c r="X15" s="275"/>
      <c r="Y15" s="276"/>
    </row>
    <row r="16" spans="1:25" ht="27.75" customHeight="1" thickTop="1" thickBot="1">
      <c r="A16" s="281"/>
      <c r="B16" s="286"/>
      <c r="C16" s="287"/>
      <c r="D16" s="287"/>
      <c r="E16" s="288"/>
      <c r="F16" s="292"/>
      <c r="G16" s="293"/>
      <c r="H16" s="294"/>
      <c r="I16" s="269" t="s">
        <v>50</v>
      </c>
      <c r="J16" s="270"/>
      <c r="K16" s="269" t="s">
        <v>51</v>
      </c>
      <c r="L16" s="270"/>
      <c r="M16" s="269" t="s">
        <v>52</v>
      </c>
      <c r="N16" s="270"/>
      <c r="O16" s="269" t="s">
        <v>76</v>
      </c>
      <c r="P16" s="270"/>
      <c r="Q16" s="269" t="s">
        <v>77</v>
      </c>
      <c r="R16" s="270"/>
      <c r="S16" s="269" t="s">
        <v>20</v>
      </c>
      <c r="T16" s="271"/>
      <c r="U16" s="270"/>
      <c r="V16" s="277"/>
      <c r="W16" s="278"/>
      <c r="X16" s="278"/>
      <c r="Y16" s="279"/>
    </row>
    <row r="17" spans="1:25" ht="27.75" customHeight="1" thickTop="1" thickBot="1">
      <c r="A17" s="282"/>
      <c r="B17" s="51" t="s">
        <v>4</v>
      </c>
      <c r="C17" s="51" t="s">
        <v>5</v>
      </c>
      <c r="D17" s="51" t="s">
        <v>6</v>
      </c>
      <c r="E17" s="51" t="s">
        <v>20</v>
      </c>
      <c r="F17" s="51" t="s">
        <v>65</v>
      </c>
      <c r="G17" s="51" t="s">
        <v>23</v>
      </c>
      <c r="H17" s="51" t="s">
        <v>20</v>
      </c>
      <c r="I17" s="51" t="s">
        <v>4</v>
      </c>
      <c r="J17" s="51" t="s">
        <v>5</v>
      </c>
      <c r="K17" s="51" t="s">
        <v>4</v>
      </c>
      <c r="L17" s="51" t="s">
        <v>5</v>
      </c>
      <c r="M17" s="51" t="s">
        <v>4</v>
      </c>
      <c r="N17" s="51" t="s">
        <v>5</v>
      </c>
      <c r="O17" s="51" t="s">
        <v>4</v>
      </c>
      <c r="P17" s="51" t="s">
        <v>5</v>
      </c>
      <c r="Q17" s="51" t="s">
        <v>4</v>
      </c>
      <c r="R17" s="51" t="s">
        <v>5</v>
      </c>
      <c r="S17" s="51" t="s">
        <v>4</v>
      </c>
      <c r="T17" s="51" t="s">
        <v>5</v>
      </c>
      <c r="U17" s="51" t="s">
        <v>20</v>
      </c>
      <c r="V17" s="51" t="s">
        <v>4</v>
      </c>
      <c r="W17" s="51" t="s">
        <v>5</v>
      </c>
      <c r="X17" s="51" t="s">
        <v>6</v>
      </c>
      <c r="Y17" s="51" t="s">
        <v>20</v>
      </c>
    </row>
    <row r="18" spans="1:25" ht="35.25" customHeight="1" thickTop="1" thickBot="1">
      <c r="A18" s="51" t="s">
        <v>80</v>
      </c>
      <c r="B18" s="51">
        <f>'الفنون الجميلة'!F19</f>
        <v>1</v>
      </c>
      <c r="C18" s="51">
        <f>'الفنون الجميلة'!G19</f>
        <v>1</v>
      </c>
      <c r="D18" s="51">
        <f>'الفنون الجميلة'!H19</f>
        <v>0</v>
      </c>
      <c r="E18" s="52">
        <f>D18+C18+B18</f>
        <v>2</v>
      </c>
      <c r="F18" s="52">
        <f>'الفنون الجميلة'!JM19</f>
        <v>8</v>
      </c>
      <c r="G18" s="52">
        <f>'الفنون الجميلة'!JN19</f>
        <v>16</v>
      </c>
      <c r="H18" s="52">
        <f>G18+F18</f>
        <v>24</v>
      </c>
      <c r="I18" s="52">
        <f>'الفنون الجميلة'!BK19</f>
        <v>181</v>
      </c>
      <c r="J18" s="52">
        <f>'الفنون الجميلة'!BL19</f>
        <v>278</v>
      </c>
      <c r="K18" s="52">
        <f>'الفنون الجميلة'!CD19</f>
        <v>124</v>
      </c>
      <c r="L18" s="52">
        <f>'الفنون الجميلة'!CE19</f>
        <v>230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f>Q18+O18+M18+K18+I18</f>
        <v>305</v>
      </c>
      <c r="T18" s="52">
        <f>R18+P18+N18+L18+J18</f>
        <v>508</v>
      </c>
      <c r="U18" s="52">
        <f>T18+S18</f>
        <v>813</v>
      </c>
      <c r="V18" s="52">
        <f>'الفنون الجميلة'!FY19</f>
        <v>24</v>
      </c>
      <c r="W18" s="52">
        <f>'الفنون الجميلة'!FZ19</f>
        <v>18</v>
      </c>
      <c r="X18" s="52">
        <f>'الفنون الجميلة'!GA19</f>
        <v>0</v>
      </c>
      <c r="Y18" s="52">
        <f>X18+W18+V18</f>
        <v>42</v>
      </c>
    </row>
    <row r="19" spans="1:25" ht="19.5" customHeight="1" thickTop="1">
      <c r="A19" s="76"/>
      <c r="B19" s="76"/>
      <c r="C19" s="76"/>
      <c r="D19" s="76"/>
      <c r="E19" s="76"/>
      <c r="F19" s="76"/>
    </row>
    <row r="20" spans="1:25" s="84" customFormat="1" ht="27.75" customHeight="1">
      <c r="A20" s="272" t="s">
        <v>132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</row>
    <row r="21" spans="1:25" s="84" customFormat="1" ht="27.75" customHeight="1">
      <c r="A21" s="272" t="s">
        <v>437</v>
      </c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</row>
    <row r="22" spans="1:25" s="84" customFormat="1" ht="27.75" customHeight="1">
      <c r="A22" s="272" t="s">
        <v>176</v>
      </c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</row>
    <row r="23" spans="1:25" s="84" customFormat="1" ht="27.75" customHeight="1" thickBo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</row>
    <row r="24" spans="1:25" s="87" customFormat="1" ht="27.75" customHeight="1" thickTop="1" thickBot="1">
      <c r="A24" s="267" t="s">
        <v>232</v>
      </c>
      <c r="B24" s="264" t="s">
        <v>375</v>
      </c>
      <c r="C24" s="266"/>
      <c r="D24" s="264" t="s">
        <v>386</v>
      </c>
      <c r="E24" s="266"/>
      <c r="F24" s="264" t="s">
        <v>133</v>
      </c>
      <c r="G24" s="266"/>
      <c r="H24" s="264" t="s">
        <v>134</v>
      </c>
      <c r="I24" s="266"/>
      <c r="J24" s="264" t="s">
        <v>135</v>
      </c>
      <c r="K24" s="266"/>
      <c r="L24" s="264" t="s">
        <v>136</v>
      </c>
      <c r="M24" s="266"/>
      <c r="N24" s="264" t="s">
        <v>137</v>
      </c>
      <c r="O24" s="266"/>
      <c r="P24" s="264" t="s">
        <v>138</v>
      </c>
      <c r="Q24" s="266"/>
      <c r="R24" s="264" t="s">
        <v>139</v>
      </c>
      <c r="S24" s="266"/>
      <c r="T24" s="264" t="s">
        <v>128</v>
      </c>
      <c r="U24" s="265"/>
      <c r="V24" s="266"/>
    </row>
    <row r="25" spans="1:25" s="87" customFormat="1" ht="27.75" customHeight="1" thickTop="1" thickBot="1">
      <c r="A25" s="268"/>
      <c r="B25" s="85" t="s">
        <v>4</v>
      </c>
      <c r="C25" s="85" t="s">
        <v>5</v>
      </c>
      <c r="D25" s="85" t="s">
        <v>4</v>
      </c>
      <c r="E25" s="85" t="s">
        <v>5</v>
      </c>
      <c r="F25" s="85" t="s">
        <v>4</v>
      </c>
      <c r="G25" s="85" t="s">
        <v>5</v>
      </c>
      <c r="H25" s="85" t="s">
        <v>4</v>
      </c>
      <c r="I25" s="85" t="s">
        <v>5</v>
      </c>
      <c r="J25" s="85" t="s">
        <v>4</v>
      </c>
      <c r="K25" s="85" t="s">
        <v>5</v>
      </c>
      <c r="L25" s="85" t="s">
        <v>4</v>
      </c>
      <c r="M25" s="85" t="s">
        <v>5</v>
      </c>
      <c r="N25" s="85" t="s">
        <v>4</v>
      </c>
      <c r="O25" s="85" t="s">
        <v>5</v>
      </c>
      <c r="P25" s="85" t="s">
        <v>4</v>
      </c>
      <c r="Q25" s="85" t="s">
        <v>5</v>
      </c>
      <c r="R25" s="85" t="s">
        <v>4</v>
      </c>
      <c r="S25" s="85" t="s">
        <v>5</v>
      </c>
      <c r="T25" s="85" t="s">
        <v>4</v>
      </c>
      <c r="U25" s="85" t="s">
        <v>5</v>
      </c>
      <c r="V25" s="85" t="s">
        <v>20</v>
      </c>
    </row>
    <row r="26" spans="1:25" s="87" customFormat="1" ht="39" customHeight="1" thickTop="1" thickBot="1">
      <c r="A26" s="85" t="s">
        <v>80</v>
      </c>
      <c r="B26" s="86">
        <f>'الفنون الجميلة'!X17</f>
        <v>1</v>
      </c>
      <c r="C26" s="86">
        <f>'الفنون الجميلة'!Y17</f>
        <v>5</v>
      </c>
      <c r="D26" s="86">
        <f>'الفنون الجميلة'!Z17</f>
        <v>47</v>
      </c>
      <c r="E26" s="86">
        <f>'الفنون الجميلة'!AA17</f>
        <v>57</v>
      </c>
      <c r="F26" s="86">
        <f>'الفنون الجميلة'!AB17</f>
        <v>45</v>
      </c>
      <c r="G26" s="86">
        <f>'الفنون الجميلة'!AC17</f>
        <v>47</v>
      </c>
      <c r="H26" s="86">
        <f>'الفنون الجميلة'!AD17</f>
        <v>13</v>
      </c>
      <c r="I26" s="86">
        <f>'الفنون الجميلة'!AE17</f>
        <v>29</v>
      </c>
      <c r="J26" s="86">
        <f>'الفنون الجميلة'!AF17</f>
        <v>5</v>
      </c>
      <c r="K26" s="86">
        <f>'الفنون الجميلة'!AG17</f>
        <v>11</v>
      </c>
      <c r="L26" s="86">
        <f>'الفنون الجميلة'!AH17</f>
        <v>4</v>
      </c>
      <c r="M26" s="86">
        <f>'الفنون الجميلة'!AI17</f>
        <v>14</v>
      </c>
      <c r="N26" s="86">
        <f>'الفنون الجميلة'!AJ17</f>
        <v>0</v>
      </c>
      <c r="O26" s="86">
        <f>'الفنون الجميلة'!AK17</f>
        <v>4</v>
      </c>
      <c r="P26" s="86">
        <f>'الفنون الجميلة'!AL17</f>
        <v>0</v>
      </c>
      <c r="Q26" s="86">
        <f>'الفنون الجميلة'!AM17</f>
        <v>0</v>
      </c>
      <c r="R26" s="86">
        <f>'الفنون الجميلة'!AN17</f>
        <v>153</v>
      </c>
      <c r="S26" s="86">
        <f>'الفنون الجميلة'!AO17</f>
        <v>278</v>
      </c>
      <c r="T26" s="86">
        <f>R26+P26+N26+L26+J26+H26+F26+D26+B26</f>
        <v>268</v>
      </c>
      <c r="U26" s="86">
        <f>S26+Q26+O26+M26+K26+I26+G26+E26+C26</f>
        <v>445</v>
      </c>
      <c r="V26" s="86">
        <f>U26+T26</f>
        <v>713</v>
      </c>
    </row>
    <row r="27" spans="1:25" ht="27.75" customHeight="1" thickTop="1" thickBot="1">
      <c r="A27" s="83"/>
      <c r="B27" s="83"/>
      <c r="C27" s="83"/>
      <c r="D27" s="83"/>
      <c r="E27" s="83"/>
      <c r="F27" s="83"/>
    </row>
    <row r="28" spans="1:25" ht="27.75" hidden="1" customHeight="1">
      <c r="A28" s="295" t="s">
        <v>119</v>
      </c>
      <c r="B28" s="295"/>
      <c r="C28" s="295"/>
      <c r="D28" s="295"/>
      <c r="E28" s="295"/>
    </row>
    <row r="29" spans="1:25" ht="27.75" hidden="1" customHeight="1">
      <c r="A29" s="273" t="s">
        <v>121</v>
      </c>
      <c r="B29" s="273"/>
      <c r="C29" s="273"/>
      <c r="D29" s="273"/>
      <c r="E29" s="273"/>
      <c r="M29" s="49"/>
      <c r="V29" s="296" t="s">
        <v>389</v>
      </c>
      <c r="W29" s="296"/>
      <c r="X29" s="296"/>
      <c r="Y29" s="296"/>
    </row>
    <row r="30" spans="1:25" ht="27.75" hidden="1" customHeight="1">
      <c r="E30" s="50"/>
      <c r="H30" s="273" t="s">
        <v>263</v>
      </c>
      <c r="I30" s="273"/>
      <c r="J30" s="273"/>
      <c r="K30" s="273"/>
      <c r="L30" s="273"/>
      <c r="M30" s="49"/>
      <c r="Q30" s="49"/>
      <c r="R30" s="49"/>
      <c r="S30" s="49"/>
      <c r="T30" s="49"/>
    </row>
    <row r="31" spans="1:25" ht="27.75" hidden="1" customHeight="1">
      <c r="E31" s="50"/>
      <c r="H31" s="273" t="s">
        <v>130</v>
      </c>
      <c r="I31" s="273"/>
      <c r="J31" s="273"/>
      <c r="K31" s="273"/>
      <c r="L31" s="273"/>
      <c r="M31" s="49"/>
      <c r="Q31" s="49"/>
      <c r="R31" s="49"/>
      <c r="S31" s="49"/>
      <c r="T31" s="49"/>
    </row>
    <row r="32" spans="1:25" ht="27.75" hidden="1" customHeight="1">
      <c r="A32" s="273" t="s">
        <v>431</v>
      </c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</row>
    <row r="33" spans="1:25" ht="27.75" hidden="1" customHeight="1">
      <c r="A33" s="273" t="s">
        <v>390</v>
      </c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</row>
    <row r="34" spans="1:25" ht="27.75" hidden="1" customHeight="1" thickBot="1"/>
    <row r="35" spans="1:25" ht="27.75" hidden="1" customHeight="1" thickTop="1" thickBot="1">
      <c r="A35" s="280" t="s">
        <v>232</v>
      </c>
      <c r="B35" s="303" t="s">
        <v>391</v>
      </c>
      <c r="C35" s="304"/>
      <c r="D35" s="304"/>
      <c r="E35" s="305"/>
      <c r="F35" s="306" t="s">
        <v>123</v>
      </c>
      <c r="G35" s="307"/>
      <c r="H35" s="308"/>
      <c r="I35" s="269" t="s">
        <v>124</v>
      </c>
      <c r="J35" s="271"/>
      <c r="K35" s="270"/>
      <c r="L35" s="269" t="s">
        <v>125</v>
      </c>
      <c r="M35" s="271"/>
      <c r="N35" s="270"/>
      <c r="O35" s="269" t="s">
        <v>126</v>
      </c>
      <c r="P35" s="270"/>
      <c r="Q35" s="269" t="s">
        <v>395</v>
      </c>
      <c r="R35" s="271"/>
      <c r="S35" s="271"/>
      <c r="T35" s="270"/>
    </row>
    <row r="36" spans="1:25" ht="27.75" hidden="1" customHeight="1" thickTop="1" thickBot="1">
      <c r="A36" s="282"/>
      <c r="B36" s="51" t="s">
        <v>4</v>
      </c>
      <c r="C36" s="51" t="s">
        <v>5</v>
      </c>
      <c r="D36" s="51" t="s">
        <v>6</v>
      </c>
      <c r="E36" s="51" t="s">
        <v>20</v>
      </c>
      <c r="F36" s="51" t="s">
        <v>4</v>
      </c>
      <c r="G36" s="51" t="s">
        <v>5</v>
      </c>
      <c r="H36" s="51" t="s">
        <v>20</v>
      </c>
      <c r="I36" s="51" t="s">
        <v>4</v>
      </c>
      <c r="J36" s="51" t="s">
        <v>5</v>
      </c>
      <c r="K36" s="51" t="s">
        <v>20</v>
      </c>
      <c r="L36" s="51" t="s">
        <v>65</v>
      </c>
      <c r="M36" s="51" t="s">
        <v>23</v>
      </c>
      <c r="N36" s="51" t="s">
        <v>20</v>
      </c>
      <c r="O36" s="51" t="s">
        <v>120</v>
      </c>
      <c r="P36" s="51" t="s">
        <v>14</v>
      </c>
      <c r="Q36" s="51" t="s">
        <v>4</v>
      </c>
      <c r="R36" s="51" t="s">
        <v>5</v>
      </c>
      <c r="S36" s="51" t="s">
        <v>6</v>
      </c>
      <c r="T36" s="51" t="s">
        <v>20</v>
      </c>
    </row>
    <row r="37" spans="1:25" ht="27.75" hidden="1" customHeight="1" thickTop="1" thickBot="1">
      <c r="A37" s="51" t="s">
        <v>80</v>
      </c>
      <c r="B37" s="51">
        <f>'الفنون الجميلة'!F10</f>
        <v>2</v>
      </c>
      <c r="C37" s="51">
        <f>'الفنون الجميلة'!G10</f>
        <v>2</v>
      </c>
      <c r="D37" s="51">
        <f>'الفنون الجميلة'!H10</f>
        <v>0</v>
      </c>
      <c r="E37" s="52">
        <f>D37+C37+B37</f>
        <v>4</v>
      </c>
      <c r="F37" s="52">
        <f>'الفنون الجميلة'!AP10</f>
        <v>268</v>
      </c>
      <c r="G37" s="52">
        <f>'الفنون الجميلة'!AQ10</f>
        <v>445</v>
      </c>
      <c r="H37" s="52">
        <f>G37+F37</f>
        <v>713</v>
      </c>
      <c r="I37" s="52">
        <f>'الفنون الجميلة'!ER10</f>
        <v>878</v>
      </c>
      <c r="J37" s="52">
        <f>'الفنون الجميلة'!ES10</f>
        <v>1236</v>
      </c>
      <c r="K37" s="52">
        <f>J37+I37</f>
        <v>2114</v>
      </c>
      <c r="L37" s="52">
        <f>'الفنون الجميلة'!JM10</f>
        <v>57</v>
      </c>
      <c r="M37" s="52">
        <f>'الفنون الجميلة'!JN10</f>
        <v>40</v>
      </c>
      <c r="N37" s="52">
        <f>M37+L37</f>
        <v>97</v>
      </c>
      <c r="O37" s="52">
        <f>'الفنون الجميلة'!O10</f>
        <v>3</v>
      </c>
      <c r="P37" s="52">
        <f>'الفنون الجميلة'!P10</f>
        <v>1</v>
      </c>
      <c r="Q37" s="52">
        <f>'الفنون الجميلة'!U10</f>
        <v>0</v>
      </c>
      <c r="R37" s="52">
        <f>'الفنون الجميلة'!V10</f>
        <v>0</v>
      </c>
      <c r="S37" s="52">
        <f>'الفنون الجميلة'!W10</f>
        <v>0</v>
      </c>
      <c r="T37" s="52">
        <f>S37+R37+Q37</f>
        <v>0</v>
      </c>
    </row>
    <row r="38" spans="1:25" ht="27.75" hidden="1" customHeight="1" thickTop="1"/>
    <row r="39" spans="1:25" ht="27.75" hidden="1" customHeight="1">
      <c r="A39" s="273" t="s">
        <v>129</v>
      </c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 spans="1:25" ht="27.75" hidden="1" customHeight="1">
      <c r="A40" s="273" t="s">
        <v>431</v>
      </c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spans="1:25" ht="27.75" hidden="1" customHeight="1">
      <c r="A41" s="273" t="s">
        <v>392</v>
      </c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spans="1:25" ht="27.75" hidden="1" customHeight="1" thickBot="1"/>
    <row r="43" spans="1:25" ht="27.75" hidden="1" customHeight="1" thickTop="1" thickBot="1">
      <c r="A43" s="280" t="s">
        <v>232</v>
      </c>
      <c r="B43" s="283" t="s">
        <v>391</v>
      </c>
      <c r="C43" s="284"/>
      <c r="D43" s="284"/>
      <c r="E43" s="285"/>
      <c r="F43" s="289" t="s">
        <v>125</v>
      </c>
      <c r="G43" s="290"/>
      <c r="H43" s="291"/>
      <c r="I43" s="269" t="s">
        <v>432</v>
      </c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0"/>
      <c r="V43" s="274" t="s">
        <v>131</v>
      </c>
      <c r="W43" s="275"/>
      <c r="X43" s="275"/>
      <c r="Y43" s="276"/>
    </row>
    <row r="44" spans="1:25" ht="27.75" hidden="1" customHeight="1" thickTop="1" thickBot="1">
      <c r="A44" s="281"/>
      <c r="B44" s="286"/>
      <c r="C44" s="287"/>
      <c r="D44" s="287"/>
      <c r="E44" s="288"/>
      <c r="F44" s="292"/>
      <c r="G44" s="293"/>
      <c r="H44" s="294"/>
      <c r="I44" s="269" t="s">
        <v>50</v>
      </c>
      <c r="J44" s="270"/>
      <c r="K44" s="269" t="s">
        <v>51</v>
      </c>
      <c r="L44" s="270"/>
      <c r="M44" s="269" t="s">
        <v>52</v>
      </c>
      <c r="N44" s="270"/>
      <c r="O44" s="269" t="s">
        <v>76</v>
      </c>
      <c r="P44" s="270"/>
      <c r="Q44" s="269" t="s">
        <v>77</v>
      </c>
      <c r="R44" s="270"/>
      <c r="S44" s="269" t="s">
        <v>20</v>
      </c>
      <c r="T44" s="271"/>
      <c r="U44" s="270"/>
      <c r="V44" s="277"/>
      <c r="W44" s="278"/>
      <c r="X44" s="278"/>
      <c r="Y44" s="279"/>
    </row>
    <row r="45" spans="1:25" ht="27.75" hidden="1" customHeight="1" thickTop="1" thickBot="1">
      <c r="A45" s="282"/>
      <c r="B45" s="51" t="s">
        <v>4</v>
      </c>
      <c r="C45" s="51" t="s">
        <v>5</v>
      </c>
      <c r="D45" s="51" t="s">
        <v>6</v>
      </c>
      <c r="E45" s="51" t="s">
        <v>20</v>
      </c>
      <c r="F45" s="51" t="s">
        <v>65</v>
      </c>
      <c r="G45" s="51" t="s">
        <v>23</v>
      </c>
      <c r="H45" s="51" t="s">
        <v>20</v>
      </c>
      <c r="I45" s="51" t="s">
        <v>4</v>
      </c>
      <c r="J45" s="51" t="s">
        <v>5</v>
      </c>
      <c r="K45" s="51" t="s">
        <v>4</v>
      </c>
      <c r="L45" s="51" t="s">
        <v>5</v>
      </c>
      <c r="M45" s="51" t="s">
        <v>4</v>
      </c>
      <c r="N45" s="51" t="s">
        <v>5</v>
      </c>
      <c r="O45" s="51" t="s">
        <v>4</v>
      </c>
      <c r="P45" s="51" t="s">
        <v>5</v>
      </c>
      <c r="Q45" s="51" t="s">
        <v>4</v>
      </c>
      <c r="R45" s="51" t="s">
        <v>5</v>
      </c>
      <c r="S45" s="51" t="s">
        <v>4</v>
      </c>
      <c r="T45" s="51" t="s">
        <v>5</v>
      </c>
      <c r="U45" s="51" t="s">
        <v>20</v>
      </c>
      <c r="V45" s="51" t="s">
        <v>4</v>
      </c>
      <c r="W45" s="51" t="s">
        <v>5</v>
      </c>
      <c r="X45" s="51" t="s">
        <v>6</v>
      </c>
      <c r="Y45" s="51" t="s">
        <v>20</v>
      </c>
    </row>
    <row r="46" spans="1:25" ht="27.75" hidden="1" customHeight="1" thickTop="1" thickBot="1">
      <c r="A46" s="51" t="s">
        <v>80</v>
      </c>
      <c r="B46" s="51">
        <v>0</v>
      </c>
      <c r="C46" s="51">
        <v>0</v>
      </c>
      <c r="D46" s="51">
        <v>0</v>
      </c>
      <c r="E46" s="52">
        <f>D46+C46+B46</f>
        <v>0</v>
      </c>
      <c r="F46" s="52">
        <v>0</v>
      </c>
      <c r="G46" s="52">
        <v>0</v>
      </c>
      <c r="H46" s="52">
        <f>G46+F46</f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f>Q46+O46+M46+K46+I46</f>
        <v>0</v>
      </c>
      <c r="T46" s="52">
        <f>R46+P46+N46+L46+J46</f>
        <v>0</v>
      </c>
      <c r="U46" s="52">
        <f>T46+S46</f>
        <v>0</v>
      </c>
      <c r="V46" s="52">
        <v>0</v>
      </c>
      <c r="W46" s="52">
        <v>0</v>
      </c>
      <c r="X46" s="52">
        <v>0</v>
      </c>
      <c r="Y46" s="52">
        <f>X46+W46+V46</f>
        <v>0</v>
      </c>
    </row>
    <row r="47" spans="1:25" ht="27.75" hidden="1" customHeight="1" thickTop="1">
      <c r="A47" s="76"/>
      <c r="B47" s="76"/>
      <c r="C47" s="76"/>
      <c r="D47" s="76"/>
      <c r="E47" s="76"/>
      <c r="F47" s="76"/>
    </row>
    <row r="48" spans="1:25" ht="27.75" hidden="1" customHeight="1">
      <c r="A48" s="272" t="s">
        <v>132</v>
      </c>
      <c r="B48" s="272"/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</row>
    <row r="49" spans="1:22" ht="27.75" hidden="1" customHeight="1">
      <c r="A49" s="272" t="s">
        <v>431</v>
      </c>
      <c r="B49" s="272"/>
      <c r="C49" s="272"/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</row>
    <row r="50" spans="1:22" ht="27.75" hidden="1" customHeight="1">
      <c r="A50" s="272" t="s">
        <v>176</v>
      </c>
      <c r="B50" s="272"/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</row>
    <row r="51" spans="1:22" ht="27.75" hidden="1" customHeight="1" thickBo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4"/>
      <c r="V51" s="84"/>
    </row>
    <row r="52" spans="1:22" ht="27.75" hidden="1" customHeight="1" thickTop="1" thickBot="1">
      <c r="A52" s="267" t="s">
        <v>232</v>
      </c>
      <c r="B52" s="264" t="s">
        <v>375</v>
      </c>
      <c r="C52" s="266"/>
      <c r="D52" s="264" t="s">
        <v>386</v>
      </c>
      <c r="E52" s="266"/>
      <c r="F52" s="264" t="s">
        <v>133</v>
      </c>
      <c r="G52" s="266"/>
      <c r="H52" s="264" t="s">
        <v>134</v>
      </c>
      <c r="I52" s="266"/>
      <c r="J52" s="264" t="s">
        <v>135</v>
      </c>
      <c r="K52" s="266"/>
      <c r="L52" s="264" t="s">
        <v>136</v>
      </c>
      <c r="M52" s="266"/>
      <c r="N52" s="264" t="s">
        <v>137</v>
      </c>
      <c r="O52" s="266"/>
      <c r="P52" s="264" t="s">
        <v>138</v>
      </c>
      <c r="Q52" s="266"/>
      <c r="R52" s="264" t="s">
        <v>139</v>
      </c>
      <c r="S52" s="266"/>
      <c r="T52" s="264" t="s">
        <v>128</v>
      </c>
      <c r="U52" s="265"/>
      <c r="V52" s="266"/>
    </row>
    <row r="53" spans="1:22" ht="27.75" hidden="1" customHeight="1" thickTop="1" thickBot="1">
      <c r="A53" s="268"/>
      <c r="B53" s="85" t="s">
        <v>4</v>
      </c>
      <c r="C53" s="85" t="s">
        <v>5</v>
      </c>
      <c r="D53" s="85" t="s">
        <v>4</v>
      </c>
      <c r="E53" s="85" t="s">
        <v>5</v>
      </c>
      <c r="F53" s="85" t="s">
        <v>4</v>
      </c>
      <c r="G53" s="85" t="s">
        <v>5</v>
      </c>
      <c r="H53" s="85" t="s">
        <v>4</v>
      </c>
      <c r="I53" s="85" t="s">
        <v>5</v>
      </c>
      <c r="J53" s="85" t="s">
        <v>4</v>
      </c>
      <c r="K53" s="85" t="s">
        <v>5</v>
      </c>
      <c r="L53" s="85" t="s">
        <v>4</v>
      </c>
      <c r="M53" s="85" t="s">
        <v>5</v>
      </c>
      <c r="N53" s="85" t="s">
        <v>4</v>
      </c>
      <c r="O53" s="85" t="s">
        <v>5</v>
      </c>
      <c r="P53" s="85" t="s">
        <v>4</v>
      </c>
      <c r="Q53" s="85" t="s">
        <v>5</v>
      </c>
      <c r="R53" s="85" t="s">
        <v>4</v>
      </c>
      <c r="S53" s="85" t="s">
        <v>5</v>
      </c>
      <c r="T53" s="85" t="s">
        <v>4</v>
      </c>
      <c r="U53" s="85" t="s">
        <v>5</v>
      </c>
      <c r="V53" s="85" t="s">
        <v>20</v>
      </c>
    </row>
    <row r="54" spans="1:22" ht="27.75" hidden="1" customHeight="1" thickTop="1" thickBot="1">
      <c r="A54" s="85" t="s">
        <v>80</v>
      </c>
      <c r="B54" s="86">
        <f>'الفنون الجميلة'!X10</f>
        <v>1</v>
      </c>
      <c r="C54" s="86">
        <f>'الفنون الجميلة'!Y10</f>
        <v>5</v>
      </c>
      <c r="D54" s="86">
        <f>'الفنون الجميلة'!Z10</f>
        <v>47</v>
      </c>
      <c r="E54" s="86">
        <f>'الفنون الجميلة'!AA10</f>
        <v>57</v>
      </c>
      <c r="F54" s="86">
        <f>'الفنون الجميلة'!AB10</f>
        <v>45</v>
      </c>
      <c r="G54" s="86">
        <f>'الفنون الجميلة'!AC10</f>
        <v>47</v>
      </c>
      <c r="H54" s="86">
        <f>'الفنون الجميلة'!AD10</f>
        <v>13</v>
      </c>
      <c r="I54" s="86">
        <f>'الفنون الجميلة'!AE10</f>
        <v>29</v>
      </c>
      <c r="J54" s="86">
        <f>'الفنون الجميلة'!AF10</f>
        <v>5</v>
      </c>
      <c r="K54" s="86">
        <f>'الفنون الجميلة'!AG10</f>
        <v>11</v>
      </c>
      <c r="L54" s="86">
        <f>'الفنون الجميلة'!AH10</f>
        <v>4</v>
      </c>
      <c r="M54" s="86">
        <f>'الفنون الجميلة'!AI10</f>
        <v>14</v>
      </c>
      <c r="N54" s="86">
        <f>'الفنون الجميلة'!AJ10</f>
        <v>0</v>
      </c>
      <c r="O54" s="86">
        <f>'الفنون الجميلة'!AK10</f>
        <v>4</v>
      </c>
      <c r="P54" s="86">
        <f>'الفنون الجميلة'!AL10</f>
        <v>0</v>
      </c>
      <c r="Q54" s="86">
        <f>'الفنون الجميلة'!AM10</f>
        <v>0</v>
      </c>
      <c r="R54" s="86">
        <f>'الفنون الجميلة'!AN10</f>
        <v>153</v>
      </c>
      <c r="S54" s="86">
        <f>'الفنون الجميلة'!AO10</f>
        <v>278</v>
      </c>
      <c r="T54" s="86">
        <f>R54+P54+N54+L54+J54+H54+F54+D54+B54</f>
        <v>268</v>
      </c>
      <c r="U54" s="86">
        <f>S54+Q54+O54+M54+K54+I54+G54+E54+C54</f>
        <v>445</v>
      </c>
      <c r="V54" s="86">
        <f>U54+T54</f>
        <v>713</v>
      </c>
    </row>
    <row r="55" spans="1:22" ht="27.75" customHeight="1" thickTop="1">
      <c r="A55" s="76"/>
      <c r="B55" s="76"/>
      <c r="C55" s="76"/>
      <c r="D55" s="76"/>
      <c r="E55" s="76"/>
      <c r="F55" s="76"/>
    </row>
  </sheetData>
  <mergeCells count="84">
    <mergeCell ref="A39:Y39"/>
    <mergeCell ref="H52:I52"/>
    <mergeCell ref="J52:K52"/>
    <mergeCell ref="L52:M52"/>
    <mergeCell ref="N52:O52"/>
    <mergeCell ref="P52:Q52"/>
    <mergeCell ref="A40:Y40"/>
    <mergeCell ref="A41:Y41"/>
    <mergeCell ref="A43:A45"/>
    <mergeCell ref="B43:E44"/>
    <mergeCell ref="F43:H44"/>
    <mergeCell ref="I43:U43"/>
    <mergeCell ref="V43:Y44"/>
    <mergeCell ref="I44:J44"/>
    <mergeCell ref="K44:L44"/>
    <mergeCell ref="M44:N44"/>
    <mergeCell ref="A33:T33"/>
    <mergeCell ref="A35:A36"/>
    <mergeCell ref="B35:E35"/>
    <mergeCell ref="F35:H35"/>
    <mergeCell ref="I35:K35"/>
    <mergeCell ref="L35:N35"/>
    <mergeCell ref="O35:P35"/>
    <mergeCell ref="Q35:T35"/>
    <mergeCell ref="F24:G24"/>
    <mergeCell ref="H24:I24"/>
    <mergeCell ref="J24:K24"/>
    <mergeCell ref="L24:M24"/>
    <mergeCell ref="A32:T32"/>
    <mergeCell ref="A20:V20"/>
    <mergeCell ref="A21:V21"/>
    <mergeCell ref="A22:V22"/>
    <mergeCell ref="N24:O24"/>
    <mergeCell ref="A48:V48"/>
    <mergeCell ref="A28:E28"/>
    <mergeCell ref="A29:E29"/>
    <mergeCell ref="H30:L30"/>
    <mergeCell ref="V29:Y29"/>
    <mergeCell ref="H31:L31"/>
    <mergeCell ref="P24:Q24"/>
    <mergeCell ref="A24:A25"/>
    <mergeCell ref="R24:S24"/>
    <mergeCell ref="T24:V24"/>
    <mergeCell ref="B24:C24"/>
    <mergeCell ref="D24:E24"/>
    <mergeCell ref="A11:Y11"/>
    <mergeCell ref="H2:L2"/>
    <mergeCell ref="A1:E1"/>
    <mergeCell ref="V2:Y2"/>
    <mergeCell ref="O7:P7"/>
    <mergeCell ref="A7:A8"/>
    <mergeCell ref="F7:H7"/>
    <mergeCell ref="I7:K7"/>
    <mergeCell ref="L7:N7"/>
    <mergeCell ref="B7:E7"/>
    <mergeCell ref="A2:E2"/>
    <mergeCell ref="H3:L3"/>
    <mergeCell ref="Q7:T7"/>
    <mergeCell ref="A4:T4"/>
    <mergeCell ref="A5:T5"/>
    <mergeCell ref="A12:Y12"/>
    <mergeCell ref="A13:Y13"/>
    <mergeCell ref="V15:Y16"/>
    <mergeCell ref="M16:N16"/>
    <mergeCell ref="O16:P16"/>
    <mergeCell ref="Q16:R16"/>
    <mergeCell ref="A15:A17"/>
    <mergeCell ref="B15:E16"/>
    <mergeCell ref="F15:H16"/>
    <mergeCell ref="I16:J16"/>
    <mergeCell ref="K16:L16"/>
    <mergeCell ref="I15:U15"/>
    <mergeCell ref="S16:U16"/>
    <mergeCell ref="O44:P44"/>
    <mergeCell ref="Q44:R44"/>
    <mergeCell ref="S44:U44"/>
    <mergeCell ref="A49:V49"/>
    <mergeCell ref="A50:V50"/>
    <mergeCell ref="T52:V52"/>
    <mergeCell ref="A52:A53"/>
    <mergeCell ref="B52:C52"/>
    <mergeCell ref="D52:E52"/>
    <mergeCell ref="F52:G52"/>
    <mergeCell ref="R52:S52"/>
  </mergeCells>
  <printOptions horizontalCentered="1"/>
  <pageMargins left="0.11811023622047245" right="0.19685039370078741" top="0.19685039370078741" bottom="0.35433070866141736" header="0.19685039370078741" footer="0.31496062992125984"/>
  <pageSetup paperSize="9" scale="70" orientation="landscape" horizontalDpi="300" verticalDpi="300" r:id="rId1"/>
  <rowBreaks count="1" manualBreakCount="1">
    <brk id="27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78"/>
  <sheetViews>
    <sheetView rightToLeft="1" view="pageBreakPreview" topLeftCell="A28" zoomScale="60" zoomScaleNormal="50" workbookViewId="0">
      <selection activeCell="D36" sqref="D36"/>
    </sheetView>
  </sheetViews>
  <sheetFormatPr defaultColWidth="9" defaultRowHeight="21"/>
  <cols>
    <col min="1" max="1" width="9" style="30"/>
    <col min="2" max="2" width="15.44140625" style="25" customWidth="1"/>
    <col min="3" max="3" width="10" style="25" customWidth="1"/>
    <col min="4" max="4" width="15.77734375" style="25" customWidth="1"/>
    <col min="5" max="5" width="9" style="25"/>
    <col min="6" max="6" width="12.6640625" style="30" customWidth="1"/>
    <col min="7" max="7" width="10.88671875" style="30" customWidth="1"/>
    <col min="8" max="8" width="12.33203125" style="30" customWidth="1"/>
    <col min="9" max="9" width="10.88671875" style="30" customWidth="1"/>
    <col min="10" max="10" width="10.44140625" style="30" customWidth="1"/>
    <col min="11" max="18" width="9" style="30"/>
    <col min="19" max="22" width="10.6640625" style="30" customWidth="1"/>
    <col min="23" max="23" width="10.88671875" style="30" customWidth="1"/>
    <col min="24" max="16384" width="9" style="30"/>
  </cols>
  <sheetData>
    <row r="1" spans="1:23" s="39" customFormat="1" ht="33" customHeight="1">
      <c r="B1" s="313" t="s">
        <v>119</v>
      </c>
      <c r="C1" s="313"/>
      <c r="D1" s="313"/>
      <c r="E1" s="313"/>
      <c r="F1" s="313"/>
    </row>
    <row r="2" spans="1:23" s="39" customFormat="1" ht="33" customHeight="1">
      <c r="B2" s="311" t="s">
        <v>121</v>
      </c>
      <c r="C2" s="311"/>
      <c r="D2" s="311"/>
      <c r="E2" s="311"/>
      <c r="F2" s="311"/>
      <c r="I2" s="311" t="s">
        <v>122</v>
      </c>
      <c r="J2" s="311"/>
      <c r="K2" s="311"/>
      <c r="L2" s="311"/>
      <c r="M2" s="311"/>
      <c r="N2" s="17"/>
      <c r="R2" s="312" t="s">
        <v>389</v>
      </c>
      <c r="S2" s="312"/>
      <c r="T2" s="312"/>
      <c r="U2" s="312"/>
    </row>
    <row r="3" spans="1:23" s="39" customFormat="1" ht="33" customHeight="1">
      <c r="A3" s="311" t="s">
        <v>141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</row>
    <row r="4" spans="1:23" s="39" customFormat="1" ht="33" customHeight="1">
      <c r="A4" s="311" t="s">
        <v>437</v>
      </c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</row>
    <row r="5" spans="1:23" s="39" customFormat="1" ht="33" customHeight="1">
      <c r="A5" s="311" t="s">
        <v>140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</row>
    <row r="6" spans="1:23" ht="21.6" thickBot="1"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 spans="1:23" ht="39.75" customHeight="1" thickTop="1" thickBot="1">
      <c r="A7" s="317"/>
      <c r="B7" s="319" t="s">
        <v>320</v>
      </c>
      <c r="C7" s="309" t="s">
        <v>375</v>
      </c>
      <c r="D7" s="310"/>
      <c r="E7" s="309" t="s">
        <v>386</v>
      </c>
      <c r="F7" s="310"/>
      <c r="G7" s="309" t="s">
        <v>133</v>
      </c>
      <c r="H7" s="310"/>
      <c r="I7" s="309" t="s">
        <v>134</v>
      </c>
      <c r="J7" s="310"/>
      <c r="K7" s="309" t="s">
        <v>135</v>
      </c>
      <c r="L7" s="310"/>
      <c r="M7" s="309" t="s">
        <v>136</v>
      </c>
      <c r="N7" s="310"/>
      <c r="O7" s="309" t="s">
        <v>137</v>
      </c>
      <c r="P7" s="310"/>
      <c r="Q7" s="309" t="s">
        <v>138</v>
      </c>
      <c r="R7" s="310"/>
      <c r="S7" s="309" t="s">
        <v>139</v>
      </c>
      <c r="T7" s="310"/>
      <c r="U7" s="309" t="s">
        <v>128</v>
      </c>
      <c r="V7" s="322"/>
      <c r="W7" s="310"/>
    </row>
    <row r="8" spans="1:23" ht="39.75" customHeight="1" thickTop="1" thickBot="1">
      <c r="A8" s="318"/>
      <c r="B8" s="320"/>
      <c r="C8" s="28" t="s">
        <v>4</v>
      </c>
      <c r="D8" s="28" t="s">
        <v>5</v>
      </c>
      <c r="E8" s="28" t="s">
        <v>4</v>
      </c>
      <c r="F8" s="28" t="s">
        <v>5</v>
      </c>
      <c r="G8" s="28" t="s">
        <v>4</v>
      </c>
      <c r="H8" s="28" t="s">
        <v>5</v>
      </c>
      <c r="I8" s="28" t="s">
        <v>4</v>
      </c>
      <c r="J8" s="28" t="s">
        <v>5</v>
      </c>
      <c r="K8" s="28" t="s">
        <v>4</v>
      </c>
      <c r="L8" s="28" t="s">
        <v>5</v>
      </c>
      <c r="M8" s="28" t="s">
        <v>4</v>
      </c>
      <c r="N8" s="28" t="s">
        <v>5</v>
      </c>
      <c r="O8" s="28" t="s">
        <v>4</v>
      </c>
      <c r="P8" s="28" t="s">
        <v>5</v>
      </c>
      <c r="Q8" s="28" t="s">
        <v>4</v>
      </c>
      <c r="R8" s="28" t="s">
        <v>5</v>
      </c>
      <c r="S8" s="28" t="s">
        <v>4</v>
      </c>
      <c r="T8" s="28" t="s">
        <v>5</v>
      </c>
      <c r="U8" s="28" t="s">
        <v>4</v>
      </c>
      <c r="V8" s="28" t="s">
        <v>5</v>
      </c>
      <c r="W8" s="28" t="s">
        <v>20</v>
      </c>
    </row>
    <row r="9" spans="1:23" ht="39.75" customHeight="1" thickTop="1" thickBot="1">
      <c r="A9" s="314" t="s">
        <v>80</v>
      </c>
      <c r="B9" s="26" t="s">
        <v>50</v>
      </c>
      <c r="C9" s="43">
        <f>'الفنون الجميلة'!AS17</f>
        <v>1</v>
      </c>
      <c r="D9" s="43">
        <f>'الفنون الجميلة'!AT17</f>
        <v>5</v>
      </c>
      <c r="E9" s="43">
        <f>'الفنون الجميلة'!AU17</f>
        <v>47</v>
      </c>
      <c r="F9" s="43">
        <f>'الفنون الجميلة'!AV17</f>
        <v>57</v>
      </c>
      <c r="G9" s="43">
        <f>'الفنون الجميلة'!AW17</f>
        <v>45</v>
      </c>
      <c r="H9" s="43">
        <f>'الفنون الجميلة'!AX17</f>
        <v>47</v>
      </c>
      <c r="I9" s="43">
        <f>'الفنون الجميلة'!AY17</f>
        <v>13</v>
      </c>
      <c r="J9" s="43">
        <f>'الفنون الجميلة'!AZ17</f>
        <v>29</v>
      </c>
      <c r="K9" s="43">
        <f>'الفنون الجميلة'!BA17</f>
        <v>5</v>
      </c>
      <c r="L9" s="43">
        <f>'الفنون الجميلة'!BB17</f>
        <v>11</v>
      </c>
      <c r="M9" s="43">
        <f>'الفنون الجميلة'!BC17</f>
        <v>4</v>
      </c>
      <c r="N9" s="43">
        <f>'الفنون الجميلة'!BD17</f>
        <v>14</v>
      </c>
      <c r="O9" s="43">
        <f>'الفنون الجميلة'!BE17</f>
        <v>0</v>
      </c>
      <c r="P9" s="43">
        <f>'الفنون الجميلة'!BF17</f>
        <v>4</v>
      </c>
      <c r="Q9" s="43">
        <f>'الفنون الجميلة'!BG17</f>
        <v>0</v>
      </c>
      <c r="R9" s="43">
        <f>'الفنون الجميلة'!BH17</f>
        <v>0</v>
      </c>
      <c r="S9" s="43">
        <f>'الفنون الجميلة'!BI17</f>
        <v>181</v>
      </c>
      <c r="T9" s="43">
        <f>'الفنون الجميلة'!BJ17</f>
        <v>278</v>
      </c>
      <c r="U9" s="43">
        <f>S9+Q9+O9+M9+K9+I9+G9+E9+C9</f>
        <v>296</v>
      </c>
      <c r="V9" s="43">
        <f t="shared" ref="U9:V11" si="0">T9+R9+P9+N9+L9+J9+H9+F9+D9</f>
        <v>445</v>
      </c>
      <c r="W9" s="43">
        <f t="shared" ref="W9:W14" si="1">V9+U9</f>
        <v>741</v>
      </c>
    </row>
    <row r="10" spans="1:23" ht="39.75" customHeight="1" thickTop="1" thickBot="1">
      <c r="A10" s="315"/>
      <c r="B10" s="26" t="s">
        <v>51</v>
      </c>
      <c r="C10" s="94"/>
      <c r="D10" s="94"/>
      <c r="E10" s="43">
        <f>'الفنون الجميلة'!BN17</f>
        <v>1</v>
      </c>
      <c r="F10" s="43">
        <f>'الفنون الجميلة'!BO17</f>
        <v>32</v>
      </c>
      <c r="G10" s="43">
        <f>'الفنون الجميلة'!BP17</f>
        <v>55</v>
      </c>
      <c r="H10" s="43">
        <f>'الفنون الجميلة'!BQ17</f>
        <v>40</v>
      </c>
      <c r="I10" s="43">
        <f>'الفنون الجميلة'!BR17</f>
        <v>41</v>
      </c>
      <c r="J10" s="43">
        <f>'الفنون الجميلة'!BS17</f>
        <v>20</v>
      </c>
      <c r="K10" s="43">
        <f>'الفنون الجميلة'!BT17</f>
        <v>4</v>
      </c>
      <c r="L10" s="43">
        <f>'الفنون الجميلة'!BU17</f>
        <v>17</v>
      </c>
      <c r="M10" s="43">
        <f>'الفنون الجميلة'!BV17</f>
        <v>0</v>
      </c>
      <c r="N10" s="43">
        <f>'الفنون الجميلة'!BW17</f>
        <v>11</v>
      </c>
      <c r="O10" s="43">
        <f>'الفنون الجميلة'!BX17</f>
        <v>0</v>
      </c>
      <c r="P10" s="43">
        <f>'الفنون الجميلة'!BY17</f>
        <v>5</v>
      </c>
      <c r="Q10" s="43">
        <f>'الفنون الجميلة'!BZ17</f>
        <v>0</v>
      </c>
      <c r="R10" s="43">
        <f>'الفنون الجميلة'!CA17</f>
        <v>1</v>
      </c>
      <c r="S10" s="43">
        <f>'الفنون الجميلة'!CB17</f>
        <v>124</v>
      </c>
      <c r="T10" s="43">
        <f>'الفنون الجميلة'!CC17</f>
        <v>231</v>
      </c>
      <c r="U10" s="43">
        <f t="shared" si="0"/>
        <v>225</v>
      </c>
      <c r="V10" s="43">
        <f t="shared" si="0"/>
        <v>357</v>
      </c>
      <c r="W10" s="43">
        <f t="shared" si="1"/>
        <v>582</v>
      </c>
    </row>
    <row r="11" spans="1:23" ht="39.75" customHeight="1" thickTop="1" thickBot="1">
      <c r="A11" s="315"/>
      <c r="B11" s="26" t="s">
        <v>52</v>
      </c>
      <c r="C11" s="94"/>
      <c r="D11" s="94"/>
      <c r="E11" s="95"/>
      <c r="F11" s="94"/>
      <c r="G11" s="43">
        <f>'الفنون الجميلة'!CG17</f>
        <v>4</v>
      </c>
      <c r="H11" s="43">
        <f>'الفنون الجميلة'!CH17</f>
        <v>31</v>
      </c>
      <c r="I11" s="43">
        <f>'الفنون الجميلة'!CI17</f>
        <v>20</v>
      </c>
      <c r="J11" s="43">
        <f>'الفنون الجميلة'!CJ17</f>
        <v>17</v>
      </c>
      <c r="K11" s="43">
        <f>'الفنون الجميلة'!CK17</f>
        <v>31</v>
      </c>
      <c r="L11" s="43">
        <f>'الفنون الجميلة'!CL17</f>
        <v>21</v>
      </c>
      <c r="M11" s="43">
        <f>'الفنون الجميلة'!CM17</f>
        <v>22</v>
      </c>
      <c r="N11" s="43">
        <f>'الفنون الجميلة'!CN17</f>
        <v>9</v>
      </c>
      <c r="O11" s="43">
        <f>'الفنون الجميلة'!CO17</f>
        <v>6</v>
      </c>
      <c r="P11" s="43">
        <f>'الفنون الجميلة'!CP17</f>
        <v>8</v>
      </c>
      <c r="Q11" s="43">
        <f>'الفنون الجميلة'!CQ17</f>
        <v>5</v>
      </c>
      <c r="R11" s="43">
        <f>'الفنون الجميلة'!CR17</f>
        <v>5</v>
      </c>
      <c r="S11" s="43">
        <f>'الفنون الجميلة'!CS17</f>
        <v>125</v>
      </c>
      <c r="T11" s="43">
        <f>'الفنون الجميلة'!CT17</f>
        <v>197</v>
      </c>
      <c r="U11" s="43">
        <f t="shared" si="0"/>
        <v>213</v>
      </c>
      <c r="V11" s="43">
        <f t="shared" si="0"/>
        <v>288</v>
      </c>
      <c r="W11" s="43">
        <f t="shared" si="1"/>
        <v>501</v>
      </c>
    </row>
    <row r="12" spans="1:23" ht="39.75" customHeight="1" thickTop="1" thickBot="1">
      <c r="A12" s="315"/>
      <c r="B12" s="26" t="s">
        <v>142</v>
      </c>
      <c r="C12" s="94"/>
      <c r="D12" s="94"/>
      <c r="E12" s="95"/>
      <c r="F12" s="94"/>
      <c r="G12" s="94"/>
      <c r="H12" s="94"/>
      <c r="I12" s="43">
        <f>'الفنون الجميلة'!CX17</f>
        <v>3</v>
      </c>
      <c r="J12" s="43">
        <f>'الفنون الجميلة'!CY17</f>
        <v>6</v>
      </c>
      <c r="K12" s="43">
        <f>'الفنون الجميلة'!CZ17</f>
        <v>15</v>
      </c>
      <c r="L12" s="43">
        <f>'الفنون الجميلة'!DA17</f>
        <v>24</v>
      </c>
      <c r="M12" s="43">
        <f>'الفنون الجميلة'!DB17</f>
        <v>23</v>
      </c>
      <c r="N12" s="43">
        <f>'الفنون الجميلة'!DC17</f>
        <v>19</v>
      </c>
      <c r="O12" s="43">
        <f>'الفنون الجميلة'!DD17</f>
        <v>12</v>
      </c>
      <c r="P12" s="43">
        <f>'الفنون الجميلة'!DE17</f>
        <v>8</v>
      </c>
      <c r="Q12" s="43">
        <f>'الفنون الجميلة'!DF17</f>
        <v>14</v>
      </c>
      <c r="R12" s="43">
        <f>'الفنون الجميلة'!DG17</f>
        <v>5</v>
      </c>
      <c r="S12" s="43">
        <f>'الفنون الجميلة'!DH17</f>
        <v>8</v>
      </c>
      <c r="T12" s="43">
        <f>'الفنون الجميلة'!DI17</f>
        <v>6</v>
      </c>
      <c r="U12" s="43">
        <f t="shared" ref="U12:V14" si="2">S12+Q12+O12+M12+K12+I12+G12+E12+C12</f>
        <v>75</v>
      </c>
      <c r="V12" s="43">
        <f t="shared" si="2"/>
        <v>68</v>
      </c>
      <c r="W12" s="43">
        <f t="shared" si="1"/>
        <v>143</v>
      </c>
    </row>
    <row r="13" spans="1:23" ht="39.75" customHeight="1" thickTop="1" thickBot="1">
      <c r="A13" s="315"/>
      <c r="B13" s="26" t="s">
        <v>77</v>
      </c>
      <c r="C13" s="94"/>
      <c r="D13" s="94"/>
      <c r="E13" s="95"/>
      <c r="F13" s="94"/>
      <c r="G13" s="94"/>
      <c r="H13" s="94"/>
      <c r="I13" s="94"/>
      <c r="J13" s="94"/>
      <c r="K13" s="43">
        <f>'الفنون الجميلة'!DM17</f>
        <v>2</v>
      </c>
      <c r="L13" s="43">
        <f>'الفنون الجميلة'!DN17</f>
        <v>4</v>
      </c>
      <c r="M13" s="43">
        <f>'الفنون الجميلة'!DO17</f>
        <v>14</v>
      </c>
      <c r="N13" s="43">
        <f>'الفنون الجميلة'!DP17</f>
        <v>30</v>
      </c>
      <c r="O13" s="43">
        <f>'الفنون الجميلة'!DQ17</f>
        <v>16</v>
      </c>
      <c r="P13" s="43">
        <f>'الفنون الجميلة'!DR17</f>
        <v>8</v>
      </c>
      <c r="Q13" s="43">
        <f>'الفنون الجميلة'!DS17</f>
        <v>22</v>
      </c>
      <c r="R13" s="43">
        <f>'الفنون الجميلة'!DT17</f>
        <v>8</v>
      </c>
      <c r="S13" s="43">
        <f>'الفنون الجميلة'!DU17</f>
        <v>15</v>
      </c>
      <c r="T13" s="43">
        <f>'الفنون الجميلة'!DV17</f>
        <v>28</v>
      </c>
      <c r="U13" s="43">
        <f t="shared" si="2"/>
        <v>69</v>
      </c>
      <c r="V13" s="43">
        <f t="shared" si="2"/>
        <v>78</v>
      </c>
      <c r="W13" s="43">
        <f t="shared" si="1"/>
        <v>147</v>
      </c>
    </row>
    <row r="14" spans="1:23" ht="39.75" customHeight="1" thickTop="1" thickBot="1">
      <c r="A14" s="316"/>
      <c r="B14" s="28" t="s">
        <v>143</v>
      </c>
      <c r="C14" s="90">
        <f>SUM(C9:C13)</f>
        <v>1</v>
      </c>
      <c r="D14" s="90">
        <f t="shared" ref="D14:S14" si="3">SUM(D9:D13)</f>
        <v>5</v>
      </c>
      <c r="E14" s="90">
        <f t="shared" si="3"/>
        <v>48</v>
      </c>
      <c r="F14" s="90">
        <f t="shared" si="3"/>
        <v>89</v>
      </c>
      <c r="G14" s="90">
        <f t="shared" si="3"/>
        <v>104</v>
      </c>
      <c r="H14" s="90">
        <f t="shared" si="3"/>
        <v>118</v>
      </c>
      <c r="I14" s="90">
        <f t="shared" si="3"/>
        <v>77</v>
      </c>
      <c r="J14" s="90">
        <f t="shared" si="3"/>
        <v>72</v>
      </c>
      <c r="K14" s="90">
        <f>SUM(K9:K13)</f>
        <v>57</v>
      </c>
      <c r="L14" s="90">
        <f t="shared" si="3"/>
        <v>77</v>
      </c>
      <c r="M14" s="90">
        <f t="shared" si="3"/>
        <v>63</v>
      </c>
      <c r="N14" s="90">
        <f t="shared" si="3"/>
        <v>83</v>
      </c>
      <c r="O14" s="90">
        <f t="shared" si="3"/>
        <v>34</v>
      </c>
      <c r="P14" s="90">
        <f t="shared" si="3"/>
        <v>33</v>
      </c>
      <c r="Q14" s="90">
        <f t="shared" si="3"/>
        <v>41</v>
      </c>
      <c r="R14" s="90">
        <f t="shared" si="3"/>
        <v>19</v>
      </c>
      <c r="S14" s="90">
        <f t="shared" si="3"/>
        <v>453</v>
      </c>
      <c r="T14" s="90">
        <f>SUM(T9:T13)</f>
        <v>740</v>
      </c>
      <c r="U14" s="43">
        <f t="shared" si="2"/>
        <v>878</v>
      </c>
      <c r="V14" s="43">
        <f t="shared" si="2"/>
        <v>1236</v>
      </c>
      <c r="W14" s="43">
        <f t="shared" si="1"/>
        <v>2114</v>
      </c>
    </row>
    <row r="15" spans="1:23" s="9" customFormat="1" ht="34.5" customHeight="1" thickTop="1">
      <c r="C15" s="323" t="s">
        <v>144</v>
      </c>
      <c r="D15" s="323"/>
      <c r="E15" s="323"/>
      <c r="F15" s="323"/>
      <c r="G15" s="323"/>
      <c r="H15" s="323"/>
      <c r="I15" s="323"/>
      <c r="J15" s="311"/>
      <c r="K15" s="311"/>
      <c r="L15" s="311"/>
      <c r="M15" s="311"/>
      <c r="N15" s="17"/>
      <c r="R15" s="17"/>
      <c r="S15" s="17"/>
      <c r="T15" s="17"/>
      <c r="U15" s="17"/>
    </row>
    <row r="16" spans="1:23" s="9" customFormat="1" ht="24.6">
      <c r="C16" s="321" t="s">
        <v>437</v>
      </c>
      <c r="D16" s="321"/>
      <c r="E16" s="321"/>
      <c r="F16" s="321"/>
      <c r="G16" s="321"/>
      <c r="H16" s="321"/>
      <c r="I16" s="321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spans="1:31" s="9" customFormat="1" ht="25.2" thickBot="1">
      <c r="C17" s="321" t="s">
        <v>382</v>
      </c>
      <c r="D17" s="321"/>
      <c r="E17" s="321"/>
      <c r="F17" s="321"/>
      <c r="G17" s="321"/>
      <c r="H17" s="321"/>
      <c r="I17" s="321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spans="1:31" s="3" customFormat="1" ht="42.75" customHeight="1" thickTop="1">
      <c r="C18" s="324"/>
      <c r="D18" s="325"/>
      <c r="E18" s="331" t="s">
        <v>145</v>
      </c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31" s="3" customFormat="1" ht="42.75" customHeight="1" thickBot="1">
      <c r="C19" s="326"/>
      <c r="D19" s="327"/>
      <c r="E19" s="350" t="s">
        <v>4</v>
      </c>
      <c r="F19" s="351"/>
      <c r="G19" s="352"/>
      <c r="H19" s="350" t="s">
        <v>5</v>
      </c>
      <c r="I19" s="351"/>
      <c r="J19" s="352"/>
      <c r="K19" s="350" t="s">
        <v>6</v>
      </c>
      <c r="L19" s="351"/>
      <c r="M19" s="352"/>
      <c r="N19" s="350" t="s">
        <v>20</v>
      </c>
      <c r="O19" s="351"/>
      <c r="P19" s="352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3" customFormat="1" ht="42.75" customHeight="1" thickTop="1" thickBot="1">
      <c r="C20" s="328" t="s">
        <v>80</v>
      </c>
      <c r="D20" s="42" t="s">
        <v>50</v>
      </c>
      <c r="E20" s="356">
        <f>'الفنون الجميلة'!FJ17</f>
        <v>12</v>
      </c>
      <c r="F20" s="357"/>
      <c r="G20" s="358"/>
      <c r="H20" s="356">
        <f>'الفنون الجميلة'!FK17</f>
        <v>12</v>
      </c>
      <c r="I20" s="357"/>
      <c r="J20" s="358"/>
      <c r="K20" s="356">
        <f>'الفنون الجميلة'!FL17</f>
        <v>0</v>
      </c>
      <c r="L20" s="357"/>
      <c r="M20" s="358"/>
      <c r="N20" s="356">
        <f>K20+H20+E20</f>
        <v>24</v>
      </c>
      <c r="O20" s="357"/>
      <c r="P20" s="358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s="3" customFormat="1" ht="42.75" customHeight="1" thickTop="1" thickBot="1">
      <c r="C21" s="329"/>
      <c r="D21" s="42" t="s">
        <v>51</v>
      </c>
      <c r="E21" s="356">
        <f>'الفنون الجميلة'!FM17</f>
        <v>12</v>
      </c>
      <c r="F21" s="357"/>
      <c r="G21" s="358"/>
      <c r="H21" s="356">
        <f>'الفنون الجميلة'!FN17</f>
        <v>10</v>
      </c>
      <c r="I21" s="357"/>
      <c r="J21" s="358"/>
      <c r="K21" s="356">
        <f>'الفنون الجميلة'!FO17</f>
        <v>0</v>
      </c>
      <c r="L21" s="357"/>
      <c r="M21" s="358"/>
      <c r="N21" s="356">
        <f>K21+H21+E21</f>
        <v>22</v>
      </c>
      <c r="O21" s="357"/>
      <c r="P21" s="358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s="3" customFormat="1" ht="42.75" customHeight="1" thickTop="1" thickBot="1">
      <c r="C22" s="329"/>
      <c r="D22" s="42" t="s">
        <v>52</v>
      </c>
      <c r="E22" s="356">
        <f>'الفنون الجميلة'!FP17</f>
        <v>13</v>
      </c>
      <c r="F22" s="357"/>
      <c r="G22" s="358"/>
      <c r="H22" s="356">
        <f>'الفنون الجميلة'!FQ17</f>
        <v>10</v>
      </c>
      <c r="I22" s="357"/>
      <c r="J22" s="358"/>
      <c r="K22" s="356">
        <f>'الفنون الجميلة'!FR17</f>
        <v>0</v>
      </c>
      <c r="L22" s="357"/>
      <c r="M22" s="358"/>
      <c r="N22" s="356">
        <f>K22+H22+E22</f>
        <v>23</v>
      </c>
      <c r="O22" s="357"/>
      <c r="P22" s="358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s="3" customFormat="1" ht="42.75" customHeight="1" thickTop="1" thickBot="1">
      <c r="C23" s="329"/>
      <c r="D23" s="42" t="s">
        <v>142</v>
      </c>
      <c r="E23" s="356">
        <f>'الفنون الجميلة'!FS17</f>
        <v>5</v>
      </c>
      <c r="F23" s="357"/>
      <c r="G23" s="358"/>
      <c r="H23" s="356">
        <f>'الفنون الجميلة'!FT17</f>
        <v>4</v>
      </c>
      <c r="I23" s="357"/>
      <c r="J23" s="358"/>
      <c r="K23" s="356">
        <f>'الفنون الجميلة'!FU17</f>
        <v>0</v>
      </c>
      <c r="L23" s="357"/>
      <c r="M23" s="358"/>
      <c r="N23" s="356">
        <f>K23+H23+E23</f>
        <v>9</v>
      </c>
      <c r="O23" s="357"/>
      <c r="P23" s="358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s="3" customFormat="1" ht="42.75" customHeight="1" thickTop="1" thickBot="1">
      <c r="C24" s="329"/>
      <c r="D24" s="42" t="s">
        <v>77</v>
      </c>
      <c r="E24" s="356">
        <f>'الفنون الجميلة'!FV17</f>
        <v>5</v>
      </c>
      <c r="F24" s="357"/>
      <c r="G24" s="358"/>
      <c r="H24" s="356">
        <f>'الفنون الجميلة'!FW17</f>
        <v>4</v>
      </c>
      <c r="I24" s="357"/>
      <c r="J24" s="358"/>
      <c r="K24" s="356">
        <f>'الفنون الجميلة'!FX17</f>
        <v>0</v>
      </c>
      <c r="L24" s="357"/>
      <c r="M24" s="358"/>
      <c r="N24" s="356">
        <f>K24+H24+E24</f>
        <v>9</v>
      </c>
      <c r="O24" s="357"/>
      <c r="P24" s="358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s="3" customFormat="1" ht="42.75" customHeight="1" thickTop="1" thickBot="1">
      <c r="C25" s="330"/>
      <c r="D25" s="43" t="s">
        <v>143</v>
      </c>
      <c r="E25" s="356">
        <f>E24+E23+E22+E21+E21</f>
        <v>47</v>
      </c>
      <c r="F25" s="357"/>
      <c r="G25" s="358"/>
      <c r="H25" s="356">
        <f>H24+H23+H22+H21+H21</f>
        <v>38</v>
      </c>
      <c r="I25" s="357"/>
      <c r="J25" s="358"/>
      <c r="K25" s="356">
        <f>K24+K23+K22+K21+K21</f>
        <v>0</v>
      </c>
      <c r="L25" s="357"/>
      <c r="M25" s="358"/>
      <c r="N25" s="339">
        <f>N20+N21+N22+N23+N24</f>
        <v>87</v>
      </c>
      <c r="O25" s="340"/>
      <c r="P25" s="341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6"/>
      <c r="AD25" s="6"/>
      <c r="AE25" s="6"/>
    </row>
    <row r="26" spans="1:31" s="16" customFormat="1" ht="30" customHeight="1" thickTop="1">
      <c r="A26" s="313" t="s">
        <v>177</v>
      </c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17"/>
      <c r="S26" s="17"/>
      <c r="T26" s="17"/>
    </row>
    <row r="27" spans="1:31" s="16" customFormat="1" ht="23.4">
      <c r="A27" s="311" t="s">
        <v>437</v>
      </c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7"/>
      <c r="S27" s="37"/>
      <c r="T27" s="37"/>
    </row>
    <row r="28" spans="1:31" s="16" customFormat="1" ht="24" thickBot="1">
      <c r="A28" s="311" t="s">
        <v>439</v>
      </c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7"/>
      <c r="S28" s="37"/>
      <c r="T28" s="37"/>
    </row>
    <row r="29" spans="1:31" s="35" customFormat="1" ht="65.25" customHeight="1" thickTop="1" thickBot="1">
      <c r="A29" s="98"/>
      <c r="B29" s="98"/>
      <c r="C29" s="342" t="s">
        <v>232</v>
      </c>
      <c r="D29" s="345" t="s">
        <v>266</v>
      </c>
      <c r="E29" s="362" t="s">
        <v>440</v>
      </c>
      <c r="F29" s="363"/>
      <c r="G29" s="364"/>
      <c r="H29" s="359" t="s">
        <v>441</v>
      </c>
      <c r="I29" s="360"/>
      <c r="J29" s="361"/>
      <c r="K29" s="339" t="s">
        <v>442</v>
      </c>
      <c r="L29" s="340"/>
      <c r="M29" s="340"/>
      <c r="N29" s="340"/>
      <c r="O29" s="340"/>
      <c r="P29" s="340"/>
      <c r="Q29" s="340"/>
      <c r="R29" s="340"/>
      <c r="S29" s="341"/>
      <c r="T29" s="36"/>
      <c r="U29" s="36"/>
      <c r="V29" s="36"/>
      <c r="W29" s="36"/>
      <c r="X29" s="36"/>
      <c r="Y29" s="36"/>
      <c r="Z29" s="36"/>
    </row>
    <row r="30" spans="1:31" s="35" customFormat="1" ht="55.5" customHeight="1" thickTop="1" thickBot="1">
      <c r="A30" s="98"/>
      <c r="B30" s="98"/>
      <c r="C30" s="343"/>
      <c r="D30" s="346"/>
      <c r="E30" s="332" t="s">
        <v>4</v>
      </c>
      <c r="F30" s="332" t="s">
        <v>5</v>
      </c>
      <c r="G30" s="332" t="s">
        <v>20</v>
      </c>
      <c r="H30" s="332" t="s">
        <v>4</v>
      </c>
      <c r="I30" s="332" t="s">
        <v>5</v>
      </c>
      <c r="J30" s="332" t="s">
        <v>20</v>
      </c>
      <c r="K30" s="348" t="s">
        <v>146</v>
      </c>
      <c r="L30" s="349"/>
      <c r="M30" s="348" t="s">
        <v>147</v>
      </c>
      <c r="N30" s="349"/>
      <c r="O30" s="348" t="s">
        <v>148</v>
      </c>
      <c r="P30" s="349"/>
      <c r="Q30" s="338" t="s">
        <v>20</v>
      </c>
      <c r="R30" s="338"/>
      <c r="S30" s="338"/>
      <c r="T30" s="36"/>
      <c r="U30" s="36"/>
      <c r="V30" s="36"/>
      <c r="W30" s="36"/>
      <c r="X30" s="36"/>
    </row>
    <row r="31" spans="1:31" s="35" customFormat="1" ht="29.25" customHeight="1" thickTop="1" thickBot="1">
      <c r="A31" s="98"/>
      <c r="B31" s="98"/>
      <c r="C31" s="344"/>
      <c r="D31" s="347"/>
      <c r="E31" s="333"/>
      <c r="F31" s="333"/>
      <c r="G31" s="333"/>
      <c r="H31" s="333"/>
      <c r="I31" s="333"/>
      <c r="J31" s="333"/>
      <c r="K31" s="28" t="s">
        <v>4</v>
      </c>
      <c r="L31" s="28" t="s">
        <v>5</v>
      </c>
      <c r="M31" s="28" t="s">
        <v>4</v>
      </c>
      <c r="N31" s="28" t="s">
        <v>5</v>
      </c>
      <c r="O31" s="28" t="s">
        <v>4</v>
      </c>
      <c r="P31" s="28" t="s">
        <v>5</v>
      </c>
      <c r="Q31" s="28" t="s">
        <v>4</v>
      </c>
      <c r="R31" s="28" t="s">
        <v>5</v>
      </c>
      <c r="S31" s="28" t="s">
        <v>20</v>
      </c>
      <c r="T31" s="36"/>
      <c r="U31" s="36"/>
      <c r="V31" s="36"/>
      <c r="W31" s="36"/>
      <c r="X31" s="36"/>
    </row>
    <row r="32" spans="1:31" s="38" customFormat="1" ht="37.5" customHeight="1" thickTop="1" thickBot="1">
      <c r="C32" s="328" t="s">
        <v>80</v>
      </c>
      <c r="D32" s="42" t="s">
        <v>50</v>
      </c>
      <c r="E32" s="43">
        <f>'الفنون الجميلة'!GC17</f>
        <v>28</v>
      </c>
      <c r="F32" s="43">
        <f>'الفنون الجميلة'!GD17</f>
        <v>6</v>
      </c>
      <c r="G32" s="43">
        <f>F32+E32</f>
        <v>34</v>
      </c>
      <c r="H32" s="43">
        <f>'الفنون الجميلة'!HC17</f>
        <v>219</v>
      </c>
      <c r="I32" s="43">
        <f>'الفنون الجميلة'!HD17</f>
        <v>339</v>
      </c>
      <c r="J32" s="43">
        <f>I32+H32</f>
        <v>558</v>
      </c>
      <c r="K32" s="43">
        <f>'الفنون الجميلة'!HP17</f>
        <v>8</v>
      </c>
      <c r="L32" s="43">
        <f>'الفنون الجميلة'!HQ17</f>
        <v>7</v>
      </c>
      <c r="M32" s="43">
        <f>'الفنون الجميلة'!IC17</f>
        <v>1</v>
      </c>
      <c r="N32" s="43">
        <f>'الفنون الجميلة'!ID17</f>
        <v>15</v>
      </c>
      <c r="O32" s="43">
        <f>'الفنون الجميلة'!IP17</f>
        <v>0</v>
      </c>
      <c r="P32" s="43">
        <f>'الفنون الجميلة'!IQ17</f>
        <v>0</v>
      </c>
      <c r="Q32" s="43">
        <f t="shared" ref="Q32:R36" si="4">O32+M32+K32</f>
        <v>9</v>
      </c>
      <c r="R32" s="43">
        <f t="shared" si="4"/>
        <v>22</v>
      </c>
      <c r="S32" s="43">
        <f>R32+Q32</f>
        <v>31</v>
      </c>
      <c r="T32" s="44"/>
      <c r="U32" s="44"/>
      <c r="V32" s="44"/>
      <c r="W32" s="44"/>
      <c r="X32" s="44"/>
    </row>
    <row r="33" spans="1:24" s="38" customFormat="1" ht="37.5" customHeight="1" thickTop="1" thickBot="1">
      <c r="C33" s="329"/>
      <c r="D33" s="42" t="s">
        <v>51</v>
      </c>
      <c r="E33" s="43">
        <f>'الفنون الجميلة'!GE17</f>
        <v>4</v>
      </c>
      <c r="F33" s="43">
        <f>'الفنون الجميلة'!GF17</f>
        <v>12</v>
      </c>
      <c r="G33" s="43">
        <f>F33+E33</f>
        <v>16</v>
      </c>
      <c r="H33" s="43">
        <f>'الفنون الجميلة'!HE17</f>
        <v>208</v>
      </c>
      <c r="I33" s="43">
        <f>'الفنون الجميلة'!HF17</f>
        <v>288</v>
      </c>
      <c r="J33" s="43">
        <f>I33+H33</f>
        <v>496</v>
      </c>
      <c r="K33" s="43">
        <f>'الفنون الجميلة'!HR17</f>
        <v>5</v>
      </c>
      <c r="L33" s="43">
        <f>'الفنون الجميلة'!HS17</f>
        <v>4</v>
      </c>
      <c r="M33" s="43">
        <f>'الفنون الجميلة'!IE17</f>
        <v>0</v>
      </c>
      <c r="N33" s="43">
        <f>'الفنون الجميلة'!IF17</f>
        <v>13</v>
      </c>
      <c r="O33" s="43">
        <f>'الفنون الجميلة'!IR17</f>
        <v>0</v>
      </c>
      <c r="P33" s="43">
        <f>'الفنون الجميلة'!IS17</f>
        <v>0</v>
      </c>
      <c r="Q33" s="43">
        <f t="shared" si="4"/>
        <v>5</v>
      </c>
      <c r="R33" s="43">
        <f t="shared" si="4"/>
        <v>17</v>
      </c>
      <c r="S33" s="43">
        <f>R34+Q34</f>
        <v>9</v>
      </c>
      <c r="T33" s="44"/>
      <c r="U33" s="44"/>
      <c r="V33" s="44"/>
      <c r="W33" s="44"/>
      <c r="X33" s="44"/>
    </row>
    <row r="34" spans="1:24" s="38" customFormat="1" ht="37.5" customHeight="1" thickTop="1" thickBot="1">
      <c r="C34" s="329"/>
      <c r="D34" s="42" t="s">
        <v>52</v>
      </c>
      <c r="E34" s="43">
        <f>'الفنون الجميلة'!GG17</f>
        <v>1</v>
      </c>
      <c r="F34" s="43">
        <f>'الفنون الجميلة'!GH17</f>
        <v>2</v>
      </c>
      <c r="G34" s="43">
        <f>F34+E34</f>
        <v>3</v>
      </c>
      <c r="H34" s="43">
        <f>'الفنون الجميلة'!HG17</f>
        <v>72</v>
      </c>
      <c r="I34" s="43">
        <f>'الفنون الجميلة'!HH17</f>
        <v>66</v>
      </c>
      <c r="J34" s="43">
        <f>I34+H34</f>
        <v>138</v>
      </c>
      <c r="K34" s="43">
        <f>'الفنون الجميلة'!HT17</f>
        <v>7</v>
      </c>
      <c r="L34" s="43">
        <f>'الفنون الجميلة'!HU17</f>
        <v>1</v>
      </c>
      <c r="M34" s="43">
        <f>'الفنون الجميلة'!IG17</f>
        <v>0</v>
      </c>
      <c r="N34" s="43">
        <f>'الفنون الجميلة'!IH17</f>
        <v>1</v>
      </c>
      <c r="O34" s="43">
        <f>'الفنون الجميلة'!IT17</f>
        <v>0</v>
      </c>
      <c r="P34" s="43">
        <f>'الفنون الجميلة'!IU17</f>
        <v>0</v>
      </c>
      <c r="Q34" s="43">
        <f t="shared" si="4"/>
        <v>7</v>
      </c>
      <c r="R34" s="43">
        <f t="shared" si="4"/>
        <v>2</v>
      </c>
      <c r="S34" s="43">
        <f>R34+Q34</f>
        <v>9</v>
      </c>
      <c r="T34" s="44"/>
      <c r="U34" s="44"/>
      <c r="V34" s="44"/>
      <c r="W34" s="44"/>
      <c r="X34" s="44"/>
    </row>
    <row r="35" spans="1:24" s="38" customFormat="1" ht="37.5" customHeight="1" thickTop="1" thickBot="1">
      <c r="C35" s="329"/>
      <c r="D35" s="42" t="s">
        <v>142</v>
      </c>
      <c r="E35" s="43">
        <f>'الفنون الجميلة'!GI17</f>
        <v>0</v>
      </c>
      <c r="F35" s="43">
        <f>'الفنون الجميلة'!GJ17</f>
        <v>0</v>
      </c>
      <c r="G35" s="43">
        <f>F35+E35</f>
        <v>0</v>
      </c>
      <c r="H35" s="43">
        <f>'الفنون الجميلة'!HI17</f>
        <v>69</v>
      </c>
      <c r="I35" s="43">
        <f>'الفنون الجميلة'!HJ17</f>
        <v>78</v>
      </c>
      <c r="J35" s="43">
        <f>I35+H35</f>
        <v>147</v>
      </c>
      <c r="K35" s="43">
        <f>'الفنون الجميلة'!HV17</f>
        <v>5</v>
      </c>
      <c r="L35" s="43">
        <f>'الفنون الجميلة'!HW17</f>
        <v>0</v>
      </c>
      <c r="M35" s="43">
        <f>'الفنون الجميلة'!II17</f>
        <v>1</v>
      </c>
      <c r="N35" s="43">
        <f>'الفنون الجميلة'!IJ17</f>
        <v>0</v>
      </c>
      <c r="O35" s="43">
        <f>'الفنون الجميلة'!IV17</f>
        <v>0</v>
      </c>
      <c r="P35" s="43">
        <f>'الفنون الجميلة'!IW17</f>
        <v>0</v>
      </c>
      <c r="Q35" s="43">
        <f t="shared" si="4"/>
        <v>6</v>
      </c>
      <c r="R35" s="43">
        <f t="shared" si="4"/>
        <v>0</v>
      </c>
      <c r="S35" s="43">
        <f>R35+Q35</f>
        <v>6</v>
      </c>
      <c r="T35" s="44"/>
      <c r="U35" s="44"/>
      <c r="V35" s="44"/>
      <c r="W35" s="44"/>
      <c r="X35" s="44"/>
    </row>
    <row r="36" spans="1:24" s="38" customFormat="1" ht="37.5" customHeight="1" thickTop="1" thickBot="1">
      <c r="C36" s="329"/>
      <c r="D36" s="42" t="s">
        <v>77</v>
      </c>
      <c r="E36" s="43">
        <f>'الفنون الجميلة'!GK17</f>
        <v>0</v>
      </c>
      <c r="F36" s="43">
        <f>'الفنون الجميلة'!GL17</f>
        <v>0</v>
      </c>
      <c r="G36" s="43">
        <f>F36+E36</f>
        <v>0</v>
      </c>
      <c r="H36" s="43">
        <f>'الفنون الجميلة'!HK17</f>
        <v>109</v>
      </c>
      <c r="I36" s="43">
        <f>'الفنون الجميلة'!HL17</f>
        <v>101</v>
      </c>
      <c r="J36" s="43">
        <f>I36+H36</f>
        <v>210</v>
      </c>
      <c r="K36" s="43">
        <f>'الفنون الجميلة'!HX17</f>
        <v>0</v>
      </c>
      <c r="L36" s="43">
        <f>'الفنون الجميلة'!HY17</f>
        <v>0</v>
      </c>
      <c r="M36" s="43">
        <f>'الفنون الجميلة'!IK17</f>
        <v>0</v>
      </c>
      <c r="N36" s="43">
        <f>'الفنون الجميلة'!IL17</f>
        <v>0</v>
      </c>
      <c r="O36" s="43">
        <f>'الفنون الجميلة'!IX17</f>
        <v>0</v>
      </c>
      <c r="P36" s="43">
        <f>'الفنون الجميلة'!IY17</f>
        <v>0</v>
      </c>
      <c r="Q36" s="43">
        <f t="shared" si="4"/>
        <v>0</v>
      </c>
      <c r="R36" s="43">
        <f t="shared" si="4"/>
        <v>0</v>
      </c>
      <c r="S36" s="43">
        <f>R36+Q36</f>
        <v>0</v>
      </c>
      <c r="T36" s="44"/>
      <c r="U36" s="44"/>
      <c r="V36" s="44"/>
      <c r="W36" s="44"/>
      <c r="X36" s="44"/>
    </row>
    <row r="37" spans="1:24" s="38" customFormat="1" ht="37.5" customHeight="1" thickTop="1" thickBot="1">
      <c r="C37" s="330"/>
      <c r="D37" s="43" t="s">
        <v>143</v>
      </c>
      <c r="E37" s="90">
        <f t="shared" ref="E37:S37" si="5">E36+E35+E34+E33+E32</f>
        <v>33</v>
      </c>
      <c r="F37" s="90">
        <f t="shared" si="5"/>
        <v>20</v>
      </c>
      <c r="G37" s="90">
        <f t="shared" si="5"/>
        <v>53</v>
      </c>
      <c r="H37" s="90">
        <f t="shared" si="5"/>
        <v>677</v>
      </c>
      <c r="I37" s="90">
        <f t="shared" si="5"/>
        <v>872</v>
      </c>
      <c r="J37" s="90">
        <f t="shared" si="5"/>
        <v>1549</v>
      </c>
      <c r="K37" s="90">
        <f t="shared" si="5"/>
        <v>25</v>
      </c>
      <c r="L37" s="90">
        <f t="shared" si="5"/>
        <v>12</v>
      </c>
      <c r="M37" s="90">
        <f t="shared" si="5"/>
        <v>2</v>
      </c>
      <c r="N37" s="90">
        <f t="shared" si="5"/>
        <v>29</v>
      </c>
      <c r="O37" s="90">
        <f t="shared" si="5"/>
        <v>0</v>
      </c>
      <c r="P37" s="90">
        <f t="shared" si="5"/>
        <v>0</v>
      </c>
      <c r="Q37" s="90">
        <f t="shared" si="5"/>
        <v>27</v>
      </c>
      <c r="R37" s="90">
        <f t="shared" si="5"/>
        <v>41</v>
      </c>
      <c r="S37" s="90">
        <f t="shared" si="5"/>
        <v>55</v>
      </c>
      <c r="T37" s="45"/>
      <c r="U37" s="45"/>
      <c r="V37" s="44"/>
      <c r="W37" s="44"/>
      <c r="X37" s="44"/>
    </row>
    <row r="38" spans="1:24" s="39" customFormat="1" ht="24" hidden="1" thickTop="1">
      <c r="B38" s="311" t="s">
        <v>119</v>
      </c>
      <c r="C38" s="311"/>
      <c r="D38" s="311"/>
      <c r="E38" s="311"/>
      <c r="F38" s="311"/>
    </row>
    <row r="39" spans="1:24" s="39" customFormat="1" ht="23.4" hidden="1">
      <c r="B39" s="311" t="s">
        <v>121</v>
      </c>
      <c r="C39" s="311"/>
      <c r="D39" s="311"/>
      <c r="E39" s="311"/>
      <c r="F39" s="311"/>
      <c r="I39" s="311" t="s">
        <v>264</v>
      </c>
      <c r="J39" s="311"/>
      <c r="K39" s="311"/>
      <c r="L39" s="311"/>
      <c r="M39" s="311"/>
      <c r="N39" s="80"/>
      <c r="R39" s="312" t="s">
        <v>389</v>
      </c>
      <c r="S39" s="312"/>
      <c r="T39" s="312"/>
      <c r="U39" s="312"/>
    </row>
    <row r="40" spans="1:24" s="39" customFormat="1" ht="23.4" hidden="1">
      <c r="A40" s="311" t="s">
        <v>141</v>
      </c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</row>
    <row r="41" spans="1:24" s="39" customFormat="1" ht="23.4" hidden="1">
      <c r="A41" s="311" t="s">
        <v>431</v>
      </c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</row>
    <row r="42" spans="1:24" s="39" customFormat="1" ht="23.4" hidden="1">
      <c r="A42" s="311" t="s">
        <v>140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</row>
    <row r="43" spans="1:24" ht="21.6" hidden="1" thickBot="1"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</row>
    <row r="44" spans="1:24" ht="36.75" hidden="1" customHeight="1" thickTop="1" thickBot="1">
      <c r="A44" s="334"/>
      <c r="B44" s="335"/>
      <c r="C44" s="309" t="s">
        <v>375</v>
      </c>
      <c r="D44" s="310"/>
      <c r="E44" s="309" t="s">
        <v>386</v>
      </c>
      <c r="F44" s="310"/>
      <c r="G44" s="309" t="s">
        <v>133</v>
      </c>
      <c r="H44" s="310"/>
      <c r="I44" s="309" t="s">
        <v>134</v>
      </c>
      <c r="J44" s="310"/>
      <c r="K44" s="309" t="s">
        <v>135</v>
      </c>
      <c r="L44" s="310"/>
      <c r="M44" s="309" t="s">
        <v>136</v>
      </c>
      <c r="N44" s="310"/>
      <c r="O44" s="309" t="s">
        <v>137</v>
      </c>
      <c r="P44" s="310"/>
      <c r="Q44" s="309" t="s">
        <v>138</v>
      </c>
      <c r="R44" s="310"/>
      <c r="S44" s="309" t="s">
        <v>139</v>
      </c>
      <c r="T44" s="310"/>
      <c r="U44" s="309" t="s">
        <v>128</v>
      </c>
      <c r="V44" s="322"/>
      <c r="W44" s="310"/>
    </row>
    <row r="45" spans="1:24" ht="36.75" hidden="1" customHeight="1" thickTop="1" thickBot="1">
      <c r="A45" s="336"/>
      <c r="B45" s="337"/>
      <c r="C45" s="28" t="s">
        <v>4</v>
      </c>
      <c r="D45" s="28" t="s">
        <v>5</v>
      </c>
      <c r="E45" s="28" t="s">
        <v>4</v>
      </c>
      <c r="F45" s="28" t="s">
        <v>5</v>
      </c>
      <c r="G45" s="28" t="s">
        <v>4</v>
      </c>
      <c r="H45" s="28" t="s">
        <v>5</v>
      </c>
      <c r="I45" s="28" t="s">
        <v>4</v>
      </c>
      <c r="J45" s="28" t="s">
        <v>5</v>
      </c>
      <c r="K45" s="28" t="s">
        <v>4</v>
      </c>
      <c r="L45" s="28" t="s">
        <v>5</v>
      </c>
      <c r="M45" s="28" t="s">
        <v>4</v>
      </c>
      <c r="N45" s="28" t="s">
        <v>5</v>
      </c>
      <c r="O45" s="28" t="s">
        <v>4</v>
      </c>
      <c r="P45" s="28" t="s">
        <v>5</v>
      </c>
      <c r="Q45" s="28" t="s">
        <v>4</v>
      </c>
      <c r="R45" s="28" t="s">
        <v>5</v>
      </c>
      <c r="S45" s="28" t="s">
        <v>4</v>
      </c>
      <c r="T45" s="28" t="s">
        <v>5</v>
      </c>
      <c r="U45" s="28" t="s">
        <v>4</v>
      </c>
      <c r="V45" s="28" t="s">
        <v>5</v>
      </c>
      <c r="W45" s="28" t="s">
        <v>20</v>
      </c>
    </row>
    <row r="46" spans="1:24" ht="36.75" hidden="1" customHeight="1" thickTop="1" thickBot="1">
      <c r="A46" s="314" t="s">
        <v>80</v>
      </c>
      <c r="B46" s="26" t="s">
        <v>50</v>
      </c>
      <c r="C46" s="28">
        <f>'الفنون الجميلة'!AS10</f>
        <v>1</v>
      </c>
      <c r="D46" s="28">
        <f>'الفنون الجميلة'!AT10</f>
        <v>5</v>
      </c>
      <c r="E46" s="28">
        <f>'الفنون الجميلة'!AU10</f>
        <v>47</v>
      </c>
      <c r="F46" s="28">
        <f>'الفنون الجميلة'!AV10</f>
        <v>57</v>
      </c>
      <c r="G46" s="28">
        <f>'الفنون الجميلة'!AW10</f>
        <v>45</v>
      </c>
      <c r="H46" s="28">
        <f>'الفنون الجميلة'!AX10</f>
        <v>47</v>
      </c>
      <c r="I46" s="28">
        <f>'الفنون الجميلة'!AY10</f>
        <v>13</v>
      </c>
      <c r="J46" s="28">
        <f>'الفنون الجميلة'!AZ10</f>
        <v>29</v>
      </c>
      <c r="K46" s="28">
        <f>'الفنون الجميلة'!BA10</f>
        <v>5</v>
      </c>
      <c r="L46" s="28">
        <f>'الفنون الجميلة'!BB10</f>
        <v>11</v>
      </c>
      <c r="M46" s="28">
        <f>'الفنون الجميلة'!BC10</f>
        <v>4</v>
      </c>
      <c r="N46" s="28">
        <f>'الفنون الجميلة'!BD10</f>
        <v>14</v>
      </c>
      <c r="O46" s="28">
        <f>'الفنون الجميلة'!BE10</f>
        <v>0</v>
      </c>
      <c r="P46" s="28">
        <f>'الفنون الجميلة'!BF10</f>
        <v>4</v>
      </c>
      <c r="Q46" s="28">
        <f>'الفنون الجميلة'!BG10</f>
        <v>0</v>
      </c>
      <c r="R46" s="28">
        <f>'الفنون الجميلة'!BH10</f>
        <v>0</v>
      </c>
      <c r="S46" s="28">
        <f>'الفنون الجميلة'!BI10</f>
        <v>181</v>
      </c>
      <c r="T46" s="28">
        <f>'الفنون الجميلة'!BJ10</f>
        <v>278</v>
      </c>
      <c r="U46" s="28">
        <f t="shared" ref="U46:U51" si="6">S46+Q46+O46+M46+K46+I46+G46+E46+C46</f>
        <v>296</v>
      </c>
      <c r="V46" s="28">
        <f t="shared" ref="V46:V51" si="7">T46+R46+P46+N46+L46+J46+H46+F46+D46</f>
        <v>445</v>
      </c>
      <c r="W46" s="28">
        <f t="shared" ref="W46:W51" si="8">V46+U46</f>
        <v>741</v>
      </c>
    </row>
    <row r="47" spans="1:24" ht="36.75" hidden="1" customHeight="1" thickTop="1" thickBot="1">
      <c r="A47" s="315"/>
      <c r="B47" s="26" t="s">
        <v>51</v>
      </c>
      <c r="C47" s="29"/>
      <c r="D47" s="29"/>
      <c r="E47" s="28">
        <f>'الفنون الجميلة'!BN10</f>
        <v>1</v>
      </c>
      <c r="F47" s="28">
        <f>'الفنون الجميلة'!BO10</f>
        <v>32</v>
      </c>
      <c r="G47" s="28">
        <f>'الفنون الجميلة'!BP10</f>
        <v>55</v>
      </c>
      <c r="H47" s="28">
        <f>'الفنون الجميلة'!BQ10</f>
        <v>40</v>
      </c>
      <c r="I47" s="28">
        <f>'الفنون الجميلة'!BR10</f>
        <v>41</v>
      </c>
      <c r="J47" s="28">
        <f>'الفنون الجميلة'!BS10</f>
        <v>20</v>
      </c>
      <c r="K47" s="28">
        <f>'الفنون الجميلة'!BT10</f>
        <v>4</v>
      </c>
      <c r="L47" s="28">
        <f>'الفنون الجميلة'!BU10</f>
        <v>17</v>
      </c>
      <c r="M47" s="28">
        <f>'الفنون الجميلة'!BV10</f>
        <v>0</v>
      </c>
      <c r="N47" s="28">
        <f>'الفنون الجميلة'!BW10</f>
        <v>11</v>
      </c>
      <c r="O47" s="28">
        <f>'الفنون الجميلة'!BX10</f>
        <v>0</v>
      </c>
      <c r="P47" s="28">
        <f>'الفنون الجميلة'!BY10</f>
        <v>5</v>
      </c>
      <c r="Q47" s="28">
        <f>'الفنون الجميلة'!BZ10</f>
        <v>0</v>
      </c>
      <c r="R47" s="28">
        <f>'الفنون الجميلة'!CA10</f>
        <v>1</v>
      </c>
      <c r="S47" s="28">
        <f>'الفنون الجميلة'!CB10</f>
        <v>124</v>
      </c>
      <c r="T47" s="28">
        <f>'الفنون الجميلة'!CC10</f>
        <v>231</v>
      </c>
      <c r="U47" s="28">
        <f t="shared" si="6"/>
        <v>225</v>
      </c>
      <c r="V47" s="28">
        <f t="shared" si="7"/>
        <v>357</v>
      </c>
      <c r="W47" s="28">
        <f t="shared" si="8"/>
        <v>582</v>
      </c>
    </row>
    <row r="48" spans="1:24" ht="36.75" hidden="1" customHeight="1" thickTop="1" thickBot="1">
      <c r="A48" s="315"/>
      <c r="B48" s="26" t="s">
        <v>52</v>
      </c>
      <c r="C48" s="29"/>
      <c r="D48" s="29"/>
      <c r="E48" s="29"/>
      <c r="F48" s="29"/>
      <c r="G48" s="28">
        <f>'الفنون الجميلة'!CG10</f>
        <v>4</v>
      </c>
      <c r="H48" s="28">
        <f>'الفنون الجميلة'!CH10</f>
        <v>31</v>
      </c>
      <c r="I48" s="28">
        <f>'الفنون الجميلة'!CI10</f>
        <v>20</v>
      </c>
      <c r="J48" s="28">
        <f>'الفنون الجميلة'!CJ10</f>
        <v>17</v>
      </c>
      <c r="K48" s="28">
        <f>'الفنون الجميلة'!CK10</f>
        <v>31</v>
      </c>
      <c r="L48" s="28">
        <f>'الفنون الجميلة'!CL10</f>
        <v>21</v>
      </c>
      <c r="M48" s="28">
        <f>'الفنون الجميلة'!CM10</f>
        <v>22</v>
      </c>
      <c r="N48" s="28">
        <f>'الفنون الجميلة'!CN10</f>
        <v>9</v>
      </c>
      <c r="O48" s="28">
        <f>'الفنون الجميلة'!CO10</f>
        <v>6</v>
      </c>
      <c r="P48" s="28">
        <f>'الفنون الجميلة'!CP10</f>
        <v>8</v>
      </c>
      <c r="Q48" s="28">
        <f>'الفنون الجميلة'!CQ10</f>
        <v>5</v>
      </c>
      <c r="R48" s="28">
        <f>'الفنون الجميلة'!CR10</f>
        <v>5</v>
      </c>
      <c r="S48" s="28">
        <f>'الفنون الجميلة'!CS10</f>
        <v>125</v>
      </c>
      <c r="T48" s="28">
        <f>'الفنون الجميلة'!CT10</f>
        <v>197</v>
      </c>
      <c r="U48" s="28">
        <f t="shared" si="6"/>
        <v>213</v>
      </c>
      <c r="V48" s="28">
        <f t="shared" si="7"/>
        <v>288</v>
      </c>
      <c r="W48" s="28">
        <f t="shared" si="8"/>
        <v>501</v>
      </c>
    </row>
    <row r="49" spans="1:23" ht="36.75" hidden="1" customHeight="1" thickTop="1" thickBot="1">
      <c r="A49" s="315"/>
      <c r="B49" s="26" t="s">
        <v>142</v>
      </c>
      <c r="C49" s="29"/>
      <c r="D49" s="29"/>
      <c r="E49" s="29"/>
      <c r="F49" s="29"/>
      <c r="G49" s="29"/>
      <c r="H49" s="29"/>
      <c r="I49" s="28">
        <f>'الفنون الجميلة'!CX10</f>
        <v>3</v>
      </c>
      <c r="J49" s="28">
        <f>'الفنون الجميلة'!CY10</f>
        <v>6</v>
      </c>
      <c r="K49" s="28">
        <f>'الفنون الجميلة'!CZ10</f>
        <v>15</v>
      </c>
      <c r="L49" s="28">
        <f>'الفنون الجميلة'!DA10</f>
        <v>24</v>
      </c>
      <c r="M49" s="28">
        <f>'الفنون الجميلة'!DB10</f>
        <v>23</v>
      </c>
      <c r="N49" s="28">
        <f>'الفنون الجميلة'!DC10</f>
        <v>19</v>
      </c>
      <c r="O49" s="28">
        <f>'الفنون الجميلة'!DD10</f>
        <v>12</v>
      </c>
      <c r="P49" s="28">
        <f>'الفنون الجميلة'!DE10</f>
        <v>8</v>
      </c>
      <c r="Q49" s="28">
        <f>'الفنون الجميلة'!DF10</f>
        <v>14</v>
      </c>
      <c r="R49" s="28">
        <f>'الفنون الجميلة'!DG10</f>
        <v>5</v>
      </c>
      <c r="S49" s="28">
        <f>'الفنون الجميلة'!DH10</f>
        <v>8</v>
      </c>
      <c r="T49" s="28">
        <f>'الفنون الجميلة'!DI10</f>
        <v>6</v>
      </c>
      <c r="U49" s="28">
        <f t="shared" si="6"/>
        <v>75</v>
      </c>
      <c r="V49" s="28">
        <f t="shared" si="7"/>
        <v>68</v>
      </c>
      <c r="W49" s="28">
        <f t="shared" si="8"/>
        <v>143</v>
      </c>
    </row>
    <row r="50" spans="1:23" ht="36.75" hidden="1" customHeight="1" thickTop="1" thickBot="1">
      <c r="A50" s="315"/>
      <c r="B50" s="26" t="s">
        <v>77</v>
      </c>
      <c r="C50" s="29"/>
      <c r="D50" s="29"/>
      <c r="E50" s="29"/>
      <c r="F50" s="29"/>
      <c r="G50" s="29"/>
      <c r="H50" s="29"/>
      <c r="I50" s="29"/>
      <c r="J50" s="29"/>
      <c r="K50" s="28">
        <f>'الفنون الجميلة'!DM10</f>
        <v>2</v>
      </c>
      <c r="L50" s="28">
        <f>'الفنون الجميلة'!DN10</f>
        <v>4</v>
      </c>
      <c r="M50" s="28">
        <f>'الفنون الجميلة'!DO10</f>
        <v>14</v>
      </c>
      <c r="N50" s="28">
        <f>'الفنون الجميلة'!DP10</f>
        <v>30</v>
      </c>
      <c r="O50" s="28">
        <f>'الفنون الجميلة'!DQ10</f>
        <v>16</v>
      </c>
      <c r="P50" s="28">
        <f>'الفنون الجميلة'!DR10</f>
        <v>8</v>
      </c>
      <c r="Q50" s="28">
        <f>'الفنون الجميلة'!DS10</f>
        <v>22</v>
      </c>
      <c r="R50" s="28">
        <f>'الفنون الجميلة'!DT10</f>
        <v>8</v>
      </c>
      <c r="S50" s="28">
        <f>'الفنون الجميلة'!DU10</f>
        <v>15</v>
      </c>
      <c r="T50" s="28">
        <f>'الفنون الجميلة'!DV10</f>
        <v>28</v>
      </c>
      <c r="U50" s="28">
        <f t="shared" si="6"/>
        <v>69</v>
      </c>
      <c r="V50" s="28">
        <f t="shared" si="7"/>
        <v>78</v>
      </c>
      <c r="W50" s="28">
        <f t="shared" si="8"/>
        <v>147</v>
      </c>
    </row>
    <row r="51" spans="1:23" ht="36.75" hidden="1" customHeight="1" thickTop="1" thickBot="1">
      <c r="A51" s="316"/>
      <c r="B51" s="28" t="s">
        <v>143</v>
      </c>
      <c r="C51" s="4">
        <f>C50+C49+C48+C47+C46</f>
        <v>1</v>
      </c>
      <c r="D51" s="4">
        <f t="shared" ref="D51:T51" si="9">D50+D49+D48+D47+D46</f>
        <v>5</v>
      </c>
      <c r="E51" s="4">
        <f t="shared" si="9"/>
        <v>48</v>
      </c>
      <c r="F51" s="4">
        <f t="shared" si="9"/>
        <v>89</v>
      </c>
      <c r="G51" s="4">
        <f t="shared" si="9"/>
        <v>104</v>
      </c>
      <c r="H51" s="4">
        <f t="shared" si="9"/>
        <v>118</v>
      </c>
      <c r="I51" s="4">
        <f t="shared" si="9"/>
        <v>77</v>
      </c>
      <c r="J51" s="4">
        <f t="shared" si="9"/>
        <v>72</v>
      </c>
      <c r="K51" s="4">
        <f t="shared" si="9"/>
        <v>57</v>
      </c>
      <c r="L51" s="4">
        <f t="shared" si="9"/>
        <v>77</v>
      </c>
      <c r="M51" s="4">
        <f t="shared" si="9"/>
        <v>63</v>
      </c>
      <c r="N51" s="4">
        <f t="shared" si="9"/>
        <v>83</v>
      </c>
      <c r="O51" s="4">
        <f t="shared" si="9"/>
        <v>34</v>
      </c>
      <c r="P51" s="4">
        <f t="shared" si="9"/>
        <v>33</v>
      </c>
      <c r="Q51" s="4">
        <f t="shared" si="9"/>
        <v>41</v>
      </c>
      <c r="R51" s="4">
        <f t="shared" si="9"/>
        <v>19</v>
      </c>
      <c r="S51" s="4">
        <f t="shared" si="9"/>
        <v>453</v>
      </c>
      <c r="T51" s="4">
        <f t="shared" si="9"/>
        <v>740</v>
      </c>
      <c r="U51" s="28">
        <f t="shared" si="6"/>
        <v>878</v>
      </c>
      <c r="V51" s="28">
        <f t="shared" si="7"/>
        <v>1236</v>
      </c>
      <c r="W51" s="28">
        <f t="shared" si="8"/>
        <v>2114</v>
      </c>
    </row>
    <row r="52" spans="1:23" ht="21.6" hidden="1" thickTop="1">
      <c r="A52" s="88"/>
      <c r="B52" s="3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36"/>
      <c r="V52" s="36"/>
      <c r="W52" s="36"/>
    </row>
    <row r="53" spans="1:23" ht="36.75" hidden="1" customHeight="1">
      <c r="A53" s="88"/>
      <c r="B53" s="36"/>
      <c r="C53" s="7"/>
      <c r="D53" s="7"/>
      <c r="E53" s="7"/>
      <c r="F53" s="311" t="s">
        <v>144</v>
      </c>
      <c r="G53" s="311"/>
      <c r="H53" s="311"/>
      <c r="I53" s="311"/>
      <c r="J53" s="311"/>
      <c r="K53" s="311"/>
      <c r="L53" s="311"/>
      <c r="M53" s="7"/>
      <c r="N53" s="7"/>
      <c r="O53" s="7"/>
      <c r="P53" s="7"/>
      <c r="Q53" s="7"/>
      <c r="R53" s="7"/>
      <c r="S53" s="7"/>
      <c r="T53" s="7"/>
      <c r="U53" s="36"/>
      <c r="V53" s="36"/>
      <c r="W53" s="36"/>
    </row>
    <row r="54" spans="1:23" ht="36.75" hidden="1" customHeight="1">
      <c r="F54" s="311" t="s">
        <v>431</v>
      </c>
      <c r="G54" s="311"/>
      <c r="H54" s="311"/>
      <c r="I54" s="311"/>
      <c r="J54" s="311"/>
      <c r="K54" s="311"/>
      <c r="L54" s="311"/>
    </row>
    <row r="55" spans="1:23" ht="36.75" hidden="1" customHeight="1">
      <c r="F55" s="311" t="s">
        <v>382</v>
      </c>
      <c r="G55" s="311"/>
      <c r="H55" s="311"/>
      <c r="I55" s="311"/>
      <c r="J55" s="311"/>
      <c r="K55" s="311"/>
      <c r="L55" s="311"/>
    </row>
    <row r="56" spans="1:23" ht="36.75" hidden="1" customHeight="1" thickBot="1">
      <c r="F56" s="3"/>
      <c r="G56" s="25"/>
      <c r="H56" s="25"/>
      <c r="I56" s="25"/>
      <c r="J56" s="25"/>
      <c r="K56" s="25"/>
      <c r="L56" s="25"/>
    </row>
    <row r="57" spans="1:23" ht="36.75" hidden="1" customHeight="1" thickTop="1" thickBot="1">
      <c r="F57" s="372"/>
      <c r="G57" s="373"/>
      <c r="H57" s="353" t="s">
        <v>145</v>
      </c>
      <c r="I57" s="354"/>
      <c r="J57" s="354"/>
      <c r="K57" s="355"/>
      <c r="L57" s="3"/>
    </row>
    <row r="58" spans="1:23" ht="36.75" hidden="1" customHeight="1" thickTop="1" thickBot="1">
      <c r="F58" s="374"/>
      <c r="G58" s="375"/>
      <c r="H58" s="27" t="s">
        <v>4</v>
      </c>
      <c r="I58" s="27" t="s">
        <v>5</v>
      </c>
      <c r="J58" s="27" t="s">
        <v>6</v>
      </c>
      <c r="K58" s="27" t="s">
        <v>20</v>
      </c>
      <c r="L58" s="3"/>
    </row>
    <row r="59" spans="1:23" ht="36.75" hidden="1" customHeight="1" thickTop="1" thickBot="1">
      <c r="F59" s="314" t="s">
        <v>80</v>
      </c>
      <c r="G59" s="5" t="s">
        <v>50</v>
      </c>
      <c r="H59" s="27">
        <f>'الفنون الجميلة'!FJ10</f>
        <v>12</v>
      </c>
      <c r="I59" s="27">
        <f>'الفنون الجميلة'!FK10</f>
        <v>12</v>
      </c>
      <c r="J59" s="27">
        <f>'الفنون الجميلة'!FL10</f>
        <v>0</v>
      </c>
      <c r="K59" s="27">
        <f>J59+I59+H59</f>
        <v>24</v>
      </c>
      <c r="L59" s="3"/>
    </row>
    <row r="60" spans="1:23" ht="36.75" hidden="1" customHeight="1" thickTop="1" thickBot="1">
      <c r="F60" s="315"/>
      <c r="G60" s="5" t="s">
        <v>51</v>
      </c>
      <c r="H60" s="27">
        <f>'الفنون الجميلة'!FM10</f>
        <v>12</v>
      </c>
      <c r="I60" s="27">
        <f>'الفنون الجميلة'!FN10</f>
        <v>10</v>
      </c>
      <c r="J60" s="27">
        <f>'الفنون الجميلة'!FO10</f>
        <v>0</v>
      </c>
      <c r="K60" s="27">
        <f>J60+I60+H60</f>
        <v>22</v>
      </c>
      <c r="L60" s="3"/>
    </row>
    <row r="61" spans="1:23" ht="36.75" hidden="1" customHeight="1" thickTop="1" thickBot="1">
      <c r="F61" s="315"/>
      <c r="G61" s="5" t="s">
        <v>52</v>
      </c>
      <c r="H61" s="27">
        <f>'الفنون الجميلة'!FP10</f>
        <v>13</v>
      </c>
      <c r="I61" s="27">
        <f>'الفنون الجميلة'!FQ10</f>
        <v>10</v>
      </c>
      <c r="J61" s="27">
        <f>'الفنون الجميلة'!FR10</f>
        <v>0</v>
      </c>
      <c r="K61" s="27">
        <f>J61+I61+H61</f>
        <v>23</v>
      </c>
      <c r="L61" s="3"/>
    </row>
    <row r="62" spans="1:23" ht="36.75" hidden="1" customHeight="1" thickTop="1" thickBot="1">
      <c r="F62" s="315"/>
      <c r="G62" s="5" t="s">
        <v>142</v>
      </c>
      <c r="H62" s="27">
        <f>'الفنون الجميلة'!FS10</f>
        <v>5</v>
      </c>
      <c r="I62" s="27">
        <f>'الفنون الجميلة'!FT10</f>
        <v>4</v>
      </c>
      <c r="J62" s="27">
        <f>'الفنون الجميلة'!FU10</f>
        <v>0</v>
      </c>
      <c r="K62" s="27">
        <f>J62+I62+H62</f>
        <v>9</v>
      </c>
      <c r="L62" s="3"/>
    </row>
    <row r="63" spans="1:23" ht="36.75" hidden="1" customHeight="1" thickTop="1" thickBot="1">
      <c r="F63" s="315"/>
      <c r="G63" s="5" t="s">
        <v>77</v>
      </c>
      <c r="H63" s="27">
        <f>'الفنون الجميلة'!FV10</f>
        <v>5</v>
      </c>
      <c r="I63" s="27">
        <f>'الفنون الجميلة'!FW10</f>
        <v>4</v>
      </c>
      <c r="J63" s="27">
        <f>'الفنون الجميلة'!FX10</f>
        <v>0</v>
      </c>
      <c r="K63" s="27">
        <f>J63+I63+H63</f>
        <v>9</v>
      </c>
      <c r="L63" s="3"/>
    </row>
    <row r="64" spans="1:23" ht="36.75" hidden="1" customHeight="1" thickTop="1" thickBot="1">
      <c r="F64" s="316"/>
      <c r="G64" s="27" t="s">
        <v>143</v>
      </c>
      <c r="H64" s="4">
        <f>H63+H62+H61+H60+H59</f>
        <v>47</v>
      </c>
      <c r="I64" s="4">
        <f>I63+I62+I61+I60+I59</f>
        <v>40</v>
      </c>
      <c r="J64" s="4">
        <f>J63+J62+J61+J60+J59</f>
        <v>0</v>
      </c>
      <c r="K64" s="4">
        <f>K63+K62+K61+K60+K59</f>
        <v>87</v>
      </c>
      <c r="L64" s="3"/>
    </row>
    <row r="65" spans="1:24" ht="36.75" hidden="1" customHeight="1" thickTop="1"/>
    <row r="66" spans="1:24" s="16" customFormat="1" ht="36.75" hidden="1" customHeight="1">
      <c r="B66" s="65"/>
      <c r="C66" s="65"/>
      <c r="D66" s="65"/>
      <c r="E66" s="311" t="s">
        <v>177</v>
      </c>
      <c r="F66" s="311"/>
      <c r="G66" s="311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17"/>
      <c r="S66" s="17"/>
      <c r="T66" s="17"/>
    </row>
    <row r="67" spans="1:24" s="16" customFormat="1" ht="29.25" hidden="1" customHeight="1">
      <c r="B67" s="65"/>
      <c r="C67" s="65"/>
      <c r="D67" s="65"/>
      <c r="E67" s="311" t="s">
        <v>431</v>
      </c>
      <c r="F67" s="311"/>
      <c r="G67" s="311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37"/>
      <c r="S67" s="37"/>
      <c r="T67" s="37"/>
    </row>
    <row r="68" spans="1:24" s="16" customFormat="1" ht="29.25" hidden="1" customHeight="1" thickBot="1">
      <c r="B68" s="65"/>
      <c r="C68" s="65"/>
      <c r="D68" s="65"/>
      <c r="E68" s="368" t="s">
        <v>417</v>
      </c>
      <c r="F68" s="368"/>
      <c r="G68" s="368"/>
      <c r="H68" s="368"/>
      <c r="I68" s="368"/>
      <c r="J68" s="65"/>
      <c r="K68" s="65"/>
      <c r="L68" s="65"/>
      <c r="M68" s="65"/>
      <c r="N68" s="65"/>
      <c r="O68" s="65"/>
      <c r="P68" s="65"/>
      <c r="Q68" s="65"/>
      <c r="R68" s="37"/>
      <c r="S68" s="37"/>
      <c r="T68" s="37"/>
    </row>
    <row r="69" spans="1:24" s="35" customFormat="1" ht="56.25" hidden="1" customHeight="1" thickTop="1" thickBot="1">
      <c r="A69" s="342"/>
      <c r="B69" s="345" t="s">
        <v>266</v>
      </c>
      <c r="C69" s="365" t="s">
        <v>433</v>
      </c>
      <c r="D69" s="366"/>
      <c r="E69" s="367"/>
      <c r="F69" s="369" t="s">
        <v>418</v>
      </c>
      <c r="G69" s="370"/>
      <c r="H69" s="371"/>
      <c r="I69" s="309" t="s">
        <v>419</v>
      </c>
      <c r="J69" s="322"/>
      <c r="K69" s="322"/>
      <c r="L69" s="322"/>
      <c r="M69" s="322"/>
      <c r="N69" s="322"/>
      <c r="O69" s="322"/>
      <c r="P69" s="322"/>
      <c r="Q69" s="310"/>
      <c r="R69" s="36"/>
      <c r="S69" s="36"/>
      <c r="T69" s="36"/>
      <c r="U69" s="36"/>
      <c r="V69" s="36"/>
      <c r="W69" s="36"/>
      <c r="X69" s="36"/>
    </row>
    <row r="70" spans="1:24" s="35" customFormat="1" ht="48.75" hidden="1" customHeight="1" thickTop="1" thickBot="1">
      <c r="A70" s="343"/>
      <c r="B70" s="346"/>
      <c r="C70" s="332" t="s">
        <v>4</v>
      </c>
      <c r="D70" s="332" t="s">
        <v>5</v>
      </c>
      <c r="E70" s="332" t="s">
        <v>20</v>
      </c>
      <c r="F70" s="332" t="s">
        <v>4</v>
      </c>
      <c r="G70" s="332" t="s">
        <v>5</v>
      </c>
      <c r="H70" s="332" t="s">
        <v>20</v>
      </c>
      <c r="I70" s="348" t="s">
        <v>146</v>
      </c>
      <c r="J70" s="349"/>
      <c r="K70" s="348" t="s">
        <v>147</v>
      </c>
      <c r="L70" s="349"/>
      <c r="M70" s="348" t="s">
        <v>148</v>
      </c>
      <c r="N70" s="349"/>
      <c r="O70" s="338" t="s">
        <v>20</v>
      </c>
      <c r="P70" s="338"/>
      <c r="Q70" s="338"/>
      <c r="R70" s="36"/>
      <c r="S70" s="36"/>
      <c r="T70" s="36"/>
      <c r="U70" s="36"/>
      <c r="V70" s="36"/>
    </row>
    <row r="71" spans="1:24" s="35" customFormat="1" ht="48.75" hidden="1" customHeight="1" thickTop="1" thickBot="1">
      <c r="A71" s="344"/>
      <c r="B71" s="347"/>
      <c r="C71" s="333"/>
      <c r="D71" s="333"/>
      <c r="E71" s="333"/>
      <c r="F71" s="333"/>
      <c r="G71" s="333"/>
      <c r="H71" s="333"/>
      <c r="I71" s="28" t="s">
        <v>4</v>
      </c>
      <c r="J71" s="28" t="s">
        <v>5</v>
      </c>
      <c r="K71" s="28" t="s">
        <v>4</v>
      </c>
      <c r="L71" s="28" t="s">
        <v>5</v>
      </c>
      <c r="M71" s="28" t="s">
        <v>4</v>
      </c>
      <c r="N71" s="28" t="s">
        <v>5</v>
      </c>
      <c r="O71" s="28" t="s">
        <v>4</v>
      </c>
      <c r="P71" s="28" t="s">
        <v>5</v>
      </c>
      <c r="Q71" s="28" t="s">
        <v>20</v>
      </c>
      <c r="R71" s="36"/>
      <c r="S71" s="36"/>
      <c r="T71" s="36"/>
      <c r="U71" s="36"/>
      <c r="V71" s="36"/>
    </row>
    <row r="72" spans="1:24" s="35" customFormat="1" ht="48.75" hidden="1" customHeight="1" thickTop="1" thickBot="1">
      <c r="A72" s="314" t="s">
        <v>80</v>
      </c>
      <c r="B72" s="31" t="s">
        <v>50</v>
      </c>
      <c r="C72" s="13">
        <f>'الفنون الجميلة'!GC10</f>
        <v>28</v>
      </c>
      <c r="D72" s="13">
        <f>'الفنون الجميلة'!GD10</f>
        <v>6</v>
      </c>
      <c r="E72" s="13">
        <f>D72+C72</f>
        <v>34</v>
      </c>
      <c r="F72" s="46">
        <f>'الفنون الجميلة'!HC10</f>
        <v>219</v>
      </c>
      <c r="G72" s="46">
        <f>'الفنون الجميلة'!HD10</f>
        <v>339</v>
      </c>
      <c r="H72" s="46">
        <f>G72+F72</f>
        <v>558</v>
      </c>
      <c r="I72" s="46">
        <f>'الفنون الجميلة'!HP10</f>
        <v>8</v>
      </c>
      <c r="J72" s="46">
        <f>'الفنون الجميلة'!HQ10</f>
        <v>7</v>
      </c>
      <c r="K72" s="46">
        <f>'الفنون الجميلة'!IC10</f>
        <v>1</v>
      </c>
      <c r="L72" s="46">
        <f>'الفنون الجميلة'!ID10</f>
        <v>15</v>
      </c>
      <c r="M72" s="46">
        <f>'الفنون الجميلة'!IP10</f>
        <v>0</v>
      </c>
      <c r="N72" s="46">
        <f>'الفنون الجميلة'!IQ10</f>
        <v>0</v>
      </c>
      <c r="O72" s="46">
        <f t="shared" ref="O72:P76" si="10">M72+K72+I72</f>
        <v>9</v>
      </c>
      <c r="P72" s="46">
        <f t="shared" si="10"/>
        <v>22</v>
      </c>
      <c r="Q72" s="46">
        <f>P72+O72</f>
        <v>31</v>
      </c>
      <c r="R72" s="36"/>
      <c r="S72" s="36"/>
      <c r="T72" s="36"/>
      <c r="U72" s="36"/>
      <c r="V72" s="36"/>
    </row>
    <row r="73" spans="1:24" s="35" customFormat="1" ht="48.75" hidden="1" customHeight="1" thickTop="1" thickBot="1">
      <c r="A73" s="315"/>
      <c r="B73" s="31" t="s">
        <v>51</v>
      </c>
      <c r="C73" s="13">
        <f>'الفنون الجميلة'!GE10</f>
        <v>4</v>
      </c>
      <c r="D73" s="13">
        <f>'الفنون الجميلة'!GF10</f>
        <v>12</v>
      </c>
      <c r="E73" s="13">
        <f>D73+C73</f>
        <v>16</v>
      </c>
      <c r="F73" s="46">
        <f>'الفنون الجميلة'!HE10</f>
        <v>208</v>
      </c>
      <c r="G73" s="46">
        <f>'الفنون الجميلة'!HF10</f>
        <v>288</v>
      </c>
      <c r="H73" s="46">
        <f>G73+F73</f>
        <v>496</v>
      </c>
      <c r="I73" s="46">
        <f>'الفنون الجميلة'!HR10</f>
        <v>5</v>
      </c>
      <c r="J73" s="46">
        <f>'الفنون الجميلة'!HS10</f>
        <v>4</v>
      </c>
      <c r="K73" s="46">
        <f>'الفنون الجميلة'!IE10</f>
        <v>0</v>
      </c>
      <c r="L73" s="46">
        <f>'الفنون الجميلة'!IF10</f>
        <v>13</v>
      </c>
      <c r="M73" s="46">
        <f>'الفنون الجميلة'!IR10</f>
        <v>0</v>
      </c>
      <c r="N73" s="46">
        <f>'الفنون الجميلة'!IS10</f>
        <v>0</v>
      </c>
      <c r="O73" s="46">
        <f t="shared" si="10"/>
        <v>5</v>
      </c>
      <c r="P73" s="46">
        <f t="shared" si="10"/>
        <v>17</v>
      </c>
      <c r="Q73" s="46">
        <f>P73+O73</f>
        <v>22</v>
      </c>
      <c r="R73" s="36"/>
      <c r="S73" s="36"/>
      <c r="T73" s="36"/>
      <c r="U73" s="36"/>
      <c r="V73" s="36"/>
    </row>
    <row r="74" spans="1:24" s="35" customFormat="1" ht="48.75" hidden="1" customHeight="1" thickTop="1" thickBot="1">
      <c r="A74" s="315"/>
      <c r="B74" s="31" t="s">
        <v>52</v>
      </c>
      <c r="C74" s="13">
        <f>'الفنون الجميلة'!GG10</f>
        <v>1</v>
      </c>
      <c r="D74" s="13">
        <f>'الفنون الجميلة'!GH10</f>
        <v>2</v>
      </c>
      <c r="E74" s="13">
        <f>D74+C74</f>
        <v>3</v>
      </c>
      <c r="F74" s="46">
        <f>'الفنون الجميلة'!HG10</f>
        <v>72</v>
      </c>
      <c r="G74" s="46">
        <f>'الفنون الجميلة'!HH10</f>
        <v>66</v>
      </c>
      <c r="H74" s="46">
        <f>G74+F74</f>
        <v>138</v>
      </c>
      <c r="I74" s="46">
        <f>'الفنون الجميلة'!HT10</f>
        <v>7</v>
      </c>
      <c r="J74" s="46">
        <f>'الفنون الجميلة'!HU10</f>
        <v>1</v>
      </c>
      <c r="K74" s="46">
        <f>'الفنون الجميلة'!IG10</f>
        <v>0</v>
      </c>
      <c r="L74" s="46">
        <f>'الفنون الجميلة'!IH10</f>
        <v>1</v>
      </c>
      <c r="M74" s="46">
        <f>'الفنون الجميلة'!IT10</f>
        <v>0</v>
      </c>
      <c r="N74" s="46">
        <f>'الفنون الجميلة'!IU10</f>
        <v>0</v>
      </c>
      <c r="O74" s="46">
        <f t="shared" si="10"/>
        <v>7</v>
      </c>
      <c r="P74" s="46">
        <f t="shared" si="10"/>
        <v>2</v>
      </c>
      <c r="Q74" s="46">
        <f>P74+O74</f>
        <v>9</v>
      </c>
      <c r="R74" s="36"/>
      <c r="S74" s="36"/>
      <c r="T74" s="36"/>
      <c r="U74" s="36"/>
      <c r="V74" s="36"/>
    </row>
    <row r="75" spans="1:24" s="35" customFormat="1" ht="48.75" hidden="1" customHeight="1" thickTop="1" thickBot="1">
      <c r="A75" s="315"/>
      <c r="B75" s="31" t="s">
        <v>142</v>
      </c>
      <c r="C75" s="13">
        <f>'الفنون الجميلة'!GI10</f>
        <v>0</v>
      </c>
      <c r="D75" s="13">
        <f>'الفنون الجميلة'!GJ10</f>
        <v>0</v>
      </c>
      <c r="E75" s="13">
        <f>D75+C75</f>
        <v>0</v>
      </c>
      <c r="F75" s="46">
        <f>'الفنون الجميلة'!HI10</f>
        <v>69</v>
      </c>
      <c r="G75" s="46">
        <f>'الفنون الجميلة'!HJ10</f>
        <v>78</v>
      </c>
      <c r="H75" s="46">
        <f>G75+F75</f>
        <v>147</v>
      </c>
      <c r="I75" s="46">
        <f>'الفنون الجميلة'!HV10</f>
        <v>5</v>
      </c>
      <c r="J75" s="46">
        <f>'الفنون الجميلة'!HW10</f>
        <v>0</v>
      </c>
      <c r="K75" s="46">
        <f>'الفنون الجميلة'!II10</f>
        <v>1</v>
      </c>
      <c r="L75" s="46">
        <f>'الفنون الجميلة'!IJ10</f>
        <v>0</v>
      </c>
      <c r="M75" s="46">
        <f>'الفنون الجميلة'!IV10</f>
        <v>0</v>
      </c>
      <c r="N75" s="46">
        <f>'الفنون الجميلة'!IW10</f>
        <v>0</v>
      </c>
      <c r="O75" s="46">
        <f t="shared" si="10"/>
        <v>6</v>
      </c>
      <c r="P75" s="46">
        <f t="shared" si="10"/>
        <v>0</v>
      </c>
      <c r="Q75" s="46">
        <f>P75+O75</f>
        <v>6</v>
      </c>
      <c r="R75" s="36"/>
      <c r="S75" s="36"/>
      <c r="T75" s="36"/>
      <c r="U75" s="36"/>
      <c r="V75" s="36"/>
    </row>
    <row r="76" spans="1:24" s="35" customFormat="1" ht="48.75" hidden="1" customHeight="1" thickTop="1" thickBot="1">
      <c r="A76" s="315"/>
      <c r="B76" s="31" t="s">
        <v>77</v>
      </c>
      <c r="C76" s="13">
        <f>'الفنون الجميلة'!GK10</f>
        <v>0</v>
      </c>
      <c r="D76" s="13">
        <f>'الفنون الجميلة'!GL10</f>
        <v>0</v>
      </c>
      <c r="E76" s="13">
        <f>D76+C76</f>
        <v>0</v>
      </c>
      <c r="F76" s="46">
        <f>'الفنون الجميلة'!HK10</f>
        <v>109</v>
      </c>
      <c r="G76" s="46">
        <f>'الفنون الجميلة'!HL10</f>
        <v>101</v>
      </c>
      <c r="H76" s="46">
        <f>G76+F76</f>
        <v>210</v>
      </c>
      <c r="I76" s="46">
        <f>'الفنون الجميلة'!HX10</f>
        <v>0</v>
      </c>
      <c r="J76" s="46">
        <f>'الفنون الجميلة'!HY10</f>
        <v>0</v>
      </c>
      <c r="K76" s="46">
        <f>'الفنون الجميلة'!IK10</f>
        <v>0</v>
      </c>
      <c r="L76" s="46">
        <f>'الفنون الجميلة'!IL10</f>
        <v>0</v>
      </c>
      <c r="M76" s="46">
        <f>'الفنون الجميلة'!IX10</f>
        <v>0</v>
      </c>
      <c r="N76" s="46">
        <f>'الفنون الجميلة'!IY10</f>
        <v>0</v>
      </c>
      <c r="O76" s="46">
        <f t="shared" si="10"/>
        <v>0</v>
      </c>
      <c r="P76" s="46">
        <f t="shared" si="10"/>
        <v>0</v>
      </c>
      <c r="Q76" s="46">
        <f>P76+O76</f>
        <v>0</v>
      </c>
      <c r="R76" s="36"/>
      <c r="S76" s="36"/>
      <c r="T76" s="36"/>
      <c r="U76" s="36"/>
      <c r="V76" s="36"/>
    </row>
    <row r="77" spans="1:24" s="35" customFormat="1" ht="48.75" hidden="1" customHeight="1" thickTop="1" thickBot="1">
      <c r="A77" s="316"/>
      <c r="B77" s="28" t="s">
        <v>143</v>
      </c>
      <c r="C77" s="47">
        <f t="shared" ref="C77:Q77" si="11">C76+C75+C74+C73+C72</f>
        <v>33</v>
      </c>
      <c r="D77" s="47">
        <f t="shared" si="11"/>
        <v>20</v>
      </c>
      <c r="E77" s="47">
        <f t="shared" si="11"/>
        <v>53</v>
      </c>
      <c r="F77" s="47">
        <f t="shared" si="11"/>
        <v>677</v>
      </c>
      <c r="G77" s="47">
        <f t="shared" si="11"/>
        <v>872</v>
      </c>
      <c r="H77" s="47">
        <f t="shared" si="11"/>
        <v>1549</v>
      </c>
      <c r="I77" s="47">
        <f t="shared" si="11"/>
        <v>25</v>
      </c>
      <c r="J77" s="47">
        <f t="shared" si="11"/>
        <v>12</v>
      </c>
      <c r="K77" s="47">
        <f t="shared" si="11"/>
        <v>2</v>
      </c>
      <c r="L77" s="47">
        <f t="shared" si="11"/>
        <v>29</v>
      </c>
      <c r="M77" s="47">
        <f t="shared" si="11"/>
        <v>0</v>
      </c>
      <c r="N77" s="47">
        <f t="shared" si="11"/>
        <v>0</v>
      </c>
      <c r="O77" s="47">
        <f t="shared" si="11"/>
        <v>27</v>
      </c>
      <c r="P77" s="47">
        <f t="shared" si="11"/>
        <v>41</v>
      </c>
      <c r="Q77" s="47">
        <f t="shared" si="11"/>
        <v>68</v>
      </c>
      <c r="R77" s="7"/>
      <c r="S77" s="7"/>
      <c r="T77" s="36"/>
      <c r="U77" s="36"/>
      <c r="V77" s="36"/>
    </row>
    <row r="78" spans="1:24" ht="21.6" thickTop="1"/>
  </sheetData>
  <mergeCells count="118">
    <mergeCell ref="A69:A71"/>
    <mergeCell ref="I70:J70"/>
    <mergeCell ref="K70:L70"/>
    <mergeCell ref="M70:N70"/>
    <mergeCell ref="O70:Q70"/>
    <mergeCell ref="E70:E71"/>
    <mergeCell ref="F54:L54"/>
    <mergeCell ref="F53:L53"/>
    <mergeCell ref="A72:A77"/>
    <mergeCell ref="C69:E69"/>
    <mergeCell ref="C70:C71"/>
    <mergeCell ref="D70:D71"/>
    <mergeCell ref="E66:G66"/>
    <mergeCell ref="E67:G67"/>
    <mergeCell ref="E68:I68"/>
    <mergeCell ref="B69:B71"/>
    <mergeCell ref="F69:H69"/>
    <mergeCell ref="I69:Q69"/>
    <mergeCell ref="F70:F71"/>
    <mergeCell ref="G70:G71"/>
    <mergeCell ref="H70:H71"/>
    <mergeCell ref="F55:L55"/>
    <mergeCell ref="F59:F64"/>
    <mergeCell ref="F57:G58"/>
    <mergeCell ref="A26:Q26"/>
    <mergeCell ref="A27:Q27"/>
    <mergeCell ref="G30:G31"/>
    <mergeCell ref="H29:J29"/>
    <mergeCell ref="E29:G29"/>
    <mergeCell ref="E23:G23"/>
    <mergeCell ref="E24:G24"/>
    <mergeCell ref="E25:G25"/>
    <mergeCell ref="H23:J23"/>
    <mergeCell ref="H24:J24"/>
    <mergeCell ref="H25:J25"/>
    <mergeCell ref="K19:M19"/>
    <mergeCell ref="H57:K57"/>
    <mergeCell ref="K23:M23"/>
    <mergeCell ref="K24:M24"/>
    <mergeCell ref="K25:M25"/>
    <mergeCell ref="N19:P19"/>
    <mergeCell ref="E20:G20"/>
    <mergeCell ref="E21:G21"/>
    <mergeCell ref="E22:G22"/>
    <mergeCell ref="H20:J20"/>
    <mergeCell ref="H21:J21"/>
    <mergeCell ref="H22:J22"/>
    <mergeCell ref="K20:M20"/>
    <mergeCell ref="K21:M21"/>
    <mergeCell ref="K22:M22"/>
    <mergeCell ref="E19:G19"/>
    <mergeCell ref="H19:J19"/>
    <mergeCell ref="N20:P20"/>
    <mergeCell ref="N21:P21"/>
    <mergeCell ref="N22:P22"/>
    <mergeCell ref="N23:P23"/>
    <mergeCell ref="N24:P24"/>
    <mergeCell ref="N25:P25"/>
    <mergeCell ref="K30:L30"/>
    <mergeCell ref="U44:W44"/>
    <mergeCell ref="B38:F38"/>
    <mergeCell ref="Q30:S30"/>
    <mergeCell ref="K29:S29"/>
    <mergeCell ref="E30:E31"/>
    <mergeCell ref="C32:C37"/>
    <mergeCell ref="C29:C31"/>
    <mergeCell ref="D29:D31"/>
    <mergeCell ref="A28:Q28"/>
    <mergeCell ref="M30:N30"/>
    <mergeCell ref="O30:P30"/>
    <mergeCell ref="G7:H7"/>
    <mergeCell ref="I7:J7"/>
    <mergeCell ref="J15:M15"/>
    <mergeCell ref="C15:I15"/>
    <mergeCell ref="C18:D19"/>
    <mergeCell ref="C20:C25"/>
    <mergeCell ref="E18:P18"/>
    <mergeCell ref="A46:A51"/>
    <mergeCell ref="H30:H31"/>
    <mergeCell ref="I30:I31"/>
    <mergeCell ref="J30:J31"/>
    <mergeCell ref="F30:F31"/>
    <mergeCell ref="A41:W41"/>
    <mergeCell ref="A42:W42"/>
    <mergeCell ref="A44:B45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K7:L7"/>
    <mergeCell ref="M7:N7"/>
    <mergeCell ref="B39:F39"/>
    <mergeCell ref="I39:M39"/>
    <mergeCell ref="R39:U39"/>
    <mergeCell ref="A40:W40"/>
    <mergeCell ref="A5:W5"/>
    <mergeCell ref="B1:F1"/>
    <mergeCell ref="I2:M2"/>
    <mergeCell ref="R2:U2"/>
    <mergeCell ref="B2:F2"/>
    <mergeCell ref="A3:W3"/>
    <mergeCell ref="A4:W4"/>
    <mergeCell ref="A9:A14"/>
    <mergeCell ref="C7:D7"/>
    <mergeCell ref="A7:A8"/>
    <mergeCell ref="B7:B8"/>
    <mergeCell ref="C16:I16"/>
    <mergeCell ref="C17:I17"/>
    <mergeCell ref="O7:P7"/>
    <mergeCell ref="Q7:R7"/>
    <mergeCell ref="S7:T7"/>
    <mergeCell ref="U7:W7"/>
    <mergeCell ref="E7:F7"/>
  </mergeCells>
  <printOptions horizontalCentered="1"/>
  <pageMargins left="0.19685039370078741" right="0.23622047244094491" top="0.2" bottom="0.19685039370078741" header="0.2" footer="0.19685039370078741"/>
  <pageSetup paperSize="9" scale="4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37"/>
  <sheetViews>
    <sheetView rightToLeft="1" view="pageBreakPreview" zoomScale="70" zoomScaleNormal="100" zoomScaleSheetLayoutView="70" workbookViewId="0">
      <selection activeCell="E38" sqref="E38"/>
    </sheetView>
  </sheetViews>
  <sheetFormatPr defaultColWidth="9" defaultRowHeight="23.4"/>
  <cols>
    <col min="1" max="1" width="24" style="12" customWidth="1"/>
    <col min="2" max="2" width="9" style="12"/>
    <col min="3" max="3" width="14.33203125" style="12" bestFit="1" customWidth="1"/>
    <col min="4" max="4" width="9" style="12"/>
    <col min="5" max="5" width="10.109375" style="9" customWidth="1"/>
    <col min="6" max="13" width="9" style="9"/>
    <col min="14" max="14" width="10" style="9" bestFit="1" customWidth="1"/>
    <col min="15" max="15" width="9" style="9"/>
    <col min="16" max="16" width="10" style="9" bestFit="1" customWidth="1"/>
    <col min="17" max="17" width="9" style="9"/>
    <col min="18" max="18" width="8.109375" style="9" customWidth="1"/>
    <col min="19" max="19" width="7.88671875" style="9" customWidth="1"/>
    <col min="20" max="20" width="10.33203125" style="9" customWidth="1"/>
    <col min="21" max="16384" width="9" style="9"/>
  </cols>
  <sheetData>
    <row r="1" spans="1:20">
      <c r="A1" s="313" t="s">
        <v>119</v>
      </c>
      <c r="B1" s="313"/>
      <c r="C1" s="313"/>
      <c r="D1" s="313"/>
      <c r="E1" s="313"/>
    </row>
    <row r="2" spans="1:20">
      <c r="A2" s="311" t="s">
        <v>121</v>
      </c>
      <c r="B2" s="311"/>
      <c r="C2" s="311"/>
      <c r="D2" s="311"/>
      <c r="E2" s="311"/>
      <c r="F2" s="311" t="s">
        <v>267</v>
      </c>
      <c r="G2" s="311"/>
      <c r="H2" s="311"/>
      <c r="I2" s="311"/>
      <c r="J2" s="311"/>
      <c r="K2" s="311"/>
      <c r="L2" s="311"/>
      <c r="M2" s="11"/>
      <c r="N2" s="381" t="s">
        <v>389</v>
      </c>
      <c r="O2" s="381"/>
      <c r="P2" s="381"/>
    </row>
    <row r="3" spans="1:20">
      <c r="A3" s="10"/>
      <c r="B3" s="10"/>
      <c r="C3" s="10"/>
      <c r="D3" s="10"/>
      <c r="E3" s="10"/>
      <c r="H3" s="10"/>
      <c r="I3" s="10"/>
      <c r="J3" s="10"/>
      <c r="K3" s="10"/>
      <c r="L3" s="10"/>
      <c r="M3" s="11"/>
    </row>
    <row r="4" spans="1:20">
      <c r="A4" s="311" t="s">
        <v>149</v>
      </c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</row>
    <row r="5" spans="1:20">
      <c r="A5" s="311" t="s">
        <v>437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</row>
    <row r="6" spans="1:20">
      <c r="A6" s="311" t="s">
        <v>150</v>
      </c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</row>
    <row r="7" spans="1:20" ht="24" thickBo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20" ht="33" customHeight="1" thickTop="1" thickBot="1">
      <c r="A8" s="376" t="s">
        <v>232</v>
      </c>
      <c r="B8" s="378" t="s">
        <v>24</v>
      </c>
      <c r="C8" s="379"/>
      <c r="D8" s="378" t="s">
        <v>25</v>
      </c>
      <c r="E8" s="379"/>
      <c r="F8" s="378" t="s">
        <v>56</v>
      </c>
      <c r="G8" s="379"/>
      <c r="H8" s="378" t="s">
        <v>26</v>
      </c>
      <c r="I8" s="379"/>
      <c r="J8" s="378" t="s">
        <v>151</v>
      </c>
      <c r="K8" s="379"/>
      <c r="L8" s="378" t="s">
        <v>20</v>
      </c>
      <c r="M8" s="380"/>
      <c r="N8" s="379"/>
    </row>
    <row r="9" spans="1:20" s="39" customFormat="1" ht="34.5" customHeight="1" thickTop="1" thickBot="1">
      <c r="A9" s="377"/>
      <c r="B9" s="46" t="s">
        <v>65</v>
      </c>
      <c r="C9" s="46" t="s">
        <v>23</v>
      </c>
      <c r="D9" s="46" t="s">
        <v>65</v>
      </c>
      <c r="E9" s="46" t="s">
        <v>23</v>
      </c>
      <c r="F9" s="46" t="s">
        <v>65</v>
      </c>
      <c r="G9" s="46" t="s">
        <v>23</v>
      </c>
      <c r="H9" s="46" t="s">
        <v>65</v>
      </c>
      <c r="I9" s="46" t="s">
        <v>23</v>
      </c>
      <c r="J9" s="46" t="s">
        <v>65</v>
      </c>
      <c r="K9" s="46" t="s">
        <v>23</v>
      </c>
      <c r="L9" s="46" t="s">
        <v>65</v>
      </c>
      <c r="M9" s="46" t="s">
        <v>23</v>
      </c>
      <c r="N9" s="46" t="s">
        <v>20</v>
      </c>
    </row>
    <row r="10" spans="1:20" ht="34.5" customHeight="1" thickTop="1" thickBot="1">
      <c r="A10" s="46" t="s">
        <v>80</v>
      </c>
      <c r="B10" s="14">
        <f>'الفنون الجميلة'!JC17</f>
        <v>2</v>
      </c>
      <c r="C10" s="14">
        <f>'الفنون الجميلة'!JD10</f>
        <v>2</v>
      </c>
      <c r="D10" s="14">
        <f>'الفنون الجميلة'!JE17</f>
        <v>4</v>
      </c>
      <c r="E10" s="15">
        <f>'الفنون الجميلة'!JF17</f>
        <v>4</v>
      </c>
      <c r="F10" s="15">
        <f>'الفنون الجميلة'!JG17</f>
        <v>39</v>
      </c>
      <c r="G10" s="15">
        <f>'الفنون الجميلة'!JH17</f>
        <v>32</v>
      </c>
      <c r="H10" s="15">
        <f>'الفنون الجميلة'!JI17</f>
        <v>10</v>
      </c>
      <c r="I10" s="15">
        <f>'الفنون الجميلة'!JJ17</f>
        <v>1</v>
      </c>
      <c r="J10" s="15">
        <f>'الفنون الجميلة'!JK17</f>
        <v>2</v>
      </c>
      <c r="K10" s="15">
        <f>'الفنون الجميلة'!JL17</f>
        <v>1</v>
      </c>
      <c r="L10" s="15">
        <f>J10+H10+F10+D10+B10</f>
        <v>57</v>
      </c>
      <c r="M10" s="15">
        <f>K10+I10+G10+E10+C10</f>
        <v>40</v>
      </c>
      <c r="N10" s="15">
        <f>M10+L10</f>
        <v>97</v>
      </c>
    </row>
    <row r="11" spans="1:20" ht="24" thickTop="1"/>
    <row r="12" spans="1:20">
      <c r="A12" s="311" t="s">
        <v>152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</row>
    <row r="13" spans="1:20">
      <c r="A13" s="311" t="s">
        <v>437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</row>
    <row r="14" spans="1:20">
      <c r="A14" s="311" t="s">
        <v>153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</row>
    <row r="15" spans="1:20" ht="24" thickBo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20" ht="31.5" customHeight="1" thickTop="1" thickBot="1">
      <c r="A16" s="376" t="s">
        <v>232</v>
      </c>
      <c r="B16" s="378" t="s">
        <v>62</v>
      </c>
      <c r="C16" s="379"/>
      <c r="D16" s="378" t="s">
        <v>57</v>
      </c>
      <c r="E16" s="379"/>
      <c r="F16" s="378" t="s">
        <v>269</v>
      </c>
      <c r="G16" s="379"/>
      <c r="H16" s="378" t="s">
        <v>270</v>
      </c>
      <c r="I16" s="379"/>
      <c r="J16" s="378" t="s">
        <v>27</v>
      </c>
      <c r="K16" s="379"/>
      <c r="L16" s="378" t="s">
        <v>28</v>
      </c>
      <c r="M16" s="379"/>
      <c r="N16" s="378" t="s">
        <v>29</v>
      </c>
      <c r="O16" s="379"/>
      <c r="P16" s="378" t="s">
        <v>30</v>
      </c>
      <c r="Q16" s="379"/>
      <c r="R16" s="378" t="s">
        <v>20</v>
      </c>
      <c r="S16" s="380"/>
      <c r="T16" s="379"/>
    </row>
    <row r="17" spans="1:20" s="39" customFormat="1" ht="31.5" customHeight="1" thickTop="1" thickBot="1">
      <c r="A17" s="377"/>
      <c r="B17" s="46" t="s">
        <v>65</v>
      </c>
      <c r="C17" s="46" t="s">
        <v>23</v>
      </c>
      <c r="D17" s="46" t="s">
        <v>65</v>
      </c>
      <c r="E17" s="46" t="s">
        <v>23</v>
      </c>
      <c r="F17" s="46" t="s">
        <v>65</v>
      </c>
      <c r="G17" s="46" t="s">
        <v>23</v>
      </c>
      <c r="H17" s="46" t="s">
        <v>65</v>
      </c>
      <c r="I17" s="46" t="s">
        <v>23</v>
      </c>
      <c r="J17" s="46" t="s">
        <v>65</v>
      </c>
      <c r="K17" s="46" t="s">
        <v>23</v>
      </c>
      <c r="L17" s="46" t="s">
        <v>65</v>
      </c>
      <c r="M17" s="46" t="s">
        <v>23</v>
      </c>
      <c r="N17" s="46" t="s">
        <v>65</v>
      </c>
      <c r="O17" s="46" t="s">
        <v>23</v>
      </c>
      <c r="P17" s="46" t="s">
        <v>65</v>
      </c>
      <c r="Q17" s="46" t="s">
        <v>23</v>
      </c>
      <c r="R17" s="46" t="s">
        <v>65</v>
      </c>
      <c r="S17" s="46" t="s">
        <v>23</v>
      </c>
      <c r="T17" s="46" t="s">
        <v>20</v>
      </c>
    </row>
    <row r="18" spans="1:20" ht="31.5" customHeight="1" thickTop="1" thickBot="1">
      <c r="A18" s="13" t="s">
        <v>80</v>
      </c>
      <c r="B18" s="46">
        <f>'الفنون الجميلة'!AJA17</f>
        <v>3</v>
      </c>
      <c r="C18" s="46">
        <f>'الفنون الجميلة'!AJB17</f>
        <v>0</v>
      </c>
      <c r="D18" s="14">
        <f>'الفنون الجميلة'!AJC17</f>
        <v>0</v>
      </c>
      <c r="E18" s="46">
        <f>'الفنون الجميلة'!AJD17</f>
        <v>0</v>
      </c>
      <c r="F18" s="46">
        <f>'الفنون الجميلة'!AJE17</f>
        <v>1</v>
      </c>
      <c r="G18" s="46">
        <f>'الفنون الجميلة'!AJF17</f>
        <v>8</v>
      </c>
      <c r="H18" s="14">
        <f>'الفنون الجميلة'!AJG17</f>
        <v>32</v>
      </c>
      <c r="I18" s="46">
        <f>'الفنون الجميلة'!AJH17</f>
        <v>21</v>
      </c>
      <c r="J18" s="15">
        <f>'الفنون الجميلة'!AJI17</f>
        <v>1</v>
      </c>
      <c r="K18" s="15">
        <f>'الفنون الجميلة'!AJJ17</f>
        <v>0</v>
      </c>
      <c r="L18" s="15">
        <f>'الفنون الجميلة'!AJK17</f>
        <v>11</v>
      </c>
      <c r="M18" s="15">
        <f>'الفنون الجميلة'!AJL17</f>
        <v>7</v>
      </c>
      <c r="N18" s="15">
        <f>'الفنون الجميلة'!AJM17</f>
        <v>9</v>
      </c>
      <c r="O18" s="15">
        <f>'الفنون الجميلة'!AJN17</f>
        <v>4</v>
      </c>
      <c r="P18" s="15">
        <f>'الفنون الجميلة'!AJO17</f>
        <v>0</v>
      </c>
      <c r="Q18" s="15">
        <f>'الفنون الجميلة'!AJP17</f>
        <v>0</v>
      </c>
      <c r="R18" s="47">
        <f>P18+N18+L18+J18+H18+D18+B18+F18</f>
        <v>57</v>
      </c>
      <c r="S18" s="47">
        <f>Q18+O18+M18+K18+I18+E18+C18+G18</f>
        <v>40</v>
      </c>
      <c r="T18" s="15">
        <f>S18+R18</f>
        <v>97</v>
      </c>
    </row>
    <row r="19" spans="1:20" ht="24" thickTop="1"/>
    <row r="20" spans="1:20" hidden="1">
      <c r="A20" s="311" t="s">
        <v>119</v>
      </c>
      <c r="B20" s="311"/>
      <c r="C20" s="311"/>
      <c r="D20" s="311"/>
      <c r="E20" s="311"/>
    </row>
    <row r="21" spans="1:20" hidden="1">
      <c r="A21" s="311" t="s">
        <v>121</v>
      </c>
      <c r="B21" s="311"/>
      <c r="C21" s="311"/>
      <c r="D21" s="311"/>
      <c r="E21" s="311"/>
      <c r="F21" s="311" t="s">
        <v>268</v>
      </c>
      <c r="G21" s="311"/>
      <c r="H21" s="311"/>
      <c r="I21" s="311"/>
      <c r="J21" s="311"/>
      <c r="K21" s="311"/>
      <c r="L21" s="311"/>
      <c r="M21" s="17"/>
      <c r="N21" s="381" t="s">
        <v>389</v>
      </c>
      <c r="O21" s="381"/>
      <c r="P21" s="381"/>
    </row>
    <row r="22" spans="1:20" hidden="1">
      <c r="A22" s="311" t="s">
        <v>149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</row>
    <row r="23" spans="1:20" hidden="1">
      <c r="A23" s="311" t="s">
        <v>431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</row>
    <row r="24" spans="1:20" hidden="1">
      <c r="A24" s="311" t="s">
        <v>150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</row>
    <row r="25" spans="1:20" ht="24" hidden="1" thickBo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20" ht="27.75" hidden="1" customHeight="1" thickTop="1" thickBot="1">
      <c r="A26" s="376" t="s">
        <v>232</v>
      </c>
      <c r="B26" s="378" t="s">
        <v>24</v>
      </c>
      <c r="C26" s="379"/>
      <c r="D26" s="378" t="s">
        <v>25</v>
      </c>
      <c r="E26" s="379"/>
      <c r="F26" s="378" t="s">
        <v>56</v>
      </c>
      <c r="G26" s="379"/>
      <c r="H26" s="378" t="s">
        <v>26</v>
      </c>
      <c r="I26" s="379"/>
      <c r="J26" s="378" t="s">
        <v>151</v>
      </c>
      <c r="K26" s="379"/>
      <c r="L26" s="378" t="s">
        <v>20</v>
      </c>
      <c r="M26" s="380"/>
      <c r="N26" s="379"/>
    </row>
    <row r="27" spans="1:20" ht="36.75" hidden="1" customHeight="1" thickTop="1" thickBot="1">
      <c r="A27" s="377"/>
      <c r="B27" s="46" t="s">
        <v>65</v>
      </c>
      <c r="C27" s="46" t="s">
        <v>23</v>
      </c>
      <c r="D27" s="46" t="s">
        <v>65</v>
      </c>
      <c r="E27" s="46" t="s">
        <v>23</v>
      </c>
      <c r="F27" s="46" t="s">
        <v>65</v>
      </c>
      <c r="G27" s="46" t="s">
        <v>23</v>
      </c>
      <c r="H27" s="46" t="s">
        <v>65</v>
      </c>
      <c r="I27" s="46" t="s">
        <v>23</v>
      </c>
      <c r="J27" s="46" t="s">
        <v>65</v>
      </c>
      <c r="K27" s="46" t="s">
        <v>23</v>
      </c>
      <c r="L27" s="46" t="s">
        <v>65</v>
      </c>
      <c r="M27" s="46" t="s">
        <v>23</v>
      </c>
      <c r="N27" s="46" t="s">
        <v>20</v>
      </c>
    </row>
    <row r="28" spans="1:20" ht="36.75" hidden="1" customHeight="1" thickTop="1" thickBot="1">
      <c r="A28" s="13" t="s">
        <v>80</v>
      </c>
      <c r="B28" s="33">
        <f>'الفنون الجميلة'!JC10</f>
        <v>2</v>
      </c>
      <c r="C28" s="33">
        <f>'الفنون الجميلة'!JD10</f>
        <v>2</v>
      </c>
      <c r="D28" s="33">
        <f>'الفنون الجميلة'!JE10</f>
        <v>4</v>
      </c>
      <c r="E28" s="34">
        <f>'الفنون الجميلة'!JF10</f>
        <v>4</v>
      </c>
      <c r="F28" s="34">
        <f>'الفنون الجميلة'!JG10</f>
        <v>39</v>
      </c>
      <c r="G28" s="34">
        <f>'الفنون الجميلة'!JH10</f>
        <v>32</v>
      </c>
      <c r="H28" s="34">
        <f>'الفنون الجميلة'!JI10</f>
        <v>10</v>
      </c>
      <c r="I28" s="34">
        <f>'الفنون الجميلة'!JJ10</f>
        <v>1</v>
      </c>
      <c r="J28" s="34">
        <f>'الفنون الجميلة'!JK10</f>
        <v>2</v>
      </c>
      <c r="K28" s="34">
        <f>'الفنون الجميلة'!JL10</f>
        <v>1</v>
      </c>
      <c r="L28" s="34">
        <f>J28+H28+F28+D28+B28</f>
        <v>57</v>
      </c>
      <c r="M28" s="34">
        <f>K28+I28+G28+E28+C28</f>
        <v>40</v>
      </c>
      <c r="N28" s="34">
        <f>M28+L28</f>
        <v>97</v>
      </c>
    </row>
    <row r="29" spans="1:20" ht="24" hidden="1" thickTop="1"/>
    <row r="30" spans="1:20" hidden="1">
      <c r="A30" s="311" t="s">
        <v>152</v>
      </c>
      <c r="B30" s="311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</row>
    <row r="31" spans="1:20" hidden="1">
      <c r="A31" s="311" t="s">
        <v>431</v>
      </c>
      <c r="B31" s="311"/>
      <c r="C31" s="311"/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1"/>
      <c r="Q31" s="311"/>
    </row>
    <row r="32" spans="1:20" hidden="1">
      <c r="A32" s="311" t="s">
        <v>153</v>
      </c>
      <c r="B32" s="311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</row>
    <row r="33" spans="1:20" ht="24" hidden="1" thickBo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1:20" ht="37.5" hidden="1" customHeight="1" thickTop="1" thickBot="1">
      <c r="A34" s="376" t="s">
        <v>232</v>
      </c>
      <c r="B34" s="378" t="s">
        <v>62</v>
      </c>
      <c r="C34" s="379"/>
      <c r="D34" s="378" t="s">
        <v>57</v>
      </c>
      <c r="E34" s="379"/>
      <c r="F34" s="378" t="s">
        <v>269</v>
      </c>
      <c r="G34" s="379"/>
      <c r="H34" s="378" t="s">
        <v>270</v>
      </c>
      <c r="I34" s="379"/>
      <c r="J34" s="378" t="s">
        <v>27</v>
      </c>
      <c r="K34" s="379"/>
      <c r="L34" s="378" t="s">
        <v>28</v>
      </c>
      <c r="M34" s="379"/>
      <c r="N34" s="378" t="s">
        <v>29</v>
      </c>
      <c r="O34" s="379"/>
      <c r="P34" s="378" t="s">
        <v>30</v>
      </c>
      <c r="Q34" s="379"/>
      <c r="R34" s="378" t="s">
        <v>20</v>
      </c>
      <c r="S34" s="380"/>
      <c r="T34" s="379"/>
    </row>
    <row r="35" spans="1:20" s="39" customFormat="1" ht="24.6" hidden="1" thickTop="1" thickBot="1">
      <c r="A35" s="377"/>
      <c r="B35" s="46" t="s">
        <v>65</v>
      </c>
      <c r="C35" s="46" t="s">
        <v>23</v>
      </c>
      <c r="D35" s="46" t="s">
        <v>65</v>
      </c>
      <c r="E35" s="46" t="s">
        <v>23</v>
      </c>
      <c r="F35" s="46" t="s">
        <v>65</v>
      </c>
      <c r="G35" s="46" t="s">
        <v>23</v>
      </c>
      <c r="H35" s="46" t="s">
        <v>65</v>
      </c>
      <c r="I35" s="46" t="s">
        <v>23</v>
      </c>
      <c r="J35" s="46" t="s">
        <v>65</v>
      </c>
      <c r="K35" s="46" t="s">
        <v>23</v>
      </c>
      <c r="L35" s="46" t="s">
        <v>65</v>
      </c>
      <c r="M35" s="46" t="s">
        <v>23</v>
      </c>
      <c r="N35" s="46" t="s">
        <v>65</v>
      </c>
      <c r="O35" s="46" t="s">
        <v>23</v>
      </c>
      <c r="P35" s="46" t="s">
        <v>65</v>
      </c>
      <c r="Q35" s="46" t="s">
        <v>23</v>
      </c>
      <c r="R35" s="46" t="s">
        <v>65</v>
      </c>
      <c r="S35" s="46" t="s">
        <v>23</v>
      </c>
      <c r="T35" s="46" t="s">
        <v>20</v>
      </c>
    </row>
    <row r="36" spans="1:20" ht="42.75" hidden="1" customHeight="1" thickTop="1" thickBot="1">
      <c r="A36" s="13" t="s">
        <v>80</v>
      </c>
      <c r="B36" s="13">
        <f>'الفنون الجميلة'!AJA10</f>
        <v>3</v>
      </c>
      <c r="C36" s="13">
        <f>'الفنون الجميلة'!AJB10</f>
        <v>0</v>
      </c>
      <c r="D36" s="33">
        <f>'الفنون الجميلة'!AJC10</f>
        <v>0</v>
      </c>
      <c r="E36" s="46">
        <f>'الفنون الجميلة'!AJD10</f>
        <v>0</v>
      </c>
      <c r="F36" s="46">
        <f>'الفنون الجميلة'!AJE10</f>
        <v>1</v>
      </c>
      <c r="G36" s="46">
        <f>'الفنون الجميلة'!AJF10</f>
        <v>8</v>
      </c>
      <c r="H36" s="33">
        <f>'الفنون الجميلة'!AJG10</f>
        <v>32</v>
      </c>
      <c r="I36" s="46">
        <f>'الفنون الجميلة'!AJH10</f>
        <v>21</v>
      </c>
      <c r="J36" s="34">
        <f>'الفنون الجميلة'!AJI10</f>
        <v>1</v>
      </c>
      <c r="K36" s="34">
        <f>'الفنون الجميلة'!AJJ10</f>
        <v>0</v>
      </c>
      <c r="L36" s="34">
        <f>'الفنون الجميلة'!AJK10</f>
        <v>11</v>
      </c>
      <c r="M36" s="34">
        <f>'الفنون الجميلة'!AJL10</f>
        <v>7</v>
      </c>
      <c r="N36" s="34">
        <f>'الفنون الجميلة'!AJM10</f>
        <v>9</v>
      </c>
      <c r="O36" s="34">
        <f>'الفنون الجميلة'!AJN10</f>
        <v>4</v>
      </c>
      <c r="P36" s="34">
        <f>'الفنون الجميلة'!AJO10</f>
        <v>0</v>
      </c>
      <c r="Q36" s="34">
        <f>'الفنون الجميلة'!AJP10</f>
        <v>0</v>
      </c>
      <c r="R36" s="47">
        <f>P36+N36+L36+J36+H36+D36+F36+B36</f>
        <v>57</v>
      </c>
      <c r="S36" s="47">
        <f>Q36+O36+M36+K36+I36+E36+G36+C36</f>
        <v>40</v>
      </c>
      <c r="T36" s="34">
        <f>S36+R36</f>
        <v>97</v>
      </c>
    </row>
    <row r="37" spans="1:20" ht="24" hidden="1" thickTop="1"/>
  </sheetData>
  <mergeCells count="54">
    <mergeCell ref="J34:K34"/>
    <mergeCell ref="L34:M34"/>
    <mergeCell ref="N34:O34"/>
    <mergeCell ref="P34:Q34"/>
    <mergeCell ref="B34:C34"/>
    <mergeCell ref="F34:G34"/>
    <mergeCell ref="R34:T34"/>
    <mergeCell ref="A23:Q23"/>
    <mergeCell ref="A24:Q24"/>
    <mergeCell ref="A26:A27"/>
    <mergeCell ref="B26:C26"/>
    <mergeCell ref="D26:E26"/>
    <mergeCell ref="F26:G26"/>
    <mergeCell ref="H26:I26"/>
    <mergeCell ref="J26:K26"/>
    <mergeCell ref="L26:N26"/>
    <mergeCell ref="A30:Q30"/>
    <mergeCell ref="A31:Q31"/>
    <mergeCell ref="A32:Q32"/>
    <mergeCell ref="A34:A35"/>
    <mergeCell ref="D34:E34"/>
    <mergeCell ref="H34:I34"/>
    <mergeCell ref="A20:E20"/>
    <mergeCell ref="A21:E21"/>
    <mergeCell ref="F21:L21"/>
    <mergeCell ref="N21:P21"/>
    <mergeCell ref="A22:Q22"/>
    <mergeCell ref="R16:T16"/>
    <mergeCell ref="A12:Q12"/>
    <mergeCell ref="A1:E1"/>
    <mergeCell ref="N2:P2"/>
    <mergeCell ref="L8:N8"/>
    <mergeCell ref="A2:E2"/>
    <mergeCell ref="F2:L2"/>
    <mergeCell ref="A4:Q4"/>
    <mergeCell ref="A5:Q5"/>
    <mergeCell ref="A6:Q6"/>
    <mergeCell ref="A8:A9"/>
    <mergeCell ref="B8:C8"/>
    <mergeCell ref="D8:E8"/>
    <mergeCell ref="F8:G8"/>
    <mergeCell ref="H8:I8"/>
    <mergeCell ref="J8:K8"/>
    <mergeCell ref="A13:Q13"/>
    <mergeCell ref="A14:Q14"/>
    <mergeCell ref="A16:A17"/>
    <mergeCell ref="D16:E16"/>
    <mergeCell ref="H16:I16"/>
    <mergeCell ref="J16:K16"/>
    <mergeCell ref="L16:M16"/>
    <mergeCell ref="N16:O16"/>
    <mergeCell ref="P16:Q16"/>
    <mergeCell ref="B16:C16"/>
    <mergeCell ref="F16:G16"/>
  </mergeCells>
  <printOptions horizontalCentered="1" verticalCentered="1"/>
  <pageMargins left="0.31496062992125984" right="0.19685039370078741" top="0.74803149606299213" bottom="0.74803149606299213" header="0.31496062992125984" footer="0.31496062992125984"/>
  <pageSetup paperSize="9" scale="65" orientation="landscape" horizontalDpi="300" verticalDpi="300" r:id="rId1"/>
  <rowBreaks count="1" manualBreakCount="1">
    <brk id="19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45"/>
  <sheetViews>
    <sheetView rightToLeft="1" view="pageBreakPreview" zoomScale="60" zoomScaleNormal="100" workbookViewId="0">
      <selection activeCell="B14" sqref="B14:C14"/>
    </sheetView>
  </sheetViews>
  <sheetFormatPr defaultColWidth="9" defaultRowHeight="27.75" customHeight="1"/>
  <cols>
    <col min="1" max="1" width="12.44140625" style="25" customWidth="1"/>
    <col min="2" max="2" width="9.21875" style="25" customWidth="1"/>
    <col min="3" max="3" width="12" style="25" customWidth="1"/>
    <col min="4" max="4" width="13.6640625" style="25" customWidth="1"/>
    <col min="5" max="5" width="9.88671875" style="35" customWidth="1"/>
    <col min="6" max="6" width="11.21875" style="35" customWidth="1"/>
    <col min="7" max="7" width="10.77734375" style="35" customWidth="1"/>
    <col min="8" max="8" width="10.6640625" style="35" customWidth="1"/>
    <col min="9" max="9" width="12.33203125" style="35" customWidth="1"/>
    <col min="10" max="12" width="10.6640625" style="35" customWidth="1"/>
    <col min="13" max="13" width="13" style="35" customWidth="1"/>
    <col min="14" max="19" width="10.6640625" style="35" customWidth="1"/>
    <col min="20" max="20" width="9.109375" style="35" customWidth="1"/>
    <col min="21" max="21" width="10" style="35" customWidth="1"/>
    <col min="22" max="22" width="11.109375" style="35" customWidth="1"/>
    <col min="23" max="23" width="9.88671875" style="35" customWidth="1"/>
    <col min="24" max="16384" width="9" style="35"/>
  </cols>
  <sheetData>
    <row r="1" spans="1:23" ht="27.75" customHeight="1">
      <c r="A1" s="313" t="s">
        <v>119</v>
      </c>
      <c r="B1" s="313"/>
      <c r="C1" s="313"/>
      <c r="D1" s="313"/>
      <c r="E1" s="313"/>
    </row>
    <row r="2" spans="1:23" ht="27.75" customHeight="1">
      <c r="A2" s="311" t="s">
        <v>121</v>
      </c>
      <c r="B2" s="311"/>
      <c r="C2" s="311"/>
      <c r="D2" s="311"/>
      <c r="E2" s="311"/>
      <c r="F2" s="321" t="s">
        <v>267</v>
      </c>
      <c r="G2" s="321"/>
      <c r="H2" s="321"/>
      <c r="I2" s="321"/>
      <c r="J2" s="321"/>
      <c r="K2" s="321"/>
      <c r="L2" s="321"/>
      <c r="M2" s="321"/>
      <c r="N2" s="321"/>
      <c r="O2" s="321"/>
      <c r="S2" s="386" t="s">
        <v>389</v>
      </c>
      <c r="T2" s="386"/>
      <c r="U2" s="386"/>
    </row>
    <row r="3" spans="1:23" ht="27.75" customHeight="1">
      <c r="A3" s="385" t="s">
        <v>154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</row>
    <row r="4" spans="1:23" ht="27.75" customHeight="1">
      <c r="A4" s="385" t="s">
        <v>437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</row>
    <row r="5" spans="1:23" ht="27.75" customHeight="1" thickBot="1">
      <c r="A5" s="385" t="s">
        <v>116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</row>
    <row r="6" spans="1:23" ht="48" customHeight="1" thickTop="1" thickBot="1">
      <c r="A6" s="332" t="s">
        <v>232</v>
      </c>
      <c r="B6" s="348" t="s">
        <v>155</v>
      </c>
      <c r="C6" s="384"/>
      <c r="D6" s="349"/>
      <c r="E6" s="348" t="s">
        <v>160</v>
      </c>
      <c r="F6" s="384"/>
      <c r="G6" s="349"/>
      <c r="H6" s="348" t="s">
        <v>161</v>
      </c>
      <c r="I6" s="384"/>
      <c r="J6" s="349"/>
      <c r="K6" s="390" t="s">
        <v>162</v>
      </c>
      <c r="L6" s="391"/>
      <c r="M6" s="348" t="s">
        <v>163</v>
      </c>
      <c r="N6" s="384"/>
      <c r="O6" s="384"/>
      <c r="P6" s="384"/>
      <c r="Q6" s="384"/>
      <c r="R6" s="349"/>
      <c r="S6" s="314" t="s">
        <v>165</v>
      </c>
      <c r="T6" s="309" t="s">
        <v>233</v>
      </c>
      <c r="U6" s="322"/>
      <c r="V6" s="322"/>
      <c r="W6" s="310"/>
    </row>
    <row r="7" spans="1:23" ht="41.25" customHeight="1" thickTop="1" thickBot="1">
      <c r="A7" s="389"/>
      <c r="B7" s="348" t="s">
        <v>156</v>
      </c>
      <c r="C7" s="349"/>
      <c r="D7" s="332" t="s">
        <v>31</v>
      </c>
      <c r="E7" s="314" t="s">
        <v>32</v>
      </c>
      <c r="F7" s="314" t="s">
        <v>33</v>
      </c>
      <c r="G7" s="314" t="s">
        <v>159</v>
      </c>
      <c r="H7" s="314" t="s">
        <v>34</v>
      </c>
      <c r="I7" s="397" t="s">
        <v>38</v>
      </c>
      <c r="J7" s="314" t="s">
        <v>35</v>
      </c>
      <c r="K7" s="332" t="s">
        <v>107</v>
      </c>
      <c r="L7" s="387" t="s">
        <v>36</v>
      </c>
      <c r="M7" s="314" t="s">
        <v>164</v>
      </c>
      <c r="N7" s="314" t="s">
        <v>271</v>
      </c>
      <c r="O7" s="314" t="s">
        <v>272</v>
      </c>
      <c r="P7" s="314" t="s">
        <v>37</v>
      </c>
      <c r="Q7" s="314" t="s">
        <v>273</v>
      </c>
      <c r="R7" s="314" t="s">
        <v>30</v>
      </c>
      <c r="S7" s="315"/>
      <c r="T7" s="382" t="s">
        <v>379</v>
      </c>
      <c r="U7" s="382" t="s">
        <v>234</v>
      </c>
      <c r="V7" s="382" t="s">
        <v>235</v>
      </c>
      <c r="W7" s="382" t="s">
        <v>236</v>
      </c>
    </row>
    <row r="8" spans="1:23" ht="114" customHeight="1" thickTop="1" thickBot="1">
      <c r="A8" s="333"/>
      <c r="B8" s="53" t="s">
        <v>157</v>
      </c>
      <c r="C8" s="54" t="s">
        <v>158</v>
      </c>
      <c r="D8" s="333"/>
      <c r="E8" s="316"/>
      <c r="F8" s="316"/>
      <c r="G8" s="316"/>
      <c r="H8" s="316"/>
      <c r="I8" s="398"/>
      <c r="J8" s="316"/>
      <c r="K8" s="333"/>
      <c r="L8" s="388"/>
      <c r="M8" s="316"/>
      <c r="N8" s="316"/>
      <c r="O8" s="316"/>
      <c r="P8" s="316"/>
      <c r="Q8" s="316"/>
      <c r="R8" s="316"/>
      <c r="S8" s="316"/>
      <c r="T8" s="383"/>
      <c r="U8" s="383"/>
      <c r="V8" s="383"/>
      <c r="W8" s="383"/>
    </row>
    <row r="9" spans="1:23" ht="61.5" customHeight="1" thickTop="1" thickBot="1">
      <c r="A9" s="82" t="s">
        <v>80</v>
      </c>
      <c r="B9" s="91">
        <f>'الفنون الجميلة'!ANM17</f>
        <v>0</v>
      </c>
      <c r="C9" s="91">
        <f>'الفنون الجميلة'!ANN17</f>
        <v>3</v>
      </c>
      <c r="D9" s="91">
        <f>'الفنون الجميلة'!ANO17</f>
        <v>0</v>
      </c>
      <c r="E9" s="19">
        <f>'الفنون الجميلة'!ANP17</f>
        <v>2</v>
      </c>
      <c r="F9" s="19">
        <f>'الفنون الجميلة'!ANQ17</f>
        <v>1</v>
      </c>
      <c r="G9" s="19">
        <f>'الفنون الجميلة'!ANR17</f>
        <v>0</v>
      </c>
      <c r="H9" s="19">
        <f>'الفنون الجميلة'!ANS17</f>
        <v>1</v>
      </c>
      <c r="I9" s="19">
        <f>'الفنون الجميلة'!ANT17</f>
        <v>2</v>
      </c>
      <c r="J9" s="19">
        <f>'الفنون الجميلة'!ANU17</f>
        <v>0</v>
      </c>
      <c r="K9" s="19">
        <f>'الفنون الجميلة'!ALE17</f>
        <v>3</v>
      </c>
      <c r="L9" s="19">
        <f>'الفنون الجميلة'!ALF17</f>
        <v>0</v>
      </c>
      <c r="M9" s="19">
        <f>'الفنون الجميلة'!ALZ17</f>
        <v>3</v>
      </c>
      <c r="N9" s="19">
        <f>'الفنون الجميلة'!AMA17</f>
        <v>0</v>
      </c>
      <c r="O9" s="19">
        <f>'الفنون الجميلة'!AMB17</f>
        <v>0</v>
      </c>
      <c r="P9" s="19">
        <f>'الفنون الجميلة'!AMC17</f>
        <v>0</v>
      </c>
      <c r="Q9" s="19">
        <f>'الفنون الجميلة'!AMD17</f>
        <v>0</v>
      </c>
      <c r="R9" s="19">
        <f>'الفنون الجميلة'!AME17</f>
        <v>0</v>
      </c>
      <c r="S9" s="19">
        <f>R9+P9+O9+N9+M9</f>
        <v>3</v>
      </c>
      <c r="T9" s="19">
        <v>2</v>
      </c>
      <c r="U9" s="19">
        <f>'الفنون الجميلة'!AMP17</f>
        <v>3</v>
      </c>
      <c r="V9" s="19">
        <f>'الفنون الجميلة'!AML17</f>
        <v>3</v>
      </c>
      <c r="W9" s="19">
        <f>'الفنون الجميلة'!AMW17</f>
        <v>3</v>
      </c>
    </row>
    <row r="10" spans="1:23" ht="27.75" customHeight="1" thickTop="1"/>
    <row r="11" spans="1:23" s="41" customFormat="1" ht="39" customHeight="1" thickBot="1">
      <c r="B11" s="55"/>
      <c r="C11" s="55"/>
      <c r="D11" s="55"/>
      <c r="E11" s="55"/>
      <c r="F11" s="408" t="s">
        <v>443</v>
      </c>
      <c r="G11" s="408"/>
      <c r="H11" s="408"/>
      <c r="I11" s="408"/>
      <c r="J11" s="408"/>
      <c r="K11" s="408"/>
      <c r="L11" s="408"/>
      <c r="M11" s="408"/>
      <c r="N11" s="408"/>
      <c r="O11" s="408"/>
      <c r="P11" s="408"/>
    </row>
    <row r="12" spans="1:23" s="41" customFormat="1" ht="27.75" customHeight="1" thickBot="1">
      <c r="B12" s="401" t="s">
        <v>321</v>
      </c>
      <c r="C12" s="402"/>
      <c r="D12" s="402"/>
      <c r="E12" s="402"/>
      <c r="F12" s="402"/>
      <c r="G12" s="402"/>
      <c r="H12" s="402"/>
      <c r="I12" s="403"/>
      <c r="J12" s="404" t="s">
        <v>322</v>
      </c>
      <c r="K12" s="402"/>
      <c r="L12" s="402"/>
      <c r="M12" s="402"/>
      <c r="N12" s="402"/>
      <c r="O12" s="402"/>
      <c r="P12" s="402"/>
      <c r="Q12" s="402"/>
      <c r="R12" s="402"/>
      <c r="S12" s="402"/>
      <c r="T12" s="402"/>
      <c r="U12" s="405"/>
    </row>
    <row r="13" spans="1:23" s="41" customFormat="1" ht="35.25" customHeight="1" thickTop="1" thickBot="1">
      <c r="B13" s="392" t="s">
        <v>108</v>
      </c>
      <c r="C13" s="393"/>
      <c r="D13" s="394" t="s">
        <v>109</v>
      </c>
      <c r="E13" s="393"/>
      <c r="F13" s="394" t="s">
        <v>323</v>
      </c>
      <c r="G13" s="393"/>
      <c r="H13" s="394" t="s">
        <v>20</v>
      </c>
      <c r="I13" s="393"/>
      <c r="J13" s="394" t="s">
        <v>324</v>
      </c>
      <c r="K13" s="393"/>
      <c r="L13" s="394" t="s">
        <v>325</v>
      </c>
      <c r="M13" s="393"/>
      <c r="N13" s="394" t="s">
        <v>326</v>
      </c>
      <c r="O13" s="393"/>
      <c r="P13" s="394" t="s">
        <v>327</v>
      </c>
      <c r="Q13" s="393"/>
      <c r="R13" s="394" t="s">
        <v>328</v>
      </c>
      <c r="S13" s="393"/>
      <c r="T13" s="394" t="s">
        <v>20</v>
      </c>
      <c r="U13" s="400"/>
    </row>
    <row r="14" spans="1:23" s="41" customFormat="1" ht="41.25" customHeight="1" thickTop="1" thickBot="1">
      <c r="B14" s="406"/>
      <c r="C14" s="407"/>
      <c r="D14" s="395">
        <f>'الفنون الجميلة'!ALM17</f>
        <v>2</v>
      </c>
      <c r="E14" s="396"/>
      <c r="F14" s="395">
        <f>'الفنون الجميلة'!ALN17</f>
        <v>1</v>
      </c>
      <c r="G14" s="396"/>
      <c r="H14" s="395">
        <f>F14+D14+B14</f>
        <v>3</v>
      </c>
      <c r="I14" s="396"/>
      <c r="J14" s="395"/>
      <c r="K14" s="396"/>
      <c r="L14" s="395"/>
      <c r="M14" s="396"/>
      <c r="N14" s="395"/>
      <c r="O14" s="396"/>
      <c r="P14" s="395">
        <f>'الفنون الجميلة'!ALX17</f>
        <v>2</v>
      </c>
      <c r="Q14" s="396"/>
      <c r="R14" s="395">
        <f>'الفنون الجميلة'!ALY17</f>
        <v>1</v>
      </c>
      <c r="S14" s="396"/>
      <c r="T14" s="395">
        <f>R14+P14+N14+L14+J14</f>
        <v>3</v>
      </c>
      <c r="U14" s="409"/>
    </row>
    <row r="16" spans="1:23" ht="27.75" customHeight="1">
      <c r="A16" s="385" t="s">
        <v>166</v>
      </c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5"/>
      <c r="Q16" s="385"/>
      <c r="R16" s="385"/>
    </row>
    <row r="17" spans="1:22" ht="27.75" customHeight="1">
      <c r="A17" s="385" t="s">
        <v>437</v>
      </c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5"/>
      <c r="Q17" s="385"/>
      <c r="R17" s="385"/>
    </row>
    <row r="18" spans="1:22" ht="27.75" customHeight="1" thickBot="1">
      <c r="A18" s="385" t="s">
        <v>167</v>
      </c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5"/>
      <c r="M18" s="385"/>
      <c r="N18" s="385"/>
      <c r="O18" s="385"/>
      <c r="P18" s="385"/>
      <c r="Q18" s="385"/>
      <c r="R18" s="385"/>
    </row>
    <row r="19" spans="1:22" ht="27.75" customHeight="1" thickTop="1" thickBot="1">
      <c r="C19" s="338" t="s">
        <v>232</v>
      </c>
      <c r="D19" s="338"/>
      <c r="E19" s="338" t="s">
        <v>168</v>
      </c>
      <c r="F19" s="338"/>
      <c r="G19" s="338" t="s">
        <v>173</v>
      </c>
      <c r="H19" s="338"/>
      <c r="I19" s="338"/>
      <c r="J19" s="338"/>
      <c r="K19" s="338"/>
      <c r="L19" s="338"/>
      <c r="M19" s="338"/>
      <c r="N19" s="338"/>
      <c r="O19" s="338"/>
    </row>
    <row r="20" spans="1:22" ht="27.75" customHeight="1" thickTop="1" thickBot="1">
      <c r="C20" s="338"/>
      <c r="D20" s="338"/>
      <c r="E20" s="399" t="s">
        <v>169</v>
      </c>
      <c r="F20" s="399" t="s">
        <v>39</v>
      </c>
      <c r="G20" s="338" t="s">
        <v>170</v>
      </c>
      <c r="H20" s="338"/>
      <c r="I20" s="338" t="s">
        <v>172</v>
      </c>
      <c r="J20" s="338"/>
      <c r="K20" s="338"/>
      <c r="L20" s="338"/>
      <c r="M20" s="338"/>
      <c r="N20" s="399" t="s">
        <v>174</v>
      </c>
      <c r="O20" s="399" t="s">
        <v>175</v>
      </c>
      <c r="P20" s="7"/>
    </row>
    <row r="21" spans="1:22" ht="54" customHeight="1" thickTop="1" thickBot="1">
      <c r="C21" s="338"/>
      <c r="D21" s="338"/>
      <c r="E21" s="399"/>
      <c r="F21" s="399"/>
      <c r="G21" s="53" t="s">
        <v>78</v>
      </c>
      <c r="H21" s="53" t="s">
        <v>79</v>
      </c>
      <c r="I21" s="54" t="s">
        <v>103</v>
      </c>
      <c r="J21" s="54" t="s">
        <v>104</v>
      </c>
      <c r="K21" s="54" t="s">
        <v>105</v>
      </c>
      <c r="L21" s="54" t="s">
        <v>171</v>
      </c>
      <c r="M21" s="54" t="s">
        <v>106</v>
      </c>
      <c r="N21" s="399"/>
      <c r="O21" s="399"/>
      <c r="P21" s="7"/>
    </row>
    <row r="22" spans="1:22" ht="53.25" customHeight="1" thickTop="1" thickBot="1">
      <c r="C22" s="348" t="s">
        <v>80</v>
      </c>
      <c r="D22" s="349"/>
      <c r="E22" s="43">
        <f>'الفنون الجميلة'!AOL17</f>
        <v>2</v>
      </c>
      <c r="F22" s="43">
        <f>'الفنون الجميلة'!AOY17</f>
        <v>4151</v>
      </c>
      <c r="G22" s="43">
        <f>'الفنون الجميلة'!AOZ17</f>
        <v>2</v>
      </c>
      <c r="H22" s="90">
        <f>'الفنون الجميلة'!APA17</f>
        <v>2</v>
      </c>
      <c r="I22" s="90">
        <f>'الفنون الجميلة'!APB17</f>
        <v>0</v>
      </c>
      <c r="J22" s="90">
        <f>'الفنون الجميلة'!APD17</f>
        <v>0</v>
      </c>
      <c r="K22" s="90">
        <f>'الفنون الجميلة'!APF17</f>
        <v>0</v>
      </c>
      <c r="L22" s="90">
        <f>'الفنون الجميلة'!APH17</f>
        <v>0</v>
      </c>
      <c r="M22" s="90">
        <f>'الفنون الجميلة'!APJ17</f>
        <v>0</v>
      </c>
      <c r="N22" s="90">
        <f>'الفنون الجميلة'!APL17</f>
        <v>0</v>
      </c>
      <c r="O22" s="90">
        <f>'الفنون الجميلة'!APN17</f>
        <v>2</v>
      </c>
      <c r="P22" s="7"/>
    </row>
    <row r="23" spans="1:22" ht="27.75" hidden="1" customHeight="1" thickTop="1">
      <c r="A23" s="385" t="s">
        <v>119</v>
      </c>
      <c r="B23" s="385"/>
      <c r="C23" s="385"/>
      <c r="D23" s="385"/>
      <c r="E23" s="385"/>
    </row>
    <row r="24" spans="1:22" ht="27.75" hidden="1" customHeight="1">
      <c r="A24" s="385" t="s">
        <v>121</v>
      </c>
      <c r="B24" s="385"/>
      <c r="C24" s="385"/>
      <c r="D24" s="385"/>
      <c r="E24" s="385"/>
      <c r="F24" s="385" t="s">
        <v>268</v>
      </c>
      <c r="G24" s="385"/>
      <c r="H24" s="385"/>
      <c r="I24" s="385"/>
      <c r="J24" s="385"/>
      <c r="K24" s="385"/>
      <c r="L24" s="385"/>
      <c r="M24" s="385"/>
      <c r="N24" s="385"/>
      <c r="O24" s="385"/>
      <c r="S24" s="411" t="s">
        <v>389</v>
      </c>
      <c r="T24" s="411"/>
      <c r="U24" s="411"/>
    </row>
    <row r="25" spans="1:22" ht="27.75" hidden="1" customHeight="1">
      <c r="A25" s="385" t="s">
        <v>154</v>
      </c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</row>
    <row r="26" spans="1:22" ht="27.75" hidden="1" customHeight="1">
      <c r="A26" s="385" t="s">
        <v>431</v>
      </c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</row>
    <row r="27" spans="1:22" ht="27.75" hidden="1" customHeight="1" thickBot="1">
      <c r="A27" s="385" t="s">
        <v>116</v>
      </c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</row>
    <row r="28" spans="1:22" ht="72" hidden="1" customHeight="1" thickTop="1" thickBot="1">
      <c r="A28" s="332" t="s">
        <v>232</v>
      </c>
      <c r="B28" s="348" t="s">
        <v>155</v>
      </c>
      <c r="C28" s="384"/>
      <c r="D28" s="349"/>
      <c r="E28" s="348" t="s">
        <v>160</v>
      </c>
      <c r="F28" s="384"/>
      <c r="G28" s="349"/>
      <c r="H28" s="348" t="s">
        <v>161</v>
      </c>
      <c r="I28" s="384"/>
      <c r="J28" s="349"/>
      <c r="K28" s="390" t="s">
        <v>162</v>
      </c>
      <c r="L28" s="391"/>
      <c r="M28" s="348" t="s">
        <v>163</v>
      </c>
      <c r="N28" s="384"/>
      <c r="O28" s="384"/>
      <c r="P28" s="384"/>
      <c r="Q28" s="384"/>
      <c r="R28" s="349"/>
      <c r="S28" s="314" t="s">
        <v>165</v>
      </c>
      <c r="T28" s="410" t="s">
        <v>233</v>
      </c>
      <c r="U28" s="410"/>
      <c r="V28" s="410"/>
    </row>
    <row r="29" spans="1:22" ht="64.5" hidden="1" customHeight="1" thickTop="1" thickBot="1">
      <c r="A29" s="389"/>
      <c r="B29" s="348" t="s">
        <v>156</v>
      </c>
      <c r="C29" s="349"/>
      <c r="D29" s="332" t="s">
        <v>31</v>
      </c>
      <c r="E29" s="314" t="s">
        <v>32</v>
      </c>
      <c r="F29" s="314" t="s">
        <v>33</v>
      </c>
      <c r="G29" s="314" t="s">
        <v>159</v>
      </c>
      <c r="H29" s="314" t="s">
        <v>34</v>
      </c>
      <c r="I29" s="314" t="s">
        <v>38</v>
      </c>
      <c r="J29" s="314" t="s">
        <v>35</v>
      </c>
      <c r="K29" s="332" t="s">
        <v>107</v>
      </c>
      <c r="L29" s="332" t="s">
        <v>36</v>
      </c>
      <c r="M29" s="314" t="s">
        <v>164</v>
      </c>
      <c r="N29" s="314" t="s">
        <v>271</v>
      </c>
      <c r="O29" s="314" t="s">
        <v>272</v>
      </c>
      <c r="P29" s="314" t="s">
        <v>37</v>
      </c>
      <c r="Q29" s="314" t="s">
        <v>273</v>
      </c>
      <c r="R29" s="314" t="s">
        <v>30</v>
      </c>
      <c r="S29" s="315"/>
      <c r="T29" s="382" t="s">
        <v>234</v>
      </c>
      <c r="U29" s="382" t="s">
        <v>235</v>
      </c>
      <c r="V29" s="382" t="s">
        <v>236</v>
      </c>
    </row>
    <row r="30" spans="1:22" ht="63" hidden="1" customHeight="1" thickTop="1" thickBot="1">
      <c r="A30" s="333"/>
      <c r="B30" s="53" t="s">
        <v>157</v>
      </c>
      <c r="C30" s="54" t="s">
        <v>158</v>
      </c>
      <c r="D30" s="333"/>
      <c r="E30" s="316"/>
      <c r="F30" s="316"/>
      <c r="G30" s="316"/>
      <c r="H30" s="316"/>
      <c r="I30" s="316"/>
      <c r="J30" s="316"/>
      <c r="K30" s="333"/>
      <c r="L30" s="333"/>
      <c r="M30" s="316"/>
      <c r="N30" s="316"/>
      <c r="O30" s="316"/>
      <c r="P30" s="316"/>
      <c r="Q30" s="316"/>
      <c r="R30" s="316"/>
      <c r="S30" s="316"/>
      <c r="T30" s="383"/>
      <c r="U30" s="383"/>
      <c r="V30" s="383"/>
    </row>
    <row r="31" spans="1:22" ht="41.25" hidden="1" customHeight="1" thickTop="1" thickBot="1">
      <c r="A31" s="53" t="s">
        <v>80</v>
      </c>
      <c r="B31" s="53">
        <f>'الفنون الجميلة'!ANM10</f>
        <v>0</v>
      </c>
      <c r="C31" s="53">
        <f>'الفنون الجميلة'!ANN10</f>
        <v>3</v>
      </c>
      <c r="D31" s="53">
        <f>'الفنون الجميلة'!ANO10</f>
        <v>0</v>
      </c>
      <c r="E31" s="4">
        <f>'الفنون الجميلة'!ANP10</f>
        <v>2</v>
      </c>
      <c r="F31" s="4">
        <f>'الفنون الجميلة'!ANQ10</f>
        <v>1</v>
      </c>
      <c r="G31" s="4">
        <f>'الفنون الجميلة'!ANR10</f>
        <v>0</v>
      </c>
      <c r="H31" s="4">
        <f>'الفنون الجميلة'!ANS10</f>
        <v>1</v>
      </c>
      <c r="I31" s="4">
        <f>'الفنون الجميلة'!ANT10</f>
        <v>2</v>
      </c>
      <c r="J31" s="4">
        <f>'الفنون الجميلة'!ANU10</f>
        <v>0</v>
      </c>
      <c r="K31" s="4">
        <f>'الفنون الجميلة'!ALE10</f>
        <v>3</v>
      </c>
      <c r="L31" s="4">
        <f>'الفنون الجميلة'!ALF10</f>
        <v>0</v>
      </c>
      <c r="M31" s="4">
        <f>'الفنون الجميلة'!ALZ10</f>
        <v>3</v>
      </c>
      <c r="N31" s="4">
        <f>'الفنون الجميلة'!AMA10</f>
        <v>0</v>
      </c>
      <c r="O31" s="4">
        <f>'الفنون الجميلة'!AMB10</f>
        <v>0</v>
      </c>
      <c r="P31" s="4">
        <f>'الفنون الجميلة'!AMC10</f>
        <v>0</v>
      </c>
      <c r="Q31" s="4">
        <f>'الفنون الجميلة'!AMD10</f>
        <v>0</v>
      </c>
      <c r="R31" s="4">
        <f>'الفنون الجميلة'!AME10</f>
        <v>0</v>
      </c>
      <c r="S31" s="4">
        <f>R31+P31+O31+N31+M31</f>
        <v>3</v>
      </c>
      <c r="T31" s="4">
        <f>'الفنون الجميلة'!AMP10</f>
        <v>3</v>
      </c>
      <c r="U31" s="4">
        <f>'الفنون الجميلة'!AML10</f>
        <v>3</v>
      </c>
      <c r="V31" s="4">
        <f>'الفنون الجميلة'!AMW10</f>
        <v>3</v>
      </c>
    </row>
    <row r="32" spans="1:22" ht="27.75" hidden="1" customHeight="1" thickTop="1"/>
    <row r="33" spans="1:21" s="41" customFormat="1" ht="27.75" hidden="1" customHeight="1" thickBot="1">
      <c r="B33" s="55"/>
      <c r="C33" s="55"/>
      <c r="D33" s="55"/>
      <c r="E33" s="55"/>
      <c r="G33" s="56" t="s">
        <v>434</v>
      </c>
    </row>
    <row r="34" spans="1:21" s="41" customFormat="1" ht="27.75" hidden="1" customHeight="1" thickBot="1">
      <c r="B34" s="401" t="s">
        <v>321</v>
      </c>
      <c r="C34" s="402"/>
      <c r="D34" s="402"/>
      <c r="E34" s="402"/>
      <c r="F34" s="402"/>
      <c r="G34" s="402"/>
      <c r="H34" s="402"/>
      <c r="I34" s="403"/>
      <c r="J34" s="404" t="s">
        <v>322</v>
      </c>
      <c r="K34" s="402"/>
      <c r="L34" s="402"/>
      <c r="M34" s="402"/>
      <c r="N34" s="402"/>
      <c r="O34" s="402"/>
      <c r="P34" s="402"/>
      <c r="Q34" s="402"/>
      <c r="R34" s="402"/>
      <c r="S34" s="402"/>
      <c r="T34" s="402"/>
      <c r="U34" s="405"/>
    </row>
    <row r="35" spans="1:21" s="41" customFormat="1" ht="27.75" hidden="1" customHeight="1" thickTop="1" thickBot="1">
      <c r="B35" s="392" t="s">
        <v>108</v>
      </c>
      <c r="C35" s="393"/>
      <c r="D35" s="394" t="s">
        <v>109</v>
      </c>
      <c r="E35" s="393"/>
      <c r="F35" s="394" t="s">
        <v>323</v>
      </c>
      <c r="G35" s="393"/>
      <c r="H35" s="394" t="s">
        <v>20</v>
      </c>
      <c r="I35" s="393"/>
      <c r="J35" s="394" t="s">
        <v>324</v>
      </c>
      <c r="K35" s="393"/>
      <c r="L35" s="394" t="s">
        <v>325</v>
      </c>
      <c r="M35" s="393"/>
      <c r="N35" s="394" t="s">
        <v>326</v>
      </c>
      <c r="O35" s="393"/>
      <c r="P35" s="394" t="s">
        <v>327</v>
      </c>
      <c r="Q35" s="393"/>
      <c r="R35" s="394" t="s">
        <v>328</v>
      </c>
      <c r="S35" s="393"/>
      <c r="T35" s="394" t="s">
        <v>20</v>
      </c>
      <c r="U35" s="400"/>
    </row>
    <row r="36" spans="1:21" s="41" customFormat="1" ht="27.75" hidden="1" customHeight="1" thickTop="1" thickBot="1">
      <c r="B36" s="406"/>
      <c r="C36" s="407"/>
      <c r="D36" s="412">
        <f>'الفنون الجميلة'!ALM10</f>
        <v>2</v>
      </c>
      <c r="E36" s="407"/>
      <c r="F36" s="412"/>
      <c r="G36" s="407"/>
      <c r="H36" s="412">
        <f>F36+D36+B36</f>
        <v>2</v>
      </c>
      <c r="I36" s="407"/>
      <c r="J36" s="412"/>
      <c r="K36" s="407"/>
      <c r="L36" s="412"/>
      <c r="M36" s="407"/>
      <c r="N36" s="412"/>
      <c r="O36" s="407"/>
      <c r="P36" s="412">
        <f>'الفنون الجميلة'!ALX17</f>
        <v>2</v>
      </c>
      <c r="Q36" s="407"/>
      <c r="R36" s="412">
        <f>'الفنون الجميلة'!ALY10</f>
        <v>1</v>
      </c>
      <c r="S36" s="407"/>
      <c r="T36" s="412">
        <f>R36+P36+N36+L36+J36</f>
        <v>3</v>
      </c>
      <c r="U36" s="413"/>
    </row>
    <row r="37" spans="1:21" ht="27.75" hidden="1" customHeight="1"/>
    <row r="38" spans="1:21" ht="27.75" hidden="1" customHeight="1">
      <c r="A38" s="385" t="s">
        <v>166</v>
      </c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</row>
    <row r="39" spans="1:21" ht="27.75" hidden="1" customHeight="1">
      <c r="A39" s="385" t="s">
        <v>431</v>
      </c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</row>
    <row r="40" spans="1:21" ht="27.75" hidden="1" customHeight="1" thickBot="1">
      <c r="A40" s="385" t="s">
        <v>167</v>
      </c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</row>
    <row r="41" spans="1:21" ht="27.75" hidden="1" customHeight="1" thickTop="1" thickBot="1">
      <c r="C41" s="338" t="s">
        <v>232</v>
      </c>
      <c r="D41" s="338"/>
      <c r="E41" s="338" t="s">
        <v>168</v>
      </c>
      <c r="F41" s="338"/>
      <c r="G41" s="338" t="s">
        <v>173</v>
      </c>
      <c r="H41" s="338"/>
      <c r="I41" s="338"/>
      <c r="J41" s="338"/>
      <c r="K41" s="338"/>
      <c r="L41" s="338"/>
      <c r="M41" s="338"/>
      <c r="N41" s="338"/>
      <c r="O41" s="338"/>
    </row>
    <row r="42" spans="1:21" ht="42.75" hidden="1" customHeight="1" thickTop="1" thickBot="1">
      <c r="C42" s="338"/>
      <c r="D42" s="338"/>
      <c r="E42" s="399" t="s">
        <v>169</v>
      </c>
      <c r="F42" s="399" t="s">
        <v>39</v>
      </c>
      <c r="G42" s="338" t="s">
        <v>170</v>
      </c>
      <c r="H42" s="338"/>
      <c r="I42" s="338" t="s">
        <v>172</v>
      </c>
      <c r="J42" s="338"/>
      <c r="K42" s="338"/>
      <c r="L42" s="338"/>
      <c r="M42" s="338"/>
      <c r="N42" s="399" t="s">
        <v>174</v>
      </c>
      <c r="O42" s="399" t="s">
        <v>175</v>
      </c>
      <c r="P42" s="7"/>
    </row>
    <row r="43" spans="1:21" ht="46.5" hidden="1" customHeight="1" thickTop="1" thickBot="1">
      <c r="C43" s="338"/>
      <c r="D43" s="338"/>
      <c r="E43" s="399"/>
      <c r="F43" s="399"/>
      <c r="G43" s="53" t="s">
        <v>78</v>
      </c>
      <c r="H43" s="53" t="s">
        <v>79</v>
      </c>
      <c r="I43" s="54" t="s">
        <v>103</v>
      </c>
      <c r="J43" s="54" t="s">
        <v>104</v>
      </c>
      <c r="K43" s="54" t="s">
        <v>105</v>
      </c>
      <c r="L43" s="54" t="s">
        <v>171</v>
      </c>
      <c r="M43" s="54" t="s">
        <v>106</v>
      </c>
      <c r="N43" s="399"/>
      <c r="O43" s="399"/>
      <c r="P43" s="7"/>
    </row>
    <row r="44" spans="1:21" ht="52.5" hidden="1" customHeight="1" thickTop="1" thickBot="1">
      <c r="C44" s="348" t="s">
        <v>80</v>
      </c>
      <c r="D44" s="349"/>
      <c r="E44" s="53">
        <f>'الفنون الجميلة'!AOL10</f>
        <v>2</v>
      </c>
      <c r="F44" s="53">
        <f>'الفنون الجميلة'!AOY10</f>
        <v>4151</v>
      </c>
      <c r="G44" s="53">
        <f>'الفنون الجميلة'!AOZ10</f>
        <v>2</v>
      </c>
      <c r="H44" s="4">
        <f>'الفنون الجميلة'!APA10</f>
        <v>2</v>
      </c>
      <c r="I44" s="4">
        <f>'الفنون الجميلة'!APB10</f>
        <v>0</v>
      </c>
      <c r="J44" s="4">
        <f>'الفنون الجميلة'!APD10</f>
        <v>0</v>
      </c>
      <c r="K44" s="4">
        <f>'الفنون الجميلة'!APF10</f>
        <v>0</v>
      </c>
      <c r="L44" s="4">
        <f>'الفنون الجميلة'!APH10</f>
        <v>0</v>
      </c>
      <c r="M44" s="4">
        <f>'الفنون الجميلة'!APJ10</f>
        <v>0</v>
      </c>
      <c r="N44" s="4">
        <f>'الفنون الجميلة'!APL10</f>
        <v>0</v>
      </c>
      <c r="O44" s="4">
        <f>'الفنون الجميلة'!APN10</f>
        <v>2</v>
      </c>
      <c r="P44" s="7"/>
    </row>
    <row r="45" spans="1:21" ht="27.75" customHeight="1" thickTop="1"/>
  </sheetData>
  <mergeCells count="140">
    <mergeCell ref="R35:S35"/>
    <mergeCell ref="T35:U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A38:R38"/>
    <mergeCell ref="A39:R39"/>
    <mergeCell ref="A40:R40"/>
    <mergeCell ref="N29:N30"/>
    <mergeCell ref="O29:O30"/>
    <mergeCell ref="P29:P30"/>
    <mergeCell ref="R29:R30"/>
    <mergeCell ref="T29:T30"/>
    <mergeCell ref="I29:I30"/>
    <mergeCell ref="J29:J30"/>
    <mergeCell ref="K29:K30"/>
    <mergeCell ref="L29:L30"/>
    <mergeCell ref="M29:M30"/>
    <mergeCell ref="Q29:Q30"/>
    <mergeCell ref="B34:I34"/>
    <mergeCell ref="J34:U34"/>
    <mergeCell ref="B35:C35"/>
    <mergeCell ref="D35:E35"/>
    <mergeCell ref="F35:G35"/>
    <mergeCell ref="H35:I35"/>
    <mergeCell ref="J35:K35"/>
    <mergeCell ref="L35:M35"/>
    <mergeCell ref="N35:O35"/>
    <mergeCell ref="P35:Q35"/>
    <mergeCell ref="C44:D44"/>
    <mergeCell ref="C41:D43"/>
    <mergeCell ref="E41:F41"/>
    <mergeCell ref="G41:O41"/>
    <mergeCell ref="E42:E43"/>
    <mergeCell ref="F42:F43"/>
    <mergeCell ref="G42:H42"/>
    <mergeCell ref="I42:M42"/>
    <mergeCell ref="N42:N43"/>
    <mergeCell ref="O42:O43"/>
    <mergeCell ref="T14:U14"/>
    <mergeCell ref="A26:U26"/>
    <mergeCell ref="A27:U27"/>
    <mergeCell ref="A28:A30"/>
    <mergeCell ref="B28:D28"/>
    <mergeCell ref="E28:G28"/>
    <mergeCell ref="H28:J28"/>
    <mergeCell ref="K28:L28"/>
    <mergeCell ref="B29:C29"/>
    <mergeCell ref="D29:D30"/>
    <mergeCell ref="N14:O14"/>
    <mergeCell ref="A23:E23"/>
    <mergeCell ref="E29:E30"/>
    <mergeCell ref="F29:F30"/>
    <mergeCell ref="G29:G30"/>
    <mergeCell ref="H29:H30"/>
    <mergeCell ref="U29:U30"/>
    <mergeCell ref="S28:S30"/>
    <mergeCell ref="T28:V28"/>
    <mergeCell ref="V29:V30"/>
    <mergeCell ref="M28:R28"/>
    <mergeCell ref="A24:E24"/>
    <mergeCell ref="F24:O24"/>
    <mergeCell ref="S24:U24"/>
    <mergeCell ref="A25:U25"/>
    <mergeCell ref="C22:D22"/>
    <mergeCell ref="E6:G6"/>
    <mergeCell ref="E7:E8"/>
    <mergeCell ref="G20:H20"/>
    <mergeCell ref="E20:E21"/>
    <mergeCell ref="F20:F21"/>
    <mergeCell ref="N20:N21"/>
    <mergeCell ref="O20:O21"/>
    <mergeCell ref="I20:M20"/>
    <mergeCell ref="N13:O13"/>
    <mergeCell ref="P13:Q13"/>
    <mergeCell ref="R13:S13"/>
    <mergeCell ref="T13:U13"/>
    <mergeCell ref="B12:I12"/>
    <mergeCell ref="J12:U12"/>
    <mergeCell ref="B14:C14"/>
    <mergeCell ref="D14:E14"/>
    <mergeCell ref="T6:W6"/>
    <mergeCell ref="F11:P11"/>
    <mergeCell ref="V7:V8"/>
    <mergeCell ref="W7:W8"/>
    <mergeCell ref="E19:F19"/>
    <mergeCell ref="G19:O19"/>
    <mergeCell ref="S6:S8"/>
    <mergeCell ref="F7:F8"/>
    <mergeCell ref="G7:G8"/>
    <mergeCell ref="H7:H8"/>
    <mergeCell ref="I7:I8"/>
    <mergeCell ref="J7:J8"/>
    <mergeCell ref="A16:R16"/>
    <mergeCell ref="A17:R17"/>
    <mergeCell ref="A18:R18"/>
    <mergeCell ref="P14:Q14"/>
    <mergeCell ref="R14:S14"/>
    <mergeCell ref="C19:D21"/>
    <mergeCell ref="B13:C13"/>
    <mergeCell ref="D13:E13"/>
    <mergeCell ref="F13:G13"/>
    <mergeCell ref="H13:I13"/>
    <mergeCell ref="J13:K13"/>
    <mergeCell ref="L13:M13"/>
    <mergeCell ref="F14:G14"/>
    <mergeCell ref="H14:I14"/>
    <mergeCell ref="J14:K14"/>
    <mergeCell ref="L14:M14"/>
    <mergeCell ref="T7:T8"/>
    <mergeCell ref="Q7:Q8"/>
    <mergeCell ref="M6:R6"/>
    <mergeCell ref="A2:E2"/>
    <mergeCell ref="A5:U5"/>
    <mergeCell ref="A4:U4"/>
    <mergeCell ref="F2:O2"/>
    <mergeCell ref="A1:E1"/>
    <mergeCell ref="S2:U2"/>
    <mergeCell ref="K7:K8"/>
    <mergeCell ref="L7:L8"/>
    <mergeCell ref="H6:J6"/>
    <mergeCell ref="A6:A8"/>
    <mergeCell ref="B6:D6"/>
    <mergeCell ref="B7:C7"/>
    <mergeCell ref="D7:D8"/>
    <mergeCell ref="M7:M8"/>
    <mergeCell ref="N7:N8"/>
    <mergeCell ref="O7:O8"/>
    <mergeCell ref="P7:P8"/>
    <mergeCell ref="R7:R8"/>
    <mergeCell ref="K6:L6"/>
    <mergeCell ref="U7:U8"/>
    <mergeCell ref="A3:U3"/>
  </mergeCells>
  <printOptions horizontalCentered="1" verticalCentered="1"/>
  <pageMargins left="0.11811023622047245" right="0.2" top="0.39370078740157483" bottom="0.27559055118110237" header="0.31496062992125984" footer="0.31496062992125984"/>
  <pageSetup paperSize="9" scale="54" orientation="landscape" horizontalDpi="300" verticalDpi="300" r:id="rId1"/>
  <rowBreaks count="1" manualBreakCount="1">
    <brk id="22" max="2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12"/>
  <sheetViews>
    <sheetView rightToLeft="1" view="pageBreakPreview" zoomScale="50" zoomScaleNormal="60" zoomScaleSheetLayoutView="50" workbookViewId="0">
      <selection activeCell="I8" sqref="I8"/>
    </sheetView>
  </sheetViews>
  <sheetFormatPr defaultColWidth="9" defaultRowHeight="28.8"/>
  <cols>
    <col min="1" max="1" width="16.6640625" style="62" bestFit="1" customWidth="1"/>
    <col min="2" max="2" width="8.109375" style="62" bestFit="1" customWidth="1"/>
    <col min="3" max="3" width="8.109375" style="62" customWidth="1"/>
    <col min="4" max="25" width="8.109375" style="62" bestFit="1" customWidth="1"/>
    <col min="26" max="26" width="8.109375" style="62" customWidth="1"/>
    <col min="27" max="32" width="8.109375" style="62" bestFit="1" customWidth="1"/>
    <col min="33" max="34" width="8.109375" style="62" customWidth="1"/>
    <col min="35" max="35" width="8.109375" style="62" bestFit="1" customWidth="1"/>
    <col min="36" max="36" width="10.6640625" style="62" bestFit="1" customWidth="1"/>
    <col min="37" max="16384" width="9" style="62"/>
  </cols>
  <sheetData>
    <row r="1" spans="1:36" s="61" customFormat="1" ht="36" customHeight="1">
      <c r="A1" s="415" t="s">
        <v>119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</row>
    <row r="2" spans="1:36" s="61" customFormat="1" ht="36" customHeight="1">
      <c r="A2" s="414" t="s">
        <v>121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 t="s">
        <v>122</v>
      </c>
      <c r="N2" s="414"/>
      <c r="O2" s="414"/>
      <c r="P2" s="414"/>
      <c r="Q2" s="414"/>
      <c r="R2" s="414"/>
      <c r="S2" s="414"/>
      <c r="T2" s="414"/>
      <c r="U2" s="414"/>
      <c r="V2" s="414"/>
      <c r="W2" s="414"/>
      <c r="AD2" s="416" t="s">
        <v>80</v>
      </c>
      <c r="AE2" s="416"/>
      <c r="AF2" s="416"/>
      <c r="AG2" s="416"/>
      <c r="AH2" s="416"/>
      <c r="AI2" s="416"/>
      <c r="AJ2" s="416"/>
    </row>
    <row r="3" spans="1:36" s="61" customFormat="1" ht="36" customHeight="1">
      <c r="A3" s="414" t="s">
        <v>239</v>
      </c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 s="414"/>
      <c r="AG3" s="414"/>
      <c r="AH3" s="414"/>
      <c r="AI3" s="414"/>
      <c r="AJ3" s="414"/>
    </row>
    <row r="4" spans="1:36" s="61" customFormat="1" ht="36" customHeight="1">
      <c r="A4" s="414" t="s">
        <v>437</v>
      </c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414"/>
      <c r="AF4" s="414"/>
      <c r="AG4" s="414"/>
      <c r="AH4" s="414"/>
      <c r="AI4" s="414"/>
      <c r="AJ4" s="414"/>
    </row>
    <row r="5" spans="1:36" s="61" customFormat="1" ht="36" customHeight="1">
      <c r="A5" s="414" t="s">
        <v>240</v>
      </c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</row>
    <row r="7" spans="1:36" ht="29.4" thickBot="1"/>
    <row r="8" spans="1:36" s="61" customFormat="1" ht="182.25" customHeight="1" thickTop="1" thickBot="1">
      <c r="A8" s="63" t="s">
        <v>237</v>
      </c>
      <c r="B8" s="64" t="s">
        <v>202</v>
      </c>
      <c r="C8" s="64" t="s">
        <v>203</v>
      </c>
      <c r="D8" s="64" t="s">
        <v>241</v>
      </c>
      <c r="E8" s="64" t="s">
        <v>205</v>
      </c>
      <c r="F8" s="64" t="s">
        <v>206</v>
      </c>
      <c r="G8" s="64" t="s">
        <v>207</v>
      </c>
      <c r="H8" s="64" t="s">
        <v>208</v>
      </c>
      <c r="I8" s="64" t="s">
        <v>209</v>
      </c>
      <c r="J8" s="64" t="s">
        <v>210</v>
      </c>
      <c r="K8" s="64" t="s">
        <v>211</v>
      </c>
      <c r="L8" s="64" t="s">
        <v>212</v>
      </c>
      <c r="M8" s="64" t="s">
        <v>213</v>
      </c>
      <c r="N8" s="64" t="s">
        <v>214</v>
      </c>
      <c r="O8" s="64" t="s">
        <v>215</v>
      </c>
      <c r="P8" s="64" t="s">
        <v>216</v>
      </c>
      <c r="Q8" s="64" t="s">
        <v>217</v>
      </c>
      <c r="R8" s="64" t="s">
        <v>238</v>
      </c>
      <c r="S8" s="64" t="s">
        <v>219</v>
      </c>
      <c r="T8" s="64" t="s">
        <v>220</v>
      </c>
      <c r="U8" s="64" t="s">
        <v>221</v>
      </c>
      <c r="V8" s="64" t="s">
        <v>222</v>
      </c>
      <c r="W8" s="64" t="s">
        <v>223</v>
      </c>
      <c r="X8" s="64" t="s">
        <v>224</v>
      </c>
      <c r="Y8" s="64" t="s">
        <v>225</v>
      </c>
      <c r="Z8" s="64" t="s">
        <v>388</v>
      </c>
      <c r="AA8" s="64" t="s">
        <v>226</v>
      </c>
      <c r="AB8" s="64" t="s">
        <v>227</v>
      </c>
      <c r="AC8" s="64" t="s">
        <v>228</v>
      </c>
      <c r="AD8" s="64" t="s">
        <v>229</v>
      </c>
      <c r="AE8" s="64" t="s">
        <v>230</v>
      </c>
      <c r="AF8" s="64" t="s">
        <v>231</v>
      </c>
      <c r="AG8" s="64" t="s">
        <v>274</v>
      </c>
      <c r="AH8" s="64" t="s">
        <v>275</v>
      </c>
      <c r="AI8" s="64" t="s">
        <v>30</v>
      </c>
      <c r="AJ8" s="64" t="s">
        <v>20</v>
      </c>
    </row>
    <row r="9" spans="1:36" s="61" customFormat="1" ht="80.25" customHeight="1" thickTop="1" thickBot="1">
      <c r="A9" s="60" t="s">
        <v>65</v>
      </c>
      <c r="B9" s="89">
        <f>'الفنون الجميلة'!MG17</f>
        <v>2</v>
      </c>
      <c r="C9" s="89">
        <f>'الفنون الجميلة'!MZ17</f>
        <v>5</v>
      </c>
      <c r="D9" s="89">
        <f>'الفنون الجميلة'!NS17</f>
        <v>4</v>
      </c>
      <c r="E9" s="89">
        <f>'الفنون الجميلة'!OL17</f>
        <v>0</v>
      </c>
      <c r="F9" s="89">
        <f>'الفنون الجميلة'!PE17</f>
        <v>0</v>
      </c>
      <c r="G9" s="89">
        <f>'الفنون الجميلة'!PX17</f>
        <v>0</v>
      </c>
      <c r="H9" s="89">
        <f>'الفنون الجميلة'!QQ17</f>
        <v>0</v>
      </c>
      <c r="I9" s="89">
        <f>'الفنون الجميلة'!RJ17</f>
        <v>0</v>
      </c>
      <c r="J9" s="89">
        <f>'الفنون الجميلة'!SC17</f>
        <v>0</v>
      </c>
      <c r="K9" s="89">
        <f>'الفنون الجميلة'!SV17</f>
        <v>0</v>
      </c>
      <c r="L9" s="89">
        <f>'الفنون الجميلة'!TO17</f>
        <v>0</v>
      </c>
      <c r="M9" s="89">
        <f>'الفنون الجميلة'!UH17</f>
        <v>0</v>
      </c>
      <c r="N9" s="89">
        <f>'الفنون الجميلة'!VA17</f>
        <v>0</v>
      </c>
      <c r="O9" s="89">
        <f>'الفنون الجميلة'!VT17</f>
        <v>2</v>
      </c>
      <c r="P9" s="89">
        <f>'الفنون الجميلة'!WM17</f>
        <v>14</v>
      </c>
      <c r="Q9" s="89">
        <f>'الفنون الجميلة'!XF17</f>
        <v>0</v>
      </c>
      <c r="R9" s="89">
        <f>'الفنون الجميلة'!XY17</f>
        <v>2</v>
      </c>
      <c r="S9" s="89">
        <f>'الفنون الجميلة'!YR17</f>
        <v>0</v>
      </c>
      <c r="T9" s="89">
        <f>'الفنون الجميلة'!ZK17</f>
        <v>0</v>
      </c>
      <c r="U9" s="89">
        <f>'الفنون الجميلة'!AAD17</f>
        <v>1</v>
      </c>
      <c r="V9" s="89">
        <f>'الفنون الجميلة'!AAW17</f>
        <v>8</v>
      </c>
      <c r="W9" s="89">
        <f>'الفنون الجميلة'!ABP17</f>
        <v>0</v>
      </c>
      <c r="X9" s="89">
        <f>'الفنون الجميلة'!ACI17</f>
        <v>0</v>
      </c>
      <c r="Y9" s="89">
        <f>'الفنون الجميلة'!ADB17</f>
        <v>0</v>
      </c>
      <c r="Z9" s="89">
        <f>'الفنون الجميلة'!AIE17</f>
        <v>1</v>
      </c>
      <c r="AA9" s="89">
        <f>'الفنون الجميلة'!ADU17</f>
        <v>8</v>
      </c>
      <c r="AB9" s="89">
        <f>'الفنون الجميلة'!AEN17</f>
        <v>2</v>
      </c>
      <c r="AC9" s="89">
        <f>'الفنون الجميلة'!AFG17</f>
        <v>0</v>
      </c>
      <c r="AD9" s="89">
        <f>'الفنون الجميلة'!AFZ17</f>
        <v>1</v>
      </c>
      <c r="AE9" s="89">
        <f>'الفنون الجميلة'!AGS17</f>
        <v>3</v>
      </c>
      <c r="AF9" s="89">
        <f>'الفنون الجميلة'!AHL17</f>
        <v>0</v>
      </c>
      <c r="AG9" s="89"/>
      <c r="AH9" s="89"/>
      <c r="AI9" s="89">
        <f>'الفنون الجميلة'!AIX17</f>
        <v>4</v>
      </c>
      <c r="AJ9" s="89">
        <f>SUM(B9:AI9)</f>
        <v>57</v>
      </c>
    </row>
    <row r="10" spans="1:36" s="61" customFormat="1" ht="80.25" customHeight="1" thickTop="1" thickBot="1">
      <c r="A10" s="60" t="s">
        <v>23</v>
      </c>
      <c r="B10" s="89">
        <f>'الفنون الجميلة'!MH17</f>
        <v>8</v>
      </c>
      <c r="C10" s="89">
        <f>'الفنون الجميلة'!NA17</f>
        <v>6</v>
      </c>
      <c r="D10" s="89">
        <f>'الفنون الجميلة'!NT17</f>
        <v>9</v>
      </c>
      <c r="E10" s="89">
        <f>'الفنون الجميلة'!OM17</f>
        <v>0</v>
      </c>
      <c r="F10" s="89">
        <f>'الفنون الجميلة'!PF17</f>
        <v>0</v>
      </c>
      <c r="G10" s="89">
        <f>'الفنون الجميلة'!PY17</f>
        <v>0</v>
      </c>
      <c r="H10" s="89">
        <f>'الفنون الجميلة'!QR17</f>
        <v>0</v>
      </c>
      <c r="I10" s="89">
        <f>'الفنون الجميلة'!RK17</f>
        <v>0</v>
      </c>
      <c r="J10" s="89">
        <f>'الفنون الجميلة'!SD17</f>
        <v>0</v>
      </c>
      <c r="K10" s="89">
        <f>'الفنون الجميلة'!SW17</f>
        <v>0</v>
      </c>
      <c r="L10" s="89">
        <f>'الفنون الجميلة'!TP17</f>
        <v>0</v>
      </c>
      <c r="M10" s="89">
        <f>'الفنون الجميلة'!UI17</f>
        <v>0</v>
      </c>
      <c r="N10" s="89">
        <f>'الفنون الجميلة'!VB17</f>
        <v>0</v>
      </c>
      <c r="O10" s="89">
        <f>'الفنون الجميلة'!VU17</f>
        <v>1</v>
      </c>
      <c r="P10" s="89">
        <f>'الفنون الجميلة'!WN17</f>
        <v>9</v>
      </c>
      <c r="Q10" s="89">
        <f>'الفنون الجميلة'!XG17</f>
        <v>0</v>
      </c>
      <c r="R10" s="89">
        <f>'الفنون الجميلة'!XZ17</f>
        <v>1</v>
      </c>
      <c r="S10" s="89">
        <f>'الفنون الجميلة'!YS17</f>
        <v>0</v>
      </c>
      <c r="T10" s="89">
        <f>'الفنون الجميلة'!ZL17</f>
        <v>0</v>
      </c>
      <c r="U10" s="89">
        <f>'الفنون الجميلة'!AAE17</f>
        <v>2</v>
      </c>
      <c r="V10" s="89">
        <f>'الفنون الجميلة'!AAX17</f>
        <v>2</v>
      </c>
      <c r="W10" s="89">
        <f>'الفنون الجميلة'!ABQ17</f>
        <v>0</v>
      </c>
      <c r="X10" s="89">
        <f>'الفنون الجميلة'!ACJ17</f>
        <v>0</v>
      </c>
      <c r="Y10" s="89">
        <f>'الفنون الجميلة'!ADC17</f>
        <v>0</v>
      </c>
      <c r="Z10" s="89">
        <f>'الفنون الجميلة'!AIF17</f>
        <v>0</v>
      </c>
      <c r="AA10" s="89">
        <f>'الفنون الجميلة'!ADV17</f>
        <v>1</v>
      </c>
      <c r="AB10" s="89">
        <f>'الفنون الجميلة'!AEO17</f>
        <v>0</v>
      </c>
      <c r="AC10" s="89">
        <f>'الفنون الجميلة'!AFH17</f>
        <v>0</v>
      </c>
      <c r="AD10" s="89">
        <f>'الفنون الجميلة'!AGA17</f>
        <v>1</v>
      </c>
      <c r="AE10" s="89">
        <f>'الفنون الجميلة'!AGT17</f>
        <v>0</v>
      </c>
      <c r="AF10" s="89">
        <f>'الفنون الجميلة'!AHM17</f>
        <v>0</v>
      </c>
      <c r="AG10" s="89"/>
      <c r="AH10" s="89"/>
      <c r="AI10" s="89">
        <f>'الفنون الجميلة'!AIY17</f>
        <v>0</v>
      </c>
      <c r="AJ10" s="89">
        <f>SUM(B10:AI10)</f>
        <v>40</v>
      </c>
    </row>
    <row r="11" spans="1:36" s="61" customFormat="1" ht="80.25" customHeight="1" thickTop="1" thickBot="1">
      <c r="A11" s="60" t="s">
        <v>20</v>
      </c>
      <c r="B11" s="89">
        <f>B10+B9</f>
        <v>10</v>
      </c>
      <c r="C11" s="89">
        <f t="shared" ref="C11:AI11" si="0">C10+C9</f>
        <v>11</v>
      </c>
      <c r="D11" s="89">
        <f t="shared" si="0"/>
        <v>13</v>
      </c>
      <c r="E11" s="89">
        <f t="shared" si="0"/>
        <v>0</v>
      </c>
      <c r="F11" s="89">
        <f t="shared" si="0"/>
        <v>0</v>
      </c>
      <c r="G11" s="89">
        <f t="shared" si="0"/>
        <v>0</v>
      </c>
      <c r="H11" s="89">
        <f t="shared" si="0"/>
        <v>0</v>
      </c>
      <c r="I11" s="89">
        <f t="shared" si="0"/>
        <v>0</v>
      </c>
      <c r="J11" s="89">
        <f t="shared" si="0"/>
        <v>0</v>
      </c>
      <c r="K11" s="89">
        <f t="shared" si="0"/>
        <v>0</v>
      </c>
      <c r="L11" s="89">
        <f t="shared" si="0"/>
        <v>0</v>
      </c>
      <c r="M11" s="89">
        <f t="shared" si="0"/>
        <v>0</v>
      </c>
      <c r="N11" s="89">
        <f t="shared" si="0"/>
        <v>0</v>
      </c>
      <c r="O11" s="89">
        <f t="shared" si="0"/>
        <v>3</v>
      </c>
      <c r="P11" s="89">
        <f t="shared" si="0"/>
        <v>23</v>
      </c>
      <c r="Q11" s="89">
        <f t="shared" si="0"/>
        <v>0</v>
      </c>
      <c r="R11" s="89">
        <f t="shared" si="0"/>
        <v>3</v>
      </c>
      <c r="S11" s="89">
        <f t="shared" si="0"/>
        <v>0</v>
      </c>
      <c r="T11" s="89">
        <f t="shared" si="0"/>
        <v>0</v>
      </c>
      <c r="U11" s="89">
        <f t="shared" si="0"/>
        <v>3</v>
      </c>
      <c r="V11" s="89">
        <f t="shared" si="0"/>
        <v>10</v>
      </c>
      <c r="W11" s="89">
        <f t="shared" si="0"/>
        <v>0</v>
      </c>
      <c r="X11" s="89">
        <f t="shared" si="0"/>
        <v>0</v>
      </c>
      <c r="Y11" s="89">
        <f t="shared" si="0"/>
        <v>0</v>
      </c>
      <c r="Z11" s="89">
        <f t="shared" si="0"/>
        <v>1</v>
      </c>
      <c r="AA11" s="89">
        <f t="shared" si="0"/>
        <v>9</v>
      </c>
      <c r="AB11" s="89">
        <f t="shared" si="0"/>
        <v>2</v>
      </c>
      <c r="AC11" s="89">
        <f t="shared" si="0"/>
        <v>0</v>
      </c>
      <c r="AD11" s="89">
        <f t="shared" si="0"/>
        <v>2</v>
      </c>
      <c r="AE11" s="89">
        <f t="shared" si="0"/>
        <v>3</v>
      </c>
      <c r="AF11" s="89">
        <f t="shared" si="0"/>
        <v>0</v>
      </c>
      <c r="AG11" s="89">
        <f t="shared" si="0"/>
        <v>0</v>
      </c>
      <c r="AH11" s="89">
        <f t="shared" si="0"/>
        <v>0</v>
      </c>
      <c r="AI11" s="89">
        <f t="shared" si="0"/>
        <v>4</v>
      </c>
      <c r="AJ11" s="89">
        <f>SUM(B11:AI11)</f>
        <v>97</v>
      </c>
    </row>
    <row r="12" spans="1:36" ht="29.4" thickTop="1"/>
  </sheetData>
  <mergeCells count="7">
    <mergeCell ref="A4:AJ4"/>
    <mergeCell ref="A5:AJ5"/>
    <mergeCell ref="A1:M1"/>
    <mergeCell ref="A2:L2"/>
    <mergeCell ref="M2:W2"/>
    <mergeCell ref="AD2:AJ2"/>
    <mergeCell ref="A3:AJ3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paperSize="9" scale="4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64"/>
  <sheetViews>
    <sheetView rightToLeft="1" view="pageBreakPreview" zoomScale="98" zoomScaleNormal="100" zoomScaleSheetLayoutView="98" workbookViewId="0">
      <selection activeCell="I29" sqref="I29"/>
    </sheetView>
  </sheetViews>
  <sheetFormatPr defaultRowHeight="14.4"/>
  <cols>
    <col min="5" max="5" width="10.109375" customWidth="1"/>
  </cols>
  <sheetData>
    <row r="1" spans="1:17" ht="22.8">
      <c r="A1" s="66" t="s">
        <v>265</v>
      </c>
      <c r="B1" s="67"/>
      <c r="C1" s="67"/>
      <c r="D1" s="67"/>
      <c r="E1" s="67"/>
      <c r="F1" s="68"/>
      <c r="G1" s="68"/>
      <c r="H1" s="68"/>
      <c r="I1" s="68"/>
      <c r="J1" s="68"/>
      <c r="K1" s="68"/>
      <c r="L1" s="66" t="s">
        <v>122</v>
      </c>
      <c r="M1" s="67"/>
      <c r="N1" s="67"/>
      <c r="O1" s="68"/>
      <c r="P1" s="68"/>
      <c r="Q1" s="68"/>
    </row>
    <row r="2" spans="1:17" ht="22.8">
      <c r="A2" s="417" t="s">
        <v>333</v>
      </c>
      <c r="B2" s="417"/>
      <c r="C2" s="417"/>
      <c r="D2" s="417"/>
      <c r="E2" s="417"/>
      <c r="F2" s="68"/>
      <c r="G2" s="68"/>
      <c r="H2" s="68"/>
      <c r="I2" s="68"/>
      <c r="J2" s="68"/>
      <c r="K2" s="68"/>
      <c r="L2" s="417" t="s">
        <v>393</v>
      </c>
      <c r="M2" s="417"/>
      <c r="N2" s="417"/>
      <c r="O2" s="68"/>
      <c r="P2" s="68"/>
      <c r="Q2" s="68"/>
    </row>
    <row r="3" spans="1:17" ht="22.8">
      <c r="B3" s="67"/>
      <c r="C3" s="67"/>
      <c r="D3" s="67"/>
      <c r="E3" s="67"/>
      <c r="F3" s="67"/>
      <c r="G3" s="66" t="s">
        <v>363</v>
      </c>
      <c r="H3" s="67"/>
      <c r="I3" s="67"/>
      <c r="J3" s="67"/>
      <c r="K3" s="67"/>
      <c r="L3" s="67"/>
      <c r="M3" s="67"/>
      <c r="N3" s="67"/>
      <c r="O3" s="67"/>
      <c r="P3" s="67"/>
      <c r="Q3" s="67"/>
    </row>
    <row r="4" spans="1:17" ht="14.25" customHeight="1">
      <c r="E4" s="417" t="s">
        <v>444</v>
      </c>
      <c r="F4" s="417"/>
      <c r="G4" s="417"/>
      <c r="H4" s="417"/>
      <c r="I4" s="417"/>
      <c r="J4" s="417"/>
    </row>
    <row r="5" spans="1:17" ht="24" thickBot="1">
      <c r="B5" s="69" t="s">
        <v>406</v>
      </c>
      <c r="F5" s="67"/>
      <c r="K5" s="69" t="s">
        <v>357</v>
      </c>
    </row>
    <row r="6" spans="1:17" ht="70.2" thickTop="1" thickBot="1">
      <c r="B6" s="70" t="s">
        <v>334</v>
      </c>
      <c r="C6" s="70" t="s">
        <v>335</v>
      </c>
      <c r="D6" s="70" t="s">
        <v>336</v>
      </c>
      <c r="E6" s="70" t="s">
        <v>337</v>
      </c>
      <c r="F6" s="418" t="s">
        <v>338</v>
      </c>
      <c r="G6" s="419"/>
      <c r="H6" s="420"/>
      <c r="I6" s="70" t="s">
        <v>339</v>
      </c>
      <c r="K6" s="70" t="s">
        <v>340</v>
      </c>
      <c r="L6" s="70" t="s">
        <v>341</v>
      </c>
      <c r="M6" s="70" t="s">
        <v>342</v>
      </c>
      <c r="N6" s="70" t="s">
        <v>343</v>
      </c>
    </row>
    <row r="7" spans="1:17" ht="16.5" customHeight="1" thickTop="1" thickBot="1">
      <c r="B7" s="387">
        <f>'الفنون الجميلة'!ANV17</f>
        <v>2</v>
      </c>
      <c r="C7" s="387">
        <f>'الفنون الجميلة'!ANW17</f>
        <v>2</v>
      </c>
      <c r="D7" s="387">
        <v>0</v>
      </c>
      <c r="E7" s="387">
        <v>0</v>
      </c>
      <c r="F7" s="70" t="s">
        <v>344</v>
      </c>
      <c r="G7" s="70" t="s">
        <v>345</v>
      </c>
      <c r="H7" s="70" t="s">
        <v>346</v>
      </c>
      <c r="I7" s="421">
        <f>'الفنون الجميلة'!ANY17</f>
        <v>0</v>
      </c>
      <c r="K7" s="387">
        <f>'الفنون الجميلة'!Q17</f>
        <v>2</v>
      </c>
      <c r="L7" s="387">
        <f>'الفنون الجميلة'!R17</f>
        <v>0</v>
      </c>
      <c r="M7" s="387">
        <f>'الفنون الجميلة'!S17</f>
        <v>2</v>
      </c>
      <c r="N7" s="387">
        <f>'الفنون الجميلة'!T17</f>
        <v>0</v>
      </c>
    </row>
    <row r="8" spans="1:17" ht="18.600000000000001" thickTop="1" thickBot="1">
      <c r="B8" s="388"/>
      <c r="C8" s="388"/>
      <c r="D8" s="388"/>
      <c r="E8" s="388"/>
      <c r="F8" s="77">
        <v>0</v>
      </c>
      <c r="G8" s="77">
        <v>0</v>
      </c>
      <c r="H8" s="77">
        <v>0</v>
      </c>
      <c r="I8" s="422"/>
      <c r="K8" s="388"/>
      <c r="L8" s="388"/>
      <c r="M8" s="388"/>
      <c r="N8" s="388"/>
    </row>
    <row r="9" spans="1:17" ht="15" thickTop="1"/>
    <row r="10" spans="1:17" ht="24" thickBot="1">
      <c r="B10" s="72" t="s">
        <v>360</v>
      </c>
    </row>
    <row r="11" spans="1:17" ht="15.6" thickTop="1" thickBot="1">
      <c r="B11" s="418" t="s">
        <v>350</v>
      </c>
      <c r="C11" s="420"/>
      <c r="D11" s="423" t="s">
        <v>351</v>
      </c>
      <c r="E11" s="424"/>
      <c r="F11" s="418" t="s">
        <v>352</v>
      </c>
      <c r="G11" s="420"/>
      <c r="H11" s="418" t="s">
        <v>383</v>
      </c>
      <c r="I11" s="420"/>
      <c r="J11" s="418" t="s">
        <v>143</v>
      </c>
      <c r="K11" s="419"/>
      <c r="L11" s="420"/>
    </row>
    <row r="12" spans="1:17" ht="15.6" thickTop="1" thickBot="1">
      <c r="B12" s="70" t="s">
        <v>65</v>
      </c>
      <c r="C12" s="70" t="s">
        <v>23</v>
      </c>
      <c r="D12" s="70" t="s">
        <v>65</v>
      </c>
      <c r="E12" s="70" t="s">
        <v>23</v>
      </c>
      <c r="F12" s="70" t="s">
        <v>65</v>
      </c>
      <c r="G12" s="70" t="s">
        <v>23</v>
      </c>
      <c r="H12" s="70" t="s">
        <v>65</v>
      </c>
      <c r="I12" s="70" t="s">
        <v>23</v>
      </c>
      <c r="J12" s="70" t="s">
        <v>65</v>
      </c>
      <c r="K12" s="70" t="s">
        <v>23</v>
      </c>
      <c r="L12" s="70" t="s">
        <v>20</v>
      </c>
    </row>
    <row r="13" spans="1:17" ht="21.75" customHeight="1" thickTop="1" thickBot="1">
      <c r="B13" s="92">
        <f>'الفنون الجميلة'!AJT17</f>
        <v>1</v>
      </c>
      <c r="C13" s="92">
        <f>'الفنون الجميلة'!AJU17</f>
        <v>0</v>
      </c>
      <c r="D13" s="92">
        <f>'الفنون الجميلة'!AJV17</f>
        <v>11</v>
      </c>
      <c r="E13" s="92">
        <f>'الفنون الجميلة'!AJW17</f>
        <v>10</v>
      </c>
      <c r="F13" s="92">
        <f>'الفنون الجميلة'!AJX17</f>
        <v>18</v>
      </c>
      <c r="G13" s="92">
        <f>'الفنون الجميلة'!AJY17</f>
        <v>6</v>
      </c>
      <c r="H13" s="92">
        <f>'الفنون الجميلة'!AJZ17</f>
        <v>27</v>
      </c>
      <c r="I13" s="92">
        <f>'الفنون الجميلة'!AKA17</f>
        <v>24</v>
      </c>
      <c r="J13" s="92">
        <f>F13+D13+B13+H13</f>
        <v>57</v>
      </c>
      <c r="K13" s="92">
        <f>G13+E13+C13+I13</f>
        <v>40</v>
      </c>
      <c r="L13" s="92">
        <f>SUM(J13:K13)</f>
        <v>97</v>
      </c>
    </row>
    <row r="14" spans="1:17" ht="15" thickTop="1"/>
    <row r="15" spans="1:17" ht="24" thickBot="1">
      <c r="B15" s="72" t="s">
        <v>361</v>
      </c>
    </row>
    <row r="16" spans="1:17" ht="15.6" thickTop="1" thickBot="1">
      <c r="B16" s="418" t="s">
        <v>353</v>
      </c>
      <c r="C16" s="420"/>
      <c r="D16" s="423" t="s">
        <v>354</v>
      </c>
      <c r="E16" s="424"/>
      <c r="F16" s="418" t="s">
        <v>355</v>
      </c>
      <c r="G16" s="420"/>
      <c r="H16" s="418" t="s">
        <v>356</v>
      </c>
      <c r="I16" s="420"/>
      <c r="J16" s="418" t="s">
        <v>381</v>
      </c>
      <c r="K16" s="420"/>
      <c r="L16" s="418" t="s">
        <v>20</v>
      </c>
      <c r="M16" s="419"/>
      <c r="N16" s="420"/>
    </row>
    <row r="17" spans="2:14" ht="15.6" thickTop="1" thickBot="1">
      <c r="B17" s="70" t="s">
        <v>65</v>
      </c>
      <c r="C17" s="70" t="s">
        <v>23</v>
      </c>
      <c r="D17" s="70" t="s">
        <v>65</v>
      </c>
      <c r="E17" s="70" t="s">
        <v>23</v>
      </c>
      <c r="F17" s="70" t="s">
        <v>65</v>
      </c>
      <c r="G17" s="70" t="s">
        <v>23</v>
      </c>
      <c r="H17" s="70" t="s">
        <v>65</v>
      </c>
      <c r="I17" s="70" t="s">
        <v>23</v>
      </c>
      <c r="J17" s="70" t="s">
        <v>65</v>
      </c>
      <c r="K17" s="70" t="s">
        <v>23</v>
      </c>
      <c r="L17" s="70" t="s">
        <v>65</v>
      </c>
      <c r="M17" s="70" t="s">
        <v>23</v>
      </c>
      <c r="N17" s="70" t="s">
        <v>20</v>
      </c>
    </row>
    <row r="18" spans="2:14" ht="24.75" customHeight="1" thickTop="1" thickBot="1">
      <c r="B18" s="92">
        <f>'الفنون الجميلة'!AKE17</f>
        <v>0</v>
      </c>
      <c r="C18" s="92">
        <f>'الفنون الجميلة'!AKF17</f>
        <v>0</v>
      </c>
      <c r="D18" s="92">
        <f>'الفنون الجميلة'!AKG17</f>
        <v>11</v>
      </c>
      <c r="E18" s="92">
        <f>'الفنون الجميلة'!AKH17</f>
        <v>4</v>
      </c>
      <c r="F18" s="92">
        <f>'الفنون الجميلة'!AKI17</f>
        <v>25</v>
      </c>
      <c r="G18" s="92">
        <f>'الفنون الجميلة'!AKJ17</f>
        <v>18</v>
      </c>
      <c r="H18" s="92">
        <f>'الفنون الجميلة'!AKK17</f>
        <v>21</v>
      </c>
      <c r="I18" s="92">
        <f>'الفنون الجميلة'!AKL17</f>
        <v>16</v>
      </c>
      <c r="J18" s="92">
        <f>'الفنون الجميلة'!AKM17</f>
        <v>0</v>
      </c>
      <c r="K18" s="92">
        <f>'الفنون الجميلة'!AKN17</f>
        <v>2</v>
      </c>
      <c r="L18" s="92">
        <f>J18+H18+F18+D18+B18</f>
        <v>57</v>
      </c>
      <c r="M18" s="92">
        <f>K18+I18+G18+E18+C18</f>
        <v>40</v>
      </c>
      <c r="N18" s="92">
        <f>SUM(L18:M18)</f>
        <v>97</v>
      </c>
    </row>
    <row r="19" spans="2:14" ht="30" customHeight="1" thickTop="1" thickBot="1">
      <c r="B19" s="69" t="s">
        <v>358</v>
      </c>
      <c r="I19" s="69" t="s">
        <v>359</v>
      </c>
    </row>
    <row r="20" spans="2:14" ht="15.6" thickTop="1" thickBot="1">
      <c r="B20" s="418" t="s">
        <v>347</v>
      </c>
      <c r="C20" s="419"/>
      <c r="D20" s="420"/>
      <c r="E20" s="70" t="s">
        <v>65</v>
      </c>
      <c r="F20" s="70" t="s">
        <v>23</v>
      </c>
      <c r="G20" s="70" t="s">
        <v>20</v>
      </c>
    </row>
    <row r="21" spans="2:14" ht="18.600000000000001" thickTop="1" thickBot="1">
      <c r="B21" s="418" t="s">
        <v>348</v>
      </c>
      <c r="C21" s="419"/>
      <c r="D21" s="420"/>
      <c r="E21" s="92">
        <f>'الفنون الجميلة'!KV17</f>
        <v>49</v>
      </c>
      <c r="F21" s="92">
        <f>'الفنون الجميلة'!KW17</f>
        <v>35</v>
      </c>
      <c r="G21" s="92">
        <f t="shared" ref="G21:G27" si="0">SUM(E21:F21)</f>
        <v>84</v>
      </c>
      <c r="I21" s="418" t="s">
        <v>237</v>
      </c>
      <c r="J21" s="420"/>
      <c r="K21" s="418" t="s">
        <v>362</v>
      </c>
      <c r="L21" s="420"/>
    </row>
    <row r="22" spans="2:14" ht="18.600000000000001" thickTop="1" thickBot="1">
      <c r="B22" s="425" t="s">
        <v>86</v>
      </c>
      <c r="C22" s="418" t="s">
        <v>194</v>
      </c>
      <c r="D22" s="420"/>
      <c r="E22" s="92">
        <f>'الفنون الجميلة'!KX17</f>
        <v>0</v>
      </c>
      <c r="F22" s="92">
        <f>'الفنون الجميلة'!KY17</f>
        <v>0</v>
      </c>
      <c r="G22" s="92">
        <f t="shared" si="0"/>
        <v>0</v>
      </c>
      <c r="I22" s="418" t="s">
        <v>65</v>
      </c>
      <c r="J22" s="420"/>
      <c r="K22" s="418">
        <f>'الفنون الجميلة'!ALC17</f>
        <v>8</v>
      </c>
      <c r="L22" s="420"/>
    </row>
    <row r="23" spans="2:14" ht="18.600000000000001" thickTop="1" thickBot="1">
      <c r="B23" s="426"/>
      <c r="C23" s="418" t="s">
        <v>195</v>
      </c>
      <c r="D23" s="420"/>
      <c r="E23" s="92">
        <f>'الفنون الجميلة'!KZ17</f>
        <v>5</v>
      </c>
      <c r="F23" s="92">
        <f>'الفنون الجميلة'!LA17</f>
        <v>1</v>
      </c>
      <c r="G23" s="92">
        <f t="shared" si="0"/>
        <v>6</v>
      </c>
      <c r="I23" s="418" t="s">
        <v>23</v>
      </c>
      <c r="J23" s="420"/>
      <c r="K23" s="418">
        <f>'الفنون الجميلة'!ALD17</f>
        <v>7</v>
      </c>
      <c r="L23" s="420"/>
    </row>
    <row r="24" spans="2:14" ht="18.600000000000001" thickTop="1" thickBot="1">
      <c r="B24" s="426"/>
      <c r="C24" s="418" t="s">
        <v>196</v>
      </c>
      <c r="D24" s="420"/>
      <c r="E24" s="92">
        <f>'الفنون الجميلة'!LB17</f>
        <v>0</v>
      </c>
      <c r="F24" s="92">
        <f>'الفنون الجميلة'!LC17</f>
        <v>0</v>
      </c>
      <c r="G24" s="92">
        <f t="shared" si="0"/>
        <v>0</v>
      </c>
      <c r="I24" s="418" t="s">
        <v>20</v>
      </c>
      <c r="J24" s="420"/>
      <c r="K24" s="418">
        <f>SUM(K22:K23)</f>
        <v>15</v>
      </c>
      <c r="L24" s="420"/>
    </row>
    <row r="25" spans="2:14" ht="18.600000000000001" thickTop="1" thickBot="1">
      <c r="B25" s="426"/>
      <c r="C25" s="418" t="s">
        <v>197</v>
      </c>
      <c r="D25" s="420"/>
      <c r="E25" s="92">
        <f>'الفنون الجميلة'!LD17</f>
        <v>0</v>
      </c>
      <c r="F25" s="92">
        <f>'الفنون الجميلة'!LE17</f>
        <v>0</v>
      </c>
      <c r="G25" s="92">
        <f t="shared" si="0"/>
        <v>0</v>
      </c>
    </row>
    <row r="26" spans="2:14" ht="18.600000000000001" thickTop="1" thickBot="1">
      <c r="B26" s="426"/>
      <c r="C26" s="418" t="s">
        <v>198</v>
      </c>
      <c r="D26" s="420"/>
      <c r="E26" s="92">
        <f>'الفنون الجميلة'!LF17</f>
        <v>1</v>
      </c>
      <c r="F26" s="92">
        <f>'الفنون الجميلة'!LG17</f>
        <v>2</v>
      </c>
      <c r="G26" s="92">
        <f t="shared" si="0"/>
        <v>3</v>
      </c>
    </row>
    <row r="27" spans="2:14" ht="18.600000000000001" thickTop="1" thickBot="1">
      <c r="B27" s="426"/>
      <c r="C27" s="418" t="s">
        <v>199</v>
      </c>
      <c r="D27" s="420"/>
      <c r="E27" s="93"/>
      <c r="F27" s="92">
        <f>'الفنون الجميلة'!LI17</f>
        <v>0</v>
      </c>
      <c r="G27" s="92">
        <f t="shared" si="0"/>
        <v>0</v>
      </c>
    </row>
    <row r="28" spans="2:14" ht="18.600000000000001" thickTop="1" thickBot="1">
      <c r="B28" s="426"/>
      <c r="C28" s="418" t="s">
        <v>349</v>
      </c>
      <c r="D28" s="420"/>
      <c r="E28" s="92">
        <f>'الفنون الجميلة'!LJ17</f>
        <v>0</v>
      </c>
      <c r="F28" s="92">
        <f>'الفنون الجميلة'!LK17</f>
        <v>0</v>
      </c>
      <c r="G28" s="92">
        <f>SUM(E28:F28)</f>
        <v>0</v>
      </c>
    </row>
    <row r="29" spans="2:14" ht="18.600000000000001" thickTop="1" thickBot="1">
      <c r="B29" s="427"/>
      <c r="C29" s="418" t="s">
        <v>450</v>
      </c>
      <c r="D29" s="420"/>
      <c r="E29" s="92">
        <f>'الفنون الجميلة'!LL17</f>
        <v>2</v>
      </c>
      <c r="F29" s="92">
        <f>'الفنون الجميلة'!LM17</f>
        <v>2</v>
      </c>
      <c r="G29" s="92">
        <f>SUM(E29:F29)</f>
        <v>4</v>
      </c>
    </row>
    <row r="30" spans="2:14" ht="18.600000000000001" thickTop="1" thickBot="1">
      <c r="B30" s="418" t="s">
        <v>128</v>
      </c>
      <c r="C30" s="419"/>
      <c r="D30" s="420"/>
      <c r="E30" s="92">
        <f>SUM(E21:E29)</f>
        <v>57</v>
      </c>
      <c r="F30" s="92">
        <f t="shared" ref="F30:G30" si="1">SUM(F21:F29)</f>
        <v>40</v>
      </c>
      <c r="G30" s="92">
        <f t="shared" si="1"/>
        <v>97</v>
      </c>
    </row>
    <row r="31" spans="2:14" ht="15" thickTop="1"/>
    <row r="32" spans="2:14" hidden="1"/>
    <row r="33" spans="1:16" ht="22.8" hidden="1">
      <c r="A33" s="66" t="s">
        <v>265</v>
      </c>
      <c r="B33" s="67"/>
      <c r="C33" s="67"/>
      <c r="D33" s="67"/>
      <c r="E33" s="67"/>
      <c r="F33" s="68"/>
      <c r="G33" s="68"/>
      <c r="H33" s="68"/>
      <c r="I33" s="68"/>
      <c r="J33" s="68"/>
      <c r="K33" s="68"/>
      <c r="M33" s="66" t="s">
        <v>263</v>
      </c>
      <c r="N33" s="67"/>
      <c r="O33" s="68"/>
      <c r="P33" s="68"/>
    </row>
    <row r="34" spans="1:16" ht="22.8" hidden="1">
      <c r="A34" s="417" t="s">
        <v>333</v>
      </c>
      <c r="B34" s="417"/>
      <c r="C34" s="417"/>
      <c r="D34" s="417"/>
      <c r="E34" s="417"/>
      <c r="F34" s="68"/>
      <c r="G34" s="68"/>
      <c r="H34" s="68"/>
      <c r="I34" s="68"/>
      <c r="J34" s="68"/>
      <c r="K34" s="68"/>
      <c r="L34" s="417" t="s">
        <v>389</v>
      </c>
      <c r="M34" s="417"/>
      <c r="N34" s="417"/>
      <c r="O34" s="68"/>
      <c r="P34" s="68"/>
    </row>
    <row r="35" spans="1:16" ht="22.8" hidden="1">
      <c r="B35" s="67"/>
      <c r="C35" s="67"/>
      <c r="D35" s="67"/>
      <c r="E35" s="67"/>
      <c r="F35" s="67"/>
      <c r="G35" s="66" t="s">
        <v>363</v>
      </c>
      <c r="H35" s="67"/>
      <c r="I35" s="67"/>
      <c r="J35" s="67"/>
      <c r="K35" s="67"/>
      <c r="L35" s="67"/>
      <c r="M35" s="67"/>
      <c r="N35" s="67"/>
      <c r="O35" s="67"/>
      <c r="P35" s="67"/>
    </row>
    <row r="36" spans="1:16" ht="17.399999999999999" hidden="1">
      <c r="F36" s="66" t="s">
        <v>435</v>
      </c>
    </row>
    <row r="37" spans="1:16" ht="24" hidden="1" thickBot="1">
      <c r="B37" s="69" t="s">
        <v>394</v>
      </c>
      <c r="F37" s="67"/>
      <c r="K37" s="69" t="s">
        <v>357</v>
      </c>
    </row>
    <row r="38" spans="1:16" ht="70.2" hidden="1" thickTop="1" thickBot="1">
      <c r="B38" s="70" t="s">
        <v>334</v>
      </c>
      <c r="C38" s="70" t="s">
        <v>335</v>
      </c>
      <c r="D38" s="70" t="s">
        <v>336</v>
      </c>
      <c r="E38" s="70" t="s">
        <v>337</v>
      </c>
      <c r="F38" s="418" t="s">
        <v>338</v>
      </c>
      <c r="G38" s="419"/>
      <c r="H38" s="420"/>
      <c r="I38" s="70" t="s">
        <v>339</v>
      </c>
      <c r="K38" s="70" t="s">
        <v>340</v>
      </c>
      <c r="L38" s="70" t="s">
        <v>341</v>
      </c>
      <c r="M38" s="70" t="s">
        <v>342</v>
      </c>
      <c r="N38" s="70" t="s">
        <v>343</v>
      </c>
    </row>
    <row r="39" spans="1:16" ht="15.6" hidden="1" thickTop="1" thickBot="1">
      <c r="B39" s="387">
        <f>'الفنون الجميلة'!ANV10</f>
        <v>2</v>
      </c>
      <c r="C39" s="387">
        <f>'الفنون الجميلة'!ANW10</f>
        <v>2</v>
      </c>
      <c r="D39" s="425">
        <v>0</v>
      </c>
      <c r="E39" s="425">
        <v>0</v>
      </c>
      <c r="F39" s="70" t="s">
        <v>344</v>
      </c>
      <c r="G39" s="70" t="s">
        <v>345</v>
      </c>
      <c r="H39" s="70" t="s">
        <v>346</v>
      </c>
      <c r="I39" s="425">
        <v>0</v>
      </c>
      <c r="K39" s="387">
        <f>'الفنون الجميلة'!Q10</f>
        <v>2</v>
      </c>
      <c r="L39" s="387">
        <f>'الفنون الجميلة'!R10</f>
        <v>0</v>
      </c>
      <c r="M39" s="387">
        <f>'الفنون الجميلة'!S10</f>
        <v>2</v>
      </c>
      <c r="N39" s="387">
        <f>'الفنون الجميلة'!T10</f>
        <v>0</v>
      </c>
    </row>
    <row r="40" spans="1:16" ht="24" hidden="1" thickTop="1" thickBot="1">
      <c r="B40" s="388"/>
      <c r="C40" s="388"/>
      <c r="D40" s="427"/>
      <c r="E40" s="427"/>
      <c r="F40" s="73">
        <v>0</v>
      </c>
      <c r="G40" s="73">
        <v>0</v>
      </c>
      <c r="H40" s="73">
        <v>0</v>
      </c>
      <c r="I40" s="427"/>
      <c r="K40" s="388"/>
      <c r="L40" s="388"/>
      <c r="M40" s="388"/>
      <c r="N40" s="388"/>
    </row>
    <row r="41" spans="1:16" ht="15" hidden="1" thickTop="1"/>
    <row r="42" spans="1:16" ht="24" hidden="1" thickBot="1">
      <c r="B42" s="72" t="s">
        <v>360</v>
      </c>
    </row>
    <row r="43" spans="1:16" ht="15.6" hidden="1" thickTop="1" thickBot="1">
      <c r="B43" s="418" t="s">
        <v>350</v>
      </c>
      <c r="C43" s="420"/>
      <c r="D43" s="423" t="s">
        <v>351</v>
      </c>
      <c r="E43" s="424"/>
      <c r="F43" s="418" t="s">
        <v>352</v>
      </c>
      <c r="G43" s="420"/>
      <c r="H43" s="418" t="s">
        <v>384</v>
      </c>
      <c r="I43" s="420"/>
      <c r="J43" s="418" t="s">
        <v>143</v>
      </c>
      <c r="K43" s="419"/>
      <c r="L43" s="420"/>
    </row>
    <row r="44" spans="1:16" ht="15.6" hidden="1" thickTop="1" thickBot="1">
      <c r="B44" s="70" t="s">
        <v>65</v>
      </c>
      <c r="C44" s="70" t="s">
        <v>23</v>
      </c>
      <c r="D44" s="70" t="s">
        <v>65</v>
      </c>
      <c r="E44" s="70" t="s">
        <v>23</v>
      </c>
      <c r="F44" s="70" t="s">
        <v>65</v>
      </c>
      <c r="G44" s="70" t="s">
        <v>23</v>
      </c>
      <c r="H44" s="70" t="s">
        <v>65</v>
      </c>
      <c r="I44" s="70" t="s">
        <v>23</v>
      </c>
      <c r="J44" s="70" t="s">
        <v>65</v>
      </c>
      <c r="K44" s="70" t="s">
        <v>23</v>
      </c>
      <c r="L44" s="70" t="s">
        <v>20</v>
      </c>
    </row>
    <row r="45" spans="1:16" ht="15.6" hidden="1" thickTop="1" thickBot="1">
      <c r="B45" s="70">
        <f>'الفنون الجميلة'!AJT10</f>
        <v>1</v>
      </c>
      <c r="C45" s="70">
        <f>'الفنون الجميلة'!AJU10</f>
        <v>0</v>
      </c>
      <c r="D45" s="70">
        <f>'الفنون الجميلة'!AJV10</f>
        <v>11</v>
      </c>
      <c r="E45" s="70">
        <f>'الفنون الجميلة'!AJW10</f>
        <v>10</v>
      </c>
      <c r="F45" s="70">
        <f>'الفنون الجميلة'!AJX10</f>
        <v>18</v>
      </c>
      <c r="G45" s="70">
        <f>'الفنون الجميلة'!AJY10</f>
        <v>6</v>
      </c>
      <c r="H45" s="70">
        <f>'الفنون الجميلة'!AJZ10</f>
        <v>27</v>
      </c>
      <c r="I45" s="70">
        <f>'الفنون الجميلة'!AKA10</f>
        <v>24</v>
      </c>
      <c r="J45" s="70">
        <f>F45+D45+B45+H45</f>
        <v>57</v>
      </c>
      <c r="K45" s="70">
        <f>G45+E45+C45+I45</f>
        <v>40</v>
      </c>
      <c r="L45" s="70">
        <f>SUM(J45:K45)</f>
        <v>97</v>
      </c>
    </row>
    <row r="46" spans="1:16" ht="15" hidden="1" thickTop="1"/>
    <row r="47" spans="1:16" ht="24" hidden="1" thickBot="1">
      <c r="B47" s="72" t="s">
        <v>361</v>
      </c>
    </row>
    <row r="48" spans="1:16" ht="15.6" hidden="1" thickTop="1" thickBot="1">
      <c r="B48" s="418" t="s">
        <v>353</v>
      </c>
      <c r="C48" s="420"/>
      <c r="D48" s="423" t="s">
        <v>354</v>
      </c>
      <c r="E48" s="424"/>
      <c r="F48" s="418" t="s">
        <v>355</v>
      </c>
      <c r="G48" s="420"/>
      <c r="H48" s="418" t="s">
        <v>356</v>
      </c>
      <c r="I48" s="420"/>
      <c r="J48" s="418" t="s">
        <v>381</v>
      </c>
      <c r="K48" s="420"/>
      <c r="L48" s="418" t="s">
        <v>20</v>
      </c>
      <c r="M48" s="419"/>
      <c r="N48" s="420"/>
    </row>
    <row r="49" spans="2:14" ht="15.6" hidden="1" thickTop="1" thickBot="1">
      <c r="B49" s="70" t="s">
        <v>65</v>
      </c>
      <c r="C49" s="70" t="s">
        <v>23</v>
      </c>
      <c r="D49" s="70" t="s">
        <v>65</v>
      </c>
      <c r="E49" s="70" t="s">
        <v>23</v>
      </c>
      <c r="F49" s="70" t="s">
        <v>65</v>
      </c>
      <c r="G49" s="70" t="s">
        <v>23</v>
      </c>
      <c r="H49" s="70" t="s">
        <v>65</v>
      </c>
      <c r="I49" s="70" t="s">
        <v>23</v>
      </c>
      <c r="J49" s="70" t="s">
        <v>65</v>
      </c>
      <c r="K49" s="70" t="s">
        <v>23</v>
      </c>
      <c r="L49" s="70" t="s">
        <v>65</v>
      </c>
      <c r="M49" s="70" t="s">
        <v>23</v>
      </c>
      <c r="N49" s="70" t="s">
        <v>20</v>
      </c>
    </row>
    <row r="50" spans="2:14" ht="15.6" hidden="1" thickTop="1" thickBot="1">
      <c r="B50" s="70">
        <f>'الفنون الجميلة'!AKE10</f>
        <v>0</v>
      </c>
      <c r="C50" s="70">
        <f>'الفنون الجميلة'!AKF10</f>
        <v>0</v>
      </c>
      <c r="D50" s="70">
        <f>'الفنون الجميلة'!AKG10</f>
        <v>11</v>
      </c>
      <c r="E50" s="70">
        <f>'الفنون الجميلة'!AKH10</f>
        <v>4</v>
      </c>
      <c r="F50" s="70">
        <f>'الفنون الجميلة'!AKI10</f>
        <v>25</v>
      </c>
      <c r="G50" s="70">
        <f>'الفنون الجميلة'!AKJ10</f>
        <v>18</v>
      </c>
      <c r="H50" s="70">
        <f>'الفنون الجميلة'!AKK10</f>
        <v>21</v>
      </c>
      <c r="I50" s="70">
        <f>'الفنون الجميلة'!AKL10</f>
        <v>16</v>
      </c>
      <c r="J50" s="70">
        <f>'الفنون الجميلة'!AKM10</f>
        <v>0</v>
      </c>
      <c r="K50" s="70">
        <f>'الفنون الجميلة'!AKN10</f>
        <v>2</v>
      </c>
      <c r="L50" s="70">
        <f>J50+H50+F50+D50+B50</f>
        <v>57</v>
      </c>
      <c r="M50" s="70">
        <f>K50+I50+G50+E50+C50</f>
        <v>40</v>
      </c>
      <c r="N50" s="70">
        <f>SUM(L50:M50)</f>
        <v>97</v>
      </c>
    </row>
    <row r="51" spans="2:14" ht="24.6" hidden="1" thickTop="1" thickBot="1">
      <c r="B51" s="69" t="s">
        <v>358</v>
      </c>
      <c r="I51" s="69" t="s">
        <v>359</v>
      </c>
    </row>
    <row r="52" spans="2:14" ht="15.6" hidden="1" thickTop="1" thickBot="1">
      <c r="B52" s="418" t="s">
        <v>347</v>
      </c>
      <c r="C52" s="419"/>
      <c r="D52" s="420"/>
      <c r="E52" s="70" t="s">
        <v>65</v>
      </c>
      <c r="F52" s="70" t="s">
        <v>23</v>
      </c>
      <c r="G52" s="70" t="s">
        <v>20</v>
      </c>
    </row>
    <row r="53" spans="2:14" ht="15.6" hidden="1" thickTop="1" thickBot="1">
      <c r="B53" s="418" t="s">
        <v>348</v>
      </c>
      <c r="C53" s="419"/>
      <c r="D53" s="420"/>
      <c r="E53" s="70">
        <f>'الفنون الجميلة'!KV10</f>
        <v>49</v>
      </c>
      <c r="F53" s="70">
        <f>'الفنون الجميلة'!KW10</f>
        <v>35</v>
      </c>
      <c r="G53" s="70">
        <f>SUM(E53:F53)</f>
        <v>84</v>
      </c>
      <c r="I53" s="418" t="s">
        <v>237</v>
      </c>
      <c r="J53" s="420"/>
      <c r="K53" s="418" t="s">
        <v>362</v>
      </c>
      <c r="L53" s="420"/>
    </row>
    <row r="54" spans="2:14" ht="15.6" hidden="1" thickTop="1" thickBot="1">
      <c r="B54" s="425" t="s">
        <v>86</v>
      </c>
      <c r="C54" s="418" t="s">
        <v>194</v>
      </c>
      <c r="D54" s="420"/>
      <c r="E54" s="70"/>
      <c r="F54" s="70"/>
      <c r="G54" s="70">
        <f t="shared" ref="G54:G61" si="2">SUM(E54:F54)</f>
        <v>0</v>
      </c>
      <c r="I54" s="418" t="s">
        <v>65</v>
      </c>
      <c r="J54" s="420"/>
      <c r="K54" s="418">
        <f>'الفنون الجميلة'!ALC10</f>
        <v>8</v>
      </c>
      <c r="L54" s="420"/>
    </row>
    <row r="55" spans="2:14" ht="15.6" hidden="1" thickTop="1" thickBot="1">
      <c r="B55" s="426"/>
      <c r="C55" s="418" t="s">
        <v>195</v>
      </c>
      <c r="D55" s="420"/>
      <c r="E55" s="70">
        <f>'الفنون الجميلة'!KZ10</f>
        <v>5</v>
      </c>
      <c r="F55" s="70"/>
      <c r="G55" s="70">
        <f t="shared" si="2"/>
        <v>5</v>
      </c>
      <c r="I55" s="418" t="s">
        <v>23</v>
      </c>
      <c r="J55" s="420"/>
      <c r="K55" s="418">
        <f>'الفنون الجميلة'!ALD10</f>
        <v>7</v>
      </c>
      <c r="L55" s="420"/>
    </row>
    <row r="56" spans="2:14" ht="15.6" hidden="1" thickTop="1" thickBot="1">
      <c r="B56" s="426"/>
      <c r="C56" s="418" t="s">
        <v>196</v>
      </c>
      <c r="D56" s="420"/>
      <c r="E56" s="70"/>
      <c r="F56" s="70"/>
      <c r="G56" s="70">
        <f t="shared" si="2"/>
        <v>0</v>
      </c>
      <c r="I56" s="418" t="s">
        <v>20</v>
      </c>
      <c r="J56" s="420"/>
      <c r="K56" s="418">
        <f>SUM(K54:K55)</f>
        <v>15</v>
      </c>
      <c r="L56" s="420"/>
    </row>
    <row r="57" spans="2:14" ht="15.6" hidden="1" thickTop="1" thickBot="1">
      <c r="B57" s="426"/>
      <c r="C57" s="418" t="s">
        <v>197</v>
      </c>
      <c r="D57" s="420"/>
      <c r="E57" s="70"/>
      <c r="F57" s="70"/>
      <c r="G57" s="70">
        <f t="shared" si="2"/>
        <v>0</v>
      </c>
    </row>
    <row r="58" spans="2:14" ht="15.6" hidden="1" thickTop="1" thickBot="1">
      <c r="B58" s="426"/>
      <c r="C58" s="418" t="s">
        <v>198</v>
      </c>
      <c r="D58" s="420"/>
      <c r="E58" s="70"/>
      <c r="F58" s="70">
        <f>'الفنون الجميلة'!LG10</f>
        <v>2</v>
      </c>
      <c r="G58" s="70">
        <f t="shared" si="2"/>
        <v>2</v>
      </c>
    </row>
    <row r="59" spans="2:14" ht="15.6" hidden="1" thickTop="1" thickBot="1">
      <c r="B59" s="426"/>
      <c r="C59" s="418" t="s">
        <v>199</v>
      </c>
      <c r="D59" s="420"/>
      <c r="E59" s="71"/>
      <c r="F59" s="70">
        <f>'الفنون الجميلة'!LI10</f>
        <v>0</v>
      </c>
      <c r="G59" s="70">
        <f t="shared" si="2"/>
        <v>0</v>
      </c>
    </row>
    <row r="60" spans="2:14" ht="15.6" hidden="1" thickTop="1" thickBot="1">
      <c r="B60" s="426"/>
      <c r="C60" s="418" t="s">
        <v>349</v>
      </c>
      <c r="D60" s="420"/>
      <c r="E60" s="70"/>
      <c r="F60" s="70"/>
      <c r="G60" s="70">
        <f t="shared" si="2"/>
        <v>0</v>
      </c>
    </row>
    <row r="61" spans="2:14" ht="15.6" hidden="1" thickTop="1" thickBot="1">
      <c r="B61" s="427"/>
      <c r="C61" s="418" t="s">
        <v>20</v>
      </c>
      <c r="D61" s="420"/>
      <c r="E61" s="70">
        <f>SUM(E54:E60)</f>
        <v>5</v>
      </c>
      <c r="F61" s="70">
        <f>SUM(F54:F60)</f>
        <v>2</v>
      </c>
      <c r="G61" s="70">
        <f t="shared" si="2"/>
        <v>7</v>
      </c>
    </row>
    <row r="62" spans="2:14" ht="15.6" hidden="1" thickTop="1" thickBot="1">
      <c r="B62" s="418" t="s">
        <v>128</v>
      </c>
      <c r="C62" s="419"/>
      <c r="D62" s="420"/>
      <c r="E62" s="70">
        <f>E61+E53</f>
        <v>54</v>
      </c>
      <c r="F62" s="70">
        <f>F61+F53</f>
        <v>37</v>
      </c>
      <c r="G62" s="70">
        <f>G61+G53</f>
        <v>91</v>
      </c>
    </row>
    <row r="63" spans="2:14" ht="15" hidden="1" thickTop="1"/>
    <row r="64" spans="2:14" hidden="1"/>
  </sheetData>
  <mergeCells count="87">
    <mergeCell ref="J43:L43"/>
    <mergeCell ref="B48:C48"/>
    <mergeCell ref="D48:E48"/>
    <mergeCell ref="F48:G48"/>
    <mergeCell ref="H48:I48"/>
    <mergeCell ref="J48:K48"/>
    <mergeCell ref="L48:N48"/>
    <mergeCell ref="F43:G43"/>
    <mergeCell ref="H43:I43"/>
    <mergeCell ref="C61:D61"/>
    <mergeCell ref="B62:D62"/>
    <mergeCell ref="B43:C43"/>
    <mergeCell ref="D43:E43"/>
    <mergeCell ref="B54:B61"/>
    <mergeCell ref="C54:D54"/>
    <mergeCell ref="C57:D57"/>
    <mergeCell ref="C58:D58"/>
    <mergeCell ref="C59:D59"/>
    <mergeCell ref="C56:D56"/>
    <mergeCell ref="C60:D60"/>
    <mergeCell ref="C55:D55"/>
    <mergeCell ref="I55:J55"/>
    <mergeCell ref="K55:L55"/>
    <mergeCell ref="I56:J56"/>
    <mergeCell ref="K56:L56"/>
    <mergeCell ref="B52:D52"/>
    <mergeCell ref="B53:D53"/>
    <mergeCell ref="I53:J53"/>
    <mergeCell ref="K53:L53"/>
    <mergeCell ref="I54:J54"/>
    <mergeCell ref="K54:L54"/>
    <mergeCell ref="A34:E34"/>
    <mergeCell ref="L34:N34"/>
    <mergeCell ref="F38:H38"/>
    <mergeCell ref="B39:B40"/>
    <mergeCell ref="C39:C40"/>
    <mergeCell ref="D39:D40"/>
    <mergeCell ref="E39:E40"/>
    <mergeCell ref="I39:I40"/>
    <mergeCell ref="K39:K40"/>
    <mergeCell ref="L39:L40"/>
    <mergeCell ref="M39:M40"/>
    <mergeCell ref="N39:N40"/>
    <mergeCell ref="J11:L11"/>
    <mergeCell ref="B16:C16"/>
    <mergeCell ref="D16:E16"/>
    <mergeCell ref="F16:G16"/>
    <mergeCell ref="H16:I16"/>
    <mergeCell ref="J16:K16"/>
    <mergeCell ref="L16:N16"/>
    <mergeCell ref="F11:G11"/>
    <mergeCell ref="H11:I11"/>
    <mergeCell ref="C29:D29"/>
    <mergeCell ref="B30:D30"/>
    <mergeCell ref="B11:C11"/>
    <mergeCell ref="D11:E11"/>
    <mergeCell ref="B22:B29"/>
    <mergeCell ref="C22:D22"/>
    <mergeCell ref="C25:D25"/>
    <mergeCell ref="C26:D26"/>
    <mergeCell ref="C27:D27"/>
    <mergeCell ref="C24:D24"/>
    <mergeCell ref="C28:D28"/>
    <mergeCell ref="C23:D23"/>
    <mergeCell ref="I23:J23"/>
    <mergeCell ref="K23:L23"/>
    <mergeCell ref="I24:J24"/>
    <mergeCell ref="K24:L24"/>
    <mergeCell ref="B20:D20"/>
    <mergeCell ref="B21:D21"/>
    <mergeCell ref="I21:J21"/>
    <mergeCell ref="K21:L21"/>
    <mergeCell ref="I22:J22"/>
    <mergeCell ref="K22:L22"/>
    <mergeCell ref="A2:E2"/>
    <mergeCell ref="L2:N2"/>
    <mergeCell ref="F6:H6"/>
    <mergeCell ref="B7:B8"/>
    <mergeCell ref="C7:C8"/>
    <mergeCell ref="D7:D8"/>
    <mergeCell ref="E7:E8"/>
    <mergeCell ref="I7:I8"/>
    <mergeCell ref="K7:K8"/>
    <mergeCell ref="L7:L8"/>
    <mergeCell ref="M7:M8"/>
    <mergeCell ref="N7:N8"/>
    <mergeCell ref="E4:J4"/>
  </mergeCells>
  <printOptions horizontalCentered="1" verticalCentered="1"/>
  <pageMargins left="0.23622047244094491" right="0.27559055118110237" top="0.27559055118110237" bottom="0.19685039370078741" header="0.31496062992125984" footer="0.19685039370078741"/>
  <pageSetup paperSize="9" scale="84" orientation="landscape" horizontalDpi="300" verticalDpi="300" r:id="rId1"/>
  <rowBreaks count="1" manualBreakCount="1">
    <brk id="31" max="1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J12"/>
  <sheetViews>
    <sheetView rightToLeft="1" view="pageBreakPreview" zoomScale="50" zoomScaleNormal="55" zoomScaleSheetLayoutView="50" workbookViewId="0">
      <selection activeCell="W8" sqref="W8"/>
    </sheetView>
  </sheetViews>
  <sheetFormatPr defaultColWidth="9" defaultRowHeight="28.8"/>
  <cols>
    <col min="1" max="1" width="16.6640625" style="57" bestFit="1" customWidth="1"/>
    <col min="2" max="2" width="8.109375" style="57" bestFit="1" customWidth="1"/>
    <col min="3" max="3" width="8.109375" style="57" customWidth="1"/>
    <col min="4" max="25" width="8.109375" style="57" bestFit="1" customWidth="1"/>
    <col min="26" max="26" width="8.109375" style="57" customWidth="1"/>
    <col min="27" max="32" width="8.109375" style="57" bestFit="1" customWidth="1"/>
    <col min="33" max="34" width="8.109375" style="57" customWidth="1"/>
    <col min="35" max="35" width="8.109375" style="57" bestFit="1" customWidth="1"/>
    <col min="36" max="36" width="13.33203125" style="57" customWidth="1"/>
    <col min="37" max="16384" width="9" style="57"/>
  </cols>
  <sheetData>
    <row r="1" spans="1:36" s="18" customFormat="1" ht="36" customHeight="1">
      <c r="A1" s="414" t="s">
        <v>119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</row>
    <row r="2" spans="1:36" s="18" customFormat="1" ht="36" customHeight="1">
      <c r="A2" s="414" t="s">
        <v>121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 t="s">
        <v>263</v>
      </c>
      <c r="N2" s="414"/>
      <c r="O2" s="414"/>
      <c r="P2" s="414"/>
      <c r="Q2" s="414"/>
      <c r="R2" s="414"/>
      <c r="S2" s="414"/>
      <c r="T2" s="414"/>
      <c r="U2" s="414"/>
      <c r="V2" s="414"/>
      <c r="W2" s="414"/>
      <c r="AD2" s="428" t="s">
        <v>80</v>
      </c>
      <c r="AE2" s="428"/>
      <c r="AF2" s="428"/>
      <c r="AG2" s="428"/>
      <c r="AH2" s="428"/>
      <c r="AI2" s="428"/>
      <c r="AJ2" s="428"/>
    </row>
    <row r="3" spans="1:36" s="18" customFormat="1" ht="36" customHeight="1">
      <c r="A3" s="414" t="s">
        <v>239</v>
      </c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 s="414"/>
      <c r="AG3" s="414"/>
      <c r="AH3" s="414"/>
      <c r="AI3" s="414"/>
      <c r="AJ3" s="414"/>
    </row>
    <row r="4" spans="1:36" s="18" customFormat="1" ht="36" customHeight="1">
      <c r="A4" s="414" t="s">
        <v>437</v>
      </c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414"/>
      <c r="AF4" s="414"/>
      <c r="AG4" s="414"/>
      <c r="AH4" s="414"/>
      <c r="AI4" s="414"/>
      <c r="AJ4" s="414"/>
    </row>
    <row r="5" spans="1:36" s="18" customFormat="1" ht="36" customHeight="1">
      <c r="A5" s="414" t="s">
        <v>240</v>
      </c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</row>
    <row r="7" spans="1:36" ht="29.4" thickBot="1"/>
    <row r="8" spans="1:36" s="18" customFormat="1" ht="182.25" customHeight="1" thickTop="1" thickBot="1">
      <c r="A8" s="58" t="s">
        <v>237</v>
      </c>
      <c r="B8" s="59" t="s">
        <v>202</v>
      </c>
      <c r="C8" s="59" t="s">
        <v>203</v>
      </c>
      <c r="D8" s="59" t="s">
        <v>241</v>
      </c>
      <c r="E8" s="59" t="s">
        <v>205</v>
      </c>
      <c r="F8" s="59" t="s">
        <v>206</v>
      </c>
      <c r="G8" s="59" t="s">
        <v>207</v>
      </c>
      <c r="H8" s="59" t="s">
        <v>208</v>
      </c>
      <c r="I8" s="59" t="s">
        <v>209</v>
      </c>
      <c r="J8" s="59" t="s">
        <v>210</v>
      </c>
      <c r="K8" s="59" t="s">
        <v>211</v>
      </c>
      <c r="L8" s="59" t="s">
        <v>212</v>
      </c>
      <c r="M8" s="59" t="s">
        <v>213</v>
      </c>
      <c r="N8" s="59" t="s">
        <v>214</v>
      </c>
      <c r="O8" s="59" t="s">
        <v>215</v>
      </c>
      <c r="P8" s="59" t="s">
        <v>216</v>
      </c>
      <c r="Q8" s="59" t="s">
        <v>217</v>
      </c>
      <c r="R8" s="59" t="s">
        <v>238</v>
      </c>
      <c r="S8" s="59" t="s">
        <v>219</v>
      </c>
      <c r="T8" s="59" t="s">
        <v>220</v>
      </c>
      <c r="U8" s="59" t="s">
        <v>221</v>
      </c>
      <c r="V8" s="59" t="s">
        <v>222</v>
      </c>
      <c r="W8" s="59" t="s">
        <v>223</v>
      </c>
      <c r="X8" s="59" t="s">
        <v>224</v>
      </c>
      <c r="Y8" s="59" t="s">
        <v>225</v>
      </c>
      <c r="Z8" s="59" t="s">
        <v>388</v>
      </c>
      <c r="AA8" s="59" t="s">
        <v>226</v>
      </c>
      <c r="AB8" s="59" t="s">
        <v>227</v>
      </c>
      <c r="AC8" s="59" t="s">
        <v>228</v>
      </c>
      <c r="AD8" s="59" t="s">
        <v>229</v>
      </c>
      <c r="AE8" s="59" t="s">
        <v>230</v>
      </c>
      <c r="AF8" s="59" t="s">
        <v>231</v>
      </c>
      <c r="AG8" s="59" t="s">
        <v>274</v>
      </c>
      <c r="AH8" s="59" t="s">
        <v>275</v>
      </c>
      <c r="AI8" s="59" t="s">
        <v>30</v>
      </c>
      <c r="AJ8" s="59" t="s">
        <v>20</v>
      </c>
    </row>
    <row r="9" spans="1:36" s="18" customFormat="1" ht="81.75" customHeight="1" thickTop="1" thickBot="1">
      <c r="A9" s="19" t="s">
        <v>65</v>
      </c>
      <c r="B9" s="60">
        <f>'الفنون الجميلة'!MG17</f>
        <v>2</v>
      </c>
      <c r="C9" s="60">
        <f>'الفنون الجميلة'!MZ17</f>
        <v>5</v>
      </c>
      <c r="D9" s="60">
        <f>'الفنون الجميلة'!NS17</f>
        <v>4</v>
      </c>
      <c r="E9" s="60">
        <f>'الفنون الجميلة'!OL17</f>
        <v>0</v>
      </c>
      <c r="F9" s="60">
        <f>'الفنون الجميلة'!PE17</f>
        <v>0</v>
      </c>
      <c r="G9" s="60">
        <f>'الفنون الجميلة'!PX17</f>
        <v>0</v>
      </c>
      <c r="H9" s="60">
        <f>'الفنون الجميلة'!QQ17</f>
        <v>0</v>
      </c>
      <c r="I9" s="60">
        <f>'الفنون الجميلة'!RJ17</f>
        <v>0</v>
      </c>
      <c r="J9" s="60">
        <f>'الفنون الجميلة'!SC17</f>
        <v>0</v>
      </c>
      <c r="K9" s="60">
        <f>'الفنون الجميلة'!SV17</f>
        <v>0</v>
      </c>
      <c r="L9" s="60">
        <f>'الفنون الجميلة'!TO17</f>
        <v>0</v>
      </c>
      <c r="M9" s="60">
        <f>'الفنون الجميلة'!UH17</f>
        <v>0</v>
      </c>
      <c r="N9" s="60">
        <f>'الفنون الجميلة'!VA17</f>
        <v>0</v>
      </c>
      <c r="O9" s="60">
        <f>'الفنون الجميلة'!VT17</f>
        <v>2</v>
      </c>
      <c r="P9" s="60">
        <f>'الفنون الجميلة'!WM17</f>
        <v>14</v>
      </c>
      <c r="Q9" s="60">
        <f>'الفنون الجميلة'!XF17</f>
        <v>0</v>
      </c>
      <c r="R9" s="60">
        <f>'الفنون الجميلة'!XY17</f>
        <v>2</v>
      </c>
      <c r="S9" s="60">
        <f>'الفنون الجميلة'!YR17</f>
        <v>0</v>
      </c>
      <c r="T9" s="60">
        <f>'الفنون الجميلة'!ZK17</f>
        <v>0</v>
      </c>
      <c r="U9" s="60">
        <f>'الفنون الجميلة'!AAD17</f>
        <v>1</v>
      </c>
      <c r="V9" s="60">
        <f>'الفنون الجميلة'!AAW17</f>
        <v>8</v>
      </c>
      <c r="W9" s="60">
        <f>'الفنون الجميلة'!ABP17</f>
        <v>0</v>
      </c>
      <c r="X9" s="60">
        <f>'الفنون الجميلة'!ACI17</f>
        <v>0</v>
      </c>
      <c r="Y9" s="60">
        <f>'الفنون الجميلة'!ADB17</f>
        <v>0</v>
      </c>
      <c r="Z9" s="60">
        <f>'الفنون الجميلة'!AIE17</f>
        <v>1</v>
      </c>
      <c r="AA9" s="60">
        <f>'الفنون الجميلة'!ADU17</f>
        <v>8</v>
      </c>
      <c r="AB9" s="60">
        <f>'الفنون الجميلة'!AEN17</f>
        <v>2</v>
      </c>
      <c r="AC9" s="60">
        <f>'الفنون الجميلة'!AFG17</f>
        <v>0</v>
      </c>
      <c r="AD9" s="60">
        <f>'الفنون الجميلة'!AFZ17</f>
        <v>1</v>
      </c>
      <c r="AE9" s="60">
        <f>'الفنون الجميلة'!AGS17</f>
        <v>3</v>
      </c>
      <c r="AF9" s="60">
        <f>'الفنون الجميلة'!AHL17</f>
        <v>0</v>
      </c>
      <c r="AG9" s="60"/>
      <c r="AH9" s="60"/>
      <c r="AI9" s="60">
        <f>'الفنون الجميلة'!AIX17</f>
        <v>4</v>
      </c>
      <c r="AJ9" s="60">
        <f>SUM(B9:AI9)</f>
        <v>57</v>
      </c>
    </row>
    <row r="10" spans="1:36" s="18" customFormat="1" ht="81.75" customHeight="1" thickTop="1" thickBot="1">
      <c r="A10" s="19" t="s">
        <v>23</v>
      </c>
      <c r="B10" s="60">
        <f>'الفنون الجميلة'!MH17</f>
        <v>8</v>
      </c>
      <c r="C10" s="60">
        <f>'الفنون الجميلة'!NA17</f>
        <v>6</v>
      </c>
      <c r="D10" s="60">
        <f>'الفنون الجميلة'!NT17</f>
        <v>9</v>
      </c>
      <c r="E10" s="60">
        <f>'الفنون الجميلة'!OM17</f>
        <v>0</v>
      </c>
      <c r="F10" s="60">
        <f>'الفنون الجميلة'!PF17</f>
        <v>0</v>
      </c>
      <c r="G10" s="60">
        <f>'الفنون الجميلة'!PY17</f>
        <v>0</v>
      </c>
      <c r="H10" s="60">
        <f>'الفنون الجميلة'!QR17</f>
        <v>0</v>
      </c>
      <c r="I10" s="60">
        <f>'الفنون الجميلة'!RK17</f>
        <v>0</v>
      </c>
      <c r="J10" s="60">
        <f>'الفنون الجميلة'!SD17</f>
        <v>0</v>
      </c>
      <c r="K10" s="60">
        <f>'الفنون الجميلة'!SW17</f>
        <v>0</v>
      </c>
      <c r="L10" s="60">
        <f>'الفنون الجميلة'!TP17</f>
        <v>0</v>
      </c>
      <c r="M10" s="60">
        <f>'الفنون الجميلة'!UI17</f>
        <v>0</v>
      </c>
      <c r="N10" s="60">
        <f>'الفنون الجميلة'!VB17</f>
        <v>0</v>
      </c>
      <c r="O10" s="60">
        <f>'الفنون الجميلة'!VU17</f>
        <v>1</v>
      </c>
      <c r="P10" s="60">
        <f>'الفنون الجميلة'!WN17</f>
        <v>9</v>
      </c>
      <c r="Q10" s="60">
        <f>'الفنون الجميلة'!XG17</f>
        <v>0</v>
      </c>
      <c r="R10" s="60">
        <f>'الفنون الجميلة'!XZ17</f>
        <v>1</v>
      </c>
      <c r="S10" s="60">
        <f>'الفنون الجميلة'!YS17</f>
        <v>0</v>
      </c>
      <c r="T10" s="60">
        <f>'الفنون الجميلة'!ZL17</f>
        <v>0</v>
      </c>
      <c r="U10" s="60">
        <f>'الفنون الجميلة'!AAE17</f>
        <v>2</v>
      </c>
      <c r="V10" s="60">
        <f>'الفنون الجميلة'!AAX17</f>
        <v>2</v>
      </c>
      <c r="W10" s="60">
        <f>'الفنون الجميلة'!ABQ17</f>
        <v>0</v>
      </c>
      <c r="X10" s="60">
        <f>'الفنون الجميلة'!ACJ17</f>
        <v>0</v>
      </c>
      <c r="Y10" s="60">
        <f>'الفنون الجميلة'!ADC17</f>
        <v>0</v>
      </c>
      <c r="Z10" s="60"/>
      <c r="AA10" s="60">
        <f>'الفنون الجميلة'!ADV17</f>
        <v>1</v>
      </c>
      <c r="AB10" s="60">
        <f>'الفنون الجميلة'!AEO17</f>
        <v>0</v>
      </c>
      <c r="AC10" s="60">
        <f>'الفنون الجميلة'!AFH17</f>
        <v>0</v>
      </c>
      <c r="AD10" s="60">
        <f>'الفنون الجميلة'!AGA17</f>
        <v>1</v>
      </c>
      <c r="AE10" s="60">
        <f>'الفنون الجميلة'!AGT17</f>
        <v>0</v>
      </c>
      <c r="AF10" s="60">
        <f>'الفنون الجميلة'!AHM17</f>
        <v>0</v>
      </c>
      <c r="AG10" s="60"/>
      <c r="AH10" s="60"/>
      <c r="AI10" s="60">
        <f>'الفنون الجميلة'!AIY17</f>
        <v>0</v>
      </c>
      <c r="AJ10" s="60">
        <f>SUM(B10:AI10)</f>
        <v>40</v>
      </c>
    </row>
    <row r="11" spans="1:36" s="18" customFormat="1" ht="81.75" customHeight="1" thickTop="1" thickBot="1">
      <c r="A11" s="19" t="s">
        <v>20</v>
      </c>
      <c r="B11" s="19">
        <f>B10+B9</f>
        <v>10</v>
      </c>
      <c r="C11" s="19">
        <f t="shared" ref="C11:AI11" si="0">C10+C9</f>
        <v>11</v>
      </c>
      <c r="D11" s="19">
        <f t="shared" si="0"/>
        <v>13</v>
      </c>
      <c r="E11" s="19">
        <f t="shared" si="0"/>
        <v>0</v>
      </c>
      <c r="F11" s="19">
        <f t="shared" si="0"/>
        <v>0</v>
      </c>
      <c r="G11" s="19">
        <f t="shared" si="0"/>
        <v>0</v>
      </c>
      <c r="H11" s="19">
        <f t="shared" si="0"/>
        <v>0</v>
      </c>
      <c r="I11" s="19">
        <f t="shared" si="0"/>
        <v>0</v>
      </c>
      <c r="J11" s="19">
        <f t="shared" si="0"/>
        <v>0</v>
      </c>
      <c r="K11" s="19">
        <f t="shared" si="0"/>
        <v>0</v>
      </c>
      <c r="L11" s="19">
        <f t="shared" si="0"/>
        <v>0</v>
      </c>
      <c r="M11" s="19">
        <f t="shared" si="0"/>
        <v>0</v>
      </c>
      <c r="N11" s="19">
        <f t="shared" si="0"/>
        <v>0</v>
      </c>
      <c r="O11" s="19">
        <f t="shared" si="0"/>
        <v>3</v>
      </c>
      <c r="P11" s="19">
        <f t="shared" si="0"/>
        <v>23</v>
      </c>
      <c r="Q11" s="19">
        <f t="shared" si="0"/>
        <v>0</v>
      </c>
      <c r="R11" s="19">
        <f t="shared" si="0"/>
        <v>3</v>
      </c>
      <c r="S11" s="19">
        <f t="shared" si="0"/>
        <v>0</v>
      </c>
      <c r="T11" s="19">
        <f t="shared" si="0"/>
        <v>0</v>
      </c>
      <c r="U11" s="19">
        <f t="shared" si="0"/>
        <v>3</v>
      </c>
      <c r="V11" s="19">
        <f t="shared" si="0"/>
        <v>10</v>
      </c>
      <c r="W11" s="19">
        <f t="shared" si="0"/>
        <v>0</v>
      </c>
      <c r="X11" s="19">
        <f t="shared" si="0"/>
        <v>0</v>
      </c>
      <c r="Y11" s="19">
        <f t="shared" si="0"/>
        <v>0</v>
      </c>
      <c r="Z11" s="19">
        <f t="shared" si="0"/>
        <v>1</v>
      </c>
      <c r="AA11" s="19">
        <f t="shared" si="0"/>
        <v>9</v>
      </c>
      <c r="AB11" s="19">
        <f t="shared" si="0"/>
        <v>2</v>
      </c>
      <c r="AC11" s="19">
        <f t="shared" si="0"/>
        <v>0</v>
      </c>
      <c r="AD11" s="19">
        <f t="shared" si="0"/>
        <v>2</v>
      </c>
      <c r="AE11" s="19">
        <f t="shared" si="0"/>
        <v>3</v>
      </c>
      <c r="AF11" s="19">
        <f t="shared" si="0"/>
        <v>0</v>
      </c>
      <c r="AG11" s="19">
        <f t="shared" si="0"/>
        <v>0</v>
      </c>
      <c r="AH11" s="19">
        <f t="shared" si="0"/>
        <v>0</v>
      </c>
      <c r="AI11" s="19">
        <f t="shared" si="0"/>
        <v>4</v>
      </c>
      <c r="AJ11" s="19">
        <f>SUM(B11:AI11)</f>
        <v>97</v>
      </c>
    </row>
    <row r="12" spans="1:36" ht="29.4" thickTop="1"/>
  </sheetData>
  <mergeCells count="7">
    <mergeCell ref="A4:AJ4"/>
    <mergeCell ref="A5:AJ5"/>
    <mergeCell ref="A1:M1"/>
    <mergeCell ref="A2:L2"/>
    <mergeCell ref="M2:W2"/>
    <mergeCell ref="AD2:AJ2"/>
    <mergeCell ref="A3:AJ3"/>
  </mergeCells>
  <printOptions horizontalCentered="1" verticalCentered="1"/>
  <pageMargins left="0.2" right="0.2" top="0.35433070866141736" bottom="0.43307086614173229" header="0.31496062992125984" footer="0.31496062992125984"/>
  <pageSetup paperSize="9" scale="4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8</vt:i4>
      </vt:variant>
      <vt:variant>
        <vt:lpstr>نطاقات تمت تسميتها</vt:lpstr>
      </vt:variant>
      <vt:variant>
        <vt:i4>7</vt:i4>
      </vt:variant>
    </vt:vector>
  </HeadingPairs>
  <TitlesOfParts>
    <vt:vector size="15" baseType="lpstr">
      <vt:lpstr>الفنون الجميلة</vt:lpstr>
      <vt:lpstr>ج 1 و 2و3</vt:lpstr>
      <vt:lpstr>ج 4و5و6</vt:lpstr>
      <vt:lpstr>ج 7 و 8</vt:lpstr>
      <vt:lpstr>ج 9 و 10</vt:lpstr>
      <vt:lpstr>ج 11</vt:lpstr>
      <vt:lpstr>ج12</vt:lpstr>
      <vt:lpstr>جدول11قضاء النجف</vt:lpstr>
      <vt:lpstr>'الفنون الجميلة'!Print_Area</vt:lpstr>
      <vt:lpstr>'ج 1 و 2و3'!Print_Area</vt:lpstr>
      <vt:lpstr>'ج 11'!Print_Area</vt:lpstr>
      <vt:lpstr>'ج 4و5و6'!Print_Area</vt:lpstr>
      <vt:lpstr>'ج 7 و 8'!Print_Area</vt:lpstr>
      <vt:lpstr>'ج 9 و 10'!Print_Area</vt:lpstr>
      <vt:lpstr>ج12!Print_Area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lenovo</cp:lastModifiedBy>
  <cp:lastPrinted>2026-01-24T06:32:08Z</cp:lastPrinted>
  <dcterms:created xsi:type="dcterms:W3CDTF">2010-01-18T05:54:12Z</dcterms:created>
  <dcterms:modified xsi:type="dcterms:W3CDTF">2026-01-24T06:33:11Z</dcterms:modified>
</cp:coreProperties>
</file>