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2700" windowWidth="6840" windowHeight="2715" tabRatio="869" activeTab="1"/>
  </bookViews>
  <sheets>
    <sheet name="المهني" sheetId="5" r:id="rId1"/>
    <sheet name="ج 1,2" sheetId="15" r:id="rId2"/>
    <sheet name="ج3" sheetId="16" r:id="rId3"/>
    <sheet name="ج4" sheetId="17" r:id="rId4"/>
    <sheet name="ج5" sheetId="18" r:id="rId5"/>
    <sheet name="ج6" sheetId="19" r:id="rId6"/>
    <sheet name="ج7,8" sheetId="20" r:id="rId7"/>
    <sheet name="ج9 وملحق" sheetId="21" r:id="rId8"/>
    <sheet name="جدول القوى العاملة" sheetId="12" r:id="rId9"/>
    <sheet name="ج 11" sheetId="13" r:id="rId10"/>
    <sheet name="ج11 حسب الفروع" sheetId="14" r:id="rId11"/>
  </sheets>
  <definedNames>
    <definedName name="_xlnm._FilterDatabase" localSheetId="0" hidden="1">المهني!$A$5:$SS$20</definedName>
    <definedName name="_xlnm.Print_Area" localSheetId="0">المهني!$A$1:$SP$41</definedName>
    <definedName name="_xlnm.Print_Area" localSheetId="1">'ج 1,2'!$A$1:$T$122</definedName>
    <definedName name="_xlnm.Print_Area" localSheetId="9">'ج 11'!$A$1:$P$134</definedName>
    <definedName name="_xlnm.Print_Area" localSheetId="3">ج4!$A$1:$T$152</definedName>
    <definedName name="_xlnm.Print_Area" localSheetId="5">ج6!$A$1:$S$157</definedName>
    <definedName name="_xlnm.Print_Area" localSheetId="6">'ج7,8'!$A$1:$W$125</definedName>
    <definedName name="_xlnm.Print_Area" localSheetId="7">'ج9 وملحق'!$A$1:$Z$130</definedName>
  </definedNames>
  <calcPr calcId="145621"/>
</workbook>
</file>

<file path=xl/calcChain.xml><?xml version="1.0" encoding="utf-8"?>
<calcChain xmlns="http://schemas.openxmlformats.org/spreadsheetml/2006/main">
  <c r="HK44" i="5" l="1"/>
  <c r="HL44" i="5"/>
  <c r="HM44" i="5"/>
  <c r="HN44" i="5"/>
  <c r="HO44" i="5"/>
  <c r="HP44" i="5"/>
  <c r="HQ44" i="5"/>
  <c r="HR44" i="5"/>
  <c r="HS44" i="5"/>
  <c r="HT44" i="5"/>
  <c r="HU44" i="5"/>
  <c r="HV44" i="5"/>
  <c r="HW44" i="5"/>
  <c r="HX44" i="5"/>
  <c r="HY44" i="5"/>
  <c r="HZ44" i="5"/>
  <c r="IA44" i="5"/>
  <c r="IB44" i="5"/>
  <c r="IC44" i="5"/>
  <c r="ID44" i="5"/>
  <c r="IE44" i="5"/>
  <c r="IF44" i="5"/>
  <c r="IG44" i="5"/>
  <c r="IH44" i="5"/>
  <c r="II44" i="5"/>
  <c r="IJ44" i="5"/>
  <c r="IK44" i="5"/>
  <c r="IL44" i="5"/>
  <c r="IM44" i="5"/>
  <c r="IN44" i="5"/>
  <c r="IO44" i="5"/>
  <c r="IP44" i="5"/>
  <c r="IQ44" i="5"/>
  <c r="IR44" i="5"/>
  <c r="IS44" i="5"/>
  <c r="IT44" i="5"/>
  <c r="IU44" i="5"/>
  <c r="IV44" i="5"/>
  <c r="IW44" i="5"/>
  <c r="IX44" i="5"/>
  <c r="IY44" i="5"/>
  <c r="IZ44" i="5"/>
  <c r="JA44" i="5"/>
  <c r="JB44" i="5"/>
  <c r="JC44" i="5"/>
  <c r="JD44" i="5"/>
  <c r="JE44" i="5"/>
  <c r="JF44" i="5"/>
  <c r="JG44" i="5"/>
  <c r="JH44" i="5"/>
  <c r="JI44" i="5"/>
  <c r="JJ44" i="5"/>
  <c r="JK44" i="5"/>
  <c r="JL44" i="5"/>
  <c r="JM44" i="5"/>
  <c r="JN44" i="5"/>
  <c r="JO44" i="5"/>
  <c r="JP44" i="5"/>
  <c r="JQ44" i="5"/>
  <c r="JR44" i="5"/>
  <c r="JS44" i="5"/>
  <c r="JT44" i="5"/>
  <c r="JU44" i="5"/>
  <c r="JV44" i="5"/>
  <c r="JW44" i="5"/>
  <c r="JX44" i="5"/>
  <c r="JY44" i="5"/>
  <c r="JZ44" i="5"/>
  <c r="KA44" i="5"/>
  <c r="KB44" i="5"/>
  <c r="KC44" i="5"/>
  <c r="KD44" i="5"/>
  <c r="KE44" i="5"/>
  <c r="KF44" i="5"/>
  <c r="KG44" i="5"/>
  <c r="KH44" i="5"/>
  <c r="KI44" i="5"/>
  <c r="KJ44" i="5"/>
  <c r="KK44" i="5"/>
  <c r="KL44" i="5"/>
  <c r="KM44" i="5"/>
  <c r="KN44" i="5"/>
  <c r="KO44" i="5"/>
  <c r="KP44" i="5"/>
  <c r="KQ44" i="5"/>
  <c r="KR44" i="5"/>
  <c r="KS44" i="5"/>
  <c r="KT44" i="5"/>
  <c r="KU44" i="5"/>
  <c r="KV44" i="5"/>
  <c r="KW44" i="5"/>
  <c r="KX44" i="5"/>
  <c r="KY44" i="5"/>
  <c r="KZ44" i="5"/>
  <c r="LA44" i="5"/>
  <c r="LB44" i="5"/>
  <c r="LC44" i="5"/>
  <c r="LD44" i="5"/>
  <c r="LE44" i="5"/>
  <c r="LF44" i="5"/>
  <c r="LG44" i="5"/>
  <c r="LH44" i="5"/>
  <c r="LI44" i="5"/>
  <c r="LJ44" i="5"/>
  <c r="LK44" i="5"/>
  <c r="LL44" i="5"/>
  <c r="LM44" i="5"/>
  <c r="LN44" i="5"/>
  <c r="LO44" i="5"/>
  <c r="LP44" i="5"/>
  <c r="LQ44" i="5"/>
  <c r="LR44" i="5"/>
  <c r="LS44" i="5"/>
  <c r="LT44" i="5"/>
  <c r="LU44" i="5"/>
  <c r="LV44" i="5"/>
  <c r="LW44" i="5"/>
  <c r="LX44" i="5"/>
  <c r="LY44" i="5"/>
  <c r="LZ44" i="5"/>
  <c r="MA44" i="5"/>
  <c r="MB44" i="5"/>
  <c r="MC44" i="5"/>
  <c r="MD44" i="5"/>
  <c r="ME44" i="5"/>
  <c r="MF44" i="5"/>
  <c r="MG44" i="5"/>
  <c r="MH44" i="5"/>
  <c r="MI44" i="5"/>
  <c r="MJ44" i="5"/>
  <c r="MK44" i="5"/>
  <c r="ML44" i="5"/>
  <c r="MM44" i="5"/>
  <c r="MN44" i="5"/>
  <c r="MO44" i="5"/>
  <c r="MP44" i="5"/>
  <c r="MQ44" i="5"/>
  <c r="MR44" i="5"/>
  <c r="MS44" i="5"/>
  <c r="MT44" i="5"/>
  <c r="MU44" i="5"/>
  <c r="MV44" i="5"/>
  <c r="MW44" i="5"/>
  <c r="MX44" i="5"/>
  <c r="MY44" i="5"/>
  <c r="MZ44" i="5"/>
  <c r="NA44" i="5"/>
  <c r="NB44" i="5"/>
  <c r="NC44" i="5"/>
  <c r="ND44" i="5"/>
  <c r="NE44" i="5"/>
  <c r="NF44" i="5"/>
  <c r="NG44" i="5"/>
  <c r="NH44" i="5"/>
  <c r="NI44" i="5"/>
  <c r="NJ44" i="5"/>
  <c r="NK44" i="5"/>
  <c r="NL44" i="5"/>
  <c r="NM44" i="5"/>
  <c r="NN44" i="5"/>
  <c r="NO44" i="5"/>
  <c r="NP44" i="5"/>
  <c r="NQ44" i="5"/>
  <c r="NR44" i="5"/>
  <c r="NS44" i="5"/>
  <c r="NT44" i="5"/>
  <c r="NU44" i="5"/>
  <c r="NV44" i="5"/>
  <c r="NW44" i="5"/>
  <c r="NX44" i="5"/>
  <c r="NY44" i="5"/>
  <c r="NZ44" i="5"/>
  <c r="OA44" i="5"/>
  <c r="OB44" i="5"/>
  <c r="OC44" i="5"/>
  <c r="OD44" i="5"/>
  <c r="OE44" i="5"/>
  <c r="OF44" i="5"/>
  <c r="OG44" i="5"/>
  <c r="OH44" i="5"/>
  <c r="OI44" i="5"/>
  <c r="OJ44" i="5"/>
  <c r="OK44" i="5"/>
  <c r="OL44" i="5"/>
  <c r="OM44" i="5"/>
  <c r="ON44" i="5"/>
  <c r="OO44" i="5"/>
  <c r="OP44" i="5"/>
  <c r="OQ44" i="5"/>
  <c r="OR44" i="5"/>
  <c r="OS44" i="5"/>
  <c r="OT44" i="5"/>
  <c r="OU44" i="5"/>
  <c r="OV44" i="5"/>
  <c r="OW44" i="5"/>
  <c r="OX44" i="5"/>
  <c r="OY44" i="5"/>
  <c r="OZ44" i="5"/>
  <c r="PA44" i="5"/>
  <c r="PB44" i="5"/>
  <c r="PC44" i="5"/>
  <c r="PD44" i="5"/>
  <c r="PE44" i="5"/>
  <c r="PF44" i="5"/>
  <c r="PG44" i="5"/>
  <c r="PH44" i="5"/>
  <c r="PI44" i="5"/>
  <c r="PJ44" i="5"/>
  <c r="PK44" i="5"/>
  <c r="PL44" i="5"/>
  <c r="PM44" i="5"/>
  <c r="PN44" i="5"/>
  <c r="PO44" i="5"/>
  <c r="PP44" i="5"/>
  <c r="PQ44" i="5"/>
  <c r="PR44" i="5"/>
  <c r="PS44" i="5"/>
  <c r="PT44" i="5"/>
  <c r="PU44" i="5"/>
  <c r="PV44" i="5"/>
  <c r="PW44" i="5"/>
  <c r="PX44" i="5"/>
  <c r="PY44" i="5"/>
  <c r="PZ44" i="5"/>
  <c r="QA44" i="5"/>
  <c r="QB44" i="5"/>
  <c r="QC44" i="5"/>
  <c r="QD44" i="5"/>
  <c r="QE44" i="5"/>
  <c r="QF44" i="5"/>
  <c r="QG44" i="5"/>
  <c r="QH44" i="5"/>
  <c r="QI44" i="5"/>
  <c r="QJ44" i="5"/>
  <c r="QK44" i="5"/>
  <c r="QL44" i="5"/>
  <c r="QM44" i="5"/>
  <c r="QN44" i="5"/>
  <c r="QO44" i="5"/>
  <c r="QP44" i="5"/>
  <c r="QQ44" i="5"/>
  <c r="QR44" i="5"/>
  <c r="QS44" i="5"/>
  <c r="QT44" i="5"/>
  <c r="QU44" i="5"/>
  <c r="QV44" i="5"/>
  <c r="QW44" i="5"/>
  <c r="QX44" i="5"/>
  <c r="QY44" i="5"/>
  <c r="QZ44" i="5"/>
  <c r="RA44" i="5"/>
  <c r="RB44" i="5"/>
  <c r="RC44" i="5"/>
  <c r="RD44" i="5"/>
  <c r="RE44" i="5"/>
  <c r="RF44" i="5"/>
  <c r="RG44" i="5"/>
  <c r="RH44" i="5"/>
  <c r="RI44" i="5"/>
  <c r="RJ44" i="5"/>
  <c r="RK44" i="5"/>
  <c r="RL44" i="5"/>
  <c r="RM44" i="5"/>
  <c r="RN44" i="5"/>
  <c r="RO44" i="5"/>
  <c r="RP44" i="5"/>
  <c r="RQ44" i="5"/>
  <c r="RR44" i="5"/>
  <c r="RS44" i="5"/>
  <c r="RT44" i="5"/>
  <c r="RU44" i="5"/>
  <c r="RV44" i="5"/>
  <c r="RW44" i="5"/>
  <c r="RX44" i="5"/>
  <c r="RY44" i="5"/>
  <c r="RZ44" i="5"/>
  <c r="SA44" i="5"/>
  <c r="SB44" i="5"/>
  <c r="SC44" i="5"/>
  <c r="SD44" i="5"/>
  <c r="SE44" i="5"/>
  <c r="SF44" i="5"/>
  <c r="SG44" i="5"/>
  <c r="SH44" i="5"/>
  <c r="SI44" i="5"/>
  <c r="SJ44" i="5"/>
  <c r="SK44" i="5"/>
  <c r="SL44" i="5"/>
  <c r="SM44" i="5"/>
  <c r="SN44" i="5"/>
  <c r="SO44" i="5"/>
  <c r="SP44" i="5"/>
  <c r="HK45" i="5"/>
  <c r="HL45" i="5"/>
  <c r="HM45" i="5"/>
  <c r="HN45" i="5"/>
  <c r="HO45" i="5"/>
  <c r="HP45" i="5"/>
  <c r="HQ45" i="5"/>
  <c r="HR45" i="5"/>
  <c r="HS45" i="5"/>
  <c r="HT45" i="5"/>
  <c r="HU45" i="5"/>
  <c r="HV45" i="5"/>
  <c r="HW45" i="5"/>
  <c r="HX45" i="5"/>
  <c r="HY45" i="5"/>
  <c r="HZ45" i="5"/>
  <c r="IA45" i="5"/>
  <c r="IB45" i="5"/>
  <c r="IC45" i="5"/>
  <c r="ID45" i="5"/>
  <c r="IE45" i="5"/>
  <c r="IF45" i="5"/>
  <c r="IG45" i="5"/>
  <c r="IH45" i="5"/>
  <c r="II45" i="5"/>
  <c r="IJ45" i="5"/>
  <c r="IK45" i="5"/>
  <c r="IL45" i="5"/>
  <c r="IM45" i="5"/>
  <c r="IN45" i="5"/>
  <c r="IO45" i="5"/>
  <c r="IP45" i="5"/>
  <c r="IQ45" i="5"/>
  <c r="IR45" i="5"/>
  <c r="IS45" i="5"/>
  <c r="IT45" i="5"/>
  <c r="IU45" i="5"/>
  <c r="IV45" i="5"/>
  <c r="IW45" i="5"/>
  <c r="IX45" i="5"/>
  <c r="IY45" i="5"/>
  <c r="IZ45" i="5"/>
  <c r="JA45" i="5"/>
  <c r="JB45" i="5"/>
  <c r="JC45" i="5"/>
  <c r="JD45" i="5"/>
  <c r="JE45" i="5"/>
  <c r="JF45" i="5"/>
  <c r="JG45" i="5"/>
  <c r="JH45" i="5"/>
  <c r="JI45" i="5"/>
  <c r="JJ45" i="5"/>
  <c r="JK45" i="5"/>
  <c r="JL45" i="5"/>
  <c r="JM45" i="5"/>
  <c r="JN45" i="5"/>
  <c r="JO45" i="5"/>
  <c r="JP45" i="5"/>
  <c r="JQ45" i="5"/>
  <c r="JR45" i="5"/>
  <c r="JS45" i="5"/>
  <c r="JT45" i="5"/>
  <c r="JU45" i="5"/>
  <c r="JV45" i="5"/>
  <c r="JW45" i="5"/>
  <c r="JX45" i="5"/>
  <c r="JY45" i="5"/>
  <c r="JZ45" i="5"/>
  <c r="KA45" i="5"/>
  <c r="KB45" i="5"/>
  <c r="KC45" i="5"/>
  <c r="KD45" i="5"/>
  <c r="KE45" i="5"/>
  <c r="KF45" i="5"/>
  <c r="KG45" i="5"/>
  <c r="KH45" i="5"/>
  <c r="KI45" i="5"/>
  <c r="KJ45" i="5"/>
  <c r="KK45" i="5"/>
  <c r="KL45" i="5"/>
  <c r="KM45" i="5"/>
  <c r="KN45" i="5"/>
  <c r="KO45" i="5"/>
  <c r="KP45" i="5"/>
  <c r="KQ45" i="5"/>
  <c r="KR45" i="5"/>
  <c r="KS45" i="5"/>
  <c r="KT45" i="5"/>
  <c r="KU45" i="5"/>
  <c r="KV45" i="5"/>
  <c r="KW45" i="5"/>
  <c r="KX45" i="5"/>
  <c r="KY45" i="5"/>
  <c r="KZ45" i="5"/>
  <c r="LA45" i="5"/>
  <c r="LB45" i="5"/>
  <c r="LC45" i="5"/>
  <c r="LD45" i="5"/>
  <c r="LE45" i="5"/>
  <c r="LF45" i="5"/>
  <c r="LG45" i="5"/>
  <c r="LH45" i="5"/>
  <c r="LI45" i="5"/>
  <c r="LJ45" i="5"/>
  <c r="LK45" i="5"/>
  <c r="LL45" i="5"/>
  <c r="LM45" i="5"/>
  <c r="LN45" i="5"/>
  <c r="LO45" i="5"/>
  <c r="LP45" i="5"/>
  <c r="LQ45" i="5"/>
  <c r="LR45" i="5"/>
  <c r="LS45" i="5"/>
  <c r="LT45" i="5"/>
  <c r="LU45" i="5"/>
  <c r="LV45" i="5"/>
  <c r="LW45" i="5"/>
  <c r="LX45" i="5"/>
  <c r="LY45" i="5"/>
  <c r="LZ45" i="5"/>
  <c r="MA45" i="5"/>
  <c r="MB45" i="5"/>
  <c r="MC45" i="5"/>
  <c r="MD45" i="5"/>
  <c r="ME45" i="5"/>
  <c r="MF45" i="5"/>
  <c r="MG45" i="5"/>
  <c r="MH45" i="5"/>
  <c r="MI45" i="5"/>
  <c r="MJ45" i="5"/>
  <c r="MK45" i="5"/>
  <c r="ML45" i="5"/>
  <c r="MM45" i="5"/>
  <c r="MN45" i="5"/>
  <c r="MO45" i="5"/>
  <c r="MP45" i="5"/>
  <c r="MQ45" i="5"/>
  <c r="MR45" i="5"/>
  <c r="MS45" i="5"/>
  <c r="MT45" i="5"/>
  <c r="MU45" i="5"/>
  <c r="MV45" i="5"/>
  <c r="MW45" i="5"/>
  <c r="MX45" i="5"/>
  <c r="MY45" i="5"/>
  <c r="MZ45" i="5"/>
  <c r="NA45" i="5"/>
  <c r="NB45" i="5"/>
  <c r="NC45" i="5"/>
  <c r="ND45" i="5"/>
  <c r="NE45" i="5"/>
  <c r="NF45" i="5"/>
  <c r="NG45" i="5"/>
  <c r="NH45" i="5"/>
  <c r="NI45" i="5"/>
  <c r="NJ45" i="5"/>
  <c r="NK45" i="5"/>
  <c r="NL45" i="5"/>
  <c r="NM45" i="5"/>
  <c r="NN45" i="5"/>
  <c r="NO45" i="5"/>
  <c r="NP45" i="5"/>
  <c r="NQ45" i="5"/>
  <c r="NR45" i="5"/>
  <c r="NS45" i="5"/>
  <c r="NT45" i="5"/>
  <c r="NU45" i="5"/>
  <c r="NV45" i="5"/>
  <c r="NW45" i="5"/>
  <c r="NX45" i="5"/>
  <c r="NY45" i="5"/>
  <c r="NZ45" i="5"/>
  <c r="OA45" i="5"/>
  <c r="OB45" i="5"/>
  <c r="OC45" i="5"/>
  <c r="OD45" i="5"/>
  <c r="OE45" i="5"/>
  <c r="OF45" i="5"/>
  <c r="OG45" i="5"/>
  <c r="OH45" i="5"/>
  <c r="OI45" i="5"/>
  <c r="OJ45" i="5"/>
  <c r="OK45" i="5"/>
  <c r="OL45" i="5"/>
  <c r="OM45" i="5"/>
  <c r="ON45" i="5"/>
  <c r="OO45" i="5"/>
  <c r="OP45" i="5"/>
  <c r="OQ45" i="5"/>
  <c r="OR45" i="5"/>
  <c r="OS45" i="5"/>
  <c r="OT45" i="5"/>
  <c r="OU45" i="5"/>
  <c r="OV45" i="5"/>
  <c r="OW45" i="5"/>
  <c r="OX45" i="5"/>
  <c r="OY45" i="5"/>
  <c r="OZ45" i="5"/>
  <c r="PA45" i="5"/>
  <c r="PB45" i="5"/>
  <c r="PC45" i="5"/>
  <c r="PD45" i="5"/>
  <c r="PE45" i="5"/>
  <c r="PF45" i="5"/>
  <c r="PG45" i="5"/>
  <c r="PH45" i="5"/>
  <c r="PI45" i="5"/>
  <c r="PJ45" i="5"/>
  <c r="PK45" i="5"/>
  <c r="PL45" i="5"/>
  <c r="PM45" i="5"/>
  <c r="PN45" i="5"/>
  <c r="PO45" i="5"/>
  <c r="PP45" i="5"/>
  <c r="PQ45" i="5"/>
  <c r="PR45" i="5"/>
  <c r="PS45" i="5"/>
  <c r="PT45" i="5"/>
  <c r="PU45" i="5"/>
  <c r="PV45" i="5"/>
  <c r="PW45" i="5"/>
  <c r="PX45" i="5"/>
  <c r="PY45" i="5"/>
  <c r="PZ45" i="5"/>
  <c r="QA45" i="5"/>
  <c r="QB45" i="5"/>
  <c r="QC45" i="5"/>
  <c r="QD45" i="5"/>
  <c r="QE45" i="5"/>
  <c r="QF45" i="5"/>
  <c r="QG45" i="5"/>
  <c r="QH45" i="5"/>
  <c r="QI45" i="5"/>
  <c r="QJ45" i="5"/>
  <c r="QK45" i="5"/>
  <c r="QL45" i="5"/>
  <c r="QM45" i="5"/>
  <c r="QN45" i="5"/>
  <c r="QO45" i="5"/>
  <c r="QP45" i="5"/>
  <c r="QQ45" i="5"/>
  <c r="QR45" i="5"/>
  <c r="QS45" i="5"/>
  <c r="QT45" i="5"/>
  <c r="QU45" i="5"/>
  <c r="QV45" i="5"/>
  <c r="QW45" i="5"/>
  <c r="QX45" i="5"/>
  <c r="QY45" i="5"/>
  <c r="QZ45" i="5"/>
  <c r="RA45" i="5"/>
  <c r="RB45" i="5"/>
  <c r="RC45" i="5"/>
  <c r="RD45" i="5"/>
  <c r="RE45" i="5"/>
  <c r="RF45" i="5"/>
  <c r="RG45" i="5"/>
  <c r="RH45" i="5"/>
  <c r="RI45" i="5"/>
  <c r="RJ45" i="5"/>
  <c r="RK45" i="5"/>
  <c r="RL45" i="5"/>
  <c r="RM45" i="5"/>
  <c r="RN45" i="5"/>
  <c r="RO45" i="5"/>
  <c r="RP45" i="5"/>
  <c r="RQ45" i="5"/>
  <c r="RR45" i="5"/>
  <c r="RS45" i="5"/>
  <c r="RT45" i="5"/>
  <c r="RU45" i="5"/>
  <c r="RV45" i="5"/>
  <c r="RW45" i="5"/>
  <c r="RX45" i="5"/>
  <c r="RY45" i="5"/>
  <c r="RZ45" i="5"/>
  <c r="SA45" i="5"/>
  <c r="SB45" i="5"/>
  <c r="SC45" i="5"/>
  <c r="SD45" i="5"/>
  <c r="SE45" i="5"/>
  <c r="SF45" i="5"/>
  <c r="SG45" i="5"/>
  <c r="SH45" i="5"/>
  <c r="SI45" i="5"/>
  <c r="SJ45" i="5"/>
  <c r="SK45" i="5"/>
  <c r="SL45" i="5"/>
  <c r="SM45" i="5"/>
  <c r="SN45" i="5"/>
  <c r="SO45" i="5"/>
  <c r="SP45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BE44" i="5"/>
  <c r="BF44" i="5"/>
  <c r="BG44" i="5"/>
  <c r="BH44" i="5"/>
  <c r="BI44" i="5"/>
  <c r="BJ44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BY44" i="5"/>
  <c r="BZ44" i="5"/>
  <c r="CA44" i="5"/>
  <c r="CB44" i="5"/>
  <c r="CC44" i="5"/>
  <c r="CD44" i="5"/>
  <c r="CE44" i="5"/>
  <c r="CF44" i="5"/>
  <c r="CG44" i="5"/>
  <c r="CH44" i="5"/>
  <c r="CI44" i="5"/>
  <c r="CJ44" i="5"/>
  <c r="CK44" i="5"/>
  <c r="CL44" i="5"/>
  <c r="CM44" i="5"/>
  <c r="CN44" i="5"/>
  <c r="CO44" i="5"/>
  <c r="CP44" i="5"/>
  <c r="CQ44" i="5"/>
  <c r="CR44" i="5"/>
  <c r="CS44" i="5"/>
  <c r="CT44" i="5"/>
  <c r="CU44" i="5"/>
  <c r="CV44" i="5"/>
  <c r="CW44" i="5"/>
  <c r="CX44" i="5"/>
  <c r="CY44" i="5"/>
  <c r="CZ44" i="5"/>
  <c r="DA44" i="5"/>
  <c r="DB44" i="5"/>
  <c r="DC44" i="5"/>
  <c r="DD44" i="5"/>
  <c r="DE44" i="5"/>
  <c r="DF44" i="5"/>
  <c r="DG44" i="5"/>
  <c r="DH44" i="5"/>
  <c r="DI44" i="5"/>
  <c r="DJ44" i="5"/>
  <c r="DK44" i="5"/>
  <c r="DL44" i="5"/>
  <c r="DM44" i="5"/>
  <c r="DN44" i="5"/>
  <c r="DO44" i="5"/>
  <c r="DP44" i="5"/>
  <c r="DQ44" i="5"/>
  <c r="DR44" i="5"/>
  <c r="DS44" i="5"/>
  <c r="DT44" i="5"/>
  <c r="DU44" i="5"/>
  <c r="DV44" i="5"/>
  <c r="DW44" i="5"/>
  <c r="DX44" i="5"/>
  <c r="DY44" i="5"/>
  <c r="DZ44" i="5"/>
  <c r="EA44" i="5"/>
  <c r="EB44" i="5"/>
  <c r="EC44" i="5"/>
  <c r="ED44" i="5"/>
  <c r="EE44" i="5"/>
  <c r="EF44" i="5"/>
  <c r="EG44" i="5"/>
  <c r="EH44" i="5"/>
  <c r="EI44" i="5"/>
  <c r="EJ44" i="5"/>
  <c r="EK44" i="5"/>
  <c r="EL44" i="5"/>
  <c r="EM44" i="5"/>
  <c r="EN44" i="5"/>
  <c r="EO44" i="5"/>
  <c r="EP44" i="5"/>
  <c r="EQ44" i="5"/>
  <c r="ER44" i="5"/>
  <c r="ES44" i="5"/>
  <c r="ET44" i="5"/>
  <c r="EU44" i="5"/>
  <c r="EV44" i="5"/>
  <c r="EW44" i="5"/>
  <c r="EX44" i="5"/>
  <c r="EY44" i="5"/>
  <c r="EZ44" i="5"/>
  <c r="FA44" i="5"/>
  <c r="FB44" i="5"/>
  <c r="FC44" i="5"/>
  <c r="FD44" i="5"/>
  <c r="FE44" i="5"/>
  <c r="FF44" i="5"/>
  <c r="FG44" i="5"/>
  <c r="FH44" i="5"/>
  <c r="FI44" i="5"/>
  <c r="FJ44" i="5"/>
  <c r="FK44" i="5"/>
  <c r="FL44" i="5"/>
  <c r="FM44" i="5"/>
  <c r="FN44" i="5"/>
  <c r="FO44" i="5"/>
  <c r="FP44" i="5"/>
  <c r="FQ44" i="5"/>
  <c r="FR44" i="5"/>
  <c r="FS44" i="5"/>
  <c r="FT44" i="5"/>
  <c r="FU44" i="5"/>
  <c r="FV44" i="5"/>
  <c r="FW44" i="5"/>
  <c r="FX44" i="5"/>
  <c r="FY44" i="5"/>
  <c r="FZ44" i="5"/>
  <c r="GA44" i="5"/>
  <c r="GB44" i="5"/>
  <c r="GC44" i="5"/>
  <c r="GD44" i="5"/>
  <c r="GE44" i="5"/>
  <c r="GF44" i="5"/>
  <c r="GG44" i="5"/>
  <c r="GH44" i="5"/>
  <c r="GI44" i="5"/>
  <c r="GJ44" i="5"/>
  <c r="GK44" i="5"/>
  <c r="GL44" i="5"/>
  <c r="GM44" i="5"/>
  <c r="GN44" i="5"/>
  <c r="GO44" i="5"/>
  <c r="GP44" i="5"/>
  <c r="GQ44" i="5"/>
  <c r="GR44" i="5"/>
  <c r="GS44" i="5"/>
  <c r="GT44" i="5"/>
  <c r="GU44" i="5"/>
  <c r="GV44" i="5"/>
  <c r="GW44" i="5"/>
  <c r="GX44" i="5"/>
  <c r="GY44" i="5"/>
  <c r="GZ44" i="5"/>
  <c r="HA44" i="5"/>
  <c r="HB44" i="5"/>
  <c r="HC44" i="5"/>
  <c r="HD44" i="5"/>
  <c r="HE44" i="5"/>
  <c r="HF44" i="5"/>
  <c r="HG44" i="5"/>
  <c r="HH44" i="5"/>
  <c r="HI44" i="5"/>
  <c r="HJ44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BE45" i="5"/>
  <c r="BF45" i="5"/>
  <c r="BG45" i="5"/>
  <c r="BH45" i="5"/>
  <c r="BI45" i="5"/>
  <c r="BJ45" i="5"/>
  <c r="BK45" i="5"/>
  <c r="BL45" i="5"/>
  <c r="BM45" i="5"/>
  <c r="BN45" i="5"/>
  <c r="BO45" i="5"/>
  <c r="BP45" i="5"/>
  <c r="BQ45" i="5"/>
  <c r="BR45" i="5"/>
  <c r="BS45" i="5"/>
  <c r="BT45" i="5"/>
  <c r="BU45" i="5"/>
  <c r="BV45" i="5"/>
  <c r="BW45" i="5"/>
  <c r="BX45" i="5"/>
  <c r="BY45" i="5"/>
  <c r="BZ45" i="5"/>
  <c r="CA45" i="5"/>
  <c r="CB45" i="5"/>
  <c r="CC45" i="5"/>
  <c r="CD45" i="5"/>
  <c r="CE45" i="5"/>
  <c r="CF45" i="5"/>
  <c r="CG45" i="5"/>
  <c r="CH45" i="5"/>
  <c r="CI45" i="5"/>
  <c r="CJ45" i="5"/>
  <c r="CK45" i="5"/>
  <c r="CL45" i="5"/>
  <c r="CM45" i="5"/>
  <c r="CN45" i="5"/>
  <c r="CO45" i="5"/>
  <c r="CP45" i="5"/>
  <c r="CQ45" i="5"/>
  <c r="CR45" i="5"/>
  <c r="CS45" i="5"/>
  <c r="CT45" i="5"/>
  <c r="CU45" i="5"/>
  <c r="CV45" i="5"/>
  <c r="CW45" i="5"/>
  <c r="CX45" i="5"/>
  <c r="CY45" i="5"/>
  <c r="CZ45" i="5"/>
  <c r="DA45" i="5"/>
  <c r="DB45" i="5"/>
  <c r="DC45" i="5"/>
  <c r="DD45" i="5"/>
  <c r="DE45" i="5"/>
  <c r="DF45" i="5"/>
  <c r="DG45" i="5"/>
  <c r="DH45" i="5"/>
  <c r="DI45" i="5"/>
  <c r="DJ45" i="5"/>
  <c r="DK45" i="5"/>
  <c r="DL45" i="5"/>
  <c r="DM45" i="5"/>
  <c r="DN45" i="5"/>
  <c r="DO45" i="5"/>
  <c r="DP45" i="5"/>
  <c r="DQ45" i="5"/>
  <c r="DR45" i="5"/>
  <c r="DS45" i="5"/>
  <c r="DT45" i="5"/>
  <c r="DU45" i="5"/>
  <c r="DV45" i="5"/>
  <c r="DW45" i="5"/>
  <c r="DX45" i="5"/>
  <c r="DY45" i="5"/>
  <c r="DZ45" i="5"/>
  <c r="EA45" i="5"/>
  <c r="EB45" i="5"/>
  <c r="EC45" i="5"/>
  <c r="ED45" i="5"/>
  <c r="EE45" i="5"/>
  <c r="EF45" i="5"/>
  <c r="EG45" i="5"/>
  <c r="EH45" i="5"/>
  <c r="EI45" i="5"/>
  <c r="EJ45" i="5"/>
  <c r="EK45" i="5"/>
  <c r="EL45" i="5"/>
  <c r="EM45" i="5"/>
  <c r="EN45" i="5"/>
  <c r="EO45" i="5"/>
  <c r="EP45" i="5"/>
  <c r="EQ45" i="5"/>
  <c r="ER45" i="5"/>
  <c r="ES45" i="5"/>
  <c r="ET45" i="5"/>
  <c r="EU45" i="5"/>
  <c r="EV45" i="5"/>
  <c r="EW45" i="5"/>
  <c r="EX45" i="5"/>
  <c r="EY45" i="5"/>
  <c r="EZ45" i="5"/>
  <c r="FA45" i="5"/>
  <c r="FB45" i="5"/>
  <c r="FC45" i="5"/>
  <c r="FD45" i="5"/>
  <c r="FE45" i="5"/>
  <c r="FF45" i="5"/>
  <c r="FG45" i="5"/>
  <c r="FH45" i="5"/>
  <c r="FI45" i="5"/>
  <c r="FJ45" i="5"/>
  <c r="FK45" i="5"/>
  <c r="FL45" i="5"/>
  <c r="FM45" i="5"/>
  <c r="FN45" i="5"/>
  <c r="FO45" i="5"/>
  <c r="FP45" i="5"/>
  <c r="FQ45" i="5"/>
  <c r="FR45" i="5"/>
  <c r="FS45" i="5"/>
  <c r="FT45" i="5"/>
  <c r="FU45" i="5"/>
  <c r="FV45" i="5"/>
  <c r="FW45" i="5"/>
  <c r="FX45" i="5"/>
  <c r="FY45" i="5"/>
  <c r="FZ45" i="5"/>
  <c r="GA45" i="5"/>
  <c r="GB45" i="5"/>
  <c r="GC45" i="5"/>
  <c r="GD45" i="5"/>
  <c r="GE45" i="5"/>
  <c r="GF45" i="5"/>
  <c r="GG45" i="5"/>
  <c r="GH45" i="5"/>
  <c r="GI45" i="5"/>
  <c r="GJ45" i="5"/>
  <c r="GK45" i="5"/>
  <c r="GL45" i="5"/>
  <c r="GM45" i="5"/>
  <c r="GN45" i="5"/>
  <c r="GO45" i="5"/>
  <c r="GP45" i="5"/>
  <c r="GQ45" i="5"/>
  <c r="GR45" i="5"/>
  <c r="GS45" i="5"/>
  <c r="GT45" i="5"/>
  <c r="GU45" i="5"/>
  <c r="GV45" i="5"/>
  <c r="GW45" i="5"/>
  <c r="GX45" i="5"/>
  <c r="GY45" i="5"/>
  <c r="GZ45" i="5"/>
  <c r="HA45" i="5"/>
  <c r="HB45" i="5"/>
  <c r="HC45" i="5"/>
  <c r="HD45" i="5"/>
  <c r="HE45" i="5"/>
  <c r="HF45" i="5"/>
  <c r="HG45" i="5"/>
  <c r="HH45" i="5"/>
  <c r="HI45" i="5"/>
  <c r="HJ45" i="5"/>
  <c r="F45" i="5"/>
  <c r="F44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CD8" i="5"/>
  <c r="CE8" i="5"/>
  <c r="CF8" i="5"/>
  <c r="CG8" i="5"/>
  <c r="CH8" i="5"/>
  <c r="CI8" i="5"/>
  <c r="CJ8" i="5"/>
  <c r="CK8" i="5"/>
  <c r="CL8" i="5"/>
  <c r="CM8" i="5"/>
  <c r="CN8" i="5"/>
  <c r="CO8" i="5"/>
  <c r="CP8" i="5"/>
  <c r="CQ8" i="5"/>
  <c r="CR8" i="5"/>
  <c r="CS8" i="5"/>
  <c r="CT8" i="5"/>
  <c r="CU8" i="5"/>
  <c r="CV8" i="5"/>
  <c r="CW8" i="5"/>
  <c r="CX8" i="5"/>
  <c r="CY8" i="5"/>
  <c r="CZ8" i="5"/>
  <c r="DA8" i="5"/>
  <c r="DB8" i="5"/>
  <c r="DC8" i="5"/>
  <c r="DD8" i="5"/>
  <c r="DE8" i="5"/>
  <c r="DF8" i="5"/>
  <c r="DG8" i="5"/>
  <c r="DH8" i="5"/>
  <c r="DI8" i="5"/>
  <c r="DJ8" i="5"/>
  <c r="DK8" i="5"/>
  <c r="DL8" i="5"/>
  <c r="DM8" i="5"/>
  <c r="DN8" i="5"/>
  <c r="DO8" i="5"/>
  <c r="DP8" i="5"/>
  <c r="DQ8" i="5"/>
  <c r="DR8" i="5"/>
  <c r="DS8" i="5"/>
  <c r="DT8" i="5"/>
  <c r="DU8" i="5"/>
  <c r="DV8" i="5"/>
  <c r="DW8" i="5"/>
  <c r="DX8" i="5"/>
  <c r="DY8" i="5"/>
  <c r="DZ8" i="5"/>
  <c r="EA8" i="5"/>
  <c r="EB8" i="5"/>
  <c r="EC8" i="5"/>
  <c r="ED8" i="5"/>
  <c r="EE8" i="5"/>
  <c r="EF8" i="5"/>
  <c r="EG8" i="5"/>
  <c r="EH8" i="5"/>
  <c r="EI8" i="5"/>
  <c r="EJ8" i="5"/>
  <c r="EK8" i="5"/>
  <c r="EL8" i="5"/>
  <c r="EM8" i="5"/>
  <c r="EN8" i="5"/>
  <c r="EO8" i="5"/>
  <c r="EP8" i="5"/>
  <c r="EQ8" i="5"/>
  <c r="ER8" i="5"/>
  <c r="ES8" i="5"/>
  <c r="ET8" i="5"/>
  <c r="EU8" i="5"/>
  <c r="EV8" i="5"/>
  <c r="EW8" i="5"/>
  <c r="EX8" i="5"/>
  <c r="EY8" i="5"/>
  <c r="EZ8" i="5"/>
  <c r="FA8" i="5"/>
  <c r="FB8" i="5"/>
  <c r="FC8" i="5"/>
  <c r="FD8" i="5"/>
  <c r="FE8" i="5"/>
  <c r="FF8" i="5"/>
  <c r="FG8" i="5"/>
  <c r="FH8" i="5"/>
  <c r="FI8" i="5"/>
  <c r="FJ8" i="5"/>
  <c r="FK8" i="5"/>
  <c r="FL8" i="5"/>
  <c r="FM8" i="5"/>
  <c r="FN8" i="5"/>
  <c r="FO8" i="5"/>
  <c r="FP8" i="5"/>
  <c r="FQ8" i="5"/>
  <c r="FR8" i="5"/>
  <c r="FS8" i="5"/>
  <c r="FT8" i="5"/>
  <c r="FU8" i="5"/>
  <c r="FV8" i="5"/>
  <c r="FW8" i="5"/>
  <c r="FX8" i="5"/>
  <c r="FY8" i="5"/>
  <c r="FZ8" i="5"/>
  <c r="GA8" i="5"/>
  <c r="GB8" i="5"/>
  <c r="GC8" i="5"/>
  <c r="GD8" i="5"/>
  <c r="GE8" i="5"/>
  <c r="GF8" i="5"/>
  <c r="GG8" i="5"/>
  <c r="GH8" i="5"/>
  <c r="GI8" i="5"/>
  <c r="GJ8" i="5"/>
  <c r="GK8" i="5"/>
  <c r="GL8" i="5"/>
  <c r="GM8" i="5"/>
  <c r="GN8" i="5"/>
  <c r="GO8" i="5"/>
  <c r="GP8" i="5"/>
  <c r="GQ8" i="5"/>
  <c r="GR8" i="5"/>
  <c r="GS8" i="5"/>
  <c r="GT8" i="5"/>
  <c r="GU8" i="5"/>
  <c r="GV8" i="5"/>
  <c r="GW8" i="5"/>
  <c r="GX8" i="5"/>
  <c r="GY8" i="5"/>
  <c r="GZ8" i="5"/>
  <c r="HA8" i="5"/>
  <c r="HB8" i="5"/>
  <c r="HC8" i="5"/>
  <c r="HD8" i="5"/>
  <c r="HE8" i="5"/>
  <c r="HF8" i="5"/>
  <c r="HG8" i="5"/>
  <c r="HH8" i="5"/>
  <c r="HI8" i="5"/>
  <c r="HJ8" i="5"/>
  <c r="HK8" i="5"/>
  <c r="HL8" i="5"/>
  <c r="HM8" i="5"/>
  <c r="HN8" i="5"/>
  <c r="HO8" i="5"/>
  <c r="HP8" i="5"/>
  <c r="HQ8" i="5"/>
  <c r="HR8" i="5"/>
  <c r="HS8" i="5"/>
  <c r="HT8" i="5"/>
  <c r="HU8" i="5"/>
  <c r="HV8" i="5"/>
  <c r="HW8" i="5"/>
  <c r="HX8" i="5"/>
  <c r="HY8" i="5"/>
  <c r="HZ8" i="5"/>
  <c r="IA8" i="5"/>
  <c r="IB8" i="5"/>
  <c r="IC8" i="5"/>
  <c r="ID8" i="5"/>
  <c r="IE8" i="5"/>
  <c r="IF8" i="5"/>
  <c r="IG8" i="5"/>
  <c r="IH8" i="5"/>
  <c r="II8" i="5"/>
  <c r="IJ8" i="5"/>
  <c r="IK8" i="5"/>
  <c r="IL8" i="5"/>
  <c r="IM8" i="5"/>
  <c r="IN8" i="5"/>
  <c r="IO8" i="5"/>
  <c r="IP8" i="5"/>
  <c r="IQ8" i="5"/>
  <c r="IR8" i="5"/>
  <c r="IS8" i="5"/>
  <c r="IT8" i="5"/>
  <c r="IU8" i="5"/>
  <c r="IV8" i="5"/>
  <c r="IW8" i="5"/>
  <c r="IX8" i="5"/>
  <c r="IY8" i="5"/>
  <c r="IZ8" i="5"/>
  <c r="JA8" i="5"/>
  <c r="JB8" i="5"/>
  <c r="JC8" i="5"/>
  <c r="JD8" i="5"/>
  <c r="JE8" i="5"/>
  <c r="JF8" i="5"/>
  <c r="JG8" i="5"/>
  <c r="JH8" i="5"/>
  <c r="JI8" i="5"/>
  <c r="JJ8" i="5"/>
  <c r="JK8" i="5"/>
  <c r="JL8" i="5"/>
  <c r="JM8" i="5"/>
  <c r="JN8" i="5"/>
  <c r="JO8" i="5"/>
  <c r="JP8" i="5"/>
  <c r="JQ8" i="5"/>
  <c r="JR8" i="5"/>
  <c r="JS8" i="5"/>
  <c r="JT8" i="5"/>
  <c r="JU8" i="5"/>
  <c r="JV8" i="5"/>
  <c r="JW8" i="5"/>
  <c r="JX8" i="5"/>
  <c r="JY8" i="5"/>
  <c r="JZ8" i="5"/>
  <c r="KA8" i="5"/>
  <c r="KB8" i="5"/>
  <c r="KC8" i="5"/>
  <c r="KD8" i="5"/>
  <c r="KE8" i="5"/>
  <c r="KF8" i="5"/>
  <c r="KG8" i="5"/>
  <c r="KH8" i="5"/>
  <c r="KI8" i="5"/>
  <c r="KJ8" i="5"/>
  <c r="KK8" i="5"/>
  <c r="KL8" i="5"/>
  <c r="KM8" i="5"/>
  <c r="KN8" i="5"/>
  <c r="KO8" i="5"/>
  <c r="KP8" i="5"/>
  <c r="KQ8" i="5"/>
  <c r="KR8" i="5"/>
  <c r="KS8" i="5"/>
  <c r="KT8" i="5"/>
  <c r="KU8" i="5"/>
  <c r="KV8" i="5"/>
  <c r="KW8" i="5"/>
  <c r="KX8" i="5"/>
  <c r="KY8" i="5"/>
  <c r="KZ8" i="5"/>
  <c r="LA8" i="5"/>
  <c r="LB8" i="5"/>
  <c r="LC8" i="5"/>
  <c r="LD8" i="5"/>
  <c r="LE8" i="5"/>
  <c r="LF8" i="5"/>
  <c r="LG8" i="5"/>
  <c r="LH8" i="5"/>
  <c r="LI8" i="5"/>
  <c r="LJ8" i="5"/>
  <c r="LK8" i="5"/>
  <c r="LL8" i="5"/>
  <c r="LM8" i="5"/>
  <c r="LN8" i="5"/>
  <c r="LO8" i="5"/>
  <c r="LP8" i="5"/>
  <c r="LQ8" i="5"/>
  <c r="LR8" i="5"/>
  <c r="LS8" i="5"/>
  <c r="LT8" i="5"/>
  <c r="LU8" i="5"/>
  <c r="LV8" i="5"/>
  <c r="LW8" i="5"/>
  <c r="LX8" i="5"/>
  <c r="LY8" i="5"/>
  <c r="LZ8" i="5"/>
  <c r="MA8" i="5"/>
  <c r="MB8" i="5"/>
  <c r="MC8" i="5"/>
  <c r="MD8" i="5"/>
  <c r="ME8" i="5"/>
  <c r="MF8" i="5"/>
  <c r="MG8" i="5"/>
  <c r="MH8" i="5"/>
  <c r="MI8" i="5"/>
  <c r="MJ8" i="5"/>
  <c r="MK8" i="5"/>
  <c r="ML8" i="5"/>
  <c r="MM8" i="5"/>
  <c r="MN8" i="5"/>
  <c r="MO8" i="5"/>
  <c r="MP8" i="5"/>
  <c r="MQ8" i="5"/>
  <c r="MR8" i="5"/>
  <c r="MS8" i="5"/>
  <c r="MT8" i="5"/>
  <c r="MU8" i="5"/>
  <c r="MV8" i="5"/>
  <c r="MW8" i="5"/>
  <c r="MX8" i="5"/>
  <c r="MY8" i="5"/>
  <c r="MZ8" i="5"/>
  <c r="NA8" i="5"/>
  <c r="NB8" i="5"/>
  <c r="NC8" i="5"/>
  <c r="ND8" i="5"/>
  <c r="NE8" i="5"/>
  <c r="NF8" i="5"/>
  <c r="NG8" i="5"/>
  <c r="NH8" i="5"/>
  <c r="NI8" i="5"/>
  <c r="NJ8" i="5"/>
  <c r="NK8" i="5"/>
  <c r="NL8" i="5"/>
  <c r="NM8" i="5"/>
  <c r="NN8" i="5"/>
  <c r="NO8" i="5"/>
  <c r="NP8" i="5"/>
  <c r="NQ8" i="5"/>
  <c r="NR8" i="5"/>
  <c r="NS8" i="5"/>
  <c r="NT8" i="5"/>
  <c r="NU8" i="5"/>
  <c r="NV8" i="5"/>
  <c r="NW8" i="5"/>
  <c r="NX8" i="5"/>
  <c r="NY8" i="5"/>
  <c r="NZ8" i="5"/>
  <c r="OA8" i="5"/>
  <c r="OB8" i="5"/>
  <c r="OC8" i="5"/>
  <c r="OD8" i="5"/>
  <c r="OE8" i="5"/>
  <c r="OF8" i="5"/>
  <c r="OG8" i="5"/>
  <c r="OH8" i="5"/>
  <c r="OI8" i="5"/>
  <c r="OJ8" i="5"/>
  <c r="OK8" i="5"/>
  <c r="OL8" i="5"/>
  <c r="OM8" i="5"/>
  <c r="ON8" i="5"/>
  <c r="OO8" i="5"/>
  <c r="OP8" i="5"/>
  <c r="OQ8" i="5"/>
  <c r="OR8" i="5"/>
  <c r="OS8" i="5"/>
  <c r="OT8" i="5"/>
  <c r="OU8" i="5"/>
  <c r="OV8" i="5"/>
  <c r="OW8" i="5"/>
  <c r="OX8" i="5"/>
  <c r="OY8" i="5"/>
  <c r="OZ8" i="5"/>
  <c r="PA8" i="5"/>
  <c r="PB8" i="5"/>
  <c r="PC8" i="5"/>
  <c r="PD8" i="5"/>
  <c r="PE8" i="5"/>
  <c r="PF8" i="5"/>
  <c r="PG8" i="5"/>
  <c r="PH8" i="5"/>
  <c r="PI8" i="5"/>
  <c r="PJ8" i="5"/>
  <c r="PK8" i="5"/>
  <c r="PL8" i="5"/>
  <c r="PM8" i="5"/>
  <c r="PN8" i="5"/>
  <c r="PO8" i="5"/>
  <c r="PP8" i="5"/>
  <c r="PQ8" i="5"/>
  <c r="PR8" i="5"/>
  <c r="PS8" i="5"/>
  <c r="PT8" i="5"/>
  <c r="PU8" i="5"/>
  <c r="PV8" i="5"/>
  <c r="PW8" i="5"/>
  <c r="PX8" i="5"/>
  <c r="PY8" i="5"/>
  <c r="PZ8" i="5"/>
  <c r="QA8" i="5"/>
  <c r="QB8" i="5"/>
  <c r="QC8" i="5"/>
  <c r="QD8" i="5"/>
  <c r="QE8" i="5"/>
  <c r="QF8" i="5"/>
  <c r="QG8" i="5"/>
  <c r="QH8" i="5"/>
  <c r="QI8" i="5"/>
  <c r="QJ8" i="5"/>
  <c r="QK8" i="5"/>
  <c r="QL8" i="5"/>
  <c r="QM8" i="5"/>
  <c r="QN8" i="5"/>
  <c r="QO8" i="5"/>
  <c r="QP8" i="5"/>
  <c r="QQ8" i="5"/>
  <c r="QR8" i="5"/>
  <c r="QS8" i="5"/>
  <c r="QT8" i="5"/>
  <c r="QU8" i="5"/>
  <c r="QV8" i="5"/>
  <c r="QW8" i="5"/>
  <c r="QX8" i="5"/>
  <c r="QY8" i="5"/>
  <c r="QZ8" i="5"/>
  <c r="RA8" i="5"/>
  <c r="RB8" i="5"/>
  <c r="RC8" i="5"/>
  <c r="RD8" i="5"/>
  <c r="RE8" i="5"/>
  <c r="RF8" i="5"/>
  <c r="RG8" i="5"/>
  <c r="RH8" i="5"/>
  <c r="RI8" i="5"/>
  <c r="RJ8" i="5"/>
  <c r="RK8" i="5"/>
  <c r="RL8" i="5"/>
  <c r="RM8" i="5"/>
  <c r="RN8" i="5"/>
  <c r="RO8" i="5"/>
  <c r="RP8" i="5"/>
  <c r="RQ8" i="5"/>
  <c r="RR8" i="5"/>
  <c r="RS8" i="5"/>
  <c r="RT8" i="5"/>
  <c r="RU8" i="5"/>
  <c r="RV8" i="5"/>
  <c r="RW8" i="5"/>
  <c r="RX8" i="5"/>
  <c r="RY8" i="5"/>
  <c r="RZ8" i="5"/>
  <c r="SA8" i="5"/>
  <c r="SB8" i="5"/>
  <c r="SC8" i="5"/>
  <c r="SD8" i="5"/>
  <c r="SE8" i="5"/>
  <c r="SF8" i="5"/>
  <c r="SG8" i="5"/>
  <c r="SH8" i="5"/>
  <c r="SI8" i="5"/>
  <c r="SJ8" i="5"/>
  <c r="SK8" i="5"/>
  <c r="SL8" i="5"/>
  <c r="SM8" i="5"/>
  <c r="SN8" i="5"/>
  <c r="SO8" i="5"/>
  <c r="SP8" i="5"/>
  <c r="F8" i="5"/>
  <c r="AF6" i="5"/>
  <c r="F27" i="5"/>
  <c r="G55" i="14" l="1"/>
  <c r="K159" i="14"/>
  <c r="F152" i="14"/>
  <c r="G152" i="14" s="1"/>
  <c r="N141" i="14"/>
  <c r="M141" i="14"/>
  <c r="L141" i="14"/>
  <c r="U28" i="21"/>
  <c r="U30" i="21"/>
  <c r="I28" i="21"/>
  <c r="I30" i="21"/>
  <c r="ND38" i="5" l="1"/>
  <c r="NE38" i="5"/>
  <c r="NF38" i="5"/>
  <c r="NG38" i="5"/>
  <c r="NH38" i="5"/>
  <c r="NI38" i="5"/>
  <c r="NJ38" i="5"/>
  <c r="NK38" i="5"/>
  <c r="NL38" i="5"/>
  <c r="NM38" i="5"/>
  <c r="NN38" i="5"/>
  <c r="NO38" i="5"/>
  <c r="NP38" i="5"/>
  <c r="NQ38" i="5"/>
  <c r="NR38" i="5"/>
  <c r="NS38" i="5"/>
  <c r="NT38" i="5"/>
  <c r="NU38" i="5"/>
  <c r="NV38" i="5"/>
  <c r="AI40" i="5"/>
  <c r="NA33" i="5" l="1"/>
  <c r="MZ33" i="5"/>
  <c r="FM33" i="5"/>
  <c r="FN33" i="5" s="1"/>
  <c r="FL33" i="5"/>
  <c r="GH33" i="5"/>
  <c r="GG33" i="5"/>
  <c r="KW33" i="5"/>
  <c r="KV33" i="5"/>
  <c r="LR33" i="5"/>
  <c r="LQ33" i="5"/>
  <c r="MC33" i="5"/>
  <c r="MD33" i="5" s="1"/>
  <c r="MB33" i="5"/>
  <c r="MP33" i="5"/>
  <c r="MO33" i="5"/>
  <c r="NX33" i="5"/>
  <c r="NW33" i="5"/>
  <c r="PO33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I15" i="5"/>
  <c r="AJ15" i="5"/>
  <c r="AK15" i="5"/>
  <c r="AL15" i="5"/>
  <c r="AM15" i="5"/>
  <c r="AN15" i="5"/>
  <c r="AO15" i="5"/>
  <c r="AP15" i="5"/>
  <c r="AQ15" i="5"/>
  <c r="AR15" i="5"/>
  <c r="AV15" i="5"/>
  <c r="AW15" i="5"/>
  <c r="AX15" i="5"/>
  <c r="AY15" i="5"/>
  <c r="AZ15" i="5"/>
  <c r="BA15" i="5"/>
  <c r="BB15" i="5"/>
  <c r="BC15" i="5"/>
  <c r="BD15" i="5"/>
  <c r="BE15" i="5"/>
  <c r="BI15" i="5"/>
  <c r="BJ15" i="5"/>
  <c r="BK15" i="5"/>
  <c r="BL15" i="5"/>
  <c r="BM15" i="5"/>
  <c r="BN15" i="5"/>
  <c r="BO15" i="5"/>
  <c r="BP15" i="5"/>
  <c r="BQ15" i="5"/>
  <c r="BR15" i="5"/>
  <c r="CM15" i="5"/>
  <c r="CN15" i="5"/>
  <c r="CO15" i="5"/>
  <c r="CP15" i="5"/>
  <c r="CQ15" i="5"/>
  <c r="CR15" i="5"/>
  <c r="CS15" i="5"/>
  <c r="CT15" i="5"/>
  <c r="CU15" i="5"/>
  <c r="CZ15" i="5"/>
  <c r="DA15" i="5"/>
  <c r="DB15" i="5"/>
  <c r="DC15" i="5"/>
  <c r="DD15" i="5"/>
  <c r="DE15" i="5"/>
  <c r="DI15" i="5"/>
  <c r="DJ15" i="5"/>
  <c r="DK15" i="5"/>
  <c r="DL15" i="5"/>
  <c r="DM15" i="5"/>
  <c r="DN15" i="5"/>
  <c r="DR15" i="5"/>
  <c r="DS15" i="5"/>
  <c r="DT15" i="5"/>
  <c r="DU15" i="5"/>
  <c r="DV15" i="5"/>
  <c r="DW15" i="5"/>
  <c r="EA15" i="5"/>
  <c r="EB15" i="5"/>
  <c r="EC15" i="5"/>
  <c r="ED15" i="5"/>
  <c r="EE15" i="5"/>
  <c r="EF15" i="5"/>
  <c r="EJ15" i="5"/>
  <c r="EK15" i="5"/>
  <c r="EL15" i="5"/>
  <c r="EM15" i="5"/>
  <c r="EN15" i="5"/>
  <c r="EO15" i="5"/>
  <c r="ES15" i="5"/>
  <c r="ET15" i="5"/>
  <c r="EU15" i="5"/>
  <c r="EV15" i="5"/>
  <c r="EW15" i="5"/>
  <c r="EX15" i="5"/>
  <c r="FB15" i="5"/>
  <c r="FC15" i="5"/>
  <c r="FD15" i="5"/>
  <c r="FE15" i="5"/>
  <c r="FF15" i="5"/>
  <c r="FG15" i="5"/>
  <c r="FH15" i="5"/>
  <c r="FI15" i="5"/>
  <c r="FJ15" i="5"/>
  <c r="FK15" i="5"/>
  <c r="FO15" i="5"/>
  <c r="FP15" i="5"/>
  <c r="FQ15" i="5"/>
  <c r="FR15" i="5"/>
  <c r="FS15" i="5"/>
  <c r="FT15" i="5"/>
  <c r="FU15" i="5"/>
  <c r="FV15" i="5"/>
  <c r="FW15" i="5"/>
  <c r="FX15" i="5"/>
  <c r="FY15" i="5"/>
  <c r="FZ15" i="5"/>
  <c r="GA15" i="5"/>
  <c r="GB15" i="5"/>
  <c r="GC15" i="5"/>
  <c r="GD15" i="5"/>
  <c r="GE15" i="5"/>
  <c r="GF15" i="5"/>
  <c r="GJ15" i="5"/>
  <c r="GK15" i="5"/>
  <c r="GL15" i="5"/>
  <c r="GM15" i="5"/>
  <c r="GN15" i="5"/>
  <c r="GO15" i="5"/>
  <c r="GP15" i="5"/>
  <c r="GQ15" i="5"/>
  <c r="GR15" i="5"/>
  <c r="GS15" i="5"/>
  <c r="GT15" i="5"/>
  <c r="GU15" i="5"/>
  <c r="GV15" i="5"/>
  <c r="GW15" i="5"/>
  <c r="GX15" i="5"/>
  <c r="GY15" i="5"/>
  <c r="GZ15" i="5"/>
  <c r="HA15" i="5"/>
  <c r="HB15" i="5"/>
  <c r="HC15" i="5"/>
  <c r="HD15" i="5"/>
  <c r="HE15" i="5"/>
  <c r="HF15" i="5"/>
  <c r="HG15" i="5"/>
  <c r="HH15" i="5"/>
  <c r="HI15" i="5"/>
  <c r="HJ15" i="5"/>
  <c r="HK15" i="5"/>
  <c r="HL15" i="5"/>
  <c r="HM15" i="5"/>
  <c r="HN15" i="5"/>
  <c r="HO15" i="5"/>
  <c r="HP15" i="5"/>
  <c r="HQ15" i="5"/>
  <c r="HR15" i="5"/>
  <c r="HS15" i="5"/>
  <c r="HT15" i="5"/>
  <c r="HU15" i="5"/>
  <c r="HV15" i="5"/>
  <c r="HW15" i="5"/>
  <c r="HX15" i="5"/>
  <c r="HY15" i="5"/>
  <c r="HZ15" i="5"/>
  <c r="IA15" i="5"/>
  <c r="IB15" i="5"/>
  <c r="IC15" i="5"/>
  <c r="ID15" i="5"/>
  <c r="IE15" i="5"/>
  <c r="IF15" i="5"/>
  <c r="IG15" i="5"/>
  <c r="IH15" i="5"/>
  <c r="II15" i="5"/>
  <c r="IJ15" i="5"/>
  <c r="IK15" i="5"/>
  <c r="IL15" i="5"/>
  <c r="IM15" i="5"/>
  <c r="IN15" i="5"/>
  <c r="IO15" i="5"/>
  <c r="IP15" i="5"/>
  <c r="IQ15" i="5"/>
  <c r="IR15" i="5"/>
  <c r="IS15" i="5"/>
  <c r="IT15" i="5"/>
  <c r="IU15" i="5"/>
  <c r="IV15" i="5"/>
  <c r="IW15" i="5"/>
  <c r="IX15" i="5"/>
  <c r="IY15" i="5"/>
  <c r="IZ15" i="5"/>
  <c r="JA15" i="5"/>
  <c r="JB15" i="5"/>
  <c r="JC15" i="5"/>
  <c r="JD15" i="5"/>
  <c r="JE15" i="5"/>
  <c r="JF15" i="5"/>
  <c r="JG15" i="5"/>
  <c r="JH15" i="5"/>
  <c r="JI15" i="5"/>
  <c r="JJ15" i="5"/>
  <c r="JK15" i="5"/>
  <c r="JL15" i="5"/>
  <c r="JM15" i="5"/>
  <c r="JN15" i="5"/>
  <c r="JO15" i="5"/>
  <c r="JP15" i="5"/>
  <c r="JQ15" i="5"/>
  <c r="JR15" i="5"/>
  <c r="JS15" i="5"/>
  <c r="JT15" i="5"/>
  <c r="JU15" i="5"/>
  <c r="JV15" i="5"/>
  <c r="JW15" i="5"/>
  <c r="JX15" i="5"/>
  <c r="JY15" i="5"/>
  <c r="JZ15" i="5"/>
  <c r="KA15" i="5"/>
  <c r="KB15" i="5"/>
  <c r="KC15" i="5"/>
  <c r="KD15" i="5"/>
  <c r="KE15" i="5"/>
  <c r="KF15" i="5"/>
  <c r="KG15" i="5"/>
  <c r="KH15" i="5"/>
  <c r="KI15" i="5"/>
  <c r="KJ15" i="5"/>
  <c r="KK15" i="5"/>
  <c r="KL15" i="5"/>
  <c r="KM15" i="5"/>
  <c r="KN15" i="5"/>
  <c r="KO15" i="5"/>
  <c r="KP15" i="5"/>
  <c r="KQ15" i="5"/>
  <c r="KR15" i="5"/>
  <c r="KS15" i="5"/>
  <c r="KT15" i="5"/>
  <c r="KU15" i="5"/>
  <c r="KY15" i="5"/>
  <c r="KZ15" i="5"/>
  <c r="LA15" i="5"/>
  <c r="LB15" i="5"/>
  <c r="LC15" i="5"/>
  <c r="LD15" i="5"/>
  <c r="LE15" i="5"/>
  <c r="LF15" i="5"/>
  <c r="LG15" i="5"/>
  <c r="LH15" i="5"/>
  <c r="LI15" i="5"/>
  <c r="LJ15" i="5"/>
  <c r="LK15" i="5"/>
  <c r="LL15" i="5"/>
  <c r="LM15" i="5"/>
  <c r="LN15" i="5"/>
  <c r="LO15" i="5"/>
  <c r="LP15" i="5"/>
  <c r="LT15" i="5"/>
  <c r="LU15" i="5"/>
  <c r="LV15" i="5"/>
  <c r="LW15" i="5"/>
  <c r="LX15" i="5"/>
  <c r="LY15" i="5"/>
  <c r="LZ15" i="5"/>
  <c r="MA15" i="5"/>
  <c r="ME15" i="5"/>
  <c r="MF15" i="5"/>
  <c r="MG15" i="5"/>
  <c r="MH15" i="5"/>
  <c r="MI15" i="5"/>
  <c r="MJ15" i="5"/>
  <c r="MK15" i="5"/>
  <c r="ML15" i="5"/>
  <c r="MM15" i="5"/>
  <c r="MN15" i="5"/>
  <c r="MR15" i="5"/>
  <c r="MS15" i="5"/>
  <c r="MT15" i="5"/>
  <c r="MU15" i="5"/>
  <c r="MV15" i="5"/>
  <c r="MW15" i="5"/>
  <c r="MX15" i="5"/>
  <c r="MY15" i="5"/>
  <c r="NC15" i="5"/>
  <c r="ND15" i="5"/>
  <c r="NE15" i="5"/>
  <c r="NF15" i="5"/>
  <c r="NG15" i="5"/>
  <c r="NH15" i="5"/>
  <c r="NI15" i="5"/>
  <c r="NJ15" i="5"/>
  <c r="NK15" i="5"/>
  <c r="NL15" i="5"/>
  <c r="NM15" i="5"/>
  <c r="NN15" i="5"/>
  <c r="NO15" i="5"/>
  <c r="NP15" i="5"/>
  <c r="NQ15" i="5"/>
  <c r="NR15" i="5"/>
  <c r="NS15" i="5"/>
  <c r="NT15" i="5"/>
  <c r="NU15" i="5"/>
  <c r="NV15" i="5"/>
  <c r="NZ15" i="5"/>
  <c r="OA15" i="5"/>
  <c r="OB15" i="5"/>
  <c r="OC15" i="5"/>
  <c r="OD15" i="5"/>
  <c r="OE15" i="5"/>
  <c r="OI15" i="5"/>
  <c r="OJ15" i="5"/>
  <c r="OK15" i="5"/>
  <c r="OL15" i="5"/>
  <c r="OM15" i="5"/>
  <c r="ON15" i="5"/>
  <c r="OO15" i="5"/>
  <c r="OP15" i="5"/>
  <c r="OQ15" i="5"/>
  <c r="OR15" i="5"/>
  <c r="OS15" i="5"/>
  <c r="OT15" i="5"/>
  <c r="OU15" i="5"/>
  <c r="OV15" i="5"/>
  <c r="OY15" i="5"/>
  <c r="OZ15" i="5"/>
  <c r="PA15" i="5"/>
  <c r="PB15" i="5"/>
  <c r="PC15" i="5"/>
  <c r="PD15" i="5"/>
  <c r="PE15" i="5"/>
  <c r="PF15" i="5"/>
  <c r="PG15" i="5"/>
  <c r="PH15" i="5"/>
  <c r="PI15" i="5"/>
  <c r="PJ15" i="5"/>
  <c r="PK15" i="5"/>
  <c r="PL15" i="5"/>
  <c r="PM15" i="5"/>
  <c r="PN15" i="5"/>
  <c r="PP15" i="5"/>
  <c r="PQ15" i="5"/>
  <c r="PR15" i="5"/>
  <c r="PS15" i="5"/>
  <c r="PT15" i="5"/>
  <c r="PU15" i="5"/>
  <c r="PV15" i="5"/>
  <c r="PW15" i="5"/>
  <c r="PX15" i="5"/>
  <c r="PY15" i="5"/>
  <c r="PZ15" i="5"/>
  <c r="QA15" i="5"/>
  <c r="QB15" i="5"/>
  <c r="QC15" i="5"/>
  <c r="QD15" i="5"/>
  <c r="QE15" i="5"/>
  <c r="QF15" i="5"/>
  <c r="QG15" i="5"/>
  <c r="QH15" i="5"/>
  <c r="QI15" i="5"/>
  <c r="QJ15" i="5"/>
  <c r="QK15" i="5"/>
  <c r="QL15" i="5"/>
  <c r="QM15" i="5"/>
  <c r="QN15" i="5"/>
  <c r="QO15" i="5"/>
  <c r="QP15" i="5"/>
  <c r="QQ15" i="5"/>
  <c r="QR15" i="5"/>
  <c r="QS15" i="5"/>
  <c r="QT15" i="5"/>
  <c r="QU15" i="5"/>
  <c r="QV15" i="5"/>
  <c r="QW15" i="5"/>
  <c r="QX15" i="5"/>
  <c r="QY15" i="5"/>
  <c r="QZ15" i="5"/>
  <c r="RA15" i="5"/>
  <c r="RB15" i="5"/>
  <c r="RC15" i="5"/>
  <c r="RD15" i="5"/>
  <c r="RE15" i="5"/>
  <c r="RF15" i="5"/>
  <c r="RG15" i="5"/>
  <c r="RH15" i="5"/>
  <c r="RI15" i="5"/>
  <c r="RJ15" i="5"/>
  <c r="RK15" i="5"/>
  <c r="RL15" i="5"/>
  <c r="RM15" i="5"/>
  <c r="RN15" i="5"/>
  <c r="RO15" i="5"/>
  <c r="RP15" i="5"/>
  <c r="RQ15" i="5"/>
  <c r="RR15" i="5"/>
  <c r="RS15" i="5"/>
  <c r="RT15" i="5"/>
  <c r="RU15" i="5"/>
  <c r="RV15" i="5"/>
  <c r="RW15" i="5"/>
  <c r="RX15" i="5"/>
  <c r="RY15" i="5"/>
  <c r="RZ15" i="5"/>
  <c r="SA15" i="5"/>
  <c r="SB15" i="5"/>
  <c r="SC15" i="5"/>
  <c r="SD15" i="5"/>
  <c r="SE15" i="5"/>
  <c r="SF15" i="5"/>
  <c r="SG15" i="5"/>
  <c r="SH15" i="5"/>
  <c r="SI15" i="5"/>
  <c r="SJ15" i="5"/>
  <c r="SK15" i="5"/>
  <c r="SL15" i="5"/>
  <c r="SM15" i="5"/>
  <c r="SO15" i="5"/>
  <c r="SP15" i="5"/>
  <c r="G15" i="5"/>
  <c r="AF33" i="5"/>
  <c r="LQ15" i="5"/>
  <c r="LR15" i="5"/>
  <c r="LR6" i="5"/>
  <c r="LQ6" i="5"/>
  <c r="GI33" i="5" l="1"/>
  <c r="NB33" i="5"/>
  <c r="NY33" i="5"/>
  <c r="MQ33" i="5"/>
  <c r="LS33" i="5"/>
  <c r="KX33" i="5"/>
  <c r="OD22" i="5"/>
  <c r="F86" i="14" l="1"/>
  <c r="E86" i="14"/>
  <c r="K118" i="14"/>
  <c r="K125" i="14" s="1"/>
  <c r="K114" i="14"/>
  <c r="K113" i="14"/>
  <c r="K115" i="14" l="1"/>
  <c r="G86" i="14"/>
  <c r="BE23" i="12"/>
  <c r="BF23" i="12"/>
  <c r="BG23" i="12"/>
  <c r="BF22" i="12"/>
  <c r="BG22" i="12"/>
  <c r="BH19" i="12"/>
  <c r="BD19" i="12"/>
  <c r="BC19" i="12"/>
  <c r="BB19" i="12"/>
  <c r="BA19" i="12"/>
  <c r="AZ19" i="12"/>
  <c r="AY19" i="12"/>
  <c r="AX19" i="12"/>
  <c r="AW19" i="12"/>
  <c r="AV19" i="12"/>
  <c r="AU19" i="12"/>
  <c r="AT19" i="12"/>
  <c r="AS19" i="12"/>
  <c r="AR19" i="12"/>
  <c r="AQ19" i="12"/>
  <c r="AP19" i="12"/>
  <c r="AO19" i="12"/>
  <c r="AN19" i="12"/>
  <c r="AM19" i="12"/>
  <c r="AL19" i="12"/>
  <c r="AK19" i="12"/>
  <c r="AJ19" i="12"/>
  <c r="AI19" i="12"/>
  <c r="AH19" i="12"/>
  <c r="AG19" i="12"/>
  <c r="AF19" i="12"/>
  <c r="AE19" i="12"/>
  <c r="AD19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M19" i="12"/>
  <c r="L19" i="12"/>
  <c r="K19" i="12"/>
  <c r="J19" i="12"/>
  <c r="I19" i="12"/>
  <c r="H19" i="12"/>
  <c r="G19" i="12"/>
  <c r="F19" i="12"/>
  <c r="E19" i="12"/>
  <c r="D19" i="12"/>
  <c r="C19" i="12"/>
  <c r="BH18" i="12"/>
  <c r="BD18" i="12"/>
  <c r="BC18" i="12"/>
  <c r="BB18" i="12"/>
  <c r="BA18" i="12"/>
  <c r="AZ18" i="12"/>
  <c r="AY18" i="12"/>
  <c r="AW18" i="12"/>
  <c r="AV18" i="12"/>
  <c r="AU18" i="12"/>
  <c r="AT18" i="12"/>
  <c r="AS18" i="12"/>
  <c r="AR18" i="12"/>
  <c r="AQ18" i="12"/>
  <c r="AP18" i="12"/>
  <c r="AO18" i="12"/>
  <c r="AN18" i="12"/>
  <c r="AM18" i="12"/>
  <c r="AL18" i="12"/>
  <c r="AK18" i="12"/>
  <c r="AJ18" i="12"/>
  <c r="AI18" i="12"/>
  <c r="AH18" i="12"/>
  <c r="AG18" i="12"/>
  <c r="AF18" i="12"/>
  <c r="AE18" i="12"/>
  <c r="AD18" i="12"/>
  <c r="AC18" i="12"/>
  <c r="AB18" i="12"/>
  <c r="AA18" i="12"/>
  <c r="Z18" i="12"/>
  <c r="Y18" i="12"/>
  <c r="X18" i="12"/>
  <c r="W18" i="12"/>
  <c r="V18" i="12"/>
  <c r="U18" i="12"/>
  <c r="T18" i="12"/>
  <c r="S18" i="12"/>
  <c r="R18" i="12"/>
  <c r="Q18" i="12"/>
  <c r="P18" i="12"/>
  <c r="O18" i="12"/>
  <c r="M18" i="12"/>
  <c r="L18" i="12"/>
  <c r="K18" i="12"/>
  <c r="J18" i="12"/>
  <c r="I18" i="12"/>
  <c r="H18" i="12"/>
  <c r="G18" i="12"/>
  <c r="F18" i="12"/>
  <c r="E18" i="12"/>
  <c r="D18" i="12"/>
  <c r="C18" i="12"/>
  <c r="E149" i="17" l="1"/>
  <c r="D149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S129" i="17"/>
  <c r="R129" i="17"/>
  <c r="T129" i="17" s="1"/>
  <c r="U29" i="16"/>
  <c r="P29" i="16"/>
  <c r="O29" i="16"/>
  <c r="H29" i="16"/>
  <c r="E29" i="16"/>
  <c r="Q149" i="17"/>
  <c r="P149" i="17"/>
  <c r="X17" i="21"/>
  <c r="W17" i="21"/>
  <c r="V17" i="21"/>
  <c r="U17" i="21"/>
  <c r="T17" i="21"/>
  <c r="N17" i="21"/>
  <c r="O17" i="21"/>
  <c r="P17" i="21"/>
  <c r="Q17" i="21"/>
  <c r="R17" i="21"/>
  <c r="M17" i="21"/>
  <c r="L17" i="21"/>
  <c r="K17" i="21"/>
  <c r="I17" i="21"/>
  <c r="J17" i="21"/>
  <c r="H17" i="21"/>
  <c r="F17" i="21"/>
  <c r="G17" i="21"/>
  <c r="E17" i="21"/>
  <c r="D17" i="21"/>
  <c r="C17" i="21"/>
  <c r="B17" i="21"/>
  <c r="D30" i="20"/>
  <c r="E30" i="20"/>
  <c r="F30" i="20"/>
  <c r="G30" i="20"/>
  <c r="H30" i="20"/>
  <c r="I30" i="20"/>
  <c r="J30" i="20"/>
  <c r="K30" i="20"/>
  <c r="L30" i="20"/>
  <c r="M30" i="20"/>
  <c r="N30" i="20"/>
  <c r="O30" i="20"/>
  <c r="P30" i="20"/>
  <c r="Q30" i="20"/>
  <c r="R30" i="20"/>
  <c r="S30" i="20"/>
  <c r="T30" i="20"/>
  <c r="C30" i="20"/>
  <c r="I29" i="20"/>
  <c r="J29" i="20"/>
  <c r="K29" i="20"/>
  <c r="L29" i="20"/>
  <c r="M29" i="20"/>
  <c r="E15" i="20"/>
  <c r="F15" i="20"/>
  <c r="G15" i="20"/>
  <c r="H15" i="20"/>
  <c r="I15" i="20"/>
  <c r="J15" i="20"/>
  <c r="K15" i="20"/>
  <c r="L15" i="20"/>
  <c r="M15" i="20"/>
  <c r="N15" i="20"/>
  <c r="O30" i="19"/>
  <c r="O31" i="19"/>
  <c r="O32" i="19"/>
  <c r="N32" i="19"/>
  <c r="N31" i="19"/>
  <c r="N30" i="19"/>
  <c r="L30" i="19"/>
  <c r="L31" i="19"/>
  <c r="L32" i="19"/>
  <c r="K32" i="19"/>
  <c r="K31" i="19"/>
  <c r="K30" i="19"/>
  <c r="I30" i="19"/>
  <c r="I31" i="19"/>
  <c r="I32" i="19"/>
  <c r="H32" i="19"/>
  <c r="H31" i="19"/>
  <c r="H30" i="19"/>
  <c r="F31" i="19"/>
  <c r="F32" i="19"/>
  <c r="E32" i="19"/>
  <c r="E31" i="19"/>
  <c r="F30" i="19"/>
  <c r="E30" i="19"/>
  <c r="Q31" i="17"/>
  <c r="Q32" i="17" s="1"/>
  <c r="P31" i="17"/>
  <c r="P32" i="17" s="1"/>
  <c r="O31" i="17"/>
  <c r="N31" i="17"/>
  <c r="M31" i="17"/>
  <c r="L31" i="17"/>
  <c r="K31" i="17"/>
  <c r="J31" i="17"/>
  <c r="E15" i="16"/>
  <c r="P15" i="16"/>
  <c r="Q15" i="16" s="1"/>
  <c r="U15" i="16"/>
  <c r="Q29" i="16" l="1"/>
  <c r="U30" i="20"/>
  <c r="M30" i="19"/>
  <c r="Q30" i="19" s="1"/>
  <c r="J30" i="19"/>
  <c r="P15" i="20"/>
  <c r="O15" i="20"/>
  <c r="P30" i="19"/>
  <c r="R30" i="19" s="1"/>
  <c r="V30" i="20"/>
  <c r="I33" i="19"/>
  <c r="S17" i="21"/>
  <c r="P31" i="19"/>
  <c r="R31" i="19" s="1"/>
  <c r="N33" i="19"/>
  <c r="M32" i="19"/>
  <c r="Q32" i="19" s="1"/>
  <c r="K33" i="19"/>
  <c r="H33" i="19"/>
  <c r="F33" i="19"/>
  <c r="E33" i="19"/>
  <c r="G30" i="19"/>
  <c r="M31" i="19"/>
  <c r="Q31" i="19" s="1"/>
  <c r="J32" i="19"/>
  <c r="O33" i="19"/>
  <c r="J31" i="19"/>
  <c r="G32" i="19"/>
  <c r="L33" i="19"/>
  <c r="G31" i="19"/>
  <c r="P32" i="19"/>
  <c r="R32" i="19" s="1"/>
  <c r="G27" i="5"/>
  <c r="G28" i="5" s="1"/>
  <c r="H27" i="5"/>
  <c r="H28" i="5" s="1"/>
  <c r="I27" i="5"/>
  <c r="I28" i="5" s="1"/>
  <c r="J27" i="5"/>
  <c r="J28" i="5" s="1"/>
  <c r="K27" i="5"/>
  <c r="K28" i="5" s="1"/>
  <c r="L27" i="5"/>
  <c r="L28" i="5" s="1"/>
  <c r="M27" i="5"/>
  <c r="M28" i="5" s="1"/>
  <c r="N27" i="5"/>
  <c r="N28" i="5" s="1"/>
  <c r="O27" i="5"/>
  <c r="O28" i="5" s="1"/>
  <c r="P27" i="5"/>
  <c r="P28" i="5" s="1"/>
  <c r="Q27" i="5"/>
  <c r="Q28" i="5" s="1"/>
  <c r="R27" i="5"/>
  <c r="R28" i="5" s="1"/>
  <c r="S27" i="5"/>
  <c r="S28" i="5" s="1"/>
  <c r="T27" i="5"/>
  <c r="T28" i="5" s="1"/>
  <c r="U27" i="5"/>
  <c r="U28" i="5" s="1"/>
  <c r="V27" i="5"/>
  <c r="V28" i="5" s="1"/>
  <c r="W27" i="5"/>
  <c r="W28" i="5" s="1"/>
  <c r="X27" i="5"/>
  <c r="X28" i="5" s="1"/>
  <c r="Y27" i="5"/>
  <c r="Y28" i="5" s="1"/>
  <c r="Z27" i="5"/>
  <c r="Z28" i="5" s="1"/>
  <c r="AA27" i="5"/>
  <c r="AA28" i="5" s="1"/>
  <c r="AB27" i="5"/>
  <c r="AB28" i="5" s="1"/>
  <c r="AC27" i="5"/>
  <c r="AC28" i="5" s="1"/>
  <c r="AD27" i="5"/>
  <c r="AD28" i="5" s="1"/>
  <c r="AE27" i="5"/>
  <c r="AE28" i="5" s="1"/>
  <c r="AI27" i="5"/>
  <c r="AI28" i="5" s="1"/>
  <c r="AJ27" i="5"/>
  <c r="AJ28" i="5" s="1"/>
  <c r="AK27" i="5"/>
  <c r="AK28" i="5" s="1"/>
  <c r="AL27" i="5"/>
  <c r="AL28" i="5" s="1"/>
  <c r="AM27" i="5"/>
  <c r="AM28" i="5" s="1"/>
  <c r="AN27" i="5"/>
  <c r="AN28" i="5" s="1"/>
  <c r="AO27" i="5"/>
  <c r="AO28" i="5" s="1"/>
  <c r="AP27" i="5"/>
  <c r="AP28" i="5" s="1"/>
  <c r="AQ27" i="5"/>
  <c r="AQ28" i="5" s="1"/>
  <c r="AR27" i="5"/>
  <c r="AR28" i="5" s="1"/>
  <c r="AV27" i="5"/>
  <c r="AV28" i="5" s="1"/>
  <c r="AW27" i="5"/>
  <c r="AW28" i="5" s="1"/>
  <c r="AX27" i="5"/>
  <c r="AX28" i="5" s="1"/>
  <c r="AY27" i="5"/>
  <c r="AY28" i="5" s="1"/>
  <c r="AZ27" i="5"/>
  <c r="AZ28" i="5" s="1"/>
  <c r="BA27" i="5"/>
  <c r="BA28" i="5" s="1"/>
  <c r="BB27" i="5"/>
  <c r="BB28" i="5" s="1"/>
  <c r="BC27" i="5"/>
  <c r="BC28" i="5" s="1"/>
  <c r="BD27" i="5"/>
  <c r="BD28" i="5" s="1"/>
  <c r="BE27" i="5"/>
  <c r="BE28" i="5" s="1"/>
  <c r="BI27" i="5"/>
  <c r="BI28" i="5" s="1"/>
  <c r="BJ27" i="5"/>
  <c r="BJ28" i="5" s="1"/>
  <c r="BK27" i="5"/>
  <c r="BK28" i="5" s="1"/>
  <c r="BL27" i="5"/>
  <c r="BL28" i="5" s="1"/>
  <c r="BM27" i="5"/>
  <c r="BM28" i="5" s="1"/>
  <c r="BN27" i="5"/>
  <c r="BN28" i="5" s="1"/>
  <c r="BO27" i="5"/>
  <c r="BO28" i="5" s="1"/>
  <c r="BP27" i="5"/>
  <c r="BP28" i="5" s="1"/>
  <c r="BQ27" i="5"/>
  <c r="BQ28" i="5" s="1"/>
  <c r="BR27" i="5"/>
  <c r="BR28" i="5" s="1"/>
  <c r="CM27" i="5"/>
  <c r="CM28" i="5" s="1"/>
  <c r="CN27" i="5"/>
  <c r="CN28" i="5" s="1"/>
  <c r="CO27" i="5"/>
  <c r="CO28" i="5" s="1"/>
  <c r="CP27" i="5"/>
  <c r="CP28" i="5" s="1"/>
  <c r="CQ27" i="5"/>
  <c r="CQ28" i="5" s="1"/>
  <c r="CR27" i="5"/>
  <c r="CR28" i="5" s="1"/>
  <c r="CS27" i="5"/>
  <c r="CS28" i="5" s="1"/>
  <c r="CT27" i="5"/>
  <c r="CT28" i="5" s="1"/>
  <c r="CU27" i="5"/>
  <c r="CU28" i="5" s="1"/>
  <c r="CZ27" i="5"/>
  <c r="CZ28" i="5" s="1"/>
  <c r="DA27" i="5"/>
  <c r="DA28" i="5" s="1"/>
  <c r="DB27" i="5"/>
  <c r="DB28" i="5" s="1"/>
  <c r="DC27" i="5"/>
  <c r="DC28" i="5" s="1"/>
  <c r="DD27" i="5"/>
  <c r="DD28" i="5" s="1"/>
  <c r="DE27" i="5"/>
  <c r="DE28" i="5" s="1"/>
  <c r="DI27" i="5"/>
  <c r="DI28" i="5" s="1"/>
  <c r="DJ27" i="5"/>
  <c r="DJ28" i="5" s="1"/>
  <c r="DK27" i="5"/>
  <c r="DK28" i="5" s="1"/>
  <c r="DL27" i="5"/>
  <c r="DL28" i="5" s="1"/>
  <c r="DM27" i="5"/>
  <c r="DM28" i="5" s="1"/>
  <c r="DN27" i="5"/>
  <c r="DN28" i="5" s="1"/>
  <c r="DR27" i="5"/>
  <c r="DR28" i="5" s="1"/>
  <c r="DS27" i="5"/>
  <c r="DS28" i="5" s="1"/>
  <c r="DT27" i="5"/>
  <c r="DT28" i="5" s="1"/>
  <c r="DU27" i="5"/>
  <c r="DU28" i="5" s="1"/>
  <c r="DV27" i="5"/>
  <c r="DV28" i="5" s="1"/>
  <c r="DW27" i="5"/>
  <c r="DW28" i="5" s="1"/>
  <c r="EA27" i="5"/>
  <c r="EA28" i="5" s="1"/>
  <c r="EB27" i="5"/>
  <c r="EB28" i="5" s="1"/>
  <c r="EC27" i="5"/>
  <c r="EC28" i="5" s="1"/>
  <c r="ED27" i="5"/>
  <c r="ED28" i="5" s="1"/>
  <c r="EE27" i="5"/>
  <c r="EE28" i="5" s="1"/>
  <c r="EF27" i="5"/>
  <c r="EF28" i="5" s="1"/>
  <c r="EJ27" i="5"/>
  <c r="EJ28" i="5" s="1"/>
  <c r="EK27" i="5"/>
  <c r="EK28" i="5" s="1"/>
  <c r="EL27" i="5"/>
  <c r="EL28" i="5" s="1"/>
  <c r="EM27" i="5"/>
  <c r="EM28" i="5" s="1"/>
  <c r="EN27" i="5"/>
  <c r="EN28" i="5" s="1"/>
  <c r="EO27" i="5"/>
  <c r="EO28" i="5" s="1"/>
  <c r="ES27" i="5"/>
  <c r="ES28" i="5" s="1"/>
  <c r="ET27" i="5"/>
  <c r="ET28" i="5" s="1"/>
  <c r="EU27" i="5"/>
  <c r="EU28" i="5" s="1"/>
  <c r="EV27" i="5"/>
  <c r="EV28" i="5" s="1"/>
  <c r="EW27" i="5"/>
  <c r="EW28" i="5" s="1"/>
  <c r="EX27" i="5"/>
  <c r="EX28" i="5" s="1"/>
  <c r="FB27" i="5"/>
  <c r="FB28" i="5" s="1"/>
  <c r="FC27" i="5"/>
  <c r="FC28" i="5" s="1"/>
  <c r="FD27" i="5"/>
  <c r="FD28" i="5" s="1"/>
  <c r="FE27" i="5"/>
  <c r="FE28" i="5" s="1"/>
  <c r="FF27" i="5"/>
  <c r="FF28" i="5" s="1"/>
  <c r="FG27" i="5"/>
  <c r="FG28" i="5" s="1"/>
  <c r="FH27" i="5"/>
  <c r="FH28" i="5" s="1"/>
  <c r="FI27" i="5"/>
  <c r="FI28" i="5" s="1"/>
  <c r="FJ27" i="5"/>
  <c r="FJ28" i="5" s="1"/>
  <c r="FK27" i="5"/>
  <c r="FK28" i="5" s="1"/>
  <c r="FO27" i="5"/>
  <c r="FO28" i="5" s="1"/>
  <c r="FP27" i="5"/>
  <c r="FP28" i="5" s="1"/>
  <c r="FQ27" i="5"/>
  <c r="FQ28" i="5" s="1"/>
  <c r="FR27" i="5"/>
  <c r="FR28" i="5" s="1"/>
  <c r="FS27" i="5"/>
  <c r="FS28" i="5" s="1"/>
  <c r="FT27" i="5"/>
  <c r="FT28" i="5" s="1"/>
  <c r="FU27" i="5"/>
  <c r="FU28" i="5" s="1"/>
  <c r="FV27" i="5"/>
  <c r="FV28" i="5" s="1"/>
  <c r="FW27" i="5"/>
  <c r="FW28" i="5" s="1"/>
  <c r="FX27" i="5"/>
  <c r="FX28" i="5" s="1"/>
  <c r="FY27" i="5"/>
  <c r="FY28" i="5" s="1"/>
  <c r="FZ27" i="5"/>
  <c r="FZ28" i="5" s="1"/>
  <c r="GA27" i="5"/>
  <c r="GA28" i="5" s="1"/>
  <c r="GB27" i="5"/>
  <c r="GB28" i="5" s="1"/>
  <c r="GC27" i="5"/>
  <c r="GC28" i="5" s="1"/>
  <c r="GD27" i="5"/>
  <c r="GD28" i="5" s="1"/>
  <c r="GE27" i="5"/>
  <c r="GE28" i="5" s="1"/>
  <c r="GF27" i="5"/>
  <c r="GF28" i="5" s="1"/>
  <c r="GJ27" i="5"/>
  <c r="GJ28" i="5" s="1"/>
  <c r="GK27" i="5"/>
  <c r="GK28" i="5" s="1"/>
  <c r="GL27" i="5"/>
  <c r="GL28" i="5" s="1"/>
  <c r="GM27" i="5"/>
  <c r="GM28" i="5" s="1"/>
  <c r="GN27" i="5"/>
  <c r="GN28" i="5" s="1"/>
  <c r="GO27" i="5"/>
  <c r="GO28" i="5" s="1"/>
  <c r="GP27" i="5"/>
  <c r="GP28" i="5" s="1"/>
  <c r="GQ27" i="5"/>
  <c r="GQ28" i="5" s="1"/>
  <c r="GR27" i="5"/>
  <c r="GR28" i="5" s="1"/>
  <c r="GS27" i="5"/>
  <c r="GS28" i="5" s="1"/>
  <c r="GT27" i="5"/>
  <c r="GT28" i="5" s="1"/>
  <c r="GU27" i="5"/>
  <c r="GU28" i="5" s="1"/>
  <c r="GV27" i="5"/>
  <c r="GV28" i="5" s="1"/>
  <c r="GW27" i="5"/>
  <c r="GW28" i="5" s="1"/>
  <c r="GX27" i="5"/>
  <c r="GX28" i="5" s="1"/>
  <c r="GY27" i="5"/>
  <c r="GY28" i="5" s="1"/>
  <c r="GZ27" i="5"/>
  <c r="GZ28" i="5" s="1"/>
  <c r="HA27" i="5"/>
  <c r="HA28" i="5" s="1"/>
  <c r="HB27" i="5"/>
  <c r="HB28" i="5" s="1"/>
  <c r="HC27" i="5"/>
  <c r="HC28" i="5" s="1"/>
  <c r="HD27" i="5"/>
  <c r="HD28" i="5" s="1"/>
  <c r="HE27" i="5"/>
  <c r="HE28" i="5" s="1"/>
  <c r="HF27" i="5"/>
  <c r="HF28" i="5" s="1"/>
  <c r="HG27" i="5"/>
  <c r="HG28" i="5" s="1"/>
  <c r="HH27" i="5"/>
  <c r="HH28" i="5" s="1"/>
  <c r="HI27" i="5"/>
  <c r="HI28" i="5" s="1"/>
  <c r="HJ27" i="5"/>
  <c r="HJ28" i="5" s="1"/>
  <c r="HK27" i="5"/>
  <c r="HK28" i="5" s="1"/>
  <c r="HL27" i="5"/>
  <c r="HL28" i="5" s="1"/>
  <c r="HM27" i="5"/>
  <c r="HM28" i="5" s="1"/>
  <c r="HN27" i="5"/>
  <c r="HN28" i="5" s="1"/>
  <c r="HO27" i="5"/>
  <c r="HP27" i="5"/>
  <c r="HP28" i="5" s="1"/>
  <c r="HQ27" i="5"/>
  <c r="HQ28" i="5" s="1"/>
  <c r="HR27" i="5"/>
  <c r="HR28" i="5" s="1"/>
  <c r="HS27" i="5"/>
  <c r="HS28" i="5" s="1"/>
  <c r="HT27" i="5"/>
  <c r="HT28" i="5" s="1"/>
  <c r="HU27" i="5"/>
  <c r="HU28" i="5" s="1"/>
  <c r="HV27" i="5"/>
  <c r="HV28" i="5" s="1"/>
  <c r="HW27" i="5"/>
  <c r="HW28" i="5" s="1"/>
  <c r="HX27" i="5"/>
  <c r="HX28" i="5" s="1"/>
  <c r="HY27" i="5"/>
  <c r="HY28" i="5" s="1"/>
  <c r="HZ27" i="5"/>
  <c r="HZ28" i="5" s="1"/>
  <c r="IA27" i="5"/>
  <c r="IA28" i="5" s="1"/>
  <c r="IB27" i="5"/>
  <c r="IB28" i="5" s="1"/>
  <c r="IC27" i="5"/>
  <c r="IC28" i="5" s="1"/>
  <c r="ID27" i="5"/>
  <c r="ID28" i="5" s="1"/>
  <c r="IE27" i="5"/>
  <c r="IE28" i="5" s="1"/>
  <c r="IF27" i="5"/>
  <c r="IF28" i="5" s="1"/>
  <c r="IG27" i="5"/>
  <c r="IG28" i="5" s="1"/>
  <c r="IH27" i="5"/>
  <c r="IH28" i="5" s="1"/>
  <c r="II27" i="5"/>
  <c r="II28" i="5" s="1"/>
  <c r="IJ27" i="5"/>
  <c r="IJ28" i="5" s="1"/>
  <c r="IK27" i="5"/>
  <c r="IK28" i="5" s="1"/>
  <c r="IL27" i="5"/>
  <c r="IL28" i="5" s="1"/>
  <c r="IM27" i="5"/>
  <c r="IM28" i="5" s="1"/>
  <c r="IN27" i="5"/>
  <c r="IN28" i="5" s="1"/>
  <c r="IO27" i="5"/>
  <c r="IO28" i="5" s="1"/>
  <c r="IP27" i="5"/>
  <c r="IP28" i="5" s="1"/>
  <c r="IQ27" i="5"/>
  <c r="IQ28" i="5" s="1"/>
  <c r="IR27" i="5"/>
  <c r="IR28" i="5" s="1"/>
  <c r="IS27" i="5"/>
  <c r="IS28" i="5" s="1"/>
  <c r="IT27" i="5"/>
  <c r="IT28" i="5" s="1"/>
  <c r="IU27" i="5"/>
  <c r="IU28" i="5" s="1"/>
  <c r="IV27" i="5"/>
  <c r="IV28" i="5" s="1"/>
  <c r="IW27" i="5"/>
  <c r="IW28" i="5" s="1"/>
  <c r="IX27" i="5"/>
  <c r="IX28" i="5" s="1"/>
  <c r="IY27" i="5"/>
  <c r="IY28" i="5" s="1"/>
  <c r="IZ27" i="5"/>
  <c r="IZ28" i="5" s="1"/>
  <c r="JA27" i="5"/>
  <c r="JA28" i="5" s="1"/>
  <c r="JB27" i="5"/>
  <c r="JB28" i="5" s="1"/>
  <c r="JC27" i="5"/>
  <c r="JC28" i="5" s="1"/>
  <c r="JD27" i="5"/>
  <c r="JD28" i="5" s="1"/>
  <c r="JE27" i="5"/>
  <c r="JE28" i="5" s="1"/>
  <c r="JF27" i="5"/>
  <c r="JF28" i="5" s="1"/>
  <c r="JG27" i="5"/>
  <c r="JG28" i="5" s="1"/>
  <c r="JH27" i="5"/>
  <c r="JH28" i="5" s="1"/>
  <c r="JI27" i="5"/>
  <c r="JI28" i="5" s="1"/>
  <c r="JJ27" i="5"/>
  <c r="JJ28" i="5" s="1"/>
  <c r="JK27" i="5"/>
  <c r="JK28" i="5" s="1"/>
  <c r="JL27" i="5"/>
  <c r="JL28" i="5" s="1"/>
  <c r="JM27" i="5"/>
  <c r="JM28" i="5" s="1"/>
  <c r="JN27" i="5"/>
  <c r="JN28" i="5" s="1"/>
  <c r="JO27" i="5"/>
  <c r="JO28" i="5" s="1"/>
  <c r="JP27" i="5"/>
  <c r="JP28" i="5" s="1"/>
  <c r="JQ27" i="5"/>
  <c r="JQ28" i="5" s="1"/>
  <c r="JR27" i="5"/>
  <c r="JR28" i="5" s="1"/>
  <c r="JS27" i="5"/>
  <c r="JS28" i="5" s="1"/>
  <c r="JT27" i="5"/>
  <c r="JT28" i="5" s="1"/>
  <c r="JU27" i="5"/>
  <c r="JU28" i="5" s="1"/>
  <c r="JV27" i="5"/>
  <c r="JV28" i="5" s="1"/>
  <c r="JW27" i="5"/>
  <c r="JW28" i="5" s="1"/>
  <c r="JX27" i="5"/>
  <c r="JX28" i="5" s="1"/>
  <c r="JY27" i="5"/>
  <c r="JY28" i="5" s="1"/>
  <c r="JZ27" i="5"/>
  <c r="JZ28" i="5" s="1"/>
  <c r="KA27" i="5"/>
  <c r="KA28" i="5" s="1"/>
  <c r="KB27" i="5"/>
  <c r="KC27" i="5"/>
  <c r="KD27" i="5"/>
  <c r="KD28" i="5" s="1"/>
  <c r="KE27" i="5"/>
  <c r="KE28" i="5" s="1"/>
  <c r="KF27" i="5"/>
  <c r="KF28" i="5" s="1"/>
  <c r="KG27" i="5"/>
  <c r="KG28" i="5" s="1"/>
  <c r="KH27" i="5"/>
  <c r="KH28" i="5" s="1"/>
  <c r="KI27" i="5"/>
  <c r="KI28" i="5" s="1"/>
  <c r="KJ27" i="5"/>
  <c r="KJ28" i="5" s="1"/>
  <c r="KK27" i="5"/>
  <c r="KK28" i="5" s="1"/>
  <c r="KL27" i="5"/>
  <c r="KL28" i="5" s="1"/>
  <c r="KM27" i="5"/>
  <c r="KM28" i="5" s="1"/>
  <c r="KN27" i="5"/>
  <c r="KN28" i="5" s="1"/>
  <c r="KO27" i="5"/>
  <c r="KO28" i="5" s="1"/>
  <c r="KP27" i="5"/>
  <c r="KP28" i="5" s="1"/>
  <c r="KQ27" i="5"/>
  <c r="KQ28" i="5" s="1"/>
  <c r="KR27" i="5"/>
  <c r="KR28" i="5" s="1"/>
  <c r="KS27" i="5"/>
  <c r="KS28" i="5" s="1"/>
  <c r="KT27" i="5"/>
  <c r="KT28" i="5" s="1"/>
  <c r="KU27" i="5"/>
  <c r="KU28" i="5" s="1"/>
  <c r="KY27" i="5"/>
  <c r="KY28" i="5" s="1"/>
  <c r="KZ27" i="5"/>
  <c r="KZ28" i="5" s="1"/>
  <c r="LA27" i="5"/>
  <c r="LA28" i="5" s="1"/>
  <c r="LB27" i="5"/>
  <c r="LB28" i="5" s="1"/>
  <c r="LC27" i="5"/>
  <c r="LC28" i="5" s="1"/>
  <c r="LD27" i="5"/>
  <c r="LD28" i="5" s="1"/>
  <c r="LE27" i="5"/>
  <c r="LE28" i="5" s="1"/>
  <c r="LF27" i="5"/>
  <c r="LF28" i="5" s="1"/>
  <c r="LG27" i="5"/>
  <c r="LG28" i="5" s="1"/>
  <c r="LH27" i="5"/>
  <c r="LH28" i="5" s="1"/>
  <c r="LI27" i="5"/>
  <c r="LI28" i="5" s="1"/>
  <c r="LJ27" i="5"/>
  <c r="LJ28" i="5" s="1"/>
  <c r="LK27" i="5"/>
  <c r="LK28" i="5" s="1"/>
  <c r="LL27" i="5"/>
  <c r="LL28" i="5" s="1"/>
  <c r="LM27" i="5"/>
  <c r="LM28" i="5" s="1"/>
  <c r="LN27" i="5"/>
  <c r="LN28" i="5" s="1"/>
  <c r="LO27" i="5"/>
  <c r="LO28" i="5" s="1"/>
  <c r="LP27" i="5"/>
  <c r="LP28" i="5" s="1"/>
  <c r="LT27" i="5"/>
  <c r="LT28" i="5" s="1"/>
  <c r="LU27" i="5"/>
  <c r="LU28" i="5" s="1"/>
  <c r="LV27" i="5"/>
  <c r="LV28" i="5" s="1"/>
  <c r="LW27" i="5"/>
  <c r="LW28" i="5" s="1"/>
  <c r="LX27" i="5"/>
  <c r="LX28" i="5" s="1"/>
  <c r="LY27" i="5"/>
  <c r="LY28" i="5" s="1"/>
  <c r="LZ27" i="5"/>
  <c r="LZ28" i="5" s="1"/>
  <c r="MA27" i="5"/>
  <c r="MA28" i="5" s="1"/>
  <c r="MB27" i="5"/>
  <c r="MB28" i="5" s="1"/>
  <c r="MC27" i="5"/>
  <c r="MC28" i="5" s="1"/>
  <c r="MD27" i="5"/>
  <c r="MD28" i="5" s="1"/>
  <c r="ME27" i="5"/>
  <c r="ME28" i="5" s="1"/>
  <c r="MF27" i="5"/>
  <c r="MF28" i="5" s="1"/>
  <c r="MG27" i="5"/>
  <c r="MG28" i="5" s="1"/>
  <c r="MH27" i="5"/>
  <c r="MH28" i="5" s="1"/>
  <c r="MI27" i="5"/>
  <c r="MI28" i="5" s="1"/>
  <c r="MJ27" i="5"/>
  <c r="MJ28" i="5" s="1"/>
  <c r="MK27" i="5"/>
  <c r="MK28" i="5" s="1"/>
  <c r="ML27" i="5"/>
  <c r="ML28" i="5" s="1"/>
  <c r="MM27" i="5"/>
  <c r="MM28" i="5" s="1"/>
  <c r="MN27" i="5"/>
  <c r="MN28" i="5" s="1"/>
  <c r="MO27" i="5"/>
  <c r="MO28" i="5" s="1"/>
  <c r="MP27" i="5"/>
  <c r="MP28" i="5" s="1"/>
  <c r="MQ27" i="5"/>
  <c r="MQ28" i="5" s="1"/>
  <c r="MR27" i="5"/>
  <c r="MR28" i="5" s="1"/>
  <c r="MS27" i="5"/>
  <c r="MS28" i="5" s="1"/>
  <c r="MT27" i="5"/>
  <c r="MT28" i="5" s="1"/>
  <c r="MU27" i="5"/>
  <c r="MU28" i="5" s="1"/>
  <c r="MV27" i="5"/>
  <c r="MV28" i="5" s="1"/>
  <c r="MW27" i="5"/>
  <c r="MW28" i="5" s="1"/>
  <c r="MX27" i="5"/>
  <c r="MX28" i="5" s="1"/>
  <c r="MY27" i="5"/>
  <c r="MY28" i="5" s="1"/>
  <c r="MZ27" i="5"/>
  <c r="MZ28" i="5" s="1"/>
  <c r="NA27" i="5"/>
  <c r="NA28" i="5" s="1"/>
  <c r="NB27" i="5"/>
  <c r="NB28" i="5" s="1"/>
  <c r="NC27" i="5"/>
  <c r="NC28" i="5" s="1"/>
  <c r="ND27" i="5"/>
  <c r="ND28" i="5" s="1"/>
  <c r="NE27" i="5"/>
  <c r="NE28" i="5" s="1"/>
  <c r="NF27" i="5"/>
  <c r="NF28" i="5" s="1"/>
  <c r="NG27" i="5"/>
  <c r="NG28" i="5" s="1"/>
  <c r="NH27" i="5"/>
  <c r="NH28" i="5" s="1"/>
  <c r="NI27" i="5"/>
  <c r="NI28" i="5" s="1"/>
  <c r="NJ27" i="5"/>
  <c r="NJ28" i="5" s="1"/>
  <c r="NK27" i="5"/>
  <c r="NK28" i="5" s="1"/>
  <c r="NL27" i="5"/>
  <c r="NL28" i="5" s="1"/>
  <c r="NM27" i="5"/>
  <c r="NM28" i="5" s="1"/>
  <c r="NN27" i="5"/>
  <c r="NN28" i="5" s="1"/>
  <c r="NO27" i="5"/>
  <c r="NO28" i="5" s="1"/>
  <c r="NP27" i="5"/>
  <c r="NP28" i="5" s="1"/>
  <c r="NQ27" i="5"/>
  <c r="NQ28" i="5" s="1"/>
  <c r="NR27" i="5"/>
  <c r="NR28" i="5" s="1"/>
  <c r="NS27" i="5"/>
  <c r="NS28" i="5" s="1"/>
  <c r="NT27" i="5"/>
  <c r="NT28" i="5" s="1"/>
  <c r="NU27" i="5"/>
  <c r="NU28" i="5" s="1"/>
  <c r="NV27" i="5"/>
  <c r="NV28" i="5" s="1"/>
  <c r="NZ27" i="5"/>
  <c r="NZ28" i="5" s="1"/>
  <c r="OA27" i="5"/>
  <c r="OA28" i="5" s="1"/>
  <c r="OB27" i="5"/>
  <c r="OB28" i="5" s="1"/>
  <c r="OC27" i="5"/>
  <c r="OC28" i="5" s="1"/>
  <c r="OD27" i="5"/>
  <c r="OD28" i="5" s="1"/>
  <c r="OE27" i="5"/>
  <c r="OE28" i="5" s="1"/>
  <c r="OI27" i="5"/>
  <c r="OI28" i="5" s="1"/>
  <c r="OJ27" i="5"/>
  <c r="OJ28" i="5" s="1"/>
  <c r="OK27" i="5"/>
  <c r="OK28" i="5" s="1"/>
  <c r="OL27" i="5"/>
  <c r="OL28" i="5" s="1"/>
  <c r="OM27" i="5"/>
  <c r="OM28" i="5" s="1"/>
  <c r="ON27" i="5"/>
  <c r="ON28" i="5" s="1"/>
  <c r="OO27" i="5"/>
  <c r="OO28" i="5" s="1"/>
  <c r="OP27" i="5"/>
  <c r="OP28" i="5" s="1"/>
  <c r="OQ27" i="5"/>
  <c r="OQ28" i="5" s="1"/>
  <c r="OR27" i="5"/>
  <c r="OR28" i="5" s="1"/>
  <c r="OS27" i="5"/>
  <c r="OS28" i="5" s="1"/>
  <c r="OT27" i="5"/>
  <c r="OT28" i="5" s="1"/>
  <c r="OU27" i="5"/>
  <c r="OU28" i="5" s="1"/>
  <c r="OV27" i="5"/>
  <c r="OV28" i="5" s="1"/>
  <c r="OW27" i="5"/>
  <c r="OW28" i="5" s="1"/>
  <c r="OX27" i="5"/>
  <c r="OX28" i="5" s="1"/>
  <c r="OY27" i="5"/>
  <c r="OY28" i="5" s="1"/>
  <c r="OZ27" i="5"/>
  <c r="OZ28" i="5" s="1"/>
  <c r="PA27" i="5"/>
  <c r="PA28" i="5" s="1"/>
  <c r="PB27" i="5"/>
  <c r="PB28" i="5" s="1"/>
  <c r="PC27" i="5"/>
  <c r="PC28" i="5" s="1"/>
  <c r="PD27" i="5"/>
  <c r="PD28" i="5" s="1"/>
  <c r="PE27" i="5"/>
  <c r="PE28" i="5" s="1"/>
  <c r="PF27" i="5"/>
  <c r="PF28" i="5" s="1"/>
  <c r="PG27" i="5"/>
  <c r="PG28" i="5" s="1"/>
  <c r="PH27" i="5"/>
  <c r="PH28" i="5" s="1"/>
  <c r="PI27" i="5"/>
  <c r="PI28" i="5" s="1"/>
  <c r="PJ27" i="5"/>
  <c r="PJ28" i="5" s="1"/>
  <c r="PK27" i="5"/>
  <c r="PK28" i="5" s="1"/>
  <c r="PL27" i="5"/>
  <c r="PL28" i="5" s="1"/>
  <c r="PM27" i="5"/>
  <c r="PM28" i="5" s="1"/>
  <c r="PN27" i="5"/>
  <c r="PN28" i="5" s="1"/>
  <c r="PP27" i="5"/>
  <c r="PP28" i="5" s="1"/>
  <c r="PQ27" i="5"/>
  <c r="PQ28" i="5" s="1"/>
  <c r="PR27" i="5"/>
  <c r="PR28" i="5" s="1"/>
  <c r="PS27" i="5"/>
  <c r="PS28" i="5" s="1"/>
  <c r="PT27" i="5"/>
  <c r="PT28" i="5" s="1"/>
  <c r="PU27" i="5"/>
  <c r="PU28" i="5" s="1"/>
  <c r="PV27" i="5"/>
  <c r="PV28" i="5" s="1"/>
  <c r="PW27" i="5"/>
  <c r="PW28" i="5" s="1"/>
  <c r="PX27" i="5"/>
  <c r="PX28" i="5" s="1"/>
  <c r="PY27" i="5"/>
  <c r="PY28" i="5" s="1"/>
  <c r="PZ27" i="5"/>
  <c r="PZ28" i="5" s="1"/>
  <c r="QA27" i="5"/>
  <c r="QA28" i="5" s="1"/>
  <c r="QB27" i="5"/>
  <c r="QB28" i="5" s="1"/>
  <c r="QC27" i="5"/>
  <c r="QC28" i="5" s="1"/>
  <c r="QD27" i="5"/>
  <c r="QD28" i="5" s="1"/>
  <c r="QE27" i="5"/>
  <c r="QE28" i="5" s="1"/>
  <c r="QF27" i="5"/>
  <c r="QF28" i="5" s="1"/>
  <c r="QG27" i="5"/>
  <c r="QG28" i="5" s="1"/>
  <c r="QH27" i="5"/>
  <c r="QH28" i="5" s="1"/>
  <c r="QI27" i="5"/>
  <c r="QI28" i="5" s="1"/>
  <c r="QJ27" i="5"/>
  <c r="QJ28" i="5" s="1"/>
  <c r="QK27" i="5"/>
  <c r="QK28" i="5" s="1"/>
  <c r="QL27" i="5"/>
  <c r="QL28" i="5" s="1"/>
  <c r="QM27" i="5"/>
  <c r="QM28" i="5" s="1"/>
  <c r="QN27" i="5"/>
  <c r="QN28" i="5" s="1"/>
  <c r="QO27" i="5"/>
  <c r="QO28" i="5" s="1"/>
  <c r="QP27" i="5"/>
  <c r="QP28" i="5" s="1"/>
  <c r="QQ27" i="5"/>
  <c r="QQ28" i="5" s="1"/>
  <c r="QR27" i="5"/>
  <c r="QR28" i="5" s="1"/>
  <c r="QS27" i="5"/>
  <c r="QS28" i="5" s="1"/>
  <c r="QT27" i="5"/>
  <c r="QT28" i="5" s="1"/>
  <c r="QU27" i="5"/>
  <c r="QU28" i="5" s="1"/>
  <c r="QV27" i="5"/>
  <c r="QV28" i="5" s="1"/>
  <c r="QW27" i="5"/>
  <c r="QW28" i="5" s="1"/>
  <c r="QX27" i="5"/>
  <c r="QX28" i="5" s="1"/>
  <c r="QY27" i="5"/>
  <c r="QY28" i="5" s="1"/>
  <c r="QZ27" i="5"/>
  <c r="QZ28" i="5" s="1"/>
  <c r="RA27" i="5"/>
  <c r="RA28" i="5" s="1"/>
  <c r="RB27" i="5"/>
  <c r="RB28" i="5" s="1"/>
  <c r="RC27" i="5"/>
  <c r="RC28" i="5" s="1"/>
  <c r="RD27" i="5"/>
  <c r="RD28" i="5" s="1"/>
  <c r="RE27" i="5"/>
  <c r="RE28" i="5" s="1"/>
  <c r="RF27" i="5"/>
  <c r="RF28" i="5" s="1"/>
  <c r="RG27" i="5"/>
  <c r="RG28" i="5" s="1"/>
  <c r="RH27" i="5"/>
  <c r="RH28" i="5" s="1"/>
  <c r="RI27" i="5"/>
  <c r="RI28" i="5" s="1"/>
  <c r="RJ27" i="5"/>
  <c r="RJ28" i="5" s="1"/>
  <c r="RK27" i="5"/>
  <c r="RK28" i="5" s="1"/>
  <c r="RL27" i="5"/>
  <c r="RL28" i="5" s="1"/>
  <c r="RM27" i="5"/>
  <c r="RM28" i="5" s="1"/>
  <c r="RN27" i="5"/>
  <c r="RN28" i="5" s="1"/>
  <c r="RO27" i="5"/>
  <c r="RO28" i="5" s="1"/>
  <c r="RP27" i="5"/>
  <c r="RP28" i="5" s="1"/>
  <c r="RQ27" i="5"/>
  <c r="RQ28" i="5" s="1"/>
  <c r="RR27" i="5"/>
  <c r="RR28" i="5" s="1"/>
  <c r="RS27" i="5"/>
  <c r="RS28" i="5" s="1"/>
  <c r="RT27" i="5"/>
  <c r="RT28" i="5" s="1"/>
  <c r="RU27" i="5"/>
  <c r="RU28" i="5" s="1"/>
  <c r="RV27" i="5"/>
  <c r="RV28" i="5" s="1"/>
  <c r="RW27" i="5"/>
  <c r="RW28" i="5" s="1"/>
  <c r="RX27" i="5"/>
  <c r="RX28" i="5" s="1"/>
  <c r="RY27" i="5"/>
  <c r="RY28" i="5" s="1"/>
  <c r="RZ27" i="5"/>
  <c r="RZ28" i="5" s="1"/>
  <c r="SA27" i="5"/>
  <c r="SA28" i="5" s="1"/>
  <c r="SB27" i="5"/>
  <c r="SB28" i="5" s="1"/>
  <c r="SC27" i="5"/>
  <c r="SC28" i="5" s="1"/>
  <c r="SD27" i="5"/>
  <c r="SD28" i="5" s="1"/>
  <c r="SE27" i="5"/>
  <c r="SE28" i="5" s="1"/>
  <c r="SF27" i="5"/>
  <c r="SF28" i="5" s="1"/>
  <c r="SG27" i="5"/>
  <c r="SG28" i="5" s="1"/>
  <c r="SH27" i="5"/>
  <c r="SH28" i="5" s="1"/>
  <c r="SI27" i="5"/>
  <c r="SI28" i="5" s="1"/>
  <c r="SJ27" i="5"/>
  <c r="SJ28" i="5" s="1"/>
  <c r="SK27" i="5"/>
  <c r="SK28" i="5" s="1"/>
  <c r="SL27" i="5"/>
  <c r="SL28" i="5" s="1"/>
  <c r="SM27" i="5"/>
  <c r="SM28" i="5" s="1"/>
  <c r="SO27" i="5"/>
  <c r="SO28" i="5" s="1"/>
  <c r="SP27" i="5"/>
  <c r="SP28" i="5" s="1"/>
  <c r="F28" i="5"/>
  <c r="Q15" i="20" l="1"/>
  <c r="S30" i="19"/>
  <c r="J33" i="19"/>
  <c r="W30" i="20"/>
  <c r="AY16" i="12"/>
  <c r="KB28" i="5"/>
  <c r="R17" i="12"/>
  <c r="HO28" i="5"/>
  <c r="AY17" i="12"/>
  <c r="KC28" i="5"/>
  <c r="S31" i="19"/>
  <c r="S32" i="19"/>
  <c r="M33" i="19"/>
  <c r="Q33" i="19" s="1"/>
  <c r="G33" i="19"/>
  <c r="P33" i="19"/>
  <c r="R33" i="19" s="1"/>
  <c r="V35" i="5"/>
  <c r="S33" i="19" l="1"/>
  <c r="GH40" i="5"/>
  <c r="GG40" i="5"/>
  <c r="OG40" i="5"/>
  <c r="OF40" i="5"/>
  <c r="NW40" i="5"/>
  <c r="NX38" i="5"/>
  <c r="NW38" i="5"/>
  <c r="NA40" i="5"/>
  <c r="MZ40" i="5"/>
  <c r="MP40" i="5"/>
  <c r="MO40" i="5"/>
  <c r="MC40" i="5"/>
  <c r="KW40" i="5"/>
  <c r="FM40" i="5"/>
  <c r="M14" i="15" s="1"/>
  <c r="FL40" i="5"/>
  <c r="L14" i="15" s="1"/>
  <c r="EQ40" i="5"/>
  <c r="EH40" i="5"/>
  <c r="EG40" i="5"/>
  <c r="DY40" i="5"/>
  <c r="DX40" i="5"/>
  <c r="DG40" i="5"/>
  <c r="DF40" i="5"/>
  <c r="CW40" i="5"/>
  <c r="CV40" i="5"/>
  <c r="CG40" i="5"/>
  <c r="CF40" i="5"/>
  <c r="CE40" i="5"/>
  <c r="CD40" i="5"/>
  <c r="CB40" i="5"/>
  <c r="CA40" i="5"/>
  <c r="BZ40" i="5"/>
  <c r="BY40" i="5"/>
  <c r="BX40" i="5"/>
  <c r="BW40" i="5"/>
  <c r="BV40" i="5"/>
  <c r="BS40" i="5"/>
  <c r="BG40" i="5"/>
  <c r="AT40" i="5"/>
  <c r="AS40" i="5"/>
  <c r="AG40" i="5"/>
  <c r="G14" i="15" s="1"/>
  <c r="G40" i="5"/>
  <c r="C14" i="15" s="1"/>
  <c r="H40" i="5"/>
  <c r="D14" i="15" s="1"/>
  <c r="I40" i="5"/>
  <c r="Q14" i="15" s="1"/>
  <c r="J40" i="5"/>
  <c r="R14" i="15" s="1"/>
  <c r="K40" i="5"/>
  <c r="L40" i="5"/>
  <c r="M40" i="5"/>
  <c r="N40" i="5"/>
  <c r="O40" i="5"/>
  <c r="O14" i="15" s="1"/>
  <c r="P40" i="5"/>
  <c r="P14" i="15" s="1"/>
  <c r="Q40" i="5"/>
  <c r="K107" i="14" s="1"/>
  <c r="R40" i="5"/>
  <c r="L107" i="14" s="1"/>
  <c r="S40" i="5"/>
  <c r="M107" i="14" s="1"/>
  <c r="T40" i="5"/>
  <c r="N107" i="14" s="1"/>
  <c r="U40" i="5"/>
  <c r="V40" i="5"/>
  <c r="E29" i="15" s="1"/>
  <c r="W40" i="5"/>
  <c r="F29" i="15" s="1"/>
  <c r="X40" i="5"/>
  <c r="G29" i="15" s="1"/>
  <c r="Y40" i="5"/>
  <c r="H29" i="15" s="1"/>
  <c r="Z40" i="5"/>
  <c r="I29" i="15" s="1"/>
  <c r="AA40" i="5"/>
  <c r="J29" i="15" s="1"/>
  <c r="AB40" i="5"/>
  <c r="K29" i="15" s="1"/>
  <c r="AC40" i="5"/>
  <c r="L29" i="15" s="1"/>
  <c r="AD40" i="5"/>
  <c r="M29" i="15" s="1"/>
  <c r="AE40" i="5"/>
  <c r="N29" i="15" s="1"/>
  <c r="D29" i="17"/>
  <c r="D32" i="17" s="1"/>
  <c r="AJ40" i="5"/>
  <c r="E29" i="17" s="1"/>
  <c r="E32" i="17" s="1"/>
  <c r="AK40" i="5"/>
  <c r="F29" i="17" s="1"/>
  <c r="AL40" i="5"/>
  <c r="G29" i="17" s="1"/>
  <c r="AM40" i="5"/>
  <c r="H29" i="17" s="1"/>
  <c r="AN40" i="5"/>
  <c r="I29" i="17" s="1"/>
  <c r="AO40" i="5"/>
  <c r="J29" i="17" s="1"/>
  <c r="AP40" i="5"/>
  <c r="K29" i="17" s="1"/>
  <c r="AQ40" i="5"/>
  <c r="L29" i="17" s="1"/>
  <c r="AR40" i="5"/>
  <c r="M29" i="17" s="1"/>
  <c r="AV40" i="5"/>
  <c r="F30" i="17" s="1"/>
  <c r="AW40" i="5"/>
  <c r="G30" i="17" s="1"/>
  <c r="AX40" i="5"/>
  <c r="H30" i="17" s="1"/>
  <c r="AY40" i="5"/>
  <c r="I30" i="17" s="1"/>
  <c r="AZ40" i="5"/>
  <c r="J30" i="17" s="1"/>
  <c r="BA40" i="5"/>
  <c r="K30" i="17" s="1"/>
  <c r="BB40" i="5"/>
  <c r="L30" i="17" s="1"/>
  <c r="BC40" i="5"/>
  <c r="M30" i="17" s="1"/>
  <c r="M32" i="17" s="1"/>
  <c r="BD40" i="5"/>
  <c r="N30" i="17" s="1"/>
  <c r="BE40" i="5"/>
  <c r="O30" i="17" s="1"/>
  <c r="BI40" i="5"/>
  <c r="H31" i="17" s="1"/>
  <c r="R31" i="17" s="1"/>
  <c r="BJ40" i="5"/>
  <c r="I31" i="17" s="1"/>
  <c r="S31" i="17" s="1"/>
  <c r="BK40" i="5"/>
  <c r="BL40" i="5"/>
  <c r="BM40" i="5"/>
  <c r="BN40" i="5"/>
  <c r="BO40" i="5"/>
  <c r="BP40" i="5"/>
  <c r="BQ40" i="5"/>
  <c r="BR40" i="5"/>
  <c r="CC40" i="5"/>
  <c r="CM40" i="5"/>
  <c r="J31" i="18" s="1"/>
  <c r="CN40" i="5"/>
  <c r="K31" i="18" s="1"/>
  <c r="CO40" i="5"/>
  <c r="L31" i="18" s="1"/>
  <c r="CP40" i="5"/>
  <c r="J32" i="18" s="1"/>
  <c r="CQ40" i="5"/>
  <c r="K32" i="18" s="1"/>
  <c r="CR40" i="5"/>
  <c r="L32" i="18" s="1"/>
  <c r="CS40" i="5"/>
  <c r="J33" i="18" s="1"/>
  <c r="CT40" i="5"/>
  <c r="K33" i="18" s="1"/>
  <c r="CU40" i="5"/>
  <c r="L33" i="18" s="1"/>
  <c r="CZ40" i="5"/>
  <c r="DA40" i="5"/>
  <c r="DB40" i="5"/>
  <c r="DC40" i="5"/>
  <c r="DD40" i="5"/>
  <c r="DE40" i="5"/>
  <c r="DI40" i="5"/>
  <c r="DJ40" i="5"/>
  <c r="DK40" i="5"/>
  <c r="DL40" i="5"/>
  <c r="DM40" i="5"/>
  <c r="DN40" i="5"/>
  <c r="DO40" i="5"/>
  <c r="DP40" i="5"/>
  <c r="DQ40" i="5"/>
  <c r="DR40" i="5"/>
  <c r="DS40" i="5"/>
  <c r="DT40" i="5"/>
  <c r="DU40" i="5"/>
  <c r="DV40" i="5"/>
  <c r="DW40" i="5"/>
  <c r="EA40" i="5"/>
  <c r="EB40" i="5"/>
  <c r="EC40" i="5"/>
  <c r="ED40" i="5"/>
  <c r="EE40" i="5"/>
  <c r="EF40" i="5"/>
  <c r="EJ40" i="5"/>
  <c r="EK40" i="5"/>
  <c r="EL40" i="5"/>
  <c r="EM40" i="5"/>
  <c r="EN40" i="5"/>
  <c r="EO40" i="5"/>
  <c r="ES40" i="5"/>
  <c r="ET40" i="5"/>
  <c r="EU40" i="5"/>
  <c r="EV40" i="5"/>
  <c r="EW40" i="5"/>
  <c r="EX40" i="5"/>
  <c r="EY40" i="5"/>
  <c r="FB40" i="5"/>
  <c r="FC40" i="5"/>
  <c r="FD40" i="5"/>
  <c r="FE40" i="5"/>
  <c r="FF40" i="5"/>
  <c r="FG40" i="5"/>
  <c r="FH40" i="5"/>
  <c r="FI40" i="5"/>
  <c r="FJ40" i="5"/>
  <c r="FK40" i="5"/>
  <c r="FO40" i="5"/>
  <c r="FP40" i="5"/>
  <c r="FQ40" i="5"/>
  <c r="FR40" i="5"/>
  <c r="FS40" i="5"/>
  <c r="FT40" i="5"/>
  <c r="FU40" i="5"/>
  <c r="FV40" i="5"/>
  <c r="FW40" i="5"/>
  <c r="FX40" i="5"/>
  <c r="FY40" i="5"/>
  <c r="FZ40" i="5"/>
  <c r="GA40" i="5"/>
  <c r="GB40" i="5"/>
  <c r="GC40" i="5"/>
  <c r="GD40" i="5"/>
  <c r="GE40" i="5"/>
  <c r="GF40" i="5"/>
  <c r="GJ40" i="5"/>
  <c r="GK40" i="5"/>
  <c r="GL40" i="5"/>
  <c r="GM40" i="5"/>
  <c r="GN40" i="5"/>
  <c r="GO40" i="5"/>
  <c r="GP40" i="5"/>
  <c r="GQ40" i="5"/>
  <c r="GR40" i="5"/>
  <c r="GS40" i="5"/>
  <c r="GT40" i="5"/>
  <c r="GU40" i="5"/>
  <c r="GV40" i="5"/>
  <c r="GW40" i="5"/>
  <c r="GX40" i="5"/>
  <c r="GY40" i="5"/>
  <c r="GZ40" i="5"/>
  <c r="HA40" i="5"/>
  <c r="HB40" i="5"/>
  <c r="HC40" i="5"/>
  <c r="HD40" i="5"/>
  <c r="HE40" i="5"/>
  <c r="HF40" i="5"/>
  <c r="HG40" i="5"/>
  <c r="N19" i="12" s="1"/>
  <c r="BI19" i="12" s="1"/>
  <c r="HH40" i="5"/>
  <c r="HI40" i="5"/>
  <c r="HJ40" i="5"/>
  <c r="HK40" i="5"/>
  <c r="HL40" i="5"/>
  <c r="HM40" i="5"/>
  <c r="HN40" i="5"/>
  <c r="HO40" i="5"/>
  <c r="HP40" i="5"/>
  <c r="HQ40" i="5"/>
  <c r="HR40" i="5"/>
  <c r="HS40" i="5"/>
  <c r="HT40" i="5"/>
  <c r="HU40" i="5"/>
  <c r="HV40" i="5"/>
  <c r="HW40" i="5"/>
  <c r="HX40" i="5"/>
  <c r="HY40" i="5"/>
  <c r="HZ40" i="5"/>
  <c r="IA40" i="5"/>
  <c r="IB40" i="5"/>
  <c r="IC40" i="5"/>
  <c r="ID40" i="5"/>
  <c r="IE40" i="5"/>
  <c r="IF40" i="5"/>
  <c r="IG40" i="5"/>
  <c r="IH40" i="5"/>
  <c r="II40" i="5"/>
  <c r="IJ40" i="5"/>
  <c r="IK40" i="5"/>
  <c r="IL40" i="5"/>
  <c r="IM40" i="5"/>
  <c r="IN40" i="5"/>
  <c r="IO40" i="5"/>
  <c r="IP40" i="5"/>
  <c r="IQ40" i="5"/>
  <c r="IR40" i="5"/>
  <c r="IS40" i="5"/>
  <c r="IT40" i="5"/>
  <c r="IU40" i="5"/>
  <c r="IV40" i="5"/>
  <c r="IW40" i="5"/>
  <c r="IX40" i="5"/>
  <c r="IY40" i="5"/>
  <c r="IZ40" i="5"/>
  <c r="JA40" i="5"/>
  <c r="JB40" i="5"/>
  <c r="JC40" i="5"/>
  <c r="JD40" i="5"/>
  <c r="JE40" i="5"/>
  <c r="JF40" i="5"/>
  <c r="JG40" i="5"/>
  <c r="JH40" i="5"/>
  <c r="JI40" i="5"/>
  <c r="JJ40" i="5"/>
  <c r="JK40" i="5"/>
  <c r="JL40" i="5"/>
  <c r="JM40" i="5"/>
  <c r="JN40" i="5"/>
  <c r="JO40" i="5"/>
  <c r="JP40" i="5"/>
  <c r="JQ40" i="5"/>
  <c r="JR40" i="5"/>
  <c r="JS40" i="5"/>
  <c r="JT40" i="5"/>
  <c r="JU40" i="5"/>
  <c r="JV40" i="5"/>
  <c r="JW40" i="5"/>
  <c r="JX40" i="5"/>
  <c r="JY40" i="5"/>
  <c r="JZ40" i="5"/>
  <c r="KA40" i="5"/>
  <c r="KB40" i="5"/>
  <c r="KC40" i="5"/>
  <c r="KD40" i="5"/>
  <c r="KE40" i="5"/>
  <c r="KF40" i="5"/>
  <c r="KG40" i="5"/>
  <c r="KH40" i="5"/>
  <c r="KI40" i="5"/>
  <c r="KJ40" i="5"/>
  <c r="KK40" i="5"/>
  <c r="KL40" i="5"/>
  <c r="KM40" i="5"/>
  <c r="KN40" i="5"/>
  <c r="KO40" i="5"/>
  <c r="KP40" i="5"/>
  <c r="KQ40" i="5"/>
  <c r="KR40" i="5"/>
  <c r="KS40" i="5"/>
  <c r="KT40" i="5"/>
  <c r="KU40" i="5"/>
  <c r="KY40" i="5"/>
  <c r="E112" i="14" s="1"/>
  <c r="KZ40" i="5"/>
  <c r="F112" i="14" s="1"/>
  <c r="LA40" i="5"/>
  <c r="E113" i="14" s="1"/>
  <c r="LB40" i="5"/>
  <c r="F113" i="14" s="1"/>
  <c r="LC40" i="5"/>
  <c r="E114" i="14" s="1"/>
  <c r="LD40" i="5"/>
  <c r="F114" i="14" s="1"/>
  <c r="LE40" i="5"/>
  <c r="E115" i="14" s="1"/>
  <c r="LF40" i="5"/>
  <c r="F115" i="14" s="1"/>
  <c r="LG40" i="5"/>
  <c r="E116" i="14" s="1"/>
  <c r="LH40" i="5"/>
  <c r="F116" i="14" s="1"/>
  <c r="LI40" i="5"/>
  <c r="E117" i="14" s="1"/>
  <c r="LJ40" i="5"/>
  <c r="F117" i="14" s="1"/>
  <c r="LK40" i="5"/>
  <c r="LL40" i="5"/>
  <c r="F118" i="14" s="1"/>
  <c r="G118" i="14" s="1"/>
  <c r="LM40" i="5"/>
  <c r="E119" i="14" s="1"/>
  <c r="LN40" i="5"/>
  <c r="F119" i="14" s="1"/>
  <c r="LO40" i="5"/>
  <c r="E120" i="14" s="1"/>
  <c r="LP40" i="5"/>
  <c r="F120" i="14" s="1"/>
  <c r="LR40" i="5"/>
  <c r="LT40" i="5"/>
  <c r="B129" i="14" s="1"/>
  <c r="LU40" i="5"/>
  <c r="C129" i="14" s="1"/>
  <c r="LV40" i="5"/>
  <c r="D129" i="14" s="1"/>
  <c r="LW40" i="5"/>
  <c r="E129" i="14" s="1"/>
  <c r="LX40" i="5"/>
  <c r="F129" i="14" s="1"/>
  <c r="LY40" i="5"/>
  <c r="G129" i="14" s="1"/>
  <c r="LZ40" i="5"/>
  <c r="H129" i="14" s="1"/>
  <c r="MA40" i="5"/>
  <c r="I129" i="14" s="1"/>
  <c r="ME40" i="5"/>
  <c r="B134" i="14" s="1"/>
  <c r="MF40" i="5"/>
  <c r="C134" i="14" s="1"/>
  <c r="MG40" i="5"/>
  <c r="D134" i="14" s="1"/>
  <c r="MH40" i="5"/>
  <c r="E134" i="14" s="1"/>
  <c r="MI40" i="5"/>
  <c r="F134" i="14" s="1"/>
  <c r="MJ40" i="5"/>
  <c r="G134" i="14" s="1"/>
  <c r="MK40" i="5"/>
  <c r="H134" i="14" s="1"/>
  <c r="ML40" i="5"/>
  <c r="I134" i="14" s="1"/>
  <c r="MM40" i="5"/>
  <c r="J134" i="14" s="1"/>
  <c r="MN40" i="5"/>
  <c r="K134" i="14" s="1"/>
  <c r="MR40" i="5"/>
  <c r="MS40" i="5"/>
  <c r="MT40" i="5"/>
  <c r="MU40" i="5"/>
  <c r="MV40" i="5"/>
  <c r="MW40" i="5"/>
  <c r="MX40" i="5"/>
  <c r="MY40" i="5"/>
  <c r="NC40" i="5"/>
  <c r="ND40" i="5"/>
  <c r="NE40" i="5"/>
  <c r="NF40" i="5"/>
  <c r="NG40" i="5"/>
  <c r="NH40" i="5"/>
  <c r="NI40" i="5"/>
  <c r="NJ40" i="5"/>
  <c r="NK40" i="5"/>
  <c r="NL40" i="5"/>
  <c r="NM40" i="5"/>
  <c r="NN40" i="5"/>
  <c r="NO40" i="5"/>
  <c r="NP40" i="5"/>
  <c r="NQ40" i="5"/>
  <c r="NR40" i="5"/>
  <c r="NS40" i="5"/>
  <c r="NT40" i="5"/>
  <c r="NU40" i="5"/>
  <c r="NV40" i="5"/>
  <c r="NX40" i="5"/>
  <c r="NZ40" i="5"/>
  <c r="OA40" i="5"/>
  <c r="OB40" i="5"/>
  <c r="OC40" i="5"/>
  <c r="OD40" i="5"/>
  <c r="OE40" i="5"/>
  <c r="OU40" i="5"/>
  <c r="OV40" i="5"/>
  <c r="OW40" i="5"/>
  <c r="OW41" i="5" s="1"/>
  <c r="OX40" i="5"/>
  <c r="OX41" i="5" s="1"/>
  <c r="OY40" i="5"/>
  <c r="OY41" i="5" s="1"/>
  <c r="OZ40" i="5"/>
  <c r="PA40" i="5"/>
  <c r="PB40" i="5"/>
  <c r="C32" i="21" s="1"/>
  <c r="PC40" i="5"/>
  <c r="PD40" i="5"/>
  <c r="G32" i="21" s="1"/>
  <c r="PE40" i="5"/>
  <c r="PF40" i="5"/>
  <c r="PG40" i="5"/>
  <c r="PH40" i="5"/>
  <c r="Q32" i="21" s="1"/>
  <c r="U32" i="21" s="1"/>
  <c r="PI40" i="5"/>
  <c r="PJ40" i="5"/>
  <c r="PK40" i="5"/>
  <c r="PL40" i="5"/>
  <c r="PM40" i="5"/>
  <c r="PN40" i="5"/>
  <c r="PO40" i="5"/>
  <c r="PP40" i="5"/>
  <c r="PQ40" i="5"/>
  <c r="PR40" i="5"/>
  <c r="PS40" i="5"/>
  <c r="PT40" i="5"/>
  <c r="PU40" i="5"/>
  <c r="PV40" i="5"/>
  <c r="PW40" i="5"/>
  <c r="PX40" i="5"/>
  <c r="PY40" i="5"/>
  <c r="PZ40" i="5"/>
  <c r="QA40" i="5"/>
  <c r="QB40" i="5"/>
  <c r="QC40" i="5"/>
  <c r="QD40" i="5"/>
  <c r="QE40" i="5"/>
  <c r="QF40" i="5"/>
  <c r="QG40" i="5"/>
  <c r="QH40" i="5"/>
  <c r="QI40" i="5"/>
  <c r="QJ40" i="5"/>
  <c r="QK40" i="5"/>
  <c r="QL40" i="5"/>
  <c r="QM40" i="5"/>
  <c r="QN40" i="5"/>
  <c r="QO40" i="5"/>
  <c r="QP40" i="5"/>
  <c r="QQ40" i="5"/>
  <c r="QR40" i="5"/>
  <c r="QS40" i="5"/>
  <c r="QT40" i="5"/>
  <c r="QU40" i="5"/>
  <c r="QV40" i="5"/>
  <c r="QW40" i="5"/>
  <c r="QX40" i="5"/>
  <c r="QY40" i="5"/>
  <c r="QZ40" i="5"/>
  <c r="RA40" i="5"/>
  <c r="RB40" i="5"/>
  <c r="RC40" i="5"/>
  <c r="RD40" i="5"/>
  <c r="RE40" i="5"/>
  <c r="RF40" i="5"/>
  <c r="RG40" i="5"/>
  <c r="RH40" i="5"/>
  <c r="RI40" i="5"/>
  <c r="RJ40" i="5"/>
  <c r="RK40" i="5"/>
  <c r="RL40" i="5"/>
  <c r="RM40" i="5"/>
  <c r="RN40" i="5"/>
  <c r="OI40" i="5"/>
  <c r="B107" i="14" s="1"/>
  <c r="OJ40" i="5"/>
  <c r="OK40" i="5"/>
  <c r="C107" i="14" s="1"/>
  <c r="OL40" i="5"/>
  <c r="OM40" i="5"/>
  <c r="D107" i="14" s="1"/>
  <c r="ON40" i="5"/>
  <c r="OO40" i="5"/>
  <c r="E107" i="14" s="1"/>
  <c r="OP40" i="5"/>
  <c r="OQ40" i="5"/>
  <c r="OR40" i="5"/>
  <c r="OS40" i="5"/>
  <c r="OT40" i="5"/>
  <c r="F108" i="14" s="1"/>
  <c r="RO40" i="5"/>
  <c r="RO41" i="5" s="1"/>
  <c r="RP40" i="5"/>
  <c r="RP41" i="5" s="1"/>
  <c r="RQ40" i="5"/>
  <c r="RQ43" i="5" s="1"/>
  <c r="RR40" i="5"/>
  <c r="RS40" i="5"/>
  <c r="RT40" i="5"/>
  <c r="RT41" i="5" s="1"/>
  <c r="RU40" i="5"/>
  <c r="RV40" i="5"/>
  <c r="RW40" i="5"/>
  <c r="RX40" i="5"/>
  <c r="RY40" i="5"/>
  <c r="RZ40" i="5"/>
  <c r="SA40" i="5"/>
  <c r="SB40" i="5"/>
  <c r="SC40" i="5"/>
  <c r="SD40" i="5"/>
  <c r="SE40" i="5"/>
  <c r="SF40" i="5"/>
  <c r="SG40" i="5"/>
  <c r="SH40" i="5"/>
  <c r="SI40" i="5"/>
  <c r="SJ40" i="5"/>
  <c r="SK40" i="5"/>
  <c r="SL40" i="5"/>
  <c r="SM40" i="5"/>
  <c r="SN40" i="5"/>
  <c r="SO40" i="5"/>
  <c r="SP40" i="5"/>
  <c r="F40" i="5"/>
  <c r="B14" i="15" s="1"/>
  <c r="N18" i="12" l="1"/>
  <c r="BI18" i="12" s="1"/>
  <c r="N20" i="12"/>
  <c r="I32" i="21"/>
  <c r="F122" i="14"/>
  <c r="E122" i="14"/>
  <c r="BH40" i="5"/>
  <c r="E14" i="15"/>
  <c r="LS40" i="5"/>
  <c r="G114" i="14"/>
  <c r="N14" i="15"/>
  <c r="J32" i="17"/>
  <c r="T31" i="17"/>
  <c r="G116" i="14"/>
  <c r="J129" i="14"/>
  <c r="G119" i="14"/>
  <c r="G115" i="14"/>
  <c r="H32" i="17"/>
  <c r="O29" i="15"/>
  <c r="M134" i="14"/>
  <c r="F32" i="17"/>
  <c r="G117" i="14"/>
  <c r="K34" i="18"/>
  <c r="K129" i="14"/>
  <c r="L134" i="14"/>
  <c r="I32" i="17"/>
  <c r="S13" i="15"/>
  <c r="S14" i="15"/>
  <c r="EI40" i="5"/>
  <c r="G113" i="14"/>
  <c r="M32" i="18"/>
  <c r="O32" i="17"/>
  <c r="S30" i="17"/>
  <c r="LQ40" i="5"/>
  <c r="G120" i="14"/>
  <c r="M33" i="18"/>
  <c r="L34" i="18"/>
  <c r="R30" i="17"/>
  <c r="N32" i="17"/>
  <c r="G32" i="17"/>
  <c r="ER40" i="5"/>
  <c r="RT43" i="5"/>
  <c r="RP43" i="5"/>
  <c r="P29" i="15"/>
  <c r="G112" i="14"/>
  <c r="M31" i="18"/>
  <c r="J34" i="18"/>
  <c r="R29" i="17"/>
  <c r="L32" i="17"/>
  <c r="K32" i="17"/>
  <c r="S29" i="17"/>
  <c r="RO43" i="5"/>
  <c r="GI40" i="5"/>
  <c r="MQ40" i="5"/>
  <c r="AH40" i="5"/>
  <c r="KX40" i="5"/>
  <c r="KV40" i="5"/>
  <c r="GD43" i="5"/>
  <c r="GD41" i="5"/>
  <c r="FA40" i="5"/>
  <c r="EZ40" i="5"/>
  <c r="RR43" i="5"/>
  <c r="RR41" i="5"/>
  <c r="MD40" i="5"/>
  <c r="MB40" i="5"/>
  <c r="RS41" i="5"/>
  <c r="RS43" i="5"/>
  <c r="GC41" i="5"/>
  <c r="GC43" i="5"/>
  <c r="BU40" i="5"/>
  <c r="CJ40" i="5"/>
  <c r="I14" i="15" s="1"/>
  <c r="CK40" i="5"/>
  <c r="J14" i="15" s="1"/>
  <c r="NB40" i="5"/>
  <c r="CI40" i="5"/>
  <c r="BF40" i="5"/>
  <c r="CY40" i="5"/>
  <c r="NY40" i="5"/>
  <c r="RQ41" i="5"/>
  <c r="OH40" i="5"/>
  <c r="FN40" i="5"/>
  <c r="EP40" i="5"/>
  <c r="DZ40" i="5"/>
  <c r="DH40" i="5"/>
  <c r="CX40" i="5"/>
  <c r="CH40" i="5"/>
  <c r="BT40" i="5"/>
  <c r="AU40" i="5"/>
  <c r="AF40" i="5"/>
  <c r="F14" i="15" s="1"/>
  <c r="H14" i="15" s="1"/>
  <c r="G122" i="14" l="1"/>
  <c r="L129" i="14"/>
  <c r="M34" i="18"/>
  <c r="N134" i="14"/>
  <c r="S32" i="17"/>
  <c r="R32" i="17"/>
  <c r="Q29" i="15"/>
  <c r="T30" i="17"/>
  <c r="K14" i="15"/>
  <c r="T29" i="17"/>
  <c r="CL40" i="5"/>
  <c r="LY11" i="5"/>
  <c r="LY12" i="5" s="1"/>
  <c r="LZ11" i="5"/>
  <c r="LZ12" i="5" s="1"/>
  <c r="MA11" i="5"/>
  <c r="MA12" i="5" s="1"/>
  <c r="KY11" i="5"/>
  <c r="KZ11" i="5"/>
  <c r="T32" i="17" l="1"/>
  <c r="KZ12" i="5"/>
  <c r="KY12" i="5"/>
  <c r="LO35" i="5" l="1"/>
  <c r="LP35" i="5"/>
  <c r="LO36" i="5"/>
  <c r="E154" i="14" s="1"/>
  <c r="LP36" i="5"/>
  <c r="F154" i="14" s="1"/>
  <c r="LO31" i="5"/>
  <c r="LO32" i="5" s="1"/>
  <c r="LP31" i="5"/>
  <c r="LO22" i="5"/>
  <c r="LO23" i="5" s="1"/>
  <c r="E54" i="14" s="1"/>
  <c r="LP22" i="5"/>
  <c r="LP23" i="5" s="1"/>
  <c r="F54" i="14" s="1"/>
  <c r="LO11" i="5"/>
  <c r="LO12" i="5" s="1"/>
  <c r="LP11" i="5"/>
  <c r="LP12" i="5" s="1"/>
  <c r="LO9" i="5"/>
  <c r="LP9" i="5"/>
  <c r="G154" i="14" l="1"/>
  <c r="LP16" i="5"/>
  <c r="LO16" i="5"/>
  <c r="LO17" i="5" s="1"/>
  <c r="E20" i="14" s="1"/>
  <c r="LO43" i="5"/>
  <c r="LP32" i="5"/>
  <c r="LP43" i="5"/>
  <c r="G54" i="14"/>
  <c r="LP17" i="5"/>
  <c r="F20" i="14" s="1"/>
  <c r="PO15" i="5"/>
  <c r="LO41" i="5" l="1"/>
  <c r="E20" i="13" s="1"/>
  <c r="LP41" i="5"/>
  <c r="F20" i="13" s="1"/>
  <c r="G20" i="14"/>
  <c r="E55" i="13"/>
  <c r="F55" i="13"/>
  <c r="G20" i="13" l="1"/>
  <c r="G55" i="13"/>
  <c r="GH15" i="5"/>
  <c r="GG15" i="5"/>
  <c r="GH6" i="5"/>
  <c r="GG6" i="5"/>
  <c r="Q75" i="17" l="1"/>
  <c r="P75" i="17"/>
  <c r="P74" i="17"/>
  <c r="Q74" i="17"/>
  <c r="F76" i="17"/>
  <c r="G76" i="17"/>
  <c r="D75" i="17"/>
  <c r="E75" i="17"/>
  <c r="D76" i="17"/>
  <c r="E76" i="17"/>
  <c r="N74" i="17"/>
  <c r="O74" i="17"/>
  <c r="BO35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I31" i="5"/>
  <c r="AJ31" i="5"/>
  <c r="AK31" i="5"/>
  <c r="AL31" i="5"/>
  <c r="AM31" i="5"/>
  <c r="H62" i="17" s="1"/>
  <c r="AN31" i="5"/>
  <c r="I62" i="17" s="1"/>
  <c r="AO31" i="5"/>
  <c r="AP31" i="5"/>
  <c r="K62" i="17" s="1"/>
  <c r="AQ31" i="5"/>
  <c r="AR31" i="5"/>
  <c r="AV31" i="5"/>
  <c r="AW31" i="5"/>
  <c r="AX31" i="5"/>
  <c r="AY31" i="5"/>
  <c r="AZ31" i="5"/>
  <c r="BA31" i="5"/>
  <c r="BB31" i="5"/>
  <c r="BC31" i="5"/>
  <c r="BD31" i="5"/>
  <c r="BE31" i="5"/>
  <c r="BI31" i="5"/>
  <c r="BJ31" i="5"/>
  <c r="BK31" i="5"/>
  <c r="BL31" i="5"/>
  <c r="BM31" i="5"/>
  <c r="BN31" i="5"/>
  <c r="BO31" i="5"/>
  <c r="BP31" i="5"/>
  <c r="BQ31" i="5"/>
  <c r="BR31" i="5"/>
  <c r="CM31" i="5"/>
  <c r="CN31" i="5"/>
  <c r="CO31" i="5"/>
  <c r="CP31" i="5"/>
  <c r="CQ31" i="5"/>
  <c r="CR31" i="5"/>
  <c r="CS31" i="5"/>
  <c r="CT31" i="5"/>
  <c r="CU31" i="5"/>
  <c r="CZ31" i="5"/>
  <c r="DA31" i="5"/>
  <c r="DB31" i="5"/>
  <c r="DC31" i="5"/>
  <c r="DD31" i="5"/>
  <c r="DE31" i="5"/>
  <c r="DI31" i="5"/>
  <c r="DJ31" i="5"/>
  <c r="DK31" i="5"/>
  <c r="DL31" i="5"/>
  <c r="DM31" i="5"/>
  <c r="DN31" i="5"/>
  <c r="DR31" i="5"/>
  <c r="DS31" i="5"/>
  <c r="DT31" i="5"/>
  <c r="DU31" i="5"/>
  <c r="DV31" i="5"/>
  <c r="DW31" i="5"/>
  <c r="EA31" i="5"/>
  <c r="EB31" i="5"/>
  <c r="EC31" i="5"/>
  <c r="ED31" i="5"/>
  <c r="EE31" i="5"/>
  <c r="EF31" i="5"/>
  <c r="EJ31" i="5"/>
  <c r="EK31" i="5"/>
  <c r="EL31" i="5"/>
  <c r="EM31" i="5"/>
  <c r="EN31" i="5"/>
  <c r="EO31" i="5"/>
  <c r="ES31" i="5"/>
  <c r="ET31" i="5"/>
  <c r="EU31" i="5"/>
  <c r="EV31" i="5"/>
  <c r="EW31" i="5"/>
  <c r="EX31" i="5"/>
  <c r="FB31" i="5"/>
  <c r="FC31" i="5"/>
  <c r="FD31" i="5"/>
  <c r="FE31" i="5"/>
  <c r="FF31" i="5"/>
  <c r="FG31" i="5"/>
  <c r="FH31" i="5"/>
  <c r="FI31" i="5"/>
  <c r="FJ31" i="5"/>
  <c r="FK31" i="5"/>
  <c r="FO31" i="5"/>
  <c r="FP31" i="5"/>
  <c r="FQ31" i="5"/>
  <c r="FR31" i="5"/>
  <c r="FS31" i="5"/>
  <c r="FT31" i="5"/>
  <c r="FU31" i="5"/>
  <c r="FV31" i="5"/>
  <c r="FW31" i="5"/>
  <c r="FX31" i="5"/>
  <c r="FY31" i="5"/>
  <c r="FZ31" i="5"/>
  <c r="GA31" i="5"/>
  <c r="GB31" i="5"/>
  <c r="GE31" i="5"/>
  <c r="GF31" i="5"/>
  <c r="GJ31" i="5"/>
  <c r="GK31" i="5"/>
  <c r="GL31" i="5"/>
  <c r="GM31" i="5"/>
  <c r="GN31" i="5"/>
  <c r="GO31" i="5"/>
  <c r="GP31" i="5"/>
  <c r="GQ31" i="5"/>
  <c r="GR31" i="5"/>
  <c r="GS31" i="5"/>
  <c r="GT31" i="5"/>
  <c r="GU31" i="5"/>
  <c r="GV31" i="5"/>
  <c r="GW31" i="5"/>
  <c r="GX31" i="5"/>
  <c r="GY31" i="5"/>
  <c r="GZ31" i="5"/>
  <c r="HA31" i="5"/>
  <c r="HB31" i="5"/>
  <c r="HC31" i="5"/>
  <c r="HD31" i="5"/>
  <c r="HE31" i="5"/>
  <c r="HF31" i="5"/>
  <c r="HG31" i="5"/>
  <c r="HH31" i="5"/>
  <c r="HI31" i="5"/>
  <c r="HJ31" i="5"/>
  <c r="HK31" i="5"/>
  <c r="HL31" i="5"/>
  <c r="HM31" i="5"/>
  <c r="HN31" i="5"/>
  <c r="HO31" i="5"/>
  <c r="HP31" i="5"/>
  <c r="HQ31" i="5"/>
  <c r="HR31" i="5"/>
  <c r="HS31" i="5"/>
  <c r="HT31" i="5"/>
  <c r="HU31" i="5"/>
  <c r="HV31" i="5"/>
  <c r="HW31" i="5"/>
  <c r="HX31" i="5"/>
  <c r="HY31" i="5"/>
  <c r="HZ31" i="5"/>
  <c r="IA31" i="5"/>
  <c r="IB31" i="5"/>
  <c r="IC31" i="5"/>
  <c r="ID31" i="5"/>
  <c r="IE31" i="5"/>
  <c r="IF31" i="5"/>
  <c r="IG31" i="5"/>
  <c r="IH31" i="5"/>
  <c r="II31" i="5"/>
  <c r="IJ31" i="5"/>
  <c r="IK31" i="5"/>
  <c r="IL31" i="5"/>
  <c r="IM31" i="5"/>
  <c r="IN31" i="5"/>
  <c r="IO31" i="5"/>
  <c r="IP31" i="5"/>
  <c r="IQ31" i="5"/>
  <c r="IR31" i="5"/>
  <c r="IS31" i="5"/>
  <c r="IT31" i="5"/>
  <c r="IU31" i="5"/>
  <c r="IV31" i="5"/>
  <c r="IW31" i="5"/>
  <c r="IX31" i="5"/>
  <c r="IY31" i="5"/>
  <c r="IZ31" i="5"/>
  <c r="JA31" i="5"/>
  <c r="JB31" i="5"/>
  <c r="JC31" i="5"/>
  <c r="JD31" i="5"/>
  <c r="JE31" i="5"/>
  <c r="JF31" i="5"/>
  <c r="JG31" i="5"/>
  <c r="JH31" i="5"/>
  <c r="JI31" i="5"/>
  <c r="JJ31" i="5"/>
  <c r="JK31" i="5"/>
  <c r="JL31" i="5"/>
  <c r="JM31" i="5"/>
  <c r="JN31" i="5"/>
  <c r="JO31" i="5"/>
  <c r="JP31" i="5"/>
  <c r="JQ31" i="5"/>
  <c r="JR31" i="5"/>
  <c r="JS31" i="5"/>
  <c r="JT31" i="5"/>
  <c r="JU31" i="5"/>
  <c r="JV31" i="5"/>
  <c r="JW31" i="5"/>
  <c r="JX31" i="5"/>
  <c r="JY31" i="5"/>
  <c r="JZ31" i="5"/>
  <c r="KA31" i="5"/>
  <c r="KB31" i="5"/>
  <c r="KC31" i="5"/>
  <c r="KD31" i="5"/>
  <c r="KE31" i="5"/>
  <c r="KF31" i="5"/>
  <c r="KG31" i="5"/>
  <c r="KH31" i="5"/>
  <c r="KI31" i="5"/>
  <c r="KJ31" i="5"/>
  <c r="KK31" i="5"/>
  <c r="KL31" i="5"/>
  <c r="KM31" i="5"/>
  <c r="KN31" i="5"/>
  <c r="KO31" i="5"/>
  <c r="KP31" i="5"/>
  <c r="KQ31" i="5"/>
  <c r="KR31" i="5"/>
  <c r="KS31" i="5"/>
  <c r="KT31" i="5"/>
  <c r="KU31" i="5"/>
  <c r="KY31" i="5"/>
  <c r="KZ31" i="5"/>
  <c r="LA31" i="5"/>
  <c r="LB31" i="5"/>
  <c r="LC31" i="5"/>
  <c r="LD31" i="5"/>
  <c r="LE31" i="5"/>
  <c r="LF31" i="5"/>
  <c r="LG31" i="5"/>
  <c r="LH31" i="5"/>
  <c r="LI31" i="5"/>
  <c r="LJ31" i="5"/>
  <c r="LK31" i="5"/>
  <c r="LL31" i="5"/>
  <c r="LM31" i="5"/>
  <c r="LN31" i="5"/>
  <c r="LT31" i="5"/>
  <c r="LU31" i="5"/>
  <c r="LV31" i="5"/>
  <c r="LW31" i="5"/>
  <c r="LX31" i="5"/>
  <c r="LY31" i="5"/>
  <c r="LZ31" i="5"/>
  <c r="MA31" i="5"/>
  <c r="MB31" i="5"/>
  <c r="MC31" i="5"/>
  <c r="MD31" i="5"/>
  <c r="ME31" i="5"/>
  <c r="MF31" i="5"/>
  <c r="MG31" i="5"/>
  <c r="MH31" i="5"/>
  <c r="MI31" i="5"/>
  <c r="MJ31" i="5"/>
  <c r="MK31" i="5"/>
  <c r="ML31" i="5"/>
  <c r="MM31" i="5"/>
  <c r="MN31" i="5"/>
  <c r="MO31" i="5"/>
  <c r="MP31" i="5"/>
  <c r="MQ31" i="5"/>
  <c r="MR31" i="5"/>
  <c r="MS31" i="5"/>
  <c r="MT31" i="5"/>
  <c r="MU31" i="5"/>
  <c r="MV31" i="5"/>
  <c r="MW31" i="5"/>
  <c r="MX31" i="5"/>
  <c r="MY31" i="5"/>
  <c r="MZ31" i="5"/>
  <c r="NA31" i="5"/>
  <c r="NB31" i="5"/>
  <c r="NC31" i="5"/>
  <c r="ND31" i="5"/>
  <c r="NE31" i="5"/>
  <c r="NF31" i="5"/>
  <c r="NG31" i="5"/>
  <c r="NH31" i="5"/>
  <c r="NI31" i="5"/>
  <c r="NJ31" i="5"/>
  <c r="NK31" i="5"/>
  <c r="NL31" i="5"/>
  <c r="NM31" i="5"/>
  <c r="NN31" i="5"/>
  <c r="NO31" i="5"/>
  <c r="NP31" i="5"/>
  <c r="NQ31" i="5"/>
  <c r="NR31" i="5"/>
  <c r="NS31" i="5"/>
  <c r="NT31" i="5"/>
  <c r="NU31" i="5"/>
  <c r="NV31" i="5"/>
  <c r="NZ31" i="5"/>
  <c r="OA31" i="5"/>
  <c r="OB31" i="5"/>
  <c r="OC31" i="5"/>
  <c r="OD31" i="5"/>
  <c r="OE31" i="5"/>
  <c r="OI31" i="5"/>
  <c r="OJ31" i="5"/>
  <c r="OK31" i="5"/>
  <c r="OL31" i="5"/>
  <c r="OM31" i="5"/>
  <c r="ON31" i="5"/>
  <c r="OO31" i="5"/>
  <c r="OP31" i="5"/>
  <c r="OQ31" i="5"/>
  <c r="OR31" i="5"/>
  <c r="OS31" i="5"/>
  <c r="OT31" i="5"/>
  <c r="OU31" i="5"/>
  <c r="OV31" i="5"/>
  <c r="OW31" i="5"/>
  <c r="OX31" i="5"/>
  <c r="OY31" i="5"/>
  <c r="OY43" i="5" s="1"/>
  <c r="OZ31" i="5"/>
  <c r="PA31" i="5"/>
  <c r="PB31" i="5"/>
  <c r="PC31" i="5"/>
  <c r="PD31" i="5"/>
  <c r="PE31" i="5"/>
  <c r="PF31" i="5"/>
  <c r="PG31" i="5"/>
  <c r="PH31" i="5"/>
  <c r="PI31" i="5"/>
  <c r="PJ31" i="5"/>
  <c r="PK31" i="5"/>
  <c r="PL31" i="5"/>
  <c r="PM31" i="5"/>
  <c r="PN31" i="5"/>
  <c r="PP31" i="5"/>
  <c r="PQ31" i="5"/>
  <c r="PR31" i="5"/>
  <c r="PS31" i="5"/>
  <c r="PT31" i="5"/>
  <c r="PU31" i="5"/>
  <c r="QI31" i="5"/>
  <c r="QJ31" i="5"/>
  <c r="QK31" i="5"/>
  <c r="QL31" i="5"/>
  <c r="QB31" i="5"/>
  <c r="QC31" i="5"/>
  <c r="QD31" i="5"/>
  <c r="QE31" i="5"/>
  <c r="QF31" i="5"/>
  <c r="QG31" i="5"/>
  <c r="QH31" i="5"/>
  <c r="QM31" i="5"/>
  <c r="QN31" i="5"/>
  <c r="QO31" i="5"/>
  <c r="QP31" i="5"/>
  <c r="QQ31" i="5"/>
  <c r="QR31" i="5"/>
  <c r="QS31" i="5"/>
  <c r="QT31" i="5"/>
  <c r="RB31" i="5"/>
  <c r="F31" i="5"/>
  <c r="CM22" i="5"/>
  <c r="CM23" i="5" s="1"/>
  <c r="L62" i="17" l="1"/>
  <c r="J62" i="17"/>
  <c r="G62" i="17"/>
  <c r="F62" i="17"/>
  <c r="M62" i="17"/>
  <c r="G36" i="5" l="1"/>
  <c r="C15" i="15" s="1"/>
  <c r="H36" i="5"/>
  <c r="D15" i="15" s="1"/>
  <c r="I36" i="5"/>
  <c r="J36" i="5"/>
  <c r="K36" i="5"/>
  <c r="L36" i="5"/>
  <c r="M36" i="5"/>
  <c r="N36" i="5"/>
  <c r="O36" i="5"/>
  <c r="P36" i="5"/>
  <c r="Q36" i="5"/>
  <c r="K141" i="14" s="1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I36" i="5"/>
  <c r="AJ36" i="5"/>
  <c r="AK36" i="5"/>
  <c r="AL36" i="5"/>
  <c r="AM36" i="5"/>
  <c r="AN36" i="5"/>
  <c r="AO36" i="5"/>
  <c r="AP36" i="5"/>
  <c r="AQ36" i="5"/>
  <c r="AR36" i="5"/>
  <c r="AV36" i="5"/>
  <c r="AW36" i="5"/>
  <c r="AX36" i="5"/>
  <c r="AY36" i="5"/>
  <c r="AZ36" i="5"/>
  <c r="BA36" i="5"/>
  <c r="BB36" i="5"/>
  <c r="BC36" i="5"/>
  <c r="BD36" i="5"/>
  <c r="BE36" i="5"/>
  <c r="BI36" i="5"/>
  <c r="BJ36" i="5"/>
  <c r="BK36" i="5"/>
  <c r="BL36" i="5"/>
  <c r="BM36" i="5"/>
  <c r="BN36" i="5"/>
  <c r="BO36" i="5"/>
  <c r="BP36" i="5"/>
  <c r="BQ36" i="5"/>
  <c r="BR36" i="5"/>
  <c r="CM36" i="5"/>
  <c r="CN36" i="5"/>
  <c r="CO36" i="5"/>
  <c r="CP36" i="5"/>
  <c r="CQ36" i="5"/>
  <c r="CR36" i="5"/>
  <c r="CS36" i="5"/>
  <c r="CT36" i="5"/>
  <c r="CU36" i="5"/>
  <c r="CZ36" i="5"/>
  <c r="DA36" i="5"/>
  <c r="DB36" i="5"/>
  <c r="DC36" i="5"/>
  <c r="DD36" i="5"/>
  <c r="DE36" i="5"/>
  <c r="DI36" i="5"/>
  <c r="DJ36" i="5"/>
  <c r="DK36" i="5"/>
  <c r="DL36" i="5"/>
  <c r="DM36" i="5"/>
  <c r="DN36" i="5"/>
  <c r="DR36" i="5"/>
  <c r="DS36" i="5"/>
  <c r="DT36" i="5"/>
  <c r="DU36" i="5"/>
  <c r="DV36" i="5"/>
  <c r="DW36" i="5"/>
  <c r="EA36" i="5"/>
  <c r="EB36" i="5"/>
  <c r="EC36" i="5"/>
  <c r="ED36" i="5"/>
  <c r="EE36" i="5"/>
  <c r="EF36" i="5"/>
  <c r="EJ36" i="5"/>
  <c r="EK36" i="5"/>
  <c r="EL36" i="5"/>
  <c r="EM36" i="5"/>
  <c r="EN36" i="5"/>
  <c r="EO36" i="5"/>
  <c r="ES36" i="5"/>
  <c r="ET36" i="5"/>
  <c r="EU36" i="5"/>
  <c r="EV36" i="5"/>
  <c r="EW36" i="5"/>
  <c r="EX36" i="5"/>
  <c r="FB36" i="5"/>
  <c r="FC36" i="5"/>
  <c r="FD36" i="5"/>
  <c r="FE36" i="5"/>
  <c r="FF36" i="5"/>
  <c r="FG36" i="5"/>
  <c r="FH36" i="5"/>
  <c r="FI36" i="5"/>
  <c r="FJ36" i="5"/>
  <c r="FK36" i="5"/>
  <c r="FL36" i="5"/>
  <c r="FM36" i="5"/>
  <c r="FN36" i="5"/>
  <c r="FO36" i="5"/>
  <c r="FP36" i="5"/>
  <c r="FQ36" i="5"/>
  <c r="FR36" i="5"/>
  <c r="FS36" i="5"/>
  <c r="FT36" i="5"/>
  <c r="FU36" i="5"/>
  <c r="FV36" i="5"/>
  <c r="FW36" i="5"/>
  <c r="FX36" i="5"/>
  <c r="FY36" i="5"/>
  <c r="FZ36" i="5"/>
  <c r="GA36" i="5"/>
  <c r="GB36" i="5"/>
  <c r="GE36" i="5"/>
  <c r="GF36" i="5"/>
  <c r="GG36" i="5"/>
  <c r="GH36" i="5"/>
  <c r="GI36" i="5"/>
  <c r="GJ36" i="5"/>
  <c r="GK36" i="5"/>
  <c r="GL36" i="5"/>
  <c r="GM36" i="5"/>
  <c r="GN36" i="5"/>
  <c r="GO36" i="5"/>
  <c r="GP36" i="5"/>
  <c r="GQ36" i="5"/>
  <c r="GR36" i="5"/>
  <c r="GS36" i="5"/>
  <c r="GT36" i="5"/>
  <c r="GU36" i="5"/>
  <c r="GV36" i="5"/>
  <c r="GW36" i="5"/>
  <c r="GX36" i="5"/>
  <c r="GY36" i="5"/>
  <c r="GZ36" i="5"/>
  <c r="HA36" i="5"/>
  <c r="HB36" i="5"/>
  <c r="HC36" i="5"/>
  <c r="HD36" i="5"/>
  <c r="HE36" i="5"/>
  <c r="HF36" i="5"/>
  <c r="HG36" i="5"/>
  <c r="HH36" i="5"/>
  <c r="HI36" i="5"/>
  <c r="HJ36" i="5"/>
  <c r="HK36" i="5"/>
  <c r="HL36" i="5"/>
  <c r="HM36" i="5"/>
  <c r="HN36" i="5"/>
  <c r="HO36" i="5"/>
  <c r="HP36" i="5"/>
  <c r="HQ36" i="5"/>
  <c r="HR36" i="5"/>
  <c r="HS36" i="5"/>
  <c r="HT36" i="5"/>
  <c r="HU36" i="5"/>
  <c r="HV36" i="5"/>
  <c r="HW36" i="5"/>
  <c r="HX36" i="5"/>
  <c r="HY36" i="5"/>
  <c r="HZ36" i="5"/>
  <c r="IA36" i="5"/>
  <c r="IB36" i="5"/>
  <c r="IC36" i="5"/>
  <c r="ID36" i="5"/>
  <c r="IE36" i="5"/>
  <c r="IF36" i="5"/>
  <c r="IG36" i="5"/>
  <c r="IH36" i="5"/>
  <c r="II36" i="5"/>
  <c r="IJ36" i="5"/>
  <c r="IK36" i="5"/>
  <c r="IL36" i="5"/>
  <c r="IM36" i="5"/>
  <c r="IN36" i="5"/>
  <c r="IO36" i="5"/>
  <c r="IP36" i="5"/>
  <c r="IQ36" i="5"/>
  <c r="IR36" i="5"/>
  <c r="IS36" i="5"/>
  <c r="IT36" i="5"/>
  <c r="IU36" i="5"/>
  <c r="IV36" i="5"/>
  <c r="IW36" i="5"/>
  <c r="IX36" i="5"/>
  <c r="IY36" i="5"/>
  <c r="IZ36" i="5"/>
  <c r="JA36" i="5"/>
  <c r="JB36" i="5"/>
  <c r="JC36" i="5"/>
  <c r="JD36" i="5"/>
  <c r="JE36" i="5"/>
  <c r="JF36" i="5"/>
  <c r="JG36" i="5"/>
  <c r="JH36" i="5"/>
  <c r="JI36" i="5"/>
  <c r="JJ36" i="5"/>
  <c r="JK36" i="5"/>
  <c r="JL36" i="5"/>
  <c r="JM36" i="5"/>
  <c r="JN36" i="5"/>
  <c r="JO36" i="5"/>
  <c r="JP36" i="5"/>
  <c r="JQ36" i="5"/>
  <c r="JR36" i="5"/>
  <c r="JS36" i="5"/>
  <c r="JT36" i="5"/>
  <c r="JU36" i="5"/>
  <c r="JV36" i="5"/>
  <c r="JW36" i="5"/>
  <c r="JX36" i="5"/>
  <c r="JY36" i="5"/>
  <c r="JZ36" i="5"/>
  <c r="KA36" i="5"/>
  <c r="KB36" i="5"/>
  <c r="KC36" i="5"/>
  <c r="KD36" i="5"/>
  <c r="KE36" i="5"/>
  <c r="KF36" i="5"/>
  <c r="KG36" i="5"/>
  <c r="KH36" i="5"/>
  <c r="KI36" i="5"/>
  <c r="KJ36" i="5"/>
  <c r="KK36" i="5"/>
  <c r="KL36" i="5"/>
  <c r="KM36" i="5"/>
  <c r="KN36" i="5"/>
  <c r="KO36" i="5"/>
  <c r="KP36" i="5"/>
  <c r="KQ36" i="5"/>
  <c r="KR36" i="5"/>
  <c r="KS36" i="5"/>
  <c r="KT36" i="5"/>
  <c r="KU36" i="5"/>
  <c r="KV36" i="5"/>
  <c r="KW36" i="5"/>
  <c r="KX36" i="5"/>
  <c r="KY36" i="5"/>
  <c r="E146" i="14" s="1"/>
  <c r="KZ36" i="5"/>
  <c r="F146" i="14" s="1"/>
  <c r="LA36" i="5"/>
  <c r="E147" i="14" s="1"/>
  <c r="LB36" i="5"/>
  <c r="F147" i="14" s="1"/>
  <c r="LC36" i="5"/>
  <c r="E148" i="14" s="1"/>
  <c r="LD36" i="5"/>
  <c r="F148" i="14" s="1"/>
  <c r="LE36" i="5"/>
  <c r="E149" i="14" s="1"/>
  <c r="LF36" i="5"/>
  <c r="F149" i="14" s="1"/>
  <c r="LG36" i="5"/>
  <c r="E150" i="14" s="1"/>
  <c r="LH36" i="5"/>
  <c r="F150" i="14" s="1"/>
  <c r="LI36" i="5"/>
  <c r="E151" i="14" s="1"/>
  <c r="LJ36" i="5"/>
  <c r="F151" i="14" s="1"/>
  <c r="LK36" i="5"/>
  <c r="LL36" i="5"/>
  <c r="LM36" i="5"/>
  <c r="E153" i="14" s="1"/>
  <c r="LN36" i="5"/>
  <c r="F153" i="14" s="1"/>
  <c r="LQ36" i="5"/>
  <c r="LR36" i="5"/>
  <c r="LS36" i="5"/>
  <c r="LT36" i="5"/>
  <c r="B163" i="14" s="1"/>
  <c r="LU36" i="5"/>
  <c r="C163" i="14" s="1"/>
  <c r="LV36" i="5"/>
  <c r="D163" i="14" s="1"/>
  <c r="LW36" i="5"/>
  <c r="E163" i="14" s="1"/>
  <c r="LX36" i="5"/>
  <c r="F163" i="14" s="1"/>
  <c r="LY36" i="5"/>
  <c r="G163" i="14" s="1"/>
  <c r="K163" i="14" s="1"/>
  <c r="LZ36" i="5"/>
  <c r="H163" i="14" s="1"/>
  <c r="MA36" i="5"/>
  <c r="I163" i="14" s="1"/>
  <c r="MB36" i="5"/>
  <c r="MC36" i="5"/>
  <c r="MD36" i="5"/>
  <c r="ME36" i="5"/>
  <c r="B168" i="14" s="1"/>
  <c r="MF36" i="5"/>
  <c r="C168" i="14" s="1"/>
  <c r="MG36" i="5"/>
  <c r="D168" i="14" s="1"/>
  <c r="MH36" i="5"/>
  <c r="E168" i="14" s="1"/>
  <c r="MI36" i="5"/>
  <c r="F168" i="14" s="1"/>
  <c r="MJ36" i="5"/>
  <c r="G168" i="14" s="1"/>
  <c r="MK36" i="5"/>
  <c r="H168" i="14" s="1"/>
  <c r="ML36" i="5"/>
  <c r="I168" i="14" s="1"/>
  <c r="MM36" i="5"/>
  <c r="J168" i="14" s="1"/>
  <c r="MN36" i="5"/>
  <c r="K168" i="14" s="1"/>
  <c r="MO36" i="5"/>
  <c r="MP36" i="5"/>
  <c r="MQ36" i="5"/>
  <c r="MR36" i="5"/>
  <c r="MS36" i="5"/>
  <c r="MT36" i="5"/>
  <c r="MU36" i="5"/>
  <c r="MV36" i="5"/>
  <c r="MW36" i="5"/>
  <c r="MX36" i="5"/>
  <c r="MY36" i="5"/>
  <c r="MZ36" i="5"/>
  <c r="NA36" i="5"/>
  <c r="NB36" i="5"/>
  <c r="NC36" i="5"/>
  <c r="K147" i="14" s="1"/>
  <c r="ND36" i="5"/>
  <c r="K148" i="14" s="1"/>
  <c r="NE36" i="5"/>
  <c r="C31" i="20" s="1"/>
  <c r="NF36" i="5"/>
  <c r="D31" i="20" s="1"/>
  <c r="NG36" i="5"/>
  <c r="E31" i="20" s="1"/>
  <c r="NH36" i="5"/>
  <c r="F31" i="20" s="1"/>
  <c r="NI36" i="5"/>
  <c r="G31" i="20" s="1"/>
  <c r="NJ36" i="5"/>
  <c r="H31" i="20" s="1"/>
  <c r="NK36" i="5"/>
  <c r="I31" i="20" s="1"/>
  <c r="NL36" i="5"/>
  <c r="J31" i="20" s="1"/>
  <c r="NM36" i="5"/>
  <c r="K31" i="20" s="1"/>
  <c r="NN36" i="5"/>
  <c r="L31" i="20" s="1"/>
  <c r="NO36" i="5"/>
  <c r="M31" i="20" s="1"/>
  <c r="NP36" i="5"/>
  <c r="N31" i="20" s="1"/>
  <c r="NQ36" i="5"/>
  <c r="O31" i="20" s="1"/>
  <c r="NR36" i="5"/>
  <c r="P31" i="20" s="1"/>
  <c r="NS36" i="5"/>
  <c r="Q31" i="20" s="1"/>
  <c r="NT36" i="5"/>
  <c r="R31" i="20" s="1"/>
  <c r="NU36" i="5"/>
  <c r="S31" i="20" s="1"/>
  <c r="NV36" i="5"/>
  <c r="T31" i="20" s="1"/>
  <c r="NW36" i="5"/>
  <c r="NX36" i="5"/>
  <c r="NY36" i="5"/>
  <c r="NZ36" i="5"/>
  <c r="OA36" i="5"/>
  <c r="OB36" i="5"/>
  <c r="OC36" i="5"/>
  <c r="OD36" i="5"/>
  <c r="OE36" i="5"/>
  <c r="OF36" i="5"/>
  <c r="OG36" i="5"/>
  <c r="OH36" i="5"/>
  <c r="OI36" i="5"/>
  <c r="B141" i="14" s="1"/>
  <c r="OJ36" i="5"/>
  <c r="C141" i="14" s="1"/>
  <c r="OK36" i="5"/>
  <c r="D141" i="14" s="1"/>
  <c r="OL36" i="5"/>
  <c r="E141" i="14" s="1"/>
  <c r="OM36" i="5"/>
  <c r="ON36" i="5"/>
  <c r="OO36" i="5"/>
  <c r="OP36" i="5"/>
  <c r="OQ36" i="5"/>
  <c r="OR36" i="5"/>
  <c r="OS36" i="5"/>
  <c r="OT36" i="5"/>
  <c r="F142" i="14" s="1"/>
  <c r="OU36" i="5"/>
  <c r="OV36" i="5"/>
  <c r="H142" i="14" s="1"/>
  <c r="OZ36" i="5"/>
  <c r="PA36" i="5"/>
  <c r="PB36" i="5"/>
  <c r="PC36" i="5"/>
  <c r="PD36" i="5"/>
  <c r="PE36" i="5"/>
  <c r="PF36" i="5"/>
  <c r="PG36" i="5"/>
  <c r="PH36" i="5"/>
  <c r="PI36" i="5"/>
  <c r="PJ36" i="5"/>
  <c r="PK36" i="5"/>
  <c r="PL36" i="5"/>
  <c r="PM36" i="5"/>
  <c r="PN36" i="5"/>
  <c r="PO36" i="5"/>
  <c r="PP36" i="5"/>
  <c r="PQ36" i="5"/>
  <c r="PR36" i="5"/>
  <c r="PS36" i="5"/>
  <c r="PT36" i="5"/>
  <c r="PU36" i="5"/>
  <c r="QI36" i="5"/>
  <c r="QJ36" i="5"/>
  <c r="QK36" i="5"/>
  <c r="QL36" i="5"/>
  <c r="QB36" i="5"/>
  <c r="QC36" i="5"/>
  <c r="QD36" i="5"/>
  <c r="QE36" i="5"/>
  <c r="QF36" i="5"/>
  <c r="QG36" i="5"/>
  <c r="QH36" i="5"/>
  <c r="QM36" i="5"/>
  <c r="QN36" i="5"/>
  <c r="QO36" i="5"/>
  <c r="QP36" i="5"/>
  <c r="QQ36" i="5"/>
  <c r="QR36" i="5"/>
  <c r="QS36" i="5"/>
  <c r="QT36" i="5"/>
  <c r="RB36" i="5"/>
  <c r="RC36" i="5"/>
  <c r="QU36" i="5"/>
  <c r="QV36" i="5"/>
  <c r="QW36" i="5"/>
  <c r="QX36" i="5"/>
  <c r="QY36" i="5"/>
  <c r="QZ36" i="5"/>
  <c r="RA36" i="5"/>
  <c r="RD36" i="5"/>
  <c r="RE36" i="5"/>
  <c r="PV36" i="5"/>
  <c r="PW36" i="5"/>
  <c r="PX36" i="5"/>
  <c r="PY36" i="5"/>
  <c r="PZ36" i="5"/>
  <c r="QA36" i="5"/>
  <c r="RF36" i="5"/>
  <c r="RG36" i="5"/>
  <c r="RH36" i="5"/>
  <c r="RI36" i="5"/>
  <c r="RJ36" i="5"/>
  <c r="RK36" i="5"/>
  <c r="RL36" i="5"/>
  <c r="RM36" i="5"/>
  <c r="RN36" i="5"/>
  <c r="RU36" i="5"/>
  <c r="RV36" i="5"/>
  <c r="RW36" i="5"/>
  <c r="RX36" i="5"/>
  <c r="RY36" i="5"/>
  <c r="RZ36" i="5"/>
  <c r="SA36" i="5"/>
  <c r="SB36" i="5"/>
  <c r="SC36" i="5"/>
  <c r="SD36" i="5"/>
  <c r="SE36" i="5"/>
  <c r="SF36" i="5"/>
  <c r="SG36" i="5"/>
  <c r="SH36" i="5"/>
  <c r="SI36" i="5"/>
  <c r="SJ36" i="5"/>
  <c r="SK36" i="5"/>
  <c r="SL36" i="5"/>
  <c r="SM36" i="5"/>
  <c r="SN36" i="5"/>
  <c r="SO36" i="5"/>
  <c r="SP36" i="5"/>
  <c r="F35" i="5"/>
  <c r="F36" i="5"/>
  <c r="B15" i="15" s="1"/>
  <c r="K149" i="14" l="1"/>
  <c r="M168" i="14"/>
  <c r="U31" i="20"/>
  <c r="G150" i="14"/>
  <c r="G148" i="14"/>
  <c r="G146" i="14"/>
  <c r="E156" i="14"/>
  <c r="J163" i="14"/>
  <c r="L163" i="14" s="1"/>
  <c r="L168" i="14"/>
  <c r="G153" i="14"/>
  <c r="G151" i="14"/>
  <c r="G149" i="14"/>
  <c r="G147" i="14"/>
  <c r="V31" i="20"/>
  <c r="F156" i="14"/>
  <c r="R104" i="17"/>
  <c r="R105" i="17"/>
  <c r="R106" i="17"/>
  <c r="R103" i="17"/>
  <c r="T103" i="17" s="1"/>
  <c r="S103" i="17"/>
  <c r="S104" i="17"/>
  <c r="S105" i="17"/>
  <c r="T105" i="17" s="1"/>
  <c r="S106" i="17"/>
  <c r="T106" i="17" s="1"/>
  <c r="N168" i="14" l="1"/>
  <c r="W31" i="20"/>
  <c r="G156" i="14"/>
  <c r="T104" i="17"/>
  <c r="U14" i="16" l="1"/>
  <c r="P14" i="16"/>
  <c r="Q14" i="16" s="1"/>
  <c r="E14" i="16"/>
  <c r="EZ38" i="5"/>
  <c r="EY38" i="5"/>
  <c r="EQ38" i="5"/>
  <c r="EP38" i="5"/>
  <c r="EG38" i="5"/>
  <c r="EH38" i="5"/>
  <c r="DY38" i="5"/>
  <c r="DX38" i="5"/>
  <c r="DF38" i="5"/>
  <c r="CX38" i="5"/>
  <c r="CW38" i="5"/>
  <c r="CV38" i="5"/>
  <c r="CI38" i="5"/>
  <c r="CH38" i="5"/>
  <c r="CG38" i="5"/>
  <c r="CF38" i="5"/>
  <c r="CE38" i="5"/>
  <c r="CD38" i="5"/>
  <c r="CC38" i="5"/>
  <c r="CB38" i="5"/>
  <c r="CA38" i="5"/>
  <c r="BZ38" i="5"/>
  <c r="BY38" i="5"/>
  <c r="BX38" i="5"/>
  <c r="BW38" i="5"/>
  <c r="BV38" i="5"/>
  <c r="BT38" i="5"/>
  <c r="BS38" i="5"/>
  <c r="BG38" i="5"/>
  <c r="BF38" i="5"/>
  <c r="AS38" i="5"/>
  <c r="F13" i="15"/>
  <c r="PA32" i="5"/>
  <c r="OZ32" i="5"/>
  <c r="G38" i="5"/>
  <c r="C13" i="15" s="1"/>
  <c r="H38" i="5"/>
  <c r="D13" i="15" s="1"/>
  <c r="I38" i="5"/>
  <c r="Q13" i="15" s="1"/>
  <c r="J38" i="5"/>
  <c r="R13" i="15" s="1"/>
  <c r="K38" i="5"/>
  <c r="L38" i="5"/>
  <c r="M38" i="5"/>
  <c r="N38" i="5"/>
  <c r="O38" i="5"/>
  <c r="O13" i="15" s="1"/>
  <c r="P38" i="5"/>
  <c r="P13" i="15" s="1"/>
  <c r="Q38" i="5"/>
  <c r="K73" i="14" s="1"/>
  <c r="R38" i="5"/>
  <c r="L73" i="14" s="1"/>
  <c r="S38" i="5"/>
  <c r="M73" i="14" s="1"/>
  <c r="T38" i="5"/>
  <c r="N73" i="14" s="1"/>
  <c r="U38" i="5"/>
  <c r="V38" i="5"/>
  <c r="E28" i="15" s="1"/>
  <c r="W38" i="5"/>
  <c r="F28" i="15" s="1"/>
  <c r="X38" i="5"/>
  <c r="G28" i="15" s="1"/>
  <c r="Y38" i="5"/>
  <c r="H28" i="15" s="1"/>
  <c r="Z38" i="5"/>
  <c r="I28" i="15" s="1"/>
  <c r="AA38" i="5"/>
  <c r="J28" i="15" s="1"/>
  <c r="AB38" i="5"/>
  <c r="K28" i="15" s="1"/>
  <c r="AC38" i="5"/>
  <c r="L28" i="15" s="1"/>
  <c r="AD38" i="5"/>
  <c r="M28" i="15" s="1"/>
  <c r="AE38" i="5"/>
  <c r="N28" i="15" s="1"/>
  <c r="AI38" i="5"/>
  <c r="AJ38" i="5"/>
  <c r="AK38" i="5"/>
  <c r="AL38" i="5"/>
  <c r="AM38" i="5"/>
  <c r="AN38" i="5"/>
  <c r="AO38" i="5"/>
  <c r="AP38" i="5"/>
  <c r="AQ38" i="5"/>
  <c r="AR38" i="5"/>
  <c r="AV38" i="5"/>
  <c r="AW38" i="5"/>
  <c r="AX38" i="5"/>
  <c r="AY38" i="5"/>
  <c r="AZ38" i="5"/>
  <c r="BA38" i="5"/>
  <c r="BB38" i="5"/>
  <c r="BC38" i="5"/>
  <c r="BD38" i="5"/>
  <c r="BE38" i="5"/>
  <c r="BI38" i="5"/>
  <c r="BJ38" i="5"/>
  <c r="I68" i="17" s="1"/>
  <c r="BK38" i="5"/>
  <c r="BL38" i="5"/>
  <c r="BM38" i="5"/>
  <c r="BN38" i="5"/>
  <c r="BO38" i="5"/>
  <c r="BP38" i="5"/>
  <c r="BQ38" i="5"/>
  <c r="BR38" i="5"/>
  <c r="CM38" i="5"/>
  <c r="CN38" i="5"/>
  <c r="CO38" i="5"/>
  <c r="CP38" i="5"/>
  <c r="CQ38" i="5"/>
  <c r="CR38" i="5"/>
  <c r="CS38" i="5"/>
  <c r="CT38" i="5"/>
  <c r="CU38" i="5"/>
  <c r="CZ38" i="5"/>
  <c r="E26" i="19" s="1"/>
  <c r="DA38" i="5"/>
  <c r="F26" i="19" s="1"/>
  <c r="DB38" i="5"/>
  <c r="E27" i="19" s="1"/>
  <c r="DC38" i="5"/>
  <c r="F27" i="19" s="1"/>
  <c r="DD38" i="5"/>
  <c r="E28" i="19" s="1"/>
  <c r="DE38" i="5"/>
  <c r="F28" i="19" s="1"/>
  <c r="DI38" i="5"/>
  <c r="DJ38" i="5"/>
  <c r="DK38" i="5"/>
  <c r="DL38" i="5"/>
  <c r="DM38" i="5"/>
  <c r="DN38" i="5"/>
  <c r="DO38" i="5"/>
  <c r="DP38" i="5"/>
  <c r="DQ38" i="5"/>
  <c r="DR38" i="5"/>
  <c r="H26" i="19" s="1"/>
  <c r="DS38" i="5"/>
  <c r="I26" i="19" s="1"/>
  <c r="DT38" i="5"/>
  <c r="H27" i="19" s="1"/>
  <c r="DU38" i="5"/>
  <c r="I27" i="19" s="1"/>
  <c r="DV38" i="5"/>
  <c r="H28" i="19" s="1"/>
  <c r="DW38" i="5"/>
  <c r="I28" i="19" s="1"/>
  <c r="EA38" i="5"/>
  <c r="K26" i="19" s="1"/>
  <c r="EB38" i="5"/>
  <c r="L26" i="19" s="1"/>
  <c r="EC38" i="5"/>
  <c r="K27" i="19" s="1"/>
  <c r="ED38" i="5"/>
  <c r="L27" i="19" s="1"/>
  <c r="EE38" i="5"/>
  <c r="K28" i="19" s="1"/>
  <c r="EF38" i="5"/>
  <c r="L28" i="19" s="1"/>
  <c r="EJ38" i="5"/>
  <c r="N26" i="19" s="1"/>
  <c r="EK38" i="5"/>
  <c r="O26" i="19" s="1"/>
  <c r="EL38" i="5"/>
  <c r="N27" i="19" s="1"/>
  <c r="EM38" i="5"/>
  <c r="O27" i="19" s="1"/>
  <c r="EN38" i="5"/>
  <c r="N28" i="19" s="1"/>
  <c r="EO38" i="5"/>
  <c r="O28" i="19" s="1"/>
  <c r="ES38" i="5"/>
  <c r="ET38" i="5"/>
  <c r="EU38" i="5"/>
  <c r="EV38" i="5"/>
  <c r="EW38" i="5"/>
  <c r="EX38" i="5"/>
  <c r="FB38" i="5"/>
  <c r="E14" i="20" s="1"/>
  <c r="FC38" i="5"/>
  <c r="F14" i="20" s="1"/>
  <c r="FD38" i="5"/>
  <c r="G14" i="20" s="1"/>
  <c r="FE38" i="5"/>
  <c r="H14" i="20" s="1"/>
  <c r="FF38" i="5"/>
  <c r="I14" i="20" s="1"/>
  <c r="FG38" i="5"/>
  <c r="J14" i="20" s="1"/>
  <c r="FH38" i="5"/>
  <c r="K14" i="20" s="1"/>
  <c r="FI38" i="5"/>
  <c r="L14" i="20" s="1"/>
  <c r="FJ38" i="5"/>
  <c r="M14" i="20" s="1"/>
  <c r="FK38" i="5"/>
  <c r="N14" i="20" s="1"/>
  <c r="FL38" i="5"/>
  <c r="FM38" i="5"/>
  <c r="FN38" i="5"/>
  <c r="FO38" i="5"/>
  <c r="FP38" i="5"/>
  <c r="FQ38" i="5"/>
  <c r="FR38" i="5"/>
  <c r="FS38" i="5"/>
  <c r="FT38" i="5"/>
  <c r="FU38" i="5"/>
  <c r="FV38" i="5"/>
  <c r="FW38" i="5"/>
  <c r="FX38" i="5"/>
  <c r="FY38" i="5"/>
  <c r="FZ38" i="5"/>
  <c r="GA38" i="5"/>
  <c r="GB38" i="5"/>
  <c r="GE38" i="5"/>
  <c r="GF38" i="5"/>
  <c r="GG38" i="5"/>
  <c r="GH38" i="5"/>
  <c r="GI38" i="5"/>
  <c r="GJ38" i="5"/>
  <c r="C16" i="12" s="1"/>
  <c r="GK38" i="5"/>
  <c r="C17" i="12" s="1"/>
  <c r="GL38" i="5"/>
  <c r="D16" i="12" s="1"/>
  <c r="GM38" i="5"/>
  <c r="D17" i="12" s="1"/>
  <c r="GN38" i="5"/>
  <c r="E16" i="12" s="1"/>
  <c r="GO38" i="5"/>
  <c r="E17" i="12" s="1"/>
  <c r="GP38" i="5"/>
  <c r="F16" i="12" s="1"/>
  <c r="GQ38" i="5"/>
  <c r="F17" i="12" s="1"/>
  <c r="GR38" i="5"/>
  <c r="G16" i="12" s="1"/>
  <c r="GS38" i="5"/>
  <c r="G17" i="12" s="1"/>
  <c r="GT38" i="5"/>
  <c r="H16" i="12" s="1"/>
  <c r="GU38" i="5"/>
  <c r="H17" i="12" s="1"/>
  <c r="GV38" i="5"/>
  <c r="I16" i="12" s="1"/>
  <c r="GW38" i="5"/>
  <c r="I17" i="12" s="1"/>
  <c r="GX38" i="5"/>
  <c r="J16" i="12" s="1"/>
  <c r="GY38" i="5"/>
  <c r="J17" i="12" s="1"/>
  <c r="GZ38" i="5"/>
  <c r="K16" i="12" s="1"/>
  <c r="HA38" i="5"/>
  <c r="K17" i="12" s="1"/>
  <c r="HB38" i="5"/>
  <c r="L16" i="12" s="1"/>
  <c r="HC38" i="5"/>
  <c r="L17" i="12" s="1"/>
  <c r="HD38" i="5"/>
  <c r="M16" i="12" s="1"/>
  <c r="HE38" i="5"/>
  <c r="M17" i="12" s="1"/>
  <c r="HF38" i="5"/>
  <c r="N16" i="12" s="1"/>
  <c r="HG38" i="5"/>
  <c r="N17" i="12" s="1"/>
  <c r="HH38" i="5"/>
  <c r="O16" i="12" s="1"/>
  <c r="HI38" i="5"/>
  <c r="O17" i="12" s="1"/>
  <c r="HJ38" i="5"/>
  <c r="P16" i="12" s="1"/>
  <c r="HK38" i="5"/>
  <c r="P17" i="12" s="1"/>
  <c r="HL38" i="5"/>
  <c r="Q16" i="12" s="1"/>
  <c r="HM38" i="5"/>
  <c r="Q17" i="12" s="1"/>
  <c r="HN38" i="5"/>
  <c r="R16" i="12" s="1"/>
  <c r="HO38" i="5"/>
  <c r="HP38" i="5"/>
  <c r="S16" i="12" s="1"/>
  <c r="HQ38" i="5"/>
  <c r="S17" i="12" s="1"/>
  <c r="HR38" i="5"/>
  <c r="T16" i="12" s="1"/>
  <c r="HS38" i="5"/>
  <c r="T17" i="12" s="1"/>
  <c r="HT38" i="5"/>
  <c r="U16" i="12" s="1"/>
  <c r="HU38" i="5"/>
  <c r="U17" i="12" s="1"/>
  <c r="HV38" i="5"/>
  <c r="V16" i="12" s="1"/>
  <c r="HW38" i="5"/>
  <c r="V17" i="12" s="1"/>
  <c r="HX38" i="5"/>
  <c r="W16" i="12" s="1"/>
  <c r="HY38" i="5"/>
  <c r="W17" i="12" s="1"/>
  <c r="HZ38" i="5"/>
  <c r="X16" i="12" s="1"/>
  <c r="IA38" i="5"/>
  <c r="X17" i="12" s="1"/>
  <c r="IB38" i="5"/>
  <c r="Y16" i="12" s="1"/>
  <c r="IC38" i="5"/>
  <c r="Y17" i="12" s="1"/>
  <c r="ID38" i="5"/>
  <c r="Z16" i="12" s="1"/>
  <c r="IE38" i="5"/>
  <c r="Z17" i="12" s="1"/>
  <c r="IF38" i="5"/>
  <c r="AA16" i="12" s="1"/>
  <c r="IG38" i="5"/>
  <c r="AA17" i="12" s="1"/>
  <c r="IH38" i="5"/>
  <c r="AB16" i="12" s="1"/>
  <c r="II38" i="5"/>
  <c r="AB17" i="12" s="1"/>
  <c r="IJ38" i="5"/>
  <c r="AC16" i="12" s="1"/>
  <c r="IK38" i="5"/>
  <c r="AC17" i="12" s="1"/>
  <c r="IL38" i="5"/>
  <c r="AD16" i="12" s="1"/>
  <c r="IM38" i="5"/>
  <c r="AD17" i="12" s="1"/>
  <c r="IN38" i="5"/>
  <c r="AE16" i="12" s="1"/>
  <c r="IO38" i="5"/>
  <c r="AE17" i="12" s="1"/>
  <c r="IP38" i="5"/>
  <c r="AF16" i="12" s="1"/>
  <c r="IQ38" i="5"/>
  <c r="AF17" i="12" s="1"/>
  <c r="IR38" i="5"/>
  <c r="AG16" i="12" s="1"/>
  <c r="IS38" i="5"/>
  <c r="AG17" i="12" s="1"/>
  <c r="IT38" i="5"/>
  <c r="AH16" i="12" s="1"/>
  <c r="IU38" i="5"/>
  <c r="AH17" i="12" s="1"/>
  <c r="IV38" i="5"/>
  <c r="AI16" i="12" s="1"/>
  <c r="IW38" i="5"/>
  <c r="AI17" i="12" s="1"/>
  <c r="IX38" i="5"/>
  <c r="AJ16" i="12" s="1"/>
  <c r="IY38" i="5"/>
  <c r="AJ17" i="12" s="1"/>
  <c r="IZ38" i="5"/>
  <c r="AK16" i="12" s="1"/>
  <c r="JA38" i="5"/>
  <c r="AK17" i="12" s="1"/>
  <c r="JB38" i="5"/>
  <c r="AL16" i="12" s="1"/>
  <c r="JC38" i="5"/>
  <c r="AL17" i="12" s="1"/>
  <c r="JD38" i="5"/>
  <c r="AM16" i="12" s="1"/>
  <c r="JE38" i="5"/>
  <c r="AM17" i="12" s="1"/>
  <c r="JF38" i="5"/>
  <c r="AN16" i="12" s="1"/>
  <c r="JG38" i="5"/>
  <c r="AN17" i="12" s="1"/>
  <c r="JH38" i="5"/>
  <c r="AO16" i="12" s="1"/>
  <c r="JI38" i="5"/>
  <c r="AO17" i="12" s="1"/>
  <c r="JJ38" i="5"/>
  <c r="AP16" i="12" s="1"/>
  <c r="JK38" i="5"/>
  <c r="AP17" i="12" s="1"/>
  <c r="JL38" i="5"/>
  <c r="AQ16" i="12" s="1"/>
  <c r="JM38" i="5"/>
  <c r="AQ17" i="12" s="1"/>
  <c r="JN38" i="5"/>
  <c r="AR16" i="12" s="1"/>
  <c r="JO38" i="5"/>
  <c r="AR17" i="12" s="1"/>
  <c r="JP38" i="5"/>
  <c r="AS16" i="12" s="1"/>
  <c r="JQ38" i="5"/>
  <c r="AS17" i="12" s="1"/>
  <c r="JR38" i="5"/>
  <c r="AT16" i="12" s="1"/>
  <c r="JS38" i="5"/>
  <c r="AT17" i="12" s="1"/>
  <c r="JT38" i="5"/>
  <c r="AU16" i="12" s="1"/>
  <c r="JU38" i="5"/>
  <c r="AU17" i="12" s="1"/>
  <c r="JV38" i="5"/>
  <c r="AV16" i="12" s="1"/>
  <c r="JW38" i="5"/>
  <c r="AV17" i="12" s="1"/>
  <c r="JX38" i="5"/>
  <c r="AW16" i="12" s="1"/>
  <c r="JY38" i="5"/>
  <c r="AW17" i="12" s="1"/>
  <c r="JZ38" i="5"/>
  <c r="KA38" i="5"/>
  <c r="AX17" i="12" s="1"/>
  <c r="KB38" i="5"/>
  <c r="KC38" i="5"/>
  <c r="KD38" i="5"/>
  <c r="AZ16" i="12" s="1"/>
  <c r="KE38" i="5"/>
  <c r="AZ17" i="12" s="1"/>
  <c r="KF38" i="5"/>
  <c r="BA16" i="12" s="1"/>
  <c r="KG38" i="5"/>
  <c r="BA17" i="12" s="1"/>
  <c r="KH38" i="5"/>
  <c r="BB16" i="12" s="1"/>
  <c r="KI38" i="5"/>
  <c r="BB17" i="12" s="1"/>
  <c r="KJ38" i="5"/>
  <c r="BC16" i="12" s="1"/>
  <c r="KK38" i="5"/>
  <c r="BC17" i="12" s="1"/>
  <c r="KL38" i="5"/>
  <c r="KM38" i="5"/>
  <c r="KN38" i="5"/>
  <c r="BD16" i="12" s="1"/>
  <c r="KO38" i="5"/>
  <c r="BD17" i="12" s="1"/>
  <c r="KP38" i="5"/>
  <c r="KQ38" i="5"/>
  <c r="KR38" i="5"/>
  <c r="KS38" i="5"/>
  <c r="KT38" i="5"/>
  <c r="BH16" i="12" s="1"/>
  <c r="KU38" i="5"/>
  <c r="BH17" i="12" s="1"/>
  <c r="KV38" i="5"/>
  <c r="KW38" i="5"/>
  <c r="KX38" i="5"/>
  <c r="KY38" i="5"/>
  <c r="E78" i="14" s="1"/>
  <c r="KZ38" i="5"/>
  <c r="F78" i="14" s="1"/>
  <c r="LA38" i="5"/>
  <c r="E79" i="14" s="1"/>
  <c r="LB38" i="5"/>
  <c r="F79" i="14" s="1"/>
  <c r="LC38" i="5"/>
  <c r="E80" i="14" s="1"/>
  <c r="LD38" i="5"/>
  <c r="F80" i="14" s="1"/>
  <c r="LE38" i="5"/>
  <c r="E81" i="14" s="1"/>
  <c r="LF38" i="5"/>
  <c r="F81" i="14" s="1"/>
  <c r="LG38" i="5"/>
  <c r="E82" i="14" s="1"/>
  <c r="LH38" i="5"/>
  <c r="F82" i="14" s="1"/>
  <c r="LI38" i="5"/>
  <c r="E83" i="14" s="1"/>
  <c r="LJ38" i="5"/>
  <c r="F83" i="14" s="1"/>
  <c r="LK38" i="5"/>
  <c r="LL38" i="5"/>
  <c r="F84" i="14" s="1"/>
  <c r="G84" i="14" s="1"/>
  <c r="LM38" i="5"/>
  <c r="E85" i="14" s="1"/>
  <c r="LN38" i="5"/>
  <c r="F85" i="14" s="1"/>
  <c r="LQ38" i="5"/>
  <c r="LR38" i="5"/>
  <c r="LS38" i="5"/>
  <c r="LT38" i="5"/>
  <c r="B95" i="14" s="1"/>
  <c r="LU38" i="5"/>
  <c r="C95" i="14" s="1"/>
  <c r="LV38" i="5"/>
  <c r="D95" i="14" s="1"/>
  <c r="LW38" i="5"/>
  <c r="E95" i="14" s="1"/>
  <c r="LX38" i="5"/>
  <c r="F95" i="14" s="1"/>
  <c r="LY38" i="5"/>
  <c r="G95" i="14" s="1"/>
  <c r="LZ38" i="5"/>
  <c r="H95" i="14" s="1"/>
  <c r="MA38" i="5"/>
  <c r="I95" i="14" s="1"/>
  <c r="MB38" i="5"/>
  <c r="MC38" i="5"/>
  <c r="MD38" i="5"/>
  <c r="ME38" i="5"/>
  <c r="B100" i="14" s="1"/>
  <c r="MF38" i="5"/>
  <c r="C100" i="14" s="1"/>
  <c r="MG38" i="5"/>
  <c r="D100" i="14" s="1"/>
  <c r="MH38" i="5"/>
  <c r="E100" i="14" s="1"/>
  <c r="MI38" i="5"/>
  <c r="F100" i="14" s="1"/>
  <c r="MJ38" i="5"/>
  <c r="G100" i="14" s="1"/>
  <c r="MK38" i="5"/>
  <c r="H100" i="14" s="1"/>
  <c r="ML38" i="5"/>
  <c r="I100" i="14" s="1"/>
  <c r="MM38" i="5"/>
  <c r="J100" i="14" s="1"/>
  <c r="MN38" i="5"/>
  <c r="K100" i="14" s="1"/>
  <c r="MO38" i="5"/>
  <c r="MP38" i="5"/>
  <c r="MQ38" i="5"/>
  <c r="MR38" i="5"/>
  <c r="MS38" i="5"/>
  <c r="MT38" i="5"/>
  <c r="MU38" i="5"/>
  <c r="MV38" i="5"/>
  <c r="MW38" i="5"/>
  <c r="MX38" i="5"/>
  <c r="MY38" i="5"/>
  <c r="MZ38" i="5"/>
  <c r="NA38" i="5"/>
  <c r="NB38" i="5"/>
  <c r="NC38" i="5"/>
  <c r="K79" i="14" s="1"/>
  <c r="K80" i="14"/>
  <c r="C29" i="20"/>
  <c r="D29" i="20"/>
  <c r="E29" i="20"/>
  <c r="F29" i="20"/>
  <c r="G29" i="20"/>
  <c r="H29" i="20"/>
  <c r="N29" i="20"/>
  <c r="O29" i="20"/>
  <c r="P29" i="20"/>
  <c r="Q29" i="20"/>
  <c r="R29" i="20"/>
  <c r="S29" i="20"/>
  <c r="T29" i="20"/>
  <c r="NY38" i="5"/>
  <c r="NZ38" i="5"/>
  <c r="OA38" i="5"/>
  <c r="OB38" i="5"/>
  <c r="OC38" i="5"/>
  <c r="OD38" i="5"/>
  <c r="OE38" i="5"/>
  <c r="OF38" i="5"/>
  <c r="OG38" i="5"/>
  <c r="OH38" i="5"/>
  <c r="OI38" i="5"/>
  <c r="B73" i="14" s="1"/>
  <c r="OJ38" i="5"/>
  <c r="OK38" i="5"/>
  <c r="C73" i="14" s="1"/>
  <c r="OL38" i="5"/>
  <c r="OM38" i="5"/>
  <c r="D73" i="14" s="1"/>
  <c r="ON38" i="5"/>
  <c r="OO38" i="5"/>
  <c r="E73" i="14" s="1"/>
  <c r="OP38" i="5"/>
  <c r="OQ38" i="5"/>
  <c r="OR38" i="5"/>
  <c r="OS38" i="5"/>
  <c r="OT38" i="5"/>
  <c r="F74" i="14" s="1"/>
  <c r="OU38" i="5"/>
  <c r="K16" i="21" s="1"/>
  <c r="OV38" i="5"/>
  <c r="L16" i="21" s="1"/>
  <c r="OZ38" i="5"/>
  <c r="PA38" i="5"/>
  <c r="PB38" i="5"/>
  <c r="C31" i="21" s="1"/>
  <c r="I31" i="21" s="1"/>
  <c r="PC38" i="5"/>
  <c r="PD38" i="5"/>
  <c r="PE38" i="5"/>
  <c r="PF38" i="5"/>
  <c r="M31" i="21" s="1"/>
  <c r="PG38" i="5"/>
  <c r="PH38" i="5"/>
  <c r="Q31" i="21" s="1"/>
  <c r="PI38" i="5"/>
  <c r="PJ38" i="5"/>
  <c r="PK38" i="5"/>
  <c r="PL38" i="5"/>
  <c r="PM38" i="5"/>
  <c r="PN38" i="5"/>
  <c r="PO38" i="5"/>
  <c r="PP38" i="5"/>
  <c r="M16" i="21" s="1"/>
  <c r="PQ38" i="5"/>
  <c r="N16" i="21" s="1"/>
  <c r="PR38" i="5"/>
  <c r="O16" i="21" s="1"/>
  <c r="PS38" i="5"/>
  <c r="P16" i="21" s="1"/>
  <c r="PT38" i="5"/>
  <c r="Q16" i="21" s="1"/>
  <c r="PU38" i="5"/>
  <c r="R16" i="21" s="1"/>
  <c r="QI38" i="5"/>
  <c r="QJ38" i="5"/>
  <c r="QK38" i="5"/>
  <c r="QL38" i="5"/>
  <c r="QB38" i="5"/>
  <c r="W16" i="21" s="1"/>
  <c r="QC38" i="5"/>
  <c r="QD38" i="5"/>
  <c r="QE38" i="5"/>
  <c r="QF38" i="5"/>
  <c r="QG38" i="5"/>
  <c r="QH38" i="5"/>
  <c r="QM38" i="5"/>
  <c r="Y16" i="21" s="1"/>
  <c r="QN38" i="5"/>
  <c r="QO38" i="5"/>
  <c r="QP38" i="5"/>
  <c r="QQ38" i="5"/>
  <c r="QR38" i="5"/>
  <c r="QS38" i="5"/>
  <c r="QT38" i="5"/>
  <c r="RB38" i="5"/>
  <c r="RC38" i="5"/>
  <c r="QU38" i="5"/>
  <c r="QV38" i="5"/>
  <c r="QW38" i="5"/>
  <c r="QX38" i="5"/>
  <c r="QY38" i="5"/>
  <c r="QZ38" i="5"/>
  <c r="RA38" i="5"/>
  <c r="RD38" i="5"/>
  <c r="RE38" i="5"/>
  <c r="PV38" i="5"/>
  <c r="PW38" i="5"/>
  <c r="PX38" i="5"/>
  <c r="PY38" i="5"/>
  <c r="PZ38" i="5"/>
  <c r="QA38" i="5"/>
  <c r="RF38" i="5"/>
  <c r="E16" i="21" s="1"/>
  <c r="RG38" i="5"/>
  <c r="F16" i="21" s="1"/>
  <c r="RH38" i="5"/>
  <c r="G16" i="21" s="1"/>
  <c r="RI38" i="5"/>
  <c r="B16" i="21" s="1"/>
  <c r="RJ38" i="5"/>
  <c r="C16" i="21" s="1"/>
  <c r="RK38" i="5"/>
  <c r="D16" i="21" s="1"/>
  <c r="RL38" i="5"/>
  <c r="H16" i="21" s="1"/>
  <c r="RM38" i="5"/>
  <c r="I16" i="21" s="1"/>
  <c r="RN38" i="5"/>
  <c r="J16" i="21" s="1"/>
  <c r="RU38" i="5"/>
  <c r="RV38" i="5"/>
  <c r="RW38" i="5"/>
  <c r="RX38" i="5"/>
  <c r="RY38" i="5"/>
  <c r="RZ38" i="5"/>
  <c r="SA38" i="5"/>
  <c r="T16" i="21" s="1"/>
  <c r="SB38" i="5"/>
  <c r="SC38" i="5"/>
  <c r="SD38" i="5"/>
  <c r="SE38" i="5"/>
  <c r="SF38" i="5"/>
  <c r="SG38" i="5"/>
  <c r="SH38" i="5"/>
  <c r="SI38" i="5"/>
  <c r="SJ38" i="5"/>
  <c r="SK38" i="5"/>
  <c r="SL38" i="5"/>
  <c r="SM38" i="5"/>
  <c r="SN38" i="5"/>
  <c r="U16" i="21" s="1"/>
  <c r="SO38" i="5"/>
  <c r="SP38" i="5"/>
  <c r="F38" i="5"/>
  <c r="B13" i="15" s="1"/>
  <c r="U31" i="21" l="1"/>
  <c r="E88" i="14"/>
  <c r="F88" i="14"/>
  <c r="J95" i="14"/>
  <c r="K84" i="14"/>
  <c r="K89" i="14"/>
  <c r="K90" i="14"/>
  <c r="V16" i="21"/>
  <c r="X16" i="21"/>
  <c r="G82" i="14"/>
  <c r="G80" i="14"/>
  <c r="G78" i="14"/>
  <c r="S16" i="21"/>
  <c r="V29" i="20"/>
  <c r="K95" i="14"/>
  <c r="O14" i="20"/>
  <c r="E13" i="15"/>
  <c r="U29" i="20"/>
  <c r="K81" i="14"/>
  <c r="P14" i="20"/>
  <c r="G83" i="14"/>
  <c r="L100" i="14"/>
  <c r="G85" i="14"/>
  <c r="G81" i="14"/>
  <c r="M100" i="14"/>
  <c r="G79" i="14"/>
  <c r="BI17" i="12"/>
  <c r="BI16" i="12"/>
  <c r="M45" i="15"/>
  <c r="M13" i="15"/>
  <c r="L45" i="15"/>
  <c r="L13" i="15"/>
  <c r="G26" i="19"/>
  <c r="I27" i="17"/>
  <c r="K29" i="19"/>
  <c r="M26" i="17"/>
  <c r="M67" i="17"/>
  <c r="J28" i="18"/>
  <c r="J71" i="18"/>
  <c r="K27" i="17"/>
  <c r="K68" i="17"/>
  <c r="L26" i="17"/>
  <c r="L67" i="17"/>
  <c r="L25" i="17"/>
  <c r="L66" i="17"/>
  <c r="D25" i="17"/>
  <c r="D28" i="17" s="1"/>
  <c r="D66" i="17"/>
  <c r="D69" i="17" s="1"/>
  <c r="L27" i="17"/>
  <c r="L68" i="17"/>
  <c r="M25" i="17"/>
  <c r="M66" i="17"/>
  <c r="E25" i="17"/>
  <c r="E28" i="17" s="1"/>
  <c r="E66" i="17"/>
  <c r="E69" i="17" s="1"/>
  <c r="N29" i="19"/>
  <c r="L27" i="18"/>
  <c r="L70" i="18"/>
  <c r="J27" i="17"/>
  <c r="J68" i="17"/>
  <c r="K26" i="17"/>
  <c r="K67" i="17"/>
  <c r="K25" i="17"/>
  <c r="K66" i="17"/>
  <c r="K28" i="18"/>
  <c r="K71" i="18"/>
  <c r="K27" i="18"/>
  <c r="K70" i="18"/>
  <c r="Q27" i="17"/>
  <c r="Q28" i="17" s="1"/>
  <c r="Q68" i="17"/>
  <c r="J26" i="17"/>
  <c r="J67" i="17"/>
  <c r="J25" i="17"/>
  <c r="J66" i="17"/>
  <c r="J27" i="18"/>
  <c r="J70" i="18"/>
  <c r="I26" i="17"/>
  <c r="I67" i="17"/>
  <c r="I25" i="17"/>
  <c r="I66" i="17"/>
  <c r="K29" i="18"/>
  <c r="K72" i="18"/>
  <c r="O27" i="17"/>
  <c r="O68" i="17"/>
  <c r="H26" i="17"/>
  <c r="H67" i="17"/>
  <c r="H25" i="17"/>
  <c r="H66" i="17"/>
  <c r="L29" i="18"/>
  <c r="L72" i="18"/>
  <c r="H27" i="17"/>
  <c r="H68" i="17"/>
  <c r="J29" i="18"/>
  <c r="J72" i="18"/>
  <c r="N27" i="17"/>
  <c r="N68" i="17"/>
  <c r="O26" i="17"/>
  <c r="O67" i="17"/>
  <c r="G26" i="17"/>
  <c r="G67" i="17"/>
  <c r="G25" i="17"/>
  <c r="G66" i="17"/>
  <c r="P27" i="17"/>
  <c r="P28" i="17" s="1"/>
  <c r="P68" i="17"/>
  <c r="P69" i="17" s="1"/>
  <c r="H29" i="19"/>
  <c r="L28" i="18"/>
  <c r="L71" i="18"/>
  <c r="M27" i="17"/>
  <c r="M68" i="17"/>
  <c r="N26" i="17"/>
  <c r="N67" i="17"/>
  <c r="F26" i="17"/>
  <c r="F67" i="17"/>
  <c r="F25" i="17"/>
  <c r="F66" i="17"/>
  <c r="M28" i="19"/>
  <c r="Q28" i="19" s="1"/>
  <c r="L29" i="19"/>
  <c r="O29" i="19"/>
  <c r="P28" i="19"/>
  <c r="R28" i="19" s="1"/>
  <c r="M27" i="19"/>
  <c r="Q27" i="19" s="1"/>
  <c r="J27" i="19"/>
  <c r="P27" i="19"/>
  <c r="R27" i="19" s="1"/>
  <c r="M26" i="19"/>
  <c r="Q26" i="19" s="1"/>
  <c r="J26" i="19"/>
  <c r="I29" i="19"/>
  <c r="J28" i="19"/>
  <c r="P26" i="19"/>
  <c r="R26" i="19" s="1"/>
  <c r="DH38" i="5"/>
  <c r="BH38" i="5"/>
  <c r="AU38" i="5"/>
  <c r="AH38" i="5"/>
  <c r="AF38" i="5"/>
  <c r="F45" i="15" s="1"/>
  <c r="F29" i="19"/>
  <c r="G28" i="19"/>
  <c r="G27" i="19"/>
  <c r="E29" i="19"/>
  <c r="O28" i="15"/>
  <c r="P28" i="15"/>
  <c r="DZ38" i="5"/>
  <c r="AT38" i="5"/>
  <c r="G13" i="15"/>
  <c r="H13" i="15" s="1"/>
  <c r="BU38" i="5"/>
  <c r="CY38" i="5"/>
  <c r="FA38" i="5"/>
  <c r="ER38" i="5"/>
  <c r="EI38" i="5"/>
  <c r="DG38" i="5"/>
  <c r="J13" i="15"/>
  <c r="AG38" i="5"/>
  <c r="G45" i="15" s="1"/>
  <c r="I32" i="5"/>
  <c r="N32" i="5"/>
  <c r="Q32" i="5"/>
  <c r="V32" i="5"/>
  <c r="Y32" i="5"/>
  <c r="AA32" i="5"/>
  <c r="AD32" i="5"/>
  <c r="AJ32" i="5"/>
  <c r="AL32" i="5"/>
  <c r="AN32" i="5"/>
  <c r="AO32" i="5"/>
  <c r="AR32" i="5"/>
  <c r="AW32" i="5"/>
  <c r="AZ32" i="5"/>
  <c r="BC32" i="5"/>
  <c r="BE32" i="5"/>
  <c r="BK32" i="5"/>
  <c r="BN32" i="5"/>
  <c r="BP32" i="5"/>
  <c r="CM32" i="5"/>
  <c r="CP32" i="5"/>
  <c r="CU32" i="5"/>
  <c r="DB32" i="5"/>
  <c r="DJ32" i="5"/>
  <c r="DM32" i="5"/>
  <c r="DS32" i="5"/>
  <c r="DU32" i="5"/>
  <c r="EA32" i="5"/>
  <c r="EF32" i="5"/>
  <c r="EL32" i="5"/>
  <c r="ET32" i="5"/>
  <c r="EW32" i="5"/>
  <c r="FE32" i="5"/>
  <c r="FH32" i="5"/>
  <c r="FP32" i="5"/>
  <c r="FS32" i="5"/>
  <c r="FX32" i="5"/>
  <c r="GA32" i="5"/>
  <c r="GK32" i="5"/>
  <c r="GN32" i="5"/>
  <c r="GS32" i="5"/>
  <c r="GV32" i="5"/>
  <c r="HA32" i="5"/>
  <c r="HD32" i="5"/>
  <c r="HI32" i="5"/>
  <c r="HL32" i="5"/>
  <c r="HQ32" i="5"/>
  <c r="HT32" i="5"/>
  <c r="HY32" i="5"/>
  <c r="IB32" i="5"/>
  <c r="IG32" i="5"/>
  <c r="IJ32" i="5"/>
  <c r="IO32" i="5"/>
  <c r="IR32" i="5"/>
  <c r="IW32" i="5"/>
  <c r="IZ32" i="5"/>
  <c r="JE32" i="5"/>
  <c r="JH32" i="5"/>
  <c r="JM32" i="5"/>
  <c r="JP32" i="5"/>
  <c r="JU32" i="5"/>
  <c r="JX32" i="5"/>
  <c r="KC32" i="5"/>
  <c r="KF32" i="5"/>
  <c r="KK32" i="5"/>
  <c r="KN32" i="5"/>
  <c r="KS32" i="5"/>
  <c r="KY32" i="5"/>
  <c r="LD32" i="5"/>
  <c r="LG32" i="5"/>
  <c r="LL32" i="5"/>
  <c r="LT32" i="5"/>
  <c r="G32" i="5"/>
  <c r="H32" i="5"/>
  <c r="J32" i="5"/>
  <c r="K32" i="5"/>
  <c r="L32" i="5"/>
  <c r="M32" i="5"/>
  <c r="O32" i="5"/>
  <c r="P32" i="5"/>
  <c r="R32" i="5"/>
  <c r="S32" i="5"/>
  <c r="T32" i="5"/>
  <c r="U32" i="5"/>
  <c r="W32" i="5"/>
  <c r="X32" i="5"/>
  <c r="Z32" i="5"/>
  <c r="AB32" i="5"/>
  <c r="AC32" i="5"/>
  <c r="AE32" i="5"/>
  <c r="AI32" i="5"/>
  <c r="AK32" i="5"/>
  <c r="AM32" i="5"/>
  <c r="AP32" i="5"/>
  <c r="AQ32" i="5"/>
  <c r="AV32" i="5"/>
  <c r="AX32" i="5"/>
  <c r="AY32" i="5"/>
  <c r="BA32" i="5"/>
  <c r="BB32" i="5"/>
  <c r="BD32" i="5"/>
  <c r="BI32" i="5"/>
  <c r="BJ32" i="5"/>
  <c r="BL32" i="5"/>
  <c r="BM32" i="5"/>
  <c r="BO32" i="5"/>
  <c r="BQ32" i="5"/>
  <c r="BR32" i="5"/>
  <c r="CN32" i="5"/>
  <c r="CO32" i="5"/>
  <c r="CQ32" i="5"/>
  <c r="CR32" i="5"/>
  <c r="CS32" i="5"/>
  <c r="CT32" i="5"/>
  <c r="CZ32" i="5"/>
  <c r="DA32" i="5"/>
  <c r="DC32" i="5"/>
  <c r="DD32" i="5"/>
  <c r="DE32" i="5"/>
  <c r="DI32" i="5"/>
  <c r="DK32" i="5"/>
  <c r="DL32" i="5"/>
  <c r="DN32" i="5"/>
  <c r="DR32" i="5"/>
  <c r="DT32" i="5"/>
  <c r="DV32" i="5"/>
  <c r="DW32" i="5"/>
  <c r="EB32" i="5"/>
  <c r="EC32" i="5"/>
  <c r="ED32" i="5"/>
  <c r="EE32" i="5"/>
  <c r="EJ32" i="5"/>
  <c r="EK32" i="5"/>
  <c r="EM32" i="5"/>
  <c r="EN32" i="5"/>
  <c r="EO32" i="5"/>
  <c r="ES32" i="5"/>
  <c r="EU32" i="5"/>
  <c r="EV32" i="5"/>
  <c r="EX32" i="5"/>
  <c r="FB32" i="5"/>
  <c r="FC32" i="5"/>
  <c r="FD32" i="5"/>
  <c r="FF32" i="5"/>
  <c r="FG32" i="5"/>
  <c r="FI32" i="5"/>
  <c r="FJ32" i="5"/>
  <c r="FK32" i="5"/>
  <c r="FO32" i="5"/>
  <c r="FQ32" i="5"/>
  <c r="FR32" i="5"/>
  <c r="FT32" i="5"/>
  <c r="FU32" i="5"/>
  <c r="FV32" i="5"/>
  <c r="FW32" i="5"/>
  <c r="FY32" i="5"/>
  <c r="FZ32" i="5"/>
  <c r="GB32" i="5"/>
  <c r="GE32" i="5"/>
  <c r="GF32" i="5"/>
  <c r="GJ32" i="5"/>
  <c r="GL32" i="5"/>
  <c r="GM32" i="5"/>
  <c r="GO32" i="5"/>
  <c r="GP32" i="5"/>
  <c r="GQ32" i="5"/>
  <c r="GR32" i="5"/>
  <c r="GT32" i="5"/>
  <c r="GU32" i="5"/>
  <c r="GW32" i="5"/>
  <c r="GX32" i="5"/>
  <c r="GY32" i="5"/>
  <c r="GZ32" i="5"/>
  <c r="HB32" i="5"/>
  <c r="HC32" i="5"/>
  <c r="HE32" i="5"/>
  <c r="HF32" i="5"/>
  <c r="HG32" i="5"/>
  <c r="HH32" i="5"/>
  <c r="HJ32" i="5"/>
  <c r="HK32" i="5"/>
  <c r="HM32" i="5"/>
  <c r="HN32" i="5"/>
  <c r="HO32" i="5"/>
  <c r="HP32" i="5"/>
  <c r="HR32" i="5"/>
  <c r="HS32" i="5"/>
  <c r="HU32" i="5"/>
  <c r="HV32" i="5"/>
  <c r="HW32" i="5"/>
  <c r="HX32" i="5"/>
  <c r="HZ32" i="5"/>
  <c r="IA32" i="5"/>
  <c r="IC32" i="5"/>
  <c r="ID32" i="5"/>
  <c r="IE32" i="5"/>
  <c r="IF32" i="5"/>
  <c r="IH32" i="5"/>
  <c r="II32" i="5"/>
  <c r="IK32" i="5"/>
  <c r="IL32" i="5"/>
  <c r="IM32" i="5"/>
  <c r="IN32" i="5"/>
  <c r="IP32" i="5"/>
  <c r="IQ32" i="5"/>
  <c r="IS32" i="5"/>
  <c r="IT32" i="5"/>
  <c r="IU32" i="5"/>
  <c r="IV32" i="5"/>
  <c r="IX32" i="5"/>
  <c r="IY32" i="5"/>
  <c r="JA32" i="5"/>
  <c r="JB32" i="5"/>
  <c r="JC32" i="5"/>
  <c r="JD32" i="5"/>
  <c r="JF32" i="5"/>
  <c r="JG32" i="5"/>
  <c r="JI32" i="5"/>
  <c r="JJ32" i="5"/>
  <c r="JK32" i="5"/>
  <c r="JL32" i="5"/>
  <c r="JN32" i="5"/>
  <c r="JO32" i="5"/>
  <c r="JQ32" i="5"/>
  <c r="JR32" i="5"/>
  <c r="JS32" i="5"/>
  <c r="JT32" i="5"/>
  <c r="JV32" i="5"/>
  <c r="JW32" i="5"/>
  <c r="JY32" i="5"/>
  <c r="JZ32" i="5"/>
  <c r="KA32" i="5"/>
  <c r="KB32" i="5"/>
  <c r="KD32" i="5"/>
  <c r="KE32" i="5"/>
  <c r="KG32" i="5"/>
  <c r="KH32" i="5"/>
  <c r="KI32" i="5"/>
  <c r="KJ32" i="5"/>
  <c r="KL32" i="5"/>
  <c r="KM32" i="5"/>
  <c r="KO32" i="5"/>
  <c r="KP32" i="5"/>
  <c r="KQ32" i="5"/>
  <c r="KR32" i="5"/>
  <c r="KT32" i="5"/>
  <c r="KU32" i="5"/>
  <c r="KZ32" i="5"/>
  <c r="LA32" i="5"/>
  <c r="LB32" i="5"/>
  <c r="LC32" i="5"/>
  <c r="LE32" i="5"/>
  <c r="LF32" i="5"/>
  <c r="LH32" i="5"/>
  <c r="LI32" i="5"/>
  <c r="LJ32" i="5"/>
  <c r="LK32" i="5"/>
  <c r="LM32" i="5"/>
  <c r="LN32" i="5"/>
  <c r="LU32" i="5"/>
  <c r="LV32" i="5"/>
  <c r="LW32" i="5"/>
  <c r="G22" i="5"/>
  <c r="G23" i="5" s="1"/>
  <c r="H22" i="5"/>
  <c r="H23" i="5" s="1"/>
  <c r="I22" i="5"/>
  <c r="I23" i="5" s="1"/>
  <c r="J22" i="5"/>
  <c r="J23" i="5" s="1"/>
  <c r="K22" i="5"/>
  <c r="K23" i="5" s="1"/>
  <c r="L22" i="5"/>
  <c r="L23" i="5" s="1"/>
  <c r="M22" i="5"/>
  <c r="M23" i="5" s="1"/>
  <c r="N22" i="5"/>
  <c r="N23" i="5" s="1"/>
  <c r="O22" i="5"/>
  <c r="O23" i="5" s="1"/>
  <c r="P22" i="5"/>
  <c r="P23" i="5" s="1"/>
  <c r="Q22" i="5"/>
  <c r="Q23" i="5" s="1"/>
  <c r="R22" i="5"/>
  <c r="R23" i="5" s="1"/>
  <c r="S22" i="5"/>
  <c r="S23" i="5" s="1"/>
  <c r="T22" i="5"/>
  <c r="T23" i="5" s="1"/>
  <c r="U22" i="5"/>
  <c r="U23" i="5" s="1"/>
  <c r="V22" i="5"/>
  <c r="V23" i="5" s="1"/>
  <c r="W22" i="5"/>
  <c r="W23" i="5" s="1"/>
  <c r="X22" i="5"/>
  <c r="X23" i="5" s="1"/>
  <c r="Y22" i="5"/>
  <c r="Y23" i="5" s="1"/>
  <c r="Z22" i="5"/>
  <c r="Z23" i="5" s="1"/>
  <c r="AA22" i="5"/>
  <c r="AA23" i="5" s="1"/>
  <c r="AB22" i="5"/>
  <c r="AB23" i="5" s="1"/>
  <c r="AC22" i="5"/>
  <c r="AC23" i="5" s="1"/>
  <c r="AD22" i="5"/>
  <c r="AD23" i="5" s="1"/>
  <c r="AE22" i="5"/>
  <c r="AE23" i="5" s="1"/>
  <c r="AI22" i="5"/>
  <c r="AI23" i="5" s="1"/>
  <c r="AJ22" i="5"/>
  <c r="AJ23" i="5" s="1"/>
  <c r="AK22" i="5"/>
  <c r="AK23" i="5" s="1"/>
  <c r="AL22" i="5"/>
  <c r="AL23" i="5" s="1"/>
  <c r="AM22" i="5"/>
  <c r="AM23" i="5" s="1"/>
  <c r="AN22" i="5"/>
  <c r="AN23" i="5" s="1"/>
  <c r="AO22" i="5"/>
  <c r="AO23" i="5" s="1"/>
  <c r="AP22" i="5"/>
  <c r="AP23" i="5" s="1"/>
  <c r="AQ22" i="5"/>
  <c r="AQ23" i="5" s="1"/>
  <c r="AR22" i="5"/>
  <c r="AR23" i="5" s="1"/>
  <c r="AV22" i="5"/>
  <c r="AV23" i="5" s="1"/>
  <c r="AW22" i="5"/>
  <c r="AW23" i="5" s="1"/>
  <c r="AX22" i="5"/>
  <c r="AX23" i="5" s="1"/>
  <c r="AY22" i="5"/>
  <c r="AY23" i="5" s="1"/>
  <c r="AZ22" i="5"/>
  <c r="AZ23" i="5" s="1"/>
  <c r="BA22" i="5"/>
  <c r="BA23" i="5" s="1"/>
  <c r="BB22" i="5"/>
  <c r="BB23" i="5" s="1"/>
  <c r="BC22" i="5"/>
  <c r="BC23" i="5" s="1"/>
  <c r="BD22" i="5"/>
  <c r="BD23" i="5" s="1"/>
  <c r="BE22" i="5"/>
  <c r="BE23" i="5" s="1"/>
  <c r="BI22" i="5"/>
  <c r="BI23" i="5" s="1"/>
  <c r="BJ22" i="5"/>
  <c r="BJ23" i="5" s="1"/>
  <c r="BK22" i="5"/>
  <c r="BK23" i="5" s="1"/>
  <c r="BL22" i="5"/>
  <c r="BL23" i="5" s="1"/>
  <c r="BM22" i="5"/>
  <c r="BM23" i="5" s="1"/>
  <c r="BN22" i="5"/>
  <c r="BN23" i="5" s="1"/>
  <c r="BO22" i="5"/>
  <c r="BO23" i="5" s="1"/>
  <c r="BP22" i="5"/>
  <c r="BP23" i="5" s="1"/>
  <c r="BQ22" i="5"/>
  <c r="BQ23" i="5" s="1"/>
  <c r="BR22" i="5"/>
  <c r="BR23" i="5" s="1"/>
  <c r="CN22" i="5"/>
  <c r="CN23" i="5" s="1"/>
  <c r="CO22" i="5"/>
  <c r="CO23" i="5" s="1"/>
  <c r="CP22" i="5"/>
  <c r="CP23" i="5" s="1"/>
  <c r="CQ22" i="5"/>
  <c r="CQ23" i="5" s="1"/>
  <c r="CR22" i="5"/>
  <c r="CR23" i="5" s="1"/>
  <c r="CS22" i="5"/>
  <c r="CS23" i="5" s="1"/>
  <c r="CT22" i="5"/>
  <c r="CT23" i="5" s="1"/>
  <c r="CU22" i="5"/>
  <c r="CU23" i="5" s="1"/>
  <c r="CZ22" i="5"/>
  <c r="CZ23" i="5" s="1"/>
  <c r="DA22" i="5"/>
  <c r="DA23" i="5" s="1"/>
  <c r="DB22" i="5"/>
  <c r="DB23" i="5" s="1"/>
  <c r="DC22" i="5"/>
  <c r="DC23" i="5" s="1"/>
  <c r="DD22" i="5"/>
  <c r="DD23" i="5" s="1"/>
  <c r="DE22" i="5"/>
  <c r="DE23" i="5" s="1"/>
  <c r="DI22" i="5"/>
  <c r="DI23" i="5" s="1"/>
  <c r="DJ22" i="5"/>
  <c r="DJ23" i="5" s="1"/>
  <c r="DK22" i="5"/>
  <c r="DK23" i="5" s="1"/>
  <c r="DL22" i="5"/>
  <c r="DL23" i="5" s="1"/>
  <c r="DM22" i="5"/>
  <c r="DM23" i="5" s="1"/>
  <c r="DN22" i="5"/>
  <c r="DN23" i="5" s="1"/>
  <c r="DR22" i="5"/>
  <c r="DR23" i="5" s="1"/>
  <c r="DS22" i="5"/>
  <c r="DS23" i="5" s="1"/>
  <c r="DT22" i="5"/>
  <c r="DT23" i="5" s="1"/>
  <c r="DU22" i="5"/>
  <c r="DU23" i="5" s="1"/>
  <c r="DV22" i="5"/>
  <c r="DV23" i="5" s="1"/>
  <c r="DW22" i="5"/>
  <c r="DW23" i="5" s="1"/>
  <c r="EA22" i="5"/>
  <c r="EA23" i="5" s="1"/>
  <c r="EB22" i="5"/>
  <c r="EB23" i="5" s="1"/>
  <c r="EC22" i="5"/>
  <c r="EC23" i="5" s="1"/>
  <c r="ED22" i="5"/>
  <c r="ED23" i="5" s="1"/>
  <c r="EE22" i="5"/>
  <c r="EE23" i="5" s="1"/>
  <c r="EF22" i="5"/>
  <c r="EF23" i="5" s="1"/>
  <c r="EJ22" i="5"/>
  <c r="EJ23" i="5" s="1"/>
  <c r="EK22" i="5"/>
  <c r="EK23" i="5" s="1"/>
  <c r="EL22" i="5"/>
  <c r="EL23" i="5" s="1"/>
  <c r="EM22" i="5"/>
  <c r="EM23" i="5" s="1"/>
  <c r="EN22" i="5"/>
  <c r="EN23" i="5" s="1"/>
  <c r="EO22" i="5"/>
  <c r="EO23" i="5" s="1"/>
  <c r="FB22" i="5"/>
  <c r="FB23" i="5" s="1"/>
  <c r="FC22" i="5"/>
  <c r="FC23" i="5" s="1"/>
  <c r="FD22" i="5"/>
  <c r="FD23" i="5" s="1"/>
  <c r="FE22" i="5"/>
  <c r="FE23" i="5" s="1"/>
  <c r="FF22" i="5"/>
  <c r="FF23" i="5" s="1"/>
  <c r="FG22" i="5"/>
  <c r="FG23" i="5" s="1"/>
  <c r="FH22" i="5"/>
  <c r="FH23" i="5" s="1"/>
  <c r="FI22" i="5"/>
  <c r="FI23" i="5" s="1"/>
  <c r="FJ22" i="5"/>
  <c r="FJ23" i="5" s="1"/>
  <c r="FK22" i="5"/>
  <c r="FK23" i="5" s="1"/>
  <c r="FO22" i="5"/>
  <c r="FO23" i="5" s="1"/>
  <c r="FP22" i="5"/>
  <c r="FP23" i="5" s="1"/>
  <c r="FQ22" i="5"/>
  <c r="FQ23" i="5" s="1"/>
  <c r="FR22" i="5"/>
  <c r="FR23" i="5" s="1"/>
  <c r="FS22" i="5"/>
  <c r="FS23" i="5" s="1"/>
  <c r="FT22" i="5"/>
  <c r="FT23" i="5" s="1"/>
  <c r="FU22" i="5"/>
  <c r="FU23" i="5" s="1"/>
  <c r="FV22" i="5"/>
  <c r="FV23" i="5" s="1"/>
  <c r="FW22" i="5"/>
  <c r="FW23" i="5" s="1"/>
  <c r="FX22" i="5"/>
  <c r="FX23" i="5" s="1"/>
  <c r="FY22" i="5"/>
  <c r="FY23" i="5" s="1"/>
  <c r="FZ22" i="5"/>
  <c r="FZ23" i="5" s="1"/>
  <c r="GA22" i="5"/>
  <c r="GA23" i="5" s="1"/>
  <c r="GB22" i="5"/>
  <c r="GB23" i="5" s="1"/>
  <c r="GE22" i="5"/>
  <c r="GE23" i="5" s="1"/>
  <c r="GF22" i="5"/>
  <c r="GF23" i="5" s="1"/>
  <c r="GJ22" i="5"/>
  <c r="GJ23" i="5" s="1"/>
  <c r="GK22" i="5"/>
  <c r="GK23" i="5" s="1"/>
  <c r="GL22" i="5"/>
  <c r="GL23" i="5" s="1"/>
  <c r="GM22" i="5"/>
  <c r="GM23" i="5" s="1"/>
  <c r="GN22" i="5"/>
  <c r="GN23" i="5" s="1"/>
  <c r="GO22" i="5"/>
  <c r="GO23" i="5" s="1"/>
  <c r="GP22" i="5"/>
  <c r="GP23" i="5" s="1"/>
  <c r="GQ22" i="5"/>
  <c r="GQ23" i="5" s="1"/>
  <c r="GR22" i="5"/>
  <c r="GR23" i="5" s="1"/>
  <c r="GS22" i="5"/>
  <c r="GS23" i="5" s="1"/>
  <c r="GT22" i="5"/>
  <c r="GT23" i="5" s="1"/>
  <c r="GU22" i="5"/>
  <c r="GU23" i="5" s="1"/>
  <c r="GV22" i="5"/>
  <c r="GV23" i="5" s="1"/>
  <c r="GW22" i="5"/>
  <c r="GW23" i="5" s="1"/>
  <c r="GX22" i="5"/>
  <c r="GX23" i="5" s="1"/>
  <c r="GY22" i="5"/>
  <c r="GY23" i="5" s="1"/>
  <c r="GZ22" i="5"/>
  <c r="GZ23" i="5" s="1"/>
  <c r="HA22" i="5"/>
  <c r="HA23" i="5" s="1"/>
  <c r="HB22" i="5"/>
  <c r="HB23" i="5" s="1"/>
  <c r="HC22" i="5"/>
  <c r="HC23" i="5" s="1"/>
  <c r="HD22" i="5"/>
  <c r="HD23" i="5" s="1"/>
  <c r="HE22" i="5"/>
  <c r="HE23" i="5" s="1"/>
  <c r="HF22" i="5"/>
  <c r="HF23" i="5" s="1"/>
  <c r="HG22" i="5"/>
  <c r="HG23" i="5" s="1"/>
  <c r="HH22" i="5"/>
  <c r="HH23" i="5" s="1"/>
  <c r="HI22" i="5"/>
  <c r="HI23" i="5" s="1"/>
  <c r="HJ22" i="5"/>
  <c r="HJ23" i="5" s="1"/>
  <c r="HK22" i="5"/>
  <c r="HK23" i="5" s="1"/>
  <c r="HL22" i="5"/>
  <c r="HL23" i="5" s="1"/>
  <c r="HM22" i="5"/>
  <c r="HM23" i="5" s="1"/>
  <c r="HN22" i="5"/>
  <c r="HN23" i="5" s="1"/>
  <c r="HO22" i="5"/>
  <c r="HO23" i="5" s="1"/>
  <c r="HP22" i="5"/>
  <c r="HP23" i="5" s="1"/>
  <c r="HQ22" i="5"/>
  <c r="HQ23" i="5" s="1"/>
  <c r="HR22" i="5"/>
  <c r="HR23" i="5" s="1"/>
  <c r="HS22" i="5"/>
  <c r="HS23" i="5" s="1"/>
  <c r="HT22" i="5"/>
  <c r="HT23" i="5" s="1"/>
  <c r="HU22" i="5"/>
  <c r="HU23" i="5" s="1"/>
  <c r="HV22" i="5"/>
  <c r="HV23" i="5" s="1"/>
  <c r="HW22" i="5"/>
  <c r="HW23" i="5" s="1"/>
  <c r="HX22" i="5"/>
  <c r="HX23" i="5" s="1"/>
  <c r="HY22" i="5"/>
  <c r="HY23" i="5" s="1"/>
  <c r="HZ22" i="5"/>
  <c r="HZ23" i="5" s="1"/>
  <c r="IA22" i="5"/>
  <c r="IA23" i="5" s="1"/>
  <c r="IB22" i="5"/>
  <c r="IB23" i="5" s="1"/>
  <c r="IC22" i="5"/>
  <c r="IC23" i="5" s="1"/>
  <c r="ID22" i="5"/>
  <c r="ID23" i="5" s="1"/>
  <c r="IE22" i="5"/>
  <c r="IE23" i="5" s="1"/>
  <c r="IF22" i="5"/>
  <c r="IF23" i="5" s="1"/>
  <c r="IG22" i="5"/>
  <c r="IG23" i="5" s="1"/>
  <c r="IH22" i="5"/>
  <c r="IH23" i="5" s="1"/>
  <c r="II22" i="5"/>
  <c r="II23" i="5" s="1"/>
  <c r="IJ22" i="5"/>
  <c r="IJ23" i="5" s="1"/>
  <c r="IK22" i="5"/>
  <c r="IK23" i="5" s="1"/>
  <c r="IL22" i="5"/>
  <c r="IL23" i="5" s="1"/>
  <c r="IM22" i="5"/>
  <c r="IM23" i="5" s="1"/>
  <c r="IN22" i="5"/>
  <c r="IN23" i="5" s="1"/>
  <c r="IO22" i="5"/>
  <c r="IO23" i="5" s="1"/>
  <c r="IP22" i="5"/>
  <c r="IP23" i="5" s="1"/>
  <c r="IQ22" i="5"/>
  <c r="IQ23" i="5" s="1"/>
  <c r="IR22" i="5"/>
  <c r="IR23" i="5" s="1"/>
  <c r="IS22" i="5"/>
  <c r="IS23" i="5" s="1"/>
  <c r="IT22" i="5"/>
  <c r="IT23" i="5" s="1"/>
  <c r="IU22" i="5"/>
  <c r="IU23" i="5" s="1"/>
  <c r="IV22" i="5"/>
  <c r="IV23" i="5" s="1"/>
  <c r="IW22" i="5"/>
  <c r="IW23" i="5" s="1"/>
  <c r="IX22" i="5"/>
  <c r="IX23" i="5" s="1"/>
  <c r="IY22" i="5"/>
  <c r="IY23" i="5" s="1"/>
  <c r="IZ22" i="5"/>
  <c r="IZ23" i="5" s="1"/>
  <c r="JA22" i="5"/>
  <c r="JA23" i="5" s="1"/>
  <c r="JB22" i="5"/>
  <c r="JB23" i="5" s="1"/>
  <c r="JC22" i="5"/>
  <c r="JC23" i="5" s="1"/>
  <c r="JD22" i="5"/>
  <c r="JD23" i="5" s="1"/>
  <c r="JE22" i="5"/>
  <c r="JE23" i="5" s="1"/>
  <c r="JF22" i="5"/>
  <c r="JF23" i="5" s="1"/>
  <c r="JG22" i="5"/>
  <c r="JG23" i="5" s="1"/>
  <c r="JH22" i="5"/>
  <c r="JH23" i="5" s="1"/>
  <c r="JI22" i="5"/>
  <c r="JI23" i="5" s="1"/>
  <c r="JJ22" i="5"/>
  <c r="JJ23" i="5" s="1"/>
  <c r="JK22" i="5"/>
  <c r="JK23" i="5" s="1"/>
  <c r="JL22" i="5"/>
  <c r="JL23" i="5" s="1"/>
  <c r="JM22" i="5"/>
  <c r="JM23" i="5" s="1"/>
  <c r="JN22" i="5"/>
  <c r="JN23" i="5" s="1"/>
  <c r="JO22" i="5"/>
  <c r="JO23" i="5" s="1"/>
  <c r="JP22" i="5"/>
  <c r="JP23" i="5" s="1"/>
  <c r="JQ22" i="5"/>
  <c r="JQ23" i="5" s="1"/>
  <c r="JR22" i="5"/>
  <c r="JR23" i="5" s="1"/>
  <c r="JS22" i="5"/>
  <c r="JS23" i="5" s="1"/>
  <c r="JT22" i="5"/>
  <c r="JT23" i="5" s="1"/>
  <c r="JU22" i="5"/>
  <c r="JU23" i="5" s="1"/>
  <c r="JV22" i="5"/>
  <c r="JV23" i="5" s="1"/>
  <c r="JW22" i="5"/>
  <c r="JW23" i="5" s="1"/>
  <c r="JX22" i="5"/>
  <c r="JX23" i="5" s="1"/>
  <c r="JY22" i="5"/>
  <c r="JY23" i="5" s="1"/>
  <c r="JZ22" i="5"/>
  <c r="JZ23" i="5" s="1"/>
  <c r="KA22" i="5"/>
  <c r="KA23" i="5" s="1"/>
  <c r="KB22" i="5"/>
  <c r="KB23" i="5" s="1"/>
  <c r="KC22" i="5"/>
  <c r="KC23" i="5" s="1"/>
  <c r="KD22" i="5"/>
  <c r="KD23" i="5" s="1"/>
  <c r="KE22" i="5"/>
  <c r="KE23" i="5" s="1"/>
  <c r="KF22" i="5"/>
  <c r="KF23" i="5" s="1"/>
  <c r="KG22" i="5"/>
  <c r="KG23" i="5" s="1"/>
  <c r="KH22" i="5"/>
  <c r="KH23" i="5" s="1"/>
  <c r="KI22" i="5"/>
  <c r="KI23" i="5" s="1"/>
  <c r="KJ22" i="5"/>
  <c r="KJ23" i="5" s="1"/>
  <c r="KK22" i="5"/>
  <c r="KK23" i="5" s="1"/>
  <c r="KL22" i="5"/>
  <c r="KL23" i="5" s="1"/>
  <c r="KM22" i="5"/>
  <c r="KM23" i="5" s="1"/>
  <c r="KN22" i="5"/>
  <c r="KN23" i="5" s="1"/>
  <c r="KO22" i="5"/>
  <c r="KO23" i="5" s="1"/>
  <c r="KP22" i="5"/>
  <c r="KP23" i="5" s="1"/>
  <c r="KQ22" i="5"/>
  <c r="KQ23" i="5" s="1"/>
  <c r="KR22" i="5"/>
  <c r="KR23" i="5" s="1"/>
  <c r="KS22" i="5"/>
  <c r="KS23" i="5" s="1"/>
  <c r="KT22" i="5"/>
  <c r="KT23" i="5" s="1"/>
  <c r="KU22" i="5"/>
  <c r="KU23" i="5" s="1"/>
  <c r="KY22" i="5"/>
  <c r="KY23" i="5" s="1"/>
  <c r="KZ22" i="5"/>
  <c r="KZ23" i="5" s="1"/>
  <c r="LA22" i="5"/>
  <c r="LA23" i="5" s="1"/>
  <c r="LB22" i="5"/>
  <c r="LB23" i="5" s="1"/>
  <c r="LC22" i="5"/>
  <c r="LC23" i="5" s="1"/>
  <c r="LD22" i="5"/>
  <c r="LD23" i="5" s="1"/>
  <c r="LE22" i="5"/>
  <c r="LE23" i="5" s="1"/>
  <c r="LF22" i="5"/>
  <c r="LF23" i="5" s="1"/>
  <c r="LG22" i="5"/>
  <c r="LG23" i="5" s="1"/>
  <c r="LH22" i="5"/>
  <c r="LH23" i="5" s="1"/>
  <c r="LI22" i="5"/>
  <c r="LI23" i="5" s="1"/>
  <c r="LJ22" i="5"/>
  <c r="LJ23" i="5" s="1"/>
  <c r="LK22" i="5"/>
  <c r="LK23" i="5" s="1"/>
  <c r="LL22" i="5"/>
  <c r="LL23" i="5" s="1"/>
  <c r="LM22" i="5"/>
  <c r="LM23" i="5" s="1"/>
  <c r="LN22" i="5"/>
  <c r="LN23" i="5" s="1"/>
  <c r="LT22" i="5"/>
  <c r="LT23" i="5" s="1"/>
  <c r="LU22" i="5"/>
  <c r="LU23" i="5" s="1"/>
  <c r="LV22" i="5"/>
  <c r="LV23" i="5" s="1"/>
  <c r="LW22" i="5"/>
  <c r="LW23" i="5" s="1"/>
  <c r="LX22" i="5"/>
  <c r="LX23" i="5" s="1"/>
  <c r="LY22" i="5"/>
  <c r="LY23" i="5" s="1"/>
  <c r="LZ22" i="5"/>
  <c r="LZ23" i="5" s="1"/>
  <c r="MA22" i="5"/>
  <c r="MA23" i="5" s="1"/>
  <c r="ME22" i="5"/>
  <c r="ME23" i="5" s="1"/>
  <c r="MF22" i="5"/>
  <c r="MF23" i="5" s="1"/>
  <c r="MG22" i="5"/>
  <c r="MG23" i="5" s="1"/>
  <c r="MH22" i="5"/>
  <c r="MH23" i="5" s="1"/>
  <c r="MI22" i="5"/>
  <c r="MI23" i="5" s="1"/>
  <c r="MJ22" i="5"/>
  <c r="MJ23" i="5" s="1"/>
  <c r="MK22" i="5"/>
  <c r="MK23" i="5" s="1"/>
  <c r="ML22" i="5"/>
  <c r="ML23" i="5" s="1"/>
  <c r="MM22" i="5"/>
  <c r="MM23" i="5" s="1"/>
  <c r="MN22" i="5"/>
  <c r="MN23" i="5" s="1"/>
  <c r="MR22" i="5"/>
  <c r="MR23" i="5" s="1"/>
  <c r="MS22" i="5"/>
  <c r="MS23" i="5" s="1"/>
  <c r="MT22" i="5"/>
  <c r="MT23" i="5" s="1"/>
  <c r="MU22" i="5"/>
  <c r="MU23" i="5" s="1"/>
  <c r="MV22" i="5"/>
  <c r="MV23" i="5" s="1"/>
  <c r="MW22" i="5"/>
  <c r="MW23" i="5" s="1"/>
  <c r="MX22" i="5"/>
  <c r="MX23" i="5" s="1"/>
  <c r="MY22" i="5"/>
  <c r="MY23" i="5" s="1"/>
  <c r="NC22" i="5"/>
  <c r="NC23" i="5" s="1"/>
  <c r="ND22" i="5"/>
  <c r="ND23" i="5" s="1"/>
  <c r="NE22" i="5"/>
  <c r="NE23" i="5" s="1"/>
  <c r="NF22" i="5"/>
  <c r="NF23" i="5" s="1"/>
  <c r="NG22" i="5"/>
  <c r="NG23" i="5" s="1"/>
  <c r="NH22" i="5"/>
  <c r="NH23" i="5" s="1"/>
  <c r="NI22" i="5"/>
  <c r="NI23" i="5" s="1"/>
  <c r="NJ22" i="5"/>
  <c r="NJ23" i="5" s="1"/>
  <c r="NK22" i="5"/>
  <c r="NK23" i="5" s="1"/>
  <c r="NL22" i="5"/>
  <c r="NL23" i="5" s="1"/>
  <c r="NM22" i="5"/>
  <c r="NM23" i="5" s="1"/>
  <c r="NN22" i="5"/>
  <c r="NN23" i="5" s="1"/>
  <c r="NO22" i="5"/>
  <c r="NO23" i="5" s="1"/>
  <c r="NP22" i="5"/>
  <c r="NP23" i="5" s="1"/>
  <c r="NQ22" i="5"/>
  <c r="NQ23" i="5" s="1"/>
  <c r="NR22" i="5"/>
  <c r="NR23" i="5" s="1"/>
  <c r="NS22" i="5"/>
  <c r="NS23" i="5" s="1"/>
  <c r="NT22" i="5"/>
  <c r="NT23" i="5" s="1"/>
  <c r="NU22" i="5"/>
  <c r="NU23" i="5" s="1"/>
  <c r="NV22" i="5"/>
  <c r="NV23" i="5" s="1"/>
  <c r="NZ22" i="5"/>
  <c r="NZ23" i="5" s="1"/>
  <c r="OA22" i="5"/>
  <c r="OA23" i="5" s="1"/>
  <c r="OB22" i="5"/>
  <c r="OB23" i="5" s="1"/>
  <c r="OC22" i="5"/>
  <c r="OC23" i="5" s="1"/>
  <c r="OD23" i="5"/>
  <c r="OE22" i="5"/>
  <c r="OE23" i="5" s="1"/>
  <c r="OI22" i="5"/>
  <c r="OI23" i="5" s="1"/>
  <c r="OJ22" i="5"/>
  <c r="OJ23" i="5" s="1"/>
  <c r="OK22" i="5"/>
  <c r="OK23" i="5" s="1"/>
  <c r="OL22" i="5"/>
  <c r="OL23" i="5" s="1"/>
  <c r="OM22" i="5"/>
  <c r="OM23" i="5" s="1"/>
  <c r="ON22" i="5"/>
  <c r="ON23" i="5" s="1"/>
  <c r="OO22" i="5"/>
  <c r="OO23" i="5" s="1"/>
  <c r="OP22" i="5"/>
  <c r="OP23" i="5" s="1"/>
  <c r="OQ22" i="5"/>
  <c r="OQ23" i="5" s="1"/>
  <c r="OR22" i="5"/>
  <c r="OR23" i="5" s="1"/>
  <c r="OS22" i="5"/>
  <c r="OS23" i="5" s="1"/>
  <c r="OT22" i="5"/>
  <c r="OT23" i="5" s="1"/>
  <c r="OU22" i="5"/>
  <c r="OU23" i="5" s="1"/>
  <c r="K14" i="21" s="1"/>
  <c r="OV22" i="5"/>
  <c r="OV23" i="5" s="1"/>
  <c r="L14" i="21" s="1"/>
  <c r="OZ22" i="5"/>
  <c r="OZ23" i="5" s="1"/>
  <c r="PA22" i="5"/>
  <c r="PA23" i="5" s="1"/>
  <c r="PB22" i="5"/>
  <c r="PB23" i="5" s="1"/>
  <c r="C29" i="21" s="1"/>
  <c r="PC22" i="5"/>
  <c r="PC23" i="5" s="1"/>
  <c r="E29" i="21" s="1"/>
  <c r="PD22" i="5"/>
  <c r="PD23" i="5" s="1"/>
  <c r="G29" i="21" s="1"/>
  <c r="PE22" i="5"/>
  <c r="PE23" i="5" s="1"/>
  <c r="K29" i="21" s="1"/>
  <c r="PF22" i="5"/>
  <c r="PF23" i="5" s="1"/>
  <c r="M29" i="21" s="1"/>
  <c r="PG22" i="5"/>
  <c r="PG23" i="5" s="1"/>
  <c r="O29" i="21" s="1"/>
  <c r="PH22" i="5"/>
  <c r="PH23" i="5" s="1"/>
  <c r="Q29" i="21" s="1"/>
  <c r="PI22" i="5"/>
  <c r="PI23" i="5" s="1"/>
  <c r="S29" i="21" s="1"/>
  <c r="PJ22" i="5"/>
  <c r="PJ23" i="5" s="1"/>
  <c r="PK22" i="5"/>
  <c r="PK23" i="5" s="1"/>
  <c r="PL22" i="5"/>
  <c r="PL23" i="5" s="1"/>
  <c r="PM22" i="5"/>
  <c r="PM23" i="5" s="1"/>
  <c r="PN22" i="5"/>
  <c r="PN23" i="5" s="1"/>
  <c r="PP22" i="5"/>
  <c r="PP23" i="5" s="1"/>
  <c r="M14" i="21" s="1"/>
  <c r="PQ22" i="5"/>
  <c r="PQ23" i="5" s="1"/>
  <c r="N14" i="21" s="1"/>
  <c r="PR22" i="5"/>
  <c r="PR23" i="5" s="1"/>
  <c r="O14" i="21" s="1"/>
  <c r="PS22" i="5"/>
  <c r="PS23" i="5" s="1"/>
  <c r="P14" i="21" s="1"/>
  <c r="PT22" i="5"/>
  <c r="PT23" i="5" s="1"/>
  <c r="Q14" i="21" s="1"/>
  <c r="PU22" i="5"/>
  <c r="PU23" i="5" s="1"/>
  <c r="R14" i="21" s="1"/>
  <c r="QI22" i="5"/>
  <c r="QI23" i="5" s="1"/>
  <c r="X14" i="21" s="1"/>
  <c r="QJ22" i="5"/>
  <c r="QJ23" i="5" s="1"/>
  <c r="QK22" i="5"/>
  <c r="QK23" i="5" s="1"/>
  <c r="QL22" i="5"/>
  <c r="QL23" i="5" s="1"/>
  <c r="QB22" i="5"/>
  <c r="QB23" i="5" s="1"/>
  <c r="W14" i="21" s="1"/>
  <c r="QC22" i="5"/>
  <c r="QC23" i="5" s="1"/>
  <c r="QD22" i="5"/>
  <c r="QD23" i="5" s="1"/>
  <c r="QE22" i="5"/>
  <c r="QE23" i="5" s="1"/>
  <c r="QF22" i="5"/>
  <c r="QF23" i="5" s="1"/>
  <c r="QG22" i="5"/>
  <c r="QG23" i="5" s="1"/>
  <c r="QH22" i="5"/>
  <c r="QH23" i="5" s="1"/>
  <c r="QM22" i="5"/>
  <c r="QN22" i="5"/>
  <c r="QN23" i="5" s="1"/>
  <c r="QO22" i="5"/>
  <c r="QO23" i="5" s="1"/>
  <c r="QP22" i="5"/>
  <c r="QP23" i="5" s="1"/>
  <c r="QQ22" i="5"/>
  <c r="QQ23" i="5" s="1"/>
  <c r="QR22" i="5"/>
  <c r="QR23" i="5" s="1"/>
  <c r="QS22" i="5"/>
  <c r="QS23" i="5" s="1"/>
  <c r="QT22" i="5"/>
  <c r="QT23" i="5" s="1"/>
  <c r="RB22" i="5"/>
  <c r="RB23" i="5" s="1"/>
  <c r="RC22" i="5"/>
  <c r="RC23" i="5" s="1"/>
  <c r="QU22" i="5"/>
  <c r="QU23" i="5" s="1"/>
  <c r="QV22" i="5"/>
  <c r="QV23" i="5" s="1"/>
  <c r="QW22" i="5"/>
  <c r="QW23" i="5" s="1"/>
  <c r="QX22" i="5"/>
  <c r="QX23" i="5" s="1"/>
  <c r="QY22" i="5"/>
  <c r="QY23" i="5" s="1"/>
  <c r="QZ22" i="5"/>
  <c r="QZ23" i="5" s="1"/>
  <c r="RA22" i="5"/>
  <c r="RA23" i="5" s="1"/>
  <c r="RD22" i="5"/>
  <c r="RD23" i="5" s="1"/>
  <c r="RE22" i="5"/>
  <c r="RE23" i="5" s="1"/>
  <c r="PV22" i="5"/>
  <c r="PV23" i="5" s="1"/>
  <c r="V14" i="21" s="1"/>
  <c r="PW22" i="5"/>
  <c r="PW23" i="5" s="1"/>
  <c r="PX22" i="5"/>
  <c r="PX23" i="5" s="1"/>
  <c r="PY22" i="5"/>
  <c r="PY23" i="5" s="1"/>
  <c r="PZ22" i="5"/>
  <c r="PZ23" i="5" s="1"/>
  <c r="QA22" i="5"/>
  <c r="QA23" i="5" s="1"/>
  <c r="RF22" i="5"/>
  <c r="RF23" i="5" s="1"/>
  <c r="E14" i="21" s="1"/>
  <c r="RG22" i="5"/>
  <c r="RG23" i="5" s="1"/>
  <c r="F14" i="21" s="1"/>
  <c r="RH22" i="5"/>
  <c r="RH23" i="5" s="1"/>
  <c r="G14" i="21" s="1"/>
  <c r="RI22" i="5"/>
  <c r="RI23" i="5" s="1"/>
  <c r="B14" i="21" s="1"/>
  <c r="RJ22" i="5"/>
  <c r="RJ23" i="5" s="1"/>
  <c r="C14" i="21" s="1"/>
  <c r="RK22" i="5"/>
  <c r="RK23" i="5" s="1"/>
  <c r="D14" i="21" s="1"/>
  <c r="RL22" i="5"/>
  <c r="RL23" i="5" s="1"/>
  <c r="H14" i="21" s="1"/>
  <c r="RM22" i="5"/>
  <c r="RM23" i="5" s="1"/>
  <c r="I14" i="21" s="1"/>
  <c r="RN22" i="5"/>
  <c r="RN23" i="5" s="1"/>
  <c r="J14" i="21" s="1"/>
  <c r="RU22" i="5"/>
  <c r="RU23" i="5" s="1"/>
  <c r="RV22" i="5"/>
  <c r="RV23" i="5" s="1"/>
  <c r="RW22" i="5"/>
  <c r="RW23" i="5" s="1"/>
  <c r="RX22" i="5"/>
  <c r="RX23" i="5" s="1"/>
  <c r="RY22" i="5"/>
  <c r="RY23" i="5" s="1"/>
  <c r="RZ22" i="5"/>
  <c r="RZ23" i="5" s="1"/>
  <c r="SA22" i="5"/>
  <c r="SA23" i="5" s="1"/>
  <c r="SB22" i="5"/>
  <c r="SB23" i="5" s="1"/>
  <c r="SC22" i="5"/>
  <c r="SC23" i="5" s="1"/>
  <c r="SD22" i="5"/>
  <c r="SD23" i="5" s="1"/>
  <c r="SE22" i="5"/>
  <c r="SE23" i="5" s="1"/>
  <c r="SF22" i="5"/>
  <c r="SF23" i="5" s="1"/>
  <c r="SG22" i="5"/>
  <c r="SG23" i="5" s="1"/>
  <c r="SH22" i="5"/>
  <c r="SH23" i="5" s="1"/>
  <c r="SI22" i="5"/>
  <c r="SI23" i="5" s="1"/>
  <c r="SJ22" i="5"/>
  <c r="SJ23" i="5" s="1"/>
  <c r="SK22" i="5"/>
  <c r="SK23" i="5" s="1"/>
  <c r="SL22" i="5"/>
  <c r="SL23" i="5" s="1"/>
  <c r="SM22" i="5"/>
  <c r="SM23" i="5" s="1"/>
  <c r="SO22" i="5"/>
  <c r="SO23" i="5" s="1"/>
  <c r="SP22" i="5"/>
  <c r="SP23" i="5" s="1"/>
  <c r="EE16" i="5"/>
  <c r="G11" i="5"/>
  <c r="G12" i="5" s="1"/>
  <c r="H11" i="5"/>
  <c r="H12" i="5" s="1"/>
  <c r="I11" i="5"/>
  <c r="I12" i="5" s="1"/>
  <c r="J11" i="5"/>
  <c r="J12" i="5" s="1"/>
  <c r="K11" i="5"/>
  <c r="K12" i="5" s="1"/>
  <c r="L11" i="5"/>
  <c r="L12" i="5" s="1"/>
  <c r="M11" i="5"/>
  <c r="M12" i="5" s="1"/>
  <c r="N11" i="5"/>
  <c r="N12" i="5" s="1"/>
  <c r="O11" i="5"/>
  <c r="O12" i="5" s="1"/>
  <c r="P11" i="5"/>
  <c r="P12" i="5" s="1"/>
  <c r="Q11" i="5"/>
  <c r="Q12" i="5" s="1"/>
  <c r="R11" i="5"/>
  <c r="R12" i="5" s="1"/>
  <c r="S11" i="5"/>
  <c r="S12" i="5" s="1"/>
  <c r="T11" i="5"/>
  <c r="T12" i="5" s="1"/>
  <c r="U11" i="5"/>
  <c r="U12" i="5" s="1"/>
  <c r="V11" i="5"/>
  <c r="V12" i="5" s="1"/>
  <c r="W11" i="5"/>
  <c r="W12" i="5" s="1"/>
  <c r="X11" i="5"/>
  <c r="X12" i="5" s="1"/>
  <c r="Y11" i="5"/>
  <c r="Y12" i="5" s="1"/>
  <c r="Z11" i="5"/>
  <c r="Z12" i="5" s="1"/>
  <c r="AA11" i="5"/>
  <c r="AA12" i="5" s="1"/>
  <c r="AB11" i="5"/>
  <c r="AB12" i="5" s="1"/>
  <c r="AC11" i="5"/>
  <c r="AC12" i="5" s="1"/>
  <c r="AD11" i="5"/>
  <c r="AD12" i="5" s="1"/>
  <c r="AE11" i="5"/>
  <c r="AE12" i="5" s="1"/>
  <c r="AI11" i="5"/>
  <c r="AI12" i="5" s="1"/>
  <c r="AJ11" i="5"/>
  <c r="AJ12" i="5" s="1"/>
  <c r="AK11" i="5"/>
  <c r="AK12" i="5" s="1"/>
  <c r="AL11" i="5"/>
  <c r="AL12" i="5" s="1"/>
  <c r="AM11" i="5"/>
  <c r="AM12" i="5" s="1"/>
  <c r="AN11" i="5"/>
  <c r="AN12" i="5" s="1"/>
  <c r="AO11" i="5"/>
  <c r="AO12" i="5" s="1"/>
  <c r="AP11" i="5"/>
  <c r="AP12" i="5" s="1"/>
  <c r="AQ11" i="5"/>
  <c r="AQ12" i="5" s="1"/>
  <c r="AR11" i="5"/>
  <c r="AR12" i="5" s="1"/>
  <c r="AV11" i="5"/>
  <c r="AV12" i="5" s="1"/>
  <c r="AW11" i="5"/>
  <c r="AW12" i="5" s="1"/>
  <c r="AX11" i="5"/>
  <c r="AX12" i="5" s="1"/>
  <c r="AY11" i="5"/>
  <c r="AY12" i="5" s="1"/>
  <c r="AZ11" i="5"/>
  <c r="AZ12" i="5" s="1"/>
  <c r="BA11" i="5"/>
  <c r="BA12" i="5" s="1"/>
  <c r="BB11" i="5"/>
  <c r="BB12" i="5" s="1"/>
  <c r="BC11" i="5"/>
  <c r="BC12" i="5" s="1"/>
  <c r="BD11" i="5"/>
  <c r="BD12" i="5" s="1"/>
  <c r="BE11" i="5"/>
  <c r="BE12" i="5" s="1"/>
  <c r="BI11" i="5"/>
  <c r="BI12" i="5" s="1"/>
  <c r="BJ11" i="5"/>
  <c r="BJ12" i="5" s="1"/>
  <c r="BK11" i="5"/>
  <c r="BK12" i="5" s="1"/>
  <c r="BL11" i="5"/>
  <c r="BL12" i="5" s="1"/>
  <c r="BM11" i="5"/>
  <c r="BM12" i="5" s="1"/>
  <c r="BN11" i="5"/>
  <c r="BN12" i="5" s="1"/>
  <c r="BO11" i="5"/>
  <c r="BO12" i="5" s="1"/>
  <c r="BP11" i="5"/>
  <c r="BP12" i="5" s="1"/>
  <c r="BQ11" i="5"/>
  <c r="BQ12" i="5" s="1"/>
  <c r="BR11" i="5"/>
  <c r="BR12" i="5" s="1"/>
  <c r="CM11" i="5"/>
  <c r="CM12" i="5" s="1"/>
  <c r="CN11" i="5"/>
  <c r="CN12" i="5" s="1"/>
  <c r="CO11" i="5"/>
  <c r="CO12" i="5" s="1"/>
  <c r="CP11" i="5"/>
  <c r="CP12" i="5" s="1"/>
  <c r="CQ11" i="5"/>
  <c r="CQ12" i="5" s="1"/>
  <c r="CR11" i="5"/>
  <c r="CR12" i="5" s="1"/>
  <c r="CS11" i="5"/>
  <c r="CS12" i="5" s="1"/>
  <c r="CT11" i="5"/>
  <c r="CT12" i="5" s="1"/>
  <c r="CU11" i="5"/>
  <c r="CU12" i="5" s="1"/>
  <c r="CZ11" i="5"/>
  <c r="CZ12" i="5" s="1"/>
  <c r="DA11" i="5"/>
  <c r="DA12" i="5" s="1"/>
  <c r="DB11" i="5"/>
  <c r="DB12" i="5" s="1"/>
  <c r="DC11" i="5"/>
  <c r="DC12" i="5" s="1"/>
  <c r="DD11" i="5"/>
  <c r="DD12" i="5" s="1"/>
  <c r="DE11" i="5"/>
  <c r="DE12" i="5" s="1"/>
  <c r="DI11" i="5"/>
  <c r="DI12" i="5" s="1"/>
  <c r="DJ11" i="5"/>
  <c r="DJ12" i="5" s="1"/>
  <c r="DK11" i="5"/>
  <c r="DK12" i="5" s="1"/>
  <c r="DL11" i="5"/>
  <c r="DL12" i="5" s="1"/>
  <c r="DM11" i="5"/>
  <c r="DM12" i="5" s="1"/>
  <c r="DN11" i="5"/>
  <c r="DN12" i="5" s="1"/>
  <c r="DR11" i="5"/>
  <c r="DR12" i="5" s="1"/>
  <c r="DS11" i="5"/>
  <c r="DS12" i="5" s="1"/>
  <c r="DT11" i="5"/>
  <c r="DT12" i="5" s="1"/>
  <c r="DU11" i="5"/>
  <c r="DU12" i="5" s="1"/>
  <c r="DV11" i="5"/>
  <c r="DV12" i="5" s="1"/>
  <c r="DW11" i="5"/>
  <c r="DW12" i="5" s="1"/>
  <c r="EA11" i="5"/>
  <c r="EA12" i="5" s="1"/>
  <c r="EB11" i="5"/>
  <c r="EB12" i="5" s="1"/>
  <c r="EC11" i="5"/>
  <c r="EC12" i="5" s="1"/>
  <c r="ED11" i="5"/>
  <c r="ED12" i="5" s="1"/>
  <c r="EE11" i="5"/>
  <c r="EE12" i="5" s="1"/>
  <c r="EF11" i="5"/>
  <c r="EF12" i="5" s="1"/>
  <c r="EJ11" i="5"/>
  <c r="EJ12" i="5" s="1"/>
  <c r="EK11" i="5"/>
  <c r="EK12" i="5" s="1"/>
  <c r="EL11" i="5"/>
  <c r="EL12" i="5" s="1"/>
  <c r="EM11" i="5"/>
  <c r="EM12" i="5" s="1"/>
  <c r="EN11" i="5"/>
  <c r="EN12" i="5" s="1"/>
  <c r="EO11" i="5"/>
  <c r="EO12" i="5" s="1"/>
  <c r="ES11" i="5"/>
  <c r="ES12" i="5" s="1"/>
  <c r="ET11" i="5"/>
  <c r="ET12" i="5" s="1"/>
  <c r="EU11" i="5"/>
  <c r="EU12" i="5" s="1"/>
  <c r="EV11" i="5"/>
  <c r="EV12" i="5" s="1"/>
  <c r="EW11" i="5"/>
  <c r="EX11" i="5"/>
  <c r="FB11" i="5"/>
  <c r="FB12" i="5" s="1"/>
  <c r="FC11" i="5"/>
  <c r="FC12" i="5" s="1"/>
  <c r="FD11" i="5"/>
  <c r="FD12" i="5" s="1"/>
  <c r="FE11" i="5"/>
  <c r="FE12" i="5" s="1"/>
  <c r="FF11" i="5"/>
  <c r="FF12" i="5" s="1"/>
  <c r="FG11" i="5"/>
  <c r="FG12" i="5" s="1"/>
  <c r="FH11" i="5"/>
  <c r="FH12" i="5" s="1"/>
  <c r="FI11" i="5"/>
  <c r="FI12" i="5" s="1"/>
  <c r="FJ11" i="5"/>
  <c r="FJ12" i="5" s="1"/>
  <c r="FK11" i="5"/>
  <c r="FK12" i="5" s="1"/>
  <c r="FO11" i="5"/>
  <c r="FO12" i="5" s="1"/>
  <c r="FP11" i="5"/>
  <c r="FP12" i="5" s="1"/>
  <c r="FQ11" i="5"/>
  <c r="FQ12" i="5" s="1"/>
  <c r="FR11" i="5"/>
  <c r="FR12" i="5" s="1"/>
  <c r="FS11" i="5"/>
  <c r="FS12" i="5" s="1"/>
  <c r="FT11" i="5"/>
  <c r="FT12" i="5" s="1"/>
  <c r="FU11" i="5"/>
  <c r="FU12" i="5" s="1"/>
  <c r="FV11" i="5"/>
  <c r="FV12" i="5" s="1"/>
  <c r="FW11" i="5"/>
  <c r="FW12" i="5" s="1"/>
  <c r="FX11" i="5"/>
  <c r="FX12" i="5" s="1"/>
  <c r="FY11" i="5"/>
  <c r="FY12" i="5" s="1"/>
  <c r="FZ11" i="5"/>
  <c r="FZ12" i="5" s="1"/>
  <c r="GA11" i="5"/>
  <c r="GA12" i="5" s="1"/>
  <c r="GB11" i="5"/>
  <c r="GB12" i="5" s="1"/>
  <c r="GE11" i="5"/>
  <c r="GE12" i="5" s="1"/>
  <c r="GF11" i="5"/>
  <c r="GF12" i="5" s="1"/>
  <c r="GJ11" i="5"/>
  <c r="GJ12" i="5" s="1"/>
  <c r="GK11" i="5"/>
  <c r="GK12" i="5" s="1"/>
  <c r="GL11" i="5"/>
  <c r="GL12" i="5" s="1"/>
  <c r="GM11" i="5"/>
  <c r="GM12" i="5" s="1"/>
  <c r="GN11" i="5"/>
  <c r="GN12" i="5" s="1"/>
  <c r="GO11" i="5"/>
  <c r="GO12" i="5" s="1"/>
  <c r="GP11" i="5"/>
  <c r="GP12" i="5" s="1"/>
  <c r="GQ11" i="5"/>
  <c r="GQ12" i="5" s="1"/>
  <c r="GR11" i="5"/>
  <c r="GR12" i="5" s="1"/>
  <c r="GS11" i="5"/>
  <c r="GS12" i="5" s="1"/>
  <c r="GT11" i="5"/>
  <c r="GT12" i="5" s="1"/>
  <c r="GU11" i="5"/>
  <c r="GU12" i="5" s="1"/>
  <c r="GV11" i="5"/>
  <c r="GV12" i="5" s="1"/>
  <c r="GW11" i="5"/>
  <c r="GW12" i="5" s="1"/>
  <c r="GX11" i="5"/>
  <c r="GX12" i="5" s="1"/>
  <c r="GY11" i="5"/>
  <c r="GY12" i="5" s="1"/>
  <c r="GZ11" i="5"/>
  <c r="GZ12" i="5" s="1"/>
  <c r="HA11" i="5"/>
  <c r="HA12" i="5" s="1"/>
  <c r="HB11" i="5"/>
  <c r="HB12" i="5" s="1"/>
  <c r="HC11" i="5"/>
  <c r="HC12" i="5" s="1"/>
  <c r="HD11" i="5"/>
  <c r="HD12" i="5" s="1"/>
  <c r="HE11" i="5"/>
  <c r="HE12" i="5" s="1"/>
  <c r="HF11" i="5"/>
  <c r="HF12" i="5" s="1"/>
  <c r="HG11" i="5"/>
  <c r="HG12" i="5" s="1"/>
  <c r="HH11" i="5"/>
  <c r="HH12" i="5" s="1"/>
  <c r="HI11" i="5"/>
  <c r="HI12" i="5" s="1"/>
  <c r="HJ11" i="5"/>
  <c r="HJ12" i="5" s="1"/>
  <c r="HK11" i="5"/>
  <c r="HK12" i="5" s="1"/>
  <c r="HL11" i="5"/>
  <c r="HL12" i="5" s="1"/>
  <c r="HM11" i="5"/>
  <c r="HM12" i="5" s="1"/>
  <c r="HN11" i="5"/>
  <c r="HN12" i="5" s="1"/>
  <c r="HO11" i="5"/>
  <c r="HO12" i="5" s="1"/>
  <c r="HP11" i="5"/>
  <c r="HP12" i="5" s="1"/>
  <c r="HQ11" i="5"/>
  <c r="HQ12" i="5" s="1"/>
  <c r="HR11" i="5"/>
  <c r="HR12" i="5" s="1"/>
  <c r="HS11" i="5"/>
  <c r="HS12" i="5" s="1"/>
  <c r="HT11" i="5"/>
  <c r="HT12" i="5" s="1"/>
  <c r="HU11" i="5"/>
  <c r="HU12" i="5" s="1"/>
  <c r="HV11" i="5"/>
  <c r="HV12" i="5" s="1"/>
  <c r="HW11" i="5"/>
  <c r="HW12" i="5" s="1"/>
  <c r="HX11" i="5"/>
  <c r="HX12" i="5" s="1"/>
  <c r="HY11" i="5"/>
  <c r="HY12" i="5" s="1"/>
  <c r="HZ11" i="5"/>
  <c r="HZ12" i="5" s="1"/>
  <c r="IA11" i="5"/>
  <c r="IA12" i="5" s="1"/>
  <c r="IB11" i="5"/>
  <c r="IB12" i="5" s="1"/>
  <c r="IC11" i="5"/>
  <c r="IC12" i="5" s="1"/>
  <c r="ID11" i="5"/>
  <c r="ID12" i="5" s="1"/>
  <c r="IE11" i="5"/>
  <c r="IE12" i="5" s="1"/>
  <c r="IF11" i="5"/>
  <c r="IF12" i="5" s="1"/>
  <c r="IG11" i="5"/>
  <c r="IG12" i="5" s="1"/>
  <c r="IH11" i="5"/>
  <c r="IH12" i="5" s="1"/>
  <c r="II11" i="5"/>
  <c r="II12" i="5" s="1"/>
  <c r="IJ11" i="5"/>
  <c r="IJ12" i="5" s="1"/>
  <c r="IK11" i="5"/>
  <c r="IK12" i="5" s="1"/>
  <c r="IL11" i="5"/>
  <c r="IL12" i="5" s="1"/>
  <c r="IM11" i="5"/>
  <c r="IM12" i="5" s="1"/>
  <c r="IN11" i="5"/>
  <c r="IN12" i="5" s="1"/>
  <c r="IO11" i="5"/>
  <c r="IO12" i="5" s="1"/>
  <c r="IP11" i="5"/>
  <c r="IP12" i="5" s="1"/>
  <c r="IQ11" i="5"/>
  <c r="IQ12" i="5" s="1"/>
  <c r="IR11" i="5"/>
  <c r="IR12" i="5" s="1"/>
  <c r="IS11" i="5"/>
  <c r="IS12" i="5" s="1"/>
  <c r="IT11" i="5"/>
  <c r="IT12" i="5" s="1"/>
  <c r="IU11" i="5"/>
  <c r="IU12" i="5" s="1"/>
  <c r="IV11" i="5"/>
  <c r="IV12" i="5" s="1"/>
  <c r="IW11" i="5"/>
  <c r="IW12" i="5" s="1"/>
  <c r="IX11" i="5"/>
  <c r="IX12" i="5" s="1"/>
  <c r="IY11" i="5"/>
  <c r="IY12" i="5" s="1"/>
  <c r="IZ11" i="5"/>
  <c r="IZ12" i="5" s="1"/>
  <c r="JA11" i="5"/>
  <c r="JA12" i="5" s="1"/>
  <c r="JB11" i="5"/>
  <c r="JB12" i="5" s="1"/>
  <c r="JC11" i="5"/>
  <c r="JC12" i="5" s="1"/>
  <c r="JD11" i="5"/>
  <c r="JD12" i="5" s="1"/>
  <c r="JE11" i="5"/>
  <c r="JE12" i="5" s="1"/>
  <c r="JF11" i="5"/>
  <c r="JF12" i="5" s="1"/>
  <c r="JG11" i="5"/>
  <c r="JG12" i="5" s="1"/>
  <c r="JH11" i="5"/>
  <c r="JH12" i="5" s="1"/>
  <c r="JI11" i="5"/>
  <c r="JI12" i="5" s="1"/>
  <c r="JJ11" i="5"/>
  <c r="JJ12" i="5" s="1"/>
  <c r="JK11" i="5"/>
  <c r="JK12" i="5" s="1"/>
  <c r="JL11" i="5"/>
  <c r="JL12" i="5" s="1"/>
  <c r="JM11" i="5"/>
  <c r="JM12" i="5" s="1"/>
  <c r="JN11" i="5"/>
  <c r="JN12" i="5" s="1"/>
  <c r="JO11" i="5"/>
  <c r="JO12" i="5" s="1"/>
  <c r="JP11" i="5"/>
  <c r="JP12" i="5" s="1"/>
  <c r="JQ11" i="5"/>
  <c r="JQ12" i="5" s="1"/>
  <c r="JR11" i="5"/>
  <c r="JR12" i="5" s="1"/>
  <c r="JS11" i="5"/>
  <c r="JS12" i="5" s="1"/>
  <c r="JT11" i="5"/>
  <c r="JT12" i="5" s="1"/>
  <c r="JU11" i="5"/>
  <c r="JU12" i="5" s="1"/>
  <c r="JV11" i="5"/>
  <c r="JV12" i="5" s="1"/>
  <c r="JW11" i="5"/>
  <c r="JW12" i="5" s="1"/>
  <c r="JX11" i="5"/>
  <c r="JX12" i="5" s="1"/>
  <c r="JY11" i="5"/>
  <c r="JY12" i="5" s="1"/>
  <c r="JZ11" i="5"/>
  <c r="JZ12" i="5" s="1"/>
  <c r="KA11" i="5"/>
  <c r="KA12" i="5" s="1"/>
  <c r="KB11" i="5"/>
  <c r="KB12" i="5" s="1"/>
  <c r="KC11" i="5"/>
  <c r="KC12" i="5" s="1"/>
  <c r="KD11" i="5"/>
  <c r="KD12" i="5" s="1"/>
  <c r="KE11" i="5"/>
  <c r="KE12" i="5" s="1"/>
  <c r="KF11" i="5"/>
  <c r="KF12" i="5" s="1"/>
  <c r="KG11" i="5"/>
  <c r="KG12" i="5" s="1"/>
  <c r="KH11" i="5"/>
  <c r="KH12" i="5" s="1"/>
  <c r="KI11" i="5"/>
  <c r="KI12" i="5" s="1"/>
  <c r="KJ11" i="5"/>
  <c r="KJ12" i="5" s="1"/>
  <c r="KK11" i="5"/>
  <c r="KK12" i="5" s="1"/>
  <c r="KL11" i="5"/>
  <c r="KL12" i="5" s="1"/>
  <c r="KM11" i="5"/>
  <c r="KM12" i="5" s="1"/>
  <c r="KN11" i="5"/>
  <c r="KN12" i="5" s="1"/>
  <c r="KO11" i="5"/>
  <c r="KO12" i="5" s="1"/>
  <c r="KP11" i="5"/>
  <c r="KP12" i="5" s="1"/>
  <c r="KQ11" i="5"/>
  <c r="KQ12" i="5" s="1"/>
  <c r="KR11" i="5"/>
  <c r="KR12" i="5" s="1"/>
  <c r="KS11" i="5"/>
  <c r="KS12" i="5" s="1"/>
  <c r="KT11" i="5"/>
  <c r="KT12" i="5" s="1"/>
  <c r="KU11" i="5"/>
  <c r="KU12" i="5" s="1"/>
  <c r="LA11" i="5"/>
  <c r="LA12" i="5" s="1"/>
  <c r="LB11" i="5"/>
  <c r="LB12" i="5" s="1"/>
  <c r="LC11" i="5"/>
  <c r="LD11" i="5"/>
  <c r="LD12" i="5" s="1"/>
  <c r="LE11" i="5"/>
  <c r="LE12" i="5" s="1"/>
  <c r="LF11" i="5"/>
  <c r="LF12" i="5" s="1"/>
  <c r="LG11" i="5"/>
  <c r="LG12" i="5" s="1"/>
  <c r="LH11" i="5"/>
  <c r="LH12" i="5" s="1"/>
  <c r="LI11" i="5"/>
  <c r="LI12" i="5" s="1"/>
  <c r="LJ11" i="5"/>
  <c r="LK11" i="5"/>
  <c r="LK12" i="5" s="1"/>
  <c r="LL11" i="5"/>
  <c r="LL12" i="5" s="1"/>
  <c r="LM11" i="5"/>
  <c r="LM12" i="5" s="1"/>
  <c r="LN11" i="5"/>
  <c r="LN12" i="5" s="1"/>
  <c r="LT11" i="5"/>
  <c r="LT12" i="5" s="1"/>
  <c r="LU11" i="5"/>
  <c r="LU12" i="5" s="1"/>
  <c r="LV11" i="5"/>
  <c r="LV12" i="5" s="1"/>
  <c r="LW11" i="5"/>
  <c r="LW12" i="5" s="1"/>
  <c r="LX11" i="5"/>
  <c r="LX12" i="5" s="1"/>
  <c r="ME11" i="5"/>
  <c r="ME12" i="5" s="1"/>
  <c r="MF11" i="5"/>
  <c r="MF12" i="5" s="1"/>
  <c r="MG11" i="5"/>
  <c r="MG12" i="5" s="1"/>
  <c r="MH11" i="5"/>
  <c r="MH12" i="5" s="1"/>
  <c r="MI11" i="5"/>
  <c r="MI12" i="5" s="1"/>
  <c r="MJ11" i="5"/>
  <c r="MJ12" i="5" s="1"/>
  <c r="MK11" i="5"/>
  <c r="MK12" i="5" s="1"/>
  <c r="ML11" i="5"/>
  <c r="ML12" i="5" s="1"/>
  <c r="MM11" i="5"/>
  <c r="MM12" i="5" s="1"/>
  <c r="MN11" i="5"/>
  <c r="MN12" i="5" s="1"/>
  <c r="MR11" i="5"/>
  <c r="MR12" i="5" s="1"/>
  <c r="MS11" i="5"/>
  <c r="MS12" i="5" s="1"/>
  <c r="MT11" i="5"/>
  <c r="MT12" i="5" s="1"/>
  <c r="MU11" i="5"/>
  <c r="MU12" i="5" s="1"/>
  <c r="MV11" i="5"/>
  <c r="MV12" i="5" s="1"/>
  <c r="MW11" i="5"/>
  <c r="MW12" i="5" s="1"/>
  <c r="MX11" i="5"/>
  <c r="MX12" i="5" s="1"/>
  <c r="MY11" i="5"/>
  <c r="MY12" i="5" s="1"/>
  <c r="NC11" i="5"/>
  <c r="NC12" i="5" s="1"/>
  <c r="ND11" i="5"/>
  <c r="ND12" i="5" s="1"/>
  <c r="NE11" i="5"/>
  <c r="NE12" i="5" s="1"/>
  <c r="NF11" i="5"/>
  <c r="NF12" i="5" s="1"/>
  <c r="NG11" i="5"/>
  <c r="NG12" i="5" s="1"/>
  <c r="NH11" i="5"/>
  <c r="NH12" i="5" s="1"/>
  <c r="NI11" i="5"/>
  <c r="NI12" i="5" s="1"/>
  <c r="NJ11" i="5"/>
  <c r="NJ12" i="5" s="1"/>
  <c r="NK11" i="5"/>
  <c r="NK12" i="5" s="1"/>
  <c r="NL11" i="5"/>
  <c r="NL12" i="5" s="1"/>
  <c r="NM11" i="5"/>
  <c r="NM12" i="5" s="1"/>
  <c r="NN11" i="5"/>
  <c r="NN12" i="5" s="1"/>
  <c r="NO11" i="5"/>
  <c r="NO12" i="5" s="1"/>
  <c r="NP11" i="5"/>
  <c r="NP12" i="5" s="1"/>
  <c r="NQ11" i="5"/>
  <c r="NQ12" i="5" s="1"/>
  <c r="NR11" i="5"/>
  <c r="NR12" i="5" s="1"/>
  <c r="NS11" i="5"/>
  <c r="NS12" i="5" s="1"/>
  <c r="NT11" i="5"/>
  <c r="NT12" i="5" s="1"/>
  <c r="NU11" i="5"/>
  <c r="NU12" i="5" s="1"/>
  <c r="NV11" i="5"/>
  <c r="NV12" i="5" s="1"/>
  <c r="NZ11" i="5"/>
  <c r="NZ12" i="5" s="1"/>
  <c r="OA11" i="5"/>
  <c r="OA12" i="5" s="1"/>
  <c r="OB11" i="5"/>
  <c r="OB12" i="5" s="1"/>
  <c r="OC11" i="5"/>
  <c r="OC12" i="5" s="1"/>
  <c r="OD11" i="5"/>
  <c r="OD12" i="5" s="1"/>
  <c r="OE11" i="5"/>
  <c r="OE12" i="5" s="1"/>
  <c r="OI11" i="5"/>
  <c r="OI12" i="5" s="1"/>
  <c r="OJ11" i="5"/>
  <c r="OJ12" i="5" s="1"/>
  <c r="OK11" i="5"/>
  <c r="OK12" i="5" s="1"/>
  <c r="OL11" i="5"/>
  <c r="OL12" i="5" s="1"/>
  <c r="OM11" i="5"/>
  <c r="OM12" i="5" s="1"/>
  <c r="ON11" i="5"/>
  <c r="ON12" i="5" s="1"/>
  <c r="OO11" i="5"/>
  <c r="OO12" i="5" s="1"/>
  <c r="OP11" i="5"/>
  <c r="OP12" i="5" s="1"/>
  <c r="OQ11" i="5"/>
  <c r="OQ12" i="5" s="1"/>
  <c r="OR11" i="5"/>
  <c r="OR12" i="5" s="1"/>
  <c r="OS11" i="5"/>
  <c r="OS12" i="5" s="1"/>
  <c r="OT11" i="5"/>
  <c r="OT12" i="5" s="1"/>
  <c r="OU11" i="5"/>
  <c r="OU12" i="5" s="1"/>
  <c r="OV11" i="5"/>
  <c r="OV12" i="5" s="1"/>
  <c r="OZ11" i="5"/>
  <c r="OZ12" i="5" s="1"/>
  <c r="PA11" i="5"/>
  <c r="PA12" i="5" s="1"/>
  <c r="PB11" i="5"/>
  <c r="PB12" i="5" s="1"/>
  <c r="PC11" i="5"/>
  <c r="PC12" i="5" s="1"/>
  <c r="PD11" i="5"/>
  <c r="PD12" i="5" s="1"/>
  <c r="PE11" i="5"/>
  <c r="PE12" i="5" s="1"/>
  <c r="PF11" i="5"/>
  <c r="PF12" i="5" s="1"/>
  <c r="PG11" i="5"/>
  <c r="PG12" i="5" s="1"/>
  <c r="PH11" i="5"/>
  <c r="PH12" i="5" s="1"/>
  <c r="PI11" i="5"/>
  <c r="PI12" i="5" s="1"/>
  <c r="PJ11" i="5"/>
  <c r="PJ12" i="5" s="1"/>
  <c r="PK11" i="5"/>
  <c r="PK12" i="5" s="1"/>
  <c r="PL11" i="5"/>
  <c r="PL12" i="5" s="1"/>
  <c r="PM11" i="5"/>
  <c r="PM12" i="5" s="1"/>
  <c r="PN11" i="5"/>
  <c r="PN12" i="5" s="1"/>
  <c r="PP11" i="5"/>
  <c r="PP12" i="5" s="1"/>
  <c r="PQ11" i="5"/>
  <c r="PQ12" i="5" s="1"/>
  <c r="PR11" i="5"/>
  <c r="PR12" i="5" s="1"/>
  <c r="PS11" i="5"/>
  <c r="PS12" i="5" s="1"/>
  <c r="PT11" i="5"/>
  <c r="PT12" i="5" s="1"/>
  <c r="PU11" i="5"/>
  <c r="PU12" i="5" s="1"/>
  <c r="QI11" i="5"/>
  <c r="QI12" i="5" s="1"/>
  <c r="QJ11" i="5"/>
  <c r="QJ12" i="5" s="1"/>
  <c r="QK11" i="5"/>
  <c r="QK12" i="5" s="1"/>
  <c r="QL11" i="5"/>
  <c r="QL12" i="5" s="1"/>
  <c r="QB11" i="5"/>
  <c r="QB12" i="5" s="1"/>
  <c r="QC11" i="5"/>
  <c r="QC12" i="5" s="1"/>
  <c r="QD11" i="5"/>
  <c r="QD12" i="5" s="1"/>
  <c r="QE11" i="5"/>
  <c r="QE12" i="5" s="1"/>
  <c r="QF11" i="5"/>
  <c r="QF12" i="5" s="1"/>
  <c r="QG11" i="5"/>
  <c r="QG12" i="5" s="1"/>
  <c r="QH11" i="5"/>
  <c r="QH12" i="5" s="1"/>
  <c r="QM11" i="5"/>
  <c r="QM12" i="5" s="1"/>
  <c r="QN11" i="5"/>
  <c r="QN12" i="5" s="1"/>
  <c r="QO11" i="5"/>
  <c r="QO12" i="5" s="1"/>
  <c r="QP11" i="5"/>
  <c r="QP12" i="5" s="1"/>
  <c r="QQ11" i="5"/>
  <c r="QQ12" i="5" s="1"/>
  <c r="QR11" i="5"/>
  <c r="QR12" i="5" s="1"/>
  <c r="QS11" i="5"/>
  <c r="QS12" i="5" s="1"/>
  <c r="QT11" i="5"/>
  <c r="QT12" i="5" s="1"/>
  <c r="RB11" i="5"/>
  <c r="RB12" i="5" s="1"/>
  <c r="RC11" i="5"/>
  <c r="RC12" i="5" s="1"/>
  <c r="QU11" i="5"/>
  <c r="QU12" i="5" s="1"/>
  <c r="QV11" i="5"/>
  <c r="QV12" i="5" s="1"/>
  <c r="QW11" i="5"/>
  <c r="QW12" i="5" s="1"/>
  <c r="QX11" i="5"/>
  <c r="QX12" i="5" s="1"/>
  <c r="QY11" i="5"/>
  <c r="QY12" i="5" s="1"/>
  <c r="QZ11" i="5"/>
  <c r="QZ12" i="5" s="1"/>
  <c r="RA11" i="5"/>
  <c r="RA12" i="5" s="1"/>
  <c r="RD11" i="5"/>
  <c r="RD12" i="5" s="1"/>
  <c r="RE11" i="5"/>
  <c r="RE12" i="5" s="1"/>
  <c r="PV11" i="5"/>
  <c r="PV12" i="5" s="1"/>
  <c r="PW11" i="5"/>
  <c r="PW12" i="5" s="1"/>
  <c r="PX11" i="5"/>
  <c r="PX12" i="5" s="1"/>
  <c r="PY11" i="5"/>
  <c r="PY12" i="5" s="1"/>
  <c r="PZ11" i="5"/>
  <c r="PZ12" i="5" s="1"/>
  <c r="QA11" i="5"/>
  <c r="QA12" i="5" s="1"/>
  <c r="RF11" i="5"/>
  <c r="RF12" i="5" s="1"/>
  <c r="RG11" i="5"/>
  <c r="RG12" i="5" s="1"/>
  <c r="RH11" i="5"/>
  <c r="RH12" i="5" s="1"/>
  <c r="RI11" i="5"/>
  <c r="RI12" i="5" s="1"/>
  <c r="RJ11" i="5"/>
  <c r="RJ12" i="5" s="1"/>
  <c r="RK11" i="5"/>
  <c r="RK12" i="5" s="1"/>
  <c r="RL11" i="5"/>
  <c r="RL12" i="5" s="1"/>
  <c r="RM11" i="5"/>
  <c r="RM12" i="5" s="1"/>
  <c r="RN11" i="5"/>
  <c r="RN12" i="5" s="1"/>
  <c r="RU11" i="5"/>
  <c r="RU12" i="5" s="1"/>
  <c r="RV11" i="5"/>
  <c r="RV12" i="5" s="1"/>
  <c r="RW11" i="5"/>
  <c r="RW12" i="5" s="1"/>
  <c r="RX11" i="5"/>
  <c r="RX12" i="5" s="1"/>
  <c r="RY11" i="5"/>
  <c r="RY12" i="5" s="1"/>
  <c r="RZ11" i="5"/>
  <c r="RZ12" i="5" s="1"/>
  <c r="SA11" i="5"/>
  <c r="SA12" i="5" s="1"/>
  <c r="SB11" i="5"/>
  <c r="SB12" i="5" s="1"/>
  <c r="SC11" i="5"/>
  <c r="SC12" i="5" s="1"/>
  <c r="SD11" i="5"/>
  <c r="SD12" i="5" s="1"/>
  <c r="SE11" i="5"/>
  <c r="SE12" i="5" s="1"/>
  <c r="SF11" i="5"/>
  <c r="SF12" i="5" s="1"/>
  <c r="SG11" i="5"/>
  <c r="SG12" i="5" s="1"/>
  <c r="SH11" i="5"/>
  <c r="SH12" i="5" s="1"/>
  <c r="SI11" i="5"/>
  <c r="SI12" i="5" s="1"/>
  <c r="SJ11" i="5"/>
  <c r="SJ12" i="5" s="1"/>
  <c r="SK11" i="5"/>
  <c r="SK12" i="5" s="1"/>
  <c r="SL11" i="5"/>
  <c r="SL12" i="5" s="1"/>
  <c r="SM11" i="5"/>
  <c r="SM12" i="5" s="1"/>
  <c r="SO11" i="5"/>
  <c r="SO12" i="5" s="1"/>
  <c r="SP11" i="5"/>
  <c r="SP12" i="5" s="1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I9" i="5"/>
  <c r="AJ9" i="5"/>
  <c r="AK9" i="5"/>
  <c r="AL9" i="5"/>
  <c r="AM9" i="5"/>
  <c r="AN9" i="5"/>
  <c r="AO9" i="5"/>
  <c r="AP9" i="5"/>
  <c r="AQ9" i="5"/>
  <c r="AR9" i="5"/>
  <c r="AV9" i="5"/>
  <c r="AW9" i="5"/>
  <c r="AX9" i="5"/>
  <c r="AY9" i="5"/>
  <c r="AZ9" i="5"/>
  <c r="BA9" i="5"/>
  <c r="BB9" i="5"/>
  <c r="BC9" i="5"/>
  <c r="BD9" i="5"/>
  <c r="BE9" i="5"/>
  <c r="BI9" i="5"/>
  <c r="BJ9" i="5"/>
  <c r="BK9" i="5"/>
  <c r="BL9" i="5"/>
  <c r="BM9" i="5"/>
  <c r="BN9" i="5"/>
  <c r="BO9" i="5"/>
  <c r="BP9" i="5"/>
  <c r="BQ9" i="5"/>
  <c r="BR9" i="5"/>
  <c r="CM9" i="5"/>
  <c r="CM43" i="5" s="1"/>
  <c r="CN9" i="5"/>
  <c r="CO9" i="5"/>
  <c r="CP9" i="5"/>
  <c r="CQ9" i="5"/>
  <c r="CR9" i="5"/>
  <c r="CS9" i="5"/>
  <c r="CS43" i="5" s="1"/>
  <c r="CT9" i="5"/>
  <c r="CU9" i="5"/>
  <c r="CZ9" i="5"/>
  <c r="DA9" i="5"/>
  <c r="DB9" i="5"/>
  <c r="DB43" i="5" s="1"/>
  <c r="DC9" i="5"/>
  <c r="DD9" i="5"/>
  <c r="DD43" i="5" s="1"/>
  <c r="DE9" i="5"/>
  <c r="DI9" i="5"/>
  <c r="DJ9" i="5"/>
  <c r="DK9" i="5"/>
  <c r="DL9" i="5"/>
  <c r="DM9" i="5"/>
  <c r="DN9" i="5"/>
  <c r="DR9" i="5"/>
  <c r="DR43" i="5" s="1"/>
  <c r="DS9" i="5"/>
  <c r="DT9" i="5"/>
  <c r="DT43" i="5" s="1"/>
  <c r="DU9" i="5"/>
  <c r="DV9" i="5"/>
  <c r="DW9" i="5"/>
  <c r="EA9" i="5"/>
  <c r="EA43" i="5" s="1"/>
  <c r="EB9" i="5"/>
  <c r="EC9" i="5"/>
  <c r="EC43" i="5" s="1"/>
  <c r="ED9" i="5"/>
  <c r="EE9" i="5"/>
  <c r="EF9" i="5"/>
  <c r="EJ9" i="5"/>
  <c r="EK9" i="5"/>
  <c r="EL9" i="5"/>
  <c r="EL43" i="5" s="1"/>
  <c r="EM9" i="5"/>
  <c r="EN9" i="5"/>
  <c r="EN43" i="5" s="1"/>
  <c r="EO9" i="5"/>
  <c r="ES9" i="5"/>
  <c r="ET9" i="5"/>
  <c r="EU9" i="5"/>
  <c r="EV9" i="5"/>
  <c r="FB9" i="5"/>
  <c r="FC9" i="5"/>
  <c r="FD9" i="5"/>
  <c r="FE9" i="5"/>
  <c r="FF9" i="5"/>
  <c r="FG9" i="5"/>
  <c r="FH9" i="5"/>
  <c r="FI9" i="5"/>
  <c r="FJ9" i="5"/>
  <c r="FK9" i="5"/>
  <c r="FO9" i="5"/>
  <c r="FP9" i="5"/>
  <c r="FQ9" i="5"/>
  <c r="FR9" i="5"/>
  <c r="FS9" i="5"/>
  <c r="FT9" i="5"/>
  <c r="FU9" i="5"/>
  <c r="FV9" i="5"/>
  <c r="FW9" i="5"/>
  <c r="FX9" i="5"/>
  <c r="FY9" i="5"/>
  <c r="FZ9" i="5"/>
  <c r="GA9" i="5"/>
  <c r="GB9" i="5"/>
  <c r="GE9" i="5"/>
  <c r="GF9" i="5"/>
  <c r="GJ9" i="5"/>
  <c r="GK9" i="5"/>
  <c r="GL9" i="5"/>
  <c r="GM9" i="5"/>
  <c r="GN9" i="5"/>
  <c r="GO9" i="5"/>
  <c r="GP9" i="5"/>
  <c r="GQ9" i="5"/>
  <c r="GR9" i="5"/>
  <c r="GS9" i="5"/>
  <c r="GT9" i="5"/>
  <c r="GU9" i="5"/>
  <c r="GV9" i="5"/>
  <c r="GW9" i="5"/>
  <c r="GX9" i="5"/>
  <c r="GY9" i="5"/>
  <c r="GZ9" i="5"/>
  <c r="HA9" i="5"/>
  <c r="HB9" i="5"/>
  <c r="HC9" i="5"/>
  <c r="HD9" i="5"/>
  <c r="HE9" i="5"/>
  <c r="HF9" i="5"/>
  <c r="HG9" i="5"/>
  <c r="HH9" i="5"/>
  <c r="HI9" i="5"/>
  <c r="HJ9" i="5"/>
  <c r="HK9" i="5"/>
  <c r="HL9" i="5"/>
  <c r="HM9" i="5"/>
  <c r="HN9" i="5"/>
  <c r="HO9" i="5"/>
  <c r="HP9" i="5"/>
  <c r="HQ9" i="5"/>
  <c r="HR9" i="5"/>
  <c r="HS9" i="5"/>
  <c r="HT9" i="5"/>
  <c r="HU9" i="5"/>
  <c r="HV9" i="5"/>
  <c r="HW9" i="5"/>
  <c r="HX9" i="5"/>
  <c r="HY9" i="5"/>
  <c r="HZ9" i="5"/>
  <c r="IA9" i="5"/>
  <c r="IB9" i="5"/>
  <c r="IC9" i="5"/>
  <c r="ID9" i="5"/>
  <c r="IE9" i="5"/>
  <c r="IF9" i="5"/>
  <c r="IG9" i="5"/>
  <c r="IH9" i="5"/>
  <c r="II9" i="5"/>
  <c r="IJ9" i="5"/>
  <c r="IK9" i="5"/>
  <c r="IL9" i="5"/>
  <c r="IM9" i="5"/>
  <c r="IN9" i="5"/>
  <c r="IO9" i="5"/>
  <c r="IP9" i="5"/>
  <c r="IQ9" i="5"/>
  <c r="IR9" i="5"/>
  <c r="IS9" i="5"/>
  <c r="IT9" i="5"/>
  <c r="IU9" i="5"/>
  <c r="IV9" i="5"/>
  <c r="IW9" i="5"/>
  <c r="IX9" i="5"/>
  <c r="IY9" i="5"/>
  <c r="IZ9" i="5"/>
  <c r="JA9" i="5"/>
  <c r="JB9" i="5"/>
  <c r="JC9" i="5"/>
  <c r="JD9" i="5"/>
  <c r="JE9" i="5"/>
  <c r="JF9" i="5"/>
  <c r="JG9" i="5"/>
  <c r="JH9" i="5"/>
  <c r="JI9" i="5"/>
  <c r="JJ9" i="5"/>
  <c r="JK9" i="5"/>
  <c r="JL9" i="5"/>
  <c r="JM9" i="5"/>
  <c r="JN9" i="5"/>
  <c r="JO9" i="5"/>
  <c r="JP9" i="5"/>
  <c r="JQ9" i="5"/>
  <c r="JR9" i="5"/>
  <c r="JS9" i="5"/>
  <c r="JT9" i="5"/>
  <c r="JU9" i="5"/>
  <c r="JV9" i="5"/>
  <c r="JW9" i="5"/>
  <c r="JX9" i="5"/>
  <c r="JY9" i="5"/>
  <c r="JZ9" i="5"/>
  <c r="KA9" i="5"/>
  <c r="KB9" i="5"/>
  <c r="KC9" i="5"/>
  <c r="KD9" i="5"/>
  <c r="KE9" i="5"/>
  <c r="KF9" i="5"/>
  <c r="KG9" i="5"/>
  <c r="KH9" i="5"/>
  <c r="KI9" i="5"/>
  <c r="KJ9" i="5"/>
  <c r="KK9" i="5"/>
  <c r="KL9" i="5"/>
  <c r="KM9" i="5"/>
  <c r="KN9" i="5"/>
  <c r="KO9" i="5"/>
  <c r="KP9" i="5"/>
  <c r="KQ9" i="5"/>
  <c r="KR9" i="5"/>
  <c r="KS9" i="5"/>
  <c r="KT9" i="5"/>
  <c r="KU9" i="5"/>
  <c r="KY9" i="5"/>
  <c r="KZ9" i="5"/>
  <c r="LA9" i="5"/>
  <c r="LB9" i="5"/>
  <c r="LC9" i="5"/>
  <c r="LD9" i="5"/>
  <c r="LE9" i="5"/>
  <c r="LF9" i="5"/>
  <c r="LG9" i="5"/>
  <c r="LH9" i="5"/>
  <c r="LI9" i="5"/>
  <c r="LL9" i="5"/>
  <c r="LM9" i="5"/>
  <c r="LN9" i="5"/>
  <c r="LT9" i="5"/>
  <c r="LU9" i="5"/>
  <c r="LV9" i="5"/>
  <c r="LW9" i="5"/>
  <c r="LX9" i="5"/>
  <c r="LY9" i="5"/>
  <c r="LZ9" i="5"/>
  <c r="MA9" i="5"/>
  <c r="ME9" i="5"/>
  <c r="MF9" i="5"/>
  <c r="MG9" i="5"/>
  <c r="MH9" i="5"/>
  <c r="MH43" i="5" s="1"/>
  <c r="MI9" i="5"/>
  <c r="MJ9" i="5"/>
  <c r="MK9" i="5"/>
  <c r="ML9" i="5"/>
  <c r="MM9" i="5"/>
  <c r="MN9" i="5"/>
  <c r="MR9" i="5"/>
  <c r="MS9" i="5"/>
  <c r="MS43" i="5" s="1"/>
  <c r="MT9" i="5"/>
  <c r="MU9" i="5"/>
  <c r="MV9" i="5"/>
  <c r="MW9" i="5"/>
  <c r="MX9" i="5"/>
  <c r="MY9" i="5"/>
  <c r="NC9" i="5"/>
  <c r="ND9" i="5"/>
  <c r="ND43" i="5" s="1"/>
  <c r="NE9" i="5"/>
  <c r="NF9" i="5"/>
  <c r="NG9" i="5"/>
  <c r="NH9" i="5"/>
  <c r="NI9" i="5"/>
  <c r="NJ9" i="5"/>
  <c r="NK9" i="5"/>
  <c r="NL9" i="5"/>
  <c r="NM9" i="5"/>
  <c r="NN9" i="5"/>
  <c r="NO9" i="5"/>
  <c r="NP9" i="5"/>
  <c r="NQ9" i="5"/>
  <c r="NR9" i="5"/>
  <c r="NS9" i="5"/>
  <c r="NT9" i="5"/>
  <c r="NU9" i="5"/>
  <c r="NV9" i="5"/>
  <c r="NZ9" i="5"/>
  <c r="OA9" i="5"/>
  <c r="OB9" i="5"/>
  <c r="OC9" i="5"/>
  <c r="OD9" i="5"/>
  <c r="OE9" i="5"/>
  <c r="OI9" i="5"/>
  <c r="OJ9" i="5"/>
  <c r="OK9" i="5"/>
  <c r="OL9" i="5"/>
  <c r="OM9" i="5"/>
  <c r="ON9" i="5"/>
  <c r="OO9" i="5"/>
  <c r="OP9" i="5"/>
  <c r="OP43" i="5" s="1"/>
  <c r="OQ9" i="5"/>
  <c r="OR9" i="5"/>
  <c r="OS9" i="5"/>
  <c r="OT9" i="5"/>
  <c r="OU9" i="5"/>
  <c r="OV9" i="5"/>
  <c r="OZ9" i="5"/>
  <c r="PA9" i="5"/>
  <c r="PB9" i="5"/>
  <c r="PC9" i="5"/>
  <c r="PD9" i="5"/>
  <c r="PE9" i="5"/>
  <c r="PF9" i="5"/>
  <c r="PG9" i="5"/>
  <c r="PH9" i="5"/>
  <c r="PI9" i="5"/>
  <c r="PJ9" i="5"/>
  <c r="PK9" i="5"/>
  <c r="PL9" i="5"/>
  <c r="PM9" i="5"/>
  <c r="PN9" i="5"/>
  <c r="PP9" i="5"/>
  <c r="PQ9" i="5"/>
  <c r="PR9" i="5"/>
  <c r="PS9" i="5"/>
  <c r="PT9" i="5"/>
  <c r="PU9" i="5"/>
  <c r="QI9" i="5"/>
  <c r="QJ9" i="5"/>
  <c r="QK9" i="5"/>
  <c r="QL9" i="5"/>
  <c r="QB9" i="5"/>
  <c r="QC9" i="5"/>
  <c r="QD9" i="5"/>
  <c r="QE9" i="5"/>
  <c r="QF9" i="5"/>
  <c r="QG9" i="5"/>
  <c r="QH9" i="5"/>
  <c r="QM9" i="5"/>
  <c r="QN9" i="5"/>
  <c r="QO9" i="5"/>
  <c r="QP9" i="5"/>
  <c r="QQ9" i="5"/>
  <c r="QR9" i="5"/>
  <c r="QS9" i="5"/>
  <c r="QT9" i="5"/>
  <c r="RB9" i="5"/>
  <c r="RC9" i="5"/>
  <c r="QU9" i="5"/>
  <c r="QV9" i="5"/>
  <c r="QW9" i="5"/>
  <c r="QX9" i="5"/>
  <c r="QY9" i="5"/>
  <c r="QZ9" i="5"/>
  <c r="RA9" i="5"/>
  <c r="RD9" i="5"/>
  <c r="RE9" i="5"/>
  <c r="PV9" i="5"/>
  <c r="PW9" i="5"/>
  <c r="PX9" i="5"/>
  <c r="PY9" i="5"/>
  <c r="PZ9" i="5"/>
  <c r="QA9" i="5"/>
  <c r="RF9" i="5"/>
  <c r="RG9" i="5"/>
  <c r="RH9" i="5"/>
  <c r="RI9" i="5"/>
  <c r="RJ9" i="5"/>
  <c r="RK9" i="5"/>
  <c r="RL9" i="5"/>
  <c r="RM9" i="5"/>
  <c r="RN9" i="5"/>
  <c r="RU9" i="5"/>
  <c r="RV9" i="5"/>
  <c r="RW9" i="5"/>
  <c r="RX9" i="5"/>
  <c r="RY9" i="5"/>
  <c r="RZ9" i="5"/>
  <c r="SA9" i="5"/>
  <c r="SB9" i="5"/>
  <c r="SC9" i="5"/>
  <c r="SD9" i="5"/>
  <c r="SE9" i="5"/>
  <c r="SF9" i="5"/>
  <c r="SG9" i="5"/>
  <c r="SH9" i="5"/>
  <c r="SI9" i="5"/>
  <c r="SJ9" i="5"/>
  <c r="SK9" i="5"/>
  <c r="SL9" i="5"/>
  <c r="SM9" i="5"/>
  <c r="SO9" i="5"/>
  <c r="SP9" i="5"/>
  <c r="I29" i="21" l="1"/>
  <c r="U29" i="21"/>
  <c r="G88" i="14"/>
  <c r="DV43" i="5"/>
  <c r="L95" i="14"/>
  <c r="CZ43" i="5"/>
  <c r="EJ43" i="5"/>
  <c r="PJ43" i="5"/>
  <c r="PB43" i="5"/>
  <c r="MT43" i="5"/>
  <c r="MI43" i="5"/>
  <c r="LX43" i="5"/>
  <c r="LC43" i="5"/>
  <c r="IN43" i="5"/>
  <c r="IF43" i="5"/>
  <c r="GR43" i="5"/>
  <c r="GJ43" i="5"/>
  <c r="FW43" i="5"/>
  <c r="FO43" i="5"/>
  <c r="NL43" i="5"/>
  <c r="NM43" i="5"/>
  <c r="FD43" i="5"/>
  <c r="EE43" i="5"/>
  <c r="CP43" i="5"/>
  <c r="K30" i="18"/>
  <c r="LJ12" i="5"/>
  <c r="LR11" i="5"/>
  <c r="LC12" i="5"/>
  <c r="LQ11" i="5"/>
  <c r="LJ9" i="5"/>
  <c r="LR9" i="5" s="1"/>
  <c r="LK9" i="5"/>
  <c r="LQ9" i="5" s="1"/>
  <c r="LW43" i="5"/>
  <c r="N45" i="15"/>
  <c r="J29" i="19"/>
  <c r="J30" i="18"/>
  <c r="BK43" i="5"/>
  <c r="AZ43" i="5"/>
  <c r="AO43" i="5"/>
  <c r="AD43" i="5"/>
  <c r="V43" i="5"/>
  <c r="Q14" i="20"/>
  <c r="P29" i="19"/>
  <c r="R29" i="19" s="1"/>
  <c r="W29" i="20"/>
  <c r="K91" i="14"/>
  <c r="N100" i="14"/>
  <c r="N13" i="15"/>
  <c r="M29" i="19"/>
  <c r="Q29" i="19" s="1"/>
  <c r="G29" i="19"/>
  <c r="L30" i="18"/>
  <c r="M29" i="18"/>
  <c r="SH43" i="5"/>
  <c r="RZ43" i="5"/>
  <c r="QZ43" i="5"/>
  <c r="QT43" i="5"/>
  <c r="QH43" i="5"/>
  <c r="QK43" i="5"/>
  <c r="PP43" i="5"/>
  <c r="PG43" i="5"/>
  <c r="OV43" i="5"/>
  <c r="ON43" i="5"/>
  <c r="MF43" i="5"/>
  <c r="KG43" i="5"/>
  <c r="JY43" i="5"/>
  <c r="JQ43" i="5"/>
  <c r="JI43" i="5"/>
  <c r="JA43" i="5"/>
  <c r="IS43" i="5"/>
  <c r="IK43" i="5"/>
  <c r="IC43" i="5"/>
  <c r="HU43" i="5"/>
  <c r="HM43" i="5"/>
  <c r="HE43" i="5"/>
  <c r="GB43" i="5"/>
  <c r="FT43" i="5"/>
  <c r="BP43" i="5"/>
  <c r="BE43" i="5"/>
  <c r="AW43" i="5"/>
  <c r="AL43" i="5"/>
  <c r="K43" i="5"/>
  <c r="SM16" i="5"/>
  <c r="SM17" i="5" s="1"/>
  <c r="SA16" i="5"/>
  <c r="SA17" i="5" s="1"/>
  <c r="RI16" i="5"/>
  <c r="RB16" i="5"/>
  <c r="RB17" i="5" s="1"/>
  <c r="QL16" i="5"/>
  <c r="QL17" i="5" s="1"/>
  <c r="PH16" i="5"/>
  <c r="PH17" i="5" s="1"/>
  <c r="Q27" i="21" s="1"/>
  <c r="OS16" i="5"/>
  <c r="OK16" i="5"/>
  <c r="OK17" i="5" s="1"/>
  <c r="NZ16" i="5"/>
  <c r="NK16" i="5"/>
  <c r="NK17" i="5" s="1"/>
  <c r="MV16" i="5"/>
  <c r="MV17" i="5" s="1"/>
  <c r="LZ16" i="5"/>
  <c r="LZ17" i="5" s="1"/>
  <c r="LE16" i="5"/>
  <c r="LE17" i="5" s="1"/>
  <c r="KP16" i="5"/>
  <c r="KP17" i="5" s="1"/>
  <c r="KH16" i="5"/>
  <c r="JZ16" i="5"/>
  <c r="JZ17" i="5" s="1"/>
  <c r="JN16" i="5"/>
  <c r="JN17" i="5" s="1"/>
  <c r="JB16" i="5"/>
  <c r="JB17" i="5" s="1"/>
  <c r="IP16" i="5"/>
  <c r="IP17" i="5" s="1"/>
  <c r="ID16" i="5"/>
  <c r="ID17" i="5" s="1"/>
  <c r="HR16" i="5"/>
  <c r="HR17" i="5" s="1"/>
  <c r="HB16" i="5"/>
  <c r="HB17" i="5" s="1"/>
  <c r="GX16" i="5"/>
  <c r="GX17" i="5" s="1"/>
  <c r="GL16" i="5"/>
  <c r="GL17" i="5" s="1"/>
  <c r="FJ16" i="5"/>
  <c r="FJ17" i="5" s="1"/>
  <c r="EB16" i="5"/>
  <c r="EB17" i="5" s="1"/>
  <c r="DJ16" i="5"/>
  <c r="DJ17" i="5" s="1"/>
  <c r="CQ16" i="5"/>
  <c r="CQ17" i="5" s="1"/>
  <c r="BD16" i="5"/>
  <c r="BD17" i="5" s="1"/>
  <c r="AD16" i="5"/>
  <c r="AD17" i="5" s="1"/>
  <c r="SL16" i="5"/>
  <c r="SL17" i="5" s="1"/>
  <c r="SH16" i="5"/>
  <c r="SH17" i="5" s="1"/>
  <c r="SD16" i="5"/>
  <c r="SD17" i="5" s="1"/>
  <c r="RZ16" i="5"/>
  <c r="RZ17" i="5" s="1"/>
  <c r="RV16" i="5"/>
  <c r="RV17" i="5" s="1"/>
  <c r="RL16" i="5"/>
  <c r="RL17" i="5" s="1"/>
  <c r="RH16" i="5"/>
  <c r="RH17" i="5" s="1"/>
  <c r="PZ16" i="5"/>
  <c r="PZ17" i="5" s="1"/>
  <c r="PV16" i="5"/>
  <c r="PV17" i="5" s="1"/>
  <c r="QZ16" i="5"/>
  <c r="QZ17" i="5" s="1"/>
  <c r="QV16" i="5"/>
  <c r="QV17" i="5" s="1"/>
  <c r="QT16" i="5"/>
  <c r="QT17" i="5" s="1"/>
  <c r="QP16" i="5"/>
  <c r="QH16" i="5"/>
  <c r="QH17" i="5" s="1"/>
  <c r="QD16" i="5"/>
  <c r="QD17" i="5" s="1"/>
  <c r="QK16" i="5"/>
  <c r="QK17" i="5" s="1"/>
  <c r="PT16" i="5"/>
  <c r="PT17" i="5" s="1"/>
  <c r="PP16" i="5"/>
  <c r="PP17" i="5" s="1"/>
  <c r="PK16" i="5"/>
  <c r="PK17" i="5" s="1"/>
  <c r="PG16" i="5"/>
  <c r="PG17" i="5" s="1"/>
  <c r="O27" i="21" s="1"/>
  <c r="PC16" i="5"/>
  <c r="PC17" i="5" s="1"/>
  <c r="E27" i="21" s="1"/>
  <c r="OV16" i="5"/>
  <c r="OV17" i="5" s="1"/>
  <c r="OR16" i="5"/>
  <c r="OR17" i="5" s="1"/>
  <c r="ON16" i="5"/>
  <c r="ON17" i="5" s="1"/>
  <c r="OJ16" i="5"/>
  <c r="OJ17" i="5" s="1"/>
  <c r="OC16" i="5"/>
  <c r="OC17" i="5" s="1"/>
  <c r="NV16" i="5"/>
  <c r="NV17" i="5" s="1"/>
  <c r="NR16" i="5"/>
  <c r="NR17" i="5" s="1"/>
  <c r="NN16" i="5"/>
  <c r="NN17" i="5" s="1"/>
  <c r="NJ16" i="5"/>
  <c r="NJ17" i="5" s="1"/>
  <c r="NF16" i="5"/>
  <c r="NF17" i="5" s="1"/>
  <c r="MY16" i="5"/>
  <c r="MY17" i="5" s="1"/>
  <c r="MU16" i="5"/>
  <c r="MU17" i="5" s="1"/>
  <c r="MN16" i="5"/>
  <c r="MN17" i="5" s="1"/>
  <c r="MJ16" i="5"/>
  <c r="MJ17" i="5" s="1"/>
  <c r="MF16" i="5"/>
  <c r="MF17" i="5" s="1"/>
  <c r="LY16" i="5"/>
  <c r="LY17" i="5" s="1"/>
  <c r="LU16" i="5"/>
  <c r="LU17" i="5" s="1"/>
  <c r="LL16" i="5"/>
  <c r="LL17" i="5" s="1"/>
  <c r="LH16" i="5"/>
  <c r="LH17" i="5" s="1"/>
  <c r="LD16" i="5"/>
  <c r="LD17" i="5" s="1"/>
  <c r="KZ16" i="5"/>
  <c r="KZ17" i="5" s="1"/>
  <c r="KS16" i="5"/>
  <c r="KS17" i="5" s="1"/>
  <c r="KO16" i="5"/>
  <c r="KO17" i="5" s="1"/>
  <c r="KK16" i="5"/>
  <c r="KK17" i="5" s="1"/>
  <c r="KG16" i="5"/>
  <c r="KG17" i="5" s="1"/>
  <c r="KC16" i="5"/>
  <c r="KC17" i="5" s="1"/>
  <c r="JY16" i="5"/>
  <c r="JY17" i="5" s="1"/>
  <c r="JU16" i="5"/>
  <c r="JU17" i="5" s="1"/>
  <c r="JQ16" i="5"/>
  <c r="JQ17" i="5" s="1"/>
  <c r="JM16" i="5"/>
  <c r="JM17" i="5" s="1"/>
  <c r="JI16" i="5"/>
  <c r="JI17" i="5" s="1"/>
  <c r="JE16" i="5"/>
  <c r="JE17" i="5" s="1"/>
  <c r="JA16" i="5"/>
  <c r="IW16" i="5"/>
  <c r="IW17" i="5" s="1"/>
  <c r="IS16" i="5"/>
  <c r="IS17" i="5" s="1"/>
  <c r="IO16" i="5"/>
  <c r="IO17" i="5" s="1"/>
  <c r="IK16" i="5"/>
  <c r="IK17" i="5" s="1"/>
  <c r="IG16" i="5"/>
  <c r="IG17" i="5" s="1"/>
  <c r="IC16" i="5"/>
  <c r="IC17" i="5" s="1"/>
  <c r="HY16" i="5"/>
  <c r="HU16" i="5"/>
  <c r="HU17" i="5" s="1"/>
  <c r="HQ16" i="5"/>
  <c r="HQ17" i="5" s="1"/>
  <c r="HM16" i="5"/>
  <c r="HM17" i="5" s="1"/>
  <c r="HI16" i="5"/>
  <c r="HI17" i="5" s="1"/>
  <c r="HE16" i="5"/>
  <c r="HE17" i="5" s="1"/>
  <c r="HA16" i="5"/>
  <c r="HA17" i="5" s="1"/>
  <c r="GW16" i="5"/>
  <c r="GW17" i="5" s="1"/>
  <c r="GS16" i="5"/>
  <c r="GS17" i="5" s="1"/>
  <c r="GO16" i="5"/>
  <c r="GO17" i="5" s="1"/>
  <c r="GK16" i="5"/>
  <c r="GK17" i="5" s="1"/>
  <c r="GB16" i="5"/>
  <c r="GB17" i="5" s="1"/>
  <c r="FX16" i="5"/>
  <c r="FX17" i="5" s="1"/>
  <c r="FT16" i="5"/>
  <c r="FT17" i="5" s="1"/>
  <c r="FP16" i="5"/>
  <c r="FP17" i="5" s="1"/>
  <c r="FI16" i="5"/>
  <c r="FI17" i="5" s="1"/>
  <c r="FE16" i="5"/>
  <c r="EW16" i="5"/>
  <c r="EL16" i="5"/>
  <c r="EL17" i="5" s="1"/>
  <c r="EA16" i="5"/>
  <c r="EA17" i="5" s="1"/>
  <c r="DT16" i="5"/>
  <c r="DM16" i="5"/>
  <c r="DM17" i="5" s="1"/>
  <c r="DI16" i="5"/>
  <c r="DI17" i="5" s="1"/>
  <c r="DB16" i="5"/>
  <c r="DB17" i="5" s="1"/>
  <c r="CT16" i="5"/>
  <c r="CT17" i="5" s="1"/>
  <c r="CP16" i="5"/>
  <c r="CP17" i="5" s="1"/>
  <c r="BR16" i="5"/>
  <c r="BR17" i="5" s="1"/>
  <c r="BN16" i="5"/>
  <c r="BN17" i="5" s="1"/>
  <c r="BJ16" i="5"/>
  <c r="BJ17" i="5" s="1"/>
  <c r="BC16" i="5"/>
  <c r="BC17" i="5" s="1"/>
  <c r="AY16" i="5"/>
  <c r="AY17" i="5" s="1"/>
  <c r="AR16" i="5"/>
  <c r="AR17" i="5" s="1"/>
  <c r="AN16" i="5"/>
  <c r="AN17" i="5" s="1"/>
  <c r="AJ16" i="5"/>
  <c r="AJ17" i="5" s="1"/>
  <c r="AC16" i="5"/>
  <c r="AC17" i="5" s="1"/>
  <c r="Y16" i="5"/>
  <c r="Y17" i="5" s="1"/>
  <c r="U16" i="5"/>
  <c r="U17" i="5" s="1"/>
  <c r="Q16" i="5"/>
  <c r="Q17" i="5" s="1"/>
  <c r="M16" i="5"/>
  <c r="M17" i="5" s="1"/>
  <c r="I16" i="5"/>
  <c r="I17" i="5" s="1"/>
  <c r="QY43" i="5"/>
  <c r="QS43" i="5"/>
  <c r="QG43" i="5"/>
  <c r="QJ43" i="5"/>
  <c r="PF43" i="5"/>
  <c r="OU43" i="5"/>
  <c r="OM43" i="5"/>
  <c r="OB43" i="5"/>
  <c r="ME43" i="5"/>
  <c r="KF43" i="5"/>
  <c r="JX43" i="5"/>
  <c r="JH43" i="5"/>
  <c r="IZ43" i="5"/>
  <c r="IR43" i="5"/>
  <c r="IB43" i="5"/>
  <c r="HT43" i="5"/>
  <c r="HL43" i="5"/>
  <c r="HD43" i="5"/>
  <c r="GV43" i="5"/>
  <c r="GA43" i="5"/>
  <c r="R43" i="5"/>
  <c r="J43" i="5"/>
  <c r="SE16" i="5"/>
  <c r="SE17" i="5" s="1"/>
  <c r="RM16" i="5"/>
  <c r="RM17" i="5" s="1"/>
  <c r="QA16" i="5"/>
  <c r="QA17" i="5" s="1"/>
  <c r="RA16" i="5"/>
  <c r="RA17" i="5" s="1"/>
  <c r="QQ16" i="5"/>
  <c r="QQ17" i="5" s="1"/>
  <c r="QE16" i="5"/>
  <c r="QE17" i="5" s="1"/>
  <c r="PL16" i="5"/>
  <c r="PL17" i="5" s="1"/>
  <c r="OZ16" i="5"/>
  <c r="OZ17" i="5" s="1"/>
  <c r="OD16" i="5"/>
  <c r="OD17" i="5" s="1"/>
  <c r="NO16" i="5"/>
  <c r="NO17" i="5" s="1"/>
  <c r="NC16" i="5"/>
  <c r="NC17" i="5" s="1"/>
  <c r="MR16" i="5"/>
  <c r="MR17" i="5" s="1"/>
  <c r="MG16" i="5"/>
  <c r="MG17" i="5" s="1"/>
  <c r="LM16" i="5"/>
  <c r="LA16" i="5"/>
  <c r="KL16" i="5"/>
  <c r="JV16" i="5"/>
  <c r="JV17" i="5" s="1"/>
  <c r="JJ16" i="5"/>
  <c r="IX16" i="5"/>
  <c r="IX17" i="5" s="1"/>
  <c r="IL16" i="5"/>
  <c r="IL17" i="5" s="1"/>
  <c r="HZ16" i="5"/>
  <c r="HZ17" i="5" s="1"/>
  <c r="HN16" i="5"/>
  <c r="HF16" i="5"/>
  <c r="HF17" i="5" s="1"/>
  <c r="GT16" i="5"/>
  <c r="GT17" i="5" s="1"/>
  <c r="GE16" i="5"/>
  <c r="GE17" i="5" s="1"/>
  <c r="FU16" i="5"/>
  <c r="FB16" i="5"/>
  <c r="FB17" i="5" s="1"/>
  <c r="EF16" i="5"/>
  <c r="EF17" i="5" s="1"/>
  <c r="DN16" i="5"/>
  <c r="DN17" i="5" s="1"/>
  <c r="DC16" i="5"/>
  <c r="DC17" i="5" s="1"/>
  <c r="CM16" i="5"/>
  <c r="CM17" i="5" s="1"/>
  <c r="BK16" i="5"/>
  <c r="BK17" i="5" s="1"/>
  <c r="AV16" i="5"/>
  <c r="AV17" i="5" s="1"/>
  <c r="AK16" i="5"/>
  <c r="AK17" i="5" s="1"/>
  <c r="V16" i="5"/>
  <c r="V17" i="5" s="1"/>
  <c r="N16" i="5"/>
  <c r="N17" i="5" s="1"/>
  <c r="J16" i="5"/>
  <c r="J17" i="5" s="1"/>
  <c r="IO43" i="5"/>
  <c r="IG43" i="5"/>
  <c r="GS43" i="5"/>
  <c r="GK43" i="5"/>
  <c r="FX43" i="5"/>
  <c r="SP16" i="5"/>
  <c r="SP17" i="5" s="1"/>
  <c r="SK16" i="5"/>
  <c r="SK17" i="5" s="1"/>
  <c r="SG16" i="5"/>
  <c r="SG17" i="5" s="1"/>
  <c r="SC16" i="5"/>
  <c r="SC17" i="5" s="1"/>
  <c r="RY16" i="5"/>
  <c r="RY17" i="5" s="1"/>
  <c r="RU16" i="5"/>
  <c r="RU17" i="5" s="1"/>
  <c r="RK16" i="5"/>
  <c r="RK17" i="5" s="1"/>
  <c r="RG16" i="5"/>
  <c r="RG17" i="5" s="1"/>
  <c r="PY16" i="5"/>
  <c r="PY17" i="5" s="1"/>
  <c r="RE16" i="5"/>
  <c r="RE17" i="5" s="1"/>
  <c r="QY16" i="5"/>
  <c r="QY17" i="5" s="1"/>
  <c r="QU16" i="5"/>
  <c r="QU17" i="5" s="1"/>
  <c r="QS16" i="5"/>
  <c r="QS17" i="5" s="1"/>
  <c r="QO16" i="5"/>
  <c r="QO17" i="5" s="1"/>
  <c r="QG16" i="5"/>
  <c r="QG17" i="5" s="1"/>
  <c r="QC16" i="5"/>
  <c r="QC17" i="5" s="1"/>
  <c r="QJ16" i="5"/>
  <c r="PS16" i="5"/>
  <c r="PS17" i="5" s="1"/>
  <c r="PN16" i="5"/>
  <c r="PN17" i="5" s="1"/>
  <c r="PJ16" i="5"/>
  <c r="PJ17" i="5" s="1"/>
  <c r="PF16" i="5"/>
  <c r="PF17" i="5" s="1"/>
  <c r="M27" i="21" s="1"/>
  <c r="PB16" i="5"/>
  <c r="PB17" i="5" s="1"/>
  <c r="C27" i="21" s="1"/>
  <c r="OU16" i="5"/>
  <c r="OQ16" i="5"/>
  <c r="OQ17" i="5" s="1"/>
  <c r="OM16" i="5"/>
  <c r="OM17" i="5" s="1"/>
  <c r="OI16" i="5"/>
  <c r="OI17" i="5" s="1"/>
  <c r="OB16" i="5"/>
  <c r="OB17" i="5" s="1"/>
  <c r="NU16" i="5"/>
  <c r="NQ16" i="5"/>
  <c r="NQ17" i="5" s="1"/>
  <c r="NM16" i="5"/>
  <c r="NM17" i="5" s="1"/>
  <c r="NI16" i="5"/>
  <c r="NI17" i="5" s="1"/>
  <c r="NE16" i="5"/>
  <c r="NE17" i="5" s="1"/>
  <c r="MX16" i="5"/>
  <c r="MX17" i="5" s="1"/>
  <c r="MT16" i="5"/>
  <c r="MT17" i="5" s="1"/>
  <c r="MM16" i="5"/>
  <c r="MM17" i="5" s="1"/>
  <c r="MI16" i="5"/>
  <c r="MI17" i="5" s="1"/>
  <c r="ME16" i="5"/>
  <c r="ME17" i="5" s="1"/>
  <c r="LX16" i="5"/>
  <c r="LX17" i="5" s="1"/>
  <c r="LT16" i="5"/>
  <c r="LT17" i="5" s="1"/>
  <c r="LK16" i="5"/>
  <c r="LG16" i="5"/>
  <c r="LC16" i="5"/>
  <c r="KY16" i="5"/>
  <c r="KY17" i="5" s="1"/>
  <c r="KR16" i="5"/>
  <c r="KR17" i="5" s="1"/>
  <c r="KN16" i="5"/>
  <c r="KN17" i="5" s="1"/>
  <c r="KJ16" i="5"/>
  <c r="KJ17" i="5" s="1"/>
  <c r="KF16" i="5"/>
  <c r="KB16" i="5"/>
  <c r="KB17" i="5" s="1"/>
  <c r="JX16" i="5"/>
  <c r="JX17" i="5" s="1"/>
  <c r="JT16" i="5"/>
  <c r="JT17" i="5" s="1"/>
  <c r="JP16" i="5"/>
  <c r="JP17" i="5" s="1"/>
  <c r="JL16" i="5"/>
  <c r="JL17" i="5" s="1"/>
  <c r="JH16" i="5"/>
  <c r="JH17" i="5" s="1"/>
  <c r="JD16" i="5"/>
  <c r="JD17" i="5" s="1"/>
  <c r="IZ16" i="5"/>
  <c r="IZ17" i="5" s="1"/>
  <c r="IV16" i="5"/>
  <c r="IV17" i="5" s="1"/>
  <c r="IR16" i="5"/>
  <c r="IN16" i="5"/>
  <c r="IN17" i="5" s="1"/>
  <c r="IJ16" i="5"/>
  <c r="IJ17" i="5" s="1"/>
  <c r="IF16" i="5"/>
  <c r="IF17" i="5" s="1"/>
  <c r="IB16" i="5"/>
  <c r="IB17" i="5" s="1"/>
  <c r="HX16" i="5"/>
  <c r="HX17" i="5" s="1"/>
  <c r="HT16" i="5"/>
  <c r="HT17" i="5" s="1"/>
  <c r="HP16" i="5"/>
  <c r="HL16" i="5"/>
  <c r="HH16" i="5"/>
  <c r="HD16" i="5"/>
  <c r="HD17" i="5" s="1"/>
  <c r="GZ16" i="5"/>
  <c r="GV16" i="5"/>
  <c r="GV17" i="5" s="1"/>
  <c r="GR16" i="5"/>
  <c r="GR17" i="5" s="1"/>
  <c r="GN16" i="5"/>
  <c r="GN17" i="5" s="1"/>
  <c r="GJ16" i="5"/>
  <c r="GJ17" i="5" s="1"/>
  <c r="GA16" i="5"/>
  <c r="GA17" i="5" s="1"/>
  <c r="FW16" i="5"/>
  <c r="FW17" i="5" s="1"/>
  <c r="FS16" i="5"/>
  <c r="FS17" i="5" s="1"/>
  <c r="FO16" i="5"/>
  <c r="FO17" i="5" s="1"/>
  <c r="FH16" i="5"/>
  <c r="FH17" i="5" s="1"/>
  <c r="FD16" i="5"/>
  <c r="FD17" i="5" s="1"/>
  <c r="EO16" i="5"/>
  <c r="EO17" i="5" s="1"/>
  <c r="EK16" i="5"/>
  <c r="EK17" i="5" s="1"/>
  <c r="ED16" i="5"/>
  <c r="ED17" i="5" s="1"/>
  <c r="DW16" i="5"/>
  <c r="DW17" i="5" s="1"/>
  <c r="DS16" i="5"/>
  <c r="DS17" i="5" s="1"/>
  <c r="DL16" i="5"/>
  <c r="DL17" i="5" s="1"/>
  <c r="DE16" i="5"/>
  <c r="DE17" i="5" s="1"/>
  <c r="DA16" i="5"/>
  <c r="DA17" i="5" s="1"/>
  <c r="CS16" i="5"/>
  <c r="CS17" i="5" s="1"/>
  <c r="CO16" i="5"/>
  <c r="CO17" i="5" s="1"/>
  <c r="BQ16" i="5"/>
  <c r="BQ17" i="5" s="1"/>
  <c r="BM16" i="5"/>
  <c r="BM17" i="5" s="1"/>
  <c r="BI16" i="5"/>
  <c r="BI17" i="5" s="1"/>
  <c r="BB16" i="5"/>
  <c r="BB17" i="5" s="1"/>
  <c r="AX16" i="5"/>
  <c r="AX17" i="5" s="1"/>
  <c r="AQ16" i="5"/>
  <c r="AQ17" i="5" s="1"/>
  <c r="AM16" i="5"/>
  <c r="AM17" i="5" s="1"/>
  <c r="AI16" i="5"/>
  <c r="AI17" i="5" s="1"/>
  <c r="AB16" i="5"/>
  <c r="AB17" i="5" s="1"/>
  <c r="X16" i="5"/>
  <c r="X17" i="5" s="1"/>
  <c r="T16" i="5"/>
  <c r="T17" i="5" s="1"/>
  <c r="P16" i="5"/>
  <c r="P17" i="5" s="1"/>
  <c r="L16" i="5"/>
  <c r="L17" i="5" s="1"/>
  <c r="H16" i="5"/>
  <c r="H17" i="5" s="1"/>
  <c r="QX43" i="5"/>
  <c r="QR43" i="5"/>
  <c r="QF43" i="5"/>
  <c r="QI43" i="5"/>
  <c r="PE43" i="5"/>
  <c r="OL43" i="5"/>
  <c r="OA43" i="5"/>
  <c r="NP43" i="5"/>
  <c r="NH43" i="5"/>
  <c r="LN43" i="5"/>
  <c r="LF43" i="5"/>
  <c r="KM43" i="5"/>
  <c r="JW43" i="5"/>
  <c r="JO43" i="5"/>
  <c r="JG43" i="5"/>
  <c r="IY43" i="5"/>
  <c r="IQ43" i="5"/>
  <c r="IA43" i="5"/>
  <c r="HS43" i="5"/>
  <c r="HK43" i="5"/>
  <c r="HC43" i="5"/>
  <c r="FZ43" i="5"/>
  <c r="I43" i="5"/>
  <c r="SI16" i="5"/>
  <c r="RW16" i="5"/>
  <c r="RW17" i="5" s="1"/>
  <c r="PW16" i="5"/>
  <c r="PW17" i="5" s="1"/>
  <c r="QW16" i="5"/>
  <c r="QW17" i="5" s="1"/>
  <c r="QM16" i="5"/>
  <c r="PU16" i="5"/>
  <c r="PU17" i="5" s="1"/>
  <c r="PQ16" i="5"/>
  <c r="PQ17" i="5" s="1"/>
  <c r="PD16" i="5"/>
  <c r="PD17" i="5" s="1"/>
  <c r="G27" i="21" s="1"/>
  <c r="OO16" i="5"/>
  <c r="NS16" i="5"/>
  <c r="NS17" i="5" s="1"/>
  <c r="NG16" i="5"/>
  <c r="NG17" i="5" s="1"/>
  <c r="MK16" i="5"/>
  <c r="MK17" i="5" s="1"/>
  <c r="LV16" i="5"/>
  <c r="LV17" i="5" s="1"/>
  <c r="LI16" i="5"/>
  <c r="LI17" i="5" s="1"/>
  <c r="KT16" i="5"/>
  <c r="KT17" i="5" s="1"/>
  <c r="KD16" i="5"/>
  <c r="KD17" i="5" s="1"/>
  <c r="JR16" i="5"/>
  <c r="JF16" i="5"/>
  <c r="JF17" i="5" s="1"/>
  <c r="IT16" i="5"/>
  <c r="IT17" i="5" s="1"/>
  <c r="IH16" i="5"/>
  <c r="IH17" i="5" s="1"/>
  <c r="HV16" i="5"/>
  <c r="HV17" i="5" s="1"/>
  <c r="HJ16" i="5"/>
  <c r="HJ17" i="5" s="1"/>
  <c r="GP16" i="5"/>
  <c r="GP17" i="5" s="1"/>
  <c r="FY16" i="5"/>
  <c r="FY17" i="5" s="1"/>
  <c r="FQ16" i="5"/>
  <c r="FF16" i="5"/>
  <c r="FF17" i="5" s="1"/>
  <c r="EM16" i="5"/>
  <c r="EM17" i="5" s="1"/>
  <c r="DU16" i="5"/>
  <c r="DU17" i="5" s="1"/>
  <c r="CU16" i="5"/>
  <c r="BO16" i="5"/>
  <c r="BO17" i="5" s="1"/>
  <c r="BO41" i="5" s="1"/>
  <c r="AZ16" i="5"/>
  <c r="AZ17" i="5" s="1"/>
  <c r="AO16" i="5"/>
  <c r="AO17" i="5" s="1"/>
  <c r="Z16" i="5"/>
  <c r="Z17" i="5" s="1"/>
  <c r="R16" i="5"/>
  <c r="R17" i="5" s="1"/>
  <c r="SO16" i="5"/>
  <c r="SO17" i="5" s="1"/>
  <c r="SJ16" i="5"/>
  <c r="SJ17" i="5" s="1"/>
  <c r="SF16" i="5"/>
  <c r="SB16" i="5"/>
  <c r="SB17" i="5" s="1"/>
  <c r="RX16" i="5"/>
  <c r="RX17" i="5" s="1"/>
  <c r="RN16" i="5"/>
  <c r="RN17" i="5" s="1"/>
  <c r="RJ16" i="5"/>
  <c r="RF16" i="5"/>
  <c r="RF17" i="5" s="1"/>
  <c r="PX16" i="5"/>
  <c r="PX17" i="5" s="1"/>
  <c r="RD16" i="5"/>
  <c r="RD17" i="5" s="1"/>
  <c r="QX16" i="5"/>
  <c r="RC16" i="5"/>
  <c r="RC17" i="5" s="1"/>
  <c r="QR16" i="5"/>
  <c r="QR17" i="5" s="1"/>
  <c r="QN16" i="5"/>
  <c r="QN17" i="5" s="1"/>
  <c r="QF16" i="5"/>
  <c r="QB16" i="5"/>
  <c r="QB17" i="5" s="1"/>
  <c r="QI16" i="5"/>
  <c r="QI17" i="5" s="1"/>
  <c r="PR16" i="5"/>
  <c r="PR17" i="5" s="1"/>
  <c r="PM16" i="5"/>
  <c r="PI16" i="5"/>
  <c r="PI17" i="5" s="1"/>
  <c r="S27" i="21" s="1"/>
  <c r="PE16" i="5"/>
  <c r="PE17" i="5" s="1"/>
  <c r="PA16" i="5"/>
  <c r="PA17" i="5" s="1"/>
  <c r="OT16" i="5"/>
  <c r="OP16" i="5"/>
  <c r="OP17" i="5" s="1"/>
  <c r="OL16" i="5"/>
  <c r="OL17" i="5" s="1"/>
  <c r="OE16" i="5"/>
  <c r="OE17" i="5" s="1"/>
  <c r="OA16" i="5"/>
  <c r="NT16" i="5"/>
  <c r="NT17" i="5" s="1"/>
  <c r="NP16" i="5"/>
  <c r="NP17" i="5" s="1"/>
  <c r="NL16" i="5"/>
  <c r="NL17" i="5" s="1"/>
  <c r="NH16" i="5"/>
  <c r="ND16" i="5"/>
  <c r="ND17" i="5" s="1"/>
  <c r="MW16" i="5"/>
  <c r="MW17" i="5" s="1"/>
  <c r="MS16" i="5"/>
  <c r="MS17" i="5" s="1"/>
  <c r="ML16" i="5"/>
  <c r="ML17" i="5" s="1"/>
  <c r="MH16" i="5"/>
  <c r="MH17" i="5" s="1"/>
  <c r="MA16" i="5"/>
  <c r="MA17" i="5" s="1"/>
  <c r="LW16" i="5"/>
  <c r="LW17" i="5" s="1"/>
  <c r="LN16" i="5"/>
  <c r="LJ16" i="5"/>
  <c r="LF16" i="5"/>
  <c r="LF17" i="5" s="1"/>
  <c r="LB16" i="5"/>
  <c r="KU16" i="5"/>
  <c r="KU17" i="5" s="1"/>
  <c r="KQ16" i="5"/>
  <c r="KQ17" i="5" s="1"/>
  <c r="KM16" i="5"/>
  <c r="KM17" i="5" s="1"/>
  <c r="KI16" i="5"/>
  <c r="KI17" i="5" s="1"/>
  <c r="KE16" i="5"/>
  <c r="KA16" i="5"/>
  <c r="KA17" i="5" s="1"/>
  <c r="JW16" i="5"/>
  <c r="JW17" i="5" s="1"/>
  <c r="JS16" i="5"/>
  <c r="JS17" i="5" s="1"/>
  <c r="JO16" i="5"/>
  <c r="JK16" i="5"/>
  <c r="JK17" i="5" s="1"/>
  <c r="JG16" i="5"/>
  <c r="JG17" i="5" s="1"/>
  <c r="JC16" i="5"/>
  <c r="JC17" i="5" s="1"/>
  <c r="IY16" i="5"/>
  <c r="IU16" i="5"/>
  <c r="IU17" i="5" s="1"/>
  <c r="IQ16" i="5"/>
  <c r="IQ17" i="5" s="1"/>
  <c r="IM16" i="5"/>
  <c r="IM17" i="5" s="1"/>
  <c r="II16" i="5"/>
  <c r="II17" i="5" s="1"/>
  <c r="IE16" i="5"/>
  <c r="IE17" i="5" s="1"/>
  <c r="IA16" i="5"/>
  <c r="IA17" i="5" s="1"/>
  <c r="HW16" i="5"/>
  <c r="HW17" i="5" s="1"/>
  <c r="HS16" i="5"/>
  <c r="HO16" i="5"/>
  <c r="HO17" i="5" s="1"/>
  <c r="HK16" i="5"/>
  <c r="HK17" i="5" s="1"/>
  <c r="HG16" i="5"/>
  <c r="HG17" i="5" s="1"/>
  <c r="HC16" i="5"/>
  <c r="GY16" i="5"/>
  <c r="GY17" i="5" s="1"/>
  <c r="GU16" i="5"/>
  <c r="GU17" i="5" s="1"/>
  <c r="GQ16" i="5"/>
  <c r="GQ17" i="5" s="1"/>
  <c r="GM16" i="5"/>
  <c r="GF16" i="5"/>
  <c r="GF17" i="5" s="1"/>
  <c r="FZ16" i="5"/>
  <c r="FZ17" i="5" s="1"/>
  <c r="FV16" i="5"/>
  <c r="FV17" i="5" s="1"/>
  <c r="FR16" i="5"/>
  <c r="FK16" i="5"/>
  <c r="FK17" i="5" s="1"/>
  <c r="FG16" i="5"/>
  <c r="FG17" i="5" s="1"/>
  <c r="FC16" i="5"/>
  <c r="FC17" i="5" s="1"/>
  <c r="EN16" i="5"/>
  <c r="EJ16" i="5"/>
  <c r="EJ17" i="5" s="1"/>
  <c r="EC16" i="5"/>
  <c r="EC17" i="5" s="1"/>
  <c r="DV16" i="5"/>
  <c r="DV17" i="5" s="1"/>
  <c r="DR16" i="5"/>
  <c r="DR17" i="5" s="1"/>
  <c r="DK16" i="5"/>
  <c r="DK17" i="5" s="1"/>
  <c r="DD16" i="5"/>
  <c r="DD17" i="5" s="1"/>
  <c r="CZ16" i="5"/>
  <c r="CZ17" i="5" s="1"/>
  <c r="CR16" i="5"/>
  <c r="CN16" i="5"/>
  <c r="CN17" i="5" s="1"/>
  <c r="BP16" i="5"/>
  <c r="BP17" i="5" s="1"/>
  <c r="BL16" i="5"/>
  <c r="BL17" i="5" s="1"/>
  <c r="BE16" i="5"/>
  <c r="BA16" i="5"/>
  <c r="BA17" i="5" s="1"/>
  <c r="AW16" i="5"/>
  <c r="AW17" i="5" s="1"/>
  <c r="AP16" i="5"/>
  <c r="AP17" i="5" s="1"/>
  <c r="AL16" i="5"/>
  <c r="AE16" i="5"/>
  <c r="AE17" i="5" s="1"/>
  <c r="AA16" i="5"/>
  <c r="AA17" i="5" s="1"/>
  <c r="W16" i="5"/>
  <c r="W17" i="5" s="1"/>
  <c r="S16" i="5"/>
  <c r="O16" i="5"/>
  <c r="O17" i="5" s="1"/>
  <c r="K16" i="5"/>
  <c r="K17" i="5" s="1"/>
  <c r="G16" i="5"/>
  <c r="G17" i="5" s="1"/>
  <c r="RA43" i="5"/>
  <c r="QM23" i="5"/>
  <c r="Y17" i="21"/>
  <c r="QL43" i="5"/>
  <c r="PQ43" i="5"/>
  <c r="PH43" i="5"/>
  <c r="OZ43" i="5"/>
  <c r="OD43" i="5"/>
  <c r="LA43" i="5"/>
  <c r="KP43" i="5"/>
  <c r="JZ43" i="5"/>
  <c r="JB43" i="5"/>
  <c r="IT43" i="5"/>
  <c r="IL43" i="5"/>
  <c r="ID43" i="5"/>
  <c r="HV43" i="5"/>
  <c r="HN43" i="5"/>
  <c r="GP43" i="5"/>
  <c r="GE43" i="5"/>
  <c r="FU43" i="5"/>
  <c r="FJ43" i="5"/>
  <c r="FB43" i="5"/>
  <c r="T43" i="5"/>
  <c r="L43" i="5"/>
  <c r="KH43" i="5"/>
  <c r="JR43" i="5"/>
  <c r="JP43" i="5"/>
  <c r="BN43" i="5"/>
  <c r="BC43" i="5"/>
  <c r="AR43" i="5"/>
  <c r="AJ43" i="5"/>
  <c r="RB43" i="5"/>
  <c r="NS43" i="5"/>
  <c r="MR43" i="5"/>
  <c r="LI43" i="5"/>
  <c r="NJ43" i="5"/>
  <c r="BM43" i="5"/>
  <c r="BB43" i="5"/>
  <c r="AQ43" i="5"/>
  <c r="X43" i="5"/>
  <c r="RV43" i="5"/>
  <c r="QV43" i="5"/>
  <c r="QP43" i="5"/>
  <c r="QD43" i="5"/>
  <c r="PT43" i="5"/>
  <c r="PC43" i="5"/>
  <c r="OR43" i="5"/>
  <c r="OJ43" i="5"/>
  <c r="NV43" i="5"/>
  <c r="NF43" i="5"/>
  <c r="LD43" i="5"/>
  <c r="KS43" i="5"/>
  <c r="KK43" i="5"/>
  <c r="KC43" i="5"/>
  <c r="JU43" i="5"/>
  <c r="BL43" i="5"/>
  <c r="BA43" i="5"/>
  <c r="AP43" i="5"/>
  <c r="O43" i="5"/>
  <c r="G43" i="5"/>
  <c r="QW43" i="5"/>
  <c r="PL43" i="5"/>
  <c r="LZ43" i="5"/>
  <c r="KT43" i="5"/>
  <c r="GT43" i="5"/>
  <c r="PD43" i="5"/>
  <c r="MK43" i="5"/>
  <c r="IH43" i="5"/>
  <c r="GL43" i="5"/>
  <c r="FY43" i="5"/>
  <c r="FQ43" i="5"/>
  <c r="FF43" i="5"/>
  <c r="Q43" i="5"/>
  <c r="QQ43" i="5"/>
  <c r="QE43" i="5"/>
  <c r="PU43" i="5"/>
  <c r="OS43" i="5"/>
  <c r="OK43" i="5"/>
  <c r="NZ43" i="5"/>
  <c r="NO43" i="5"/>
  <c r="NG43" i="5"/>
  <c r="MV43" i="5"/>
  <c r="LM43" i="5"/>
  <c r="E54" i="13" s="1"/>
  <c r="LE43" i="5"/>
  <c r="KL43" i="5"/>
  <c r="KD43" i="5"/>
  <c r="JV43" i="5"/>
  <c r="JN43" i="5"/>
  <c r="JF43" i="5"/>
  <c r="IX43" i="5"/>
  <c r="IP43" i="5"/>
  <c r="HZ43" i="5"/>
  <c r="HR43" i="5"/>
  <c r="HJ43" i="5"/>
  <c r="HB43" i="5"/>
  <c r="DM43" i="5"/>
  <c r="P43" i="5"/>
  <c r="H43" i="5"/>
  <c r="JM43" i="5"/>
  <c r="JE43" i="5"/>
  <c r="IW43" i="5"/>
  <c r="HY43" i="5"/>
  <c r="HQ43" i="5"/>
  <c r="HI43" i="5"/>
  <c r="HA43" i="5"/>
  <c r="EK43" i="5"/>
  <c r="DW43" i="5"/>
  <c r="DL43" i="5"/>
  <c r="DA43" i="5"/>
  <c r="CO43" i="5"/>
  <c r="GX43" i="5"/>
  <c r="DI43" i="5"/>
  <c r="BQ43" i="5"/>
  <c r="AX43" i="5"/>
  <c r="AB43" i="5"/>
  <c r="M43" i="5"/>
  <c r="OC43" i="5"/>
  <c r="EO43" i="5"/>
  <c r="ED43" i="5"/>
  <c r="DS43" i="5"/>
  <c r="DE43" i="5"/>
  <c r="OO43" i="5"/>
  <c r="NC43" i="5"/>
  <c r="MG43" i="5"/>
  <c r="QU43" i="5"/>
  <c r="QO43" i="5"/>
  <c r="QC43" i="5"/>
  <c r="PS43" i="5"/>
  <c r="OQ43" i="5"/>
  <c r="OI43" i="5"/>
  <c r="NU43" i="5"/>
  <c r="NE43" i="5"/>
  <c r="LK43" i="5"/>
  <c r="KR43" i="5"/>
  <c r="KJ43" i="5"/>
  <c r="KB43" i="5"/>
  <c r="JT43" i="5"/>
  <c r="JL43" i="5"/>
  <c r="JD43" i="5"/>
  <c r="IV43" i="5"/>
  <c r="HX43" i="5"/>
  <c r="HP43" i="5"/>
  <c r="HH43" i="5"/>
  <c r="GZ43" i="5"/>
  <c r="DK43" i="5"/>
  <c r="CN43" i="5"/>
  <c r="N43" i="5"/>
  <c r="CT43" i="5"/>
  <c r="BI43" i="5"/>
  <c r="AM43" i="5"/>
  <c r="NK43" i="5"/>
  <c r="LV43" i="5"/>
  <c r="JJ43" i="5"/>
  <c r="HF43" i="5"/>
  <c r="S43" i="5"/>
  <c r="CR43" i="5"/>
  <c r="LH43" i="5"/>
  <c r="GW43" i="5"/>
  <c r="BO43" i="5"/>
  <c r="BD43" i="5"/>
  <c r="AV43" i="5"/>
  <c r="AK43" i="5"/>
  <c r="Z43" i="5"/>
  <c r="EM43" i="5"/>
  <c r="EB43" i="5"/>
  <c r="DN43" i="5"/>
  <c r="DC43" i="5"/>
  <c r="CQ43" i="5"/>
  <c r="PN43" i="5"/>
  <c r="NQ43" i="5"/>
  <c r="NI43" i="5"/>
  <c r="MX43" i="5"/>
  <c r="MM43" i="5"/>
  <c r="LT43" i="5"/>
  <c r="LG43" i="5"/>
  <c r="KY43" i="5"/>
  <c r="KN43" i="5"/>
  <c r="IJ43" i="5"/>
  <c r="GN43" i="5"/>
  <c r="FS43" i="5"/>
  <c r="RX43" i="5"/>
  <c r="PM43" i="5"/>
  <c r="OT43" i="5"/>
  <c r="KU43" i="5"/>
  <c r="KE43" i="5"/>
  <c r="II43" i="5"/>
  <c r="GU43" i="5"/>
  <c r="FR43" i="5"/>
  <c r="PK43" i="5"/>
  <c r="LY43" i="5"/>
  <c r="LL43" i="5"/>
  <c r="QN43" i="5"/>
  <c r="QB43" i="5"/>
  <c r="PR43" i="5"/>
  <c r="PI43" i="5"/>
  <c r="PA43" i="5"/>
  <c r="OE43" i="5"/>
  <c r="NT43" i="5"/>
  <c r="LB43" i="5"/>
  <c r="KQ43" i="5"/>
  <c r="KI43" i="5"/>
  <c r="KA43" i="5"/>
  <c r="JS43" i="5"/>
  <c r="JK43" i="5"/>
  <c r="JC43" i="5"/>
  <c r="IU43" i="5"/>
  <c r="IM43" i="5"/>
  <c r="IE43" i="5"/>
  <c r="HW43" i="5"/>
  <c r="HO43" i="5"/>
  <c r="HG43" i="5"/>
  <c r="GY43" i="5"/>
  <c r="GQ43" i="5"/>
  <c r="GF43" i="5"/>
  <c r="FV43" i="5"/>
  <c r="FK43" i="5"/>
  <c r="FC43" i="5"/>
  <c r="EF43" i="5"/>
  <c r="DU43" i="5"/>
  <c r="DJ43" i="5"/>
  <c r="CU43" i="5"/>
  <c r="BR43" i="5"/>
  <c r="BJ43" i="5"/>
  <c r="AY43" i="5"/>
  <c r="AN43" i="5"/>
  <c r="U43" i="5"/>
  <c r="NR43" i="5"/>
  <c r="NN43" i="5"/>
  <c r="MY43" i="5"/>
  <c r="MW43" i="5"/>
  <c r="MU43" i="5"/>
  <c r="MN43" i="5"/>
  <c r="ML43" i="5"/>
  <c r="MJ43" i="5"/>
  <c r="LU43" i="5"/>
  <c r="MA43" i="5"/>
  <c r="KZ43" i="5"/>
  <c r="KO43" i="5"/>
  <c r="GO43" i="5"/>
  <c r="GM43" i="5"/>
  <c r="FP43" i="5"/>
  <c r="FH43" i="5"/>
  <c r="FI43" i="5"/>
  <c r="FG43" i="5"/>
  <c r="FE43" i="5"/>
  <c r="AI43" i="5"/>
  <c r="AE43" i="5"/>
  <c r="AC43" i="5"/>
  <c r="AA43" i="5"/>
  <c r="Y43" i="5"/>
  <c r="W43" i="5"/>
  <c r="EX12" i="5"/>
  <c r="EZ11" i="5"/>
  <c r="EW12" i="5"/>
  <c r="EY11" i="5"/>
  <c r="EX9" i="5"/>
  <c r="EZ9" i="5" s="1"/>
  <c r="EW9" i="5"/>
  <c r="H45" i="15"/>
  <c r="J28" i="17"/>
  <c r="M28" i="17"/>
  <c r="N28" i="17"/>
  <c r="G28" i="17"/>
  <c r="H28" i="17"/>
  <c r="R27" i="17"/>
  <c r="O28" i="17"/>
  <c r="M27" i="18"/>
  <c r="H69" i="17"/>
  <c r="O69" i="17"/>
  <c r="S27" i="17"/>
  <c r="S26" i="17"/>
  <c r="S28" i="19"/>
  <c r="I69" i="17"/>
  <c r="R25" i="17"/>
  <c r="S25" i="17"/>
  <c r="I28" i="17"/>
  <c r="M71" i="18"/>
  <c r="K28" i="17"/>
  <c r="L28" i="17"/>
  <c r="R26" i="17"/>
  <c r="G69" i="17"/>
  <c r="F28" i="17"/>
  <c r="Q28" i="15"/>
  <c r="S27" i="20"/>
  <c r="S26" i="19"/>
  <c r="M28" i="18"/>
  <c r="S67" i="17"/>
  <c r="L73" i="18"/>
  <c r="M72" i="18"/>
  <c r="J69" i="17"/>
  <c r="F69" i="17"/>
  <c r="K73" i="18"/>
  <c r="L69" i="17"/>
  <c r="K69" i="17"/>
  <c r="R68" i="17"/>
  <c r="N69" i="17"/>
  <c r="M70" i="18"/>
  <c r="J73" i="18"/>
  <c r="M69" i="17"/>
  <c r="R66" i="17"/>
  <c r="S68" i="17"/>
  <c r="Q69" i="17"/>
  <c r="T27" i="20"/>
  <c r="S66" i="17"/>
  <c r="R67" i="17"/>
  <c r="S27" i="19"/>
  <c r="HL17" i="5"/>
  <c r="CJ38" i="5"/>
  <c r="I45" i="15" s="1"/>
  <c r="I13" i="15"/>
  <c r="K13" i="15" s="1"/>
  <c r="QM17" i="5"/>
  <c r="JR17" i="5"/>
  <c r="HN17" i="5"/>
  <c r="EN17" i="5"/>
  <c r="KE17" i="5"/>
  <c r="JJ17" i="5"/>
  <c r="CL38" i="5"/>
  <c r="CK38" i="5"/>
  <c r="J45" i="15" s="1"/>
  <c r="NU17" i="5"/>
  <c r="AL17" i="5"/>
  <c r="OS17" i="5"/>
  <c r="KL17" i="5"/>
  <c r="JO17" i="5"/>
  <c r="DT17" i="5"/>
  <c r="NH17" i="5"/>
  <c r="SF17" i="5"/>
  <c r="QP17" i="5"/>
  <c r="OA17" i="5"/>
  <c r="CU17" i="5"/>
  <c r="LM17" i="5"/>
  <c r="SI17" i="5"/>
  <c r="QJ17" i="5"/>
  <c r="CR17" i="5"/>
  <c r="JA17" i="5"/>
  <c r="OO17" i="5"/>
  <c r="LN17" i="5"/>
  <c r="RI17" i="5"/>
  <c r="OU17" i="5"/>
  <c r="IR17" i="5"/>
  <c r="EE17" i="5"/>
  <c r="RJ17" i="5"/>
  <c r="QX17" i="5"/>
  <c r="QF17" i="5"/>
  <c r="KH17" i="5"/>
  <c r="S17" i="5"/>
  <c r="PM17" i="5"/>
  <c r="HP17" i="5"/>
  <c r="HH17" i="5"/>
  <c r="NZ17" i="5"/>
  <c r="LG17" i="5"/>
  <c r="KF17" i="5"/>
  <c r="FR17" i="5"/>
  <c r="HY17" i="5"/>
  <c r="FQ17" i="5"/>
  <c r="BE17" i="5"/>
  <c r="OT17" i="5"/>
  <c r="IY17" i="5"/>
  <c r="HS17" i="5"/>
  <c r="HC17" i="5"/>
  <c r="GM17" i="5"/>
  <c r="FU17" i="5"/>
  <c r="FE17" i="5"/>
  <c r="GZ17" i="5"/>
  <c r="AF15" i="5"/>
  <c r="AG15" i="5"/>
  <c r="LJ43" i="5" l="1"/>
  <c r="QM43" i="5"/>
  <c r="Y14" i="21"/>
  <c r="LK17" i="5"/>
  <c r="LA17" i="5"/>
  <c r="LQ16" i="5"/>
  <c r="LC17" i="5"/>
  <c r="LB17" i="5"/>
  <c r="LR16" i="5"/>
  <c r="LR12" i="5"/>
  <c r="LJ17" i="5"/>
  <c r="LQ12" i="5"/>
  <c r="S29" i="19"/>
  <c r="AG16" i="5"/>
  <c r="EV16" i="5"/>
  <c r="EV17" i="5" s="1"/>
  <c r="AF16" i="5"/>
  <c r="ES16" i="5"/>
  <c r="ES17" i="5" s="1"/>
  <c r="ET16" i="5"/>
  <c r="ET17" i="5" s="1"/>
  <c r="EV22" i="5"/>
  <c r="EV23" i="5" s="1"/>
  <c r="EV43" i="5" s="1"/>
  <c r="S25" i="20"/>
  <c r="S32" i="20" s="1"/>
  <c r="ES22" i="5"/>
  <c r="ES23" i="5" s="1"/>
  <c r="ES43" i="5" s="1"/>
  <c r="R25" i="20"/>
  <c r="T25" i="20"/>
  <c r="T32" i="20" s="1"/>
  <c r="FA11" i="5"/>
  <c r="EY9" i="5"/>
  <c r="FA9" i="5" s="1"/>
  <c r="EY12" i="5"/>
  <c r="EZ12" i="5"/>
  <c r="EY15" i="5"/>
  <c r="EW17" i="5"/>
  <c r="ET22" i="5"/>
  <c r="ET23" i="5" s="1"/>
  <c r="ET43" i="5" s="1"/>
  <c r="R28" i="17"/>
  <c r="T25" i="17"/>
  <c r="T68" i="17"/>
  <c r="T27" i="17"/>
  <c r="S28" i="17"/>
  <c r="K45" i="15"/>
  <c r="T26" i="17"/>
  <c r="M30" i="18"/>
  <c r="S69" i="17"/>
  <c r="R69" i="17"/>
  <c r="M73" i="18"/>
  <c r="T67" i="17"/>
  <c r="T66" i="17"/>
  <c r="GH11" i="5"/>
  <c r="GH12" i="5" s="1"/>
  <c r="GG11" i="5"/>
  <c r="GG12" i="5" s="1"/>
  <c r="LR17" i="5" l="1"/>
  <c r="LQ17" i="5"/>
  <c r="EU16" i="5"/>
  <c r="EU17" i="5" s="1"/>
  <c r="GH16" i="5"/>
  <c r="GG16" i="5"/>
  <c r="EU22" i="5"/>
  <c r="EU23" i="5" s="1"/>
  <c r="EU43" i="5" s="1"/>
  <c r="EW22" i="5"/>
  <c r="EW23" i="5" s="1"/>
  <c r="EW43" i="5" s="1"/>
  <c r="FA12" i="5"/>
  <c r="EZ15" i="5"/>
  <c r="T28" i="17"/>
  <c r="T69" i="17"/>
  <c r="GG9" i="5"/>
  <c r="GH22" i="5"/>
  <c r="GH23" i="5" s="1"/>
  <c r="GG22" i="5"/>
  <c r="GG23" i="5" s="1"/>
  <c r="GH9" i="5"/>
  <c r="FQ35" i="5"/>
  <c r="FQ41" i="5" s="1"/>
  <c r="FR35" i="5"/>
  <c r="FR41" i="5" s="1"/>
  <c r="EZ16" i="5" l="1"/>
  <c r="EX16" i="5"/>
  <c r="EX17" i="5" s="1"/>
  <c r="EY16" i="5"/>
  <c r="EX22" i="5"/>
  <c r="EX23" i="5" s="1"/>
  <c r="EX43" i="5" s="1"/>
  <c r="FA15" i="5"/>
  <c r="GH17" i="5"/>
  <c r="GG17" i="5"/>
  <c r="MC15" i="5"/>
  <c r="MB15" i="5"/>
  <c r="MC11" i="5"/>
  <c r="MC12" i="5" s="1"/>
  <c r="MC6" i="5"/>
  <c r="MB6" i="5"/>
  <c r="U129" i="21"/>
  <c r="I129" i="21"/>
  <c r="U127" i="21"/>
  <c r="I127" i="21"/>
  <c r="U126" i="21"/>
  <c r="I126" i="21"/>
  <c r="U125" i="21"/>
  <c r="I125" i="21"/>
  <c r="R116" i="21"/>
  <c r="T113" i="21"/>
  <c r="T112" i="21"/>
  <c r="T111" i="21"/>
  <c r="U97" i="21"/>
  <c r="I97" i="21"/>
  <c r="U95" i="21"/>
  <c r="I95" i="21"/>
  <c r="U94" i="21"/>
  <c r="I94" i="21"/>
  <c r="U93" i="21"/>
  <c r="I93" i="21"/>
  <c r="R84" i="21"/>
  <c r="T83" i="21"/>
  <c r="T81" i="21"/>
  <c r="T80" i="21"/>
  <c r="T79" i="21"/>
  <c r="U65" i="21"/>
  <c r="I65" i="21"/>
  <c r="U63" i="21"/>
  <c r="I63" i="21"/>
  <c r="U62" i="21"/>
  <c r="I62" i="21"/>
  <c r="U61" i="21"/>
  <c r="I61" i="21"/>
  <c r="T49" i="21"/>
  <c r="T48" i="21"/>
  <c r="T47" i="21"/>
  <c r="S15" i="21"/>
  <c r="S14" i="21"/>
  <c r="S13" i="21"/>
  <c r="V124" i="20"/>
  <c r="U124" i="20"/>
  <c r="V122" i="20"/>
  <c r="U122" i="20"/>
  <c r="V121" i="20"/>
  <c r="U121" i="20"/>
  <c r="V120" i="20"/>
  <c r="U120" i="20"/>
  <c r="P110" i="20"/>
  <c r="O110" i="20"/>
  <c r="P108" i="20"/>
  <c r="O108" i="20"/>
  <c r="P107" i="20"/>
  <c r="O107" i="20"/>
  <c r="P106" i="20"/>
  <c r="O106" i="20"/>
  <c r="V93" i="20"/>
  <c r="U93" i="20"/>
  <c r="V91" i="20"/>
  <c r="U91" i="20"/>
  <c r="V90" i="20"/>
  <c r="U90" i="20"/>
  <c r="P79" i="20"/>
  <c r="O79" i="20"/>
  <c r="P77" i="20"/>
  <c r="O77" i="20"/>
  <c r="P76" i="20"/>
  <c r="O76" i="20"/>
  <c r="V62" i="20"/>
  <c r="U62" i="20"/>
  <c r="V58" i="20"/>
  <c r="U58" i="20"/>
  <c r="O46" i="20"/>
  <c r="P44" i="20"/>
  <c r="O44" i="20"/>
  <c r="O13" i="20"/>
  <c r="P151" i="19"/>
  <c r="O151" i="19"/>
  <c r="N151" i="19"/>
  <c r="M151" i="19"/>
  <c r="L151" i="19"/>
  <c r="K151" i="19"/>
  <c r="I151" i="19"/>
  <c r="H151" i="19"/>
  <c r="F151" i="19"/>
  <c r="E151" i="19"/>
  <c r="P150" i="19"/>
  <c r="O150" i="19"/>
  <c r="N150" i="19"/>
  <c r="M150" i="19"/>
  <c r="L150" i="19"/>
  <c r="K150" i="19"/>
  <c r="I150" i="19"/>
  <c r="H150" i="19"/>
  <c r="F150" i="19"/>
  <c r="E150" i="19"/>
  <c r="P149" i="19"/>
  <c r="O149" i="19"/>
  <c r="N149" i="19"/>
  <c r="M149" i="19"/>
  <c r="L149" i="19"/>
  <c r="K149" i="19"/>
  <c r="I149" i="19"/>
  <c r="H149" i="19"/>
  <c r="F149" i="19"/>
  <c r="E149" i="19"/>
  <c r="P144" i="19"/>
  <c r="N144" i="19"/>
  <c r="L144" i="19"/>
  <c r="I144" i="19"/>
  <c r="F144" i="19"/>
  <c r="R143" i="19"/>
  <c r="J143" i="19"/>
  <c r="G143" i="19"/>
  <c r="R142" i="19"/>
  <c r="S142" i="19" s="1"/>
  <c r="J142" i="19"/>
  <c r="G142" i="19"/>
  <c r="R141" i="19"/>
  <c r="J141" i="19"/>
  <c r="G141" i="19"/>
  <c r="P140" i="19"/>
  <c r="O140" i="19"/>
  <c r="N140" i="19"/>
  <c r="M140" i="19"/>
  <c r="L140" i="19"/>
  <c r="K140" i="19"/>
  <c r="I140" i="19"/>
  <c r="H140" i="19"/>
  <c r="F140" i="19"/>
  <c r="E140" i="19"/>
  <c r="R139" i="19"/>
  <c r="Q139" i="19"/>
  <c r="J139" i="19"/>
  <c r="G139" i="19"/>
  <c r="R138" i="19"/>
  <c r="Q138" i="19"/>
  <c r="J138" i="19"/>
  <c r="G138" i="19"/>
  <c r="R137" i="19"/>
  <c r="Q137" i="19"/>
  <c r="J137" i="19"/>
  <c r="G137" i="19"/>
  <c r="P136" i="19"/>
  <c r="O136" i="19"/>
  <c r="N136" i="19"/>
  <c r="M136" i="19"/>
  <c r="L136" i="19"/>
  <c r="K136" i="19"/>
  <c r="I136" i="19"/>
  <c r="H136" i="19"/>
  <c r="F136" i="19"/>
  <c r="E136" i="19"/>
  <c r="R135" i="19"/>
  <c r="Q135" i="19"/>
  <c r="J135" i="19"/>
  <c r="G135" i="19"/>
  <c r="R134" i="19"/>
  <c r="Q134" i="19"/>
  <c r="J134" i="19"/>
  <c r="G134" i="19"/>
  <c r="R133" i="19"/>
  <c r="Q133" i="19"/>
  <c r="J133" i="19"/>
  <c r="G133" i="19"/>
  <c r="P113" i="19"/>
  <c r="O113" i="19"/>
  <c r="N113" i="19"/>
  <c r="M113" i="19"/>
  <c r="L113" i="19"/>
  <c r="K113" i="19"/>
  <c r="I113" i="19"/>
  <c r="H113" i="19"/>
  <c r="F113" i="19"/>
  <c r="E113" i="19"/>
  <c r="P112" i="19"/>
  <c r="O112" i="19"/>
  <c r="N112" i="19"/>
  <c r="M112" i="19"/>
  <c r="L112" i="19"/>
  <c r="K112" i="19"/>
  <c r="I112" i="19"/>
  <c r="H112" i="19"/>
  <c r="F112" i="19"/>
  <c r="E112" i="19"/>
  <c r="P111" i="19"/>
  <c r="O111" i="19"/>
  <c r="N111" i="19"/>
  <c r="M111" i="19"/>
  <c r="L111" i="19"/>
  <c r="K111" i="19"/>
  <c r="I111" i="19"/>
  <c r="H111" i="19"/>
  <c r="F111" i="19"/>
  <c r="E111" i="19"/>
  <c r="P106" i="19"/>
  <c r="N106" i="19"/>
  <c r="L106" i="19"/>
  <c r="I106" i="19"/>
  <c r="F106" i="19"/>
  <c r="R105" i="19"/>
  <c r="J105" i="19"/>
  <c r="G105" i="19"/>
  <c r="R104" i="19"/>
  <c r="S104" i="19" s="1"/>
  <c r="J104" i="19"/>
  <c r="G104" i="19"/>
  <c r="R103" i="19"/>
  <c r="J103" i="19"/>
  <c r="G103" i="19"/>
  <c r="P102" i="19"/>
  <c r="O102" i="19"/>
  <c r="N102" i="19"/>
  <c r="M102" i="19"/>
  <c r="L102" i="19"/>
  <c r="K102" i="19"/>
  <c r="I102" i="19"/>
  <c r="H102" i="19"/>
  <c r="F102" i="19"/>
  <c r="E102" i="19"/>
  <c r="R101" i="19"/>
  <c r="Q101" i="19"/>
  <c r="J101" i="19"/>
  <c r="G101" i="19"/>
  <c r="R100" i="19"/>
  <c r="Q100" i="19"/>
  <c r="J100" i="19"/>
  <c r="G100" i="19"/>
  <c r="R99" i="19"/>
  <c r="Q99" i="19"/>
  <c r="J99" i="19"/>
  <c r="G99" i="19"/>
  <c r="E68" i="19"/>
  <c r="G67" i="19"/>
  <c r="G66" i="19"/>
  <c r="P60" i="19"/>
  <c r="O60" i="19"/>
  <c r="N60" i="19"/>
  <c r="M60" i="19"/>
  <c r="L60" i="19"/>
  <c r="K60" i="19"/>
  <c r="I60" i="19"/>
  <c r="H60" i="19"/>
  <c r="F60" i="19"/>
  <c r="E60" i="19"/>
  <c r="R59" i="19"/>
  <c r="Q59" i="19"/>
  <c r="J59" i="19"/>
  <c r="G59" i="19"/>
  <c r="R58" i="19"/>
  <c r="Q58" i="19"/>
  <c r="J58" i="19"/>
  <c r="G58" i="19"/>
  <c r="R57" i="19"/>
  <c r="Q57" i="19"/>
  <c r="J57" i="19"/>
  <c r="G57" i="19"/>
  <c r="L25" i="19"/>
  <c r="M136" i="18"/>
  <c r="M137" i="18"/>
  <c r="M138" i="18"/>
  <c r="J139" i="18"/>
  <c r="K139" i="18"/>
  <c r="L139" i="18"/>
  <c r="M140" i="18"/>
  <c r="M141" i="18"/>
  <c r="M142" i="18"/>
  <c r="J143" i="18"/>
  <c r="K143" i="18"/>
  <c r="L143" i="18"/>
  <c r="M144" i="18"/>
  <c r="M145" i="18"/>
  <c r="M146" i="18"/>
  <c r="K147" i="18"/>
  <c r="J152" i="18"/>
  <c r="K152" i="18"/>
  <c r="L152" i="18"/>
  <c r="J153" i="18"/>
  <c r="K153" i="18"/>
  <c r="L153" i="18"/>
  <c r="J154" i="18"/>
  <c r="K154" i="18"/>
  <c r="L154" i="18"/>
  <c r="L115" i="18"/>
  <c r="K115" i="18"/>
  <c r="J115" i="18"/>
  <c r="L114" i="18"/>
  <c r="K114" i="18"/>
  <c r="J114" i="18"/>
  <c r="L113" i="18"/>
  <c r="K113" i="18"/>
  <c r="J113" i="18"/>
  <c r="K108" i="18"/>
  <c r="M107" i="18"/>
  <c r="M106" i="18"/>
  <c r="M105" i="18"/>
  <c r="L104" i="18"/>
  <c r="K104" i="18"/>
  <c r="J104" i="18"/>
  <c r="M103" i="18"/>
  <c r="M102" i="18"/>
  <c r="M101" i="18"/>
  <c r="L69" i="18"/>
  <c r="J69" i="18"/>
  <c r="L61" i="18"/>
  <c r="K61" i="18"/>
  <c r="J61" i="18"/>
  <c r="M60" i="18"/>
  <c r="M59" i="18"/>
  <c r="M58" i="18"/>
  <c r="R128" i="17"/>
  <c r="S128" i="17"/>
  <c r="T128" i="17" s="1"/>
  <c r="R130" i="17"/>
  <c r="S130" i="17"/>
  <c r="R131" i="17"/>
  <c r="R132" i="17"/>
  <c r="S132" i="17"/>
  <c r="R133" i="17"/>
  <c r="S133" i="17"/>
  <c r="T133" i="17" s="1"/>
  <c r="R134" i="17"/>
  <c r="S134" i="17"/>
  <c r="T134" i="17" s="1"/>
  <c r="D135" i="17"/>
  <c r="E135" i="17"/>
  <c r="F135" i="17"/>
  <c r="G135" i="17"/>
  <c r="H135" i="17"/>
  <c r="I135" i="17"/>
  <c r="J135" i="17"/>
  <c r="K135" i="17"/>
  <c r="L135" i="17"/>
  <c r="M135" i="17"/>
  <c r="N135" i="17"/>
  <c r="O135" i="17"/>
  <c r="S135" i="17" s="1"/>
  <c r="P135" i="17"/>
  <c r="Q135" i="17"/>
  <c r="S136" i="17"/>
  <c r="T136" i="17" s="1"/>
  <c r="S137" i="17"/>
  <c r="T137" i="17" s="1"/>
  <c r="S138" i="17"/>
  <c r="T138" i="17" s="1"/>
  <c r="E139" i="17"/>
  <c r="G139" i="17"/>
  <c r="I139" i="17"/>
  <c r="K139" i="17"/>
  <c r="M139" i="17"/>
  <c r="O139" i="17"/>
  <c r="Q139" i="17"/>
  <c r="D144" i="17"/>
  <c r="D147" i="17" s="1"/>
  <c r="E144" i="17"/>
  <c r="E147" i="17" s="1"/>
  <c r="F144" i="17"/>
  <c r="G144" i="17"/>
  <c r="H144" i="17"/>
  <c r="I144" i="17"/>
  <c r="J144" i="17"/>
  <c r="K144" i="17"/>
  <c r="L144" i="17"/>
  <c r="M144" i="17"/>
  <c r="F145" i="17"/>
  <c r="G145" i="17"/>
  <c r="H145" i="17"/>
  <c r="I145" i="17"/>
  <c r="J145" i="17"/>
  <c r="K145" i="17"/>
  <c r="L145" i="17"/>
  <c r="M145" i="17"/>
  <c r="N145" i="17"/>
  <c r="O145" i="17"/>
  <c r="H146" i="17"/>
  <c r="I146" i="17"/>
  <c r="J146" i="17"/>
  <c r="K146" i="17"/>
  <c r="L146" i="17"/>
  <c r="M146" i="17"/>
  <c r="N146" i="17"/>
  <c r="O146" i="17"/>
  <c r="P146" i="17"/>
  <c r="Q146" i="17"/>
  <c r="N148" i="17"/>
  <c r="O148" i="17"/>
  <c r="P148" i="17"/>
  <c r="Q148" i="17"/>
  <c r="D150" i="17"/>
  <c r="E150" i="17"/>
  <c r="F150" i="17"/>
  <c r="G150" i="17"/>
  <c r="R95" i="17"/>
  <c r="S95" i="17"/>
  <c r="R96" i="17"/>
  <c r="S96" i="17"/>
  <c r="R97" i="17"/>
  <c r="S97" i="17"/>
  <c r="D98" i="17"/>
  <c r="E98" i="17"/>
  <c r="F98" i="17"/>
  <c r="G98" i="17"/>
  <c r="H98" i="17"/>
  <c r="I98" i="17"/>
  <c r="J98" i="17"/>
  <c r="K98" i="17"/>
  <c r="L98" i="17"/>
  <c r="M98" i="17"/>
  <c r="N98" i="17"/>
  <c r="O98" i="17"/>
  <c r="S98" i="17" s="1"/>
  <c r="P98" i="17"/>
  <c r="Q98" i="17"/>
  <c r="S99" i="17"/>
  <c r="T99" i="17" s="1"/>
  <c r="S100" i="17"/>
  <c r="T100" i="17" s="1"/>
  <c r="S101" i="17"/>
  <c r="T101" i="17" s="1"/>
  <c r="E102" i="17"/>
  <c r="G102" i="17"/>
  <c r="I102" i="17"/>
  <c r="K102" i="17"/>
  <c r="M102" i="17"/>
  <c r="O102" i="17"/>
  <c r="Q102" i="17"/>
  <c r="S102" i="17" s="1"/>
  <c r="D107" i="17"/>
  <c r="D110" i="17" s="1"/>
  <c r="E107" i="17"/>
  <c r="E110" i="17" s="1"/>
  <c r="F107" i="17"/>
  <c r="G107" i="17"/>
  <c r="H107" i="17"/>
  <c r="I107" i="17"/>
  <c r="J107" i="17"/>
  <c r="K107" i="17"/>
  <c r="L107" i="17"/>
  <c r="M107" i="17"/>
  <c r="F108" i="17"/>
  <c r="G108" i="17"/>
  <c r="H108" i="17"/>
  <c r="I108" i="17"/>
  <c r="J108" i="17"/>
  <c r="K108" i="17"/>
  <c r="L108" i="17"/>
  <c r="M108" i="17"/>
  <c r="N108" i="17"/>
  <c r="O108" i="17"/>
  <c r="H109" i="17"/>
  <c r="I109" i="17"/>
  <c r="J109" i="17"/>
  <c r="K109" i="17"/>
  <c r="L109" i="17"/>
  <c r="M109" i="17"/>
  <c r="N109" i="17"/>
  <c r="O109" i="17"/>
  <c r="P109" i="17"/>
  <c r="Q109" i="17"/>
  <c r="Q110" i="17" s="1"/>
  <c r="N111" i="17"/>
  <c r="O111" i="17"/>
  <c r="P111" i="17"/>
  <c r="Q111" i="17"/>
  <c r="D112" i="17"/>
  <c r="E112" i="17"/>
  <c r="P112" i="17"/>
  <c r="Q112" i="17"/>
  <c r="D113" i="17"/>
  <c r="E113" i="17"/>
  <c r="F113" i="17"/>
  <c r="G113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S56" i="17"/>
  <c r="R56" i="17"/>
  <c r="S55" i="17"/>
  <c r="R55" i="17"/>
  <c r="S54" i="17"/>
  <c r="R54" i="17"/>
  <c r="Q38" i="17"/>
  <c r="P38" i="17"/>
  <c r="Q37" i="17"/>
  <c r="P37" i="17"/>
  <c r="O37" i="17"/>
  <c r="N37" i="17"/>
  <c r="E63" i="16"/>
  <c r="H63" i="16"/>
  <c r="O63" i="16"/>
  <c r="P63" i="16"/>
  <c r="Q63" i="16" s="1"/>
  <c r="U63" i="16"/>
  <c r="E64" i="16"/>
  <c r="H64" i="16"/>
  <c r="O64" i="16"/>
  <c r="Q64" i="16" s="1"/>
  <c r="P64" i="16"/>
  <c r="U64" i="16"/>
  <c r="E65" i="16"/>
  <c r="H65" i="16"/>
  <c r="O65" i="16"/>
  <c r="P65" i="16"/>
  <c r="Q65" i="16" s="1"/>
  <c r="U65" i="16"/>
  <c r="E66" i="16"/>
  <c r="H66" i="16"/>
  <c r="O66" i="16"/>
  <c r="Q66" i="16" s="1"/>
  <c r="P66" i="16"/>
  <c r="U66" i="16"/>
  <c r="U69" i="16" s="1"/>
  <c r="E68" i="16"/>
  <c r="H68" i="16"/>
  <c r="P68" i="16"/>
  <c r="Q68" i="16" s="1"/>
  <c r="U68" i="16"/>
  <c r="B69" i="16"/>
  <c r="C69" i="16"/>
  <c r="D69" i="16"/>
  <c r="E69" i="16"/>
  <c r="F69" i="16"/>
  <c r="G69" i="16"/>
  <c r="H69" i="16"/>
  <c r="I69" i="16"/>
  <c r="J69" i="16"/>
  <c r="K69" i="16"/>
  <c r="L69" i="16"/>
  <c r="M69" i="16"/>
  <c r="N69" i="16"/>
  <c r="R69" i="16"/>
  <c r="S69" i="16"/>
  <c r="T69" i="16"/>
  <c r="T52" i="16"/>
  <c r="S52" i="16"/>
  <c r="R52" i="16"/>
  <c r="N52" i="16"/>
  <c r="M52" i="16"/>
  <c r="L52" i="16"/>
  <c r="K52" i="16"/>
  <c r="J52" i="16"/>
  <c r="I52" i="16"/>
  <c r="G52" i="16"/>
  <c r="F52" i="16"/>
  <c r="D52" i="16"/>
  <c r="C52" i="16"/>
  <c r="B52" i="16"/>
  <c r="U51" i="16"/>
  <c r="P51" i="16"/>
  <c r="O51" i="16"/>
  <c r="H51" i="16"/>
  <c r="E51" i="16"/>
  <c r="U49" i="16"/>
  <c r="P49" i="16"/>
  <c r="O49" i="16"/>
  <c r="H49" i="16"/>
  <c r="E49" i="16"/>
  <c r="U48" i="16"/>
  <c r="P48" i="16"/>
  <c r="O48" i="16"/>
  <c r="H48" i="16"/>
  <c r="E48" i="16"/>
  <c r="U47" i="16"/>
  <c r="P47" i="16"/>
  <c r="O47" i="16"/>
  <c r="H47" i="16"/>
  <c r="E47" i="16"/>
  <c r="U46" i="16"/>
  <c r="P46" i="16"/>
  <c r="Q46" i="16" s="1"/>
  <c r="O46" i="16"/>
  <c r="H46" i="16"/>
  <c r="E46" i="16"/>
  <c r="E33" i="16"/>
  <c r="U31" i="16"/>
  <c r="P31" i="16"/>
  <c r="H31" i="16"/>
  <c r="E31" i="16"/>
  <c r="H30" i="16"/>
  <c r="E30" i="16"/>
  <c r="D28" i="16"/>
  <c r="D34" i="16" s="1"/>
  <c r="C28" i="16"/>
  <c r="C34" i="16" s="1"/>
  <c r="B28" i="16"/>
  <c r="B34" i="16" s="1"/>
  <c r="Q16" i="16"/>
  <c r="H16" i="16"/>
  <c r="E16" i="16"/>
  <c r="U13" i="16"/>
  <c r="P13" i="16"/>
  <c r="Q13" i="16" s="1"/>
  <c r="H13" i="16"/>
  <c r="E13" i="16"/>
  <c r="P12" i="16"/>
  <c r="H12" i="16"/>
  <c r="E12" i="16"/>
  <c r="U11" i="16"/>
  <c r="P11" i="16"/>
  <c r="O11" i="16"/>
  <c r="H11" i="16"/>
  <c r="E11" i="16"/>
  <c r="D10" i="16"/>
  <c r="D17" i="16" s="1"/>
  <c r="C10" i="16"/>
  <c r="C17" i="16" s="1"/>
  <c r="B17" i="16"/>
  <c r="E103" i="15"/>
  <c r="H103" i="15"/>
  <c r="K103" i="15"/>
  <c r="N103" i="15"/>
  <c r="E104" i="15"/>
  <c r="H104" i="15"/>
  <c r="K104" i="15"/>
  <c r="N104" i="15"/>
  <c r="E105" i="15"/>
  <c r="H105" i="15"/>
  <c r="K105" i="15"/>
  <c r="N105" i="15"/>
  <c r="E107" i="15"/>
  <c r="N107" i="15"/>
  <c r="O117" i="15"/>
  <c r="P117" i="15"/>
  <c r="O118" i="15"/>
  <c r="P118" i="15"/>
  <c r="O119" i="15"/>
  <c r="P119" i="15"/>
  <c r="E121" i="15"/>
  <c r="F121" i="15"/>
  <c r="G121" i="15"/>
  <c r="H121" i="15"/>
  <c r="I121" i="15"/>
  <c r="J121" i="15"/>
  <c r="K121" i="15"/>
  <c r="L121" i="15"/>
  <c r="M121" i="15"/>
  <c r="N121" i="15"/>
  <c r="E74" i="15"/>
  <c r="H74" i="15"/>
  <c r="K74" i="15"/>
  <c r="N74" i="15"/>
  <c r="E75" i="15"/>
  <c r="H75" i="15"/>
  <c r="K75" i="15"/>
  <c r="N75" i="15"/>
  <c r="E77" i="15"/>
  <c r="L77" i="15"/>
  <c r="M77" i="15"/>
  <c r="O88" i="15"/>
  <c r="P88" i="15"/>
  <c r="O89" i="15"/>
  <c r="P89" i="15"/>
  <c r="E91" i="15"/>
  <c r="F91" i="15"/>
  <c r="G91" i="15"/>
  <c r="H91" i="15"/>
  <c r="I91" i="15"/>
  <c r="J91" i="15"/>
  <c r="K91" i="15"/>
  <c r="L91" i="15"/>
  <c r="M91" i="15"/>
  <c r="N91" i="15"/>
  <c r="E42" i="15"/>
  <c r="H42" i="15"/>
  <c r="K42" i="15"/>
  <c r="N42" i="15"/>
  <c r="E44" i="15"/>
  <c r="O56" i="15"/>
  <c r="P56" i="15"/>
  <c r="O58" i="15"/>
  <c r="E10" i="15"/>
  <c r="E12" i="15"/>
  <c r="E15" i="15"/>
  <c r="MB16" i="5" l="1"/>
  <c r="MC16" i="5"/>
  <c r="Q47" i="16"/>
  <c r="S57" i="17"/>
  <c r="MB11" i="5"/>
  <c r="MB12" i="5" s="1"/>
  <c r="P52" i="16"/>
  <c r="T54" i="17"/>
  <c r="E52" i="16"/>
  <c r="Q51" i="16"/>
  <c r="R98" i="17"/>
  <c r="T95" i="17"/>
  <c r="H52" i="16"/>
  <c r="Q49" i="16"/>
  <c r="T97" i="17"/>
  <c r="S139" i="17"/>
  <c r="T139" i="17" s="1"/>
  <c r="G144" i="19"/>
  <c r="U52" i="16"/>
  <c r="P69" i="16"/>
  <c r="S131" i="17"/>
  <c r="O52" i="16"/>
  <c r="T102" i="17"/>
  <c r="N110" i="17"/>
  <c r="K147" i="17"/>
  <c r="MB22" i="5"/>
  <c r="MB23" i="5" s="1"/>
  <c r="MC22" i="5"/>
  <c r="MC23" i="5" s="1"/>
  <c r="MC9" i="5"/>
  <c r="MB9" i="5"/>
  <c r="G147" i="17"/>
  <c r="S138" i="19"/>
  <c r="S137" i="19"/>
  <c r="L147" i="17"/>
  <c r="T132" i="17"/>
  <c r="T130" i="17"/>
  <c r="T131" i="17"/>
  <c r="T56" i="17"/>
  <c r="T98" i="17"/>
  <c r="T96" i="17"/>
  <c r="S108" i="17"/>
  <c r="S145" i="17"/>
  <c r="S144" i="17"/>
  <c r="S146" i="17"/>
  <c r="G150" i="19"/>
  <c r="H110" i="17"/>
  <c r="S107" i="17"/>
  <c r="F147" i="17"/>
  <c r="O147" i="17"/>
  <c r="J147" i="17"/>
  <c r="R108" i="17"/>
  <c r="R107" i="17"/>
  <c r="J112" i="19"/>
  <c r="P121" i="15"/>
  <c r="Q147" i="17"/>
  <c r="R144" i="17"/>
  <c r="H147" i="17"/>
  <c r="Q111" i="19"/>
  <c r="E114" i="19"/>
  <c r="I147" i="17"/>
  <c r="P91" i="15"/>
  <c r="L110" i="17"/>
  <c r="R146" i="17"/>
  <c r="P147" i="17"/>
  <c r="O110" i="17"/>
  <c r="N77" i="15"/>
  <c r="K110" i="17"/>
  <c r="G110" i="17"/>
  <c r="M147" i="17"/>
  <c r="R145" i="17"/>
  <c r="N147" i="17"/>
  <c r="R109" i="17"/>
  <c r="P110" i="17"/>
  <c r="M110" i="17"/>
  <c r="I110" i="17"/>
  <c r="J110" i="17"/>
  <c r="F110" i="17"/>
  <c r="R151" i="19"/>
  <c r="G130" i="21"/>
  <c r="W91" i="20"/>
  <c r="Q110" i="20"/>
  <c r="W62" i="20"/>
  <c r="Q77" i="20"/>
  <c r="W122" i="20"/>
  <c r="Q44" i="20"/>
  <c r="Q76" i="20"/>
  <c r="Q79" i="20"/>
  <c r="W121" i="20"/>
  <c r="Q107" i="20"/>
  <c r="W124" i="20"/>
  <c r="Q106" i="20"/>
  <c r="W120" i="20"/>
  <c r="W90" i="20"/>
  <c r="W93" i="20"/>
  <c r="Q108" i="20"/>
  <c r="W58" i="20"/>
  <c r="K152" i="19"/>
  <c r="O152" i="19"/>
  <c r="I152" i="19"/>
  <c r="G149" i="19"/>
  <c r="P152" i="19"/>
  <c r="J150" i="19"/>
  <c r="E152" i="19"/>
  <c r="R112" i="19"/>
  <c r="R144" i="19"/>
  <c r="H152" i="19"/>
  <c r="S100" i="19"/>
  <c r="R102" i="19"/>
  <c r="G112" i="19"/>
  <c r="F152" i="19"/>
  <c r="R150" i="19"/>
  <c r="L152" i="19"/>
  <c r="S57" i="19"/>
  <c r="J60" i="19"/>
  <c r="J144" i="19"/>
  <c r="J149" i="19"/>
  <c r="Q150" i="19"/>
  <c r="M152" i="19"/>
  <c r="Q151" i="19"/>
  <c r="S133" i="19"/>
  <c r="R136" i="19"/>
  <c r="J151" i="19"/>
  <c r="J102" i="19"/>
  <c r="G106" i="19"/>
  <c r="N114" i="19"/>
  <c r="G136" i="19"/>
  <c r="J140" i="19"/>
  <c r="S141" i="19"/>
  <c r="S143" i="19"/>
  <c r="G151" i="19"/>
  <c r="N152" i="19"/>
  <c r="Q136" i="19"/>
  <c r="G140" i="19"/>
  <c r="R149" i="19"/>
  <c r="J111" i="19"/>
  <c r="K114" i="19"/>
  <c r="J136" i="19"/>
  <c r="Q149" i="19"/>
  <c r="S134" i="19"/>
  <c r="Q140" i="19"/>
  <c r="S135" i="19"/>
  <c r="R140" i="19"/>
  <c r="S139" i="19"/>
  <c r="S99" i="19"/>
  <c r="Q102" i="19"/>
  <c r="J106" i="19"/>
  <c r="O114" i="19"/>
  <c r="Q112" i="19"/>
  <c r="R113" i="19"/>
  <c r="P114" i="19"/>
  <c r="Q60" i="19"/>
  <c r="H114" i="19"/>
  <c r="J113" i="19"/>
  <c r="L114" i="19"/>
  <c r="G111" i="19"/>
  <c r="M114" i="19"/>
  <c r="F114" i="19"/>
  <c r="I114" i="19"/>
  <c r="S58" i="19"/>
  <c r="G102" i="19"/>
  <c r="S101" i="19"/>
  <c r="S103" i="19"/>
  <c r="G113" i="19"/>
  <c r="Q113" i="19"/>
  <c r="R106" i="19"/>
  <c r="S105" i="19"/>
  <c r="R111" i="19"/>
  <c r="G60" i="19"/>
  <c r="R60" i="19"/>
  <c r="S59" i="19"/>
  <c r="K155" i="18"/>
  <c r="M143" i="18"/>
  <c r="L155" i="18"/>
  <c r="J116" i="18"/>
  <c r="M154" i="18"/>
  <c r="M147" i="18"/>
  <c r="J155" i="18"/>
  <c r="M113" i="18"/>
  <c r="M153" i="18"/>
  <c r="M152" i="18"/>
  <c r="K116" i="18"/>
  <c r="M104" i="18"/>
  <c r="M115" i="18"/>
  <c r="M139" i="18"/>
  <c r="M61" i="18"/>
  <c r="M114" i="18"/>
  <c r="L116" i="18"/>
  <c r="M108" i="18"/>
  <c r="R135" i="17"/>
  <c r="T135" i="17" s="1"/>
  <c r="R57" i="17"/>
  <c r="T57" i="17" s="1"/>
  <c r="S109" i="17"/>
  <c r="T55" i="17"/>
  <c r="Q69" i="16"/>
  <c r="O69" i="16"/>
  <c r="Q11" i="16"/>
  <c r="Q48" i="16"/>
  <c r="Q52" i="16" s="1"/>
  <c r="Q31" i="16"/>
  <c r="E28" i="16"/>
  <c r="E34" i="16" s="1"/>
  <c r="E10" i="16"/>
  <c r="E17" i="16" s="1"/>
  <c r="O121" i="15"/>
  <c r="Q88" i="15"/>
  <c r="Q119" i="15"/>
  <c r="Q118" i="15"/>
  <c r="Q56" i="15"/>
  <c r="Q117" i="15"/>
  <c r="O91" i="15"/>
  <c r="Q89" i="15"/>
  <c r="EY33" i="5"/>
  <c r="EZ33" i="5"/>
  <c r="MC43" i="5" l="1"/>
  <c r="MB43" i="5"/>
  <c r="MC17" i="5"/>
  <c r="MB17" i="5"/>
  <c r="S111" i="19"/>
  <c r="Q121" i="15"/>
  <c r="T146" i="17"/>
  <c r="S140" i="19"/>
  <c r="T145" i="17"/>
  <c r="T108" i="17"/>
  <c r="T107" i="17"/>
  <c r="T144" i="17"/>
  <c r="G152" i="19"/>
  <c r="S147" i="17"/>
  <c r="J114" i="19"/>
  <c r="T109" i="17"/>
  <c r="S110" i="17"/>
  <c r="Q91" i="15"/>
  <c r="R110" i="17"/>
  <c r="R147" i="17"/>
  <c r="G114" i="19"/>
  <c r="FA33" i="5"/>
  <c r="S60" i="19"/>
  <c r="S112" i="19"/>
  <c r="R152" i="19"/>
  <c r="Q152" i="19"/>
  <c r="S151" i="19"/>
  <c r="S144" i="19"/>
  <c r="S150" i="19"/>
  <c r="J152" i="19"/>
  <c r="S136" i="19"/>
  <c r="S149" i="19"/>
  <c r="Q114" i="19"/>
  <c r="S102" i="19"/>
  <c r="S106" i="19"/>
  <c r="R114" i="19"/>
  <c r="S113" i="19"/>
  <c r="M155" i="18"/>
  <c r="M116" i="18"/>
  <c r="T147" i="17" l="1"/>
  <c r="T110" i="17"/>
  <c r="S114" i="19"/>
  <c r="S152" i="19"/>
  <c r="PO22" i="5" l="1"/>
  <c r="PO23" i="5" s="1"/>
  <c r="NB35" i="5"/>
  <c r="NC35" i="5"/>
  <c r="NB32" i="5"/>
  <c r="LY35" i="5"/>
  <c r="LZ35" i="5"/>
  <c r="MA35" i="5"/>
  <c r="MB35" i="5"/>
  <c r="G61" i="14"/>
  <c r="H61" i="14"/>
  <c r="I61" i="14"/>
  <c r="LY32" i="5"/>
  <c r="LZ32" i="5"/>
  <c r="MA32" i="5"/>
  <c r="MB32" i="5"/>
  <c r="H129" i="13"/>
  <c r="I129" i="13"/>
  <c r="LY41" i="5" l="1"/>
  <c r="MA41" i="5"/>
  <c r="MB41" i="5"/>
  <c r="LZ41" i="5"/>
  <c r="G28" i="14"/>
  <c r="H95" i="13"/>
  <c r="I95" i="13"/>
  <c r="H62" i="13"/>
  <c r="I62" i="13"/>
  <c r="H29" i="13" l="1"/>
  <c r="H28" i="14"/>
  <c r="I29" i="13"/>
  <c r="I28" i="14"/>
  <c r="MP11" i="5" l="1"/>
  <c r="MP12" i="5" s="1"/>
  <c r="MO11" i="5"/>
  <c r="MO12" i="5" s="1"/>
  <c r="MP6" i="5"/>
  <c r="MO6" i="5"/>
  <c r="MP15" i="5"/>
  <c r="MO15" i="5"/>
  <c r="MD15" i="5"/>
  <c r="MD16" i="5" l="1"/>
  <c r="MO16" i="5"/>
  <c r="MP16" i="5"/>
  <c r="MO22" i="5"/>
  <c r="MO23" i="5" s="1"/>
  <c r="MO9" i="5"/>
  <c r="MP22" i="5"/>
  <c r="MP23" i="5" s="1"/>
  <c r="MP9" i="5"/>
  <c r="MQ15" i="5"/>
  <c r="MQ11" i="5"/>
  <c r="MQ12" i="5" s="1"/>
  <c r="MQ6" i="5"/>
  <c r="MD6" i="5"/>
  <c r="LJ35" i="5"/>
  <c r="LJ41" i="5" s="1"/>
  <c r="LK35" i="5"/>
  <c r="LK41" i="5" s="1"/>
  <c r="LL35" i="5"/>
  <c r="LL41" i="5" s="1"/>
  <c r="LM35" i="5"/>
  <c r="LM41" i="5" s="1"/>
  <c r="LN35" i="5"/>
  <c r="LQ35" i="5"/>
  <c r="LR35" i="5"/>
  <c r="LS35" i="5"/>
  <c r="LT35" i="5"/>
  <c r="LT41" i="5" s="1"/>
  <c r="LU35" i="5"/>
  <c r="LU41" i="5" s="1"/>
  <c r="LV35" i="5"/>
  <c r="LV41" i="5" s="1"/>
  <c r="LW35" i="5"/>
  <c r="LW41" i="5" s="1"/>
  <c r="LX35" i="5"/>
  <c r="MC35" i="5"/>
  <c r="MD35" i="5"/>
  <c r="ME35" i="5"/>
  <c r="MF35" i="5"/>
  <c r="MG35" i="5"/>
  <c r="MH35" i="5"/>
  <c r="MI35" i="5"/>
  <c r="MJ35" i="5"/>
  <c r="MK35" i="5"/>
  <c r="ML35" i="5"/>
  <c r="MM35" i="5"/>
  <c r="MN35" i="5"/>
  <c r="MO35" i="5"/>
  <c r="MP35" i="5"/>
  <c r="MQ35" i="5"/>
  <c r="MR35" i="5"/>
  <c r="MS35" i="5"/>
  <c r="MT35" i="5"/>
  <c r="MU35" i="5"/>
  <c r="MV35" i="5"/>
  <c r="MW35" i="5"/>
  <c r="MX35" i="5"/>
  <c r="LX32" i="5"/>
  <c r="MC32" i="5"/>
  <c r="MD32" i="5"/>
  <c r="ME32" i="5"/>
  <c r="MF32" i="5"/>
  <c r="MG32" i="5"/>
  <c r="MH32" i="5"/>
  <c r="MI32" i="5"/>
  <c r="MJ32" i="5"/>
  <c r="MK32" i="5"/>
  <c r="ML32" i="5"/>
  <c r="MM32" i="5"/>
  <c r="MN32" i="5"/>
  <c r="MO32" i="5"/>
  <c r="MP32" i="5"/>
  <c r="MQ32" i="5"/>
  <c r="MR32" i="5"/>
  <c r="MS32" i="5"/>
  <c r="MT32" i="5"/>
  <c r="MU32" i="5"/>
  <c r="MV32" i="5"/>
  <c r="MW32" i="5"/>
  <c r="MX32" i="5"/>
  <c r="MY32" i="5"/>
  <c r="B61" i="14"/>
  <c r="C61" i="14"/>
  <c r="D61" i="14"/>
  <c r="E61" i="14"/>
  <c r="F61" i="14"/>
  <c r="B66" i="14"/>
  <c r="C66" i="14"/>
  <c r="D66" i="14"/>
  <c r="E66" i="14"/>
  <c r="F66" i="14"/>
  <c r="G66" i="14"/>
  <c r="H66" i="14"/>
  <c r="I66" i="14"/>
  <c r="J66" i="14"/>
  <c r="K66" i="14"/>
  <c r="D129" i="13"/>
  <c r="E129" i="13"/>
  <c r="B134" i="13"/>
  <c r="E134" i="13"/>
  <c r="F134" i="13"/>
  <c r="I134" i="13"/>
  <c r="J134" i="13"/>
  <c r="MW41" i="5" l="1"/>
  <c r="MG41" i="5"/>
  <c r="MO43" i="5"/>
  <c r="MN41" i="5"/>
  <c r="MC41" i="5"/>
  <c r="MV41" i="5"/>
  <c r="MM41" i="5"/>
  <c r="MT41" i="5"/>
  <c r="MS41" i="5"/>
  <c r="MR41" i="5"/>
  <c r="LX41" i="5"/>
  <c r="MI41" i="5"/>
  <c r="MF41" i="5"/>
  <c r="MU41" i="5"/>
  <c r="ME41" i="5"/>
  <c r="ML41" i="5"/>
  <c r="MK41" i="5"/>
  <c r="MJ41" i="5"/>
  <c r="MX41" i="5"/>
  <c r="MH41" i="5"/>
  <c r="LN41" i="5"/>
  <c r="F19" i="13" s="1"/>
  <c r="MP43" i="5"/>
  <c r="MO17" i="5"/>
  <c r="MO41" i="5" s="1"/>
  <c r="MP17" i="5"/>
  <c r="MP41" i="5" s="1"/>
  <c r="MQ22" i="5"/>
  <c r="MQ23" i="5" s="1"/>
  <c r="MD22" i="5"/>
  <c r="MD23" i="5" s="1"/>
  <c r="MD9" i="5"/>
  <c r="MQ9" i="5"/>
  <c r="K61" i="14"/>
  <c r="J61" i="14"/>
  <c r="L66" i="14"/>
  <c r="M66" i="14"/>
  <c r="F62" i="13"/>
  <c r="D67" i="13"/>
  <c r="D62" i="13"/>
  <c r="D95" i="13"/>
  <c r="F67" i="13"/>
  <c r="J100" i="13"/>
  <c r="H67" i="13"/>
  <c r="B62" i="13"/>
  <c r="F95" i="13"/>
  <c r="B95" i="13"/>
  <c r="K67" i="13"/>
  <c r="C67" i="13"/>
  <c r="B100" i="13"/>
  <c r="K134" i="13"/>
  <c r="G134" i="13"/>
  <c r="C134" i="13"/>
  <c r="F129" i="13"/>
  <c r="B129" i="13"/>
  <c r="B67" i="13"/>
  <c r="E95" i="13"/>
  <c r="I100" i="13"/>
  <c r="E100" i="13"/>
  <c r="G67" i="13"/>
  <c r="E62" i="13"/>
  <c r="F100" i="13"/>
  <c r="H100" i="13"/>
  <c r="D100" i="13"/>
  <c r="G95" i="13"/>
  <c r="C95" i="13"/>
  <c r="K100" i="13"/>
  <c r="G100" i="13"/>
  <c r="C100" i="13"/>
  <c r="E67" i="13"/>
  <c r="I67" i="13"/>
  <c r="G62" i="13"/>
  <c r="C62" i="13"/>
  <c r="H134" i="13"/>
  <c r="D134" i="13"/>
  <c r="G29" i="13"/>
  <c r="G129" i="13"/>
  <c r="C129" i="13"/>
  <c r="J67" i="13"/>
  <c r="MQ16" i="5" l="1"/>
  <c r="MQ17" i="5" s="1"/>
  <c r="MQ41" i="5" s="1"/>
  <c r="MD43" i="5"/>
  <c r="MQ43" i="5"/>
  <c r="N66" i="14"/>
  <c r="K95" i="13"/>
  <c r="J129" i="13"/>
  <c r="J95" i="13"/>
  <c r="K129" i="13"/>
  <c r="K62" i="13"/>
  <c r="J62" i="13"/>
  <c r="F34" i="13"/>
  <c r="F33" i="14"/>
  <c r="C29" i="13"/>
  <c r="C28" i="14"/>
  <c r="H34" i="13"/>
  <c r="H33" i="14"/>
  <c r="G34" i="13"/>
  <c r="G33" i="14"/>
  <c r="E29" i="13"/>
  <c r="E28" i="14"/>
  <c r="J34" i="13"/>
  <c r="J33" i="14"/>
  <c r="B34" i="13"/>
  <c r="B33" i="14"/>
  <c r="B29" i="13"/>
  <c r="B28" i="14"/>
  <c r="D34" i="13"/>
  <c r="D33" i="14"/>
  <c r="D29" i="13"/>
  <c r="D28" i="14"/>
  <c r="C34" i="13"/>
  <c r="C33" i="14"/>
  <c r="K34" i="13"/>
  <c r="K33" i="14"/>
  <c r="L61" i="14"/>
  <c r="F29" i="13"/>
  <c r="F28" i="14"/>
  <c r="E34" i="13"/>
  <c r="E33" i="14"/>
  <c r="I34" i="13"/>
  <c r="I33" i="14"/>
  <c r="L67" i="13"/>
  <c r="L100" i="13"/>
  <c r="M67" i="13"/>
  <c r="L134" i="13"/>
  <c r="M100" i="13"/>
  <c r="M134" i="13"/>
  <c r="L95" i="13" l="1"/>
  <c r="J28" i="14"/>
  <c r="K28" i="14"/>
  <c r="K29" i="13"/>
  <c r="J29" i="13"/>
  <c r="L34" i="13"/>
  <c r="M34" i="13"/>
  <c r="L33" i="14"/>
  <c r="M33" i="14"/>
  <c r="N67" i="13"/>
  <c r="L129" i="13"/>
  <c r="L62" i="13"/>
  <c r="N100" i="13"/>
  <c r="N134" i="13"/>
  <c r="N34" i="13" l="1"/>
  <c r="L29" i="13"/>
  <c r="L28" i="14"/>
  <c r="N33" i="14"/>
  <c r="BI90" i="12" l="1"/>
  <c r="BI89" i="12"/>
  <c r="BI67" i="12"/>
  <c r="BI66" i="12"/>
  <c r="BI44" i="12"/>
  <c r="BI43" i="12"/>
  <c r="BI20" i="12"/>
  <c r="BI21" i="12"/>
  <c r="BI14" i="12"/>
  <c r="F22" i="5"/>
  <c r="E60" i="15"/>
  <c r="F60" i="15"/>
  <c r="G60" i="15"/>
  <c r="H60" i="15"/>
  <c r="I60" i="15"/>
  <c r="J60" i="15"/>
  <c r="K60" i="15"/>
  <c r="L60" i="15"/>
  <c r="M60" i="15"/>
  <c r="N60" i="15"/>
  <c r="D70" i="17"/>
  <c r="D73" i="17" s="1"/>
  <c r="E70" i="17"/>
  <c r="E73" i="17" s="1"/>
  <c r="F70" i="17"/>
  <c r="G70" i="17"/>
  <c r="H70" i="17"/>
  <c r="I70" i="17"/>
  <c r="J70" i="17"/>
  <c r="K70" i="17"/>
  <c r="L70" i="17"/>
  <c r="M70" i="17"/>
  <c r="F71" i="17"/>
  <c r="G71" i="17"/>
  <c r="H71" i="17"/>
  <c r="I71" i="17"/>
  <c r="J71" i="17"/>
  <c r="K71" i="17"/>
  <c r="L71" i="17"/>
  <c r="M71" i="17"/>
  <c r="N71" i="17"/>
  <c r="O71" i="17"/>
  <c r="H72" i="17"/>
  <c r="I72" i="17"/>
  <c r="J72" i="17"/>
  <c r="K72" i="17"/>
  <c r="L72" i="17"/>
  <c r="M72" i="17"/>
  <c r="N72" i="17"/>
  <c r="O72" i="17"/>
  <c r="P72" i="17"/>
  <c r="Q72" i="17"/>
  <c r="J74" i="18"/>
  <c r="K74" i="18"/>
  <c r="L74" i="18"/>
  <c r="J75" i="18"/>
  <c r="K75" i="18"/>
  <c r="L75" i="18"/>
  <c r="J76" i="18"/>
  <c r="K76" i="18"/>
  <c r="L76" i="18"/>
  <c r="E73" i="19"/>
  <c r="F73" i="19"/>
  <c r="E74" i="19"/>
  <c r="F74" i="19"/>
  <c r="E75" i="19"/>
  <c r="F75" i="19"/>
  <c r="H73" i="19"/>
  <c r="I73" i="19"/>
  <c r="H74" i="19"/>
  <c r="I74" i="19"/>
  <c r="H75" i="19"/>
  <c r="I75" i="19"/>
  <c r="K73" i="19"/>
  <c r="L73" i="19"/>
  <c r="K74" i="19"/>
  <c r="L74" i="19"/>
  <c r="K75" i="19"/>
  <c r="L75" i="19"/>
  <c r="M73" i="19"/>
  <c r="N73" i="19"/>
  <c r="M74" i="19"/>
  <c r="N74" i="19"/>
  <c r="M75" i="19"/>
  <c r="N75" i="19"/>
  <c r="O73" i="19"/>
  <c r="P73" i="19"/>
  <c r="O74" i="19"/>
  <c r="P74" i="19"/>
  <c r="O75" i="19"/>
  <c r="P75" i="19"/>
  <c r="G35" i="5"/>
  <c r="G41" i="5" s="1"/>
  <c r="H35" i="5"/>
  <c r="H41" i="5" s="1"/>
  <c r="I35" i="5"/>
  <c r="J35" i="5"/>
  <c r="J41" i="5" s="1"/>
  <c r="K35" i="5"/>
  <c r="K41" i="5" s="1"/>
  <c r="L35" i="5"/>
  <c r="L41" i="5" s="1"/>
  <c r="M35" i="5"/>
  <c r="M41" i="5" s="1"/>
  <c r="N35" i="5"/>
  <c r="N41" i="5" s="1"/>
  <c r="O35" i="5"/>
  <c r="P35" i="5"/>
  <c r="P41" i="5" s="1"/>
  <c r="Q35" i="5"/>
  <c r="Q41" i="5" s="1"/>
  <c r="R35" i="5"/>
  <c r="R41" i="5" s="1"/>
  <c r="S35" i="5"/>
  <c r="S41" i="5" s="1"/>
  <c r="T35" i="5"/>
  <c r="T41" i="5" s="1"/>
  <c r="U35" i="5"/>
  <c r="V41" i="5"/>
  <c r="W35" i="5"/>
  <c r="W41" i="5" s="1"/>
  <c r="X35" i="5"/>
  <c r="X41" i="5" s="1"/>
  <c r="Y35" i="5"/>
  <c r="Y41" i="5" s="1"/>
  <c r="Z35" i="5"/>
  <c r="Z41" i="5" s="1"/>
  <c r="AA35" i="5"/>
  <c r="AA41" i="5" s="1"/>
  <c r="AB35" i="5"/>
  <c r="AB41" i="5" s="1"/>
  <c r="AC35" i="5"/>
  <c r="AC41" i="5" s="1"/>
  <c r="AD35" i="5"/>
  <c r="AD41" i="5" s="1"/>
  <c r="AE35" i="5"/>
  <c r="AE41" i="5" s="1"/>
  <c r="AI35" i="5"/>
  <c r="AI41" i="5" s="1"/>
  <c r="AJ35" i="5"/>
  <c r="AJ41" i="5" s="1"/>
  <c r="AK35" i="5"/>
  <c r="AK41" i="5" s="1"/>
  <c r="AL35" i="5"/>
  <c r="AL41" i="5" s="1"/>
  <c r="AM35" i="5"/>
  <c r="AM41" i="5" s="1"/>
  <c r="AN35" i="5"/>
  <c r="AN41" i="5" s="1"/>
  <c r="AO35" i="5"/>
  <c r="AO41" i="5" s="1"/>
  <c r="AP35" i="5"/>
  <c r="AP41" i="5" s="1"/>
  <c r="AQ35" i="5"/>
  <c r="AQ41" i="5" s="1"/>
  <c r="AR35" i="5"/>
  <c r="AR41" i="5" s="1"/>
  <c r="AV35" i="5"/>
  <c r="AV41" i="5" s="1"/>
  <c r="AW35" i="5"/>
  <c r="AW41" i="5" s="1"/>
  <c r="AX35" i="5"/>
  <c r="AX41" i="5" s="1"/>
  <c r="AY35" i="5"/>
  <c r="AY41" i="5" s="1"/>
  <c r="AZ35" i="5"/>
  <c r="AZ41" i="5" s="1"/>
  <c r="BA35" i="5"/>
  <c r="BA41" i="5" s="1"/>
  <c r="BB35" i="5"/>
  <c r="BB41" i="5" s="1"/>
  <c r="BC35" i="5"/>
  <c r="BC41" i="5" s="1"/>
  <c r="BD35" i="5"/>
  <c r="BD41" i="5" s="1"/>
  <c r="BE35" i="5"/>
  <c r="BE41" i="5" s="1"/>
  <c r="BI35" i="5"/>
  <c r="BI41" i="5" s="1"/>
  <c r="BJ35" i="5"/>
  <c r="BJ41" i="5" s="1"/>
  <c r="BK35" i="5"/>
  <c r="BK41" i="5" s="1"/>
  <c r="BL35" i="5"/>
  <c r="BL41" i="5" s="1"/>
  <c r="BM35" i="5"/>
  <c r="BM41" i="5" s="1"/>
  <c r="BN35" i="5"/>
  <c r="BN41" i="5" s="1"/>
  <c r="BP35" i="5"/>
  <c r="BP41" i="5" s="1"/>
  <c r="BQ35" i="5"/>
  <c r="BQ41" i="5" s="1"/>
  <c r="BR35" i="5"/>
  <c r="BR41" i="5" s="1"/>
  <c r="CM35" i="5"/>
  <c r="CM41" i="5" s="1"/>
  <c r="CN35" i="5"/>
  <c r="CN41" i="5" s="1"/>
  <c r="CO35" i="5"/>
  <c r="CO41" i="5" s="1"/>
  <c r="CP35" i="5"/>
  <c r="CP41" i="5" s="1"/>
  <c r="CQ35" i="5"/>
  <c r="CQ41" i="5" s="1"/>
  <c r="CR35" i="5"/>
  <c r="CR41" i="5" s="1"/>
  <c r="CS35" i="5"/>
  <c r="CS41" i="5" s="1"/>
  <c r="CT35" i="5"/>
  <c r="CT41" i="5" s="1"/>
  <c r="CU35" i="5"/>
  <c r="CU41" i="5" s="1"/>
  <c r="CZ35" i="5"/>
  <c r="CZ41" i="5" s="1"/>
  <c r="DA35" i="5"/>
  <c r="DA41" i="5" s="1"/>
  <c r="DB35" i="5"/>
  <c r="DB41" i="5" s="1"/>
  <c r="DC35" i="5"/>
  <c r="DC41" i="5" s="1"/>
  <c r="DD35" i="5"/>
  <c r="DD41" i="5" s="1"/>
  <c r="DE35" i="5"/>
  <c r="DE41" i="5" s="1"/>
  <c r="DI35" i="5"/>
  <c r="DI41" i="5" s="1"/>
  <c r="DJ35" i="5"/>
  <c r="DJ41" i="5" s="1"/>
  <c r="DK35" i="5"/>
  <c r="DK41" i="5" s="1"/>
  <c r="DL35" i="5"/>
  <c r="DL41" i="5" s="1"/>
  <c r="DM35" i="5"/>
  <c r="DM41" i="5" s="1"/>
  <c r="DN35" i="5"/>
  <c r="DN41" i="5" s="1"/>
  <c r="DR35" i="5"/>
  <c r="DR41" i="5" s="1"/>
  <c r="DS35" i="5"/>
  <c r="DS41" i="5" s="1"/>
  <c r="DT35" i="5"/>
  <c r="DT41" i="5" s="1"/>
  <c r="DU35" i="5"/>
  <c r="DU41" i="5" s="1"/>
  <c r="DV35" i="5"/>
  <c r="DV41" i="5" s="1"/>
  <c r="DW35" i="5"/>
  <c r="DW41" i="5" s="1"/>
  <c r="EA35" i="5"/>
  <c r="EA41" i="5" s="1"/>
  <c r="EB35" i="5"/>
  <c r="EB41" i="5" s="1"/>
  <c r="EC35" i="5"/>
  <c r="EC41" i="5" s="1"/>
  <c r="ED35" i="5"/>
  <c r="ED41" i="5" s="1"/>
  <c r="EE35" i="5"/>
  <c r="EE41" i="5" s="1"/>
  <c r="EF35" i="5"/>
  <c r="EF41" i="5" s="1"/>
  <c r="EJ35" i="5"/>
  <c r="EJ41" i="5" s="1"/>
  <c r="EK35" i="5"/>
  <c r="EK41" i="5" s="1"/>
  <c r="EL35" i="5"/>
  <c r="EL41" i="5" s="1"/>
  <c r="EM35" i="5"/>
  <c r="EM41" i="5" s="1"/>
  <c r="EN35" i="5"/>
  <c r="EN41" i="5" s="1"/>
  <c r="EO35" i="5"/>
  <c r="EO41" i="5" s="1"/>
  <c r="ES35" i="5"/>
  <c r="ES41" i="5" s="1"/>
  <c r="ET35" i="5"/>
  <c r="ET41" i="5" s="1"/>
  <c r="EU35" i="5"/>
  <c r="EU41" i="5" s="1"/>
  <c r="EV35" i="5"/>
  <c r="EV41" i="5" s="1"/>
  <c r="EW35" i="5"/>
  <c r="EW41" i="5" s="1"/>
  <c r="EX35" i="5"/>
  <c r="EX41" i="5" s="1"/>
  <c r="FB35" i="5"/>
  <c r="FC35" i="5"/>
  <c r="FD35" i="5"/>
  <c r="FE35" i="5"/>
  <c r="FF35" i="5"/>
  <c r="FG35" i="5"/>
  <c r="FH35" i="5"/>
  <c r="FI35" i="5"/>
  <c r="FJ35" i="5"/>
  <c r="FK35" i="5"/>
  <c r="FL35" i="5"/>
  <c r="FM35" i="5"/>
  <c r="FN35" i="5"/>
  <c r="FO35" i="5"/>
  <c r="FO41" i="5" s="1"/>
  <c r="FP35" i="5"/>
  <c r="FP41" i="5" s="1"/>
  <c r="FS35" i="5"/>
  <c r="FS41" i="5" s="1"/>
  <c r="FT35" i="5"/>
  <c r="FT41" i="5" s="1"/>
  <c r="FU35" i="5"/>
  <c r="FU41" i="5" s="1"/>
  <c r="FV35" i="5"/>
  <c r="FV41" i="5" s="1"/>
  <c r="FW35" i="5"/>
  <c r="FW41" i="5" s="1"/>
  <c r="FX35" i="5"/>
  <c r="FX41" i="5" s="1"/>
  <c r="FY35" i="5"/>
  <c r="FY41" i="5" s="1"/>
  <c r="FZ35" i="5"/>
  <c r="FZ41" i="5" s="1"/>
  <c r="GA35" i="5"/>
  <c r="GA41" i="5" s="1"/>
  <c r="GB35" i="5"/>
  <c r="GB41" i="5" s="1"/>
  <c r="GE35" i="5"/>
  <c r="GE41" i="5" s="1"/>
  <c r="GF35" i="5"/>
  <c r="GF41" i="5" s="1"/>
  <c r="GG35" i="5"/>
  <c r="GH35" i="5"/>
  <c r="GI35" i="5"/>
  <c r="GJ35" i="5"/>
  <c r="GJ41" i="5" s="1"/>
  <c r="GK35" i="5"/>
  <c r="GK41" i="5" s="1"/>
  <c r="GL35" i="5"/>
  <c r="GL41" i="5" s="1"/>
  <c r="GM35" i="5"/>
  <c r="GM41" i="5" s="1"/>
  <c r="GN35" i="5"/>
  <c r="GN41" i="5" s="1"/>
  <c r="GO35" i="5"/>
  <c r="GO41" i="5" s="1"/>
  <c r="GP35" i="5"/>
  <c r="GP41" i="5" s="1"/>
  <c r="GQ35" i="5"/>
  <c r="GQ41" i="5" s="1"/>
  <c r="GR35" i="5"/>
  <c r="GR41" i="5" s="1"/>
  <c r="GS35" i="5"/>
  <c r="GS41" i="5" s="1"/>
  <c r="GT35" i="5"/>
  <c r="GT41" i="5" s="1"/>
  <c r="GU35" i="5"/>
  <c r="GU41" i="5" s="1"/>
  <c r="GV35" i="5"/>
  <c r="GV41" i="5" s="1"/>
  <c r="GW35" i="5"/>
  <c r="GW41" i="5" s="1"/>
  <c r="GX35" i="5"/>
  <c r="GX41" i="5" s="1"/>
  <c r="GY35" i="5"/>
  <c r="GY41" i="5" s="1"/>
  <c r="GZ35" i="5"/>
  <c r="GZ41" i="5" s="1"/>
  <c r="HA35" i="5"/>
  <c r="HA41" i="5" s="1"/>
  <c r="HB35" i="5"/>
  <c r="HB41" i="5" s="1"/>
  <c r="HC35" i="5"/>
  <c r="HC41" i="5" s="1"/>
  <c r="HD35" i="5"/>
  <c r="HD41" i="5" s="1"/>
  <c r="HE35" i="5"/>
  <c r="HE41" i="5" s="1"/>
  <c r="HF35" i="5"/>
  <c r="HF41" i="5" s="1"/>
  <c r="HG35" i="5"/>
  <c r="HG41" i="5" s="1"/>
  <c r="HH35" i="5"/>
  <c r="HH41" i="5" s="1"/>
  <c r="HI35" i="5"/>
  <c r="HI41" i="5" s="1"/>
  <c r="HJ35" i="5"/>
  <c r="HJ41" i="5" s="1"/>
  <c r="HK35" i="5"/>
  <c r="HK41" i="5" s="1"/>
  <c r="HL35" i="5"/>
  <c r="HL41" i="5" s="1"/>
  <c r="HM35" i="5"/>
  <c r="HM41" i="5" s="1"/>
  <c r="HN35" i="5"/>
  <c r="HN41" i="5" s="1"/>
  <c r="HO35" i="5"/>
  <c r="HO41" i="5" s="1"/>
  <c r="HP35" i="5"/>
  <c r="HP41" i="5" s="1"/>
  <c r="HQ35" i="5"/>
  <c r="HQ41" i="5" s="1"/>
  <c r="HR35" i="5"/>
  <c r="HR41" i="5" s="1"/>
  <c r="HS35" i="5"/>
  <c r="HS41" i="5" s="1"/>
  <c r="HT35" i="5"/>
  <c r="HT41" i="5" s="1"/>
  <c r="HU35" i="5"/>
  <c r="HU41" i="5" s="1"/>
  <c r="HV35" i="5"/>
  <c r="HV41" i="5" s="1"/>
  <c r="HW35" i="5"/>
  <c r="HW41" i="5" s="1"/>
  <c r="HX35" i="5"/>
  <c r="HX41" i="5" s="1"/>
  <c r="HY35" i="5"/>
  <c r="HY41" i="5" s="1"/>
  <c r="HZ35" i="5"/>
  <c r="HZ41" i="5" s="1"/>
  <c r="IA35" i="5"/>
  <c r="IA41" i="5" s="1"/>
  <c r="IB35" i="5"/>
  <c r="IB41" i="5" s="1"/>
  <c r="IC35" i="5"/>
  <c r="IC41" i="5" s="1"/>
  <c r="ID35" i="5"/>
  <c r="ID41" i="5" s="1"/>
  <c r="IE35" i="5"/>
  <c r="IE41" i="5" s="1"/>
  <c r="IF35" i="5"/>
  <c r="IF41" i="5" s="1"/>
  <c r="IG35" i="5"/>
  <c r="IG41" i="5" s="1"/>
  <c r="IH35" i="5"/>
  <c r="IH41" i="5" s="1"/>
  <c r="II35" i="5"/>
  <c r="II41" i="5" s="1"/>
  <c r="IJ35" i="5"/>
  <c r="IJ41" i="5" s="1"/>
  <c r="IK35" i="5"/>
  <c r="IK41" i="5" s="1"/>
  <c r="IL35" i="5"/>
  <c r="IL41" i="5" s="1"/>
  <c r="IM35" i="5"/>
  <c r="IM41" i="5" s="1"/>
  <c r="IN35" i="5"/>
  <c r="IN41" i="5" s="1"/>
  <c r="IO35" i="5"/>
  <c r="IO41" i="5" s="1"/>
  <c r="IP35" i="5"/>
  <c r="IP41" i="5" s="1"/>
  <c r="IQ35" i="5"/>
  <c r="IQ41" i="5" s="1"/>
  <c r="IR35" i="5"/>
  <c r="IR41" i="5" s="1"/>
  <c r="IS35" i="5"/>
  <c r="IS41" i="5" s="1"/>
  <c r="IT35" i="5"/>
  <c r="IT41" i="5" s="1"/>
  <c r="IU35" i="5"/>
  <c r="IU41" i="5" s="1"/>
  <c r="IV35" i="5"/>
  <c r="IV41" i="5" s="1"/>
  <c r="IW35" i="5"/>
  <c r="IW41" i="5" s="1"/>
  <c r="IX35" i="5"/>
  <c r="IX41" i="5" s="1"/>
  <c r="IY35" i="5"/>
  <c r="IY41" i="5" s="1"/>
  <c r="IZ35" i="5"/>
  <c r="IZ41" i="5" s="1"/>
  <c r="JA35" i="5"/>
  <c r="JA41" i="5" s="1"/>
  <c r="JB35" i="5"/>
  <c r="JB41" i="5" s="1"/>
  <c r="JC35" i="5"/>
  <c r="JC41" i="5" s="1"/>
  <c r="JD35" i="5"/>
  <c r="JD41" i="5" s="1"/>
  <c r="JE35" i="5"/>
  <c r="JE41" i="5" s="1"/>
  <c r="JF35" i="5"/>
  <c r="JF41" i="5" s="1"/>
  <c r="JG35" i="5"/>
  <c r="JG41" i="5" s="1"/>
  <c r="JH35" i="5"/>
  <c r="JH41" i="5" s="1"/>
  <c r="JI35" i="5"/>
  <c r="JI41" i="5" s="1"/>
  <c r="JJ35" i="5"/>
  <c r="JJ41" i="5" s="1"/>
  <c r="JK35" i="5"/>
  <c r="JK41" i="5" s="1"/>
  <c r="JL35" i="5"/>
  <c r="JL41" i="5" s="1"/>
  <c r="JM35" i="5"/>
  <c r="JM41" i="5" s="1"/>
  <c r="JN35" i="5"/>
  <c r="JN41" i="5" s="1"/>
  <c r="JO35" i="5"/>
  <c r="JO41" i="5" s="1"/>
  <c r="JP35" i="5"/>
  <c r="JP41" i="5" s="1"/>
  <c r="JQ35" i="5"/>
  <c r="JQ41" i="5" s="1"/>
  <c r="JR35" i="5"/>
  <c r="JR41" i="5" s="1"/>
  <c r="JS35" i="5"/>
  <c r="JS41" i="5" s="1"/>
  <c r="JT35" i="5"/>
  <c r="JT41" i="5" s="1"/>
  <c r="JU35" i="5"/>
  <c r="JU41" i="5" s="1"/>
  <c r="JV35" i="5"/>
  <c r="JV41" i="5" s="1"/>
  <c r="JW35" i="5"/>
  <c r="JW41" i="5" s="1"/>
  <c r="JX35" i="5"/>
  <c r="JX41" i="5" s="1"/>
  <c r="JY35" i="5"/>
  <c r="JY41" i="5" s="1"/>
  <c r="JZ35" i="5"/>
  <c r="JZ41" i="5" s="1"/>
  <c r="KA35" i="5"/>
  <c r="KA41" i="5" s="1"/>
  <c r="KB35" i="5"/>
  <c r="KB41" i="5" s="1"/>
  <c r="KC35" i="5"/>
  <c r="KC41" i="5" s="1"/>
  <c r="KD35" i="5"/>
  <c r="KD41" i="5" s="1"/>
  <c r="KE35" i="5"/>
  <c r="KE41" i="5" s="1"/>
  <c r="KF35" i="5"/>
  <c r="KF41" i="5" s="1"/>
  <c r="KG35" i="5"/>
  <c r="KG41" i="5" s="1"/>
  <c r="KH35" i="5"/>
  <c r="KH41" i="5" s="1"/>
  <c r="KI35" i="5"/>
  <c r="KI41" i="5" s="1"/>
  <c r="KJ35" i="5"/>
  <c r="KJ41" i="5" s="1"/>
  <c r="KK35" i="5"/>
  <c r="KK41" i="5" s="1"/>
  <c r="KL35" i="5"/>
  <c r="KL41" i="5" s="1"/>
  <c r="KM35" i="5"/>
  <c r="KM41" i="5" s="1"/>
  <c r="KN35" i="5"/>
  <c r="KN41" i="5" s="1"/>
  <c r="KO35" i="5"/>
  <c r="KO41" i="5" s="1"/>
  <c r="KP35" i="5"/>
  <c r="KP41" i="5" s="1"/>
  <c r="KQ35" i="5"/>
  <c r="KQ41" i="5" s="1"/>
  <c r="KR35" i="5"/>
  <c r="KR41" i="5" s="1"/>
  <c r="KS35" i="5"/>
  <c r="KS41" i="5" s="1"/>
  <c r="KT35" i="5"/>
  <c r="KT41" i="5" s="1"/>
  <c r="KU35" i="5"/>
  <c r="KU41" i="5" s="1"/>
  <c r="KV35" i="5"/>
  <c r="KW35" i="5"/>
  <c r="KX35" i="5"/>
  <c r="KY35" i="5"/>
  <c r="KY41" i="5" s="1"/>
  <c r="KZ35" i="5"/>
  <c r="KZ41" i="5" s="1"/>
  <c r="LA35" i="5"/>
  <c r="LA41" i="5" s="1"/>
  <c r="LB35" i="5"/>
  <c r="LB41" i="5" s="1"/>
  <c r="LC35" i="5"/>
  <c r="LC41" i="5" s="1"/>
  <c r="LD35" i="5"/>
  <c r="LD41" i="5" s="1"/>
  <c r="LE35" i="5"/>
  <c r="LE41" i="5" s="1"/>
  <c r="LF35" i="5"/>
  <c r="LF41" i="5" s="1"/>
  <c r="LG35" i="5"/>
  <c r="LG41" i="5" s="1"/>
  <c r="LH35" i="5"/>
  <c r="LH41" i="5" s="1"/>
  <c r="LI35" i="5"/>
  <c r="LI41" i="5" s="1"/>
  <c r="MY35" i="5"/>
  <c r="MY41" i="5" s="1"/>
  <c r="MZ35" i="5"/>
  <c r="NA35" i="5"/>
  <c r="ND35" i="5"/>
  <c r="NE35" i="5"/>
  <c r="NF35" i="5"/>
  <c r="NG35" i="5"/>
  <c r="NH35" i="5"/>
  <c r="NI35" i="5"/>
  <c r="NJ35" i="5"/>
  <c r="NK35" i="5"/>
  <c r="NL35" i="5"/>
  <c r="NM35" i="5"/>
  <c r="NN35" i="5"/>
  <c r="NO35" i="5"/>
  <c r="NP35" i="5"/>
  <c r="NQ35" i="5"/>
  <c r="NR35" i="5"/>
  <c r="NS35" i="5"/>
  <c r="NT35" i="5"/>
  <c r="NU35" i="5"/>
  <c r="NV35" i="5"/>
  <c r="NW35" i="5"/>
  <c r="NX35" i="5"/>
  <c r="NY35" i="5"/>
  <c r="NZ35" i="5"/>
  <c r="OA35" i="5"/>
  <c r="OB35" i="5"/>
  <c r="OC35" i="5"/>
  <c r="OD35" i="5"/>
  <c r="OE35" i="5"/>
  <c r="OF35" i="5"/>
  <c r="OG35" i="5"/>
  <c r="OH35" i="5"/>
  <c r="OI35" i="5"/>
  <c r="OJ35" i="5"/>
  <c r="OK35" i="5"/>
  <c r="OL35" i="5"/>
  <c r="OM35" i="5"/>
  <c r="ON35" i="5"/>
  <c r="OO35" i="5"/>
  <c r="OP35" i="5"/>
  <c r="OQ35" i="5"/>
  <c r="OR35" i="5"/>
  <c r="OS35" i="5"/>
  <c r="OT35" i="5"/>
  <c r="OU35" i="5"/>
  <c r="K18" i="21" s="1"/>
  <c r="OV35" i="5"/>
  <c r="L18" i="21" s="1"/>
  <c r="OZ35" i="5"/>
  <c r="OZ41" i="5" s="1"/>
  <c r="PA35" i="5"/>
  <c r="PA41" i="5" s="1"/>
  <c r="PB35" i="5"/>
  <c r="C33" i="21" s="1"/>
  <c r="PC35" i="5"/>
  <c r="E33" i="21" s="1"/>
  <c r="PD35" i="5"/>
  <c r="G33" i="21" s="1"/>
  <c r="PE35" i="5"/>
  <c r="PF35" i="5"/>
  <c r="PG35" i="5"/>
  <c r="PH35" i="5"/>
  <c r="PI35" i="5"/>
  <c r="S33" i="21" s="1"/>
  <c r="U33" i="21" s="1"/>
  <c r="PJ35" i="5"/>
  <c r="PK35" i="5"/>
  <c r="PL35" i="5"/>
  <c r="PM35" i="5"/>
  <c r="PN35" i="5"/>
  <c r="PO35" i="5"/>
  <c r="PP35" i="5"/>
  <c r="M18" i="21" s="1"/>
  <c r="PQ35" i="5"/>
  <c r="N18" i="21" s="1"/>
  <c r="PR35" i="5"/>
  <c r="O18" i="21" s="1"/>
  <c r="PS35" i="5"/>
  <c r="P18" i="21" s="1"/>
  <c r="PT35" i="5"/>
  <c r="Q18" i="21" s="1"/>
  <c r="PU35" i="5"/>
  <c r="R18" i="21" s="1"/>
  <c r="QI35" i="5"/>
  <c r="X18" i="21" s="1"/>
  <c r="QJ35" i="5"/>
  <c r="QK35" i="5"/>
  <c r="QL35" i="5"/>
  <c r="QB35" i="5"/>
  <c r="W18" i="21" s="1"/>
  <c r="QC35" i="5"/>
  <c r="QD35" i="5"/>
  <c r="QE35" i="5"/>
  <c r="QF35" i="5"/>
  <c r="QG35" i="5"/>
  <c r="QH35" i="5"/>
  <c r="QM35" i="5"/>
  <c r="Y18" i="21" s="1"/>
  <c r="QN35" i="5"/>
  <c r="QO35" i="5"/>
  <c r="QO41" i="5" s="1"/>
  <c r="QP35" i="5"/>
  <c r="QP41" i="5" s="1"/>
  <c r="QQ35" i="5"/>
  <c r="QQ41" i="5" s="1"/>
  <c r="QR35" i="5"/>
  <c r="QR41" i="5" s="1"/>
  <c r="QS35" i="5"/>
  <c r="QS41" i="5" s="1"/>
  <c r="QT35" i="5"/>
  <c r="QT41" i="5" s="1"/>
  <c r="RB35" i="5"/>
  <c r="RC35" i="5"/>
  <c r="QU35" i="5"/>
  <c r="QU41" i="5" s="1"/>
  <c r="QV35" i="5"/>
  <c r="QV41" i="5" s="1"/>
  <c r="QW35" i="5"/>
  <c r="QW41" i="5" s="1"/>
  <c r="QX35" i="5"/>
  <c r="QX41" i="5" s="1"/>
  <c r="QY35" i="5"/>
  <c r="QY41" i="5" s="1"/>
  <c r="QZ35" i="5"/>
  <c r="QZ41" i="5" s="1"/>
  <c r="RA35" i="5"/>
  <c r="RA41" i="5" s="1"/>
  <c r="RD35" i="5"/>
  <c r="RE35" i="5"/>
  <c r="PV35" i="5"/>
  <c r="V18" i="21" s="1"/>
  <c r="PW35" i="5"/>
  <c r="PX35" i="5"/>
  <c r="PY35" i="5"/>
  <c r="PZ35" i="5"/>
  <c r="QA35" i="5"/>
  <c r="RF35" i="5"/>
  <c r="E18" i="21" s="1"/>
  <c r="RG35" i="5"/>
  <c r="F18" i="21" s="1"/>
  <c r="RH35" i="5"/>
  <c r="G18" i="21" s="1"/>
  <c r="RI35" i="5"/>
  <c r="B18" i="21" s="1"/>
  <c r="RJ35" i="5"/>
  <c r="C18" i="21" s="1"/>
  <c r="RK35" i="5"/>
  <c r="RL35" i="5"/>
  <c r="H18" i="21" s="1"/>
  <c r="RM35" i="5"/>
  <c r="I18" i="21" s="1"/>
  <c r="RN35" i="5"/>
  <c r="J18" i="21" s="1"/>
  <c r="RU35" i="5"/>
  <c r="RV35" i="5"/>
  <c r="RV41" i="5" s="1"/>
  <c r="RW35" i="5"/>
  <c r="RX35" i="5"/>
  <c r="RX41" i="5" s="1"/>
  <c r="RY35" i="5"/>
  <c r="RZ35" i="5"/>
  <c r="RZ41" i="5" s="1"/>
  <c r="SA35" i="5"/>
  <c r="T18" i="21" s="1"/>
  <c r="SB35" i="5"/>
  <c r="SC35" i="5"/>
  <c r="SD35" i="5"/>
  <c r="SE35" i="5"/>
  <c r="SF35" i="5"/>
  <c r="SG35" i="5"/>
  <c r="SH35" i="5"/>
  <c r="SH41" i="5" s="1"/>
  <c r="SI35" i="5"/>
  <c r="SJ35" i="5"/>
  <c r="SK35" i="5"/>
  <c r="SL35" i="5"/>
  <c r="SM35" i="5"/>
  <c r="SN35" i="5"/>
  <c r="SO35" i="5"/>
  <c r="SP35" i="5"/>
  <c r="S18" i="21" l="1"/>
  <c r="FI41" i="5"/>
  <c r="L16" i="20"/>
  <c r="FE41" i="5"/>
  <c r="H16" i="20"/>
  <c r="U41" i="5"/>
  <c r="S15" i="15"/>
  <c r="I41" i="5"/>
  <c r="Q15" i="15"/>
  <c r="FH41" i="5"/>
  <c r="K16" i="20"/>
  <c r="FD41" i="5"/>
  <c r="G16" i="20"/>
  <c r="FK41" i="5"/>
  <c r="N16" i="20"/>
  <c r="FG41" i="5"/>
  <c r="J16" i="20"/>
  <c r="FC41" i="5"/>
  <c r="F16" i="20"/>
  <c r="O41" i="5"/>
  <c r="O15" i="15"/>
  <c r="I33" i="21"/>
  <c r="FJ41" i="5"/>
  <c r="M16" i="20"/>
  <c r="FF41" i="5"/>
  <c r="I16" i="20"/>
  <c r="FB41" i="5"/>
  <c r="E16" i="20"/>
  <c r="O34" i="19"/>
  <c r="K36" i="19"/>
  <c r="H35" i="19"/>
  <c r="K37" i="18"/>
  <c r="Q35" i="17"/>
  <c r="Q36" i="17" s="1"/>
  <c r="I35" i="17"/>
  <c r="I34" i="17"/>
  <c r="I33" i="17"/>
  <c r="L30" i="15"/>
  <c r="N36" i="19"/>
  <c r="L35" i="19"/>
  <c r="I34" i="19"/>
  <c r="F36" i="19"/>
  <c r="J37" i="18"/>
  <c r="P35" i="17"/>
  <c r="P36" i="17" s="1"/>
  <c r="H35" i="17"/>
  <c r="H34" i="17"/>
  <c r="H33" i="17"/>
  <c r="K30" i="15"/>
  <c r="M36" i="19"/>
  <c r="K35" i="19"/>
  <c r="H34" i="19"/>
  <c r="E36" i="19"/>
  <c r="L36" i="18"/>
  <c r="O35" i="17"/>
  <c r="O34" i="17"/>
  <c r="G34" i="17"/>
  <c r="G33" i="17"/>
  <c r="J30" i="15"/>
  <c r="P36" i="19"/>
  <c r="N35" i="19"/>
  <c r="L34" i="19"/>
  <c r="F35" i="19"/>
  <c r="K36" i="18"/>
  <c r="N35" i="17"/>
  <c r="N34" i="17"/>
  <c r="F34" i="17"/>
  <c r="F33" i="17"/>
  <c r="I30" i="15"/>
  <c r="O36" i="19"/>
  <c r="M35" i="19"/>
  <c r="K34" i="19"/>
  <c r="E35" i="19"/>
  <c r="J36" i="18"/>
  <c r="M35" i="17"/>
  <c r="M34" i="17"/>
  <c r="M33" i="17"/>
  <c r="E33" i="17"/>
  <c r="E36" i="17" s="1"/>
  <c r="H30" i="15"/>
  <c r="P35" i="19"/>
  <c r="N34" i="19"/>
  <c r="I36" i="19"/>
  <c r="F34" i="19"/>
  <c r="L35" i="18"/>
  <c r="L35" i="17"/>
  <c r="L34" i="17"/>
  <c r="L33" i="17"/>
  <c r="D33" i="17"/>
  <c r="D36" i="17" s="1"/>
  <c r="G30" i="15"/>
  <c r="O35" i="19"/>
  <c r="M34" i="19"/>
  <c r="H36" i="19"/>
  <c r="E34" i="19"/>
  <c r="K35" i="18"/>
  <c r="K35" i="17"/>
  <c r="K34" i="17"/>
  <c r="K33" i="17"/>
  <c r="N30" i="15"/>
  <c r="F30" i="15"/>
  <c r="P34" i="19"/>
  <c r="L36" i="19"/>
  <c r="I35" i="19"/>
  <c r="L37" i="18"/>
  <c r="J35" i="18"/>
  <c r="J35" i="17"/>
  <c r="J34" i="17"/>
  <c r="J33" i="17"/>
  <c r="M30" i="15"/>
  <c r="E30" i="15"/>
  <c r="G73" i="19"/>
  <c r="N76" i="19"/>
  <c r="R74" i="19"/>
  <c r="P60" i="15"/>
  <c r="Q74" i="19"/>
  <c r="M76" i="19"/>
  <c r="M74" i="18"/>
  <c r="H76" i="19"/>
  <c r="J73" i="19"/>
  <c r="J77" i="18"/>
  <c r="E76" i="19"/>
  <c r="M75" i="18"/>
  <c r="M46" i="15"/>
  <c r="M15" i="15"/>
  <c r="I76" i="19"/>
  <c r="J75" i="19"/>
  <c r="L73" i="17"/>
  <c r="R70" i="17"/>
  <c r="L46" i="15"/>
  <c r="L15" i="15"/>
  <c r="K73" i="17"/>
  <c r="G73" i="17"/>
  <c r="P76" i="19"/>
  <c r="R75" i="19"/>
  <c r="R73" i="19"/>
  <c r="L76" i="19"/>
  <c r="J74" i="19"/>
  <c r="G74" i="19"/>
  <c r="M76" i="18"/>
  <c r="L77" i="18"/>
  <c r="R71" i="17"/>
  <c r="N73" i="17"/>
  <c r="J73" i="17"/>
  <c r="F73" i="17"/>
  <c r="O60" i="15"/>
  <c r="G75" i="19"/>
  <c r="F76" i="19"/>
  <c r="P73" i="17"/>
  <c r="R72" i="17"/>
  <c r="H73" i="17"/>
  <c r="O73" i="17"/>
  <c r="S71" i="17"/>
  <c r="O76" i="19"/>
  <c r="Q75" i="19"/>
  <c r="Q73" i="19"/>
  <c r="K76" i="19"/>
  <c r="K77" i="18"/>
  <c r="S72" i="17"/>
  <c r="Q73" i="17"/>
  <c r="M73" i="17"/>
  <c r="S70" i="17"/>
  <c r="I73" i="17"/>
  <c r="EP33" i="5"/>
  <c r="EQ33" i="5"/>
  <c r="EG33" i="5"/>
  <c r="EH33" i="5"/>
  <c r="DX33" i="5"/>
  <c r="DY33" i="5"/>
  <c r="DO33" i="5"/>
  <c r="DP33" i="5"/>
  <c r="DF33" i="5"/>
  <c r="DG33" i="5"/>
  <c r="CX33" i="5"/>
  <c r="CW33" i="5"/>
  <c r="CV33" i="5"/>
  <c r="BS33" i="5"/>
  <c r="BT33" i="5"/>
  <c r="BV33" i="5"/>
  <c r="BW33" i="5"/>
  <c r="BX33" i="5"/>
  <c r="BY33" i="5"/>
  <c r="BZ33" i="5"/>
  <c r="CA33" i="5"/>
  <c r="CB33" i="5"/>
  <c r="CC33" i="5"/>
  <c r="CD33" i="5"/>
  <c r="CE33" i="5"/>
  <c r="CF33" i="5"/>
  <c r="CG33" i="5"/>
  <c r="CH33" i="5"/>
  <c r="CI33" i="5"/>
  <c r="BF33" i="5"/>
  <c r="BG33" i="5"/>
  <c r="AS33" i="5"/>
  <c r="AT33" i="5"/>
  <c r="AG33" i="5"/>
  <c r="F36" i="17" l="1"/>
  <c r="O16" i="20"/>
  <c r="P16" i="20"/>
  <c r="Q16" i="20" s="1"/>
  <c r="N37" i="19"/>
  <c r="P37" i="19"/>
  <c r="R34" i="19"/>
  <c r="R36" i="19"/>
  <c r="F37" i="19"/>
  <c r="CY33" i="5"/>
  <c r="M37" i="19"/>
  <c r="G35" i="19"/>
  <c r="G36" i="19"/>
  <c r="I37" i="19"/>
  <c r="S34" i="17"/>
  <c r="O37" i="19"/>
  <c r="R35" i="19"/>
  <c r="S35" i="17"/>
  <c r="Q34" i="19"/>
  <c r="I36" i="17"/>
  <c r="M36" i="18"/>
  <c r="J34" i="19"/>
  <c r="P30" i="15"/>
  <c r="K37" i="19"/>
  <c r="Q35" i="19"/>
  <c r="L37" i="19"/>
  <c r="M35" i="18"/>
  <c r="L38" i="18"/>
  <c r="K38" i="18"/>
  <c r="M37" i="18"/>
  <c r="J38" i="18"/>
  <c r="J35" i="19"/>
  <c r="J36" i="19"/>
  <c r="L36" i="17"/>
  <c r="E37" i="19"/>
  <c r="G34" i="19"/>
  <c r="N36" i="17"/>
  <c r="R35" i="17"/>
  <c r="H36" i="17"/>
  <c r="R33" i="17"/>
  <c r="Q36" i="19"/>
  <c r="S33" i="17"/>
  <c r="H37" i="19"/>
  <c r="R34" i="17"/>
  <c r="J36" i="17"/>
  <c r="O30" i="15"/>
  <c r="G36" i="17"/>
  <c r="K36" i="17"/>
  <c r="M36" i="17"/>
  <c r="O36" i="17"/>
  <c r="Q60" i="15"/>
  <c r="S74" i="19"/>
  <c r="M77" i="18"/>
  <c r="Q76" i="19"/>
  <c r="T72" i="17"/>
  <c r="T71" i="17"/>
  <c r="J76" i="19"/>
  <c r="R73" i="17"/>
  <c r="T70" i="17"/>
  <c r="S73" i="19"/>
  <c r="G76" i="19"/>
  <c r="S75" i="19"/>
  <c r="R76" i="19"/>
  <c r="N15" i="15"/>
  <c r="S73" i="17"/>
  <c r="N46" i="15"/>
  <c r="EI33" i="5"/>
  <c r="DZ33" i="5"/>
  <c r="ER33" i="5"/>
  <c r="AU33" i="5"/>
  <c r="AH33" i="5"/>
  <c r="CJ33" i="5"/>
  <c r="DH33" i="5"/>
  <c r="CK33" i="5"/>
  <c r="DQ33" i="5"/>
  <c r="BH33" i="5"/>
  <c r="BU33" i="5"/>
  <c r="F77" i="15"/>
  <c r="G77" i="15"/>
  <c r="F107" i="15"/>
  <c r="S34" i="19" l="1"/>
  <c r="G107" i="15"/>
  <c r="H107" i="15" s="1"/>
  <c r="S36" i="19"/>
  <c r="S35" i="19"/>
  <c r="R37" i="19"/>
  <c r="T34" i="17"/>
  <c r="G37" i="19"/>
  <c r="T35" i="17"/>
  <c r="Q30" i="15"/>
  <c r="J37" i="19"/>
  <c r="M38" i="18"/>
  <c r="T33" i="17"/>
  <c r="Q37" i="19"/>
  <c r="R36" i="17"/>
  <c r="S36" i="17"/>
  <c r="T73" i="17"/>
  <c r="S76" i="19"/>
  <c r="H77" i="15"/>
  <c r="CL33" i="5"/>
  <c r="I107" i="15"/>
  <c r="J107" i="15"/>
  <c r="J77" i="15"/>
  <c r="I77" i="15"/>
  <c r="S37" i="19" l="1"/>
  <c r="T36" i="17"/>
  <c r="K77" i="15"/>
  <c r="K107" i="15" l="1"/>
  <c r="DY36" i="5" l="1"/>
  <c r="AG36" i="5"/>
  <c r="G46" i="15" s="1"/>
  <c r="DO36" i="5"/>
  <c r="EY36" i="5"/>
  <c r="BV36" i="5"/>
  <c r="DP36" i="5"/>
  <c r="EZ36" i="5"/>
  <c r="EP36" i="5"/>
  <c r="DF36" i="5"/>
  <c r="CV36" i="5"/>
  <c r="BT36" i="5"/>
  <c r="BS36" i="5"/>
  <c r="CG36" i="5"/>
  <c r="CF36" i="5"/>
  <c r="CE36" i="5"/>
  <c r="BX36" i="5"/>
  <c r="BY36" i="5"/>
  <c r="BW36" i="5"/>
  <c r="CA36" i="5"/>
  <c r="CH36" i="5"/>
  <c r="CW36" i="5"/>
  <c r="BZ36" i="5"/>
  <c r="CI36" i="5"/>
  <c r="CX36" i="5"/>
  <c r="DG36" i="5"/>
  <c r="EQ36" i="5"/>
  <c r="BF36" i="5"/>
  <c r="BG36" i="5"/>
  <c r="CB36" i="5"/>
  <c r="EG36" i="5"/>
  <c r="AS36" i="5"/>
  <c r="CC36" i="5"/>
  <c r="EH36" i="5"/>
  <c r="AT36" i="5"/>
  <c r="CD36" i="5"/>
  <c r="DX36" i="5"/>
  <c r="AF36" i="5"/>
  <c r="F46" i="15" s="1"/>
  <c r="AT35" i="5"/>
  <c r="CH35" i="5"/>
  <c r="DF35" i="5"/>
  <c r="DX35" i="5"/>
  <c r="AF35" i="5"/>
  <c r="F15" i="15" s="1"/>
  <c r="BF35" i="5"/>
  <c r="BV35" i="5"/>
  <c r="BZ35" i="5"/>
  <c r="CE35" i="5"/>
  <c r="CI35" i="5"/>
  <c r="CX35" i="5"/>
  <c r="DG35" i="5"/>
  <c r="DY35" i="5"/>
  <c r="EQ35" i="5"/>
  <c r="AG35" i="5"/>
  <c r="G15" i="15" s="1"/>
  <c r="BT35" i="5"/>
  <c r="CD35" i="5"/>
  <c r="EP35" i="5"/>
  <c r="BG35" i="5"/>
  <c r="BW35" i="5"/>
  <c r="CB35" i="5"/>
  <c r="CF35" i="5"/>
  <c r="CA35" i="5"/>
  <c r="DO35" i="5"/>
  <c r="EG35" i="5"/>
  <c r="EY35" i="5"/>
  <c r="BY35" i="5"/>
  <c r="CW35" i="5"/>
  <c r="AS35" i="5"/>
  <c r="BS35" i="5"/>
  <c r="BX35" i="5"/>
  <c r="CC35" i="5"/>
  <c r="CG35" i="5"/>
  <c r="CV35" i="5"/>
  <c r="DP35" i="5"/>
  <c r="EH35" i="5"/>
  <c r="EZ35" i="5"/>
  <c r="QK32" i="5"/>
  <c r="QH32" i="5"/>
  <c r="QH41" i="5" s="1"/>
  <c r="RC31" i="5"/>
  <c r="RC43" i="5" s="1"/>
  <c r="RD31" i="5"/>
  <c r="RD43" i="5" s="1"/>
  <c r="RE31" i="5"/>
  <c r="RE43" i="5" s="1"/>
  <c r="PV31" i="5"/>
  <c r="PV43" i="5" s="1"/>
  <c r="QL32" i="5"/>
  <c r="QL41" i="5" s="1"/>
  <c r="QB32" i="5"/>
  <c r="QC32" i="5"/>
  <c r="QD32" i="5"/>
  <c r="QE32" i="5"/>
  <c r="QF32" i="5"/>
  <c r="QG32" i="5"/>
  <c r="QG41" i="5" s="1"/>
  <c r="QM32" i="5"/>
  <c r="QM41" i="5" s="1"/>
  <c r="QN32" i="5"/>
  <c r="RB32" i="5"/>
  <c r="X78" i="21"/>
  <c r="X84" i="21" s="1"/>
  <c r="Z78" i="21"/>
  <c r="Z84" i="21" s="1"/>
  <c r="X46" i="21"/>
  <c r="X52" i="21" s="1"/>
  <c r="Z46" i="21"/>
  <c r="Z52" i="21" s="1"/>
  <c r="W46" i="21"/>
  <c r="W52" i="21" s="1"/>
  <c r="W78" i="21"/>
  <c r="W84" i="21" s="1"/>
  <c r="C92" i="21"/>
  <c r="C98" i="21" s="1"/>
  <c r="C60" i="21"/>
  <c r="C66" i="21" s="1"/>
  <c r="QF41" i="5" l="1"/>
  <c r="QD41" i="5"/>
  <c r="QC41" i="5"/>
  <c r="QK41" i="5"/>
  <c r="RB41" i="5"/>
  <c r="QB41" i="5"/>
  <c r="QE41" i="5"/>
  <c r="QN41" i="5"/>
  <c r="CJ36" i="5"/>
  <c r="I46" i="15" s="1"/>
  <c r="RD32" i="5"/>
  <c r="RD41" i="5" s="1"/>
  <c r="DQ36" i="5"/>
  <c r="DH36" i="5"/>
  <c r="EI36" i="5"/>
  <c r="DZ36" i="5"/>
  <c r="CY36" i="5"/>
  <c r="BH36" i="5"/>
  <c r="AU36" i="5"/>
  <c r="ER36" i="5"/>
  <c r="AH36" i="5"/>
  <c r="CK36" i="5"/>
  <c r="J46" i="15" s="1"/>
  <c r="PV32" i="5"/>
  <c r="PV41" i="5" s="1"/>
  <c r="RC32" i="5"/>
  <c r="RC41" i="5" s="1"/>
  <c r="BU36" i="5"/>
  <c r="RE32" i="5"/>
  <c r="RE41" i="5" s="1"/>
  <c r="FA36" i="5"/>
  <c r="H46" i="15"/>
  <c r="H15" i="15"/>
  <c r="C124" i="21"/>
  <c r="C130" i="21" s="1"/>
  <c r="CJ35" i="5"/>
  <c r="I15" i="15" s="1"/>
  <c r="AU35" i="5"/>
  <c r="DQ35" i="5"/>
  <c r="ER35" i="5"/>
  <c r="CY35" i="5"/>
  <c r="DZ35" i="5"/>
  <c r="AH35" i="5"/>
  <c r="BU35" i="5"/>
  <c r="DH35" i="5"/>
  <c r="BH35" i="5"/>
  <c r="CK35" i="5"/>
  <c r="J15" i="15" s="1"/>
  <c r="FA35" i="5"/>
  <c r="EI35" i="5"/>
  <c r="E62" i="17"/>
  <c r="L58" i="15"/>
  <c r="G63" i="17"/>
  <c r="I63" i="17"/>
  <c r="K63" i="17"/>
  <c r="M63" i="17"/>
  <c r="O63" i="17"/>
  <c r="K67" i="18"/>
  <c r="CL35" i="5" l="1"/>
  <c r="CL36" i="5"/>
  <c r="S62" i="17"/>
  <c r="K15" i="15"/>
  <c r="K46" i="15"/>
  <c r="Z110" i="21"/>
  <c r="Z116" i="21" s="1"/>
  <c r="W110" i="21"/>
  <c r="W116" i="21" s="1"/>
  <c r="H58" i="15"/>
  <c r="X110" i="21"/>
  <c r="X116" i="21" s="1"/>
  <c r="M67" i="18"/>
  <c r="S63" i="17"/>
  <c r="T63" i="17" s="1"/>
  <c r="J58" i="15"/>
  <c r="E65" i="17"/>
  <c r="Y12" i="21"/>
  <c r="Y19" i="21" s="1"/>
  <c r="W12" i="21" l="1"/>
  <c r="W19" i="21" s="1"/>
  <c r="T62" i="17"/>
  <c r="G65" i="17"/>
  <c r="SO31" i="5"/>
  <c r="SO43" i="5" s="1"/>
  <c r="SP31" i="5"/>
  <c r="SP43" i="5" s="1"/>
  <c r="SO32" i="5" l="1"/>
  <c r="SO41" i="5" s="1"/>
  <c r="SP32" i="5"/>
  <c r="SP41" i="5" s="1"/>
  <c r="MZ22" i="5"/>
  <c r="MZ23" i="5" s="1"/>
  <c r="NA22" i="5"/>
  <c r="NA23" i="5" s="1"/>
  <c r="K54" i="14"/>
  <c r="K57" i="14" s="1"/>
  <c r="N30" i="16"/>
  <c r="L30" i="16"/>
  <c r="AS22" i="5"/>
  <c r="AS23" i="5" s="1"/>
  <c r="J30" i="16"/>
  <c r="NB22" i="5" l="1"/>
  <c r="NB23" i="5" s="1"/>
  <c r="AT22" i="5"/>
  <c r="AT23" i="5" s="1"/>
  <c r="M30" i="16"/>
  <c r="M12" i="16"/>
  <c r="I30" i="16"/>
  <c r="I12" i="16"/>
  <c r="P30" i="16"/>
  <c r="K30" i="16"/>
  <c r="K12" i="16"/>
  <c r="R30" i="16"/>
  <c r="R12" i="16"/>
  <c r="AU22" i="5"/>
  <c r="AU23" i="5" s="1"/>
  <c r="U12" i="16" l="1"/>
  <c r="O12" i="16"/>
  <c r="U30" i="16"/>
  <c r="O30" i="16"/>
  <c r="CX27" i="5"/>
  <c r="CX28" i="5" s="1"/>
  <c r="CW27" i="5"/>
  <c r="CW28" i="5" s="1"/>
  <c r="CV27" i="5"/>
  <c r="CV28" i="5" s="1"/>
  <c r="Q30" i="16" l="1"/>
  <c r="Q12" i="16"/>
  <c r="CY27" i="5"/>
  <c r="CY28" i="5" s="1"/>
  <c r="KW15" i="5" l="1"/>
  <c r="KW16" i="5" l="1"/>
  <c r="DG15" i="5"/>
  <c r="DF15" i="5"/>
  <c r="EQ15" i="5"/>
  <c r="EP15" i="5"/>
  <c r="DF16" i="5" l="1"/>
  <c r="DG16" i="5"/>
  <c r="EP16" i="5"/>
  <c r="EQ16" i="5"/>
  <c r="ER15" i="5"/>
  <c r="DH15" i="5"/>
  <c r="DH16" i="5" l="1"/>
  <c r="ER16" i="5"/>
  <c r="DP31" i="5"/>
  <c r="DO31" i="5"/>
  <c r="DP27" i="5"/>
  <c r="DP28" i="5" s="1"/>
  <c r="DO27" i="5"/>
  <c r="DO28" i="5" s="1"/>
  <c r="DP22" i="5"/>
  <c r="DP23" i="5" s="1"/>
  <c r="DO22" i="5"/>
  <c r="DO23" i="5" s="1"/>
  <c r="DP15" i="5"/>
  <c r="DO15" i="5"/>
  <c r="DP11" i="5"/>
  <c r="DP12" i="5" s="1"/>
  <c r="DO11" i="5"/>
  <c r="DO12" i="5" s="1"/>
  <c r="DP6" i="5"/>
  <c r="DO6" i="5"/>
  <c r="NW31" i="5"/>
  <c r="NX31" i="5"/>
  <c r="NW27" i="5"/>
  <c r="NW28" i="5" s="1"/>
  <c r="NX27" i="5"/>
  <c r="NX28" i="5" s="1"/>
  <c r="NX22" i="5"/>
  <c r="NX23" i="5" s="1"/>
  <c r="NW22" i="5"/>
  <c r="NW23" i="5" s="1"/>
  <c r="NX15" i="5"/>
  <c r="NW15" i="5"/>
  <c r="NX11" i="5"/>
  <c r="NX12" i="5" s="1"/>
  <c r="NW11" i="5"/>
  <c r="NW12" i="5" s="1"/>
  <c r="NX6" i="5"/>
  <c r="NW6" i="5"/>
  <c r="DO16" i="5" l="1"/>
  <c r="NX16" i="5"/>
  <c r="DP16" i="5"/>
  <c r="NW16" i="5"/>
  <c r="DO32" i="5"/>
  <c r="DP32" i="5"/>
  <c r="NW9" i="5"/>
  <c r="NW43" i="5" s="1"/>
  <c r="DO9" i="5"/>
  <c r="DO43" i="5" s="1"/>
  <c r="DP9" i="5"/>
  <c r="DP43" i="5" s="1"/>
  <c r="NX9" i="5"/>
  <c r="NX43" i="5" s="1"/>
  <c r="DQ6" i="5"/>
  <c r="DQ22" i="5"/>
  <c r="DQ23" i="5" s="1"/>
  <c r="DQ11" i="5"/>
  <c r="DQ12" i="5" s="1"/>
  <c r="DQ31" i="5"/>
  <c r="DQ15" i="5"/>
  <c r="DQ27" i="5"/>
  <c r="DQ28" i="5" s="1"/>
  <c r="C72" i="15"/>
  <c r="D72" i="15"/>
  <c r="Q72" i="15"/>
  <c r="Q78" i="15" s="1"/>
  <c r="R72" i="15"/>
  <c r="R78" i="15" s="1"/>
  <c r="O72" i="15"/>
  <c r="P72" i="15"/>
  <c r="S72" i="15"/>
  <c r="S78" i="15" s="1"/>
  <c r="E86" i="15"/>
  <c r="F86" i="15"/>
  <c r="G86" i="15"/>
  <c r="H86" i="15"/>
  <c r="I86" i="15"/>
  <c r="J86" i="15"/>
  <c r="K86" i="15"/>
  <c r="L86" i="15"/>
  <c r="M86" i="15"/>
  <c r="N86" i="15"/>
  <c r="D87" i="17"/>
  <c r="D90" i="17" s="1"/>
  <c r="E87" i="17"/>
  <c r="E90" i="17" s="1"/>
  <c r="F87" i="17"/>
  <c r="G87" i="17"/>
  <c r="H87" i="17"/>
  <c r="I87" i="17"/>
  <c r="J87" i="17"/>
  <c r="K87" i="17"/>
  <c r="L87" i="17"/>
  <c r="M87" i="17"/>
  <c r="F88" i="17"/>
  <c r="G88" i="17"/>
  <c r="H88" i="17"/>
  <c r="I88" i="17"/>
  <c r="J88" i="17"/>
  <c r="K88" i="17"/>
  <c r="L88" i="17"/>
  <c r="M88" i="17"/>
  <c r="N88" i="17"/>
  <c r="O88" i="17"/>
  <c r="H89" i="17"/>
  <c r="I89" i="17"/>
  <c r="J89" i="17"/>
  <c r="K89" i="17"/>
  <c r="L89" i="17"/>
  <c r="M89" i="17"/>
  <c r="N89" i="17"/>
  <c r="O89" i="17"/>
  <c r="O90" i="17" s="1"/>
  <c r="P89" i="17"/>
  <c r="Q89" i="17"/>
  <c r="J93" i="18"/>
  <c r="K93" i="18"/>
  <c r="L93" i="18"/>
  <c r="J94" i="18"/>
  <c r="K94" i="18"/>
  <c r="L94" i="18"/>
  <c r="J95" i="18"/>
  <c r="K95" i="18"/>
  <c r="L95" i="18"/>
  <c r="K91" i="19"/>
  <c r="L91" i="19"/>
  <c r="K92" i="19"/>
  <c r="L92" i="19"/>
  <c r="K93" i="19"/>
  <c r="L93" i="19"/>
  <c r="M91" i="19"/>
  <c r="N91" i="19"/>
  <c r="M92" i="19"/>
  <c r="N92" i="19"/>
  <c r="M93" i="19"/>
  <c r="N93" i="19"/>
  <c r="O91" i="19"/>
  <c r="P91" i="19"/>
  <c r="O92" i="19"/>
  <c r="P92" i="19"/>
  <c r="O93" i="19"/>
  <c r="P93" i="19"/>
  <c r="E91" i="19"/>
  <c r="F91" i="19"/>
  <c r="E92" i="19"/>
  <c r="F92" i="19"/>
  <c r="E93" i="19"/>
  <c r="F93" i="19"/>
  <c r="H91" i="19"/>
  <c r="I91" i="19"/>
  <c r="H92" i="19"/>
  <c r="I92" i="19"/>
  <c r="H93" i="19"/>
  <c r="I93" i="19"/>
  <c r="E74" i="20"/>
  <c r="F74" i="20"/>
  <c r="G74" i="20"/>
  <c r="H74" i="20"/>
  <c r="I74" i="20"/>
  <c r="J74" i="20"/>
  <c r="K74" i="20"/>
  <c r="L74" i="20"/>
  <c r="M74" i="20"/>
  <c r="N74" i="20"/>
  <c r="C88" i="20"/>
  <c r="D88" i="20"/>
  <c r="E88" i="20"/>
  <c r="F88" i="20"/>
  <c r="G88" i="20"/>
  <c r="H88" i="20"/>
  <c r="K88" i="20"/>
  <c r="L88" i="20"/>
  <c r="I88" i="20"/>
  <c r="J88" i="20"/>
  <c r="M88" i="20"/>
  <c r="N88" i="20"/>
  <c r="O88" i="20"/>
  <c r="P88" i="20"/>
  <c r="Q88" i="20"/>
  <c r="R88" i="20"/>
  <c r="S88" i="20"/>
  <c r="T88" i="20"/>
  <c r="L78" i="21"/>
  <c r="L84" i="21" s="1"/>
  <c r="M78" i="21"/>
  <c r="M84" i="21" s="1"/>
  <c r="E92" i="21"/>
  <c r="E98" i="21" s="1"/>
  <c r="G92" i="21"/>
  <c r="K92" i="21"/>
  <c r="K98" i="21" s="1"/>
  <c r="M92" i="21"/>
  <c r="M98" i="21" s="1"/>
  <c r="O92" i="21"/>
  <c r="O98" i="21" s="1"/>
  <c r="Q92" i="21"/>
  <c r="Q98" i="21" s="1"/>
  <c r="S92" i="21"/>
  <c r="I78" i="21"/>
  <c r="I84" i="21" s="1"/>
  <c r="K78" i="21"/>
  <c r="K84" i="21" s="1"/>
  <c r="N78" i="21"/>
  <c r="N84" i="21" s="1"/>
  <c r="O78" i="21"/>
  <c r="O84" i="21" s="1"/>
  <c r="P78" i="21"/>
  <c r="P84" i="21" s="1"/>
  <c r="Q78" i="21"/>
  <c r="Q84" i="21" s="1"/>
  <c r="S78" i="21"/>
  <c r="Y78" i="21"/>
  <c r="Y84" i="21" s="1"/>
  <c r="U78" i="21"/>
  <c r="U84" i="21" s="1"/>
  <c r="K86" i="13"/>
  <c r="K91" i="13" s="1"/>
  <c r="KV11" i="5"/>
  <c r="KV12" i="5" s="1"/>
  <c r="DQ16" i="5" l="1"/>
  <c r="I90" i="17"/>
  <c r="DP17" i="5"/>
  <c r="DP41" i="5" s="1"/>
  <c r="DO17" i="5"/>
  <c r="DO41" i="5" s="1"/>
  <c r="J90" i="17"/>
  <c r="DQ32" i="5"/>
  <c r="NX17" i="5"/>
  <c r="NW17" i="5"/>
  <c r="DQ9" i="5"/>
  <c r="DQ43" i="5" s="1"/>
  <c r="J91" i="19"/>
  <c r="R93" i="19"/>
  <c r="R91" i="19"/>
  <c r="Q92" i="19"/>
  <c r="K96" i="18"/>
  <c r="S87" i="17"/>
  <c r="P86" i="15"/>
  <c r="U88" i="20"/>
  <c r="O74" i="20"/>
  <c r="M94" i="19"/>
  <c r="E94" i="19"/>
  <c r="G92" i="19"/>
  <c r="M93" i="18"/>
  <c r="N90" i="17"/>
  <c r="M90" i="17"/>
  <c r="S84" i="21"/>
  <c r="T78" i="21"/>
  <c r="T84" i="21" s="1"/>
  <c r="G78" i="21"/>
  <c r="G84" i="21" s="1"/>
  <c r="L90" i="17"/>
  <c r="R87" i="17"/>
  <c r="H90" i="17"/>
  <c r="F78" i="21"/>
  <c r="F84" i="21" s="1"/>
  <c r="S98" i="21"/>
  <c r="U98" i="21" s="1"/>
  <c r="U92" i="21"/>
  <c r="D78" i="21"/>
  <c r="D84" i="21" s="1"/>
  <c r="H94" i="19"/>
  <c r="O94" i="19"/>
  <c r="Q93" i="19"/>
  <c r="Q91" i="19"/>
  <c r="K94" i="19"/>
  <c r="M94" i="18"/>
  <c r="S88" i="17"/>
  <c r="K90" i="17"/>
  <c r="G90" i="17"/>
  <c r="H78" i="21"/>
  <c r="H84" i="21" s="1"/>
  <c r="B78" i="21"/>
  <c r="B84" i="21" s="1"/>
  <c r="S89" i="17"/>
  <c r="Q90" i="17"/>
  <c r="G98" i="21"/>
  <c r="I98" i="21" s="1"/>
  <c r="I92" i="21"/>
  <c r="J93" i="19"/>
  <c r="I94" i="19"/>
  <c r="J96" i="18"/>
  <c r="R89" i="17"/>
  <c r="P90" i="17"/>
  <c r="E78" i="21"/>
  <c r="E84" i="21" s="1"/>
  <c r="C78" i="21"/>
  <c r="C84" i="21" s="1"/>
  <c r="V88" i="20"/>
  <c r="P74" i="20"/>
  <c r="J92" i="19"/>
  <c r="F94" i="19"/>
  <c r="G93" i="19"/>
  <c r="G91" i="19"/>
  <c r="P94" i="19"/>
  <c r="R92" i="19"/>
  <c r="N94" i="19"/>
  <c r="L94" i="19"/>
  <c r="L96" i="18"/>
  <c r="M95" i="18"/>
  <c r="R88" i="17"/>
  <c r="F90" i="17"/>
  <c r="O86" i="15"/>
  <c r="NA15" i="5"/>
  <c r="MZ15" i="5"/>
  <c r="PO16" i="5" l="1"/>
  <c r="MZ16" i="5"/>
  <c r="NA16" i="5"/>
  <c r="DQ17" i="5"/>
  <c r="DQ41" i="5" s="1"/>
  <c r="W88" i="20"/>
  <c r="S92" i="19"/>
  <c r="S91" i="19"/>
  <c r="Q86" i="15"/>
  <c r="T87" i="17"/>
  <c r="Q74" i="20"/>
  <c r="M96" i="18"/>
  <c r="T88" i="17"/>
  <c r="Q94" i="19"/>
  <c r="T89" i="17"/>
  <c r="S90" i="17"/>
  <c r="G94" i="19"/>
  <c r="R94" i="19"/>
  <c r="R90" i="17"/>
  <c r="J94" i="19"/>
  <c r="S93" i="19"/>
  <c r="NB15" i="5"/>
  <c r="NA11" i="5"/>
  <c r="NA12" i="5" s="1"/>
  <c r="MZ11" i="5"/>
  <c r="MZ12" i="5" s="1"/>
  <c r="DF22" i="5"/>
  <c r="DF23" i="5" s="1"/>
  <c r="DG22" i="5"/>
  <c r="DG23" i="5" s="1"/>
  <c r="NA6" i="5"/>
  <c r="MZ6" i="5"/>
  <c r="NB16" i="5" l="1"/>
  <c r="MZ9" i="5"/>
  <c r="MZ43" i="5" s="1"/>
  <c r="NA9" i="5"/>
  <c r="NA43" i="5" s="1"/>
  <c r="S94" i="19"/>
  <c r="T90" i="17"/>
  <c r="NB6" i="5"/>
  <c r="DH22" i="5"/>
  <c r="DH23" i="5" s="1"/>
  <c r="KV6" i="5"/>
  <c r="KV9" i="5" s="1"/>
  <c r="FM15" i="5"/>
  <c r="FL15" i="5"/>
  <c r="DY15" i="5"/>
  <c r="DX15" i="5"/>
  <c r="EH15" i="5"/>
  <c r="EG15" i="5"/>
  <c r="CX15" i="5"/>
  <c r="CW15" i="5"/>
  <c r="CV15" i="5"/>
  <c r="CV11" i="5"/>
  <c r="CV12" i="5" s="1"/>
  <c r="CW11" i="5"/>
  <c r="CW12" i="5" s="1"/>
  <c r="CI15" i="5"/>
  <c r="CH15" i="5"/>
  <c r="CG15" i="5"/>
  <c r="CF15" i="5"/>
  <c r="CE15" i="5"/>
  <c r="CD15" i="5"/>
  <c r="CC15" i="5"/>
  <c r="CB15" i="5"/>
  <c r="CA15" i="5"/>
  <c r="BZ15" i="5"/>
  <c r="BY15" i="5"/>
  <c r="BX15" i="5"/>
  <c r="BW15" i="5"/>
  <c r="BV15" i="5"/>
  <c r="BT15" i="5"/>
  <c r="BS15" i="5"/>
  <c r="BG15" i="5"/>
  <c r="BF15" i="5"/>
  <c r="AT15" i="5"/>
  <c r="AS15" i="5"/>
  <c r="AH15" i="5"/>
  <c r="BF45" i="12"/>
  <c r="BG45" i="12"/>
  <c r="BE46" i="12"/>
  <c r="BF46" i="12"/>
  <c r="BG46" i="12"/>
  <c r="BE91" i="12"/>
  <c r="BF91" i="12"/>
  <c r="BG91" i="12"/>
  <c r="BE92" i="12"/>
  <c r="BF92" i="12"/>
  <c r="BG92" i="12"/>
  <c r="BE68" i="12"/>
  <c r="BF68" i="12"/>
  <c r="BG68" i="12"/>
  <c r="BE69" i="12"/>
  <c r="BF69" i="12"/>
  <c r="BG69" i="12"/>
  <c r="K53" i="13"/>
  <c r="K58" i="13" s="1"/>
  <c r="PX31" i="5"/>
  <c r="PX43" i="5" s="1"/>
  <c r="PY31" i="5"/>
  <c r="PY43" i="5" s="1"/>
  <c r="PZ31" i="5"/>
  <c r="PZ43" i="5" s="1"/>
  <c r="QA31" i="5"/>
  <c r="QA43" i="5" s="1"/>
  <c r="PT32" i="5"/>
  <c r="Q13" i="21"/>
  <c r="R46" i="21"/>
  <c r="S46" i="21"/>
  <c r="PE32" i="5"/>
  <c r="PE41" i="5" s="1"/>
  <c r="PF32" i="5"/>
  <c r="PF41" i="5" s="1"/>
  <c r="PG32" i="5"/>
  <c r="PH32" i="5"/>
  <c r="PI32" i="5"/>
  <c r="K60" i="21"/>
  <c r="K66" i="21" s="1"/>
  <c r="M60" i="21"/>
  <c r="M66" i="21" s="1"/>
  <c r="O60" i="21"/>
  <c r="O66" i="21" s="1"/>
  <c r="Q60" i="21"/>
  <c r="Q66" i="21" s="1"/>
  <c r="S60" i="21"/>
  <c r="OM32" i="5"/>
  <c r="OM41" i="5" s="1"/>
  <c r="ON32" i="5"/>
  <c r="ON41" i="5" s="1"/>
  <c r="D75" i="13"/>
  <c r="E75" i="13"/>
  <c r="D41" i="14"/>
  <c r="E41" i="14"/>
  <c r="BE33" i="12"/>
  <c r="BE45" i="12" s="1"/>
  <c r="BT16" i="5" l="1"/>
  <c r="FL16" i="5"/>
  <c r="BF16" i="5"/>
  <c r="BV16" i="5"/>
  <c r="BZ16" i="5"/>
  <c r="CD16" i="5"/>
  <c r="CH16" i="5"/>
  <c r="CV16" i="5"/>
  <c r="EH16" i="5"/>
  <c r="FM16" i="5"/>
  <c r="CC16" i="5"/>
  <c r="AH16" i="5"/>
  <c r="BG16" i="5"/>
  <c r="BW16" i="5"/>
  <c r="CA16" i="5"/>
  <c r="CE16" i="5"/>
  <c r="CI16" i="5"/>
  <c r="CW16" i="5"/>
  <c r="DX16" i="5"/>
  <c r="AT16" i="5"/>
  <c r="BY16" i="5"/>
  <c r="CG16" i="5"/>
  <c r="EG16" i="5"/>
  <c r="AS16" i="5"/>
  <c r="BS16" i="5"/>
  <c r="BX16" i="5"/>
  <c r="CB16" i="5"/>
  <c r="CF16" i="5"/>
  <c r="CX16" i="5"/>
  <c r="DY16" i="5"/>
  <c r="PI41" i="5"/>
  <c r="PH41" i="5"/>
  <c r="PG41" i="5"/>
  <c r="PT41" i="5"/>
  <c r="QA32" i="5"/>
  <c r="QA41" i="5" s="1"/>
  <c r="PZ32" i="5"/>
  <c r="PZ41" i="5" s="1"/>
  <c r="PY32" i="5"/>
  <c r="PY41" i="5" s="1"/>
  <c r="PX32" i="5"/>
  <c r="PX41" i="5" s="1"/>
  <c r="BE70" i="12"/>
  <c r="MZ17" i="5"/>
  <c r="NA17" i="5"/>
  <c r="NB11" i="5"/>
  <c r="NB12" i="5" s="1"/>
  <c r="NB9" i="5"/>
  <c r="NB43" i="5" s="1"/>
  <c r="S52" i="21"/>
  <c r="S66" i="21"/>
  <c r="U66" i="21" s="1"/>
  <c r="U60" i="21"/>
  <c r="Q15" i="21"/>
  <c r="R49" i="21"/>
  <c r="R52" i="21" s="1"/>
  <c r="M124" i="21"/>
  <c r="M130" i="21" s="1"/>
  <c r="S124" i="21"/>
  <c r="K124" i="21"/>
  <c r="K130" i="21" s="1"/>
  <c r="D42" i="13"/>
  <c r="Q124" i="21"/>
  <c r="Q130" i="21" s="1"/>
  <c r="K18" i="14"/>
  <c r="K23" i="14" s="1"/>
  <c r="K120" i="13"/>
  <c r="K125" i="13" s="1"/>
  <c r="D109" i="13"/>
  <c r="O124" i="21"/>
  <c r="O130" i="21" s="1"/>
  <c r="BG24" i="12"/>
  <c r="DZ15" i="5"/>
  <c r="BH15" i="5"/>
  <c r="EI15" i="5"/>
  <c r="CJ15" i="5"/>
  <c r="BF93" i="12"/>
  <c r="BE93" i="12"/>
  <c r="BF70" i="12"/>
  <c r="BG70" i="12"/>
  <c r="BE47" i="12"/>
  <c r="CY15" i="5"/>
  <c r="CK15" i="5"/>
  <c r="BG47" i="12"/>
  <c r="BF24" i="12"/>
  <c r="BG93" i="12"/>
  <c r="BF47" i="12"/>
  <c r="AU15" i="5"/>
  <c r="BU15" i="5"/>
  <c r="GI15" i="5"/>
  <c r="FN15" i="5"/>
  <c r="CJ16" i="5" l="1"/>
  <c r="FN16" i="5"/>
  <c r="CK16" i="5"/>
  <c r="EI16" i="5"/>
  <c r="U130" i="21"/>
  <c r="GI16" i="5"/>
  <c r="CY16" i="5"/>
  <c r="BH16" i="5"/>
  <c r="AU16" i="5"/>
  <c r="BU16" i="5"/>
  <c r="DZ16" i="5"/>
  <c r="NB17" i="5"/>
  <c r="NB41" i="5" s="1"/>
  <c r="S130" i="21"/>
  <c r="U124" i="21"/>
  <c r="Q12" i="21"/>
  <c r="Q19" i="21" s="1"/>
  <c r="D7" i="13"/>
  <c r="D7" i="14"/>
  <c r="S34" i="21"/>
  <c r="K27" i="21"/>
  <c r="K34" i="21" s="1"/>
  <c r="K18" i="13"/>
  <c r="K25" i="13" s="1"/>
  <c r="M34" i="21"/>
  <c r="Q34" i="21"/>
  <c r="O34" i="21"/>
  <c r="BE8" i="12"/>
  <c r="FM6" i="5"/>
  <c r="FL6" i="5"/>
  <c r="CL15" i="5" l="1"/>
  <c r="BE22" i="12"/>
  <c r="BE24" i="12" s="1"/>
  <c r="U34" i="21"/>
  <c r="U27" i="21"/>
  <c r="NY6" i="5"/>
  <c r="CL16" i="5" l="1"/>
  <c r="NY9" i="5"/>
  <c r="E27" i="15"/>
  <c r="F27" i="15"/>
  <c r="H27" i="15"/>
  <c r="J27" i="15"/>
  <c r="L27" i="15"/>
  <c r="L65" i="19"/>
  <c r="L66" i="19"/>
  <c r="L67" i="19"/>
  <c r="F65" i="19"/>
  <c r="F23" i="19"/>
  <c r="F24" i="19"/>
  <c r="I65" i="19"/>
  <c r="MZ32" i="5"/>
  <c r="MZ41" i="5" s="1"/>
  <c r="NA32" i="5"/>
  <c r="NA41" i="5" s="1"/>
  <c r="NC32" i="5"/>
  <c r="NC41" i="5" s="1"/>
  <c r="ND32" i="5"/>
  <c r="ND41" i="5" s="1"/>
  <c r="NE32" i="5"/>
  <c r="NE41" i="5" s="1"/>
  <c r="NF32" i="5"/>
  <c r="NF41" i="5" s="1"/>
  <c r="NI32" i="5"/>
  <c r="NI41" i="5" s="1"/>
  <c r="H60" i="20"/>
  <c r="E60" i="20"/>
  <c r="F60" i="20"/>
  <c r="NK32" i="5"/>
  <c r="NK41" i="5" s="1"/>
  <c r="NL32" i="5"/>
  <c r="NL41" i="5" s="1"/>
  <c r="NM32" i="5"/>
  <c r="NM41" i="5" s="1"/>
  <c r="J60" i="20"/>
  <c r="NO32" i="5"/>
  <c r="NO41" i="5" s="1"/>
  <c r="NP32" i="5"/>
  <c r="NP41" i="5" s="1"/>
  <c r="NQ32" i="5"/>
  <c r="NQ41" i="5" s="1"/>
  <c r="NR32" i="5"/>
  <c r="NR41" i="5" s="1"/>
  <c r="NS32" i="5"/>
  <c r="NS41" i="5" s="1"/>
  <c r="NT32" i="5"/>
  <c r="NT41" i="5" s="1"/>
  <c r="NU32" i="5"/>
  <c r="NU41" i="5" s="1"/>
  <c r="NV32" i="5"/>
  <c r="NV41" i="5" s="1"/>
  <c r="NZ32" i="5"/>
  <c r="NZ41" i="5" s="1"/>
  <c r="OA32" i="5"/>
  <c r="OA41" i="5" s="1"/>
  <c r="OB32" i="5"/>
  <c r="OB41" i="5" s="1"/>
  <c r="OC32" i="5"/>
  <c r="OC41" i="5" s="1"/>
  <c r="OD32" i="5"/>
  <c r="OD41" i="5" s="1"/>
  <c r="OE32" i="5"/>
  <c r="OE41" i="5" s="1"/>
  <c r="OI32" i="5"/>
  <c r="OI41" i="5" s="1"/>
  <c r="OJ32" i="5"/>
  <c r="OJ41" i="5" s="1"/>
  <c r="OK32" i="5"/>
  <c r="OK41" i="5" s="1"/>
  <c r="OL32" i="5"/>
  <c r="OL41" i="5" s="1"/>
  <c r="OO32" i="5"/>
  <c r="OO41" i="5" s="1"/>
  <c r="OP32" i="5"/>
  <c r="OP41" i="5" s="1"/>
  <c r="OQ32" i="5"/>
  <c r="OQ41" i="5" s="1"/>
  <c r="OR32" i="5"/>
  <c r="OR41" i="5" s="1"/>
  <c r="OS32" i="5"/>
  <c r="OS41" i="5" s="1"/>
  <c r="OT32" i="5"/>
  <c r="OT41" i="5" s="1"/>
  <c r="OU32" i="5"/>
  <c r="OU41" i="5" s="1"/>
  <c r="OV32" i="5"/>
  <c r="OV41" i="5" s="1"/>
  <c r="PB32" i="5"/>
  <c r="PC32" i="5"/>
  <c r="PC41" i="5" s="1"/>
  <c r="PD32" i="5"/>
  <c r="PD41" i="5" s="1"/>
  <c r="RI31" i="5"/>
  <c r="RI43" i="5" s="1"/>
  <c r="RJ31" i="5"/>
  <c r="RJ43" i="5" s="1"/>
  <c r="RK31" i="5"/>
  <c r="RK43" i="5" s="1"/>
  <c r="PJ32" i="5"/>
  <c r="PK32" i="5"/>
  <c r="PL32" i="5"/>
  <c r="PM32" i="5"/>
  <c r="PN32" i="5"/>
  <c r="RF31" i="5"/>
  <c r="RF43" i="5" s="1"/>
  <c r="RG31" i="5"/>
  <c r="RG43" i="5" s="1"/>
  <c r="RH31" i="5"/>
  <c r="RH43" i="5" s="1"/>
  <c r="RL31" i="5"/>
  <c r="RL43" i="5" s="1"/>
  <c r="RM31" i="5"/>
  <c r="RM43" i="5" s="1"/>
  <c r="RN31" i="5"/>
  <c r="RN43" i="5" s="1"/>
  <c r="PP32" i="5"/>
  <c r="PP41" i="5" s="1"/>
  <c r="PQ32" i="5"/>
  <c r="PQ41" i="5" s="1"/>
  <c r="PR32" i="5"/>
  <c r="PS32" i="5"/>
  <c r="PU32" i="5"/>
  <c r="PU41" i="5" s="1"/>
  <c r="QI32" i="5"/>
  <c r="QJ32" i="5"/>
  <c r="PW31" i="5"/>
  <c r="PW43" i="5" s="1"/>
  <c r="RU31" i="5"/>
  <c r="RU43" i="5" s="1"/>
  <c r="RW31" i="5"/>
  <c r="RW43" i="5" s="1"/>
  <c r="RY31" i="5"/>
  <c r="RY43" i="5" s="1"/>
  <c r="SA31" i="5"/>
  <c r="SA43" i="5" s="1"/>
  <c r="SB31" i="5"/>
  <c r="SB43" i="5" s="1"/>
  <c r="SC31" i="5"/>
  <c r="SC43" i="5" s="1"/>
  <c r="SD31" i="5"/>
  <c r="SD43" i="5" s="1"/>
  <c r="SE31" i="5"/>
  <c r="SE43" i="5" s="1"/>
  <c r="SF31" i="5"/>
  <c r="SF43" i="5" s="1"/>
  <c r="SG31" i="5"/>
  <c r="SG43" i="5" s="1"/>
  <c r="SI31" i="5"/>
  <c r="SI43" i="5" s="1"/>
  <c r="SJ31" i="5"/>
  <c r="SJ43" i="5" s="1"/>
  <c r="SK31" i="5"/>
  <c r="SK43" i="5" s="1"/>
  <c r="SL31" i="5"/>
  <c r="SL43" i="5" s="1"/>
  <c r="SM31" i="5"/>
  <c r="SM43" i="5" s="1"/>
  <c r="G22" i="17"/>
  <c r="K22" i="17"/>
  <c r="K75" i="13"/>
  <c r="L75" i="13"/>
  <c r="M75" i="13"/>
  <c r="N75" i="13"/>
  <c r="E80" i="13"/>
  <c r="F80" i="13"/>
  <c r="E81" i="13"/>
  <c r="F81" i="13"/>
  <c r="E82" i="13"/>
  <c r="F82" i="13"/>
  <c r="E83" i="13"/>
  <c r="F83" i="13"/>
  <c r="E84" i="13"/>
  <c r="F84" i="13"/>
  <c r="E85" i="13"/>
  <c r="F85" i="13"/>
  <c r="F86" i="13"/>
  <c r="G86" i="13" s="1"/>
  <c r="E87" i="13"/>
  <c r="F87" i="13"/>
  <c r="K82" i="13"/>
  <c r="S89" i="20"/>
  <c r="T89" i="20"/>
  <c r="B75" i="13"/>
  <c r="C75" i="13"/>
  <c r="F76" i="13"/>
  <c r="PO31" i="5"/>
  <c r="OF31" i="5"/>
  <c r="OG31" i="5"/>
  <c r="NW32" i="5"/>
  <c r="NW41" i="5" s="1"/>
  <c r="NX32" i="5"/>
  <c r="NX41" i="5" s="1"/>
  <c r="KV31" i="5"/>
  <c r="GG31" i="5"/>
  <c r="GG43" i="5" s="1"/>
  <c r="GH31" i="5"/>
  <c r="GH43" i="5" s="1"/>
  <c r="FM31" i="5"/>
  <c r="DY31" i="5"/>
  <c r="DG31" i="5"/>
  <c r="EZ31" i="5"/>
  <c r="EQ31" i="5"/>
  <c r="EH31" i="5"/>
  <c r="CW31" i="5"/>
  <c r="BT31" i="5"/>
  <c r="BW31" i="5"/>
  <c r="BY31" i="5"/>
  <c r="CA31" i="5"/>
  <c r="CC31" i="5"/>
  <c r="CE31" i="5"/>
  <c r="CG31" i="5"/>
  <c r="CI31" i="5"/>
  <c r="BG31" i="5"/>
  <c r="AT31" i="5"/>
  <c r="AG31" i="5"/>
  <c r="F32" i="5"/>
  <c r="C57" i="20"/>
  <c r="PB41" i="5" l="1"/>
  <c r="PM41" i="5"/>
  <c r="PL41" i="5"/>
  <c r="QJ41" i="5"/>
  <c r="PN41" i="5"/>
  <c r="PK41" i="5"/>
  <c r="PS41" i="5"/>
  <c r="QI41" i="5"/>
  <c r="PJ41" i="5"/>
  <c r="PR41" i="5"/>
  <c r="CH31" i="5"/>
  <c r="EP31" i="5"/>
  <c r="EP32" i="5" s="1"/>
  <c r="FL31" i="5"/>
  <c r="SF32" i="5"/>
  <c r="SF41" i="5" s="1"/>
  <c r="RU32" i="5"/>
  <c r="RU41" i="5" s="1"/>
  <c r="SE32" i="5"/>
  <c r="SE41" i="5" s="1"/>
  <c r="PW32" i="5"/>
  <c r="PW41" i="5" s="1"/>
  <c r="RN32" i="5"/>
  <c r="RN41" i="5" s="1"/>
  <c r="CX31" i="5"/>
  <c r="SM32" i="5"/>
  <c r="SM41" i="5" s="1"/>
  <c r="SD32" i="5"/>
  <c r="SD41" i="5" s="1"/>
  <c r="RM32" i="5"/>
  <c r="RM41" i="5" s="1"/>
  <c r="BF31" i="5"/>
  <c r="KW31" i="5"/>
  <c r="SL32" i="5"/>
  <c r="SL41" i="5" s="1"/>
  <c r="SC32" i="5"/>
  <c r="SC41" i="5" s="1"/>
  <c r="RL32" i="5"/>
  <c r="RL41" i="5" s="1"/>
  <c r="BS31" i="5"/>
  <c r="BS32" i="5" s="1"/>
  <c r="SK32" i="5"/>
  <c r="SK41" i="5" s="1"/>
  <c r="SB32" i="5"/>
  <c r="SB41" i="5" s="1"/>
  <c r="RH32" i="5"/>
  <c r="RH41" i="5" s="1"/>
  <c r="RK32" i="5"/>
  <c r="RK41" i="5" s="1"/>
  <c r="EY31" i="5"/>
  <c r="CV31" i="5"/>
  <c r="CV32" i="5" s="1"/>
  <c r="AF31" i="5"/>
  <c r="CF31" i="5"/>
  <c r="BX31" i="5"/>
  <c r="SJ32" i="5"/>
  <c r="SJ41" i="5" s="1"/>
  <c r="SA32" i="5"/>
  <c r="SA41" i="5" s="1"/>
  <c r="RG32" i="5"/>
  <c r="RG41" i="5" s="1"/>
  <c r="RJ32" i="5"/>
  <c r="RJ41" i="5" s="1"/>
  <c r="BZ31" i="5"/>
  <c r="BZ32" i="5" s="1"/>
  <c r="DF31" i="5"/>
  <c r="DF32" i="5" s="1"/>
  <c r="EG31" i="5"/>
  <c r="EG32" i="5" s="1"/>
  <c r="SI32" i="5"/>
  <c r="SI41" i="5" s="1"/>
  <c r="RY32" i="5"/>
  <c r="RY41" i="5" s="1"/>
  <c r="RF32" i="5"/>
  <c r="RF41" i="5" s="1"/>
  <c r="RI32" i="5"/>
  <c r="RI41" i="5" s="1"/>
  <c r="CB31" i="5"/>
  <c r="CB32" i="5" s="1"/>
  <c r="DX31" i="5"/>
  <c r="AS31" i="5"/>
  <c r="AS32" i="5" s="1"/>
  <c r="CD31" i="5"/>
  <c r="BV31" i="5"/>
  <c r="BV32" i="5" s="1"/>
  <c r="SG32" i="5"/>
  <c r="SG41" i="5" s="1"/>
  <c r="RW32" i="5"/>
  <c r="RW41" i="5" s="1"/>
  <c r="O27" i="15"/>
  <c r="G24" i="19"/>
  <c r="G23" i="19"/>
  <c r="EQ32" i="5"/>
  <c r="BG32" i="5"/>
  <c r="BT32" i="5"/>
  <c r="CC32" i="5"/>
  <c r="EZ32" i="5"/>
  <c r="GH32" i="5"/>
  <c r="CI32" i="5"/>
  <c r="CA32" i="5"/>
  <c r="GG32" i="5"/>
  <c r="AG32" i="5"/>
  <c r="KV32" i="5"/>
  <c r="DG32" i="5"/>
  <c r="BY32" i="5"/>
  <c r="EH32" i="5"/>
  <c r="DY32" i="5"/>
  <c r="CW32" i="5"/>
  <c r="CG32" i="5"/>
  <c r="AT32" i="5"/>
  <c r="CE32" i="5"/>
  <c r="BW32" i="5"/>
  <c r="I28" i="20"/>
  <c r="FM32" i="5"/>
  <c r="M12" i="15" s="1"/>
  <c r="S94" i="20"/>
  <c r="I89" i="20"/>
  <c r="I94" i="20" s="1"/>
  <c r="I26" i="20"/>
  <c r="G75" i="20"/>
  <c r="G80" i="20" s="1"/>
  <c r="G11" i="20"/>
  <c r="H95" i="19"/>
  <c r="H115" i="19" s="1"/>
  <c r="H14" i="19"/>
  <c r="O97" i="19"/>
  <c r="O16" i="19"/>
  <c r="M96" i="19"/>
  <c r="M116" i="19" s="1"/>
  <c r="M15" i="19"/>
  <c r="K97" i="19"/>
  <c r="K16" i="19"/>
  <c r="L98" i="18"/>
  <c r="L16" i="18"/>
  <c r="O15" i="17"/>
  <c r="O93" i="17"/>
  <c r="O14" i="17"/>
  <c r="O92" i="17"/>
  <c r="G14" i="17"/>
  <c r="G92" i="17"/>
  <c r="G112" i="17" s="1"/>
  <c r="G91" i="17"/>
  <c r="G13" i="17"/>
  <c r="J87" i="15"/>
  <c r="J92" i="15" s="1"/>
  <c r="J25" i="15"/>
  <c r="F25" i="15"/>
  <c r="F87" i="15"/>
  <c r="F92" i="15" s="1"/>
  <c r="K25" i="18"/>
  <c r="K68" i="18"/>
  <c r="N26" i="20"/>
  <c r="N89" i="20"/>
  <c r="N94" i="20" s="1"/>
  <c r="N75" i="20"/>
  <c r="F11" i="20"/>
  <c r="F75" i="20"/>
  <c r="F80" i="20" s="1"/>
  <c r="F97" i="19"/>
  <c r="F16" i="19"/>
  <c r="N97" i="19"/>
  <c r="N16" i="19"/>
  <c r="L15" i="19"/>
  <c r="K98" i="18"/>
  <c r="K118" i="18" s="1"/>
  <c r="K16" i="18"/>
  <c r="N93" i="17"/>
  <c r="N15" i="17"/>
  <c r="N92" i="17"/>
  <c r="N14" i="17"/>
  <c r="F92" i="17"/>
  <c r="F112" i="17" s="1"/>
  <c r="F14" i="17"/>
  <c r="F91" i="17"/>
  <c r="F13" i="17"/>
  <c r="I87" i="15"/>
  <c r="I92" i="15" s="1"/>
  <c r="I25" i="15"/>
  <c r="U60" i="20"/>
  <c r="J65" i="19"/>
  <c r="P67" i="19"/>
  <c r="P24" i="19"/>
  <c r="K66" i="18"/>
  <c r="K23" i="18"/>
  <c r="Q89" i="20"/>
  <c r="Q94" i="20" s="1"/>
  <c r="Q26" i="20"/>
  <c r="M26" i="20"/>
  <c r="M89" i="20"/>
  <c r="M94" i="20" s="1"/>
  <c r="K89" i="20"/>
  <c r="K94" i="20" s="1"/>
  <c r="K26" i="20"/>
  <c r="G26" i="20"/>
  <c r="G89" i="20"/>
  <c r="G94" i="20" s="1"/>
  <c r="M75" i="20"/>
  <c r="M11" i="20"/>
  <c r="I11" i="20"/>
  <c r="I75" i="20"/>
  <c r="I80" i="20" s="1"/>
  <c r="E75" i="20"/>
  <c r="E80" i="20" s="1"/>
  <c r="E11" i="20"/>
  <c r="H96" i="19"/>
  <c r="H116" i="19" s="1"/>
  <c r="H15" i="19"/>
  <c r="E97" i="19"/>
  <c r="E16" i="19"/>
  <c r="E95" i="19"/>
  <c r="E14" i="19"/>
  <c r="O96" i="19"/>
  <c r="O15" i="19"/>
  <c r="M97" i="19"/>
  <c r="M16" i="19"/>
  <c r="M95" i="19"/>
  <c r="M115" i="19" s="1"/>
  <c r="M14" i="19"/>
  <c r="K96" i="19"/>
  <c r="K116" i="19" s="1"/>
  <c r="K15" i="19"/>
  <c r="K17" i="18"/>
  <c r="K99" i="18"/>
  <c r="J16" i="18"/>
  <c r="J98" i="18"/>
  <c r="J118" i="18" s="1"/>
  <c r="Q93" i="17"/>
  <c r="Q15" i="17"/>
  <c r="M15" i="17"/>
  <c r="M93" i="17"/>
  <c r="I93" i="17"/>
  <c r="I15" i="17"/>
  <c r="M92" i="17"/>
  <c r="M112" i="17" s="1"/>
  <c r="M14" i="17"/>
  <c r="I14" i="17"/>
  <c r="I92" i="17"/>
  <c r="I112" i="17" s="1"/>
  <c r="M13" i="17"/>
  <c r="M91" i="17"/>
  <c r="I91" i="17"/>
  <c r="I111" i="17" s="1"/>
  <c r="I13" i="17"/>
  <c r="E13" i="17"/>
  <c r="E91" i="17"/>
  <c r="L25" i="15"/>
  <c r="L87" i="15"/>
  <c r="L92" i="15" s="1"/>
  <c r="H25" i="15"/>
  <c r="H87" i="15"/>
  <c r="H92" i="15" s="1"/>
  <c r="L60" i="20"/>
  <c r="L28" i="20"/>
  <c r="O26" i="20"/>
  <c r="O89" i="20"/>
  <c r="O94" i="20" s="1"/>
  <c r="E89" i="20"/>
  <c r="E94" i="20" s="1"/>
  <c r="E26" i="20"/>
  <c r="C89" i="20"/>
  <c r="C94" i="20" s="1"/>
  <c r="C26" i="20"/>
  <c r="K11" i="20"/>
  <c r="K75" i="20"/>
  <c r="K80" i="20" s="1"/>
  <c r="H97" i="19"/>
  <c r="H16" i="19"/>
  <c r="E96" i="19"/>
  <c r="E116" i="19" s="1"/>
  <c r="E15" i="19"/>
  <c r="O95" i="19"/>
  <c r="O14" i="19"/>
  <c r="K14" i="19"/>
  <c r="K95" i="19"/>
  <c r="K115" i="19" s="1"/>
  <c r="K97" i="18"/>
  <c r="K117" i="18" s="1"/>
  <c r="K15" i="18"/>
  <c r="K93" i="17"/>
  <c r="K113" i="17" s="1"/>
  <c r="K15" i="17"/>
  <c r="K92" i="17"/>
  <c r="K112" i="17" s="1"/>
  <c r="K14" i="17"/>
  <c r="K91" i="17"/>
  <c r="K13" i="17"/>
  <c r="N25" i="15"/>
  <c r="N87" i="15"/>
  <c r="O73" i="15"/>
  <c r="O78" i="15" s="1"/>
  <c r="C73" i="15"/>
  <c r="C78" i="15" s="1"/>
  <c r="R26" i="20"/>
  <c r="R89" i="20"/>
  <c r="R94" i="20" s="1"/>
  <c r="L89" i="20"/>
  <c r="L94" i="20" s="1"/>
  <c r="L26" i="20"/>
  <c r="H89" i="20"/>
  <c r="H94" i="20" s="1"/>
  <c r="H26" i="20"/>
  <c r="J75" i="20"/>
  <c r="J80" i="20" s="1"/>
  <c r="J11" i="20"/>
  <c r="I96" i="19"/>
  <c r="I15" i="19"/>
  <c r="F95" i="19"/>
  <c r="F115" i="19" s="1"/>
  <c r="F14" i="19"/>
  <c r="P96" i="19"/>
  <c r="P15" i="19"/>
  <c r="N14" i="19"/>
  <c r="N95" i="19"/>
  <c r="N115" i="19" s="1"/>
  <c r="L99" i="18"/>
  <c r="L17" i="18"/>
  <c r="J97" i="18"/>
  <c r="J117" i="18" s="1"/>
  <c r="J15" i="18"/>
  <c r="J93" i="17"/>
  <c r="J15" i="17"/>
  <c r="J92" i="17"/>
  <c r="J112" i="17" s="1"/>
  <c r="J14" i="17"/>
  <c r="J91" i="17"/>
  <c r="J111" i="17" s="1"/>
  <c r="J13" i="17"/>
  <c r="M87" i="15"/>
  <c r="M25" i="15"/>
  <c r="E87" i="15"/>
  <c r="E92" i="15" s="1"/>
  <c r="E25" i="15"/>
  <c r="L46" i="20"/>
  <c r="L13" i="20"/>
  <c r="I24" i="19"/>
  <c r="I67" i="19"/>
  <c r="P65" i="19"/>
  <c r="P22" i="19"/>
  <c r="N66" i="19"/>
  <c r="N23" i="19"/>
  <c r="L68" i="19"/>
  <c r="O64" i="17"/>
  <c r="O23" i="17"/>
  <c r="K23" i="17"/>
  <c r="K64" i="17"/>
  <c r="T94" i="20"/>
  <c r="P89" i="20"/>
  <c r="P94" i="20" s="1"/>
  <c r="P26" i="20"/>
  <c r="J26" i="20"/>
  <c r="J89" i="20"/>
  <c r="J94" i="20" s="1"/>
  <c r="F26" i="20"/>
  <c r="F89" i="20"/>
  <c r="F94" i="20" s="1"/>
  <c r="D89" i="20"/>
  <c r="D94" i="20" s="1"/>
  <c r="D26" i="20"/>
  <c r="L75" i="20"/>
  <c r="L80" i="20" s="1"/>
  <c r="L11" i="20"/>
  <c r="H75" i="20"/>
  <c r="H80" i="20" s="1"/>
  <c r="H11" i="20"/>
  <c r="I97" i="19"/>
  <c r="I16" i="19"/>
  <c r="I95" i="19"/>
  <c r="I14" i="19"/>
  <c r="F96" i="19"/>
  <c r="F15" i="19"/>
  <c r="P16" i="19"/>
  <c r="P97" i="19"/>
  <c r="P95" i="19"/>
  <c r="P14" i="19"/>
  <c r="N96" i="19"/>
  <c r="N116" i="19" s="1"/>
  <c r="N15" i="19"/>
  <c r="L97" i="19"/>
  <c r="L16" i="19"/>
  <c r="L96" i="19"/>
  <c r="L116" i="19" s="1"/>
  <c r="L95" i="19"/>
  <c r="L115" i="19" s="1"/>
  <c r="L14" i="19"/>
  <c r="J17" i="18"/>
  <c r="J99" i="18"/>
  <c r="L15" i="18"/>
  <c r="L97" i="18"/>
  <c r="P93" i="17"/>
  <c r="P15" i="17"/>
  <c r="L93" i="17"/>
  <c r="L15" i="17"/>
  <c r="H93" i="17"/>
  <c r="H15" i="17"/>
  <c r="L14" i="17"/>
  <c r="L92" i="17"/>
  <c r="L112" i="17" s="1"/>
  <c r="H92" i="17"/>
  <c r="H112" i="17" s="1"/>
  <c r="H14" i="17"/>
  <c r="L91" i="17"/>
  <c r="L13" i="17"/>
  <c r="H91" i="17"/>
  <c r="H111" i="17" s="1"/>
  <c r="H13" i="17"/>
  <c r="D91" i="17"/>
  <c r="D13" i="17"/>
  <c r="K87" i="15"/>
  <c r="K92" i="15" s="1"/>
  <c r="K25" i="15"/>
  <c r="G25" i="15"/>
  <c r="G87" i="15"/>
  <c r="G92" i="15" s="1"/>
  <c r="P73" i="15"/>
  <c r="P78" i="15" s="1"/>
  <c r="D73" i="15"/>
  <c r="D78" i="15" s="1"/>
  <c r="J46" i="20"/>
  <c r="J13" i="20"/>
  <c r="I66" i="19"/>
  <c r="I23" i="19"/>
  <c r="G65" i="19"/>
  <c r="F68" i="19"/>
  <c r="P66" i="19"/>
  <c r="P23" i="19"/>
  <c r="N67" i="19"/>
  <c r="N24" i="19"/>
  <c r="N22" i="19"/>
  <c r="N65" i="19"/>
  <c r="Q64" i="17"/>
  <c r="Q23" i="17"/>
  <c r="M64" i="17"/>
  <c r="M23" i="17"/>
  <c r="I64" i="17"/>
  <c r="I23" i="17"/>
  <c r="N27" i="15"/>
  <c r="N58" i="15"/>
  <c r="K81" i="13"/>
  <c r="K83" i="13" s="1"/>
  <c r="G84" i="13"/>
  <c r="G82" i="13"/>
  <c r="G80" i="13"/>
  <c r="C119" i="20"/>
  <c r="C125" i="20" s="1"/>
  <c r="OF32" i="5"/>
  <c r="SN31" i="5"/>
  <c r="F88" i="13"/>
  <c r="F89" i="13" s="1"/>
  <c r="PO32" i="5"/>
  <c r="G87" i="13"/>
  <c r="G85" i="13"/>
  <c r="G83" i="13"/>
  <c r="E88" i="13"/>
  <c r="G81" i="13"/>
  <c r="OG32" i="5"/>
  <c r="CK31" i="5"/>
  <c r="K24" i="18"/>
  <c r="M22" i="17"/>
  <c r="I22" i="17"/>
  <c r="I22" i="19"/>
  <c r="F22" i="19"/>
  <c r="O22" i="17"/>
  <c r="NH32" i="5"/>
  <c r="NH41" i="5" s="1"/>
  <c r="NN32" i="5"/>
  <c r="NN41" i="5" s="1"/>
  <c r="NG32" i="5"/>
  <c r="NG41" i="5" s="1"/>
  <c r="NJ32" i="5"/>
  <c r="NJ41" i="5" s="1"/>
  <c r="BH15" i="12"/>
  <c r="BI15" i="12" s="1"/>
  <c r="BH40" i="12"/>
  <c r="K21" i="17"/>
  <c r="G21" i="17"/>
  <c r="OH31" i="5"/>
  <c r="M21" i="17"/>
  <c r="I21" i="17"/>
  <c r="D16" i="17" l="1"/>
  <c r="E16" i="17"/>
  <c r="AH31" i="5"/>
  <c r="ER31" i="5"/>
  <c r="NY31" i="5"/>
  <c r="FN31" i="5"/>
  <c r="FN32" i="5" s="1"/>
  <c r="BU31" i="5"/>
  <c r="LQ31" i="5"/>
  <c r="LQ32" i="5" s="1"/>
  <c r="BX32" i="5"/>
  <c r="KW32" i="5"/>
  <c r="DX32" i="5"/>
  <c r="EY32" i="5"/>
  <c r="GI31" i="5"/>
  <c r="GI32" i="5" s="1"/>
  <c r="CF32" i="5"/>
  <c r="BF32" i="5"/>
  <c r="DZ31" i="5"/>
  <c r="LR31" i="5"/>
  <c r="LR32" i="5" s="1"/>
  <c r="SN32" i="5"/>
  <c r="CJ31" i="5"/>
  <c r="AF32" i="5"/>
  <c r="CX32" i="5"/>
  <c r="CH32" i="5"/>
  <c r="KX31" i="5"/>
  <c r="CY31" i="5"/>
  <c r="FA31" i="5"/>
  <c r="FA32" i="5" s="1"/>
  <c r="BH31" i="5"/>
  <c r="DH31" i="5"/>
  <c r="EI31" i="5"/>
  <c r="AU31" i="5"/>
  <c r="AU32" i="5" s="1"/>
  <c r="CD32" i="5"/>
  <c r="FL32" i="5"/>
  <c r="M68" i="18"/>
  <c r="G15" i="19"/>
  <c r="F25" i="19"/>
  <c r="J23" i="19"/>
  <c r="J22" i="19"/>
  <c r="J24" i="19"/>
  <c r="H28" i="20"/>
  <c r="F28" i="20"/>
  <c r="E28" i="20"/>
  <c r="U28" i="20" s="1"/>
  <c r="J28" i="20"/>
  <c r="CK32" i="5"/>
  <c r="J12" i="15" s="1"/>
  <c r="M44" i="15"/>
  <c r="R23" i="19"/>
  <c r="F16" i="17"/>
  <c r="J18" i="18"/>
  <c r="R14" i="19"/>
  <c r="R15" i="19"/>
  <c r="M17" i="19"/>
  <c r="N25" i="19"/>
  <c r="J14" i="19"/>
  <c r="R22" i="19"/>
  <c r="H17" i="19"/>
  <c r="J15" i="19"/>
  <c r="N16" i="17"/>
  <c r="F58" i="15"/>
  <c r="P58" i="15" s="1"/>
  <c r="E21" i="17"/>
  <c r="S22" i="17"/>
  <c r="T22" i="17" s="1"/>
  <c r="G44" i="15"/>
  <c r="G12" i="15"/>
  <c r="P27" i="15"/>
  <c r="M65" i="17"/>
  <c r="G68" i="19"/>
  <c r="R13" i="17"/>
  <c r="L16" i="17"/>
  <c r="P113" i="17"/>
  <c r="P94" i="17"/>
  <c r="R93" i="17"/>
  <c r="L17" i="19"/>
  <c r="I115" i="19"/>
  <c r="J95" i="19"/>
  <c r="J115" i="19" s="1"/>
  <c r="V26" i="20"/>
  <c r="V89" i="20"/>
  <c r="O24" i="17"/>
  <c r="P13" i="20"/>
  <c r="O87" i="15"/>
  <c r="O92" i="15" s="1"/>
  <c r="M92" i="15"/>
  <c r="J16" i="17"/>
  <c r="Q14" i="19"/>
  <c r="E94" i="17"/>
  <c r="E111" i="17"/>
  <c r="E114" i="17" s="1"/>
  <c r="I94" i="17"/>
  <c r="I113" i="17"/>
  <c r="I114" i="17" s="1"/>
  <c r="K18" i="18"/>
  <c r="Q96" i="19"/>
  <c r="Q116" i="19" s="1"/>
  <c r="O116" i="19"/>
  <c r="M66" i="18"/>
  <c r="F94" i="17"/>
  <c r="F111" i="17"/>
  <c r="F114" i="17" s="1"/>
  <c r="N17" i="19"/>
  <c r="F117" i="19"/>
  <c r="F98" i="19"/>
  <c r="F118" i="19" s="1"/>
  <c r="G97" i="19"/>
  <c r="K69" i="18"/>
  <c r="S14" i="17"/>
  <c r="K17" i="19"/>
  <c r="I24" i="17"/>
  <c r="Q24" i="17"/>
  <c r="S23" i="17"/>
  <c r="T23" i="17" s="1"/>
  <c r="R66" i="19"/>
  <c r="J66" i="19"/>
  <c r="L111" i="17"/>
  <c r="R91" i="17"/>
  <c r="H16" i="17"/>
  <c r="L113" i="17"/>
  <c r="L94" i="17"/>
  <c r="J119" i="18"/>
  <c r="J100" i="18"/>
  <c r="J120" i="18" s="1"/>
  <c r="L98" i="19"/>
  <c r="L118" i="19" s="1"/>
  <c r="L117" i="19"/>
  <c r="P117" i="19"/>
  <c r="P98" i="19"/>
  <c r="P118" i="19" s="1"/>
  <c r="R97" i="19"/>
  <c r="G96" i="19"/>
  <c r="G116" i="19" s="1"/>
  <c r="F116" i="19"/>
  <c r="O65" i="17"/>
  <c r="P46" i="20"/>
  <c r="J94" i="17"/>
  <c r="J113" i="17"/>
  <c r="J114" i="17" s="1"/>
  <c r="R96" i="19"/>
  <c r="P116" i="19"/>
  <c r="Q95" i="19"/>
  <c r="Q115" i="19" s="1"/>
  <c r="O115" i="19"/>
  <c r="G24" i="17"/>
  <c r="Q16" i="17"/>
  <c r="S15" i="17"/>
  <c r="M117" i="19"/>
  <c r="M98" i="19"/>
  <c r="M118" i="19" s="1"/>
  <c r="E17" i="19"/>
  <c r="O11" i="20"/>
  <c r="R14" i="17"/>
  <c r="N94" i="17"/>
  <c r="N113" i="17"/>
  <c r="N98" i="19"/>
  <c r="N118" i="19" s="1"/>
  <c r="N117" i="19"/>
  <c r="N80" i="20"/>
  <c r="P75" i="20"/>
  <c r="K26" i="18"/>
  <c r="M25" i="18"/>
  <c r="G16" i="17"/>
  <c r="M16" i="18"/>
  <c r="K98" i="19"/>
  <c r="K118" i="19" s="1"/>
  <c r="K117" i="19"/>
  <c r="I65" i="17"/>
  <c r="Q65" i="17"/>
  <c r="S64" i="17"/>
  <c r="T64" i="17" s="1"/>
  <c r="H113" i="17"/>
  <c r="H114" i="17" s="1"/>
  <c r="H94" i="17"/>
  <c r="L117" i="18"/>
  <c r="M97" i="18"/>
  <c r="M117" i="18" s="1"/>
  <c r="P17" i="19"/>
  <c r="R16" i="19"/>
  <c r="I17" i="19"/>
  <c r="J16" i="19"/>
  <c r="K65" i="17"/>
  <c r="J67" i="19"/>
  <c r="I68" i="19"/>
  <c r="M17" i="18"/>
  <c r="L18" i="18"/>
  <c r="N92" i="15"/>
  <c r="P87" i="15"/>
  <c r="K94" i="17"/>
  <c r="K111" i="17"/>
  <c r="K114" i="17" s="1"/>
  <c r="S91" i="17"/>
  <c r="M111" i="17"/>
  <c r="M94" i="17"/>
  <c r="M113" i="17"/>
  <c r="S93" i="17"/>
  <c r="Q94" i="17"/>
  <c r="Q113" i="17"/>
  <c r="E117" i="19"/>
  <c r="E98" i="19"/>
  <c r="E118" i="19" s="1"/>
  <c r="M80" i="20"/>
  <c r="O75" i="20"/>
  <c r="O80" i="20" s="1"/>
  <c r="P25" i="19"/>
  <c r="R24" i="19"/>
  <c r="N112" i="17"/>
  <c r="R112" i="17" s="1"/>
  <c r="R92" i="17"/>
  <c r="G94" i="17"/>
  <c r="G111" i="17"/>
  <c r="G114" i="17" s="1"/>
  <c r="O113" i="17"/>
  <c r="O94" i="17"/>
  <c r="L118" i="18"/>
  <c r="M98" i="18"/>
  <c r="M118" i="18" s="1"/>
  <c r="Q16" i="19"/>
  <c r="O17" i="19"/>
  <c r="U89" i="20"/>
  <c r="N12" i="15"/>
  <c r="G22" i="19"/>
  <c r="M24" i="18"/>
  <c r="M24" i="17"/>
  <c r="N68" i="19"/>
  <c r="D111" i="17"/>
  <c r="D114" i="17" s="1"/>
  <c r="D94" i="17"/>
  <c r="P16" i="17"/>
  <c r="R15" i="17"/>
  <c r="M15" i="18"/>
  <c r="R95" i="19"/>
  <c r="P115" i="19"/>
  <c r="I117" i="19"/>
  <c r="I98" i="19"/>
  <c r="I118" i="19" s="1"/>
  <c r="J97" i="19"/>
  <c r="V94" i="20"/>
  <c r="K24" i="17"/>
  <c r="R65" i="19"/>
  <c r="I25" i="19"/>
  <c r="O25" i="15"/>
  <c r="M99" i="18"/>
  <c r="L100" i="18"/>
  <c r="L120" i="18" s="1"/>
  <c r="L119" i="18"/>
  <c r="G14" i="19"/>
  <c r="I116" i="19"/>
  <c r="J96" i="19"/>
  <c r="J116" i="19" s="1"/>
  <c r="P25" i="15"/>
  <c r="K16" i="17"/>
  <c r="H117" i="19"/>
  <c r="H98" i="19"/>
  <c r="H118" i="19" s="1"/>
  <c r="U26" i="20"/>
  <c r="V60" i="20"/>
  <c r="W60" i="20" s="1"/>
  <c r="S13" i="17"/>
  <c r="I16" i="17"/>
  <c r="M16" i="17"/>
  <c r="K119" i="18"/>
  <c r="K100" i="18"/>
  <c r="K120" i="18" s="1"/>
  <c r="Q15" i="19"/>
  <c r="G95" i="19"/>
  <c r="G115" i="19" s="1"/>
  <c r="E115" i="19"/>
  <c r="M23" i="18"/>
  <c r="P68" i="19"/>
  <c r="R67" i="19"/>
  <c r="G16" i="19"/>
  <c r="F17" i="19"/>
  <c r="O112" i="17"/>
  <c r="S92" i="17"/>
  <c r="O16" i="17"/>
  <c r="O117" i="19"/>
  <c r="O98" i="19"/>
  <c r="O118" i="19" s="1"/>
  <c r="Q97" i="19"/>
  <c r="U94" i="20"/>
  <c r="OH32" i="5"/>
  <c r="E89" i="13"/>
  <c r="G88" i="13"/>
  <c r="G89" i="13" s="1"/>
  <c r="SN27" i="5"/>
  <c r="SN28" i="5" s="1"/>
  <c r="SN22" i="5"/>
  <c r="SN23" i="5" s="1"/>
  <c r="SN15" i="5"/>
  <c r="SN6" i="5"/>
  <c r="V28" i="20" l="1"/>
  <c r="W28" i="20" s="1"/>
  <c r="SN16" i="5"/>
  <c r="S14" i="19"/>
  <c r="NY32" i="5"/>
  <c r="S65" i="17"/>
  <c r="T65" i="17" s="1"/>
  <c r="J25" i="19"/>
  <c r="EI32" i="5"/>
  <c r="CY32" i="5"/>
  <c r="DZ32" i="5"/>
  <c r="LS31" i="5"/>
  <c r="ER32" i="5"/>
  <c r="DH32" i="5"/>
  <c r="KX32" i="5"/>
  <c r="BU32" i="5"/>
  <c r="AH32" i="5"/>
  <c r="CL31" i="5"/>
  <c r="BH32" i="5"/>
  <c r="CJ32" i="5"/>
  <c r="S21" i="17"/>
  <c r="T21" i="17" s="1"/>
  <c r="N44" i="15"/>
  <c r="M69" i="18"/>
  <c r="S22" i="19"/>
  <c r="S23" i="19"/>
  <c r="G25" i="19"/>
  <c r="S15" i="19"/>
  <c r="SN11" i="5"/>
  <c r="SN12" i="5" s="1"/>
  <c r="SN9" i="5"/>
  <c r="SN43" i="5" s="1"/>
  <c r="J44" i="15"/>
  <c r="T14" i="17"/>
  <c r="W89" i="20"/>
  <c r="W94" i="20" s="1"/>
  <c r="J17" i="19"/>
  <c r="T93" i="17"/>
  <c r="T13" i="17"/>
  <c r="R16" i="17"/>
  <c r="S94" i="17"/>
  <c r="T15" i="17"/>
  <c r="G17" i="19"/>
  <c r="Q25" i="15"/>
  <c r="S111" i="17"/>
  <c r="J68" i="19"/>
  <c r="M26" i="18"/>
  <c r="R111" i="17"/>
  <c r="G98" i="19"/>
  <c r="G118" i="19" s="1"/>
  <c r="G117" i="19"/>
  <c r="K12" i="15"/>
  <c r="R25" i="19"/>
  <c r="S24" i="19"/>
  <c r="M18" i="18"/>
  <c r="S16" i="17"/>
  <c r="R98" i="19"/>
  <c r="R118" i="19" s="1"/>
  <c r="S97" i="19"/>
  <c r="R117" i="19"/>
  <c r="L114" i="17"/>
  <c r="S66" i="19"/>
  <c r="Q13" i="20"/>
  <c r="W26" i="20"/>
  <c r="O114" i="17"/>
  <c r="S112" i="17"/>
  <c r="T112" i="17" s="1"/>
  <c r="S67" i="19"/>
  <c r="R68" i="19"/>
  <c r="M100" i="18"/>
  <c r="M120" i="18" s="1"/>
  <c r="M119" i="18"/>
  <c r="S65" i="19"/>
  <c r="M114" i="17"/>
  <c r="Q87" i="15"/>
  <c r="Q92" i="15" s="1"/>
  <c r="P92" i="15"/>
  <c r="R17" i="19"/>
  <c r="S16" i="19"/>
  <c r="Q27" i="15"/>
  <c r="E24" i="17"/>
  <c r="S24" i="17" s="1"/>
  <c r="T24" i="17" s="1"/>
  <c r="Q117" i="19"/>
  <c r="Q98" i="19"/>
  <c r="Q118" i="19" s="1"/>
  <c r="T92" i="17"/>
  <c r="J117" i="19"/>
  <c r="J98" i="19"/>
  <c r="J118" i="19" s="1"/>
  <c r="R115" i="19"/>
  <c r="S95" i="19"/>
  <c r="S115" i="19" s="1"/>
  <c r="R94" i="17"/>
  <c r="Q58" i="15"/>
  <c r="Q17" i="19"/>
  <c r="Q114" i="17"/>
  <c r="S113" i="17"/>
  <c r="Q75" i="20"/>
  <c r="Q80" i="20" s="1"/>
  <c r="P80" i="20"/>
  <c r="N114" i="17"/>
  <c r="S96" i="19"/>
  <c r="S116" i="19" s="1"/>
  <c r="R116" i="19"/>
  <c r="Q46" i="20"/>
  <c r="T91" i="17"/>
  <c r="P114" i="17"/>
  <c r="R113" i="17"/>
  <c r="PO27" i="5"/>
  <c r="PO28" i="5" s="1"/>
  <c r="PO11" i="5"/>
  <c r="PO12" i="5" s="1"/>
  <c r="PO6" i="5"/>
  <c r="SN17" i="5" l="1"/>
  <c r="SN41" i="5" s="1"/>
  <c r="V78" i="21"/>
  <c r="V84" i="21" s="1"/>
  <c r="LS32" i="5"/>
  <c r="CL32" i="5"/>
  <c r="K44" i="15"/>
  <c r="S25" i="19"/>
  <c r="PO9" i="5"/>
  <c r="PO43" i="5" s="1"/>
  <c r="T94" i="17"/>
  <c r="T113" i="17"/>
  <c r="T16" i="17"/>
  <c r="S114" i="17"/>
  <c r="R114" i="17"/>
  <c r="S17" i="19"/>
  <c r="S98" i="19"/>
  <c r="S118" i="19" s="1"/>
  <c r="S117" i="19"/>
  <c r="T111" i="17"/>
  <c r="S68" i="19"/>
  <c r="U46" i="21"/>
  <c r="U52" i="21" s="1"/>
  <c r="E46" i="21"/>
  <c r="E52" i="21" s="1"/>
  <c r="D46" i="21"/>
  <c r="D52" i="21" s="1"/>
  <c r="B41" i="14"/>
  <c r="C41" i="14"/>
  <c r="F42" i="14"/>
  <c r="E42" i="13"/>
  <c r="L46" i="21"/>
  <c r="L52" i="21" s="1"/>
  <c r="AF22" i="5"/>
  <c r="AF23" i="5" s="1"/>
  <c r="P11" i="12"/>
  <c r="P59" i="12" s="1"/>
  <c r="Q11" i="12"/>
  <c r="Q59" i="12" s="1"/>
  <c r="R11" i="12"/>
  <c r="R59" i="12" s="1"/>
  <c r="T11" i="12"/>
  <c r="T59" i="12" s="1"/>
  <c r="U11" i="12"/>
  <c r="U59" i="12" s="1"/>
  <c r="V11" i="12"/>
  <c r="V59" i="12" s="1"/>
  <c r="W11" i="12"/>
  <c r="W59" i="12" s="1"/>
  <c r="X11" i="12"/>
  <c r="X59" i="12" s="1"/>
  <c r="Y11" i="12"/>
  <c r="Y59" i="12" s="1"/>
  <c r="Z11" i="12"/>
  <c r="Z59" i="12" s="1"/>
  <c r="AO10" i="12"/>
  <c r="AO58" i="12" s="1"/>
  <c r="AQ10" i="12"/>
  <c r="AQ58" i="12" s="1"/>
  <c r="AS10" i="12"/>
  <c r="AS58" i="12" s="1"/>
  <c r="AU10" i="12"/>
  <c r="AU58" i="12" s="1"/>
  <c r="AW10" i="12"/>
  <c r="AW58" i="12" s="1"/>
  <c r="AW11" i="12"/>
  <c r="AY10" i="12"/>
  <c r="AY58" i="12" s="1"/>
  <c r="BA10" i="12"/>
  <c r="BA58" i="12" s="1"/>
  <c r="BC10" i="12"/>
  <c r="BC58" i="12" s="1"/>
  <c r="BH10" i="12"/>
  <c r="C10" i="12"/>
  <c r="C58" i="12" s="1"/>
  <c r="C11" i="12"/>
  <c r="C59" i="12" s="1"/>
  <c r="D10" i="12"/>
  <c r="D58" i="12" s="1"/>
  <c r="D11" i="12"/>
  <c r="D59" i="12" s="1"/>
  <c r="E10" i="12"/>
  <c r="E58" i="12" s="1"/>
  <c r="E11" i="12"/>
  <c r="E59" i="12" s="1"/>
  <c r="F10" i="12"/>
  <c r="F58" i="12" s="1"/>
  <c r="F11" i="12"/>
  <c r="F59" i="12" s="1"/>
  <c r="G10" i="12"/>
  <c r="G58" i="12" s="1"/>
  <c r="G11" i="12"/>
  <c r="G59" i="12" s="1"/>
  <c r="H10" i="12"/>
  <c r="H58" i="12" s="1"/>
  <c r="H11" i="12"/>
  <c r="H59" i="12" s="1"/>
  <c r="I10" i="12"/>
  <c r="I58" i="12" s="1"/>
  <c r="I11" i="12"/>
  <c r="I59" i="12" s="1"/>
  <c r="J10" i="12"/>
  <c r="J58" i="12" s="1"/>
  <c r="J11" i="12"/>
  <c r="J59" i="12" s="1"/>
  <c r="K10" i="12"/>
  <c r="K58" i="12" s="1"/>
  <c r="K11" i="12"/>
  <c r="K59" i="12" s="1"/>
  <c r="L10" i="12"/>
  <c r="L58" i="12" s="1"/>
  <c r="L11" i="12"/>
  <c r="L59" i="12" s="1"/>
  <c r="M10" i="12"/>
  <c r="M58" i="12" s="1"/>
  <c r="M11" i="12"/>
  <c r="M59" i="12" s="1"/>
  <c r="N10" i="12"/>
  <c r="N58" i="12" s="1"/>
  <c r="N11" i="12"/>
  <c r="N59" i="12" s="1"/>
  <c r="O10" i="12"/>
  <c r="O58" i="12" s="1"/>
  <c r="O11" i="12"/>
  <c r="O59" i="12" s="1"/>
  <c r="P10" i="12"/>
  <c r="P58" i="12" s="1"/>
  <c r="Q10" i="12"/>
  <c r="Q58" i="12" s="1"/>
  <c r="R10" i="12"/>
  <c r="R58" i="12" s="1"/>
  <c r="S10" i="12"/>
  <c r="S58" i="12" s="1"/>
  <c r="S11" i="12"/>
  <c r="S59" i="12" s="1"/>
  <c r="T10" i="12"/>
  <c r="T58" i="12" s="1"/>
  <c r="U10" i="12"/>
  <c r="U58" i="12" s="1"/>
  <c r="V10" i="12"/>
  <c r="V58" i="12" s="1"/>
  <c r="W10" i="12"/>
  <c r="W58" i="12" s="1"/>
  <c r="X10" i="12"/>
  <c r="X58" i="12" s="1"/>
  <c r="Y10" i="12"/>
  <c r="Y58" i="12" s="1"/>
  <c r="Z10" i="12"/>
  <c r="Z58" i="12" s="1"/>
  <c r="AA10" i="12"/>
  <c r="AA58" i="12" s="1"/>
  <c r="AA11" i="12"/>
  <c r="AA59" i="12" s="1"/>
  <c r="AB10" i="12"/>
  <c r="AB58" i="12" s="1"/>
  <c r="AB11" i="12"/>
  <c r="AB59" i="12" s="1"/>
  <c r="AC10" i="12"/>
  <c r="AC58" i="12" s="1"/>
  <c r="AC11" i="12"/>
  <c r="AC59" i="12" s="1"/>
  <c r="AD10" i="12"/>
  <c r="AD58" i="12" s="1"/>
  <c r="AD11" i="12"/>
  <c r="AD59" i="12" s="1"/>
  <c r="AE10" i="12"/>
  <c r="AE58" i="12" s="1"/>
  <c r="AE11" i="12"/>
  <c r="AE59" i="12" s="1"/>
  <c r="AF10" i="12"/>
  <c r="AF58" i="12" s="1"/>
  <c r="AF11" i="12"/>
  <c r="AF59" i="12" s="1"/>
  <c r="AG10" i="12"/>
  <c r="AG58" i="12" s="1"/>
  <c r="AG11" i="12"/>
  <c r="AG59" i="12" s="1"/>
  <c r="AH10" i="12"/>
  <c r="AH58" i="12" s="1"/>
  <c r="AH11" i="12"/>
  <c r="AH59" i="12" s="1"/>
  <c r="AI10" i="12"/>
  <c r="AI58" i="12" s="1"/>
  <c r="AI11" i="12"/>
  <c r="AI59" i="12" s="1"/>
  <c r="AJ10" i="12"/>
  <c r="AJ58" i="12" s="1"/>
  <c r="AJ11" i="12"/>
  <c r="AJ59" i="12" s="1"/>
  <c r="AK10" i="12"/>
  <c r="AK58" i="12" s="1"/>
  <c r="AK11" i="12"/>
  <c r="AK59" i="12" s="1"/>
  <c r="AL10" i="12"/>
  <c r="AL58" i="12" s="1"/>
  <c r="AL11" i="12"/>
  <c r="AL59" i="12" s="1"/>
  <c r="AM10" i="12"/>
  <c r="AM58" i="12" s="1"/>
  <c r="AM11" i="12"/>
  <c r="AM59" i="12" s="1"/>
  <c r="AN10" i="12"/>
  <c r="AN58" i="12" s="1"/>
  <c r="AN11" i="12"/>
  <c r="AN59" i="12" s="1"/>
  <c r="AO11" i="12"/>
  <c r="AO59" i="12" s="1"/>
  <c r="AP10" i="12"/>
  <c r="AP58" i="12" s="1"/>
  <c r="AP11" i="12"/>
  <c r="AP59" i="12" s="1"/>
  <c r="AQ11" i="12"/>
  <c r="AQ59" i="12" s="1"/>
  <c r="AR10" i="12"/>
  <c r="AR58" i="12" s="1"/>
  <c r="AR11" i="12"/>
  <c r="AR59" i="12" s="1"/>
  <c r="AS11" i="12"/>
  <c r="AS59" i="12" s="1"/>
  <c r="AT10" i="12"/>
  <c r="AT58" i="12" s="1"/>
  <c r="AT11" i="12"/>
  <c r="AT59" i="12" s="1"/>
  <c r="AU11" i="12"/>
  <c r="AU59" i="12" s="1"/>
  <c r="AV10" i="12"/>
  <c r="AV58" i="12" s="1"/>
  <c r="AV11" i="12"/>
  <c r="AV59" i="12" s="1"/>
  <c r="AX10" i="12"/>
  <c r="AX58" i="12" s="1"/>
  <c r="AX11" i="12"/>
  <c r="AX59" i="12" s="1"/>
  <c r="AY11" i="12"/>
  <c r="AY59" i="12" s="1"/>
  <c r="AZ10" i="12"/>
  <c r="AZ58" i="12" s="1"/>
  <c r="AZ11" i="12"/>
  <c r="AZ59" i="12" s="1"/>
  <c r="BA11" i="12"/>
  <c r="BA59" i="12" s="1"/>
  <c r="BB10" i="12"/>
  <c r="BB58" i="12" s="1"/>
  <c r="BB11" i="12"/>
  <c r="BB59" i="12" s="1"/>
  <c r="BC11" i="12"/>
  <c r="BC59" i="12" s="1"/>
  <c r="BD10" i="12"/>
  <c r="BD58" i="12" s="1"/>
  <c r="BD11" i="12"/>
  <c r="BD59" i="12" s="1"/>
  <c r="BH11" i="12"/>
  <c r="BH59" i="12" s="1"/>
  <c r="D13" i="12"/>
  <c r="E13" i="12"/>
  <c r="AA13" i="12"/>
  <c r="BD12" i="12"/>
  <c r="BD13" i="12"/>
  <c r="E46" i="14"/>
  <c r="F46" i="14"/>
  <c r="E47" i="14"/>
  <c r="F47" i="14"/>
  <c r="E48" i="14"/>
  <c r="F48" i="14"/>
  <c r="E49" i="14"/>
  <c r="F49" i="14"/>
  <c r="E50" i="14"/>
  <c r="F50" i="14"/>
  <c r="E51" i="14"/>
  <c r="F51" i="14"/>
  <c r="F52" i="14"/>
  <c r="G52" i="14" s="1"/>
  <c r="E53" i="14"/>
  <c r="F53" i="14"/>
  <c r="KW11" i="5"/>
  <c r="KW12" i="5" s="1"/>
  <c r="KV15" i="5"/>
  <c r="KV22" i="5"/>
  <c r="KV23" i="5" s="1"/>
  <c r="KV43" i="5" s="1"/>
  <c r="KW22" i="5"/>
  <c r="KW23" i="5" s="1"/>
  <c r="KW27" i="5"/>
  <c r="KW28" i="5" s="1"/>
  <c r="BH79" i="12"/>
  <c r="BH91" i="12" s="1"/>
  <c r="C56" i="12"/>
  <c r="D56" i="12"/>
  <c r="D57" i="12"/>
  <c r="E56" i="12"/>
  <c r="E57" i="12"/>
  <c r="F56" i="12"/>
  <c r="F57" i="12"/>
  <c r="G56" i="12"/>
  <c r="G57" i="12"/>
  <c r="H56" i="12"/>
  <c r="H57" i="12"/>
  <c r="I56" i="12"/>
  <c r="I57" i="12"/>
  <c r="J56" i="12"/>
  <c r="J57" i="12"/>
  <c r="K56" i="12"/>
  <c r="K57" i="12"/>
  <c r="L56" i="12"/>
  <c r="L57" i="12"/>
  <c r="M56" i="12"/>
  <c r="M57" i="12"/>
  <c r="N56" i="12"/>
  <c r="N57" i="12"/>
  <c r="O56" i="12"/>
  <c r="O57" i="12"/>
  <c r="P56" i="12"/>
  <c r="P57" i="12"/>
  <c r="Q56" i="12"/>
  <c r="Q57" i="12"/>
  <c r="R56" i="12"/>
  <c r="R57" i="12"/>
  <c r="S56" i="12"/>
  <c r="S57" i="12"/>
  <c r="T56" i="12"/>
  <c r="T57" i="12"/>
  <c r="U56" i="12"/>
  <c r="U57" i="12"/>
  <c r="V56" i="12"/>
  <c r="V57" i="12"/>
  <c r="W56" i="12"/>
  <c r="W57" i="12"/>
  <c r="X56" i="12"/>
  <c r="X57" i="12"/>
  <c r="Y56" i="12"/>
  <c r="Y57" i="12"/>
  <c r="Z56" i="12"/>
  <c r="Z57" i="12"/>
  <c r="AA56" i="12"/>
  <c r="AA57" i="12"/>
  <c r="AB56" i="12"/>
  <c r="AB57" i="12"/>
  <c r="AC56" i="12"/>
  <c r="AC57" i="12"/>
  <c r="AD56" i="12"/>
  <c r="AD57" i="12"/>
  <c r="AE56" i="12"/>
  <c r="AE57" i="12"/>
  <c r="AF56" i="12"/>
  <c r="AF57" i="12"/>
  <c r="AG56" i="12"/>
  <c r="AG57" i="12"/>
  <c r="AH56" i="12"/>
  <c r="AH57" i="12"/>
  <c r="AI56" i="12"/>
  <c r="AI57" i="12"/>
  <c r="AJ56" i="12"/>
  <c r="AJ57" i="12"/>
  <c r="AK56" i="12"/>
  <c r="AK57" i="12"/>
  <c r="AL56" i="12"/>
  <c r="AL57" i="12"/>
  <c r="AM56" i="12"/>
  <c r="AM57" i="12"/>
  <c r="AN56" i="12"/>
  <c r="AN57" i="12"/>
  <c r="AO56" i="12"/>
  <c r="AO57" i="12"/>
  <c r="AP56" i="12"/>
  <c r="AP57" i="12"/>
  <c r="AQ56" i="12"/>
  <c r="AQ57" i="12"/>
  <c r="AR56" i="12"/>
  <c r="AR57" i="12"/>
  <c r="AS56" i="12"/>
  <c r="AS57" i="12"/>
  <c r="AT56" i="12"/>
  <c r="AT57" i="12"/>
  <c r="AU56" i="12"/>
  <c r="AU57" i="12"/>
  <c r="AV56" i="12"/>
  <c r="AV57" i="12"/>
  <c r="AW56" i="12"/>
  <c r="AW57" i="12"/>
  <c r="AX56" i="12"/>
  <c r="AX57" i="12"/>
  <c r="AY56" i="12"/>
  <c r="AY57" i="12"/>
  <c r="AZ56" i="12"/>
  <c r="AZ57" i="12"/>
  <c r="BA56" i="12"/>
  <c r="BA57" i="12"/>
  <c r="BB56" i="12"/>
  <c r="BB57" i="12"/>
  <c r="BC56" i="12"/>
  <c r="BC57" i="12"/>
  <c r="BD56" i="12"/>
  <c r="BD57" i="12"/>
  <c r="BH57" i="12"/>
  <c r="C57" i="12"/>
  <c r="KW6" i="5"/>
  <c r="KW9" i="5" s="1"/>
  <c r="N33" i="12"/>
  <c r="N34" i="12"/>
  <c r="O33" i="12"/>
  <c r="O34" i="12"/>
  <c r="P33" i="12"/>
  <c r="P34" i="12"/>
  <c r="Q33" i="12"/>
  <c r="Q34" i="12"/>
  <c r="R33" i="12"/>
  <c r="R34" i="12"/>
  <c r="S33" i="12"/>
  <c r="S34" i="12"/>
  <c r="T33" i="12"/>
  <c r="T34" i="12"/>
  <c r="U33" i="12"/>
  <c r="U34" i="12"/>
  <c r="V33" i="12"/>
  <c r="V34" i="12"/>
  <c r="W33" i="12"/>
  <c r="W34" i="12"/>
  <c r="X33" i="12"/>
  <c r="X34" i="12"/>
  <c r="Y33" i="12"/>
  <c r="Y34" i="12"/>
  <c r="Z33" i="12"/>
  <c r="Z34" i="12"/>
  <c r="AC33" i="12"/>
  <c r="AC34" i="12"/>
  <c r="AD33" i="12"/>
  <c r="AD34" i="12"/>
  <c r="AE33" i="12"/>
  <c r="AE34" i="12"/>
  <c r="AF33" i="12"/>
  <c r="AF34" i="12"/>
  <c r="AG33" i="12"/>
  <c r="AG34" i="12"/>
  <c r="AH33" i="12"/>
  <c r="AH34" i="12"/>
  <c r="AI33" i="12"/>
  <c r="AI34" i="12"/>
  <c r="AJ33" i="12"/>
  <c r="AJ34" i="12"/>
  <c r="AK33" i="12"/>
  <c r="AK34" i="12"/>
  <c r="AL33" i="12"/>
  <c r="AL34" i="12"/>
  <c r="AM33" i="12"/>
  <c r="AM34" i="12"/>
  <c r="AN33" i="12"/>
  <c r="AN34" i="12"/>
  <c r="AO33" i="12"/>
  <c r="AO34" i="12"/>
  <c r="AQ33" i="12"/>
  <c r="AQ34" i="12"/>
  <c r="AR33" i="12"/>
  <c r="AR34" i="12"/>
  <c r="AS33" i="12"/>
  <c r="AS34" i="12"/>
  <c r="AT33" i="12"/>
  <c r="AT34" i="12"/>
  <c r="AU33" i="12"/>
  <c r="AU34" i="12"/>
  <c r="AV33" i="12"/>
  <c r="AV34" i="12"/>
  <c r="AW33" i="12"/>
  <c r="AW34" i="12"/>
  <c r="AX33" i="12"/>
  <c r="AX34" i="12"/>
  <c r="AY33" i="12"/>
  <c r="AY34" i="12"/>
  <c r="BA33" i="12"/>
  <c r="BA34" i="12"/>
  <c r="BB33" i="12"/>
  <c r="BB34" i="12"/>
  <c r="BC33" i="12"/>
  <c r="BC34" i="12"/>
  <c r="BH33" i="12"/>
  <c r="BI86" i="12"/>
  <c r="BI85" i="12"/>
  <c r="BI84" i="12"/>
  <c r="BI83" i="12"/>
  <c r="BI82" i="12"/>
  <c r="BI81" i="12"/>
  <c r="BI63" i="12"/>
  <c r="BI62" i="12"/>
  <c r="BI61" i="12"/>
  <c r="BI60" i="12"/>
  <c r="BI40" i="12"/>
  <c r="BI39" i="12"/>
  <c r="BI36" i="12"/>
  <c r="BI35" i="12"/>
  <c r="Q11" i="15"/>
  <c r="O11" i="15"/>
  <c r="P11" i="15"/>
  <c r="K41" i="14"/>
  <c r="L41" i="14"/>
  <c r="M41" i="14"/>
  <c r="N41" i="14"/>
  <c r="S11" i="15"/>
  <c r="K47" i="14"/>
  <c r="K48" i="14"/>
  <c r="S59" i="20"/>
  <c r="T59" i="20"/>
  <c r="M43" i="20"/>
  <c r="N43" i="20"/>
  <c r="G57" i="20"/>
  <c r="H57" i="20"/>
  <c r="E57" i="20"/>
  <c r="F57" i="20"/>
  <c r="K57" i="20"/>
  <c r="L57" i="20"/>
  <c r="I57" i="20"/>
  <c r="J57" i="20"/>
  <c r="M57" i="20"/>
  <c r="N57" i="20"/>
  <c r="O57" i="20"/>
  <c r="P57" i="20"/>
  <c r="Q57" i="20"/>
  <c r="R57" i="20"/>
  <c r="S57" i="20"/>
  <c r="T57" i="20"/>
  <c r="M46" i="21"/>
  <c r="M52" i="21" s="1"/>
  <c r="E60" i="21"/>
  <c r="E66" i="21" s="1"/>
  <c r="G60" i="21"/>
  <c r="B46" i="21"/>
  <c r="B52" i="21" s="1"/>
  <c r="C46" i="21"/>
  <c r="C52" i="21" s="1"/>
  <c r="F46" i="21"/>
  <c r="F52" i="21" s="1"/>
  <c r="G46" i="21"/>
  <c r="G52" i="21" s="1"/>
  <c r="H46" i="21"/>
  <c r="H52" i="21" s="1"/>
  <c r="I46" i="21"/>
  <c r="I52" i="21" s="1"/>
  <c r="K46" i="21"/>
  <c r="K52" i="21" s="1"/>
  <c r="N46" i="21"/>
  <c r="N52" i="21" s="1"/>
  <c r="O46" i="21"/>
  <c r="O52" i="21" s="1"/>
  <c r="P46" i="21"/>
  <c r="P52" i="21" s="1"/>
  <c r="Q46" i="21"/>
  <c r="Y46" i="21"/>
  <c r="Y52" i="21" s="1"/>
  <c r="C41" i="15"/>
  <c r="D41" i="15"/>
  <c r="P41" i="15"/>
  <c r="P47" i="15" s="1"/>
  <c r="S41" i="15"/>
  <c r="S47" i="15" s="1"/>
  <c r="E55" i="15"/>
  <c r="F55" i="15"/>
  <c r="G55" i="15"/>
  <c r="H55" i="15"/>
  <c r="I55" i="15"/>
  <c r="J55" i="15"/>
  <c r="K55" i="15"/>
  <c r="L55" i="15"/>
  <c r="M55" i="15"/>
  <c r="N55" i="15"/>
  <c r="D50" i="17"/>
  <c r="D53" i="17" s="1"/>
  <c r="E50" i="17"/>
  <c r="E53" i="17" s="1"/>
  <c r="F50" i="17"/>
  <c r="G50" i="17"/>
  <c r="H50" i="17"/>
  <c r="I50" i="17"/>
  <c r="J50" i="17"/>
  <c r="K50" i="17"/>
  <c r="L50" i="17"/>
  <c r="M50" i="17"/>
  <c r="F51" i="17"/>
  <c r="G51" i="17"/>
  <c r="H51" i="17"/>
  <c r="I51" i="17"/>
  <c r="J51" i="17"/>
  <c r="K51" i="17"/>
  <c r="L51" i="17"/>
  <c r="M51" i="17"/>
  <c r="N51" i="17"/>
  <c r="O51" i="17"/>
  <c r="H52" i="17"/>
  <c r="I52" i="17"/>
  <c r="J52" i="17"/>
  <c r="K52" i="17"/>
  <c r="K53" i="17" s="1"/>
  <c r="L52" i="17"/>
  <c r="M52" i="17"/>
  <c r="N52" i="17"/>
  <c r="O52" i="17"/>
  <c r="P52" i="17"/>
  <c r="Q52" i="17"/>
  <c r="K53" i="19"/>
  <c r="L53" i="19"/>
  <c r="K54" i="19"/>
  <c r="L54" i="19"/>
  <c r="K55" i="19"/>
  <c r="L55" i="19"/>
  <c r="M53" i="19"/>
  <c r="N53" i="19"/>
  <c r="M54" i="19"/>
  <c r="N54" i="19"/>
  <c r="M55" i="19"/>
  <c r="N55" i="19"/>
  <c r="O53" i="19"/>
  <c r="P53" i="19"/>
  <c r="O54" i="19"/>
  <c r="P54" i="19"/>
  <c r="O55" i="19"/>
  <c r="P55" i="19"/>
  <c r="E53" i="19"/>
  <c r="F53" i="19"/>
  <c r="E54" i="19"/>
  <c r="F54" i="19"/>
  <c r="E55" i="19"/>
  <c r="F55" i="19"/>
  <c r="H53" i="19"/>
  <c r="I53" i="19"/>
  <c r="H54" i="19"/>
  <c r="I54" i="19"/>
  <c r="H55" i="19"/>
  <c r="I55" i="19"/>
  <c r="F43" i="20"/>
  <c r="H43" i="20"/>
  <c r="J43" i="20"/>
  <c r="L43" i="20"/>
  <c r="Q41" i="15"/>
  <c r="Q47" i="15" s="1"/>
  <c r="R41" i="15"/>
  <c r="R47" i="15" s="1"/>
  <c r="O41" i="15"/>
  <c r="O47" i="15" s="1"/>
  <c r="OF11" i="5"/>
  <c r="OF12" i="5" s="1"/>
  <c r="OG11" i="5"/>
  <c r="OG12" i="5" s="1"/>
  <c r="OF15" i="5"/>
  <c r="OG15" i="5"/>
  <c r="OF22" i="5"/>
  <c r="OF23" i="5" s="1"/>
  <c r="OG22" i="5"/>
  <c r="OG23" i="5" s="1"/>
  <c r="OF27" i="5"/>
  <c r="OF28" i="5" s="1"/>
  <c r="OG27" i="5"/>
  <c r="OG28" i="5" s="1"/>
  <c r="OG6" i="5"/>
  <c r="OF6" i="5"/>
  <c r="GG27" i="5"/>
  <c r="GG28" i="5" s="1"/>
  <c r="GH27" i="5"/>
  <c r="GH28" i="5" s="1"/>
  <c r="FM22" i="5"/>
  <c r="FM23" i="5" s="1"/>
  <c r="FL22" i="5"/>
  <c r="FL23" i="5" s="1"/>
  <c r="DY27" i="5"/>
  <c r="DY28" i="5" s="1"/>
  <c r="DX27" i="5"/>
  <c r="DX28" i="5" s="1"/>
  <c r="DG27" i="5"/>
  <c r="DG28" i="5" s="1"/>
  <c r="DF27" i="5"/>
  <c r="DF28" i="5" s="1"/>
  <c r="EZ27" i="5"/>
  <c r="EZ28" i="5" s="1"/>
  <c r="EY27" i="5"/>
  <c r="EY28" i="5" s="1"/>
  <c r="EQ27" i="5"/>
  <c r="EQ28" i="5" s="1"/>
  <c r="EP27" i="5"/>
  <c r="EP28" i="5" s="1"/>
  <c r="EH27" i="5"/>
  <c r="EH28" i="5" s="1"/>
  <c r="EG27" i="5"/>
  <c r="EG28" i="5" s="1"/>
  <c r="BV27" i="5"/>
  <c r="BV28" i="5" s="1"/>
  <c r="BW27" i="5"/>
  <c r="BW28" i="5" s="1"/>
  <c r="BX27" i="5"/>
  <c r="BX28" i="5" s="1"/>
  <c r="BY27" i="5"/>
  <c r="BY28" i="5" s="1"/>
  <c r="BZ27" i="5"/>
  <c r="BZ28" i="5" s="1"/>
  <c r="CA27" i="5"/>
  <c r="CA28" i="5" s="1"/>
  <c r="CB27" i="5"/>
  <c r="CB28" i="5" s="1"/>
  <c r="CC27" i="5"/>
  <c r="CC28" i="5" s="1"/>
  <c r="CD27" i="5"/>
  <c r="CD28" i="5" s="1"/>
  <c r="CE27" i="5"/>
  <c r="CE28" i="5" s="1"/>
  <c r="CF27" i="5"/>
  <c r="CF28" i="5" s="1"/>
  <c r="CG27" i="5"/>
  <c r="CG28" i="5" s="1"/>
  <c r="CH27" i="5"/>
  <c r="CH28" i="5" s="1"/>
  <c r="CI27" i="5"/>
  <c r="CI28" i="5" s="1"/>
  <c r="BT27" i="5"/>
  <c r="BT28" i="5" s="1"/>
  <c r="BS27" i="5"/>
  <c r="BS28" i="5" s="1"/>
  <c r="BG27" i="5"/>
  <c r="BG28" i="5" s="1"/>
  <c r="BF27" i="5"/>
  <c r="BF28" i="5" s="1"/>
  <c r="AT27" i="5"/>
  <c r="AT28" i="5" s="1"/>
  <c r="AS27" i="5"/>
  <c r="AS28" i="5" s="1"/>
  <c r="AG27" i="5"/>
  <c r="AG28" i="5" s="1"/>
  <c r="AF27" i="5"/>
  <c r="AF28" i="5" s="1"/>
  <c r="E56" i="14" l="1"/>
  <c r="F56" i="14"/>
  <c r="KV27" i="5"/>
  <c r="KV28" i="5" s="1"/>
  <c r="OF16" i="5"/>
  <c r="BD38" i="12"/>
  <c r="D38" i="12"/>
  <c r="OG16" i="5"/>
  <c r="E38" i="12"/>
  <c r="BD37" i="12"/>
  <c r="KV16" i="5"/>
  <c r="KV17" i="5" s="1"/>
  <c r="AA38" i="12"/>
  <c r="KW43" i="5"/>
  <c r="GH41" i="5"/>
  <c r="GG41" i="5"/>
  <c r="T114" i="17"/>
  <c r="G53" i="17"/>
  <c r="M53" i="17"/>
  <c r="PO17" i="5"/>
  <c r="PO41" i="5" s="1"/>
  <c r="OG9" i="5"/>
  <c r="OG43" i="5" s="1"/>
  <c r="OF9" i="5"/>
  <c r="OF43" i="5" s="1"/>
  <c r="KW17" i="5"/>
  <c r="KW41" i="5" s="1"/>
  <c r="L56" i="18"/>
  <c r="K55" i="18"/>
  <c r="J54" i="18"/>
  <c r="K56" i="18"/>
  <c r="J55" i="18"/>
  <c r="J56" i="18"/>
  <c r="L54" i="18"/>
  <c r="L55" i="18"/>
  <c r="K54" i="18"/>
  <c r="K43" i="20"/>
  <c r="I43" i="20"/>
  <c r="G43" i="20"/>
  <c r="E43" i="20"/>
  <c r="L53" i="17"/>
  <c r="O53" i="17"/>
  <c r="S51" i="17"/>
  <c r="I53" i="17"/>
  <c r="H56" i="19"/>
  <c r="N53" i="17"/>
  <c r="Q53" i="19"/>
  <c r="K56" i="19"/>
  <c r="J53" i="17"/>
  <c r="H53" i="17"/>
  <c r="F53" i="17"/>
  <c r="F47" i="13"/>
  <c r="J54" i="19"/>
  <c r="G53" i="19"/>
  <c r="R54" i="19"/>
  <c r="N56" i="19"/>
  <c r="R51" i="17"/>
  <c r="O55" i="15"/>
  <c r="P55" i="15"/>
  <c r="G48" i="14"/>
  <c r="G46" i="14"/>
  <c r="O56" i="19"/>
  <c r="Q55" i="19"/>
  <c r="M59" i="20"/>
  <c r="M63" i="20" s="1"/>
  <c r="M27" i="20"/>
  <c r="K59" i="20"/>
  <c r="K63" i="20" s="1"/>
  <c r="K27" i="20"/>
  <c r="G27" i="20"/>
  <c r="G59" i="20"/>
  <c r="G63" i="20" s="1"/>
  <c r="L45" i="20"/>
  <c r="L49" i="20" s="1"/>
  <c r="L12" i="20"/>
  <c r="I18" i="19"/>
  <c r="I61" i="19"/>
  <c r="P18" i="19"/>
  <c r="P61" i="19"/>
  <c r="L20" i="19"/>
  <c r="L63" i="19"/>
  <c r="J64" i="18"/>
  <c r="J21" i="18"/>
  <c r="P19" i="17"/>
  <c r="P60" i="17"/>
  <c r="P76" i="17" s="1"/>
  <c r="H60" i="17"/>
  <c r="H76" i="17" s="1"/>
  <c r="H19" i="17"/>
  <c r="L59" i="17"/>
  <c r="L75" i="17" s="1"/>
  <c r="L18" i="17"/>
  <c r="L58" i="17"/>
  <c r="L74" i="17" s="1"/>
  <c r="L17" i="17"/>
  <c r="D58" i="17"/>
  <c r="D74" i="17" s="1"/>
  <c r="D17" i="17"/>
  <c r="G57" i="15"/>
  <c r="G61" i="15" s="1"/>
  <c r="G26" i="15"/>
  <c r="G55" i="19"/>
  <c r="F56" i="19"/>
  <c r="Q52" i="21"/>
  <c r="T46" i="21"/>
  <c r="T52" i="21" s="1"/>
  <c r="D57" i="20"/>
  <c r="V57" i="20" s="1"/>
  <c r="P59" i="20"/>
  <c r="P63" i="20" s="1"/>
  <c r="P27" i="20"/>
  <c r="F27" i="20"/>
  <c r="F59" i="20"/>
  <c r="F63" i="20" s="1"/>
  <c r="D27" i="20"/>
  <c r="D59" i="20"/>
  <c r="G45" i="20"/>
  <c r="G12" i="20"/>
  <c r="E62" i="19"/>
  <c r="E78" i="19" s="1"/>
  <c r="E19" i="19"/>
  <c r="O61" i="19"/>
  <c r="O18" i="19"/>
  <c r="M62" i="19"/>
  <c r="M78" i="19" s="1"/>
  <c r="M19" i="19"/>
  <c r="K61" i="19"/>
  <c r="K77" i="19" s="1"/>
  <c r="K18" i="19"/>
  <c r="K62" i="18"/>
  <c r="K19" i="18"/>
  <c r="K60" i="17"/>
  <c r="K76" i="17" s="1"/>
  <c r="K19" i="17"/>
  <c r="K59" i="17"/>
  <c r="K75" i="17" s="1"/>
  <c r="K18" i="17"/>
  <c r="K58" i="17"/>
  <c r="K74" i="17" s="1"/>
  <c r="K17" i="17"/>
  <c r="G58" i="17"/>
  <c r="G74" i="17" s="1"/>
  <c r="G17" i="17"/>
  <c r="N26" i="15"/>
  <c r="N57" i="15"/>
  <c r="F57" i="15"/>
  <c r="F61" i="15" s="1"/>
  <c r="F26" i="15"/>
  <c r="C11" i="15"/>
  <c r="C43" i="15"/>
  <c r="C47" i="15" s="1"/>
  <c r="E56" i="19"/>
  <c r="Q54" i="19"/>
  <c r="M56" i="19"/>
  <c r="S52" i="17"/>
  <c r="Q53" i="17"/>
  <c r="S50" i="17"/>
  <c r="U57" i="20"/>
  <c r="S63" i="20"/>
  <c r="O27" i="20"/>
  <c r="O59" i="20"/>
  <c r="O63" i="20" s="1"/>
  <c r="I59" i="20"/>
  <c r="I63" i="20" s="1"/>
  <c r="I27" i="20"/>
  <c r="E59" i="20"/>
  <c r="E63" i="20" s="1"/>
  <c r="E27" i="20"/>
  <c r="C59" i="20"/>
  <c r="C63" i="20" s="1"/>
  <c r="C27" i="20"/>
  <c r="N11" i="20"/>
  <c r="P11" i="20" s="1"/>
  <c r="Q11" i="20" s="1"/>
  <c r="N45" i="20"/>
  <c r="N12" i="20"/>
  <c r="J45" i="20"/>
  <c r="J49" i="20" s="1"/>
  <c r="J12" i="20"/>
  <c r="F12" i="20"/>
  <c r="F45" i="20"/>
  <c r="F49" i="20" s="1"/>
  <c r="I62" i="19"/>
  <c r="I19" i="19"/>
  <c r="F63" i="19"/>
  <c r="F20" i="19"/>
  <c r="F18" i="19"/>
  <c r="F61" i="19"/>
  <c r="P19" i="19"/>
  <c r="P62" i="19"/>
  <c r="N20" i="19"/>
  <c r="N63" i="19"/>
  <c r="N61" i="19"/>
  <c r="N77" i="19" s="1"/>
  <c r="N18" i="19"/>
  <c r="L62" i="19"/>
  <c r="L78" i="19" s="1"/>
  <c r="L19" i="19"/>
  <c r="L64" i="18"/>
  <c r="L21" i="18"/>
  <c r="K63" i="18"/>
  <c r="K20" i="18"/>
  <c r="J62" i="18"/>
  <c r="J19" i="18"/>
  <c r="N60" i="17"/>
  <c r="N76" i="17" s="1"/>
  <c r="N19" i="17"/>
  <c r="J60" i="17"/>
  <c r="J76" i="17" s="1"/>
  <c r="J19" i="17"/>
  <c r="N59" i="17"/>
  <c r="N75" i="17" s="1"/>
  <c r="N18" i="17"/>
  <c r="J59" i="17"/>
  <c r="J75" i="17" s="1"/>
  <c r="J18" i="17"/>
  <c r="F59" i="17"/>
  <c r="F75" i="17" s="1"/>
  <c r="F18" i="17"/>
  <c r="J58" i="17"/>
  <c r="J74" i="17" s="1"/>
  <c r="J17" i="17"/>
  <c r="F58" i="17"/>
  <c r="F74" i="17" s="1"/>
  <c r="F17" i="17"/>
  <c r="M57" i="15"/>
  <c r="M26" i="15"/>
  <c r="I57" i="15"/>
  <c r="I61" i="15" s="1"/>
  <c r="I26" i="15"/>
  <c r="E57" i="15"/>
  <c r="E61" i="15" s="1"/>
  <c r="E26" i="15"/>
  <c r="G53" i="14"/>
  <c r="V46" i="21"/>
  <c r="V52" i="21" s="1"/>
  <c r="G66" i="21"/>
  <c r="I66" i="21" s="1"/>
  <c r="I60" i="21"/>
  <c r="Q59" i="20"/>
  <c r="Q63" i="20" s="1"/>
  <c r="Q27" i="20"/>
  <c r="H45" i="20"/>
  <c r="H49" i="20" s="1"/>
  <c r="H12" i="20"/>
  <c r="I63" i="19"/>
  <c r="I20" i="19"/>
  <c r="F19" i="19"/>
  <c r="F62" i="19"/>
  <c r="P63" i="19"/>
  <c r="P20" i="19"/>
  <c r="N19" i="19"/>
  <c r="N62" i="19"/>
  <c r="N78" i="19" s="1"/>
  <c r="L61" i="19"/>
  <c r="L77" i="19" s="1"/>
  <c r="L18" i="19"/>
  <c r="L62" i="18"/>
  <c r="L78" i="18" s="1"/>
  <c r="L19" i="18"/>
  <c r="L60" i="17"/>
  <c r="L76" i="17" s="1"/>
  <c r="L19" i="17"/>
  <c r="H18" i="17"/>
  <c r="H59" i="17"/>
  <c r="H75" i="17" s="1"/>
  <c r="H58" i="17"/>
  <c r="H74" i="17" s="1"/>
  <c r="H17" i="17"/>
  <c r="K57" i="15"/>
  <c r="K61" i="15" s="1"/>
  <c r="K26" i="15"/>
  <c r="D43" i="15"/>
  <c r="D47" i="15" s="1"/>
  <c r="D11" i="15"/>
  <c r="P43" i="20"/>
  <c r="T63" i="20"/>
  <c r="J27" i="20"/>
  <c r="J59" i="20"/>
  <c r="J63" i="20" s="1"/>
  <c r="K12" i="20"/>
  <c r="K45" i="20"/>
  <c r="H63" i="19"/>
  <c r="H20" i="19"/>
  <c r="H61" i="19"/>
  <c r="H77" i="19" s="1"/>
  <c r="H18" i="19"/>
  <c r="O63" i="19"/>
  <c r="O20" i="19"/>
  <c r="K63" i="19"/>
  <c r="K20" i="19"/>
  <c r="L63" i="18"/>
  <c r="L20" i="18"/>
  <c r="O60" i="17"/>
  <c r="O76" i="17" s="1"/>
  <c r="O19" i="17"/>
  <c r="O59" i="17"/>
  <c r="O75" i="17" s="1"/>
  <c r="O18" i="17"/>
  <c r="G59" i="17"/>
  <c r="G75" i="17" s="1"/>
  <c r="G18" i="17"/>
  <c r="J57" i="15"/>
  <c r="J61" i="15" s="1"/>
  <c r="J26" i="15"/>
  <c r="I56" i="19"/>
  <c r="J55" i="19"/>
  <c r="J53" i="19"/>
  <c r="G54" i="19"/>
  <c r="R55" i="19"/>
  <c r="P56" i="19"/>
  <c r="R53" i="19"/>
  <c r="L56" i="19"/>
  <c r="P53" i="17"/>
  <c r="R52" i="17"/>
  <c r="R50" i="17"/>
  <c r="K48" i="13"/>
  <c r="R27" i="20"/>
  <c r="R32" i="20" s="1"/>
  <c r="R59" i="20"/>
  <c r="R63" i="20" s="1"/>
  <c r="N27" i="20"/>
  <c r="N59" i="20"/>
  <c r="N63" i="20" s="1"/>
  <c r="L27" i="20"/>
  <c r="L59" i="20"/>
  <c r="L63" i="20" s="1"/>
  <c r="H59" i="20"/>
  <c r="H63" i="20" s="1"/>
  <c r="H27" i="20"/>
  <c r="K49" i="14"/>
  <c r="M12" i="20"/>
  <c r="M45" i="20"/>
  <c r="I12" i="20"/>
  <c r="I45" i="20"/>
  <c r="E12" i="20"/>
  <c r="E45" i="20"/>
  <c r="H62" i="19"/>
  <c r="H78" i="19" s="1"/>
  <c r="H19" i="19"/>
  <c r="E63" i="19"/>
  <c r="E20" i="19"/>
  <c r="E61" i="19"/>
  <c r="E77" i="19" s="1"/>
  <c r="E18" i="19"/>
  <c r="O62" i="19"/>
  <c r="O19" i="19"/>
  <c r="M63" i="19"/>
  <c r="M20" i="19"/>
  <c r="M61" i="19"/>
  <c r="M77" i="19" s="1"/>
  <c r="M18" i="19"/>
  <c r="K62" i="19"/>
  <c r="K78" i="19" s="1"/>
  <c r="K19" i="19"/>
  <c r="K64" i="18"/>
  <c r="K80" i="18" s="1"/>
  <c r="K21" i="18"/>
  <c r="J63" i="18"/>
  <c r="J20" i="18"/>
  <c r="Q60" i="17"/>
  <c r="Q76" i="17" s="1"/>
  <c r="Q19" i="17"/>
  <c r="M60" i="17"/>
  <c r="M76" i="17" s="1"/>
  <c r="M19" i="17"/>
  <c r="I60" i="17"/>
  <c r="I76" i="17" s="1"/>
  <c r="I19" i="17"/>
  <c r="M59" i="17"/>
  <c r="M75" i="17" s="1"/>
  <c r="M18" i="17"/>
  <c r="I59" i="17"/>
  <c r="I75" i="17" s="1"/>
  <c r="I18" i="17"/>
  <c r="M58" i="17"/>
  <c r="M74" i="17" s="1"/>
  <c r="M17" i="17"/>
  <c r="I58" i="17"/>
  <c r="I74" i="17" s="1"/>
  <c r="I17" i="17"/>
  <c r="E58" i="17"/>
  <c r="E74" i="17" s="1"/>
  <c r="E17" i="17"/>
  <c r="L26" i="15"/>
  <c r="L57" i="15"/>
  <c r="L61" i="15" s="1"/>
  <c r="H26" i="15"/>
  <c r="H57" i="15"/>
  <c r="H61" i="15" s="1"/>
  <c r="G51" i="14"/>
  <c r="G49" i="14"/>
  <c r="G47" i="14"/>
  <c r="G50" i="14"/>
  <c r="E47" i="13"/>
  <c r="F43" i="13"/>
  <c r="Y110" i="21"/>
  <c r="Y116" i="21" s="1"/>
  <c r="G124" i="21"/>
  <c r="H119" i="20"/>
  <c r="H125" i="20" s="1"/>
  <c r="F120" i="13"/>
  <c r="G120" i="13" s="1"/>
  <c r="F118" i="13"/>
  <c r="F116" i="13"/>
  <c r="H131" i="19"/>
  <c r="E130" i="19"/>
  <c r="E154" i="19" s="1"/>
  <c r="O131" i="19"/>
  <c r="O129" i="19"/>
  <c r="K129" i="19"/>
  <c r="K153" i="19" s="1"/>
  <c r="N116" i="15"/>
  <c r="M109" i="13"/>
  <c r="O102" i="15"/>
  <c r="O108" i="15" s="1"/>
  <c r="C102" i="15"/>
  <c r="C34" i="21"/>
  <c r="BD79" i="12"/>
  <c r="BD91" i="12" s="1"/>
  <c r="BB79" i="12"/>
  <c r="BB91" i="12" s="1"/>
  <c r="AX79" i="12"/>
  <c r="AX91" i="12" s="1"/>
  <c r="AT79" i="12"/>
  <c r="AT91" i="12" s="1"/>
  <c r="AP79" i="12"/>
  <c r="AP91" i="12" s="1"/>
  <c r="AL79" i="12"/>
  <c r="AL91" i="12" s="1"/>
  <c r="AH79" i="12"/>
  <c r="AH91" i="12" s="1"/>
  <c r="AD79" i="12"/>
  <c r="AD91" i="12" s="1"/>
  <c r="X79" i="12"/>
  <c r="X91" i="12" s="1"/>
  <c r="T79" i="12"/>
  <c r="T91" i="12" s="1"/>
  <c r="P79" i="12"/>
  <c r="P91" i="12" s="1"/>
  <c r="L79" i="12"/>
  <c r="L91" i="12" s="1"/>
  <c r="H79" i="12"/>
  <c r="D79" i="12"/>
  <c r="D91" i="12" s="1"/>
  <c r="F52" i="13"/>
  <c r="F48" i="13"/>
  <c r="AU13" i="12"/>
  <c r="B42" i="13"/>
  <c r="U110" i="21"/>
  <c r="U116" i="21" s="1"/>
  <c r="K110" i="21"/>
  <c r="K116" i="21" s="1"/>
  <c r="T119" i="20"/>
  <c r="J119" i="20"/>
  <c r="J125" i="20" s="1"/>
  <c r="F119" i="20"/>
  <c r="F125" i="20" s="1"/>
  <c r="K13" i="14"/>
  <c r="K115" i="13"/>
  <c r="F119" i="13"/>
  <c r="F115" i="13"/>
  <c r="H130" i="19"/>
  <c r="H154" i="19" s="1"/>
  <c r="K130" i="19"/>
  <c r="K154" i="19" s="1"/>
  <c r="Q126" i="17"/>
  <c r="S102" i="15"/>
  <c r="L42" i="13"/>
  <c r="BD34" i="12"/>
  <c r="BC79" i="12"/>
  <c r="BC91" i="12" s="1"/>
  <c r="BA79" i="12"/>
  <c r="BA91" i="12" s="1"/>
  <c r="AY79" i="12"/>
  <c r="AY91" i="12" s="1"/>
  <c r="AW79" i="12"/>
  <c r="AW91" i="12" s="1"/>
  <c r="AU79" i="12"/>
  <c r="AU91" i="12" s="1"/>
  <c r="AS79" i="12"/>
  <c r="AS91" i="12" s="1"/>
  <c r="AQ79" i="12"/>
  <c r="AQ91" i="12" s="1"/>
  <c r="AO79" i="12"/>
  <c r="AO91" i="12" s="1"/>
  <c r="AM79" i="12"/>
  <c r="AM91" i="12" s="1"/>
  <c r="AK79" i="12"/>
  <c r="AK91" i="12" s="1"/>
  <c r="AI79" i="12"/>
  <c r="AI91" i="12" s="1"/>
  <c r="AG79" i="12"/>
  <c r="AG91" i="12" s="1"/>
  <c r="AE79" i="12"/>
  <c r="AE91" i="12" s="1"/>
  <c r="AC79" i="12"/>
  <c r="AC91" i="12" s="1"/>
  <c r="AA79" i="12"/>
  <c r="AA91" i="12" s="1"/>
  <c r="Y79" i="12"/>
  <c r="Y91" i="12" s="1"/>
  <c r="W79" i="12"/>
  <c r="W91" i="12" s="1"/>
  <c r="U79" i="12"/>
  <c r="U91" i="12" s="1"/>
  <c r="S79" i="12"/>
  <c r="S91" i="12" s="1"/>
  <c r="Q79" i="12"/>
  <c r="Q91" i="12" s="1"/>
  <c r="O79" i="12"/>
  <c r="O91" i="12" s="1"/>
  <c r="M79" i="12"/>
  <c r="M91" i="12" s="1"/>
  <c r="I79" i="12"/>
  <c r="I91" i="12" s="1"/>
  <c r="G79" i="12"/>
  <c r="G91" i="12" s="1"/>
  <c r="E79" i="12"/>
  <c r="E91" i="12" s="1"/>
  <c r="E114" i="13"/>
  <c r="F53" i="13"/>
  <c r="G53" i="13" s="1"/>
  <c r="F51" i="13"/>
  <c r="F49" i="13"/>
  <c r="AT13" i="12"/>
  <c r="L13" i="12"/>
  <c r="H13" i="12"/>
  <c r="E109" i="13"/>
  <c r="B109" i="13"/>
  <c r="C42" i="13"/>
  <c r="F110" i="21"/>
  <c r="F116" i="21" s="1"/>
  <c r="D110" i="21"/>
  <c r="D116" i="21" s="1"/>
  <c r="L119" i="20"/>
  <c r="L125" i="20" s="1"/>
  <c r="F114" i="13"/>
  <c r="K105" i="20"/>
  <c r="K111" i="20" s="1"/>
  <c r="M130" i="19"/>
  <c r="M154" i="19" s="1"/>
  <c r="N42" i="13"/>
  <c r="AZ79" i="12"/>
  <c r="AZ91" i="12" s="1"/>
  <c r="AV79" i="12"/>
  <c r="AV91" i="12" s="1"/>
  <c r="AR79" i="12"/>
  <c r="AR91" i="12" s="1"/>
  <c r="AN79" i="12"/>
  <c r="AN91" i="12" s="1"/>
  <c r="AJ79" i="12"/>
  <c r="AJ91" i="12" s="1"/>
  <c r="AF79" i="12"/>
  <c r="AF91" i="12" s="1"/>
  <c r="AB79" i="12"/>
  <c r="AB91" i="12" s="1"/>
  <c r="Z79" i="12"/>
  <c r="Z91" i="12" s="1"/>
  <c r="V79" i="12"/>
  <c r="V91" i="12" s="1"/>
  <c r="R79" i="12"/>
  <c r="R91" i="12" s="1"/>
  <c r="N79" i="12"/>
  <c r="N91" i="12" s="1"/>
  <c r="F79" i="12"/>
  <c r="F91" i="12" s="1"/>
  <c r="F54" i="13"/>
  <c r="F50" i="13"/>
  <c r="AS13" i="12"/>
  <c r="AQ13" i="12"/>
  <c r="C109" i="13"/>
  <c r="V110" i="21"/>
  <c r="V116" i="21" s="1"/>
  <c r="S110" i="21"/>
  <c r="N110" i="21"/>
  <c r="N116" i="21" s="1"/>
  <c r="E124" i="21"/>
  <c r="E130" i="21" s="1"/>
  <c r="I130" i="21" s="1"/>
  <c r="Q119" i="20"/>
  <c r="Q125" i="20" s="1"/>
  <c r="K119" i="20"/>
  <c r="K125" i="20" s="1"/>
  <c r="G119" i="20"/>
  <c r="G125" i="20" s="1"/>
  <c r="K116" i="13"/>
  <c r="E118" i="13"/>
  <c r="E116" i="13"/>
  <c r="N105" i="20"/>
  <c r="F131" i="19"/>
  <c r="F129" i="19"/>
  <c r="P130" i="19"/>
  <c r="N129" i="19"/>
  <c r="N153" i="19" s="1"/>
  <c r="L134" i="18"/>
  <c r="M116" i="15"/>
  <c r="M122" i="15" s="1"/>
  <c r="L109" i="13"/>
  <c r="R102" i="15"/>
  <c r="R108" i="15" s="1"/>
  <c r="M42" i="13"/>
  <c r="BH80" i="12"/>
  <c r="BH92" i="12" s="1"/>
  <c r="BH93" i="12" s="1"/>
  <c r="BC80" i="12"/>
  <c r="BC92" i="12" s="1"/>
  <c r="BA80" i="12"/>
  <c r="BA92" i="12" s="1"/>
  <c r="AY80" i="12"/>
  <c r="AY92" i="12" s="1"/>
  <c r="AW80" i="12"/>
  <c r="AW92" i="12" s="1"/>
  <c r="AU80" i="12"/>
  <c r="AU92" i="12" s="1"/>
  <c r="AS80" i="12"/>
  <c r="AS92" i="12" s="1"/>
  <c r="AQ80" i="12"/>
  <c r="AQ92" i="12" s="1"/>
  <c r="AO80" i="12"/>
  <c r="AO92" i="12" s="1"/>
  <c r="AM80" i="12"/>
  <c r="AM92" i="12" s="1"/>
  <c r="AK80" i="12"/>
  <c r="AK92" i="12" s="1"/>
  <c r="AI80" i="12"/>
  <c r="AI92" i="12" s="1"/>
  <c r="AG80" i="12"/>
  <c r="AG92" i="12" s="1"/>
  <c r="AE80" i="12"/>
  <c r="AE92" i="12" s="1"/>
  <c r="AC80" i="12"/>
  <c r="AC92" i="12" s="1"/>
  <c r="AA80" i="12"/>
  <c r="AA92" i="12" s="1"/>
  <c r="Y80" i="12"/>
  <c r="Y92" i="12" s="1"/>
  <c r="W80" i="12"/>
  <c r="W92" i="12" s="1"/>
  <c r="U80" i="12"/>
  <c r="U92" i="12" s="1"/>
  <c r="S80" i="12"/>
  <c r="S92" i="12" s="1"/>
  <c r="Q80" i="12"/>
  <c r="Q92" i="12" s="1"/>
  <c r="O80" i="12"/>
  <c r="O92" i="12" s="1"/>
  <c r="M80" i="12"/>
  <c r="M92" i="12" s="1"/>
  <c r="K80" i="12"/>
  <c r="K92" i="12" s="1"/>
  <c r="I80" i="12"/>
  <c r="I92" i="12" s="1"/>
  <c r="G80" i="12"/>
  <c r="G92" i="12" s="1"/>
  <c r="C80" i="12"/>
  <c r="C92" i="12" s="1"/>
  <c r="E52" i="13"/>
  <c r="E50" i="13"/>
  <c r="E48" i="13"/>
  <c r="F110" i="13"/>
  <c r="Q110" i="21"/>
  <c r="Q116" i="21" s="1"/>
  <c r="C110" i="21"/>
  <c r="C116" i="21" s="1"/>
  <c r="P119" i="20"/>
  <c r="P125" i="20" s="1"/>
  <c r="F121" i="13"/>
  <c r="F117" i="13"/>
  <c r="I105" i="20"/>
  <c r="I111" i="20" s="1"/>
  <c r="M129" i="19"/>
  <c r="M153" i="19" s="1"/>
  <c r="K109" i="13"/>
  <c r="Q102" i="15"/>
  <c r="Q108" i="15" s="1"/>
  <c r="P110" i="21"/>
  <c r="P116" i="21" s="1"/>
  <c r="I110" i="21"/>
  <c r="I116" i="21" s="1"/>
  <c r="B110" i="21"/>
  <c r="B116" i="21" s="1"/>
  <c r="L110" i="21"/>
  <c r="L116" i="21" s="1"/>
  <c r="S119" i="20"/>
  <c r="I119" i="20"/>
  <c r="I125" i="20" s="1"/>
  <c r="E119" i="20"/>
  <c r="E125" i="20" s="1"/>
  <c r="E121" i="13"/>
  <c r="E119" i="13"/>
  <c r="E117" i="13"/>
  <c r="E115" i="13"/>
  <c r="L124" i="17"/>
  <c r="N109" i="13"/>
  <c r="D102" i="15"/>
  <c r="D108" i="15" s="1"/>
  <c r="K49" i="13"/>
  <c r="K42" i="13"/>
  <c r="BD33" i="12"/>
  <c r="BD80" i="12"/>
  <c r="BD92" i="12" s="1"/>
  <c r="BB80" i="12"/>
  <c r="BB92" i="12" s="1"/>
  <c r="AZ80" i="12"/>
  <c r="AZ92" i="12" s="1"/>
  <c r="AX80" i="12"/>
  <c r="AX92" i="12" s="1"/>
  <c r="AV80" i="12"/>
  <c r="AV92" i="12" s="1"/>
  <c r="AT80" i="12"/>
  <c r="AT92" i="12" s="1"/>
  <c r="AR80" i="12"/>
  <c r="AR92" i="12" s="1"/>
  <c r="AP80" i="12"/>
  <c r="AP92" i="12" s="1"/>
  <c r="AN80" i="12"/>
  <c r="AN92" i="12" s="1"/>
  <c r="AL80" i="12"/>
  <c r="AL92" i="12" s="1"/>
  <c r="AJ80" i="12"/>
  <c r="AJ92" i="12" s="1"/>
  <c r="AH80" i="12"/>
  <c r="AH92" i="12" s="1"/>
  <c r="AF80" i="12"/>
  <c r="AF92" i="12" s="1"/>
  <c r="AD80" i="12"/>
  <c r="AD92" i="12" s="1"/>
  <c r="AB80" i="12"/>
  <c r="AB92" i="12" s="1"/>
  <c r="Z80" i="12"/>
  <c r="Z92" i="12" s="1"/>
  <c r="V80" i="12"/>
  <c r="V92" i="12" s="1"/>
  <c r="R80" i="12"/>
  <c r="R92" i="12" s="1"/>
  <c r="N80" i="12"/>
  <c r="N92" i="12" s="1"/>
  <c r="L80" i="12"/>
  <c r="L92" i="12" s="1"/>
  <c r="J80" i="12"/>
  <c r="J92" i="12" s="1"/>
  <c r="H80" i="12"/>
  <c r="H92" i="12" s="1"/>
  <c r="F80" i="12"/>
  <c r="F92" i="12" s="1"/>
  <c r="E51" i="13"/>
  <c r="E49" i="13"/>
  <c r="C13" i="12"/>
  <c r="J134" i="18"/>
  <c r="L133" i="18"/>
  <c r="K132" i="18"/>
  <c r="K156" i="18" s="1"/>
  <c r="K133" i="18"/>
  <c r="K157" i="18" s="1"/>
  <c r="J132" i="18"/>
  <c r="J156" i="18" s="1"/>
  <c r="M126" i="17"/>
  <c r="L126" i="17"/>
  <c r="N126" i="17"/>
  <c r="J126" i="17"/>
  <c r="N125" i="17"/>
  <c r="N149" i="17" s="1"/>
  <c r="J125" i="17"/>
  <c r="J149" i="17" s="1"/>
  <c r="M125" i="17"/>
  <c r="M149" i="17" s="1"/>
  <c r="I125" i="17"/>
  <c r="I149" i="17" s="1"/>
  <c r="J124" i="17"/>
  <c r="J148" i="17" s="1"/>
  <c r="E124" i="17"/>
  <c r="K124" i="17"/>
  <c r="K148" i="17" s="1"/>
  <c r="G124" i="17"/>
  <c r="G148" i="17" s="1"/>
  <c r="H116" i="15"/>
  <c r="H122" i="15" s="1"/>
  <c r="K116" i="15"/>
  <c r="E116" i="15"/>
  <c r="E122" i="15" s="1"/>
  <c r="AZ34" i="12"/>
  <c r="AZ33" i="12"/>
  <c r="AP34" i="12"/>
  <c r="AP33" i="12"/>
  <c r="AB34" i="12"/>
  <c r="AA34" i="12"/>
  <c r="AA33" i="12"/>
  <c r="BH34" i="12"/>
  <c r="LR22" i="5"/>
  <c r="LR23" i="5" s="1"/>
  <c r="AL13" i="12"/>
  <c r="F12" i="12"/>
  <c r="BB12" i="12"/>
  <c r="AT12" i="12"/>
  <c r="AR12" i="12"/>
  <c r="AP12" i="12"/>
  <c r="AL12" i="12"/>
  <c r="AB12" i="12"/>
  <c r="N12" i="12"/>
  <c r="H12" i="12"/>
  <c r="AB13" i="12"/>
  <c r="D12" i="12"/>
  <c r="AW13" i="12"/>
  <c r="AE13" i="12"/>
  <c r="E12" i="12"/>
  <c r="C12" i="12"/>
  <c r="AR13" i="12"/>
  <c r="AU12" i="12"/>
  <c r="AS12" i="12"/>
  <c r="AQ12" i="12"/>
  <c r="AE12" i="12"/>
  <c r="AC12" i="12"/>
  <c r="AA12" i="12"/>
  <c r="K12" i="12"/>
  <c r="G12" i="12"/>
  <c r="LQ22" i="5"/>
  <c r="LQ23" i="5" s="1"/>
  <c r="GI27" i="5"/>
  <c r="GI28" i="5" s="1"/>
  <c r="LR27" i="5"/>
  <c r="LR28" i="5" s="1"/>
  <c r="BD68" i="12"/>
  <c r="AU69" i="12"/>
  <c r="AM69" i="12"/>
  <c r="AK69" i="12"/>
  <c r="AI69" i="12"/>
  <c r="AG69" i="12"/>
  <c r="AE69" i="12"/>
  <c r="AC69" i="12"/>
  <c r="AA69" i="12"/>
  <c r="GI22" i="5"/>
  <c r="GI23" i="5" s="1"/>
  <c r="OH22" i="5"/>
  <c r="OH23" i="5" s="1"/>
  <c r="OH27" i="5"/>
  <c r="OH28" i="5" s="1"/>
  <c r="BH56" i="12"/>
  <c r="BI56" i="12" s="1"/>
  <c r="BH12" i="12"/>
  <c r="AV69" i="12"/>
  <c r="AN69" i="12"/>
  <c r="AL69" i="12"/>
  <c r="AJ69" i="12"/>
  <c r="AH69" i="12"/>
  <c r="AF69" i="12"/>
  <c r="AD69" i="12"/>
  <c r="AB69" i="12"/>
  <c r="AY12" i="12"/>
  <c r="AO12" i="12"/>
  <c r="AK12" i="12"/>
  <c r="AG12" i="12"/>
  <c r="Y12" i="12"/>
  <c r="U12" i="12"/>
  <c r="Q12" i="12"/>
  <c r="M12" i="12"/>
  <c r="I12" i="12"/>
  <c r="DZ27" i="5"/>
  <c r="DZ28" i="5" s="1"/>
  <c r="BC12" i="12"/>
  <c r="AX37" i="12"/>
  <c r="AX45" i="12" s="1"/>
  <c r="AM12" i="12"/>
  <c r="AI12" i="12"/>
  <c r="W12" i="12"/>
  <c r="S12" i="12"/>
  <c r="O12" i="12"/>
  <c r="BH13" i="12"/>
  <c r="BC13" i="12"/>
  <c r="BA13" i="12"/>
  <c r="AY13" i="12"/>
  <c r="AO13" i="12"/>
  <c r="AM13" i="12"/>
  <c r="AK13" i="12"/>
  <c r="AI13" i="12"/>
  <c r="AG13" i="12"/>
  <c r="AC13" i="12"/>
  <c r="Y13" i="12"/>
  <c r="W13" i="12"/>
  <c r="U13" i="12"/>
  <c r="S13" i="12"/>
  <c r="Q13" i="12"/>
  <c r="O13" i="12"/>
  <c r="M13" i="12"/>
  <c r="K13" i="12"/>
  <c r="I13" i="12"/>
  <c r="G13" i="12"/>
  <c r="BA12" i="12"/>
  <c r="AW12" i="12"/>
  <c r="AH12" i="12"/>
  <c r="AD12" i="12"/>
  <c r="Z12" i="12"/>
  <c r="V12" i="12"/>
  <c r="R12" i="12"/>
  <c r="J12" i="12"/>
  <c r="OH11" i="5"/>
  <c r="OH12" i="5" s="1"/>
  <c r="AZ12" i="12"/>
  <c r="AV12" i="12"/>
  <c r="BB13" i="12"/>
  <c r="AZ13" i="12"/>
  <c r="AX13" i="12"/>
  <c r="AV13" i="12"/>
  <c r="AP13" i="12"/>
  <c r="AN13" i="12"/>
  <c r="AJ13" i="12"/>
  <c r="AH13" i="12"/>
  <c r="AF13" i="12"/>
  <c r="AD13" i="12"/>
  <c r="Z13" i="12"/>
  <c r="X13" i="12"/>
  <c r="V13" i="12"/>
  <c r="T13" i="12"/>
  <c r="R13" i="12"/>
  <c r="P13" i="12"/>
  <c r="N13" i="12"/>
  <c r="J13" i="12"/>
  <c r="F13" i="12"/>
  <c r="AZ68" i="12"/>
  <c r="AT68" i="12"/>
  <c r="AP68" i="12"/>
  <c r="AN12" i="12"/>
  <c r="AJ12" i="12"/>
  <c r="AF12" i="12"/>
  <c r="X12" i="12"/>
  <c r="T12" i="12"/>
  <c r="P12" i="12"/>
  <c r="L12" i="12"/>
  <c r="KX22" i="5"/>
  <c r="KX23" i="5" s="1"/>
  <c r="AM68" i="12"/>
  <c r="AK68" i="12"/>
  <c r="AI68" i="12"/>
  <c r="AG68" i="12"/>
  <c r="AE68" i="12"/>
  <c r="AC68" i="12"/>
  <c r="AA68" i="12"/>
  <c r="Y68" i="12"/>
  <c r="W68" i="12"/>
  <c r="U68" i="12"/>
  <c r="O68" i="12"/>
  <c r="M68" i="12"/>
  <c r="BD69" i="12"/>
  <c r="BB68" i="12"/>
  <c r="AX68" i="12"/>
  <c r="AV68" i="12"/>
  <c r="AR68" i="12"/>
  <c r="AN68" i="12"/>
  <c r="AL68" i="12"/>
  <c r="AJ68" i="12"/>
  <c r="AH68" i="12"/>
  <c r="AF68" i="12"/>
  <c r="AD68" i="12"/>
  <c r="AB68" i="12"/>
  <c r="P68" i="12"/>
  <c r="N68" i="12"/>
  <c r="AP69" i="12"/>
  <c r="S69" i="12"/>
  <c r="OH15" i="5"/>
  <c r="CJ27" i="5"/>
  <c r="CJ28" i="5" s="1"/>
  <c r="LQ27" i="5"/>
  <c r="LQ28" i="5" s="1"/>
  <c r="BC68" i="12"/>
  <c r="BA68" i="12"/>
  <c r="AY68" i="12"/>
  <c r="AW68" i="12"/>
  <c r="AS68" i="12"/>
  <c r="AQ68" i="12"/>
  <c r="S68" i="12"/>
  <c r="Q68" i="12"/>
  <c r="M69" i="12"/>
  <c r="Z68" i="12"/>
  <c r="O69" i="12"/>
  <c r="BB69" i="12"/>
  <c r="AZ69" i="12"/>
  <c r="AX69" i="12"/>
  <c r="AT69" i="12"/>
  <c r="AR69" i="12"/>
  <c r="BH69" i="12"/>
  <c r="BC69" i="12"/>
  <c r="AO69" i="12"/>
  <c r="BA69" i="12"/>
  <c r="AY69" i="12"/>
  <c r="AS69" i="12"/>
  <c r="AQ69" i="12"/>
  <c r="Z69" i="12"/>
  <c r="N69" i="12"/>
  <c r="CK27" i="5"/>
  <c r="CK28" i="5" s="1"/>
  <c r="R68" i="12"/>
  <c r="Q69" i="12"/>
  <c r="R69" i="12"/>
  <c r="P69" i="12"/>
  <c r="Y69" i="12"/>
  <c r="U69" i="12"/>
  <c r="X68" i="12"/>
  <c r="T68" i="12"/>
  <c r="X69" i="12"/>
  <c r="V69" i="12"/>
  <c r="T69" i="12"/>
  <c r="W69" i="12"/>
  <c r="V68" i="12"/>
  <c r="AO68" i="12"/>
  <c r="AU68" i="12"/>
  <c r="AW59" i="12"/>
  <c r="BI59" i="12" s="1"/>
  <c r="BI11" i="12"/>
  <c r="KX27" i="5"/>
  <c r="KX28" i="5" s="1"/>
  <c r="BH58" i="12"/>
  <c r="BI58" i="12" s="1"/>
  <c r="BI10" i="12"/>
  <c r="NY22" i="5"/>
  <c r="NY23" i="5" s="1"/>
  <c r="NY43" i="5" s="1"/>
  <c r="KX15" i="5"/>
  <c r="GI11" i="5"/>
  <c r="GI12" i="5" s="1"/>
  <c r="L69" i="12"/>
  <c r="L68" i="12"/>
  <c r="K69" i="12"/>
  <c r="K68" i="12"/>
  <c r="J69" i="12"/>
  <c r="J68" i="12"/>
  <c r="I69" i="12"/>
  <c r="I68" i="12"/>
  <c r="H69" i="12"/>
  <c r="H68" i="12"/>
  <c r="G69" i="12"/>
  <c r="G68" i="12"/>
  <c r="F69" i="12"/>
  <c r="F68" i="12"/>
  <c r="E69" i="12"/>
  <c r="E68" i="12"/>
  <c r="D69" i="12"/>
  <c r="D68" i="12"/>
  <c r="OH6" i="5"/>
  <c r="C69" i="12"/>
  <c r="BI57" i="12"/>
  <c r="C68" i="12"/>
  <c r="AB33" i="12"/>
  <c r="M34" i="12"/>
  <c r="M33" i="12"/>
  <c r="L34" i="12"/>
  <c r="L33" i="12"/>
  <c r="K34" i="12"/>
  <c r="K33" i="12"/>
  <c r="J34" i="12"/>
  <c r="J33" i="12"/>
  <c r="I34" i="12"/>
  <c r="I33" i="12"/>
  <c r="H34" i="12"/>
  <c r="H33" i="12"/>
  <c r="G34" i="12"/>
  <c r="G33" i="12"/>
  <c r="F34" i="12"/>
  <c r="F33" i="12"/>
  <c r="E34" i="12"/>
  <c r="E46" i="12" s="1"/>
  <c r="E33" i="12"/>
  <c r="D34" i="12"/>
  <c r="D33" i="12"/>
  <c r="C34" i="12"/>
  <c r="C33" i="12"/>
  <c r="KX6" i="5"/>
  <c r="KX9" i="5" s="1"/>
  <c r="GI6" i="5"/>
  <c r="LS6" i="5"/>
  <c r="AH27" i="5"/>
  <c r="AH28" i="5" s="1"/>
  <c r="AU27" i="5"/>
  <c r="AU28" i="5" s="1"/>
  <c r="BH27" i="5"/>
  <c r="BH28" i="5" s="1"/>
  <c r="BU27" i="5"/>
  <c r="BU28" i="5" s="1"/>
  <c r="EI27" i="5"/>
  <c r="EI28" i="5" s="1"/>
  <c r="ER27" i="5"/>
  <c r="ER28" i="5" s="1"/>
  <c r="FA27" i="5"/>
  <c r="FA28" i="5" s="1"/>
  <c r="DH27" i="5"/>
  <c r="DH28" i="5" s="1"/>
  <c r="FN22" i="5"/>
  <c r="FN23" i="5" s="1"/>
  <c r="FM27" i="5"/>
  <c r="FM28" i="5" s="1"/>
  <c r="FL27" i="5"/>
  <c r="FL28" i="5" s="1"/>
  <c r="FM11" i="5"/>
  <c r="FM12" i="5" s="1"/>
  <c r="DY11" i="5"/>
  <c r="DY12" i="5" s="1"/>
  <c r="AF11" i="5"/>
  <c r="AF12" i="5" s="1"/>
  <c r="AG11" i="5"/>
  <c r="AG12" i="5" s="1"/>
  <c r="DY22" i="5"/>
  <c r="DY23" i="5" s="1"/>
  <c r="DX22" i="5"/>
  <c r="DX23" i="5" s="1"/>
  <c r="EZ22" i="5"/>
  <c r="EZ23" i="5" s="1"/>
  <c r="EZ43" i="5" s="1"/>
  <c r="EQ22" i="5"/>
  <c r="EQ23" i="5" s="1"/>
  <c r="EP22" i="5"/>
  <c r="EP23" i="5" s="1"/>
  <c r="EH22" i="5"/>
  <c r="EH23" i="5" s="1"/>
  <c r="EG22" i="5"/>
  <c r="EG23" i="5" s="1"/>
  <c r="CX22" i="5"/>
  <c r="CX23" i="5" s="1"/>
  <c r="CW22" i="5"/>
  <c r="CW23" i="5" s="1"/>
  <c r="CV22" i="5"/>
  <c r="CV23" i="5" s="1"/>
  <c r="BV22" i="5"/>
  <c r="BV23" i="5" s="1"/>
  <c r="BW22" i="5"/>
  <c r="BW23" i="5" s="1"/>
  <c r="BX22" i="5"/>
  <c r="BX23" i="5" s="1"/>
  <c r="BY22" i="5"/>
  <c r="BY23" i="5" s="1"/>
  <c r="BZ22" i="5"/>
  <c r="BZ23" i="5" s="1"/>
  <c r="CA22" i="5"/>
  <c r="CA23" i="5" s="1"/>
  <c r="CB22" i="5"/>
  <c r="CB23" i="5" s="1"/>
  <c r="CC22" i="5"/>
  <c r="CC23" i="5" s="1"/>
  <c r="CD22" i="5"/>
  <c r="CD23" i="5" s="1"/>
  <c r="CE22" i="5"/>
  <c r="CE23" i="5" s="1"/>
  <c r="CF22" i="5"/>
  <c r="CF23" i="5" s="1"/>
  <c r="CG22" i="5"/>
  <c r="CG23" i="5" s="1"/>
  <c r="CH22" i="5"/>
  <c r="CH23" i="5" s="1"/>
  <c r="CI22" i="5"/>
  <c r="CI23" i="5" s="1"/>
  <c r="BT22" i="5"/>
  <c r="BT23" i="5" s="1"/>
  <c r="BS22" i="5"/>
  <c r="BS23" i="5" s="1"/>
  <c r="BG22" i="5"/>
  <c r="BG23" i="5" s="1"/>
  <c r="BF22" i="5"/>
  <c r="BF23" i="5" s="1"/>
  <c r="AG22" i="5"/>
  <c r="AG23" i="5" s="1"/>
  <c r="DY6" i="5"/>
  <c r="DX6" i="5"/>
  <c r="DG6" i="5"/>
  <c r="DF6" i="5"/>
  <c r="EZ6" i="5"/>
  <c r="EY6" i="5"/>
  <c r="EQ6" i="5"/>
  <c r="EP6" i="5"/>
  <c r="EH6" i="5"/>
  <c r="EG6" i="5"/>
  <c r="CX6" i="5"/>
  <c r="CW6" i="5"/>
  <c r="CV6" i="5"/>
  <c r="CI6" i="5"/>
  <c r="CH6" i="5"/>
  <c r="CG6" i="5"/>
  <c r="CF6" i="5"/>
  <c r="CE6" i="5"/>
  <c r="CD6" i="5"/>
  <c r="CC6" i="5"/>
  <c r="CB6" i="5"/>
  <c r="CA6" i="5"/>
  <c r="BZ6" i="5"/>
  <c r="BY6" i="5"/>
  <c r="BX6" i="5"/>
  <c r="BW6" i="5"/>
  <c r="BV6" i="5"/>
  <c r="BT6" i="5"/>
  <c r="BS6" i="5"/>
  <c r="BG6" i="5"/>
  <c r="BF6" i="5"/>
  <c r="AT6" i="5"/>
  <c r="AS6" i="5"/>
  <c r="AG6" i="5"/>
  <c r="F23" i="5"/>
  <c r="F15" i="5"/>
  <c r="F11" i="5"/>
  <c r="F12" i="5" s="1"/>
  <c r="F9" i="5"/>
  <c r="F43" i="5" l="1"/>
  <c r="G56" i="14"/>
  <c r="AA46" i="12"/>
  <c r="KV41" i="5"/>
  <c r="BD46" i="12"/>
  <c r="D46" i="12"/>
  <c r="AD37" i="12"/>
  <c r="AD45" i="12" s="1"/>
  <c r="G38" i="12"/>
  <c r="W38" i="12"/>
  <c r="W46" i="12" s="1"/>
  <c r="AY38" i="12"/>
  <c r="AY46" i="12" s="1"/>
  <c r="AM37" i="12"/>
  <c r="AM45" i="12" s="1"/>
  <c r="I37" i="12"/>
  <c r="AY37" i="12"/>
  <c r="AY45" i="12" s="1"/>
  <c r="AS37" i="12"/>
  <c r="AS45" i="12" s="1"/>
  <c r="AB38" i="12"/>
  <c r="AB46" i="12" s="1"/>
  <c r="BB37" i="12"/>
  <c r="BB45" i="12" s="1"/>
  <c r="C38" i="12"/>
  <c r="C46" i="12" s="1"/>
  <c r="AT38" i="12"/>
  <c r="AT46" i="12" s="1"/>
  <c r="X37" i="12"/>
  <c r="X45" i="12" s="1"/>
  <c r="P38" i="12"/>
  <c r="P46" i="12" s="1"/>
  <c r="X38" i="12"/>
  <c r="X46" i="12" s="1"/>
  <c r="AH38" i="12"/>
  <c r="AH46" i="12" s="1"/>
  <c r="AV38" i="12"/>
  <c r="AV46" i="12" s="1"/>
  <c r="AV37" i="12"/>
  <c r="AV45" i="12" s="1"/>
  <c r="R37" i="12"/>
  <c r="R45" i="12" s="1"/>
  <c r="AH37" i="12"/>
  <c r="AH45" i="12" s="1"/>
  <c r="I38" i="12"/>
  <c r="Q38" i="12"/>
  <c r="Q46" i="12" s="1"/>
  <c r="Y38" i="12"/>
  <c r="Y46" i="12" s="1"/>
  <c r="AK38" i="12"/>
  <c r="AK46" i="12" s="1"/>
  <c r="BA38" i="12"/>
  <c r="BA46" i="12" s="1"/>
  <c r="S37" i="12"/>
  <c r="S45" i="12" s="1"/>
  <c r="M37" i="12"/>
  <c r="AG37" i="12"/>
  <c r="AG45" i="12" s="1"/>
  <c r="BH37" i="12"/>
  <c r="BH45" i="12" s="1"/>
  <c r="AC37" i="12"/>
  <c r="AC45" i="12" s="1"/>
  <c r="AU37" i="12"/>
  <c r="AU45" i="12" s="1"/>
  <c r="AE38" i="12"/>
  <c r="AE46" i="12" s="1"/>
  <c r="H37" i="12"/>
  <c r="H45" i="12" s="1"/>
  <c r="AP37" i="12"/>
  <c r="AP45" i="12" s="1"/>
  <c r="F37" i="12"/>
  <c r="F45" i="12" s="1"/>
  <c r="AS38" i="12"/>
  <c r="AS46" i="12" s="1"/>
  <c r="Q129" i="19"/>
  <c r="Q153" i="19" s="1"/>
  <c r="O153" i="19"/>
  <c r="T37" i="12"/>
  <c r="T45" i="12" s="1"/>
  <c r="AN37" i="12"/>
  <c r="AN45" i="12" s="1"/>
  <c r="N38" i="12"/>
  <c r="N46" i="12" s="1"/>
  <c r="AF38" i="12"/>
  <c r="AF46" i="12" s="1"/>
  <c r="AP38" i="12"/>
  <c r="AP46" i="12" s="1"/>
  <c r="J37" i="12"/>
  <c r="O38" i="12"/>
  <c r="O46" i="12" s="1"/>
  <c r="AI38" i="12"/>
  <c r="AI46" i="12" s="1"/>
  <c r="O37" i="12"/>
  <c r="O45" i="12" s="1"/>
  <c r="Y37" i="12"/>
  <c r="Y45" i="12" s="1"/>
  <c r="AA37" i="12"/>
  <c r="AA45" i="12" s="1"/>
  <c r="E37" i="12"/>
  <c r="E45" i="12" s="1"/>
  <c r="E47" i="12" s="1"/>
  <c r="AL37" i="12"/>
  <c r="AL45" i="12" s="1"/>
  <c r="AQ38" i="12"/>
  <c r="AQ46" i="12" s="1"/>
  <c r="L37" i="12"/>
  <c r="L45" i="12" s="1"/>
  <c r="AF37" i="12"/>
  <c r="AF45" i="12" s="1"/>
  <c r="F38" i="12"/>
  <c r="F46" i="12" s="1"/>
  <c r="R38" i="12"/>
  <c r="R46" i="12" s="1"/>
  <c r="Z38" i="12"/>
  <c r="Z46" i="12" s="1"/>
  <c r="AJ38" i="12"/>
  <c r="AJ46" i="12" s="1"/>
  <c r="AX38" i="12"/>
  <c r="AX46" i="12" s="1"/>
  <c r="AX47" i="12" s="1"/>
  <c r="AZ37" i="12"/>
  <c r="AZ45" i="12" s="1"/>
  <c r="V37" i="12"/>
  <c r="V45" i="12" s="1"/>
  <c r="AW37" i="12"/>
  <c r="AW45" i="12" s="1"/>
  <c r="K38" i="12"/>
  <c r="K46" i="12" s="1"/>
  <c r="S38" i="12"/>
  <c r="S46" i="12" s="1"/>
  <c r="AC38" i="12"/>
  <c r="AC46" i="12" s="1"/>
  <c r="AM38" i="12"/>
  <c r="AM46" i="12" s="1"/>
  <c r="BC38" i="12"/>
  <c r="BC46" i="12" s="1"/>
  <c r="W37" i="12"/>
  <c r="W45" i="12" s="1"/>
  <c r="BC37" i="12"/>
  <c r="BC45" i="12" s="1"/>
  <c r="Q37" i="12"/>
  <c r="Q45" i="12" s="1"/>
  <c r="Q47" i="12" s="1"/>
  <c r="AK37" i="12"/>
  <c r="AK45" i="12" s="1"/>
  <c r="G37" i="12"/>
  <c r="AE37" i="12"/>
  <c r="AE45" i="12" s="1"/>
  <c r="AR38" i="12"/>
  <c r="AR46" i="12" s="1"/>
  <c r="AW38" i="12"/>
  <c r="AW46" i="12" s="1"/>
  <c r="N37" i="12"/>
  <c r="N45" i="12" s="1"/>
  <c r="AR37" i="12"/>
  <c r="AR45" i="12" s="1"/>
  <c r="AL38" i="12"/>
  <c r="AL46" i="12" s="1"/>
  <c r="BD45" i="12"/>
  <c r="F153" i="19"/>
  <c r="H38" i="12"/>
  <c r="H46" i="12" s="1"/>
  <c r="AU38" i="12"/>
  <c r="AU46" i="12" s="1"/>
  <c r="V38" i="12"/>
  <c r="V46" i="12" s="1"/>
  <c r="KX16" i="5"/>
  <c r="OH16" i="5"/>
  <c r="P37" i="12"/>
  <c r="P45" i="12" s="1"/>
  <c r="AJ37" i="12"/>
  <c r="AJ45" i="12" s="1"/>
  <c r="J38" i="12"/>
  <c r="T38" i="12"/>
  <c r="T46" i="12" s="1"/>
  <c r="AD38" i="12"/>
  <c r="AD46" i="12" s="1"/>
  <c r="AN38" i="12"/>
  <c r="AN46" i="12" s="1"/>
  <c r="AZ38" i="12"/>
  <c r="AZ46" i="12" s="1"/>
  <c r="Z37" i="12"/>
  <c r="Z45" i="12" s="1"/>
  <c r="BA37" i="12"/>
  <c r="BA45" i="12" s="1"/>
  <c r="M38" i="12"/>
  <c r="M46" i="12" s="1"/>
  <c r="U38" i="12"/>
  <c r="U46" i="12" s="1"/>
  <c r="AG38" i="12"/>
  <c r="AG46" i="12" s="1"/>
  <c r="AO38" i="12"/>
  <c r="AO46" i="12" s="1"/>
  <c r="BH38" i="12"/>
  <c r="BH46" i="12" s="1"/>
  <c r="AI37" i="12"/>
  <c r="AI45" i="12" s="1"/>
  <c r="U37" i="12"/>
  <c r="U45" i="12" s="1"/>
  <c r="AO37" i="12"/>
  <c r="AO45" i="12" s="1"/>
  <c r="K37" i="12"/>
  <c r="K45" i="12" s="1"/>
  <c r="AQ37" i="12"/>
  <c r="C37" i="12"/>
  <c r="D37" i="12"/>
  <c r="AB37" i="12"/>
  <c r="AB45" i="12" s="1"/>
  <c r="AT37" i="12"/>
  <c r="AT45" i="12" s="1"/>
  <c r="L38" i="12"/>
  <c r="L46" i="12" s="1"/>
  <c r="L80" i="18"/>
  <c r="LQ43" i="5"/>
  <c r="KX43" i="5"/>
  <c r="B72" i="15"/>
  <c r="E72" i="15" s="1"/>
  <c r="KX11" i="5"/>
  <c r="KX12" i="5" s="1"/>
  <c r="F56" i="13"/>
  <c r="F57" i="13" s="1"/>
  <c r="E56" i="13"/>
  <c r="G73" i="15"/>
  <c r="G10" i="15"/>
  <c r="OF17" i="5"/>
  <c r="OF41" i="5" s="1"/>
  <c r="OG17" i="5"/>
  <c r="OG41" i="5" s="1"/>
  <c r="B41" i="15"/>
  <c r="E41" i="15" s="1"/>
  <c r="F73" i="15"/>
  <c r="F10" i="15"/>
  <c r="J79" i="18"/>
  <c r="K79" i="18"/>
  <c r="K78" i="18"/>
  <c r="J80" i="18"/>
  <c r="J78" i="18"/>
  <c r="D20" i="17"/>
  <c r="R74" i="17"/>
  <c r="R75" i="17"/>
  <c r="M56" i="18"/>
  <c r="M54" i="18"/>
  <c r="L79" i="18"/>
  <c r="LS9" i="5"/>
  <c r="LQ41" i="5"/>
  <c r="B73" i="15"/>
  <c r="BS9" i="5"/>
  <c r="BS43" i="5" s="1"/>
  <c r="FM9" i="5"/>
  <c r="FM43" i="5" s="1"/>
  <c r="AT9" i="5"/>
  <c r="AT43" i="5" s="1"/>
  <c r="EG9" i="5"/>
  <c r="EG43" i="5" s="1"/>
  <c r="DX9" i="5"/>
  <c r="DX43" i="5" s="1"/>
  <c r="CD11" i="5"/>
  <c r="CD12" i="5" s="1"/>
  <c r="BV11" i="5"/>
  <c r="BV12" i="5" s="1"/>
  <c r="CB9" i="5"/>
  <c r="CB43" i="5" s="1"/>
  <c r="AS11" i="5"/>
  <c r="AS12" i="5" s="1"/>
  <c r="EQ11" i="5"/>
  <c r="EQ12" i="5" s="1"/>
  <c r="GI9" i="5"/>
  <c r="GI43" i="5" s="1"/>
  <c r="LR43" i="5"/>
  <c r="BF9" i="5"/>
  <c r="BF43" i="5" s="1"/>
  <c r="EH9" i="5"/>
  <c r="EH43" i="5" s="1"/>
  <c r="DY9" i="5"/>
  <c r="DY43" i="5" s="1"/>
  <c r="CC11" i="5"/>
  <c r="CC12" i="5" s="1"/>
  <c r="CI9" i="5"/>
  <c r="CI43" i="5" s="1"/>
  <c r="CA9" i="5"/>
  <c r="CA43" i="5" s="1"/>
  <c r="BG11" i="5"/>
  <c r="BG12" i="5" s="1"/>
  <c r="EP11" i="5"/>
  <c r="EP12" i="5" s="1"/>
  <c r="FL11" i="5"/>
  <c r="FL12" i="5" s="1"/>
  <c r="BG9" i="5"/>
  <c r="BG43" i="5" s="1"/>
  <c r="EP9" i="5"/>
  <c r="EP43" i="5" s="1"/>
  <c r="FL9" i="5"/>
  <c r="FL43" i="5" s="1"/>
  <c r="CB11" i="5"/>
  <c r="CB12" i="5" s="1"/>
  <c r="CH9" i="5"/>
  <c r="CH43" i="5" s="1"/>
  <c r="BZ9" i="5"/>
  <c r="BZ43" i="5" s="1"/>
  <c r="BF11" i="5"/>
  <c r="BF12" i="5" s="1"/>
  <c r="CI11" i="5"/>
  <c r="CI12" i="5" s="1"/>
  <c r="CA11" i="5"/>
  <c r="CA12" i="5" s="1"/>
  <c r="CG9" i="5"/>
  <c r="CG43" i="5" s="1"/>
  <c r="BY9" i="5"/>
  <c r="BY43" i="5" s="1"/>
  <c r="BT11" i="5"/>
  <c r="BT12" i="5" s="1"/>
  <c r="BT9" i="5"/>
  <c r="BT43" i="5" s="1"/>
  <c r="CH11" i="5"/>
  <c r="CH12" i="5" s="1"/>
  <c r="BZ11" i="5"/>
  <c r="BZ12" i="5" s="1"/>
  <c r="CF9" i="5"/>
  <c r="CF43" i="5" s="1"/>
  <c r="BX9" i="5"/>
  <c r="BX43" i="5" s="1"/>
  <c r="BS11" i="5"/>
  <c r="BS12" i="5" s="1"/>
  <c r="DG11" i="5"/>
  <c r="DG12" i="5" s="1"/>
  <c r="L57" i="18"/>
  <c r="K57" i="18"/>
  <c r="EQ9" i="5"/>
  <c r="EQ43" i="5" s="1"/>
  <c r="AF9" i="5"/>
  <c r="AF43" i="5" s="1"/>
  <c r="CV9" i="5"/>
  <c r="CV43" i="5" s="1"/>
  <c r="CG11" i="5"/>
  <c r="CG12" i="5" s="1"/>
  <c r="BY11" i="5"/>
  <c r="BY12" i="5" s="1"/>
  <c r="CE9" i="5"/>
  <c r="CE43" i="5" s="1"/>
  <c r="BW9" i="5"/>
  <c r="BW43" i="5" s="1"/>
  <c r="CX11" i="5"/>
  <c r="CX12" i="5" s="1"/>
  <c r="DF11" i="5"/>
  <c r="DF12" i="5" s="1"/>
  <c r="OH9" i="5"/>
  <c r="OH43" i="5" s="1"/>
  <c r="AG9" i="5"/>
  <c r="AG43" i="5" s="1"/>
  <c r="CW9" i="5"/>
  <c r="CW43" i="5" s="1"/>
  <c r="DF9" i="5"/>
  <c r="DF43" i="5" s="1"/>
  <c r="CF11" i="5"/>
  <c r="CF12" i="5" s="1"/>
  <c r="BX11" i="5"/>
  <c r="BX12" i="5" s="1"/>
  <c r="CD9" i="5"/>
  <c r="CD43" i="5" s="1"/>
  <c r="BV9" i="5"/>
  <c r="BV43" i="5" s="1"/>
  <c r="EH11" i="5"/>
  <c r="EH12" i="5" s="1"/>
  <c r="AS9" i="5"/>
  <c r="AS43" i="5" s="1"/>
  <c r="CX9" i="5"/>
  <c r="CX43" i="5" s="1"/>
  <c r="DG9" i="5"/>
  <c r="DG43" i="5" s="1"/>
  <c r="CE11" i="5"/>
  <c r="CE12" i="5" s="1"/>
  <c r="BW11" i="5"/>
  <c r="BW12" i="5" s="1"/>
  <c r="CC9" i="5"/>
  <c r="CC43" i="5" s="1"/>
  <c r="AT11" i="5"/>
  <c r="AT12" i="5" s="1"/>
  <c r="EG11" i="5"/>
  <c r="EG12" i="5" s="1"/>
  <c r="DX11" i="5"/>
  <c r="DX12" i="5" s="1"/>
  <c r="J57" i="18"/>
  <c r="O43" i="20"/>
  <c r="Q43" i="20" s="1"/>
  <c r="M55" i="18"/>
  <c r="G49" i="20"/>
  <c r="I49" i="20"/>
  <c r="K49" i="20"/>
  <c r="E49" i="20"/>
  <c r="S54" i="19"/>
  <c r="T51" i="17"/>
  <c r="S53" i="19"/>
  <c r="J56" i="19"/>
  <c r="G47" i="13"/>
  <c r="Q19" i="19"/>
  <c r="O93" i="12"/>
  <c r="U59" i="20"/>
  <c r="W57" i="20"/>
  <c r="G56" i="19"/>
  <c r="Q55" i="15"/>
  <c r="J28" i="16"/>
  <c r="J34" i="16" s="1"/>
  <c r="J10" i="16"/>
  <c r="J17" i="16" s="1"/>
  <c r="K11" i="19"/>
  <c r="K39" i="19" s="1"/>
  <c r="C108" i="15"/>
  <c r="H155" i="19"/>
  <c r="N119" i="20"/>
  <c r="N125" i="20" s="1"/>
  <c r="I124" i="21"/>
  <c r="I20" i="17"/>
  <c r="S19" i="17"/>
  <c r="Q20" i="17"/>
  <c r="K22" i="18"/>
  <c r="E21" i="19"/>
  <c r="M49" i="20"/>
  <c r="O45" i="20"/>
  <c r="G20" i="17"/>
  <c r="O20" i="17"/>
  <c r="K21" i="19"/>
  <c r="V59" i="20"/>
  <c r="L20" i="17"/>
  <c r="P21" i="19"/>
  <c r="R20" i="19"/>
  <c r="J20" i="19"/>
  <c r="I21" i="19"/>
  <c r="F20" i="17"/>
  <c r="R18" i="17"/>
  <c r="N20" i="17"/>
  <c r="N64" i="19"/>
  <c r="N80" i="19" s="1"/>
  <c r="N79" i="19"/>
  <c r="G61" i="19"/>
  <c r="G77" i="19" s="1"/>
  <c r="F77" i="19"/>
  <c r="J19" i="19"/>
  <c r="S53" i="17"/>
  <c r="T52" i="17"/>
  <c r="P57" i="15"/>
  <c r="N61" i="15"/>
  <c r="K20" i="17"/>
  <c r="Q18" i="19"/>
  <c r="D61" i="17"/>
  <c r="D77" i="17"/>
  <c r="R19" i="17"/>
  <c r="P20" i="17"/>
  <c r="L21" i="19"/>
  <c r="J18" i="19"/>
  <c r="M124" i="17"/>
  <c r="M127" i="17" s="1"/>
  <c r="M151" i="17" s="1"/>
  <c r="E129" i="19"/>
  <c r="E153" i="19" s="1"/>
  <c r="E105" i="20"/>
  <c r="E111" i="20" s="1"/>
  <c r="E61" i="17"/>
  <c r="E77" i="17"/>
  <c r="M79" i="19"/>
  <c r="M64" i="19"/>
  <c r="M80" i="19" s="1"/>
  <c r="S59" i="17"/>
  <c r="M63" i="18"/>
  <c r="H64" i="19"/>
  <c r="H80" i="19" s="1"/>
  <c r="H79" i="19"/>
  <c r="M62" i="18"/>
  <c r="F64" i="19"/>
  <c r="F80" i="19" s="1"/>
  <c r="F79" i="19"/>
  <c r="G63" i="19"/>
  <c r="L64" i="19"/>
  <c r="L80" i="19" s="1"/>
  <c r="L79" i="19"/>
  <c r="R10" i="16"/>
  <c r="R17" i="16" s="1"/>
  <c r="R28" i="16"/>
  <c r="R34" i="16" s="1"/>
  <c r="N24" i="15"/>
  <c r="N31" i="15" s="1"/>
  <c r="F116" i="15"/>
  <c r="F122" i="15" s="1"/>
  <c r="G116" i="15"/>
  <c r="G122" i="15" s="1"/>
  <c r="H124" i="17"/>
  <c r="H148" i="17" s="1"/>
  <c r="I124" i="17"/>
  <c r="I148" i="17" s="1"/>
  <c r="K125" i="17"/>
  <c r="K149" i="17" s="1"/>
  <c r="J127" i="17"/>
  <c r="J151" i="17" s="1"/>
  <c r="J150" i="17"/>
  <c r="L150" i="17"/>
  <c r="K126" i="17"/>
  <c r="H126" i="17"/>
  <c r="L157" i="18"/>
  <c r="P126" i="17"/>
  <c r="F125" i="17"/>
  <c r="F149" i="17" s="1"/>
  <c r="L130" i="19"/>
  <c r="L154" i="19" s="1"/>
  <c r="N131" i="19"/>
  <c r="I130" i="19"/>
  <c r="S28" i="16"/>
  <c r="S34" i="16" s="1"/>
  <c r="S10" i="16"/>
  <c r="S17" i="16" s="1"/>
  <c r="F10" i="16"/>
  <c r="F17" i="16" s="1"/>
  <c r="F28" i="16"/>
  <c r="F34" i="16" s="1"/>
  <c r="M10" i="15"/>
  <c r="M73" i="15"/>
  <c r="C25" i="20"/>
  <c r="C32" i="20" s="1"/>
  <c r="L11" i="15"/>
  <c r="L43" i="15"/>
  <c r="E110" i="21"/>
  <c r="E116" i="21" s="1"/>
  <c r="E131" i="19"/>
  <c r="D119" i="20"/>
  <c r="D125" i="20" s="1"/>
  <c r="N28" i="16"/>
  <c r="N34" i="16" s="1"/>
  <c r="N10" i="16"/>
  <c r="O9" i="15"/>
  <c r="O16" i="15" s="1"/>
  <c r="K134" i="18"/>
  <c r="M134" i="18" s="1"/>
  <c r="O130" i="19"/>
  <c r="O132" i="19" s="1"/>
  <c r="M110" i="21"/>
  <c r="M116" i="21" s="1"/>
  <c r="M61" i="17"/>
  <c r="M77" i="17"/>
  <c r="O79" i="19"/>
  <c r="Q63" i="19"/>
  <c r="O64" i="19"/>
  <c r="O80" i="19" s="1"/>
  <c r="G19" i="19"/>
  <c r="O57" i="15"/>
  <c r="O61" i="15" s="1"/>
  <c r="M61" i="15"/>
  <c r="J77" i="17"/>
  <c r="J61" i="17"/>
  <c r="M64" i="18"/>
  <c r="L65" i="18"/>
  <c r="R19" i="19"/>
  <c r="N49" i="20"/>
  <c r="P45" i="20"/>
  <c r="P61" i="17"/>
  <c r="R60" i="17"/>
  <c r="J61" i="19"/>
  <c r="J77" i="19" s="1"/>
  <c r="I77" i="19"/>
  <c r="B43" i="15"/>
  <c r="B11" i="15"/>
  <c r="K10" i="16"/>
  <c r="K17" i="16" s="1"/>
  <c r="K28" i="16"/>
  <c r="K34" i="16" s="1"/>
  <c r="L73" i="15"/>
  <c r="L10" i="15"/>
  <c r="H125" i="17"/>
  <c r="H149" i="17" s="1"/>
  <c r="L132" i="18"/>
  <c r="L135" i="18" s="1"/>
  <c r="L159" i="18" s="1"/>
  <c r="J133" i="18"/>
  <c r="J157" i="18" s="1"/>
  <c r="P102" i="15"/>
  <c r="P108" i="15" s="1"/>
  <c r="D124" i="17"/>
  <c r="L131" i="19"/>
  <c r="P129" i="19"/>
  <c r="F130" i="19"/>
  <c r="I131" i="19"/>
  <c r="L105" i="20"/>
  <c r="L111" i="20" s="1"/>
  <c r="O119" i="20"/>
  <c r="O125" i="20" s="1"/>
  <c r="J105" i="20"/>
  <c r="J111" i="20" s="1"/>
  <c r="G110" i="21"/>
  <c r="G116" i="21" s="1"/>
  <c r="S116" i="21"/>
  <c r="L28" i="16"/>
  <c r="L34" i="16" s="1"/>
  <c r="L10" i="16"/>
  <c r="L17" i="16" s="1"/>
  <c r="Q150" i="17"/>
  <c r="Q127" i="17"/>
  <c r="Q151" i="17" s="1"/>
  <c r="M131" i="19"/>
  <c r="M132" i="19" s="1"/>
  <c r="M105" i="20"/>
  <c r="T125" i="20"/>
  <c r="I61" i="17"/>
  <c r="I77" i="17"/>
  <c r="Q61" i="17"/>
  <c r="S60" i="17"/>
  <c r="K65" i="18"/>
  <c r="Q62" i="19"/>
  <c r="Q78" i="19" s="1"/>
  <c r="O78" i="19"/>
  <c r="E79" i="19"/>
  <c r="E64" i="19"/>
  <c r="E80" i="19" s="1"/>
  <c r="O12" i="20"/>
  <c r="S55" i="19"/>
  <c r="R56" i="19"/>
  <c r="G61" i="17"/>
  <c r="G77" i="17"/>
  <c r="O61" i="17"/>
  <c r="K64" i="19"/>
  <c r="K80" i="19" s="1"/>
  <c r="K79" i="19"/>
  <c r="L61" i="17"/>
  <c r="P64" i="19"/>
  <c r="P80" i="19" s="1"/>
  <c r="R63" i="19"/>
  <c r="P79" i="19"/>
  <c r="J63" i="19"/>
  <c r="J79" i="19" s="1"/>
  <c r="I64" i="19"/>
  <c r="I79" i="19"/>
  <c r="F77" i="17"/>
  <c r="F61" i="17"/>
  <c r="R59" i="17"/>
  <c r="N61" i="17"/>
  <c r="N21" i="19"/>
  <c r="G18" i="19"/>
  <c r="J62" i="19"/>
  <c r="J78" i="19" s="1"/>
  <c r="I78" i="19"/>
  <c r="U27" i="20"/>
  <c r="P26" i="15"/>
  <c r="S58" i="17"/>
  <c r="K61" i="17"/>
  <c r="O77" i="19"/>
  <c r="Q61" i="19"/>
  <c r="Q77" i="19" s="1"/>
  <c r="R17" i="17"/>
  <c r="H20" i="17"/>
  <c r="J22" i="18"/>
  <c r="R61" i="19"/>
  <c r="P77" i="19"/>
  <c r="Q56" i="19"/>
  <c r="I10" i="16"/>
  <c r="I17" i="16" s="1"/>
  <c r="I28" i="16"/>
  <c r="I34" i="16" s="1"/>
  <c r="M10" i="16"/>
  <c r="M28" i="16"/>
  <c r="M34" i="16" s="1"/>
  <c r="T10" i="16"/>
  <c r="T28" i="16"/>
  <c r="T34" i="16" s="1"/>
  <c r="G28" i="16"/>
  <c r="G34" i="16" s="1"/>
  <c r="G10" i="16"/>
  <c r="M43" i="15"/>
  <c r="M11" i="15"/>
  <c r="I116" i="15"/>
  <c r="I122" i="15" s="1"/>
  <c r="J116" i="15"/>
  <c r="J122" i="15" s="1"/>
  <c r="K122" i="15"/>
  <c r="L116" i="15"/>
  <c r="L122" i="15" s="1"/>
  <c r="E148" i="17"/>
  <c r="E127" i="17"/>
  <c r="E151" i="17" s="1"/>
  <c r="F124" i="17"/>
  <c r="F148" i="17" s="1"/>
  <c r="G125" i="17"/>
  <c r="G149" i="17" s="1"/>
  <c r="O125" i="17"/>
  <c r="O149" i="17" s="1"/>
  <c r="L125" i="17"/>
  <c r="L149" i="17" s="1"/>
  <c r="N150" i="17"/>
  <c r="N127" i="17"/>
  <c r="N151" i="17" s="1"/>
  <c r="I126" i="17"/>
  <c r="O126" i="17"/>
  <c r="M150" i="17"/>
  <c r="J158" i="18"/>
  <c r="L148" i="17"/>
  <c r="L129" i="19"/>
  <c r="L153" i="19" s="1"/>
  <c r="N130" i="19"/>
  <c r="N154" i="19" s="1"/>
  <c r="P131" i="19"/>
  <c r="P132" i="19" s="1"/>
  <c r="I129" i="19"/>
  <c r="H105" i="20"/>
  <c r="H111" i="20" s="1"/>
  <c r="S125" i="20"/>
  <c r="L158" i="18"/>
  <c r="P154" i="19"/>
  <c r="F155" i="19"/>
  <c r="F105" i="20"/>
  <c r="F111" i="20" s="1"/>
  <c r="N111" i="20"/>
  <c r="M119" i="20"/>
  <c r="M125" i="20" s="1"/>
  <c r="R119" i="20"/>
  <c r="R125" i="20" s="1"/>
  <c r="H110" i="21"/>
  <c r="H116" i="21" s="1"/>
  <c r="N122" i="15"/>
  <c r="K131" i="19"/>
  <c r="K132" i="19" s="1"/>
  <c r="O155" i="19"/>
  <c r="H129" i="19"/>
  <c r="H153" i="19" s="1"/>
  <c r="G105" i="20"/>
  <c r="G111" i="20" s="1"/>
  <c r="O110" i="21"/>
  <c r="O116" i="21" s="1"/>
  <c r="E20" i="17"/>
  <c r="S17" i="17"/>
  <c r="M20" i="17"/>
  <c r="M21" i="19"/>
  <c r="R53" i="17"/>
  <c r="S18" i="17"/>
  <c r="M20" i="18"/>
  <c r="Q20" i="19"/>
  <c r="O21" i="19"/>
  <c r="H21" i="19"/>
  <c r="M19" i="18"/>
  <c r="G62" i="19"/>
  <c r="G78" i="19" s="1"/>
  <c r="F78" i="19"/>
  <c r="O26" i="15"/>
  <c r="J20" i="17"/>
  <c r="M21" i="18"/>
  <c r="L22" i="18"/>
  <c r="R62" i="19"/>
  <c r="P78" i="19"/>
  <c r="G20" i="19"/>
  <c r="F21" i="19"/>
  <c r="P12" i="20"/>
  <c r="U63" i="20"/>
  <c r="T50" i="17"/>
  <c r="D63" i="20"/>
  <c r="V63" i="20" s="1"/>
  <c r="V27" i="20"/>
  <c r="R58" i="17"/>
  <c r="H61" i="17"/>
  <c r="H77" i="17"/>
  <c r="J65" i="18"/>
  <c r="R18" i="19"/>
  <c r="C7" i="13"/>
  <c r="C7" i="14"/>
  <c r="F16" i="13"/>
  <c r="F16" i="14"/>
  <c r="F19" i="14"/>
  <c r="F13" i="13"/>
  <c r="F13" i="14"/>
  <c r="N7" i="13"/>
  <c r="N7" i="14"/>
  <c r="E13" i="13"/>
  <c r="E13" i="14"/>
  <c r="E17" i="13"/>
  <c r="E17" i="14"/>
  <c r="L7" i="13"/>
  <c r="L7" i="14"/>
  <c r="E14" i="13"/>
  <c r="E14" i="14"/>
  <c r="K14" i="13"/>
  <c r="K14" i="14"/>
  <c r="K15" i="14" s="1"/>
  <c r="F12" i="13"/>
  <c r="F12" i="14"/>
  <c r="B7" i="13"/>
  <c r="B7" i="14"/>
  <c r="M7" i="13"/>
  <c r="M7" i="14"/>
  <c r="F14" i="13"/>
  <c r="F14" i="14"/>
  <c r="F18" i="13"/>
  <c r="G18" i="13" s="1"/>
  <c r="F18" i="14"/>
  <c r="G18" i="14" s="1"/>
  <c r="K7" i="13"/>
  <c r="K7" i="14"/>
  <c r="F15" i="13"/>
  <c r="F15" i="14"/>
  <c r="F8" i="13"/>
  <c r="F8" i="14"/>
  <c r="F17" i="13"/>
  <c r="F17" i="14"/>
  <c r="AL93" i="12"/>
  <c r="E15" i="13"/>
  <c r="E15" i="14"/>
  <c r="E19" i="13"/>
  <c r="G19" i="13" s="1"/>
  <c r="E19" i="14"/>
  <c r="E16" i="13"/>
  <c r="E16" i="14"/>
  <c r="E7" i="13"/>
  <c r="E7" i="14"/>
  <c r="E12" i="13"/>
  <c r="E12" i="14"/>
  <c r="G93" i="12"/>
  <c r="F93" i="12"/>
  <c r="AB93" i="12"/>
  <c r="AR93" i="12"/>
  <c r="AW93" i="12"/>
  <c r="K13" i="13"/>
  <c r="AD93" i="12"/>
  <c r="AT93" i="12"/>
  <c r="BB93" i="12"/>
  <c r="I93" i="12"/>
  <c r="M93" i="12"/>
  <c r="Q93" i="12"/>
  <c r="U93" i="12"/>
  <c r="Y93" i="12"/>
  <c r="AC93" i="12"/>
  <c r="AG93" i="12"/>
  <c r="AK93" i="12"/>
  <c r="AO93" i="12"/>
  <c r="AS93" i="12"/>
  <c r="BA93" i="12"/>
  <c r="R93" i="12"/>
  <c r="Z93" i="12"/>
  <c r="AF93" i="12"/>
  <c r="AV93" i="12"/>
  <c r="G34" i="21"/>
  <c r="L93" i="12"/>
  <c r="BD93" i="12"/>
  <c r="G118" i="13"/>
  <c r="G114" i="13"/>
  <c r="S93" i="12"/>
  <c r="W93" i="12"/>
  <c r="AA93" i="12"/>
  <c r="AE93" i="12"/>
  <c r="AI93" i="12"/>
  <c r="AM93" i="12"/>
  <c r="AQ93" i="12"/>
  <c r="AU93" i="12"/>
  <c r="AY93" i="12"/>
  <c r="BC93" i="12"/>
  <c r="AJ93" i="12"/>
  <c r="AN93" i="12"/>
  <c r="AZ93" i="12"/>
  <c r="AH93" i="12"/>
  <c r="AP93" i="12"/>
  <c r="AX93" i="12"/>
  <c r="D80" i="12"/>
  <c r="P80" i="12"/>
  <c r="P92" i="12" s="1"/>
  <c r="P93" i="12" s="1"/>
  <c r="T80" i="12"/>
  <c r="T92" i="12" s="1"/>
  <c r="T93" i="12" s="1"/>
  <c r="X80" i="12"/>
  <c r="X92" i="12" s="1"/>
  <c r="X93" i="12" s="1"/>
  <c r="E80" i="12"/>
  <c r="E92" i="12" s="1"/>
  <c r="E93" i="12" s="1"/>
  <c r="G25" i="20"/>
  <c r="G32" i="20" s="1"/>
  <c r="E34" i="21"/>
  <c r="J79" i="12"/>
  <c r="J91" i="12" s="1"/>
  <c r="J93" i="12" s="1"/>
  <c r="C79" i="12"/>
  <c r="C91" i="12" s="1"/>
  <c r="C93" i="12" s="1"/>
  <c r="K79" i="12"/>
  <c r="K91" i="12" s="1"/>
  <c r="K93" i="12" s="1"/>
  <c r="G49" i="13"/>
  <c r="G116" i="13"/>
  <c r="G51" i="13"/>
  <c r="N93" i="12"/>
  <c r="V93" i="12"/>
  <c r="F16" i="5"/>
  <c r="B102" i="15" s="1"/>
  <c r="B108" i="15" s="1"/>
  <c r="H91" i="12"/>
  <c r="H93" i="12" s="1"/>
  <c r="G115" i="13"/>
  <c r="E122" i="13"/>
  <c r="G119" i="13"/>
  <c r="G48" i="13"/>
  <c r="G54" i="13"/>
  <c r="F122" i="13"/>
  <c r="F123" i="13" s="1"/>
  <c r="G50" i="13"/>
  <c r="K117" i="13"/>
  <c r="K50" i="13"/>
  <c r="G117" i="13"/>
  <c r="G121" i="13"/>
  <c r="G52" i="13"/>
  <c r="G45" i="12"/>
  <c r="D45" i="12"/>
  <c r="LS22" i="5"/>
  <c r="LS23" i="5" s="1"/>
  <c r="M72" i="15"/>
  <c r="F72" i="15"/>
  <c r="G72" i="15"/>
  <c r="BD70" i="12"/>
  <c r="CJ11" i="5"/>
  <c r="CJ12" i="5" s="1"/>
  <c r="AU70" i="12"/>
  <c r="AG70" i="12"/>
  <c r="AC70" i="12"/>
  <c r="AK70" i="12"/>
  <c r="AE70" i="12"/>
  <c r="AM70" i="12"/>
  <c r="AH70" i="12"/>
  <c r="AV70" i="12"/>
  <c r="AA70" i="12"/>
  <c r="AI70" i="12"/>
  <c r="AR70" i="12"/>
  <c r="AD70" i="12"/>
  <c r="AL70" i="12"/>
  <c r="G46" i="12"/>
  <c r="U70" i="12"/>
  <c r="J46" i="12"/>
  <c r="N70" i="12"/>
  <c r="AB70" i="12"/>
  <c r="AJ70" i="12"/>
  <c r="AX70" i="12"/>
  <c r="L70" i="12"/>
  <c r="V70" i="12"/>
  <c r="Z70" i="12"/>
  <c r="BA70" i="12"/>
  <c r="S70" i="12"/>
  <c r="AY70" i="12"/>
  <c r="AF70" i="12"/>
  <c r="AN70" i="12"/>
  <c r="W70" i="12"/>
  <c r="T70" i="12"/>
  <c r="P70" i="12"/>
  <c r="AP70" i="12"/>
  <c r="P47" i="12"/>
  <c r="AO47" i="12"/>
  <c r="R70" i="12"/>
  <c r="C70" i="12"/>
  <c r="X70" i="12"/>
  <c r="M70" i="12"/>
  <c r="AS70" i="12"/>
  <c r="J45" i="12"/>
  <c r="AZ70" i="12"/>
  <c r="BB38" i="12"/>
  <c r="BB46" i="12" s="1"/>
  <c r="BB47" i="12" s="1"/>
  <c r="I46" i="12"/>
  <c r="BI13" i="12"/>
  <c r="O70" i="12"/>
  <c r="BI12" i="12"/>
  <c r="AQ70" i="12"/>
  <c r="BB70" i="12"/>
  <c r="BC70" i="12"/>
  <c r="I45" i="12"/>
  <c r="M45" i="12"/>
  <c r="BI68" i="12"/>
  <c r="D70" i="12"/>
  <c r="J70" i="12"/>
  <c r="AT70" i="12"/>
  <c r="LS27" i="5"/>
  <c r="LS28" i="5" s="1"/>
  <c r="H70" i="12"/>
  <c r="F70" i="12"/>
  <c r="Y70" i="12"/>
  <c r="Q70" i="12"/>
  <c r="AO70" i="12"/>
  <c r="AT47" i="12"/>
  <c r="E70" i="12"/>
  <c r="I70" i="12"/>
  <c r="AH47" i="12"/>
  <c r="G70" i="12"/>
  <c r="K70" i="12"/>
  <c r="AW69" i="12"/>
  <c r="AW70" i="12" s="1"/>
  <c r="LS11" i="5"/>
  <c r="LS12" i="5" s="1"/>
  <c r="BH68" i="12"/>
  <c r="BH70" i="12" s="1"/>
  <c r="AQ45" i="12"/>
  <c r="AQ47" i="12" s="1"/>
  <c r="AU47" i="12"/>
  <c r="FN6" i="5"/>
  <c r="FA6" i="5"/>
  <c r="BU6" i="5"/>
  <c r="BH6" i="5"/>
  <c r="CJ6" i="5"/>
  <c r="AH6" i="5"/>
  <c r="CK22" i="5"/>
  <c r="CK23" i="5" s="1"/>
  <c r="CJ22" i="5"/>
  <c r="CJ23" i="5" s="1"/>
  <c r="CL27" i="5"/>
  <c r="CL28" i="5" s="1"/>
  <c r="FN11" i="5"/>
  <c r="FN12" i="5" s="1"/>
  <c r="BI69" i="12"/>
  <c r="NY11" i="5"/>
  <c r="NY12" i="5" s="1"/>
  <c r="LS15" i="5"/>
  <c r="AF9" i="12"/>
  <c r="AF23" i="12" s="1"/>
  <c r="AL9" i="12"/>
  <c r="AL23" i="12" s="1"/>
  <c r="BH8" i="12"/>
  <c r="BH22" i="12" s="1"/>
  <c r="F9" i="12"/>
  <c r="F23" i="12" s="1"/>
  <c r="M9" i="12"/>
  <c r="M23" i="12" s="1"/>
  <c r="M8" i="12"/>
  <c r="M22" i="12" s="1"/>
  <c r="DZ6" i="5"/>
  <c r="DH6" i="5"/>
  <c r="ER6" i="5"/>
  <c r="EI6" i="5"/>
  <c r="CY6" i="5"/>
  <c r="CK6" i="5"/>
  <c r="AU6" i="5"/>
  <c r="BI33" i="12"/>
  <c r="BI34" i="12"/>
  <c r="AH22" i="5"/>
  <c r="AH23" i="5" s="1"/>
  <c r="BH22" i="5"/>
  <c r="BH23" i="5" s="1"/>
  <c r="BU22" i="5"/>
  <c r="BU23" i="5" s="1"/>
  <c r="CY22" i="5"/>
  <c r="CY23" i="5" s="1"/>
  <c r="EI22" i="5"/>
  <c r="EI23" i="5" s="1"/>
  <c r="ER22" i="5"/>
  <c r="ER23" i="5" s="1"/>
  <c r="DZ22" i="5"/>
  <c r="DZ23" i="5" s="1"/>
  <c r="FN27" i="5"/>
  <c r="FN28" i="5" s="1"/>
  <c r="NY27" i="5"/>
  <c r="NY28" i="5" s="1"/>
  <c r="NY15" i="5"/>
  <c r="BH47" i="12" l="1"/>
  <c r="AI47" i="12"/>
  <c r="AS47" i="12"/>
  <c r="X47" i="12"/>
  <c r="E22" i="14"/>
  <c r="F22" i="14"/>
  <c r="BD47" i="12"/>
  <c r="AA47" i="12"/>
  <c r="D47" i="12"/>
  <c r="S47" i="12"/>
  <c r="BA47" i="12"/>
  <c r="AV47" i="12"/>
  <c r="AF47" i="12"/>
  <c r="KX17" i="5"/>
  <c r="KX41" i="5" s="1"/>
  <c r="G78" i="15"/>
  <c r="AN47" i="12"/>
  <c r="AJ47" i="12"/>
  <c r="AR47" i="12"/>
  <c r="AE47" i="12"/>
  <c r="AC47" i="12"/>
  <c r="U47" i="12"/>
  <c r="AG47" i="12"/>
  <c r="AW47" i="12"/>
  <c r="AK47" i="12"/>
  <c r="AL47" i="12"/>
  <c r="Y47" i="12"/>
  <c r="N47" i="12"/>
  <c r="Z47" i="12"/>
  <c r="R47" i="12"/>
  <c r="BI37" i="12"/>
  <c r="BI45" i="12" s="1"/>
  <c r="T47" i="12"/>
  <c r="V47" i="12"/>
  <c r="O47" i="12"/>
  <c r="N132" i="19"/>
  <c r="N156" i="19" s="1"/>
  <c r="AM47" i="12"/>
  <c r="AD47" i="12"/>
  <c r="BC47" i="12"/>
  <c r="AY47" i="12"/>
  <c r="W47" i="12"/>
  <c r="H132" i="19"/>
  <c r="H156" i="19" s="1"/>
  <c r="J129" i="19"/>
  <c r="J153" i="19" s="1"/>
  <c r="I153" i="19"/>
  <c r="R129" i="19"/>
  <c r="P153" i="19"/>
  <c r="G131" i="19"/>
  <c r="G155" i="19" s="1"/>
  <c r="E132" i="19"/>
  <c r="E156" i="19" s="1"/>
  <c r="F132" i="19"/>
  <c r="F156" i="19" s="1"/>
  <c r="C45" i="12"/>
  <c r="C47" i="12" s="1"/>
  <c r="L132" i="19"/>
  <c r="L156" i="19" s="1"/>
  <c r="O156" i="19"/>
  <c r="G129" i="19"/>
  <c r="G153" i="19" s="1"/>
  <c r="NY16" i="5"/>
  <c r="NY17" i="5" s="1"/>
  <c r="NY41" i="5" s="1"/>
  <c r="LS16" i="5"/>
  <c r="LS17" i="5" s="1"/>
  <c r="LS41" i="5" s="1"/>
  <c r="I132" i="19"/>
  <c r="I156" i="19" s="1"/>
  <c r="L81" i="18"/>
  <c r="B78" i="15"/>
  <c r="LS43" i="5"/>
  <c r="F78" i="15"/>
  <c r="B47" i="15"/>
  <c r="H10" i="15"/>
  <c r="H73" i="15"/>
  <c r="K81" i="18"/>
  <c r="EH17" i="5"/>
  <c r="EH41" i="5" s="1"/>
  <c r="M80" i="18"/>
  <c r="J10" i="15"/>
  <c r="J73" i="15"/>
  <c r="F21" i="13"/>
  <c r="F22" i="13" s="1"/>
  <c r="E21" i="13"/>
  <c r="E22" i="13" s="1"/>
  <c r="CW17" i="5"/>
  <c r="CW41" i="5" s="1"/>
  <c r="AG17" i="5"/>
  <c r="AG41" i="5" s="1"/>
  <c r="OH17" i="5"/>
  <c r="OH41" i="5" s="1"/>
  <c r="I73" i="15"/>
  <c r="I10" i="15"/>
  <c r="E73" i="15"/>
  <c r="E78" i="15" s="1"/>
  <c r="M78" i="18"/>
  <c r="M79" i="18"/>
  <c r="AT17" i="5"/>
  <c r="AT41" i="5" s="1"/>
  <c r="BF17" i="5"/>
  <c r="BF41" i="5" s="1"/>
  <c r="J81" i="18"/>
  <c r="M78" i="15"/>
  <c r="CA17" i="5"/>
  <c r="CA41" i="5" s="1"/>
  <c r="I34" i="21"/>
  <c r="BX17" i="5"/>
  <c r="BX41" i="5" s="1"/>
  <c r="M57" i="18"/>
  <c r="F41" i="15"/>
  <c r="DY17" i="5"/>
  <c r="DY41" i="5" s="1"/>
  <c r="G41" i="15"/>
  <c r="W59" i="20"/>
  <c r="W63" i="20" s="1"/>
  <c r="T58" i="17"/>
  <c r="GI17" i="5"/>
  <c r="GI41" i="5" s="1"/>
  <c r="BS17" i="5"/>
  <c r="BS41" i="5" s="1"/>
  <c r="CF17" i="5"/>
  <c r="CF41" i="5" s="1"/>
  <c r="AF17" i="5"/>
  <c r="AF41" i="5" s="1"/>
  <c r="BU9" i="5"/>
  <c r="BU43" i="5" s="1"/>
  <c r="R20" i="17"/>
  <c r="CE17" i="5"/>
  <c r="CE41" i="5" s="1"/>
  <c r="FL17" i="5"/>
  <c r="FL41" i="5" s="1"/>
  <c r="FN9" i="5"/>
  <c r="FN43" i="5" s="1"/>
  <c r="G19" i="14"/>
  <c r="LR41" i="5"/>
  <c r="O49" i="20"/>
  <c r="FM17" i="5"/>
  <c r="FM41" i="5" s="1"/>
  <c r="EG17" i="5"/>
  <c r="EG41" i="5" s="1"/>
  <c r="DX17" i="5"/>
  <c r="DX41" i="5" s="1"/>
  <c r="CV17" i="5"/>
  <c r="CV41" i="5" s="1"/>
  <c r="CH17" i="5"/>
  <c r="CH41" i="5" s="1"/>
  <c r="BH9" i="5"/>
  <c r="BH43" i="5" s="1"/>
  <c r="AH9" i="5"/>
  <c r="AH43" i="5" s="1"/>
  <c r="CJ9" i="5"/>
  <c r="CJ43" i="5" s="1"/>
  <c r="CX17" i="5"/>
  <c r="CX41" i="5" s="1"/>
  <c r="ER9" i="5"/>
  <c r="ER43" i="5" s="1"/>
  <c r="DZ9" i="5"/>
  <c r="DZ43" i="5" s="1"/>
  <c r="CY9" i="5"/>
  <c r="CY43" i="5" s="1"/>
  <c r="BH11" i="5"/>
  <c r="BH12" i="5" s="1"/>
  <c r="ER11" i="5"/>
  <c r="ER12" i="5" s="1"/>
  <c r="CK9" i="5"/>
  <c r="CK43" i="5" s="1"/>
  <c r="CK11" i="5"/>
  <c r="CK12" i="5" s="1"/>
  <c r="BV17" i="5"/>
  <c r="BV41" i="5" s="1"/>
  <c r="CY11" i="5"/>
  <c r="CY12" i="5" s="1"/>
  <c r="BU11" i="5"/>
  <c r="BU12" i="5" s="1"/>
  <c r="DH9" i="5"/>
  <c r="DH43" i="5" s="1"/>
  <c r="AU9" i="5"/>
  <c r="AU43" i="5" s="1"/>
  <c r="EI11" i="5"/>
  <c r="EI12" i="5" s="1"/>
  <c r="CC17" i="5"/>
  <c r="CC41" i="5" s="1"/>
  <c r="CD17" i="5"/>
  <c r="CD41" i="5" s="1"/>
  <c r="DH11" i="5"/>
  <c r="DH12" i="5" s="1"/>
  <c r="EY17" i="5"/>
  <c r="CI17" i="5"/>
  <c r="CI41" i="5" s="1"/>
  <c r="L72" i="15"/>
  <c r="L78" i="15" s="1"/>
  <c r="EQ17" i="5"/>
  <c r="EQ41" i="5" s="1"/>
  <c r="DZ11" i="5"/>
  <c r="DZ12" i="5" s="1"/>
  <c r="BY17" i="5"/>
  <c r="BY41" i="5" s="1"/>
  <c r="BZ17" i="5"/>
  <c r="BZ41" i="5" s="1"/>
  <c r="CB17" i="5"/>
  <c r="CB41" i="5" s="1"/>
  <c r="EP17" i="5"/>
  <c r="EP41" i="5" s="1"/>
  <c r="DF17" i="5"/>
  <c r="DF41" i="5" s="1"/>
  <c r="BT17" i="5"/>
  <c r="BT41" i="5" s="1"/>
  <c r="AS17" i="5"/>
  <c r="AS41" i="5" s="1"/>
  <c r="EI9" i="5"/>
  <c r="EI43" i="5" s="1"/>
  <c r="AU11" i="5"/>
  <c r="AU12" i="5" s="1"/>
  <c r="AH11" i="5"/>
  <c r="AH12" i="5" s="1"/>
  <c r="BW17" i="5"/>
  <c r="BW41" i="5" s="1"/>
  <c r="CG17" i="5"/>
  <c r="CG41" i="5" s="1"/>
  <c r="DG17" i="5"/>
  <c r="DG41" i="5" s="1"/>
  <c r="EZ17" i="5"/>
  <c r="EZ41" i="5" s="1"/>
  <c r="BG17" i="5"/>
  <c r="BG41" i="5" s="1"/>
  <c r="AP47" i="12"/>
  <c r="Q131" i="19"/>
  <c r="G16" i="13"/>
  <c r="G13" i="13"/>
  <c r="J135" i="18"/>
  <c r="J159" i="18" s="1"/>
  <c r="BB9" i="12"/>
  <c r="BB23" i="12" s="1"/>
  <c r="L47" i="12"/>
  <c r="R130" i="19"/>
  <c r="R154" i="19" s="1"/>
  <c r="L41" i="15"/>
  <c r="L47" i="15" s="1"/>
  <c r="G21" i="19"/>
  <c r="M41" i="15"/>
  <c r="M47" i="15" s="1"/>
  <c r="S126" i="17"/>
  <c r="AD9" i="12"/>
  <c r="AD23" i="12" s="1"/>
  <c r="AX9" i="12"/>
  <c r="AX23" i="12" s="1"/>
  <c r="Z9" i="12"/>
  <c r="Z23" i="12" s="1"/>
  <c r="W27" i="20"/>
  <c r="V9" i="12"/>
  <c r="V23" i="12" s="1"/>
  <c r="S19" i="19"/>
  <c r="S56" i="19"/>
  <c r="AH9" i="12"/>
  <c r="AH23" i="12" s="1"/>
  <c r="N9" i="12"/>
  <c r="N23" i="12" s="1"/>
  <c r="S74" i="17"/>
  <c r="AT9" i="12"/>
  <c r="AT23" i="12" s="1"/>
  <c r="BD9" i="12"/>
  <c r="BD23" i="12" s="1"/>
  <c r="N77" i="17"/>
  <c r="R124" i="17"/>
  <c r="S18" i="19"/>
  <c r="T18" i="17"/>
  <c r="T17" i="17"/>
  <c r="U119" i="20"/>
  <c r="V125" i="20"/>
  <c r="L127" i="17"/>
  <c r="L151" i="17" s="1"/>
  <c r="T19" i="17"/>
  <c r="K77" i="17"/>
  <c r="N10" i="15"/>
  <c r="H72" i="15"/>
  <c r="P116" i="15"/>
  <c r="O116" i="15"/>
  <c r="O122" i="15" s="1"/>
  <c r="G15" i="14"/>
  <c r="G12" i="14"/>
  <c r="L25" i="20"/>
  <c r="L32" i="20" s="1"/>
  <c r="D9" i="15"/>
  <c r="D16" i="15" s="1"/>
  <c r="H12" i="19"/>
  <c r="H40" i="19" s="1"/>
  <c r="E9" i="17"/>
  <c r="E37" i="17" s="1"/>
  <c r="O12" i="21"/>
  <c r="O19" i="21" s="1"/>
  <c r="L9" i="17"/>
  <c r="L37" i="17" s="1"/>
  <c r="N10" i="17"/>
  <c r="N38" i="17" s="1"/>
  <c r="M11" i="19"/>
  <c r="M39" i="19" s="1"/>
  <c r="F25" i="20"/>
  <c r="F32" i="20" s="1"/>
  <c r="M12" i="21"/>
  <c r="M19" i="21" s="1"/>
  <c r="J11" i="18"/>
  <c r="J39" i="18" s="1"/>
  <c r="J9" i="17"/>
  <c r="J37" i="17" s="1"/>
  <c r="I12" i="21"/>
  <c r="I19" i="21" s="1"/>
  <c r="I27" i="21"/>
  <c r="R9" i="15"/>
  <c r="R16" i="15" s="1"/>
  <c r="Q11" i="17"/>
  <c r="Q39" i="17" s="1"/>
  <c r="C12" i="21"/>
  <c r="C19" i="21" s="1"/>
  <c r="P25" i="20"/>
  <c r="P32" i="20" s="1"/>
  <c r="M22" i="18"/>
  <c r="K12" i="19"/>
  <c r="K40" i="19" s="1"/>
  <c r="H12" i="21"/>
  <c r="H19" i="21" s="1"/>
  <c r="M25" i="20"/>
  <c r="M32" i="20" s="1"/>
  <c r="F10" i="20"/>
  <c r="F17" i="20" s="1"/>
  <c r="H10" i="20"/>
  <c r="H17" i="20" s="1"/>
  <c r="P12" i="19"/>
  <c r="P40" i="19" s="1"/>
  <c r="L10" i="19"/>
  <c r="L38" i="19" s="1"/>
  <c r="O11" i="17"/>
  <c r="O39" i="17" s="1"/>
  <c r="L10" i="17"/>
  <c r="L38" i="17" s="1"/>
  <c r="G10" i="17"/>
  <c r="G38" i="17" s="1"/>
  <c r="I24" i="15"/>
  <c r="I31" i="15" s="1"/>
  <c r="L11" i="17"/>
  <c r="L39" i="17" s="1"/>
  <c r="T17" i="16"/>
  <c r="U10" i="16"/>
  <c r="U17" i="16" s="1"/>
  <c r="S76" i="17"/>
  <c r="Q77" i="17"/>
  <c r="M12" i="19"/>
  <c r="M40" i="19" s="1"/>
  <c r="G12" i="21"/>
  <c r="G19" i="21" s="1"/>
  <c r="L10" i="20"/>
  <c r="L17" i="20" s="1"/>
  <c r="F11" i="19"/>
  <c r="F39" i="19" s="1"/>
  <c r="L12" i="19"/>
  <c r="L40" i="19" s="1"/>
  <c r="P9" i="15"/>
  <c r="P16" i="15" s="1"/>
  <c r="L11" i="18"/>
  <c r="L39" i="18" s="1"/>
  <c r="M65" i="18"/>
  <c r="Q79" i="19"/>
  <c r="Q64" i="19"/>
  <c r="Q80" i="19" s="1"/>
  <c r="L12" i="21"/>
  <c r="L19" i="21" s="1"/>
  <c r="K13" i="18"/>
  <c r="K41" i="18" s="1"/>
  <c r="P28" i="16"/>
  <c r="P34" i="16" s="1"/>
  <c r="E12" i="19"/>
  <c r="E40" i="19" s="1"/>
  <c r="I11" i="19"/>
  <c r="I39" i="19" s="1"/>
  <c r="L11" i="19"/>
  <c r="L39" i="19" s="1"/>
  <c r="P11" i="17"/>
  <c r="P39" i="17" s="1"/>
  <c r="H11" i="17"/>
  <c r="H39" i="17" s="1"/>
  <c r="K10" i="17"/>
  <c r="K38" i="17" s="1"/>
  <c r="H9" i="17"/>
  <c r="H37" i="17" s="1"/>
  <c r="F24" i="15"/>
  <c r="F31" i="15" s="1"/>
  <c r="E10" i="19"/>
  <c r="E38" i="19" s="1"/>
  <c r="S20" i="19"/>
  <c r="R21" i="19"/>
  <c r="F43" i="15"/>
  <c r="F11" i="15"/>
  <c r="I72" i="15"/>
  <c r="G9" i="17"/>
  <c r="G37" i="17" s="1"/>
  <c r="F12" i="19"/>
  <c r="F40" i="19" s="1"/>
  <c r="Q9" i="15"/>
  <c r="Q16" i="15" s="1"/>
  <c r="L13" i="18"/>
  <c r="L41" i="18" s="1"/>
  <c r="H25" i="20"/>
  <c r="H32" i="20" s="1"/>
  <c r="K9" i="17"/>
  <c r="K37" i="17" s="1"/>
  <c r="K25" i="20"/>
  <c r="K32" i="20" s="1"/>
  <c r="P11" i="19"/>
  <c r="P39" i="19" s="1"/>
  <c r="B12" i="21"/>
  <c r="B19" i="21" s="1"/>
  <c r="E24" i="15"/>
  <c r="E31" i="15" s="1"/>
  <c r="K12" i="21"/>
  <c r="K19" i="21" s="1"/>
  <c r="R12" i="21"/>
  <c r="R19" i="21" s="1"/>
  <c r="D12" i="21"/>
  <c r="D19" i="21" s="1"/>
  <c r="Q25" i="20"/>
  <c r="Q32" i="20" s="1"/>
  <c r="Q12" i="20"/>
  <c r="G10" i="20"/>
  <c r="G17" i="20" s="1"/>
  <c r="P105" i="20"/>
  <c r="U125" i="20"/>
  <c r="I150" i="17"/>
  <c r="I127" i="17"/>
  <c r="I151" i="17" s="1"/>
  <c r="R125" i="17"/>
  <c r="S125" i="17"/>
  <c r="N11" i="15"/>
  <c r="H10" i="16"/>
  <c r="H17" i="16" s="1"/>
  <c r="G17" i="16"/>
  <c r="S61" i="19"/>
  <c r="S77" i="19" s="1"/>
  <c r="R77" i="19"/>
  <c r="Q26" i="15"/>
  <c r="R64" i="19"/>
  <c r="R80" i="19" s="1"/>
  <c r="S63" i="19"/>
  <c r="R79" i="19"/>
  <c r="M111" i="20"/>
  <c r="O105" i="20"/>
  <c r="O111" i="20" s="1"/>
  <c r="T110" i="21"/>
  <c r="T116" i="21" s="1"/>
  <c r="J131" i="19"/>
  <c r="I155" i="19"/>
  <c r="D127" i="17"/>
  <c r="D151" i="17" s="1"/>
  <c r="D148" i="17"/>
  <c r="R148" i="17" s="1"/>
  <c r="T60" i="17"/>
  <c r="E11" i="15"/>
  <c r="Q130" i="19"/>
  <c r="O154" i="19"/>
  <c r="N155" i="19"/>
  <c r="R149" i="17"/>
  <c r="F127" i="17"/>
  <c r="F151" i="17" s="1"/>
  <c r="M133" i="18"/>
  <c r="M157" i="18" s="1"/>
  <c r="K127" i="17"/>
  <c r="K151" i="17" s="1"/>
  <c r="K150" i="17"/>
  <c r="G64" i="19"/>
  <c r="G80" i="19" s="1"/>
  <c r="G79" i="19"/>
  <c r="S124" i="17"/>
  <c r="M148" i="17"/>
  <c r="S148" i="17" s="1"/>
  <c r="Q57" i="15"/>
  <c r="Q61" i="15" s="1"/>
  <c r="P61" i="15"/>
  <c r="E102" i="15"/>
  <c r="E108" i="15" s="1"/>
  <c r="J10" i="17"/>
  <c r="J38" i="17" s="1"/>
  <c r="N10" i="20"/>
  <c r="N17" i="20" s="1"/>
  <c r="K10" i="19"/>
  <c r="K38" i="19" s="1"/>
  <c r="K11" i="18"/>
  <c r="K39" i="18" s="1"/>
  <c r="C9" i="15"/>
  <c r="C16" i="15" s="1"/>
  <c r="E25" i="20"/>
  <c r="E32" i="20" s="1"/>
  <c r="K12" i="18"/>
  <c r="K40" i="18" s="1"/>
  <c r="J11" i="17"/>
  <c r="J39" i="17" s="1"/>
  <c r="F12" i="21"/>
  <c r="F19" i="21" s="1"/>
  <c r="H11" i="19"/>
  <c r="H39" i="19" s="1"/>
  <c r="O10" i="19"/>
  <c r="O38" i="19" s="1"/>
  <c r="F10" i="19"/>
  <c r="F38" i="19" s="1"/>
  <c r="M10" i="19"/>
  <c r="M38" i="19" s="1"/>
  <c r="L12" i="18"/>
  <c r="L40" i="18" s="1"/>
  <c r="P12" i="21"/>
  <c r="P19" i="21" s="1"/>
  <c r="O12" i="19"/>
  <c r="O40" i="19" s="1"/>
  <c r="G15" i="13"/>
  <c r="G17" i="13"/>
  <c r="S62" i="19"/>
  <c r="S78" i="19" s="1"/>
  <c r="R78" i="19"/>
  <c r="I10" i="19"/>
  <c r="I38" i="19" s="1"/>
  <c r="N11" i="19"/>
  <c r="N39" i="19" s="1"/>
  <c r="I11" i="17"/>
  <c r="I39" i="17" s="1"/>
  <c r="O10" i="17"/>
  <c r="O38" i="17" s="1"/>
  <c r="F9" i="17"/>
  <c r="F37" i="17" s="1"/>
  <c r="L24" i="15"/>
  <c r="L31" i="15" s="1"/>
  <c r="J24" i="15"/>
  <c r="J31" i="15" s="1"/>
  <c r="N43" i="15"/>
  <c r="H28" i="16"/>
  <c r="H34" i="16" s="1"/>
  <c r="O10" i="16"/>
  <c r="M17" i="16"/>
  <c r="J64" i="19"/>
  <c r="J80" i="19" s="1"/>
  <c r="I80" i="19"/>
  <c r="S61" i="17"/>
  <c r="M10" i="20"/>
  <c r="M17" i="20" s="1"/>
  <c r="I10" i="17"/>
  <c r="I38" i="17" s="1"/>
  <c r="J10" i="20"/>
  <c r="J17" i="20" s="1"/>
  <c r="O25" i="20"/>
  <c r="O32" i="20" s="1"/>
  <c r="I12" i="19"/>
  <c r="I40" i="19" s="1"/>
  <c r="P10" i="19"/>
  <c r="P38" i="19" s="1"/>
  <c r="D9" i="17"/>
  <c r="D37" i="17" s="1"/>
  <c r="J12" i="18"/>
  <c r="J40" i="18" s="1"/>
  <c r="H10" i="17"/>
  <c r="H38" i="17" s="1"/>
  <c r="P77" i="17"/>
  <c r="R76" i="17"/>
  <c r="Q45" i="20"/>
  <c r="Q49" i="20" s="1"/>
  <c r="P49" i="20"/>
  <c r="O11" i="19"/>
  <c r="O39" i="19" s="1"/>
  <c r="D25" i="20"/>
  <c r="D32" i="20" s="1"/>
  <c r="E12" i="21"/>
  <c r="E19" i="21" s="1"/>
  <c r="N12" i="19"/>
  <c r="N40" i="19" s="1"/>
  <c r="F10" i="17"/>
  <c r="F38" i="17" s="1"/>
  <c r="K11" i="17"/>
  <c r="K39" i="17" s="1"/>
  <c r="I9" i="17"/>
  <c r="I37" i="17" s="1"/>
  <c r="G24" i="15"/>
  <c r="G31" i="15" s="1"/>
  <c r="O77" i="17"/>
  <c r="S75" i="17"/>
  <c r="E10" i="20"/>
  <c r="E17" i="20" s="1"/>
  <c r="M9" i="17"/>
  <c r="M37" i="17" s="1"/>
  <c r="E43" i="15"/>
  <c r="E47" i="15" s="1"/>
  <c r="G43" i="15"/>
  <c r="G11" i="15"/>
  <c r="I25" i="20"/>
  <c r="I32" i="20" s="1"/>
  <c r="U12" i="21"/>
  <c r="U19" i="21" s="1"/>
  <c r="H24" i="15"/>
  <c r="H31" i="15" s="1"/>
  <c r="I10" i="20"/>
  <c r="I17" i="20" s="1"/>
  <c r="N11" i="17"/>
  <c r="N39" i="17" s="1"/>
  <c r="T12" i="21"/>
  <c r="T19" i="21" s="1"/>
  <c r="M11" i="17"/>
  <c r="M39" i="17" s="1"/>
  <c r="J13" i="18"/>
  <c r="J41" i="18" s="1"/>
  <c r="E11" i="19"/>
  <c r="E39" i="19" s="1"/>
  <c r="M24" i="15"/>
  <c r="M31" i="15" s="1"/>
  <c r="K10" i="20"/>
  <c r="K17" i="20" s="1"/>
  <c r="M10" i="17"/>
  <c r="M38" i="17" s="1"/>
  <c r="X12" i="21"/>
  <c r="X19" i="21" s="1"/>
  <c r="V12" i="21"/>
  <c r="V19" i="21" s="1"/>
  <c r="K24" i="15"/>
  <c r="K31" i="15" s="1"/>
  <c r="S9" i="15"/>
  <c r="S16" i="15" s="1"/>
  <c r="J12" i="21"/>
  <c r="J19" i="21" s="1"/>
  <c r="J25" i="20"/>
  <c r="J32" i="20" s="1"/>
  <c r="N10" i="19"/>
  <c r="N38" i="19" s="1"/>
  <c r="Q21" i="19"/>
  <c r="N12" i="21"/>
  <c r="N19" i="21" s="1"/>
  <c r="H10" i="19"/>
  <c r="H38" i="19" s="1"/>
  <c r="K156" i="19"/>
  <c r="K155" i="19"/>
  <c r="M158" i="18"/>
  <c r="P156" i="19"/>
  <c r="R131" i="19"/>
  <c r="P155" i="19"/>
  <c r="O127" i="17"/>
  <c r="O151" i="17" s="1"/>
  <c r="O150" i="17"/>
  <c r="G127" i="17"/>
  <c r="G151" i="17" s="1"/>
  <c r="U28" i="16"/>
  <c r="U34" i="16" s="1"/>
  <c r="L77" i="17"/>
  <c r="V119" i="20"/>
  <c r="M155" i="19"/>
  <c r="M156" i="19"/>
  <c r="G130" i="19"/>
  <c r="G154" i="19" s="1"/>
  <c r="F154" i="19"/>
  <c r="L155" i="19"/>
  <c r="M132" i="18"/>
  <c r="M156" i="18" s="1"/>
  <c r="L156" i="18"/>
  <c r="O28" i="16"/>
  <c r="O34" i="16" s="1"/>
  <c r="R61" i="17"/>
  <c r="K158" i="18"/>
  <c r="K135" i="18"/>
  <c r="K159" i="18" s="1"/>
  <c r="P10" i="16"/>
  <c r="P17" i="16" s="1"/>
  <c r="N17" i="16"/>
  <c r="E155" i="19"/>
  <c r="N73" i="15"/>
  <c r="I154" i="19"/>
  <c r="J130" i="19"/>
  <c r="J154" i="19" s="1"/>
  <c r="P127" i="17"/>
  <c r="P151" i="17" s="1"/>
  <c r="P150" i="17"/>
  <c r="R126" i="17"/>
  <c r="H127" i="17"/>
  <c r="H151" i="17" s="1"/>
  <c r="H150" i="17"/>
  <c r="T59" i="17"/>
  <c r="T53" i="17"/>
  <c r="J21" i="19"/>
  <c r="S20" i="17"/>
  <c r="N25" i="20"/>
  <c r="N32" i="20" s="1"/>
  <c r="G12" i="13"/>
  <c r="G14" i="13"/>
  <c r="AP9" i="12"/>
  <c r="AP23" i="12" s="1"/>
  <c r="J9" i="12"/>
  <c r="J23" i="12" s="1"/>
  <c r="G13" i="14"/>
  <c r="Q9" i="12"/>
  <c r="Q23" i="12" s="1"/>
  <c r="Z8" i="12"/>
  <c r="Z22" i="12" s="1"/>
  <c r="AE9" i="12"/>
  <c r="AE23" i="12" s="1"/>
  <c r="R9" i="12"/>
  <c r="R23" i="12" s="1"/>
  <c r="X8" i="12"/>
  <c r="X22" i="12" s="1"/>
  <c r="G14" i="14"/>
  <c r="G17" i="14"/>
  <c r="G16" i="14"/>
  <c r="O8" i="12"/>
  <c r="O22" i="12" s="1"/>
  <c r="K15" i="13"/>
  <c r="AP8" i="12"/>
  <c r="AP22" i="12" s="1"/>
  <c r="AC8" i="12"/>
  <c r="AC22" i="12" s="1"/>
  <c r="T8" i="12"/>
  <c r="T22" i="12" s="1"/>
  <c r="AU9" i="12"/>
  <c r="AU23" i="12" s="1"/>
  <c r="AQ8" i="12"/>
  <c r="AQ22" i="12" s="1"/>
  <c r="AC9" i="12"/>
  <c r="AC23" i="12" s="1"/>
  <c r="AZ47" i="12"/>
  <c r="K9" i="12"/>
  <c r="K23" i="12" s="1"/>
  <c r="AN9" i="12"/>
  <c r="AN23" i="12" s="1"/>
  <c r="AV9" i="12"/>
  <c r="AV23" i="12" s="1"/>
  <c r="AY9" i="12"/>
  <c r="AY23" i="12" s="1"/>
  <c r="U8" i="12"/>
  <c r="U22" i="12" s="1"/>
  <c r="BC8" i="12"/>
  <c r="BC22" i="12" s="1"/>
  <c r="Q8" i="12"/>
  <c r="Q22" i="12" s="1"/>
  <c r="AS8" i="12"/>
  <c r="AS22" i="12" s="1"/>
  <c r="V8" i="12"/>
  <c r="V22" i="12" s="1"/>
  <c r="AM9" i="12"/>
  <c r="AM23" i="12" s="1"/>
  <c r="F17" i="5"/>
  <c r="F41" i="5" s="1"/>
  <c r="I8" i="12"/>
  <c r="I22" i="12" s="1"/>
  <c r="O9" i="12"/>
  <c r="O23" i="12" s="1"/>
  <c r="AK9" i="12"/>
  <c r="AK23" i="12" s="1"/>
  <c r="AA8" i="12"/>
  <c r="AA22" i="12" s="1"/>
  <c r="G9" i="12"/>
  <c r="G23" i="12" s="1"/>
  <c r="BA8" i="12"/>
  <c r="BA22" i="12" s="1"/>
  <c r="AO8" i="12"/>
  <c r="AO22" i="12" s="1"/>
  <c r="BD8" i="12"/>
  <c r="BD22" i="12" s="1"/>
  <c r="AI9" i="12"/>
  <c r="AI23" i="12" s="1"/>
  <c r="L9" i="12"/>
  <c r="L23" i="12" s="1"/>
  <c r="AY8" i="12"/>
  <c r="AY22" i="12" s="1"/>
  <c r="AG8" i="12"/>
  <c r="AG22" i="12" s="1"/>
  <c r="E8" i="12"/>
  <c r="E22" i="12" s="1"/>
  <c r="W9" i="12"/>
  <c r="W23" i="12" s="1"/>
  <c r="BC9" i="12"/>
  <c r="BC23" i="12" s="1"/>
  <c r="AS9" i="12"/>
  <c r="AS23" i="12" s="1"/>
  <c r="C9" i="12"/>
  <c r="C23" i="12" s="1"/>
  <c r="AK8" i="12"/>
  <c r="AK22" i="12" s="1"/>
  <c r="P8" i="12"/>
  <c r="P22" i="12" s="1"/>
  <c r="AB47" i="12"/>
  <c r="AA9" i="12"/>
  <c r="AA23" i="12" s="1"/>
  <c r="E9" i="12"/>
  <c r="E23" i="12" s="1"/>
  <c r="S9" i="12"/>
  <c r="S23" i="12" s="1"/>
  <c r="BA9" i="12"/>
  <c r="BA23" i="12" s="1"/>
  <c r="AQ9" i="12"/>
  <c r="AQ23" i="12" s="1"/>
  <c r="AG9" i="12"/>
  <c r="AG23" i="12" s="1"/>
  <c r="Y8" i="12"/>
  <c r="Y22" i="12" s="1"/>
  <c r="T9" i="12"/>
  <c r="T23" i="12" s="1"/>
  <c r="AR9" i="12"/>
  <c r="AR23" i="12" s="1"/>
  <c r="C8" i="12"/>
  <c r="C22" i="12" s="1"/>
  <c r="Y9" i="12"/>
  <c r="Y23" i="12" s="1"/>
  <c r="AW8" i="12"/>
  <c r="AW22" i="12" s="1"/>
  <c r="AM8" i="12"/>
  <c r="AM22" i="12" s="1"/>
  <c r="N8" i="12"/>
  <c r="N22" i="12" s="1"/>
  <c r="F8" i="12"/>
  <c r="U9" i="12"/>
  <c r="U23" i="12" s="1"/>
  <c r="D9" i="12"/>
  <c r="D23" i="12" s="1"/>
  <c r="AI8" i="12"/>
  <c r="AI22" i="12" s="1"/>
  <c r="R8" i="12"/>
  <c r="R22" i="12" s="1"/>
  <c r="AN8" i="12"/>
  <c r="AN22" i="12" s="1"/>
  <c r="X9" i="12"/>
  <c r="X23" i="12" s="1"/>
  <c r="P9" i="12"/>
  <c r="P23" i="12" s="1"/>
  <c r="H8" i="12"/>
  <c r="H22" i="12" s="1"/>
  <c r="W8" i="12"/>
  <c r="W22" i="12" s="1"/>
  <c r="AU8" i="12"/>
  <c r="AU22" i="12" s="1"/>
  <c r="D8" i="12"/>
  <c r="D22" i="12" s="1"/>
  <c r="D92" i="12"/>
  <c r="D93" i="12" s="1"/>
  <c r="BI80" i="12"/>
  <c r="BI92" i="12" s="1"/>
  <c r="BI79" i="12"/>
  <c r="BI91" i="12" s="1"/>
  <c r="L8" i="12"/>
  <c r="L22" i="12" s="1"/>
  <c r="I9" i="12"/>
  <c r="I23" i="12" s="1"/>
  <c r="AE8" i="12"/>
  <c r="AE22" i="12" s="1"/>
  <c r="K8" i="12"/>
  <c r="K22" i="12" s="1"/>
  <c r="AX8" i="12"/>
  <c r="AX22" i="12" s="1"/>
  <c r="AH8" i="12"/>
  <c r="AH22" i="12" s="1"/>
  <c r="S8" i="12"/>
  <c r="S22" i="12" s="1"/>
  <c r="H9" i="12"/>
  <c r="H23" i="12" s="1"/>
  <c r="AB8" i="12"/>
  <c r="AB22" i="12" s="1"/>
  <c r="J8" i="12"/>
  <c r="J22" i="12" s="1"/>
  <c r="AV8" i="12"/>
  <c r="AV22" i="12" s="1"/>
  <c r="AF8" i="12"/>
  <c r="BH9" i="12"/>
  <c r="AW9" i="12"/>
  <c r="AW23" i="12" s="1"/>
  <c r="AO9" i="12"/>
  <c r="AO23" i="12" s="1"/>
  <c r="G8" i="12"/>
  <c r="G22" i="12" s="1"/>
  <c r="AZ9" i="12"/>
  <c r="AZ23" i="12" s="1"/>
  <c r="AJ9" i="12"/>
  <c r="AJ23" i="12" s="1"/>
  <c r="AB9" i="12"/>
  <c r="AB23" i="12" s="1"/>
  <c r="H47" i="12"/>
  <c r="BB8" i="12"/>
  <c r="BB22" i="12" s="1"/>
  <c r="AT8" i="12"/>
  <c r="AT22" i="12" s="1"/>
  <c r="AL8" i="12"/>
  <c r="AD8" i="12"/>
  <c r="AD22" i="12" s="1"/>
  <c r="G56" i="13"/>
  <c r="G57" i="13" s="1"/>
  <c r="E57" i="13"/>
  <c r="E123" i="13"/>
  <c r="G123" i="13" s="1"/>
  <c r="G122" i="13"/>
  <c r="M102" i="15"/>
  <c r="AZ8" i="12"/>
  <c r="AZ22" i="12" s="1"/>
  <c r="AR8" i="12"/>
  <c r="AR22" i="12" s="1"/>
  <c r="AJ8" i="12"/>
  <c r="AJ22" i="12" s="1"/>
  <c r="J102" i="15"/>
  <c r="I102" i="15"/>
  <c r="I108" i="15" s="1"/>
  <c r="G47" i="12"/>
  <c r="F47" i="12"/>
  <c r="K47" i="12"/>
  <c r="J47" i="12"/>
  <c r="CL22" i="5"/>
  <c r="CL23" i="5" s="1"/>
  <c r="I47" i="12"/>
  <c r="BI38" i="12"/>
  <c r="BI46" i="12" s="1"/>
  <c r="M47" i="12"/>
  <c r="BI70" i="12"/>
  <c r="M24" i="12"/>
  <c r="CL6" i="5"/>
  <c r="R37" i="17" l="1"/>
  <c r="G132" i="19"/>
  <c r="AL22" i="12"/>
  <c r="AL24" i="12" s="1"/>
  <c r="F22" i="12"/>
  <c r="F24" i="12" s="1"/>
  <c r="BH23" i="12"/>
  <c r="BH24" i="12" s="1"/>
  <c r="R132" i="19"/>
  <c r="R156" i="19" s="1"/>
  <c r="D40" i="17"/>
  <c r="J132" i="19"/>
  <c r="J156" i="19" s="1"/>
  <c r="Q155" i="19"/>
  <c r="Q132" i="19"/>
  <c r="AF22" i="12"/>
  <c r="AF24" i="12" s="1"/>
  <c r="S129" i="19"/>
  <c r="S153" i="19" s="1"/>
  <c r="R153" i="19"/>
  <c r="H78" i="15"/>
  <c r="K10" i="15"/>
  <c r="K73" i="15"/>
  <c r="M81" i="18"/>
  <c r="I78" i="15"/>
  <c r="V24" i="12"/>
  <c r="G47" i="15"/>
  <c r="I41" i="15"/>
  <c r="W125" i="20"/>
  <c r="BU17" i="5"/>
  <c r="BU41" i="5" s="1"/>
  <c r="J41" i="15"/>
  <c r="H41" i="15"/>
  <c r="CL9" i="5"/>
  <c r="CL43" i="5" s="1"/>
  <c r="DH17" i="5"/>
  <c r="DH41" i="5" s="1"/>
  <c r="ER17" i="5"/>
  <c r="ER41" i="5" s="1"/>
  <c r="FN17" i="5"/>
  <c r="FN41" i="5" s="1"/>
  <c r="AH17" i="5"/>
  <c r="AH41" i="5" s="1"/>
  <c r="CK17" i="5"/>
  <c r="CK41" i="5" s="1"/>
  <c r="S21" i="19"/>
  <c r="N72" i="15"/>
  <c r="N78" i="15" s="1"/>
  <c r="DZ17" i="5"/>
  <c r="DZ41" i="5" s="1"/>
  <c r="BH17" i="5"/>
  <c r="BH41" i="5" s="1"/>
  <c r="CJ17" i="5"/>
  <c r="CJ41" i="5" s="1"/>
  <c r="EI17" i="5"/>
  <c r="EI41" i="5" s="1"/>
  <c r="CY17" i="5"/>
  <c r="CY41" i="5" s="1"/>
  <c r="J72" i="15"/>
  <c r="J78" i="15" s="1"/>
  <c r="AU17" i="5"/>
  <c r="AU41" i="5" s="1"/>
  <c r="CL11" i="5"/>
  <c r="CL12" i="5" s="1"/>
  <c r="W119" i="20"/>
  <c r="S127" i="17"/>
  <c r="BB24" i="12"/>
  <c r="J24" i="12"/>
  <c r="R150" i="17"/>
  <c r="Z24" i="12"/>
  <c r="AX24" i="12"/>
  <c r="AD24" i="12"/>
  <c r="AQ24" i="12"/>
  <c r="AH24" i="12"/>
  <c r="N41" i="15"/>
  <c r="N47" i="15" s="1"/>
  <c r="AN24" i="12"/>
  <c r="S151" i="17"/>
  <c r="AT24" i="12"/>
  <c r="Q24" i="12"/>
  <c r="S150" i="17"/>
  <c r="AE24" i="12"/>
  <c r="N24" i="12"/>
  <c r="S9" i="17"/>
  <c r="T74" i="17"/>
  <c r="BD24" i="12"/>
  <c r="R127" i="17"/>
  <c r="T124" i="17"/>
  <c r="T75" i="17"/>
  <c r="T20" i="17"/>
  <c r="T76" i="17"/>
  <c r="T125" i="17"/>
  <c r="S77" i="17"/>
  <c r="K24" i="12"/>
  <c r="T61" i="17"/>
  <c r="Q116" i="15"/>
  <c r="Q122" i="15" s="1"/>
  <c r="P122" i="15"/>
  <c r="J43" i="15"/>
  <c r="J11" i="15"/>
  <c r="L24" i="12"/>
  <c r="O24" i="15"/>
  <c r="O31" i="15" s="1"/>
  <c r="J14" i="18"/>
  <c r="J42" i="18" s="1"/>
  <c r="H11" i="15"/>
  <c r="F12" i="17"/>
  <c r="F40" i="17"/>
  <c r="Q11" i="19"/>
  <c r="Q39" i="19" s="1"/>
  <c r="R10" i="19"/>
  <c r="R38" i="19" s="1"/>
  <c r="U25" i="20"/>
  <c r="U32" i="20" s="1"/>
  <c r="O10" i="20"/>
  <c r="O17" i="20" s="1"/>
  <c r="O13" i="19"/>
  <c r="O41" i="19" s="1"/>
  <c r="Q12" i="19"/>
  <c r="Q40" i="19" s="1"/>
  <c r="M12" i="18"/>
  <c r="M40" i="18" s="1"/>
  <c r="G10" i="19"/>
  <c r="G38" i="19" s="1"/>
  <c r="J12" i="17"/>
  <c r="J40" i="17"/>
  <c r="P10" i="20"/>
  <c r="P17" i="20" s="1"/>
  <c r="P24" i="15"/>
  <c r="P31" i="15" s="1"/>
  <c r="V25" i="20"/>
  <c r="V32" i="20" s="1"/>
  <c r="Q12" i="17"/>
  <c r="S11" i="17"/>
  <c r="R9" i="17"/>
  <c r="E12" i="17"/>
  <c r="F9" i="15"/>
  <c r="F102" i="15"/>
  <c r="F108" i="15" s="1"/>
  <c r="I11" i="15"/>
  <c r="I43" i="15"/>
  <c r="G102" i="15"/>
  <c r="AK24" i="12"/>
  <c r="R151" i="17"/>
  <c r="M135" i="18"/>
  <c r="M159" i="18" s="1"/>
  <c r="H43" i="15"/>
  <c r="R77" i="17"/>
  <c r="I12" i="17"/>
  <c r="I40" i="17"/>
  <c r="Q156" i="19"/>
  <c r="Q154" i="19"/>
  <c r="S64" i="19"/>
  <c r="S80" i="19" s="1"/>
  <c r="S79" i="19"/>
  <c r="G156" i="19"/>
  <c r="H12" i="17"/>
  <c r="H40" i="17"/>
  <c r="Q28" i="16"/>
  <c r="Q34" i="16" s="1"/>
  <c r="G11" i="19"/>
  <c r="G39" i="19" s="1"/>
  <c r="M13" i="19"/>
  <c r="M41" i="19" s="1"/>
  <c r="L12" i="17"/>
  <c r="G12" i="17"/>
  <c r="G40" i="17"/>
  <c r="O12" i="17"/>
  <c r="P13" i="19"/>
  <c r="P41" i="19" s="1"/>
  <c r="R12" i="19"/>
  <c r="R40" i="19" s="1"/>
  <c r="K102" i="15"/>
  <c r="K108" i="15" s="1"/>
  <c r="J108" i="15"/>
  <c r="M108" i="15"/>
  <c r="B9" i="15"/>
  <c r="B16" i="15" s="1"/>
  <c r="S131" i="19"/>
  <c r="R155" i="19"/>
  <c r="M12" i="17"/>
  <c r="N12" i="17"/>
  <c r="K12" i="17"/>
  <c r="K40" i="17"/>
  <c r="N13" i="19"/>
  <c r="N41" i="19" s="1"/>
  <c r="D12" i="17"/>
  <c r="J12" i="19"/>
  <c r="J40" i="19" s="1"/>
  <c r="I13" i="19"/>
  <c r="I41" i="19" s="1"/>
  <c r="S10" i="17"/>
  <c r="J10" i="19"/>
  <c r="J38" i="19" s="1"/>
  <c r="Q10" i="19"/>
  <c r="Q38" i="19" s="1"/>
  <c r="E13" i="19"/>
  <c r="E41" i="19" s="1"/>
  <c r="K14" i="18"/>
  <c r="K42" i="18" s="1"/>
  <c r="R10" i="17"/>
  <c r="H13" i="19"/>
  <c r="H41" i="19" s="1"/>
  <c r="L102" i="15"/>
  <c r="L108" i="15" s="1"/>
  <c r="AO24" i="12"/>
  <c r="S24" i="12"/>
  <c r="T24" i="12"/>
  <c r="AC24" i="12"/>
  <c r="AP24" i="12"/>
  <c r="T126" i="17"/>
  <c r="Q10" i="16"/>
  <c r="Q17" i="16" s="1"/>
  <c r="O17" i="16"/>
  <c r="T148" i="17"/>
  <c r="J155" i="19"/>
  <c r="S149" i="17"/>
  <c r="T149" i="17" s="1"/>
  <c r="S130" i="19"/>
  <c r="S154" i="19" s="1"/>
  <c r="Q105" i="20"/>
  <c r="Q111" i="20" s="1"/>
  <c r="P111" i="20"/>
  <c r="S12" i="21"/>
  <c r="S19" i="21" s="1"/>
  <c r="R11" i="19"/>
  <c r="R39" i="19" s="1"/>
  <c r="L14" i="18"/>
  <c r="L42" i="18" s="1"/>
  <c r="M13" i="18"/>
  <c r="M41" i="18" s="1"/>
  <c r="G12" i="19"/>
  <c r="G40" i="19" s="1"/>
  <c r="F13" i="19"/>
  <c r="F41" i="19" s="1"/>
  <c r="P12" i="17"/>
  <c r="R11" i="17"/>
  <c r="J11" i="19"/>
  <c r="J39" i="19" s="1"/>
  <c r="M11" i="18"/>
  <c r="M39" i="18" s="1"/>
  <c r="L13" i="19"/>
  <c r="L41" i="19" s="1"/>
  <c r="K13" i="19"/>
  <c r="K41" i="19" s="1"/>
  <c r="G21" i="13"/>
  <c r="G22" i="13" s="1"/>
  <c r="AU24" i="12"/>
  <c r="X24" i="12"/>
  <c r="R24" i="12"/>
  <c r="AI24" i="12"/>
  <c r="O24" i="12"/>
  <c r="AY24" i="12"/>
  <c r="G21" i="14"/>
  <c r="G22" i="14" s="1"/>
  <c r="Y24" i="12"/>
  <c r="AV24" i="12"/>
  <c r="BC24" i="12"/>
  <c r="AG24" i="12"/>
  <c r="AM24" i="12"/>
  <c r="H24" i="12"/>
  <c r="W24" i="12"/>
  <c r="U24" i="12"/>
  <c r="AW24" i="12"/>
  <c r="BA24" i="12"/>
  <c r="AS24" i="12"/>
  <c r="AA24" i="12"/>
  <c r="AR24" i="12"/>
  <c r="G24" i="12"/>
  <c r="I24" i="12"/>
  <c r="E24" i="12"/>
  <c r="P24" i="12"/>
  <c r="AZ24" i="12"/>
  <c r="AB24" i="12"/>
  <c r="BI93" i="12"/>
  <c r="D24" i="12"/>
  <c r="BI9" i="12"/>
  <c r="BI23" i="12" s="1"/>
  <c r="AJ24" i="12"/>
  <c r="BI8" i="12"/>
  <c r="BI22" i="12" s="1"/>
  <c r="MD11" i="5"/>
  <c r="MD12" i="5" s="1"/>
  <c r="BI47" i="12"/>
  <c r="C24" i="12"/>
  <c r="S132" i="19" l="1"/>
  <c r="S156" i="19" s="1"/>
  <c r="I47" i="15"/>
  <c r="FA16" i="5"/>
  <c r="FA17" i="5" s="1"/>
  <c r="EY22" i="5"/>
  <c r="EY23" i="5" s="1"/>
  <c r="FA22" i="5"/>
  <c r="FA23" i="5" s="1"/>
  <c r="MD17" i="5"/>
  <c r="MD41" i="5" s="1"/>
  <c r="K41" i="15"/>
  <c r="J47" i="15"/>
  <c r="CL17" i="5"/>
  <c r="CL41" i="5" s="1"/>
  <c r="K72" i="15"/>
  <c r="K78" i="15" s="1"/>
  <c r="T150" i="17"/>
  <c r="L40" i="17"/>
  <c r="T151" i="17"/>
  <c r="W25" i="20"/>
  <c r="W32" i="20" s="1"/>
  <c r="M40" i="17"/>
  <c r="E40" i="17"/>
  <c r="S37" i="17"/>
  <c r="T127" i="17"/>
  <c r="T77" i="17"/>
  <c r="O40" i="17"/>
  <c r="N40" i="17"/>
  <c r="P40" i="17"/>
  <c r="R39" i="17"/>
  <c r="T10" i="17"/>
  <c r="S155" i="19"/>
  <c r="N102" i="15"/>
  <c r="N108" i="15" s="1"/>
  <c r="R13" i="19"/>
  <c r="R41" i="19" s="1"/>
  <c r="S12" i="19"/>
  <c r="S40" i="19" s="1"/>
  <c r="Q10" i="20"/>
  <c r="Q17" i="20" s="1"/>
  <c r="Q13" i="19"/>
  <c r="Q41" i="19" s="1"/>
  <c r="R12" i="17"/>
  <c r="G13" i="19"/>
  <c r="G41" i="19" s="1"/>
  <c r="E9" i="15"/>
  <c r="E16" i="15" s="1"/>
  <c r="T9" i="17"/>
  <c r="K11" i="15"/>
  <c r="I9" i="15"/>
  <c r="I16" i="15" s="1"/>
  <c r="M9" i="15"/>
  <c r="M16" i="15" s="1"/>
  <c r="S11" i="19"/>
  <c r="S39" i="19" s="1"/>
  <c r="G108" i="15"/>
  <c r="H102" i="15"/>
  <c r="H108" i="15" s="1"/>
  <c r="Q40" i="17"/>
  <c r="S39" i="17"/>
  <c r="Q24" i="15"/>
  <c r="Q31" i="15" s="1"/>
  <c r="K43" i="15"/>
  <c r="J9" i="15"/>
  <c r="J16" i="15" s="1"/>
  <c r="M14" i="18"/>
  <c r="M42" i="18" s="1"/>
  <c r="L9" i="15"/>
  <c r="L16" i="15" s="1"/>
  <c r="R38" i="17"/>
  <c r="S38" i="17"/>
  <c r="J13" i="19"/>
  <c r="J41" i="19" s="1"/>
  <c r="G9" i="15"/>
  <c r="G16" i="15" s="1"/>
  <c r="S12" i="17"/>
  <c r="T11" i="17"/>
  <c r="S10" i="19"/>
  <c r="S38" i="19" s="1"/>
  <c r="BI24" i="12"/>
  <c r="EY41" i="5" l="1"/>
  <c r="EY43" i="5"/>
  <c r="FA43" i="5"/>
  <c r="FA41" i="5"/>
  <c r="K47" i="15"/>
  <c r="R40" i="17"/>
  <c r="T37" i="17"/>
  <c r="S40" i="17"/>
  <c r="N9" i="15"/>
  <c r="N16" i="15" s="1"/>
  <c r="S13" i="19"/>
  <c r="S41" i="19" s="1"/>
  <c r="T12" i="17"/>
  <c r="T39" i="17"/>
  <c r="H9" i="15"/>
  <c r="T38" i="17"/>
  <c r="K9" i="15"/>
  <c r="K16" i="15" s="1"/>
  <c r="T40" i="17" l="1"/>
  <c r="F44" i="15"/>
  <c r="F47" i="15" s="1"/>
  <c r="F12" i="15"/>
  <c r="F16" i="15" s="1"/>
  <c r="H12" i="15" l="1"/>
  <c r="H16" i="15" s="1"/>
  <c r="H44" i="15"/>
  <c r="H47" i="15" s="1"/>
</calcChain>
</file>

<file path=xl/sharedStrings.xml><?xml version="1.0" encoding="utf-8"?>
<sst xmlns="http://schemas.openxmlformats.org/spreadsheetml/2006/main" count="3792" uniqueCount="514">
  <si>
    <t>ت</t>
  </si>
  <si>
    <t xml:space="preserve">الرقم الاحصائي </t>
  </si>
  <si>
    <t xml:space="preserve">اسم المدرسة </t>
  </si>
  <si>
    <t xml:space="preserve">القضاء </t>
  </si>
  <si>
    <t xml:space="preserve">الناحية </t>
  </si>
  <si>
    <t>بنون</t>
  </si>
  <si>
    <t>بنات</t>
  </si>
  <si>
    <t>مختلط</t>
  </si>
  <si>
    <t xml:space="preserve">حضر </t>
  </si>
  <si>
    <t xml:space="preserve">ريف </t>
  </si>
  <si>
    <t xml:space="preserve">صباحا </t>
  </si>
  <si>
    <t>ظهرا</t>
  </si>
  <si>
    <t>صباحا وظهرا</t>
  </si>
  <si>
    <t>مساءا</t>
  </si>
  <si>
    <t xml:space="preserve">اصلية </t>
  </si>
  <si>
    <t>ضيف</t>
  </si>
  <si>
    <t>غير مزدوجة</t>
  </si>
  <si>
    <t>مع نفسها</t>
  </si>
  <si>
    <t>مع اخرى</t>
  </si>
  <si>
    <t>مع نفسها ومع اخرى</t>
  </si>
  <si>
    <t>جنس المدرسة</t>
  </si>
  <si>
    <t>بيئة المدرسة</t>
  </si>
  <si>
    <t xml:space="preserve">دوام المدرسة </t>
  </si>
  <si>
    <t xml:space="preserve">استقلالية المدرسة </t>
  </si>
  <si>
    <t>نوع الازدواج</t>
  </si>
  <si>
    <t>المجموع</t>
  </si>
  <si>
    <t>15 سنة</t>
  </si>
  <si>
    <t xml:space="preserve">عدد الشعب حسب الصف والجنس </t>
  </si>
  <si>
    <t xml:space="preserve">ذكور </t>
  </si>
  <si>
    <t>اناث</t>
  </si>
  <si>
    <t>مدير</t>
  </si>
  <si>
    <t>معاون</t>
  </si>
  <si>
    <t xml:space="preserve">اعدادية </t>
  </si>
  <si>
    <t>دبلوم عالي</t>
  </si>
  <si>
    <t>ماجستير</t>
  </si>
  <si>
    <t>دكتوراه</t>
  </si>
  <si>
    <t>اخرى</t>
  </si>
  <si>
    <t>مستأجرة</t>
  </si>
  <si>
    <t>مدرسة واحدة</t>
  </si>
  <si>
    <t>مدرستان</t>
  </si>
  <si>
    <t>صالحة</t>
  </si>
  <si>
    <t>غير صالحة</t>
  </si>
  <si>
    <t>غير مدرسي</t>
  </si>
  <si>
    <t>طين</t>
  </si>
  <si>
    <t>بناء جاهز</t>
  </si>
  <si>
    <t>بحاجة الى ترميم</t>
  </si>
  <si>
    <t>عدد الكتب</t>
  </si>
  <si>
    <t>16 سنة</t>
  </si>
  <si>
    <t>17 سنة</t>
  </si>
  <si>
    <t>18 سنة</t>
  </si>
  <si>
    <t>19 سنة</t>
  </si>
  <si>
    <t>20 سنة</t>
  </si>
  <si>
    <t>17سنة</t>
  </si>
  <si>
    <t>18سنة</t>
  </si>
  <si>
    <t>19سنة</t>
  </si>
  <si>
    <t>20سنة</t>
  </si>
  <si>
    <t>21سنة</t>
  </si>
  <si>
    <t>الصف الاول</t>
  </si>
  <si>
    <t>الصف الثاني</t>
  </si>
  <si>
    <t>الصف الثالث</t>
  </si>
  <si>
    <t xml:space="preserve">عدد الطلبة المستجدين في الصف الاول حسب العمر </t>
  </si>
  <si>
    <t xml:space="preserve">عدد الطلبة المسجلين في الصف الثاني  حسب العمر والجنس </t>
  </si>
  <si>
    <t xml:space="preserve">عدد الطلبة المسجلين في الصف الثالث  حسب العمر والجنس </t>
  </si>
  <si>
    <t>مدرس</t>
  </si>
  <si>
    <t>دبلوم عام</t>
  </si>
  <si>
    <t>بكلوريوس عام</t>
  </si>
  <si>
    <t xml:space="preserve">عدد الطلبة المسجلين في الصف الاول حسب العمر والجنس </t>
  </si>
  <si>
    <t>مختلطة</t>
  </si>
  <si>
    <t>مرشد تربوي</t>
  </si>
  <si>
    <t>دبلوم تعليمي</t>
  </si>
  <si>
    <t>بكلوريوس تعليمي</t>
  </si>
  <si>
    <t>اخرى تذكر</t>
  </si>
  <si>
    <t>اعضاء الهيئة التعليمية و التدريسية حسب العنوان الوظيفي</t>
  </si>
  <si>
    <t>ذكور</t>
  </si>
  <si>
    <t>هل المدرسة فتح جديد</t>
  </si>
  <si>
    <t>نعم</t>
  </si>
  <si>
    <t>كلا</t>
  </si>
  <si>
    <t>15سنة</t>
  </si>
  <si>
    <t>16سنة</t>
  </si>
  <si>
    <t>عدد الطلبة المسجلين حسب الصف والجنس (المجموع الكلي)</t>
  </si>
  <si>
    <t xml:space="preserve">الأبنية المدرسية </t>
  </si>
  <si>
    <t>الحاسبات  :-</t>
  </si>
  <si>
    <t>المكتبات المدرسية  :-</t>
  </si>
  <si>
    <t>عدد الابنية المدرسية حسب :-</t>
  </si>
  <si>
    <t>هل البناية مزودة بخدمة المجاري</t>
  </si>
  <si>
    <t>هل ترتبط البناية بشبكة الماء الصالح للشرب</t>
  </si>
  <si>
    <t>هل هناك سياج حول البناية</t>
  </si>
  <si>
    <t>هل تتوفر في البناية مرافق صحية</t>
  </si>
  <si>
    <t>عدد الحاسبات الالكترونية  (كومبيوتر)</t>
  </si>
  <si>
    <t>عدد الطابعات</t>
  </si>
  <si>
    <t>عدد الماسحات الضوئية  (سكنرات)</t>
  </si>
  <si>
    <t>هل توجد مكتبة</t>
  </si>
  <si>
    <t>داخل قوة العمل</t>
  </si>
  <si>
    <t>خارج قوة العمل</t>
  </si>
  <si>
    <t>عدد الطوابق</t>
  </si>
  <si>
    <t xml:space="preserve"> العائدية</t>
  </si>
  <si>
    <t>عدد المدارس التي تشغلها</t>
  </si>
  <si>
    <t>الحالة العمرانية</t>
  </si>
  <si>
    <t>مادة البناء</t>
  </si>
  <si>
    <t>مدرسي</t>
  </si>
  <si>
    <t>طابق واحد</t>
  </si>
  <si>
    <t>طابقين</t>
  </si>
  <si>
    <t>ثلاث طوابق</t>
  </si>
  <si>
    <t>حكومية تابعة لوزارة التربية</t>
  </si>
  <si>
    <t>حكومية تابعة لجهات اخرى</t>
  </si>
  <si>
    <t>ثلاث مدارس</t>
  </si>
  <si>
    <t>طابوق او حجر او بلوك</t>
  </si>
  <si>
    <t xml:space="preserve">نعم </t>
  </si>
  <si>
    <t xml:space="preserve">عددالطلبة المسجلين من غير العراقيين </t>
  </si>
  <si>
    <t xml:space="preserve"> المديرية العامة للتربية في محافظة النجف الاشرف </t>
  </si>
  <si>
    <t>التعليم المهني</t>
  </si>
  <si>
    <t xml:space="preserve">جدول رقم ( 1 ) </t>
  </si>
  <si>
    <t xml:space="preserve">عدد المدارس والطلبة الموجودين والمستجدين وأعضاء الهيئة التدريسية واستقلالية المدرسة ونوع الازدواج ( الصباحي والمسائي ) </t>
  </si>
  <si>
    <t>الفرع</t>
  </si>
  <si>
    <t>عدد المدارس</t>
  </si>
  <si>
    <t>عدد الطلبة المقبولين الجدد</t>
  </si>
  <si>
    <t>عدد الطلبة الوجودين</t>
  </si>
  <si>
    <t>عدد أعضاء الهيئة التدريسية</t>
  </si>
  <si>
    <t>استقلالية المدرسة</t>
  </si>
  <si>
    <t xml:space="preserve">بنون </t>
  </si>
  <si>
    <t xml:space="preserve">أصلية </t>
  </si>
  <si>
    <t>الصناعي</t>
  </si>
  <si>
    <t>الزراعي</t>
  </si>
  <si>
    <t>التجاري</t>
  </si>
  <si>
    <t xml:space="preserve">جدول رقم ( 2 ) </t>
  </si>
  <si>
    <t>عمر 15 سنة</t>
  </si>
  <si>
    <t>عمر 16 سنة</t>
  </si>
  <si>
    <t>عمر 17 سنة</t>
  </si>
  <si>
    <t>عمر 18 سنة</t>
  </si>
  <si>
    <t>عمر 19 سنة</t>
  </si>
  <si>
    <t>المجمـــــــــــــوع</t>
  </si>
  <si>
    <t xml:space="preserve">جدول رقم ( 3 ) </t>
  </si>
  <si>
    <t xml:space="preserve">عدد المدارس والمدرسين والطلبة والشعب (( المدارس المسائية فقط )) </t>
  </si>
  <si>
    <t xml:space="preserve"> </t>
  </si>
  <si>
    <t>عدد المدرسين</t>
  </si>
  <si>
    <t>عدد الطلبة المسجلين</t>
  </si>
  <si>
    <t>الشعب</t>
  </si>
  <si>
    <t>المجموع الكلي</t>
  </si>
  <si>
    <t xml:space="preserve">جدول رقم ( 4 ) </t>
  </si>
  <si>
    <t>عدد الطلبة المسجلين حسب العمر والجنس والصف والفرع ( الصباحي والمسائي )</t>
  </si>
  <si>
    <t>الصف</t>
  </si>
  <si>
    <t>عمر 20 سنة</t>
  </si>
  <si>
    <t>عمر 21 سنة</t>
  </si>
  <si>
    <t>الاول</t>
  </si>
  <si>
    <t>الثاني</t>
  </si>
  <si>
    <t>الثالث</t>
  </si>
  <si>
    <t xml:space="preserve">المديرية العامة للتربية في محافظة النجف الاشرف </t>
  </si>
  <si>
    <t xml:space="preserve">جدول رقم (6) </t>
  </si>
  <si>
    <t>الفشل في الامتحان</t>
  </si>
  <si>
    <t>تجاوز ايام الغياب</t>
  </si>
  <si>
    <t>أسباب أخرى</t>
  </si>
  <si>
    <t xml:space="preserve">المجمــــــــــــــوع </t>
  </si>
  <si>
    <t xml:space="preserve">جدول رقم (7) </t>
  </si>
  <si>
    <t xml:space="preserve">عدد اعضاء الهيئة التدريسية حسب العنوان الوظيفي والجنس والفرع ( الصباحي والمسائي ) </t>
  </si>
  <si>
    <t xml:space="preserve">جدول رقم (8) </t>
  </si>
  <si>
    <t>اعدادية</t>
  </si>
  <si>
    <t xml:space="preserve">جدول رقم (9 )  </t>
  </si>
  <si>
    <t xml:space="preserve">الأبنية المدرسية والمكتبات (الصباحي والمسائي ) </t>
  </si>
  <si>
    <t>الفــــــــرع</t>
  </si>
  <si>
    <t>عدد الابنية حسب العائدية</t>
  </si>
  <si>
    <t>عدد الابنية التي تشغلها</t>
  </si>
  <si>
    <t>عدد الابنية حسب الحالة العمرانية</t>
  </si>
  <si>
    <t>عدد الابنية</t>
  </si>
  <si>
    <t>عدد الابنية حسب مادة البناء</t>
  </si>
  <si>
    <t>حكومية</t>
  </si>
  <si>
    <t>مستاجرة</t>
  </si>
  <si>
    <t xml:space="preserve">   حسب نوع البناء</t>
  </si>
  <si>
    <t>طابوق</t>
  </si>
  <si>
    <t>اخــــرى</t>
  </si>
  <si>
    <t>عدد</t>
  </si>
  <si>
    <t>للتربية</t>
  </si>
  <si>
    <t>لجهات</t>
  </si>
  <si>
    <t>فاكثر</t>
  </si>
  <si>
    <t>غير</t>
  </si>
  <si>
    <t>او</t>
  </si>
  <si>
    <t>المكتبات</t>
  </si>
  <si>
    <t>الكتب</t>
  </si>
  <si>
    <t>حجر</t>
  </si>
  <si>
    <t>خيمة</t>
  </si>
  <si>
    <t>معلم مهني</t>
  </si>
  <si>
    <t>مرشد</t>
  </si>
  <si>
    <t xml:space="preserve">جدول رقم ( 5 ) </t>
  </si>
  <si>
    <t>النجف</t>
  </si>
  <si>
    <t>خلاصة قضاء الكوفة</t>
  </si>
  <si>
    <t>خلاصة قضاء المناذرة</t>
  </si>
  <si>
    <t>قسم التخطيط التربوي</t>
  </si>
  <si>
    <t xml:space="preserve">  </t>
  </si>
  <si>
    <t>عدد الطلبة المقبولين الجدد حسب العمر والجنس ( الصباحي والمسائي)</t>
  </si>
  <si>
    <t>خلاصة محافظة النجف الاشرف</t>
  </si>
  <si>
    <t>خلاصة قضاء النجف</t>
  </si>
  <si>
    <t>خلاصة مركز النجف الصناعي</t>
  </si>
  <si>
    <t>خلاصة قضاء النجف الصناعي</t>
  </si>
  <si>
    <t>خلاصة مركز الكوفة الصناعي</t>
  </si>
  <si>
    <t>خلاصة قضاء الكوفة الصناعي</t>
  </si>
  <si>
    <t>خلاصة قضاء المناذرة الصناعي</t>
  </si>
  <si>
    <t>خلاصة محافظة النجف الاشرف الصناعي</t>
  </si>
  <si>
    <t>خلاصة مركز المناذرة الصناعي</t>
  </si>
  <si>
    <t>خلاصة قضاء النجف التجاري</t>
  </si>
  <si>
    <t>خلاصة مركز النجف التجاري</t>
  </si>
  <si>
    <t>خلاصة مركز الكوفة الزراعي</t>
  </si>
  <si>
    <t>خلاصة قضاء الكوفة الزراعي</t>
  </si>
  <si>
    <t xml:space="preserve">المركز </t>
  </si>
  <si>
    <t>خلاصة قضاء النجف ومركزها</t>
  </si>
  <si>
    <t>عدد اعضاء الهيئة التدريسية حسب الشهادة والجنس والفرع ( الصباحي والمسائي)</t>
  </si>
  <si>
    <t>المديرية العامة للتربية في محافظة النجف الاشرف</t>
  </si>
  <si>
    <t>عدد المدارس حسب البيئة</t>
  </si>
  <si>
    <t>حضر</t>
  </si>
  <si>
    <t>ريف</t>
  </si>
  <si>
    <t>عدد مدارس الفتح الجديد</t>
  </si>
  <si>
    <t>فنون تطبيقية</t>
  </si>
  <si>
    <t>عدد الطلبة الموجودين</t>
  </si>
  <si>
    <t>الفنون التطبيقية</t>
  </si>
  <si>
    <t>ثلاث فاكثر</t>
  </si>
  <si>
    <t>المجموع الكلي للابنية</t>
  </si>
  <si>
    <t>عدد الابنية التي يصلها ماء صالح للشرب</t>
  </si>
  <si>
    <t>عدد الابنية المزودة بخدمة مجاري</t>
  </si>
  <si>
    <t>عدد الابنية التي تحتوي على سياج</t>
  </si>
  <si>
    <t>عدد الابنية حسب نوع الخدمات</t>
  </si>
  <si>
    <t xml:space="preserve">جدول رقم (10 )  </t>
  </si>
  <si>
    <t>استمارة اعضاء الهيئة التعليمية والتدريسية حسب الاختصاص والفرع (الصباحي والمسائي)</t>
  </si>
  <si>
    <t>الجنس</t>
  </si>
  <si>
    <t>اللغة العربية</t>
  </si>
  <si>
    <t>اللغة الانكليزية</t>
  </si>
  <si>
    <t>اللغة الكردية</t>
  </si>
  <si>
    <t>التربية الاسلامية</t>
  </si>
  <si>
    <t>الرياضيات</t>
  </si>
  <si>
    <t>الفيزياء</t>
  </si>
  <si>
    <t>الكيمياء</t>
  </si>
  <si>
    <t>علوم الحياة</t>
  </si>
  <si>
    <t>التاريخ</t>
  </si>
  <si>
    <t>الجغرافية</t>
  </si>
  <si>
    <t>الاجتماع</t>
  </si>
  <si>
    <t>التربية الرياضية</t>
  </si>
  <si>
    <t>التربية الفنية</t>
  </si>
  <si>
    <t>زراعة عامة</t>
  </si>
  <si>
    <t>انتاج نباتي</t>
  </si>
  <si>
    <t>الغابات</t>
  </si>
  <si>
    <t>انتاج حيواني</t>
  </si>
  <si>
    <t>البستنة</t>
  </si>
  <si>
    <t>محاصيل حقلية</t>
  </si>
  <si>
    <t>صناعات غذائية والبان</t>
  </si>
  <si>
    <t>التربة</t>
  </si>
  <si>
    <t>اقتصاد وارشاد زراعي</t>
  </si>
  <si>
    <t>مقاومة الافات</t>
  </si>
  <si>
    <t>البيطرة العامة</t>
  </si>
  <si>
    <t>الكهرباء</t>
  </si>
  <si>
    <t>ميكانيك</t>
  </si>
  <si>
    <t>السيارات</t>
  </si>
  <si>
    <t>المعامل</t>
  </si>
  <si>
    <t>راديو وتلفزيون</t>
  </si>
  <si>
    <t>السباكة</t>
  </si>
  <si>
    <t>النجارة</t>
  </si>
  <si>
    <t>النسيج</t>
  </si>
  <si>
    <t>الطباعة</t>
  </si>
  <si>
    <t>تاسيس صحيات</t>
  </si>
  <si>
    <t>صناعة زجاج</t>
  </si>
  <si>
    <t>البناء</t>
  </si>
  <si>
    <t>النماذج</t>
  </si>
  <si>
    <t>بترو كمياويات</t>
  </si>
  <si>
    <t>مكننة زراعية</t>
  </si>
  <si>
    <t>المعادن</t>
  </si>
  <si>
    <t>العلوم التجارية</t>
  </si>
  <si>
    <t>محاسبة</t>
  </si>
  <si>
    <t>ادارة</t>
  </si>
  <si>
    <t>الاحصاء</t>
  </si>
  <si>
    <t>الاقتصاد</t>
  </si>
  <si>
    <t>السكرتارية</t>
  </si>
  <si>
    <t>ادارة المزارع</t>
  </si>
  <si>
    <t>تعاونيات زراعية</t>
  </si>
  <si>
    <t>هندسة كيمياوية</t>
  </si>
  <si>
    <t>رسم هندسي</t>
  </si>
  <si>
    <t>علم نفس</t>
  </si>
  <si>
    <t>القانون</t>
  </si>
  <si>
    <t>اقتصاد منزلي</t>
  </si>
  <si>
    <t>حاسوب</t>
  </si>
  <si>
    <t>صناعي</t>
  </si>
  <si>
    <t>زراعي</t>
  </si>
  <si>
    <t>تجاري</t>
  </si>
  <si>
    <t>موظف ادارة</t>
  </si>
  <si>
    <t>محاسب</t>
  </si>
  <si>
    <t>امين مكتبة</t>
  </si>
  <si>
    <t>موظف خدمة</t>
  </si>
  <si>
    <t>حارس</t>
  </si>
  <si>
    <t>سائق</t>
  </si>
  <si>
    <t>فلاح</t>
  </si>
  <si>
    <t>الموظفون الاداريون والخدميون حسب العنوان الوظيفي</t>
  </si>
  <si>
    <t>بعثة او زمالة</t>
  </si>
  <si>
    <t>اجازة دراسية</t>
  </si>
  <si>
    <t>اجازة مصاحبة</t>
  </si>
  <si>
    <t>اجازة بدون راتب</t>
  </si>
  <si>
    <t>اجازة مرضية طويلة</t>
  </si>
  <si>
    <t>اجازة امومة</t>
  </si>
  <si>
    <t>منسب الى جهات اخرى</t>
  </si>
  <si>
    <t>عدد اعضاء الهئية التعليمية والتدريسية حسب الحالة الوظيفية</t>
  </si>
  <si>
    <t>اعضاء الهيئة التعليمية والتدريسية حسب الشهادة</t>
  </si>
  <si>
    <t>الاول المهني</t>
  </si>
  <si>
    <t>الثاني مهني</t>
  </si>
  <si>
    <t>الثالث المهني</t>
  </si>
  <si>
    <t>عدد اعضاء الهيئة التعليمية والتدريسية حسب الاختصاص</t>
  </si>
  <si>
    <t>ثلاث مدارس فاكثر</t>
  </si>
  <si>
    <t>عدد المكتبات</t>
  </si>
  <si>
    <t>المجموع الكلي للابنية المدرسية</t>
  </si>
  <si>
    <t>نوع البناء</t>
  </si>
  <si>
    <t>هل المدرسة مشمولة بـ :-</t>
  </si>
  <si>
    <t>الارشاد التربوي</t>
  </si>
  <si>
    <t>فرنسي</t>
  </si>
  <si>
    <t>روسي</t>
  </si>
  <si>
    <t>اسباني</t>
  </si>
  <si>
    <t>كردي</t>
  </si>
  <si>
    <t>اللغات</t>
  </si>
  <si>
    <t>اذا كان الجواب نعم اذكر اللغة</t>
  </si>
  <si>
    <t>هل المدرسة تحتاج الى صفوف اضافية</t>
  </si>
  <si>
    <t>عدد الصفوف الاضافية</t>
  </si>
  <si>
    <t>عدد الصفوف في البناية</t>
  </si>
  <si>
    <t>عدد الغرف الاخرى</t>
  </si>
  <si>
    <t>المجموع الكلي للغرف في البناية</t>
  </si>
  <si>
    <t>عدد الغرف في البناية</t>
  </si>
  <si>
    <t>مدرس او معلم</t>
  </si>
  <si>
    <t>كاتب</t>
  </si>
  <si>
    <t>من المسؤول عن المكتبة</t>
  </si>
  <si>
    <t>نوعية المكتبة</t>
  </si>
  <si>
    <t>غرفة</t>
  </si>
  <si>
    <t>خزانة</t>
  </si>
  <si>
    <t>رفوف عارضة</t>
  </si>
  <si>
    <t>عدد المجلات والقصص</t>
  </si>
  <si>
    <t>العدد الكلي للكتب</t>
  </si>
  <si>
    <t>عدد الكتب والمجلات والقصص</t>
  </si>
  <si>
    <t>خلاصة محافظة النجف الفنون التطبيقية</t>
  </si>
  <si>
    <t>خلاصة مركز النجف الفنون التطبيقية</t>
  </si>
  <si>
    <t>محاسبة كلفة</t>
  </si>
  <si>
    <t>اللغة التركمانية</t>
  </si>
  <si>
    <t>اللغة السريانية</t>
  </si>
  <si>
    <t>عدد اعضاء الهئية التعليمية والتدريسية حسب الحالة الاجتماعية</t>
  </si>
  <si>
    <t>اعزب</t>
  </si>
  <si>
    <t>متزوج</t>
  </si>
  <si>
    <t>ارمل</t>
  </si>
  <si>
    <t>مطلق</t>
  </si>
  <si>
    <t>عدد المدرسين المشاركين في الدورات التدريبية للعام الماضي</t>
  </si>
  <si>
    <t xml:space="preserve">عدد المدرسين </t>
  </si>
  <si>
    <t>خدمة الانترنت</t>
  </si>
  <si>
    <t>حجم المدرسة</t>
  </si>
  <si>
    <t>6صف</t>
  </si>
  <si>
    <t>9صف</t>
  </si>
  <si>
    <t>12صف</t>
  </si>
  <si>
    <t>18صف</t>
  </si>
  <si>
    <t>24صف</t>
  </si>
  <si>
    <t>هياكل حديدية</t>
  </si>
  <si>
    <t>كرفان</t>
  </si>
  <si>
    <t>غيرصالحة</t>
  </si>
  <si>
    <t>كافية</t>
  </si>
  <si>
    <t>غيركافية</t>
  </si>
  <si>
    <t>هل توجد حديقة مدرسية</t>
  </si>
  <si>
    <t>هل توجد قاعة انشطة مستقلة</t>
  </si>
  <si>
    <t>عدد الورش المستقلة الموجودة</t>
  </si>
  <si>
    <t>عدد الورش الصالحة</t>
  </si>
  <si>
    <t>بكالوريوس تعليمي</t>
  </si>
  <si>
    <t>بكالوريوس عام</t>
  </si>
  <si>
    <t>طين او صريفة</t>
  </si>
  <si>
    <t>محاسبة تكاليف</t>
  </si>
  <si>
    <t xml:space="preserve">      خلاصة قضاء المناذرة</t>
  </si>
  <si>
    <t>البناية</t>
  </si>
  <si>
    <t>رقم القطعة</t>
  </si>
  <si>
    <t>رقم المقاطعة</t>
  </si>
  <si>
    <t>سنة البناء</t>
  </si>
  <si>
    <t>هل توجد مساحة للتوسعة</t>
  </si>
  <si>
    <t>نوع المجاري</t>
  </si>
  <si>
    <t>شبكة المجاري</t>
  </si>
  <si>
    <t>خزانات</t>
  </si>
  <si>
    <t>مصدر الماء</t>
  </si>
  <si>
    <t>بلدية</t>
  </si>
  <si>
    <t>بئر عميق</t>
  </si>
  <si>
    <t>نهر</t>
  </si>
  <si>
    <t>صهاريج</t>
  </si>
  <si>
    <t>نوع السياج</t>
  </si>
  <si>
    <t>بناء</t>
  </si>
  <si>
    <t>اسلاك</t>
  </si>
  <si>
    <t>حالة السياج</t>
  </si>
  <si>
    <t>جيد</t>
  </si>
  <si>
    <t>متصدع</t>
  </si>
  <si>
    <t>غير امن</t>
  </si>
  <si>
    <t>هل توجد ساحة رياضية</t>
  </si>
  <si>
    <t>نوع الساحة الرياضية</t>
  </si>
  <si>
    <t>كرة قدم</t>
  </si>
  <si>
    <t>كرة سلة</t>
  </si>
  <si>
    <t>كرة طائرة</t>
  </si>
  <si>
    <t>ساحة رياضية</t>
  </si>
  <si>
    <t>قاعة</t>
  </si>
  <si>
    <t>الحاسوب وتقنية المعلومات</t>
  </si>
  <si>
    <t>الصالح</t>
  </si>
  <si>
    <t>العاطل</t>
  </si>
  <si>
    <t>الحاسوب تقنية المعلومات</t>
  </si>
  <si>
    <t>خلاصة الفرع الحاسوب وتقنية المعلومات محافظة النجف</t>
  </si>
  <si>
    <t>الحاسوب وتقنية        المعلومات</t>
  </si>
  <si>
    <t>عدد الابنية حسب عدد الطوابق</t>
  </si>
  <si>
    <t>ثلاثة طوابق</t>
  </si>
  <si>
    <t>عدد الابنية حسب عدد الصفوف</t>
  </si>
  <si>
    <t>6 صف</t>
  </si>
  <si>
    <t>9 صف</t>
  </si>
  <si>
    <t>12 صف</t>
  </si>
  <si>
    <t>18 صف</t>
  </si>
  <si>
    <t>24 صف</t>
  </si>
  <si>
    <t>ملحق جدول رقم ( 9 )</t>
  </si>
  <si>
    <t xml:space="preserve">خلاصة محافظة النجف الاشرف </t>
  </si>
  <si>
    <t>جدول رقم (( 11 ))</t>
  </si>
  <si>
    <t xml:space="preserve">عدد المدارس المشمولة : </t>
  </si>
  <si>
    <t xml:space="preserve">هل المدرسة : </t>
  </si>
  <si>
    <t>تدريس الحاسوب</t>
  </si>
  <si>
    <t>تدريس اللغات الاجنبية عدا اللغة الانكليزية</t>
  </si>
  <si>
    <t>تدريس اللغات المحلية</t>
  </si>
  <si>
    <t>التغذية المدرسية</t>
  </si>
  <si>
    <t>غيرمزدوجة</t>
  </si>
  <si>
    <t>مزدوجة على نفسها</t>
  </si>
  <si>
    <t>مزدوجة مع اخرى</t>
  </si>
  <si>
    <t>مزدوجة مع نفسها ومع اخرى</t>
  </si>
  <si>
    <t>الكردي</t>
  </si>
  <si>
    <t>التركماني</t>
  </si>
  <si>
    <t>السرياني</t>
  </si>
  <si>
    <t xml:space="preserve">الحالة الوظيفية </t>
  </si>
  <si>
    <t>بعثة او زمالة دراسية</t>
  </si>
  <si>
    <t>تنسيب الى جهات اخرى</t>
  </si>
  <si>
    <t xml:space="preserve">خمس سنوات -  فأقل </t>
  </si>
  <si>
    <t xml:space="preserve"> 6ـ 10   </t>
  </si>
  <si>
    <t xml:space="preserve">11ـ15 </t>
  </si>
  <si>
    <t xml:space="preserve">المجموع </t>
  </si>
  <si>
    <t>اقل من 30</t>
  </si>
  <si>
    <t xml:space="preserve"> 30ـ 39   </t>
  </si>
  <si>
    <t xml:space="preserve">40ـ49 </t>
  </si>
  <si>
    <t>50ـ 59</t>
  </si>
  <si>
    <t xml:space="preserve">خلاصة قضاء النجف </t>
  </si>
  <si>
    <t>عدد الورش والمختبرات حسب كل فرع :</t>
  </si>
  <si>
    <t>عددالورش والمختبرات</t>
  </si>
  <si>
    <t>عددالمدرسين</t>
  </si>
  <si>
    <t xml:space="preserve">عدد اعضاء الهيئة التدريسية حسب الحالة الوظيفية : </t>
  </si>
  <si>
    <t>عدد اعضاء الهيئة التدريسية المشاركين في الدورات التدريبية للعام السابق :</t>
  </si>
  <si>
    <t xml:space="preserve">عدد اعضاء الهيئة التدريسية حسب سنوات الخدمة : </t>
  </si>
  <si>
    <t xml:space="preserve">عدد اعضاء الهيئة التدريسية حسب سنوات العمر : </t>
  </si>
  <si>
    <t>5سنوات فاقل</t>
  </si>
  <si>
    <t>6ــ10</t>
  </si>
  <si>
    <t>11ــ15</t>
  </si>
  <si>
    <t>30ــ39</t>
  </si>
  <si>
    <t>40ــ49</t>
  </si>
  <si>
    <t>50ــ59</t>
  </si>
  <si>
    <t>عدد الهيئة التدريسية حسب سنوات الخدمة</t>
  </si>
  <si>
    <t>عدد الهيئة التدريسية حسب سنوات العمر</t>
  </si>
  <si>
    <t xml:space="preserve">اقرب نقطة </t>
  </si>
  <si>
    <t>خلاصة الحاسوب وتقنية المعلومات لقضاء النجف</t>
  </si>
  <si>
    <t>قضاء النجف</t>
  </si>
  <si>
    <t>قضاء الكوفة</t>
  </si>
  <si>
    <t>قضاء المناذرة</t>
  </si>
  <si>
    <t>عدد الابنية التي تتوفر فيها مرافق صحية</t>
  </si>
  <si>
    <t>عدد الابنية التي فيها المرافق الصحية</t>
  </si>
  <si>
    <t>عدد الابنية التي فيها مرافق الصحة</t>
  </si>
  <si>
    <t>عدد الابنية التي فيها مرافق صحية</t>
  </si>
  <si>
    <t>عدد الشعب حسب الجنس والصف والتصنيف  ( الصباحي والمسائي )</t>
  </si>
  <si>
    <t>60ـ فأكثر</t>
  </si>
  <si>
    <t>5960ـ فأكثر</t>
  </si>
  <si>
    <t>60ــ فاكثر</t>
  </si>
  <si>
    <t>16فاكثر</t>
  </si>
  <si>
    <t>16قاكثر</t>
  </si>
  <si>
    <t>سياحة</t>
  </si>
  <si>
    <t>خلاصة فرع السياحة والفندقة</t>
  </si>
  <si>
    <t xml:space="preserve">اسم المدير </t>
  </si>
  <si>
    <t>رقم الموبايل</t>
  </si>
  <si>
    <t>عدد الطلبة المشاركين في الامتحانات النهائية و حسب الصف والجنس للعام الدراسي 2015 / 2021</t>
  </si>
  <si>
    <t>حرفي</t>
  </si>
  <si>
    <t>عدد الرحلات مقعدين</t>
  </si>
  <si>
    <t>عدد الرحلات مقعد واحد</t>
  </si>
  <si>
    <t>عدد السبورات</t>
  </si>
  <si>
    <t xml:space="preserve">عدد الطلبة التاركين والناجحين والراسبين حسب الصف والجنس والفرع للعام الدراسي 2025/2022 ( الصباحي والمسائي ) </t>
  </si>
  <si>
    <t xml:space="preserve">عدد الطلبة الناجحين للعام الدراسي 2025/2022 </t>
  </si>
  <si>
    <t xml:space="preserve">عدد الطلبة الراسبين حسب اسباب الرسوب للعام الدراسي 2025/2022 </t>
  </si>
  <si>
    <t xml:space="preserve">عدد الطلبةالتاركين والناجحين والراسبين حسب الصف والجنس والفرع للعام الدراسي 2025/2022 ( الصباحي والمسائي ) </t>
  </si>
  <si>
    <t>الحي الصناعي البناية الجديدة</t>
  </si>
  <si>
    <t>حلاصة العلوم الرياضية</t>
  </si>
  <si>
    <t>العلوم الرياضية</t>
  </si>
  <si>
    <t xml:space="preserve">   الحاسوب وتقنية       المعلومات</t>
  </si>
  <si>
    <t xml:space="preserve">   الحاسوب وتقنية المعلومات</t>
  </si>
  <si>
    <t>السياحة</t>
  </si>
  <si>
    <t>الرياضية</t>
  </si>
  <si>
    <t>59ـ 60فأكثر</t>
  </si>
  <si>
    <t>عدد الطلبة التاركين حسب الصف والجنس للعام الدراسي 2025 / 2026</t>
  </si>
  <si>
    <t xml:space="preserve">عدد الطلبة التاركين للعام الدراسي 2025 / 2026 </t>
  </si>
  <si>
    <t>عدد الابنية المدرسية حسب عدد الطوابق وعدد الصفوف للعام الدراسي 2025-2026</t>
  </si>
  <si>
    <t xml:space="preserve">التعليم المهني( التجاري ) للعام الدراسي 2025 /2026 </t>
  </si>
  <si>
    <t>4-5سنوات</t>
  </si>
  <si>
    <t>عدد الطلبة الناجحين حسب الصف والجنس للعام الدراسي 2024 / 2025</t>
  </si>
  <si>
    <t>عدد الطلبة الراسبين بسبب الفشل في الامتحان و حسب الصف والجنس للعام الدراسي 2024 / 2025</t>
  </si>
  <si>
    <t>عدد الطلبة الراسبين بسبب تجاوز ايام الغياب و حسب الصف والجنس للعام الدراسي  2024 / 2025</t>
  </si>
  <si>
    <t>عدد الطلبة الراسبين لاسباب اخرى و حسب الصف والجنس للعام الدراسي 2024 / 2025</t>
  </si>
  <si>
    <t xml:space="preserve">عدد الطلبة الناجحين للعام الدراسي 2025/2024 </t>
  </si>
  <si>
    <t xml:space="preserve">عدد الطلبة الراسبين حسب اسباب الرسوب للعام الدراسي 2025/2024 </t>
  </si>
  <si>
    <t xml:space="preserve">عدد الطلبة التاركين والناجحين والراسبين حسب الصف والجنس والفرع للعام الدراسي 2025/2024 ( الصباحي والمسائي ) </t>
  </si>
  <si>
    <t>4 - 5 سنوات</t>
  </si>
  <si>
    <t xml:space="preserve">ع . ايليا المهنية الاهلية </t>
  </si>
  <si>
    <t>ايثار جليل عامر</t>
  </si>
  <si>
    <t>التعليـــم المهـــني الاهـــــلي   2026/2025</t>
  </si>
  <si>
    <t>خلاصة التعليـــم المهـــني الاهـــــلي  لمحافظة النجف الاشرف</t>
  </si>
  <si>
    <t xml:space="preserve">  التعليـــم المهـــني الاهـــــلي للعام الدراسي   2025 / 2026 </t>
  </si>
  <si>
    <t>التعليـــم المهـــني الاهـــــلي للعام الدراسي2025 / 2026</t>
  </si>
  <si>
    <t xml:space="preserve">  التعليـــم المهـــني الاهـــــلي للعام الدراسي   2025 / 2026  </t>
  </si>
  <si>
    <t xml:space="preserve"> التعليـــم المهـــني الاهـــــلي للعام الدراسي  2025 / 2026  </t>
  </si>
  <si>
    <t xml:space="preserve"> التعليـــم المهـــني الاهـــــلي للعام الدراسي   2025 / 2026  </t>
  </si>
  <si>
    <t xml:space="preserve"> التعليـــم المهـــني الاهـــــلي للعام الدراسي   2025 / 2026 </t>
  </si>
  <si>
    <t>التعليـــم المهـــني الاهـــــلي للعام الدراسي  2025 / 2026</t>
  </si>
  <si>
    <t xml:space="preserve">التعليـــم المهـــني الاهـــــلي للعام الدراسي  2025 / 2026 </t>
  </si>
  <si>
    <t>التعليـــم المهـــني الاهـــــلي للعام الدراسي 2025 / 2026</t>
  </si>
  <si>
    <t xml:space="preserve">التعليـــم المهـــني الاهـــــلي للعام الدراسي 2025 / 2026 </t>
  </si>
  <si>
    <t xml:space="preserve">التعليـــم المهـــني الاهـــــلي للعام الدراسي 2025 /2026 </t>
  </si>
  <si>
    <t>التعليـــم المهـــني الاهـــــلي ( الصناعي )</t>
  </si>
  <si>
    <t xml:space="preserve">التعليـــم المهـــني الاهـــــلي ( الصناعي ) للعام الدراسي 2025 /2026 </t>
  </si>
  <si>
    <t>التعليـــم المهـــني الاهـــــلي ( السياحة والفندقة )</t>
  </si>
  <si>
    <t>التعليـــم المهـــني الاهـــــلي ( العلوم الرياضية )</t>
  </si>
  <si>
    <t>التعليـــم المهـــني الاهـــــلي ( الحاسوب وتقنية المعلومات )</t>
  </si>
  <si>
    <t xml:space="preserve">     التعليـــم المهـــني الاهـــــلي ( التجاري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</si>
</sst>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>
    <font>
      <sz val="11"/>
      <color theme="1"/>
      <name val="Arial"/>
      <family val="2"/>
      <charset val="178"/>
      <scheme val="minor"/>
    </font>
    <font>
      <b/>
      <sz val="12"/>
      <color theme="1"/>
      <name val="Arial"/>
      <family val="2"/>
      <scheme val="minor"/>
    </font>
    <font>
      <b/>
      <sz val="12"/>
      <name val="Arial"/>
      <family val="2"/>
      <scheme val="minor"/>
    </font>
    <font>
      <b/>
      <sz val="14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  <scheme val="minor"/>
    </font>
    <font>
      <b/>
      <u/>
      <sz val="16"/>
      <name val="Arial"/>
      <family val="2"/>
    </font>
    <font>
      <b/>
      <sz val="12"/>
      <name val="Arial"/>
      <family val="2"/>
    </font>
    <font>
      <b/>
      <sz val="18"/>
      <color theme="1"/>
      <name val="Arial"/>
      <family val="2"/>
      <scheme val="minor"/>
    </font>
    <font>
      <b/>
      <sz val="18"/>
      <name val="Arial"/>
      <family val="2"/>
    </font>
    <font>
      <b/>
      <u/>
      <sz val="18"/>
      <name val="Arial"/>
      <family val="2"/>
    </font>
    <font>
      <b/>
      <sz val="20"/>
      <name val="Arial"/>
      <family val="2"/>
    </font>
    <font>
      <b/>
      <sz val="20"/>
      <color theme="1"/>
      <name val="Arial"/>
      <family val="2"/>
      <scheme val="minor"/>
    </font>
    <font>
      <b/>
      <sz val="16"/>
      <color theme="0"/>
      <name val="Arial"/>
      <family val="2"/>
    </font>
    <font>
      <b/>
      <sz val="20"/>
      <name val="Arial"/>
      <family val="2"/>
      <scheme val="minor"/>
    </font>
    <font>
      <b/>
      <sz val="18"/>
      <color theme="1"/>
      <name val="Arial"/>
      <family val="2"/>
    </font>
    <font>
      <b/>
      <sz val="18"/>
      <name val="Arial"/>
      <family val="2"/>
      <scheme val="minor"/>
    </font>
    <font>
      <b/>
      <sz val="18"/>
      <color theme="0"/>
      <name val="Arial"/>
      <family val="2"/>
      <scheme val="minor"/>
    </font>
    <font>
      <b/>
      <sz val="16"/>
      <name val="Arial"/>
      <family val="2"/>
      <scheme val="minor"/>
    </font>
    <font>
      <b/>
      <sz val="16"/>
      <color theme="0"/>
      <name val="Arial"/>
      <family val="2"/>
      <scheme val="minor"/>
    </font>
    <font>
      <sz val="16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4"/>
      <name val="Arial"/>
      <family val="2"/>
      <scheme val="minor"/>
    </font>
    <font>
      <sz val="14"/>
      <color theme="1"/>
      <name val="Arial"/>
      <family val="2"/>
      <scheme val="minor"/>
    </font>
    <font>
      <b/>
      <sz val="20"/>
      <color theme="0"/>
      <name val="Arial"/>
      <family val="2"/>
      <scheme val="minor"/>
    </font>
    <font>
      <sz val="18"/>
      <color theme="1"/>
      <name val="Arial"/>
      <family val="2"/>
      <charset val="178"/>
      <scheme val="minor"/>
    </font>
    <font>
      <sz val="14"/>
      <color theme="1"/>
      <name val="Arial"/>
      <family val="2"/>
      <charset val="178"/>
      <scheme val="minor"/>
    </font>
    <font>
      <b/>
      <sz val="14"/>
      <name val="Arial"/>
      <family val="2"/>
      <charset val="178"/>
    </font>
    <font>
      <sz val="18"/>
      <color theme="1"/>
      <name val="Arial"/>
      <family val="2"/>
      <scheme val="minor"/>
    </font>
    <font>
      <b/>
      <sz val="18"/>
      <color theme="0"/>
      <name val="Arial"/>
      <family val="2"/>
    </font>
    <font>
      <b/>
      <sz val="18"/>
      <name val="Aharoni"/>
      <charset val="177"/>
    </font>
    <font>
      <b/>
      <sz val="22"/>
      <name val="Arial"/>
      <family val="2"/>
      <scheme val="minor"/>
    </font>
    <font>
      <sz val="12"/>
      <name val="Arial"/>
      <family val="2"/>
      <scheme val="minor"/>
    </font>
    <font>
      <b/>
      <sz val="12"/>
      <color rgb="FFFF0000"/>
      <name val="Arial"/>
      <family val="2"/>
      <scheme val="minor"/>
    </font>
    <font>
      <b/>
      <sz val="12"/>
      <color rgb="FFFF0000"/>
      <name val="Arial"/>
      <family val="2"/>
    </font>
    <font>
      <b/>
      <sz val="14"/>
      <color rgb="FFFF0000"/>
      <name val="Arial"/>
      <family val="2"/>
    </font>
    <font>
      <b/>
      <sz val="16"/>
      <color rgb="FFFF0000"/>
      <name val="Arial"/>
      <family val="2"/>
      <scheme val="minor"/>
    </font>
    <font>
      <sz val="16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493">
    <xf numFmtId="0" fontId="0" fillId="0" borderId="0" xfId="0"/>
    <xf numFmtId="0" fontId="2" fillId="2" borderId="0" xfId="0" applyFont="1" applyFill="1" applyBorder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 readingOrder="2"/>
    </xf>
    <xf numFmtId="0" fontId="6" fillId="0" borderId="0" xfId="0" applyFont="1" applyAlignment="1">
      <alignment horizontal="center" vertical="center" readingOrder="2"/>
    </xf>
    <xf numFmtId="0" fontId="5" fillId="2" borderId="10" xfId="0" applyFont="1" applyFill="1" applyBorder="1" applyAlignment="1">
      <alignment horizontal="center" vertical="center" readingOrder="2"/>
    </xf>
    <xf numFmtId="0" fontId="5" fillId="3" borderId="10" xfId="0" applyFont="1" applyFill="1" applyBorder="1" applyAlignment="1">
      <alignment horizontal="center" vertical="center" readingOrder="2"/>
    </xf>
    <xf numFmtId="0" fontId="5" fillId="0" borderId="10" xfId="0" applyFont="1" applyFill="1" applyBorder="1" applyAlignment="1">
      <alignment horizontal="center" vertical="center" readingOrder="2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8" borderId="10" xfId="0" applyFont="1" applyFill="1" applyBorder="1" applyAlignment="1">
      <alignment horizontal="center" vertical="center" readingOrder="2"/>
    </xf>
    <xf numFmtId="0" fontId="3" fillId="0" borderId="10" xfId="0" applyFont="1" applyBorder="1" applyAlignment="1">
      <alignment horizontal="center" vertical="center" readingOrder="2"/>
    </xf>
    <xf numFmtId="0" fontId="9" fillId="0" borderId="5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readingOrder="2"/>
    </xf>
    <xf numFmtId="0" fontId="10" fillId="0" borderId="12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readingOrder="2"/>
    </xf>
    <xf numFmtId="0" fontId="12" fillId="0" borderId="10" xfId="0" applyFont="1" applyBorder="1" applyAlignment="1">
      <alignment horizontal="center" vertical="center" readingOrder="2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2" fillId="2" borderId="10" xfId="0" applyFont="1" applyFill="1" applyBorder="1" applyAlignment="1">
      <alignment horizontal="center" vertical="center" readingOrder="2"/>
    </xf>
    <xf numFmtId="0" fontId="12" fillId="3" borderId="10" xfId="0" applyFont="1" applyFill="1" applyBorder="1" applyAlignment="1">
      <alignment horizontal="center" vertical="center" readingOrder="2"/>
    </xf>
    <xf numFmtId="0" fontId="12" fillId="0" borderId="10" xfId="0" applyFont="1" applyFill="1" applyBorder="1" applyAlignment="1">
      <alignment horizontal="center" vertical="center" readingOrder="2"/>
    </xf>
    <xf numFmtId="0" fontId="9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center" vertical="center" readingOrder="2"/>
    </xf>
    <xf numFmtId="0" fontId="15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1" fillId="0" borderId="0" xfId="0" applyFont="1"/>
    <xf numFmtId="0" fontId="22" fillId="0" borderId="10" xfId="0" applyFont="1" applyBorder="1" applyAlignment="1">
      <alignment horizontal="center" vertical="center" textRotation="90"/>
    </xf>
    <xf numFmtId="0" fontId="22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/>
    </xf>
    <xf numFmtId="0" fontId="1" fillId="0" borderId="0" xfId="0" applyFont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4" fillId="0" borderId="0" xfId="0" applyFont="1"/>
    <xf numFmtId="0" fontId="12" fillId="5" borderId="10" xfId="0" applyFont="1" applyFill="1" applyBorder="1" applyAlignment="1">
      <alignment horizontal="center" vertical="center" readingOrder="2"/>
    </xf>
    <xf numFmtId="0" fontId="5" fillId="5" borderId="10" xfId="0" applyFont="1" applyFill="1" applyBorder="1" applyAlignment="1">
      <alignment horizontal="center" vertical="center" readingOrder="2"/>
    </xf>
    <xf numFmtId="0" fontId="19" fillId="0" borderId="0" xfId="0" applyFont="1" applyAlignment="1">
      <alignment horizontal="center" vertical="center" readingOrder="2"/>
    </xf>
    <xf numFmtId="0" fontId="17" fillId="0" borderId="0" xfId="0" applyFont="1" applyAlignment="1">
      <alignment horizontal="center" vertical="center"/>
    </xf>
    <xf numFmtId="0" fontId="6" fillId="0" borderId="10" xfId="0" applyFont="1" applyBorder="1" applyAlignment="1">
      <alignment horizontal="center" vertical="center" textRotation="90"/>
    </xf>
    <xf numFmtId="0" fontId="10" fillId="0" borderId="0" xfId="0" applyFont="1" applyBorder="1" applyAlignment="1">
      <alignment horizontal="center" vertical="center" readingOrder="2"/>
    </xf>
    <xf numFmtId="0" fontId="12" fillId="0" borderId="10" xfId="0" applyFont="1" applyBorder="1" applyAlignment="1">
      <alignment horizontal="center" vertical="center" readingOrder="2"/>
    </xf>
    <xf numFmtId="0" fontId="12" fillId="0" borderId="10" xfId="0" applyFont="1" applyBorder="1" applyAlignment="1">
      <alignment horizontal="center" vertical="center" readingOrder="2"/>
    </xf>
    <xf numFmtId="0" fontId="10" fillId="0" borderId="10" xfId="0" applyFont="1" applyBorder="1" applyAlignment="1">
      <alignment horizontal="center" vertical="center" wrapText="1" readingOrder="2"/>
    </xf>
    <xf numFmtId="0" fontId="5" fillId="0" borderId="10" xfId="0" applyFont="1" applyBorder="1" applyAlignment="1">
      <alignment horizontal="center" vertical="center" wrapText="1" readingOrder="2"/>
    </xf>
    <xf numFmtId="0" fontId="3" fillId="0" borderId="10" xfId="0" applyFont="1" applyBorder="1" applyAlignment="1">
      <alignment horizontal="center" vertical="center" wrapText="1" readingOrder="2"/>
    </xf>
    <xf numFmtId="0" fontId="5" fillId="0" borderId="10" xfId="0" applyFont="1" applyBorder="1" applyAlignment="1">
      <alignment horizontal="center" vertical="center" readingOrder="2"/>
    </xf>
    <xf numFmtId="0" fontId="5" fillId="0" borderId="10" xfId="0" applyFont="1" applyBorder="1" applyAlignment="1">
      <alignment horizontal="center" vertical="center" readingOrder="2"/>
    </xf>
    <xf numFmtId="0" fontId="25" fillId="0" borderId="10" xfId="0" applyFont="1" applyBorder="1" applyAlignment="1">
      <alignment horizontal="center" vertical="center"/>
    </xf>
    <xf numFmtId="0" fontId="3" fillId="4" borderId="0" xfId="0" applyFont="1" applyFill="1" applyAlignment="1"/>
    <xf numFmtId="0" fontId="10" fillId="4" borderId="0" xfId="0" applyFont="1" applyFill="1" applyAlignment="1"/>
    <xf numFmtId="0" fontId="10" fillId="4" borderId="0" xfId="0" applyFont="1" applyFill="1"/>
    <xf numFmtId="0" fontId="26" fillId="0" borderId="0" xfId="0" applyFont="1"/>
    <xf numFmtId="0" fontId="4" fillId="0" borderId="10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/>
    </xf>
    <xf numFmtId="0" fontId="4" fillId="11" borderId="10" xfId="0" applyFont="1" applyFill="1" applyBorder="1" applyAlignment="1">
      <alignment horizontal="center" vertical="center" wrapText="1"/>
    </xf>
    <xf numFmtId="0" fontId="26" fillId="0" borderId="0" xfId="0" applyFont="1" applyAlignment="1">
      <alignment vertical="top"/>
    </xf>
    <xf numFmtId="0" fontId="10" fillId="4" borderId="10" xfId="0" applyFont="1" applyFill="1" applyBorder="1" applyAlignment="1">
      <alignment horizontal="center" vertical="center"/>
    </xf>
    <xf numFmtId="0" fontId="27" fillId="0" borderId="0" xfId="0" applyFont="1"/>
    <xf numFmtId="0" fontId="4" fillId="0" borderId="0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shrinkToFit="1"/>
    </xf>
    <xf numFmtId="0" fontId="3" fillId="4" borderId="10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 readingOrder="2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5" borderId="10" xfId="0" applyFont="1" applyFill="1" applyBorder="1" applyAlignment="1">
      <alignment horizontal="center" vertical="center" readingOrder="2"/>
    </xf>
    <xf numFmtId="0" fontId="3" fillId="3" borderId="10" xfId="0" applyFont="1" applyFill="1" applyBorder="1" applyAlignment="1">
      <alignment horizontal="center" vertical="center" readingOrder="2"/>
    </xf>
    <xf numFmtId="0" fontId="3" fillId="2" borderId="10" xfId="0" applyFont="1" applyFill="1" applyBorder="1" applyAlignment="1">
      <alignment horizontal="center" vertical="center" readingOrder="2"/>
    </xf>
    <xf numFmtId="0" fontId="3" fillId="8" borderId="10" xfId="0" applyFont="1" applyFill="1" applyBorder="1" applyAlignment="1">
      <alignment horizontal="center" vertical="center" readingOrder="2"/>
    </xf>
    <xf numFmtId="0" fontId="3" fillId="0" borderId="10" xfId="0" applyFont="1" applyFill="1" applyBorder="1" applyAlignment="1">
      <alignment horizontal="center" vertical="center" readingOrder="2"/>
    </xf>
    <xf numFmtId="0" fontId="5" fillId="0" borderId="0" xfId="0" applyFont="1" applyAlignment="1">
      <alignment vertical="center"/>
    </xf>
    <xf numFmtId="0" fontId="28" fillId="0" borderId="10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0" fontId="3" fillId="11" borderId="10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 readingOrder="2"/>
    </xf>
    <xf numFmtId="0" fontId="10" fillId="4" borderId="0" xfId="0" applyFont="1" applyFill="1" applyBorder="1" applyAlignment="1">
      <alignment horizontal="center" vertical="center" readingOrder="2"/>
    </xf>
    <xf numFmtId="0" fontId="10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readingOrder="2"/>
    </xf>
    <xf numFmtId="0" fontId="10" fillId="0" borderId="11" xfId="0" applyFont="1" applyBorder="1" applyAlignment="1">
      <alignment horizontal="center" vertical="center" readingOrder="2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29" fillId="0" borderId="0" xfId="0" applyFont="1"/>
    <xf numFmtId="0" fontId="9" fillId="0" borderId="0" xfId="0" applyFont="1"/>
    <xf numFmtId="0" fontId="10" fillId="0" borderId="5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 readingOrder="2"/>
    </xf>
    <xf numFmtId="0" fontId="10" fillId="6" borderId="10" xfId="0" applyFont="1" applyFill="1" applyBorder="1" applyAlignment="1">
      <alignment horizontal="center" vertical="center" readingOrder="2"/>
    </xf>
    <xf numFmtId="0" fontId="10" fillId="0" borderId="10" xfId="0" applyFont="1" applyFill="1" applyBorder="1" applyAlignment="1">
      <alignment horizontal="center" vertical="center" readingOrder="2"/>
    </xf>
    <xf numFmtId="0" fontId="30" fillId="4" borderId="10" xfId="0" applyFont="1" applyFill="1" applyBorder="1" applyAlignment="1">
      <alignment horizontal="center" vertical="center" readingOrder="2"/>
    </xf>
    <xf numFmtId="0" fontId="10" fillId="8" borderId="10" xfId="0" applyFont="1" applyFill="1" applyBorder="1" applyAlignment="1">
      <alignment horizontal="center" vertical="center" readingOrder="2"/>
    </xf>
    <xf numFmtId="0" fontId="7" fillId="0" borderId="0" xfId="0" applyFont="1" applyBorder="1" applyAlignment="1">
      <alignment vertical="center"/>
    </xf>
    <xf numFmtId="0" fontId="10" fillId="4" borderId="6" xfId="0" applyFont="1" applyFill="1" applyBorder="1" applyAlignment="1">
      <alignment horizontal="center" vertical="center" readingOrder="2"/>
    </xf>
    <xf numFmtId="0" fontId="10" fillId="4" borderId="6" xfId="0" applyFont="1" applyFill="1" applyBorder="1" applyAlignment="1">
      <alignment horizontal="center" vertical="center" textRotation="90" readingOrder="2"/>
    </xf>
    <xf numFmtId="0" fontId="10" fillId="4" borderId="15" xfId="0" applyFont="1" applyFill="1" applyBorder="1" applyAlignment="1">
      <alignment horizontal="center" vertical="center" readingOrder="2"/>
    </xf>
    <xf numFmtId="0" fontId="10" fillId="4" borderId="15" xfId="0" applyFont="1" applyFill="1" applyBorder="1" applyAlignment="1">
      <alignment horizontal="center" vertical="center" textRotation="90" readingOrder="2"/>
    </xf>
    <xf numFmtId="0" fontId="10" fillId="4" borderId="11" xfId="0" applyFont="1" applyFill="1" applyBorder="1" applyAlignment="1">
      <alignment horizontal="center" vertical="center" readingOrder="2"/>
    </xf>
    <xf numFmtId="0" fontId="10" fillId="4" borderId="11" xfId="0" applyFont="1" applyFill="1" applyBorder="1" applyAlignment="1">
      <alignment horizontal="center" vertical="center" textRotation="90" readingOrder="2"/>
    </xf>
    <xf numFmtId="0" fontId="30" fillId="0" borderId="10" xfId="0" applyFont="1" applyBorder="1" applyAlignment="1">
      <alignment horizontal="center" vertical="center" readingOrder="2"/>
    </xf>
    <xf numFmtId="0" fontId="2" fillId="2" borderId="1" xfId="0" applyFont="1" applyFill="1" applyBorder="1" applyAlignment="1">
      <alignment horizontal="center" vertical="center" shrinkToFit="1"/>
    </xf>
    <xf numFmtId="0" fontId="8" fillId="2" borderId="1" xfId="0" applyFont="1" applyFill="1" applyBorder="1" applyAlignment="1">
      <alignment horizontal="center" vertical="center" wrapText="1" shrinkToFit="1"/>
    </xf>
    <xf numFmtId="0" fontId="2" fillId="2" borderId="2" xfId="0" applyFont="1" applyFill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2" fillId="9" borderId="1" xfId="0" applyFont="1" applyFill="1" applyBorder="1" applyAlignment="1">
      <alignment horizontal="center" vertical="center" shrinkToFit="1"/>
    </xf>
    <xf numFmtId="0" fontId="2" fillId="9" borderId="0" xfId="0" applyFont="1" applyFill="1" applyBorder="1" applyAlignment="1">
      <alignment horizontal="center" vertical="center" shrinkToFit="1"/>
    </xf>
    <xf numFmtId="0" fontId="2" fillId="10" borderId="1" xfId="0" applyFont="1" applyFill="1" applyBorder="1" applyAlignment="1">
      <alignment horizontal="center" vertical="center" shrinkToFit="1"/>
    </xf>
    <xf numFmtId="0" fontId="2" fillId="10" borderId="0" xfId="0" applyFont="1" applyFill="1" applyBorder="1" applyAlignment="1">
      <alignment horizontal="center" vertical="center" shrinkToFit="1"/>
    </xf>
    <xf numFmtId="0" fontId="2" fillId="0" borderId="0" xfId="0" applyFont="1" applyBorder="1" applyAlignment="1">
      <alignment horizontal="center" vertical="center" shrinkToFit="1"/>
    </xf>
    <xf numFmtId="0" fontId="10" fillId="2" borderId="10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30" fillId="2" borderId="10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0" fontId="32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 readingOrder="2"/>
    </xf>
    <xf numFmtId="0" fontId="10" fillId="0" borderId="7" xfId="0" applyFont="1" applyBorder="1" applyAlignment="1">
      <alignment horizontal="center" vertical="center" readingOrder="2"/>
    </xf>
    <xf numFmtId="0" fontId="10" fillId="0" borderId="9" xfId="0" applyFont="1" applyBorder="1" applyAlignment="1">
      <alignment horizontal="center" vertical="center" readingOrder="2"/>
    </xf>
    <xf numFmtId="0" fontId="10" fillId="0" borderId="1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 readingOrder="2"/>
    </xf>
    <xf numFmtId="0" fontId="3" fillId="0" borderId="10" xfId="0" applyFont="1" applyBorder="1" applyAlignment="1">
      <alignment horizontal="center" vertical="center" readingOrder="2"/>
    </xf>
    <xf numFmtId="0" fontId="6" fillId="0" borderId="0" xfId="0" applyFont="1" applyAlignment="1">
      <alignment horizontal="center" vertical="center"/>
    </xf>
    <xf numFmtId="0" fontId="12" fillId="0" borderId="10" xfId="0" applyFont="1" applyBorder="1" applyAlignment="1">
      <alignment horizontal="center" vertical="center" readingOrder="2"/>
    </xf>
    <xf numFmtId="0" fontId="30" fillId="0" borderId="7" xfId="0" applyFont="1" applyBorder="1" applyAlignment="1">
      <alignment horizontal="center" vertical="center" readingOrder="2"/>
    </xf>
    <xf numFmtId="0" fontId="30" fillId="0" borderId="9" xfId="0" applyFont="1" applyBorder="1" applyAlignment="1">
      <alignment horizontal="center" vertical="center" readingOrder="2"/>
    </xf>
    <xf numFmtId="0" fontId="10" fillId="14" borderId="10" xfId="0" applyFont="1" applyFill="1" applyBorder="1" applyAlignment="1">
      <alignment horizontal="center" vertical="center" readingOrder="2"/>
    </xf>
    <xf numFmtId="0" fontId="5" fillId="0" borderId="10" xfId="0" applyFont="1" applyBorder="1" applyAlignment="1">
      <alignment horizontal="center" vertical="center" readingOrder="2"/>
    </xf>
    <xf numFmtId="0" fontId="12" fillId="0" borderId="10" xfId="0" applyFont="1" applyBorder="1" applyAlignment="1">
      <alignment horizontal="center" vertical="center" readingOrder="2"/>
    </xf>
    <xf numFmtId="0" fontId="12" fillId="0" borderId="10" xfId="0" applyFont="1" applyBorder="1" applyAlignment="1">
      <alignment horizontal="center" vertical="center" readingOrder="2"/>
    </xf>
    <xf numFmtId="0" fontId="5" fillId="0" borderId="10" xfId="0" applyFont="1" applyBorder="1" applyAlignment="1">
      <alignment horizontal="center" vertical="center" readingOrder="2"/>
    </xf>
    <xf numFmtId="0" fontId="3" fillId="0" borderId="10" xfId="0" applyFont="1" applyBorder="1" applyAlignment="1">
      <alignment horizontal="center" vertical="center" readingOrder="2"/>
    </xf>
    <xf numFmtId="0" fontId="10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 vertical="center" readingOrder="2"/>
    </xf>
    <xf numFmtId="0" fontId="2" fillId="12" borderId="1" xfId="0" applyFont="1" applyFill="1" applyBorder="1" applyAlignment="1">
      <alignment horizontal="center" vertical="center" shrinkToFit="1"/>
    </xf>
    <xf numFmtId="0" fontId="2" fillId="12" borderId="0" xfId="0" applyFont="1" applyFill="1" applyBorder="1" applyAlignment="1">
      <alignment horizontal="center" vertical="center" shrinkToFit="1"/>
    </xf>
    <xf numFmtId="0" fontId="2" fillId="13" borderId="1" xfId="0" applyFont="1" applyFill="1" applyBorder="1" applyAlignment="1">
      <alignment horizontal="center" vertical="center" shrinkToFit="1"/>
    </xf>
    <xf numFmtId="0" fontId="2" fillId="13" borderId="0" xfId="0" applyFont="1" applyFill="1" applyBorder="1" applyAlignment="1">
      <alignment horizontal="center" vertical="center" shrinkToFi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28" fillId="0" borderId="7" xfId="0" applyFont="1" applyFill="1" applyBorder="1" applyAlignment="1">
      <alignment horizontal="center" vertical="center" wrapText="1"/>
    </xf>
    <xf numFmtId="0" fontId="28" fillId="0" borderId="9" xfId="0" applyFont="1" applyFill="1" applyBorder="1" applyAlignment="1">
      <alignment horizontal="center" vertical="center" wrapText="1"/>
    </xf>
    <xf numFmtId="0" fontId="28" fillId="0" borderId="8" xfId="0" applyFont="1" applyFill="1" applyBorder="1" applyAlignment="1">
      <alignment horizontal="center" vertical="center" wrapText="1"/>
    </xf>
    <xf numFmtId="0" fontId="2" fillId="15" borderId="26" xfId="0" applyFont="1" applyFill="1" applyBorder="1" applyAlignment="1">
      <alignment vertical="center" shrinkToFit="1"/>
    </xf>
    <xf numFmtId="0" fontId="2" fillId="15" borderId="27" xfId="0" applyFont="1" applyFill="1" applyBorder="1" applyAlignment="1">
      <alignment vertical="center" shrinkToFit="1"/>
    </xf>
    <xf numFmtId="0" fontId="8" fillId="15" borderId="3" xfId="0" applyFont="1" applyFill="1" applyBorder="1" applyAlignment="1">
      <alignment shrinkToFit="1"/>
    </xf>
    <xf numFmtId="0" fontId="8" fillId="15" borderId="4" xfId="0" applyFont="1" applyFill="1" applyBorder="1" applyAlignment="1">
      <alignment shrinkToFit="1"/>
    </xf>
    <xf numFmtId="0" fontId="2" fillId="15" borderId="1" xfId="0" applyFont="1" applyFill="1" applyBorder="1" applyAlignment="1">
      <alignment horizontal="center" vertical="center" wrapText="1" shrinkToFit="1"/>
    </xf>
    <xf numFmtId="0" fontId="8" fillId="15" borderId="1" xfId="0" applyFont="1" applyFill="1" applyBorder="1" applyAlignment="1">
      <alignment horizontal="center" vertical="center" textRotation="90" wrapText="1" shrinkToFit="1"/>
    </xf>
    <xf numFmtId="0" fontId="8" fillId="15" borderId="1" xfId="0" applyFont="1" applyFill="1" applyBorder="1" applyAlignment="1">
      <alignment horizontal="center" vertical="center" textRotation="90" shrinkToFit="1"/>
    </xf>
    <xf numFmtId="0" fontId="34" fillId="2" borderId="1" xfId="0" applyFont="1" applyFill="1" applyBorder="1" applyAlignment="1">
      <alignment horizontal="center" vertical="center" shrinkToFit="1"/>
    </xf>
    <xf numFmtId="0" fontId="35" fillId="2" borderId="1" xfId="0" applyFont="1" applyFill="1" applyBorder="1" applyAlignment="1">
      <alignment horizontal="center" vertical="center" shrinkToFit="1"/>
    </xf>
    <xf numFmtId="0" fontId="35" fillId="2" borderId="1" xfId="0" applyFont="1" applyFill="1" applyBorder="1" applyAlignment="1">
      <alignment horizontal="center" vertical="center" wrapText="1" shrinkToFit="1"/>
    </xf>
    <xf numFmtId="0" fontId="34" fillId="2" borderId="0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3" fillId="15" borderId="1" xfId="0" applyFont="1" applyFill="1" applyBorder="1" applyAlignment="1">
      <alignment horizontal="center" vertical="center" shrinkToFit="1"/>
    </xf>
    <xf numFmtId="0" fontId="3" fillId="15" borderId="30" xfId="0" applyFont="1" applyFill="1" applyBorder="1" applyAlignment="1">
      <alignment horizontal="center" vertical="center" wrapText="1" shrinkToFit="1"/>
    </xf>
    <xf numFmtId="0" fontId="36" fillId="2" borderId="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23" fillId="15" borderId="1" xfId="0" applyNumberFormat="1" applyFont="1" applyFill="1" applyBorder="1" applyAlignment="1">
      <alignment horizontal="center" vertical="center" shrinkToFit="1"/>
    </xf>
    <xf numFmtId="1" fontId="36" fillId="2" borderId="1" xfId="0" applyNumberFormat="1" applyFont="1" applyFill="1" applyBorder="1" applyAlignment="1">
      <alignment horizontal="center" vertical="center" shrinkToFit="1"/>
    </xf>
    <xf numFmtId="0" fontId="23" fillId="9" borderId="1" xfId="0" applyFont="1" applyFill="1" applyBorder="1" applyAlignment="1">
      <alignment horizontal="center" vertical="center" shrinkToFit="1"/>
    </xf>
    <xf numFmtId="0" fontId="23" fillId="10" borderId="1" xfId="0" applyFont="1" applyFill="1" applyBorder="1" applyAlignment="1">
      <alignment horizontal="center" vertical="center" shrinkToFit="1"/>
    </xf>
    <xf numFmtId="0" fontId="23" fillId="12" borderId="1" xfId="0" applyFont="1" applyFill="1" applyBorder="1" applyAlignment="1">
      <alignment horizontal="center" vertical="center" shrinkToFit="1"/>
    </xf>
    <xf numFmtId="0" fontId="23" fillId="13" borderId="1" xfId="0" applyFont="1" applyFill="1" applyBorder="1" applyAlignment="1">
      <alignment horizontal="center" vertical="center" shrinkToFit="1"/>
    </xf>
    <xf numFmtId="0" fontId="23" fillId="2" borderId="0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12" fillId="0" borderId="10" xfId="0" applyFont="1" applyBorder="1" applyAlignment="1">
      <alignment horizontal="center" vertical="center" readingOrder="2"/>
    </xf>
    <xf numFmtId="0" fontId="5" fillId="0" borderId="10" xfId="0" applyFont="1" applyBorder="1" applyAlignment="1">
      <alignment horizontal="center" vertical="center" readingOrder="2"/>
    </xf>
    <xf numFmtId="0" fontId="6" fillId="0" borderId="0" xfId="0" applyFont="1" applyAlignment="1">
      <alignment horizontal="center" vertical="center"/>
    </xf>
    <xf numFmtId="0" fontId="28" fillId="0" borderId="7" xfId="0" applyFont="1" applyFill="1" applyBorder="1" applyAlignment="1">
      <alignment horizontal="center" vertical="center" wrapText="1"/>
    </xf>
    <xf numFmtId="0" fontId="28" fillId="0" borderId="9" xfId="0" applyFont="1" applyFill="1" applyBorder="1" applyAlignment="1">
      <alignment horizontal="center" vertical="center" wrapText="1"/>
    </xf>
    <xf numFmtId="0" fontId="28" fillId="0" borderId="8" xfId="0" applyFont="1" applyFill="1" applyBorder="1" applyAlignment="1">
      <alignment horizontal="center" vertical="center" wrapText="1"/>
    </xf>
    <xf numFmtId="0" fontId="37" fillId="0" borderId="10" xfId="0" applyFont="1" applyBorder="1" applyAlignment="1">
      <alignment horizontal="center" vertical="center"/>
    </xf>
    <xf numFmtId="0" fontId="38" fillId="0" borderId="10" xfId="0" applyFont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 shrinkToFit="1"/>
    </xf>
    <xf numFmtId="0" fontId="2" fillId="15" borderId="0" xfId="0" applyFont="1" applyFill="1" applyBorder="1" applyAlignment="1">
      <alignment horizontal="center" vertical="center" shrinkToFit="1"/>
    </xf>
    <xf numFmtId="0" fontId="23" fillId="15" borderId="1" xfId="0" applyFont="1" applyFill="1" applyBorder="1" applyAlignment="1">
      <alignment horizontal="center" vertical="center" shrinkToFit="1"/>
    </xf>
    <xf numFmtId="0" fontId="8" fillId="15" borderId="30" xfId="0" applyFont="1" applyFill="1" applyBorder="1" applyAlignment="1">
      <alignment horizontal="center" vertical="center" wrapText="1" shrinkToFit="1"/>
    </xf>
    <xf numFmtId="0" fontId="2" fillId="15" borderId="4" xfId="0" applyFont="1" applyFill="1" applyBorder="1" applyAlignment="1">
      <alignment horizontal="right" vertical="center" wrapText="1" shrinkToFit="1"/>
    </xf>
    <xf numFmtId="0" fontId="8" fillId="15" borderId="1" xfId="0" applyFont="1" applyFill="1" applyBorder="1" applyAlignment="1">
      <alignment horizontal="center" vertical="center" wrapText="1" shrinkToFit="1"/>
    </xf>
    <xf numFmtId="0" fontId="8" fillId="15" borderId="1" xfId="0" applyFont="1" applyFill="1" applyBorder="1" applyAlignment="1">
      <alignment horizontal="center" shrinkToFit="1"/>
    </xf>
    <xf numFmtId="0" fontId="8" fillId="15" borderId="1" xfId="0" applyFont="1" applyFill="1" applyBorder="1" applyAlignment="1">
      <alignment horizontal="center" vertical="center" shrinkToFit="1"/>
    </xf>
    <xf numFmtId="0" fontId="2" fillId="15" borderId="4" xfId="0" applyFont="1" applyFill="1" applyBorder="1" applyAlignment="1">
      <alignment horizontal="center" vertical="center" wrapText="1" shrinkToFit="1"/>
    </xf>
    <xf numFmtId="0" fontId="8" fillId="15" borderId="21" xfId="0" applyFont="1" applyFill="1" applyBorder="1" applyAlignment="1">
      <alignment horizontal="center" vertical="center" shrinkToFit="1"/>
    </xf>
    <xf numFmtId="0" fontId="8" fillId="15" borderId="26" xfId="0" applyFont="1" applyFill="1" applyBorder="1" applyAlignment="1">
      <alignment horizontal="center" vertical="center" shrinkToFit="1"/>
    </xf>
    <xf numFmtId="0" fontId="2" fillId="15" borderId="21" xfId="0" applyFont="1" applyFill="1" applyBorder="1" applyAlignment="1">
      <alignment vertical="center" shrinkToFit="1"/>
    </xf>
    <xf numFmtId="0" fontId="2" fillId="15" borderId="22" xfId="0" applyFont="1" applyFill="1" applyBorder="1" applyAlignment="1">
      <alignment vertical="center" shrinkToFit="1"/>
    </xf>
    <xf numFmtId="0" fontId="8" fillId="0" borderId="10" xfId="0" applyFont="1" applyBorder="1" applyAlignment="1">
      <alignment horizontal="center" vertical="center" readingOrder="2"/>
    </xf>
    <xf numFmtId="0" fontId="2" fillId="15" borderId="1" xfId="0" applyFont="1" applyFill="1" applyBorder="1" applyAlignment="1">
      <alignment horizontal="center" vertical="center" shrinkToFit="1"/>
    </xf>
    <xf numFmtId="0" fontId="9" fillId="0" borderId="0" xfId="0" applyFont="1" applyAlignment="1">
      <alignment horizontal="center" vertical="center"/>
    </xf>
    <xf numFmtId="0" fontId="12" fillId="0" borderId="10" xfId="0" applyFont="1" applyBorder="1" applyAlignment="1">
      <alignment horizontal="center" vertical="center" readingOrder="2"/>
    </xf>
    <xf numFmtId="0" fontId="5" fillId="0" borderId="10" xfId="0" applyFont="1" applyBorder="1" applyAlignment="1">
      <alignment horizontal="center" vertical="center" readingOrder="2"/>
    </xf>
    <xf numFmtId="0" fontId="28" fillId="0" borderId="7" xfId="0" applyFont="1" applyFill="1" applyBorder="1" applyAlignment="1">
      <alignment horizontal="center" vertical="center" wrapText="1"/>
    </xf>
    <xf numFmtId="0" fontId="28" fillId="0" borderId="9" xfId="0" applyFont="1" applyFill="1" applyBorder="1" applyAlignment="1">
      <alignment horizontal="center" vertical="center" wrapText="1"/>
    </xf>
    <xf numFmtId="0" fontId="28" fillId="0" borderId="8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shrinkToFit="1"/>
    </xf>
    <xf numFmtId="0" fontId="2" fillId="15" borderId="2" xfId="0" applyFont="1" applyFill="1" applyBorder="1" applyAlignment="1">
      <alignment horizontal="center" vertical="center" shrinkToFit="1"/>
    </xf>
    <xf numFmtId="0" fontId="2" fillId="15" borderId="3" xfId="0" applyFont="1" applyFill="1" applyBorder="1" applyAlignment="1">
      <alignment horizontal="center" vertical="center" shrinkToFit="1"/>
    </xf>
    <xf numFmtId="0" fontId="2" fillId="15" borderId="4" xfId="0" applyFont="1" applyFill="1" applyBorder="1" applyAlignment="1">
      <alignment horizontal="center" vertical="center" shrinkToFit="1"/>
    </xf>
    <xf numFmtId="0" fontId="2" fillId="10" borderId="2" xfId="0" applyFont="1" applyFill="1" applyBorder="1" applyAlignment="1">
      <alignment horizontal="center" vertical="center" shrinkToFit="1"/>
    </xf>
    <xf numFmtId="0" fontId="2" fillId="10" borderId="3" xfId="0" applyFont="1" applyFill="1" applyBorder="1" applyAlignment="1">
      <alignment horizontal="center" vertical="center" shrinkToFit="1"/>
    </xf>
    <xf numFmtId="0" fontId="2" fillId="10" borderId="4" xfId="0" applyFont="1" applyFill="1" applyBorder="1" applyAlignment="1">
      <alignment horizontal="center" vertical="center" shrinkToFit="1"/>
    </xf>
    <xf numFmtId="0" fontId="2" fillId="12" borderId="2" xfId="0" applyFont="1" applyFill="1" applyBorder="1" applyAlignment="1">
      <alignment horizontal="center" vertical="center" shrinkToFit="1"/>
    </xf>
    <xf numFmtId="0" fontId="2" fillId="12" borderId="3" xfId="0" applyFont="1" applyFill="1" applyBorder="1" applyAlignment="1">
      <alignment horizontal="center" vertical="center" shrinkToFit="1"/>
    </xf>
    <xf numFmtId="0" fontId="2" fillId="12" borderId="4" xfId="0" applyFont="1" applyFill="1" applyBorder="1" applyAlignment="1">
      <alignment horizontal="center" vertical="center" shrinkToFit="1"/>
    </xf>
    <xf numFmtId="0" fontId="2" fillId="13" borderId="2" xfId="0" applyFont="1" applyFill="1" applyBorder="1" applyAlignment="1">
      <alignment horizontal="center" vertical="center" shrinkToFit="1"/>
    </xf>
    <xf numFmtId="0" fontId="2" fillId="13" borderId="3" xfId="0" applyFont="1" applyFill="1" applyBorder="1" applyAlignment="1">
      <alignment horizontal="center" vertical="center" shrinkToFit="1"/>
    </xf>
    <xf numFmtId="0" fontId="2" fillId="13" borderId="4" xfId="0" applyFont="1" applyFill="1" applyBorder="1" applyAlignment="1">
      <alignment horizontal="center" vertical="center" shrinkToFit="1"/>
    </xf>
    <xf numFmtId="0" fontId="2" fillId="15" borderId="1" xfId="0" applyFont="1" applyFill="1" applyBorder="1" applyAlignment="1">
      <alignment horizontal="center" vertical="center" shrinkToFit="1"/>
    </xf>
    <xf numFmtId="0" fontId="2" fillId="9" borderId="2" xfId="0" applyFont="1" applyFill="1" applyBorder="1" applyAlignment="1">
      <alignment horizontal="center" vertical="center" shrinkToFit="1"/>
    </xf>
    <xf numFmtId="0" fontId="2" fillId="9" borderId="3" xfId="0" applyFont="1" applyFill="1" applyBorder="1" applyAlignment="1">
      <alignment horizontal="center" vertical="center" shrinkToFit="1"/>
    </xf>
    <xf numFmtId="0" fontId="2" fillId="9" borderId="4" xfId="0" applyFont="1" applyFill="1" applyBorder="1" applyAlignment="1">
      <alignment horizontal="center" vertical="center" shrinkToFit="1"/>
    </xf>
    <xf numFmtId="0" fontId="2" fillId="15" borderId="1" xfId="0" applyFont="1" applyFill="1" applyBorder="1" applyAlignment="1">
      <alignment horizontal="center" vertical="center" shrinkToFit="1" readingOrder="2"/>
    </xf>
    <xf numFmtId="0" fontId="2" fillId="15" borderId="20" xfId="0" applyFont="1" applyFill="1" applyBorder="1" applyAlignment="1">
      <alignment horizontal="center" vertical="center" shrinkToFit="1"/>
    </xf>
    <xf numFmtId="0" fontId="2" fillId="15" borderId="21" xfId="0" applyFont="1" applyFill="1" applyBorder="1" applyAlignment="1">
      <alignment horizontal="center" vertical="center" shrinkToFit="1"/>
    </xf>
    <xf numFmtId="0" fontId="2" fillId="15" borderId="22" xfId="0" applyFont="1" applyFill="1" applyBorder="1" applyAlignment="1">
      <alignment horizontal="center" vertical="center" shrinkToFit="1"/>
    </xf>
    <xf numFmtId="0" fontId="2" fillId="15" borderId="23" xfId="0" applyFont="1" applyFill="1" applyBorder="1" applyAlignment="1">
      <alignment horizontal="center" vertical="center" shrinkToFit="1"/>
    </xf>
    <xf numFmtId="0" fontId="2" fillId="15" borderId="0" xfId="0" applyFont="1" applyFill="1" applyBorder="1" applyAlignment="1">
      <alignment horizontal="center" vertical="center" shrinkToFit="1"/>
    </xf>
    <xf numFmtId="0" fontId="2" fillId="15" borderId="24" xfId="0" applyFont="1" applyFill="1" applyBorder="1" applyAlignment="1">
      <alignment horizontal="center" vertical="center" shrinkToFit="1"/>
    </xf>
    <xf numFmtId="0" fontId="2" fillId="15" borderId="25" xfId="0" applyFont="1" applyFill="1" applyBorder="1" applyAlignment="1">
      <alignment horizontal="center" vertical="center" shrinkToFit="1"/>
    </xf>
    <xf numFmtId="0" fontId="2" fillId="15" borderId="26" xfId="0" applyFont="1" applyFill="1" applyBorder="1" applyAlignment="1">
      <alignment horizontal="center" vertical="center" shrinkToFit="1"/>
    </xf>
    <xf numFmtId="0" fontId="2" fillId="15" borderId="27" xfId="0" applyFont="1" applyFill="1" applyBorder="1" applyAlignment="1">
      <alignment horizontal="center" vertical="center" shrinkToFit="1"/>
    </xf>
    <xf numFmtId="0" fontId="23" fillId="15" borderId="32" xfId="0" applyFont="1" applyFill="1" applyBorder="1" applyAlignment="1">
      <alignment horizontal="center" vertical="center" shrinkToFit="1"/>
    </xf>
    <xf numFmtId="0" fontId="23" fillId="15" borderId="1" xfId="0" applyFont="1" applyFill="1" applyBorder="1" applyAlignment="1">
      <alignment horizontal="center" vertical="center" shrinkToFit="1"/>
    </xf>
    <xf numFmtId="0" fontId="2" fillId="15" borderId="1" xfId="0" applyFont="1" applyFill="1" applyBorder="1" applyAlignment="1">
      <alignment horizontal="center" vertical="center" textRotation="90" shrinkToFit="1"/>
    </xf>
    <xf numFmtId="0" fontId="8" fillId="15" borderId="2" xfId="0" applyFont="1" applyFill="1" applyBorder="1" applyAlignment="1">
      <alignment horizontal="center" vertical="center" shrinkToFit="1"/>
    </xf>
    <xf numFmtId="0" fontId="8" fillId="15" borderId="3" xfId="0" applyFont="1" applyFill="1" applyBorder="1" applyAlignment="1">
      <alignment horizontal="center" vertical="center" shrinkToFit="1"/>
    </xf>
    <xf numFmtId="0" fontId="8" fillId="15" borderId="4" xfId="0" applyFont="1" applyFill="1" applyBorder="1" applyAlignment="1">
      <alignment horizontal="center" vertical="center" shrinkToFit="1"/>
    </xf>
    <xf numFmtId="0" fontId="2" fillId="15" borderId="7" xfId="0" applyFont="1" applyFill="1" applyBorder="1" applyAlignment="1">
      <alignment horizontal="center" vertical="center"/>
    </xf>
    <xf numFmtId="0" fontId="2" fillId="15" borderId="9" xfId="0" applyFont="1" applyFill="1" applyBorder="1" applyAlignment="1">
      <alignment horizontal="center" vertical="center"/>
    </xf>
    <xf numFmtId="0" fontId="8" fillId="15" borderId="30" xfId="0" applyFont="1" applyFill="1" applyBorder="1" applyAlignment="1">
      <alignment horizontal="center" vertical="center" wrapText="1" shrinkToFit="1"/>
    </xf>
    <xf numFmtId="0" fontId="8" fillId="15" borderId="31" xfId="0" applyFont="1" applyFill="1" applyBorder="1" applyAlignment="1">
      <alignment horizontal="center" vertical="center" wrapText="1" shrinkToFit="1"/>
    </xf>
    <xf numFmtId="0" fontId="8" fillId="15" borderId="32" xfId="0" applyFont="1" applyFill="1" applyBorder="1" applyAlignment="1">
      <alignment horizontal="center" vertical="center" wrapText="1" shrinkToFit="1"/>
    </xf>
    <xf numFmtId="49" fontId="2" fillId="15" borderId="2" xfId="0" applyNumberFormat="1" applyFont="1" applyFill="1" applyBorder="1" applyAlignment="1">
      <alignment horizontal="center" vertical="center" shrinkToFit="1"/>
    </xf>
    <xf numFmtId="49" fontId="2" fillId="15" borderId="4" xfId="0" applyNumberFormat="1" applyFont="1" applyFill="1" applyBorder="1" applyAlignment="1">
      <alignment horizontal="center" vertical="center" shrinkToFit="1"/>
    </xf>
    <xf numFmtId="0" fontId="2" fillId="15" borderId="20" xfId="0" applyFont="1" applyFill="1" applyBorder="1" applyAlignment="1">
      <alignment horizontal="center" vertical="center" wrapText="1" shrinkToFit="1"/>
    </xf>
    <xf numFmtId="0" fontId="2" fillId="15" borderId="21" xfId="0" applyFont="1" applyFill="1" applyBorder="1" applyAlignment="1">
      <alignment horizontal="center" vertical="center" wrapText="1" shrinkToFit="1"/>
    </xf>
    <xf numFmtId="0" fontId="2" fillId="15" borderId="22" xfId="0" applyFont="1" applyFill="1" applyBorder="1" applyAlignment="1">
      <alignment horizontal="center" vertical="center" wrapText="1" shrinkToFit="1"/>
    </xf>
    <xf numFmtId="0" fontId="2" fillId="15" borderId="23" xfId="0" applyFont="1" applyFill="1" applyBorder="1" applyAlignment="1">
      <alignment horizontal="center" vertical="center" wrapText="1" shrinkToFit="1"/>
    </xf>
    <xf numFmtId="0" fontId="2" fillId="15" borderId="0" xfId="0" applyFont="1" applyFill="1" applyBorder="1" applyAlignment="1">
      <alignment horizontal="center" vertical="center" wrapText="1" shrinkToFit="1"/>
    </xf>
    <xf numFmtId="0" fontId="2" fillId="15" borderId="24" xfId="0" applyFont="1" applyFill="1" applyBorder="1" applyAlignment="1">
      <alignment horizontal="center" vertical="center" wrapText="1" shrinkToFit="1"/>
    </xf>
    <xf numFmtId="0" fontId="2" fillId="15" borderId="25" xfId="0" applyFont="1" applyFill="1" applyBorder="1" applyAlignment="1">
      <alignment horizontal="center" vertical="center" wrapText="1" shrinkToFit="1"/>
    </xf>
    <xf numFmtId="0" fontId="2" fillId="15" borderId="26" xfId="0" applyFont="1" applyFill="1" applyBorder="1" applyAlignment="1">
      <alignment horizontal="center" vertical="center" wrapText="1" shrinkToFit="1"/>
    </xf>
    <xf numFmtId="0" fontId="2" fillId="15" borderId="27" xfId="0" applyFont="1" applyFill="1" applyBorder="1" applyAlignment="1">
      <alignment horizontal="center" vertical="center" wrapText="1" shrinkToFit="1"/>
    </xf>
    <xf numFmtId="0" fontId="2" fillId="15" borderId="2" xfId="0" applyFont="1" applyFill="1" applyBorder="1" applyAlignment="1">
      <alignment horizontal="right" vertical="center" wrapText="1" shrinkToFit="1"/>
    </xf>
    <xf numFmtId="0" fontId="2" fillId="15" borderId="3" xfId="0" applyFont="1" applyFill="1" applyBorder="1" applyAlignment="1">
      <alignment horizontal="right" vertical="center" wrapText="1" shrinkToFit="1"/>
    </xf>
    <xf numFmtId="0" fontId="2" fillId="15" borderId="4" xfId="0" applyFont="1" applyFill="1" applyBorder="1" applyAlignment="1">
      <alignment horizontal="right" vertical="center" wrapText="1" shrinkToFit="1"/>
    </xf>
    <xf numFmtId="49" fontId="2" fillId="15" borderId="3" xfId="0" applyNumberFormat="1" applyFont="1" applyFill="1" applyBorder="1" applyAlignment="1">
      <alignment horizontal="center" vertical="center" shrinkToFit="1"/>
    </xf>
    <xf numFmtId="0" fontId="8" fillId="15" borderId="1" xfId="0" applyFont="1" applyFill="1" applyBorder="1" applyAlignment="1">
      <alignment horizontal="center" vertical="center" wrapText="1" shrinkToFit="1"/>
    </xf>
    <xf numFmtId="0" fontId="8" fillId="15" borderId="1" xfId="0" applyFont="1" applyFill="1" applyBorder="1" applyAlignment="1">
      <alignment horizontal="center" vertical="center" shrinkToFit="1" readingOrder="1"/>
    </xf>
    <xf numFmtId="0" fontId="8" fillId="15" borderId="1" xfId="0" applyFont="1" applyFill="1" applyBorder="1" applyAlignment="1">
      <alignment horizontal="center" shrinkToFit="1"/>
    </xf>
    <xf numFmtId="0" fontId="8" fillId="15" borderId="1" xfId="0" applyFont="1" applyFill="1" applyBorder="1" applyAlignment="1">
      <alignment horizontal="center" vertical="center" shrinkToFit="1"/>
    </xf>
    <xf numFmtId="0" fontId="8" fillId="15" borderId="20" xfId="0" applyFont="1" applyFill="1" applyBorder="1" applyAlignment="1">
      <alignment horizontal="center" vertical="center" wrapText="1" shrinkToFit="1"/>
    </xf>
    <xf numFmtId="0" fontId="8" fillId="15" borderId="22" xfId="0" applyFont="1" applyFill="1" applyBorder="1" applyAlignment="1">
      <alignment horizontal="center" vertical="center" wrapText="1" shrinkToFit="1"/>
    </xf>
    <xf numFmtId="0" fontId="8" fillId="15" borderId="25" xfId="0" applyFont="1" applyFill="1" applyBorder="1" applyAlignment="1">
      <alignment horizontal="center" vertical="center" wrapText="1" shrinkToFit="1"/>
    </xf>
    <xf numFmtId="0" fontId="8" fillId="15" borderId="27" xfId="0" applyFont="1" applyFill="1" applyBorder="1" applyAlignment="1">
      <alignment horizontal="center" vertical="center" wrapText="1" shrinkToFit="1"/>
    </xf>
    <xf numFmtId="0" fontId="2" fillId="15" borderId="2" xfId="0" applyFont="1" applyFill="1" applyBorder="1" applyAlignment="1">
      <alignment horizontal="center" vertical="center" wrapText="1" shrinkToFit="1"/>
    </xf>
    <xf numFmtId="0" fontId="2" fillId="15" borderId="3" xfId="0" applyFont="1" applyFill="1" applyBorder="1" applyAlignment="1">
      <alignment horizontal="center" vertical="center" wrapText="1" shrinkToFit="1"/>
    </xf>
    <xf numFmtId="0" fontId="2" fillId="15" borderId="4" xfId="0" applyFont="1" applyFill="1" applyBorder="1" applyAlignment="1">
      <alignment horizontal="center" vertical="center" wrapText="1" shrinkToFit="1"/>
    </xf>
    <xf numFmtId="0" fontId="8" fillId="15" borderId="21" xfId="0" applyFont="1" applyFill="1" applyBorder="1" applyAlignment="1">
      <alignment horizontal="center" vertical="center" wrapText="1" shrinkToFit="1"/>
    </xf>
    <xf numFmtId="0" fontId="8" fillId="15" borderId="26" xfId="0" applyFont="1" applyFill="1" applyBorder="1" applyAlignment="1">
      <alignment horizontal="center" vertical="center" wrapText="1" shrinkToFit="1"/>
    </xf>
    <xf numFmtId="0" fontId="8" fillId="15" borderId="20" xfId="0" applyFont="1" applyFill="1" applyBorder="1" applyAlignment="1">
      <alignment horizontal="center" vertical="center" shrinkToFit="1"/>
    </xf>
    <xf numFmtId="0" fontId="8" fillId="15" borderId="21" xfId="0" applyFont="1" applyFill="1" applyBorder="1" applyAlignment="1">
      <alignment horizontal="center" vertical="center" shrinkToFit="1"/>
    </xf>
    <xf numFmtId="0" fontId="8" fillId="15" borderId="22" xfId="0" applyFont="1" applyFill="1" applyBorder="1" applyAlignment="1">
      <alignment horizontal="center" vertical="center" shrinkToFit="1"/>
    </xf>
    <xf numFmtId="0" fontId="8" fillId="15" borderId="25" xfId="0" applyFont="1" applyFill="1" applyBorder="1" applyAlignment="1">
      <alignment horizontal="center" vertical="center" shrinkToFit="1"/>
    </xf>
    <xf numFmtId="0" fontId="8" fillId="15" borderId="26" xfId="0" applyFont="1" applyFill="1" applyBorder="1" applyAlignment="1">
      <alignment horizontal="center" vertical="center" shrinkToFit="1"/>
    </xf>
    <xf numFmtId="0" fontId="8" fillId="15" borderId="27" xfId="0" applyFont="1" applyFill="1" applyBorder="1" applyAlignment="1">
      <alignment horizontal="center" vertical="center" shrinkToFit="1"/>
    </xf>
    <xf numFmtId="0" fontId="2" fillId="15" borderId="20" xfId="0" applyFont="1" applyFill="1" applyBorder="1" applyAlignment="1">
      <alignment vertical="center" shrinkToFit="1"/>
    </xf>
    <xf numFmtId="0" fontId="2" fillId="15" borderId="21" xfId="0" applyFont="1" applyFill="1" applyBorder="1" applyAlignment="1">
      <alignment vertical="center" shrinkToFit="1"/>
    </xf>
    <xf numFmtId="0" fontId="2" fillId="15" borderId="22" xfId="0" applyFont="1" applyFill="1" applyBorder="1" applyAlignment="1">
      <alignment vertical="center" shrinkToFit="1"/>
    </xf>
    <xf numFmtId="0" fontId="2" fillId="15" borderId="23" xfId="0" applyFont="1" applyFill="1" applyBorder="1" applyAlignment="1">
      <alignment vertical="center" shrinkToFit="1"/>
    </xf>
    <xf numFmtId="0" fontId="2" fillId="15" borderId="0" xfId="0" applyFont="1" applyFill="1" applyBorder="1" applyAlignment="1">
      <alignment vertical="center" shrinkToFit="1"/>
    </xf>
    <xf numFmtId="0" fontId="2" fillId="15" borderId="24" xfId="0" applyFont="1" applyFill="1" applyBorder="1" applyAlignment="1">
      <alignment vertical="center" shrinkToFit="1"/>
    </xf>
    <xf numFmtId="0" fontId="2" fillId="15" borderId="28" xfId="0" applyFont="1" applyFill="1" applyBorder="1" applyAlignment="1">
      <alignment vertical="center" shrinkToFit="1"/>
    </xf>
    <xf numFmtId="0" fontId="2" fillId="15" borderId="5" xfId="0" applyFont="1" applyFill="1" applyBorder="1" applyAlignment="1">
      <alignment vertical="center" shrinkToFit="1"/>
    </xf>
    <xf numFmtId="0" fontId="2" fillId="15" borderId="29" xfId="0" applyFont="1" applyFill="1" applyBorder="1" applyAlignment="1">
      <alignment vertical="center" shrinkToFit="1"/>
    </xf>
    <xf numFmtId="0" fontId="8" fillId="15" borderId="1" xfId="0" applyFont="1" applyFill="1" applyBorder="1" applyAlignment="1">
      <alignment horizontal="right" shrinkToFit="1"/>
    </xf>
    <xf numFmtId="0" fontId="8" fillId="15" borderId="2" xfId="0" applyFont="1" applyFill="1" applyBorder="1" applyAlignment="1">
      <alignment horizontal="center" shrinkToFit="1"/>
    </xf>
    <xf numFmtId="0" fontId="8" fillId="15" borderId="4" xfId="0" applyFont="1" applyFill="1" applyBorder="1" applyAlignment="1">
      <alignment horizontal="center" shrinkToFit="1"/>
    </xf>
    <xf numFmtId="0" fontId="8" fillId="15" borderId="23" xfId="0" applyFont="1" applyFill="1" applyBorder="1" applyAlignment="1">
      <alignment horizontal="center" vertical="center" wrapText="1" shrinkToFit="1"/>
    </xf>
    <xf numFmtId="0" fontId="8" fillId="15" borderId="24" xfId="0" applyFont="1" applyFill="1" applyBorder="1" applyAlignment="1">
      <alignment horizontal="center" vertical="center" wrapText="1" shrinkToFit="1"/>
    </xf>
    <xf numFmtId="0" fontId="8" fillId="15" borderId="3" xfId="0" applyFont="1" applyFill="1" applyBorder="1" applyAlignment="1">
      <alignment horizontal="center" shrinkToFit="1"/>
    </xf>
    <xf numFmtId="0" fontId="8" fillId="15" borderId="2" xfId="0" applyFont="1" applyFill="1" applyBorder="1" applyAlignment="1">
      <alignment horizontal="center" vertical="center" wrapText="1" shrinkToFit="1"/>
    </xf>
    <xf numFmtId="0" fontId="8" fillId="15" borderId="3" xfId="0" applyFont="1" applyFill="1" applyBorder="1" applyAlignment="1">
      <alignment horizontal="center" vertical="center" wrapText="1" shrinkToFit="1"/>
    </xf>
    <xf numFmtId="0" fontId="8" fillId="15" borderId="4" xfId="0" applyFont="1" applyFill="1" applyBorder="1" applyAlignment="1">
      <alignment horizontal="center" vertical="center" wrapText="1" shrinkToFit="1"/>
    </xf>
    <xf numFmtId="0" fontId="33" fillId="15" borderId="21" xfId="0" applyFont="1" applyFill="1" applyBorder="1"/>
    <xf numFmtId="0" fontId="33" fillId="15" borderId="22" xfId="0" applyFont="1" applyFill="1" applyBorder="1"/>
    <xf numFmtId="0" fontId="33" fillId="15" borderId="23" xfId="0" applyFont="1" applyFill="1" applyBorder="1"/>
    <xf numFmtId="0" fontId="33" fillId="15" borderId="0" xfId="0" applyFont="1" applyFill="1"/>
    <xf numFmtId="0" fontId="33" fillId="15" borderId="24" xfId="0" applyFont="1" applyFill="1" applyBorder="1"/>
    <xf numFmtId="0" fontId="33" fillId="15" borderId="25" xfId="0" applyFont="1" applyFill="1" applyBorder="1"/>
    <xf numFmtId="0" fontId="33" fillId="15" borderId="26" xfId="0" applyFont="1" applyFill="1" applyBorder="1"/>
    <xf numFmtId="0" fontId="33" fillId="15" borderId="27" xfId="0" applyFont="1" applyFill="1" applyBorder="1"/>
    <xf numFmtId="0" fontId="2" fillId="15" borderId="8" xfId="0" applyFont="1" applyFill="1" applyBorder="1" applyAlignment="1">
      <alignment horizontal="center" vertical="center"/>
    </xf>
    <xf numFmtId="0" fontId="23" fillId="15" borderId="33" xfId="0" applyFont="1" applyFill="1" applyBorder="1" applyAlignment="1">
      <alignment horizontal="center" vertical="center" shrinkToFit="1"/>
    </xf>
    <xf numFmtId="0" fontId="23" fillId="15" borderId="34" xfId="0" applyFont="1" applyFill="1" applyBorder="1" applyAlignment="1">
      <alignment horizontal="center" vertical="center" shrinkToFit="1"/>
    </xf>
    <xf numFmtId="0" fontId="23" fillId="15" borderId="35" xfId="0" applyFont="1" applyFill="1" applyBorder="1" applyAlignment="1">
      <alignment horizontal="center" vertical="center" shrinkToFit="1"/>
    </xf>
    <xf numFmtId="0" fontId="23" fillId="15" borderId="36" xfId="0" applyFont="1" applyFill="1" applyBorder="1" applyAlignment="1">
      <alignment horizontal="center" vertical="center" shrinkToFit="1"/>
    </xf>
    <xf numFmtId="0" fontId="23" fillId="15" borderId="37" xfId="0" applyFont="1" applyFill="1" applyBorder="1" applyAlignment="1">
      <alignment horizontal="center" vertical="center" shrinkToFit="1"/>
    </xf>
    <xf numFmtId="0" fontId="23" fillId="15" borderId="38" xfId="0" applyFont="1" applyFill="1" applyBorder="1" applyAlignment="1">
      <alignment horizontal="center" vertical="center" shrinkToFit="1"/>
    </xf>
    <xf numFmtId="0" fontId="8" fillId="15" borderId="2" xfId="0" applyFont="1" applyFill="1" applyBorder="1" applyAlignment="1">
      <alignment horizontal="center" vertical="center" shrinkToFit="1" readingOrder="1"/>
    </xf>
    <xf numFmtId="0" fontId="8" fillId="15" borderId="3" xfId="0" applyFont="1" applyFill="1" applyBorder="1" applyAlignment="1">
      <alignment horizontal="center" vertical="center" shrinkToFit="1" readingOrder="1"/>
    </xf>
    <xf numFmtId="0" fontId="8" fillId="15" borderId="4" xfId="0" applyFont="1" applyFill="1" applyBorder="1" applyAlignment="1">
      <alignment horizontal="center" vertical="center" shrinkToFit="1" readingOrder="1"/>
    </xf>
    <xf numFmtId="0" fontId="10" fillId="0" borderId="7" xfId="0" applyFont="1" applyBorder="1" applyAlignment="1">
      <alignment horizontal="center" vertical="center" readingOrder="2"/>
    </xf>
    <xf numFmtId="0" fontId="10" fillId="0" borderId="9" xfId="0" applyFont="1" applyBorder="1" applyAlignment="1">
      <alignment horizontal="center" vertical="center" readingOrder="2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readingOrder="2"/>
    </xf>
    <xf numFmtId="0" fontId="10" fillId="0" borderId="0" xfId="0" applyFont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 readingOrder="2"/>
    </xf>
    <xf numFmtId="0" fontId="10" fillId="0" borderId="11" xfId="0" applyFont="1" applyBorder="1" applyAlignment="1">
      <alignment horizontal="center" vertical="center" readingOrder="2"/>
    </xf>
    <xf numFmtId="0" fontId="9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 vertical="center" wrapText="1" readingOrder="2"/>
    </xf>
    <xf numFmtId="0" fontId="8" fillId="0" borderId="9" xfId="0" applyFont="1" applyBorder="1" applyAlignment="1">
      <alignment horizontal="center" vertical="center" wrapText="1" readingOrder="2"/>
    </xf>
    <xf numFmtId="0" fontId="10" fillId="0" borderId="0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 readingOrder="2"/>
    </xf>
    <xf numFmtId="0" fontId="10" fillId="0" borderId="14" xfId="0" applyFont="1" applyBorder="1" applyAlignment="1">
      <alignment horizontal="center" vertical="center" readingOrder="2"/>
    </xf>
    <xf numFmtId="0" fontId="10" fillId="0" borderId="16" xfId="0" applyFont="1" applyBorder="1" applyAlignment="1">
      <alignment horizontal="center" vertical="center" readingOrder="2"/>
    </xf>
    <xf numFmtId="0" fontId="10" fillId="0" borderId="17" xfId="0" applyFont="1" applyBorder="1" applyAlignment="1">
      <alignment horizontal="center" vertical="center" readingOrder="2"/>
    </xf>
    <xf numFmtId="0" fontId="10" fillId="0" borderId="15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readingOrder="2"/>
    </xf>
    <xf numFmtId="0" fontId="12" fillId="0" borderId="10" xfId="0" applyFont="1" applyBorder="1" applyAlignment="1">
      <alignment horizontal="center" vertical="center" textRotation="90" readingOrder="2"/>
    </xf>
    <xf numFmtId="0" fontId="5" fillId="0" borderId="10" xfId="0" applyFont="1" applyBorder="1" applyAlignment="1">
      <alignment horizontal="center" vertical="center" textRotation="90" readingOrder="2"/>
    </xf>
    <xf numFmtId="0" fontId="5" fillId="0" borderId="10" xfId="0" applyFont="1" applyBorder="1" applyAlignment="1">
      <alignment horizontal="center" vertical="center" readingOrder="2"/>
    </xf>
    <xf numFmtId="0" fontId="5" fillId="0" borderId="6" xfId="0" applyFont="1" applyBorder="1" applyAlignment="1">
      <alignment horizontal="center" vertical="center" textRotation="90" wrapText="1" readingOrder="2"/>
    </xf>
    <xf numFmtId="0" fontId="5" fillId="0" borderId="15" xfId="0" applyFont="1" applyBorder="1" applyAlignment="1">
      <alignment horizontal="center" vertical="center" textRotation="90" wrapText="1" readingOrder="2"/>
    </xf>
    <xf numFmtId="0" fontId="5" fillId="0" borderId="11" xfId="0" applyFont="1" applyBorder="1" applyAlignment="1">
      <alignment horizontal="center" vertical="center" textRotation="90" wrapText="1" readingOrder="2"/>
    </xf>
    <xf numFmtId="0" fontId="5" fillId="0" borderId="7" xfId="0" applyFont="1" applyBorder="1" applyAlignment="1">
      <alignment horizontal="center" vertical="center" readingOrder="2"/>
    </xf>
    <xf numFmtId="0" fontId="5" fillId="0" borderId="9" xfId="0" applyFont="1" applyBorder="1" applyAlignment="1">
      <alignment horizontal="center" vertical="center" readingOrder="2"/>
    </xf>
    <xf numFmtId="0" fontId="5" fillId="0" borderId="8" xfId="0" applyFont="1" applyBorder="1" applyAlignment="1">
      <alignment horizontal="center" vertical="center" readingOrder="2"/>
    </xf>
    <xf numFmtId="0" fontId="3" fillId="0" borderId="10" xfId="0" applyFont="1" applyBorder="1" applyAlignment="1">
      <alignment horizontal="center" vertical="center" textRotation="90" readingOrder="2"/>
    </xf>
    <xf numFmtId="0" fontId="3" fillId="0" borderId="10" xfId="0" applyFont="1" applyBorder="1" applyAlignment="1">
      <alignment horizontal="center" vertical="center" readingOrder="2"/>
    </xf>
    <xf numFmtId="0" fontId="3" fillId="0" borderId="6" xfId="0" applyFont="1" applyBorder="1" applyAlignment="1">
      <alignment horizontal="center" vertical="center" textRotation="90" wrapText="1" readingOrder="2"/>
    </xf>
    <xf numFmtId="0" fontId="3" fillId="0" borderId="15" xfId="0" applyFont="1" applyBorder="1" applyAlignment="1">
      <alignment horizontal="center" vertical="center" textRotation="90" wrapText="1" readingOrder="2"/>
    </xf>
    <xf numFmtId="0" fontId="3" fillId="0" borderId="11" xfId="0" applyFont="1" applyBorder="1" applyAlignment="1">
      <alignment horizontal="center" vertical="center" textRotation="90" wrapText="1" readingOrder="2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 readingOrder="2"/>
    </xf>
    <xf numFmtId="0" fontId="3" fillId="0" borderId="9" xfId="0" applyFont="1" applyBorder="1" applyAlignment="1">
      <alignment horizontal="center" vertical="center" readingOrder="2"/>
    </xf>
    <xf numFmtId="0" fontId="22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 readingOrder="2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0" borderId="6" xfId="0" applyFont="1" applyBorder="1" applyAlignment="1">
      <alignment horizontal="center" vertical="center" textRotation="90" wrapText="1" readingOrder="2"/>
    </xf>
    <xf numFmtId="0" fontId="12" fillId="0" borderId="15" xfId="0" applyFont="1" applyBorder="1" applyAlignment="1">
      <alignment horizontal="center" vertical="center" textRotation="90" wrapText="1" readingOrder="2"/>
    </xf>
    <xf numFmtId="0" fontId="12" fillId="0" borderId="11" xfId="0" applyFont="1" applyBorder="1" applyAlignment="1">
      <alignment horizontal="center" vertical="center" textRotation="90" wrapText="1" readingOrder="2"/>
    </xf>
    <xf numFmtId="0" fontId="10" fillId="0" borderId="13" xfId="0" applyFont="1" applyBorder="1" applyAlignment="1">
      <alignment horizontal="center" vertical="center" textRotation="132" readingOrder="2"/>
    </xf>
    <xf numFmtId="0" fontId="10" fillId="0" borderId="14" xfId="0" applyFont="1" applyBorder="1" applyAlignment="1">
      <alignment horizontal="center" vertical="center" textRotation="132" readingOrder="2"/>
    </xf>
    <xf numFmtId="0" fontId="10" fillId="0" borderId="19" xfId="0" applyFont="1" applyBorder="1" applyAlignment="1">
      <alignment horizontal="center" vertical="center" textRotation="132" readingOrder="2"/>
    </xf>
    <xf numFmtId="0" fontId="10" fillId="0" borderId="18" xfId="0" applyFont="1" applyBorder="1" applyAlignment="1">
      <alignment horizontal="center" vertical="center" textRotation="132" readingOrder="2"/>
    </xf>
    <xf numFmtId="0" fontId="10" fillId="0" borderId="16" xfId="0" applyFont="1" applyBorder="1" applyAlignment="1">
      <alignment horizontal="center" vertical="center" textRotation="132" readingOrder="2"/>
    </xf>
    <xf numFmtId="0" fontId="10" fillId="0" borderId="17" xfId="0" applyFont="1" applyBorder="1" applyAlignment="1">
      <alignment horizontal="center" vertical="center" textRotation="132" readingOrder="2"/>
    </xf>
    <xf numFmtId="0" fontId="10" fillId="0" borderId="13" xfId="0" applyFont="1" applyBorder="1" applyAlignment="1">
      <alignment horizontal="center" vertical="center" textRotation="132" wrapText="1" readingOrder="2"/>
    </xf>
    <xf numFmtId="0" fontId="10" fillId="0" borderId="14" xfId="0" applyFont="1" applyBorder="1" applyAlignment="1">
      <alignment horizontal="center" vertical="center" textRotation="132" wrapText="1" readingOrder="2"/>
    </xf>
    <xf numFmtId="0" fontId="10" fillId="0" borderId="19" xfId="0" applyFont="1" applyBorder="1" applyAlignment="1">
      <alignment horizontal="center" vertical="center" textRotation="132" wrapText="1" readingOrder="2"/>
    </xf>
    <xf numFmtId="0" fontId="10" fillId="0" borderId="18" xfId="0" applyFont="1" applyBorder="1" applyAlignment="1">
      <alignment horizontal="center" vertical="center" textRotation="132" wrapText="1" readingOrder="2"/>
    </xf>
    <xf numFmtId="0" fontId="10" fillId="0" borderId="16" xfId="0" applyFont="1" applyBorder="1" applyAlignment="1">
      <alignment horizontal="center" vertical="center" textRotation="132" wrapText="1" readingOrder="2"/>
    </xf>
    <xf numFmtId="0" fontId="10" fillId="0" borderId="17" xfId="0" applyFont="1" applyBorder="1" applyAlignment="1">
      <alignment horizontal="center" vertical="center" textRotation="132" wrapText="1" readingOrder="2"/>
    </xf>
    <xf numFmtId="0" fontId="10" fillId="0" borderId="19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3" xfId="0" applyFont="1" applyBorder="1" applyAlignment="1">
      <alignment vertical="center" textRotation="132" wrapText="1" readingOrder="2"/>
    </xf>
    <xf numFmtId="0" fontId="10" fillId="0" borderId="14" xfId="0" applyFont="1" applyBorder="1" applyAlignment="1">
      <alignment vertical="center" textRotation="132" wrapText="1" readingOrder="2"/>
    </xf>
    <xf numFmtId="0" fontId="10" fillId="0" borderId="19" xfId="0" applyFont="1" applyBorder="1" applyAlignment="1">
      <alignment vertical="center" textRotation="132" wrapText="1" readingOrder="2"/>
    </xf>
    <xf numFmtId="0" fontId="10" fillId="0" borderId="18" xfId="0" applyFont="1" applyBorder="1" applyAlignment="1">
      <alignment vertical="center" textRotation="132" wrapText="1" readingOrder="2"/>
    </xf>
    <xf numFmtId="0" fontId="10" fillId="0" borderId="16" xfId="0" applyFont="1" applyBorder="1" applyAlignment="1">
      <alignment vertical="center" textRotation="132" wrapText="1" readingOrder="2"/>
    </xf>
    <xf numFmtId="0" fontId="10" fillId="0" borderId="17" xfId="0" applyFont="1" applyBorder="1" applyAlignment="1">
      <alignment vertical="center" textRotation="132" wrapText="1" readingOrder="2"/>
    </xf>
    <xf numFmtId="0" fontId="10" fillId="0" borderId="12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right" vertical="top" textRotation="132" wrapText="1" readingOrder="2"/>
    </xf>
    <xf numFmtId="0" fontId="10" fillId="0" borderId="14" xfId="0" applyFont="1" applyBorder="1" applyAlignment="1">
      <alignment horizontal="right" vertical="top" textRotation="132" wrapText="1" readingOrder="2"/>
    </xf>
    <xf numFmtId="0" fontId="10" fillId="0" borderId="19" xfId="0" applyFont="1" applyBorder="1" applyAlignment="1">
      <alignment horizontal="right" vertical="top" textRotation="132" wrapText="1" readingOrder="2"/>
    </xf>
    <xf numFmtId="0" fontId="10" fillId="0" borderId="18" xfId="0" applyFont="1" applyBorder="1" applyAlignment="1">
      <alignment horizontal="right" vertical="top" textRotation="132" wrapText="1" readingOrder="2"/>
    </xf>
    <xf numFmtId="0" fontId="10" fillId="0" borderId="16" xfId="0" applyFont="1" applyBorder="1" applyAlignment="1">
      <alignment horizontal="right" vertical="top" textRotation="132" wrapText="1" readingOrder="2"/>
    </xf>
    <xf numFmtId="0" fontId="10" fillId="0" borderId="17" xfId="0" applyFont="1" applyBorder="1" applyAlignment="1">
      <alignment horizontal="right" vertical="top" textRotation="132" wrapText="1" readingOrder="2"/>
    </xf>
    <xf numFmtId="0" fontId="7" fillId="0" borderId="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readingOrder="2"/>
    </xf>
    <xf numFmtId="0" fontId="5" fillId="0" borderId="11" xfId="0" applyFont="1" applyBorder="1" applyAlignment="1">
      <alignment horizontal="center" vertical="center" readingOrder="2"/>
    </xf>
    <xf numFmtId="0" fontId="10" fillId="0" borderId="6" xfId="0" applyFont="1" applyBorder="1" applyAlignment="1">
      <alignment horizontal="center" vertical="center" textRotation="90" readingOrder="2"/>
    </xf>
    <xf numFmtId="0" fontId="10" fillId="0" borderId="15" xfId="0" applyFont="1" applyBorder="1" applyAlignment="1">
      <alignment horizontal="center" vertical="center" textRotation="90" readingOrder="2"/>
    </xf>
    <xf numFmtId="0" fontId="10" fillId="0" borderId="11" xfId="0" applyFont="1" applyBorder="1" applyAlignment="1">
      <alignment horizontal="center" vertical="center" textRotation="90" readingOrder="2"/>
    </xf>
    <xf numFmtId="0" fontId="10" fillId="4" borderId="6" xfId="0" applyFont="1" applyFill="1" applyBorder="1" applyAlignment="1">
      <alignment horizontal="center" vertical="center" textRotation="90" readingOrder="2"/>
    </xf>
    <xf numFmtId="0" fontId="10" fillId="4" borderId="15" xfId="0" applyFont="1" applyFill="1" applyBorder="1" applyAlignment="1">
      <alignment horizontal="center" vertical="center" textRotation="90" readingOrder="2"/>
    </xf>
    <xf numFmtId="0" fontId="10" fillId="4" borderId="11" xfId="0" applyFont="1" applyFill="1" applyBorder="1" applyAlignment="1">
      <alignment horizontal="center" vertical="center" textRotation="90" readingOrder="2"/>
    </xf>
    <xf numFmtId="0" fontId="10" fillId="4" borderId="13" xfId="0" applyFont="1" applyFill="1" applyBorder="1" applyAlignment="1">
      <alignment horizontal="center" vertical="center" readingOrder="2"/>
    </xf>
    <xf numFmtId="0" fontId="10" fillId="4" borderId="14" xfId="0" applyFont="1" applyFill="1" applyBorder="1" applyAlignment="1">
      <alignment horizontal="center" vertical="center" readingOrder="2"/>
    </xf>
    <xf numFmtId="0" fontId="10" fillId="4" borderId="16" xfId="0" applyFont="1" applyFill="1" applyBorder="1" applyAlignment="1">
      <alignment horizontal="center" vertical="center" readingOrder="2"/>
    </xf>
    <xf numFmtId="0" fontId="10" fillId="4" borderId="17" xfId="0" applyFont="1" applyFill="1" applyBorder="1" applyAlignment="1">
      <alignment horizontal="center" vertical="center" readingOrder="2"/>
    </xf>
    <xf numFmtId="0" fontId="10" fillId="4" borderId="6" xfId="0" applyFont="1" applyFill="1" applyBorder="1" applyAlignment="1">
      <alignment horizontal="center" vertical="center" textRotation="90" wrapText="1" readingOrder="2"/>
    </xf>
    <xf numFmtId="0" fontId="10" fillId="4" borderId="15" xfId="0" applyFont="1" applyFill="1" applyBorder="1" applyAlignment="1">
      <alignment horizontal="center" vertical="center" textRotation="90" wrapText="1" readingOrder="2"/>
    </xf>
    <xf numFmtId="0" fontId="10" fillId="4" borderId="11" xfId="0" applyFont="1" applyFill="1" applyBorder="1" applyAlignment="1">
      <alignment horizontal="center" vertical="center" textRotation="90" wrapText="1" readingOrder="2"/>
    </xf>
    <xf numFmtId="0" fontId="10" fillId="0" borderId="13" xfId="0" applyFont="1" applyBorder="1" applyAlignment="1">
      <alignment horizontal="center" vertical="center" textRotation="90" readingOrder="2"/>
    </xf>
    <xf numFmtId="0" fontId="10" fillId="0" borderId="14" xfId="0" applyFont="1" applyBorder="1" applyAlignment="1">
      <alignment horizontal="center" vertical="center" textRotation="90" readingOrder="2"/>
    </xf>
    <xf numFmtId="0" fontId="10" fillId="0" borderId="19" xfId="0" applyFont="1" applyBorder="1" applyAlignment="1">
      <alignment horizontal="center" vertical="center" textRotation="90" readingOrder="2"/>
    </xf>
    <xf numFmtId="0" fontId="10" fillId="0" borderId="18" xfId="0" applyFont="1" applyBorder="1" applyAlignment="1">
      <alignment horizontal="center" vertical="center" textRotation="90" readingOrder="2"/>
    </xf>
    <xf numFmtId="0" fontId="10" fillId="0" borderId="16" xfId="0" applyFont="1" applyBorder="1" applyAlignment="1">
      <alignment horizontal="center" vertical="center" textRotation="90" readingOrder="2"/>
    </xf>
    <xf numFmtId="0" fontId="10" fillId="0" borderId="17" xfId="0" applyFont="1" applyBorder="1" applyAlignment="1">
      <alignment horizontal="center" vertical="center" textRotation="90" readingOrder="2"/>
    </xf>
    <xf numFmtId="0" fontId="10" fillId="4" borderId="7" xfId="0" applyFont="1" applyFill="1" applyBorder="1" applyAlignment="1">
      <alignment horizontal="center" vertical="center" wrapText="1" readingOrder="2"/>
    </xf>
    <xf numFmtId="0" fontId="10" fillId="4" borderId="8" xfId="0" applyFont="1" applyFill="1" applyBorder="1" applyAlignment="1">
      <alignment horizontal="center" vertical="center" wrapText="1" readingOrder="2"/>
    </xf>
    <xf numFmtId="0" fontId="10" fillId="4" borderId="9" xfId="0" applyFont="1" applyFill="1" applyBorder="1" applyAlignment="1">
      <alignment horizontal="center" vertical="center" wrapText="1" readingOrder="2"/>
    </xf>
    <xf numFmtId="0" fontId="10" fillId="0" borderId="6" xfId="0" applyFont="1" applyBorder="1" applyAlignment="1">
      <alignment horizontal="center" vertical="center" textRotation="135" readingOrder="2"/>
    </xf>
    <xf numFmtId="0" fontId="10" fillId="0" borderId="15" xfId="0" applyFont="1" applyBorder="1" applyAlignment="1">
      <alignment horizontal="center" vertical="center" textRotation="135" readingOrder="2"/>
    </xf>
    <xf numFmtId="0" fontId="10" fillId="0" borderId="11" xfId="0" applyFont="1" applyBorder="1" applyAlignment="1">
      <alignment horizontal="center" vertical="center" textRotation="135" readingOrder="2"/>
    </xf>
    <xf numFmtId="0" fontId="30" fillId="0" borderId="7" xfId="0" applyFont="1" applyBorder="1" applyAlignment="1">
      <alignment horizontal="center" vertical="center" readingOrder="2"/>
    </xf>
    <xf numFmtId="0" fontId="30" fillId="0" borderId="9" xfId="0" applyFont="1" applyBorder="1" applyAlignment="1">
      <alignment horizontal="center" vertical="center" readingOrder="2"/>
    </xf>
    <xf numFmtId="0" fontId="31" fillId="4" borderId="6" xfId="0" applyFont="1" applyFill="1" applyBorder="1" applyAlignment="1">
      <alignment horizontal="center" vertical="center" textRotation="90" wrapText="1" readingOrder="2"/>
    </xf>
    <xf numFmtId="0" fontId="31" fillId="4" borderId="15" xfId="0" applyFont="1" applyFill="1" applyBorder="1" applyAlignment="1">
      <alignment horizontal="center" vertical="center" textRotation="90" wrapText="1" readingOrder="2"/>
    </xf>
    <xf numFmtId="0" fontId="31" fillId="4" borderId="11" xfId="0" applyFont="1" applyFill="1" applyBorder="1" applyAlignment="1">
      <alignment horizontal="center" vertical="center" textRotation="90" wrapText="1" readingOrder="2"/>
    </xf>
    <xf numFmtId="0" fontId="10" fillId="0" borderId="7" xfId="0" applyFont="1" applyBorder="1" applyAlignment="1">
      <alignment horizontal="center" vertical="center" wrapText="1" readingOrder="2"/>
    </xf>
    <xf numFmtId="0" fontId="10" fillId="0" borderId="8" xfId="0" applyFont="1" applyBorder="1" applyAlignment="1">
      <alignment horizontal="center" vertical="center" wrapText="1" readingOrder="2"/>
    </xf>
    <xf numFmtId="0" fontId="10" fillId="0" borderId="9" xfId="0" applyFont="1" applyBorder="1" applyAlignment="1">
      <alignment horizontal="center" vertical="center" wrapText="1" readingOrder="2"/>
    </xf>
    <xf numFmtId="0" fontId="10" fillId="4" borderId="7" xfId="0" applyFont="1" applyFill="1" applyBorder="1" applyAlignment="1">
      <alignment horizontal="center" vertical="center" readingOrder="2"/>
    </xf>
    <xf numFmtId="0" fontId="10" fillId="4" borderId="8" xfId="0" applyFont="1" applyFill="1" applyBorder="1" applyAlignment="1">
      <alignment horizontal="center" vertical="center" readingOrder="2"/>
    </xf>
    <xf numFmtId="0" fontId="10" fillId="4" borderId="9" xfId="0" applyFont="1" applyFill="1" applyBorder="1" applyAlignment="1">
      <alignment horizontal="center" vertical="center" readingOrder="2"/>
    </xf>
    <xf numFmtId="0" fontId="16" fillId="0" borderId="0" xfId="0" applyFont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3" fillId="0" borderId="6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49" fontId="4" fillId="0" borderId="7" xfId="0" applyNumberFormat="1" applyFont="1" applyFill="1" applyBorder="1" applyAlignment="1">
      <alignment horizontal="center" vertical="center" wrapText="1"/>
    </xf>
    <xf numFmtId="49" fontId="4" fillId="0" borderId="9" xfId="0" applyNumberFormat="1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15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28" fillId="0" borderId="7" xfId="0" applyFont="1" applyFill="1" applyBorder="1" applyAlignment="1">
      <alignment horizontal="center" vertical="center" wrapText="1"/>
    </xf>
    <xf numFmtId="0" fontId="28" fillId="0" borderId="9" xfId="0" applyFont="1" applyFill="1" applyBorder="1" applyAlignment="1">
      <alignment horizontal="center" vertical="center" wrapText="1"/>
    </xf>
    <xf numFmtId="49" fontId="28" fillId="0" borderId="7" xfId="0" applyNumberFormat="1" applyFont="1" applyFill="1" applyBorder="1" applyAlignment="1">
      <alignment horizontal="center" vertical="center" wrapText="1"/>
    </xf>
    <xf numFmtId="49" fontId="28" fillId="0" borderId="9" xfId="0" applyNumberFormat="1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28" fillId="0" borderId="8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S45"/>
  <sheetViews>
    <sheetView rightToLeft="1" zoomScale="90" zoomScaleNormal="90" workbookViewId="0">
      <pane xSplit="5" ySplit="5" topLeftCell="F6" activePane="bottomRight" state="frozen"/>
      <selection pane="topRight" activeCell="F1" sqref="F1"/>
      <selection pane="bottomLeft" activeCell="A6" sqref="A6"/>
      <selection pane="bottomRight" activeCell="V6" sqref="V6"/>
    </sheetView>
  </sheetViews>
  <sheetFormatPr defaultColWidth="9.125" defaultRowHeight="18"/>
  <cols>
    <col min="1" max="1" width="5.875" style="1" bestFit="1" customWidth="1"/>
    <col min="2" max="2" width="5.625" style="1" bestFit="1" customWidth="1"/>
    <col min="3" max="3" width="3.125" style="1" customWidth="1"/>
    <col min="4" max="4" width="9.375" style="1" customWidth="1"/>
    <col min="5" max="5" width="32.125" style="1" bestFit="1" customWidth="1"/>
    <col min="6" max="12" width="4.875" style="1" customWidth="1"/>
    <col min="13" max="13" width="7" style="1" customWidth="1"/>
    <col min="14" max="16" width="4.875" style="1" customWidth="1"/>
    <col min="17" max="17" width="7.625" style="1" bestFit="1" customWidth="1"/>
    <col min="18" max="18" width="6" style="1" bestFit="1" customWidth="1"/>
    <col min="19" max="19" width="5.75" style="1" bestFit="1" customWidth="1"/>
    <col min="20" max="20" width="5.625" style="1" customWidth="1"/>
    <col min="21" max="21" width="4.375" style="1" customWidth="1"/>
    <col min="22" max="46" width="5" style="1" customWidth="1"/>
    <col min="47" max="47" width="6.125" style="1" customWidth="1"/>
    <col min="48" max="59" width="5" style="1" customWidth="1"/>
    <col min="60" max="60" width="6.125" style="1" customWidth="1"/>
    <col min="61" max="73" width="5" style="1" customWidth="1"/>
    <col min="74" max="90" width="6.125" style="1" customWidth="1"/>
    <col min="91" max="103" width="5.75" style="1" customWidth="1"/>
    <col min="104" max="112" width="7.25" style="1" customWidth="1"/>
    <col min="113" max="121" width="7.25" style="1" hidden="1" customWidth="1"/>
    <col min="122" max="130" width="6.75" style="1" customWidth="1"/>
    <col min="131" max="155" width="7.25" style="1" customWidth="1"/>
    <col min="156" max="156" width="5.75" style="1" customWidth="1"/>
    <col min="157" max="157" width="7.375" style="1" customWidth="1"/>
    <col min="158" max="229" width="5.25" style="1" customWidth="1"/>
    <col min="230" max="230" width="5.375" style="1" customWidth="1"/>
    <col min="231" max="231" width="6.25" style="1" customWidth="1"/>
    <col min="232" max="233" width="5.25" style="1" customWidth="1"/>
    <col min="234" max="235" width="6.75" style="1" customWidth="1"/>
    <col min="236" max="365" width="5.25" style="1" customWidth="1"/>
    <col min="366" max="366" width="6" style="1" customWidth="1"/>
    <col min="367" max="368" width="5.25" style="1" customWidth="1"/>
    <col min="369" max="395" width="5.75" style="1" customWidth="1"/>
    <col min="396" max="410" width="4.625" style="124" customWidth="1"/>
    <col min="411" max="413" width="5.125" style="1" customWidth="1"/>
    <col min="414" max="414" width="8.375" style="1" bestFit="1" customWidth="1"/>
    <col min="415" max="437" width="5.125" style="1" customWidth="1"/>
    <col min="438" max="443" width="5.75" style="1" customWidth="1"/>
    <col min="444" max="444" width="6.125" style="1" customWidth="1"/>
    <col min="445" max="450" width="6.375" style="1" customWidth="1"/>
    <col min="451" max="454" width="5.125" style="1" customWidth="1"/>
    <col min="455" max="473" width="5.75" style="1" customWidth="1"/>
    <col min="474" max="482" width="5.125" style="1" customWidth="1"/>
    <col min="483" max="488" width="4.625" style="124" customWidth="1"/>
    <col min="489" max="490" width="7.25" style="1" customWidth="1"/>
    <col min="491" max="492" width="5.875" style="1" customWidth="1"/>
    <col min="493" max="494" width="5.25" style="1" customWidth="1"/>
    <col min="495" max="498" width="4.25" style="1" customWidth="1"/>
    <col min="499" max="499" width="6" style="1" customWidth="1"/>
    <col min="500" max="500" width="5.375" style="1" customWidth="1"/>
    <col min="501" max="501" width="4.25" style="1" customWidth="1"/>
    <col min="502" max="502" width="7" style="1" customWidth="1"/>
    <col min="503" max="508" width="6.875" style="1" customWidth="1"/>
    <col min="509" max="510" width="9.125" style="1"/>
    <col min="511" max="511" width="26.375" style="1" bestFit="1" customWidth="1"/>
    <col min="512" max="512" width="25.625" style="1" bestFit="1" customWidth="1"/>
    <col min="513" max="513" width="18.75" style="183" customWidth="1"/>
    <col min="514" max="16384" width="9.125" style="1"/>
  </cols>
  <sheetData>
    <row r="1" spans="1:513" s="194" customFormat="1" ht="18.75" thickTop="1">
      <c r="A1" s="313" t="s">
        <v>204</v>
      </c>
      <c r="B1" s="314"/>
      <c r="C1" s="314"/>
      <c r="D1" s="314"/>
      <c r="E1" s="314"/>
      <c r="F1" s="314"/>
      <c r="G1" s="314"/>
      <c r="H1" s="314"/>
      <c r="I1" s="314"/>
      <c r="J1" s="315"/>
      <c r="K1" s="217" t="s">
        <v>22</v>
      </c>
      <c r="L1" s="227"/>
      <c r="M1" s="227"/>
      <c r="N1" s="227"/>
      <c r="O1" s="227" t="s">
        <v>23</v>
      </c>
      <c r="P1" s="227"/>
      <c r="Q1" s="227" t="s">
        <v>24</v>
      </c>
      <c r="R1" s="227"/>
      <c r="S1" s="227"/>
      <c r="T1" s="227"/>
      <c r="U1" s="243" t="s">
        <v>74</v>
      </c>
      <c r="V1" s="227" t="s">
        <v>60</v>
      </c>
      <c r="W1" s="227"/>
      <c r="X1" s="227"/>
      <c r="Y1" s="227"/>
      <c r="Z1" s="227"/>
      <c r="AA1" s="227"/>
      <c r="AB1" s="227"/>
      <c r="AC1" s="227"/>
      <c r="AD1" s="227"/>
      <c r="AE1" s="227"/>
      <c r="AF1" s="227"/>
      <c r="AG1" s="227"/>
      <c r="AH1" s="227"/>
      <c r="AI1" s="227" t="s">
        <v>66</v>
      </c>
      <c r="AJ1" s="227"/>
      <c r="AK1" s="227"/>
      <c r="AL1" s="227"/>
      <c r="AM1" s="227"/>
      <c r="AN1" s="227"/>
      <c r="AO1" s="227"/>
      <c r="AP1" s="227"/>
      <c r="AQ1" s="227"/>
      <c r="AR1" s="227"/>
      <c r="AS1" s="227"/>
      <c r="AT1" s="227"/>
      <c r="AU1" s="227"/>
      <c r="AV1" s="227" t="s">
        <v>61</v>
      </c>
      <c r="AW1" s="227"/>
      <c r="AX1" s="227"/>
      <c r="AY1" s="227"/>
      <c r="AZ1" s="227"/>
      <c r="BA1" s="227"/>
      <c r="BB1" s="227"/>
      <c r="BC1" s="227"/>
      <c r="BD1" s="227"/>
      <c r="BE1" s="227"/>
      <c r="BF1" s="227"/>
      <c r="BG1" s="227"/>
      <c r="BH1" s="227"/>
      <c r="BI1" s="227" t="s">
        <v>62</v>
      </c>
      <c r="BJ1" s="227"/>
      <c r="BK1" s="227"/>
      <c r="BL1" s="227"/>
      <c r="BM1" s="227"/>
      <c r="BN1" s="227"/>
      <c r="BO1" s="227"/>
      <c r="BP1" s="227"/>
      <c r="BQ1" s="227"/>
      <c r="BR1" s="227"/>
      <c r="BS1" s="227"/>
      <c r="BT1" s="227"/>
      <c r="BU1" s="227"/>
      <c r="BV1" s="227" t="s">
        <v>79</v>
      </c>
      <c r="BW1" s="227"/>
      <c r="BX1" s="227"/>
      <c r="BY1" s="227"/>
      <c r="BZ1" s="227"/>
      <c r="CA1" s="227"/>
      <c r="CB1" s="227"/>
      <c r="CC1" s="227"/>
      <c r="CD1" s="227"/>
      <c r="CE1" s="227"/>
      <c r="CF1" s="227"/>
      <c r="CG1" s="227"/>
      <c r="CH1" s="227"/>
      <c r="CI1" s="227"/>
      <c r="CJ1" s="227"/>
      <c r="CK1" s="227"/>
      <c r="CL1" s="227"/>
      <c r="CM1" s="227" t="s">
        <v>27</v>
      </c>
      <c r="CN1" s="227"/>
      <c r="CO1" s="227"/>
      <c r="CP1" s="227"/>
      <c r="CQ1" s="227"/>
      <c r="CR1" s="227"/>
      <c r="CS1" s="227"/>
      <c r="CT1" s="227"/>
      <c r="CU1" s="227"/>
      <c r="CV1" s="227"/>
      <c r="CW1" s="227"/>
      <c r="CX1" s="227"/>
      <c r="CY1" s="227"/>
      <c r="CZ1" s="227" t="s">
        <v>480</v>
      </c>
      <c r="DA1" s="227"/>
      <c r="DB1" s="227"/>
      <c r="DC1" s="227"/>
      <c r="DD1" s="227"/>
      <c r="DE1" s="227"/>
      <c r="DF1" s="227"/>
      <c r="DG1" s="227"/>
      <c r="DH1" s="227"/>
      <c r="DI1" s="227" t="s">
        <v>463</v>
      </c>
      <c r="DJ1" s="227"/>
      <c r="DK1" s="227"/>
      <c r="DL1" s="227"/>
      <c r="DM1" s="227"/>
      <c r="DN1" s="227"/>
      <c r="DO1" s="227"/>
      <c r="DP1" s="227"/>
      <c r="DQ1" s="227"/>
      <c r="DR1" s="227" t="s">
        <v>485</v>
      </c>
      <c r="DS1" s="227"/>
      <c r="DT1" s="227"/>
      <c r="DU1" s="227"/>
      <c r="DV1" s="227"/>
      <c r="DW1" s="227"/>
      <c r="DX1" s="227"/>
      <c r="DY1" s="227"/>
      <c r="DZ1" s="227"/>
      <c r="EA1" s="227" t="s">
        <v>486</v>
      </c>
      <c r="EB1" s="227"/>
      <c r="EC1" s="227"/>
      <c r="ED1" s="227"/>
      <c r="EE1" s="227"/>
      <c r="EF1" s="227"/>
      <c r="EG1" s="227"/>
      <c r="EH1" s="227"/>
      <c r="EI1" s="227"/>
      <c r="EJ1" s="227" t="s">
        <v>487</v>
      </c>
      <c r="EK1" s="227"/>
      <c r="EL1" s="227"/>
      <c r="EM1" s="227"/>
      <c r="EN1" s="227"/>
      <c r="EO1" s="227"/>
      <c r="EP1" s="227"/>
      <c r="EQ1" s="227"/>
      <c r="ER1" s="227"/>
      <c r="ES1" s="227" t="s">
        <v>488</v>
      </c>
      <c r="ET1" s="227"/>
      <c r="EU1" s="227"/>
      <c r="EV1" s="227"/>
      <c r="EW1" s="227"/>
      <c r="EX1" s="227"/>
      <c r="EY1" s="227"/>
      <c r="EZ1" s="227"/>
      <c r="FA1" s="227"/>
      <c r="FB1" s="227" t="s">
        <v>72</v>
      </c>
      <c r="FC1" s="227"/>
      <c r="FD1" s="227"/>
      <c r="FE1" s="227"/>
      <c r="FF1" s="227"/>
      <c r="FG1" s="227"/>
      <c r="FH1" s="227"/>
      <c r="FI1" s="227"/>
      <c r="FJ1" s="227"/>
      <c r="FK1" s="227"/>
      <c r="FL1" s="227"/>
      <c r="FM1" s="227"/>
      <c r="FN1" s="227"/>
      <c r="FO1" s="232" t="s">
        <v>285</v>
      </c>
      <c r="FP1" s="233"/>
      <c r="FQ1" s="233"/>
      <c r="FR1" s="233"/>
      <c r="FS1" s="233"/>
      <c r="FT1" s="233"/>
      <c r="FU1" s="233"/>
      <c r="FV1" s="233"/>
      <c r="FW1" s="233"/>
      <c r="FX1" s="233"/>
      <c r="FY1" s="233"/>
      <c r="FZ1" s="233"/>
      <c r="GA1" s="233"/>
      <c r="GB1" s="233"/>
      <c r="GC1" s="233"/>
      <c r="GD1" s="233"/>
      <c r="GE1" s="233"/>
      <c r="GF1" s="233"/>
      <c r="GG1" s="233"/>
      <c r="GH1" s="233"/>
      <c r="GI1" s="234"/>
      <c r="GJ1" s="286" t="s">
        <v>298</v>
      </c>
      <c r="GK1" s="287"/>
      <c r="GL1" s="287"/>
      <c r="GM1" s="287"/>
      <c r="GN1" s="287"/>
      <c r="GO1" s="287"/>
      <c r="GP1" s="287"/>
      <c r="GQ1" s="287"/>
      <c r="GR1" s="287"/>
      <c r="GS1" s="287"/>
      <c r="GT1" s="287"/>
      <c r="GU1" s="287"/>
      <c r="GV1" s="287"/>
      <c r="GW1" s="287"/>
      <c r="GX1" s="287"/>
      <c r="GY1" s="287"/>
      <c r="GZ1" s="287"/>
      <c r="HA1" s="287"/>
      <c r="HB1" s="287"/>
      <c r="HC1" s="287"/>
      <c r="HD1" s="287"/>
      <c r="HE1" s="287"/>
      <c r="HF1" s="287"/>
      <c r="HG1" s="287"/>
      <c r="HH1" s="287"/>
      <c r="HI1" s="287"/>
      <c r="HJ1" s="287"/>
      <c r="HK1" s="287"/>
      <c r="HL1" s="287"/>
      <c r="HM1" s="287"/>
      <c r="HN1" s="287"/>
      <c r="HO1" s="287"/>
      <c r="HP1" s="287"/>
      <c r="HQ1" s="287"/>
      <c r="HR1" s="287"/>
      <c r="HS1" s="287"/>
      <c r="HT1" s="287"/>
      <c r="HU1" s="287"/>
      <c r="HV1" s="287"/>
      <c r="HW1" s="287"/>
      <c r="HX1" s="287"/>
      <c r="HY1" s="287"/>
      <c r="HZ1" s="287"/>
      <c r="IA1" s="287"/>
      <c r="IB1" s="287"/>
      <c r="IC1" s="287"/>
      <c r="ID1" s="287"/>
      <c r="IE1" s="287"/>
      <c r="IF1" s="287"/>
      <c r="IG1" s="287"/>
      <c r="IH1" s="287"/>
      <c r="II1" s="287"/>
      <c r="IJ1" s="287"/>
      <c r="IK1" s="287"/>
      <c r="IL1" s="287"/>
      <c r="IM1" s="287"/>
      <c r="IN1" s="287"/>
      <c r="IO1" s="287"/>
      <c r="IP1" s="287"/>
      <c r="IQ1" s="287"/>
      <c r="IR1" s="287"/>
      <c r="IS1" s="287"/>
      <c r="IT1" s="287"/>
      <c r="IU1" s="287"/>
      <c r="IV1" s="287"/>
      <c r="IW1" s="287"/>
      <c r="IX1" s="287"/>
      <c r="IY1" s="287"/>
      <c r="IZ1" s="287"/>
      <c r="JA1" s="287"/>
      <c r="JB1" s="287"/>
      <c r="JC1" s="287"/>
      <c r="JD1" s="287"/>
      <c r="JE1" s="287"/>
      <c r="JF1" s="287"/>
      <c r="JG1" s="287"/>
      <c r="JH1" s="287"/>
      <c r="JI1" s="287"/>
      <c r="JJ1" s="287"/>
      <c r="JK1" s="287"/>
      <c r="JL1" s="287"/>
      <c r="JM1" s="287"/>
      <c r="JN1" s="287"/>
      <c r="JO1" s="287"/>
      <c r="JP1" s="287"/>
      <c r="JQ1" s="287"/>
      <c r="JR1" s="287"/>
      <c r="JS1" s="287"/>
      <c r="JT1" s="287"/>
      <c r="JU1" s="287"/>
      <c r="JV1" s="287"/>
      <c r="JW1" s="287"/>
      <c r="JX1" s="287"/>
      <c r="JY1" s="287"/>
      <c r="JZ1" s="287"/>
      <c r="KA1" s="287"/>
      <c r="KB1" s="287"/>
      <c r="KC1" s="287"/>
      <c r="KD1" s="287"/>
      <c r="KE1" s="287"/>
      <c r="KF1" s="287"/>
      <c r="KG1" s="287"/>
      <c r="KH1" s="287"/>
      <c r="KI1" s="287"/>
      <c r="KJ1" s="287"/>
      <c r="KK1" s="287"/>
      <c r="KL1" s="287"/>
      <c r="KM1" s="287"/>
      <c r="KN1" s="287"/>
      <c r="KO1" s="287"/>
      <c r="KP1" s="287"/>
      <c r="KQ1" s="287"/>
      <c r="KR1" s="287"/>
      <c r="KS1" s="287"/>
      <c r="KT1" s="287"/>
      <c r="KU1" s="287"/>
      <c r="KV1" s="287"/>
      <c r="KW1" s="287"/>
      <c r="KX1" s="288"/>
      <c r="KY1" s="232" t="s">
        <v>293</v>
      </c>
      <c r="KZ1" s="233"/>
      <c r="LA1" s="233"/>
      <c r="LB1" s="233"/>
      <c r="LC1" s="233"/>
      <c r="LD1" s="233"/>
      <c r="LE1" s="233"/>
      <c r="LF1" s="233"/>
      <c r="LG1" s="233"/>
      <c r="LH1" s="233"/>
      <c r="LI1" s="233"/>
      <c r="LJ1" s="233"/>
      <c r="LK1" s="233"/>
      <c r="LL1" s="233"/>
      <c r="LM1" s="233"/>
      <c r="LN1" s="233"/>
      <c r="LO1" s="233"/>
      <c r="LP1" s="233"/>
      <c r="LQ1" s="233"/>
      <c r="LR1" s="233"/>
      <c r="LS1" s="234"/>
      <c r="LT1" s="232" t="s">
        <v>442</v>
      </c>
      <c r="LU1" s="233"/>
      <c r="LV1" s="233"/>
      <c r="LW1" s="233"/>
      <c r="LX1" s="233"/>
      <c r="LY1" s="233"/>
      <c r="LZ1" s="233"/>
      <c r="MA1" s="233"/>
      <c r="MB1" s="233"/>
      <c r="MC1" s="233"/>
      <c r="MD1" s="234"/>
      <c r="ME1" s="232" t="s">
        <v>443</v>
      </c>
      <c r="MF1" s="233"/>
      <c r="MG1" s="233"/>
      <c r="MH1" s="233"/>
      <c r="MI1" s="233"/>
      <c r="MJ1" s="233"/>
      <c r="MK1" s="233"/>
      <c r="ML1" s="233"/>
      <c r="MM1" s="233"/>
      <c r="MN1" s="233"/>
      <c r="MO1" s="233"/>
      <c r="MP1" s="233"/>
      <c r="MQ1" s="234"/>
      <c r="MR1" s="254" t="s">
        <v>332</v>
      </c>
      <c r="MS1" s="255"/>
      <c r="MT1" s="255"/>
      <c r="MU1" s="255"/>
      <c r="MV1" s="255"/>
      <c r="MW1" s="255"/>
      <c r="MX1" s="255"/>
      <c r="MY1" s="255"/>
      <c r="MZ1" s="255"/>
      <c r="NA1" s="255"/>
      <c r="NB1" s="256"/>
      <c r="NC1" s="254" t="s">
        <v>337</v>
      </c>
      <c r="ND1" s="255"/>
      <c r="NE1" s="232" t="s">
        <v>294</v>
      </c>
      <c r="NF1" s="233"/>
      <c r="NG1" s="233"/>
      <c r="NH1" s="233"/>
      <c r="NI1" s="233"/>
      <c r="NJ1" s="233"/>
      <c r="NK1" s="233"/>
      <c r="NL1" s="233"/>
      <c r="NM1" s="233"/>
      <c r="NN1" s="233"/>
      <c r="NO1" s="204"/>
      <c r="NP1" s="204"/>
      <c r="NQ1" s="204"/>
      <c r="NR1" s="204"/>
      <c r="NS1" s="204"/>
      <c r="NT1" s="204"/>
      <c r="NU1" s="204"/>
      <c r="NV1" s="204"/>
      <c r="NW1" s="204"/>
      <c r="NX1" s="204"/>
      <c r="NY1" s="205"/>
      <c r="NZ1" s="254" t="s">
        <v>108</v>
      </c>
      <c r="OA1" s="304"/>
      <c r="OB1" s="304"/>
      <c r="OC1" s="304"/>
      <c r="OD1" s="304"/>
      <c r="OE1" s="304"/>
      <c r="OF1" s="304"/>
      <c r="OG1" s="304"/>
      <c r="OH1" s="305"/>
      <c r="OI1" s="201"/>
      <c r="OJ1" s="201"/>
      <c r="OK1" s="201"/>
      <c r="OL1" s="201"/>
      <c r="OM1" s="201"/>
      <c r="ON1" s="201"/>
      <c r="OO1" s="201"/>
      <c r="OP1" s="201"/>
      <c r="OQ1" s="201"/>
      <c r="OR1" s="201"/>
      <c r="OS1" s="201"/>
      <c r="OT1" s="201"/>
      <c r="OU1" s="193"/>
      <c r="OV1" s="193"/>
      <c r="OW1" s="193"/>
      <c r="OX1" s="193"/>
      <c r="OY1" s="193"/>
      <c r="OZ1" s="193"/>
      <c r="PA1" s="193"/>
      <c r="PB1" s="193"/>
      <c r="PC1" s="193"/>
      <c r="PD1" s="193"/>
      <c r="PE1" s="193"/>
      <c r="PF1" s="193"/>
      <c r="PG1" s="193"/>
      <c r="PH1" s="193"/>
      <c r="PI1" s="193"/>
      <c r="PJ1" s="193"/>
      <c r="PK1" s="193"/>
      <c r="PL1" s="193"/>
      <c r="PM1" s="193"/>
      <c r="PN1" s="193"/>
      <c r="PO1" s="193"/>
      <c r="PP1" s="193"/>
      <c r="PQ1" s="193"/>
      <c r="PR1" s="193"/>
      <c r="PS1" s="193"/>
      <c r="PT1" s="193"/>
      <c r="PU1" s="193"/>
      <c r="PV1" s="193"/>
      <c r="PW1" s="193"/>
      <c r="PX1" s="193"/>
      <c r="PY1" s="193"/>
      <c r="PZ1" s="193"/>
      <c r="QA1" s="193"/>
      <c r="QB1" s="193"/>
      <c r="QC1" s="193"/>
      <c r="QD1" s="193"/>
      <c r="QE1" s="193"/>
      <c r="QF1" s="193"/>
      <c r="QG1" s="193"/>
      <c r="QH1" s="193"/>
      <c r="QI1" s="193"/>
      <c r="QJ1" s="193"/>
      <c r="QK1" s="193"/>
      <c r="QL1" s="193"/>
      <c r="QM1" s="193"/>
      <c r="QN1" s="193"/>
      <c r="QO1" s="193"/>
      <c r="QP1" s="193"/>
      <c r="QQ1" s="193"/>
      <c r="QR1" s="193"/>
      <c r="QS1" s="193"/>
      <c r="QT1" s="193"/>
      <c r="QU1" s="193"/>
      <c r="QV1" s="193"/>
      <c r="QW1" s="193"/>
      <c r="QX1" s="193"/>
      <c r="QY1" s="193"/>
      <c r="QZ1" s="193"/>
      <c r="RA1" s="193"/>
      <c r="RB1" s="193"/>
      <c r="RC1" s="193"/>
      <c r="RD1" s="193"/>
      <c r="RE1" s="193"/>
      <c r="RF1" s="193"/>
      <c r="RG1" s="193"/>
      <c r="RH1" s="193"/>
      <c r="RI1" s="193"/>
      <c r="RJ1" s="193"/>
      <c r="RK1" s="193"/>
      <c r="RL1" s="193"/>
      <c r="RM1" s="193"/>
      <c r="RN1" s="193"/>
      <c r="RO1" s="201"/>
      <c r="RP1" s="201"/>
      <c r="RQ1" s="201"/>
      <c r="RR1" s="201"/>
      <c r="RS1" s="201"/>
      <c r="RT1" s="201"/>
      <c r="RU1" s="193"/>
      <c r="RV1" s="193"/>
      <c r="RW1" s="193"/>
      <c r="RX1" s="193"/>
      <c r="RY1" s="193"/>
      <c r="RZ1" s="193"/>
      <c r="SA1" s="193"/>
      <c r="SB1" s="193"/>
      <c r="SC1" s="193"/>
      <c r="SD1" s="193"/>
      <c r="SE1" s="193"/>
      <c r="SF1" s="193"/>
      <c r="SG1" s="193"/>
      <c r="SH1" s="193"/>
      <c r="SI1" s="193"/>
      <c r="SJ1" s="193"/>
      <c r="SK1" s="193"/>
      <c r="SL1" s="193"/>
      <c r="SM1" s="193"/>
      <c r="SN1" s="193"/>
      <c r="SO1" s="193"/>
      <c r="SP1" s="193"/>
      <c r="SQ1" s="193"/>
      <c r="SR1" s="193"/>
      <c r="SS1" s="195"/>
    </row>
    <row r="2" spans="1:513" s="194" customFormat="1" ht="18.75" thickBot="1">
      <c r="A2" s="316"/>
      <c r="B2" s="317"/>
      <c r="C2" s="317"/>
      <c r="D2" s="317"/>
      <c r="E2" s="317"/>
      <c r="F2" s="317"/>
      <c r="G2" s="317"/>
      <c r="H2" s="317"/>
      <c r="I2" s="317"/>
      <c r="J2" s="318"/>
      <c r="K2" s="217"/>
      <c r="L2" s="227"/>
      <c r="M2" s="227"/>
      <c r="N2" s="227"/>
      <c r="O2" s="227"/>
      <c r="P2" s="227"/>
      <c r="Q2" s="227"/>
      <c r="R2" s="227"/>
      <c r="S2" s="227"/>
      <c r="T2" s="227"/>
      <c r="U2" s="243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27"/>
      <c r="BG2" s="227"/>
      <c r="BH2" s="227"/>
      <c r="BI2" s="227"/>
      <c r="BJ2" s="227"/>
      <c r="BK2" s="227"/>
      <c r="BL2" s="227"/>
      <c r="BM2" s="227"/>
      <c r="BN2" s="227"/>
      <c r="BO2" s="227"/>
      <c r="BP2" s="227"/>
      <c r="BQ2" s="227"/>
      <c r="BR2" s="227"/>
      <c r="BS2" s="227"/>
      <c r="BT2" s="227"/>
      <c r="BU2" s="227"/>
      <c r="BV2" s="227"/>
      <c r="BW2" s="227"/>
      <c r="BX2" s="227"/>
      <c r="BY2" s="227"/>
      <c r="BZ2" s="227"/>
      <c r="CA2" s="227"/>
      <c r="CB2" s="227"/>
      <c r="CC2" s="227"/>
      <c r="CD2" s="227"/>
      <c r="CE2" s="227"/>
      <c r="CF2" s="227"/>
      <c r="CG2" s="227"/>
      <c r="CH2" s="227"/>
      <c r="CI2" s="227"/>
      <c r="CJ2" s="227"/>
      <c r="CK2" s="227"/>
      <c r="CL2" s="227"/>
      <c r="CM2" s="227"/>
      <c r="CN2" s="227"/>
      <c r="CO2" s="227"/>
      <c r="CP2" s="227"/>
      <c r="CQ2" s="227"/>
      <c r="CR2" s="227"/>
      <c r="CS2" s="227"/>
      <c r="CT2" s="227"/>
      <c r="CU2" s="227"/>
      <c r="CV2" s="227"/>
      <c r="CW2" s="227"/>
      <c r="CX2" s="227"/>
      <c r="CY2" s="227"/>
      <c r="CZ2" s="227"/>
      <c r="DA2" s="227"/>
      <c r="DB2" s="227"/>
      <c r="DC2" s="227"/>
      <c r="DD2" s="227"/>
      <c r="DE2" s="227"/>
      <c r="DF2" s="227"/>
      <c r="DG2" s="227"/>
      <c r="DH2" s="227"/>
      <c r="DI2" s="227"/>
      <c r="DJ2" s="227"/>
      <c r="DK2" s="227"/>
      <c r="DL2" s="227"/>
      <c r="DM2" s="227"/>
      <c r="DN2" s="227"/>
      <c r="DO2" s="227"/>
      <c r="DP2" s="227"/>
      <c r="DQ2" s="227"/>
      <c r="DR2" s="227"/>
      <c r="DS2" s="227"/>
      <c r="DT2" s="227"/>
      <c r="DU2" s="227"/>
      <c r="DV2" s="227"/>
      <c r="DW2" s="227"/>
      <c r="DX2" s="227"/>
      <c r="DY2" s="227"/>
      <c r="DZ2" s="227"/>
      <c r="EA2" s="227"/>
      <c r="EB2" s="227"/>
      <c r="EC2" s="227"/>
      <c r="ED2" s="227"/>
      <c r="EE2" s="227"/>
      <c r="EF2" s="227"/>
      <c r="EG2" s="227"/>
      <c r="EH2" s="227"/>
      <c r="EI2" s="227"/>
      <c r="EJ2" s="227"/>
      <c r="EK2" s="227"/>
      <c r="EL2" s="227"/>
      <c r="EM2" s="227"/>
      <c r="EN2" s="227"/>
      <c r="EO2" s="227"/>
      <c r="EP2" s="227"/>
      <c r="EQ2" s="227"/>
      <c r="ER2" s="227"/>
      <c r="ES2" s="227"/>
      <c r="ET2" s="227"/>
      <c r="EU2" s="227"/>
      <c r="EV2" s="227"/>
      <c r="EW2" s="227"/>
      <c r="EX2" s="227"/>
      <c r="EY2" s="227"/>
      <c r="EZ2" s="227"/>
      <c r="FA2" s="227"/>
      <c r="FB2" s="227"/>
      <c r="FC2" s="227"/>
      <c r="FD2" s="227"/>
      <c r="FE2" s="227"/>
      <c r="FF2" s="227"/>
      <c r="FG2" s="227"/>
      <c r="FH2" s="227"/>
      <c r="FI2" s="227"/>
      <c r="FJ2" s="227"/>
      <c r="FK2" s="227"/>
      <c r="FL2" s="227"/>
      <c r="FM2" s="227"/>
      <c r="FN2" s="227"/>
      <c r="FO2" s="235"/>
      <c r="FP2" s="236"/>
      <c r="FQ2" s="236"/>
      <c r="FR2" s="236"/>
      <c r="FS2" s="236"/>
      <c r="FT2" s="236"/>
      <c r="FU2" s="236"/>
      <c r="FV2" s="236"/>
      <c r="FW2" s="236"/>
      <c r="FX2" s="236"/>
      <c r="FY2" s="236"/>
      <c r="FZ2" s="236"/>
      <c r="GA2" s="236"/>
      <c r="GB2" s="236"/>
      <c r="GC2" s="236"/>
      <c r="GD2" s="236"/>
      <c r="GE2" s="236"/>
      <c r="GF2" s="236"/>
      <c r="GG2" s="236"/>
      <c r="GH2" s="236"/>
      <c r="GI2" s="237"/>
      <c r="GJ2" s="289"/>
      <c r="GK2" s="290"/>
      <c r="GL2" s="290"/>
      <c r="GM2" s="290"/>
      <c r="GN2" s="290"/>
      <c r="GO2" s="290"/>
      <c r="GP2" s="290"/>
      <c r="GQ2" s="290"/>
      <c r="GR2" s="290"/>
      <c r="GS2" s="290"/>
      <c r="GT2" s="290"/>
      <c r="GU2" s="290"/>
      <c r="GV2" s="290"/>
      <c r="GW2" s="290"/>
      <c r="GX2" s="290"/>
      <c r="GY2" s="290"/>
      <c r="GZ2" s="290"/>
      <c r="HA2" s="290"/>
      <c r="HB2" s="290"/>
      <c r="HC2" s="290"/>
      <c r="HD2" s="290"/>
      <c r="HE2" s="290"/>
      <c r="HF2" s="290"/>
      <c r="HG2" s="290"/>
      <c r="HH2" s="290"/>
      <c r="HI2" s="290"/>
      <c r="HJ2" s="290"/>
      <c r="HK2" s="290"/>
      <c r="HL2" s="290"/>
      <c r="HM2" s="290"/>
      <c r="HN2" s="290"/>
      <c r="HO2" s="290"/>
      <c r="HP2" s="290"/>
      <c r="HQ2" s="290"/>
      <c r="HR2" s="290"/>
      <c r="HS2" s="290"/>
      <c r="HT2" s="290"/>
      <c r="HU2" s="290"/>
      <c r="HV2" s="290"/>
      <c r="HW2" s="290"/>
      <c r="HX2" s="290"/>
      <c r="HY2" s="290"/>
      <c r="HZ2" s="290"/>
      <c r="IA2" s="290"/>
      <c r="IB2" s="290"/>
      <c r="IC2" s="290"/>
      <c r="ID2" s="290"/>
      <c r="IE2" s="290"/>
      <c r="IF2" s="290"/>
      <c r="IG2" s="290"/>
      <c r="IH2" s="290"/>
      <c r="II2" s="290"/>
      <c r="IJ2" s="290"/>
      <c r="IK2" s="290"/>
      <c r="IL2" s="290"/>
      <c r="IM2" s="290"/>
      <c r="IN2" s="290"/>
      <c r="IO2" s="290"/>
      <c r="IP2" s="290"/>
      <c r="IQ2" s="290"/>
      <c r="IR2" s="290"/>
      <c r="IS2" s="290"/>
      <c r="IT2" s="290"/>
      <c r="IU2" s="290"/>
      <c r="IV2" s="290"/>
      <c r="IW2" s="290"/>
      <c r="IX2" s="290"/>
      <c r="IY2" s="290"/>
      <c r="IZ2" s="290"/>
      <c r="JA2" s="290"/>
      <c r="JB2" s="290"/>
      <c r="JC2" s="290"/>
      <c r="JD2" s="290"/>
      <c r="JE2" s="290"/>
      <c r="JF2" s="290"/>
      <c r="JG2" s="290"/>
      <c r="JH2" s="290"/>
      <c r="JI2" s="290"/>
      <c r="JJ2" s="290"/>
      <c r="JK2" s="290"/>
      <c r="JL2" s="290"/>
      <c r="JM2" s="290"/>
      <c r="JN2" s="290"/>
      <c r="JO2" s="290"/>
      <c r="JP2" s="290"/>
      <c r="JQ2" s="290"/>
      <c r="JR2" s="290"/>
      <c r="JS2" s="290"/>
      <c r="JT2" s="290"/>
      <c r="JU2" s="290"/>
      <c r="JV2" s="290"/>
      <c r="JW2" s="290"/>
      <c r="JX2" s="290"/>
      <c r="JY2" s="290"/>
      <c r="JZ2" s="290"/>
      <c r="KA2" s="290"/>
      <c r="KB2" s="290"/>
      <c r="KC2" s="290"/>
      <c r="KD2" s="290"/>
      <c r="KE2" s="290"/>
      <c r="KF2" s="290"/>
      <c r="KG2" s="290"/>
      <c r="KH2" s="290"/>
      <c r="KI2" s="290"/>
      <c r="KJ2" s="290"/>
      <c r="KK2" s="290"/>
      <c r="KL2" s="290"/>
      <c r="KM2" s="290"/>
      <c r="KN2" s="290"/>
      <c r="KO2" s="290"/>
      <c r="KP2" s="290"/>
      <c r="KQ2" s="290"/>
      <c r="KR2" s="290"/>
      <c r="KS2" s="290"/>
      <c r="KT2" s="290"/>
      <c r="KU2" s="290"/>
      <c r="KV2" s="290"/>
      <c r="KW2" s="290"/>
      <c r="KX2" s="291"/>
      <c r="KY2" s="238"/>
      <c r="KZ2" s="239"/>
      <c r="LA2" s="239"/>
      <c r="LB2" s="239"/>
      <c r="LC2" s="239"/>
      <c r="LD2" s="239"/>
      <c r="LE2" s="239"/>
      <c r="LF2" s="239"/>
      <c r="LG2" s="239"/>
      <c r="LH2" s="239"/>
      <c r="LI2" s="239"/>
      <c r="LJ2" s="239"/>
      <c r="LK2" s="239"/>
      <c r="LL2" s="239"/>
      <c r="LM2" s="239"/>
      <c r="LN2" s="239"/>
      <c r="LO2" s="239"/>
      <c r="LP2" s="239"/>
      <c r="LQ2" s="239"/>
      <c r="LR2" s="239"/>
      <c r="LS2" s="240"/>
      <c r="LT2" s="235"/>
      <c r="LU2" s="236"/>
      <c r="LV2" s="236"/>
      <c r="LW2" s="236"/>
      <c r="LX2" s="236"/>
      <c r="LY2" s="236"/>
      <c r="LZ2" s="236"/>
      <c r="MA2" s="236"/>
      <c r="MB2" s="236"/>
      <c r="MC2" s="236"/>
      <c r="MD2" s="237"/>
      <c r="ME2" s="235"/>
      <c r="MF2" s="236"/>
      <c r="MG2" s="236"/>
      <c r="MH2" s="236"/>
      <c r="MI2" s="236"/>
      <c r="MJ2" s="236"/>
      <c r="MK2" s="236"/>
      <c r="ML2" s="236"/>
      <c r="MM2" s="236"/>
      <c r="MN2" s="236"/>
      <c r="MO2" s="236"/>
      <c r="MP2" s="236"/>
      <c r="MQ2" s="237"/>
      <c r="MR2" s="257"/>
      <c r="MS2" s="258"/>
      <c r="MT2" s="258"/>
      <c r="MU2" s="258"/>
      <c r="MV2" s="258"/>
      <c r="MW2" s="258"/>
      <c r="MX2" s="258"/>
      <c r="MY2" s="258"/>
      <c r="MZ2" s="258"/>
      <c r="NA2" s="258"/>
      <c r="NB2" s="259"/>
      <c r="NC2" s="257"/>
      <c r="ND2" s="258"/>
      <c r="NE2" s="238"/>
      <c r="NF2" s="239"/>
      <c r="NG2" s="239"/>
      <c r="NH2" s="239"/>
      <c r="NI2" s="239"/>
      <c r="NJ2" s="239"/>
      <c r="NK2" s="239"/>
      <c r="NL2" s="239"/>
      <c r="NM2" s="239"/>
      <c r="NN2" s="239"/>
      <c r="NO2" s="161"/>
      <c r="NP2" s="161"/>
      <c r="NQ2" s="161"/>
      <c r="NR2" s="161"/>
      <c r="NS2" s="161"/>
      <c r="NT2" s="161"/>
      <c r="NU2" s="161"/>
      <c r="NV2" s="161"/>
      <c r="NW2" s="161"/>
      <c r="NX2" s="161"/>
      <c r="NY2" s="162"/>
      <c r="NZ2" s="306"/>
      <c r="OA2" s="307"/>
      <c r="OB2" s="307"/>
      <c r="OC2" s="307"/>
      <c r="OD2" s="307"/>
      <c r="OE2" s="307"/>
      <c r="OF2" s="307"/>
      <c r="OG2" s="307"/>
      <c r="OH2" s="308"/>
      <c r="OI2" s="263" t="s">
        <v>303</v>
      </c>
      <c r="OJ2" s="264"/>
      <c r="OK2" s="264"/>
      <c r="OL2" s="264"/>
      <c r="OM2" s="264"/>
      <c r="ON2" s="264"/>
      <c r="OO2" s="264"/>
      <c r="OP2" s="264"/>
      <c r="OQ2" s="264"/>
      <c r="OR2" s="264"/>
      <c r="OS2" s="264"/>
      <c r="OT2" s="265"/>
      <c r="OU2" s="296" t="s">
        <v>80</v>
      </c>
      <c r="OV2" s="300"/>
      <c r="OW2" s="300"/>
      <c r="OX2" s="300"/>
      <c r="OY2" s="300"/>
      <c r="OZ2" s="300"/>
      <c r="PA2" s="300"/>
      <c r="PB2" s="300"/>
      <c r="PC2" s="300"/>
      <c r="PD2" s="163"/>
      <c r="PE2" s="163"/>
      <c r="PF2" s="163"/>
      <c r="PG2" s="163"/>
      <c r="PH2" s="163"/>
      <c r="PI2" s="163"/>
      <c r="PJ2" s="163"/>
      <c r="PK2" s="163"/>
      <c r="PL2" s="163"/>
      <c r="PM2" s="163"/>
      <c r="PN2" s="163"/>
      <c r="PO2" s="163"/>
      <c r="PP2" s="163"/>
      <c r="PQ2" s="163"/>
      <c r="PR2" s="163"/>
      <c r="PS2" s="163"/>
      <c r="PT2" s="163"/>
      <c r="PU2" s="164"/>
      <c r="PV2" s="296"/>
      <c r="PW2" s="297"/>
      <c r="PX2" s="199"/>
      <c r="PY2" s="199"/>
      <c r="PZ2" s="199"/>
      <c r="QA2" s="199"/>
      <c r="QB2" s="269"/>
      <c r="QC2" s="269"/>
      <c r="QD2" s="199"/>
      <c r="QE2" s="199"/>
      <c r="QF2" s="199"/>
      <c r="QG2" s="199"/>
      <c r="QH2" s="199"/>
      <c r="QI2" s="269"/>
      <c r="QJ2" s="269"/>
      <c r="QK2" s="199"/>
      <c r="QL2" s="199"/>
      <c r="QM2" s="269"/>
      <c r="QN2" s="269"/>
      <c r="QO2" s="199"/>
      <c r="QP2" s="199"/>
      <c r="QQ2" s="199"/>
      <c r="QR2" s="199"/>
      <c r="QS2" s="199"/>
      <c r="QT2" s="199"/>
      <c r="QU2" s="199"/>
      <c r="QV2" s="199"/>
      <c r="QW2" s="199"/>
      <c r="QX2" s="199"/>
      <c r="QY2" s="199"/>
      <c r="QZ2" s="199"/>
      <c r="RA2" s="199"/>
      <c r="RB2" s="199"/>
      <c r="RC2" s="199"/>
      <c r="RD2" s="199"/>
      <c r="RE2" s="199"/>
      <c r="RF2" s="163"/>
      <c r="RG2" s="163"/>
      <c r="RH2" s="163"/>
      <c r="RI2" s="163"/>
      <c r="RJ2" s="163"/>
      <c r="RK2" s="163"/>
      <c r="RL2" s="163"/>
      <c r="RM2" s="163"/>
      <c r="RN2" s="163"/>
      <c r="RO2" s="197"/>
      <c r="RP2" s="197"/>
      <c r="RQ2" s="197"/>
      <c r="RR2" s="197"/>
      <c r="RS2" s="197"/>
      <c r="RT2" s="197"/>
      <c r="RU2" s="269" t="s">
        <v>81</v>
      </c>
      <c r="RV2" s="269"/>
      <c r="RW2" s="269"/>
      <c r="RX2" s="269"/>
      <c r="RY2" s="269"/>
      <c r="RZ2" s="199"/>
      <c r="SA2" s="295" t="s">
        <v>82</v>
      </c>
      <c r="SB2" s="295"/>
      <c r="SC2" s="295"/>
      <c r="SD2" s="295"/>
      <c r="SE2" s="295"/>
      <c r="SF2" s="295"/>
      <c r="SG2" s="295"/>
      <c r="SH2" s="295"/>
      <c r="SI2" s="295"/>
      <c r="SJ2" s="295"/>
      <c r="SK2" s="295"/>
      <c r="SL2" s="295"/>
      <c r="SM2" s="295"/>
      <c r="SN2" s="295"/>
      <c r="SO2" s="200"/>
      <c r="SP2" s="200"/>
      <c r="SQ2" s="200"/>
      <c r="SR2" s="200"/>
      <c r="SS2" s="173"/>
    </row>
    <row r="3" spans="1:513" s="194" customFormat="1" ht="25.5" customHeight="1" thickTop="1" thickBot="1">
      <c r="A3" s="241" t="s">
        <v>495</v>
      </c>
      <c r="B3" s="241"/>
      <c r="C3" s="241"/>
      <c r="D3" s="241"/>
      <c r="E3" s="241"/>
      <c r="F3" s="235" t="s">
        <v>20</v>
      </c>
      <c r="G3" s="236"/>
      <c r="H3" s="237"/>
      <c r="I3" s="235" t="s">
        <v>21</v>
      </c>
      <c r="J3" s="23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43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  <c r="CK3" s="227"/>
      <c r="CL3" s="227"/>
      <c r="CM3" s="227"/>
      <c r="CN3" s="227"/>
      <c r="CO3" s="227"/>
      <c r="CP3" s="227"/>
      <c r="CQ3" s="227"/>
      <c r="CR3" s="227"/>
      <c r="CS3" s="227"/>
      <c r="CT3" s="227"/>
      <c r="CU3" s="227"/>
      <c r="CV3" s="227"/>
      <c r="CW3" s="227"/>
      <c r="CX3" s="227"/>
      <c r="CY3" s="227"/>
      <c r="CZ3" s="227"/>
      <c r="DA3" s="227"/>
      <c r="DB3" s="227"/>
      <c r="DC3" s="227"/>
      <c r="DD3" s="227"/>
      <c r="DE3" s="227"/>
      <c r="DF3" s="227"/>
      <c r="DG3" s="227"/>
      <c r="DH3" s="227"/>
      <c r="DI3" s="227"/>
      <c r="DJ3" s="227"/>
      <c r="DK3" s="227"/>
      <c r="DL3" s="227"/>
      <c r="DM3" s="227"/>
      <c r="DN3" s="227"/>
      <c r="DO3" s="227"/>
      <c r="DP3" s="227"/>
      <c r="DQ3" s="227"/>
      <c r="DR3" s="227"/>
      <c r="DS3" s="227"/>
      <c r="DT3" s="227"/>
      <c r="DU3" s="227"/>
      <c r="DV3" s="227"/>
      <c r="DW3" s="227"/>
      <c r="DX3" s="227"/>
      <c r="DY3" s="227"/>
      <c r="DZ3" s="227"/>
      <c r="EA3" s="227"/>
      <c r="EB3" s="227"/>
      <c r="EC3" s="227"/>
      <c r="ED3" s="227"/>
      <c r="EE3" s="227"/>
      <c r="EF3" s="227"/>
      <c r="EG3" s="227"/>
      <c r="EH3" s="227"/>
      <c r="EI3" s="227"/>
      <c r="EJ3" s="227"/>
      <c r="EK3" s="227"/>
      <c r="EL3" s="227"/>
      <c r="EM3" s="227"/>
      <c r="EN3" s="227"/>
      <c r="EO3" s="227"/>
      <c r="EP3" s="227"/>
      <c r="EQ3" s="227"/>
      <c r="ER3" s="227"/>
      <c r="ES3" s="227"/>
      <c r="ET3" s="227"/>
      <c r="EU3" s="227"/>
      <c r="EV3" s="227"/>
      <c r="EW3" s="227"/>
      <c r="EX3" s="227"/>
      <c r="EY3" s="227"/>
      <c r="EZ3" s="227"/>
      <c r="FA3" s="227"/>
      <c r="FB3" s="227"/>
      <c r="FC3" s="227"/>
      <c r="FD3" s="227"/>
      <c r="FE3" s="227"/>
      <c r="FF3" s="227"/>
      <c r="FG3" s="227"/>
      <c r="FH3" s="227"/>
      <c r="FI3" s="227"/>
      <c r="FJ3" s="227"/>
      <c r="FK3" s="227"/>
      <c r="FL3" s="227"/>
      <c r="FM3" s="227"/>
      <c r="FN3" s="227"/>
      <c r="FO3" s="238"/>
      <c r="FP3" s="239"/>
      <c r="FQ3" s="239"/>
      <c r="FR3" s="239"/>
      <c r="FS3" s="239"/>
      <c r="FT3" s="239"/>
      <c r="FU3" s="239"/>
      <c r="FV3" s="239"/>
      <c r="FW3" s="239"/>
      <c r="FX3" s="239"/>
      <c r="FY3" s="239"/>
      <c r="FZ3" s="239"/>
      <c r="GA3" s="239"/>
      <c r="GB3" s="239"/>
      <c r="GC3" s="239"/>
      <c r="GD3" s="239"/>
      <c r="GE3" s="239"/>
      <c r="GF3" s="239"/>
      <c r="GG3" s="239"/>
      <c r="GH3" s="239"/>
      <c r="GI3" s="240"/>
      <c r="GJ3" s="292"/>
      <c r="GK3" s="293"/>
      <c r="GL3" s="293"/>
      <c r="GM3" s="293"/>
      <c r="GN3" s="293"/>
      <c r="GO3" s="293"/>
      <c r="GP3" s="293"/>
      <c r="GQ3" s="293"/>
      <c r="GR3" s="293"/>
      <c r="GS3" s="293"/>
      <c r="GT3" s="293"/>
      <c r="GU3" s="293"/>
      <c r="GV3" s="293"/>
      <c r="GW3" s="293"/>
      <c r="GX3" s="293"/>
      <c r="GY3" s="293"/>
      <c r="GZ3" s="293"/>
      <c r="HA3" s="293"/>
      <c r="HB3" s="293"/>
      <c r="HC3" s="293"/>
      <c r="HD3" s="293"/>
      <c r="HE3" s="293"/>
      <c r="HF3" s="293"/>
      <c r="HG3" s="293"/>
      <c r="HH3" s="293"/>
      <c r="HI3" s="293"/>
      <c r="HJ3" s="293"/>
      <c r="HK3" s="293"/>
      <c r="HL3" s="293"/>
      <c r="HM3" s="293"/>
      <c r="HN3" s="293"/>
      <c r="HO3" s="293"/>
      <c r="HP3" s="293"/>
      <c r="HQ3" s="293"/>
      <c r="HR3" s="293"/>
      <c r="HS3" s="293"/>
      <c r="HT3" s="293"/>
      <c r="HU3" s="293"/>
      <c r="HV3" s="293"/>
      <c r="HW3" s="293"/>
      <c r="HX3" s="293"/>
      <c r="HY3" s="293"/>
      <c r="HZ3" s="293"/>
      <c r="IA3" s="293"/>
      <c r="IB3" s="293"/>
      <c r="IC3" s="293"/>
      <c r="ID3" s="293"/>
      <c r="IE3" s="293"/>
      <c r="IF3" s="293"/>
      <c r="IG3" s="293"/>
      <c r="IH3" s="293"/>
      <c r="II3" s="293"/>
      <c r="IJ3" s="293"/>
      <c r="IK3" s="293"/>
      <c r="IL3" s="293"/>
      <c r="IM3" s="293"/>
      <c r="IN3" s="293"/>
      <c r="IO3" s="293"/>
      <c r="IP3" s="293"/>
      <c r="IQ3" s="293"/>
      <c r="IR3" s="293"/>
      <c r="IS3" s="293"/>
      <c r="IT3" s="293"/>
      <c r="IU3" s="293"/>
      <c r="IV3" s="293"/>
      <c r="IW3" s="293"/>
      <c r="IX3" s="293"/>
      <c r="IY3" s="293"/>
      <c r="IZ3" s="293"/>
      <c r="JA3" s="293"/>
      <c r="JB3" s="293"/>
      <c r="JC3" s="293"/>
      <c r="JD3" s="293"/>
      <c r="JE3" s="293"/>
      <c r="JF3" s="293"/>
      <c r="JG3" s="293"/>
      <c r="JH3" s="293"/>
      <c r="JI3" s="293"/>
      <c r="JJ3" s="293"/>
      <c r="JK3" s="293"/>
      <c r="JL3" s="293"/>
      <c r="JM3" s="293"/>
      <c r="JN3" s="293"/>
      <c r="JO3" s="293"/>
      <c r="JP3" s="293"/>
      <c r="JQ3" s="293"/>
      <c r="JR3" s="293"/>
      <c r="JS3" s="293"/>
      <c r="JT3" s="293"/>
      <c r="JU3" s="293"/>
      <c r="JV3" s="293"/>
      <c r="JW3" s="293"/>
      <c r="JX3" s="293"/>
      <c r="JY3" s="293"/>
      <c r="JZ3" s="293"/>
      <c r="KA3" s="293"/>
      <c r="KB3" s="293"/>
      <c r="KC3" s="293"/>
      <c r="KD3" s="293"/>
      <c r="KE3" s="293"/>
      <c r="KF3" s="293"/>
      <c r="KG3" s="293"/>
      <c r="KH3" s="293"/>
      <c r="KI3" s="293"/>
      <c r="KJ3" s="293"/>
      <c r="KK3" s="293"/>
      <c r="KL3" s="293"/>
      <c r="KM3" s="293"/>
      <c r="KN3" s="293"/>
      <c r="KO3" s="293"/>
      <c r="KP3" s="293"/>
      <c r="KQ3" s="293"/>
      <c r="KR3" s="293"/>
      <c r="KS3" s="293"/>
      <c r="KT3" s="293"/>
      <c r="KU3" s="293"/>
      <c r="KV3" s="293"/>
      <c r="KW3" s="293"/>
      <c r="KX3" s="294"/>
      <c r="KY3" s="232" t="s">
        <v>92</v>
      </c>
      <c r="KZ3" s="234"/>
      <c r="LA3" s="215" t="s">
        <v>93</v>
      </c>
      <c r="LB3" s="216"/>
      <c r="LC3" s="216"/>
      <c r="LD3" s="216"/>
      <c r="LE3" s="216"/>
      <c r="LF3" s="216"/>
      <c r="LG3" s="216"/>
      <c r="LH3" s="216"/>
      <c r="LI3" s="216"/>
      <c r="LJ3" s="216"/>
      <c r="LK3" s="216"/>
      <c r="LL3" s="216"/>
      <c r="LM3" s="216"/>
      <c r="LN3" s="216"/>
      <c r="LO3" s="216"/>
      <c r="LP3" s="216"/>
      <c r="LQ3" s="232" t="s">
        <v>137</v>
      </c>
      <c r="LR3" s="233"/>
      <c r="LS3" s="234"/>
      <c r="LT3" s="238"/>
      <c r="LU3" s="239"/>
      <c r="LV3" s="239"/>
      <c r="LW3" s="239"/>
      <c r="LX3" s="239"/>
      <c r="LY3" s="239"/>
      <c r="LZ3" s="239"/>
      <c r="MA3" s="239"/>
      <c r="MB3" s="239"/>
      <c r="MC3" s="239"/>
      <c r="MD3" s="240"/>
      <c r="ME3" s="238"/>
      <c r="MF3" s="239"/>
      <c r="MG3" s="239"/>
      <c r="MH3" s="239"/>
      <c r="MI3" s="239"/>
      <c r="MJ3" s="239"/>
      <c r="MK3" s="239"/>
      <c r="ML3" s="239"/>
      <c r="MM3" s="239"/>
      <c r="MN3" s="239"/>
      <c r="MO3" s="239"/>
      <c r="MP3" s="239"/>
      <c r="MQ3" s="240"/>
      <c r="MR3" s="260"/>
      <c r="MS3" s="261"/>
      <c r="MT3" s="261"/>
      <c r="MU3" s="261"/>
      <c r="MV3" s="261"/>
      <c r="MW3" s="261"/>
      <c r="MX3" s="261"/>
      <c r="MY3" s="261"/>
      <c r="MZ3" s="261"/>
      <c r="NA3" s="261"/>
      <c r="NB3" s="262"/>
      <c r="NC3" s="260"/>
      <c r="ND3" s="261"/>
      <c r="NE3" s="227" t="s">
        <v>32</v>
      </c>
      <c r="NF3" s="227"/>
      <c r="NG3" s="227" t="s">
        <v>69</v>
      </c>
      <c r="NH3" s="227"/>
      <c r="NI3" s="232" t="s">
        <v>64</v>
      </c>
      <c r="NJ3" s="234"/>
      <c r="NK3" s="227" t="s">
        <v>65</v>
      </c>
      <c r="NL3" s="227"/>
      <c r="NM3" s="227" t="s">
        <v>70</v>
      </c>
      <c r="NN3" s="227"/>
      <c r="NO3" s="227" t="s">
        <v>33</v>
      </c>
      <c r="NP3" s="227"/>
      <c r="NQ3" s="227" t="s">
        <v>34</v>
      </c>
      <c r="NR3" s="227"/>
      <c r="NS3" s="227" t="s">
        <v>35</v>
      </c>
      <c r="NT3" s="227"/>
      <c r="NU3" s="232" t="s">
        <v>71</v>
      </c>
      <c r="NV3" s="234"/>
      <c r="NW3" s="227" t="s">
        <v>25</v>
      </c>
      <c r="NX3" s="227"/>
      <c r="NY3" s="227"/>
      <c r="NZ3" s="309"/>
      <c r="OA3" s="310"/>
      <c r="OB3" s="310"/>
      <c r="OC3" s="310"/>
      <c r="OD3" s="310"/>
      <c r="OE3" s="310"/>
      <c r="OF3" s="310"/>
      <c r="OG3" s="310"/>
      <c r="OH3" s="311"/>
      <c r="OI3" s="254" t="s">
        <v>304</v>
      </c>
      <c r="OJ3" s="256"/>
      <c r="OK3" s="254" t="s">
        <v>406</v>
      </c>
      <c r="OL3" s="256"/>
      <c r="OM3" s="254" t="s">
        <v>339</v>
      </c>
      <c r="ON3" s="256"/>
      <c r="OO3" s="254" t="s">
        <v>309</v>
      </c>
      <c r="OP3" s="256"/>
      <c r="OQ3" s="254" t="s">
        <v>310</v>
      </c>
      <c r="OR3" s="255"/>
      <c r="OS3" s="255"/>
      <c r="OT3" s="256"/>
      <c r="OU3" s="296" t="s">
        <v>83</v>
      </c>
      <c r="OV3" s="300"/>
      <c r="OW3" s="300"/>
      <c r="OX3" s="300"/>
      <c r="OY3" s="300"/>
      <c r="OZ3" s="300"/>
      <c r="PA3" s="300"/>
      <c r="PB3" s="300"/>
      <c r="PC3" s="300"/>
      <c r="PD3" s="163"/>
      <c r="PE3" s="163"/>
      <c r="PF3" s="163"/>
      <c r="PG3" s="163"/>
      <c r="PH3" s="163"/>
      <c r="PI3" s="163"/>
      <c r="PJ3" s="163"/>
      <c r="PK3" s="163"/>
      <c r="PL3" s="163"/>
      <c r="PM3" s="163"/>
      <c r="PN3" s="163"/>
      <c r="PO3" s="163"/>
      <c r="PP3" s="163"/>
      <c r="PQ3" s="163"/>
      <c r="PR3" s="163"/>
      <c r="PS3" s="163"/>
      <c r="PT3" s="163"/>
      <c r="PU3" s="164"/>
      <c r="PV3" s="271" t="s">
        <v>87</v>
      </c>
      <c r="PW3" s="278"/>
      <c r="PX3" s="278"/>
      <c r="PY3" s="278"/>
      <c r="PZ3" s="278"/>
      <c r="QA3" s="272"/>
      <c r="QB3" s="267" t="s">
        <v>85</v>
      </c>
      <c r="QC3" s="267"/>
      <c r="QD3" s="271" t="s">
        <v>368</v>
      </c>
      <c r="QE3" s="278"/>
      <c r="QF3" s="278"/>
      <c r="QG3" s="278"/>
      <c r="QH3" s="272"/>
      <c r="QI3" s="267" t="s">
        <v>84</v>
      </c>
      <c r="QJ3" s="267"/>
      <c r="QK3" s="271" t="s">
        <v>365</v>
      </c>
      <c r="QL3" s="272"/>
      <c r="QM3" s="271" t="s">
        <v>86</v>
      </c>
      <c r="QN3" s="272"/>
      <c r="QO3" s="271" t="s">
        <v>373</v>
      </c>
      <c r="QP3" s="278"/>
      <c r="QQ3" s="272"/>
      <c r="QR3" s="271" t="s">
        <v>376</v>
      </c>
      <c r="QS3" s="278"/>
      <c r="QT3" s="272"/>
      <c r="QU3" s="271" t="s">
        <v>380</v>
      </c>
      <c r="QV3" s="272"/>
      <c r="QW3" s="271" t="s">
        <v>381</v>
      </c>
      <c r="QX3" s="278"/>
      <c r="QY3" s="278"/>
      <c r="QZ3" s="278"/>
      <c r="RA3" s="272"/>
      <c r="RB3" s="271" t="s">
        <v>351</v>
      </c>
      <c r="RC3" s="272"/>
      <c r="RD3" s="271" t="s">
        <v>352</v>
      </c>
      <c r="RE3" s="272"/>
      <c r="RF3" s="163"/>
      <c r="RG3" s="163"/>
      <c r="RH3" s="163"/>
      <c r="RI3" s="163"/>
      <c r="RJ3" s="163"/>
      <c r="RK3" s="163"/>
      <c r="RL3" s="163"/>
      <c r="RM3" s="163"/>
      <c r="RN3" s="163"/>
      <c r="RO3" s="271" t="s">
        <v>465</v>
      </c>
      <c r="RP3" s="272"/>
      <c r="RQ3" s="271" t="s">
        <v>466</v>
      </c>
      <c r="RR3" s="272"/>
      <c r="RS3" s="271" t="s">
        <v>467</v>
      </c>
      <c r="RT3" s="272"/>
      <c r="RU3" s="271" t="s">
        <v>88</v>
      </c>
      <c r="RV3" s="272"/>
      <c r="RW3" s="271" t="s">
        <v>89</v>
      </c>
      <c r="RX3" s="272"/>
      <c r="RY3" s="271" t="s">
        <v>90</v>
      </c>
      <c r="RZ3" s="272"/>
      <c r="SA3" s="270" t="s">
        <v>91</v>
      </c>
      <c r="SB3" s="270"/>
      <c r="SC3" s="280" t="s">
        <v>319</v>
      </c>
      <c r="SD3" s="281"/>
      <c r="SE3" s="281"/>
      <c r="SF3" s="281"/>
      <c r="SG3" s="282"/>
      <c r="SH3" s="202"/>
      <c r="SI3" s="280" t="s">
        <v>320</v>
      </c>
      <c r="SJ3" s="281"/>
      <c r="SK3" s="282"/>
      <c r="SL3" s="280" t="s">
        <v>326</v>
      </c>
      <c r="SM3" s="281"/>
      <c r="SN3" s="281"/>
      <c r="SO3" s="249" t="s">
        <v>353</v>
      </c>
      <c r="SP3" s="249" t="s">
        <v>354</v>
      </c>
      <c r="SQ3" s="200"/>
      <c r="SR3" s="200"/>
      <c r="SS3" s="173"/>
    </row>
    <row r="4" spans="1:513" s="194" customFormat="1" ht="24.75" customHeight="1" thickTop="1" thickBot="1">
      <c r="A4" s="242"/>
      <c r="B4" s="242"/>
      <c r="C4" s="242"/>
      <c r="D4" s="242"/>
      <c r="E4" s="242"/>
      <c r="F4" s="238"/>
      <c r="G4" s="239"/>
      <c r="H4" s="240"/>
      <c r="I4" s="238"/>
      <c r="J4" s="240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43"/>
      <c r="V4" s="231" t="s">
        <v>26</v>
      </c>
      <c r="W4" s="231"/>
      <c r="X4" s="231" t="s">
        <v>47</v>
      </c>
      <c r="Y4" s="231"/>
      <c r="Z4" s="231" t="s">
        <v>48</v>
      </c>
      <c r="AA4" s="231"/>
      <c r="AB4" s="231" t="s">
        <v>49</v>
      </c>
      <c r="AC4" s="231"/>
      <c r="AD4" s="231" t="s">
        <v>50</v>
      </c>
      <c r="AE4" s="231"/>
      <c r="AF4" s="227" t="s">
        <v>25</v>
      </c>
      <c r="AG4" s="227"/>
      <c r="AH4" s="227"/>
      <c r="AI4" s="231" t="s">
        <v>26</v>
      </c>
      <c r="AJ4" s="231"/>
      <c r="AK4" s="231" t="s">
        <v>47</v>
      </c>
      <c r="AL4" s="231"/>
      <c r="AM4" s="231" t="s">
        <v>48</v>
      </c>
      <c r="AN4" s="231"/>
      <c r="AO4" s="231" t="s">
        <v>49</v>
      </c>
      <c r="AP4" s="231"/>
      <c r="AQ4" s="231" t="s">
        <v>50</v>
      </c>
      <c r="AR4" s="231"/>
      <c r="AS4" s="227" t="s">
        <v>25</v>
      </c>
      <c r="AT4" s="227"/>
      <c r="AU4" s="227"/>
      <c r="AV4" s="231" t="s">
        <v>47</v>
      </c>
      <c r="AW4" s="231"/>
      <c r="AX4" s="231" t="s">
        <v>48</v>
      </c>
      <c r="AY4" s="231"/>
      <c r="AZ4" s="231" t="s">
        <v>49</v>
      </c>
      <c r="BA4" s="231"/>
      <c r="BB4" s="231" t="s">
        <v>50</v>
      </c>
      <c r="BC4" s="231"/>
      <c r="BD4" s="231" t="s">
        <v>51</v>
      </c>
      <c r="BE4" s="231"/>
      <c r="BF4" s="227" t="s">
        <v>25</v>
      </c>
      <c r="BG4" s="227"/>
      <c r="BH4" s="227"/>
      <c r="BI4" s="231" t="s">
        <v>52</v>
      </c>
      <c r="BJ4" s="231"/>
      <c r="BK4" s="231" t="s">
        <v>53</v>
      </c>
      <c r="BL4" s="231"/>
      <c r="BM4" s="231" t="s">
        <v>54</v>
      </c>
      <c r="BN4" s="231"/>
      <c r="BO4" s="231" t="s">
        <v>55</v>
      </c>
      <c r="BP4" s="231"/>
      <c r="BQ4" s="231" t="s">
        <v>56</v>
      </c>
      <c r="BR4" s="231"/>
      <c r="BS4" s="227" t="s">
        <v>25</v>
      </c>
      <c r="BT4" s="227"/>
      <c r="BU4" s="227"/>
      <c r="BV4" s="231" t="s">
        <v>77</v>
      </c>
      <c r="BW4" s="231"/>
      <c r="BX4" s="231" t="s">
        <v>78</v>
      </c>
      <c r="BY4" s="231"/>
      <c r="BZ4" s="231" t="s">
        <v>52</v>
      </c>
      <c r="CA4" s="231"/>
      <c r="CB4" s="231" t="s">
        <v>53</v>
      </c>
      <c r="CC4" s="231"/>
      <c r="CD4" s="231" t="s">
        <v>54</v>
      </c>
      <c r="CE4" s="231"/>
      <c r="CF4" s="231" t="s">
        <v>55</v>
      </c>
      <c r="CG4" s="231"/>
      <c r="CH4" s="231" t="s">
        <v>56</v>
      </c>
      <c r="CI4" s="231"/>
      <c r="CJ4" s="227" t="s">
        <v>25</v>
      </c>
      <c r="CK4" s="227"/>
      <c r="CL4" s="227"/>
      <c r="CM4" s="231" t="s">
        <v>57</v>
      </c>
      <c r="CN4" s="231"/>
      <c r="CO4" s="231"/>
      <c r="CP4" s="231" t="s">
        <v>58</v>
      </c>
      <c r="CQ4" s="231"/>
      <c r="CR4" s="231"/>
      <c r="CS4" s="231" t="s">
        <v>59</v>
      </c>
      <c r="CT4" s="231"/>
      <c r="CU4" s="231"/>
      <c r="CV4" s="227" t="s">
        <v>25</v>
      </c>
      <c r="CW4" s="227"/>
      <c r="CX4" s="227"/>
      <c r="CY4" s="227"/>
      <c r="CZ4" s="231" t="s">
        <v>57</v>
      </c>
      <c r="DA4" s="231"/>
      <c r="DB4" s="231" t="s">
        <v>58</v>
      </c>
      <c r="DC4" s="231"/>
      <c r="DD4" s="231" t="s">
        <v>59</v>
      </c>
      <c r="DE4" s="231"/>
      <c r="DF4" s="227" t="s">
        <v>25</v>
      </c>
      <c r="DG4" s="227"/>
      <c r="DH4" s="227"/>
      <c r="DI4" s="231" t="s">
        <v>57</v>
      </c>
      <c r="DJ4" s="231"/>
      <c r="DK4" s="231" t="s">
        <v>58</v>
      </c>
      <c r="DL4" s="231"/>
      <c r="DM4" s="231" t="s">
        <v>59</v>
      </c>
      <c r="DN4" s="231"/>
      <c r="DO4" s="227" t="s">
        <v>25</v>
      </c>
      <c r="DP4" s="227"/>
      <c r="DQ4" s="227"/>
      <c r="DR4" s="231" t="s">
        <v>57</v>
      </c>
      <c r="DS4" s="231"/>
      <c r="DT4" s="231" t="s">
        <v>58</v>
      </c>
      <c r="DU4" s="231"/>
      <c r="DV4" s="231" t="s">
        <v>59</v>
      </c>
      <c r="DW4" s="231"/>
      <c r="DX4" s="227" t="s">
        <v>25</v>
      </c>
      <c r="DY4" s="227"/>
      <c r="DZ4" s="227"/>
      <c r="EA4" s="231" t="s">
        <v>57</v>
      </c>
      <c r="EB4" s="231"/>
      <c r="EC4" s="231" t="s">
        <v>58</v>
      </c>
      <c r="ED4" s="231"/>
      <c r="EE4" s="231" t="s">
        <v>59</v>
      </c>
      <c r="EF4" s="231"/>
      <c r="EG4" s="227" t="s">
        <v>25</v>
      </c>
      <c r="EH4" s="227"/>
      <c r="EI4" s="227"/>
      <c r="EJ4" s="231" t="s">
        <v>57</v>
      </c>
      <c r="EK4" s="231"/>
      <c r="EL4" s="231" t="s">
        <v>58</v>
      </c>
      <c r="EM4" s="231"/>
      <c r="EN4" s="231" t="s">
        <v>59</v>
      </c>
      <c r="EO4" s="231"/>
      <c r="EP4" s="227" t="s">
        <v>25</v>
      </c>
      <c r="EQ4" s="227"/>
      <c r="ER4" s="227"/>
      <c r="ES4" s="231" t="s">
        <v>57</v>
      </c>
      <c r="ET4" s="231"/>
      <c r="EU4" s="231" t="s">
        <v>58</v>
      </c>
      <c r="EV4" s="231"/>
      <c r="EW4" s="231" t="s">
        <v>59</v>
      </c>
      <c r="EX4" s="231"/>
      <c r="EY4" s="227" t="s">
        <v>25</v>
      </c>
      <c r="EZ4" s="227"/>
      <c r="FA4" s="227"/>
      <c r="FB4" s="227" t="s">
        <v>30</v>
      </c>
      <c r="FC4" s="227"/>
      <c r="FD4" s="227" t="s">
        <v>31</v>
      </c>
      <c r="FE4" s="227"/>
      <c r="FF4" s="227" t="s">
        <v>63</v>
      </c>
      <c r="FG4" s="227"/>
      <c r="FH4" s="227" t="s">
        <v>179</v>
      </c>
      <c r="FI4" s="227"/>
      <c r="FJ4" s="227" t="s">
        <v>68</v>
      </c>
      <c r="FK4" s="227"/>
      <c r="FL4" s="227" t="s">
        <v>25</v>
      </c>
      <c r="FM4" s="227"/>
      <c r="FN4" s="227"/>
      <c r="FO4" s="227" t="s">
        <v>278</v>
      </c>
      <c r="FP4" s="227"/>
      <c r="FQ4" s="227" t="s">
        <v>318</v>
      </c>
      <c r="FR4" s="227"/>
      <c r="FS4" s="227" t="s">
        <v>279</v>
      </c>
      <c r="FT4" s="227"/>
      <c r="FU4" s="227" t="s">
        <v>280</v>
      </c>
      <c r="FV4" s="227"/>
      <c r="FW4" s="227" t="s">
        <v>281</v>
      </c>
      <c r="FX4" s="227"/>
      <c r="FY4" s="227" t="s">
        <v>282</v>
      </c>
      <c r="FZ4" s="227"/>
      <c r="GA4" s="227" t="s">
        <v>283</v>
      </c>
      <c r="GB4" s="227"/>
      <c r="GC4" s="227" t="s">
        <v>464</v>
      </c>
      <c r="GD4" s="227"/>
      <c r="GE4" s="215" t="s">
        <v>284</v>
      </c>
      <c r="GF4" s="217"/>
      <c r="GG4" s="215" t="s">
        <v>25</v>
      </c>
      <c r="GH4" s="216"/>
      <c r="GI4" s="217"/>
      <c r="GJ4" s="247" t="s">
        <v>224</v>
      </c>
      <c r="GK4" s="248"/>
      <c r="GL4" s="247" t="s">
        <v>221</v>
      </c>
      <c r="GM4" s="248"/>
      <c r="GN4" s="247" t="s">
        <v>222</v>
      </c>
      <c r="GO4" s="248"/>
      <c r="GP4" s="247" t="s">
        <v>223</v>
      </c>
      <c r="GQ4" s="248"/>
      <c r="GR4" s="247" t="s">
        <v>225</v>
      </c>
      <c r="GS4" s="248"/>
      <c r="GT4" s="247" t="s">
        <v>226</v>
      </c>
      <c r="GU4" s="248"/>
      <c r="GV4" s="247" t="s">
        <v>227</v>
      </c>
      <c r="GW4" s="248"/>
      <c r="GX4" s="247" t="s">
        <v>228</v>
      </c>
      <c r="GY4" s="248"/>
      <c r="GZ4" s="247" t="s">
        <v>229</v>
      </c>
      <c r="HA4" s="248"/>
      <c r="HB4" s="247" t="s">
        <v>230</v>
      </c>
      <c r="HC4" s="248"/>
      <c r="HD4" s="247" t="s">
        <v>231</v>
      </c>
      <c r="HE4" s="248"/>
      <c r="HF4" s="247" t="s">
        <v>232</v>
      </c>
      <c r="HG4" s="248"/>
      <c r="HH4" s="247" t="s">
        <v>233</v>
      </c>
      <c r="HI4" s="248"/>
      <c r="HJ4" s="247" t="s">
        <v>234</v>
      </c>
      <c r="HK4" s="248"/>
      <c r="HL4" s="247" t="s">
        <v>235</v>
      </c>
      <c r="HM4" s="248"/>
      <c r="HN4" s="247" t="s">
        <v>236</v>
      </c>
      <c r="HO4" s="248"/>
      <c r="HP4" s="247" t="s">
        <v>237</v>
      </c>
      <c r="HQ4" s="248"/>
      <c r="HR4" s="247" t="s">
        <v>238</v>
      </c>
      <c r="HS4" s="248"/>
      <c r="HT4" s="247" t="s">
        <v>239</v>
      </c>
      <c r="HU4" s="248"/>
      <c r="HV4" s="247" t="s">
        <v>240</v>
      </c>
      <c r="HW4" s="248"/>
      <c r="HX4" s="247" t="s">
        <v>241</v>
      </c>
      <c r="HY4" s="248"/>
      <c r="HZ4" s="247" t="s">
        <v>242</v>
      </c>
      <c r="IA4" s="248"/>
      <c r="IB4" s="247" t="s">
        <v>243</v>
      </c>
      <c r="IC4" s="248"/>
      <c r="ID4" s="247" t="s">
        <v>244</v>
      </c>
      <c r="IE4" s="248"/>
      <c r="IF4" s="247" t="s">
        <v>245</v>
      </c>
      <c r="IG4" s="248"/>
      <c r="IH4" s="247" t="s">
        <v>246</v>
      </c>
      <c r="II4" s="248"/>
      <c r="IJ4" s="247" t="s">
        <v>247</v>
      </c>
      <c r="IK4" s="248"/>
      <c r="IL4" s="247" t="s">
        <v>248</v>
      </c>
      <c r="IM4" s="248"/>
      <c r="IN4" s="247" t="s">
        <v>249</v>
      </c>
      <c r="IO4" s="248"/>
      <c r="IP4" s="247" t="s">
        <v>250</v>
      </c>
      <c r="IQ4" s="248"/>
      <c r="IR4" s="247" t="s">
        <v>251</v>
      </c>
      <c r="IS4" s="248"/>
      <c r="IT4" s="247" t="s">
        <v>252</v>
      </c>
      <c r="IU4" s="248"/>
      <c r="IV4" s="247" t="s">
        <v>253</v>
      </c>
      <c r="IW4" s="248"/>
      <c r="IX4" s="247" t="s">
        <v>254</v>
      </c>
      <c r="IY4" s="248"/>
      <c r="IZ4" s="247" t="s">
        <v>255</v>
      </c>
      <c r="JA4" s="248"/>
      <c r="JB4" s="247" t="s">
        <v>256</v>
      </c>
      <c r="JC4" s="248"/>
      <c r="JD4" s="247" t="s">
        <v>257</v>
      </c>
      <c r="JE4" s="248"/>
      <c r="JF4" s="247" t="s">
        <v>258</v>
      </c>
      <c r="JG4" s="248"/>
      <c r="JH4" s="247" t="s">
        <v>259</v>
      </c>
      <c r="JI4" s="248"/>
      <c r="JJ4" s="247" t="s">
        <v>260</v>
      </c>
      <c r="JK4" s="248"/>
      <c r="JL4" s="247" t="s">
        <v>261</v>
      </c>
      <c r="JM4" s="248"/>
      <c r="JN4" s="247" t="s">
        <v>262</v>
      </c>
      <c r="JO4" s="248"/>
      <c r="JP4" s="247" t="s">
        <v>263</v>
      </c>
      <c r="JQ4" s="248"/>
      <c r="JR4" s="247" t="s">
        <v>264</v>
      </c>
      <c r="JS4" s="248"/>
      <c r="JT4" s="247" t="s">
        <v>265</v>
      </c>
      <c r="JU4" s="248"/>
      <c r="JV4" s="247" t="s">
        <v>266</v>
      </c>
      <c r="JW4" s="248"/>
      <c r="JX4" s="247" t="s">
        <v>267</v>
      </c>
      <c r="JY4" s="248"/>
      <c r="JZ4" s="247" t="s">
        <v>268</v>
      </c>
      <c r="KA4" s="248"/>
      <c r="KB4" s="247" t="s">
        <v>269</v>
      </c>
      <c r="KC4" s="248"/>
      <c r="KD4" s="247" t="s">
        <v>270</v>
      </c>
      <c r="KE4" s="248"/>
      <c r="KF4" s="247" t="s">
        <v>271</v>
      </c>
      <c r="KG4" s="248"/>
      <c r="KH4" s="247" t="s">
        <v>272</v>
      </c>
      <c r="KI4" s="248"/>
      <c r="KJ4" s="247" t="s">
        <v>273</v>
      </c>
      <c r="KK4" s="248"/>
      <c r="KL4" s="247" t="s">
        <v>329</v>
      </c>
      <c r="KM4" s="248"/>
      <c r="KN4" s="247" t="s">
        <v>274</v>
      </c>
      <c r="KO4" s="248"/>
      <c r="KP4" s="247" t="s">
        <v>330</v>
      </c>
      <c r="KQ4" s="248"/>
      <c r="KR4" s="247" t="s">
        <v>331</v>
      </c>
      <c r="KS4" s="248"/>
      <c r="KT4" s="247" t="s">
        <v>36</v>
      </c>
      <c r="KU4" s="248"/>
      <c r="KV4" s="247" t="s">
        <v>25</v>
      </c>
      <c r="KW4" s="312"/>
      <c r="KX4" s="248"/>
      <c r="KY4" s="238"/>
      <c r="KZ4" s="240"/>
      <c r="LA4" s="215" t="s">
        <v>286</v>
      </c>
      <c r="LB4" s="217"/>
      <c r="LC4" s="215" t="s">
        <v>287</v>
      </c>
      <c r="LD4" s="217"/>
      <c r="LE4" s="215" t="s">
        <v>288</v>
      </c>
      <c r="LF4" s="217"/>
      <c r="LG4" s="215" t="s">
        <v>289</v>
      </c>
      <c r="LH4" s="217"/>
      <c r="LI4" s="215" t="s">
        <v>290</v>
      </c>
      <c r="LJ4" s="217"/>
      <c r="LK4" s="215" t="s">
        <v>291</v>
      </c>
      <c r="LL4" s="217"/>
      <c r="LM4" s="215" t="s">
        <v>292</v>
      </c>
      <c r="LN4" s="217"/>
      <c r="LO4" s="215" t="s">
        <v>484</v>
      </c>
      <c r="LP4" s="217"/>
      <c r="LQ4" s="238"/>
      <c r="LR4" s="239"/>
      <c r="LS4" s="240"/>
      <c r="LT4" s="215" t="s">
        <v>436</v>
      </c>
      <c r="LU4" s="217"/>
      <c r="LV4" s="215" t="s">
        <v>437</v>
      </c>
      <c r="LW4" s="217"/>
      <c r="LX4" s="215" t="s">
        <v>438</v>
      </c>
      <c r="LY4" s="217"/>
      <c r="LZ4" s="215" t="s">
        <v>457</v>
      </c>
      <c r="MA4" s="217"/>
      <c r="MB4" s="215" t="s">
        <v>25</v>
      </c>
      <c r="MC4" s="216"/>
      <c r="MD4" s="217"/>
      <c r="ME4" s="215" t="s">
        <v>424</v>
      </c>
      <c r="MF4" s="217"/>
      <c r="MG4" s="215" t="s">
        <v>439</v>
      </c>
      <c r="MH4" s="217"/>
      <c r="MI4" s="215" t="s">
        <v>440</v>
      </c>
      <c r="MJ4" s="217"/>
      <c r="MK4" s="215" t="s">
        <v>441</v>
      </c>
      <c r="ML4" s="217"/>
      <c r="MM4" s="215" t="s">
        <v>456</v>
      </c>
      <c r="MN4" s="217"/>
      <c r="MO4" s="215" t="s">
        <v>137</v>
      </c>
      <c r="MP4" s="216"/>
      <c r="MQ4" s="217"/>
      <c r="MR4" s="215" t="s">
        <v>333</v>
      </c>
      <c r="MS4" s="217"/>
      <c r="MT4" s="252" t="s">
        <v>334</v>
      </c>
      <c r="MU4" s="253"/>
      <c r="MV4" s="252" t="s">
        <v>335</v>
      </c>
      <c r="MW4" s="253"/>
      <c r="MX4" s="252" t="s">
        <v>336</v>
      </c>
      <c r="MY4" s="253"/>
      <c r="MZ4" s="252" t="s">
        <v>25</v>
      </c>
      <c r="NA4" s="266"/>
      <c r="NB4" s="253"/>
      <c r="NC4" s="252" t="s">
        <v>338</v>
      </c>
      <c r="ND4" s="253"/>
      <c r="NE4" s="227"/>
      <c r="NF4" s="227"/>
      <c r="NG4" s="227"/>
      <c r="NH4" s="227"/>
      <c r="NI4" s="238"/>
      <c r="NJ4" s="240"/>
      <c r="NK4" s="227"/>
      <c r="NL4" s="227"/>
      <c r="NM4" s="227"/>
      <c r="NN4" s="227"/>
      <c r="NO4" s="227"/>
      <c r="NP4" s="227"/>
      <c r="NQ4" s="227"/>
      <c r="NR4" s="227"/>
      <c r="NS4" s="227"/>
      <c r="NT4" s="227"/>
      <c r="NU4" s="238"/>
      <c r="NV4" s="240"/>
      <c r="NW4" s="227"/>
      <c r="NX4" s="227"/>
      <c r="NY4" s="227"/>
      <c r="NZ4" s="215" t="s">
        <v>295</v>
      </c>
      <c r="OA4" s="217"/>
      <c r="OB4" s="215" t="s">
        <v>296</v>
      </c>
      <c r="OC4" s="217"/>
      <c r="OD4" s="215" t="s">
        <v>297</v>
      </c>
      <c r="OE4" s="217"/>
      <c r="OF4" s="275" t="s">
        <v>25</v>
      </c>
      <c r="OG4" s="276"/>
      <c r="OH4" s="277"/>
      <c r="OI4" s="260"/>
      <c r="OJ4" s="262"/>
      <c r="OK4" s="260"/>
      <c r="OL4" s="262"/>
      <c r="OM4" s="260"/>
      <c r="ON4" s="262"/>
      <c r="OO4" s="260"/>
      <c r="OP4" s="262"/>
      <c r="OQ4" s="260"/>
      <c r="OR4" s="261"/>
      <c r="OS4" s="261"/>
      <c r="OT4" s="262"/>
      <c r="OU4" s="268" t="s">
        <v>302</v>
      </c>
      <c r="OV4" s="268"/>
      <c r="OW4" s="319" t="s">
        <v>360</v>
      </c>
      <c r="OX4" s="320"/>
      <c r="OY4" s="321"/>
      <c r="OZ4" s="319" t="s">
        <v>364</v>
      </c>
      <c r="PA4" s="321"/>
      <c r="PB4" s="268" t="s">
        <v>94</v>
      </c>
      <c r="PC4" s="268"/>
      <c r="PD4" s="268"/>
      <c r="PE4" s="301" t="s">
        <v>340</v>
      </c>
      <c r="PF4" s="302"/>
      <c r="PG4" s="302"/>
      <c r="PH4" s="302"/>
      <c r="PI4" s="303"/>
      <c r="PJ4" s="301" t="s">
        <v>311</v>
      </c>
      <c r="PK4" s="302"/>
      <c r="PL4" s="303"/>
      <c r="PM4" s="244" t="s">
        <v>316</v>
      </c>
      <c r="PN4" s="245"/>
      <c r="PO4" s="246"/>
      <c r="PP4" s="244" t="s">
        <v>98</v>
      </c>
      <c r="PQ4" s="245"/>
      <c r="PR4" s="245"/>
      <c r="PS4" s="245"/>
      <c r="PT4" s="245"/>
      <c r="PU4" s="246"/>
      <c r="PV4" s="273"/>
      <c r="PW4" s="279"/>
      <c r="PX4" s="279"/>
      <c r="PY4" s="279"/>
      <c r="PZ4" s="279"/>
      <c r="QA4" s="274"/>
      <c r="QB4" s="267"/>
      <c r="QC4" s="267"/>
      <c r="QD4" s="273"/>
      <c r="QE4" s="279"/>
      <c r="QF4" s="279"/>
      <c r="QG4" s="279"/>
      <c r="QH4" s="274"/>
      <c r="QI4" s="267"/>
      <c r="QJ4" s="267"/>
      <c r="QK4" s="273"/>
      <c r="QL4" s="274"/>
      <c r="QM4" s="273"/>
      <c r="QN4" s="274"/>
      <c r="QO4" s="273"/>
      <c r="QP4" s="279"/>
      <c r="QQ4" s="274"/>
      <c r="QR4" s="273"/>
      <c r="QS4" s="279"/>
      <c r="QT4" s="274"/>
      <c r="QU4" s="273"/>
      <c r="QV4" s="274"/>
      <c r="QW4" s="273"/>
      <c r="QX4" s="279"/>
      <c r="QY4" s="279"/>
      <c r="QZ4" s="279"/>
      <c r="RA4" s="274"/>
      <c r="RB4" s="273"/>
      <c r="RC4" s="274"/>
      <c r="RD4" s="273"/>
      <c r="RE4" s="274"/>
      <c r="RF4" s="270" t="s">
        <v>96</v>
      </c>
      <c r="RG4" s="270"/>
      <c r="RH4" s="270"/>
      <c r="RI4" s="269" t="s">
        <v>95</v>
      </c>
      <c r="RJ4" s="269"/>
      <c r="RK4" s="269"/>
      <c r="RL4" s="269" t="s">
        <v>97</v>
      </c>
      <c r="RM4" s="269"/>
      <c r="RN4" s="269"/>
      <c r="RO4" s="298"/>
      <c r="RP4" s="299"/>
      <c r="RQ4" s="298"/>
      <c r="RR4" s="299"/>
      <c r="RS4" s="298"/>
      <c r="RT4" s="299"/>
      <c r="RU4" s="298"/>
      <c r="RV4" s="299"/>
      <c r="RW4" s="298"/>
      <c r="RX4" s="299"/>
      <c r="RY4" s="298"/>
      <c r="RZ4" s="299"/>
      <c r="SA4" s="270"/>
      <c r="SB4" s="270"/>
      <c r="SC4" s="283"/>
      <c r="SD4" s="284"/>
      <c r="SE4" s="284"/>
      <c r="SF4" s="284"/>
      <c r="SG4" s="285"/>
      <c r="SH4" s="203"/>
      <c r="SI4" s="283"/>
      <c r="SJ4" s="284"/>
      <c r="SK4" s="285"/>
      <c r="SL4" s="283"/>
      <c r="SM4" s="284"/>
      <c r="SN4" s="284"/>
      <c r="SO4" s="250"/>
      <c r="SP4" s="250"/>
      <c r="SQ4" s="200"/>
      <c r="SR4" s="200"/>
      <c r="SS4" s="173"/>
    </row>
    <row r="5" spans="1:513" s="194" customFormat="1" ht="59.25" customHeight="1" thickTop="1">
      <c r="A5" s="193" t="s">
        <v>3</v>
      </c>
      <c r="B5" s="193" t="s">
        <v>4</v>
      </c>
      <c r="C5" s="193" t="s">
        <v>0</v>
      </c>
      <c r="D5" s="165" t="s">
        <v>1</v>
      </c>
      <c r="E5" s="193" t="s">
        <v>2</v>
      </c>
      <c r="F5" s="193" t="s">
        <v>5</v>
      </c>
      <c r="G5" s="193" t="s">
        <v>6</v>
      </c>
      <c r="H5" s="193" t="s">
        <v>7</v>
      </c>
      <c r="I5" s="193" t="s">
        <v>8</v>
      </c>
      <c r="J5" s="193" t="s">
        <v>9</v>
      </c>
      <c r="K5" s="193" t="s">
        <v>10</v>
      </c>
      <c r="L5" s="193" t="s">
        <v>11</v>
      </c>
      <c r="M5" s="165" t="s">
        <v>12</v>
      </c>
      <c r="N5" s="193" t="s">
        <v>13</v>
      </c>
      <c r="O5" s="193" t="s">
        <v>14</v>
      </c>
      <c r="P5" s="193" t="s">
        <v>15</v>
      </c>
      <c r="Q5" s="193" t="s">
        <v>16</v>
      </c>
      <c r="R5" s="193" t="s">
        <v>17</v>
      </c>
      <c r="S5" s="193" t="s">
        <v>18</v>
      </c>
      <c r="T5" s="165" t="s">
        <v>19</v>
      </c>
      <c r="U5" s="243"/>
      <c r="V5" s="193" t="s">
        <v>5</v>
      </c>
      <c r="W5" s="193" t="s">
        <v>6</v>
      </c>
      <c r="X5" s="193" t="s">
        <v>5</v>
      </c>
      <c r="Y5" s="193" t="s">
        <v>6</v>
      </c>
      <c r="Z5" s="193" t="s">
        <v>5</v>
      </c>
      <c r="AA5" s="193" t="s">
        <v>6</v>
      </c>
      <c r="AB5" s="193" t="s">
        <v>5</v>
      </c>
      <c r="AC5" s="193" t="s">
        <v>6</v>
      </c>
      <c r="AD5" s="193" t="s">
        <v>5</v>
      </c>
      <c r="AE5" s="193" t="s">
        <v>6</v>
      </c>
      <c r="AF5" s="193" t="s">
        <v>5</v>
      </c>
      <c r="AG5" s="193" t="s">
        <v>6</v>
      </c>
      <c r="AH5" s="193" t="s">
        <v>25</v>
      </c>
      <c r="AI5" s="193" t="s">
        <v>5</v>
      </c>
      <c r="AJ5" s="193" t="s">
        <v>6</v>
      </c>
      <c r="AK5" s="193" t="s">
        <v>5</v>
      </c>
      <c r="AL5" s="193" t="s">
        <v>6</v>
      </c>
      <c r="AM5" s="193" t="s">
        <v>5</v>
      </c>
      <c r="AN5" s="193" t="s">
        <v>6</v>
      </c>
      <c r="AO5" s="193" t="s">
        <v>5</v>
      </c>
      <c r="AP5" s="193" t="s">
        <v>6</v>
      </c>
      <c r="AQ5" s="193" t="s">
        <v>5</v>
      </c>
      <c r="AR5" s="193" t="s">
        <v>6</v>
      </c>
      <c r="AS5" s="193" t="s">
        <v>5</v>
      </c>
      <c r="AT5" s="193" t="s">
        <v>6</v>
      </c>
      <c r="AU5" s="193" t="s">
        <v>25</v>
      </c>
      <c r="AV5" s="193" t="s">
        <v>5</v>
      </c>
      <c r="AW5" s="193" t="s">
        <v>6</v>
      </c>
      <c r="AX5" s="193" t="s">
        <v>5</v>
      </c>
      <c r="AY5" s="193" t="s">
        <v>6</v>
      </c>
      <c r="AZ5" s="193" t="s">
        <v>5</v>
      </c>
      <c r="BA5" s="193" t="s">
        <v>6</v>
      </c>
      <c r="BB5" s="193" t="s">
        <v>5</v>
      </c>
      <c r="BC5" s="193" t="s">
        <v>6</v>
      </c>
      <c r="BD5" s="193" t="s">
        <v>5</v>
      </c>
      <c r="BE5" s="193" t="s">
        <v>6</v>
      </c>
      <c r="BF5" s="193" t="s">
        <v>5</v>
      </c>
      <c r="BG5" s="193" t="s">
        <v>6</v>
      </c>
      <c r="BH5" s="193" t="s">
        <v>25</v>
      </c>
      <c r="BI5" s="193" t="s">
        <v>5</v>
      </c>
      <c r="BJ5" s="193" t="s">
        <v>6</v>
      </c>
      <c r="BK5" s="193" t="s">
        <v>5</v>
      </c>
      <c r="BL5" s="193" t="s">
        <v>6</v>
      </c>
      <c r="BM5" s="193" t="s">
        <v>5</v>
      </c>
      <c r="BN5" s="193" t="s">
        <v>6</v>
      </c>
      <c r="BO5" s="193" t="s">
        <v>5</v>
      </c>
      <c r="BP5" s="193" t="s">
        <v>6</v>
      </c>
      <c r="BQ5" s="193" t="s">
        <v>5</v>
      </c>
      <c r="BR5" s="193" t="s">
        <v>6</v>
      </c>
      <c r="BS5" s="193" t="s">
        <v>5</v>
      </c>
      <c r="BT5" s="193" t="s">
        <v>6</v>
      </c>
      <c r="BU5" s="193" t="s">
        <v>25</v>
      </c>
      <c r="BV5" s="193" t="s">
        <v>5</v>
      </c>
      <c r="BW5" s="193" t="s">
        <v>6</v>
      </c>
      <c r="BX5" s="193" t="s">
        <v>5</v>
      </c>
      <c r="BY5" s="193" t="s">
        <v>6</v>
      </c>
      <c r="BZ5" s="193" t="s">
        <v>5</v>
      </c>
      <c r="CA5" s="193" t="s">
        <v>6</v>
      </c>
      <c r="CB5" s="193" t="s">
        <v>5</v>
      </c>
      <c r="CC5" s="193" t="s">
        <v>6</v>
      </c>
      <c r="CD5" s="193" t="s">
        <v>5</v>
      </c>
      <c r="CE5" s="193" t="s">
        <v>6</v>
      </c>
      <c r="CF5" s="193" t="s">
        <v>5</v>
      </c>
      <c r="CG5" s="193" t="s">
        <v>6</v>
      </c>
      <c r="CH5" s="193" t="s">
        <v>5</v>
      </c>
      <c r="CI5" s="193" t="s">
        <v>6</v>
      </c>
      <c r="CJ5" s="193" t="s">
        <v>5</v>
      </c>
      <c r="CK5" s="193" t="s">
        <v>6</v>
      </c>
      <c r="CL5" s="193" t="s">
        <v>25</v>
      </c>
      <c r="CM5" s="193" t="s">
        <v>5</v>
      </c>
      <c r="CN5" s="193" t="s">
        <v>6</v>
      </c>
      <c r="CO5" s="193" t="s">
        <v>67</v>
      </c>
      <c r="CP5" s="193" t="s">
        <v>5</v>
      </c>
      <c r="CQ5" s="193" t="s">
        <v>6</v>
      </c>
      <c r="CR5" s="193" t="s">
        <v>67</v>
      </c>
      <c r="CS5" s="193" t="s">
        <v>5</v>
      </c>
      <c r="CT5" s="193" t="s">
        <v>6</v>
      </c>
      <c r="CU5" s="193" t="s">
        <v>67</v>
      </c>
      <c r="CV5" s="193" t="s">
        <v>5</v>
      </c>
      <c r="CW5" s="193" t="s">
        <v>6</v>
      </c>
      <c r="CX5" s="193" t="s">
        <v>67</v>
      </c>
      <c r="CY5" s="193" t="s">
        <v>25</v>
      </c>
      <c r="CZ5" s="193" t="s">
        <v>5</v>
      </c>
      <c r="DA5" s="193" t="s">
        <v>6</v>
      </c>
      <c r="DB5" s="193" t="s">
        <v>5</v>
      </c>
      <c r="DC5" s="193" t="s">
        <v>6</v>
      </c>
      <c r="DD5" s="193" t="s">
        <v>5</v>
      </c>
      <c r="DE5" s="193" t="s">
        <v>6</v>
      </c>
      <c r="DF5" s="193" t="s">
        <v>5</v>
      </c>
      <c r="DG5" s="193" t="s">
        <v>6</v>
      </c>
      <c r="DH5" s="193" t="s">
        <v>25</v>
      </c>
      <c r="DI5" s="193" t="s">
        <v>5</v>
      </c>
      <c r="DJ5" s="193" t="s">
        <v>6</v>
      </c>
      <c r="DK5" s="193" t="s">
        <v>5</v>
      </c>
      <c r="DL5" s="193" t="s">
        <v>6</v>
      </c>
      <c r="DM5" s="193" t="s">
        <v>5</v>
      </c>
      <c r="DN5" s="193" t="s">
        <v>6</v>
      </c>
      <c r="DO5" s="193" t="s">
        <v>5</v>
      </c>
      <c r="DP5" s="193" t="s">
        <v>6</v>
      </c>
      <c r="DQ5" s="193" t="s">
        <v>25</v>
      </c>
      <c r="DR5" s="193" t="s">
        <v>5</v>
      </c>
      <c r="DS5" s="193" t="s">
        <v>6</v>
      </c>
      <c r="DT5" s="193" t="s">
        <v>5</v>
      </c>
      <c r="DU5" s="193" t="s">
        <v>6</v>
      </c>
      <c r="DV5" s="193" t="s">
        <v>5</v>
      </c>
      <c r="DW5" s="193" t="s">
        <v>6</v>
      </c>
      <c r="DX5" s="193" t="s">
        <v>5</v>
      </c>
      <c r="DY5" s="193" t="s">
        <v>6</v>
      </c>
      <c r="DZ5" s="193" t="s">
        <v>25</v>
      </c>
      <c r="EA5" s="193" t="s">
        <v>5</v>
      </c>
      <c r="EB5" s="193" t="s">
        <v>6</v>
      </c>
      <c r="EC5" s="193" t="s">
        <v>5</v>
      </c>
      <c r="ED5" s="193" t="s">
        <v>6</v>
      </c>
      <c r="EE5" s="193" t="s">
        <v>5</v>
      </c>
      <c r="EF5" s="193" t="s">
        <v>6</v>
      </c>
      <c r="EG5" s="193" t="s">
        <v>5</v>
      </c>
      <c r="EH5" s="193" t="s">
        <v>6</v>
      </c>
      <c r="EI5" s="193" t="s">
        <v>25</v>
      </c>
      <c r="EJ5" s="193" t="s">
        <v>5</v>
      </c>
      <c r="EK5" s="193" t="s">
        <v>6</v>
      </c>
      <c r="EL5" s="193" t="s">
        <v>5</v>
      </c>
      <c r="EM5" s="193" t="s">
        <v>6</v>
      </c>
      <c r="EN5" s="193" t="s">
        <v>5</v>
      </c>
      <c r="EO5" s="193" t="s">
        <v>6</v>
      </c>
      <c r="EP5" s="193" t="s">
        <v>5</v>
      </c>
      <c r="EQ5" s="193" t="s">
        <v>6</v>
      </c>
      <c r="ER5" s="193" t="s">
        <v>25</v>
      </c>
      <c r="ES5" s="193" t="s">
        <v>5</v>
      </c>
      <c r="ET5" s="193" t="s">
        <v>6</v>
      </c>
      <c r="EU5" s="193" t="s">
        <v>5</v>
      </c>
      <c r="EV5" s="193" t="s">
        <v>6</v>
      </c>
      <c r="EW5" s="193" t="s">
        <v>5</v>
      </c>
      <c r="EX5" s="193" t="s">
        <v>6</v>
      </c>
      <c r="EY5" s="193" t="s">
        <v>5</v>
      </c>
      <c r="EZ5" s="193" t="s">
        <v>6</v>
      </c>
      <c r="FA5" s="193" t="s">
        <v>25</v>
      </c>
      <c r="FB5" s="193" t="s">
        <v>28</v>
      </c>
      <c r="FC5" s="193" t="s">
        <v>29</v>
      </c>
      <c r="FD5" s="193" t="s">
        <v>28</v>
      </c>
      <c r="FE5" s="193" t="s">
        <v>29</v>
      </c>
      <c r="FF5" s="193" t="s">
        <v>28</v>
      </c>
      <c r="FG5" s="193" t="s">
        <v>29</v>
      </c>
      <c r="FH5" s="193" t="s">
        <v>28</v>
      </c>
      <c r="FI5" s="193" t="s">
        <v>29</v>
      </c>
      <c r="FJ5" s="193" t="s">
        <v>28</v>
      </c>
      <c r="FK5" s="193" t="s">
        <v>29</v>
      </c>
      <c r="FL5" s="193" t="s">
        <v>28</v>
      </c>
      <c r="FM5" s="193" t="s">
        <v>29</v>
      </c>
      <c r="FN5" s="193" t="s">
        <v>25</v>
      </c>
      <c r="FO5" s="193" t="s">
        <v>28</v>
      </c>
      <c r="FP5" s="193" t="s">
        <v>29</v>
      </c>
      <c r="FQ5" s="193" t="s">
        <v>28</v>
      </c>
      <c r="FR5" s="193" t="s">
        <v>29</v>
      </c>
      <c r="FS5" s="193" t="s">
        <v>28</v>
      </c>
      <c r="FT5" s="193" t="s">
        <v>29</v>
      </c>
      <c r="FU5" s="193" t="s">
        <v>28</v>
      </c>
      <c r="FV5" s="193" t="s">
        <v>29</v>
      </c>
      <c r="FW5" s="193" t="s">
        <v>28</v>
      </c>
      <c r="FX5" s="193" t="s">
        <v>29</v>
      </c>
      <c r="FY5" s="193" t="s">
        <v>28</v>
      </c>
      <c r="FZ5" s="193" t="s">
        <v>29</v>
      </c>
      <c r="GA5" s="193" t="s">
        <v>28</v>
      </c>
      <c r="GB5" s="193" t="s">
        <v>29</v>
      </c>
      <c r="GC5" s="193" t="s">
        <v>28</v>
      </c>
      <c r="GD5" s="193" t="s">
        <v>29</v>
      </c>
      <c r="GE5" s="193" t="s">
        <v>28</v>
      </c>
      <c r="GF5" s="193" t="s">
        <v>29</v>
      </c>
      <c r="GG5" s="193" t="s">
        <v>28</v>
      </c>
      <c r="GH5" s="193" t="s">
        <v>29</v>
      </c>
      <c r="GI5" s="193" t="s">
        <v>25</v>
      </c>
      <c r="GJ5" s="193" t="s">
        <v>28</v>
      </c>
      <c r="GK5" s="193" t="s">
        <v>29</v>
      </c>
      <c r="GL5" s="193" t="s">
        <v>28</v>
      </c>
      <c r="GM5" s="193" t="s">
        <v>29</v>
      </c>
      <c r="GN5" s="193" t="s">
        <v>28</v>
      </c>
      <c r="GO5" s="193" t="s">
        <v>29</v>
      </c>
      <c r="GP5" s="193" t="s">
        <v>28</v>
      </c>
      <c r="GQ5" s="193" t="s">
        <v>29</v>
      </c>
      <c r="GR5" s="193" t="s">
        <v>28</v>
      </c>
      <c r="GS5" s="193" t="s">
        <v>29</v>
      </c>
      <c r="GT5" s="193" t="s">
        <v>28</v>
      </c>
      <c r="GU5" s="193" t="s">
        <v>29</v>
      </c>
      <c r="GV5" s="193" t="s">
        <v>28</v>
      </c>
      <c r="GW5" s="193" t="s">
        <v>29</v>
      </c>
      <c r="GX5" s="193" t="s">
        <v>28</v>
      </c>
      <c r="GY5" s="193" t="s">
        <v>29</v>
      </c>
      <c r="GZ5" s="193" t="s">
        <v>28</v>
      </c>
      <c r="HA5" s="193" t="s">
        <v>29</v>
      </c>
      <c r="HB5" s="193" t="s">
        <v>28</v>
      </c>
      <c r="HC5" s="193" t="s">
        <v>29</v>
      </c>
      <c r="HD5" s="193" t="s">
        <v>28</v>
      </c>
      <c r="HE5" s="193" t="s">
        <v>29</v>
      </c>
      <c r="HF5" s="193" t="s">
        <v>28</v>
      </c>
      <c r="HG5" s="193" t="s">
        <v>29</v>
      </c>
      <c r="HH5" s="193" t="s">
        <v>28</v>
      </c>
      <c r="HI5" s="193" t="s">
        <v>29</v>
      </c>
      <c r="HJ5" s="193" t="s">
        <v>28</v>
      </c>
      <c r="HK5" s="193" t="s">
        <v>29</v>
      </c>
      <c r="HL5" s="193" t="s">
        <v>28</v>
      </c>
      <c r="HM5" s="193" t="s">
        <v>29</v>
      </c>
      <c r="HN5" s="193" t="s">
        <v>28</v>
      </c>
      <c r="HO5" s="193" t="s">
        <v>29</v>
      </c>
      <c r="HP5" s="193" t="s">
        <v>28</v>
      </c>
      <c r="HQ5" s="193" t="s">
        <v>29</v>
      </c>
      <c r="HR5" s="193" t="s">
        <v>28</v>
      </c>
      <c r="HS5" s="193" t="s">
        <v>29</v>
      </c>
      <c r="HT5" s="193" t="s">
        <v>28</v>
      </c>
      <c r="HU5" s="193" t="s">
        <v>29</v>
      </c>
      <c r="HV5" s="193" t="s">
        <v>28</v>
      </c>
      <c r="HW5" s="193" t="s">
        <v>29</v>
      </c>
      <c r="HX5" s="193" t="s">
        <v>28</v>
      </c>
      <c r="HY5" s="193" t="s">
        <v>29</v>
      </c>
      <c r="HZ5" s="193" t="s">
        <v>28</v>
      </c>
      <c r="IA5" s="193" t="s">
        <v>29</v>
      </c>
      <c r="IB5" s="193" t="s">
        <v>28</v>
      </c>
      <c r="IC5" s="193" t="s">
        <v>29</v>
      </c>
      <c r="ID5" s="193" t="s">
        <v>28</v>
      </c>
      <c r="IE5" s="193" t="s">
        <v>29</v>
      </c>
      <c r="IF5" s="193" t="s">
        <v>28</v>
      </c>
      <c r="IG5" s="193" t="s">
        <v>29</v>
      </c>
      <c r="IH5" s="193" t="s">
        <v>28</v>
      </c>
      <c r="II5" s="193" t="s">
        <v>29</v>
      </c>
      <c r="IJ5" s="193" t="s">
        <v>28</v>
      </c>
      <c r="IK5" s="193" t="s">
        <v>29</v>
      </c>
      <c r="IL5" s="193" t="s">
        <v>28</v>
      </c>
      <c r="IM5" s="193" t="s">
        <v>29</v>
      </c>
      <c r="IN5" s="193" t="s">
        <v>28</v>
      </c>
      <c r="IO5" s="193" t="s">
        <v>29</v>
      </c>
      <c r="IP5" s="193" t="s">
        <v>28</v>
      </c>
      <c r="IQ5" s="193" t="s">
        <v>29</v>
      </c>
      <c r="IR5" s="193" t="s">
        <v>28</v>
      </c>
      <c r="IS5" s="193" t="s">
        <v>29</v>
      </c>
      <c r="IT5" s="193" t="s">
        <v>28</v>
      </c>
      <c r="IU5" s="193" t="s">
        <v>29</v>
      </c>
      <c r="IV5" s="193" t="s">
        <v>28</v>
      </c>
      <c r="IW5" s="193" t="s">
        <v>29</v>
      </c>
      <c r="IX5" s="193" t="s">
        <v>28</v>
      </c>
      <c r="IY5" s="193" t="s">
        <v>29</v>
      </c>
      <c r="IZ5" s="193" t="s">
        <v>28</v>
      </c>
      <c r="JA5" s="193" t="s">
        <v>29</v>
      </c>
      <c r="JB5" s="193" t="s">
        <v>28</v>
      </c>
      <c r="JC5" s="193" t="s">
        <v>29</v>
      </c>
      <c r="JD5" s="193" t="s">
        <v>28</v>
      </c>
      <c r="JE5" s="193" t="s">
        <v>29</v>
      </c>
      <c r="JF5" s="193" t="s">
        <v>28</v>
      </c>
      <c r="JG5" s="193" t="s">
        <v>29</v>
      </c>
      <c r="JH5" s="193" t="s">
        <v>28</v>
      </c>
      <c r="JI5" s="193" t="s">
        <v>29</v>
      </c>
      <c r="JJ5" s="193" t="s">
        <v>28</v>
      </c>
      <c r="JK5" s="193" t="s">
        <v>29</v>
      </c>
      <c r="JL5" s="193" t="s">
        <v>28</v>
      </c>
      <c r="JM5" s="193" t="s">
        <v>29</v>
      </c>
      <c r="JN5" s="193" t="s">
        <v>28</v>
      </c>
      <c r="JO5" s="193" t="s">
        <v>29</v>
      </c>
      <c r="JP5" s="193" t="s">
        <v>28</v>
      </c>
      <c r="JQ5" s="193" t="s">
        <v>29</v>
      </c>
      <c r="JR5" s="193" t="s">
        <v>28</v>
      </c>
      <c r="JS5" s="193" t="s">
        <v>29</v>
      </c>
      <c r="JT5" s="193" t="s">
        <v>28</v>
      </c>
      <c r="JU5" s="193" t="s">
        <v>29</v>
      </c>
      <c r="JV5" s="193" t="s">
        <v>28</v>
      </c>
      <c r="JW5" s="193" t="s">
        <v>29</v>
      </c>
      <c r="JX5" s="193" t="s">
        <v>28</v>
      </c>
      <c r="JY5" s="193" t="s">
        <v>29</v>
      </c>
      <c r="JZ5" s="193" t="s">
        <v>28</v>
      </c>
      <c r="KA5" s="193" t="s">
        <v>29</v>
      </c>
      <c r="KB5" s="193" t="s">
        <v>28</v>
      </c>
      <c r="KC5" s="193" t="s">
        <v>29</v>
      </c>
      <c r="KD5" s="193" t="s">
        <v>28</v>
      </c>
      <c r="KE5" s="193" t="s">
        <v>29</v>
      </c>
      <c r="KF5" s="193" t="s">
        <v>28</v>
      </c>
      <c r="KG5" s="193" t="s">
        <v>29</v>
      </c>
      <c r="KH5" s="193" t="s">
        <v>28</v>
      </c>
      <c r="KI5" s="193" t="s">
        <v>29</v>
      </c>
      <c r="KJ5" s="193" t="s">
        <v>28</v>
      </c>
      <c r="KK5" s="193" t="s">
        <v>29</v>
      </c>
      <c r="KL5" s="193" t="s">
        <v>28</v>
      </c>
      <c r="KM5" s="193" t="s">
        <v>29</v>
      </c>
      <c r="KN5" s="193" t="s">
        <v>28</v>
      </c>
      <c r="KO5" s="193" t="s">
        <v>29</v>
      </c>
      <c r="KP5" s="193" t="s">
        <v>28</v>
      </c>
      <c r="KQ5" s="193" t="s">
        <v>29</v>
      </c>
      <c r="KR5" s="193" t="s">
        <v>28</v>
      </c>
      <c r="KS5" s="193" t="s">
        <v>29</v>
      </c>
      <c r="KT5" s="193" t="s">
        <v>28</v>
      </c>
      <c r="KU5" s="193" t="s">
        <v>29</v>
      </c>
      <c r="KV5" s="193" t="s">
        <v>28</v>
      </c>
      <c r="KW5" s="193" t="s">
        <v>29</v>
      </c>
      <c r="KX5" s="193" t="s">
        <v>25</v>
      </c>
      <c r="KY5" s="193" t="s">
        <v>28</v>
      </c>
      <c r="KZ5" s="193" t="s">
        <v>29</v>
      </c>
      <c r="LA5" s="193" t="s">
        <v>28</v>
      </c>
      <c r="LB5" s="193" t="s">
        <v>29</v>
      </c>
      <c r="LC5" s="193" t="s">
        <v>28</v>
      </c>
      <c r="LD5" s="193" t="s">
        <v>29</v>
      </c>
      <c r="LE5" s="193" t="s">
        <v>28</v>
      </c>
      <c r="LF5" s="193" t="s">
        <v>29</v>
      </c>
      <c r="LG5" s="193" t="s">
        <v>28</v>
      </c>
      <c r="LH5" s="193" t="s">
        <v>29</v>
      </c>
      <c r="LI5" s="193" t="s">
        <v>28</v>
      </c>
      <c r="LJ5" s="193" t="s">
        <v>29</v>
      </c>
      <c r="LK5" s="193" t="s">
        <v>28</v>
      </c>
      <c r="LL5" s="193" t="s">
        <v>29</v>
      </c>
      <c r="LM5" s="193" t="s">
        <v>28</v>
      </c>
      <c r="LN5" s="193" t="s">
        <v>29</v>
      </c>
      <c r="LO5" s="193" t="s">
        <v>28</v>
      </c>
      <c r="LP5" s="193" t="s">
        <v>29</v>
      </c>
      <c r="LQ5" s="193" t="s">
        <v>28</v>
      </c>
      <c r="LR5" s="193" t="s">
        <v>29</v>
      </c>
      <c r="LS5" s="193" t="s">
        <v>25</v>
      </c>
      <c r="LT5" s="193" t="s">
        <v>28</v>
      </c>
      <c r="LU5" s="193" t="s">
        <v>29</v>
      </c>
      <c r="LV5" s="193" t="s">
        <v>28</v>
      </c>
      <c r="LW5" s="193" t="s">
        <v>29</v>
      </c>
      <c r="LX5" s="193" t="s">
        <v>28</v>
      </c>
      <c r="LY5" s="193" t="s">
        <v>29</v>
      </c>
      <c r="LZ5" s="193" t="s">
        <v>28</v>
      </c>
      <c r="MA5" s="193" t="s">
        <v>29</v>
      </c>
      <c r="MB5" s="193" t="s">
        <v>28</v>
      </c>
      <c r="MC5" s="193" t="s">
        <v>29</v>
      </c>
      <c r="MD5" s="193" t="s">
        <v>25</v>
      </c>
      <c r="ME5" s="193" t="s">
        <v>28</v>
      </c>
      <c r="MF5" s="193" t="s">
        <v>29</v>
      </c>
      <c r="MG5" s="193" t="s">
        <v>28</v>
      </c>
      <c r="MH5" s="193" t="s">
        <v>29</v>
      </c>
      <c r="MI5" s="193" t="s">
        <v>28</v>
      </c>
      <c r="MJ5" s="193" t="s">
        <v>29</v>
      </c>
      <c r="MK5" s="193" t="s">
        <v>28</v>
      </c>
      <c r="ML5" s="193" t="s">
        <v>29</v>
      </c>
      <c r="MM5" s="193" t="s">
        <v>28</v>
      </c>
      <c r="MN5" s="193" t="s">
        <v>29</v>
      </c>
      <c r="MO5" s="193" t="s">
        <v>28</v>
      </c>
      <c r="MP5" s="193" t="s">
        <v>29</v>
      </c>
      <c r="MQ5" s="193" t="s">
        <v>25</v>
      </c>
      <c r="MR5" s="193" t="s">
        <v>28</v>
      </c>
      <c r="MS5" s="193" t="s">
        <v>29</v>
      </c>
      <c r="MT5" s="193" t="s">
        <v>28</v>
      </c>
      <c r="MU5" s="193" t="s">
        <v>29</v>
      </c>
      <c r="MV5" s="193" t="s">
        <v>28</v>
      </c>
      <c r="MW5" s="193" t="s">
        <v>29</v>
      </c>
      <c r="MX5" s="193" t="s">
        <v>28</v>
      </c>
      <c r="MY5" s="193" t="s">
        <v>29</v>
      </c>
      <c r="MZ5" s="193" t="s">
        <v>28</v>
      </c>
      <c r="NA5" s="193" t="s">
        <v>29</v>
      </c>
      <c r="NB5" s="193" t="s">
        <v>25</v>
      </c>
      <c r="NC5" s="193" t="s">
        <v>28</v>
      </c>
      <c r="ND5" s="193" t="s">
        <v>29</v>
      </c>
      <c r="NE5" s="193" t="s">
        <v>28</v>
      </c>
      <c r="NF5" s="193" t="s">
        <v>29</v>
      </c>
      <c r="NG5" s="193" t="s">
        <v>28</v>
      </c>
      <c r="NH5" s="193" t="s">
        <v>29</v>
      </c>
      <c r="NI5" s="193" t="s">
        <v>28</v>
      </c>
      <c r="NJ5" s="193" t="s">
        <v>29</v>
      </c>
      <c r="NK5" s="193" t="s">
        <v>28</v>
      </c>
      <c r="NL5" s="193" t="s">
        <v>29</v>
      </c>
      <c r="NM5" s="193" t="s">
        <v>28</v>
      </c>
      <c r="NN5" s="193" t="s">
        <v>29</v>
      </c>
      <c r="NO5" s="193" t="s">
        <v>28</v>
      </c>
      <c r="NP5" s="193" t="s">
        <v>29</v>
      </c>
      <c r="NQ5" s="193" t="s">
        <v>28</v>
      </c>
      <c r="NR5" s="193" t="s">
        <v>29</v>
      </c>
      <c r="NS5" s="193" t="s">
        <v>28</v>
      </c>
      <c r="NT5" s="193" t="s">
        <v>29</v>
      </c>
      <c r="NU5" s="193" t="s">
        <v>28</v>
      </c>
      <c r="NV5" s="193" t="s">
        <v>29</v>
      </c>
      <c r="NW5" s="193" t="s">
        <v>28</v>
      </c>
      <c r="NX5" s="193" t="s">
        <v>29</v>
      </c>
      <c r="NY5" s="193" t="s">
        <v>25</v>
      </c>
      <c r="NZ5" s="193" t="s">
        <v>5</v>
      </c>
      <c r="OA5" s="193" t="s">
        <v>6</v>
      </c>
      <c r="OB5" s="193" t="s">
        <v>5</v>
      </c>
      <c r="OC5" s="193" t="s">
        <v>6</v>
      </c>
      <c r="OD5" s="193" t="s">
        <v>5</v>
      </c>
      <c r="OE5" s="193" t="s">
        <v>6</v>
      </c>
      <c r="OF5" s="193" t="s">
        <v>5</v>
      </c>
      <c r="OG5" s="193" t="s">
        <v>6</v>
      </c>
      <c r="OH5" s="193" t="s">
        <v>25</v>
      </c>
      <c r="OI5" s="193" t="s">
        <v>75</v>
      </c>
      <c r="OJ5" s="193" t="s">
        <v>76</v>
      </c>
      <c r="OK5" s="193" t="s">
        <v>75</v>
      </c>
      <c r="OL5" s="193" t="s">
        <v>76</v>
      </c>
      <c r="OM5" s="193" t="s">
        <v>75</v>
      </c>
      <c r="ON5" s="193" t="s">
        <v>76</v>
      </c>
      <c r="OO5" s="193" t="s">
        <v>75</v>
      </c>
      <c r="OP5" s="193" t="s">
        <v>76</v>
      </c>
      <c r="OQ5" s="193" t="s">
        <v>305</v>
      </c>
      <c r="OR5" s="193" t="s">
        <v>306</v>
      </c>
      <c r="OS5" s="193" t="s">
        <v>307</v>
      </c>
      <c r="OT5" s="193" t="s">
        <v>308</v>
      </c>
      <c r="OU5" s="200" t="s">
        <v>99</v>
      </c>
      <c r="OV5" s="200" t="s">
        <v>42</v>
      </c>
      <c r="OW5" s="200" t="s">
        <v>363</v>
      </c>
      <c r="OX5" s="200" t="s">
        <v>361</v>
      </c>
      <c r="OY5" s="200" t="s">
        <v>362</v>
      </c>
      <c r="OZ5" s="200" t="s">
        <v>75</v>
      </c>
      <c r="PA5" s="200" t="s">
        <v>76</v>
      </c>
      <c r="PB5" s="200" t="s">
        <v>100</v>
      </c>
      <c r="PC5" s="200" t="s">
        <v>101</v>
      </c>
      <c r="PD5" s="200" t="s">
        <v>102</v>
      </c>
      <c r="PE5" s="166" t="s">
        <v>341</v>
      </c>
      <c r="PF5" s="166" t="s">
        <v>342</v>
      </c>
      <c r="PG5" s="166" t="s">
        <v>343</v>
      </c>
      <c r="PH5" s="166" t="s">
        <v>344</v>
      </c>
      <c r="PI5" s="166" t="s">
        <v>345</v>
      </c>
      <c r="PJ5" s="167" t="s">
        <v>75</v>
      </c>
      <c r="PK5" s="167" t="s">
        <v>76</v>
      </c>
      <c r="PL5" s="166" t="s">
        <v>312</v>
      </c>
      <c r="PM5" s="166" t="s">
        <v>313</v>
      </c>
      <c r="PN5" s="166" t="s">
        <v>314</v>
      </c>
      <c r="PO5" s="166" t="s">
        <v>315</v>
      </c>
      <c r="PP5" s="166" t="s">
        <v>106</v>
      </c>
      <c r="PQ5" s="167" t="s">
        <v>357</v>
      </c>
      <c r="PR5" s="167" t="s">
        <v>346</v>
      </c>
      <c r="PS5" s="167" t="s">
        <v>44</v>
      </c>
      <c r="PT5" s="167" t="s">
        <v>347</v>
      </c>
      <c r="PU5" s="167" t="s">
        <v>36</v>
      </c>
      <c r="PV5" s="167" t="s">
        <v>75</v>
      </c>
      <c r="PW5" s="167" t="s">
        <v>76</v>
      </c>
      <c r="PX5" s="167" t="s">
        <v>40</v>
      </c>
      <c r="PY5" s="167" t="s">
        <v>348</v>
      </c>
      <c r="PZ5" s="167" t="s">
        <v>349</v>
      </c>
      <c r="QA5" s="167" t="s">
        <v>350</v>
      </c>
      <c r="QB5" s="167" t="s">
        <v>107</v>
      </c>
      <c r="QC5" s="167" t="s">
        <v>76</v>
      </c>
      <c r="QD5" s="167" t="s">
        <v>369</v>
      </c>
      <c r="QE5" s="167" t="s">
        <v>370</v>
      </c>
      <c r="QF5" s="167" t="s">
        <v>371</v>
      </c>
      <c r="QG5" s="167" t="s">
        <v>372</v>
      </c>
      <c r="QH5" s="167" t="s">
        <v>36</v>
      </c>
      <c r="QI5" s="167" t="s">
        <v>75</v>
      </c>
      <c r="QJ5" s="167" t="s">
        <v>76</v>
      </c>
      <c r="QK5" s="167" t="s">
        <v>366</v>
      </c>
      <c r="QL5" s="167" t="s">
        <v>367</v>
      </c>
      <c r="QM5" s="200" t="s">
        <v>75</v>
      </c>
      <c r="QN5" s="200" t="s">
        <v>76</v>
      </c>
      <c r="QO5" s="200" t="s">
        <v>374</v>
      </c>
      <c r="QP5" s="200" t="s">
        <v>375</v>
      </c>
      <c r="QQ5" s="200" t="s">
        <v>36</v>
      </c>
      <c r="QR5" s="200" t="s">
        <v>377</v>
      </c>
      <c r="QS5" s="200" t="s">
        <v>378</v>
      </c>
      <c r="QT5" s="200" t="s">
        <v>379</v>
      </c>
      <c r="QU5" s="200" t="s">
        <v>75</v>
      </c>
      <c r="QV5" s="200" t="s">
        <v>76</v>
      </c>
      <c r="QW5" s="200" t="s">
        <v>382</v>
      </c>
      <c r="QX5" s="200" t="s">
        <v>383</v>
      </c>
      <c r="QY5" s="200" t="s">
        <v>384</v>
      </c>
      <c r="QZ5" s="200" t="s">
        <v>385</v>
      </c>
      <c r="RA5" s="200" t="s">
        <v>36</v>
      </c>
      <c r="RB5" s="200" t="s">
        <v>75</v>
      </c>
      <c r="RC5" s="200" t="s">
        <v>76</v>
      </c>
      <c r="RD5" s="200" t="s">
        <v>75</v>
      </c>
      <c r="RE5" s="200" t="s">
        <v>76</v>
      </c>
      <c r="RF5" s="167" t="s">
        <v>38</v>
      </c>
      <c r="RG5" s="167" t="s">
        <v>39</v>
      </c>
      <c r="RH5" s="167" t="s">
        <v>105</v>
      </c>
      <c r="RI5" s="166" t="s">
        <v>103</v>
      </c>
      <c r="RJ5" s="166" t="s">
        <v>104</v>
      </c>
      <c r="RK5" s="167" t="s">
        <v>37</v>
      </c>
      <c r="RL5" s="167" t="s">
        <v>40</v>
      </c>
      <c r="RM5" s="167" t="s">
        <v>45</v>
      </c>
      <c r="RN5" s="167" t="s">
        <v>41</v>
      </c>
      <c r="RO5" s="166" t="s">
        <v>388</v>
      </c>
      <c r="RP5" s="166" t="s">
        <v>389</v>
      </c>
      <c r="RQ5" s="166" t="s">
        <v>388</v>
      </c>
      <c r="RR5" s="166" t="s">
        <v>389</v>
      </c>
      <c r="RS5" s="166" t="s">
        <v>388</v>
      </c>
      <c r="RT5" s="166" t="s">
        <v>389</v>
      </c>
      <c r="RU5" s="166" t="s">
        <v>388</v>
      </c>
      <c r="RV5" s="166" t="s">
        <v>389</v>
      </c>
      <c r="RW5" s="166" t="s">
        <v>388</v>
      </c>
      <c r="RX5" s="166" t="s">
        <v>389</v>
      </c>
      <c r="RY5" s="166" t="s">
        <v>388</v>
      </c>
      <c r="RZ5" s="166" t="s">
        <v>389</v>
      </c>
      <c r="SA5" s="200" t="s">
        <v>75</v>
      </c>
      <c r="SB5" s="200" t="s">
        <v>76</v>
      </c>
      <c r="SC5" s="200" t="s">
        <v>30</v>
      </c>
      <c r="SD5" s="200" t="s">
        <v>31</v>
      </c>
      <c r="SE5" s="198" t="s">
        <v>317</v>
      </c>
      <c r="SF5" s="198" t="s">
        <v>280</v>
      </c>
      <c r="SG5" s="200" t="s">
        <v>318</v>
      </c>
      <c r="SH5" s="200" t="s">
        <v>386</v>
      </c>
      <c r="SI5" s="200" t="s">
        <v>321</v>
      </c>
      <c r="SJ5" s="200" t="s">
        <v>322</v>
      </c>
      <c r="SK5" s="200" t="s">
        <v>323</v>
      </c>
      <c r="SL5" s="200" t="s">
        <v>46</v>
      </c>
      <c r="SM5" s="198" t="s">
        <v>324</v>
      </c>
      <c r="SN5" s="196" t="s">
        <v>325</v>
      </c>
      <c r="SO5" s="251"/>
      <c r="SP5" s="251"/>
      <c r="SQ5" s="196" t="s">
        <v>444</v>
      </c>
      <c r="SR5" s="196" t="s">
        <v>461</v>
      </c>
      <c r="SS5" s="174" t="s">
        <v>462</v>
      </c>
    </row>
    <row r="6" spans="1:513" s="171" customFormat="1" ht="22.5" customHeight="1">
      <c r="A6" s="168" t="s">
        <v>182</v>
      </c>
      <c r="B6" s="168" t="s">
        <v>201</v>
      </c>
      <c r="C6" s="168">
        <v>1</v>
      </c>
      <c r="D6" s="168">
        <v>1401721</v>
      </c>
      <c r="E6" s="168" t="s">
        <v>493</v>
      </c>
      <c r="F6" s="168"/>
      <c r="G6" s="168"/>
      <c r="H6" s="168">
        <v>1</v>
      </c>
      <c r="I6" s="168">
        <v>1</v>
      </c>
      <c r="J6" s="168"/>
      <c r="K6" s="168">
        <v>1</v>
      </c>
      <c r="L6" s="168"/>
      <c r="M6" s="168"/>
      <c r="N6" s="168"/>
      <c r="O6" s="168">
        <v>1</v>
      </c>
      <c r="P6" s="168"/>
      <c r="Q6" s="168">
        <v>1</v>
      </c>
      <c r="R6" s="168"/>
      <c r="S6" s="168"/>
      <c r="T6" s="168"/>
      <c r="U6" s="168">
        <v>1</v>
      </c>
      <c r="V6" s="168">
        <v>67</v>
      </c>
      <c r="W6" s="168">
        <v>13</v>
      </c>
      <c r="X6" s="168">
        <v>59</v>
      </c>
      <c r="Y6" s="168">
        <v>20</v>
      </c>
      <c r="Z6" s="168">
        <v>45</v>
      </c>
      <c r="AA6" s="168">
        <v>20</v>
      </c>
      <c r="AB6" s="168">
        <v>29</v>
      </c>
      <c r="AC6" s="168">
        <v>7</v>
      </c>
      <c r="AD6" s="168"/>
      <c r="AE6" s="168"/>
      <c r="AF6" s="168">
        <f>AD6+AB6+Z6+X6+V6</f>
        <v>200</v>
      </c>
      <c r="AG6" s="168">
        <f>AE6+AC6+AA6+Y6+W6</f>
        <v>60</v>
      </c>
      <c r="AH6" s="168">
        <f>SUM(AF6:AG6)</f>
        <v>260</v>
      </c>
      <c r="AI6" s="168">
        <v>67</v>
      </c>
      <c r="AJ6" s="168">
        <v>13</v>
      </c>
      <c r="AK6" s="168">
        <v>59</v>
      </c>
      <c r="AL6" s="168">
        <v>20</v>
      </c>
      <c r="AM6" s="168">
        <v>45</v>
      </c>
      <c r="AN6" s="168">
        <v>20</v>
      </c>
      <c r="AO6" s="168">
        <v>29</v>
      </c>
      <c r="AP6" s="168">
        <v>7</v>
      </c>
      <c r="AQ6" s="168"/>
      <c r="AR6" s="168"/>
      <c r="AS6" s="168">
        <f>AQ6+AO6+AM6+AK6+AI6</f>
        <v>200</v>
      </c>
      <c r="AT6" s="168">
        <f>AR6+AP6+AN6+AL6+AJ6</f>
        <v>60</v>
      </c>
      <c r="AU6" s="168">
        <f>SUM(AS6:AT6)</f>
        <v>260</v>
      </c>
      <c r="AV6" s="168"/>
      <c r="AW6" s="168"/>
      <c r="AX6" s="168"/>
      <c r="AY6" s="168"/>
      <c r="AZ6" s="168"/>
      <c r="BA6" s="168"/>
      <c r="BB6" s="168"/>
      <c r="BC6" s="168"/>
      <c r="BD6" s="168"/>
      <c r="BE6" s="168"/>
      <c r="BF6" s="168">
        <f>BD6+BB6+AZ6+AX6+AV6</f>
        <v>0</v>
      </c>
      <c r="BG6" s="168">
        <f>BE6+BC6+BA6+AY6+AW6</f>
        <v>0</v>
      </c>
      <c r="BH6" s="168">
        <f>SUM(BF6:BG6)</f>
        <v>0</v>
      </c>
      <c r="BI6" s="168"/>
      <c r="BJ6" s="168"/>
      <c r="BK6" s="168"/>
      <c r="BL6" s="168"/>
      <c r="BM6" s="168"/>
      <c r="BN6" s="168"/>
      <c r="BO6" s="168"/>
      <c r="BP6" s="168"/>
      <c r="BQ6" s="168"/>
      <c r="BR6" s="168"/>
      <c r="BS6" s="168">
        <f>BQ6+BO6+BM6+BK6+BI6</f>
        <v>0</v>
      </c>
      <c r="BT6" s="168">
        <f>BR6+BP6+BN6+BL6+BJ6</f>
        <v>0</v>
      </c>
      <c r="BU6" s="168">
        <f>SUM(BS6:BT6)</f>
        <v>0</v>
      </c>
      <c r="BV6" s="168">
        <f t="shared" ref="BV6:BW6" si="0">AI6</f>
        <v>67</v>
      </c>
      <c r="BW6" s="168">
        <f t="shared" si="0"/>
        <v>13</v>
      </c>
      <c r="BX6" s="168">
        <f>AV6+AK6</f>
        <v>59</v>
      </c>
      <c r="BY6" s="168">
        <f>AL6+AW6</f>
        <v>20</v>
      </c>
      <c r="BZ6" s="168">
        <f>BI6+AX6+AM6</f>
        <v>45</v>
      </c>
      <c r="CA6" s="168">
        <f>AN6+AY6+BJ6</f>
        <v>20</v>
      </c>
      <c r="CB6" s="168">
        <f>BK6+AZ6+AO6</f>
        <v>29</v>
      </c>
      <c r="CC6" s="168">
        <f>AP6+BA6+BL6</f>
        <v>7</v>
      </c>
      <c r="CD6" s="168">
        <f t="shared" ref="CD6:CE6" si="1">BM6+BB6+AQ6</f>
        <v>0</v>
      </c>
      <c r="CE6" s="168">
        <f t="shared" si="1"/>
        <v>0</v>
      </c>
      <c r="CF6" s="168">
        <f t="shared" ref="CF6:CG6" si="2">BO6+BD6</f>
        <v>0</v>
      </c>
      <c r="CG6" s="168">
        <f t="shared" si="2"/>
        <v>0</v>
      </c>
      <c r="CH6" s="168">
        <f t="shared" ref="CH6:CI6" si="3">BQ6</f>
        <v>0</v>
      </c>
      <c r="CI6" s="168">
        <f t="shared" si="3"/>
        <v>0</v>
      </c>
      <c r="CJ6" s="168">
        <f t="shared" ref="CJ6:CK6" si="4">BV6+BX6+BZ6+CB6+CD6+CF6+CH6</f>
        <v>200</v>
      </c>
      <c r="CK6" s="168">
        <f t="shared" si="4"/>
        <v>60</v>
      </c>
      <c r="CL6" s="168">
        <f>SUM(CJ6:CK6)</f>
        <v>260</v>
      </c>
      <c r="CM6" s="168">
        <v>7</v>
      </c>
      <c r="CN6" s="168">
        <v>3</v>
      </c>
      <c r="CO6" s="168"/>
      <c r="CP6" s="168"/>
      <c r="CQ6" s="168"/>
      <c r="CR6" s="168"/>
      <c r="CS6" s="168"/>
      <c r="CT6" s="168"/>
      <c r="CU6" s="168"/>
      <c r="CV6" s="168">
        <f>CS6+CP6+CM6</f>
        <v>7</v>
      </c>
      <c r="CW6" s="168">
        <f>CT6+CQ6+CN6</f>
        <v>3</v>
      </c>
      <c r="CX6" s="168">
        <f>CU6+CR6+CO6</f>
        <v>0</v>
      </c>
      <c r="CY6" s="168">
        <f>SUM(CV6:CX6)</f>
        <v>10</v>
      </c>
      <c r="CZ6" s="168"/>
      <c r="DA6" s="168"/>
      <c r="DB6" s="168"/>
      <c r="DC6" s="168"/>
      <c r="DD6" s="168"/>
      <c r="DE6" s="168"/>
      <c r="DF6" s="168">
        <f>DD6+DB6+CZ6</f>
        <v>0</v>
      </c>
      <c r="DG6" s="168">
        <f>DE6+DC6+DA6</f>
        <v>0</v>
      </c>
      <c r="DH6" s="168">
        <f>SUM(DF6:DG6)</f>
        <v>0</v>
      </c>
      <c r="DI6" s="168"/>
      <c r="DJ6" s="168"/>
      <c r="DK6" s="168"/>
      <c r="DL6" s="168"/>
      <c r="DM6" s="168"/>
      <c r="DN6" s="168"/>
      <c r="DO6" s="168">
        <f t="shared" ref="DO6:DP6" si="5">DM6+DK6+DI6</f>
        <v>0</v>
      </c>
      <c r="DP6" s="168">
        <f t="shared" si="5"/>
        <v>0</v>
      </c>
      <c r="DQ6" s="168">
        <f>SUM(DO6:DP6)</f>
        <v>0</v>
      </c>
      <c r="DR6" s="168"/>
      <c r="DS6" s="168"/>
      <c r="DT6" s="168"/>
      <c r="DU6" s="168"/>
      <c r="DV6" s="168"/>
      <c r="DW6" s="168"/>
      <c r="DX6" s="168">
        <f>DV6+DT6+DR6</f>
        <v>0</v>
      </c>
      <c r="DY6" s="168">
        <f>DW6+DU6+DS6</f>
        <v>0</v>
      </c>
      <c r="DZ6" s="168">
        <f>SUM(DX6:DY6)</f>
        <v>0</v>
      </c>
      <c r="EA6" s="168"/>
      <c r="EB6" s="168"/>
      <c r="EC6" s="168"/>
      <c r="ED6" s="168"/>
      <c r="EE6" s="168"/>
      <c r="EF6" s="168"/>
      <c r="EG6" s="168">
        <f>EE6+EC6+EA6</f>
        <v>0</v>
      </c>
      <c r="EH6" s="168">
        <f>EF6+ED6+EB6</f>
        <v>0</v>
      </c>
      <c r="EI6" s="168">
        <f>SUM(EG6:EH6)</f>
        <v>0</v>
      </c>
      <c r="EJ6" s="168"/>
      <c r="EK6" s="168"/>
      <c r="EL6" s="168"/>
      <c r="EM6" s="168"/>
      <c r="EN6" s="168"/>
      <c r="EO6" s="168"/>
      <c r="EP6" s="168">
        <f>EN6+EL6+EJ6</f>
        <v>0</v>
      </c>
      <c r="EQ6" s="168">
        <f>EO6+EM6+EK6</f>
        <v>0</v>
      </c>
      <c r="ER6" s="168">
        <f>SUM(EP6:EQ6)</f>
        <v>0</v>
      </c>
      <c r="ES6" s="168"/>
      <c r="ET6" s="168"/>
      <c r="EU6" s="168"/>
      <c r="EV6" s="168"/>
      <c r="EW6" s="168"/>
      <c r="EX6" s="168"/>
      <c r="EY6" s="168">
        <f>EW6+EU6+ES6</f>
        <v>0</v>
      </c>
      <c r="EZ6" s="168">
        <f>EX6+EV6+ET6</f>
        <v>0</v>
      </c>
      <c r="FA6" s="168">
        <f>SUM(EY6:EZ6)</f>
        <v>0</v>
      </c>
      <c r="FB6" s="168"/>
      <c r="FC6" s="168">
        <v>1</v>
      </c>
      <c r="FD6" s="168">
        <v>3</v>
      </c>
      <c r="FE6" s="168"/>
      <c r="FF6" s="168">
        <v>10</v>
      </c>
      <c r="FG6" s="168">
        <v>18</v>
      </c>
      <c r="FH6" s="168"/>
      <c r="FI6" s="168"/>
      <c r="FJ6" s="168"/>
      <c r="FK6" s="168"/>
      <c r="FL6" s="168">
        <f t="shared" ref="FL6:FM6" si="6">FJ6+FH6+FF6+FD6+FB6</f>
        <v>13</v>
      </c>
      <c r="FM6" s="168">
        <f t="shared" si="6"/>
        <v>19</v>
      </c>
      <c r="FN6" s="168">
        <f>SUM(FL6:FM6)</f>
        <v>32</v>
      </c>
      <c r="FO6" s="168"/>
      <c r="FP6" s="168"/>
      <c r="FQ6" s="168"/>
      <c r="FR6" s="168"/>
      <c r="FS6" s="168"/>
      <c r="FT6" s="168"/>
      <c r="FU6" s="168"/>
      <c r="FV6" s="168"/>
      <c r="FW6" s="168"/>
      <c r="FX6" s="168"/>
      <c r="FY6" s="168"/>
      <c r="FZ6" s="168"/>
      <c r="GA6" s="168"/>
      <c r="GB6" s="168"/>
      <c r="GC6" s="168"/>
      <c r="GD6" s="168"/>
      <c r="GE6" s="168"/>
      <c r="GF6" s="168"/>
      <c r="GG6" s="168">
        <f>GE6+GA6+FY6+FW6+FU6+FS6+FO6+FQ6+GC6</f>
        <v>0</v>
      </c>
      <c r="GH6" s="168">
        <f>GF6+GB6+FZ6+FX6+FV6+FT6+FP6+FR6+GD6</f>
        <v>0</v>
      </c>
      <c r="GI6" s="168">
        <f>GH6+GG6</f>
        <v>0</v>
      </c>
      <c r="GJ6" s="168">
        <v>1</v>
      </c>
      <c r="GK6" s="168">
        <v>5</v>
      </c>
      <c r="GL6" s="168"/>
      <c r="GM6" s="168"/>
      <c r="GN6" s="168">
        <v>4</v>
      </c>
      <c r="GO6" s="168">
        <v>1</v>
      </c>
      <c r="GP6" s="168"/>
      <c r="GQ6" s="168"/>
      <c r="GR6" s="168">
        <v>2</v>
      </c>
      <c r="GS6" s="168">
        <v>1</v>
      </c>
      <c r="GT6" s="168"/>
      <c r="GU6" s="168"/>
      <c r="GV6" s="168"/>
      <c r="GW6" s="168">
        <v>2</v>
      </c>
      <c r="GX6" s="168"/>
      <c r="GY6" s="168"/>
      <c r="GZ6" s="168"/>
      <c r="HA6" s="168"/>
      <c r="HB6" s="168"/>
      <c r="HC6" s="168"/>
      <c r="HD6" s="168"/>
      <c r="HE6" s="168"/>
      <c r="HF6" s="168">
        <v>1</v>
      </c>
      <c r="HG6" s="168"/>
      <c r="HH6" s="168"/>
      <c r="HI6" s="168"/>
      <c r="HJ6" s="168"/>
      <c r="HK6" s="168"/>
      <c r="HL6" s="168"/>
      <c r="HM6" s="168"/>
      <c r="HN6" s="168"/>
      <c r="HO6" s="168"/>
      <c r="HP6" s="168"/>
      <c r="HQ6" s="168"/>
      <c r="HR6" s="168"/>
      <c r="HS6" s="168"/>
      <c r="HT6" s="168"/>
      <c r="HU6" s="168"/>
      <c r="HV6" s="168"/>
      <c r="HW6" s="168"/>
      <c r="HX6" s="168"/>
      <c r="HY6" s="168"/>
      <c r="HZ6" s="168"/>
      <c r="IA6" s="168"/>
      <c r="IB6" s="168"/>
      <c r="IC6" s="168"/>
      <c r="ID6" s="168"/>
      <c r="IE6" s="168"/>
      <c r="IF6" s="168"/>
      <c r="IG6" s="168"/>
      <c r="IH6" s="168"/>
      <c r="II6" s="168"/>
      <c r="IJ6" s="168">
        <v>1</v>
      </c>
      <c r="IK6" s="168"/>
      <c r="IL6" s="168"/>
      <c r="IM6" s="168"/>
      <c r="IN6" s="168"/>
      <c r="IO6" s="168"/>
      <c r="IP6" s="168"/>
      <c r="IQ6" s="168"/>
      <c r="IR6" s="168"/>
      <c r="IS6" s="168"/>
      <c r="IT6" s="168"/>
      <c r="IU6" s="168"/>
      <c r="IV6" s="168"/>
      <c r="IW6" s="168"/>
      <c r="IX6" s="168"/>
      <c r="IY6" s="168"/>
      <c r="IZ6" s="168"/>
      <c r="JA6" s="168"/>
      <c r="JB6" s="168"/>
      <c r="JC6" s="168"/>
      <c r="JD6" s="168"/>
      <c r="JE6" s="168"/>
      <c r="JF6" s="168"/>
      <c r="JG6" s="168"/>
      <c r="JH6" s="168"/>
      <c r="JI6" s="168"/>
      <c r="JJ6" s="168"/>
      <c r="JK6" s="168"/>
      <c r="JL6" s="168"/>
      <c r="JM6" s="168"/>
      <c r="JN6" s="168"/>
      <c r="JO6" s="168"/>
      <c r="JP6" s="168"/>
      <c r="JQ6" s="168"/>
      <c r="JR6" s="168"/>
      <c r="JS6" s="168"/>
      <c r="JT6" s="168"/>
      <c r="JU6" s="168"/>
      <c r="JV6" s="168"/>
      <c r="JW6" s="168"/>
      <c r="JX6" s="168"/>
      <c r="JY6" s="168"/>
      <c r="JZ6" s="168"/>
      <c r="KA6" s="168"/>
      <c r="KB6" s="168"/>
      <c r="KC6" s="168"/>
      <c r="KD6" s="168"/>
      <c r="KE6" s="168"/>
      <c r="KF6" s="168"/>
      <c r="KG6" s="168"/>
      <c r="KH6" s="168"/>
      <c r="KI6" s="168"/>
      <c r="KJ6" s="168"/>
      <c r="KK6" s="168"/>
      <c r="KL6" s="168"/>
      <c r="KM6" s="168"/>
      <c r="KN6" s="168"/>
      <c r="KO6" s="168">
        <v>5</v>
      </c>
      <c r="KP6" s="168"/>
      <c r="KQ6" s="168"/>
      <c r="KR6" s="168"/>
      <c r="KS6" s="168"/>
      <c r="KT6" s="168">
        <v>4</v>
      </c>
      <c r="KU6" s="168">
        <v>5</v>
      </c>
      <c r="KV6" s="168">
        <f>KT6+KN6+KJ6+KH6+KF6+KD6+KB6+JZ6+JX6+JV6+JT6+JR6+JP6+JN6+JL6+JJ6+JH6+JF6+JD6+JB6+IZ6+IX6+IV6+IT6+IR6+IP6+IN6+IL6+IJ6+IH6+IF6+ID6+IB6+HZ6+HX6+HV6+HT6+HR6+HP6+HN6+HL6+HJ6+HH6+HF6+HD6+HB6+GZ6+GX6+GV6+GT6+GR6+GP6+GN6+GL6+GJ6</f>
        <v>13</v>
      </c>
      <c r="KW6" s="168">
        <f>KU6+KO6+KK6+KI6+KG6+KE6+KC6+KA6+JY6+JW6+JU6+JS6+JQ6+JO6+JM6+JK6+JI6+JG6+JE6+JC6+JA6+IY6+IW6+IU6+IS6+IQ6+IO6+IM6+IK6+II6+IG6+IE6+IC6+IA6+HY6+HW6+HU6+HS6+HQ6+HO6+HM6+HK6+HI6+HG6+HE6+HC6+HA6+GY6+GW6+GU6+GS6+GQ6+GO6+GM6+GK6</f>
        <v>19</v>
      </c>
      <c r="KX6" s="168">
        <f>KW6+KV6</f>
        <v>32</v>
      </c>
      <c r="KY6" s="168">
        <v>13</v>
      </c>
      <c r="KZ6" s="168">
        <v>19</v>
      </c>
      <c r="LA6" s="168"/>
      <c r="LB6" s="168"/>
      <c r="LC6" s="168"/>
      <c r="LD6" s="168"/>
      <c r="LE6" s="168"/>
      <c r="LF6" s="168"/>
      <c r="LG6" s="168"/>
      <c r="LH6" s="168"/>
      <c r="LI6" s="168"/>
      <c r="LJ6" s="168"/>
      <c r="LK6" s="168"/>
      <c r="LL6" s="168"/>
      <c r="LM6" s="168"/>
      <c r="LN6" s="168"/>
      <c r="LO6" s="168"/>
      <c r="LP6" s="168"/>
      <c r="LQ6" s="168">
        <f>LA6+LC6+KY6+LE6+LG6+LI6+LK6+LM6+LO6</f>
        <v>13</v>
      </c>
      <c r="LR6" s="168">
        <f>LB6+LD6+KZ6+LF6+LH6+LJ6+LL6+LN6+LP6</f>
        <v>19</v>
      </c>
      <c r="LS6" s="168">
        <f>LR6+LQ6</f>
        <v>32</v>
      </c>
      <c r="LT6" s="168">
        <v>9</v>
      </c>
      <c r="LU6" s="168">
        <v>12</v>
      </c>
      <c r="LV6" s="168"/>
      <c r="LW6" s="168">
        <v>4</v>
      </c>
      <c r="LX6" s="168">
        <v>4</v>
      </c>
      <c r="LY6" s="168">
        <v>2</v>
      </c>
      <c r="LZ6" s="168"/>
      <c r="MA6" s="168">
        <v>1</v>
      </c>
      <c r="MB6" s="168">
        <f t="shared" ref="MB6:MC6" si="7">LX6+LV6+LT6+LZ6</f>
        <v>13</v>
      </c>
      <c r="MC6" s="168">
        <f t="shared" si="7"/>
        <v>19</v>
      </c>
      <c r="MD6" s="168">
        <f t="shared" ref="MD6" si="8">MC6+MB6</f>
        <v>32</v>
      </c>
      <c r="ME6" s="168">
        <v>10</v>
      </c>
      <c r="MF6" s="168">
        <v>9</v>
      </c>
      <c r="MG6" s="168">
        <v>2</v>
      </c>
      <c r="MH6" s="168">
        <v>8</v>
      </c>
      <c r="MI6" s="168"/>
      <c r="MJ6" s="168">
        <v>2</v>
      </c>
      <c r="MK6" s="168"/>
      <c r="ML6" s="168"/>
      <c r="MM6" s="168">
        <v>1</v>
      </c>
      <c r="MN6" s="168"/>
      <c r="MO6" s="168">
        <f t="shared" ref="MO6" si="9">MM6+MK6+MI6+MG6+ME6</f>
        <v>13</v>
      </c>
      <c r="MP6" s="168">
        <f t="shared" ref="MP6" si="10">MN6+ML6+MJ6+MH6+MF6</f>
        <v>19</v>
      </c>
      <c r="MQ6" s="168">
        <f t="shared" ref="MQ6" si="11">MP6+MO6</f>
        <v>32</v>
      </c>
      <c r="MR6" s="168">
        <v>8</v>
      </c>
      <c r="MS6" s="168">
        <v>14</v>
      </c>
      <c r="MT6" s="168">
        <v>5</v>
      </c>
      <c r="MU6" s="168">
        <v>2</v>
      </c>
      <c r="MV6" s="168"/>
      <c r="MW6" s="168">
        <v>1</v>
      </c>
      <c r="MX6" s="168"/>
      <c r="MY6" s="168">
        <v>2</v>
      </c>
      <c r="MZ6" s="168">
        <f t="shared" ref="MZ6:NA6" si="12">MR6+MT6+MV6+MX6</f>
        <v>13</v>
      </c>
      <c r="NA6" s="168">
        <f t="shared" si="12"/>
        <v>19</v>
      </c>
      <c r="NB6" s="168">
        <f t="shared" ref="NB6" si="13">NA6+MZ6</f>
        <v>32</v>
      </c>
      <c r="NC6" s="168"/>
      <c r="ND6" s="168"/>
      <c r="NE6" s="168"/>
      <c r="NF6" s="168"/>
      <c r="NG6" s="168"/>
      <c r="NH6" s="168"/>
      <c r="NI6" s="168">
        <v>1</v>
      </c>
      <c r="NJ6" s="168"/>
      <c r="NK6" s="168">
        <v>7</v>
      </c>
      <c r="NL6" s="168">
        <v>6</v>
      </c>
      <c r="NM6" s="168">
        <v>4</v>
      </c>
      <c r="NN6" s="168">
        <v>13</v>
      </c>
      <c r="NO6" s="168">
        <v>1</v>
      </c>
      <c r="NP6" s="168"/>
      <c r="NQ6" s="168"/>
      <c r="NR6" s="168"/>
      <c r="NS6" s="168"/>
      <c r="NT6" s="168"/>
      <c r="NU6" s="168"/>
      <c r="NV6" s="168"/>
      <c r="NW6" s="168">
        <f t="shared" ref="NW6:NX6" si="14">NU6+NS6+NQ6+NO6+NM6+NK6+NG6+NI6+NE6</f>
        <v>13</v>
      </c>
      <c r="NX6" s="168">
        <f t="shared" si="14"/>
        <v>19</v>
      </c>
      <c r="NY6" s="168">
        <f>NX6+NW6</f>
        <v>32</v>
      </c>
      <c r="NZ6" s="168"/>
      <c r="OA6" s="168"/>
      <c r="OB6" s="168"/>
      <c r="OC6" s="168"/>
      <c r="OD6" s="168"/>
      <c r="OE6" s="168"/>
      <c r="OF6" s="168">
        <f t="shared" ref="OF6:OG6" si="15">OD6+OB6+NZ6</f>
        <v>0</v>
      </c>
      <c r="OG6" s="168">
        <f t="shared" si="15"/>
        <v>0</v>
      </c>
      <c r="OH6" s="168">
        <f>OG6+OF6</f>
        <v>0</v>
      </c>
      <c r="OI6" s="168"/>
      <c r="OJ6" s="168">
        <v>1</v>
      </c>
      <c r="OK6" s="168">
        <v>1</v>
      </c>
      <c r="OL6" s="168"/>
      <c r="OM6" s="168">
        <v>1</v>
      </c>
      <c r="ON6" s="168"/>
      <c r="OO6" s="168"/>
      <c r="OP6" s="168">
        <v>1</v>
      </c>
      <c r="OQ6" s="168"/>
      <c r="OR6" s="168"/>
      <c r="OS6" s="168"/>
      <c r="OT6" s="168"/>
      <c r="OU6" s="169">
        <v>1</v>
      </c>
      <c r="OV6" s="169"/>
      <c r="OW6" s="169">
        <v>2025</v>
      </c>
      <c r="OX6" s="169"/>
      <c r="OY6" s="169"/>
      <c r="OZ6" s="169">
        <v>1</v>
      </c>
      <c r="PA6" s="169"/>
      <c r="PB6" s="169"/>
      <c r="PC6" s="169">
        <v>1</v>
      </c>
      <c r="PD6" s="169"/>
      <c r="PE6" s="169"/>
      <c r="PF6" s="169"/>
      <c r="PG6" s="169"/>
      <c r="PH6" s="169"/>
      <c r="PI6" s="169">
        <v>1</v>
      </c>
      <c r="PJ6" s="169"/>
      <c r="PK6" s="169">
        <v>1</v>
      </c>
      <c r="PL6" s="169"/>
      <c r="PM6" s="169">
        <v>40</v>
      </c>
      <c r="PN6" s="169">
        <v>4</v>
      </c>
      <c r="PO6" s="169">
        <f>PN6+PM6</f>
        <v>44</v>
      </c>
      <c r="PP6" s="169">
        <v>1</v>
      </c>
      <c r="PQ6" s="169"/>
      <c r="PR6" s="169"/>
      <c r="PS6" s="169"/>
      <c r="PT6" s="169"/>
      <c r="PU6" s="169"/>
      <c r="PV6" s="169">
        <v>1</v>
      </c>
      <c r="PW6" s="169"/>
      <c r="PX6" s="169">
        <v>1</v>
      </c>
      <c r="PY6" s="169"/>
      <c r="PZ6" s="169">
        <v>1</v>
      </c>
      <c r="QA6" s="169"/>
      <c r="QB6" s="169">
        <v>1</v>
      </c>
      <c r="QC6" s="169"/>
      <c r="QD6" s="169">
        <v>1</v>
      </c>
      <c r="QE6" s="169"/>
      <c r="QF6" s="169"/>
      <c r="QG6" s="169"/>
      <c r="QH6" s="169"/>
      <c r="QI6" s="169">
        <v>1</v>
      </c>
      <c r="QJ6" s="169"/>
      <c r="QK6" s="169">
        <v>1</v>
      </c>
      <c r="QL6" s="169"/>
      <c r="QM6" s="169">
        <v>1</v>
      </c>
      <c r="QN6" s="169"/>
      <c r="QO6" s="169">
        <v>1</v>
      </c>
      <c r="QP6" s="169"/>
      <c r="QQ6" s="169"/>
      <c r="QR6" s="169">
        <v>1</v>
      </c>
      <c r="QS6" s="169"/>
      <c r="QT6" s="169"/>
      <c r="QU6" s="169">
        <v>1</v>
      </c>
      <c r="QV6" s="169"/>
      <c r="QW6" s="169"/>
      <c r="QX6" s="169"/>
      <c r="QY6" s="169"/>
      <c r="QZ6" s="169">
        <v>1</v>
      </c>
      <c r="RA6" s="169"/>
      <c r="RB6" s="169">
        <v>1</v>
      </c>
      <c r="RC6" s="169"/>
      <c r="RD6" s="169">
        <v>1</v>
      </c>
      <c r="RE6" s="169"/>
      <c r="RF6" s="169">
        <v>1</v>
      </c>
      <c r="RG6" s="169"/>
      <c r="RH6" s="169"/>
      <c r="RI6" s="169"/>
      <c r="RJ6" s="169"/>
      <c r="RK6" s="169">
        <v>1</v>
      </c>
      <c r="RL6" s="169">
        <v>1</v>
      </c>
      <c r="RM6" s="169"/>
      <c r="RN6" s="169"/>
      <c r="RO6" s="168">
        <v>500</v>
      </c>
      <c r="RP6" s="168"/>
      <c r="RQ6" s="168">
        <v>500</v>
      </c>
      <c r="RR6" s="168"/>
      <c r="RS6" s="168">
        <v>30</v>
      </c>
      <c r="RT6" s="168"/>
      <c r="RU6" s="170">
        <v>50</v>
      </c>
      <c r="RV6" s="170"/>
      <c r="RW6" s="170">
        <v>3</v>
      </c>
      <c r="RX6" s="170"/>
      <c r="RY6" s="170">
        <v>3</v>
      </c>
      <c r="RZ6" s="170"/>
      <c r="SA6" s="169"/>
      <c r="SB6" s="169">
        <v>1</v>
      </c>
      <c r="SC6" s="169"/>
      <c r="SD6" s="169"/>
      <c r="SE6" s="169"/>
      <c r="SF6" s="169"/>
      <c r="SG6" s="169"/>
      <c r="SH6" s="169"/>
      <c r="SI6" s="169"/>
      <c r="SJ6" s="169"/>
      <c r="SK6" s="169"/>
      <c r="SL6" s="169"/>
      <c r="SM6" s="169"/>
      <c r="SN6" s="169">
        <f>SM6+SL6</f>
        <v>0</v>
      </c>
      <c r="SO6" s="169">
        <v>2</v>
      </c>
      <c r="SP6" s="169">
        <v>2</v>
      </c>
      <c r="SQ6" s="169" t="s">
        <v>472</v>
      </c>
      <c r="SR6" s="169" t="s">
        <v>494</v>
      </c>
      <c r="SS6" s="175">
        <v>7811328001</v>
      </c>
    </row>
    <row r="7" spans="1:513" s="171" customFormat="1" ht="22.5" customHeight="1">
      <c r="A7" s="168"/>
      <c r="B7" s="168"/>
      <c r="C7" s="168"/>
      <c r="D7" s="168"/>
      <c r="E7" s="168"/>
      <c r="F7" s="168"/>
      <c r="G7" s="168"/>
      <c r="H7" s="168"/>
      <c r="I7" s="168"/>
      <c r="J7" s="168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  <c r="AA7" s="168"/>
      <c r="AB7" s="168"/>
      <c r="AC7" s="168"/>
      <c r="AD7" s="168"/>
      <c r="AE7" s="168"/>
      <c r="AF7" s="168"/>
      <c r="AG7" s="168"/>
      <c r="AH7" s="168"/>
      <c r="AI7" s="168"/>
      <c r="AJ7" s="168"/>
      <c r="AK7" s="168"/>
      <c r="AL7" s="168"/>
      <c r="AM7" s="168"/>
      <c r="AN7" s="168"/>
      <c r="AO7" s="168"/>
      <c r="AP7" s="168"/>
      <c r="AQ7" s="168"/>
      <c r="AR7" s="168"/>
      <c r="AS7" s="168"/>
      <c r="AT7" s="168"/>
      <c r="AU7" s="168"/>
      <c r="AV7" s="168"/>
      <c r="AW7" s="168"/>
      <c r="AX7" s="168"/>
      <c r="AY7" s="168"/>
      <c r="AZ7" s="168"/>
      <c r="BA7" s="168"/>
      <c r="BB7" s="168"/>
      <c r="BC7" s="168"/>
      <c r="BD7" s="168"/>
      <c r="BE7" s="168"/>
      <c r="BF7" s="168"/>
      <c r="BG7" s="168"/>
      <c r="BH7" s="168"/>
      <c r="BI7" s="168"/>
      <c r="BJ7" s="168"/>
      <c r="BK7" s="168"/>
      <c r="BL7" s="168"/>
      <c r="BM7" s="168"/>
      <c r="BN7" s="168"/>
      <c r="BO7" s="168"/>
      <c r="BP7" s="168"/>
      <c r="BQ7" s="168"/>
      <c r="BR7" s="168"/>
      <c r="BS7" s="168"/>
      <c r="BT7" s="168"/>
      <c r="BU7" s="168"/>
      <c r="BV7" s="168"/>
      <c r="BW7" s="168"/>
      <c r="BX7" s="168"/>
      <c r="BY7" s="168"/>
      <c r="BZ7" s="168"/>
      <c r="CA7" s="168"/>
      <c r="CB7" s="168"/>
      <c r="CC7" s="168"/>
      <c r="CD7" s="168"/>
      <c r="CE7" s="168"/>
      <c r="CF7" s="168"/>
      <c r="CG7" s="168"/>
      <c r="CH7" s="168"/>
      <c r="CI7" s="168"/>
      <c r="CJ7" s="168"/>
      <c r="CK7" s="168"/>
      <c r="CL7" s="168"/>
      <c r="CM7" s="168"/>
      <c r="CN7" s="168"/>
      <c r="CO7" s="168"/>
      <c r="CP7" s="168"/>
      <c r="CQ7" s="168"/>
      <c r="CR7" s="168"/>
      <c r="CS7" s="168"/>
      <c r="CT7" s="168"/>
      <c r="CU7" s="168"/>
      <c r="CV7" s="168"/>
      <c r="CW7" s="168"/>
      <c r="CX7" s="168"/>
      <c r="CY7" s="168"/>
      <c r="CZ7" s="168"/>
      <c r="DA7" s="168"/>
      <c r="DB7" s="168"/>
      <c r="DC7" s="168"/>
      <c r="DD7" s="168"/>
      <c r="DE7" s="168"/>
      <c r="DF7" s="168"/>
      <c r="DG7" s="168"/>
      <c r="DH7" s="168"/>
      <c r="DI7" s="168"/>
      <c r="DJ7" s="168"/>
      <c r="DK7" s="168"/>
      <c r="DL7" s="168"/>
      <c r="DM7" s="168"/>
      <c r="DN7" s="168"/>
      <c r="DO7" s="168"/>
      <c r="DP7" s="168"/>
      <c r="DQ7" s="168"/>
      <c r="DR7" s="168"/>
      <c r="DS7" s="168"/>
      <c r="DT7" s="168"/>
      <c r="DU7" s="168"/>
      <c r="DV7" s="168"/>
      <c r="DW7" s="168"/>
      <c r="DX7" s="168"/>
      <c r="DY7" s="168"/>
      <c r="DZ7" s="168"/>
      <c r="EA7" s="168"/>
      <c r="EB7" s="168"/>
      <c r="EC7" s="168"/>
      <c r="ED7" s="168"/>
      <c r="EE7" s="168"/>
      <c r="EF7" s="168"/>
      <c r="EG7" s="168"/>
      <c r="EH7" s="168"/>
      <c r="EI7" s="168"/>
      <c r="EJ7" s="168"/>
      <c r="EK7" s="168"/>
      <c r="EL7" s="168"/>
      <c r="EM7" s="168"/>
      <c r="EN7" s="168"/>
      <c r="EO7" s="168"/>
      <c r="EP7" s="168"/>
      <c r="EQ7" s="168"/>
      <c r="ER7" s="168"/>
      <c r="ES7" s="168"/>
      <c r="ET7" s="168"/>
      <c r="EU7" s="168"/>
      <c r="EV7" s="168"/>
      <c r="EW7" s="168"/>
      <c r="EX7" s="168"/>
      <c r="EY7" s="168"/>
      <c r="EZ7" s="168"/>
      <c r="FA7" s="168"/>
      <c r="FB7" s="168"/>
      <c r="FC7" s="168"/>
      <c r="FD7" s="168"/>
      <c r="FE7" s="168"/>
      <c r="FF7" s="168"/>
      <c r="FG7" s="168"/>
      <c r="FH7" s="168"/>
      <c r="FI7" s="168"/>
      <c r="FJ7" s="168"/>
      <c r="FK7" s="168"/>
      <c r="FL7" s="168"/>
      <c r="FM7" s="168"/>
      <c r="FN7" s="168"/>
      <c r="FO7" s="168"/>
      <c r="FP7" s="168"/>
      <c r="FQ7" s="168"/>
      <c r="FR7" s="168"/>
      <c r="FS7" s="168"/>
      <c r="FT7" s="168"/>
      <c r="FU7" s="168"/>
      <c r="FV7" s="168"/>
      <c r="FW7" s="168"/>
      <c r="FX7" s="168"/>
      <c r="FY7" s="168"/>
      <c r="FZ7" s="168"/>
      <c r="GA7" s="168"/>
      <c r="GB7" s="168"/>
      <c r="GC7" s="168"/>
      <c r="GD7" s="168"/>
      <c r="GE7" s="168"/>
      <c r="GF7" s="168"/>
      <c r="GG7" s="168"/>
      <c r="GH7" s="168"/>
      <c r="GI7" s="168"/>
      <c r="GJ7" s="168"/>
      <c r="GK7" s="168"/>
      <c r="GL7" s="168"/>
      <c r="GM7" s="168"/>
      <c r="GN7" s="168"/>
      <c r="GO7" s="168"/>
      <c r="GP7" s="168"/>
      <c r="GQ7" s="168"/>
      <c r="GR7" s="168"/>
      <c r="GS7" s="168"/>
      <c r="GT7" s="168"/>
      <c r="GU7" s="168"/>
      <c r="GV7" s="168"/>
      <c r="GW7" s="168"/>
      <c r="GX7" s="168"/>
      <c r="GY7" s="168"/>
      <c r="GZ7" s="168"/>
      <c r="HA7" s="168"/>
      <c r="HB7" s="168"/>
      <c r="HC7" s="168"/>
      <c r="HD7" s="168"/>
      <c r="HE7" s="168"/>
      <c r="HF7" s="168"/>
      <c r="HG7" s="168"/>
      <c r="HH7" s="168"/>
      <c r="HI7" s="168"/>
      <c r="HJ7" s="168"/>
      <c r="HK7" s="168"/>
      <c r="HL7" s="168"/>
      <c r="HM7" s="168"/>
      <c r="HN7" s="168"/>
      <c r="HO7" s="168"/>
      <c r="HP7" s="168"/>
      <c r="HQ7" s="168"/>
      <c r="HR7" s="168"/>
      <c r="HS7" s="168"/>
      <c r="HT7" s="168"/>
      <c r="HU7" s="168"/>
      <c r="HV7" s="168"/>
      <c r="HW7" s="168"/>
      <c r="HX7" s="168"/>
      <c r="HY7" s="168"/>
      <c r="HZ7" s="168"/>
      <c r="IA7" s="168"/>
      <c r="IB7" s="168"/>
      <c r="IC7" s="168"/>
      <c r="ID7" s="168"/>
      <c r="IE7" s="168"/>
      <c r="IF7" s="168"/>
      <c r="IG7" s="168"/>
      <c r="IH7" s="168"/>
      <c r="II7" s="168"/>
      <c r="IJ7" s="168"/>
      <c r="IK7" s="168"/>
      <c r="IL7" s="168"/>
      <c r="IM7" s="168"/>
      <c r="IN7" s="168"/>
      <c r="IO7" s="168"/>
      <c r="IP7" s="168"/>
      <c r="IQ7" s="168"/>
      <c r="IR7" s="168"/>
      <c r="IS7" s="168"/>
      <c r="IT7" s="168"/>
      <c r="IU7" s="168"/>
      <c r="IV7" s="168"/>
      <c r="IW7" s="168"/>
      <c r="IX7" s="168"/>
      <c r="IY7" s="168"/>
      <c r="IZ7" s="168"/>
      <c r="JA7" s="168"/>
      <c r="JB7" s="168"/>
      <c r="JC7" s="168"/>
      <c r="JD7" s="168"/>
      <c r="JE7" s="168"/>
      <c r="JF7" s="168"/>
      <c r="JG7" s="168"/>
      <c r="JH7" s="168"/>
      <c r="JI7" s="168"/>
      <c r="JJ7" s="168"/>
      <c r="JK7" s="168"/>
      <c r="JL7" s="168"/>
      <c r="JM7" s="168"/>
      <c r="JN7" s="168"/>
      <c r="JO7" s="168"/>
      <c r="JP7" s="168"/>
      <c r="JQ7" s="168"/>
      <c r="JR7" s="168"/>
      <c r="JS7" s="168"/>
      <c r="JT7" s="168"/>
      <c r="JU7" s="168"/>
      <c r="JV7" s="168"/>
      <c r="JW7" s="168"/>
      <c r="JX7" s="168"/>
      <c r="JY7" s="168"/>
      <c r="JZ7" s="168"/>
      <c r="KA7" s="168"/>
      <c r="KB7" s="168"/>
      <c r="KC7" s="168"/>
      <c r="KD7" s="168"/>
      <c r="KE7" s="168"/>
      <c r="KF7" s="168"/>
      <c r="KG7" s="168"/>
      <c r="KH7" s="168"/>
      <c r="KI7" s="168"/>
      <c r="KJ7" s="168"/>
      <c r="KK7" s="168"/>
      <c r="KL7" s="168"/>
      <c r="KM7" s="168"/>
      <c r="KN7" s="168"/>
      <c r="KO7" s="168"/>
      <c r="KP7" s="168"/>
      <c r="KQ7" s="168"/>
      <c r="KR7" s="168"/>
      <c r="KS7" s="168"/>
      <c r="KT7" s="168"/>
      <c r="KU7" s="168"/>
      <c r="KV7" s="168"/>
      <c r="KW7" s="168"/>
      <c r="KX7" s="168"/>
      <c r="KY7" s="168"/>
      <c r="KZ7" s="168"/>
      <c r="LA7" s="168"/>
      <c r="LB7" s="168"/>
      <c r="LC7" s="168"/>
      <c r="LD7" s="168"/>
      <c r="LE7" s="168"/>
      <c r="LF7" s="168"/>
      <c r="LG7" s="168"/>
      <c r="LH7" s="168"/>
      <c r="LI7" s="168"/>
      <c r="LJ7" s="168"/>
      <c r="LK7" s="168"/>
      <c r="LL7" s="168"/>
      <c r="LM7" s="168"/>
      <c r="LN7" s="168"/>
      <c r="LO7" s="168"/>
      <c r="LP7" s="168"/>
      <c r="LQ7" s="168"/>
      <c r="LR7" s="168"/>
      <c r="LS7" s="168"/>
      <c r="LT7" s="168"/>
      <c r="LU7" s="168"/>
      <c r="LV7" s="168"/>
      <c r="LW7" s="168"/>
      <c r="LX7" s="168"/>
      <c r="LY7" s="168"/>
      <c r="LZ7" s="168"/>
      <c r="MA7" s="168"/>
      <c r="MB7" s="168"/>
      <c r="MC7" s="168"/>
      <c r="MD7" s="168"/>
      <c r="ME7" s="168"/>
      <c r="MF7" s="168"/>
      <c r="MG7" s="168"/>
      <c r="MH7" s="168"/>
      <c r="MI7" s="168"/>
      <c r="MJ7" s="168"/>
      <c r="MK7" s="168"/>
      <c r="ML7" s="168"/>
      <c r="MM7" s="168"/>
      <c r="MN7" s="168"/>
      <c r="MO7" s="168"/>
      <c r="MP7" s="168"/>
      <c r="MQ7" s="168"/>
      <c r="MR7" s="168"/>
      <c r="MS7" s="168"/>
      <c r="MT7" s="168"/>
      <c r="MU7" s="168"/>
      <c r="MV7" s="168"/>
      <c r="MW7" s="168"/>
      <c r="MX7" s="168"/>
      <c r="MY7" s="168"/>
      <c r="MZ7" s="168"/>
      <c r="NA7" s="168"/>
      <c r="NB7" s="168"/>
      <c r="NC7" s="168"/>
      <c r="ND7" s="168"/>
      <c r="NE7" s="168"/>
      <c r="NF7" s="168"/>
      <c r="NG7" s="168"/>
      <c r="NH7" s="168"/>
      <c r="NI7" s="168"/>
      <c r="NJ7" s="168"/>
      <c r="NK7" s="168"/>
      <c r="NL7" s="168"/>
      <c r="NM7" s="168"/>
      <c r="NN7" s="168"/>
      <c r="NO7" s="168"/>
      <c r="NP7" s="168"/>
      <c r="NQ7" s="168"/>
      <c r="NR7" s="168"/>
      <c r="NS7" s="168"/>
      <c r="NT7" s="168"/>
      <c r="NU7" s="168"/>
      <c r="NV7" s="168"/>
      <c r="NW7" s="168"/>
      <c r="NX7" s="168"/>
      <c r="NY7" s="168"/>
      <c r="NZ7" s="168"/>
      <c r="OA7" s="168"/>
      <c r="OB7" s="168"/>
      <c r="OC7" s="168"/>
      <c r="OD7" s="168"/>
      <c r="OE7" s="168"/>
      <c r="OF7" s="168"/>
      <c r="OG7" s="168"/>
      <c r="OH7" s="168"/>
      <c r="OI7" s="168"/>
      <c r="OJ7" s="168"/>
      <c r="OK7" s="168"/>
      <c r="OL7" s="168"/>
      <c r="OM7" s="168"/>
      <c r="ON7" s="168"/>
      <c r="OO7" s="168"/>
      <c r="OP7" s="168"/>
      <c r="OQ7" s="168"/>
      <c r="OR7" s="168"/>
      <c r="OS7" s="168"/>
      <c r="OT7" s="168"/>
      <c r="OU7" s="169"/>
      <c r="OV7" s="169"/>
      <c r="OW7" s="169"/>
      <c r="OX7" s="169"/>
      <c r="OY7" s="169"/>
      <c r="OZ7" s="169"/>
      <c r="PA7" s="169"/>
      <c r="PB7" s="169"/>
      <c r="PC7" s="169"/>
      <c r="PD7" s="169"/>
      <c r="PE7" s="169"/>
      <c r="PF7" s="169"/>
      <c r="PG7" s="169"/>
      <c r="PH7" s="169"/>
      <c r="PI7" s="169"/>
      <c r="PJ7" s="169"/>
      <c r="PK7" s="169"/>
      <c r="PL7" s="169"/>
      <c r="PM7" s="169"/>
      <c r="PN7" s="169"/>
      <c r="PO7" s="169"/>
      <c r="PP7" s="169"/>
      <c r="PQ7" s="169"/>
      <c r="PR7" s="169"/>
      <c r="PS7" s="169"/>
      <c r="PT7" s="169"/>
      <c r="PU7" s="169"/>
      <c r="PV7" s="169"/>
      <c r="PW7" s="169"/>
      <c r="PX7" s="169"/>
      <c r="PY7" s="169"/>
      <c r="PZ7" s="169"/>
      <c r="QA7" s="169"/>
      <c r="QB7" s="169"/>
      <c r="QC7" s="169"/>
      <c r="QD7" s="169"/>
      <c r="QE7" s="169"/>
      <c r="QF7" s="169"/>
      <c r="QG7" s="169"/>
      <c r="QH7" s="169"/>
      <c r="QI7" s="169"/>
      <c r="QJ7" s="169"/>
      <c r="QK7" s="169"/>
      <c r="QL7" s="169"/>
      <c r="QM7" s="169"/>
      <c r="QN7" s="169"/>
      <c r="QO7" s="169"/>
      <c r="QP7" s="169"/>
      <c r="QQ7" s="169"/>
      <c r="QR7" s="169"/>
      <c r="QS7" s="169"/>
      <c r="QT7" s="169"/>
      <c r="QU7" s="169"/>
      <c r="QV7" s="169"/>
      <c r="QW7" s="169"/>
      <c r="QX7" s="169"/>
      <c r="QY7" s="169"/>
      <c r="QZ7" s="169"/>
      <c r="RA7" s="169"/>
      <c r="RB7" s="169"/>
      <c r="RC7" s="169"/>
      <c r="RD7" s="169"/>
      <c r="RE7" s="169"/>
      <c r="RF7" s="169"/>
      <c r="RG7" s="169"/>
      <c r="RH7" s="169"/>
      <c r="RI7" s="169"/>
      <c r="RJ7" s="169"/>
      <c r="RK7" s="169"/>
      <c r="RL7" s="169"/>
      <c r="RM7" s="169"/>
      <c r="RN7" s="169"/>
      <c r="RO7" s="168"/>
      <c r="RP7" s="168"/>
      <c r="RQ7" s="168"/>
      <c r="RR7" s="168"/>
      <c r="RS7" s="168"/>
      <c r="RT7" s="168"/>
      <c r="RU7" s="170"/>
      <c r="RV7" s="170"/>
      <c r="RW7" s="170"/>
      <c r="RX7" s="170"/>
      <c r="RY7" s="170"/>
      <c r="RZ7" s="170"/>
      <c r="SA7" s="169"/>
      <c r="SB7" s="169"/>
      <c r="SC7" s="169"/>
      <c r="SD7" s="169"/>
      <c r="SE7" s="169"/>
      <c r="SF7" s="169"/>
      <c r="SG7" s="169"/>
      <c r="SH7" s="169"/>
      <c r="SI7" s="169"/>
      <c r="SJ7" s="169"/>
      <c r="SK7" s="169"/>
      <c r="SL7" s="169"/>
      <c r="SM7" s="169"/>
      <c r="SN7" s="169"/>
      <c r="SO7" s="169"/>
      <c r="SP7" s="169"/>
      <c r="SQ7" s="169"/>
      <c r="SR7" s="169"/>
      <c r="SS7" s="175"/>
    </row>
    <row r="8" spans="1:513" s="194" customFormat="1" ht="19.5" customHeight="1">
      <c r="A8" s="215" t="s">
        <v>190</v>
      </c>
      <c r="B8" s="216"/>
      <c r="C8" s="216"/>
      <c r="D8" s="216"/>
      <c r="E8" s="217"/>
      <c r="F8" s="193">
        <f>F7+F6</f>
        <v>0</v>
      </c>
      <c r="G8" s="214">
        <f t="shared" ref="G8:BR8" si="16">G7+G6</f>
        <v>0</v>
      </c>
      <c r="H8" s="214">
        <f t="shared" si="16"/>
        <v>1</v>
      </c>
      <c r="I8" s="214">
        <f t="shared" si="16"/>
        <v>1</v>
      </c>
      <c r="J8" s="214">
        <f t="shared" si="16"/>
        <v>0</v>
      </c>
      <c r="K8" s="214">
        <f t="shared" si="16"/>
        <v>1</v>
      </c>
      <c r="L8" s="214">
        <f t="shared" si="16"/>
        <v>0</v>
      </c>
      <c r="M8" s="214">
        <f t="shared" si="16"/>
        <v>0</v>
      </c>
      <c r="N8" s="214">
        <f t="shared" si="16"/>
        <v>0</v>
      </c>
      <c r="O8" s="214">
        <f t="shared" si="16"/>
        <v>1</v>
      </c>
      <c r="P8" s="214">
        <f t="shared" si="16"/>
        <v>0</v>
      </c>
      <c r="Q8" s="214">
        <f t="shared" si="16"/>
        <v>1</v>
      </c>
      <c r="R8" s="214">
        <f t="shared" si="16"/>
        <v>0</v>
      </c>
      <c r="S8" s="214">
        <f t="shared" si="16"/>
        <v>0</v>
      </c>
      <c r="T8" s="214">
        <f t="shared" si="16"/>
        <v>0</v>
      </c>
      <c r="U8" s="214">
        <f t="shared" si="16"/>
        <v>1</v>
      </c>
      <c r="V8" s="214">
        <f t="shared" si="16"/>
        <v>67</v>
      </c>
      <c r="W8" s="214">
        <f t="shared" si="16"/>
        <v>13</v>
      </c>
      <c r="X8" s="214">
        <f t="shared" si="16"/>
        <v>59</v>
      </c>
      <c r="Y8" s="214">
        <f t="shared" si="16"/>
        <v>20</v>
      </c>
      <c r="Z8" s="214">
        <f t="shared" si="16"/>
        <v>45</v>
      </c>
      <c r="AA8" s="214">
        <f t="shared" si="16"/>
        <v>20</v>
      </c>
      <c r="AB8" s="214">
        <f t="shared" si="16"/>
        <v>29</v>
      </c>
      <c r="AC8" s="214">
        <f t="shared" si="16"/>
        <v>7</v>
      </c>
      <c r="AD8" s="214">
        <f t="shared" si="16"/>
        <v>0</v>
      </c>
      <c r="AE8" s="214">
        <f t="shared" si="16"/>
        <v>0</v>
      </c>
      <c r="AF8" s="214">
        <f t="shared" si="16"/>
        <v>200</v>
      </c>
      <c r="AG8" s="214">
        <f t="shared" si="16"/>
        <v>60</v>
      </c>
      <c r="AH8" s="214">
        <f t="shared" si="16"/>
        <v>260</v>
      </c>
      <c r="AI8" s="214">
        <f t="shared" si="16"/>
        <v>67</v>
      </c>
      <c r="AJ8" s="214">
        <f t="shared" si="16"/>
        <v>13</v>
      </c>
      <c r="AK8" s="214">
        <f t="shared" si="16"/>
        <v>59</v>
      </c>
      <c r="AL8" s="214">
        <f t="shared" si="16"/>
        <v>20</v>
      </c>
      <c r="AM8" s="214">
        <f t="shared" si="16"/>
        <v>45</v>
      </c>
      <c r="AN8" s="214">
        <f t="shared" si="16"/>
        <v>20</v>
      </c>
      <c r="AO8" s="214">
        <f t="shared" si="16"/>
        <v>29</v>
      </c>
      <c r="AP8" s="214">
        <f t="shared" si="16"/>
        <v>7</v>
      </c>
      <c r="AQ8" s="214">
        <f t="shared" si="16"/>
        <v>0</v>
      </c>
      <c r="AR8" s="214">
        <f t="shared" si="16"/>
        <v>0</v>
      </c>
      <c r="AS8" s="214">
        <f t="shared" si="16"/>
        <v>200</v>
      </c>
      <c r="AT8" s="214">
        <f t="shared" si="16"/>
        <v>60</v>
      </c>
      <c r="AU8" s="214">
        <f t="shared" si="16"/>
        <v>260</v>
      </c>
      <c r="AV8" s="214">
        <f t="shared" si="16"/>
        <v>0</v>
      </c>
      <c r="AW8" s="214">
        <f t="shared" si="16"/>
        <v>0</v>
      </c>
      <c r="AX8" s="214">
        <f t="shared" si="16"/>
        <v>0</v>
      </c>
      <c r="AY8" s="214">
        <f t="shared" si="16"/>
        <v>0</v>
      </c>
      <c r="AZ8" s="214">
        <f t="shared" si="16"/>
        <v>0</v>
      </c>
      <c r="BA8" s="214">
        <f t="shared" si="16"/>
        <v>0</v>
      </c>
      <c r="BB8" s="214">
        <f t="shared" si="16"/>
        <v>0</v>
      </c>
      <c r="BC8" s="214">
        <f t="shared" si="16"/>
        <v>0</v>
      </c>
      <c r="BD8" s="214">
        <f t="shared" si="16"/>
        <v>0</v>
      </c>
      <c r="BE8" s="214">
        <f t="shared" si="16"/>
        <v>0</v>
      </c>
      <c r="BF8" s="214">
        <f t="shared" si="16"/>
        <v>0</v>
      </c>
      <c r="BG8" s="214">
        <f t="shared" si="16"/>
        <v>0</v>
      </c>
      <c r="BH8" s="214">
        <f t="shared" si="16"/>
        <v>0</v>
      </c>
      <c r="BI8" s="214">
        <f t="shared" si="16"/>
        <v>0</v>
      </c>
      <c r="BJ8" s="214">
        <f t="shared" si="16"/>
        <v>0</v>
      </c>
      <c r="BK8" s="214">
        <f t="shared" si="16"/>
        <v>0</v>
      </c>
      <c r="BL8" s="214">
        <f t="shared" si="16"/>
        <v>0</v>
      </c>
      <c r="BM8" s="214">
        <f t="shared" si="16"/>
        <v>0</v>
      </c>
      <c r="BN8" s="214">
        <f t="shared" si="16"/>
        <v>0</v>
      </c>
      <c r="BO8" s="214">
        <f t="shared" si="16"/>
        <v>0</v>
      </c>
      <c r="BP8" s="214">
        <f t="shared" si="16"/>
        <v>0</v>
      </c>
      <c r="BQ8" s="214">
        <f t="shared" si="16"/>
        <v>0</v>
      </c>
      <c r="BR8" s="214">
        <f t="shared" si="16"/>
        <v>0</v>
      </c>
      <c r="BS8" s="214">
        <f t="shared" ref="BS8:ED8" si="17">BS7+BS6</f>
        <v>0</v>
      </c>
      <c r="BT8" s="214">
        <f t="shared" si="17"/>
        <v>0</v>
      </c>
      <c r="BU8" s="214">
        <f t="shared" si="17"/>
        <v>0</v>
      </c>
      <c r="BV8" s="214">
        <f t="shared" si="17"/>
        <v>67</v>
      </c>
      <c r="BW8" s="214">
        <f t="shared" si="17"/>
        <v>13</v>
      </c>
      <c r="BX8" s="214">
        <f t="shared" si="17"/>
        <v>59</v>
      </c>
      <c r="BY8" s="214">
        <f t="shared" si="17"/>
        <v>20</v>
      </c>
      <c r="BZ8" s="214">
        <f t="shared" si="17"/>
        <v>45</v>
      </c>
      <c r="CA8" s="214">
        <f t="shared" si="17"/>
        <v>20</v>
      </c>
      <c r="CB8" s="214">
        <f t="shared" si="17"/>
        <v>29</v>
      </c>
      <c r="CC8" s="214">
        <f t="shared" si="17"/>
        <v>7</v>
      </c>
      <c r="CD8" s="214">
        <f t="shared" si="17"/>
        <v>0</v>
      </c>
      <c r="CE8" s="214">
        <f t="shared" si="17"/>
        <v>0</v>
      </c>
      <c r="CF8" s="214">
        <f t="shared" si="17"/>
        <v>0</v>
      </c>
      <c r="CG8" s="214">
        <f t="shared" si="17"/>
        <v>0</v>
      </c>
      <c r="CH8" s="214">
        <f t="shared" si="17"/>
        <v>0</v>
      </c>
      <c r="CI8" s="214">
        <f t="shared" si="17"/>
        <v>0</v>
      </c>
      <c r="CJ8" s="214">
        <f t="shared" si="17"/>
        <v>200</v>
      </c>
      <c r="CK8" s="214">
        <f t="shared" si="17"/>
        <v>60</v>
      </c>
      <c r="CL8" s="214">
        <f t="shared" si="17"/>
        <v>260</v>
      </c>
      <c r="CM8" s="214">
        <f t="shared" si="17"/>
        <v>7</v>
      </c>
      <c r="CN8" s="214">
        <f t="shared" si="17"/>
        <v>3</v>
      </c>
      <c r="CO8" s="214">
        <f t="shared" si="17"/>
        <v>0</v>
      </c>
      <c r="CP8" s="214">
        <f t="shared" si="17"/>
        <v>0</v>
      </c>
      <c r="CQ8" s="214">
        <f t="shared" si="17"/>
        <v>0</v>
      </c>
      <c r="CR8" s="214">
        <f t="shared" si="17"/>
        <v>0</v>
      </c>
      <c r="CS8" s="214">
        <f t="shared" si="17"/>
        <v>0</v>
      </c>
      <c r="CT8" s="214">
        <f t="shared" si="17"/>
        <v>0</v>
      </c>
      <c r="CU8" s="214">
        <f t="shared" si="17"/>
        <v>0</v>
      </c>
      <c r="CV8" s="214">
        <f t="shared" si="17"/>
        <v>7</v>
      </c>
      <c r="CW8" s="214">
        <f t="shared" si="17"/>
        <v>3</v>
      </c>
      <c r="CX8" s="214">
        <f t="shared" si="17"/>
        <v>0</v>
      </c>
      <c r="CY8" s="214">
        <f t="shared" si="17"/>
        <v>10</v>
      </c>
      <c r="CZ8" s="214">
        <f t="shared" si="17"/>
        <v>0</v>
      </c>
      <c r="DA8" s="214">
        <f t="shared" si="17"/>
        <v>0</v>
      </c>
      <c r="DB8" s="214">
        <f t="shared" si="17"/>
        <v>0</v>
      </c>
      <c r="DC8" s="214">
        <f t="shared" si="17"/>
        <v>0</v>
      </c>
      <c r="DD8" s="214">
        <f t="shared" si="17"/>
        <v>0</v>
      </c>
      <c r="DE8" s="214">
        <f t="shared" si="17"/>
        <v>0</v>
      </c>
      <c r="DF8" s="214">
        <f t="shared" si="17"/>
        <v>0</v>
      </c>
      <c r="DG8" s="214">
        <f t="shared" si="17"/>
        <v>0</v>
      </c>
      <c r="DH8" s="214">
        <f t="shared" si="17"/>
        <v>0</v>
      </c>
      <c r="DI8" s="214">
        <f t="shared" si="17"/>
        <v>0</v>
      </c>
      <c r="DJ8" s="214">
        <f t="shared" si="17"/>
        <v>0</v>
      </c>
      <c r="DK8" s="214">
        <f t="shared" si="17"/>
        <v>0</v>
      </c>
      <c r="DL8" s="214">
        <f t="shared" si="17"/>
        <v>0</v>
      </c>
      <c r="DM8" s="214">
        <f t="shared" si="17"/>
        <v>0</v>
      </c>
      <c r="DN8" s="214">
        <f t="shared" si="17"/>
        <v>0</v>
      </c>
      <c r="DO8" s="214">
        <f t="shared" si="17"/>
        <v>0</v>
      </c>
      <c r="DP8" s="214">
        <f t="shared" si="17"/>
        <v>0</v>
      </c>
      <c r="DQ8" s="214">
        <f t="shared" si="17"/>
        <v>0</v>
      </c>
      <c r="DR8" s="214">
        <f t="shared" si="17"/>
        <v>0</v>
      </c>
      <c r="DS8" s="214">
        <f t="shared" si="17"/>
        <v>0</v>
      </c>
      <c r="DT8" s="214">
        <f t="shared" si="17"/>
        <v>0</v>
      </c>
      <c r="DU8" s="214">
        <f t="shared" si="17"/>
        <v>0</v>
      </c>
      <c r="DV8" s="214">
        <f t="shared" si="17"/>
        <v>0</v>
      </c>
      <c r="DW8" s="214">
        <f t="shared" si="17"/>
        <v>0</v>
      </c>
      <c r="DX8" s="214">
        <f t="shared" si="17"/>
        <v>0</v>
      </c>
      <c r="DY8" s="214">
        <f t="shared" si="17"/>
        <v>0</v>
      </c>
      <c r="DZ8" s="214">
        <f t="shared" si="17"/>
        <v>0</v>
      </c>
      <c r="EA8" s="214">
        <f t="shared" si="17"/>
        <v>0</v>
      </c>
      <c r="EB8" s="214">
        <f t="shared" si="17"/>
        <v>0</v>
      </c>
      <c r="EC8" s="214">
        <f t="shared" si="17"/>
        <v>0</v>
      </c>
      <c r="ED8" s="214">
        <f t="shared" si="17"/>
        <v>0</v>
      </c>
      <c r="EE8" s="214">
        <f t="shared" ref="EE8:GP8" si="18">EE7+EE6</f>
        <v>0</v>
      </c>
      <c r="EF8" s="214">
        <f t="shared" si="18"/>
        <v>0</v>
      </c>
      <c r="EG8" s="214">
        <f t="shared" si="18"/>
        <v>0</v>
      </c>
      <c r="EH8" s="214">
        <f t="shared" si="18"/>
        <v>0</v>
      </c>
      <c r="EI8" s="214">
        <f t="shared" si="18"/>
        <v>0</v>
      </c>
      <c r="EJ8" s="214">
        <f t="shared" si="18"/>
        <v>0</v>
      </c>
      <c r="EK8" s="214">
        <f t="shared" si="18"/>
        <v>0</v>
      </c>
      <c r="EL8" s="214">
        <f t="shared" si="18"/>
        <v>0</v>
      </c>
      <c r="EM8" s="214">
        <f t="shared" si="18"/>
        <v>0</v>
      </c>
      <c r="EN8" s="214">
        <f t="shared" si="18"/>
        <v>0</v>
      </c>
      <c r="EO8" s="214">
        <f t="shared" si="18"/>
        <v>0</v>
      </c>
      <c r="EP8" s="214">
        <f t="shared" si="18"/>
        <v>0</v>
      </c>
      <c r="EQ8" s="214">
        <f t="shared" si="18"/>
        <v>0</v>
      </c>
      <c r="ER8" s="214">
        <f t="shared" si="18"/>
        <v>0</v>
      </c>
      <c r="ES8" s="214">
        <f t="shared" si="18"/>
        <v>0</v>
      </c>
      <c r="ET8" s="214">
        <f t="shared" si="18"/>
        <v>0</v>
      </c>
      <c r="EU8" s="214">
        <f t="shared" si="18"/>
        <v>0</v>
      </c>
      <c r="EV8" s="214">
        <f t="shared" si="18"/>
        <v>0</v>
      </c>
      <c r="EW8" s="214">
        <f t="shared" si="18"/>
        <v>0</v>
      </c>
      <c r="EX8" s="214">
        <f t="shared" si="18"/>
        <v>0</v>
      </c>
      <c r="EY8" s="214">
        <f t="shared" si="18"/>
        <v>0</v>
      </c>
      <c r="EZ8" s="214">
        <f t="shared" si="18"/>
        <v>0</v>
      </c>
      <c r="FA8" s="214">
        <f t="shared" si="18"/>
        <v>0</v>
      </c>
      <c r="FB8" s="214">
        <f t="shared" si="18"/>
        <v>0</v>
      </c>
      <c r="FC8" s="214">
        <f t="shared" si="18"/>
        <v>1</v>
      </c>
      <c r="FD8" s="214">
        <f t="shared" si="18"/>
        <v>3</v>
      </c>
      <c r="FE8" s="214">
        <f t="shared" si="18"/>
        <v>0</v>
      </c>
      <c r="FF8" s="214">
        <f t="shared" si="18"/>
        <v>10</v>
      </c>
      <c r="FG8" s="214">
        <f t="shared" si="18"/>
        <v>18</v>
      </c>
      <c r="FH8" s="214">
        <f t="shared" si="18"/>
        <v>0</v>
      </c>
      <c r="FI8" s="214">
        <f t="shared" si="18"/>
        <v>0</v>
      </c>
      <c r="FJ8" s="214">
        <f t="shared" si="18"/>
        <v>0</v>
      </c>
      <c r="FK8" s="214">
        <f t="shared" si="18"/>
        <v>0</v>
      </c>
      <c r="FL8" s="214">
        <f t="shared" si="18"/>
        <v>13</v>
      </c>
      <c r="FM8" s="214">
        <f t="shared" si="18"/>
        <v>19</v>
      </c>
      <c r="FN8" s="214">
        <f t="shared" si="18"/>
        <v>32</v>
      </c>
      <c r="FO8" s="214">
        <f t="shared" si="18"/>
        <v>0</v>
      </c>
      <c r="FP8" s="214">
        <f t="shared" si="18"/>
        <v>0</v>
      </c>
      <c r="FQ8" s="214">
        <f t="shared" si="18"/>
        <v>0</v>
      </c>
      <c r="FR8" s="214">
        <f t="shared" si="18"/>
        <v>0</v>
      </c>
      <c r="FS8" s="214">
        <f t="shared" si="18"/>
        <v>0</v>
      </c>
      <c r="FT8" s="214">
        <f t="shared" si="18"/>
        <v>0</v>
      </c>
      <c r="FU8" s="214">
        <f t="shared" si="18"/>
        <v>0</v>
      </c>
      <c r="FV8" s="214">
        <f t="shared" si="18"/>
        <v>0</v>
      </c>
      <c r="FW8" s="214">
        <f t="shared" si="18"/>
        <v>0</v>
      </c>
      <c r="FX8" s="214">
        <f t="shared" si="18"/>
        <v>0</v>
      </c>
      <c r="FY8" s="214">
        <f t="shared" si="18"/>
        <v>0</v>
      </c>
      <c r="FZ8" s="214">
        <f t="shared" si="18"/>
        <v>0</v>
      </c>
      <c r="GA8" s="214">
        <f t="shared" si="18"/>
        <v>0</v>
      </c>
      <c r="GB8" s="214">
        <f t="shared" si="18"/>
        <v>0</v>
      </c>
      <c r="GC8" s="214">
        <f t="shared" si="18"/>
        <v>0</v>
      </c>
      <c r="GD8" s="214">
        <f t="shared" si="18"/>
        <v>0</v>
      </c>
      <c r="GE8" s="214">
        <f t="shared" si="18"/>
        <v>0</v>
      </c>
      <c r="GF8" s="214">
        <f t="shared" si="18"/>
        <v>0</v>
      </c>
      <c r="GG8" s="214">
        <f t="shared" si="18"/>
        <v>0</v>
      </c>
      <c r="GH8" s="214">
        <f t="shared" si="18"/>
        <v>0</v>
      </c>
      <c r="GI8" s="214">
        <f t="shared" si="18"/>
        <v>0</v>
      </c>
      <c r="GJ8" s="214">
        <f t="shared" si="18"/>
        <v>1</v>
      </c>
      <c r="GK8" s="214">
        <f t="shared" si="18"/>
        <v>5</v>
      </c>
      <c r="GL8" s="214">
        <f t="shared" si="18"/>
        <v>0</v>
      </c>
      <c r="GM8" s="214">
        <f t="shared" si="18"/>
        <v>0</v>
      </c>
      <c r="GN8" s="214">
        <f t="shared" si="18"/>
        <v>4</v>
      </c>
      <c r="GO8" s="214">
        <f t="shared" si="18"/>
        <v>1</v>
      </c>
      <c r="GP8" s="214">
        <f t="shared" si="18"/>
        <v>0</v>
      </c>
      <c r="GQ8" s="214">
        <f t="shared" ref="GQ8:JB8" si="19">GQ7+GQ6</f>
        <v>0</v>
      </c>
      <c r="GR8" s="214">
        <f t="shared" si="19"/>
        <v>2</v>
      </c>
      <c r="GS8" s="214">
        <f t="shared" si="19"/>
        <v>1</v>
      </c>
      <c r="GT8" s="214">
        <f t="shared" si="19"/>
        <v>0</v>
      </c>
      <c r="GU8" s="214">
        <f t="shared" si="19"/>
        <v>0</v>
      </c>
      <c r="GV8" s="214">
        <f t="shared" si="19"/>
        <v>0</v>
      </c>
      <c r="GW8" s="214">
        <f t="shared" si="19"/>
        <v>2</v>
      </c>
      <c r="GX8" s="214">
        <f t="shared" si="19"/>
        <v>0</v>
      </c>
      <c r="GY8" s="214">
        <f t="shared" si="19"/>
        <v>0</v>
      </c>
      <c r="GZ8" s="214">
        <f t="shared" si="19"/>
        <v>0</v>
      </c>
      <c r="HA8" s="214">
        <f t="shared" si="19"/>
        <v>0</v>
      </c>
      <c r="HB8" s="214">
        <f t="shared" si="19"/>
        <v>0</v>
      </c>
      <c r="HC8" s="214">
        <f t="shared" si="19"/>
        <v>0</v>
      </c>
      <c r="HD8" s="214">
        <f t="shared" si="19"/>
        <v>0</v>
      </c>
      <c r="HE8" s="214">
        <f t="shared" si="19"/>
        <v>0</v>
      </c>
      <c r="HF8" s="214">
        <f t="shared" si="19"/>
        <v>1</v>
      </c>
      <c r="HG8" s="214">
        <f t="shared" si="19"/>
        <v>0</v>
      </c>
      <c r="HH8" s="214">
        <f t="shared" si="19"/>
        <v>0</v>
      </c>
      <c r="HI8" s="214">
        <f t="shared" si="19"/>
        <v>0</v>
      </c>
      <c r="HJ8" s="214">
        <f t="shared" si="19"/>
        <v>0</v>
      </c>
      <c r="HK8" s="214">
        <f t="shared" si="19"/>
        <v>0</v>
      </c>
      <c r="HL8" s="214">
        <f t="shared" si="19"/>
        <v>0</v>
      </c>
      <c r="HM8" s="214">
        <f t="shared" si="19"/>
        <v>0</v>
      </c>
      <c r="HN8" s="214">
        <f t="shared" si="19"/>
        <v>0</v>
      </c>
      <c r="HO8" s="214">
        <f t="shared" si="19"/>
        <v>0</v>
      </c>
      <c r="HP8" s="214">
        <f t="shared" si="19"/>
        <v>0</v>
      </c>
      <c r="HQ8" s="214">
        <f t="shared" si="19"/>
        <v>0</v>
      </c>
      <c r="HR8" s="214">
        <f t="shared" si="19"/>
        <v>0</v>
      </c>
      <c r="HS8" s="214">
        <f t="shared" si="19"/>
        <v>0</v>
      </c>
      <c r="HT8" s="214">
        <f t="shared" si="19"/>
        <v>0</v>
      </c>
      <c r="HU8" s="214">
        <f t="shared" si="19"/>
        <v>0</v>
      </c>
      <c r="HV8" s="214">
        <f t="shared" si="19"/>
        <v>0</v>
      </c>
      <c r="HW8" s="214">
        <f t="shared" si="19"/>
        <v>0</v>
      </c>
      <c r="HX8" s="214">
        <f t="shared" si="19"/>
        <v>0</v>
      </c>
      <c r="HY8" s="214">
        <f t="shared" si="19"/>
        <v>0</v>
      </c>
      <c r="HZ8" s="214">
        <f t="shared" si="19"/>
        <v>0</v>
      </c>
      <c r="IA8" s="214">
        <f t="shared" si="19"/>
        <v>0</v>
      </c>
      <c r="IB8" s="214">
        <f t="shared" si="19"/>
        <v>0</v>
      </c>
      <c r="IC8" s="214">
        <f t="shared" si="19"/>
        <v>0</v>
      </c>
      <c r="ID8" s="214">
        <f t="shared" si="19"/>
        <v>0</v>
      </c>
      <c r="IE8" s="214">
        <f t="shared" si="19"/>
        <v>0</v>
      </c>
      <c r="IF8" s="214">
        <f t="shared" si="19"/>
        <v>0</v>
      </c>
      <c r="IG8" s="214">
        <f t="shared" si="19"/>
        <v>0</v>
      </c>
      <c r="IH8" s="214">
        <f t="shared" si="19"/>
        <v>0</v>
      </c>
      <c r="II8" s="214">
        <f t="shared" si="19"/>
        <v>0</v>
      </c>
      <c r="IJ8" s="214">
        <f t="shared" si="19"/>
        <v>1</v>
      </c>
      <c r="IK8" s="214">
        <f t="shared" si="19"/>
        <v>0</v>
      </c>
      <c r="IL8" s="214">
        <f t="shared" si="19"/>
        <v>0</v>
      </c>
      <c r="IM8" s="214">
        <f t="shared" si="19"/>
        <v>0</v>
      </c>
      <c r="IN8" s="214">
        <f t="shared" si="19"/>
        <v>0</v>
      </c>
      <c r="IO8" s="214">
        <f t="shared" si="19"/>
        <v>0</v>
      </c>
      <c r="IP8" s="214">
        <f t="shared" si="19"/>
        <v>0</v>
      </c>
      <c r="IQ8" s="214">
        <f t="shared" si="19"/>
        <v>0</v>
      </c>
      <c r="IR8" s="214">
        <f t="shared" si="19"/>
        <v>0</v>
      </c>
      <c r="IS8" s="214">
        <f t="shared" si="19"/>
        <v>0</v>
      </c>
      <c r="IT8" s="214">
        <f t="shared" si="19"/>
        <v>0</v>
      </c>
      <c r="IU8" s="214">
        <f t="shared" si="19"/>
        <v>0</v>
      </c>
      <c r="IV8" s="214">
        <f t="shared" si="19"/>
        <v>0</v>
      </c>
      <c r="IW8" s="214">
        <f t="shared" si="19"/>
        <v>0</v>
      </c>
      <c r="IX8" s="214">
        <f t="shared" si="19"/>
        <v>0</v>
      </c>
      <c r="IY8" s="214">
        <f t="shared" si="19"/>
        <v>0</v>
      </c>
      <c r="IZ8" s="214">
        <f t="shared" si="19"/>
        <v>0</v>
      </c>
      <c r="JA8" s="214">
        <f t="shared" si="19"/>
        <v>0</v>
      </c>
      <c r="JB8" s="214">
        <f t="shared" si="19"/>
        <v>0</v>
      </c>
      <c r="JC8" s="214">
        <f t="shared" ref="JC8:LN8" si="20">JC7+JC6</f>
        <v>0</v>
      </c>
      <c r="JD8" s="214">
        <f t="shared" si="20"/>
        <v>0</v>
      </c>
      <c r="JE8" s="214">
        <f t="shared" si="20"/>
        <v>0</v>
      </c>
      <c r="JF8" s="214">
        <f t="shared" si="20"/>
        <v>0</v>
      </c>
      <c r="JG8" s="214">
        <f t="shared" si="20"/>
        <v>0</v>
      </c>
      <c r="JH8" s="214">
        <f t="shared" si="20"/>
        <v>0</v>
      </c>
      <c r="JI8" s="214">
        <f t="shared" si="20"/>
        <v>0</v>
      </c>
      <c r="JJ8" s="214">
        <f t="shared" si="20"/>
        <v>0</v>
      </c>
      <c r="JK8" s="214">
        <f t="shared" si="20"/>
        <v>0</v>
      </c>
      <c r="JL8" s="214">
        <f t="shared" si="20"/>
        <v>0</v>
      </c>
      <c r="JM8" s="214">
        <f t="shared" si="20"/>
        <v>0</v>
      </c>
      <c r="JN8" s="214">
        <f t="shared" si="20"/>
        <v>0</v>
      </c>
      <c r="JO8" s="214">
        <f t="shared" si="20"/>
        <v>0</v>
      </c>
      <c r="JP8" s="214">
        <f t="shared" si="20"/>
        <v>0</v>
      </c>
      <c r="JQ8" s="214">
        <f t="shared" si="20"/>
        <v>0</v>
      </c>
      <c r="JR8" s="214">
        <f t="shared" si="20"/>
        <v>0</v>
      </c>
      <c r="JS8" s="214">
        <f t="shared" si="20"/>
        <v>0</v>
      </c>
      <c r="JT8" s="214">
        <f t="shared" si="20"/>
        <v>0</v>
      </c>
      <c r="JU8" s="214">
        <f t="shared" si="20"/>
        <v>0</v>
      </c>
      <c r="JV8" s="214">
        <f t="shared" si="20"/>
        <v>0</v>
      </c>
      <c r="JW8" s="214">
        <f t="shared" si="20"/>
        <v>0</v>
      </c>
      <c r="JX8" s="214">
        <f t="shared" si="20"/>
        <v>0</v>
      </c>
      <c r="JY8" s="214">
        <f t="shared" si="20"/>
        <v>0</v>
      </c>
      <c r="JZ8" s="214">
        <f t="shared" si="20"/>
        <v>0</v>
      </c>
      <c r="KA8" s="214">
        <f t="shared" si="20"/>
        <v>0</v>
      </c>
      <c r="KB8" s="214">
        <f t="shared" si="20"/>
        <v>0</v>
      </c>
      <c r="KC8" s="214">
        <f t="shared" si="20"/>
        <v>0</v>
      </c>
      <c r="KD8" s="214">
        <f t="shared" si="20"/>
        <v>0</v>
      </c>
      <c r="KE8" s="214">
        <f t="shared" si="20"/>
        <v>0</v>
      </c>
      <c r="KF8" s="214">
        <f t="shared" si="20"/>
        <v>0</v>
      </c>
      <c r="KG8" s="214">
        <f t="shared" si="20"/>
        <v>0</v>
      </c>
      <c r="KH8" s="214">
        <f t="shared" si="20"/>
        <v>0</v>
      </c>
      <c r="KI8" s="214">
        <f t="shared" si="20"/>
        <v>0</v>
      </c>
      <c r="KJ8" s="214">
        <f t="shared" si="20"/>
        <v>0</v>
      </c>
      <c r="KK8" s="214">
        <f t="shared" si="20"/>
        <v>0</v>
      </c>
      <c r="KL8" s="214">
        <f t="shared" si="20"/>
        <v>0</v>
      </c>
      <c r="KM8" s="214">
        <f t="shared" si="20"/>
        <v>0</v>
      </c>
      <c r="KN8" s="214">
        <f t="shared" si="20"/>
        <v>0</v>
      </c>
      <c r="KO8" s="214">
        <f t="shared" si="20"/>
        <v>5</v>
      </c>
      <c r="KP8" s="214">
        <f t="shared" si="20"/>
        <v>0</v>
      </c>
      <c r="KQ8" s="214">
        <f t="shared" si="20"/>
        <v>0</v>
      </c>
      <c r="KR8" s="214">
        <f t="shared" si="20"/>
        <v>0</v>
      </c>
      <c r="KS8" s="214">
        <f t="shared" si="20"/>
        <v>0</v>
      </c>
      <c r="KT8" s="214">
        <f t="shared" si="20"/>
        <v>4</v>
      </c>
      <c r="KU8" s="214">
        <f t="shared" si="20"/>
        <v>5</v>
      </c>
      <c r="KV8" s="214">
        <f t="shared" si="20"/>
        <v>13</v>
      </c>
      <c r="KW8" s="214">
        <f t="shared" si="20"/>
        <v>19</v>
      </c>
      <c r="KX8" s="214">
        <f t="shared" si="20"/>
        <v>32</v>
      </c>
      <c r="KY8" s="214">
        <f t="shared" si="20"/>
        <v>13</v>
      </c>
      <c r="KZ8" s="214">
        <f t="shared" si="20"/>
        <v>19</v>
      </c>
      <c r="LA8" s="214">
        <f t="shared" si="20"/>
        <v>0</v>
      </c>
      <c r="LB8" s="214">
        <f t="shared" si="20"/>
        <v>0</v>
      </c>
      <c r="LC8" s="214">
        <f t="shared" si="20"/>
        <v>0</v>
      </c>
      <c r="LD8" s="214">
        <f t="shared" si="20"/>
        <v>0</v>
      </c>
      <c r="LE8" s="214">
        <f t="shared" si="20"/>
        <v>0</v>
      </c>
      <c r="LF8" s="214">
        <f t="shared" si="20"/>
        <v>0</v>
      </c>
      <c r="LG8" s="214">
        <f t="shared" si="20"/>
        <v>0</v>
      </c>
      <c r="LH8" s="214">
        <f t="shared" si="20"/>
        <v>0</v>
      </c>
      <c r="LI8" s="214">
        <f t="shared" si="20"/>
        <v>0</v>
      </c>
      <c r="LJ8" s="214">
        <f t="shared" si="20"/>
        <v>0</v>
      </c>
      <c r="LK8" s="214">
        <f t="shared" si="20"/>
        <v>0</v>
      </c>
      <c r="LL8" s="214">
        <f t="shared" si="20"/>
        <v>0</v>
      </c>
      <c r="LM8" s="214">
        <f t="shared" si="20"/>
        <v>0</v>
      </c>
      <c r="LN8" s="214">
        <f t="shared" si="20"/>
        <v>0</v>
      </c>
      <c r="LO8" s="214">
        <f t="shared" ref="LO8:NZ8" si="21">LO7+LO6</f>
        <v>0</v>
      </c>
      <c r="LP8" s="214">
        <f t="shared" si="21"/>
        <v>0</v>
      </c>
      <c r="LQ8" s="214">
        <f t="shared" si="21"/>
        <v>13</v>
      </c>
      <c r="LR8" s="214">
        <f t="shared" si="21"/>
        <v>19</v>
      </c>
      <c r="LS8" s="214">
        <f t="shared" si="21"/>
        <v>32</v>
      </c>
      <c r="LT8" s="214">
        <f t="shared" si="21"/>
        <v>9</v>
      </c>
      <c r="LU8" s="214">
        <f t="shared" si="21"/>
        <v>12</v>
      </c>
      <c r="LV8" s="214">
        <f t="shared" si="21"/>
        <v>0</v>
      </c>
      <c r="LW8" s="214">
        <f t="shared" si="21"/>
        <v>4</v>
      </c>
      <c r="LX8" s="214">
        <f t="shared" si="21"/>
        <v>4</v>
      </c>
      <c r="LY8" s="214">
        <f t="shared" si="21"/>
        <v>2</v>
      </c>
      <c r="LZ8" s="214">
        <f t="shared" si="21"/>
        <v>0</v>
      </c>
      <c r="MA8" s="214">
        <f t="shared" si="21"/>
        <v>1</v>
      </c>
      <c r="MB8" s="214">
        <f t="shared" si="21"/>
        <v>13</v>
      </c>
      <c r="MC8" s="214">
        <f t="shared" si="21"/>
        <v>19</v>
      </c>
      <c r="MD8" s="214">
        <f t="shared" si="21"/>
        <v>32</v>
      </c>
      <c r="ME8" s="214">
        <f t="shared" si="21"/>
        <v>10</v>
      </c>
      <c r="MF8" s="214">
        <f t="shared" si="21"/>
        <v>9</v>
      </c>
      <c r="MG8" s="214">
        <f t="shared" si="21"/>
        <v>2</v>
      </c>
      <c r="MH8" s="214">
        <f t="shared" si="21"/>
        <v>8</v>
      </c>
      <c r="MI8" s="214">
        <f t="shared" si="21"/>
        <v>0</v>
      </c>
      <c r="MJ8" s="214">
        <f t="shared" si="21"/>
        <v>2</v>
      </c>
      <c r="MK8" s="214">
        <f t="shared" si="21"/>
        <v>0</v>
      </c>
      <c r="ML8" s="214">
        <f t="shared" si="21"/>
        <v>0</v>
      </c>
      <c r="MM8" s="214">
        <f t="shared" si="21"/>
        <v>1</v>
      </c>
      <c r="MN8" s="214">
        <f t="shared" si="21"/>
        <v>0</v>
      </c>
      <c r="MO8" s="214">
        <f t="shared" si="21"/>
        <v>13</v>
      </c>
      <c r="MP8" s="214">
        <f t="shared" si="21"/>
        <v>19</v>
      </c>
      <c r="MQ8" s="214">
        <f t="shared" si="21"/>
        <v>32</v>
      </c>
      <c r="MR8" s="214">
        <f t="shared" si="21"/>
        <v>8</v>
      </c>
      <c r="MS8" s="214">
        <f t="shared" si="21"/>
        <v>14</v>
      </c>
      <c r="MT8" s="214">
        <f t="shared" si="21"/>
        <v>5</v>
      </c>
      <c r="MU8" s="214">
        <f t="shared" si="21"/>
        <v>2</v>
      </c>
      <c r="MV8" s="214">
        <f t="shared" si="21"/>
        <v>0</v>
      </c>
      <c r="MW8" s="214">
        <f t="shared" si="21"/>
        <v>1</v>
      </c>
      <c r="MX8" s="214">
        <f t="shared" si="21"/>
        <v>0</v>
      </c>
      <c r="MY8" s="214">
        <f t="shared" si="21"/>
        <v>2</v>
      </c>
      <c r="MZ8" s="214">
        <f t="shared" si="21"/>
        <v>13</v>
      </c>
      <c r="NA8" s="214">
        <f t="shared" si="21"/>
        <v>19</v>
      </c>
      <c r="NB8" s="214">
        <f t="shared" si="21"/>
        <v>32</v>
      </c>
      <c r="NC8" s="214">
        <f t="shared" si="21"/>
        <v>0</v>
      </c>
      <c r="ND8" s="214">
        <f t="shared" si="21"/>
        <v>0</v>
      </c>
      <c r="NE8" s="214">
        <f t="shared" si="21"/>
        <v>0</v>
      </c>
      <c r="NF8" s="214">
        <f t="shared" si="21"/>
        <v>0</v>
      </c>
      <c r="NG8" s="214">
        <f t="shared" si="21"/>
        <v>0</v>
      </c>
      <c r="NH8" s="214">
        <f t="shared" si="21"/>
        <v>0</v>
      </c>
      <c r="NI8" s="214">
        <f t="shared" si="21"/>
        <v>1</v>
      </c>
      <c r="NJ8" s="214">
        <f t="shared" si="21"/>
        <v>0</v>
      </c>
      <c r="NK8" s="214">
        <f t="shared" si="21"/>
        <v>7</v>
      </c>
      <c r="NL8" s="214">
        <f t="shared" si="21"/>
        <v>6</v>
      </c>
      <c r="NM8" s="214">
        <f t="shared" si="21"/>
        <v>4</v>
      </c>
      <c r="NN8" s="214">
        <f t="shared" si="21"/>
        <v>13</v>
      </c>
      <c r="NO8" s="214">
        <f t="shared" si="21"/>
        <v>1</v>
      </c>
      <c r="NP8" s="214">
        <f t="shared" si="21"/>
        <v>0</v>
      </c>
      <c r="NQ8" s="214">
        <f t="shared" si="21"/>
        <v>0</v>
      </c>
      <c r="NR8" s="214">
        <f t="shared" si="21"/>
        <v>0</v>
      </c>
      <c r="NS8" s="214">
        <f t="shared" si="21"/>
        <v>0</v>
      </c>
      <c r="NT8" s="214">
        <f t="shared" si="21"/>
        <v>0</v>
      </c>
      <c r="NU8" s="214">
        <f t="shared" si="21"/>
        <v>0</v>
      </c>
      <c r="NV8" s="214">
        <f t="shared" si="21"/>
        <v>0</v>
      </c>
      <c r="NW8" s="214">
        <f t="shared" si="21"/>
        <v>13</v>
      </c>
      <c r="NX8" s="214">
        <f t="shared" si="21"/>
        <v>19</v>
      </c>
      <c r="NY8" s="214">
        <f t="shared" si="21"/>
        <v>32</v>
      </c>
      <c r="NZ8" s="214">
        <f t="shared" si="21"/>
        <v>0</v>
      </c>
      <c r="OA8" s="214">
        <f t="shared" ref="OA8:QL8" si="22">OA7+OA6</f>
        <v>0</v>
      </c>
      <c r="OB8" s="214">
        <f t="shared" si="22"/>
        <v>0</v>
      </c>
      <c r="OC8" s="214">
        <f t="shared" si="22"/>
        <v>0</v>
      </c>
      <c r="OD8" s="214">
        <f t="shared" si="22"/>
        <v>0</v>
      </c>
      <c r="OE8" s="214">
        <f t="shared" si="22"/>
        <v>0</v>
      </c>
      <c r="OF8" s="214">
        <f t="shared" si="22"/>
        <v>0</v>
      </c>
      <c r="OG8" s="214">
        <f t="shared" si="22"/>
        <v>0</v>
      </c>
      <c r="OH8" s="214">
        <f t="shared" si="22"/>
        <v>0</v>
      </c>
      <c r="OI8" s="214">
        <f t="shared" si="22"/>
        <v>0</v>
      </c>
      <c r="OJ8" s="214">
        <f t="shared" si="22"/>
        <v>1</v>
      </c>
      <c r="OK8" s="214">
        <f t="shared" si="22"/>
        <v>1</v>
      </c>
      <c r="OL8" s="214">
        <f t="shared" si="22"/>
        <v>0</v>
      </c>
      <c r="OM8" s="214">
        <f t="shared" si="22"/>
        <v>1</v>
      </c>
      <c r="ON8" s="214">
        <f t="shared" si="22"/>
        <v>0</v>
      </c>
      <c r="OO8" s="214">
        <f t="shared" si="22"/>
        <v>0</v>
      </c>
      <c r="OP8" s="214">
        <f t="shared" si="22"/>
        <v>1</v>
      </c>
      <c r="OQ8" s="214">
        <f t="shared" si="22"/>
        <v>0</v>
      </c>
      <c r="OR8" s="214">
        <f t="shared" si="22"/>
        <v>0</v>
      </c>
      <c r="OS8" s="214">
        <f t="shared" si="22"/>
        <v>0</v>
      </c>
      <c r="OT8" s="214">
        <f t="shared" si="22"/>
        <v>0</v>
      </c>
      <c r="OU8" s="214">
        <f t="shared" si="22"/>
        <v>1</v>
      </c>
      <c r="OV8" s="214">
        <f t="shared" si="22"/>
        <v>0</v>
      </c>
      <c r="OW8" s="214">
        <f t="shared" si="22"/>
        <v>2025</v>
      </c>
      <c r="OX8" s="214">
        <f t="shared" si="22"/>
        <v>0</v>
      </c>
      <c r="OY8" s="214">
        <f t="shared" si="22"/>
        <v>0</v>
      </c>
      <c r="OZ8" s="214">
        <f t="shared" si="22"/>
        <v>1</v>
      </c>
      <c r="PA8" s="214">
        <f t="shared" si="22"/>
        <v>0</v>
      </c>
      <c r="PB8" s="214">
        <f t="shared" si="22"/>
        <v>0</v>
      </c>
      <c r="PC8" s="214">
        <f t="shared" si="22"/>
        <v>1</v>
      </c>
      <c r="PD8" s="214">
        <f t="shared" si="22"/>
        <v>0</v>
      </c>
      <c r="PE8" s="214">
        <f t="shared" si="22"/>
        <v>0</v>
      </c>
      <c r="PF8" s="214">
        <f t="shared" si="22"/>
        <v>0</v>
      </c>
      <c r="PG8" s="214">
        <f t="shared" si="22"/>
        <v>0</v>
      </c>
      <c r="PH8" s="214">
        <f t="shared" si="22"/>
        <v>0</v>
      </c>
      <c r="PI8" s="214">
        <f t="shared" si="22"/>
        <v>1</v>
      </c>
      <c r="PJ8" s="214">
        <f t="shared" si="22"/>
        <v>0</v>
      </c>
      <c r="PK8" s="214">
        <f t="shared" si="22"/>
        <v>1</v>
      </c>
      <c r="PL8" s="214">
        <f t="shared" si="22"/>
        <v>0</v>
      </c>
      <c r="PM8" s="214">
        <f t="shared" si="22"/>
        <v>40</v>
      </c>
      <c r="PN8" s="214">
        <f t="shared" si="22"/>
        <v>4</v>
      </c>
      <c r="PO8" s="214">
        <f t="shared" si="22"/>
        <v>44</v>
      </c>
      <c r="PP8" s="214">
        <f t="shared" si="22"/>
        <v>1</v>
      </c>
      <c r="PQ8" s="214">
        <f t="shared" si="22"/>
        <v>0</v>
      </c>
      <c r="PR8" s="214">
        <f t="shared" si="22"/>
        <v>0</v>
      </c>
      <c r="PS8" s="214">
        <f t="shared" si="22"/>
        <v>0</v>
      </c>
      <c r="PT8" s="214">
        <f t="shared" si="22"/>
        <v>0</v>
      </c>
      <c r="PU8" s="214">
        <f t="shared" si="22"/>
        <v>0</v>
      </c>
      <c r="PV8" s="214">
        <f t="shared" si="22"/>
        <v>1</v>
      </c>
      <c r="PW8" s="214">
        <f t="shared" si="22"/>
        <v>0</v>
      </c>
      <c r="PX8" s="214">
        <f t="shared" si="22"/>
        <v>1</v>
      </c>
      <c r="PY8" s="214">
        <f t="shared" si="22"/>
        <v>0</v>
      </c>
      <c r="PZ8" s="214">
        <f t="shared" si="22"/>
        <v>1</v>
      </c>
      <c r="QA8" s="214">
        <f t="shared" si="22"/>
        <v>0</v>
      </c>
      <c r="QB8" s="214">
        <f t="shared" si="22"/>
        <v>1</v>
      </c>
      <c r="QC8" s="214">
        <f t="shared" si="22"/>
        <v>0</v>
      </c>
      <c r="QD8" s="214">
        <f t="shared" si="22"/>
        <v>1</v>
      </c>
      <c r="QE8" s="214">
        <f t="shared" si="22"/>
        <v>0</v>
      </c>
      <c r="QF8" s="214">
        <f t="shared" si="22"/>
        <v>0</v>
      </c>
      <c r="QG8" s="214">
        <f t="shared" si="22"/>
        <v>0</v>
      </c>
      <c r="QH8" s="214">
        <f t="shared" si="22"/>
        <v>0</v>
      </c>
      <c r="QI8" s="214">
        <f t="shared" si="22"/>
        <v>1</v>
      </c>
      <c r="QJ8" s="214">
        <f t="shared" si="22"/>
        <v>0</v>
      </c>
      <c r="QK8" s="214">
        <f t="shared" si="22"/>
        <v>1</v>
      </c>
      <c r="QL8" s="214">
        <f t="shared" si="22"/>
        <v>0</v>
      </c>
      <c r="QM8" s="214">
        <f t="shared" ref="QM8:SP8" si="23">QM7+QM6</f>
        <v>1</v>
      </c>
      <c r="QN8" s="214">
        <f t="shared" si="23"/>
        <v>0</v>
      </c>
      <c r="QO8" s="214">
        <f t="shared" si="23"/>
        <v>1</v>
      </c>
      <c r="QP8" s="214">
        <f t="shared" si="23"/>
        <v>0</v>
      </c>
      <c r="QQ8" s="214">
        <f t="shared" si="23"/>
        <v>0</v>
      </c>
      <c r="QR8" s="214">
        <f t="shared" si="23"/>
        <v>1</v>
      </c>
      <c r="QS8" s="214">
        <f t="shared" si="23"/>
        <v>0</v>
      </c>
      <c r="QT8" s="214">
        <f t="shared" si="23"/>
        <v>0</v>
      </c>
      <c r="QU8" s="214">
        <f t="shared" si="23"/>
        <v>1</v>
      </c>
      <c r="QV8" s="214">
        <f t="shared" si="23"/>
        <v>0</v>
      </c>
      <c r="QW8" s="214">
        <f t="shared" si="23"/>
        <v>0</v>
      </c>
      <c r="QX8" s="214">
        <f t="shared" si="23"/>
        <v>0</v>
      </c>
      <c r="QY8" s="214">
        <f t="shared" si="23"/>
        <v>0</v>
      </c>
      <c r="QZ8" s="214">
        <f t="shared" si="23"/>
        <v>1</v>
      </c>
      <c r="RA8" s="214">
        <f t="shared" si="23"/>
        <v>0</v>
      </c>
      <c r="RB8" s="214">
        <f t="shared" si="23"/>
        <v>1</v>
      </c>
      <c r="RC8" s="214">
        <f t="shared" si="23"/>
        <v>0</v>
      </c>
      <c r="RD8" s="214">
        <f t="shared" si="23"/>
        <v>1</v>
      </c>
      <c r="RE8" s="214">
        <f t="shared" si="23"/>
        <v>0</v>
      </c>
      <c r="RF8" s="214">
        <f t="shared" si="23"/>
        <v>1</v>
      </c>
      <c r="RG8" s="214">
        <f t="shared" si="23"/>
        <v>0</v>
      </c>
      <c r="RH8" s="214">
        <f t="shared" si="23"/>
        <v>0</v>
      </c>
      <c r="RI8" s="214">
        <f t="shared" si="23"/>
        <v>0</v>
      </c>
      <c r="RJ8" s="214">
        <f t="shared" si="23"/>
        <v>0</v>
      </c>
      <c r="RK8" s="214">
        <f t="shared" si="23"/>
        <v>1</v>
      </c>
      <c r="RL8" s="214">
        <f t="shared" si="23"/>
        <v>1</v>
      </c>
      <c r="RM8" s="214">
        <f t="shared" si="23"/>
        <v>0</v>
      </c>
      <c r="RN8" s="214">
        <f t="shared" si="23"/>
        <v>0</v>
      </c>
      <c r="RO8" s="214">
        <f t="shared" si="23"/>
        <v>500</v>
      </c>
      <c r="RP8" s="214">
        <f t="shared" si="23"/>
        <v>0</v>
      </c>
      <c r="RQ8" s="214">
        <f t="shared" si="23"/>
        <v>500</v>
      </c>
      <c r="RR8" s="214">
        <f t="shared" si="23"/>
        <v>0</v>
      </c>
      <c r="RS8" s="214">
        <f t="shared" si="23"/>
        <v>30</v>
      </c>
      <c r="RT8" s="214">
        <f t="shared" si="23"/>
        <v>0</v>
      </c>
      <c r="RU8" s="214">
        <f t="shared" si="23"/>
        <v>50</v>
      </c>
      <c r="RV8" s="214">
        <f t="shared" si="23"/>
        <v>0</v>
      </c>
      <c r="RW8" s="214">
        <f t="shared" si="23"/>
        <v>3</v>
      </c>
      <c r="RX8" s="214">
        <f t="shared" si="23"/>
        <v>0</v>
      </c>
      <c r="RY8" s="214">
        <f t="shared" si="23"/>
        <v>3</v>
      </c>
      <c r="RZ8" s="214">
        <f t="shared" si="23"/>
        <v>0</v>
      </c>
      <c r="SA8" s="214">
        <f t="shared" si="23"/>
        <v>0</v>
      </c>
      <c r="SB8" s="214">
        <f t="shared" si="23"/>
        <v>1</v>
      </c>
      <c r="SC8" s="214">
        <f t="shared" si="23"/>
        <v>0</v>
      </c>
      <c r="SD8" s="214">
        <f t="shared" si="23"/>
        <v>0</v>
      </c>
      <c r="SE8" s="214">
        <f t="shared" si="23"/>
        <v>0</v>
      </c>
      <c r="SF8" s="214">
        <f t="shared" si="23"/>
        <v>0</v>
      </c>
      <c r="SG8" s="214">
        <f t="shared" si="23"/>
        <v>0</v>
      </c>
      <c r="SH8" s="214">
        <f t="shared" si="23"/>
        <v>0</v>
      </c>
      <c r="SI8" s="214">
        <f t="shared" si="23"/>
        <v>0</v>
      </c>
      <c r="SJ8" s="214">
        <f t="shared" si="23"/>
        <v>0</v>
      </c>
      <c r="SK8" s="214">
        <f t="shared" si="23"/>
        <v>0</v>
      </c>
      <c r="SL8" s="214">
        <f t="shared" si="23"/>
        <v>0</v>
      </c>
      <c r="SM8" s="214">
        <f t="shared" si="23"/>
        <v>0</v>
      </c>
      <c r="SN8" s="214">
        <f t="shared" si="23"/>
        <v>0</v>
      </c>
      <c r="SO8" s="214">
        <f t="shared" si="23"/>
        <v>2</v>
      </c>
      <c r="SP8" s="214">
        <f t="shared" si="23"/>
        <v>2</v>
      </c>
      <c r="SQ8" s="193"/>
      <c r="SR8" s="193"/>
      <c r="SS8" s="195"/>
    </row>
    <row r="9" spans="1:513" s="194" customFormat="1" ht="19.5" customHeight="1">
      <c r="A9" s="215" t="s">
        <v>191</v>
      </c>
      <c r="B9" s="216"/>
      <c r="C9" s="216"/>
      <c r="D9" s="216"/>
      <c r="E9" s="217"/>
      <c r="F9" s="193">
        <f>F8</f>
        <v>0</v>
      </c>
      <c r="G9" s="193">
        <f t="shared" ref="G9:BR9" si="24">G8</f>
        <v>0</v>
      </c>
      <c r="H9" s="193">
        <f t="shared" si="24"/>
        <v>1</v>
      </c>
      <c r="I9" s="193">
        <f t="shared" si="24"/>
        <v>1</v>
      </c>
      <c r="J9" s="193">
        <f t="shared" si="24"/>
        <v>0</v>
      </c>
      <c r="K9" s="193">
        <f t="shared" si="24"/>
        <v>1</v>
      </c>
      <c r="L9" s="193">
        <f t="shared" si="24"/>
        <v>0</v>
      </c>
      <c r="M9" s="193">
        <f t="shared" si="24"/>
        <v>0</v>
      </c>
      <c r="N9" s="193">
        <f t="shared" si="24"/>
        <v>0</v>
      </c>
      <c r="O9" s="193">
        <f t="shared" si="24"/>
        <v>1</v>
      </c>
      <c r="P9" s="193">
        <f t="shared" si="24"/>
        <v>0</v>
      </c>
      <c r="Q9" s="193">
        <f t="shared" si="24"/>
        <v>1</v>
      </c>
      <c r="R9" s="193">
        <f t="shared" si="24"/>
        <v>0</v>
      </c>
      <c r="S9" s="193">
        <f t="shared" si="24"/>
        <v>0</v>
      </c>
      <c r="T9" s="193">
        <f t="shared" si="24"/>
        <v>0</v>
      </c>
      <c r="U9" s="193">
        <f t="shared" si="24"/>
        <v>1</v>
      </c>
      <c r="V9" s="193">
        <f t="shared" si="24"/>
        <v>67</v>
      </c>
      <c r="W9" s="193">
        <f t="shared" si="24"/>
        <v>13</v>
      </c>
      <c r="X9" s="193">
        <f t="shared" si="24"/>
        <v>59</v>
      </c>
      <c r="Y9" s="193">
        <f t="shared" si="24"/>
        <v>20</v>
      </c>
      <c r="Z9" s="193">
        <f t="shared" si="24"/>
        <v>45</v>
      </c>
      <c r="AA9" s="193">
        <f t="shared" si="24"/>
        <v>20</v>
      </c>
      <c r="AB9" s="193">
        <f t="shared" si="24"/>
        <v>29</v>
      </c>
      <c r="AC9" s="193">
        <f t="shared" si="24"/>
        <v>7</v>
      </c>
      <c r="AD9" s="193">
        <f t="shared" si="24"/>
        <v>0</v>
      </c>
      <c r="AE9" s="193">
        <f t="shared" si="24"/>
        <v>0</v>
      </c>
      <c r="AF9" s="193">
        <f t="shared" si="24"/>
        <v>200</v>
      </c>
      <c r="AG9" s="193">
        <f t="shared" si="24"/>
        <v>60</v>
      </c>
      <c r="AH9" s="193">
        <f t="shared" si="24"/>
        <v>260</v>
      </c>
      <c r="AI9" s="193">
        <f t="shared" si="24"/>
        <v>67</v>
      </c>
      <c r="AJ9" s="193">
        <f t="shared" si="24"/>
        <v>13</v>
      </c>
      <c r="AK9" s="193">
        <f t="shared" si="24"/>
        <v>59</v>
      </c>
      <c r="AL9" s="193">
        <f t="shared" si="24"/>
        <v>20</v>
      </c>
      <c r="AM9" s="193">
        <f t="shared" si="24"/>
        <v>45</v>
      </c>
      <c r="AN9" s="193">
        <f t="shared" si="24"/>
        <v>20</v>
      </c>
      <c r="AO9" s="193">
        <f t="shared" si="24"/>
        <v>29</v>
      </c>
      <c r="AP9" s="193">
        <f t="shared" si="24"/>
        <v>7</v>
      </c>
      <c r="AQ9" s="193">
        <f t="shared" si="24"/>
        <v>0</v>
      </c>
      <c r="AR9" s="193">
        <f t="shared" si="24"/>
        <v>0</v>
      </c>
      <c r="AS9" s="193">
        <f t="shared" si="24"/>
        <v>200</v>
      </c>
      <c r="AT9" s="193">
        <f t="shared" si="24"/>
        <v>60</v>
      </c>
      <c r="AU9" s="193">
        <f t="shared" si="24"/>
        <v>260</v>
      </c>
      <c r="AV9" s="193">
        <f t="shared" si="24"/>
        <v>0</v>
      </c>
      <c r="AW9" s="193">
        <f t="shared" si="24"/>
        <v>0</v>
      </c>
      <c r="AX9" s="193">
        <f t="shared" si="24"/>
        <v>0</v>
      </c>
      <c r="AY9" s="193">
        <f t="shared" si="24"/>
        <v>0</v>
      </c>
      <c r="AZ9" s="193">
        <f t="shared" si="24"/>
        <v>0</v>
      </c>
      <c r="BA9" s="193">
        <f t="shared" si="24"/>
        <v>0</v>
      </c>
      <c r="BB9" s="193">
        <f t="shared" si="24"/>
        <v>0</v>
      </c>
      <c r="BC9" s="193">
        <f t="shared" si="24"/>
        <v>0</v>
      </c>
      <c r="BD9" s="193">
        <f t="shared" si="24"/>
        <v>0</v>
      </c>
      <c r="BE9" s="193">
        <f t="shared" si="24"/>
        <v>0</v>
      </c>
      <c r="BF9" s="193">
        <f t="shared" si="24"/>
        <v>0</v>
      </c>
      <c r="BG9" s="193">
        <f t="shared" si="24"/>
        <v>0</v>
      </c>
      <c r="BH9" s="193">
        <f t="shared" si="24"/>
        <v>0</v>
      </c>
      <c r="BI9" s="193">
        <f t="shared" si="24"/>
        <v>0</v>
      </c>
      <c r="BJ9" s="193">
        <f t="shared" si="24"/>
        <v>0</v>
      </c>
      <c r="BK9" s="193">
        <f t="shared" si="24"/>
        <v>0</v>
      </c>
      <c r="BL9" s="193">
        <f t="shared" si="24"/>
        <v>0</v>
      </c>
      <c r="BM9" s="193">
        <f t="shared" si="24"/>
        <v>0</v>
      </c>
      <c r="BN9" s="193">
        <f t="shared" si="24"/>
        <v>0</v>
      </c>
      <c r="BO9" s="193">
        <f t="shared" si="24"/>
        <v>0</v>
      </c>
      <c r="BP9" s="193">
        <f t="shared" si="24"/>
        <v>0</v>
      </c>
      <c r="BQ9" s="193">
        <f t="shared" si="24"/>
        <v>0</v>
      </c>
      <c r="BR9" s="193">
        <f t="shared" si="24"/>
        <v>0</v>
      </c>
      <c r="BS9" s="193">
        <f t="shared" ref="BS9:ED9" si="25">BS8</f>
        <v>0</v>
      </c>
      <c r="BT9" s="193">
        <f t="shared" si="25"/>
        <v>0</v>
      </c>
      <c r="BU9" s="193">
        <f t="shared" si="25"/>
        <v>0</v>
      </c>
      <c r="BV9" s="193">
        <f t="shared" si="25"/>
        <v>67</v>
      </c>
      <c r="BW9" s="193">
        <f t="shared" si="25"/>
        <v>13</v>
      </c>
      <c r="BX9" s="193">
        <f t="shared" si="25"/>
        <v>59</v>
      </c>
      <c r="BY9" s="193">
        <f t="shared" si="25"/>
        <v>20</v>
      </c>
      <c r="BZ9" s="193">
        <f t="shared" si="25"/>
        <v>45</v>
      </c>
      <c r="CA9" s="193">
        <f t="shared" si="25"/>
        <v>20</v>
      </c>
      <c r="CB9" s="193">
        <f t="shared" si="25"/>
        <v>29</v>
      </c>
      <c r="CC9" s="193">
        <f t="shared" si="25"/>
        <v>7</v>
      </c>
      <c r="CD9" s="193">
        <f t="shared" si="25"/>
        <v>0</v>
      </c>
      <c r="CE9" s="193">
        <f t="shared" si="25"/>
        <v>0</v>
      </c>
      <c r="CF9" s="193">
        <f t="shared" si="25"/>
        <v>0</v>
      </c>
      <c r="CG9" s="193">
        <f t="shared" si="25"/>
        <v>0</v>
      </c>
      <c r="CH9" s="193">
        <f t="shared" si="25"/>
        <v>0</v>
      </c>
      <c r="CI9" s="193">
        <f t="shared" si="25"/>
        <v>0</v>
      </c>
      <c r="CJ9" s="193">
        <f t="shared" si="25"/>
        <v>200</v>
      </c>
      <c r="CK9" s="193">
        <f t="shared" si="25"/>
        <v>60</v>
      </c>
      <c r="CL9" s="193">
        <f>CL8</f>
        <v>260</v>
      </c>
      <c r="CM9" s="193">
        <f t="shared" si="25"/>
        <v>7</v>
      </c>
      <c r="CN9" s="193">
        <f t="shared" si="25"/>
        <v>3</v>
      </c>
      <c r="CO9" s="193">
        <f t="shared" si="25"/>
        <v>0</v>
      </c>
      <c r="CP9" s="193">
        <f t="shared" si="25"/>
        <v>0</v>
      </c>
      <c r="CQ9" s="193">
        <f t="shared" si="25"/>
        <v>0</v>
      </c>
      <c r="CR9" s="193">
        <f t="shared" si="25"/>
        <v>0</v>
      </c>
      <c r="CS9" s="193">
        <f t="shared" si="25"/>
        <v>0</v>
      </c>
      <c r="CT9" s="193">
        <f t="shared" si="25"/>
        <v>0</v>
      </c>
      <c r="CU9" s="193">
        <f t="shared" si="25"/>
        <v>0</v>
      </c>
      <c r="CV9" s="193">
        <f t="shared" si="25"/>
        <v>7</v>
      </c>
      <c r="CW9" s="193">
        <f t="shared" si="25"/>
        <v>3</v>
      </c>
      <c r="CX9" s="193">
        <f t="shared" si="25"/>
        <v>0</v>
      </c>
      <c r="CY9" s="193">
        <f t="shared" si="25"/>
        <v>10</v>
      </c>
      <c r="CZ9" s="193">
        <f t="shared" si="25"/>
        <v>0</v>
      </c>
      <c r="DA9" s="193">
        <f t="shared" si="25"/>
        <v>0</v>
      </c>
      <c r="DB9" s="193">
        <f t="shared" si="25"/>
        <v>0</v>
      </c>
      <c r="DC9" s="193">
        <f t="shared" si="25"/>
        <v>0</v>
      </c>
      <c r="DD9" s="193">
        <f t="shared" si="25"/>
        <v>0</v>
      </c>
      <c r="DE9" s="193">
        <f t="shared" si="25"/>
        <v>0</v>
      </c>
      <c r="DF9" s="193">
        <f t="shared" si="25"/>
        <v>0</v>
      </c>
      <c r="DG9" s="193">
        <f t="shared" si="25"/>
        <v>0</v>
      </c>
      <c r="DH9" s="193">
        <f t="shared" si="25"/>
        <v>0</v>
      </c>
      <c r="DI9" s="193">
        <f t="shared" si="25"/>
        <v>0</v>
      </c>
      <c r="DJ9" s="193">
        <f t="shared" si="25"/>
        <v>0</v>
      </c>
      <c r="DK9" s="193">
        <f t="shared" si="25"/>
        <v>0</v>
      </c>
      <c r="DL9" s="193">
        <f t="shared" si="25"/>
        <v>0</v>
      </c>
      <c r="DM9" s="193">
        <f t="shared" si="25"/>
        <v>0</v>
      </c>
      <c r="DN9" s="193">
        <f t="shared" si="25"/>
        <v>0</v>
      </c>
      <c r="DO9" s="193">
        <f t="shared" si="25"/>
        <v>0</v>
      </c>
      <c r="DP9" s="193">
        <f t="shared" si="25"/>
        <v>0</v>
      </c>
      <c r="DQ9" s="193">
        <f t="shared" si="25"/>
        <v>0</v>
      </c>
      <c r="DR9" s="193">
        <f t="shared" si="25"/>
        <v>0</v>
      </c>
      <c r="DS9" s="193">
        <f t="shared" si="25"/>
        <v>0</v>
      </c>
      <c r="DT9" s="193">
        <f t="shared" si="25"/>
        <v>0</v>
      </c>
      <c r="DU9" s="193">
        <f t="shared" si="25"/>
        <v>0</v>
      </c>
      <c r="DV9" s="193">
        <f t="shared" si="25"/>
        <v>0</v>
      </c>
      <c r="DW9" s="193">
        <f t="shared" si="25"/>
        <v>0</v>
      </c>
      <c r="DX9" s="193">
        <f t="shared" si="25"/>
        <v>0</v>
      </c>
      <c r="DY9" s="193">
        <f t="shared" si="25"/>
        <v>0</v>
      </c>
      <c r="DZ9" s="193">
        <f t="shared" si="25"/>
        <v>0</v>
      </c>
      <c r="EA9" s="193">
        <f t="shared" si="25"/>
        <v>0</v>
      </c>
      <c r="EB9" s="193">
        <f t="shared" si="25"/>
        <v>0</v>
      </c>
      <c r="EC9" s="193">
        <f t="shared" si="25"/>
        <v>0</v>
      </c>
      <c r="ED9" s="193">
        <f t="shared" si="25"/>
        <v>0</v>
      </c>
      <c r="EE9" s="193">
        <f t="shared" ref="EE9:GR9" si="26">EE8</f>
        <v>0</v>
      </c>
      <c r="EF9" s="193">
        <f t="shared" si="26"/>
        <v>0</v>
      </c>
      <c r="EG9" s="193">
        <f t="shared" si="26"/>
        <v>0</v>
      </c>
      <c r="EH9" s="193">
        <f t="shared" si="26"/>
        <v>0</v>
      </c>
      <c r="EI9" s="193">
        <f t="shared" si="26"/>
        <v>0</v>
      </c>
      <c r="EJ9" s="193">
        <f t="shared" si="26"/>
        <v>0</v>
      </c>
      <c r="EK9" s="193">
        <f t="shared" si="26"/>
        <v>0</v>
      </c>
      <c r="EL9" s="193">
        <f t="shared" si="26"/>
        <v>0</v>
      </c>
      <c r="EM9" s="193">
        <f t="shared" si="26"/>
        <v>0</v>
      </c>
      <c r="EN9" s="193">
        <f t="shared" si="26"/>
        <v>0</v>
      </c>
      <c r="EO9" s="193">
        <f t="shared" si="26"/>
        <v>0</v>
      </c>
      <c r="EP9" s="193">
        <f t="shared" si="26"/>
        <v>0</v>
      </c>
      <c r="EQ9" s="193">
        <f t="shared" si="26"/>
        <v>0</v>
      </c>
      <c r="ER9" s="193">
        <f t="shared" si="26"/>
        <v>0</v>
      </c>
      <c r="ES9" s="193">
        <f t="shared" si="26"/>
        <v>0</v>
      </c>
      <c r="ET9" s="193">
        <f t="shared" si="26"/>
        <v>0</v>
      </c>
      <c r="EU9" s="193">
        <f t="shared" si="26"/>
        <v>0</v>
      </c>
      <c r="EV9" s="193">
        <f t="shared" si="26"/>
        <v>0</v>
      </c>
      <c r="EW9" s="193">
        <f t="shared" si="26"/>
        <v>0</v>
      </c>
      <c r="EX9" s="193">
        <f t="shared" si="26"/>
        <v>0</v>
      </c>
      <c r="EY9" s="115">
        <f t="shared" ref="EY8:EY12" si="27">EW9+EU9+ES9</f>
        <v>0</v>
      </c>
      <c r="EZ9" s="115">
        <f t="shared" ref="EZ8:EZ12" si="28">EX9+EV9+ET9</f>
        <v>0</v>
      </c>
      <c r="FA9" s="115">
        <f t="shared" ref="FA8:FA12" si="29">SUM(EY9:EZ9)</f>
        <v>0</v>
      </c>
      <c r="FB9" s="193">
        <f t="shared" si="26"/>
        <v>0</v>
      </c>
      <c r="FC9" s="193">
        <f t="shared" si="26"/>
        <v>1</v>
      </c>
      <c r="FD9" s="193">
        <f t="shared" si="26"/>
        <v>3</v>
      </c>
      <c r="FE9" s="193">
        <f t="shared" si="26"/>
        <v>0</v>
      </c>
      <c r="FF9" s="193">
        <f t="shared" si="26"/>
        <v>10</v>
      </c>
      <c r="FG9" s="193">
        <f t="shared" si="26"/>
        <v>18</v>
      </c>
      <c r="FH9" s="193">
        <f t="shared" si="26"/>
        <v>0</v>
      </c>
      <c r="FI9" s="193">
        <f t="shared" si="26"/>
        <v>0</v>
      </c>
      <c r="FJ9" s="193">
        <f t="shared" si="26"/>
        <v>0</v>
      </c>
      <c r="FK9" s="193">
        <f t="shared" si="26"/>
        <v>0</v>
      </c>
      <c r="FL9" s="193">
        <f t="shared" si="26"/>
        <v>13</v>
      </c>
      <c r="FM9" s="193">
        <f t="shared" si="26"/>
        <v>19</v>
      </c>
      <c r="FN9" s="193">
        <f t="shared" si="26"/>
        <v>32</v>
      </c>
      <c r="FO9" s="193">
        <f t="shared" si="26"/>
        <v>0</v>
      </c>
      <c r="FP9" s="193">
        <f t="shared" si="26"/>
        <v>0</v>
      </c>
      <c r="FQ9" s="193">
        <f t="shared" si="26"/>
        <v>0</v>
      </c>
      <c r="FR9" s="193">
        <f t="shared" si="26"/>
        <v>0</v>
      </c>
      <c r="FS9" s="193">
        <f t="shared" si="26"/>
        <v>0</v>
      </c>
      <c r="FT9" s="193">
        <f t="shared" si="26"/>
        <v>0</v>
      </c>
      <c r="FU9" s="193">
        <f t="shared" si="26"/>
        <v>0</v>
      </c>
      <c r="FV9" s="193">
        <f t="shared" si="26"/>
        <v>0</v>
      </c>
      <c r="FW9" s="193">
        <f t="shared" si="26"/>
        <v>0</v>
      </c>
      <c r="FX9" s="193">
        <f t="shared" si="26"/>
        <v>0</v>
      </c>
      <c r="FY9" s="193">
        <f t="shared" si="26"/>
        <v>0</v>
      </c>
      <c r="FZ9" s="193">
        <f t="shared" si="26"/>
        <v>0</v>
      </c>
      <c r="GA9" s="193">
        <f t="shared" si="26"/>
        <v>0</v>
      </c>
      <c r="GB9" s="193">
        <f t="shared" si="26"/>
        <v>0</v>
      </c>
      <c r="GC9" s="193"/>
      <c r="GD9" s="193"/>
      <c r="GE9" s="193">
        <f t="shared" si="26"/>
        <v>0</v>
      </c>
      <c r="GF9" s="193">
        <f t="shared" si="26"/>
        <v>0</v>
      </c>
      <c r="GG9" s="193">
        <f t="shared" si="26"/>
        <v>0</v>
      </c>
      <c r="GH9" s="193">
        <f t="shared" si="26"/>
        <v>0</v>
      </c>
      <c r="GI9" s="193">
        <f t="shared" si="26"/>
        <v>0</v>
      </c>
      <c r="GJ9" s="193">
        <f t="shared" si="26"/>
        <v>1</v>
      </c>
      <c r="GK9" s="193">
        <f t="shared" si="26"/>
        <v>5</v>
      </c>
      <c r="GL9" s="193">
        <f t="shared" si="26"/>
        <v>0</v>
      </c>
      <c r="GM9" s="193">
        <f t="shared" si="26"/>
        <v>0</v>
      </c>
      <c r="GN9" s="193">
        <f t="shared" si="26"/>
        <v>4</v>
      </c>
      <c r="GO9" s="193">
        <f t="shared" si="26"/>
        <v>1</v>
      </c>
      <c r="GP9" s="193">
        <f t="shared" si="26"/>
        <v>0</v>
      </c>
      <c r="GQ9" s="193">
        <f t="shared" si="26"/>
        <v>0</v>
      </c>
      <c r="GR9" s="193">
        <f t="shared" si="26"/>
        <v>2</v>
      </c>
      <c r="GS9" s="193">
        <f t="shared" ref="GS9:JD9" si="30">GS8</f>
        <v>1</v>
      </c>
      <c r="GT9" s="193">
        <f t="shared" si="30"/>
        <v>0</v>
      </c>
      <c r="GU9" s="193">
        <f t="shared" si="30"/>
        <v>0</v>
      </c>
      <c r="GV9" s="193">
        <f t="shared" si="30"/>
        <v>0</v>
      </c>
      <c r="GW9" s="193">
        <f t="shared" si="30"/>
        <v>2</v>
      </c>
      <c r="GX9" s="193">
        <f t="shared" si="30"/>
        <v>0</v>
      </c>
      <c r="GY9" s="193">
        <f t="shared" si="30"/>
        <v>0</v>
      </c>
      <c r="GZ9" s="193">
        <f t="shared" si="30"/>
        <v>0</v>
      </c>
      <c r="HA9" s="193">
        <f t="shared" si="30"/>
        <v>0</v>
      </c>
      <c r="HB9" s="193">
        <f t="shared" si="30"/>
        <v>0</v>
      </c>
      <c r="HC9" s="193">
        <f t="shared" si="30"/>
        <v>0</v>
      </c>
      <c r="HD9" s="193">
        <f t="shared" si="30"/>
        <v>0</v>
      </c>
      <c r="HE9" s="193">
        <f t="shared" si="30"/>
        <v>0</v>
      </c>
      <c r="HF9" s="193">
        <f t="shared" si="30"/>
        <v>1</v>
      </c>
      <c r="HG9" s="193">
        <f t="shared" si="30"/>
        <v>0</v>
      </c>
      <c r="HH9" s="193">
        <f t="shared" si="30"/>
        <v>0</v>
      </c>
      <c r="HI9" s="193">
        <f t="shared" si="30"/>
        <v>0</v>
      </c>
      <c r="HJ9" s="193">
        <f t="shared" si="30"/>
        <v>0</v>
      </c>
      <c r="HK9" s="193">
        <f t="shared" si="30"/>
        <v>0</v>
      </c>
      <c r="HL9" s="193">
        <f t="shared" si="30"/>
        <v>0</v>
      </c>
      <c r="HM9" s="193">
        <f t="shared" si="30"/>
        <v>0</v>
      </c>
      <c r="HN9" s="193">
        <f t="shared" si="30"/>
        <v>0</v>
      </c>
      <c r="HO9" s="193">
        <f t="shared" si="30"/>
        <v>0</v>
      </c>
      <c r="HP9" s="193">
        <f t="shared" si="30"/>
        <v>0</v>
      </c>
      <c r="HQ9" s="193">
        <f t="shared" si="30"/>
        <v>0</v>
      </c>
      <c r="HR9" s="193">
        <f t="shared" si="30"/>
        <v>0</v>
      </c>
      <c r="HS9" s="193">
        <f t="shared" si="30"/>
        <v>0</v>
      </c>
      <c r="HT9" s="193">
        <f t="shared" si="30"/>
        <v>0</v>
      </c>
      <c r="HU9" s="193">
        <f t="shared" si="30"/>
        <v>0</v>
      </c>
      <c r="HV9" s="193">
        <f t="shared" si="30"/>
        <v>0</v>
      </c>
      <c r="HW9" s="193">
        <f t="shared" si="30"/>
        <v>0</v>
      </c>
      <c r="HX9" s="193">
        <f t="shared" si="30"/>
        <v>0</v>
      </c>
      <c r="HY9" s="193">
        <f t="shared" si="30"/>
        <v>0</v>
      </c>
      <c r="HZ9" s="193">
        <f t="shared" si="30"/>
        <v>0</v>
      </c>
      <c r="IA9" s="193">
        <f t="shared" si="30"/>
        <v>0</v>
      </c>
      <c r="IB9" s="193">
        <f t="shared" si="30"/>
        <v>0</v>
      </c>
      <c r="IC9" s="193">
        <f t="shared" si="30"/>
        <v>0</v>
      </c>
      <c r="ID9" s="193">
        <f t="shared" si="30"/>
        <v>0</v>
      </c>
      <c r="IE9" s="193">
        <f t="shared" si="30"/>
        <v>0</v>
      </c>
      <c r="IF9" s="193">
        <f t="shared" si="30"/>
        <v>0</v>
      </c>
      <c r="IG9" s="193">
        <f t="shared" si="30"/>
        <v>0</v>
      </c>
      <c r="IH9" s="193">
        <f t="shared" si="30"/>
        <v>0</v>
      </c>
      <c r="II9" s="193">
        <f t="shared" si="30"/>
        <v>0</v>
      </c>
      <c r="IJ9" s="193">
        <f t="shared" si="30"/>
        <v>1</v>
      </c>
      <c r="IK9" s="193">
        <f t="shared" si="30"/>
        <v>0</v>
      </c>
      <c r="IL9" s="193">
        <f t="shared" si="30"/>
        <v>0</v>
      </c>
      <c r="IM9" s="193">
        <f t="shared" si="30"/>
        <v>0</v>
      </c>
      <c r="IN9" s="193">
        <f t="shared" si="30"/>
        <v>0</v>
      </c>
      <c r="IO9" s="193">
        <f t="shared" si="30"/>
        <v>0</v>
      </c>
      <c r="IP9" s="193">
        <f t="shared" si="30"/>
        <v>0</v>
      </c>
      <c r="IQ9" s="193">
        <f t="shared" si="30"/>
        <v>0</v>
      </c>
      <c r="IR9" s="193">
        <f t="shared" si="30"/>
        <v>0</v>
      </c>
      <c r="IS9" s="193">
        <f t="shared" si="30"/>
        <v>0</v>
      </c>
      <c r="IT9" s="193">
        <f t="shared" si="30"/>
        <v>0</v>
      </c>
      <c r="IU9" s="193">
        <f t="shared" si="30"/>
        <v>0</v>
      </c>
      <c r="IV9" s="193">
        <f t="shared" si="30"/>
        <v>0</v>
      </c>
      <c r="IW9" s="193">
        <f t="shared" si="30"/>
        <v>0</v>
      </c>
      <c r="IX9" s="193">
        <f t="shared" si="30"/>
        <v>0</v>
      </c>
      <c r="IY9" s="193">
        <f t="shared" si="30"/>
        <v>0</v>
      </c>
      <c r="IZ9" s="193">
        <f t="shared" si="30"/>
        <v>0</v>
      </c>
      <c r="JA9" s="193">
        <f t="shared" si="30"/>
        <v>0</v>
      </c>
      <c r="JB9" s="193">
        <f t="shared" si="30"/>
        <v>0</v>
      </c>
      <c r="JC9" s="193">
        <f t="shared" si="30"/>
        <v>0</v>
      </c>
      <c r="JD9" s="193">
        <f t="shared" si="30"/>
        <v>0</v>
      </c>
      <c r="JE9" s="193">
        <f t="shared" ref="JE9:LN9" si="31">JE8</f>
        <v>0</v>
      </c>
      <c r="JF9" s="193">
        <f t="shared" si="31"/>
        <v>0</v>
      </c>
      <c r="JG9" s="193">
        <f t="shared" si="31"/>
        <v>0</v>
      </c>
      <c r="JH9" s="193">
        <f t="shared" si="31"/>
        <v>0</v>
      </c>
      <c r="JI9" s="193">
        <f t="shared" si="31"/>
        <v>0</v>
      </c>
      <c r="JJ9" s="193">
        <f t="shared" si="31"/>
        <v>0</v>
      </c>
      <c r="JK9" s="193">
        <f t="shared" si="31"/>
        <v>0</v>
      </c>
      <c r="JL9" s="193">
        <f t="shared" si="31"/>
        <v>0</v>
      </c>
      <c r="JM9" s="193">
        <f t="shared" si="31"/>
        <v>0</v>
      </c>
      <c r="JN9" s="193">
        <f t="shared" si="31"/>
        <v>0</v>
      </c>
      <c r="JO9" s="193">
        <f t="shared" si="31"/>
        <v>0</v>
      </c>
      <c r="JP9" s="193">
        <f t="shared" si="31"/>
        <v>0</v>
      </c>
      <c r="JQ9" s="193">
        <f t="shared" si="31"/>
        <v>0</v>
      </c>
      <c r="JR9" s="193">
        <f t="shared" si="31"/>
        <v>0</v>
      </c>
      <c r="JS9" s="193">
        <f t="shared" si="31"/>
        <v>0</v>
      </c>
      <c r="JT9" s="193">
        <f t="shared" si="31"/>
        <v>0</v>
      </c>
      <c r="JU9" s="193">
        <f t="shared" si="31"/>
        <v>0</v>
      </c>
      <c r="JV9" s="193">
        <f t="shared" si="31"/>
        <v>0</v>
      </c>
      <c r="JW9" s="193">
        <f t="shared" si="31"/>
        <v>0</v>
      </c>
      <c r="JX9" s="193">
        <f t="shared" si="31"/>
        <v>0</v>
      </c>
      <c r="JY9" s="193">
        <f t="shared" si="31"/>
        <v>0</v>
      </c>
      <c r="JZ9" s="193">
        <f t="shared" si="31"/>
        <v>0</v>
      </c>
      <c r="KA9" s="193">
        <f t="shared" si="31"/>
        <v>0</v>
      </c>
      <c r="KB9" s="193">
        <f t="shared" si="31"/>
        <v>0</v>
      </c>
      <c r="KC9" s="193">
        <f t="shared" si="31"/>
        <v>0</v>
      </c>
      <c r="KD9" s="193">
        <f t="shared" si="31"/>
        <v>0</v>
      </c>
      <c r="KE9" s="193">
        <f t="shared" si="31"/>
        <v>0</v>
      </c>
      <c r="KF9" s="193">
        <f t="shared" si="31"/>
        <v>0</v>
      </c>
      <c r="KG9" s="193">
        <f t="shared" si="31"/>
        <v>0</v>
      </c>
      <c r="KH9" s="193">
        <f t="shared" si="31"/>
        <v>0</v>
      </c>
      <c r="KI9" s="193">
        <f t="shared" si="31"/>
        <v>0</v>
      </c>
      <c r="KJ9" s="193">
        <f t="shared" si="31"/>
        <v>0</v>
      </c>
      <c r="KK9" s="193">
        <f t="shared" si="31"/>
        <v>0</v>
      </c>
      <c r="KL9" s="193">
        <f t="shared" si="31"/>
        <v>0</v>
      </c>
      <c r="KM9" s="193">
        <f t="shared" si="31"/>
        <v>0</v>
      </c>
      <c r="KN9" s="193">
        <f t="shared" si="31"/>
        <v>0</v>
      </c>
      <c r="KO9" s="193">
        <f t="shared" si="31"/>
        <v>5</v>
      </c>
      <c r="KP9" s="193">
        <f t="shared" si="31"/>
        <v>0</v>
      </c>
      <c r="KQ9" s="193">
        <f t="shared" si="31"/>
        <v>0</v>
      </c>
      <c r="KR9" s="193">
        <f t="shared" si="31"/>
        <v>0</v>
      </c>
      <c r="KS9" s="193">
        <f t="shared" si="31"/>
        <v>0</v>
      </c>
      <c r="KT9" s="193">
        <f t="shared" si="31"/>
        <v>4</v>
      </c>
      <c r="KU9" s="193">
        <f t="shared" si="31"/>
        <v>5</v>
      </c>
      <c r="KV9" s="193">
        <f t="shared" si="31"/>
        <v>13</v>
      </c>
      <c r="KW9" s="193">
        <f t="shared" si="31"/>
        <v>19</v>
      </c>
      <c r="KX9" s="193">
        <f t="shared" si="31"/>
        <v>32</v>
      </c>
      <c r="KY9" s="193">
        <f t="shared" si="31"/>
        <v>13</v>
      </c>
      <c r="KZ9" s="193">
        <f t="shared" si="31"/>
        <v>19</v>
      </c>
      <c r="LA9" s="193">
        <f t="shared" si="31"/>
        <v>0</v>
      </c>
      <c r="LB9" s="193">
        <f t="shared" si="31"/>
        <v>0</v>
      </c>
      <c r="LC9" s="193">
        <f t="shared" si="31"/>
        <v>0</v>
      </c>
      <c r="LD9" s="193">
        <f t="shared" si="31"/>
        <v>0</v>
      </c>
      <c r="LE9" s="193">
        <f t="shared" si="31"/>
        <v>0</v>
      </c>
      <c r="LF9" s="193">
        <f t="shared" si="31"/>
        <v>0</v>
      </c>
      <c r="LG9" s="193">
        <f t="shared" si="31"/>
        <v>0</v>
      </c>
      <c r="LH9" s="193">
        <f t="shared" si="31"/>
        <v>0</v>
      </c>
      <c r="LI9" s="193">
        <f t="shared" si="31"/>
        <v>0</v>
      </c>
      <c r="LJ9" s="193">
        <f t="shared" si="31"/>
        <v>0</v>
      </c>
      <c r="LK9" s="193">
        <f t="shared" si="31"/>
        <v>0</v>
      </c>
      <c r="LL9" s="193">
        <f t="shared" si="31"/>
        <v>0</v>
      </c>
      <c r="LM9" s="193">
        <f t="shared" si="31"/>
        <v>0</v>
      </c>
      <c r="LN9" s="193">
        <f t="shared" si="31"/>
        <v>0</v>
      </c>
      <c r="LO9" s="193">
        <f t="shared" ref="LO9:LP9" si="32">LO8</f>
        <v>0</v>
      </c>
      <c r="LP9" s="193">
        <f t="shared" si="32"/>
        <v>0</v>
      </c>
      <c r="LQ9" s="168">
        <f t="shared" ref="LQ8:LQ17" si="33">LA9+LC9+KY9+LE9+LG9+LI9+LK9+LM9+LO9</f>
        <v>13</v>
      </c>
      <c r="LR9" s="168">
        <f t="shared" ref="LR8:LR17" si="34">LB9+LD9+KZ9+LF9+LH9+LJ9+LL9+LN9+LP9</f>
        <v>19</v>
      </c>
      <c r="LS9" s="193">
        <f t="shared" ref="LS9:OA9" si="35">LS8</f>
        <v>32</v>
      </c>
      <c r="LT9" s="193">
        <f t="shared" si="35"/>
        <v>9</v>
      </c>
      <c r="LU9" s="193">
        <f t="shared" si="35"/>
        <v>12</v>
      </c>
      <c r="LV9" s="193">
        <f t="shared" si="35"/>
        <v>0</v>
      </c>
      <c r="LW9" s="193">
        <f t="shared" si="35"/>
        <v>4</v>
      </c>
      <c r="LX9" s="193">
        <f t="shared" si="35"/>
        <v>4</v>
      </c>
      <c r="LY9" s="193">
        <f t="shared" si="35"/>
        <v>2</v>
      </c>
      <c r="LZ9" s="193">
        <f t="shared" si="35"/>
        <v>0</v>
      </c>
      <c r="MA9" s="193">
        <f t="shared" si="35"/>
        <v>1</v>
      </c>
      <c r="MB9" s="193">
        <f t="shared" si="35"/>
        <v>13</v>
      </c>
      <c r="MC9" s="193">
        <f t="shared" si="35"/>
        <v>19</v>
      </c>
      <c r="MD9" s="193">
        <f t="shared" si="35"/>
        <v>32</v>
      </c>
      <c r="ME9" s="193">
        <f t="shared" si="35"/>
        <v>10</v>
      </c>
      <c r="MF9" s="193">
        <f t="shared" si="35"/>
        <v>9</v>
      </c>
      <c r="MG9" s="193">
        <f t="shared" si="35"/>
        <v>2</v>
      </c>
      <c r="MH9" s="193">
        <f t="shared" si="35"/>
        <v>8</v>
      </c>
      <c r="MI9" s="193">
        <f t="shared" si="35"/>
        <v>0</v>
      </c>
      <c r="MJ9" s="193">
        <f t="shared" si="35"/>
        <v>2</v>
      </c>
      <c r="MK9" s="193">
        <f t="shared" si="35"/>
        <v>0</v>
      </c>
      <c r="ML9" s="193">
        <f t="shared" si="35"/>
        <v>0</v>
      </c>
      <c r="MM9" s="193">
        <f t="shared" si="35"/>
        <v>1</v>
      </c>
      <c r="MN9" s="193">
        <f t="shared" si="35"/>
        <v>0</v>
      </c>
      <c r="MO9" s="193">
        <f t="shared" si="35"/>
        <v>13</v>
      </c>
      <c r="MP9" s="193">
        <f t="shared" si="35"/>
        <v>19</v>
      </c>
      <c r="MQ9" s="193">
        <f t="shared" si="35"/>
        <v>32</v>
      </c>
      <c r="MR9" s="193">
        <f t="shared" si="35"/>
        <v>8</v>
      </c>
      <c r="MS9" s="193">
        <f t="shared" si="35"/>
        <v>14</v>
      </c>
      <c r="MT9" s="193">
        <f t="shared" si="35"/>
        <v>5</v>
      </c>
      <c r="MU9" s="193">
        <f t="shared" si="35"/>
        <v>2</v>
      </c>
      <c r="MV9" s="193">
        <f t="shared" si="35"/>
        <v>0</v>
      </c>
      <c r="MW9" s="193">
        <f t="shared" si="35"/>
        <v>1</v>
      </c>
      <c r="MX9" s="193">
        <f t="shared" si="35"/>
        <v>0</v>
      </c>
      <c r="MY9" s="193">
        <f t="shared" si="35"/>
        <v>2</v>
      </c>
      <c r="MZ9" s="193">
        <f t="shared" si="35"/>
        <v>13</v>
      </c>
      <c r="NA9" s="193">
        <f t="shared" si="35"/>
        <v>19</v>
      </c>
      <c r="NB9" s="193">
        <f t="shared" si="35"/>
        <v>32</v>
      </c>
      <c r="NC9" s="193">
        <f t="shared" si="35"/>
        <v>0</v>
      </c>
      <c r="ND9" s="193">
        <f t="shared" si="35"/>
        <v>0</v>
      </c>
      <c r="NE9" s="193">
        <f t="shared" si="35"/>
        <v>0</v>
      </c>
      <c r="NF9" s="193">
        <f t="shared" si="35"/>
        <v>0</v>
      </c>
      <c r="NG9" s="193">
        <f t="shared" si="35"/>
        <v>0</v>
      </c>
      <c r="NH9" s="193">
        <f t="shared" si="35"/>
        <v>0</v>
      </c>
      <c r="NI9" s="193">
        <f t="shared" si="35"/>
        <v>1</v>
      </c>
      <c r="NJ9" s="193">
        <f t="shared" si="35"/>
        <v>0</v>
      </c>
      <c r="NK9" s="193">
        <f t="shared" si="35"/>
        <v>7</v>
      </c>
      <c r="NL9" s="193">
        <f t="shared" si="35"/>
        <v>6</v>
      </c>
      <c r="NM9" s="193">
        <f t="shared" si="35"/>
        <v>4</v>
      </c>
      <c r="NN9" s="193">
        <f t="shared" si="35"/>
        <v>13</v>
      </c>
      <c r="NO9" s="193">
        <f t="shared" si="35"/>
        <v>1</v>
      </c>
      <c r="NP9" s="193">
        <f t="shared" si="35"/>
        <v>0</v>
      </c>
      <c r="NQ9" s="193">
        <f t="shared" si="35"/>
        <v>0</v>
      </c>
      <c r="NR9" s="193">
        <f t="shared" si="35"/>
        <v>0</v>
      </c>
      <c r="NS9" s="193">
        <f t="shared" si="35"/>
        <v>0</v>
      </c>
      <c r="NT9" s="193">
        <f t="shared" si="35"/>
        <v>0</v>
      </c>
      <c r="NU9" s="193">
        <f t="shared" si="35"/>
        <v>0</v>
      </c>
      <c r="NV9" s="193">
        <f t="shared" si="35"/>
        <v>0</v>
      </c>
      <c r="NW9" s="193">
        <f t="shared" si="35"/>
        <v>13</v>
      </c>
      <c r="NX9" s="193">
        <f t="shared" si="35"/>
        <v>19</v>
      </c>
      <c r="NY9" s="193">
        <f t="shared" si="35"/>
        <v>32</v>
      </c>
      <c r="NZ9" s="193">
        <f t="shared" si="35"/>
        <v>0</v>
      </c>
      <c r="OA9" s="193">
        <f t="shared" si="35"/>
        <v>0</v>
      </c>
      <c r="OB9" s="193">
        <f t="shared" ref="OB9:QS9" si="36">OB8</f>
        <v>0</v>
      </c>
      <c r="OC9" s="193">
        <f t="shared" si="36"/>
        <v>0</v>
      </c>
      <c r="OD9" s="193">
        <f t="shared" si="36"/>
        <v>0</v>
      </c>
      <c r="OE9" s="193">
        <f t="shared" si="36"/>
        <v>0</v>
      </c>
      <c r="OF9" s="193">
        <f t="shared" si="36"/>
        <v>0</v>
      </c>
      <c r="OG9" s="193">
        <f t="shared" si="36"/>
        <v>0</v>
      </c>
      <c r="OH9" s="193">
        <f t="shared" si="36"/>
        <v>0</v>
      </c>
      <c r="OI9" s="193">
        <f t="shared" ref="OI9:OT9" si="37">OI8</f>
        <v>0</v>
      </c>
      <c r="OJ9" s="193">
        <f t="shared" si="37"/>
        <v>1</v>
      </c>
      <c r="OK9" s="193">
        <f t="shared" si="37"/>
        <v>1</v>
      </c>
      <c r="OL9" s="193">
        <f t="shared" si="37"/>
        <v>0</v>
      </c>
      <c r="OM9" s="193">
        <f t="shared" si="37"/>
        <v>1</v>
      </c>
      <c r="ON9" s="193">
        <f t="shared" si="37"/>
        <v>0</v>
      </c>
      <c r="OO9" s="193">
        <f t="shared" si="37"/>
        <v>0</v>
      </c>
      <c r="OP9" s="193">
        <f t="shared" si="37"/>
        <v>1</v>
      </c>
      <c r="OQ9" s="193">
        <f t="shared" si="37"/>
        <v>0</v>
      </c>
      <c r="OR9" s="193">
        <f t="shared" si="37"/>
        <v>0</v>
      </c>
      <c r="OS9" s="193">
        <f t="shared" si="37"/>
        <v>0</v>
      </c>
      <c r="OT9" s="193">
        <f t="shared" si="37"/>
        <v>0</v>
      </c>
      <c r="OU9" s="193">
        <f t="shared" si="36"/>
        <v>1</v>
      </c>
      <c r="OV9" s="193">
        <f t="shared" si="36"/>
        <v>0</v>
      </c>
      <c r="OW9" s="193"/>
      <c r="OX9" s="193"/>
      <c r="OY9" s="193"/>
      <c r="OZ9" s="193">
        <f t="shared" si="36"/>
        <v>1</v>
      </c>
      <c r="PA9" s="193">
        <f t="shared" si="36"/>
        <v>0</v>
      </c>
      <c r="PB9" s="193">
        <f t="shared" si="36"/>
        <v>0</v>
      </c>
      <c r="PC9" s="193">
        <f t="shared" si="36"/>
        <v>1</v>
      </c>
      <c r="PD9" s="193">
        <f t="shared" si="36"/>
        <v>0</v>
      </c>
      <c r="PE9" s="193">
        <f t="shared" si="36"/>
        <v>0</v>
      </c>
      <c r="PF9" s="193">
        <f t="shared" si="36"/>
        <v>0</v>
      </c>
      <c r="PG9" s="193">
        <f t="shared" si="36"/>
        <v>0</v>
      </c>
      <c r="PH9" s="193">
        <f t="shared" si="36"/>
        <v>0</v>
      </c>
      <c r="PI9" s="193">
        <f t="shared" si="36"/>
        <v>1</v>
      </c>
      <c r="PJ9" s="193">
        <f t="shared" si="36"/>
        <v>0</v>
      </c>
      <c r="PK9" s="193">
        <f t="shared" si="36"/>
        <v>1</v>
      </c>
      <c r="PL9" s="193">
        <f t="shared" si="36"/>
        <v>0</v>
      </c>
      <c r="PM9" s="193">
        <f t="shared" si="36"/>
        <v>40</v>
      </c>
      <c r="PN9" s="193">
        <f t="shared" si="36"/>
        <v>4</v>
      </c>
      <c r="PO9" s="193">
        <f t="shared" si="36"/>
        <v>44</v>
      </c>
      <c r="PP9" s="193">
        <f t="shared" si="36"/>
        <v>1</v>
      </c>
      <c r="PQ9" s="193">
        <f t="shared" si="36"/>
        <v>0</v>
      </c>
      <c r="PR9" s="193">
        <f t="shared" si="36"/>
        <v>0</v>
      </c>
      <c r="PS9" s="193">
        <f t="shared" si="36"/>
        <v>0</v>
      </c>
      <c r="PT9" s="193">
        <f t="shared" si="36"/>
        <v>0</v>
      </c>
      <c r="PU9" s="193">
        <f t="shared" si="36"/>
        <v>0</v>
      </c>
      <c r="PV9" s="193">
        <f t="shared" ref="PV9:QH9" si="38">PV8</f>
        <v>1</v>
      </c>
      <c r="PW9" s="193">
        <f t="shared" si="38"/>
        <v>0</v>
      </c>
      <c r="PX9" s="193">
        <f t="shared" si="38"/>
        <v>1</v>
      </c>
      <c r="PY9" s="193">
        <f t="shared" si="38"/>
        <v>0</v>
      </c>
      <c r="PZ9" s="193">
        <f t="shared" si="38"/>
        <v>1</v>
      </c>
      <c r="QA9" s="193">
        <f t="shared" si="38"/>
        <v>0</v>
      </c>
      <c r="QB9" s="193">
        <f t="shared" si="38"/>
        <v>1</v>
      </c>
      <c r="QC9" s="193">
        <f t="shared" si="38"/>
        <v>0</v>
      </c>
      <c r="QD9" s="193">
        <f t="shared" si="38"/>
        <v>1</v>
      </c>
      <c r="QE9" s="193">
        <f t="shared" si="38"/>
        <v>0</v>
      </c>
      <c r="QF9" s="193">
        <f t="shared" si="38"/>
        <v>0</v>
      </c>
      <c r="QG9" s="193">
        <f t="shared" si="38"/>
        <v>0</v>
      </c>
      <c r="QH9" s="193">
        <f t="shared" si="38"/>
        <v>0</v>
      </c>
      <c r="QI9" s="193">
        <f t="shared" si="36"/>
        <v>1</v>
      </c>
      <c r="QJ9" s="193">
        <f t="shared" si="36"/>
        <v>0</v>
      </c>
      <c r="QK9" s="193">
        <f t="shared" si="36"/>
        <v>1</v>
      </c>
      <c r="QL9" s="193">
        <f t="shared" si="36"/>
        <v>0</v>
      </c>
      <c r="QM9" s="193">
        <f t="shared" si="36"/>
        <v>1</v>
      </c>
      <c r="QN9" s="193">
        <f t="shared" si="36"/>
        <v>0</v>
      </c>
      <c r="QO9" s="193">
        <f t="shared" si="36"/>
        <v>1</v>
      </c>
      <c r="QP9" s="193">
        <f t="shared" si="36"/>
        <v>0</v>
      </c>
      <c r="QQ9" s="193">
        <f t="shared" si="36"/>
        <v>0</v>
      </c>
      <c r="QR9" s="193">
        <f t="shared" si="36"/>
        <v>1</v>
      </c>
      <c r="QS9" s="193">
        <f t="shared" si="36"/>
        <v>0</v>
      </c>
      <c r="QT9" s="193">
        <f t="shared" ref="QT9:SP9" si="39">QT8</f>
        <v>0</v>
      </c>
      <c r="QU9" s="193">
        <f t="shared" si="39"/>
        <v>1</v>
      </c>
      <c r="QV9" s="193">
        <f t="shared" si="39"/>
        <v>0</v>
      </c>
      <c r="QW9" s="193">
        <f t="shared" si="39"/>
        <v>0</v>
      </c>
      <c r="QX9" s="193">
        <f t="shared" si="39"/>
        <v>0</v>
      </c>
      <c r="QY9" s="193">
        <f t="shared" si="39"/>
        <v>0</v>
      </c>
      <c r="QZ9" s="193">
        <f t="shared" si="39"/>
        <v>1</v>
      </c>
      <c r="RA9" s="193">
        <f t="shared" si="39"/>
        <v>0</v>
      </c>
      <c r="RB9" s="193">
        <f>RB8</f>
        <v>1</v>
      </c>
      <c r="RC9" s="193">
        <f>RC8</f>
        <v>0</v>
      </c>
      <c r="RD9" s="193">
        <f t="shared" si="39"/>
        <v>1</v>
      </c>
      <c r="RE9" s="193">
        <f t="shared" si="39"/>
        <v>0</v>
      </c>
      <c r="RF9" s="193">
        <f t="shared" si="39"/>
        <v>1</v>
      </c>
      <c r="RG9" s="193">
        <f t="shared" si="39"/>
        <v>0</v>
      </c>
      <c r="RH9" s="193">
        <f t="shared" si="39"/>
        <v>0</v>
      </c>
      <c r="RI9" s="193">
        <f t="shared" si="39"/>
        <v>0</v>
      </c>
      <c r="RJ9" s="193">
        <f t="shared" si="39"/>
        <v>0</v>
      </c>
      <c r="RK9" s="193">
        <f t="shared" si="39"/>
        <v>1</v>
      </c>
      <c r="RL9" s="193">
        <f t="shared" si="39"/>
        <v>1</v>
      </c>
      <c r="RM9" s="193">
        <f t="shared" si="39"/>
        <v>0</v>
      </c>
      <c r="RN9" s="193">
        <f t="shared" si="39"/>
        <v>0</v>
      </c>
      <c r="RO9" s="193"/>
      <c r="RP9" s="193"/>
      <c r="RQ9" s="193"/>
      <c r="RR9" s="193"/>
      <c r="RS9" s="193"/>
      <c r="RT9" s="193"/>
      <c r="RU9" s="193">
        <f t="shared" si="39"/>
        <v>50</v>
      </c>
      <c r="RV9" s="193">
        <f t="shared" si="39"/>
        <v>0</v>
      </c>
      <c r="RW9" s="193">
        <f t="shared" si="39"/>
        <v>3</v>
      </c>
      <c r="RX9" s="193">
        <f t="shared" si="39"/>
        <v>0</v>
      </c>
      <c r="RY9" s="193">
        <f t="shared" si="39"/>
        <v>3</v>
      </c>
      <c r="RZ9" s="193">
        <f t="shared" si="39"/>
        <v>0</v>
      </c>
      <c r="SA9" s="193">
        <f t="shared" si="39"/>
        <v>0</v>
      </c>
      <c r="SB9" s="193">
        <f t="shared" si="39"/>
        <v>1</v>
      </c>
      <c r="SC9" s="193">
        <f t="shared" si="39"/>
        <v>0</v>
      </c>
      <c r="SD9" s="193">
        <f t="shared" si="39"/>
        <v>0</v>
      </c>
      <c r="SE9" s="193">
        <f t="shared" si="39"/>
        <v>0</v>
      </c>
      <c r="SF9" s="193">
        <f t="shared" si="39"/>
        <v>0</v>
      </c>
      <c r="SG9" s="193">
        <f t="shared" si="39"/>
        <v>0</v>
      </c>
      <c r="SH9" s="193">
        <f t="shared" si="39"/>
        <v>0</v>
      </c>
      <c r="SI9" s="193">
        <f t="shared" si="39"/>
        <v>0</v>
      </c>
      <c r="SJ9" s="193">
        <f t="shared" si="39"/>
        <v>0</v>
      </c>
      <c r="SK9" s="193">
        <f t="shared" si="39"/>
        <v>0</v>
      </c>
      <c r="SL9" s="193">
        <f t="shared" si="39"/>
        <v>0</v>
      </c>
      <c r="SM9" s="193">
        <f t="shared" si="39"/>
        <v>0</v>
      </c>
      <c r="SN9" s="193">
        <f t="shared" si="39"/>
        <v>0</v>
      </c>
      <c r="SO9" s="193">
        <f t="shared" si="39"/>
        <v>2</v>
      </c>
      <c r="SP9" s="193">
        <f t="shared" si="39"/>
        <v>2</v>
      </c>
      <c r="SQ9" s="193"/>
      <c r="SR9" s="193"/>
      <c r="SS9" s="195"/>
    </row>
    <row r="10" spans="1:513" s="171" customFormat="1" ht="24.75" customHeight="1">
      <c r="A10" s="168"/>
      <c r="B10" s="168"/>
      <c r="C10" s="168"/>
      <c r="D10" s="168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  <c r="AA10" s="168"/>
      <c r="AB10" s="168"/>
      <c r="AC10" s="168"/>
      <c r="AD10" s="168"/>
      <c r="AE10" s="168"/>
      <c r="AF10" s="168"/>
      <c r="AG10" s="168"/>
      <c r="AH10" s="168"/>
      <c r="AI10" s="168"/>
      <c r="AJ10" s="168"/>
      <c r="AK10" s="168"/>
      <c r="AL10" s="168"/>
      <c r="AM10" s="168"/>
      <c r="AN10" s="168"/>
      <c r="AO10" s="168"/>
      <c r="AP10" s="168"/>
      <c r="AQ10" s="168"/>
      <c r="AR10" s="168"/>
      <c r="AS10" s="168"/>
      <c r="AT10" s="168"/>
      <c r="AU10" s="168"/>
      <c r="AV10" s="168"/>
      <c r="AW10" s="168"/>
      <c r="AX10" s="168"/>
      <c r="AY10" s="168"/>
      <c r="AZ10" s="168"/>
      <c r="BA10" s="168"/>
      <c r="BB10" s="168"/>
      <c r="BC10" s="168"/>
      <c r="BD10" s="168"/>
      <c r="BE10" s="168"/>
      <c r="BF10" s="168"/>
      <c r="BG10" s="168"/>
      <c r="BH10" s="168"/>
      <c r="BI10" s="168"/>
      <c r="BJ10" s="168"/>
      <c r="BK10" s="168"/>
      <c r="BL10" s="168"/>
      <c r="BM10" s="168"/>
      <c r="BN10" s="168"/>
      <c r="BO10" s="168"/>
      <c r="BP10" s="168"/>
      <c r="BQ10" s="168"/>
      <c r="BR10" s="168"/>
      <c r="BS10" s="168"/>
      <c r="BT10" s="168"/>
      <c r="BU10" s="168"/>
      <c r="BV10" s="168"/>
      <c r="BW10" s="168"/>
      <c r="BX10" s="168"/>
      <c r="BY10" s="168"/>
      <c r="BZ10" s="168"/>
      <c r="CA10" s="168"/>
      <c r="CB10" s="168"/>
      <c r="CC10" s="168"/>
      <c r="CD10" s="168"/>
      <c r="CE10" s="168"/>
      <c r="CF10" s="168"/>
      <c r="CG10" s="168"/>
      <c r="CH10" s="168"/>
      <c r="CI10" s="168"/>
      <c r="CJ10" s="168"/>
      <c r="CK10" s="168"/>
      <c r="CL10" s="168"/>
      <c r="CM10" s="168"/>
      <c r="CN10" s="168"/>
      <c r="CO10" s="168"/>
      <c r="CP10" s="168"/>
      <c r="CQ10" s="168"/>
      <c r="CR10" s="168"/>
      <c r="CS10" s="168"/>
      <c r="CT10" s="168"/>
      <c r="CU10" s="168"/>
      <c r="CV10" s="168"/>
      <c r="CW10" s="168"/>
      <c r="CX10" s="168"/>
      <c r="CY10" s="168"/>
      <c r="CZ10" s="168"/>
      <c r="DA10" s="168"/>
      <c r="DB10" s="168"/>
      <c r="DC10" s="168"/>
      <c r="DD10" s="168"/>
      <c r="DE10" s="168"/>
      <c r="DF10" s="168"/>
      <c r="DG10" s="168"/>
      <c r="DH10" s="168"/>
      <c r="DI10" s="168"/>
      <c r="DJ10" s="168"/>
      <c r="DK10" s="168"/>
      <c r="DL10" s="168"/>
      <c r="DM10" s="168"/>
      <c r="DN10" s="168"/>
      <c r="DO10" s="168"/>
      <c r="DP10" s="168"/>
      <c r="DQ10" s="168"/>
      <c r="DR10" s="168"/>
      <c r="DS10" s="168"/>
      <c r="DT10" s="168"/>
      <c r="DU10" s="168"/>
      <c r="DV10" s="168"/>
      <c r="DW10" s="168"/>
      <c r="DX10" s="168"/>
      <c r="DY10" s="168"/>
      <c r="DZ10" s="168"/>
      <c r="EA10" s="168"/>
      <c r="EB10" s="168"/>
      <c r="EC10" s="168"/>
      <c r="ED10" s="168"/>
      <c r="EE10" s="168"/>
      <c r="EF10" s="168"/>
      <c r="EG10" s="168"/>
      <c r="EH10" s="168"/>
      <c r="EI10" s="168"/>
      <c r="EJ10" s="168"/>
      <c r="EK10" s="168"/>
      <c r="EL10" s="168"/>
      <c r="EM10" s="168"/>
      <c r="EN10" s="168"/>
      <c r="EO10" s="168"/>
      <c r="EP10" s="168"/>
      <c r="EQ10" s="168"/>
      <c r="ER10" s="168"/>
      <c r="ES10" s="168"/>
      <c r="ET10" s="168"/>
      <c r="EU10" s="168"/>
      <c r="EV10" s="168"/>
      <c r="EW10" s="168"/>
      <c r="EX10" s="168"/>
      <c r="EY10" s="168"/>
      <c r="EZ10" s="168"/>
      <c r="FA10" s="168"/>
      <c r="FB10" s="168"/>
      <c r="FC10" s="168"/>
      <c r="FD10" s="168"/>
      <c r="FE10" s="168"/>
      <c r="FF10" s="168"/>
      <c r="FG10" s="168"/>
      <c r="FH10" s="168"/>
      <c r="FI10" s="168"/>
      <c r="FJ10" s="168"/>
      <c r="FK10" s="168"/>
      <c r="FL10" s="168"/>
      <c r="FM10" s="168"/>
      <c r="FN10" s="168"/>
      <c r="FO10" s="168"/>
      <c r="FP10" s="168"/>
      <c r="FQ10" s="168"/>
      <c r="FR10" s="168"/>
      <c r="FS10" s="168"/>
      <c r="FT10" s="168"/>
      <c r="FU10" s="168"/>
      <c r="FV10" s="168"/>
      <c r="FW10" s="168"/>
      <c r="FX10" s="168"/>
      <c r="FY10" s="168"/>
      <c r="FZ10" s="168"/>
      <c r="GA10" s="168"/>
      <c r="GB10" s="168"/>
      <c r="GC10" s="168"/>
      <c r="GD10" s="168"/>
      <c r="GE10" s="168"/>
      <c r="GF10" s="168"/>
      <c r="GG10" s="168"/>
      <c r="GH10" s="168"/>
      <c r="GI10" s="168"/>
      <c r="GJ10" s="168"/>
      <c r="GK10" s="168"/>
      <c r="GL10" s="168"/>
      <c r="GM10" s="168"/>
      <c r="GN10" s="168"/>
      <c r="GO10" s="168"/>
      <c r="GP10" s="168"/>
      <c r="GQ10" s="168"/>
      <c r="GR10" s="168"/>
      <c r="GS10" s="168"/>
      <c r="GT10" s="168"/>
      <c r="GU10" s="168"/>
      <c r="GV10" s="168"/>
      <c r="GW10" s="168"/>
      <c r="GX10" s="168"/>
      <c r="GY10" s="168"/>
      <c r="GZ10" s="168"/>
      <c r="HA10" s="168"/>
      <c r="HB10" s="168"/>
      <c r="HC10" s="168"/>
      <c r="HD10" s="168"/>
      <c r="HE10" s="168"/>
      <c r="HF10" s="168"/>
      <c r="HG10" s="168"/>
      <c r="HH10" s="168"/>
      <c r="HI10" s="168"/>
      <c r="HJ10" s="168"/>
      <c r="HK10" s="168"/>
      <c r="HL10" s="168"/>
      <c r="HM10" s="168"/>
      <c r="HN10" s="168"/>
      <c r="HO10" s="168"/>
      <c r="HP10" s="168"/>
      <c r="HQ10" s="168"/>
      <c r="HR10" s="168"/>
      <c r="HS10" s="168"/>
      <c r="HT10" s="168"/>
      <c r="HU10" s="168"/>
      <c r="HV10" s="168"/>
      <c r="HW10" s="168"/>
      <c r="HX10" s="168"/>
      <c r="HY10" s="168"/>
      <c r="HZ10" s="168"/>
      <c r="IA10" s="168"/>
      <c r="IB10" s="168"/>
      <c r="IC10" s="168"/>
      <c r="ID10" s="168"/>
      <c r="IE10" s="168"/>
      <c r="IF10" s="168"/>
      <c r="IG10" s="168"/>
      <c r="IH10" s="168"/>
      <c r="II10" s="168"/>
      <c r="IJ10" s="168"/>
      <c r="IK10" s="168"/>
      <c r="IL10" s="168"/>
      <c r="IM10" s="168"/>
      <c r="IN10" s="168"/>
      <c r="IO10" s="168"/>
      <c r="IP10" s="168"/>
      <c r="IQ10" s="168"/>
      <c r="IR10" s="168"/>
      <c r="IS10" s="168"/>
      <c r="IT10" s="168"/>
      <c r="IU10" s="168"/>
      <c r="IV10" s="168"/>
      <c r="IW10" s="168"/>
      <c r="IX10" s="168"/>
      <c r="IY10" s="168"/>
      <c r="IZ10" s="168"/>
      <c r="JA10" s="168"/>
      <c r="JB10" s="168"/>
      <c r="JC10" s="168"/>
      <c r="JD10" s="168"/>
      <c r="JE10" s="168"/>
      <c r="JF10" s="168"/>
      <c r="JG10" s="168"/>
      <c r="JH10" s="168"/>
      <c r="JI10" s="168"/>
      <c r="JJ10" s="168"/>
      <c r="JK10" s="168"/>
      <c r="JL10" s="168"/>
      <c r="JM10" s="168"/>
      <c r="JN10" s="168"/>
      <c r="JO10" s="168"/>
      <c r="JP10" s="168"/>
      <c r="JQ10" s="168"/>
      <c r="JR10" s="168"/>
      <c r="JS10" s="168"/>
      <c r="JT10" s="168"/>
      <c r="JU10" s="168"/>
      <c r="JV10" s="168"/>
      <c r="JW10" s="168"/>
      <c r="JX10" s="168"/>
      <c r="JY10" s="168"/>
      <c r="JZ10" s="168"/>
      <c r="KA10" s="168"/>
      <c r="KB10" s="168"/>
      <c r="KC10" s="168"/>
      <c r="KD10" s="168"/>
      <c r="KE10" s="168"/>
      <c r="KF10" s="168"/>
      <c r="KG10" s="168"/>
      <c r="KH10" s="168"/>
      <c r="KI10" s="168"/>
      <c r="KJ10" s="168"/>
      <c r="KK10" s="168"/>
      <c r="KL10" s="168"/>
      <c r="KM10" s="168"/>
      <c r="KN10" s="168"/>
      <c r="KO10" s="168"/>
      <c r="KP10" s="168"/>
      <c r="KQ10" s="168"/>
      <c r="KR10" s="168"/>
      <c r="KS10" s="168"/>
      <c r="KT10" s="168"/>
      <c r="KU10" s="168"/>
      <c r="KV10" s="168"/>
      <c r="KW10" s="168"/>
      <c r="KX10" s="168"/>
      <c r="KY10" s="168"/>
      <c r="KZ10" s="168"/>
      <c r="LA10" s="168"/>
      <c r="LB10" s="168"/>
      <c r="LC10" s="168"/>
      <c r="LD10" s="168"/>
      <c r="LE10" s="168"/>
      <c r="LF10" s="168"/>
      <c r="LG10" s="168"/>
      <c r="LH10" s="168"/>
      <c r="LI10" s="168"/>
      <c r="LJ10" s="168"/>
      <c r="LK10" s="168"/>
      <c r="LL10" s="168"/>
      <c r="LM10" s="168"/>
      <c r="LN10" s="168"/>
      <c r="LO10" s="168"/>
      <c r="LP10" s="168"/>
      <c r="LQ10" s="168"/>
      <c r="LR10" s="168"/>
      <c r="LS10" s="168"/>
      <c r="LT10" s="168"/>
      <c r="LU10" s="168"/>
      <c r="LV10" s="168"/>
      <c r="LW10" s="168"/>
      <c r="LX10" s="168"/>
      <c r="LY10" s="168"/>
      <c r="LZ10" s="168"/>
      <c r="MA10" s="168"/>
      <c r="MB10" s="168"/>
      <c r="MC10" s="168"/>
      <c r="MD10" s="168"/>
      <c r="ME10" s="168"/>
      <c r="MF10" s="168"/>
      <c r="MG10" s="168"/>
      <c r="MH10" s="168"/>
      <c r="MI10" s="168"/>
      <c r="MJ10" s="168"/>
      <c r="MK10" s="168"/>
      <c r="ML10" s="168"/>
      <c r="MM10" s="168"/>
      <c r="MN10" s="168"/>
      <c r="MO10" s="168"/>
      <c r="MP10" s="168"/>
      <c r="MQ10" s="168"/>
      <c r="MR10" s="168"/>
      <c r="MS10" s="168"/>
      <c r="MT10" s="168"/>
      <c r="MU10" s="168"/>
      <c r="MV10" s="168"/>
      <c r="MW10" s="168"/>
      <c r="MX10" s="168"/>
      <c r="MY10" s="168"/>
      <c r="MZ10" s="168"/>
      <c r="NA10" s="168"/>
      <c r="NB10" s="168"/>
      <c r="NC10" s="168"/>
      <c r="ND10" s="168"/>
      <c r="NE10" s="168"/>
      <c r="NF10" s="168"/>
      <c r="NG10" s="168"/>
      <c r="NH10" s="168"/>
      <c r="NI10" s="168"/>
      <c r="NJ10" s="168"/>
      <c r="NK10" s="168"/>
      <c r="NL10" s="168"/>
      <c r="NM10" s="168"/>
      <c r="NN10" s="168"/>
      <c r="NO10" s="168"/>
      <c r="NP10" s="168"/>
      <c r="NQ10" s="168"/>
      <c r="NR10" s="168"/>
      <c r="NS10" s="168"/>
      <c r="NT10" s="168"/>
      <c r="NU10" s="168"/>
      <c r="NV10" s="168"/>
      <c r="NW10" s="168"/>
      <c r="NX10" s="168"/>
      <c r="NY10" s="168"/>
      <c r="NZ10" s="168"/>
      <c r="OA10" s="168"/>
      <c r="OB10" s="168"/>
      <c r="OC10" s="168"/>
      <c r="OD10" s="168"/>
      <c r="OE10" s="168"/>
      <c r="OF10" s="168"/>
      <c r="OG10" s="168"/>
      <c r="OH10" s="168"/>
      <c r="OI10" s="168"/>
      <c r="OJ10" s="168"/>
      <c r="OK10" s="168"/>
      <c r="OL10" s="168"/>
      <c r="OM10" s="168"/>
      <c r="ON10" s="168"/>
      <c r="OO10" s="168"/>
      <c r="OP10" s="168"/>
      <c r="OQ10" s="168"/>
      <c r="OR10" s="168"/>
      <c r="OS10" s="168"/>
      <c r="OT10" s="168"/>
      <c r="OU10" s="169"/>
      <c r="OV10" s="169"/>
      <c r="OW10" s="169"/>
      <c r="OX10" s="169"/>
      <c r="OY10" s="169"/>
      <c r="OZ10" s="169"/>
      <c r="PA10" s="169"/>
      <c r="PB10" s="169"/>
      <c r="PC10" s="169"/>
      <c r="PD10" s="169"/>
      <c r="PE10" s="169"/>
      <c r="PF10" s="169"/>
      <c r="PG10" s="169"/>
      <c r="PH10" s="169"/>
      <c r="PI10" s="169"/>
      <c r="PJ10" s="169"/>
      <c r="PK10" s="169"/>
      <c r="PL10" s="169"/>
      <c r="PM10" s="169"/>
      <c r="PN10" s="169"/>
      <c r="PO10" s="169"/>
      <c r="PP10" s="169"/>
      <c r="PQ10" s="169"/>
      <c r="PR10" s="169"/>
      <c r="PS10" s="169"/>
      <c r="PT10" s="169"/>
      <c r="PU10" s="169"/>
      <c r="PV10" s="169"/>
      <c r="PW10" s="169"/>
      <c r="PX10" s="169"/>
      <c r="PY10" s="169"/>
      <c r="PZ10" s="169"/>
      <c r="QA10" s="169"/>
      <c r="QB10" s="169"/>
      <c r="QC10" s="169"/>
      <c r="QD10" s="169"/>
      <c r="QE10" s="169"/>
      <c r="QF10" s="169"/>
      <c r="QG10" s="169"/>
      <c r="QH10" s="169"/>
      <c r="QI10" s="169"/>
      <c r="QJ10" s="169"/>
      <c r="QK10" s="169"/>
      <c r="QL10" s="169"/>
      <c r="QM10" s="169"/>
      <c r="QN10" s="169"/>
      <c r="QO10" s="169"/>
      <c r="QP10" s="169"/>
      <c r="QQ10" s="169"/>
      <c r="QR10" s="169"/>
      <c r="QS10" s="169"/>
      <c r="QT10" s="169"/>
      <c r="QU10" s="169"/>
      <c r="QV10" s="169"/>
      <c r="QW10" s="169"/>
      <c r="QX10" s="169"/>
      <c r="QY10" s="169"/>
      <c r="QZ10" s="169"/>
      <c r="RA10" s="169"/>
      <c r="RB10" s="169"/>
      <c r="RC10" s="169"/>
      <c r="RD10" s="169"/>
      <c r="RE10" s="169"/>
      <c r="RF10" s="169"/>
      <c r="RG10" s="169"/>
      <c r="RH10" s="169"/>
      <c r="RI10" s="169"/>
      <c r="RJ10" s="169"/>
      <c r="RK10" s="169"/>
      <c r="RL10" s="169"/>
      <c r="RM10" s="169"/>
      <c r="RN10" s="169"/>
      <c r="RO10" s="168"/>
      <c r="RP10" s="168"/>
      <c r="RQ10" s="168"/>
      <c r="RR10" s="168"/>
      <c r="RS10" s="168"/>
      <c r="RT10" s="168"/>
      <c r="RU10" s="170"/>
      <c r="RV10" s="170"/>
      <c r="RW10" s="170"/>
      <c r="RX10" s="170"/>
      <c r="RY10" s="170"/>
      <c r="RZ10" s="170"/>
      <c r="SA10" s="169"/>
      <c r="SB10" s="169"/>
      <c r="SC10" s="169"/>
      <c r="SD10" s="169"/>
      <c r="SE10" s="169"/>
      <c r="SF10" s="169"/>
      <c r="SG10" s="169"/>
      <c r="SH10" s="169"/>
      <c r="SI10" s="169"/>
      <c r="SJ10" s="169"/>
      <c r="SK10" s="169"/>
      <c r="SL10" s="169"/>
      <c r="SM10" s="169"/>
      <c r="SN10" s="169"/>
      <c r="SO10" s="169"/>
      <c r="SP10" s="169"/>
      <c r="SQ10" s="169"/>
      <c r="SR10" s="169"/>
      <c r="SS10" s="175"/>
    </row>
    <row r="11" spans="1:513" s="194" customFormat="1" ht="15" customHeight="1">
      <c r="A11" s="215" t="s">
        <v>192</v>
      </c>
      <c r="B11" s="216"/>
      <c r="C11" s="216"/>
      <c r="D11" s="216"/>
      <c r="E11" s="217"/>
      <c r="F11" s="193">
        <f>F10</f>
        <v>0</v>
      </c>
      <c r="G11" s="193">
        <f t="shared" ref="G11:BR12" si="40">G10</f>
        <v>0</v>
      </c>
      <c r="H11" s="193">
        <f t="shared" si="40"/>
        <v>0</v>
      </c>
      <c r="I11" s="193">
        <f t="shared" si="40"/>
        <v>0</v>
      </c>
      <c r="J11" s="193">
        <f t="shared" si="40"/>
        <v>0</v>
      </c>
      <c r="K11" s="193">
        <f t="shared" si="40"/>
        <v>0</v>
      </c>
      <c r="L11" s="193">
        <f t="shared" si="40"/>
        <v>0</v>
      </c>
      <c r="M11" s="193">
        <f t="shared" si="40"/>
        <v>0</v>
      </c>
      <c r="N11" s="193">
        <f t="shared" si="40"/>
        <v>0</v>
      </c>
      <c r="O11" s="193">
        <f t="shared" si="40"/>
        <v>0</v>
      </c>
      <c r="P11" s="193">
        <f t="shared" si="40"/>
        <v>0</v>
      </c>
      <c r="Q11" s="193">
        <f t="shared" si="40"/>
        <v>0</v>
      </c>
      <c r="R11" s="193">
        <f t="shared" si="40"/>
        <v>0</v>
      </c>
      <c r="S11" s="193">
        <f t="shared" si="40"/>
        <v>0</v>
      </c>
      <c r="T11" s="193">
        <f t="shared" si="40"/>
        <v>0</v>
      </c>
      <c r="U11" s="193">
        <f t="shared" si="40"/>
        <v>0</v>
      </c>
      <c r="V11" s="193">
        <f t="shared" si="40"/>
        <v>0</v>
      </c>
      <c r="W11" s="193">
        <f t="shared" si="40"/>
        <v>0</v>
      </c>
      <c r="X11" s="193">
        <f t="shared" si="40"/>
        <v>0</v>
      </c>
      <c r="Y11" s="193">
        <f t="shared" si="40"/>
        <v>0</v>
      </c>
      <c r="Z11" s="193">
        <f t="shared" si="40"/>
        <v>0</v>
      </c>
      <c r="AA11" s="193">
        <f t="shared" si="40"/>
        <v>0</v>
      </c>
      <c r="AB11" s="193">
        <f t="shared" si="40"/>
        <v>0</v>
      </c>
      <c r="AC11" s="193">
        <f t="shared" si="40"/>
        <v>0</v>
      </c>
      <c r="AD11" s="193">
        <f t="shared" si="40"/>
        <v>0</v>
      </c>
      <c r="AE11" s="193">
        <f t="shared" si="40"/>
        <v>0</v>
      </c>
      <c r="AF11" s="193">
        <f t="shared" si="40"/>
        <v>0</v>
      </c>
      <c r="AG11" s="193">
        <f t="shared" si="40"/>
        <v>0</v>
      </c>
      <c r="AH11" s="193">
        <f t="shared" si="40"/>
        <v>0</v>
      </c>
      <c r="AI11" s="193">
        <f t="shared" si="40"/>
        <v>0</v>
      </c>
      <c r="AJ11" s="193">
        <f t="shared" si="40"/>
        <v>0</v>
      </c>
      <c r="AK11" s="193">
        <f t="shared" si="40"/>
        <v>0</v>
      </c>
      <c r="AL11" s="193">
        <f t="shared" si="40"/>
        <v>0</v>
      </c>
      <c r="AM11" s="193">
        <f t="shared" si="40"/>
        <v>0</v>
      </c>
      <c r="AN11" s="193">
        <f t="shared" si="40"/>
        <v>0</v>
      </c>
      <c r="AO11" s="193">
        <f t="shared" si="40"/>
        <v>0</v>
      </c>
      <c r="AP11" s="193">
        <f t="shared" si="40"/>
        <v>0</v>
      </c>
      <c r="AQ11" s="193">
        <f t="shared" si="40"/>
        <v>0</v>
      </c>
      <c r="AR11" s="193">
        <f t="shared" si="40"/>
        <v>0</v>
      </c>
      <c r="AS11" s="193">
        <f t="shared" si="40"/>
        <v>0</v>
      </c>
      <c r="AT11" s="193">
        <f t="shared" si="40"/>
        <v>0</v>
      </c>
      <c r="AU11" s="193">
        <f t="shared" si="40"/>
        <v>0</v>
      </c>
      <c r="AV11" s="193">
        <f t="shared" si="40"/>
        <v>0</v>
      </c>
      <c r="AW11" s="193">
        <f t="shared" si="40"/>
        <v>0</v>
      </c>
      <c r="AX11" s="193">
        <f t="shared" si="40"/>
        <v>0</v>
      </c>
      <c r="AY11" s="193">
        <f t="shared" si="40"/>
        <v>0</v>
      </c>
      <c r="AZ11" s="193">
        <f t="shared" si="40"/>
        <v>0</v>
      </c>
      <c r="BA11" s="193">
        <f t="shared" si="40"/>
        <v>0</v>
      </c>
      <c r="BB11" s="193">
        <f t="shared" si="40"/>
        <v>0</v>
      </c>
      <c r="BC11" s="193">
        <f t="shared" si="40"/>
        <v>0</v>
      </c>
      <c r="BD11" s="193">
        <f t="shared" si="40"/>
        <v>0</v>
      </c>
      <c r="BE11" s="193">
        <f t="shared" si="40"/>
        <v>0</v>
      </c>
      <c r="BF11" s="193">
        <f t="shared" si="40"/>
        <v>0</v>
      </c>
      <c r="BG11" s="193">
        <f t="shared" si="40"/>
        <v>0</v>
      </c>
      <c r="BH11" s="193">
        <f t="shared" si="40"/>
        <v>0</v>
      </c>
      <c r="BI11" s="193">
        <f t="shared" si="40"/>
        <v>0</v>
      </c>
      <c r="BJ11" s="193">
        <f t="shared" si="40"/>
        <v>0</v>
      </c>
      <c r="BK11" s="193">
        <f t="shared" si="40"/>
        <v>0</v>
      </c>
      <c r="BL11" s="193">
        <f t="shared" si="40"/>
        <v>0</v>
      </c>
      <c r="BM11" s="193">
        <f t="shared" si="40"/>
        <v>0</v>
      </c>
      <c r="BN11" s="193">
        <f t="shared" si="40"/>
        <v>0</v>
      </c>
      <c r="BO11" s="193">
        <f t="shared" si="40"/>
        <v>0</v>
      </c>
      <c r="BP11" s="193">
        <f t="shared" si="40"/>
        <v>0</v>
      </c>
      <c r="BQ11" s="193">
        <f t="shared" si="40"/>
        <v>0</v>
      </c>
      <c r="BR11" s="193">
        <f t="shared" si="40"/>
        <v>0</v>
      </c>
      <c r="BS11" s="193">
        <f t="shared" ref="BS11:ED12" si="41">BS10</f>
        <v>0</v>
      </c>
      <c r="BT11" s="193">
        <f t="shared" si="41"/>
        <v>0</v>
      </c>
      <c r="BU11" s="193">
        <f t="shared" si="41"/>
        <v>0</v>
      </c>
      <c r="BV11" s="193">
        <f t="shared" si="41"/>
        <v>0</v>
      </c>
      <c r="BW11" s="193">
        <f t="shared" si="41"/>
        <v>0</v>
      </c>
      <c r="BX11" s="193">
        <f t="shared" si="41"/>
        <v>0</v>
      </c>
      <c r="BY11" s="193">
        <f t="shared" si="41"/>
        <v>0</v>
      </c>
      <c r="BZ11" s="193">
        <f t="shared" si="41"/>
        <v>0</v>
      </c>
      <c r="CA11" s="193">
        <f t="shared" si="41"/>
        <v>0</v>
      </c>
      <c r="CB11" s="193">
        <f t="shared" si="41"/>
        <v>0</v>
      </c>
      <c r="CC11" s="193">
        <f t="shared" si="41"/>
        <v>0</v>
      </c>
      <c r="CD11" s="193">
        <f t="shared" si="41"/>
        <v>0</v>
      </c>
      <c r="CE11" s="193">
        <f t="shared" si="41"/>
        <v>0</v>
      </c>
      <c r="CF11" s="193">
        <f t="shared" si="41"/>
        <v>0</v>
      </c>
      <c r="CG11" s="193">
        <f t="shared" si="41"/>
        <v>0</v>
      </c>
      <c r="CH11" s="193">
        <f t="shared" si="41"/>
        <v>0</v>
      </c>
      <c r="CI11" s="193">
        <f t="shared" si="41"/>
        <v>0</v>
      </c>
      <c r="CJ11" s="193">
        <f t="shared" si="41"/>
        <v>0</v>
      </c>
      <c r="CK11" s="193">
        <f t="shared" si="41"/>
        <v>0</v>
      </c>
      <c r="CL11" s="193">
        <f t="shared" si="41"/>
        <v>0</v>
      </c>
      <c r="CM11" s="193">
        <f t="shared" si="41"/>
        <v>0</v>
      </c>
      <c r="CN11" s="193">
        <f t="shared" si="41"/>
        <v>0</v>
      </c>
      <c r="CO11" s="193">
        <f t="shared" si="41"/>
        <v>0</v>
      </c>
      <c r="CP11" s="193">
        <f t="shared" si="41"/>
        <v>0</v>
      </c>
      <c r="CQ11" s="193">
        <f t="shared" si="41"/>
        <v>0</v>
      </c>
      <c r="CR11" s="193">
        <f t="shared" si="41"/>
        <v>0</v>
      </c>
      <c r="CS11" s="193">
        <f t="shared" si="41"/>
        <v>0</v>
      </c>
      <c r="CT11" s="193">
        <f t="shared" si="41"/>
        <v>0</v>
      </c>
      <c r="CU11" s="193">
        <f t="shared" si="41"/>
        <v>0</v>
      </c>
      <c r="CV11" s="193">
        <f t="shared" si="41"/>
        <v>0</v>
      </c>
      <c r="CW11" s="193">
        <f t="shared" si="41"/>
        <v>0</v>
      </c>
      <c r="CX11" s="193">
        <f t="shared" si="41"/>
        <v>0</v>
      </c>
      <c r="CY11" s="193">
        <f t="shared" si="41"/>
        <v>0</v>
      </c>
      <c r="CZ11" s="193">
        <f t="shared" si="41"/>
        <v>0</v>
      </c>
      <c r="DA11" s="193">
        <f t="shared" si="41"/>
        <v>0</v>
      </c>
      <c r="DB11" s="193">
        <f t="shared" si="41"/>
        <v>0</v>
      </c>
      <c r="DC11" s="193">
        <f t="shared" si="41"/>
        <v>0</v>
      </c>
      <c r="DD11" s="193">
        <f t="shared" si="41"/>
        <v>0</v>
      </c>
      <c r="DE11" s="193">
        <f t="shared" si="41"/>
        <v>0</v>
      </c>
      <c r="DF11" s="193">
        <f t="shared" si="41"/>
        <v>0</v>
      </c>
      <c r="DG11" s="193">
        <f t="shared" si="41"/>
        <v>0</v>
      </c>
      <c r="DH11" s="193">
        <f t="shared" si="41"/>
        <v>0</v>
      </c>
      <c r="DI11" s="193">
        <f t="shared" si="41"/>
        <v>0</v>
      </c>
      <c r="DJ11" s="193">
        <f t="shared" si="41"/>
        <v>0</v>
      </c>
      <c r="DK11" s="193">
        <f t="shared" si="41"/>
        <v>0</v>
      </c>
      <c r="DL11" s="193">
        <f t="shared" si="41"/>
        <v>0</v>
      </c>
      <c r="DM11" s="193">
        <f t="shared" si="41"/>
        <v>0</v>
      </c>
      <c r="DN11" s="193">
        <f t="shared" si="41"/>
        <v>0</v>
      </c>
      <c r="DO11" s="193">
        <f t="shared" si="41"/>
        <v>0</v>
      </c>
      <c r="DP11" s="193">
        <f t="shared" si="41"/>
        <v>0</v>
      </c>
      <c r="DQ11" s="193">
        <f t="shared" si="41"/>
        <v>0</v>
      </c>
      <c r="DR11" s="193">
        <f t="shared" si="41"/>
        <v>0</v>
      </c>
      <c r="DS11" s="193">
        <f t="shared" si="41"/>
        <v>0</v>
      </c>
      <c r="DT11" s="193">
        <f t="shared" si="41"/>
        <v>0</v>
      </c>
      <c r="DU11" s="193">
        <f t="shared" si="41"/>
        <v>0</v>
      </c>
      <c r="DV11" s="193">
        <f t="shared" si="41"/>
        <v>0</v>
      </c>
      <c r="DW11" s="193">
        <f t="shared" si="41"/>
        <v>0</v>
      </c>
      <c r="DX11" s="193">
        <f t="shared" si="41"/>
        <v>0</v>
      </c>
      <c r="DY11" s="193">
        <f t="shared" si="41"/>
        <v>0</v>
      </c>
      <c r="DZ11" s="193">
        <f t="shared" si="41"/>
        <v>0</v>
      </c>
      <c r="EA11" s="193">
        <f t="shared" si="41"/>
        <v>0</v>
      </c>
      <c r="EB11" s="193">
        <f t="shared" si="41"/>
        <v>0</v>
      </c>
      <c r="EC11" s="193">
        <f t="shared" si="41"/>
        <v>0</v>
      </c>
      <c r="ED11" s="193">
        <f t="shared" si="41"/>
        <v>0</v>
      </c>
      <c r="EE11" s="193">
        <f t="shared" ref="EE11:GR12" si="42">EE10</f>
        <v>0</v>
      </c>
      <c r="EF11" s="193">
        <f t="shared" si="42"/>
        <v>0</v>
      </c>
      <c r="EG11" s="193">
        <f t="shared" si="42"/>
        <v>0</v>
      </c>
      <c r="EH11" s="193">
        <f t="shared" si="42"/>
        <v>0</v>
      </c>
      <c r="EI11" s="193">
        <f t="shared" si="42"/>
        <v>0</v>
      </c>
      <c r="EJ11" s="193">
        <f t="shared" si="42"/>
        <v>0</v>
      </c>
      <c r="EK11" s="193">
        <f t="shared" si="42"/>
        <v>0</v>
      </c>
      <c r="EL11" s="193">
        <f t="shared" si="42"/>
        <v>0</v>
      </c>
      <c r="EM11" s="193">
        <f t="shared" si="42"/>
        <v>0</v>
      </c>
      <c r="EN11" s="193">
        <f t="shared" si="42"/>
        <v>0</v>
      </c>
      <c r="EO11" s="193">
        <f t="shared" si="42"/>
        <v>0</v>
      </c>
      <c r="EP11" s="193">
        <f t="shared" si="42"/>
        <v>0</v>
      </c>
      <c r="EQ11" s="193">
        <f t="shared" si="42"/>
        <v>0</v>
      </c>
      <c r="ER11" s="193">
        <f t="shared" si="42"/>
        <v>0</v>
      </c>
      <c r="ES11" s="193">
        <f t="shared" si="42"/>
        <v>0</v>
      </c>
      <c r="ET11" s="193">
        <f t="shared" si="42"/>
        <v>0</v>
      </c>
      <c r="EU11" s="193">
        <f t="shared" si="42"/>
        <v>0</v>
      </c>
      <c r="EV11" s="193">
        <f t="shared" si="42"/>
        <v>0</v>
      </c>
      <c r="EW11" s="193">
        <f t="shared" si="42"/>
        <v>0</v>
      </c>
      <c r="EX11" s="193">
        <f t="shared" si="42"/>
        <v>0</v>
      </c>
      <c r="EY11" s="115">
        <f t="shared" si="27"/>
        <v>0</v>
      </c>
      <c r="EZ11" s="115">
        <f t="shared" si="28"/>
        <v>0</v>
      </c>
      <c r="FA11" s="115">
        <f t="shared" si="29"/>
        <v>0</v>
      </c>
      <c r="FB11" s="193">
        <f t="shared" si="42"/>
        <v>0</v>
      </c>
      <c r="FC11" s="193">
        <f t="shared" si="42"/>
        <v>0</v>
      </c>
      <c r="FD11" s="193">
        <f t="shared" si="42"/>
        <v>0</v>
      </c>
      <c r="FE11" s="193">
        <f t="shared" si="42"/>
        <v>0</v>
      </c>
      <c r="FF11" s="193">
        <f t="shared" si="42"/>
        <v>0</v>
      </c>
      <c r="FG11" s="193">
        <f t="shared" si="42"/>
        <v>0</v>
      </c>
      <c r="FH11" s="193">
        <f t="shared" si="42"/>
        <v>0</v>
      </c>
      <c r="FI11" s="193">
        <f t="shared" si="42"/>
        <v>0</v>
      </c>
      <c r="FJ11" s="193">
        <f t="shared" si="42"/>
        <v>0</v>
      </c>
      <c r="FK11" s="193">
        <f t="shared" si="42"/>
        <v>0</v>
      </c>
      <c r="FL11" s="193">
        <f t="shared" si="42"/>
        <v>0</v>
      </c>
      <c r="FM11" s="193">
        <f t="shared" si="42"/>
        <v>0</v>
      </c>
      <c r="FN11" s="193">
        <f t="shared" si="42"/>
        <v>0</v>
      </c>
      <c r="FO11" s="193">
        <f t="shared" si="42"/>
        <v>0</v>
      </c>
      <c r="FP11" s="193">
        <f t="shared" si="42"/>
        <v>0</v>
      </c>
      <c r="FQ11" s="193">
        <f t="shared" si="42"/>
        <v>0</v>
      </c>
      <c r="FR11" s="193">
        <f t="shared" si="42"/>
        <v>0</v>
      </c>
      <c r="FS11" s="193">
        <f t="shared" si="42"/>
        <v>0</v>
      </c>
      <c r="FT11" s="193">
        <f t="shared" si="42"/>
        <v>0</v>
      </c>
      <c r="FU11" s="193">
        <f t="shared" si="42"/>
        <v>0</v>
      </c>
      <c r="FV11" s="193">
        <f t="shared" si="42"/>
        <v>0</v>
      </c>
      <c r="FW11" s="193">
        <f t="shared" si="42"/>
        <v>0</v>
      </c>
      <c r="FX11" s="193">
        <f t="shared" si="42"/>
        <v>0</v>
      </c>
      <c r="FY11" s="193">
        <f t="shared" si="42"/>
        <v>0</v>
      </c>
      <c r="FZ11" s="193">
        <f t="shared" si="42"/>
        <v>0</v>
      </c>
      <c r="GA11" s="193">
        <f t="shared" si="42"/>
        <v>0</v>
      </c>
      <c r="GB11" s="193">
        <f t="shared" si="42"/>
        <v>0</v>
      </c>
      <c r="GC11" s="193"/>
      <c r="GD11" s="193"/>
      <c r="GE11" s="193">
        <f t="shared" si="42"/>
        <v>0</v>
      </c>
      <c r="GF11" s="193">
        <f t="shared" si="42"/>
        <v>0</v>
      </c>
      <c r="GG11" s="193">
        <f t="shared" si="42"/>
        <v>0</v>
      </c>
      <c r="GH11" s="193">
        <f t="shared" si="42"/>
        <v>0</v>
      </c>
      <c r="GI11" s="193">
        <f t="shared" si="42"/>
        <v>0</v>
      </c>
      <c r="GJ11" s="193">
        <f t="shared" si="42"/>
        <v>0</v>
      </c>
      <c r="GK11" s="193">
        <f t="shared" si="42"/>
        <v>0</v>
      </c>
      <c r="GL11" s="193">
        <f t="shared" si="42"/>
        <v>0</v>
      </c>
      <c r="GM11" s="193">
        <f t="shared" si="42"/>
        <v>0</v>
      </c>
      <c r="GN11" s="193">
        <f t="shared" si="42"/>
        <v>0</v>
      </c>
      <c r="GO11" s="193">
        <f t="shared" si="42"/>
        <v>0</v>
      </c>
      <c r="GP11" s="193">
        <f t="shared" si="42"/>
        <v>0</v>
      </c>
      <c r="GQ11" s="193">
        <f t="shared" si="42"/>
        <v>0</v>
      </c>
      <c r="GR11" s="193">
        <f t="shared" si="42"/>
        <v>0</v>
      </c>
      <c r="GS11" s="193">
        <f t="shared" ref="GS11:JD12" si="43">GS10</f>
        <v>0</v>
      </c>
      <c r="GT11" s="193">
        <f t="shared" si="43"/>
        <v>0</v>
      </c>
      <c r="GU11" s="193">
        <f t="shared" si="43"/>
        <v>0</v>
      </c>
      <c r="GV11" s="193">
        <f t="shared" si="43"/>
        <v>0</v>
      </c>
      <c r="GW11" s="193">
        <f t="shared" si="43"/>
        <v>0</v>
      </c>
      <c r="GX11" s="193">
        <f t="shared" si="43"/>
        <v>0</v>
      </c>
      <c r="GY11" s="193">
        <f t="shared" si="43"/>
        <v>0</v>
      </c>
      <c r="GZ11" s="193">
        <f t="shared" si="43"/>
        <v>0</v>
      </c>
      <c r="HA11" s="193">
        <f t="shared" si="43"/>
        <v>0</v>
      </c>
      <c r="HB11" s="193">
        <f t="shared" si="43"/>
        <v>0</v>
      </c>
      <c r="HC11" s="193">
        <f t="shared" si="43"/>
        <v>0</v>
      </c>
      <c r="HD11" s="193">
        <f t="shared" si="43"/>
        <v>0</v>
      </c>
      <c r="HE11" s="193">
        <f t="shared" si="43"/>
        <v>0</v>
      </c>
      <c r="HF11" s="193">
        <f t="shared" si="43"/>
        <v>0</v>
      </c>
      <c r="HG11" s="193">
        <f t="shared" si="43"/>
        <v>0</v>
      </c>
      <c r="HH11" s="193">
        <f t="shared" si="43"/>
        <v>0</v>
      </c>
      <c r="HI11" s="193">
        <f t="shared" si="43"/>
        <v>0</v>
      </c>
      <c r="HJ11" s="193">
        <f t="shared" si="43"/>
        <v>0</v>
      </c>
      <c r="HK11" s="193">
        <f t="shared" si="43"/>
        <v>0</v>
      </c>
      <c r="HL11" s="193">
        <f t="shared" si="43"/>
        <v>0</v>
      </c>
      <c r="HM11" s="193">
        <f t="shared" si="43"/>
        <v>0</v>
      </c>
      <c r="HN11" s="193">
        <f t="shared" si="43"/>
        <v>0</v>
      </c>
      <c r="HO11" s="193">
        <f t="shared" si="43"/>
        <v>0</v>
      </c>
      <c r="HP11" s="193">
        <f t="shared" si="43"/>
        <v>0</v>
      </c>
      <c r="HQ11" s="193">
        <f t="shared" si="43"/>
        <v>0</v>
      </c>
      <c r="HR11" s="193">
        <f t="shared" si="43"/>
        <v>0</v>
      </c>
      <c r="HS11" s="193">
        <f t="shared" si="43"/>
        <v>0</v>
      </c>
      <c r="HT11" s="193">
        <f t="shared" si="43"/>
        <v>0</v>
      </c>
      <c r="HU11" s="193">
        <f t="shared" si="43"/>
        <v>0</v>
      </c>
      <c r="HV11" s="193">
        <f t="shared" si="43"/>
        <v>0</v>
      </c>
      <c r="HW11" s="193">
        <f t="shared" si="43"/>
        <v>0</v>
      </c>
      <c r="HX11" s="193">
        <f t="shared" si="43"/>
        <v>0</v>
      </c>
      <c r="HY11" s="193">
        <f t="shared" si="43"/>
        <v>0</v>
      </c>
      <c r="HZ11" s="193">
        <f t="shared" si="43"/>
        <v>0</v>
      </c>
      <c r="IA11" s="193">
        <f t="shared" si="43"/>
        <v>0</v>
      </c>
      <c r="IB11" s="193">
        <f t="shared" si="43"/>
        <v>0</v>
      </c>
      <c r="IC11" s="193">
        <f t="shared" si="43"/>
        <v>0</v>
      </c>
      <c r="ID11" s="193">
        <f t="shared" si="43"/>
        <v>0</v>
      </c>
      <c r="IE11" s="193">
        <f t="shared" si="43"/>
        <v>0</v>
      </c>
      <c r="IF11" s="193">
        <f t="shared" si="43"/>
        <v>0</v>
      </c>
      <c r="IG11" s="193">
        <f t="shared" si="43"/>
        <v>0</v>
      </c>
      <c r="IH11" s="193">
        <f t="shared" si="43"/>
        <v>0</v>
      </c>
      <c r="II11" s="193">
        <f t="shared" si="43"/>
        <v>0</v>
      </c>
      <c r="IJ11" s="193">
        <f t="shared" si="43"/>
        <v>0</v>
      </c>
      <c r="IK11" s="193">
        <f t="shared" si="43"/>
        <v>0</v>
      </c>
      <c r="IL11" s="193">
        <f t="shared" si="43"/>
        <v>0</v>
      </c>
      <c r="IM11" s="193">
        <f t="shared" si="43"/>
        <v>0</v>
      </c>
      <c r="IN11" s="193">
        <f t="shared" si="43"/>
        <v>0</v>
      </c>
      <c r="IO11" s="193">
        <f t="shared" si="43"/>
        <v>0</v>
      </c>
      <c r="IP11" s="193">
        <f t="shared" si="43"/>
        <v>0</v>
      </c>
      <c r="IQ11" s="193">
        <f t="shared" si="43"/>
        <v>0</v>
      </c>
      <c r="IR11" s="193">
        <f t="shared" si="43"/>
        <v>0</v>
      </c>
      <c r="IS11" s="193">
        <f t="shared" si="43"/>
        <v>0</v>
      </c>
      <c r="IT11" s="193">
        <f t="shared" si="43"/>
        <v>0</v>
      </c>
      <c r="IU11" s="193">
        <f t="shared" si="43"/>
        <v>0</v>
      </c>
      <c r="IV11" s="193">
        <f t="shared" si="43"/>
        <v>0</v>
      </c>
      <c r="IW11" s="193">
        <f t="shared" si="43"/>
        <v>0</v>
      </c>
      <c r="IX11" s="193">
        <f t="shared" si="43"/>
        <v>0</v>
      </c>
      <c r="IY11" s="193">
        <f t="shared" si="43"/>
        <v>0</v>
      </c>
      <c r="IZ11" s="193">
        <f t="shared" si="43"/>
        <v>0</v>
      </c>
      <c r="JA11" s="193">
        <f t="shared" si="43"/>
        <v>0</v>
      </c>
      <c r="JB11" s="193">
        <f t="shared" si="43"/>
        <v>0</v>
      </c>
      <c r="JC11" s="193">
        <f t="shared" si="43"/>
        <v>0</v>
      </c>
      <c r="JD11" s="193">
        <f t="shared" si="43"/>
        <v>0</v>
      </c>
      <c r="JE11" s="193">
        <f t="shared" ref="JE11:LN12" si="44">JE10</f>
        <v>0</v>
      </c>
      <c r="JF11" s="193">
        <f t="shared" si="44"/>
        <v>0</v>
      </c>
      <c r="JG11" s="193">
        <f t="shared" si="44"/>
        <v>0</v>
      </c>
      <c r="JH11" s="193">
        <f t="shared" si="44"/>
        <v>0</v>
      </c>
      <c r="JI11" s="193">
        <f t="shared" si="44"/>
        <v>0</v>
      </c>
      <c r="JJ11" s="193">
        <f t="shared" si="44"/>
        <v>0</v>
      </c>
      <c r="JK11" s="193">
        <f t="shared" si="44"/>
        <v>0</v>
      </c>
      <c r="JL11" s="193">
        <f t="shared" si="44"/>
        <v>0</v>
      </c>
      <c r="JM11" s="193">
        <f t="shared" si="44"/>
        <v>0</v>
      </c>
      <c r="JN11" s="193">
        <f t="shared" si="44"/>
        <v>0</v>
      </c>
      <c r="JO11" s="193">
        <f t="shared" si="44"/>
        <v>0</v>
      </c>
      <c r="JP11" s="193">
        <f t="shared" si="44"/>
        <v>0</v>
      </c>
      <c r="JQ11" s="193">
        <f t="shared" si="44"/>
        <v>0</v>
      </c>
      <c r="JR11" s="193">
        <f t="shared" si="44"/>
        <v>0</v>
      </c>
      <c r="JS11" s="193">
        <f t="shared" si="44"/>
        <v>0</v>
      </c>
      <c r="JT11" s="193">
        <f t="shared" si="44"/>
        <v>0</v>
      </c>
      <c r="JU11" s="193">
        <f t="shared" si="44"/>
        <v>0</v>
      </c>
      <c r="JV11" s="193">
        <f t="shared" si="44"/>
        <v>0</v>
      </c>
      <c r="JW11" s="193">
        <f t="shared" si="44"/>
        <v>0</v>
      </c>
      <c r="JX11" s="193">
        <f t="shared" si="44"/>
        <v>0</v>
      </c>
      <c r="JY11" s="193">
        <f t="shared" si="44"/>
        <v>0</v>
      </c>
      <c r="JZ11" s="193">
        <f t="shared" si="44"/>
        <v>0</v>
      </c>
      <c r="KA11" s="193">
        <f t="shared" si="44"/>
        <v>0</v>
      </c>
      <c r="KB11" s="193">
        <f t="shared" si="44"/>
        <v>0</v>
      </c>
      <c r="KC11" s="193">
        <f t="shared" si="44"/>
        <v>0</v>
      </c>
      <c r="KD11" s="193">
        <f t="shared" si="44"/>
        <v>0</v>
      </c>
      <c r="KE11" s="193">
        <f t="shared" si="44"/>
        <v>0</v>
      </c>
      <c r="KF11" s="193">
        <f t="shared" si="44"/>
        <v>0</v>
      </c>
      <c r="KG11" s="193">
        <f t="shared" si="44"/>
        <v>0</v>
      </c>
      <c r="KH11" s="193">
        <f t="shared" si="44"/>
        <v>0</v>
      </c>
      <c r="KI11" s="193">
        <f t="shared" si="44"/>
        <v>0</v>
      </c>
      <c r="KJ11" s="193">
        <f t="shared" si="44"/>
        <v>0</v>
      </c>
      <c r="KK11" s="193">
        <f t="shared" si="44"/>
        <v>0</v>
      </c>
      <c r="KL11" s="193">
        <f t="shared" si="44"/>
        <v>0</v>
      </c>
      <c r="KM11" s="193">
        <f t="shared" si="44"/>
        <v>0</v>
      </c>
      <c r="KN11" s="193">
        <f t="shared" si="44"/>
        <v>0</v>
      </c>
      <c r="KO11" s="193">
        <f t="shared" si="44"/>
        <v>0</v>
      </c>
      <c r="KP11" s="193">
        <f t="shared" si="44"/>
        <v>0</v>
      </c>
      <c r="KQ11" s="193">
        <f t="shared" si="44"/>
        <v>0</v>
      </c>
      <c r="KR11" s="193">
        <f t="shared" si="44"/>
        <v>0</v>
      </c>
      <c r="KS11" s="193">
        <f t="shared" si="44"/>
        <v>0</v>
      </c>
      <c r="KT11" s="193">
        <f t="shared" si="44"/>
        <v>0</v>
      </c>
      <c r="KU11" s="193">
        <f t="shared" si="44"/>
        <v>0</v>
      </c>
      <c r="KV11" s="193">
        <f t="shared" si="44"/>
        <v>0</v>
      </c>
      <c r="KW11" s="193">
        <f t="shared" si="44"/>
        <v>0</v>
      </c>
      <c r="KX11" s="193">
        <f t="shared" ref="KX11:KZ11" si="45">KX10</f>
        <v>0</v>
      </c>
      <c r="KY11" s="193">
        <f t="shared" si="45"/>
        <v>0</v>
      </c>
      <c r="KZ11" s="193">
        <f t="shared" si="45"/>
        <v>0</v>
      </c>
      <c r="LA11" s="193">
        <f t="shared" si="44"/>
        <v>0</v>
      </c>
      <c r="LB11" s="193">
        <f t="shared" si="44"/>
        <v>0</v>
      </c>
      <c r="LC11" s="193">
        <f t="shared" si="44"/>
        <v>0</v>
      </c>
      <c r="LD11" s="193">
        <f t="shared" si="44"/>
        <v>0</v>
      </c>
      <c r="LE11" s="193">
        <f t="shared" si="44"/>
        <v>0</v>
      </c>
      <c r="LF11" s="193">
        <f t="shared" si="44"/>
        <v>0</v>
      </c>
      <c r="LG11" s="193">
        <f t="shared" si="44"/>
        <v>0</v>
      </c>
      <c r="LH11" s="193">
        <f t="shared" si="44"/>
        <v>0</v>
      </c>
      <c r="LI11" s="193">
        <f t="shared" si="44"/>
        <v>0</v>
      </c>
      <c r="LJ11" s="193">
        <f t="shared" si="44"/>
        <v>0</v>
      </c>
      <c r="LK11" s="193">
        <f t="shared" si="44"/>
        <v>0</v>
      </c>
      <c r="LL11" s="193">
        <f t="shared" si="44"/>
        <v>0</v>
      </c>
      <c r="LM11" s="193">
        <f t="shared" si="44"/>
        <v>0</v>
      </c>
      <c r="LN11" s="193">
        <f t="shared" si="44"/>
        <v>0</v>
      </c>
      <c r="LO11" s="193">
        <f t="shared" ref="LO11:LP11" si="46">LO10</f>
        <v>0</v>
      </c>
      <c r="LP11" s="193">
        <f t="shared" si="46"/>
        <v>0</v>
      </c>
      <c r="LQ11" s="168">
        <f t="shared" si="33"/>
        <v>0</v>
      </c>
      <c r="LR11" s="168">
        <f t="shared" si="34"/>
        <v>0</v>
      </c>
      <c r="LS11" s="193">
        <f t="shared" ref="LS11:OA12" si="47">LS10</f>
        <v>0</v>
      </c>
      <c r="LT11" s="193">
        <f t="shared" si="47"/>
        <v>0</v>
      </c>
      <c r="LU11" s="193">
        <f t="shared" si="47"/>
        <v>0</v>
      </c>
      <c r="LV11" s="193">
        <f t="shared" si="47"/>
        <v>0</v>
      </c>
      <c r="LW11" s="193">
        <f t="shared" si="47"/>
        <v>0</v>
      </c>
      <c r="LX11" s="193">
        <f t="shared" si="47"/>
        <v>0</v>
      </c>
      <c r="LY11" s="193">
        <f t="shared" ref="LY11:MB11" si="48">LY10</f>
        <v>0</v>
      </c>
      <c r="LZ11" s="193">
        <f t="shared" si="48"/>
        <v>0</v>
      </c>
      <c r="MA11" s="193">
        <f t="shared" si="48"/>
        <v>0</v>
      </c>
      <c r="MB11" s="193">
        <f t="shared" si="48"/>
        <v>0</v>
      </c>
      <c r="MC11" s="193">
        <f t="shared" si="47"/>
        <v>0</v>
      </c>
      <c r="MD11" s="193">
        <f t="shared" si="47"/>
        <v>0</v>
      </c>
      <c r="ME11" s="193">
        <f t="shared" si="47"/>
        <v>0</v>
      </c>
      <c r="MF11" s="193">
        <f t="shared" si="47"/>
        <v>0</v>
      </c>
      <c r="MG11" s="193">
        <f t="shared" si="47"/>
        <v>0</v>
      </c>
      <c r="MH11" s="193">
        <f t="shared" si="47"/>
        <v>0</v>
      </c>
      <c r="MI11" s="193">
        <f t="shared" si="47"/>
        <v>0</v>
      </c>
      <c r="MJ11" s="193">
        <f t="shared" si="47"/>
        <v>0</v>
      </c>
      <c r="MK11" s="193">
        <f t="shared" si="47"/>
        <v>0</v>
      </c>
      <c r="ML11" s="193">
        <f t="shared" si="47"/>
        <v>0</v>
      </c>
      <c r="MM11" s="193">
        <f t="shared" si="47"/>
        <v>0</v>
      </c>
      <c r="MN11" s="193">
        <f t="shared" si="47"/>
        <v>0</v>
      </c>
      <c r="MO11" s="193">
        <f t="shared" si="47"/>
        <v>0</v>
      </c>
      <c r="MP11" s="193">
        <f t="shared" si="47"/>
        <v>0</v>
      </c>
      <c r="MQ11" s="193">
        <f t="shared" si="47"/>
        <v>0</v>
      </c>
      <c r="MR11" s="193">
        <f t="shared" si="47"/>
        <v>0</v>
      </c>
      <c r="MS11" s="193">
        <f t="shared" si="47"/>
        <v>0</v>
      </c>
      <c r="MT11" s="193">
        <f t="shared" si="47"/>
        <v>0</v>
      </c>
      <c r="MU11" s="193">
        <f t="shared" si="47"/>
        <v>0</v>
      </c>
      <c r="MV11" s="193">
        <f t="shared" si="47"/>
        <v>0</v>
      </c>
      <c r="MW11" s="193">
        <f t="shared" si="47"/>
        <v>0</v>
      </c>
      <c r="MX11" s="193">
        <f t="shared" si="47"/>
        <v>0</v>
      </c>
      <c r="MY11" s="193">
        <f t="shared" si="47"/>
        <v>0</v>
      </c>
      <c r="MZ11" s="193">
        <f t="shared" si="47"/>
        <v>0</v>
      </c>
      <c r="NA11" s="193">
        <f t="shared" si="47"/>
        <v>0</v>
      </c>
      <c r="NB11" s="193">
        <f t="shared" si="47"/>
        <v>0</v>
      </c>
      <c r="NC11" s="193">
        <f t="shared" si="47"/>
        <v>0</v>
      </c>
      <c r="ND11" s="193">
        <f t="shared" si="47"/>
        <v>0</v>
      </c>
      <c r="NE11" s="193">
        <f t="shared" si="47"/>
        <v>0</v>
      </c>
      <c r="NF11" s="193">
        <f t="shared" si="47"/>
        <v>0</v>
      </c>
      <c r="NG11" s="193">
        <f t="shared" si="47"/>
        <v>0</v>
      </c>
      <c r="NH11" s="193">
        <f t="shared" si="47"/>
        <v>0</v>
      </c>
      <c r="NI11" s="193">
        <f t="shared" si="47"/>
        <v>0</v>
      </c>
      <c r="NJ11" s="193">
        <f t="shared" si="47"/>
        <v>0</v>
      </c>
      <c r="NK11" s="193">
        <f t="shared" si="47"/>
        <v>0</v>
      </c>
      <c r="NL11" s="193">
        <f t="shared" si="47"/>
        <v>0</v>
      </c>
      <c r="NM11" s="193">
        <f t="shared" si="47"/>
        <v>0</v>
      </c>
      <c r="NN11" s="193">
        <f t="shared" si="47"/>
        <v>0</v>
      </c>
      <c r="NO11" s="193">
        <f t="shared" si="47"/>
        <v>0</v>
      </c>
      <c r="NP11" s="193">
        <f t="shared" si="47"/>
        <v>0</v>
      </c>
      <c r="NQ11" s="193">
        <f t="shared" si="47"/>
        <v>0</v>
      </c>
      <c r="NR11" s="193">
        <f t="shared" si="47"/>
        <v>0</v>
      </c>
      <c r="NS11" s="193">
        <f t="shared" si="47"/>
        <v>0</v>
      </c>
      <c r="NT11" s="193">
        <f t="shared" si="47"/>
        <v>0</v>
      </c>
      <c r="NU11" s="193">
        <f t="shared" si="47"/>
        <v>0</v>
      </c>
      <c r="NV11" s="193">
        <f t="shared" si="47"/>
        <v>0</v>
      </c>
      <c r="NW11" s="193">
        <f t="shared" si="47"/>
        <v>0</v>
      </c>
      <c r="NX11" s="193">
        <f t="shared" si="47"/>
        <v>0</v>
      </c>
      <c r="NY11" s="193">
        <f t="shared" si="47"/>
        <v>0</v>
      </c>
      <c r="NZ11" s="193">
        <f t="shared" si="47"/>
        <v>0</v>
      </c>
      <c r="OA11" s="193">
        <f t="shared" si="47"/>
        <v>0</v>
      </c>
      <c r="OB11" s="193">
        <f t="shared" ref="OB11:QS12" si="49">OB10</f>
        <v>0</v>
      </c>
      <c r="OC11" s="193">
        <f t="shared" si="49"/>
        <v>0</v>
      </c>
      <c r="OD11" s="193">
        <f t="shared" si="49"/>
        <v>0</v>
      </c>
      <c r="OE11" s="193">
        <f t="shared" si="49"/>
        <v>0</v>
      </c>
      <c r="OF11" s="193">
        <f t="shared" si="49"/>
        <v>0</v>
      </c>
      <c r="OG11" s="193">
        <f t="shared" si="49"/>
        <v>0</v>
      </c>
      <c r="OH11" s="193">
        <f t="shared" si="49"/>
        <v>0</v>
      </c>
      <c r="OI11" s="193">
        <f t="shared" ref="OI11:OT12" si="50">OI10</f>
        <v>0</v>
      </c>
      <c r="OJ11" s="193">
        <f t="shared" si="50"/>
        <v>0</v>
      </c>
      <c r="OK11" s="193">
        <f t="shared" si="50"/>
        <v>0</v>
      </c>
      <c r="OL11" s="193">
        <f t="shared" si="50"/>
        <v>0</v>
      </c>
      <c r="OM11" s="193">
        <f t="shared" si="50"/>
        <v>0</v>
      </c>
      <c r="ON11" s="193">
        <f t="shared" si="50"/>
        <v>0</v>
      </c>
      <c r="OO11" s="193">
        <f t="shared" si="50"/>
        <v>0</v>
      </c>
      <c r="OP11" s="193">
        <f t="shared" si="50"/>
        <v>0</v>
      </c>
      <c r="OQ11" s="193">
        <f t="shared" si="50"/>
        <v>0</v>
      </c>
      <c r="OR11" s="193">
        <f t="shared" si="50"/>
        <v>0</v>
      </c>
      <c r="OS11" s="193">
        <f t="shared" si="50"/>
        <v>0</v>
      </c>
      <c r="OT11" s="193">
        <f t="shared" si="50"/>
        <v>0</v>
      </c>
      <c r="OU11" s="193">
        <f t="shared" si="49"/>
        <v>0</v>
      </c>
      <c r="OV11" s="193">
        <f t="shared" si="49"/>
        <v>0</v>
      </c>
      <c r="OW11" s="193"/>
      <c r="OX11" s="193"/>
      <c r="OY11" s="193"/>
      <c r="OZ11" s="193">
        <f t="shared" si="49"/>
        <v>0</v>
      </c>
      <c r="PA11" s="193">
        <f t="shared" si="49"/>
        <v>0</v>
      </c>
      <c r="PB11" s="193">
        <f t="shared" si="49"/>
        <v>0</v>
      </c>
      <c r="PC11" s="193">
        <f t="shared" si="49"/>
        <v>0</v>
      </c>
      <c r="PD11" s="193">
        <f t="shared" si="49"/>
        <v>0</v>
      </c>
      <c r="PE11" s="193">
        <f t="shared" si="49"/>
        <v>0</v>
      </c>
      <c r="PF11" s="193">
        <f t="shared" si="49"/>
        <v>0</v>
      </c>
      <c r="PG11" s="193">
        <f t="shared" si="49"/>
        <v>0</v>
      </c>
      <c r="PH11" s="193">
        <f t="shared" si="49"/>
        <v>0</v>
      </c>
      <c r="PI11" s="193">
        <f t="shared" si="49"/>
        <v>0</v>
      </c>
      <c r="PJ11" s="193">
        <f t="shared" si="49"/>
        <v>0</v>
      </c>
      <c r="PK11" s="193">
        <f t="shared" si="49"/>
        <v>0</v>
      </c>
      <c r="PL11" s="193">
        <f t="shared" si="49"/>
        <v>0</v>
      </c>
      <c r="PM11" s="193">
        <f t="shared" si="49"/>
        <v>0</v>
      </c>
      <c r="PN11" s="193">
        <f t="shared" si="49"/>
        <v>0</v>
      </c>
      <c r="PO11" s="193">
        <f t="shared" si="49"/>
        <v>0</v>
      </c>
      <c r="PP11" s="193">
        <f t="shared" si="49"/>
        <v>0</v>
      </c>
      <c r="PQ11" s="193">
        <f t="shared" si="49"/>
        <v>0</v>
      </c>
      <c r="PR11" s="193">
        <f t="shared" si="49"/>
        <v>0</v>
      </c>
      <c r="PS11" s="193">
        <f t="shared" si="49"/>
        <v>0</v>
      </c>
      <c r="PT11" s="193">
        <f t="shared" si="49"/>
        <v>0</v>
      </c>
      <c r="PU11" s="193">
        <f t="shared" si="49"/>
        <v>0</v>
      </c>
      <c r="PV11" s="193">
        <f t="shared" ref="PV11:QH12" si="51">PV10</f>
        <v>0</v>
      </c>
      <c r="PW11" s="193">
        <f t="shared" si="51"/>
        <v>0</v>
      </c>
      <c r="PX11" s="193">
        <f t="shared" si="51"/>
        <v>0</v>
      </c>
      <c r="PY11" s="193">
        <f t="shared" si="51"/>
        <v>0</v>
      </c>
      <c r="PZ11" s="193">
        <f t="shared" si="51"/>
        <v>0</v>
      </c>
      <c r="QA11" s="193">
        <f t="shared" si="51"/>
        <v>0</v>
      </c>
      <c r="QB11" s="193">
        <f t="shared" si="51"/>
        <v>0</v>
      </c>
      <c r="QC11" s="193">
        <f t="shared" si="51"/>
        <v>0</v>
      </c>
      <c r="QD11" s="193">
        <f t="shared" si="51"/>
        <v>0</v>
      </c>
      <c r="QE11" s="193">
        <f t="shared" si="51"/>
        <v>0</v>
      </c>
      <c r="QF11" s="193">
        <f t="shared" si="51"/>
        <v>0</v>
      </c>
      <c r="QG11" s="193">
        <f t="shared" si="51"/>
        <v>0</v>
      </c>
      <c r="QH11" s="193">
        <f t="shared" si="51"/>
        <v>0</v>
      </c>
      <c r="QI11" s="193">
        <f t="shared" si="49"/>
        <v>0</v>
      </c>
      <c r="QJ11" s="193">
        <f t="shared" si="49"/>
        <v>0</v>
      </c>
      <c r="QK11" s="193">
        <f t="shared" si="49"/>
        <v>0</v>
      </c>
      <c r="QL11" s="193">
        <f t="shared" si="49"/>
        <v>0</v>
      </c>
      <c r="QM11" s="193">
        <f t="shared" si="49"/>
        <v>0</v>
      </c>
      <c r="QN11" s="193">
        <f t="shared" si="49"/>
        <v>0</v>
      </c>
      <c r="QO11" s="193">
        <f t="shared" si="49"/>
        <v>0</v>
      </c>
      <c r="QP11" s="193">
        <f t="shared" si="49"/>
        <v>0</v>
      </c>
      <c r="QQ11" s="193">
        <f t="shared" si="49"/>
        <v>0</v>
      </c>
      <c r="QR11" s="193">
        <f t="shared" si="49"/>
        <v>0</v>
      </c>
      <c r="QS11" s="193">
        <f t="shared" si="49"/>
        <v>0</v>
      </c>
      <c r="QT11" s="193">
        <f t="shared" ref="QT11:SP12" si="52">QT10</f>
        <v>0</v>
      </c>
      <c r="QU11" s="193">
        <f t="shared" si="52"/>
        <v>0</v>
      </c>
      <c r="QV11" s="193">
        <f t="shared" si="52"/>
        <v>0</v>
      </c>
      <c r="QW11" s="193">
        <f t="shared" si="52"/>
        <v>0</v>
      </c>
      <c r="QX11" s="193">
        <f t="shared" si="52"/>
        <v>0</v>
      </c>
      <c r="QY11" s="193">
        <f t="shared" si="52"/>
        <v>0</v>
      </c>
      <c r="QZ11" s="193">
        <f t="shared" si="52"/>
        <v>0</v>
      </c>
      <c r="RA11" s="193">
        <f t="shared" si="52"/>
        <v>0</v>
      </c>
      <c r="RB11" s="193">
        <f>RB10</f>
        <v>0</v>
      </c>
      <c r="RC11" s="193">
        <f>RC10</f>
        <v>0</v>
      </c>
      <c r="RD11" s="193">
        <f t="shared" si="52"/>
        <v>0</v>
      </c>
      <c r="RE11" s="193">
        <f t="shared" si="52"/>
        <v>0</v>
      </c>
      <c r="RF11" s="193">
        <f t="shared" si="52"/>
        <v>0</v>
      </c>
      <c r="RG11" s="193">
        <f t="shared" si="52"/>
        <v>0</v>
      </c>
      <c r="RH11" s="193">
        <f t="shared" si="52"/>
        <v>0</v>
      </c>
      <c r="RI11" s="193">
        <f t="shared" si="52"/>
        <v>0</v>
      </c>
      <c r="RJ11" s="193">
        <f t="shared" si="52"/>
        <v>0</v>
      </c>
      <c r="RK11" s="193">
        <f t="shared" si="52"/>
        <v>0</v>
      </c>
      <c r="RL11" s="193">
        <f t="shared" si="52"/>
        <v>0</v>
      </c>
      <c r="RM11" s="193">
        <f t="shared" si="52"/>
        <v>0</v>
      </c>
      <c r="RN11" s="193">
        <f t="shared" si="52"/>
        <v>0</v>
      </c>
      <c r="RO11" s="193"/>
      <c r="RP11" s="193"/>
      <c r="RQ11" s="193"/>
      <c r="RR11" s="193"/>
      <c r="RS11" s="193"/>
      <c r="RT11" s="193"/>
      <c r="RU11" s="193">
        <f t="shared" si="52"/>
        <v>0</v>
      </c>
      <c r="RV11" s="193">
        <f t="shared" si="52"/>
        <v>0</v>
      </c>
      <c r="RW11" s="193">
        <f t="shared" si="52"/>
        <v>0</v>
      </c>
      <c r="RX11" s="193">
        <f t="shared" si="52"/>
        <v>0</v>
      </c>
      <c r="RY11" s="193">
        <f t="shared" si="52"/>
        <v>0</v>
      </c>
      <c r="RZ11" s="193">
        <f t="shared" si="52"/>
        <v>0</v>
      </c>
      <c r="SA11" s="193">
        <f t="shared" si="52"/>
        <v>0</v>
      </c>
      <c r="SB11" s="193">
        <f t="shared" si="52"/>
        <v>0</v>
      </c>
      <c r="SC11" s="193">
        <f t="shared" si="52"/>
        <v>0</v>
      </c>
      <c r="SD11" s="193">
        <f t="shared" si="52"/>
        <v>0</v>
      </c>
      <c r="SE11" s="193">
        <f t="shared" si="52"/>
        <v>0</v>
      </c>
      <c r="SF11" s="193">
        <f t="shared" si="52"/>
        <v>0</v>
      </c>
      <c r="SG11" s="193">
        <f t="shared" si="52"/>
        <v>0</v>
      </c>
      <c r="SH11" s="193">
        <f t="shared" si="52"/>
        <v>0</v>
      </c>
      <c r="SI11" s="193">
        <f t="shared" si="52"/>
        <v>0</v>
      </c>
      <c r="SJ11" s="193">
        <f t="shared" si="52"/>
        <v>0</v>
      </c>
      <c r="SK11" s="193">
        <f t="shared" si="52"/>
        <v>0</v>
      </c>
      <c r="SL11" s="193">
        <f t="shared" si="52"/>
        <v>0</v>
      </c>
      <c r="SM11" s="193">
        <f t="shared" si="52"/>
        <v>0</v>
      </c>
      <c r="SN11" s="193">
        <f t="shared" si="52"/>
        <v>0</v>
      </c>
      <c r="SO11" s="193">
        <f t="shared" si="52"/>
        <v>0</v>
      </c>
      <c r="SP11" s="193">
        <f t="shared" si="52"/>
        <v>0</v>
      </c>
      <c r="SQ11" s="193"/>
      <c r="SR11" s="193"/>
      <c r="SS11" s="195"/>
    </row>
    <row r="12" spans="1:513" s="194" customFormat="1" ht="15" customHeight="1">
      <c r="A12" s="215" t="s">
        <v>193</v>
      </c>
      <c r="B12" s="216"/>
      <c r="C12" s="216"/>
      <c r="D12" s="216"/>
      <c r="E12" s="217"/>
      <c r="F12" s="193">
        <f>F11</f>
        <v>0</v>
      </c>
      <c r="G12" s="193">
        <f t="shared" si="40"/>
        <v>0</v>
      </c>
      <c r="H12" s="193">
        <f t="shared" si="40"/>
        <v>0</v>
      </c>
      <c r="I12" s="193">
        <f t="shared" si="40"/>
        <v>0</v>
      </c>
      <c r="J12" s="193">
        <f t="shared" si="40"/>
        <v>0</v>
      </c>
      <c r="K12" s="193">
        <f t="shared" si="40"/>
        <v>0</v>
      </c>
      <c r="L12" s="193">
        <f t="shared" si="40"/>
        <v>0</v>
      </c>
      <c r="M12" s="193">
        <f t="shared" si="40"/>
        <v>0</v>
      </c>
      <c r="N12" s="193">
        <f t="shared" si="40"/>
        <v>0</v>
      </c>
      <c r="O12" s="193">
        <f t="shared" si="40"/>
        <v>0</v>
      </c>
      <c r="P12" s="193">
        <f t="shared" si="40"/>
        <v>0</v>
      </c>
      <c r="Q12" s="193">
        <f t="shared" si="40"/>
        <v>0</v>
      </c>
      <c r="R12" s="193">
        <f t="shared" si="40"/>
        <v>0</v>
      </c>
      <c r="S12" s="193">
        <f t="shared" si="40"/>
        <v>0</v>
      </c>
      <c r="T12" s="193">
        <f t="shared" si="40"/>
        <v>0</v>
      </c>
      <c r="U12" s="193">
        <f t="shared" si="40"/>
        <v>0</v>
      </c>
      <c r="V12" s="193">
        <f t="shared" si="40"/>
        <v>0</v>
      </c>
      <c r="W12" s="193">
        <f t="shared" si="40"/>
        <v>0</v>
      </c>
      <c r="X12" s="193">
        <f t="shared" si="40"/>
        <v>0</v>
      </c>
      <c r="Y12" s="193">
        <f t="shared" si="40"/>
        <v>0</v>
      </c>
      <c r="Z12" s="193">
        <f t="shared" si="40"/>
        <v>0</v>
      </c>
      <c r="AA12" s="193">
        <f t="shared" si="40"/>
        <v>0</v>
      </c>
      <c r="AB12" s="193">
        <f t="shared" si="40"/>
        <v>0</v>
      </c>
      <c r="AC12" s="193">
        <f t="shared" si="40"/>
        <v>0</v>
      </c>
      <c r="AD12" s="193">
        <f t="shared" si="40"/>
        <v>0</v>
      </c>
      <c r="AE12" s="193">
        <f t="shared" si="40"/>
        <v>0</v>
      </c>
      <c r="AF12" s="193">
        <f t="shared" si="40"/>
        <v>0</v>
      </c>
      <c r="AG12" s="193">
        <f t="shared" si="40"/>
        <v>0</v>
      </c>
      <c r="AH12" s="193">
        <f t="shared" si="40"/>
        <v>0</v>
      </c>
      <c r="AI12" s="193">
        <f t="shared" si="40"/>
        <v>0</v>
      </c>
      <c r="AJ12" s="193">
        <f t="shared" si="40"/>
        <v>0</v>
      </c>
      <c r="AK12" s="193">
        <f t="shared" si="40"/>
        <v>0</v>
      </c>
      <c r="AL12" s="193">
        <f t="shared" si="40"/>
        <v>0</v>
      </c>
      <c r="AM12" s="193">
        <f t="shared" si="40"/>
        <v>0</v>
      </c>
      <c r="AN12" s="193">
        <f t="shared" si="40"/>
        <v>0</v>
      </c>
      <c r="AO12" s="193">
        <f t="shared" si="40"/>
        <v>0</v>
      </c>
      <c r="AP12" s="193">
        <f t="shared" si="40"/>
        <v>0</v>
      </c>
      <c r="AQ12" s="193">
        <f t="shared" si="40"/>
        <v>0</v>
      </c>
      <c r="AR12" s="193">
        <f t="shared" si="40"/>
        <v>0</v>
      </c>
      <c r="AS12" s="193">
        <f t="shared" si="40"/>
        <v>0</v>
      </c>
      <c r="AT12" s="193">
        <f t="shared" si="40"/>
        <v>0</v>
      </c>
      <c r="AU12" s="193">
        <f t="shared" si="40"/>
        <v>0</v>
      </c>
      <c r="AV12" s="193">
        <f t="shared" si="40"/>
        <v>0</v>
      </c>
      <c r="AW12" s="193">
        <f t="shared" si="40"/>
        <v>0</v>
      </c>
      <c r="AX12" s="193">
        <f t="shared" si="40"/>
        <v>0</v>
      </c>
      <c r="AY12" s="193">
        <f t="shared" si="40"/>
        <v>0</v>
      </c>
      <c r="AZ12" s="193">
        <f t="shared" si="40"/>
        <v>0</v>
      </c>
      <c r="BA12" s="193">
        <f t="shared" si="40"/>
        <v>0</v>
      </c>
      <c r="BB12" s="193">
        <f t="shared" si="40"/>
        <v>0</v>
      </c>
      <c r="BC12" s="193">
        <f t="shared" si="40"/>
        <v>0</v>
      </c>
      <c r="BD12" s="193">
        <f t="shared" si="40"/>
        <v>0</v>
      </c>
      <c r="BE12" s="193">
        <f t="shared" si="40"/>
        <v>0</v>
      </c>
      <c r="BF12" s="193">
        <f t="shared" si="40"/>
        <v>0</v>
      </c>
      <c r="BG12" s="193">
        <f t="shared" si="40"/>
        <v>0</v>
      </c>
      <c r="BH12" s="193">
        <f t="shared" si="40"/>
        <v>0</v>
      </c>
      <c r="BI12" s="193">
        <f t="shared" si="40"/>
        <v>0</v>
      </c>
      <c r="BJ12" s="193">
        <f t="shared" si="40"/>
        <v>0</v>
      </c>
      <c r="BK12" s="193">
        <f t="shared" si="40"/>
        <v>0</v>
      </c>
      <c r="BL12" s="193">
        <f t="shared" si="40"/>
        <v>0</v>
      </c>
      <c r="BM12" s="193">
        <f t="shared" si="40"/>
        <v>0</v>
      </c>
      <c r="BN12" s="193">
        <f t="shared" si="40"/>
        <v>0</v>
      </c>
      <c r="BO12" s="193">
        <f t="shared" si="40"/>
        <v>0</v>
      </c>
      <c r="BP12" s="193">
        <f t="shared" si="40"/>
        <v>0</v>
      </c>
      <c r="BQ12" s="193">
        <f t="shared" si="40"/>
        <v>0</v>
      </c>
      <c r="BR12" s="193">
        <f t="shared" si="40"/>
        <v>0</v>
      </c>
      <c r="BS12" s="193">
        <f t="shared" si="41"/>
        <v>0</v>
      </c>
      <c r="BT12" s="193">
        <f t="shared" si="41"/>
        <v>0</v>
      </c>
      <c r="BU12" s="193">
        <f t="shared" si="41"/>
        <v>0</v>
      </c>
      <c r="BV12" s="193">
        <f t="shared" si="41"/>
        <v>0</v>
      </c>
      <c r="BW12" s="193">
        <f t="shared" si="41"/>
        <v>0</v>
      </c>
      <c r="BX12" s="193">
        <f t="shared" si="41"/>
        <v>0</v>
      </c>
      <c r="BY12" s="193">
        <f t="shared" si="41"/>
        <v>0</v>
      </c>
      <c r="BZ12" s="193">
        <f t="shared" si="41"/>
        <v>0</v>
      </c>
      <c r="CA12" s="193">
        <f t="shared" si="41"/>
        <v>0</v>
      </c>
      <c r="CB12" s="193">
        <f t="shared" si="41"/>
        <v>0</v>
      </c>
      <c r="CC12" s="193">
        <f t="shared" si="41"/>
        <v>0</v>
      </c>
      <c r="CD12" s="193">
        <f t="shared" si="41"/>
        <v>0</v>
      </c>
      <c r="CE12" s="193">
        <f t="shared" si="41"/>
        <v>0</v>
      </c>
      <c r="CF12" s="193">
        <f t="shared" si="41"/>
        <v>0</v>
      </c>
      <c r="CG12" s="193">
        <f t="shared" si="41"/>
        <v>0</v>
      </c>
      <c r="CH12" s="193">
        <f t="shared" si="41"/>
        <v>0</v>
      </c>
      <c r="CI12" s="193">
        <f t="shared" si="41"/>
        <v>0</v>
      </c>
      <c r="CJ12" s="193">
        <f t="shared" si="41"/>
        <v>0</v>
      </c>
      <c r="CK12" s="193">
        <f t="shared" si="41"/>
        <v>0</v>
      </c>
      <c r="CL12" s="193">
        <f t="shared" si="41"/>
        <v>0</v>
      </c>
      <c r="CM12" s="193">
        <f t="shared" si="41"/>
        <v>0</v>
      </c>
      <c r="CN12" s="193">
        <f t="shared" si="41"/>
        <v>0</v>
      </c>
      <c r="CO12" s="193">
        <f t="shared" si="41"/>
        <v>0</v>
      </c>
      <c r="CP12" s="193">
        <f t="shared" si="41"/>
        <v>0</v>
      </c>
      <c r="CQ12" s="193">
        <f t="shared" si="41"/>
        <v>0</v>
      </c>
      <c r="CR12" s="193">
        <f t="shared" si="41"/>
        <v>0</v>
      </c>
      <c r="CS12" s="193">
        <f t="shared" si="41"/>
        <v>0</v>
      </c>
      <c r="CT12" s="193">
        <f t="shared" si="41"/>
        <v>0</v>
      </c>
      <c r="CU12" s="193">
        <f t="shared" si="41"/>
        <v>0</v>
      </c>
      <c r="CV12" s="193">
        <f t="shared" si="41"/>
        <v>0</v>
      </c>
      <c r="CW12" s="193">
        <f t="shared" si="41"/>
        <v>0</v>
      </c>
      <c r="CX12" s="193">
        <f t="shared" si="41"/>
        <v>0</v>
      </c>
      <c r="CY12" s="193">
        <f t="shared" si="41"/>
        <v>0</v>
      </c>
      <c r="CZ12" s="193">
        <f t="shared" si="41"/>
        <v>0</v>
      </c>
      <c r="DA12" s="193">
        <f t="shared" si="41"/>
        <v>0</v>
      </c>
      <c r="DB12" s="193">
        <f t="shared" si="41"/>
        <v>0</v>
      </c>
      <c r="DC12" s="193">
        <f t="shared" si="41"/>
        <v>0</v>
      </c>
      <c r="DD12" s="193">
        <f t="shared" si="41"/>
        <v>0</v>
      </c>
      <c r="DE12" s="193">
        <f t="shared" si="41"/>
        <v>0</v>
      </c>
      <c r="DF12" s="193">
        <f t="shared" si="41"/>
        <v>0</v>
      </c>
      <c r="DG12" s="193">
        <f t="shared" si="41"/>
        <v>0</v>
      </c>
      <c r="DH12" s="193">
        <f t="shared" si="41"/>
        <v>0</v>
      </c>
      <c r="DI12" s="193">
        <f t="shared" si="41"/>
        <v>0</v>
      </c>
      <c r="DJ12" s="193">
        <f t="shared" si="41"/>
        <v>0</v>
      </c>
      <c r="DK12" s="193">
        <f t="shared" si="41"/>
        <v>0</v>
      </c>
      <c r="DL12" s="193">
        <f t="shared" si="41"/>
        <v>0</v>
      </c>
      <c r="DM12" s="193">
        <f t="shared" si="41"/>
        <v>0</v>
      </c>
      <c r="DN12" s="193">
        <f t="shared" si="41"/>
        <v>0</v>
      </c>
      <c r="DO12" s="193">
        <f t="shared" si="41"/>
        <v>0</v>
      </c>
      <c r="DP12" s="193">
        <f t="shared" si="41"/>
        <v>0</v>
      </c>
      <c r="DQ12" s="193">
        <f t="shared" si="41"/>
        <v>0</v>
      </c>
      <c r="DR12" s="193">
        <f t="shared" si="41"/>
        <v>0</v>
      </c>
      <c r="DS12" s="193">
        <f t="shared" si="41"/>
        <v>0</v>
      </c>
      <c r="DT12" s="193">
        <f t="shared" si="41"/>
        <v>0</v>
      </c>
      <c r="DU12" s="193">
        <f t="shared" si="41"/>
        <v>0</v>
      </c>
      <c r="DV12" s="193">
        <f t="shared" si="41"/>
        <v>0</v>
      </c>
      <c r="DW12" s="193">
        <f t="shared" si="41"/>
        <v>0</v>
      </c>
      <c r="DX12" s="193">
        <f t="shared" si="41"/>
        <v>0</v>
      </c>
      <c r="DY12" s="193">
        <f t="shared" si="41"/>
        <v>0</v>
      </c>
      <c r="DZ12" s="193">
        <f t="shared" si="41"/>
        <v>0</v>
      </c>
      <c r="EA12" s="193">
        <f t="shared" si="41"/>
        <v>0</v>
      </c>
      <c r="EB12" s="193">
        <f t="shared" si="41"/>
        <v>0</v>
      </c>
      <c r="EC12" s="193">
        <f t="shared" si="41"/>
        <v>0</v>
      </c>
      <c r="ED12" s="193">
        <f t="shared" si="41"/>
        <v>0</v>
      </c>
      <c r="EE12" s="193">
        <f t="shared" si="42"/>
        <v>0</v>
      </c>
      <c r="EF12" s="193">
        <f t="shared" si="42"/>
        <v>0</v>
      </c>
      <c r="EG12" s="193">
        <f t="shared" si="42"/>
        <v>0</v>
      </c>
      <c r="EH12" s="193">
        <f t="shared" si="42"/>
        <v>0</v>
      </c>
      <c r="EI12" s="193">
        <f t="shared" si="42"/>
        <v>0</v>
      </c>
      <c r="EJ12" s="193">
        <f t="shared" si="42"/>
        <v>0</v>
      </c>
      <c r="EK12" s="193">
        <f t="shared" si="42"/>
        <v>0</v>
      </c>
      <c r="EL12" s="193">
        <f t="shared" si="42"/>
        <v>0</v>
      </c>
      <c r="EM12" s="193">
        <f t="shared" si="42"/>
        <v>0</v>
      </c>
      <c r="EN12" s="193">
        <f t="shared" si="42"/>
        <v>0</v>
      </c>
      <c r="EO12" s="193">
        <f t="shared" si="42"/>
        <v>0</v>
      </c>
      <c r="EP12" s="193">
        <f t="shared" si="42"/>
        <v>0</v>
      </c>
      <c r="EQ12" s="193">
        <f t="shared" si="42"/>
        <v>0</v>
      </c>
      <c r="ER12" s="193">
        <f t="shared" si="42"/>
        <v>0</v>
      </c>
      <c r="ES12" s="193">
        <f t="shared" si="42"/>
        <v>0</v>
      </c>
      <c r="ET12" s="193">
        <f t="shared" si="42"/>
        <v>0</v>
      </c>
      <c r="EU12" s="193">
        <f t="shared" si="42"/>
        <v>0</v>
      </c>
      <c r="EV12" s="193">
        <f t="shared" si="42"/>
        <v>0</v>
      </c>
      <c r="EW12" s="193">
        <f t="shared" si="42"/>
        <v>0</v>
      </c>
      <c r="EX12" s="193">
        <f t="shared" si="42"/>
        <v>0</v>
      </c>
      <c r="EY12" s="115">
        <f t="shared" si="27"/>
        <v>0</v>
      </c>
      <c r="EZ12" s="115">
        <f t="shared" si="28"/>
        <v>0</v>
      </c>
      <c r="FA12" s="115">
        <f t="shared" si="29"/>
        <v>0</v>
      </c>
      <c r="FB12" s="193">
        <f t="shared" si="42"/>
        <v>0</v>
      </c>
      <c r="FC12" s="193">
        <f t="shared" si="42"/>
        <v>0</v>
      </c>
      <c r="FD12" s="193">
        <f t="shared" si="42"/>
        <v>0</v>
      </c>
      <c r="FE12" s="193">
        <f t="shared" si="42"/>
        <v>0</v>
      </c>
      <c r="FF12" s="193">
        <f t="shared" si="42"/>
        <v>0</v>
      </c>
      <c r="FG12" s="193">
        <f t="shared" si="42"/>
        <v>0</v>
      </c>
      <c r="FH12" s="193">
        <f t="shared" si="42"/>
        <v>0</v>
      </c>
      <c r="FI12" s="193">
        <f t="shared" si="42"/>
        <v>0</v>
      </c>
      <c r="FJ12" s="193">
        <f t="shared" si="42"/>
        <v>0</v>
      </c>
      <c r="FK12" s="193">
        <f t="shared" si="42"/>
        <v>0</v>
      </c>
      <c r="FL12" s="193">
        <f t="shared" si="42"/>
        <v>0</v>
      </c>
      <c r="FM12" s="193">
        <f t="shared" si="42"/>
        <v>0</v>
      </c>
      <c r="FN12" s="193">
        <f t="shared" si="42"/>
        <v>0</v>
      </c>
      <c r="FO12" s="193">
        <f t="shared" si="42"/>
        <v>0</v>
      </c>
      <c r="FP12" s="193">
        <f t="shared" si="42"/>
        <v>0</v>
      </c>
      <c r="FQ12" s="193">
        <f t="shared" si="42"/>
        <v>0</v>
      </c>
      <c r="FR12" s="193">
        <f t="shared" si="42"/>
        <v>0</v>
      </c>
      <c r="FS12" s="193">
        <f t="shared" si="42"/>
        <v>0</v>
      </c>
      <c r="FT12" s="193">
        <f t="shared" si="42"/>
        <v>0</v>
      </c>
      <c r="FU12" s="193">
        <f t="shared" si="42"/>
        <v>0</v>
      </c>
      <c r="FV12" s="193">
        <f t="shared" si="42"/>
        <v>0</v>
      </c>
      <c r="FW12" s="193">
        <f t="shared" si="42"/>
        <v>0</v>
      </c>
      <c r="FX12" s="193">
        <f t="shared" si="42"/>
        <v>0</v>
      </c>
      <c r="FY12" s="193">
        <f t="shared" si="42"/>
        <v>0</v>
      </c>
      <c r="FZ12" s="193">
        <f t="shared" si="42"/>
        <v>0</v>
      </c>
      <c r="GA12" s="193">
        <f t="shared" si="42"/>
        <v>0</v>
      </c>
      <c r="GB12" s="193">
        <f t="shared" si="42"/>
        <v>0</v>
      </c>
      <c r="GC12" s="193"/>
      <c r="GD12" s="193"/>
      <c r="GE12" s="193">
        <f t="shared" si="42"/>
        <v>0</v>
      </c>
      <c r="GF12" s="193">
        <f t="shared" si="42"/>
        <v>0</v>
      </c>
      <c r="GG12" s="193">
        <f t="shared" si="42"/>
        <v>0</v>
      </c>
      <c r="GH12" s="193">
        <f t="shared" si="42"/>
        <v>0</v>
      </c>
      <c r="GI12" s="193">
        <f t="shared" si="42"/>
        <v>0</v>
      </c>
      <c r="GJ12" s="193">
        <f t="shared" si="42"/>
        <v>0</v>
      </c>
      <c r="GK12" s="193">
        <f t="shared" si="42"/>
        <v>0</v>
      </c>
      <c r="GL12" s="193">
        <f t="shared" si="42"/>
        <v>0</v>
      </c>
      <c r="GM12" s="193">
        <f t="shared" si="42"/>
        <v>0</v>
      </c>
      <c r="GN12" s="193">
        <f t="shared" si="42"/>
        <v>0</v>
      </c>
      <c r="GO12" s="193">
        <f t="shared" si="42"/>
        <v>0</v>
      </c>
      <c r="GP12" s="193">
        <f t="shared" si="42"/>
        <v>0</v>
      </c>
      <c r="GQ12" s="193">
        <f t="shared" si="42"/>
        <v>0</v>
      </c>
      <c r="GR12" s="193">
        <f t="shared" si="42"/>
        <v>0</v>
      </c>
      <c r="GS12" s="193">
        <f t="shared" si="43"/>
        <v>0</v>
      </c>
      <c r="GT12" s="193">
        <f t="shared" si="43"/>
        <v>0</v>
      </c>
      <c r="GU12" s="193">
        <f t="shared" si="43"/>
        <v>0</v>
      </c>
      <c r="GV12" s="193">
        <f t="shared" si="43"/>
        <v>0</v>
      </c>
      <c r="GW12" s="193">
        <f t="shared" si="43"/>
        <v>0</v>
      </c>
      <c r="GX12" s="193">
        <f t="shared" si="43"/>
        <v>0</v>
      </c>
      <c r="GY12" s="193">
        <f t="shared" si="43"/>
        <v>0</v>
      </c>
      <c r="GZ12" s="193">
        <f t="shared" si="43"/>
        <v>0</v>
      </c>
      <c r="HA12" s="193">
        <f t="shared" si="43"/>
        <v>0</v>
      </c>
      <c r="HB12" s="193">
        <f t="shared" si="43"/>
        <v>0</v>
      </c>
      <c r="HC12" s="193">
        <f t="shared" si="43"/>
        <v>0</v>
      </c>
      <c r="HD12" s="193">
        <f t="shared" si="43"/>
        <v>0</v>
      </c>
      <c r="HE12" s="193">
        <f t="shared" si="43"/>
        <v>0</v>
      </c>
      <c r="HF12" s="193">
        <f t="shared" si="43"/>
        <v>0</v>
      </c>
      <c r="HG12" s="193">
        <f t="shared" si="43"/>
        <v>0</v>
      </c>
      <c r="HH12" s="193">
        <f t="shared" si="43"/>
        <v>0</v>
      </c>
      <c r="HI12" s="193">
        <f t="shared" si="43"/>
        <v>0</v>
      </c>
      <c r="HJ12" s="193">
        <f t="shared" si="43"/>
        <v>0</v>
      </c>
      <c r="HK12" s="193">
        <f t="shared" si="43"/>
        <v>0</v>
      </c>
      <c r="HL12" s="193">
        <f t="shared" si="43"/>
        <v>0</v>
      </c>
      <c r="HM12" s="193">
        <f t="shared" si="43"/>
        <v>0</v>
      </c>
      <c r="HN12" s="193">
        <f t="shared" si="43"/>
        <v>0</v>
      </c>
      <c r="HO12" s="193">
        <f t="shared" si="43"/>
        <v>0</v>
      </c>
      <c r="HP12" s="193">
        <f t="shared" si="43"/>
        <v>0</v>
      </c>
      <c r="HQ12" s="193">
        <f t="shared" si="43"/>
        <v>0</v>
      </c>
      <c r="HR12" s="193">
        <f t="shared" si="43"/>
        <v>0</v>
      </c>
      <c r="HS12" s="193">
        <f t="shared" si="43"/>
        <v>0</v>
      </c>
      <c r="HT12" s="193">
        <f t="shared" si="43"/>
        <v>0</v>
      </c>
      <c r="HU12" s="193">
        <f t="shared" si="43"/>
        <v>0</v>
      </c>
      <c r="HV12" s="193">
        <f t="shared" si="43"/>
        <v>0</v>
      </c>
      <c r="HW12" s="193">
        <f t="shared" si="43"/>
        <v>0</v>
      </c>
      <c r="HX12" s="193">
        <f t="shared" si="43"/>
        <v>0</v>
      </c>
      <c r="HY12" s="193">
        <f t="shared" si="43"/>
        <v>0</v>
      </c>
      <c r="HZ12" s="193">
        <f t="shared" si="43"/>
        <v>0</v>
      </c>
      <c r="IA12" s="193">
        <f t="shared" si="43"/>
        <v>0</v>
      </c>
      <c r="IB12" s="193">
        <f t="shared" si="43"/>
        <v>0</v>
      </c>
      <c r="IC12" s="193">
        <f t="shared" si="43"/>
        <v>0</v>
      </c>
      <c r="ID12" s="193">
        <f t="shared" si="43"/>
        <v>0</v>
      </c>
      <c r="IE12" s="193">
        <f t="shared" si="43"/>
        <v>0</v>
      </c>
      <c r="IF12" s="193">
        <f t="shared" si="43"/>
        <v>0</v>
      </c>
      <c r="IG12" s="193">
        <f t="shared" si="43"/>
        <v>0</v>
      </c>
      <c r="IH12" s="193">
        <f t="shared" si="43"/>
        <v>0</v>
      </c>
      <c r="II12" s="193">
        <f t="shared" si="43"/>
        <v>0</v>
      </c>
      <c r="IJ12" s="193">
        <f t="shared" si="43"/>
        <v>0</v>
      </c>
      <c r="IK12" s="193">
        <f t="shared" si="43"/>
        <v>0</v>
      </c>
      <c r="IL12" s="193">
        <f t="shared" si="43"/>
        <v>0</v>
      </c>
      <c r="IM12" s="193">
        <f t="shared" si="43"/>
        <v>0</v>
      </c>
      <c r="IN12" s="193">
        <f t="shared" si="43"/>
        <v>0</v>
      </c>
      <c r="IO12" s="193">
        <f t="shared" si="43"/>
        <v>0</v>
      </c>
      <c r="IP12" s="193">
        <f t="shared" si="43"/>
        <v>0</v>
      </c>
      <c r="IQ12" s="193">
        <f t="shared" si="43"/>
        <v>0</v>
      </c>
      <c r="IR12" s="193">
        <f t="shared" si="43"/>
        <v>0</v>
      </c>
      <c r="IS12" s="193">
        <f t="shared" si="43"/>
        <v>0</v>
      </c>
      <c r="IT12" s="193">
        <f t="shared" si="43"/>
        <v>0</v>
      </c>
      <c r="IU12" s="193">
        <f t="shared" si="43"/>
        <v>0</v>
      </c>
      <c r="IV12" s="193">
        <f t="shared" si="43"/>
        <v>0</v>
      </c>
      <c r="IW12" s="193">
        <f t="shared" si="43"/>
        <v>0</v>
      </c>
      <c r="IX12" s="193">
        <f t="shared" si="43"/>
        <v>0</v>
      </c>
      <c r="IY12" s="193">
        <f t="shared" si="43"/>
        <v>0</v>
      </c>
      <c r="IZ12" s="193">
        <f t="shared" si="43"/>
        <v>0</v>
      </c>
      <c r="JA12" s="193">
        <f t="shared" si="43"/>
        <v>0</v>
      </c>
      <c r="JB12" s="193">
        <f t="shared" si="43"/>
        <v>0</v>
      </c>
      <c r="JC12" s="193">
        <f t="shared" si="43"/>
        <v>0</v>
      </c>
      <c r="JD12" s="193">
        <f t="shared" si="43"/>
        <v>0</v>
      </c>
      <c r="JE12" s="193">
        <f t="shared" si="44"/>
        <v>0</v>
      </c>
      <c r="JF12" s="193">
        <f t="shared" si="44"/>
        <v>0</v>
      </c>
      <c r="JG12" s="193">
        <f t="shared" si="44"/>
        <v>0</v>
      </c>
      <c r="JH12" s="193">
        <f t="shared" si="44"/>
        <v>0</v>
      </c>
      <c r="JI12" s="193">
        <f t="shared" si="44"/>
        <v>0</v>
      </c>
      <c r="JJ12" s="193">
        <f t="shared" si="44"/>
        <v>0</v>
      </c>
      <c r="JK12" s="193">
        <f t="shared" si="44"/>
        <v>0</v>
      </c>
      <c r="JL12" s="193">
        <f t="shared" si="44"/>
        <v>0</v>
      </c>
      <c r="JM12" s="193">
        <f t="shared" si="44"/>
        <v>0</v>
      </c>
      <c r="JN12" s="193">
        <f t="shared" si="44"/>
        <v>0</v>
      </c>
      <c r="JO12" s="193">
        <f t="shared" si="44"/>
        <v>0</v>
      </c>
      <c r="JP12" s="193">
        <f t="shared" si="44"/>
        <v>0</v>
      </c>
      <c r="JQ12" s="193">
        <f t="shared" si="44"/>
        <v>0</v>
      </c>
      <c r="JR12" s="193">
        <f t="shared" si="44"/>
        <v>0</v>
      </c>
      <c r="JS12" s="193">
        <f t="shared" si="44"/>
        <v>0</v>
      </c>
      <c r="JT12" s="193">
        <f t="shared" si="44"/>
        <v>0</v>
      </c>
      <c r="JU12" s="193">
        <f t="shared" si="44"/>
        <v>0</v>
      </c>
      <c r="JV12" s="193">
        <f t="shared" si="44"/>
        <v>0</v>
      </c>
      <c r="JW12" s="193">
        <f t="shared" si="44"/>
        <v>0</v>
      </c>
      <c r="JX12" s="193">
        <f t="shared" si="44"/>
        <v>0</v>
      </c>
      <c r="JY12" s="193">
        <f t="shared" si="44"/>
        <v>0</v>
      </c>
      <c r="JZ12" s="193">
        <f t="shared" si="44"/>
        <v>0</v>
      </c>
      <c r="KA12" s="193">
        <f t="shared" si="44"/>
        <v>0</v>
      </c>
      <c r="KB12" s="193">
        <f t="shared" si="44"/>
        <v>0</v>
      </c>
      <c r="KC12" s="193">
        <f t="shared" si="44"/>
        <v>0</v>
      </c>
      <c r="KD12" s="193">
        <f t="shared" si="44"/>
        <v>0</v>
      </c>
      <c r="KE12" s="193">
        <f t="shared" si="44"/>
        <v>0</v>
      </c>
      <c r="KF12" s="193">
        <f t="shared" si="44"/>
        <v>0</v>
      </c>
      <c r="KG12" s="193">
        <f t="shared" si="44"/>
        <v>0</v>
      </c>
      <c r="KH12" s="193">
        <f t="shared" si="44"/>
        <v>0</v>
      </c>
      <c r="KI12" s="193">
        <f t="shared" si="44"/>
        <v>0</v>
      </c>
      <c r="KJ12" s="193">
        <f t="shared" si="44"/>
        <v>0</v>
      </c>
      <c r="KK12" s="193">
        <f t="shared" si="44"/>
        <v>0</v>
      </c>
      <c r="KL12" s="193">
        <f t="shared" si="44"/>
        <v>0</v>
      </c>
      <c r="KM12" s="193">
        <f t="shared" si="44"/>
        <v>0</v>
      </c>
      <c r="KN12" s="193">
        <f t="shared" si="44"/>
        <v>0</v>
      </c>
      <c r="KO12" s="193">
        <f t="shared" si="44"/>
        <v>0</v>
      </c>
      <c r="KP12" s="193">
        <f t="shared" si="44"/>
        <v>0</v>
      </c>
      <c r="KQ12" s="193">
        <f t="shared" si="44"/>
        <v>0</v>
      </c>
      <c r="KR12" s="193">
        <f t="shared" si="44"/>
        <v>0</v>
      </c>
      <c r="KS12" s="193">
        <f t="shared" si="44"/>
        <v>0</v>
      </c>
      <c r="KT12" s="193">
        <f t="shared" si="44"/>
        <v>0</v>
      </c>
      <c r="KU12" s="193">
        <f t="shared" si="44"/>
        <v>0</v>
      </c>
      <c r="KV12" s="193">
        <f t="shared" si="44"/>
        <v>0</v>
      </c>
      <c r="KW12" s="193">
        <f t="shared" si="44"/>
        <v>0</v>
      </c>
      <c r="KX12" s="193">
        <f t="shared" ref="KX12:KZ12" si="53">KX11</f>
        <v>0</v>
      </c>
      <c r="KY12" s="193">
        <f t="shared" si="53"/>
        <v>0</v>
      </c>
      <c r="KZ12" s="193">
        <f t="shared" si="53"/>
        <v>0</v>
      </c>
      <c r="LA12" s="193">
        <f t="shared" si="44"/>
        <v>0</v>
      </c>
      <c r="LB12" s="193">
        <f t="shared" si="44"/>
        <v>0</v>
      </c>
      <c r="LC12" s="193">
        <f t="shared" si="44"/>
        <v>0</v>
      </c>
      <c r="LD12" s="193">
        <f t="shared" si="44"/>
        <v>0</v>
      </c>
      <c r="LE12" s="193">
        <f t="shared" si="44"/>
        <v>0</v>
      </c>
      <c r="LF12" s="193">
        <f t="shared" si="44"/>
        <v>0</v>
      </c>
      <c r="LG12" s="193">
        <f t="shared" si="44"/>
        <v>0</v>
      </c>
      <c r="LH12" s="193">
        <f t="shared" si="44"/>
        <v>0</v>
      </c>
      <c r="LI12" s="193">
        <f t="shared" si="44"/>
        <v>0</v>
      </c>
      <c r="LJ12" s="193">
        <f t="shared" si="44"/>
        <v>0</v>
      </c>
      <c r="LK12" s="193">
        <f t="shared" si="44"/>
        <v>0</v>
      </c>
      <c r="LL12" s="193">
        <f t="shared" si="44"/>
        <v>0</v>
      </c>
      <c r="LM12" s="193">
        <f t="shared" si="44"/>
        <v>0</v>
      </c>
      <c r="LN12" s="193">
        <f t="shared" si="44"/>
        <v>0</v>
      </c>
      <c r="LO12" s="193">
        <f t="shared" ref="LO12:LP12" si="54">LO11</f>
        <v>0</v>
      </c>
      <c r="LP12" s="193">
        <f t="shared" si="54"/>
        <v>0</v>
      </c>
      <c r="LQ12" s="168">
        <f t="shared" si="33"/>
        <v>0</v>
      </c>
      <c r="LR12" s="168">
        <f t="shared" si="34"/>
        <v>0</v>
      </c>
      <c r="LS12" s="193">
        <f t="shared" si="47"/>
        <v>0</v>
      </c>
      <c r="LT12" s="193">
        <f t="shared" si="47"/>
        <v>0</v>
      </c>
      <c r="LU12" s="193">
        <f t="shared" si="47"/>
        <v>0</v>
      </c>
      <c r="LV12" s="193">
        <f t="shared" si="47"/>
        <v>0</v>
      </c>
      <c r="LW12" s="193">
        <f t="shared" si="47"/>
        <v>0</v>
      </c>
      <c r="LX12" s="193">
        <f t="shared" si="47"/>
        <v>0</v>
      </c>
      <c r="LY12" s="193">
        <f t="shared" ref="LY12:MB12" si="55">LY11</f>
        <v>0</v>
      </c>
      <c r="LZ12" s="193">
        <f t="shared" si="55"/>
        <v>0</v>
      </c>
      <c r="MA12" s="193">
        <f t="shared" si="55"/>
        <v>0</v>
      </c>
      <c r="MB12" s="193">
        <f t="shared" si="55"/>
        <v>0</v>
      </c>
      <c r="MC12" s="193">
        <f t="shared" si="47"/>
        <v>0</v>
      </c>
      <c r="MD12" s="193">
        <f t="shared" si="47"/>
        <v>0</v>
      </c>
      <c r="ME12" s="193">
        <f t="shared" si="47"/>
        <v>0</v>
      </c>
      <c r="MF12" s="193">
        <f t="shared" si="47"/>
        <v>0</v>
      </c>
      <c r="MG12" s="193">
        <f t="shared" si="47"/>
        <v>0</v>
      </c>
      <c r="MH12" s="193">
        <f t="shared" si="47"/>
        <v>0</v>
      </c>
      <c r="MI12" s="193">
        <f t="shared" si="47"/>
        <v>0</v>
      </c>
      <c r="MJ12" s="193">
        <f t="shared" si="47"/>
        <v>0</v>
      </c>
      <c r="MK12" s="193">
        <f t="shared" si="47"/>
        <v>0</v>
      </c>
      <c r="ML12" s="193">
        <f t="shared" si="47"/>
        <v>0</v>
      </c>
      <c r="MM12" s="193">
        <f t="shared" si="47"/>
        <v>0</v>
      </c>
      <c r="MN12" s="193">
        <f t="shared" si="47"/>
        <v>0</v>
      </c>
      <c r="MO12" s="193">
        <f t="shared" si="47"/>
        <v>0</v>
      </c>
      <c r="MP12" s="193">
        <f t="shared" si="47"/>
        <v>0</v>
      </c>
      <c r="MQ12" s="193">
        <f t="shared" si="47"/>
        <v>0</v>
      </c>
      <c r="MR12" s="193">
        <f t="shared" si="47"/>
        <v>0</v>
      </c>
      <c r="MS12" s="193">
        <f t="shared" si="47"/>
        <v>0</v>
      </c>
      <c r="MT12" s="193">
        <f t="shared" si="47"/>
        <v>0</v>
      </c>
      <c r="MU12" s="193">
        <f t="shared" si="47"/>
        <v>0</v>
      </c>
      <c r="MV12" s="193">
        <f t="shared" si="47"/>
        <v>0</v>
      </c>
      <c r="MW12" s="193">
        <f t="shared" si="47"/>
        <v>0</v>
      </c>
      <c r="MX12" s="193">
        <f t="shared" si="47"/>
        <v>0</v>
      </c>
      <c r="MY12" s="193">
        <f t="shared" si="47"/>
        <v>0</v>
      </c>
      <c r="MZ12" s="193">
        <f t="shared" si="47"/>
        <v>0</v>
      </c>
      <c r="NA12" s="193">
        <f t="shared" si="47"/>
        <v>0</v>
      </c>
      <c r="NB12" s="193">
        <f t="shared" si="47"/>
        <v>0</v>
      </c>
      <c r="NC12" s="193">
        <f t="shared" si="47"/>
        <v>0</v>
      </c>
      <c r="ND12" s="193">
        <f t="shared" si="47"/>
        <v>0</v>
      </c>
      <c r="NE12" s="193">
        <f t="shared" si="47"/>
        <v>0</v>
      </c>
      <c r="NF12" s="193">
        <f t="shared" si="47"/>
        <v>0</v>
      </c>
      <c r="NG12" s="193">
        <f t="shared" si="47"/>
        <v>0</v>
      </c>
      <c r="NH12" s="193">
        <f t="shared" si="47"/>
        <v>0</v>
      </c>
      <c r="NI12" s="193">
        <f t="shared" si="47"/>
        <v>0</v>
      </c>
      <c r="NJ12" s="193">
        <f t="shared" si="47"/>
        <v>0</v>
      </c>
      <c r="NK12" s="193">
        <f t="shared" si="47"/>
        <v>0</v>
      </c>
      <c r="NL12" s="193">
        <f t="shared" si="47"/>
        <v>0</v>
      </c>
      <c r="NM12" s="193">
        <f t="shared" si="47"/>
        <v>0</v>
      </c>
      <c r="NN12" s="193">
        <f t="shared" si="47"/>
        <v>0</v>
      </c>
      <c r="NO12" s="193">
        <f t="shared" si="47"/>
        <v>0</v>
      </c>
      <c r="NP12" s="193">
        <f t="shared" si="47"/>
        <v>0</v>
      </c>
      <c r="NQ12" s="193">
        <f t="shared" si="47"/>
        <v>0</v>
      </c>
      <c r="NR12" s="193">
        <f t="shared" si="47"/>
        <v>0</v>
      </c>
      <c r="NS12" s="193">
        <f t="shared" si="47"/>
        <v>0</v>
      </c>
      <c r="NT12" s="193">
        <f t="shared" si="47"/>
        <v>0</v>
      </c>
      <c r="NU12" s="193">
        <f t="shared" si="47"/>
        <v>0</v>
      </c>
      <c r="NV12" s="193">
        <f t="shared" si="47"/>
        <v>0</v>
      </c>
      <c r="NW12" s="193">
        <f t="shared" si="47"/>
        <v>0</v>
      </c>
      <c r="NX12" s="193">
        <f t="shared" si="47"/>
        <v>0</v>
      </c>
      <c r="NY12" s="193">
        <f t="shared" si="47"/>
        <v>0</v>
      </c>
      <c r="NZ12" s="193">
        <f t="shared" si="47"/>
        <v>0</v>
      </c>
      <c r="OA12" s="193">
        <f t="shared" si="47"/>
        <v>0</v>
      </c>
      <c r="OB12" s="193">
        <f t="shared" si="49"/>
        <v>0</v>
      </c>
      <c r="OC12" s="193">
        <f t="shared" si="49"/>
        <v>0</v>
      </c>
      <c r="OD12" s="193">
        <f t="shared" si="49"/>
        <v>0</v>
      </c>
      <c r="OE12" s="193">
        <f t="shared" si="49"/>
        <v>0</v>
      </c>
      <c r="OF12" s="193">
        <f t="shared" si="49"/>
        <v>0</v>
      </c>
      <c r="OG12" s="193">
        <f t="shared" si="49"/>
        <v>0</v>
      </c>
      <c r="OH12" s="193">
        <f t="shared" si="49"/>
        <v>0</v>
      </c>
      <c r="OI12" s="193">
        <f t="shared" si="50"/>
        <v>0</v>
      </c>
      <c r="OJ12" s="193">
        <f t="shared" si="50"/>
        <v>0</v>
      </c>
      <c r="OK12" s="193">
        <f t="shared" si="50"/>
        <v>0</v>
      </c>
      <c r="OL12" s="193">
        <f t="shared" si="50"/>
        <v>0</v>
      </c>
      <c r="OM12" s="193">
        <f t="shared" si="50"/>
        <v>0</v>
      </c>
      <c r="ON12" s="193">
        <f t="shared" si="50"/>
        <v>0</v>
      </c>
      <c r="OO12" s="193">
        <f t="shared" si="50"/>
        <v>0</v>
      </c>
      <c r="OP12" s="193">
        <f t="shared" si="50"/>
        <v>0</v>
      </c>
      <c r="OQ12" s="193">
        <f t="shared" si="50"/>
        <v>0</v>
      </c>
      <c r="OR12" s="193">
        <f t="shared" si="50"/>
        <v>0</v>
      </c>
      <c r="OS12" s="193">
        <f t="shared" si="50"/>
        <v>0</v>
      </c>
      <c r="OT12" s="193">
        <f t="shared" si="50"/>
        <v>0</v>
      </c>
      <c r="OU12" s="193">
        <f t="shared" si="49"/>
        <v>0</v>
      </c>
      <c r="OV12" s="193">
        <f t="shared" si="49"/>
        <v>0</v>
      </c>
      <c r="OW12" s="193"/>
      <c r="OX12" s="193"/>
      <c r="OY12" s="193"/>
      <c r="OZ12" s="193">
        <f t="shared" si="49"/>
        <v>0</v>
      </c>
      <c r="PA12" s="193">
        <f t="shared" si="49"/>
        <v>0</v>
      </c>
      <c r="PB12" s="193">
        <f t="shared" si="49"/>
        <v>0</v>
      </c>
      <c r="PC12" s="193">
        <f t="shared" si="49"/>
        <v>0</v>
      </c>
      <c r="PD12" s="193">
        <f t="shared" si="49"/>
        <v>0</v>
      </c>
      <c r="PE12" s="193">
        <f t="shared" si="49"/>
        <v>0</v>
      </c>
      <c r="PF12" s="193">
        <f t="shared" si="49"/>
        <v>0</v>
      </c>
      <c r="PG12" s="193">
        <f t="shared" si="49"/>
        <v>0</v>
      </c>
      <c r="PH12" s="193">
        <f t="shared" si="49"/>
        <v>0</v>
      </c>
      <c r="PI12" s="193">
        <f t="shared" si="49"/>
        <v>0</v>
      </c>
      <c r="PJ12" s="193">
        <f t="shared" si="49"/>
        <v>0</v>
      </c>
      <c r="PK12" s="193">
        <f t="shared" si="49"/>
        <v>0</v>
      </c>
      <c r="PL12" s="193">
        <f t="shared" si="49"/>
        <v>0</v>
      </c>
      <c r="PM12" s="193">
        <f t="shared" si="49"/>
        <v>0</v>
      </c>
      <c r="PN12" s="193">
        <f t="shared" si="49"/>
        <v>0</v>
      </c>
      <c r="PO12" s="193">
        <f t="shared" si="49"/>
        <v>0</v>
      </c>
      <c r="PP12" s="193">
        <f t="shared" si="49"/>
        <v>0</v>
      </c>
      <c r="PQ12" s="193">
        <f t="shared" si="49"/>
        <v>0</v>
      </c>
      <c r="PR12" s="193">
        <f t="shared" si="49"/>
        <v>0</v>
      </c>
      <c r="PS12" s="193">
        <f t="shared" si="49"/>
        <v>0</v>
      </c>
      <c r="PT12" s="193">
        <f t="shared" si="49"/>
        <v>0</v>
      </c>
      <c r="PU12" s="193">
        <f t="shared" si="49"/>
        <v>0</v>
      </c>
      <c r="PV12" s="193">
        <f t="shared" si="51"/>
        <v>0</v>
      </c>
      <c r="PW12" s="193">
        <f t="shared" si="51"/>
        <v>0</v>
      </c>
      <c r="PX12" s="193">
        <f t="shared" si="51"/>
        <v>0</v>
      </c>
      <c r="PY12" s="193">
        <f t="shared" si="51"/>
        <v>0</v>
      </c>
      <c r="PZ12" s="193">
        <f t="shared" si="51"/>
        <v>0</v>
      </c>
      <c r="QA12" s="193">
        <f t="shared" si="51"/>
        <v>0</v>
      </c>
      <c r="QB12" s="193">
        <f t="shared" si="51"/>
        <v>0</v>
      </c>
      <c r="QC12" s="193">
        <f t="shared" si="51"/>
        <v>0</v>
      </c>
      <c r="QD12" s="193">
        <f t="shared" si="51"/>
        <v>0</v>
      </c>
      <c r="QE12" s="193">
        <f t="shared" si="51"/>
        <v>0</v>
      </c>
      <c r="QF12" s="193">
        <f t="shared" si="51"/>
        <v>0</v>
      </c>
      <c r="QG12" s="193">
        <f t="shared" si="51"/>
        <v>0</v>
      </c>
      <c r="QH12" s="193">
        <f t="shared" si="51"/>
        <v>0</v>
      </c>
      <c r="QI12" s="193">
        <f t="shared" si="49"/>
        <v>0</v>
      </c>
      <c r="QJ12" s="193">
        <f t="shared" si="49"/>
        <v>0</v>
      </c>
      <c r="QK12" s="193">
        <f t="shared" si="49"/>
        <v>0</v>
      </c>
      <c r="QL12" s="193">
        <f t="shared" si="49"/>
        <v>0</v>
      </c>
      <c r="QM12" s="193">
        <f t="shared" si="49"/>
        <v>0</v>
      </c>
      <c r="QN12" s="193">
        <f t="shared" si="49"/>
        <v>0</v>
      </c>
      <c r="QO12" s="193">
        <f t="shared" si="49"/>
        <v>0</v>
      </c>
      <c r="QP12" s="193">
        <f t="shared" si="49"/>
        <v>0</v>
      </c>
      <c r="QQ12" s="193">
        <f t="shared" si="49"/>
        <v>0</v>
      </c>
      <c r="QR12" s="193">
        <f t="shared" si="49"/>
        <v>0</v>
      </c>
      <c r="QS12" s="193">
        <f t="shared" si="49"/>
        <v>0</v>
      </c>
      <c r="QT12" s="193">
        <f t="shared" si="52"/>
        <v>0</v>
      </c>
      <c r="QU12" s="193">
        <f t="shared" si="52"/>
        <v>0</v>
      </c>
      <c r="QV12" s="193">
        <f t="shared" si="52"/>
        <v>0</v>
      </c>
      <c r="QW12" s="193">
        <f t="shared" si="52"/>
        <v>0</v>
      </c>
      <c r="QX12" s="193">
        <f t="shared" si="52"/>
        <v>0</v>
      </c>
      <c r="QY12" s="193">
        <f t="shared" si="52"/>
        <v>0</v>
      </c>
      <c r="QZ12" s="193">
        <f t="shared" si="52"/>
        <v>0</v>
      </c>
      <c r="RA12" s="193">
        <f t="shared" si="52"/>
        <v>0</v>
      </c>
      <c r="RB12" s="193">
        <f>RB11</f>
        <v>0</v>
      </c>
      <c r="RC12" s="193">
        <f>RC11</f>
        <v>0</v>
      </c>
      <c r="RD12" s="193">
        <f t="shared" si="52"/>
        <v>0</v>
      </c>
      <c r="RE12" s="193">
        <f t="shared" si="52"/>
        <v>0</v>
      </c>
      <c r="RF12" s="193">
        <f t="shared" si="52"/>
        <v>0</v>
      </c>
      <c r="RG12" s="193">
        <f t="shared" si="52"/>
        <v>0</v>
      </c>
      <c r="RH12" s="193">
        <f t="shared" si="52"/>
        <v>0</v>
      </c>
      <c r="RI12" s="193">
        <f t="shared" si="52"/>
        <v>0</v>
      </c>
      <c r="RJ12" s="193">
        <f t="shared" si="52"/>
        <v>0</v>
      </c>
      <c r="RK12" s="193">
        <f t="shared" si="52"/>
        <v>0</v>
      </c>
      <c r="RL12" s="193">
        <f t="shared" si="52"/>
        <v>0</v>
      </c>
      <c r="RM12" s="193">
        <f t="shared" si="52"/>
        <v>0</v>
      </c>
      <c r="RN12" s="193">
        <f t="shared" si="52"/>
        <v>0</v>
      </c>
      <c r="RO12" s="193"/>
      <c r="RP12" s="193"/>
      <c r="RQ12" s="193"/>
      <c r="RR12" s="193"/>
      <c r="RS12" s="193"/>
      <c r="RT12" s="193"/>
      <c r="RU12" s="193">
        <f t="shared" si="52"/>
        <v>0</v>
      </c>
      <c r="RV12" s="193">
        <f t="shared" si="52"/>
        <v>0</v>
      </c>
      <c r="RW12" s="193">
        <f t="shared" si="52"/>
        <v>0</v>
      </c>
      <c r="RX12" s="193">
        <f t="shared" si="52"/>
        <v>0</v>
      </c>
      <c r="RY12" s="193">
        <f t="shared" si="52"/>
        <v>0</v>
      </c>
      <c r="RZ12" s="193">
        <f t="shared" si="52"/>
        <v>0</v>
      </c>
      <c r="SA12" s="193">
        <f t="shared" si="52"/>
        <v>0</v>
      </c>
      <c r="SB12" s="193">
        <f t="shared" si="52"/>
        <v>0</v>
      </c>
      <c r="SC12" s="193">
        <f t="shared" si="52"/>
        <v>0</v>
      </c>
      <c r="SD12" s="193">
        <f t="shared" si="52"/>
        <v>0</v>
      </c>
      <c r="SE12" s="193">
        <f t="shared" si="52"/>
        <v>0</v>
      </c>
      <c r="SF12" s="193">
        <f t="shared" si="52"/>
        <v>0</v>
      </c>
      <c r="SG12" s="193">
        <f t="shared" si="52"/>
        <v>0</v>
      </c>
      <c r="SH12" s="193">
        <f t="shared" si="52"/>
        <v>0</v>
      </c>
      <c r="SI12" s="193">
        <f t="shared" si="52"/>
        <v>0</v>
      </c>
      <c r="SJ12" s="193">
        <f t="shared" si="52"/>
        <v>0</v>
      </c>
      <c r="SK12" s="193">
        <f t="shared" si="52"/>
        <v>0</v>
      </c>
      <c r="SL12" s="193">
        <f t="shared" si="52"/>
        <v>0</v>
      </c>
      <c r="SM12" s="193">
        <f t="shared" si="52"/>
        <v>0</v>
      </c>
      <c r="SN12" s="193">
        <f t="shared" si="52"/>
        <v>0</v>
      </c>
      <c r="SO12" s="193">
        <f t="shared" si="52"/>
        <v>0</v>
      </c>
      <c r="SP12" s="193">
        <f t="shared" si="52"/>
        <v>0</v>
      </c>
      <c r="SQ12" s="193"/>
      <c r="SR12" s="193"/>
      <c r="SS12" s="177"/>
    </row>
    <row r="13" spans="1:513" s="171" customFormat="1" ht="26.25" customHeight="1">
      <c r="A13" s="168"/>
      <c r="B13" s="168"/>
      <c r="C13" s="168"/>
      <c r="D13" s="168"/>
      <c r="E13" s="168"/>
      <c r="F13" s="168"/>
      <c r="G13" s="168"/>
      <c r="H13" s="168"/>
      <c r="I13" s="168"/>
      <c r="J13" s="168"/>
      <c r="K13" s="168"/>
      <c r="L13" s="168"/>
      <c r="M13" s="168"/>
      <c r="N13" s="168"/>
      <c r="O13" s="168"/>
      <c r="P13" s="168"/>
      <c r="Q13" s="168"/>
      <c r="R13" s="168"/>
      <c r="S13" s="168"/>
      <c r="T13" s="168"/>
      <c r="U13" s="168"/>
      <c r="V13" s="168"/>
      <c r="W13" s="168"/>
      <c r="X13" s="168"/>
      <c r="Y13" s="168"/>
      <c r="Z13" s="168"/>
      <c r="AA13" s="168"/>
      <c r="AB13" s="168"/>
      <c r="AC13" s="168"/>
      <c r="AD13" s="168"/>
      <c r="AE13" s="168"/>
      <c r="AF13" s="168"/>
      <c r="AG13" s="168"/>
      <c r="AH13" s="168"/>
      <c r="AI13" s="168"/>
      <c r="AJ13" s="168"/>
      <c r="AK13" s="168"/>
      <c r="AL13" s="168"/>
      <c r="AM13" s="168"/>
      <c r="AN13" s="168"/>
      <c r="AO13" s="168"/>
      <c r="AP13" s="168"/>
      <c r="AQ13" s="168"/>
      <c r="AR13" s="168"/>
      <c r="AS13" s="168"/>
      <c r="AT13" s="168"/>
      <c r="AU13" s="168"/>
      <c r="AV13" s="168"/>
      <c r="AW13" s="168"/>
      <c r="AX13" s="168"/>
      <c r="AY13" s="168"/>
      <c r="AZ13" s="168"/>
      <c r="BA13" s="168"/>
      <c r="BB13" s="168"/>
      <c r="BC13" s="168"/>
      <c r="BD13" s="168"/>
      <c r="BE13" s="168"/>
      <c r="BF13" s="168"/>
      <c r="BG13" s="168"/>
      <c r="BH13" s="168"/>
      <c r="BI13" s="168"/>
      <c r="BJ13" s="168"/>
      <c r="BK13" s="168"/>
      <c r="BL13" s="168"/>
      <c r="BM13" s="168"/>
      <c r="BN13" s="168"/>
      <c r="BO13" s="168"/>
      <c r="BP13" s="168"/>
      <c r="BQ13" s="168"/>
      <c r="BR13" s="168"/>
      <c r="BS13" s="168"/>
      <c r="BT13" s="168"/>
      <c r="BU13" s="168"/>
      <c r="BV13" s="168"/>
      <c r="BW13" s="168"/>
      <c r="BX13" s="168"/>
      <c r="BY13" s="168"/>
      <c r="BZ13" s="168"/>
      <c r="CA13" s="168"/>
      <c r="CB13" s="168"/>
      <c r="CC13" s="168"/>
      <c r="CD13" s="168"/>
      <c r="CE13" s="168"/>
      <c r="CF13" s="168"/>
      <c r="CG13" s="168"/>
      <c r="CH13" s="168"/>
      <c r="CI13" s="168"/>
      <c r="CJ13" s="168"/>
      <c r="CK13" s="168"/>
      <c r="CL13" s="168"/>
      <c r="CM13" s="168"/>
      <c r="CN13" s="168"/>
      <c r="CO13" s="168"/>
      <c r="CP13" s="168"/>
      <c r="CQ13" s="168"/>
      <c r="CR13" s="168"/>
      <c r="CS13" s="168"/>
      <c r="CT13" s="168"/>
      <c r="CU13" s="168"/>
      <c r="CV13" s="168"/>
      <c r="CW13" s="168"/>
      <c r="CX13" s="168"/>
      <c r="CY13" s="168"/>
      <c r="CZ13" s="168"/>
      <c r="DA13" s="168"/>
      <c r="DB13" s="168"/>
      <c r="DC13" s="168"/>
      <c r="DD13" s="168"/>
      <c r="DE13" s="168"/>
      <c r="DF13" s="168"/>
      <c r="DG13" s="168"/>
      <c r="DH13" s="168"/>
      <c r="DI13" s="168"/>
      <c r="DJ13" s="168"/>
      <c r="DK13" s="168"/>
      <c r="DL13" s="168"/>
      <c r="DM13" s="168"/>
      <c r="DN13" s="168"/>
      <c r="DO13" s="168"/>
      <c r="DP13" s="168"/>
      <c r="DQ13" s="168"/>
      <c r="DR13" s="168"/>
      <c r="DS13" s="168"/>
      <c r="DT13" s="168"/>
      <c r="DU13" s="168"/>
      <c r="DV13" s="168"/>
      <c r="DW13" s="168"/>
      <c r="DX13" s="168"/>
      <c r="DY13" s="168"/>
      <c r="DZ13" s="168"/>
      <c r="EA13" s="168"/>
      <c r="EB13" s="168"/>
      <c r="EC13" s="168"/>
      <c r="ED13" s="168"/>
      <c r="EE13" s="168"/>
      <c r="EF13" s="168"/>
      <c r="EG13" s="168"/>
      <c r="EH13" s="168"/>
      <c r="EI13" s="168"/>
      <c r="EJ13" s="168"/>
      <c r="EK13" s="168"/>
      <c r="EL13" s="168"/>
      <c r="EM13" s="168"/>
      <c r="EN13" s="168"/>
      <c r="EO13" s="168"/>
      <c r="EP13" s="168"/>
      <c r="EQ13" s="168"/>
      <c r="ER13" s="168"/>
      <c r="ES13" s="168"/>
      <c r="ET13" s="168"/>
      <c r="EU13" s="168"/>
      <c r="EV13" s="168"/>
      <c r="EW13" s="168"/>
      <c r="EX13" s="168"/>
      <c r="EY13" s="168"/>
      <c r="EZ13" s="168"/>
      <c r="FA13" s="168"/>
      <c r="FB13" s="168"/>
      <c r="FC13" s="168"/>
      <c r="FD13" s="168"/>
      <c r="FE13" s="168"/>
      <c r="FF13" s="168"/>
      <c r="FG13" s="168"/>
      <c r="FH13" s="168"/>
      <c r="FI13" s="168"/>
      <c r="FJ13" s="168"/>
      <c r="FK13" s="168"/>
      <c r="FL13" s="168"/>
      <c r="FM13" s="168"/>
      <c r="FN13" s="168"/>
      <c r="FO13" s="168"/>
      <c r="FP13" s="168"/>
      <c r="FQ13" s="168"/>
      <c r="FR13" s="168"/>
      <c r="FS13" s="168"/>
      <c r="FT13" s="168"/>
      <c r="FU13" s="168"/>
      <c r="FV13" s="168"/>
      <c r="FW13" s="168"/>
      <c r="FX13" s="168"/>
      <c r="FY13" s="168"/>
      <c r="FZ13" s="168"/>
      <c r="GA13" s="168"/>
      <c r="GB13" s="168"/>
      <c r="GC13" s="168"/>
      <c r="GD13" s="168"/>
      <c r="GE13" s="168"/>
      <c r="GF13" s="168"/>
      <c r="GG13" s="168"/>
      <c r="GH13" s="168"/>
      <c r="GI13" s="168"/>
      <c r="GJ13" s="168"/>
      <c r="GK13" s="168"/>
      <c r="GL13" s="168"/>
      <c r="GM13" s="168"/>
      <c r="GN13" s="168"/>
      <c r="GO13" s="168"/>
      <c r="GP13" s="168"/>
      <c r="GQ13" s="168"/>
      <c r="GR13" s="168"/>
      <c r="GS13" s="168"/>
      <c r="GT13" s="168"/>
      <c r="GU13" s="168"/>
      <c r="GV13" s="168"/>
      <c r="GW13" s="168"/>
      <c r="GX13" s="168"/>
      <c r="GY13" s="168"/>
      <c r="GZ13" s="168"/>
      <c r="HA13" s="168"/>
      <c r="HB13" s="168"/>
      <c r="HC13" s="168"/>
      <c r="HD13" s="168"/>
      <c r="HE13" s="168"/>
      <c r="HF13" s="168"/>
      <c r="HG13" s="168"/>
      <c r="HH13" s="168"/>
      <c r="HI13" s="168"/>
      <c r="HJ13" s="168"/>
      <c r="HK13" s="168"/>
      <c r="HL13" s="168"/>
      <c r="HM13" s="168"/>
      <c r="HN13" s="168"/>
      <c r="HO13" s="168"/>
      <c r="HP13" s="168"/>
      <c r="HQ13" s="168"/>
      <c r="HR13" s="168"/>
      <c r="HS13" s="168"/>
      <c r="HT13" s="168"/>
      <c r="HU13" s="168"/>
      <c r="HV13" s="168"/>
      <c r="HW13" s="168"/>
      <c r="HX13" s="168"/>
      <c r="HY13" s="168"/>
      <c r="HZ13" s="168"/>
      <c r="IA13" s="168"/>
      <c r="IB13" s="168"/>
      <c r="IC13" s="168"/>
      <c r="ID13" s="168"/>
      <c r="IE13" s="168"/>
      <c r="IF13" s="168"/>
      <c r="IG13" s="168"/>
      <c r="IH13" s="168"/>
      <c r="II13" s="168"/>
      <c r="IJ13" s="168"/>
      <c r="IK13" s="168"/>
      <c r="IL13" s="168"/>
      <c r="IM13" s="168"/>
      <c r="IN13" s="168"/>
      <c r="IO13" s="168"/>
      <c r="IP13" s="168"/>
      <c r="IQ13" s="168"/>
      <c r="IR13" s="168"/>
      <c r="IS13" s="168"/>
      <c r="IT13" s="168"/>
      <c r="IU13" s="168"/>
      <c r="IV13" s="168"/>
      <c r="IW13" s="168"/>
      <c r="IX13" s="168"/>
      <c r="IY13" s="168"/>
      <c r="IZ13" s="168"/>
      <c r="JA13" s="168"/>
      <c r="JB13" s="168"/>
      <c r="JC13" s="168"/>
      <c r="JD13" s="168"/>
      <c r="JE13" s="168"/>
      <c r="JF13" s="168"/>
      <c r="JG13" s="168"/>
      <c r="JH13" s="168"/>
      <c r="JI13" s="168"/>
      <c r="JJ13" s="168"/>
      <c r="JK13" s="168"/>
      <c r="JL13" s="168"/>
      <c r="JM13" s="168"/>
      <c r="JN13" s="168"/>
      <c r="JO13" s="168"/>
      <c r="JP13" s="168"/>
      <c r="JQ13" s="168"/>
      <c r="JR13" s="168"/>
      <c r="JS13" s="168"/>
      <c r="JT13" s="168"/>
      <c r="JU13" s="168"/>
      <c r="JV13" s="168"/>
      <c r="JW13" s="168"/>
      <c r="JX13" s="168"/>
      <c r="JY13" s="168"/>
      <c r="JZ13" s="168"/>
      <c r="KA13" s="168"/>
      <c r="KB13" s="168"/>
      <c r="KC13" s="168"/>
      <c r="KD13" s="168"/>
      <c r="KE13" s="168"/>
      <c r="KF13" s="168"/>
      <c r="KG13" s="168"/>
      <c r="KH13" s="168"/>
      <c r="KI13" s="168"/>
      <c r="KJ13" s="168"/>
      <c r="KK13" s="168"/>
      <c r="KL13" s="168"/>
      <c r="KM13" s="168"/>
      <c r="KN13" s="168"/>
      <c r="KO13" s="168"/>
      <c r="KP13" s="168"/>
      <c r="KQ13" s="168"/>
      <c r="KR13" s="168"/>
      <c r="KS13" s="168"/>
      <c r="KT13" s="168"/>
      <c r="KU13" s="168"/>
      <c r="KV13" s="168"/>
      <c r="KW13" s="168"/>
      <c r="KX13" s="168"/>
      <c r="KY13" s="168"/>
      <c r="KZ13" s="168"/>
      <c r="LA13" s="168"/>
      <c r="LB13" s="168"/>
      <c r="LC13" s="168"/>
      <c r="LD13" s="168"/>
      <c r="LE13" s="168"/>
      <c r="LF13" s="168"/>
      <c r="LG13" s="168"/>
      <c r="LH13" s="168"/>
      <c r="LI13" s="168"/>
      <c r="LJ13" s="168"/>
      <c r="LK13" s="168"/>
      <c r="LL13" s="168"/>
      <c r="LM13" s="168"/>
      <c r="LN13" s="168"/>
      <c r="LO13" s="168"/>
      <c r="LP13" s="168"/>
      <c r="LQ13" s="168"/>
      <c r="LR13" s="168"/>
      <c r="LS13" s="168"/>
      <c r="LT13" s="168"/>
      <c r="LU13" s="168"/>
      <c r="LV13" s="168"/>
      <c r="LW13" s="168"/>
      <c r="LX13" s="168"/>
      <c r="LY13" s="168"/>
      <c r="LZ13" s="168"/>
      <c r="MA13" s="168"/>
      <c r="MB13" s="168"/>
      <c r="MC13" s="168"/>
      <c r="MD13" s="168"/>
      <c r="ME13" s="168"/>
      <c r="MF13" s="168"/>
      <c r="MG13" s="168"/>
      <c r="MH13" s="168"/>
      <c r="MI13" s="168"/>
      <c r="MJ13" s="168"/>
      <c r="MK13" s="168"/>
      <c r="ML13" s="168"/>
      <c r="MM13" s="168"/>
      <c r="MN13" s="168"/>
      <c r="MO13" s="168"/>
      <c r="MP13" s="168"/>
      <c r="MQ13" s="168"/>
      <c r="MR13" s="168"/>
      <c r="MS13" s="168"/>
      <c r="MT13" s="168"/>
      <c r="MU13" s="168"/>
      <c r="MV13" s="168"/>
      <c r="MW13" s="168"/>
      <c r="MX13" s="168"/>
      <c r="MY13" s="168"/>
      <c r="MZ13" s="168"/>
      <c r="NA13" s="168"/>
      <c r="NB13" s="168"/>
      <c r="NC13" s="168"/>
      <c r="ND13" s="168"/>
      <c r="NE13" s="168"/>
      <c r="NF13" s="168"/>
      <c r="NG13" s="168"/>
      <c r="NH13" s="168"/>
      <c r="NI13" s="168"/>
      <c r="NJ13" s="168"/>
      <c r="NK13" s="168"/>
      <c r="NL13" s="168"/>
      <c r="NM13" s="168"/>
      <c r="NN13" s="168"/>
      <c r="NO13" s="168"/>
      <c r="NP13" s="168"/>
      <c r="NQ13" s="168"/>
      <c r="NR13" s="168"/>
      <c r="NS13" s="168"/>
      <c r="NT13" s="168"/>
      <c r="NU13" s="168"/>
      <c r="NV13" s="168"/>
      <c r="NW13" s="168"/>
      <c r="NX13" s="168"/>
      <c r="NY13" s="168"/>
      <c r="NZ13" s="168"/>
      <c r="OA13" s="168"/>
      <c r="OB13" s="168"/>
      <c r="OC13" s="168"/>
      <c r="OD13" s="168"/>
      <c r="OE13" s="168"/>
      <c r="OF13" s="168"/>
      <c r="OG13" s="168"/>
      <c r="OH13" s="168"/>
      <c r="OI13" s="168"/>
      <c r="OJ13" s="168"/>
      <c r="OK13" s="168"/>
      <c r="OL13" s="168"/>
      <c r="OM13" s="168"/>
      <c r="ON13" s="168"/>
      <c r="OO13" s="168"/>
      <c r="OP13" s="168"/>
      <c r="OQ13" s="168"/>
      <c r="OR13" s="168"/>
      <c r="OS13" s="168"/>
      <c r="OT13" s="168"/>
      <c r="OU13" s="169"/>
      <c r="OV13" s="169"/>
      <c r="OW13" s="169"/>
      <c r="OX13" s="169"/>
      <c r="OY13" s="169"/>
      <c r="OZ13" s="169"/>
      <c r="PA13" s="169"/>
      <c r="PB13" s="169"/>
      <c r="PC13" s="169"/>
      <c r="PD13" s="169"/>
      <c r="PE13" s="169"/>
      <c r="PF13" s="169"/>
      <c r="PG13" s="169"/>
      <c r="PH13" s="169"/>
      <c r="PI13" s="169"/>
      <c r="PJ13" s="169"/>
      <c r="PK13" s="169"/>
      <c r="PL13" s="169"/>
      <c r="PM13" s="169"/>
      <c r="PN13" s="169"/>
      <c r="PO13" s="169"/>
      <c r="PP13" s="169"/>
      <c r="PQ13" s="169"/>
      <c r="PR13" s="169"/>
      <c r="PS13" s="169"/>
      <c r="PT13" s="169"/>
      <c r="PU13" s="169"/>
      <c r="PV13" s="169"/>
      <c r="PW13" s="169"/>
      <c r="PX13" s="169"/>
      <c r="PY13" s="169"/>
      <c r="PZ13" s="169"/>
      <c r="QA13" s="169"/>
      <c r="QB13" s="169"/>
      <c r="QC13" s="169"/>
      <c r="QD13" s="169"/>
      <c r="QE13" s="169"/>
      <c r="QF13" s="169"/>
      <c r="QG13" s="169"/>
      <c r="QH13" s="169"/>
      <c r="QI13" s="169"/>
      <c r="QJ13" s="169"/>
      <c r="QK13" s="169"/>
      <c r="QL13" s="169"/>
      <c r="QM13" s="169"/>
      <c r="QN13" s="169"/>
      <c r="QO13" s="169"/>
      <c r="QP13" s="169"/>
      <c r="QQ13" s="169"/>
      <c r="QR13" s="169"/>
      <c r="QS13" s="169"/>
      <c r="QT13" s="169"/>
      <c r="QU13" s="169"/>
      <c r="QV13" s="169"/>
      <c r="QW13" s="169"/>
      <c r="QX13" s="169"/>
      <c r="QY13" s="169"/>
      <c r="QZ13" s="169"/>
      <c r="RA13" s="169"/>
      <c r="RB13" s="169"/>
      <c r="RC13" s="169"/>
      <c r="RD13" s="169"/>
      <c r="RE13" s="169"/>
      <c r="RF13" s="169"/>
      <c r="RG13" s="169"/>
      <c r="RH13" s="169"/>
      <c r="RI13" s="169"/>
      <c r="RJ13" s="169"/>
      <c r="RK13" s="169"/>
      <c r="RL13" s="169"/>
      <c r="RM13" s="169"/>
      <c r="RN13" s="169"/>
      <c r="RO13" s="168"/>
      <c r="RP13" s="168"/>
      <c r="RQ13" s="168"/>
      <c r="RR13" s="168"/>
      <c r="RS13" s="168"/>
      <c r="RT13" s="168"/>
      <c r="RU13" s="170"/>
      <c r="RV13" s="170"/>
      <c r="RW13" s="170"/>
      <c r="RX13" s="170"/>
      <c r="RY13" s="170"/>
      <c r="RZ13" s="170"/>
      <c r="SA13" s="169"/>
      <c r="SB13" s="169"/>
      <c r="SC13" s="169"/>
      <c r="SD13" s="169"/>
      <c r="SE13" s="169"/>
      <c r="SF13" s="169"/>
      <c r="SG13" s="169"/>
      <c r="SH13" s="169"/>
      <c r="SI13" s="169"/>
      <c r="SJ13" s="169"/>
      <c r="SK13" s="169"/>
      <c r="SL13" s="169"/>
      <c r="SM13" s="169"/>
      <c r="SN13" s="169"/>
      <c r="SO13" s="169"/>
      <c r="SP13" s="169"/>
      <c r="SQ13" s="169"/>
      <c r="SR13" s="169"/>
      <c r="SS13" s="178"/>
    </row>
    <row r="14" spans="1:513" s="171" customFormat="1" ht="26.25" customHeight="1">
      <c r="A14" s="168"/>
      <c r="B14" s="168"/>
      <c r="C14" s="168"/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168"/>
      <c r="S14" s="168"/>
      <c r="T14" s="168"/>
      <c r="U14" s="168"/>
      <c r="V14" s="168"/>
      <c r="W14" s="168"/>
      <c r="X14" s="168"/>
      <c r="Y14" s="168"/>
      <c r="Z14" s="168"/>
      <c r="AA14" s="168"/>
      <c r="AB14" s="168"/>
      <c r="AC14" s="168"/>
      <c r="AD14" s="168"/>
      <c r="AE14" s="168"/>
      <c r="AF14" s="168"/>
      <c r="AG14" s="168"/>
      <c r="AH14" s="168"/>
      <c r="AI14" s="168"/>
      <c r="AJ14" s="168"/>
      <c r="AK14" s="168"/>
      <c r="AL14" s="168"/>
      <c r="AM14" s="168"/>
      <c r="AN14" s="168"/>
      <c r="AO14" s="168"/>
      <c r="AP14" s="168"/>
      <c r="AQ14" s="168"/>
      <c r="AR14" s="168"/>
      <c r="AS14" s="168"/>
      <c r="AT14" s="168"/>
      <c r="AU14" s="168"/>
      <c r="AV14" s="168"/>
      <c r="AW14" s="168"/>
      <c r="AX14" s="168"/>
      <c r="AY14" s="168"/>
      <c r="AZ14" s="168"/>
      <c r="BA14" s="168"/>
      <c r="BB14" s="168"/>
      <c r="BC14" s="168"/>
      <c r="BD14" s="168"/>
      <c r="BE14" s="168"/>
      <c r="BF14" s="168"/>
      <c r="BG14" s="168"/>
      <c r="BH14" s="168"/>
      <c r="BI14" s="168"/>
      <c r="BJ14" s="168"/>
      <c r="BK14" s="168"/>
      <c r="BL14" s="168"/>
      <c r="BM14" s="168"/>
      <c r="BN14" s="168"/>
      <c r="BO14" s="168"/>
      <c r="BP14" s="168"/>
      <c r="BQ14" s="168"/>
      <c r="BR14" s="168"/>
      <c r="BS14" s="168"/>
      <c r="BT14" s="168"/>
      <c r="BU14" s="168"/>
      <c r="BV14" s="168"/>
      <c r="BW14" s="168"/>
      <c r="BX14" s="168"/>
      <c r="BY14" s="168"/>
      <c r="BZ14" s="168"/>
      <c r="CA14" s="168"/>
      <c r="CB14" s="168"/>
      <c r="CC14" s="168"/>
      <c r="CD14" s="168"/>
      <c r="CE14" s="168"/>
      <c r="CF14" s="168"/>
      <c r="CG14" s="168"/>
      <c r="CH14" s="168"/>
      <c r="CI14" s="168"/>
      <c r="CJ14" s="168"/>
      <c r="CK14" s="168"/>
      <c r="CL14" s="168"/>
      <c r="CM14" s="168"/>
      <c r="CN14" s="168"/>
      <c r="CO14" s="168"/>
      <c r="CP14" s="168"/>
      <c r="CQ14" s="168"/>
      <c r="CR14" s="168"/>
      <c r="CS14" s="168"/>
      <c r="CT14" s="168"/>
      <c r="CU14" s="168"/>
      <c r="CV14" s="168"/>
      <c r="CW14" s="168"/>
      <c r="CX14" s="168"/>
      <c r="CY14" s="168"/>
      <c r="CZ14" s="168"/>
      <c r="DA14" s="168"/>
      <c r="DB14" s="168"/>
      <c r="DC14" s="168"/>
      <c r="DD14" s="168"/>
      <c r="DE14" s="168"/>
      <c r="DF14" s="168"/>
      <c r="DG14" s="168"/>
      <c r="DH14" s="168"/>
      <c r="DI14" s="168"/>
      <c r="DJ14" s="168"/>
      <c r="DK14" s="168"/>
      <c r="DL14" s="168"/>
      <c r="DM14" s="168"/>
      <c r="DN14" s="168"/>
      <c r="DO14" s="168"/>
      <c r="DP14" s="168"/>
      <c r="DQ14" s="168"/>
      <c r="DR14" s="168"/>
      <c r="DS14" s="168"/>
      <c r="DT14" s="168"/>
      <c r="DU14" s="168"/>
      <c r="DV14" s="168"/>
      <c r="DW14" s="168"/>
      <c r="DX14" s="168"/>
      <c r="DY14" s="168"/>
      <c r="DZ14" s="168"/>
      <c r="EA14" s="168"/>
      <c r="EB14" s="168"/>
      <c r="EC14" s="168"/>
      <c r="ED14" s="168"/>
      <c r="EE14" s="168"/>
      <c r="EF14" s="168"/>
      <c r="EG14" s="168"/>
      <c r="EH14" s="168"/>
      <c r="EI14" s="168"/>
      <c r="EJ14" s="168"/>
      <c r="EK14" s="168"/>
      <c r="EL14" s="168"/>
      <c r="EM14" s="168"/>
      <c r="EN14" s="168"/>
      <c r="EO14" s="168"/>
      <c r="EP14" s="168"/>
      <c r="EQ14" s="168"/>
      <c r="ER14" s="168"/>
      <c r="ES14" s="168"/>
      <c r="ET14" s="168"/>
      <c r="EU14" s="168"/>
      <c r="EV14" s="168"/>
      <c r="EW14" s="168"/>
      <c r="EX14" s="168"/>
      <c r="EY14" s="168"/>
      <c r="EZ14" s="168"/>
      <c r="FA14" s="168"/>
      <c r="FB14" s="168"/>
      <c r="FC14" s="168"/>
      <c r="FD14" s="168"/>
      <c r="FE14" s="168"/>
      <c r="FF14" s="168"/>
      <c r="FG14" s="168"/>
      <c r="FH14" s="168"/>
      <c r="FI14" s="168"/>
      <c r="FJ14" s="168"/>
      <c r="FK14" s="168"/>
      <c r="FL14" s="168"/>
      <c r="FM14" s="168"/>
      <c r="FN14" s="168"/>
      <c r="FO14" s="168"/>
      <c r="FP14" s="168"/>
      <c r="FQ14" s="168"/>
      <c r="FR14" s="168"/>
      <c r="FS14" s="168"/>
      <c r="FT14" s="168"/>
      <c r="FU14" s="168"/>
      <c r="FV14" s="168"/>
      <c r="FW14" s="168"/>
      <c r="FX14" s="168"/>
      <c r="FY14" s="168"/>
      <c r="FZ14" s="168"/>
      <c r="GA14" s="168"/>
      <c r="GB14" s="168"/>
      <c r="GC14" s="168"/>
      <c r="GD14" s="168"/>
      <c r="GE14" s="168"/>
      <c r="GF14" s="168"/>
      <c r="GG14" s="168"/>
      <c r="GH14" s="168"/>
      <c r="GI14" s="168"/>
      <c r="GJ14" s="168"/>
      <c r="GK14" s="168"/>
      <c r="GL14" s="168"/>
      <c r="GM14" s="168"/>
      <c r="GN14" s="168"/>
      <c r="GO14" s="168"/>
      <c r="GP14" s="168"/>
      <c r="GQ14" s="168"/>
      <c r="GR14" s="168"/>
      <c r="GS14" s="168"/>
      <c r="GT14" s="168"/>
      <c r="GU14" s="168"/>
      <c r="GV14" s="168"/>
      <c r="GW14" s="168"/>
      <c r="GX14" s="168"/>
      <c r="GY14" s="168"/>
      <c r="GZ14" s="168"/>
      <c r="HA14" s="168"/>
      <c r="HB14" s="168"/>
      <c r="HC14" s="168"/>
      <c r="HD14" s="168"/>
      <c r="HE14" s="168"/>
      <c r="HF14" s="168"/>
      <c r="HG14" s="168"/>
      <c r="HH14" s="168"/>
      <c r="HI14" s="168"/>
      <c r="HJ14" s="168"/>
      <c r="HK14" s="168"/>
      <c r="HL14" s="168"/>
      <c r="HM14" s="168"/>
      <c r="HN14" s="168"/>
      <c r="HO14" s="168"/>
      <c r="HP14" s="168"/>
      <c r="HQ14" s="168"/>
      <c r="HR14" s="168"/>
      <c r="HS14" s="168"/>
      <c r="HT14" s="168"/>
      <c r="HU14" s="168"/>
      <c r="HV14" s="168"/>
      <c r="HW14" s="168"/>
      <c r="HX14" s="168"/>
      <c r="HY14" s="168"/>
      <c r="HZ14" s="168"/>
      <c r="IA14" s="168"/>
      <c r="IB14" s="168"/>
      <c r="IC14" s="168"/>
      <c r="ID14" s="168"/>
      <c r="IE14" s="168"/>
      <c r="IF14" s="168"/>
      <c r="IG14" s="168"/>
      <c r="IH14" s="168"/>
      <c r="II14" s="168"/>
      <c r="IJ14" s="168"/>
      <c r="IK14" s="168"/>
      <c r="IL14" s="168"/>
      <c r="IM14" s="168"/>
      <c r="IN14" s="168"/>
      <c r="IO14" s="168"/>
      <c r="IP14" s="168"/>
      <c r="IQ14" s="168"/>
      <c r="IR14" s="168"/>
      <c r="IS14" s="168"/>
      <c r="IT14" s="168"/>
      <c r="IU14" s="168"/>
      <c r="IV14" s="168"/>
      <c r="IW14" s="168"/>
      <c r="IX14" s="168"/>
      <c r="IY14" s="168"/>
      <c r="IZ14" s="168"/>
      <c r="JA14" s="168"/>
      <c r="JB14" s="168"/>
      <c r="JC14" s="168"/>
      <c r="JD14" s="168"/>
      <c r="JE14" s="168"/>
      <c r="JF14" s="168"/>
      <c r="JG14" s="168"/>
      <c r="JH14" s="168"/>
      <c r="JI14" s="168"/>
      <c r="JJ14" s="168"/>
      <c r="JK14" s="168"/>
      <c r="JL14" s="168"/>
      <c r="JM14" s="168"/>
      <c r="JN14" s="168"/>
      <c r="JO14" s="168"/>
      <c r="JP14" s="168"/>
      <c r="JQ14" s="168"/>
      <c r="JR14" s="168"/>
      <c r="JS14" s="168"/>
      <c r="JT14" s="168"/>
      <c r="JU14" s="168"/>
      <c r="JV14" s="168"/>
      <c r="JW14" s="168"/>
      <c r="JX14" s="168"/>
      <c r="JY14" s="168"/>
      <c r="JZ14" s="168"/>
      <c r="KA14" s="168"/>
      <c r="KB14" s="168"/>
      <c r="KC14" s="168"/>
      <c r="KD14" s="168"/>
      <c r="KE14" s="168"/>
      <c r="KF14" s="168"/>
      <c r="KG14" s="168"/>
      <c r="KH14" s="168"/>
      <c r="KI14" s="168"/>
      <c r="KJ14" s="168"/>
      <c r="KK14" s="168"/>
      <c r="KL14" s="168"/>
      <c r="KM14" s="168"/>
      <c r="KN14" s="168"/>
      <c r="KO14" s="168"/>
      <c r="KP14" s="168"/>
      <c r="KQ14" s="168"/>
      <c r="KR14" s="168"/>
      <c r="KS14" s="168"/>
      <c r="KT14" s="168"/>
      <c r="KU14" s="168"/>
      <c r="KV14" s="168"/>
      <c r="KW14" s="168"/>
      <c r="KX14" s="168"/>
      <c r="KY14" s="168"/>
      <c r="KZ14" s="168"/>
      <c r="LA14" s="168"/>
      <c r="LB14" s="168"/>
      <c r="LC14" s="168"/>
      <c r="LD14" s="168"/>
      <c r="LE14" s="168"/>
      <c r="LF14" s="168"/>
      <c r="LG14" s="168"/>
      <c r="LH14" s="168"/>
      <c r="LI14" s="168"/>
      <c r="LJ14" s="168"/>
      <c r="LK14" s="168"/>
      <c r="LL14" s="168"/>
      <c r="LM14" s="168"/>
      <c r="LN14" s="168"/>
      <c r="LO14" s="168"/>
      <c r="LP14" s="168"/>
      <c r="LQ14" s="168"/>
      <c r="LR14" s="168"/>
      <c r="LS14" s="168"/>
      <c r="LT14" s="168"/>
      <c r="LU14" s="168"/>
      <c r="LV14" s="168"/>
      <c r="LW14" s="168"/>
      <c r="LX14" s="168"/>
      <c r="LY14" s="168"/>
      <c r="LZ14" s="168"/>
      <c r="MA14" s="168"/>
      <c r="MB14" s="168"/>
      <c r="MC14" s="168"/>
      <c r="MD14" s="168"/>
      <c r="ME14" s="168"/>
      <c r="MF14" s="168"/>
      <c r="MG14" s="168"/>
      <c r="MH14" s="168"/>
      <c r="MI14" s="168"/>
      <c r="MJ14" s="168"/>
      <c r="MK14" s="168"/>
      <c r="ML14" s="168"/>
      <c r="MM14" s="168"/>
      <c r="MN14" s="168"/>
      <c r="MO14" s="168"/>
      <c r="MP14" s="168"/>
      <c r="MQ14" s="168"/>
      <c r="MR14" s="168"/>
      <c r="MS14" s="168"/>
      <c r="MT14" s="168"/>
      <c r="MU14" s="168"/>
      <c r="MV14" s="168"/>
      <c r="MW14" s="168"/>
      <c r="MX14" s="168"/>
      <c r="MY14" s="168"/>
      <c r="MZ14" s="168"/>
      <c r="NA14" s="168"/>
      <c r="NB14" s="168"/>
      <c r="NC14" s="168"/>
      <c r="ND14" s="168"/>
      <c r="NE14" s="168"/>
      <c r="NF14" s="168"/>
      <c r="NG14" s="168"/>
      <c r="NH14" s="168"/>
      <c r="NI14" s="168"/>
      <c r="NJ14" s="168"/>
      <c r="NK14" s="168"/>
      <c r="NL14" s="168"/>
      <c r="NM14" s="168"/>
      <c r="NN14" s="168"/>
      <c r="NO14" s="168"/>
      <c r="NP14" s="168"/>
      <c r="NQ14" s="168"/>
      <c r="NR14" s="168"/>
      <c r="NS14" s="168"/>
      <c r="NT14" s="168"/>
      <c r="NU14" s="168"/>
      <c r="NV14" s="168"/>
      <c r="NW14" s="168"/>
      <c r="NX14" s="168"/>
      <c r="NY14" s="168"/>
      <c r="NZ14" s="168"/>
      <c r="OA14" s="168"/>
      <c r="OB14" s="168"/>
      <c r="OC14" s="168"/>
      <c r="OD14" s="168"/>
      <c r="OE14" s="168"/>
      <c r="OF14" s="168"/>
      <c r="OG14" s="168"/>
      <c r="OH14" s="168"/>
      <c r="OI14" s="168"/>
      <c r="OJ14" s="168"/>
      <c r="OK14" s="168"/>
      <c r="OL14" s="168"/>
      <c r="OM14" s="168"/>
      <c r="ON14" s="168"/>
      <c r="OO14" s="168"/>
      <c r="OP14" s="168"/>
      <c r="OQ14" s="168"/>
      <c r="OR14" s="168"/>
      <c r="OS14" s="168"/>
      <c r="OT14" s="168"/>
      <c r="OU14" s="169"/>
      <c r="OV14" s="169"/>
      <c r="OW14" s="169"/>
      <c r="OX14" s="169"/>
      <c r="OY14" s="169"/>
      <c r="OZ14" s="169"/>
      <c r="PA14" s="169"/>
      <c r="PB14" s="169"/>
      <c r="PC14" s="169"/>
      <c r="PD14" s="169"/>
      <c r="PE14" s="169"/>
      <c r="PF14" s="169"/>
      <c r="PG14" s="169"/>
      <c r="PH14" s="169"/>
      <c r="PI14" s="169"/>
      <c r="PJ14" s="169"/>
      <c r="PK14" s="169"/>
      <c r="PL14" s="169"/>
      <c r="PM14" s="169"/>
      <c r="PN14" s="169"/>
      <c r="PO14" s="72"/>
      <c r="PP14" s="169"/>
      <c r="PQ14" s="169"/>
      <c r="PR14" s="169"/>
      <c r="PS14" s="169"/>
      <c r="PT14" s="169"/>
      <c r="PU14" s="169"/>
      <c r="PV14" s="169"/>
      <c r="PW14" s="169"/>
      <c r="PX14" s="169"/>
      <c r="PY14" s="169"/>
      <c r="PZ14" s="169"/>
      <c r="QA14" s="169"/>
      <c r="QB14" s="169"/>
      <c r="QC14" s="169"/>
      <c r="QD14" s="169"/>
      <c r="QE14" s="169"/>
      <c r="QF14" s="169"/>
      <c r="QG14" s="169"/>
      <c r="QH14" s="169"/>
      <c r="QI14" s="169"/>
      <c r="QJ14" s="169"/>
      <c r="QK14" s="169"/>
      <c r="QL14" s="169"/>
      <c r="QM14" s="169"/>
      <c r="QN14" s="169"/>
      <c r="QO14" s="169"/>
      <c r="QP14" s="169"/>
      <c r="QQ14" s="169"/>
      <c r="QR14" s="169"/>
      <c r="QS14" s="169"/>
      <c r="QT14" s="169"/>
      <c r="QU14" s="169"/>
      <c r="QV14" s="169"/>
      <c r="QW14" s="169"/>
      <c r="QX14" s="169"/>
      <c r="QY14" s="169"/>
      <c r="QZ14" s="169"/>
      <c r="RA14" s="169"/>
      <c r="RB14" s="169"/>
      <c r="RC14" s="169"/>
      <c r="RD14" s="169"/>
      <c r="RE14" s="169"/>
      <c r="RF14" s="169"/>
      <c r="RG14" s="169"/>
      <c r="RH14" s="169"/>
      <c r="RI14" s="169"/>
      <c r="RJ14" s="169"/>
      <c r="RK14" s="169"/>
      <c r="RL14" s="169"/>
      <c r="RM14" s="169"/>
      <c r="RN14" s="169"/>
      <c r="RO14" s="168"/>
      <c r="RP14" s="168"/>
      <c r="RQ14" s="168"/>
      <c r="RR14" s="168"/>
      <c r="RS14" s="168"/>
      <c r="RT14" s="168"/>
      <c r="RU14" s="170"/>
      <c r="RV14" s="170"/>
      <c r="RW14" s="170"/>
      <c r="RX14" s="170"/>
      <c r="RY14" s="170"/>
      <c r="RZ14" s="170"/>
      <c r="SA14" s="169"/>
      <c r="SB14" s="169"/>
      <c r="SC14" s="169"/>
      <c r="SD14" s="169"/>
      <c r="SE14" s="169"/>
      <c r="SF14" s="169"/>
      <c r="SG14" s="169"/>
      <c r="SH14" s="169"/>
      <c r="SI14" s="169"/>
      <c r="SJ14" s="169"/>
      <c r="SK14" s="169"/>
      <c r="SL14" s="169"/>
      <c r="SM14" s="169"/>
      <c r="SN14" s="169"/>
      <c r="SO14" s="169"/>
      <c r="SP14" s="169"/>
      <c r="SQ14" s="169"/>
      <c r="SR14" s="169"/>
      <c r="SS14" s="178"/>
    </row>
    <row r="15" spans="1:513" s="194" customFormat="1" ht="17.25" customHeight="1">
      <c r="A15" s="215" t="s">
        <v>196</v>
      </c>
      <c r="B15" s="216"/>
      <c r="C15" s="216"/>
      <c r="D15" s="216"/>
      <c r="E15" s="217"/>
      <c r="F15" s="193">
        <f>F13</f>
        <v>0</v>
      </c>
      <c r="G15" s="193">
        <f>G13+G14</f>
        <v>0</v>
      </c>
      <c r="H15" s="193">
        <f t="shared" ref="H15:BS15" si="56">H13+H14</f>
        <v>0</v>
      </c>
      <c r="I15" s="193">
        <f t="shared" si="56"/>
        <v>0</v>
      </c>
      <c r="J15" s="193">
        <f t="shared" si="56"/>
        <v>0</v>
      </c>
      <c r="K15" s="193">
        <f t="shared" si="56"/>
        <v>0</v>
      </c>
      <c r="L15" s="193">
        <f t="shared" si="56"/>
        <v>0</v>
      </c>
      <c r="M15" s="193">
        <f t="shared" si="56"/>
        <v>0</v>
      </c>
      <c r="N15" s="193">
        <f t="shared" si="56"/>
        <v>0</v>
      </c>
      <c r="O15" s="193">
        <f t="shared" si="56"/>
        <v>0</v>
      </c>
      <c r="P15" s="193">
        <f t="shared" si="56"/>
        <v>0</v>
      </c>
      <c r="Q15" s="193">
        <f t="shared" si="56"/>
        <v>0</v>
      </c>
      <c r="R15" s="193">
        <f t="shared" si="56"/>
        <v>0</v>
      </c>
      <c r="S15" s="193">
        <f t="shared" si="56"/>
        <v>0</v>
      </c>
      <c r="T15" s="193">
        <f t="shared" si="56"/>
        <v>0</v>
      </c>
      <c r="U15" s="193">
        <f t="shared" si="56"/>
        <v>0</v>
      </c>
      <c r="V15" s="193">
        <f t="shared" si="56"/>
        <v>0</v>
      </c>
      <c r="W15" s="193">
        <f t="shared" si="56"/>
        <v>0</v>
      </c>
      <c r="X15" s="193">
        <f t="shared" si="56"/>
        <v>0</v>
      </c>
      <c r="Y15" s="193">
        <f t="shared" si="56"/>
        <v>0</v>
      </c>
      <c r="Z15" s="193">
        <f t="shared" si="56"/>
        <v>0</v>
      </c>
      <c r="AA15" s="193">
        <f t="shared" si="56"/>
        <v>0</v>
      </c>
      <c r="AB15" s="193">
        <f t="shared" si="56"/>
        <v>0</v>
      </c>
      <c r="AC15" s="193">
        <f t="shared" si="56"/>
        <v>0</v>
      </c>
      <c r="AD15" s="193">
        <f t="shared" si="56"/>
        <v>0</v>
      </c>
      <c r="AE15" s="193">
        <f t="shared" si="56"/>
        <v>0</v>
      </c>
      <c r="AF15" s="193">
        <f t="shared" si="56"/>
        <v>0</v>
      </c>
      <c r="AG15" s="193">
        <f t="shared" si="56"/>
        <v>0</v>
      </c>
      <c r="AH15" s="193">
        <f t="shared" si="56"/>
        <v>0</v>
      </c>
      <c r="AI15" s="193">
        <f t="shared" si="56"/>
        <v>0</v>
      </c>
      <c r="AJ15" s="193">
        <f t="shared" si="56"/>
        <v>0</v>
      </c>
      <c r="AK15" s="193">
        <f t="shared" si="56"/>
        <v>0</v>
      </c>
      <c r="AL15" s="193">
        <f t="shared" si="56"/>
        <v>0</v>
      </c>
      <c r="AM15" s="193">
        <f t="shared" si="56"/>
        <v>0</v>
      </c>
      <c r="AN15" s="193">
        <f t="shared" si="56"/>
        <v>0</v>
      </c>
      <c r="AO15" s="193">
        <f t="shared" si="56"/>
        <v>0</v>
      </c>
      <c r="AP15" s="193">
        <f t="shared" si="56"/>
        <v>0</v>
      </c>
      <c r="AQ15" s="193">
        <f t="shared" si="56"/>
        <v>0</v>
      </c>
      <c r="AR15" s="193">
        <f t="shared" si="56"/>
        <v>0</v>
      </c>
      <c r="AS15" s="193">
        <f t="shared" si="56"/>
        <v>0</v>
      </c>
      <c r="AT15" s="193">
        <f t="shared" si="56"/>
        <v>0</v>
      </c>
      <c r="AU15" s="193">
        <f t="shared" si="56"/>
        <v>0</v>
      </c>
      <c r="AV15" s="193">
        <f t="shared" si="56"/>
        <v>0</v>
      </c>
      <c r="AW15" s="193">
        <f t="shared" si="56"/>
        <v>0</v>
      </c>
      <c r="AX15" s="193">
        <f t="shared" si="56"/>
        <v>0</v>
      </c>
      <c r="AY15" s="193">
        <f t="shared" si="56"/>
        <v>0</v>
      </c>
      <c r="AZ15" s="193">
        <f t="shared" si="56"/>
        <v>0</v>
      </c>
      <c r="BA15" s="193">
        <f t="shared" si="56"/>
        <v>0</v>
      </c>
      <c r="BB15" s="193">
        <f t="shared" si="56"/>
        <v>0</v>
      </c>
      <c r="BC15" s="193">
        <f t="shared" si="56"/>
        <v>0</v>
      </c>
      <c r="BD15" s="193">
        <f t="shared" si="56"/>
        <v>0</v>
      </c>
      <c r="BE15" s="193">
        <f t="shared" si="56"/>
        <v>0</v>
      </c>
      <c r="BF15" s="193">
        <f t="shared" si="56"/>
        <v>0</v>
      </c>
      <c r="BG15" s="193">
        <f t="shared" si="56"/>
        <v>0</v>
      </c>
      <c r="BH15" s="193">
        <f t="shared" si="56"/>
        <v>0</v>
      </c>
      <c r="BI15" s="193">
        <f t="shared" si="56"/>
        <v>0</v>
      </c>
      <c r="BJ15" s="193">
        <f t="shared" si="56"/>
        <v>0</v>
      </c>
      <c r="BK15" s="193">
        <f t="shared" si="56"/>
        <v>0</v>
      </c>
      <c r="BL15" s="193">
        <f t="shared" si="56"/>
        <v>0</v>
      </c>
      <c r="BM15" s="193">
        <f t="shared" si="56"/>
        <v>0</v>
      </c>
      <c r="BN15" s="193">
        <f t="shared" si="56"/>
        <v>0</v>
      </c>
      <c r="BO15" s="193">
        <f t="shared" si="56"/>
        <v>0</v>
      </c>
      <c r="BP15" s="193">
        <f t="shared" si="56"/>
        <v>0</v>
      </c>
      <c r="BQ15" s="193">
        <f t="shared" si="56"/>
        <v>0</v>
      </c>
      <c r="BR15" s="193">
        <f t="shared" si="56"/>
        <v>0</v>
      </c>
      <c r="BS15" s="193">
        <f t="shared" si="56"/>
        <v>0</v>
      </c>
      <c r="BT15" s="193">
        <f t="shared" ref="BT15:EE15" si="57">BT13+BT14</f>
        <v>0</v>
      </c>
      <c r="BU15" s="193">
        <f t="shared" si="57"/>
        <v>0</v>
      </c>
      <c r="BV15" s="193">
        <f t="shared" si="57"/>
        <v>0</v>
      </c>
      <c r="BW15" s="193">
        <f t="shared" si="57"/>
        <v>0</v>
      </c>
      <c r="BX15" s="193">
        <f t="shared" si="57"/>
        <v>0</v>
      </c>
      <c r="BY15" s="193">
        <f t="shared" si="57"/>
        <v>0</v>
      </c>
      <c r="BZ15" s="193">
        <f t="shared" si="57"/>
        <v>0</v>
      </c>
      <c r="CA15" s="193">
        <f t="shared" si="57"/>
        <v>0</v>
      </c>
      <c r="CB15" s="193">
        <f t="shared" si="57"/>
        <v>0</v>
      </c>
      <c r="CC15" s="193">
        <f t="shared" si="57"/>
        <v>0</v>
      </c>
      <c r="CD15" s="193">
        <f t="shared" si="57"/>
        <v>0</v>
      </c>
      <c r="CE15" s="193">
        <f t="shared" si="57"/>
        <v>0</v>
      </c>
      <c r="CF15" s="193">
        <f t="shared" si="57"/>
        <v>0</v>
      </c>
      <c r="CG15" s="193">
        <f t="shared" si="57"/>
        <v>0</v>
      </c>
      <c r="CH15" s="193">
        <f t="shared" si="57"/>
        <v>0</v>
      </c>
      <c r="CI15" s="193">
        <f t="shared" si="57"/>
        <v>0</v>
      </c>
      <c r="CJ15" s="193">
        <f t="shared" si="57"/>
        <v>0</v>
      </c>
      <c r="CK15" s="193">
        <f t="shared" si="57"/>
        <v>0</v>
      </c>
      <c r="CL15" s="193">
        <f t="shared" si="57"/>
        <v>0</v>
      </c>
      <c r="CM15" s="193">
        <f t="shared" si="57"/>
        <v>0</v>
      </c>
      <c r="CN15" s="193">
        <f t="shared" si="57"/>
        <v>0</v>
      </c>
      <c r="CO15" s="193">
        <f t="shared" si="57"/>
        <v>0</v>
      </c>
      <c r="CP15" s="193">
        <f t="shared" si="57"/>
        <v>0</v>
      </c>
      <c r="CQ15" s="193">
        <f t="shared" si="57"/>
        <v>0</v>
      </c>
      <c r="CR15" s="193">
        <f t="shared" si="57"/>
        <v>0</v>
      </c>
      <c r="CS15" s="193">
        <f t="shared" si="57"/>
        <v>0</v>
      </c>
      <c r="CT15" s="193">
        <f t="shared" si="57"/>
        <v>0</v>
      </c>
      <c r="CU15" s="193">
        <f t="shared" si="57"/>
        <v>0</v>
      </c>
      <c r="CV15" s="193">
        <f t="shared" si="57"/>
        <v>0</v>
      </c>
      <c r="CW15" s="193">
        <f t="shared" si="57"/>
        <v>0</v>
      </c>
      <c r="CX15" s="193">
        <f t="shared" si="57"/>
        <v>0</v>
      </c>
      <c r="CY15" s="193">
        <f t="shared" si="57"/>
        <v>0</v>
      </c>
      <c r="CZ15" s="193">
        <f t="shared" si="57"/>
        <v>0</v>
      </c>
      <c r="DA15" s="193">
        <f t="shared" si="57"/>
        <v>0</v>
      </c>
      <c r="DB15" s="193">
        <f t="shared" si="57"/>
        <v>0</v>
      </c>
      <c r="DC15" s="193">
        <f t="shared" si="57"/>
        <v>0</v>
      </c>
      <c r="DD15" s="193">
        <f t="shared" si="57"/>
        <v>0</v>
      </c>
      <c r="DE15" s="193">
        <f t="shared" si="57"/>
        <v>0</v>
      </c>
      <c r="DF15" s="193">
        <f t="shared" si="57"/>
        <v>0</v>
      </c>
      <c r="DG15" s="193">
        <f t="shared" si="57"/>
        <v>0</v>
      </c>
      <c r="DH15" s="193">
        <f t="shared" si="57"/>
        <v>0</v>
      </c>
      <c r="DI15" s="193">
        <f t="shared" si="57"/>
        <v>0</v>
      </c>
      <c r="DJ15" s="193">
        <f t="shared" si="57"/>
        <v>0</v>
      </c>
      <c r="DK15" s="193">
        <f t="shared" si="57"/>
        <v>0</v>
      </c>
      <c r="DL15" s="193">
        <f t="shared" si="57"/>
        <v>0</v>
      </c>
      <c r="DM15" s="193">
        <f t="shared" si="57"/>
        <v>0</v>
      </c>
      <c r="DN15" s="193">
        <f t="shared" si="57"/>
        <v>0</v>
      </c>
      <c r="DO15" s="193">
        <f t="shared" si="57"/>
        <v>0</v>
      </c>
      <c r="DP15" s="193">
        <f t="shared" si="57"/>
        <v>0</v>
      </c>
      <c r="DQ15" s="193">
        <f t="shared" si="57"/>
        <v>0</v>
      </c>
      <c r="DR15" s="193">
        <f t="shared" si="57"/>
        <v>0</v>
      </c>
      <c r="DS15" s="193">
        <f t="shared" si="57"/>
        <v>0</v>
      </c>
      <c r="DT15" s="193">
        <f t="shared" si="57"/>
        <v>0</v>
      </c>
      <c r="DU15" s="193">
        <f t="shared" si="57"/>
        <v>0</v>
      </c>
      <c r="DV15" s="193">
        <f t="shared" si="57"/>
        <v>0</v>
      </c>
      <c r="DW15" s="193">
        <f t="shared" si="57"/>
        <v>0</v>
      </c>
      <c r="DX15" s="193">
        <f t="shared" si="57"/>
        <v>0</v>
      </c>
      <c r="DY15" s="193">
        <f t="shared" si="57"/>
        <v>0</v>
      </c>
      <c r="DZ15" s="193">
        <f t="shared" si="57"/>
        <v>0</v>
      </c>
      <c r="EA15" s="193">
        <f t="shared" si="57"/>
        <v>0</v>
      </c>
      <c r="EB15" s="193">
        <f t="shared" si="57"/>
        <v>0</v>
      </c>
      <c r="EC15" s="193">
        <f t="shared" si="57"/>
        <v>0</v>
      </c>
      <c r="ED15" s="193">
        <f t="shared" si="57"/>
        <v>0</v>
      </c>
      <c r="EE15" s="193">
        <f t="shared" si="57"/>
        <v>0</v>
      </c>
      <c r="EF15" s="193">
        <f t="shared" ref="EF15:GQ15" si="58">EF13+EF14</f>
        <v>0</v>
      </c>
      <c r="EG15" s="193">
        <f t="shared" si="58"/>
        <v>0</v>
      </c>
      <c r="EH15" s="193">
        <f t="shared" si="58"/>
        <v>0</v>
      </c>
      <c r="EI15" s="193">
        <f t="shared" si="58"/>
        <v>0</v>
      </c>
      <c r="EJ15" s="193">
        <f t="shared" si="58"/>
        <v>0</v>
      </c>
      <c r="EK15" s="193">
        <f t="shared" si="58"/>
        <v>0</v>
      </c>
      <c r="EL15" s="193">
        <f t="shared" si="58"/>
        <v>0</v>
      </c>
      <c r="EM15" s="193">
        <f t="shared" si="58"/>
        <v>0</v>
      </c>
      <c r="EN15" s="193">
        <f t="shared" si="58"/>
        <v>0</v>
      </c>
      <c r="EO15" s="193">
        <f t="shared" si="58"/>
        <v>0</v>
      </c>
      <c r="EP15" s="193">
        <f t="shared" si="58"/>
        <v>0</v>
      </c>
      <c r="EQ15" s="193">
        <f t="shared" si="58"/>
        <v>0</v>
      </c>
      <c r="ER15" s="193">
        <f t="shared" si="58"/>
        <v>0</v>
      </c>
      <c r="ES15" s="193">
        <f t="shared" si="58"/>
        <v>0</v>
      </c>
      <c r="ET15" s="193">
        <f t="shared" si="58"/>
        <v>0</v>
      </c>
      <c r="EU15" s="193">
        <f t="shared" si="58"/>
        <v>0</v>
      </c>
      <c r="EV15" s="193">
        <f t="shared" si="58"/>
        <v>0</v>
      </c>
      <c r="EW15" s="193">
        <f t="shared" si="58"/>
        <v>0</v>
      </c>
      <c r="EX15" s="193">
        <f t="shared" si="58"/>
        <v>0</v>
      </c>
      <c r="EY15" s="193">
        <f t="shared" si="58"/>
        <v>0</v>
      </c>
      <c r="EZ15" s="193">
        <f t="shared" si="58"/>
        <v>0</v>
      </c>
      <c r="FA15" s="193">
        <f t="shared" si="58"/>
        <v>0</v>
      </c>
      <c r="FB15" s="193">
        <f t="shared" si="58"/>
        <v>0</v>
      </c>
      <c r="FC15" s="193">
        <f t="shared" si="58"/>
        <v>0</v>
      </c>
      <c r="FD15" s="193">
        <f t="shared" si="58"/>
        <v>0</v>
      </c>
      <c r="FE15" s="193">
        <f t="shared" si="58"/>
        <v>0</v>
      </c>
      <c r="FF15" s="193">
        <f t="shared" si="58"/>
        <v>0</v>
      </c>
      <c r="FG15" s="193">
        <f t="shared" si="58"/>
        <v>0</v>
      </c>
      <c r="FH15" s="193">
        <f t="shared" si="58"/>
        <v>0</v>
      </c>
      <c r="FI15" s="193">
        <f t="shared" si="58"/>
        <v>0</v>
      </c>
      <c r="FJ15" s="193">
        <f t="shared" si="58"/>
        <v>0</v>
      </c>
      <c r="FK15" s="193">
        <f t="shared" si="58"/>
        <v>0</v>
      </c>
      <c r="FL15" s="193">
        <f t="shared" si="58"/>
        <v>0</v>
      </c>
      <c r="FM15" s="193">
        <f t="shared" si="58"/>
        <v>0</v>
      </c>
      <c r="FN15" s="193">
        <f t="shared" si="58"/>
        <v>0</v>
      </c>
      <c r="FO15" s="193">
        <f t="shared" si="58"/>
        <v>0</v>
      </c>
      <c r="FP15" s="193">
        <f t="shared" si="58"/>
        <v>0</v>
      </c>
      <c r="FQ15" s="193">
        <f t="shared" si="58"/>
        <v>0</v>
      </c>
      <c r="FR15" s="193">
        <f t="shared" si="58"/>
        <v>0</v>
      </c>
      <c r="FS15" s="193">
        <f t="shared" si="58"/>
        <v>0</v>
      </c>
      <c r="FT15" s="193">
        <f t="shared" si="58"/>
        <v>0</v>
      </c>
      <c r="FU15" s="193">
        <f t="shared" si="58"/>
        <v>0</v>
      </c>
      <c r="FV15" s="193">
        <f t="shared" si="58"/>
        <v>0</v>
      </c>
      <c r="FW15" s="193">
        <f t="shared" si="58"/>
        <v>0</v>
      </c>
      <c r="FX15" s="193">
        <f t="shared" si="58"/>
        <v>0</v>
      </c>
      <c r="FY15" s="193">
        <f t="shared" si="58"/>
        <v>0</v>
      </c>
      <c r="FZ15" s="193">
        <f t="shared" si="58"/>
        <v>0</v>
      </c>
      <c r="GA15" s="193">
        <f t="shared" si="58"/>
        <v>0</v>
      </c>
      <c r="GB15" s="193">
        <f t="shared" si="58"/>
        <v>0</v>
      </c>
      <c r="GC15" s="193">
        <f t="shared" si="58"/>
        <v>0</v>
      </c>
      <c r="GD15" s="193">
        <f t="shared" si="58"/>
        <v>0</v>
      </c>
      <c r="GE15" s="193">
        <f t="shared" si="58"/>
        <v>0</v>
      </c>
      <c r="GF15" s="193">
        <f t="shared" si="58"/>
        <v>0</v>
      </c>
      <c r="GG15" s="193">
        <f t="shared" si="58"/>
        <v>0</v>
      </c>
      <c r="GH15" s="193">
        <f t="shared" si="58"/>
        <v>0</v>
      </c>
      <c r="GI15" s="193">
        <f t="shared" si="58"/>
        <v>0</v>
      </c>
      <c r="GJ15" s="193">
        <f t="shared" si="58"/>
        <v>0</v>
      </c>
      <c r="GK15" s="193">
        <f t="shared" si="58"/>
        <v>0</v>
      </c>
      <c r="GL15" s="193">
        <f t="shared" si="58"/>
        <v>0</v>
      </c>
      <c r="GM15" s="193">
        <f t="shared" si="58"/>
        <v>0</v>
      </c>
      <c r="GN15" s="193">
        <f t="shared" si="58"/>
        <v>0</v>
      </c>
      <c r="GO15" s="193">
        <f t="shared" si="58"/>
        <v>0</v>
      </c>
      <c r="GP15" s="193">
        <f t="shared" si="58"/>
        <v>0</v>
      </c>
      <c r="GQ15" s="193">
        <f t="shared" si="58"/>
        <v>0</v>
      </c>
      <c r="GR15" s="193">
        <f t="shared" ref="GR15:JC15" si="59">GR13+GR14</f>
        <v>0</v>
      </c>
      <c r="GS15" s="193">
        <f t="shared" si="59"/>
        <v>0</v>
      </c>
      <c r="GT15" s="193">
        <f t="shared" si="59"/>
        <v>0</v>
      </c>
      <c r="GU15" s="193">
        <f t="shared" si="59"/>
        <v>0</v>
      </c>
      <c r="GV15" s="193">
        <f t="shared" si="59"/>
        <v>0</v>
      </c>
      <c r="GW15" s="193">
        <f t="shared" si="59"/>
        <v>0</v>
      </c>
      <c r="GX15" s="193">
        <f t="shared" si="59"/>
        <v>0</v>
      </c>
      <c r="GY15" s="193">
        <f t="shared" si="59"/>
        <v>0</v>
      </c>
      <c r="GZ15" s="193">
        <f t="shared" si="59"/>
        <v>0</v>
      </c>
      <c r="HA15" s="193">
        <f t="shared" si="59"/>
        <v>0</v>
      </c>
      <c r="HB15" s="193">
        <f t="shared" si="59"/>
        <v>0</v>
      </c>
      <c r="HC15" s="193">
        <f t="shared" si="59"/>
        <v>0</v>
      </c>
      <c r="HD15" s="193">
        <f t="shared" si="59"/>
        <v>0</v>
      </c>
      <c r="HE15" s="193">
        <f t="shared" si="59"/>
        <v>0</v>
      </c>
      <c r="HF15" s="193">
        <f t="shared" si="59"/>
        <v>0</v>
      </c>
      <c r="HG15" s="193">
        <f t="shared" si="59"/>
        <v>0</v>
      </c>
      <c r="HH15" s="193">
        <f t="shared" si="59"/>
        <v>0</v>
      </c>
      <c r="HI15" s="193">
        <f t="shared" si="59"/>
        <v>0</v>
      </c>
      <c r="HJ15" s="193">
        <f t="shared" si="59"/>
        <v>0</v>
      </c>
      <c r="HK15" s="193">
        <f t="shared" si="59"/>
        <v>0</v>
      </c>
      <c r="HL15" s="193">
        <f t="shared" si="59"/>
        <v>0</v>
      </c>
      <c r="HM15" s="193">
        <f t="shared" si="59"/>
        <v>0</v>
      </c>
      <c r="HN15" s="193">
        <f t="shared" si="59"/>
        <v>0</v>
      </c>
      <c r="HO15" s="193">
        <f t="shared" si="59"/>
        <v>0</v>
      </c>
      <c r="HP15" s="193">
        <f t="shared" si="59"/>
        <v>0</v>
      </c>
      <c r="HQ15" s="193">
        <f t="shared" si="59"/>
        <v>0</v>
      </c>
      <c r="HR15" s="193">
        <f t="shared" si="59"/>
        <v>0</v>
      </c>
      <c r="HS15" s="193">
        <f t="shared" si="59"/>
        <v>0</v>
      </c>
      <c r="HT15" s="193">
        <f t="shared" si="59"/>
        <v>0</v>
      </c>
      <c r="HU15" s="193">
        <f t="shared" si="59"/>
        <v>0</v>
      </c>
      <c r="HV15" s="193">
        <f t="shared" si="59"/>
        <v>0</v>
      </c>
      <c r="HW15" s="193">
        <f t="shared" si="59"/>
        <v>0</v>
      </c>
      <c r="HX15" s="193">
        <f t="shared" si="59"/>
        <v>0</v>
      </c>
      <c r="HY15" s="193">
        <f t="shared" si="59"/>
        <v>0</v>
      </c>
      <c r="HZ15" s="193">
        <f t="shared" si="59"/>
        <v>0</v>
      </c>
      <c r="IA15" s="193">
        <f t="shared" si="59"/>
        <v>0</v>
      </c>
      <c r="IB15" s="193">
        <f t="shared" si="59"/>
        <v>0</v>
      </c>
      <c r="IC15" s="193">
        <f t="shared" si="59"/>
        <v>0</v>
      </c>
      <c r="ID15" s="193">
        <f t="shared" si="59"/>
        <v>0</v>
      </c>
      <c r="IE15" s="193">
        <f t="shared" si="59"/>
        <v>0</v>
      </c>
      <c r="IF15" s="193">
        <f t="shared" si="59"/>
        <v>0</v>
      </c>
      <c r="IG15" s="193">
        <f t="shared" si="59"/>
        <v>0</v>
      </c>
      <c r="IH15" s="193">
        <f t="shared" si="59"/>
        <v>0</v>
      </c>
      <c r="II15" s="193">
        <f t="shared" si="59"/>
        <v>0</v>
      </c>
      <c r="IJ15" s="193">
        <f t="shared" si="59"/>
        <v>0</v>
      </c>
      <c r="IK15" s="193">
        <f t="shared" si="59"/>
        <v>0</v>
      </c>
      <c r="IL15" s="193">
        <f t="shared" si="59"/>
        <v>0</v>
      </c>
      <c r="IM15" s="193">
        <f t="shared" si="59"/>
        <v>0</v>
      </c>
      <c r="IN15" s="193">
        <f t="shared" si="59"/>
        <v>0</v>
      </c>
      <c r="IO15" s="193">
        <f t="shared" si="59"/>
        <v>0</v>
      </c>
      <c r="IP15" s="193">
        <f t="shared" si="59"/>
        <v>0</v>
      </c>
      <c r="IQ15" s="193">
        <f t="shared" si="59"/>
        <v>0</v>
      </c>
      <c r="IR15" s="193">
        <f t="shared" si="59"/>
        <v>0</v>
      </c>
      <c r="IS15" s="193">
        <f t="shared" si="59"/>
        <v>0</v>
      </c>
      <c r="IT15" s="193">
        <f t="shared" si="59"/>
        <v>0</v>
      </c>
      <c r="IU15" s="193">
        <f t="shared" si="59"/>
        <v>0</v>
      </c>
      <c r="IV15" s="193">
        <f t="shared" si="59"/>
        <v>0</v>
      </c>
      <c r="IW15" s="193">
        <f t="shared" si="59"/>
        <v>0</v>
      </c>
      <c r="IX15" s="193">
        <f t="shared" si="59"/>
        <v>0</v>
      </c>
      <c r="IY15" s="193">
        <f t="shared" si="59"/>
        <v>0</v>
      </c>
      <c r="IZ15" s="193">
        <f t="shared" si="59"/>
        <v>0</v>
      </c>
      <c r="JA15" s="193">
        <f t="shared" si="59"/>
        <v>0</v>
      </c>
      <c r="JB15" s="193">
        <f t="shared" si="59"/>
        <v>0</v>
      </c>
      <c r="JC15" s="193">
        <f t="shared" si="59"/>
        <v>0</v>
      </c>
      <c r="JD15" s="193">
        <f t="shared" ref="JD15:LO15" si="60">JD13+JD14</f>
        <v>0</v>
      </c>
      <c r="JE15" s="193">
        <f t="shared" si="60"/>
        <v>0</v>
      </c>
      <c r="JF15" s="193">
        <f t="shared" si="60"/>
        <v>0</v>
      </c>
      <c r="JG15" s="193">
        <f t="shared" si="60"/>
        <v>0</v>
      </c>
      <c r="JH15" s="193">
        <f t="shared" si="60"/>
        <v>0</v>
      </c>
      <c r="JI15" s="193">
        <f t="shared" si="60"/>
        <v>0</v>
      </c>
      <c r="JJ15" s="193">
        <f t="shared" si="60"/>
        <v>0</v>
      </c>
      <c r="JK15" s="193">
        <f t="shared" si="60"/>
        <v>0</v>
      </c>
      <c r="JL15" s="193">
        <f t="shared" si="60"/>
        <v>0</v>
      </c>
      <c r="JM15" s="193">
        <f t="shared" si="60"/>
        <v>0</v>
      </c>
      <c r="JN15" s="193">
        <f t="shared" si="60"/>
        <v>0</v>
      </c>
      <c r="JO15" s="193">
        <f t="shared" si="60"/>
        <v>0</v>
      </c>
      <c r="JP15" s="193">
        <f t="shared" si="60"/>
        <v>0</v>
      </c>
      <c r="JQ15" s="193">
        <f t="shared" si="60"/>
        <v>0</v>
      </c>
      <c r="JR15" s="193">
        <f t="shared" si="60"/>
        <v>0</v>
      </c>
      <c r="JS15" s="193">
        <f t="shared" si="60"/>
        <v>0</v>
      </c>
      <c r="JT15" s="193">
        <f t="shared" si="60"/>
        <v>0</v>
      </c>
      <c r="JU15" s="193">
        <f t="shared" si="60"/>
        <v>0</v>
      </c>
      <c r="JV15" s="193">
        <f t="shared" si="60"/>
        <v>0</v>
      </c>
      <c r="JW15" s="193">
        <f t="shared" si="60"/>
        <v>0</v>
      </c>
      <c r="JX15" s="193">
        <f t="shared" si="60"/>
        <v>0</v>
      </c>
      <c r="JY15" s="193">
        <f t="shared" si="60"/>
        <v>0</v>
      </c>
      <c r="JZ15" s="193">
        <f t="shared" si="60"/>
        <v>0</v>
      </c>
      <c r="KA15" s="193">
        <f t="shared" si="60"/>
        <v>0</v>
      </c>
      <c r="KB15" s="193">
        <f t="shared" si="60"/>
        <v>0</v>
      </c>
      <c r="KC15" s="193">
        <f t="shared" si="60"/>
        <v>0</v>
      </c>
      <c r="KD15" s="193">
        <f t="shared" si="60"/>
        <v>0</v>
      </c>
      <c r="KE15" s="193">
        <f t="shared" si="60"/>
        <v>0</v>
      </c>
      <c r="KF15" s="193">
        <f t="shared" si="60"/>
        <v>0</v>
      </c>
      <c r="KG15" s="193">
        <f t="shared" si="60"/>
        <v>0</v>
      </c>
      <c r="KH15" s="193">
        <f t="shared" si="60"/>
        <v>0</v>
      </c>
      <c r="KI15" s="193">
        <f t="shared" si="60"/>
        <v>0</v>
      </c>
      <c r="KJ15" s="193">
        <f t="shared" si="60"/>
        <v>0</v>
      </c>
      <c r="KK15" s="193">
        <f t="shared" si="60"/>
        <v>0</v>
      </c>
      <c r="KL15" s="193">
        <f t="shared" si="60"/>
        <v>0</v>
      </c>
      <c r="KM15" s="193">
        <f t="shared" si="60"/>
        <v>0</v>
      </c>
      <c r="KN15" s="193">
        <f t="shared" si="60"/>
        <v>0</v>
      </c>
      <c r="KO15" s="193">
        <f t="shared" si="60"/>
        <v>0</v>
      </c>
      <c r="KP15" s="193">
        <f t="shared" si="60"/>
        <v>0</v>
      </c>
      <c r="KQ15" s="193">
        <f t="shared" si="60"/>
        <v>0</v>
      </c>
      <c r="KR15" s="193">
        <f t="shared" si="60"/>
        <v>0</v>
      </c>
      <c r="KS15" s="193">
        <f t="shared" si="60"/>
        <v>0</v>
      </c>
      <c r="KT15" s="193">
        <f t="shared" si="60"/>
        <v>0</v>
      </c>
      <c r="KU15" s="193">
        <f t="shared" si="60"/>
        <v>0</v>
      </c>
      <c r="KV15" s="193">
        <f t="shared" si="60"/>
        <v>0</v>
      </c>
      <c r="KW15" s="193">
        <f t="shared" si="60"/>
        <v>0</v>
      </c>
      <c r="KX15" s="193">
        <f t="shared" si="60"/>
        <v>0</v>
      </c>
      <c r="KY15" s="193">
        <f t="shared" si="60"/>
        <v>0</v>
      </c>
      <c r="KZ15" s="193">
        <f t="shared" si="60"/>
        <v>0</v>
      </c>
      <c r="LA15" s="193">
        <f t="shared" si="60"/>
        <v>0</v>
      </c>
      <c r="LB15" s="193">
        <f t="shared" si="60"/>
        <v>0</v>
      </c>
      <c r="LC15" s="193">
        <f t="shared" si="60"/>
        <v>0</v>
      </c>
      <c r="LD15" s="193">
        <f t="shared" si="60"/>
        <v>0</v>
      </c>
      <c r="LE15" s="193">
        <f t="shared" si="60"/>
        <v>0</v>
      </c>
      <c r="LF15" s="193">
        <f t="shared" si="60"/>
        <v>0</v>
      </c>
      <c r="LG15" s="193">
        <f t="shared" si="60"/>
        <v>0</v>
      </c>
      <c r="LH15" s="193">
        <f t="shared" si="60"/>
        <v>0</v>
      </c>
      <c r="LI15" s="193">
        <f t="shared" si="60"/>
        <v>0</v>
      </c>
      <c r="LJ15" s="193">
        <f t="shared" si="60"/>
        <v>0</v>
      </c>
      <c r="LK15" s="193">
        <f t="shared" si="60"/>
        <v>0</v>
      </c>
      <c r="LL15" s="193">
        <f t="shared" si="60"/>
        <v>0</v>
      </c>
      <c r="LM15" s="193">
        <f t="shared" si="60"/>
        <v>0</v>
      </c>
      <c r="LN15" s="193">
        <f t="shared" si="60"/>
        <v>0</v>
      </c>
      <c r="LO15" s="193">
        <f t="shared" si="60"/>
        <v>0</v>
      </c>
      <c r="LP15" s="193">
        <f t="shared" ref="LP15:OA15" si="61">LP13+LP14</f>
        <v>0</v>
      </c>
      <c r="LQ15" s="193">
        <f t="shared" si="61"/>
        <v>0</v>
      </c>
      <c r="LR15" s="193">
        <f t="shared" si="61"/>
        <v>0</v>
      </c>
      <c r="LS15" s="193">
        <f t="shared" si="61"/>
        <v>0</v>
      </c>
      <c r="LT15" s="193">
        <f t="shared" si="61"/>
        <v>0</v>
      </c>
      <c r="LU15" s="193">
        <f t="shared" si="61"/>
        <v>0</v>
      </c>
      <c r="LV15" s="193">
        <f t="shared" si="61"/>
        <v>0</v>
      </c>
      <c r="LW15" s="193">
        <f t="shared" si="61"/>
        <v>0</v>
      </c>
      <c r="LX15" s="193">
        <f t="shared" si="61"/>
        <v>0</v>
      </c>
      <c r="LY15" s="193">
        <f t="shared" si="61"/>
        <v>0</v>
      </c>
      <c r="LZ15" s="193">
        <f t="shared" si="61"/>
        <v>0</v>
      </c>
      <c r="MA15" s="193">
        <f t="shared" si="61"/>
        <v>0</v>
      </c>
      <c r="MB15" s="193">
        <f t="shared" si="61"/>
        <v>0</v>
      </c>
      <c r="MC15" s="193">
        <f t="shared" si="61"/>
        <v>0</v>
      </c>
      <c r="MD15" s="193">
        <f t="shared" si="61"/>
        <v>0</v>
      </c>
      <c r="ME15" s="193">
        <f t="shared" si="61"/>
        <v>0</v>
      </c>
      <c r="MF15" s="193">
        <f t="shared" si="61"/>
        <v>0</v>
      </c>
      <c r="MG15" s="193">
        <f t="shared" si="61"/>
        <v>0</v>
      </c>
      <c r="MH15" s="193">
        <f t="shared" si="61"/>
        <v>0</v>
      </c>
      <c r="MI15" s="193">
        <f t="shared" si="61"/>
        <v>0</v>
      </c>
      <c r="MJ15" s="193">
        <f t="shared" si="61"/>
        <v>0</v>
      </c>
      <c r="MK15" s="193">
        <f t="shared" si="61"/>
        <v>0</v>
      </c>
      <c r="ML15" s="193">
        <f t="shared" si="61"/>
        <v>0</v>
      </c>
      <c r="MM15" s="193">
        <f t="shared" si="61"/>
        <v>0</v>
      </c>
      <c r="MN15" s="193">
        <f t="shared" si="61"/>
        <v>0</v>
      </c>
      <c r="MO15" s="193">
        <f t="shared" si="61"/>
        <v>0</v>
      </c>
      <c r="MP15" s="193">
        <f t="shared" si="61"/>
        <v>0</v>
      </c>
      <c r="MQ15" s="193">
        <f t="shared" si="61"/>
        <v>0</v>
      </c>
      <c r="MR15" s="193">
        <f t="shared" si="61"/>
        <v>0</v>
      </c>
      <c r="MS15" s="193">
        <f t="shared" si="61"/>
        <v>0</v>
      </c>
      <c r="MT15" s="193">
        <f t="shared" si="61"/>
        <v>0</v>
      </c>
      <c r="MU15" s="193">
        <f t="shared" si="61"/>
        <v>0</v>
      </c>
      <c r="MV15" s="193">
        <f t="shared" si="61"/>
        <v>0</v>
      </c>
      <c r="MW15" s="193">
        <f t="shared" si="61"/>
        <v>0</v>
      </c>
      <c r="MX15" s="193">
        <f t="shared" si="61"/>
        <v>0</v>
      </c>
      <c r="MY15" s="193">
        <f t="shared" si="61"/>
        <v>0</v>
      </c>
      <c r="MZ15" s="193">
        <f t="shared" si="61"/>
        <v>0</v>
      </c>
      <c r="NA15" s="193">
        <f t="shared" si="61"/>
        <v>0</v>
      </c>
      <c r="NB15" s="193">
        <f t="shared" si="61"/>
        <v>0</v>
      </c>
      <c r="NC15" s="193">
        <f t="shared" si="61"/>
        <v>0</v>
      </c>
      <c r="ND15" s="193">
        <f t="shared" si="61"/>
        <v>0</v>
      </c>
      <c r="NE15" s="193">
        <f t="shared" si="61"/>
        <v>0</v>
      </c>
      <c r="NF15" s="193">
        <f t="shared" si="61"/>
        <v>0</v>
      </c>
      <c r="NG15" s="193">
        <f t="shared" si="61"/>
        <v>0</v>
      </c>
      <c r="NH15" s="193">
        <f t="shared" si="61"/>
        <v>0</v>
      </c>
      <c r="NI15" s="193">
        <f t="shared" si="61"/>
        <v>0</v>
      </c>
      <c r="NJ15" s="193">
        <f t="shared" si="61"/>
        <v>0</v>
      </c>
      <c r="NK15" s="193">
        <f t="shared" si="61"/>
        <v>0</v>
      </c>
      <c r="NL15" s="193">
        <f t="shared" si="61"/>
        <v>0</v>
      </c>
      <c r="NM15" s="193">
        <f t="shared" si="61"/>
        <v>0</v>
      </c>
      <c r="NN15" s="193">
        <f t="shared" si="61"/>
        <v>0</v>
      </c>
      <c r="NO15" s="193">
        <f t="shared" si="61"/>
        <v>0</v>
      </c>
      <c r="NP15" s="193">
        <f t="shared" si="61"/>
        <v>0</v>
      </c>
      <c r="NQ15" s="193">
        <f t="shared" si="61"/>
        <v>0</v>
      </c>
      <c r="NR15" s="193">
        <f t="shared" si="61"/>
        <v>0</v>
      </c>
      <c r="NS15" s="193">
        <f t="shared" si="61"/>
        <v>0</v>
      </c>
      <c r="NT15" s="193">
        <f t="shared" si="61"/>
        <v>0</v>
      </c>
      <c r="NU15" s="193">
        <f t="shared" si="61"/>
        <v>0</v>
      </c>
      <c r="NV15" s="193">
        <f t="shared" si="61"/>
        <v>0</v>
      </c>
      <c r="NW15" s="193">
        <f t="shared" si="61"/>
        <v>0</v>
      </c>
      <c r="NX15" s="193">
        <f t="shared" si="61"/>
        <v>0</v>
      </c>
      <c r="NY15" s="193">
        <f t="shared" si="61"/>
        <v>0</v>
      </c>
      <c r="NZ15" s="193">
        <f t="shared" si="61"/>
        <v>0</v>
      </c>
      <c r="OA15" s="193">
        <f t="shared" si="61"/>
        <v>0</v>
      </c>
      <c r="OB15" s="193">
        <f t="shared" ref="OB15:QM15" si="62">OB13+OB14</f>
        <v>0</v>
      </c>
      <c r="OC15" s="193">
        <f t="shared" si="62"/>
        <v>0</v>
      </c>
      <c r="OD15" s="193">
        <f t="shared" si="62"/>
        <v>0</v>
      </c>
      <c r="OE15" s="193">
        <f t="shared" si="62"/>
        <v>0</v>
      </c>
      <c r="OF15" s="193">
        <f t="shared" si="62"/>
        <v>0</v>
      </c>
      <c r="OG15" s="193">
        <f t="shared" si="62"/>
        <v>0</v>
      </c>
      <c r="OH15" s="193">
        <f t="shared" si="62"/>
        <v>0</v>
      </c>
      <c r="OI15" s="193">
        <f t="shared" si="62"/>
        <v>0</v>
      </c>
      <c r="OJ15" s="193">
        <f t="shared" si="62"/>
        <v>0</v>
      </c>
      <c r="OK15" s="193">
        <f t="shared" si="62"/>
        <v>0</v>
      </c>
      <c r="OL15" s="193">
        <f t="shared" si="62"/>
        <v>0</v>
      </c>
      <c r="OM15" s="193">
        <f t="shared" si="62"/>
        <v>0</v>
      </c>
      <c r="ON15" s="193">
        <f t="shared" si="62"/>
        <v>0</v>
      </c>
      <c r="OO15" s="193">
        <f t="shared" si="62"/>
        <v>0</v>
      </c>
      <c r="OP15" s="193">
        <f t="shared" si="62"/>
        <v>0</v>
      </c>
      <c r="OQ15" s="193">
        <f t="shared" si="62"/>
        <v>0</v>
      </c>
      <c r="OR15" s="193">
        <f t="shared" si="62"/>
        <v>0</v>
      </c>
      <c r="OS15" s="193">
        <f t="shared" si="62"/>
        <v>0</v>
      </c>
      <c r="OT15" s="193">
        <f t="shared" si="62"/>
        <v>0</v>
      </c>
      <c r="OU15" s="193">
        <f t="shared" si="62"/>
        <v>0</v>
      </c>
      <c r="OV15" s="193">
        <f t="shared" si="62"/>
        <v>0</v>
      </c>
      <c r="OW15" s="193"/>
      <c r="OX15" s="193"/>
      <c r="OY15" s="193">
        <f t="shared" si="62"/>
        <v>0</v>
      </c>
      <c r="OZ15" s="193">
        <f t="shared" si="62"/>
        <v>0</v>
      </c>
      <c r="PA15" s="193">
        <f t="shared" si="62"/>
        <v>0</v>
      </c>
      <c r="PB15" s="193">
        <f t="shared" si="62"/>
        <v>0</v>
      </c>
      <c r="PC15" s="193">
        <f t="shared" si="62"/>
        <v>0</v>
      </c>
      <c r="PD15" s="193">
        <f t="shared" si="62"/>
        <v>0</v>
      </c>
      <c r="PE15" s="193">
        <f t="shared" si="62"/>
        <v>0</v>
      </c>
      <c r="PF15" s="193">
        <f t="shared" si="62"/>
        <v>0</v>
      </c>
      <c r="PG15" s="193">
        <f t="shared" si="62"/>
        <v>0</v>
      </c>
      <c r="PH15" s="193">
        <f t="shared" si="62"/>
        <v>0</v>
      </c>
      <c r="PI15" s="193">
        <f t="shared" si="62"/>
        <v>0</v>
      </c>
      <c r="PJ15" s="193">
        <f t="shared" si="62"/>
        <v>0</v>
      </c>
      <c r="PK15" s="193">
        <f t="shared" si="62"/>
        <v>0</v>
      </c>
      <c r="PL15" s="193">
        <f t="shared" si="62"/>
        <v>0</v>
      </c>
      <c r="PM15" s="193">
        <f t="shared" si="62"/>
        <v>0</v>
      </c>
      <c r="PN15" s="193">
        <f t="shared" si="62"/>
        <v>0</v>
      </c>
      <c r="PO15" s="193">
        <f t="shared" si="62"/>
        <v>0</v>
      </c>
      <c r="PP15" s="193">
        <f t="shared" si="62"/>
        <v>0</v>
      </c>
      <c r="PQ15" s="193">
        <f t="shared" si="62"/>
        <v>0</v>
      </c>
      <c r="PR15" s="193">
        <f t="shared" si="62"/>
        <v>0</v>
      </c>
      <c r="PS15" s="193">
        <f t="shared" si="62"/>
        <v>0</v>
      </c>
      <c r="PT15" s="193">
        <f t="shared" si="62"/>
        <v>0</v>
      </c>
      <c r="PU15" s="193">
        <f t="shared" si="62"/>
        <v>0</v>
      </c>
      <c r="PV15" s="193">
        <f t="shared" si="62"/>
        <v>0</v>
      </c>
      <c r="PW15" s="193">
        <f t="shared" si="62"/>
        <v>0</v>
      </c>
      <c r="PX15" s="193">
        <f t="shared" si="62"/>
        <v>0</v>
      </c>
      <c r="PY15" s="193">
        <f t="shared" si="62"/>
        <v>0</v>
      </c>
      <c r="PZ15" s="193">
        <f t="shared" si="62"/>
        <v>0</v>
      </c>
      <c r="QA15" s="193">
        <f t="shared" si="62"/>
        <v>0</v>
      </c>
      <c r="QB15" s="193">
        <f t="shared" si="62"/>
        <v>0</v>
      </c>
      <c r="QC15" s="193">
        <f t="shared" si="62"/>
        <v>0</v>
      </c>
      <c r="QD15" s="193">
        <f t="shared" si="62"/>
        <v>0</v>
      </c>
      <c r="QE15" s="193">
        <f t="shared" si="62"/>
        <v>0</v>
      </c>
      <c r="QF15" s="193">
        <f t="shared" si="62"/>
        <v>0</v>
      </c>
      <c r="QG15" s="193">
        <f t="shared" si="62"/>
        <v>0</v>
      </c>
      <c r="QH15" s="193">
        <f t="shared" si="62"/>
        <v>0</v>
      </c>
      <c r="QI15" s="193">
        <f t="shared" si="62"/>
        <v>0</v>
      </c>
      <c r="QJ15" s="193">
        <f t="shared" si="62"/>
        <v>0</v>
      </c>
      <c r="QK15" s="193">
        <f t="shared" si="62"/>
        <v>0</v>
      </c>
      <c r="QL15" s="193">
        <f t="shared" si="62"/>
        <v>0</v>
      </c>
      <c r="QM15" s="193">
        <f t="shared" si="62"/>
        <v>0</v>
      </c>
      <c r="QN15" s="193">
        <f t="shared" ref="QN15:SP15" si="63">QN13+QN14</f>
        <v>0</v>
      </c>
      <c r="QO15" s="193">
        <f t="shared" si="63"/>
        <v>0</v>
      </c>
      <c r="QP15" s="193">
        <f t="shared" si="63"/>
        <v>0</v>
      </c>
      <c r="QQ15" s="193">
        <f t="shared" si="63"/>
        <v>0</v>
      </c>
      <c r="QR15" s="193">
        <f t="shared" si="63"/>
        <v>0</v>
      </c>
      <c r="QS15" s="193">
        <f t="shared" si="63"/>
        <v>0</v>
      </c>
      <c r="QT15" s="193">
        <f t="shared" si="63"/>
        <v>0</v>
      </c>
      <c r="QU15" s="193">
        <f t="shared" si="63"/>
        <v>0</v>
      </c>
      <c r="QV15" s="193">
        <f t="shared" si="63"/>
        <v>0</v>
      </c>
      <c r="QW15" s="193">
        <f t="shared" si="63"/>
        <v>0</v>
      </c>
      <c r="QX15" s="193">
        <f t="shared" si="63"/>
        <v>0</v>
      </c>
      <c r="QY15" s="193">
        <f t="shared" si="63"/>
        <v>0</v>
      </c>
      <c r="QZ15" s="193">
        <f t="shared" si="63"/>
        <v>0</v>
      </c>
      <c r="RA15" s="193">
        <f t="shared" si="63"/>
        <v>0</v>
      </c>
      <c r="RB15" s="193">
        <f t="shared" si="63"/>
        <v>0</v>
      </c>
      <c r="RC15" s="193">
        <f t="shared" si="63"/>
        <v>0</v>
      </c>
      <c r="RD15" s="193">
        <f t="shared" si="63"/>
        <v>0</v>
      </c>
      <c r="RE15" s="193">
        <f t="shared" si="63"/>
        <v>0</v>
      </c>
      <c r="RF15" s="193">
        <f t="shared" si="63"/>
        <v>0</v>
      </c>
      <c r="RG15" s="193">
        <f t="shared" si="63"/>
        <v>0</v>
      </c>
      <c r="RH15" s="193">
        <f t="shared" si="63"/>
        <v>0</v>
      </c>
      <c r="RI15" s="193">
        <f t="shared" si="63"/>
        <v>0</v>
      </c>
      <c r="RJ15" s="193">
        <f t="shared" si="63"/>
        <v>0</v>
      </c>
      <c r="RK15" s="193">
        <f t="shared" si="63"/>
        <v>0</v>
      </c>
      <c r="RL15" s="193">
        <f t="shared" si="63"/>
        <v>0</v>
      </c>
      <c r="RM15" s="193">
        <f t="shared" si="63"/>
        <v>0</v>
      </c>
      <c r="RN15" s="193">
        <f t="shared" si="63"/>
        <v>0</v>
      </c>
      <c r="RO15" s="193">
        <f t="shared" si="63"/>
        <v>0</v>
      </c>
      <c r="RP15" s="193">
        <f t="shared" si="63"/>
        <v>0</v>
      </c>
      <c r="RQ15" s="193">
        <f t="shared" si="63"/>
        <v>0</v>
      </c>
      <c r="RR15" s="193">
        <f t="shared" si="63"/>
        <v>0</v>
      </c>
      <c r="RS15" s="193">
        <f t="shared" si="63"/>
        <v>0</v>
      </c>
      <c r="RT15" s="193">
        <f t="shared" si="63"/>
        <v>0</v>
      </c>
      <c r="RU15" s="193">
        <f t="shared" si="63"/>
        <v>0</v>
      </c>
      <c r="RV15" s="193">
        <f t="shared" si="63"/>
        <v>0</v>
      </c>
      <c r="RW15" s="193">
        <f t="shared" si="63"/>
        <v>0</v>
      </c>
      <c r="RX15" s="193">
        <f t="shared" si="63"/>
        <v>0</v>
      </c>
      <c r="RY15" s="193">
        <f t="shared" si="63"/>
        <v>0</v>
      </c>
      <c r="RZ15" s="193">
        <f t="shared" si="63"/>
        <v>0</v>
      </c>
      <c r="SA15" s="193">
        <f t="shared" si="63"/>
        <v>0</v>
      </c>
      <c r="SB15" s="193">
        <f t="shared" si="63"/>
        <v>0</v>
      </c>
      <c r="SC15" s="193">
        <f t="shared" si="63"/>
        <v>0</v>
      </c>
      <c r="SD15" s="193">
        <f t="shared" si="63"/>
        <v>0</v>
      </c>
      <c r="SE15" s="193">
        <f t="shared" si="63"/>
        <v>0</v>
      </c>
      <c r="SF15" s="193">
        <f t="shared" si="63"/>
        <v>0</v>
      </c>
      <c r="SG15" s="193">
        <f t="shared" si="63"/>
        <v>0</v>
      </c>
      <c r="SH15" s="193">
        <f t="shared" si="63"/>
        <v>0</v>
      </c>
      <c r="SI15" s="193">
        <f t="shared" si="63"/>
        <v>0</v>
      </c>
      <c r="SJ15" s="193">
        <f t="shared" si="63"/>
        <v>0</v>
      </c>
      <c r="SK15" s="193">
        <f t="shared" si="63"/>
        <v>0</v>
      </c>
      <c r="SL15" s="193">
        <f t="shared" si="63"/>
        <v>0</v>
      </c>
      <c r="SM15" s="193">
        <f t="shared" si="63"/>
        <v>0</v>
      </c>
      <c r="SN15" s="193">
        <f t="shared" si="63"/>
        <v>0</v>
      </c>
      <c r="SO15" s="193">
        <f t="shared" si="63"/>
        <v>0</v>
      </c>
      <c r="SP15" s="193">
        <f t="shared" si="63"/>
        <v>0</v>
      </c>
      <c r="SQ15" s="193"/>
      <c r="SR15" s="193"/>
      <c r="SS15" s="195"/>
    </row>
    <row r="16" spans="1:513" s="194" customFormat="1" ht="19.5" customHeight="1">
      <c r="A16" s="215" t="s">
        <v>194</v>
      </c>
      <c r="B16" s="216"/>
      <c r="C16" s="216"/>
      <c r="D16" s="216"/>
      <c r="E16" s="217"/>
      <c r="F16" s="193">
        <f>F15</f>
        <v>0</v>
      </c>
      <c r="G16" s="193">
        <f t="shared" ref="G16:BR16" si="64">G15</f>
        <v>0</v>
      </c>
      <c r="H16" s="193">
        <f t="shared" si="64"/>
        <v>0</v>
      </c>
      <c r="I16" s="193">
        <f t="shared" si="64"/>
        <v>0</v>
      </c>
      <c r="J16" s="193">
        <f t="shared" si="64"/>
        <v>0</v>
      </c>
      <c r="K16" s="193">
        <f t="shared" si="64"/>
        <v>0</v>
      </c>
      <c r="L16" s="193">
        <f t="shared" si="64"/>
        <v>0</v>
      </c>
      <c r="M16" s="193">
        <f t="shared" si="64"/>
        <v>0</v>
      </c>
      <c r="N16" s="193">
        <f t="shared" si="64"/>
        <v>0</v>
      </c>
      <c r="O16" s="193">
        <f t="shared" si="64"/>
        <v>0</v>
      </c>
      <c r="P16" s="193">
        <f t="shared" si="64"/>
        <v>0</v>
      </c>
      <c r="Q16" s="193">
        <f t="shared" si="64"/>
        <v>0</v>
      </c>
      <c r="R16" s="193">
        <f t="shared" si="64"/>
        <v>0</v>
      </c>
      <c r="S16" s="193">
        <f t="shared" si="64"/>
        <v>0</v>
      </c>
      <c r="T16" s="193">
        <f t="shared" si="64"/>
        <v>0</v>
      </c>
      <c r="U16" s="193">
        <f t="shared" si="64"/>
        <v>0</v>
      </c>
      <c r="V16" s="193">
        <f t="shared" si="64"/>
        <v>0</v>
      </c>
      <c r="W16" s="193">
        <f t="shared" si="64"/>
        <v>0</v>
      </c>
      <c r="X16" s="193">
        <f t="shared" si="64"/>
        <v>0</v>
      </c>
      <c r="Y16" s="193">
        <f t="shared" si="64"/>
        <v>0</v>
      </c>
      <c r="Z16" s="193">
        <f t="shared" si="64"/>
        <v>0</v>
      </c>
      <c r="AA16" s="193">
        <f t="shared" si="64"/>
        <v>0</v>
      </c>
      <c r="AB16" s="193">
        <f t="shared" si="64"/>
        <v>0</v>
      </c>
      <c r="AC16" s="193">
        <f t="shared" si="64"/>
        <v>0</v>
      </c>
      <c r="AD16" s="193">
        <f t="shared" si="64"/>
        <v>0</v>
      </c>
      <c r="AE16" s="193">
        <f t="shared" si="64"/>
        <v>0</v>
      </c>
      <c r="AF16" s="193">
        <f t="shared" si="64"/>
        <v>0</v>
      </c>
      <c r="AG16" s="193">
        <f t="shared" si="64"/>
        <v>0</v>
      </c>
      <c r="AH16" s="193">
        <f t="shared" si="64"/>
        <v>0</v>
      </c>
      <c r="AI16" s="193">
        <f t="shared" si="64"/>
        <v>0</v>
      </c>
      <c r="AJ16" s="193">
        <f t="shared" si="64"/>
        <v>0</v>
      </c>
      <c r="AK16" s="193">
        <f t="shared" si="64"/>
        <v>0</v>
      </c>
      <c r="AL16" s="193">
        <f t="shared" si="64"/>
        <v>0</v>
      </c>
      <c r="AM16" s="193">
        <f t="shared" si="64"/>
        <v>0</v>
      </c>
      <c r="AN16" s="193">
        <f t="shared" si="64"/>
        <v>0</v>
      </c>
      <c r="AO16" s="193">
        <f t="shared" si="64"/>
        <v>0</v>
      </c>
      <c r="AP16" s="193">
        <f t="shared" si="64"/>
        <v>0</v>
      </c>
      <c r="AQ16" s="193">
        <f t="shared" si="64"/>
        <v>0</v>
      </c>
      <c r="AR16" s="193">
        <f t="shared" si="64"/>
        <v>0</v>
      </c>
      <c r="AS16" s="193">
        <f t="shared" si="64"/>
        <v>0</v>
      </c>
      <c r="AT16" s="193">
        <f t="shared" si="64"/>
        <v>0</v>
      </c>
      <c r="AU16" s="193">
        <f t="shared" si="64"/>
        <v>0</v>
      </c>
      <c r="AV16" s="193">
        <f t="shared" si="64"/>
        <v>0</v>
      </c>
      <c r="AW16" s="193">
        <f t="shared" si="64"/>
        <v>0</v>
      </c>
      <c r="AX16" s="193">
        <f t="shared" si="64"/>
        <v>0</v>
      </c>
      <c r="AY16" s="193">
        <f t="shared" si="64"/>
        <v>0</v>
      </c>
      <c r="AZ16" s="193">
        <f t="shared" si="64"/>
        <v>0</v>
      </c>
      <c r="BA16" s="193">
        <f t="shared" si="64"/>
        <v>0</v>
      </c>
      <c r="BB16" s="193">
        <f t="shared" si="64"/>
        <v>0</v>
      </c>
      <c r="BC16" s="193">
        <f t="shared" si="64"/>
        <v>0</v>
      </c>
      <c r="BD16" s="193">
        <f t="shared" si="64"/>
        <v>0</v>
      </c>
      <c r="BE16" s="193">
        <f t="shared" si="64"/>
        <v>0</v>
      </c>
      <c r="BF16" s="193">
        <f t="shared" si="64"/>
        <v>0</v>
      </c>
      <c r="BG16" s="193">
        <f t="shared" si="64"/>
        <v>0</v>
      </c>
      <c r="BH16" s="193">
        <f t="shared" si="64"/>
        <v>0</v>
      </c>
      <c r="BI16" s="193">
        <f t="shared" si="64"/>
        <v>0</v>
      </c>
      <c r="BJ16" s="193">
        <f t="shared" si="64"/>
        <v>0</v>
      </c>
      <c r="BK16" s="193">
        <f t="shared" si="64"/>
        <v>0</v>
      </c>
      <c r="BL16" s="193">
        <f t="shared" si="64"/>
        <v>0</v>
      </c>
      <c r="BM16" s="193">
        <f t="shared" si="64"/>
        <v>0</v>
      </c>
      <c r="BN16" s="193">
        <f t="shared" si="64"/>
        <v>0</v>
      </c>
      <c r="BO16" s="193">
        <f t="shared" si="64"/>
        <v>0</v>
      </c>
      <c r="BP16" s="193">
        <f t="shared" si="64"/>
        <v>0</v>
      </c>
      <c r="BQ16" s="193">
        <f t="shared" si="64"/>
        <v>0</v>
      </c>
      <c r="BR16" s="193">
        <f t="shared" si="64"/>
        <v>0</v>
      </c>
      <c r="BS16" s="193">
        <f t="shared" ref="BS16:ED16" si="65">BS15</f>
        <v>0</v>
      </c>
      <c r="BT16" s="193">
        <f t="shared" si="65"/>
        <v>0</v>
      </c>
      <c r="BU16" s="193">
        <f t="shared" si="65"/>
        <v>0</v>
      </c>
      <c r="BV16" s="193">
        <f t="shared" si="65"/>
        <v>0</v>
      </c>
      <c r="BW16" s="193">
        <f t="shared" si="65"/>
        <v>0</v>
      </c>
      <c r="BX16" s="193">
        <f t="shared" si="65"/>
        <v>0</v>
      </c>
      <c r="BY16" s="193">
        <f t="shared" si="65"/>
        <v>0</v>
      </c>
      <c r="BZ16" s="193">
        <f t="shared" si="65"/>
        <v>0</v>
      </c>
      <c r="CA16" s="193">
        <f t="shared" si="65"/>
        <v>0</v>
      </c>
      <c r="CB16" s="193">
        <f t="shared" si="65"/>
        <v>0</v>
      </c>
      <c r="CC16" s="193">
        <f t="shared" si="65"/>
        <v>0</v>
      </c>
      <c r="CD16" s="193">
        <f t="shared" si="65"/>
        <v>0</v>
      </c>
      <c r="CE16" s="193">
        <f t="shared" si="65"/>
        <v>0</v>
      </c>
      <c r="CF16" s="193">
        <f t="shared" si="65"/>
        <v>0</v>
      </c>
      <c r="CG16" s="193">
        <f t="shared" si="65"/>
        <v>0</v>
      </c>
      <c r="CH16" s="193">
        <f t="shared" si="65"/>
        <v>0</v>
      </c>
      <c r="CI16" s="193">
        <f t="shared" si="65"/>
        <v>0</v>
      </c>
      <c r="CJ16" s="193">
        <f t="shared" si="65"/>
        <v>0</v>
      </c>
      <c r="CK16" s="193">
        <f t="shared" si="65"/>
        <v>0</v>
      </c>
      <c r="CL16" s="193">
        <f t="shared" si="65"/>
        <v>0</v>
      </c>
      <c r="CM16" s="193">
        <f t="shared" si="65"/>
        <v>0</v>
      </c>
      <c r="CN16" s="193">
        <f t="shared" si="65"/>
        <v>0</v>
      </c>
      <c r="CO16" s="193">
        <f t="shared" si="65"/>
        <v>0</v>
      </c>
      <c r="CP16" s="193">
        <f t="shared" si="65"/>
        <v>0</v>
      </c>
      <c r="CQ16" s="193">
        <f t="shared" si="65"/>
        <v>0</v>
      </c>
      <c r="CR16" s="193">
        <f t="shared" si="65"/>
        <v>0</v>
      </c>
      <c r="CS16" s="193">
        <f t="shared" si="65"/>
        <v>0</v>
      </c>
      <c r="CT16" s="193">
        <f t="shared" si="65"/>
        <v>0</v>
      </c>
      <c r="CU16" s="193">
        <f t="shared" si="65"/>
        <v>0</v>
      </c>
      <c r="CV16" s="193">
        <f t="shared" si="65"/>
        <v>0</v>
      </c>
      <c r="CW16" s="193">
        <f t="shared" si="65"/>
        <v>0</v>
      </c>
      <c r="CX16" s="193">
        <f t="shared" si="65"/>
        <v>0</v>
      </c>
      <c r="CY16" s="193">
        <f t="shared" si="65"/>
        <v>0</v>
      </c>
      <c r="CZ16" s="193">
        <f t="shared" si="65"/>
        <v>0</v>
      </c>
      <c r="DA16" s="193">
        <f t="shared" si="65"/>
        <v>0</v>
      </c>
      <c r="DB16" s="193">
        <f t="shared" si="65"/>
        <v>0</v>
      </c>
      <c r="DC16" s="193">
        <f t="shared" si="65"/>
        <v>0</v>
      </c>
      <c r="DD16" s="193">
        <f t="shared" si="65"/>
        <v>0</v>
      </c>
      <c r="DE16" s="193">
        <f t="shared" si="65"/>
        <v>0</v>
      </c>
      <c r="DF16" s="193">
        <f t="shared" si="65"/>
        <v>0</v>
      </c>
      <c r="DG16" s="193">
        <f t="shared" si="65"/>
        <v>0</v>
      </c>
      <c r="DH16" s="193">
        <f t="shared" si="65"/>
        <v>0</v>
      </c>
      <c r="DI16" s="193">
        <f t="shared" si="65"/>
        <v>0</v>
      </c>
      <c r="DJ16" s="193">
        <f t="shared" si="65"/>
        <v>0</v>
      </c>
      <c r="DK16" s="193">
        <f t="shared" si="65"/>
        <v>0</v>
      </c>
      <c r="DL16" s="193">
        <f t="shared" si="65"/>
        <v>0</v>
      </c>
      <c r="DM16" s="193">
        <f t="shared" si="65"/>
        <v>0</v>
      </c>
      <c r="DN16" s="193">
        <f t="shared" si="65"/>
        <v>0</v>
      </c>
      <c r="DO16" s="193">
        <f t="shared" si="65"/>
        <v>0</v>
      </c>
      <c r="DP16" s="193">
        <f t="shared" si="65"/>
        <v>0</v>
      </c>
      <c r="DQ16" s="193">
        <f t="shared" si="65"/>
        <v>0</v>
      </c>
      <c r="DR16" s="193">
        <f t="shared" si="65"/>
        <v>0</v>
      </c>
      <c r="DS16" s="193">
        <f t="shared" si="65"/>
        <v>0</v>
      </c>
      <c r="DT16" s="193">
        <f t="shared" si="65"/>
        <v>0</v>
      </c>
      <c r="DU16" s="193">
        <f t="shared" si="65"/>
        <v>0</v>
      </c>
      <c r="DV16" s="193">
        <f t="shared" si="65"/>
        <v>0</v>
      </c>
      <c r="DW16" s="193">
        <f t="shared" si="65"/>
        <v>0</v>
      </c>
      <c r="DX16" s="193">
        <f t="shared" si="65"/>
        <v>0</v>
      </c>
      <c r="DY16" s="193">
        <f t="shared" si="65"/>
        <v>0</v>
      </c>
      <c r="DZ16" s="193">
        <f t="shared" si="65"/>
        <v>0</v>
      </c>
      <c r="EA16" s="193">
        <f t="shared" si="65"/>
        <v>0</v>
      </c>
      <c r="EB16" s="193">
        <f t="shared" si="65"/>
        <v>0</v>
      </c>
      <c r="EC16" s="193">
        <f t="shared" si="65"/>
        <v>0</v>
      </c>
      <c r="ED16" s="193">
        <f t="shared" si="65"/>
        <v>0</v>
      </c>
      <c r="EE16" s="193">
        <f t="shared" ref="EE16:GR16" si="66">EE15</f>
        <v>0</v>
      </c>
      <c r="EF16" s="193">
        <f t="shared" si="66"/>
        <v>0</v>
      </c>
      <c r="EG16" s="193">
        <f t="shared" si="66"/>
        <v>0</v>
      </c>
      <c r="EH16" s="193">
        <f t="shared" si="66"/>
        <v>0</v>
      </c>
      <c r="EI16" s="193">
        <f t="shared" si="66"/>
        <v>0</v>
      </c>
      <c r="EJ16" s="193">
        <f t="shared" si="66"/>
        <v>0</v>
      </c>
      <c r="EK16" s="193">
        <f t="shared" si="66"/>
        <v>0</v>
      </c>
      <c r="EL16" s="193">
        <f t="shared" si="66"/>
        <v>0</v>
      </c>
      <c r="EM16" s="193">
        <f t="shared" si="66"/>
        <v>0</v>
      </c>
      <c r="EN16" s="193">
        <f t="shared" si="66"/>
        <v>0</v>
      </c>
      <c r="EO16" s="193">
        <f t="shared" si="66"/>
        <v>0</v>
      </c>
      <c r="EP16" s="193">
        <f t="shared" si="66"/>
        <v>0</v>
      </c>
      <c r="EQ16" s="193">
        <f t="shared" si="66"/>
        <v>0</v>
      </c>
      <c r="ER16" s="193">
        <f t="shared" si="66"/>
        <v>0</v>
      </c>
      <c r="ES16" s="193">
        <f t="shared" si="66"/>
        <v>0</v>
      </c>
      <c r="ET16" s="193">
        <f t="shared" si="66"/>
        <v>0</v>
      </c>
      <c r="EU16" s="193">
        <f t="shared" si="66"/>
        <v>0</v>
      </c>
      <c r="EV16" s="193">
        <f t="shared" si="66"/>
        <v>0</v>
      </c>
      <c r="EW16" s="193">
        <f t="shared" si="66"/>
        <v>0</v>
      </c>
      <c r="EX16" s="193">
        <f t="shared" si="66"/>
        <v>0</v>
      </c>
      <c r="EY16" s="193">
        <f t="shared" si="66"/>
        <v>0</v>
      </c>
      <c r="EZ16" s="193">
        <f t="shared" si="66"/>
        <v>0</v>
      </c>
      <c r="FA16" s="193">
        <f t="shared" si="66"/>
        <v>0</v>
      </c>
      <c r="FB16" s="193">
        <f t="shared" si="66"/>
        <v>0</v>
      </c>
      <c r="FC16" s="193">
        <f t="shared" si="66"/>
        <v>0</v>
      </c>
      <c r="FD16" s="193">
        <f t="shared" si="66"/>
        <v>0</v>
      </c>
      <c r="FE16" s="193">
        <f t="shared" si="66"/>
        <v>0</v>
      </c>
      <c r="FF16" s="193">
        <f t="shared" si="66"/>
        <v>0</v>
      </c>
      <c r="FG16" s="193">
        <f t="shared" si="66"/>
        <v>0</v>
      </c>
      <c r="FH16" s="193">
        <f t="shared" si="66"/>
        <v>0</v>
      </c>
      <c r="FI16" s="193">
        <f t="shared" si="66"/>
        <v>0</v>
      </c>
      <c r="FJ16" s="193">
        <f t="shared" si="66"/>
        <v>0</v>
      </c>
      <c r="FK16" s="193">
        <f t="shared" si="66"/>
        <v>0</v>
      </c>
      <c r="FL16" s="193">
        <f t="shared" si="66"/>
        <v>0</v>
      </c>
      <c r="FM16" s="193">
        <f t="shared" si="66"/>
        <v>0</v>
      </c>
      <c r="FN16" s="193">
        <f t="shared" si="66"/>
        <v>0</v>
      </c>
      <c r="FO16" s="193">
        <f t="shared" si="66"/>
        <v>0</v>
      </c>
      <c r="FP16" s="193">
        <f t="shared" si="66"/>
        <v>0</v>
      </c>
      <c r="FQ16" s="193">
        <f t="shared" si="66"/>
        <v>0</v>
      </c>
      <c r="FR16" s="193">
        <f t="shared" si="66"/>
        <v>0</v>
      </c>
      <c r="FS16" s="193">
        <f t="shared" si="66"/>
        <v>0</v>
      </c>
      <c r="FT16" s="193">
        <f t="shared" si="66"/>
        <v>0</v>
      </c>
      <c r="FU16" s="193">
        <f t="shared" si="66"/>
        <v>0</v>
      </c>
      <c r="FV16" s="193">
        <f t="shared" si="66"/>
        <v>0</v>
      </c>
      <c r="FW16" s="193">
        <f t="shared" si="66"/>
        <v>0</v>
      </c>
      <c r="FX16" s="193">
        <f t="shared" si="66"/>
        <v>0</v>
      </c>
      <c r="FY16" s="193">
        <f t="shared" si="66"/>
        <v>0</v>
      </c>
      <c r="FZ16" s="193">
        <f t="shared" si="66"/>
        <v>0</v>
      </c>
      <c r="GA16" s="193">
        <f t="shared" si="66"/>
        <v>0</v>
      </c>
      <c r="GB16" s="193">
        <f t="shared" si="66"/>
        <v>0</v>
      </c>
      <c r="GC16" s="193"/>
      <c r="GD16" s="193"/>
      <c r="GE16" s="193">
        <f t="shared" si="66"/>
        <v>0</v>
      </c>
      <c r="GF16" s="193">
        <f t="shared" si="66"/>
        <v>0</v>
      </c>
      <c r="GG16" s="193">
        <f t="shared" si="66"/>
        <v>0</v>
      </c>
      <c r="GH16" s="193">
        <f t="shared" si="66"/>
        <v>0</v>
      </c>
      <c r="GI16" s="193">
        <f t="shared" si="66"/>
        <v>0</v>
      </c>
      <c r="GJ16" s="193">
        <f t="shared" si="66"/>
        <v>0</v>
      </c>
      <c r="GK16" s="193">
        <f t="shared" si="66"/>
        <v>0</v>
      </c>
      <c r="GL16" s="193">
        <f t="shared" si="66"/>
        <v>0</v>
      </c>
      <c r="GM16" s="193">
        <f t="shared" si="66"/>
        <v>0</v>
      </c>
      <c r="GN16" s="193">
        <f t="shared" si="66"/>
        <v>0</v>
      </c>
      <c r="GO16" s="193">
        <f t="shared" si="66"/>
        <v>0</v>
      </c>
      <c r="GP16" s="193">
        <f t="shared" si="66"/>
        <v>0</v>
      </c>
      <c r="GQ16" s="193">
        <f t="shared" si="66"/>
        <v>0</v>
      </c>
      <c r="GR16" s="193">
        <f t="shared" si="66"/>
        <v>0</v>
      </c>
      <c r="GS16" s="193">
        <f t="shared" ref="GS16:JD16" si="67">GS15</f>
        <v>0</v>
      </c>
      <c r="GT16" s="193">
        <f t="shared" si="67"/>
        <v>0</v>
      </c>
      <c r="GU16" s="193">
        <f t="shared" si="67"/>
        <v>0</v>
      </c>
      <c r="GV16" s="193">
        <f t="shared" si="67"/>
        <v>0</v>
      </c>
      <c r="GW16" s="193">
        <f t="shared" si="67"/>
        <v>0</v>
      </c>
      <c r="GX16" s="193">
        <f t="shared" si="67"/>
        <v>0</v>
      </c>
      <c r="GY16" s="193">
        <f t="shared" si="67"/>
        <v>0</v>
      </c>
      <c r="GZ16" s="193">
        <f t="shared" si="67"/>
        <v>0</v>
      </c>
      <c r="HA16" s="193">
        <f t="shared" si="67"/>
        <v>0</v>
      </c>
      <c r="HB16" s="193">
        <f t="shared" si="67"/>
        <v>0</v>
      </c>
      <c r="HC16" s="193">
        <f t="shared" si="67"/>
        <v>0</v>
      </c>
      <c r="HD16" s="193">
        <f t="shared" si="67"/>
        <v>0</v>
      </c>
      <c r="HE16" s="193">
        <f t="shared" si="67"/>
        <v>0</v>
      </c>
      <c r="HF16" s="193">
        <f t="shared" si="67"/>
        <v>0</v>
      </c>
      <c r="HG16" s="193">
        <f t="shared" si="67"/>
        <v>0</v>
      </c>
      <c r="HH16" s="193">
        <f t="shared" si="67"/>
        <v>0</v>
      </c>
      <c r="HI16" s="193">
        <f t="shared" si="67"/>
        <v>0</v>
      </c>
      <c r="HJ16" s="193">
        <f t="shared" si="67"/>
        <v>0</v>
      </c>
      <c r="HK16" s="193">
        <f t="shared" si="67"/>
        <v>0</v>
      </c>
      <c r="HL16" s="193">
        <f t="shared" si="67"/>
        <v>0</v>
      </c>
      <c r="HM16" s="193">
        <f t="shared" si="67"/>
        <v>0</v>
      </c>
      <c r="HN16" s="193">
        <f t="shared" si="67"/>
        <v>0</v>
      </c>
      <c r="HO16" s="193">
        <f t="shared" si="67"/>
        <v>0</v>
      </c>
      <c r="HP16" s="193">
        <f t="shared" si="67"/>
        <v>0</v>
      </c>
      <c r="HQ16" s="193">
        <f t="shared" si="67"/>
        <v>0</v>
      </c>
      <c r="HR16" s="193">
        <f t="shared" si="67"/>
        <v>0</v>
      </c>
      <c r="HS16" s="193">
        <f t="shared" si="67"/>
        <v>0</v>
      </c>
      <c r="HT16" s="193">
        <f t="shared" si="67"/>
        <v>0</v>
      </c>
      <c r="HU16" s="193">
        <f t="shared" si="67"/>
        <v>0</v>
      </c>
      <c r="HV16" s="193">
        <f t="shared" si="67"/>
        <v>0</v>
      </c>
      <c r="HW16" s="193">
        <f t="shared" si="67"/>
        <v>0</v>
      </c>
      <c r="HX16" s="193">
        <f t="shared" si="67"/>
        <v>0</v>
      </c>
      <c r="HY16" s="193">
        <f t="shared" si="67"/>
        <v>0</v>
      </c>
      <c r="HZ16" s="193">
        <f t="shared" si="67"/>
        <v>0</v>
      </c>
      <c r="IA16" s="193">
        <f t="shared" si="67"/>
        <v>0</v>
      </c>
      <c r="IB16" s="193">
        <f t="shared" si="67"/>
        <v>0</v>
      </c>
      <c r="IC16" s="193">
        <f t="shared" si="67"/>
        <v>0</v>
      </c>
      <c r="ID16" s="193">
        <f t="shared" si="67"/>
        <v>0</v>
      </c>
      <c r="IE16" s="193">
        <f t="shared" si="67"/>
        <v>0</v>
      </c>
      <c r="IF16" s="193">
        <f t="shared" si="67"/>
        <v>0</v>
      </c>
      <c r="IG16" s="193">
        <f t="shared" si="67"/>
        <v>0</v>
      </c>
      <c r="IH16" s="193">
        <f t="shared" si="67"/>
        <v>0</v>
      </c>
      <c r="II16" s="193">
        <f t="shared" si="67"/>
        <v>0</v>
      </c>
      <c r="IJ16" s="193">
        <f t="shared" si="67"/>
        <v>0</v>
      </c>
      <c r="IK16" s="193">
        <f t="shared" si="67"/>
        <v>0</v>
      </c>
      <c r="IL16" s="193">
        <f t="shared" si="67"/>
        <v>0</v>
      </c>
      <c r="IM16" s="193">
        <f t="shared" si="67"/>
        <v>0</v>
      </c>
      <c r="IN16" s="193">
        <f t="shared" si="67"/>
        <v>0</v>
      </c>
      <c r="IO16" s="193">
        <f t="shared" si="67"/>
        <v>0</v>
      </c>
      <c r="IP16" s="193">
        <f t="shared" si="67"/>
        <v>0</v>
      </c>
      <c r="IQ16" s="193">
        <f t="shared" si="67"/>
        <v>0</v>
      </c>
      <c r="IR16" s="193">
        <f t="shared" si="67"/>
        <v>0</v>
      </c>
      <c r="IS16" s="193">
        <f t="shared" si="67"/>
        <v>0</v>
      </c>
      <c r="IT16" s="193">
        <f t="shared" si="67"/>
        <v>0</v>
      </c>
      <c r="IU16" s="193">
        <f t="shared" si="67"/>
        <v>0</v>
      </c>
      <c r="IV16" s="193">
        <f t="shared" si="67"/>
        <v>0</v>
      </c>
      <c r="IW16" s="193">
        <f t="shared" si="67"/>
        <v>0</v>
      </c>
      <c r="IX16" s="193">
        <f t="shared" si="67"/>
        <v>0</v>
      </c>
      <c r="IY16" s="193">
        <f t="shared" si="67"/>
        <v>0</v>
      </c>
      <c r="IZ16" s="193">
        <f t="shared" si="67"/>
        <v>0</v>
      </c>
      <c r="JA16" s="193">
        <f t="shared" si="67"/>
        <v>0</v>
      </c>
      <c r="JB16" s="193">
        <f t="shared" si="67"/>
        <v>0</v>
      </c>
      <c r="JC16" s="193">
        <f t="shared" si="67"/>
        <v>0</v>
      </c>
      <c r="JD16" s="193">
        <f t="shared" si="67"/>
        <v>0</v>
      </c>
      <c r="JE16" s="193">
        <f t="shared" ref="JE16:LN16" si="68">JE15</f>
        <v>0</v>
      </c>
      <c r="JF16" s="193">
        <f t="shared" si="68"/>
        <v>0</v>
      </c>
      <c r="JG16" s="193">
        <f t="shared" si="68"/>
        <v>0</v>
      </c>
      <c r="JH16" s="193">
        <f t="shared" si="68"/>
        <v>0</v>
      </c>
      <c r="JI16" s="193">
        <f t="shared" si="68"/>
        <v>0</v>
      </c>
      <c r="JJ16" s="193">
        <f t="shared" si="68"/>
        <v>0</v>
      </c>
      <c r="JK16" s="193">
        <f t="shared" si="68"/>
        <v>0</v>
      </c>
      <c r="JL16" s="193">
        <f t="shared" si="68"/>
        <v>0</v>
      </c>
      <c r="JM16" s="193">
        <f t="shared" si="68"/>
        <v>0</v>
      </c>
      <c r="JN16" s="193">
        <f t="shared" si="68"/>
        <v>0</v>
      </c>
      <c r="JO16" s="193">
        <f t="shared" si="68"/>
        <v>0</v>
      </c>
      <c r="JP16" s="193">
        <f t="shared" si="68"/>
        <v>0</v>
      </c>
      <c r="JQ16" s="193">
        <f t="shared" si="68"/>
        <v>0</v>
      </c>
      <c r="JR16" s="193">
        <f t="shared" si="68"/>
        <v>0</v>
      </c>
      <c r="JS16" s="193">
        <f t="shared" si="68"/>
        <v>0</v>
      </c>
      <c r="JT16" s="193">
        <f t="shared" si="68"/>
        <v>0</v>
      </c>
      <c r="JU16" s="193">
        <f t="shared" si="68"/>
        <v>0</v>
      </c>
      <c r="JV16" s="193">
        <f t="shared" si="68"/>
        <v>0</v>
      </c>
      <c r="JW16" s="193">
        <f t="shared" si="68"/>
        <v>0</v>
      </c>
      <c r="JX16" s="193">
        <f t="shared" si="68"/>
        <v>0</v>
      </c>
      <c r="JY16" s="193">
        <f t="shared" si="68"/>
        <v>0</v>
      </c>
      <c r="JZ16" s="193">
        <f t="shared" si="68"/>
        <v>0</v>
      </c>
      <c r="KA16" s="193">
        <f t="shared" si="68"/>
        <v>0</v>
      </c>
      <c r="KB16" s="193">
        <f t="shared" si="68"/>
        <v>0</v>
      </c>
      <c r="KC16" s="193">
        <f t="shared" si="68"/>
        <v>0</v>
      </c>
      <c r="KD16" s="193">
        <f t="shared" si="68"/>
        <v>0</v>
      </c>
      <c r="KE16" s="193">
        <f t="shared" si="68"/>
        <v>0</v>
      </c>
      <c r="KF16" s="193">
        <f t="shared" si="68"/>
        <v>0</v>
      </c>
      <c r="KG16" s="193">
        <f t="shared" si="68"/>
        <v>0</v>
      </c>
      <c r="KH16" s="193">
        <f t="shared" si="68"/>
        <v>0</v>
      </c>
      <c r="KI16" s="193">
        <f t="shared" si="68"/>
        <v>0</v>
      </c>
      <c r="KJ16" s="193">
        <f t="shared" si="68"/>
        <v>0</v>
      </c>
      <c r="KK16" s="193">
        <f t="shared" si="68"/>
        <v>0</v>
      </c>
      <c r="KL16" s="193">
        <f t="shared" si="68"/>
        <v>0</v>
      </c>
      <c r="KM16" s="193">
        <f t="shared" si="68"/>
        <v>0</v>
      </c>
      <c r="KN16" s="193">
        <f t="shared" si="68"/>
        <v>0</v>
      </c>
      <c r="KO16" s="193">
        <f t="shared" si="68"/>
        <v>0</v>
      </c>
      <c r="KP16" s="193">
        <f t="shared" si="68"/>
        <v>0</v>
      </c>
      <c r="KQ16" s="193">
        <f t="shared" si="68"/>
        <v>0</v>
      </c>
      <c r="KR16" s="193">
        <f t="shared" si="68"/>
        <v>0</v>
      </c>
      <c r="KS16" s="193">
        <f t="shared" si="68"/>
        <v>0</v>
      </c>
      <c r="KT16" s="193">
        <f t="shared" si="68"/>
        <v>0</v>
      </c>
      <c r="KU16" s="193">
        <f t="shared" si="68"/>
        <v>0</v>
      </c>
      <c r="KV16" s="193">
        <f t="shared" si="68"/>
        <v>0</v>
      </c>
      <c r="KW16" s="193">
        <f t="shared" si="68"/>
        <v>0</v>
      </c>
      <c r="KX16" s="193">
        <f t="shared" si="68"/>
        <v>0</v>
      </c>
      <c r="KY16" s="193">
        <f t="shared" si="68"/>
        <v>0</v>
      </c>
      <c r="KZ16" s="193">
        <f t="shared" si="68"/>
        <v>0</v>
      </c>
      <c r="LA16" s="193">
        <f t="shared" si="68"/>
        <v>0</v>
      </c>
      <c r="LB16" s="193">
        <f t="shared" si="68"/>
        <v>0</v>
      </c>
      <c r="LC16" s="193">
        <f t="shared" si="68"/>
        <v>0</v>
      </c>
      <c r="LD16" s="193">
        <f t="shared" si="68"/>
        <v>0</v>
      </c>
      <c r="LE16" s="193">
        <f t="shared" si="68"/>
        <v>0</v>
      </c>
      <c r="LF16" s="193">
        <f t="shared" si="68"/>
        <v>0</v>
      </c>
      <c r="LG16" s="193">
        <f t="shared" si="68"/>
        <v>0</v>
      </c>
      <c r="LH16" s="193">
        <f t="shared" si="68"/>
        <v>0</v>
      </c>
      <c r="LI16" s="193">
        <f t="shared" si="68"/>
        <v>0</v>
      </c>
      <c r="LJ16" s="193">
        <f t="shared" si="68"/>
        <v>0</v>
      </c>
      <c r="LK16" s="193">
        <f t="shared" si="68"/>
        <v>0</v>
      </c>
      <c r="LL16" s="193">
        <f t="shared" si="68"/>
        <v>0</v>
      </c>
      <c r="LM16" s="193">
        <f t="shared" si="68"/>
        <v>0</v>
      </c>
      <c r="LN16" s="193">
        <f t="shared" si="68"/>
        <v>0</v>
      </c>
      <c r="LO16" s="193">
        <f t="shared" ref="LO16:LP16" si="69">LO15</f>
        <v>0</v>
      </c>
      <c r="LP16" s="193">
        <f t="shared" si="69"/>
        <v>0</v>
      </c>
      <c r="LQ16" s="168">
        <f t="shared" si="33"/>
        <v>0</v>
      </c>
      <c r="LR16" s="168">
        <f t="shared" si="34"/>
        <v>0</v>
      </c>
      <c r="LS16" s="193">
        <f t="shared" ref="LS16:OA16" si="70">LS15</f>
        <v>0</v>
      </c>
      <c r="LT16" s="193">
        <f t="shared" si="70"/>
        <v>0</v>
      </c>
      <c r="LU16" s="193">
        <f t="shared" si="70"/>
        <v>0</v>
      </c>
      <c r="LV16" s="193">
        <f t="shared" si="70"/>
        <v>0</v>
      </c>
      <c r="LW16" s="193">
        <f t="shared" si="70"/>
        <v>0</v>
      </c>
      <c r="LX16" s="193">
        <f t="shared" si="70"/>
        <v>0</v>
      </c>
      <c r="LY16" s="193">
        <f t="shared" si="70"/>
        <v>0</v>
      </c>
      <c r="LZ16" s="193">
        <f t="shared" si="70"/>
        <v>0</v>
      </c>
      <c r="MA16" s="193">
        <f t="shared" si="70"/>
        <v>0</v>
      </c>
      <c r="MB16" s="193">
        <f t="shared" si="70"/>
        <v>0</v>
      </c>
      <c r="MC16" s="193">
        <f t="shared" si="70"/>
        <v>0</v>
      </c>
      <c r="MD16" s="193">
        <f t="shared" si="70"/>
        <v>0</v>
      </c>
      <c r="ME16" s="193">
        <f t="shared" si="70"/>
        <v>0</v>
      </c>
      <c r="MF16" s="193">
        <f t="shared" si="70"/>
        <v>0</v>
      </c>
      <c r="MG16" s="193">
        <f t="shared" si="70"/>
        <v>0</v>
      </c>
      <c r="MH16" s="193">
        <f t="shared" si="70"/>
        <v>0</v>
      </c>
      <c r="MI16" s="193">
        <f t="shared" si="70"/>
        <v>0</v>
      </c>
      <c r="MJ16" s="193">
        <f t="shared" si="70"/>
        <v>0</v>
      </c>
      <c r="MK16" s="193">
        <f t="shared" si="70"/>
        <v>0</v>
      </c>
      <c r="ML16" s="193">
        <f t="shared" si="70"/>
        <v>0</v>
      </c>
      <c r="MM16" s="193">
        <f t="shared" si="70"/>
        <v>0</v>
      </c>
      <c r="MN16" s="193">
        <f t="shared" si="70"/>
        <v>0</v>
      </c>
      <c r="MO16" s="193">
        <f t="shared" si="70"/>
        <v>0</v>
      </c>
      <c r="MP16" s="193">
        <f t="shared" si="70"/>
        <v>0</v>
      </c>
      <c r="MQ16" s="193">
        <f t="shared" si="70"/>
        <v>0</v>
      </c>
      <c r="MR16" s="193">
        <f t="shared" si="70"/>
        <v>0</v>
      </c>
      <c r="MS16" s="193">
        <f t="shared" si="70"/>
        <v>0</v>
      </c>
      <c r="MT16" s="193">
        <f t="shared" si="70"/>
        <v>0</v>
      </c>
      <c r="MU16" s="193">
        <f t="shared" si="70"/>
        <v>0</v>
      </c>
      <c r="MV16" s="193">
        <f t="shared" si="70"/>
        <v>0</v>
      </c>
      <c r="MW16" s="193">
        <f t="shared" si="70"/>
        <v>0</v>
      </c>
      <c r="MX16" s="193">
        <f t="shared" si="70"/>
        <v>0</v>
      </c>
      <c r="MY16" s="193">
        <f t="shared" si="70"/>
        <v>0</v>
      </c>
      <c r="MZ16" s="193">
        <f t="shared" si="70"/>
        <v>0</v>
      </c>
      <c r="NA16" s="193">
        <f t="shared" si="70"/>
        <v>0</v>
      </c>
      <c r="NB16" s="193">
        <f t="shared" si="70"/>
        <v>0</v>
      </c>
      <c r="NC16" s="193">
        <f t="shared" si="70"/>
        <v>0</v>
      </c>
      <c r="ND16" s="193">
        <f t="shared" si="70"/>
        <v>0</v>
      </c>
      <c r="NE16" s="193">
        <f t="shared" si="70"/>
        <v>0</v>
      </c>
      <c r="NF16" s="193">
        <f t="shared" si="70"/>
        <v>0</v>
      </c>
      <c r="NG16" s="193">
        <f t="shared" si="70"/>
        <v>0</v>
      </c>
      <c r="NH16" s="193">
        <f t="shared" si="70"/>
        <v>0</v>
      </c>
      <c r="NI16" s="193">
        <f t="shared" si="70"/>
        <v>0</v>
      </c>
      <c r="NJ16" s="193">
        <f t="shared" si="70"/>
        <v>0</v>
      </c>
      <c r="NK16" s="193">
        <f t="shared" si="70"/>
        <v>0</v>
      </c>
      <c r="NL16" s="193">
        <f t="shared" si="70"/>
        <v>0</v>
      </c>
      <c r="NM16" s="193">
        <f t="shared" si="70"/>
        <v>0</v>
      </c>
      <c r="NN16" s="193">
        <f t="shared" si="70"/>
        <v>0</v>
      </c>
      <c r="NO16" s="193">
        <f t="shared" si="70"/>
        <v>0</v>
      </c>
      <c r="NP16" s="193">
        <f t="shared" si="70"/>
        <v>0</v>
      </c>
      <c r="NQ16" s="193">
        <f t="shared" si="70"/>
        <v>0</v>
      </c>
      <c r="NR16" s="193">
        <f t="shared" si="70"/>
        <v>0</v>
      </c>
      <c r="NS16" s="193">
        <f t="shared" si="70"/>
        <v>0</v>
      </c>
      <c r="NT16" s="193">
        <f t="shared" si="70"/>
        <v>0</v>
      </c>
      <c r="NU16" s="193">
        <f t="shared" si="70"/>
        <v>0</v>
      </c>
      <c r="NV16" s="193">
        <f t="shared" si="70"/>
        <v>0</v>
      </c>
      <c r="NW16" s="193">
        <f t="shared" si="70"/>
        <v>0</v>
      </c>
      <c r="NX16" s="193">
        <f t="shared" si="70"/>
        <v>0</v>
      </c>
      <c r="NY16" s="193">
        <f t="shared" si="70"/>
        <v>0</v>
      </c>
      <c r="NZ16" s="193">
        <f t="shared" si="70"/>
        <v>0</v>
      </c>
      <c r="OA16" s="193">
        <f t="shared" si="70"/>
        <v>0</v>
      </c>
      <c r="OB16" s="193">
        <f t="shared" ref="OB16:QS16" si="71">OB15</f>
        <v>0</v>
      </c>
      <c r="OC16" s="193">
        <f t="shared" si="71"/>
        <v>0</v>
      </c>
      <c r="OD16" s="193">
        <f t="shared" si="71"/>
        <v>0</v>
      </c>
      <c r="OE16" s="193">
        <f t="shared" si="71"/>
        <v>0</v>
      </c>
      <c r="OF16" s="193">
        <f t="shared" si="71"/>
        <v>0</v>
      </c>
      <c r="OG16" s="193">
        <f t="shared" si="71"/>
        <v>0</v>
      </c>
      <c r="OH16" s="193">
        <f t="shared" si="71"/>
        <v>0</v>
      </c>
      <c r="OI16" s="193">
        <f t="shared" ref="OI16:OT16" si="72">OI15</f>
        <v>0</v>
      </c>
      <c r="OJ16" s="193">
        <f t="shared" si="72"/>
        <v>0</v>
      </c>
      <c r="OK16" s="193">
        <f t="shared" si="72"/>
        <v>0</v>
      </c>
      <c r="OL16" s="193">
        <f t="shared" si="72"/>
        <v>0</v>
      </c>
      <c r="OM16" s="193">
        <f t="shared" si="72"/>
        <v>0</v>
      </c>
      <c r="ON16" s="193">
        <f t="shared" si="72"/>
        <v>0</v>
      </c>
      <c r="OO16" s="193">
        <f t="shared" si="72"/>
        <v>0</v>
      </c>
      <c r="OP16" s="193">
        <f t="shared" si="72"/>
        <v>0</v>
      </c>
      <c r="OQ16" s="193">
        <f t="shared" si="72"/>
        <v>0</v>
      </c>
      <c r="OR16" s="193">
        <f t="shared" si="72"/>
        <v>0</v>
      </c>
      <c r="OS16" s="193">
        <f t="shared" si="72"/>
        <v>0</v>
      </c>
      <c r="OT16" s="193">
        <f t="shared" si="72"/>
        <v>0</v>
      </c>
      <c r="OU16" s="193">
        <f t="shared" si="71"/>
        <v>0</v>
      </c>
      <c r="OV16" s="193">
        <f t="shared" si="71"/>
        <v>0</v>
      </c>
      <c r="OW16" s="193"/>
      <c r="OX16" s="193"/>
      <c r="OY16" s="193"/>
      <c r="OZ16" s="193">
        <f t="shared" si="71"/>
        <v>0</v>
      </c>
      <c r="PA16" s="193">
        <f t="shared" si="71"/>
        <v>0</v>
      </c>
      <c r="PB16" s="193">
        <f t="shared" si="71"/>
        <v>0</v>
      </c>
      <c r="PC16" s="193">
        <f t="shared" si="71"/>
        <v>0</v>
      </c>
      <c r="PD16" s="193">
        <f t="shared" si="71"/>
        <v>0</v>
      </c>
      <c r="PE16" s="193">
        <f t="shared" si="71"/>
        <v>0</v>
      </c>
      <c r="PF16" s="193">
        <f t="shared" si="71"/>
        <v>0</v>
      </c>
      <c r="PG16" s="193">
        <f t="shared" si="71"/>
        <v>0</v>
      </c>
      <c r="PH16" s="193">
        <f t="shared" si="71"/>
        <v>0</v>
      </c>
      <c r="PI16" s="193">
        <f t="shared" si="71"/>
        <v>0</v>
      </c>
      <c r="PJ16" s="193">
        <f t="shared" si="71"/>
        <v>0</v>
      </c>
      <c r="PK16" s="193">
        <f t="shared" si="71"/>
        <v>0</v>
      </c>
      <c r="PL16" s="193">
        <f t="shared" si="71"/>
        <v>0</v>
      </c>
      <c r="PM16" s="193">
        <f t="shared" si="71"/>
        <v>0</v>
      </c>
      <c r="PN16" s="193">
        <f t="shared" si="71"/>
        <v>0</v>
      </c>
      <c r="PO16" s="193">
        <f t="shared" si="71"/>
        <v>0</v>
      </c>
      <c r="PP16" s="193">
        <f t="shared" si="71"/>
        <v>0</v>
      </c>
      <c r="PQ16" s="193">
        <f t="shared" si="71"/>
        <v>0</v>
      </c>
      <c r="PR16" s="193">
        <f t="shared" si="71"/>
        <v>0</v>
      </c>
      <c r="PS16" s="193">
        <f t="shared" si="71"/>
        <v>0</v>
      </c>
      <c r="PT16" s="193">
        <f t="shared" si="71"/>
        <v>0</v>
      </c>
      <c r="PU16" s="193">
        <f t="shared" si="71"/>
        <v>0</v>
      </c>
      <c r="PV16" s="193">
        <f t="shared" ref="PV16:QH16" si="73">PV15</f>
        <v>0</v>
      </c>
      <c r="PW16" s="193">
        <f t="shared" si="73"/>
        <v>0</v>
      </c>
      <c r="PX16" s="193">
        <f t="shared" si="73"/>
        <v>0</v>
      </c>
      <c r="PY16" s="193">
        <f t="shared" si="73"/>
        <v>0</v>
      </c>
      <c r="PZ16" s="193">
        <f t="shared" si="73"/>
        <v>0</v>
      </c>
      <c r="QA16" s="193">
        <f t="shared" si="73"/>
        <v>0</v>
      </c>
      <c r="QB16" s="193">
        <f t="shared" si="73"/>
        <v>0</v>
      </c>
      <c r="QC16" s="193">
        <f t="shared" si="73"/>
        <v>0</v>
      </c>
      <c r="QD16" s="193">
        <f t="shared" si="73"/>
        <v>0</v>
      </c>
      <c r="QE16" s="193">
        <f t="shared" si="73"/>
        <v>0</v>
      </c>
      <c r="QF16" s="193">
        <f t="shared" si="73"/>
        <v>0</v>
      </c>
      <c r="QG16" s="193">
        <f t="shared" si="73"/>
        <v>0</v>
      </c>
      <c r="QH16" s="193">
        <f t="shared" si="73"/>
        <v>0</v>
      </c>
      <c r="QI16" s="193">
        <f t="shared" si="71"/>
        <v>0</v>
      </c>
      <c r="QJ16" s="193">
        <f t="shared" si="71"/>
        <v>0</v>
      </c>
      <c r="QK16" s="193">
        <f t="shared" si="71"/>
        <v>0</v>
      </c>
      <c r="QL16" s="193">
        <f t="shared" si="71"/>
        <v>0</v>
      </c>
      <c r="QM16" s="193">
        <f t="shared" si="71"/>
        <v>0</v>
      </c>
      <c r="QN16" s="193">
        <f t="shared" si="71"/>
        <v>0</v>
      </c>
      <c r="QO16" s="193">
        <f t="shared" si="71"/>
        <v>0</v>
      </c>
      <c r="QP16" s="193">
        <f t="shared" si="71"/>
        <v>0</v>
      </c>
      <c r="QQ16" s="193">
        <f t="shared" si="71"/>
        <v>0</v>
      </c>
      <c r="QR16" s="193">
        <f t="shared" si="71"/>
        <v>0</v>
      </c>
      <c r="QS16" s="193">
        <f t="shared" si="71"/>
        <v>0</v>
      </c>
      <c r="QT16" s="193">
        <f t="shared" ref="QT16:SP16" si="74">QT15</f>
        <v>0</v>
      </c>
      <c r="QU16" s="193">
        <f t="shared" si="74"/>
        <v>0</v>
      </c>
      <c r="QV16" s="193">
        <f t="shared" si="74"/>
        <v>0</v>
      </c>
      <c r="QW16" s="193">
        <f t="shared" si="74"/>
        <v>0</v>
      </c>
      <c r="QX16" s="193">
        <f t="shared" si="74"/>
        <v>0</v>
      </c>
      <c r="QY16" s="193">
        <f t="shared" si="74"/>
        <v>0</v>
      </c>
      <c r="QZ16" s="193">
        <f t="shared" si="74"/>
        <v>0</v>
      </c>
      <c r="RA16" s="193">
        <f t="shared" si="74"/>
        <v>0</v>
      </c>
      <c r="RB16" s="193">
        <f>RB15</f>
        <v>0</v>
      </c>
      <c r="RC16" s="193">
        <f>RC15</f>
        <v>0</v>
      </c>
      <c r="RD16" s="193">
        <f t="shared" si="74"/>
        <v>0</v>
      </c>
      <c r="RE16" s="193">
        <f t="shared" si="74"/>
        <v>0</v>
      </c>
      <c r="RF16" s="193">
        <f t="shared" si="74"/>
        <v>0</v>
      </c>
      <c r="RG16" s="193">
        <f t="shared" si="74"/>
        <v>0</v>
      </c>
      <c r="RH16" s="193">
        <f t="shared" si="74"/>
        <v>0</v>
      </c>
      <c r="RI16" s="193">
        <f t="shared" si="74"/>
        <v>0</v>
      </c>
      <c r="RJ16" s="193">
        <f t="shared" si="74"/>
        <v>0</v>
      </c>
      <c r="RK16" s="193">
        <f t="shared" si="74"/>
        <v>0</v>
      </c>
      <c r="RL16" s="193">
        <f t="shared" si="74"/>
        <v>0</v>
      </c>
      <c r="RM16" s="193">
        <f t="shared" si="74"/>
        <v>0</v>
      </c>
      <c r="RN16" s="193">
        <f t="shared" si="74"/>
        <v>0</v>
      </c>
      <c r="RO16" s="193"/>
      <c r="RP16" s="193"/>
      <c r="RQ16" s="193"/>
      <c r="RR16" s="193"/>
      <c r="RS16" s="193"/>
      <c r="RT16" s="193"/>
      <c r="RU16" s="193">
        <f t="shared" si="74"/>
        <v>0</v>
      </c>
      <c r="RV16" s="193">
        <f t="shared" si="74"/>
        <v>0</v>
      </c>
      <c r="RW16" s="193">
        <f t="shared" si="74"/>
        <v>0</v>
      </c>
      <c r="RX16" s="193">
        <f t="shared" si="74"/>
        <v>0</v>
      </c>
      <c r="RY16" s="193">
        <f t="shared" si="74"/>
        <v>0</v>
      </c>
      <c r="RZ16" s="193">
        <f t="shared" si="74"/>
        <v>0</v>
      </c>
      <c r="SA16" s="193">
        <f t="shared" si="74"/>
        <v>0</v>
      </c>
      <c r="SB16" s="193">
        <f t="shared" si="74"/>
        <v>0</v>
      </c>
      <c r="SC16" s="193">
        <f t="shared" si="74"/>
        <v>0</v>
      </c>
      <c r="SD16" s="193">
        <f t="shared" si="74"/>
        <v>0</v>
      </c>
      <c r="SE16" s="193">
        <f t="shared" si="74"/>
        <v>0</v>
      </c>
      <c r="SF16" s="193">
        <f t="shared" si="74"/>
        <v>0</v>
      </c>
      <c r="SG16" s="193">
        <f t="shared" si="74"/>
        <v>0</v>
      </c>
      <c r="SH16" s="193">
        <f t="shared" si="74"/>
        <v>0</v>
      </c>
      <c r="SI16" s="193">
        <f t="shared" si="74"/>
        <v>0</v>
      </c>
      <c r="SJ16" s="193">
        <f t="shared" si="74"/>
        <v>0</v>
      </c>
      <c r="SK16" s="193">
        <f t="shared" si="74"/>
        <v>0</v>
      </c>
      <c r="SL16" s="193">
        <f t="shared" si="74"/>
        <v>0</v>
      </c>
      <c r="SM16" s="193">
        <f t="shared" si="74"/>
        <v>0</v>
      </c>
      <c r="SN16" s="193">
        <f t="shared" si="74"/>
        <v>0</v>
      </c>
      <c r="SO16" s="193">
        <f t="shared" si="74"/>
        <v>0</v>
      </c>
      <c r="SP16" s="193">
        <f t="shared" si="74"/>
        <v>0</v>
      </c>
      <c r="SQ16" s="193"/>
      <c r="SR16" s="193"/>
      <c r="SS16" s="195"/>
    </row>
    <row r="17" spans="1:513" s="194" customFormat="1" ht="21.75" customHeight="1">
      <c r="A17" s="215" t="s">
        <v>195</v>
      </c>
      <c r="B17" s="216"/>
      <c r="C17" s="216"/>
      <c r="D17" s="216"/>
      <c r="E17" s="217"/>
      <c r="F17" s="193">
        <f>F16+F12+F9</f>
        <v>0</v>
      </c>
      <c r="G17" s="193">
        <f t="shared" ref="G17:BR17" si="75">G16+G12+G9</f>
        <v>0</v>
      </c>
      <c r="H17" s="193">
        <f t="shared" si="75"/>
        <v>1</v>
      </c>
      <c r="I17" s="193">
        <f t="shared" si="75"/>
        <v>1</v>
      </c>
      <c r="J17" s="193">
        <f t="shared" si="75"/>
        <v>0</v>
      </c>
      <c r="K17" s="193">
        <f t="shared" si="75"/>
        <v>1</v>
      </c>
      <c r="L17" s="193">
        <f t="shared" si="75"/>
        <v>0</v>
      </c>
      <c r="M17" s="193">
        <f t="shared" si="75"/>
        <v>0</v>
      </c>
      <c r="N17" s="193">
        <f t="shared" si="75"/>
        <v>0</v>
      </c>
      <c r="O17" s="193">
        <f t="shared" si="75"/>
        <v>1</v>
      </c>
      <c r="P17" s="193">
        <f t="shared" si="75"/>
        <v>0</v>
      </c>
      <c r="Q17" s="193">
        <f t="shared" si="75"/>
        <v>1</v>
      </c>
      <c r="R17" s="193">
        <f t="shared" si="75"/>
        <v>0</v>
      </c>
      <c r="S17" s="193">
        <f t="shared" si="75"/>
        <v>0</v>
      </c>
      <c r="T17" s="193">
        <f t="shared" si="75"/>
        <v>0</v>
      </c>
      <c r="U17" s="193">
        <f t="shared" si="75"/>
        <v>1</v>
      </c>
      <c r="V17" s="193">
        <f t="shared" si="75"/>
        <v>67</v>
      </c>
      <c r="W17" s="193">
        <f t="shared" si="75"/>
        <v>13</v>
      </c>
      <c r="X17" s="193">
        <f t="shared" si="75"/>
        <v>59</v>
      </c>
      <c r="Y17" s="193">
        <f t="shared" si="75"/>
        <v>20</v>
      </c>
      <c r="Z17" s="193">
        <f t="shared" si="75"/>
        <v>45</v>
      </c>
      <c r="AA17" s="193">
        <f t="shared" si="75"/>
        <v>20</v>
      </c>
      <c r="AB17" s="193">
        <f t="shared" si="75"/>
        <v>29</v>
      </c>
      <c r="AC17" s="193">
        <f t="shared" si="75"/>
        <v>7</v>
      </c>
      <c r="AD17" s="193">
        <f t="shared" si="75"/>
        <v>0</v>
      </c>
      <c r="AE17" s="193">
        <f t="shared" si="75"/>
        <v>0</v>
      </c>
      <c r="AF17" s="193">
        <f t="shared" si="75"/>
        <v>200</v>
      </c>
      <c r="AG17" s="193">
        <f t="shared" si="75"/>
        <v>60</v>
      </c>
      <c r="AH17" s="193">
        <f t="shared" si="75"/>
        <v>260</v>
      </c>
      <c r="AI17" s="193">
        <f t="shared" si="75"/>
        <v>67</v>
      </c>
      <c r="AJ17" s="193">
        <f t="shared" si="75"/>
        <v>13</v>
      </c>
      <c r="AK17" s="193">
        <f t="shared" si="75"/>
        <v>59</v>
      </c>
      <c r="AL17" s="193">
        <f t="shared" si="75"/>
        <v>20</v>
      </c>
      <c r="AM17" s="193">
        <f t="shared" si="75"/>
        <v>45</v>
      </c>
      <c r="AN17" s="193">
        <f t="shared" si="75"/>
        <v>20</v>
      </c>
      <c r="AO17" s="193">
        <f t="shared" si="75"/>
        <v>29</v>
      </c>
      <c r="AP17" s="193">
        <f t="shared" si="75"/>
        <v>7</v>
      </c>
      <c r="AQ17" s="193">
        <f t="shared" si="75"/>
        <v>0</v>
      </c>
      <c r="AR17" s="193">
        <f t="shared" si="75"/>
        <v>0</v>
      </c>
      <c r="AS17" s="193">
        <f t="shared" si="75"/>
        <v>200</v>
      </c>
      <c r="AT17" s="193">
        <f t="shared" si="75"/>
        <v>60</v>
      </c>
      <c r="AU17" s="193">
        <f t="shared" si="75"/>
        <v>260</v>
      </c>
      <c r="AV17" s="193">
        <f t="shared" si="75"/>
        <v>0</v>
      </c>
      <c r="AW17" s="193">
        <f t="shared" si="75"/>
        <v>0</v>
      </c>
      <c r="AX17" s="193">
        <f t="shared" si="75"/>
        <v>0</v>
      </c>
      <c r="AY17" s="193">
        <f t="shared" si="75"/>
        <v>0</v>
      </c>
      <c r="AZ17" s="193">
        <f t="shared" si="75"/>
        <v>0</v>
      </c>
      <c r="BA17" s="193">
        <f t="shared" si="75"/>
        <v>0</v>
      </c>
      <c r="BB17" s="193">
        <f t="shared" si="75"/>
        <v>0</v>
      </c>
      <c r="BC17" s="193">
        <f t="shared" si="75"/>
        <v>0</v>
      </c>
      <c r="BD17" s="193">
        <f t="shared" si="75"/>
        <v>0</v>
      </c>
      <c r="BE17" s="193">
        <f t="shared" si="75"/>
        <v>0</v>
      </c>
      <c r="BF17" s="193">
        <f t="shared" si="75"/>
        <v>0</v>
      </c>
      <c r="BG17" s="193">
        <f t="shared" si="75"/>
        <v>0</v>
      </c>
      <c r="BH17" s="193">
        <f t="shared" si="75"/>
        <v>0</v>
      </c>
      <c r="BI17" s="193">
        <f t="shared" si="75"/>
        <v>0</v>
      </c>
      <c r="BJ17" s="193">
        <f t="shared" si="75"/>
        <v>0</v>
      </c>
      <c r="BK17" s="193">
        <f t="shared" si="75"/>
        <v>0</v>
      </c>
      <c r="BL17" s="193">
        <f t="shared" si="75"/>
        <v>0</v>
      </c>
      <c r="BM17" s="193">
        <f t="shared" si="75"/>
        <v>0</v>
      </c>
      <c r="BN17" s="193">
        <f t="shared" si="75"/>
        <v>0</v>
      </c>
      <c r="BO17" s="193">
        <f t="shared" si="75"/>
        <v>0</v>
      </c>
      <c r="BP17" s="193">
        <f t="shared" si="75"/>
        <v>0</v>
      </c>
      <c r="BQ17" s="193">
        <f t="shared" si="75"/>
        <v>0</v>
      </c>
      <c r="BR17" s="193">
        <f t="shared" si="75"/>
        <v>0</v>
      </c>
      <c r="BS17" s="193">
        <f t="shared" ref="BS17:ED17" si="76">BS16+BS12+BS9</f>
        <v>0</v>
      </c>
      <c r="BT17" s="193">
        <f t="shared" si="76"/>
        <v>0</v>
      </c>
      <c r="BU17" s="193">
        <f t="shared" si="76"/>
        <v>0</v>
      </c>
      <c r="BV17" s="193">
        <f t="shared" si="76"/>
        <v>67</v>
      </c>
      <c r="BW17" s="193">
        <f t="shared" si="76"/>
        <v>13</v>
      </c>
      <c r="BX17" s="193">
        <f t="shared" si="76"/>
        <v>59</v>
      </c>
      <c r="BY17" s="193">
        <f t="shared" si="76"/>
        <v>20</v>
      </c>
      <c r="BZ17" s="193">
        <f t="shared" si="76"/>
        <v>45</v>
      </c>
      <c r="CA17" s="193">
        <f t="shared" si="76"/>
        <v>20</v>
      </c>
      <c r="CB17" s="193">
        <f t="shared" si="76"/>
        <v>29</v>
      </c>
      <c r="CC17" s="193">
        <f t="shared" si="76"/>
        <v>7</v>
      </c>
      <c r="CD17" s="193">
        <f t="shared" si="76"/>
        <v>0</v>
      </c>
      <c r="CE17" s="193">
        <f t="shared" si="76"/>
        <v>0</v>
      </c>
      <c r="CF17" s="193">
        <f t="shared" si="76"/>
        <v>0</v>
      </c>
      <c r="CG17" s="193">
        <f t="shared" si="76"/>
        <v>0</v>
      </c>
      <c r="CH17" s="193">
        <f t="shared" si="76"/>
        <v>0</v>
      </c>
      <c r="CI17" s="193">
        <f t="shared" si="76"/>
        <v>0</v>
      </c>
      <c r="CJ17" s="193">
        <f t="shared" si="76"/>
        <v>200</v>
      </c>
      <c r="CK17" s="193">
        <f t="shared" si="76"/>
        <v>60</v>
      </c>
      <c r="CL17" s="193">
        <f>CL16+CL12+CL9</f>
        <v>260</v>
      </c>
      <c r="CM17" s="193">
        <f t="shared" si="76"/>
        <v>7</v>
      </c>
      <c r="CN17" s="193">
        <f t="shared" si="76"/>
        <v>3</v>
      </c>
      <c r="CO17" s="193">
        <f t="shared" si="76"/>
        <v>0</v>
      </c>
      <c r="CP17" s="193">
        <f t="shared" si="76"/>
        <v>0</v>
      </c>
      <c r="CQ17" s="193">
        <f t="shared" si="76"/>
        <v>0</v>
      </c>
      <c r="CR17" s="193">
        <f t="shared" si="76"/>
        <v>0</v>
      </c>
      <c r="CS17" s="193">
        <f t="shared" si="76"/>
        <v>0</v>
      </c>
      <c r="CT17" s="193">
        <f t="shared" si="76"/>
        <v>0</v>
      </c>
      <c r="CU17" s="193">
        <f t="shared" si="76"/>
        <v>0</v>
      </c>
      <c r="CV17" s="193">
        <f t="shared" si="76"/>
        <v>7</v>
      </c>
      <c r="CW17" s="193">
        <f t="shared" si="76"/>
        <v>3</v>
      </c>
      <c r="CX17" s="193">
        <f t="shared" si="76"/>
        <v>0</v>
      </c>
      <c r="CY17" s="193">
        <f t="shared" si="76"/>
        <v>10</v>
      </c>
      <c r="CZ17" s="193">
        <f t="shared" si="76"/>
        <v>0</v>
      </c>
      <c r="DA17" s="193">
        <f t="shared" si="76"/>
        <v>0</v>
      </c>
      <c r="DB17" s="193">
        <f t="shared" si="76"/>
        <v>0</v>
      </c>
      <c r="DC17" s="193">
        <f t="shared" si="76"/>
        <v>0</v>
      </c>
      <c r="DD17" s="193">
        <f t="shared" si="76"/>
        <v>0</v>
      </c>
      <c r="DE17" s="193">
        <f t="shared" si="76"/>
        <v>0</v>
      </c>
      <c r="DF17" s="193">
        <f t="shared" si="76"/>
        <v>0</v>
      </c>
      <c r="DG17" s="193">
        <f t="shared" si="76"/>
        <v>0</v>
      </c>
      <c r="DH17" s="193">
        <f t="shared" si="76"/>
        <v>0</v>
      </c>
      <c r="DI17" s="193">
        <f t="shared" si="76"/>
        <v>0</v>
      </c>
      <c r="DJ17" s="193">
        <f t="shared" si="76"/>
        <v>0</v>
      </c>
      <c r="DK17" s="193">
        <f t="shared" si="76"/>
        <v>0</v>
      </c>
      <c r="DL17" s="193">
        <f t="shared" si="76"/>
        <v>0</v>
      </c>
      <c r="DM17" s="193">
        <f t="shared" si="76"/>
        <v>0</v>
      </c>
      <c r="DN17" s="193">
        <f t="shared" si="76"/>
        <v>0</v>
      </c>
      <c r="DO17" s="193">
        <f t="shared" si="76"/>
        <v>0</v>
      </c>
      <c r="DP17" s="193">
        <f t="shared" si="76"/>
        <v>0</v>
      </c>
      <c r="DQ17" s="193">
        <f t="shared" si="76"/>
        <v>0</v>
      </c>
      <c r="DR17" s="193">
        <f t="shared" si="76"/>
        <v>0</v>
      </c>
      <c r="DS17" s="193">
        <f t="shared" si="76"/>
        <v>0</v>
      </c>
      <c r="DT17" s="193">
        <f t="shared" si="76"/>
        <v>0</v>
      </c>
      <c r="DU17" s="193">
        <f t="shared" si="76"/>
        <v>0</v>
      </c>
      <c r="DV17" s="193">
        <f t="shared" si="76"/>
        <v>0</v>
      </c>
      <c r="DW17" s="193">
        <f t="shared" si="76"/>
        <v>0</v>
      </c>
      <c r="DX17" s="193">
        <f t="shared" si="76"/>
        <v>0</v>
      </c>
      <c r="DY17" s="193">
        <f t="shared" si="76"/>
        <v>0</v>
      </c>
      <c r="DZ17" s="193">
        <f t="shared" si="76"/>
        <v>0</v>
      </c>
      <c r="EA17" s="193">
        <f t="shared" si="76"/>
        <v>0</v>
      </c>
      <c r="EB17" s="193">
        <f t="shared" si="76"/>
        <v>0</v>
      </c>
      <c r="EC17" s="193">
        <f t="shared" si="76"/>
        <v>0</v>
      </c>
      <c r="ED17" s="193">
        <f t="shared" si="76"/>
        <v>0</v>
      </c>
      <c r="EE17" s="193">
        <f t="shared" ref="EE17:FJ17" si="77">EE16+EE12+EE9</f>
        <v>0</v>
      </c>
      <c r="EF17" s="193">
        <f t="shared" si="77"/>
        <v>0</v>
      </c>
      <c r="EG17" s="193">
        <f t="shared" si="77"/>
        <v>0</v>
      </c>
      <c r="EH17" s="193">
        <f t="shared" si="77"/>
        <v>0</v>
      </c>
      <c r="EI17" s="193">
        <f t="shared" si="77"/>
        <v>0</v>
      </c>
      <c r="EJ17" s="193">
        <f t="shared" si="77"/>
        <v>0</v>
      </c>
      <c r="EK17" s="193">
        <f t="shared" si="77"/>
        <v>0</v>
      </c>
      <c r="EL17" s="193">
        <f t="shared" si="77"/>
        <v>0</v>
      </c>
      <c r="EM17" s="193">
        <f t="shared" si="77"/>
        <v>0</v>
      </c>
      <c r="EN17" s="193">
        <f t="shared" si="77"/>
        <v>0</v>
      </c>
      <c r="EO17" s="193">
        <f t="shared" si="77"/>
        <v>0</v>
      </c>
      <c r="EP17" s="193">
        <f t="shared" si="77"/>
        <v>0</v>
      </c>
      <c r="EQ17" s="193">
        <f t="shared" si="77"/>
        <v>0</v>
      </c>
      <c r="ER17" s="193">
        <f t="shared" si="77"/>
        <v>0</v>
      </c>
      <c r="ES17" s="193">
        <f t="shared" si="77"/>
        <v>0</v>
      </c>
      <c r="ET17" s="193">
        <f t="shared" si="77"/>
        <v>0</v>
      </c>
      <c r="EU17" s="193">
        <f t="shared" si="77"/>
        <v>0</v>
      </c>
      <c r="EV17" s="193">
        <f t="shared" si="77"/>
        <v>0</v>
      </c>
      <c r="EW17" s="193">
        <f t="shared" si="77"/>
        <v>0</v>
      </c>
      <c r="EX17" s="193">
        <f t="shared" si="77"/>
        <v>0</v>
      </c>
      <c r="EY17" s="193">
        <f t="shared" si="77"/>
        <v>0</v>
      </c>
      <c r="EZ17" s="193">
        <f t="shared" si="77"/>
        <v>0</v>
      </c>
      <c r="FA17" s="193">
        <f t="shared" si="77"/>
        <v>0</v>
      </c>
      <c r="FB17" s="193">
        <f t="shared" si="77"/>
        <v>0</v>
      </c>
      <c r="FC17" s="193">
        <f t="shared" si="77"/>
        <v>1</v>
      </c>
      <c r="FD17" s="193">
        <f t="shared" si="77"/>
        <v>3</v>
      </c>
      <c r="FE17" s="193">
        <f t="shared" si="77"/>
        <v>0</v>
      </c>
      <c r="FF17" s="193">
        <f t="shared" si="77"/>
        <v>10</v>
      </c>
      <c r="FG17" s="193">
        <f t="shared" si="77"/>
        <v>18</v>
      </c>
      <c r="FH17" s="193">
        <f t="shared" si="77"/>
        <v>0</v>
      </c>
      <c r="FI17" s="193">
        <f t="shared" si="77"/>
        <v>0</v>
      </c>
      <c r="FJ17" s="193">
        <f t="shared" si="77"/>
        <v>0</v>
      </c>
      <c r="FK17" s="193">
        <f t="shared" ref="FK17:GB17" si="78">FK16+FK12+FK9</f>
        <v>0</v>
      </c>
      <c r="FL17" s="193">
        <f t="shared" si="78"/>
        <v>13</v>
      </c>
      <c r="FM17" s="193">
        <f t="shared" si="78"/>
        <v>19</v>
      </c>
      <c r="FN17" s="193">
        <f t="shared" si="78"/>
        <v>32</v>
      </c>
      <c r="FO17" s="193">
        <f t="shared" si="78"/>
        <v>0</v>
      </c>
      <c r="FP17" s="193">
        <f t="shared" si="78"/>
        <v>0</v>
      </c>
      <c r="FQ17" s="193">
        <f t="shared" si="78"/>
        <v>0</v>
      </c>
      <c r="FR17" s="193">
        <f t="shared" si="78"/>
        <v>0</v>
      </c>
      <c r="FS17" s="193">
        <f t="shared" si="78"/>
        <v>0</v>
      </c>
      <c r="FT17" s="193">
        <f t="shared" si="78"/>
        <v>0</v>
      </c>
      <c r="FU17" s="193">
        <f t="shared" si="78"/>
        <v>0</v>
      </c>
      <c r="FV17" s="193">
        <f t="shared" si="78"/>
        <v>0</v>
      </c>
      <c r="FW17" s="193">
        <f t="shared" si="78"/>
        <v>0</v>
      </c>
      <c r="FX17" s="193">
        <f t="shared" si="78"/>
        <v>0</v>
      </c>
      <c r="FY17" s="193">
        <f t="shared" si="78"/>
        <v>0</v>
      </c>
      <c r="FZ17" s="193">
        <f t="shared" si="78"/>
        <v>0</v>
      </c>
      <c r="GA17" s="193">
        <f t="shared" si="78"/>
        <v>0</v>
      </c>
      <c r="GB17" s="193">
        <f t="shared" si="78"/>
        <v>0</v>
      </c>
      <c r="GC17" s="193"/>
      <c r="GD17" s="193"/>
      <c r="GE17" s="193">
        <f t="shared" ref="GE17:GR17" si="79">GE16+GE12+GE9</f>
        <v>0</v>
      </c>
      <c r="GF17" s="193">
        <f t="shared" si="79"/>
        <v>0</v>
      </c>
      <c r="GG17" s="193">
        <f t="shared" si="79"/>
        <v>0</v>
      </c>
      <c r="GH17" s="193">
        <f t="shared" si="79"/>
        <v>0</v>
      </c>
      <c r="GI17" s="193">
        <f t="shared" si="79"/>
        <v>0</v>
      </c>
      <c r="GJ17" s="193">
        <f t="shared" si="79"/>
        <v>1</v>
      </c>
      <c r="GK17" s="193">
        <f t="shared" si="79"/>
        <v>5</v>
      </c>
      <c r="GL17" s="193">
        <f t="shared" si="79"/>
        <v>0</v>
      </c>
      <c r="GM17" s="193">
        <f t="shared" si="79"/>
        <v>0</v>
      </c>
      <c r="GN17" s="193">
        <f t="shared" si="79"/>
        <v>4</v>
      </c>
      <c r="GO17" s="193">
        <f t="shared" si="79"/>
        <v>1</v>
      </c>
      <c r="GP17" s="193">
        <f t="shared" si="79"/>
        <v>0</v>
      </c>
      <c r="GQ17" s="193">
        <f t="shared" si="79"/>
        <v>0</v>
      </c>
      <c r="GR17" s="193">
        <f t="shared" si="79"/>
        <v>2</v>
      </c>
      <c r="GS17" s="193">
        <f t="shared" ref="GS17:JD17" si="80">GS16+GS12+GS9</f>
        <v>1</v>
      </c>
      <c r="GT17" s="193">
        <f t="shared" si="80"/>
        <v>0</v>
      </c>
      <c r="GU17" s="193">
        <f t="shared" si="80"/>
        <v>0</v>
      </c>
      <c r="GV17" s="193">
        <f t="shared" si="80"/>
        <v>0</v>
      </c>
      <c r="GW17" s="193">
        <f t="shared" si="80"/>
        <v>2</v>
      </c>
      <c r="GX17" s="193">
        <f t="shared" si="80"/>
        <v>0</v>
      </c>
      <c r="GY17" s="193">
        <f t="shared" si="80"/>
        <v>0</v>
      </c>
      <c r="GZ17" s="193">
        <f t="shared" si="80"/>
        <v>0</v>
      </c>
      <c r="HA17" s="193">
        <f t="shared" si="80"/>
        <v>0</v>
      </c>
      <c r="HB17" s="193">
        <f t="shared" si="80"/>
        <v>0</v>
      </c>
      <c r="HC17" s="193">
        <f t="shared" si="80"/>
        <v>0</v>
      </c>
      <c r="HD17" s="193">
        <f t="shared" si="80"/>
        <v>0</v>
      </c>
      <c r="HE17" s="193">
        <f t="shared" si="80"/>
        <v>0</v>
      </c>
      <c r="HF17" s="193">
        <f t="shared" si="80"/>
        <v>1</v>
      </c>
      <c r="HG17" s="193">
        <f t="shared" si="80"/>
        <v>0</v>
      </c>
      <c r="HH17" s="193">
        <f t="shared" si="80"/>
        <v>0</v>
      </c>
      <c r="HI17" s="193">
        <f t="shared" si="80"/>
        <v>0</v>
      </c>
      <c r="HJ17" s="193">
        <f t="shared" si="80"/>
        <v>0</v>
      </c>
      <c r="HK17" s="193">
        <f t="shared" si="80"/>
        <v>0</v>
      </c>
      <c r="HL17" s="193">
        <f t="shared" si="80"/>
        <v>0</v>
      </c>
      <c r="HM17" s="193">
        <f t="shared" si="80"/>
        <v>0</v>
      </c>
      <c r="HN17" s="193">
        <f t="shared" si="80"/>
        <v>0</v>
      </c>
      <c r="HO17" s="193">
        <f t="shared" si="80"/>
        <v>0</v>
      </c>
      <c r="HP17" s="193">
        <f t="shared" si="80"/>
        <v>0</v>
      </c>
      <c r="HQ17" s="193">
        <f t="shared" si="80"/>
        <v>0</v>
      </c>
      <c r="HR17" s="193">
        <f t="shared" si="80"/>
        <v>0</v>
      </c>
      <c r="HS17" s="193">
        <f t="shared" si="80"/>
        <v>0</v>
      </c>
      <c r="HT17" s="193">
        <f t="shared" si="80"/>
        <v>0</v>
      </c>
      <c r="HU17" s="193">
        <f t="shared" si="80"/>
        <v>0</v>
      </c>
      <c r="HV17" s="193">
        <f t="shared" si="80"/>
        <v>0</v>
      </c>
      <c r="HW17" s="193">
        <f t="shared" si="80"/>
        <v>0</v>
      </c>
      <c r="HX17" s="193">
        <f t="shared" si="80"/>
        <v>0</v>
      </c>
      <c r="HY17" s="193">
        <f t="shared" si="80"/>
        <v>0</v>
      </c>
      <c r="HZ17" s="193">
        <f t="shared" si="80"/>
        <v>0</v>
      </c>
      <c r="IA17" s="193">
        <f t="shared" si="80"/>
        <v>0</v>
      </c>
      <c r="IB17" s="193">
        <f t="shared" si="80"/>
        <v>0</v>
      </c>
      <c r="IC17" s="193">
        <f t="shared" si="80"/>
        <v>0</v>
      </c>
      <c r="ID17" s="193">
        <f t="shared" si="80"/>
        <v>0</v>
      </c>
      <c r="IE17" s="193">
        <f t="shared" si="80"/>
        <v>0</v>
      </c>
      <c r="IF17" s="193">
        <f t="shared" si="80"/>
        <v>0</v>
      </c>
      <c r="IG17" s="193">
        <f t="shared" si="80"/>
        <v>0</v>
      </c>
      <c r="IH17" s="193">
        <f t="shared" si="80"/>
        <v>0</v>
      </c>
      <c r="II17" s="193">
        <f t="shared" si="80"/>
        <v>0</v>
      </c>
      <c r="IJ17" s="193">
        <f t="shared" si="80"/>
        <v>1</v>
      </c>
      <c r="IK17" s="193">
        <f t="shared" si="80"/>
        <v>0</v>
      </c>
      <c r="IL17" s="193">
        <f t="shared" si="80"/>
        <v>0</v>
      </c>
      <c r="IM17" s="193">
        <f t="shared" si="80"/>
        <v>0</v>
      </c>
      <c r="IN17" s="193">
        <f t="shared" si="80"/>
        <v>0</v>
      </c>
      <c r="IO17" s="193">
        <f t="shared" si="80"/>
        <v>0</v>
      </c>
      <c r="IP17" s="193">
        <f t="shared" si="80"/>
        <v>0</v>
      </c>
      <c r="IQ17" s="193">
        <f t="shared" si="80"/>
        <v>0</v>
      </c>
      <c r="IR17" s="193">
        <f t="shared" si="80"/>
        <v>0</v>
      </c>
      <c r="IS17" s="193">
        <f t="shared" si="80"/>
        <v>0</v>
      </c>
      <c r="IT17" s="193">
        <f t="shared" si="80"/>
        <v>0</v>
      </c>
      <c r="IU17" s="193">
        <f t="shared" si="80"/>
        <v>0</v>
      </c>
      <c r="IV17" s="193">
        <f t="shared" si="80"/>
        <v>0</v>
      </c>
      <c r="IW17" s="193">
        <f t="shared" si="80"/>
        <v>0</v>
      </c>
      <c r="IX17" s="193">
        <f t="shared" si="80"/>
        <v>0</v>
      </c>
      <c r="IY17" s="193">
        <f t="shared" si="80"/>
        <v>0</v>
      </c>
      <c r="IZ17" s="193">
        <f t="shared" si="80"/>
        <v>0</v>
      </c>
      <c r="JA17" s="193">
        <f t="shared" si="80"/>
        <v>0</v>
      </c>
      <c r="JB17" s="193">
        <f t="shared" si="80"/>
        <v>0</v>
      </c>
      <c r="JC17" s="193">
        <f t="shared" si="80"/>
        <v>0</v>
      </c>
      <c r="JD17" s="193">
        <f t="shared" si="80"/>
        <v>0</v>
      </c>
      <c r="JE17" s="193">
        <f t="shared" ref="JE17:LN17" si="81">JE16+JE12+JE9</f>
        <v>0</v>
      </c>
      <c r="JF17" s="193">
        <f t="shared" si="81"/>
        <v>0</v>
      </c>
      <c r="JG17" s="193">
        <f t="shared" si="81"/>
        <v>0</v>
      </c>
      <c r="JH17" s="193">
        <f t="shared" si="81"/>
        <v>0</v>
      </c>
      <c r="JI17" s="193">
        <f t="shared" si="81"/>
        <v>0</v>
      </c>
      <c r="JJ17" s="193">
        <f t="shared" si="81"/>
        <v>0</v>
      </c>
      <c r="JK17" s="193">
        <f t="shared" si="81"/>
        <v>0</v>
      </c>
      <c r="JL17" s="193">
        <f t="shared" si="81"/>
        <v>0</v>
      </c>
      <c r="JM17" s="193">
        <f t="shared" si="81"/>
        <v>0</v>
      </c>
      <c r="JN17" s="193">
        <f t="shared" si="81"/>
        <v>0</v>
      </c>
      <c r="JO17" s="193">
        <f t="shared" si="81"/>
        <v>0</v>
      </c>
      <c r="JP17" s="193">
        <f t="shared" si="81"/>
        <v>0</v>
      </c>
      <c r="JQ17" s="193">
        <f t="shared" si="81"/>
        <v>0</v>
      </c>
      <c r="JR17" s="193">
        <f t="shared" si="81"/>
        <v>0</v>
      </c>
      <c r="JS17" s="193">
        <f t="shared" si="81"/>
        <v>0</v>
      </c>
      <c r="JT17" s="193">
        <f t="shared" si="81"/>
        <v>0</v>
      </c>
      <c r="JU17" s="193">
        <f t="shared" si="81"/>
        <v>0</v>
      </c>
      <c r="JV17" s="193">
        <f t="shared" si="81"/>
        <v>0</v>
      </c>
      <c r="JW17" s="193">
        <f t="shared" si="81"/>
        <v>0</v>
      </c>
      <c r="JX17" s="193">
        <f t="shared" si="81"/>
        <v>0</v>
      </c>
      <c r="JY17" s="193">
        <f t="shared" si="81"/>
        <v>0</v>
      </c>
      <c r="JZ17" s="193">
        <f t="shared" si="81"/>
        <v>0</v>
      </c>
      <c r="KA17" s="193">
        <f t="shared" si="81"/>
        <v>0</v>
      </c>
      <c r="KB17" s="193">
        <f t="shared" si="81"/>
        <v>0</v>
      </c>
      <c r="KC17" s="193">
        <f t="shared" si="81"/>
        <v>0</v>
      </c>
      <c r="KD17" s="193">
        <f t="shared" si="81"/>
        <v>0</v>
      </c>
      <c r="KE17" s="193">
        <f t="shared" si="81"/>
        <v>0</v>
      </c>
      <c r="KF17" s="193">
        <f t="shared" si="81"/>
        <v>0</v>
      </c>
      <c r="KG17" s="193">
        <f t="shared" si="81"/>
        <v>0</v>
      </c>
      <c r="KH17" s="193">
        <f t="shared" si="81"/>
        <v>0</v>
      </c>
      <c r="KI17" s="193">
        <f t="shared" si="81"/>
        <v>0</v>
      </c>
      <c r="KJ17" s="193">
        <f t="shared" si="81"/>
        <v>0</v>
      </c>
      <c r="KK17" s="193">
        <f t="shared" si="81"/>
        <v>0</v>
      </c>
      <c r="KL17" s="193">
        <f t="shared" si="81"/>
        <v>0</v>
      </c>
      <c r="KM17" s="193">
        <f t="shared" si="81"/>
        <v>0</v>
      </c>
      <c r="KN17" s="193">
        <f t="shared" si="81"/>
        <v>0</v>
      </c>
      <c r="KO17" s="193">
        <f t="shared" si="81"/>
        <v>5</v>
      </c>
      <c r="KP17" s="193">
        <f t="shared" si="81"/>
        <v>0</v>
      </c>
      <c r="KQ17" s="193">
        <f t="shared" si="81"/>
        <v>0</v>
      </c>
      <c r="KR17" s="193">
        <f t="shared" si="81"/>
        <v>0</v>
      </c>
      <c r="KS17" s="193">
        <f t="shared" si="81"/>
        <v>0</v>
      </c>
      <c r="KT17" s="193">
        <f t="shared" si="81"/>
        <v>4</v>
      </c>
      <c r="KU17" s="193">
        <f t="shared" si="81"/>
        <v>5</v>
      </c>
      <c r="KV17" s="193">
        <f t="shared" si="81"/>
        <v>13</v>
      </c>
      <c r="KW17" s="193">
        <f t="shared" si="81"/>
        <v>19</v>
      </c>
      <c r="KX17" s="193">
        <f t="shared" si="81"/>
        <v>32</v>
      </c>
      <c r="KY17" s="193">
        <f t="shared" si="81"/>
        <v>13</v>
      </c>
      <c r="KZ17" s="193">
        <f t="shared" si="81"/>
        <v>19</v>
      </c>
      <c r="LA17" s="193">
        <f t="shared" si="81"/>
        <v>0</v>
      </c>
      <c r="LB17" s="193">
        <f t="shared" si="81"/>
        <v>0</v>
      </c>
      <c r="LC17" s="193">
        <f t="shared" si="81"/>
        <v>0</v>
      </c>
      <c r="LD17" s="193">
        <f t="shared" si="81"/>
        <v>0</v>
      </c>
      <c r="LE17" s="193">
        <f t="shared" si="81"/>
        <v>0</v>
      </c>
      <c r="LF17" s="193">
        <f t="shared" si="81"/>
        <v>0</v>
      </c>
      <c r="LG17" s="193">
        <f t="shared" si="81"/>
        <v>0</v>
      </c>
      <c r="LH17" s="193">
        <f t="shared" si="81"/>
        <v>0</v>
      </c>
      <c r="LI17" s="193">
        <f t="shared" si="81"/>
        <v>0</v>
      </c>
      <c r="LJ17" s="193">
        <f t="shared" si="81"/>
        <v>0</v>
      </c>
      <c r="LK17" s="193">
        <f t="shared" si="81"/>
        <v>0</v>
      </c>
      <c r="LL17" s="193">
        <f t="shared" si="81"/>
        <v>0</v>
      </c>
      <c r="LM17" s="193">
        <f t="shared" si="81"/>
        <v>0</v>
      </c>
      <c r="LN17" s="193">
        <f t="shared" si="81"/>
        <v>0</v>
      </c>
      <c r="LO17" s="193">
        <f t="shared" ref="LO17:LP17" si="82">LO16+LO12+LO9</f>
        <v>0</v>
      </c>
      <c r="LP17" s="193">
        <f t="shared" si="82"/>
        <v>0</v>
      </c>
      <c r="LQ17" s="168">
        <f t="shared" si="33"/>
        <v>13</v>
      </c>
      <c r="LR17" s="168">
        <f t="shared" si="34"/>
        <v>19</v>
      </c>
      <c r="LS17" s="193">
        <f t="shared" ref="LS17:OA17" si="83">LS16+LS12+LS9</f>
        <v>32</v>
      </c>
      <c r="LT17" s="193">
        <f t="shared" si="83"/>
        <v>9</v>
      </c>
      <c r="LU17" s="193">
        <f t="shared" si="83"/>
        <v>12</v>
      </c>
      <c r="LV17" s="193">
        <f t="shared" si="83"/>
        <v>0</v>
      </c>
      <c r="LW17" s="193">
        <f t="shared" si="83"/>
        <v>4</v>
      </c>
      <c r="LX17" s="193">
        <f t="shared" si="83"/>
        <v>4</v>
      </c>
      <c r="LY17" s="193">
        <f t="shared" si="83"/>
        <v>2</v>
      </c>
      <c r="LZ17" s="193">
        <f t="shared" si="83"/>
        <v>0</v>
      </c>
      <c r="MA17" s="193">
        <f t="shared" si="83"/>
        <v>1</v>
      </c>
      <c r="MB17" s="193">
        <f t="shared" si="83"/>
        <v>13</v>
      </c>
      <c r="MC17" s="193">
        <f t="shared" si="83"/>
        <v>19</v>
      </c>
      <c r="MD17" s="193">
        <f t="shared" si="83"/>
        <v>32</v>
      </c>
      <c r="ME17" s="193">
        <f t="shared" si="83"/>
        <v>10</v>
      </c>
      <c r="MF17" s="193">
        <f t="shared" si="83"/>
        <v>9</v>
      </c>
      <c r="MG17" s="193">
        <f t="shared" si="83"/>
        <v>2</v>
      </c>
      <c r="MH17" s="193">
        <f t="shared" si="83"/>
        <v>8</v>
      </c>
      <c r="MI17" s="193">
        <f t="shared" si="83"/>
        <v>0</v>
      </c>
      <c r="MJ17" s="193">
        <f t="shared" si="83"/>
        <v>2</v>
      </c>
      <c r="MK17" s="193">
        <f t="shared" si="83"/>
        <v>0</v>
      </c>
      <c r="ML17" s="193">
        <f t="shared" si="83"/>
        <v>0</v>
      </c>
      <c r="MM17" s="193">
        <f t="shared" si="83"/>
        <v>1</v>
      </c>
      <c r="MN17" s="193">
        <f t="shared" si="83"/>
        <v>0</v>
      </c>
      <c r="MO17" s="193">
        <f t="shared" si="83"/>
        <v>13</v>
      </c>
      <c r="MP17" s="193">
        <f t="shared" si="83"/>
        <v>19</v>
      </c>
      <c r="MQ17" s="193">
        <f t="shared" si="83"/>
        <v>32</v>
      </c>
      <c r="MR17" s="193">
        <f t="shared" si="83"/>
        <v>8</v>
      </c>
      <c r="MS17" s="193">
        <f t="shared" si="83"/>
        <v>14</v>
      </c>
      <c r="MT17" s="193">
        <f t="shared" si="83"/>
        <v>5</v>
      </c>
      <c r="MU17" s="193">
        <f t="shared" si="83"/>
        <v>2</v>
      </c>
      <c r="MV17" s="193">
        <f t="shared" si="83"/>
        <v>0</v>
      </c>
      <c r="MW17" s="193">
        <f t="shared" si="83"/>
        <v>1</v>
      </c>
      <c r="MX17" s="193">
        <f t="shared" si="83"/>
        <v>0</v>
      </c>
      <c r="MY17" s="193">
        <f t="shared" si="83"/>
        <v>2</v>
      </c>
      <c r="MZ17" s="193">
        <f t="shared" si="83"/>
        <v>13</v>
      </c>
      <c r="NA17" s="193">
        <f t="shared" si="83"/>
        <v>19</v>
      </c>
      <c r="NB17" s="193">
        <f t="shared" si="83"/>
        <v>32</v>
      </c>
      <c r="NC17" s="193">
        <f t="shared" si="83"/>
        <v>0</v>
      </c>
      <c r="ND17" s="193">
        <f t="shared" si="83"/>
        <v>0</v>
      </c>
      <c r="NE17" s="193">
        <f t="shared" si="83"/>
        <v>0</v>
      </c>
      <c r="NF17" s="193">
        <f t="shared" si="83"/>
        <v>0</v>
      </c>
      <c r="NG17" s="193">
        <f t="shared" si="83"/>
        <v>0</v>
      </c>
      <c r="NH17" s="193">
        <f t="shared" si="83"/>
        <v>0</v>
      </c>
      <c r="NI17" s="193">
        <f t="shared" si="83"/>
        <v>1</v>
      </c>
      <c r="NJ17" s="193">
        <f t="shared" si="83"/>
        <v>0</v>
      </c>
      <c r="NK17" s="193">
        <f t="shared" si="83"/>
        <v>7</v>
      </c>
      <c r="NL17" s="193">
        <f t="shared" si="83"/>
        <v>6</v>
      </c>
      <c r="NM17" s="193">
        <f t="shared" si="83"/>
        <v>4</v>
      </c>
      <c r="NN17" s="193">
        <f t="shared" si="83"/>
        <v>13</v>
      </c>
      <c r="NO17" s="193">
        <f t="shared" si="83"/>
        <v>1</v>
      </c>
      <c r="NP17" s="193">
        <f t="shared" si="83"/>
        <v>0</v>
      </c>
      <c r="NQ17" s="193">
        <f t="shared" si="83"/>
        <v>0</v>
      </c>
      <c r="NR17" s="193">
        <f t="shared" si="83"/>
        <v>0</v>
      </c>
      <c r="NS17" s="193">
        <f t="shared" si="83"/>
        <v>0</v>
      </c>
      <c r="NT17" s="193">
        <f t="shared" si="83"/>
        <v>0</v>
      </c>
      <c r="NU17" s="193">
        <f t="shared" si="83"/>
        <v>0</v>
      </c>
      <c r="NV17" s="193">
        <f t="shared" si="83"/>
        <v>0</v>
      </c>
      <c r="NW17" s="193">
        <f t="shared" si="83"/>
        <v>13</v>
      </c>
      <c r="NX17" s="193">
        <f t="shared" si="83"/>
        <v>19</v>
      </c>
      <c r="NY17" s="193">
        <f t="shared" si="83"/>
        <v>32</v>
      </c>
      <c r="NZ17" s="193">
        <f t="shared" si="83"/>
        <v>0</v>
      </c>
      <c r="OA17" s="193">
        <f t="shared" si="83"/>
        <v>0</v>
      </c>
      <c r="OB17" s="193">
        <f t="shared" ref="OB17:QS17" si="84">OB16+OB12+OB9</f>
        <v>0</v>
      </c>
      <c r="OC17" s="193">
        <f t="shared" si="84"/>
        <v>0</v>
      </c>
      <c r="OD17" s="193">
        <f t="shared" si="84"/>
        <v>0</v>
      </c>
      <c r="OE17" s="193">
        <f t="shared" si="84"/>
        <v>0</v>
      </c>
      <c r="OF17" s="193">
        <f t="shared" si="84"/>
        <v>0</v>
      </c>
      <c r="OG17" s="193">
        <f t="shared" si="84"/>
        <v>0</v>
      </c>
      <c r="OH17" s="193">
        <f t="shared" si="84"/>
        <v>0</v>
      </c>
      <c r="OI17" s="193">
        <f t="shared" ref="OI17:OT17" si="85">OI16+OI12+OI9</f>
        <v>0</v>
      </c>
      <c r="OJ17" s="193">
        <f t="shared" si="85"/>
        <v>1</v>
      </c>
      <c r="OK17" s="193">
        <f t="shared" si="85"/>
        <v>1</v>
      </c>
      <c r="OL17" s="193">
        <f t="shared" si="85"/>
        <v>0</v>
      </c>
      <c r="OM17" s="193">
        <f t="shared" si="85"/>
        <v>1</v>
      </c>
      <c r="ON17" s="193">
        <f t="shared" si="85"/>
        <v>0</v>
      </c>
      <c r="OO17" s="193">
        <f t="shared" si="85"/>
        <v>0</v>
      </c>
      <c r="OP17" s="193">
        <f t="shared" si="85"/>
        <v>1</v>
      </c>
      <c r="OQ17" s="193">
        <f t="shared" si="85"/>
        <v>0</v>
      </c>
      <c r="OR17" s="193">
        <f t="shared" si="85"/>
        <v>0</v>
      </c>
      <c r="OS17" s="193">
        <f t="shared" si="85"/>
        <v>0</v>
      </c>
      <c r="OT17" s="193">
        <f t="shared" si="85"/>
        <v>0</v>
      </c>
      <c r="OU17" s="193">
        <f t="shared" si="84"/>
        <v>1</v>
      </c>
      <c r="OV17" s="193">
        <f t="shared" si="84"/>
        <v>0</v>
      </c>
      <c r="OW17" s="193"/>
      <c r="OX17" s="193"/>
      <c r="OY17" s="193"/>
      <c r="OZ17" s="193">
        <f t="shared" si="84"/>
        <v>1</v>
      </c>
      <c r="PA17" s="193">
        <f t="shared" si="84"/>
        <v>0</v>
      </c>
      <c r="PB17" s="193">
        <f t="shared" si="84"/>
        <v>0</v>
      </c>
      <c r="PC17" s="193">
        <f t="shared" si="84"/>
        <v>1</v>
      </c>
      <c r="PD17" s="193">
        <f t="shared" si="84"/>
        <v>0</v>
      </c>
      <c r="PE17" s="193">
        <f t="shared" si="84"/>
        <v>0</v>
      </c>
      <c r="PF17" s="193">
        <f t="shared" si="84"/>
        <v>0</v>
      </c>
      <c r="PG17" s="193">
        <f t="shared" si="84"/>
        <v>0</v>
      </c>
      <c r="PH17" s="193">
        <f t="shared" si="84"/>
        <v>0</v>
      </c>
      <c r="PI17" s="193">
        <f t="shared" si="84"/>
        <v>1</v>
      </c>
      <c r="PJ17" s="193">
        <f t="shared" si="84"/>
        <v>0</v>
      </c>
      <c r="PK17" s="193">
        <f t="shared" si="84"/>
        <v>1</v>
      </c>
      <c r="PL17" s="193">
        <f t="shared" si="84"/>
        <v>0</v>
      </c>
      <c r="PM17" s="193">
        <f t="shared" si="84"/>
        <v>40</v>
      </c>
      <c r="PN17" s="193">
        <f t="shared" si="84"/>
        <v>4</v>
      </c>
      <c r="PO17" s="193">
        <f t="shared" si="84"/>
        <v>44</v>
      </c>
      <c r="PP17" s="193">
        <f t="shared" si="84"/>
        <v>1</v>
      </c>
      <c r="PQ17" s="193">
        <f t="shared" si="84"/>
        <v>0</v>
      </c>
      <c r="PR17" s="193">
        <f t="shared" si="84"/>
        <v>0</v>
      </c>
      <c r="PS17" s="193">
        <f t="shared" si="84"/>
        <v>0</v>
      </c>
      <c r="PT17" s="193">
        <f t="shared" si="84"/>
        <v>0</v>
      </c>
      <c r="PU17" s="193">
        <f t="shared" si="84"/>
        <v>0</v>
      </c>
      <c r="PV17" s="193">
        <f t="shared" ref="PV17:QH17" si="86">PV16+PV12+PV9</f>
        <v>1</v>
      </c>
      <c r="PW17" s="193">
        <f t="shared" si="86"/>
        <v>0</v>
      </c>
      <c r="PX17" s="193">
        <f t="shared" si="86"/>
        <v>1</v>
      </c>
      <c r="PY17" s="193">
        <f t="shared" si="86"/>
        <v>0</v>
      </c>
      <c r="PZ17" s="193">
        <f t="shared" si="86"/>
        <v>1</v>
      </c>
      <c r="QA17" s="193">
        <f t="shared" si="86"/>
        <v>0</v>
      </c>
      <c r="QB17" s="193">
        <f t="shared" si="86"/>
        <v>1</v>
      </c>
      <c r="QC17" s="193">
        <f t="shared" si="86"/>
        <v>0</v>
      </c>
      <c r="QD17" s="193">
        <f t="shared" si="86"/>
        <v>1</v>
      </c>
      <c r="QE17" s="193">
        <f t="shared" si="86"/>
        <v>0</v>
      </c>
      <c r="QF17" s="193">
        <f t="shared" si="86"/>
        <v>0</v>
      </c>
      <c r="QG17" s="193">
        <f t="shared" si="86"/>
        <v>0</v>
      </c>
      <c r="QH17" s="193">
        <f t="shared" si="86"/>
        <v>0</v>
      </c>
      <c r="QI17" s="193">
        <f t="shared" si="84"/>
        <v>1</v>
      </c>
      <c r="QJ17" s="193">
        <f t="shared" si="84"/>
        <v>0</v>
      </c>
      <c r="QK17" s="193">
        <f t="shared" si="84"/>
        <v>1</v>
      </c>
      <c r="QL17" s="193">
        <f t="shared" si="84"/>
        <v>0</v>
      </c>
      <c r="QM17" s="193">
        <f t="shared" si="84"/>
        <v>1</v>
      </c>
      <c r="QN17" s="193">
        <f t="shared" si="84"/>
        <v>0</v>
      </c>
      <c r="QO17" s="193">
        <f t="shared" si="84"/>
        <v>1</v>
      </c>
      <c r="QP17" s="193">
        <f t="shared" si="84"/>
        <v>0</v>
      </c>
      <c r="QQ17" s="193">
        <f t="shared" si="84"/>
        <v>0</v>
      </c>
      <c r="QR17" s="193">
        <f t="shared" si="84"/>
        <v>1</v>
      </c>
      <c r="QS17" s="193">
        <f t="shared" si="84"/>
        <v>0</v>
      </c>
      <c r="QT17" s="193">
        <f t="shared" ref="QT17:SP17" si="87">QT16+QT12+QT9</f>
        <v>0</v>
      </c>
      <c r="QU17" s="193">
        <f t="shared" si="87"/>
        <v>1</v>
      </c>
      <c r="QV17" s="193">
        <f t="shared" si="87"/>
        <v>0</v>
      </c>
      <c r="QW17" s="193">
        <f t="shared" si="87"/>
        <v>0</v>
      </c>
      <c r="QX17" s="193">
        <f t="shared" si="87"/>
        <v>0</v>
      </c>
      <c r="QY17" s="193">
        <f t="shared" si="87"/>
        <v>0</v>
      </c>
      <c r="QZ17" s="193">
        <f t="shared" si="87"/>
        <v>1</v>
      </c>
      <c r="RA17" s="193">
        <f t="shared" si="87"/>
        <v>0</v>
      </c>
      <c r="RB17" s="193">
        <f>RB16+RB12+RB9</f>
        <v>1</v>
      </c>
      <c r="RC17" s="193">
        <f>RC16+RC12+RC9</f>
        <v>0</v>
      </c>
      <c r="RD17" s="193">
        <f t="shared" si="87"/>
        <v>1</v>
      </c>
      <c r="RE17" s="193">
        <f t="shared" si="87"/>
        <v>0</v>
      </c>
      <c r="RF17" s="193">
        <f t="shared" si="87"/>
        <v>1</v>
      </c>
      <c r="RG17" s="193">
        <f t="shared" si="87"/>
        <v>0</v>
      </c>
      <c r="RH17" s="193">
        <f t="shared" si="87"/>
        <v>0</v>
      </c>
      <c r="RI17" s="193">
        <f t="shared" si="87"/>
        <v>0</v>
      </c>
      <c r="RJ17" s="193">
        <f t="shared" si="87"/>
        <v>0</v>
      </c>
      <c r="RK17" s="193">
        <f t="shared" si="87"/>
        <v>1</v>
      </c>
      <c r="RL17" s="193">
        <f t="shared" si="87"/>
        <v>1</v>
      </c>
      <c r="RM17" s="193">
        <f t="shared" si="87"/>
        <v>0</v>
      </c>
      <c r="RN17" s="193">
        <f t="shared" si="87"/>
        <v>0</v>
      </c>
      <c r="RO17" s="193"/>
      <c r="RP17" s="193"/>
      <c r="RQ17" s="193"/>
      <c r="RR17" s="193"/>
      <c r="RS17" s="193"/>
      <c r="RT17" s="193"/>
      <c r="RU17" s="193">
        <f t="shared" si="87"/>
        <v>50</v>
      </c>
      <c r="RV17" s="193">
        <f t="shared" si="87"/>
        <v>0</v>
      </c>
      <c r="RW17" s="193">
        <f t="shared" si="87"/>
        <v>3</v>
      </c>
      <c r="RX17" s="193">
        <f t="shared" si="87"/>
        <v>0</v>
      </c>
      <c r="RY17" s="193">
        <f t="shared" si="87"/>
        <v>3</v>
      </c>
      <c r="RZ17" s="193">
        <f t="shared" si="87"/>
        <v>0</v>
      </c>
      <c r="SA17" s="193">
        <f t="shared" si="87"/>
        <v>0</v>
      </c>
      <c r="SB17" s="193">
        <f t="shared" si="87"/>
        <v>1</v>
      </c>
      <c r="SC17" s="193">
        <f t="shared" si="87"/>
        <v>0</v>
      </c>
      <c r="SD17" s="193">
        <f t="shared" si="87"/>
        <v>0</v>
      </c>
      <c r="SE17" s="193">
        <f t="shared" si="87"/>
        <v>0</v>
      </c>
      <c r="SF17" s="193">
        <f t="shared" si="87"/>
        <v>0</v>
      </c>
      <c r="SG17" s="193">
        <f t="shared" si="87"/>
        <v>0</v>
      </c>
      <c r="SH17" s="193">
        <f t="shared" si="87"/>
        <v>0</v>
      </c>
      <c r="SI17" s="193">
        <f t="shared" si="87"/>
        <v>0</v>
      </c>
      <c r="SJ17" s="193">
        <f t="shared" si="87"/>
        <v>0</v>
      </c>
      <c r="SK17" s="193">
        <f t="shared" si="87"/>
        <v>0</v>
      </c>
      <c r="SL17" s="193">
        <f t="shared" si="87"/>
        <v>0</v>
      </c>
      <c r="SM17" s="193">
        <f t="shared" si="87"/>
        <v>0</v>
      </c>
      <c r="SN17" s="193">
        <f t="shared" si="87"/>
        <v>0</v>
      </c>
      <c r="SO17" s="193">
        <f t="shared" si="87"/>
        <v>2</v>
      </c>
      <c r="SP17" s="193">
        <f t="shared" si="87"/>
        <v>2</v>
      </c>
      <c r="SQ17" s="193"/>
      <c r="SR17" s="193"/>
      <c r="SS17" s="195"/>
    </row>
    <row r="18" spans="1:513" s="171" customFormat="1" ht="19.5" customHeight="1">
      <c r="A18" s="168"/>
      <c r="B18" s="168"/>
      <c r="C18" s="168"/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  <c r="AA18" s="168"/>
      <c r="AB18" s="168"/>
      <c r="AC18" s="168"/>
      <c r="AD18" s="168"/>
      <c r="AE18" s="168"/>
      <c r="AF18" s="168"/>
      <c r="AG18" s="168"/>
      <c r="AH18" s="168"/>
      <c r="AI18" s="168"/>
      <c r="AJ18" s="168"/>
      <c r="AK18" s="168"/>
      <c r="AL18" s="168"/>
      <c r="AM18" s="168"/>
      <c r="AN18" s="168"/>
      <c r="AO18" s="168"/>
      <c r="AP18" s="168"/>
      <c r="AQ18" s="168"/>
      <c r="AR18" s="168"/>
      <c r="AS18" s="168"/>
      <c r="AT18" s="168"/>
      <c r="AU18" s="168"/>
      <c r="AV18" s="168"/>
      <c r="AW18" s="168"/>
      <c r="AX18" s="168"/>
      <c r="AY18" s="168"/>
      <c r="AZ18" s="168"/>
      <c r="BA18" s="168"/>
      <c r="BB18" s="168"/>
      <c r="BC18" s="168"/>
      <c r="BD18" s="168"/>
      <c r="BE18" s="168"/>
      <c r="BF18" s="168"/>
      <c r="BG18" s="168"/>
      <c r="BH18" s="168"/>
      <c r="BI18" s="168"/>
      <c r="BJ18" s="168"/>
      <c r="BK18" s="168"/>
      <c r="BL18" s="168"/>
      <c r="BM18" s="168"/>
      <c r="BN18" s="168"/>
      <c r="BO18" s="168"/>
      <c r="BP18" s="168"/>
      <c r="BQ18" s="168"/>
      <c r="BR18" s="168"/>
      <c r="BS18" s="168"/>
      <c r="BT18" s="168"/>
      <c r="BU18" s="168"/>
      <c r="BV18" s="168"/>
      <c r="BW18" s="168"/>
      <c r="BX18" s="168"/>
      <c r="BY18" s="168"/>
      <c r="BZ18" s="168"/>
      <c r="CA18" s="168"/>
      <c r="CB18" s="168"/>
      <c r="CC18" s="168"/>
      <c r="CD18" s="168"/>
      <c r="CE18" s="168"/>
      <c r="CF18" s="168"/>
      <c r="CG18" s="168"/>
      <c r="CH18" s="168"/>
      <c r="CI18" s="168"/>
      <c r="CJ18" s="168"/>
      <c r="CK18" s="168"/>
      <c r="CL18" s="168"/>
      <c r="CM18" s="168"/>
      <c r="CN18" s="168"/>
      <c r="CO18" s="168"/>
      <c r="CP18" s="168"/>
      <c r="CQ18" s="168"/>
      <c r="CR18" s="168"/>
      <c r="CS18" s="168"/>
      <c r="CT18" s="168"/>
      <c r="CU18" s="168"/>
      <c r="CV18" s="168"/>
      <c r="CW18" s="168"/>
      <c r="CX18" s="168"/>
      <c r="CY18" s="168"/>
      <c r="CZ18" s="168"/>
      <c r="DA18" s="168"/>
      <c r="DB18" s="168"/>
      <c r="DC18" s="168"/>
      <c r="DD18" s="168"/>
      <c r="DE18" s="168"/>
      <c r="DF18" s="168"/>
      <c r="DG18" s="168"/>
      <c r="DH18" s="168"/>
      <c r="DI18" s="168"/>
      <c r="DJ18" s="168"/>
      <c r="DK18" s="168"/>
      <c r="DL18" s="168"/>
      <c r="DM18" s="168"/>
      <c r="DN18" s="168"/>
      <c r="DO18" s="168"/>
      <c r="DP18" s="168"/>
      <c r="DQ18" s="168"/>
      <c r="DR18" s="168"/>
      <c r="DS18" s="168"/>
      <c r="DT18" s="168"/>
      <c r="DU18" s="168"/>
      <c r="DV18" s="168"/>
      <c r="DW18" s="168"/>
      <c r="DX18" s="168"/>
      <c r="DY18" s="168"/>
      <c r="DZ18" s="168"/>
      <c r="EA18" s="168"/>
      <c r="EB18" s="168"/>
      <c r="EC18" s="168"/>
      <c r="ED18" s="168"/>
      <c r="EE18" s="168"/>
      <c r="EF18" s="168"/>
      <c r="EG18" s="168"/>
      <c r="EH18" s="168"/>
      <c r="EI18" s="168"/>
      <c r="EJ18" s="168"/>
      <c r="EK18" s="168"/>
      <c r="EL18" s="168"/>
      <c r="EM18" s="168"/>
      <c r="EN18" s="168"/>
      <c r="EO18" s="168"/>
      <c r="EP18" s="168"/>
      <c r="EQ18" s="168"/>
      <c r="ER18" s="168"/>
      <c r="ES18" s="168"/>
      <c r="ET18" s="168"/>
      <c r="EU18" s="168"/>
      <c r="EV18" s="168"/>
      <c r="EW18" s="168"/>
      <c r="EX18" s="168"/>
      <c r="EY18" s="168"/>
      <c r="EZ18" s="168"/>
      <c r="FA18" s="168"/>
      <c r="FB18" s="168"/>
      <c r="FC18" s="168"/>
      <c r="FD18" s="168"/>
      <c r="FE18" s="168"/>
      <c r="FF18" s="168"/>
      <c r="FG18" s="168"/>
      <c r="FH18" s="168"/>
      <c r="FI18" s="168"/>
      <c r="FJ18" s="168"/>
      <c r="FK18" s="168"/>
      <c r="FL18" s="168"/>
      <c r="FM18" s="168"/>
      <c r="FN18" s="168"/>
      <c r="FO18" s="168"/>
      <c r="FP18" s="168"/>
      <c r="FQ18" s="168"/>
      <c r="FR18" s="168"/>
      <c r="FS18" s="168"/>
      <c r="FT18" s="168"/>
      <c r="FU18" s="168"/>
      <c r="FV18" s="168"/>
      <c r="FW18" s="168"/>
      <c r="FX18" s="168"/>
      <c r="FY18" s="168"/>
      <c r="FZ18" s="168"/>
      <c r="GA18" s="168"/>
      <c r="GB18" s="168"/>
      <c r="GC18" s="168"/>
      <c r="GD18" s="168"/>
      <c r="GE18" s="168"/>
      <c r="GF18" s="168"/>
      <c r="GG18" s="168"/>
      <c r="GH18" s="168"/>
      <c r="GI18" s="168"/>
      <c r="GJ18" s="168"/>
      <c r="GK18" s="168"/>
      <c r="GL18" s="168"/>
      <c r="GM18" s="168"/>
      <c r="GN18" s="168"/>
      <c r="GO18" s="168"/>
      <c r="GP18" s="168"/>
      <c r="GQ18" s="168"/>
      <c r="GR18" s="168"/>
      <c r="GS18" s="168"/>
      <c r="GT18" s="168"/>
      <c r="GU18" s="168"/>
      <c r="GV18" s="168"/>
      <c r="GW18" s="168"/>
      <c r="GX18" s="168"/>
      <c r="GY18" s="168"/>
      <c r="GZ18" s="168"/>
      <c r="HA18" s="168"/>
      <c r="HB18" s="168"/>
      <c r="HC18" s="168"/>
      <c r="HD18" s="168"/>
      <c r="HE18" s="168"/>
      <c r="HF18" s="168"/>
      <c r="HG18" s="168"/>
      <c r="HH18" s="168"/>
      <c r="HI18" s="168"/>
      <c r="HJ18" s="168"/>
      <c r="HK18" s="168"/>
      <c r="HL18" s="168"/>
      <c r="HM18" s="168"/>
      <c r="HN18" s="168"/>
      <c r="HO18" s="168"/>
      <c r="HP18" s="168"/>
      <c r="HQ18" s="168"/>
      <c r="HR18" s="168"/>
      <c r="HS18" s="168"/>
      <c r="HT18" s="168"/>
      <c r="HU18" s="168"/>
      <c r="HV18" s="168"/>
      <c r="HW18" s="168"/>
      <c r="HX18" s="168"/>
      <c r="HY18" s="168"/>
      <c r="HZ18" s="168"/>
      <c r="IA18" s="168"/>
      <c r="IB18" s="168"/>
      <c r="IC18" s="168"/>
      <c r="ID18" s="168"/>
      <c r="IE18" s="168"/>
      <c r="IF18" s="168"/>
      <c r="IG18" s="168"/>
      <c r="IH18" s="168"/>
      <c r="II18" s="168"/>
      <c r="IJ18" s="168"/>
      <c r="IK18" s="168"/>
      <c r="IL18" s="168"/>
      <c r="IM18" s="168"/>
      <c r="IN18" s="168"/>
      <c r="IO18" s="168"/>
      <c r="IP18" s="168"/>
      <c r="IQ18" s="168"/>
      <c r="IR18" s="168"/>
      <c r="IS18" s="168"/>
      <c r="IT18" s="168"/>
      <c r="IU18" s="168"/>
      <c r="IV18" s="168"/>
      <c r="IW18" s="168"/>
      <c r="IX18" s="168"/>
      <c r="IY18" s="168"/>
      <c r="IZ18" s="168"/>
      <c r="JA18" s="168"/>
      <c r="JB18" s="168"/>
      <c r="JC18" s="168"/>
      <c r="JD18" s="168"/>
      <c r="JE18" s="168"/>
      <c r="JF18" s="168"/>
      <c r="JG18" s="168"/>
      <c r="JH18" s="168"/>
      <c r="JI18" s="168"/>
      <c r="JJ18" s="168"/>
      <c r="JK18" s="168"/>
      <c r="JL18" s="168"/>
      <c r="JM18" s="168"/>
      <c r="JN18" s="168"/>
      <c r="JO18" s="168"/>
      <c r="JP18" s="168"/>
      <c r="JQ18" s="168"/>
      <c r="JR18" s="168"/>
      <c r="JS18" s="168"/>
      <c r="JT18" s="168"/>
      <c r="JU18" s="168"/>
      <c r="JV18" s="168"/>
      <c r="JW18" s="168"/>
      <c r="JX18" s="168"/>
      <c r="JY18" s="168"/>
      <c r="JZ18" s="168"/>
      <c r="KA18" s="168"/>
      <c r="KB18" s="168"/>
      <c r="KC18" s="168"/>
      <c r="KD18" s="168"/>
      <c r="KE18" s="168"/>
      <c r="KF18" s="168"/>
      <c r="KG18" s="168"/>
      <c r="KH18" s="168"/>
      <c r="KI18" s="168"/>
      <c r="KJ18" s="168"/>
      <c r="KK18" s="168"/>
      <c r="KL18" s="168"/>
      <c r="KM18" s="168"/>
      <c r="KN18" s="168"/>
      <c r="KO18" s="168"/>
      <c r="KP18" s="168"/>
      <c r="KQ18" s="168"/>
      <c r="KR18" s="168"/>
      <c r="KS18" s="168"/>
      <c r="KT18" s="168"/>
      <c r="KU18" s="168"/>
      <c r="KV18" s="168"/>
      <c r="KW18" s="168"/>
      <c r="KX18" s="168"/>
      <c r="KY18" s="168"/>
      <c r="KZ18" s="168"/>
      <c r="LA18" s="168"/>
      <c r="LB18" s="168"/>
      <c r="LC18" s="168"/>
      <c r="LD18" s="168"/>
      <c r="LE18" s="168"/>
      <c r="LF18" s="168"/>
      <c r="LG18" s="168"/>
      <c r="LH18" s="168"/>
      <c r="LI18" s="168"/>
      <c r="LJ18" s="168"/>
      <c r="LK18" s="168"/>
      <c r="LL18" s="168"/>
      <c r="LM18" s="168"/>
      <c r="LN18" s="168"/>
      <c r="LO18" s="168"/>
      <c r="LP18" s="168"/>
      <c r="LQ18" s="168"/>
      <c r="LR18" s="168"/>
      <c r="LS18" s="168"/>
      <c r="LT18" s="168"/>
      <c r="LU18" s="168"/>
      <c r="LV18" s="168"/>
      <c r="LW18" s="168"/>
      <c r="LX18" s="168"/>
      <c r="LY18" s="168"/>
      <c r="LZ18" s="168"/>
      <c r="MA18" s="168"/>
      <c r="MB18" s="168"/>
      <c r="MC18" s="168"/>
      <c r="MD18" s="168"/>
      <c r="ME18" s="168"/>
      <c r="MF18" s="168"/>
      <c r="MG18" s="168"/>
      <c r="MH18" s="168"/>
      <c r="MI18" s="168"/>
      <c r="MJ18" s="168"/>
      <c r="MK18" s="168"/>
      <c r="ML18" s="168"/>
      <c r="MM18" s="168"/>
      <c r="MN18" s="168"/>
      <c r="MO18" s="168"/>
      <c r="MP18" s="168"/>
      <c r="MQ18" s="168"/>
      <c r="MR18" s="168"/>
      <c r="MS18" s="168"/>
      <c r="MT18" s="168"/>
      <c r="MU18" s="168"/>
      <c r="MV18" s="168"/>
      <c r="MW18" s="168"/>
      <c r="MX18" s="168"/>
      <c r="MY18" s="168"/>
      <c r="MZ18" s="168"/>
      <c r="NA18" s="168"/>
      <c r="NB18" s="168"/>
      <c r="NC18" s="168"/>
      <c r="ND18" s="168"/>
      <c r="NE18" s="168"/>
      <c r="NF18" s="168"/>
      <c r="NG18" s="168"/>
      <c r="NH18" s="168"/>
      <c r="NI18" s="168"/>
      <c r="NJ18" s="168"/>
      <c r="NK18" s="168"/>
      <c r="NL18" s="168"/>
      <c r="NM18" s="168"/>
      <c r="NN18" s="168"/>
      <c r="NO18" s="168"/>
      <c r="NP18" s="168"/>
      <c r="NQ18" s="168"/>
      <c r="NR18" s="168"/>
      <c r="NS18" s="168"/>
      <c r="NT18" s="168"/>
      <c r="NU18" s="168"/>
      <c r="NV18" s="168"/>
      <c r="NW18" s="168"/>
      <c r="NX18" s="168"/>
      <c r="NY18" s="168"/>
      <c r="NZ18" s="168"/>
      <c r="OA18" s="168"/>
      <c r="OB18" s="168"/>
      <c r="OC18" s="168"/>
      <c r="OD18" s="168"/>
      <c r="OE18" s="168"/>
      <c r="OF18" s="168"/>
      <c r="OG18" s="168"/>
      <c r="OH18" s="168"/>
      <c r="OI18" s="168"/>
      <c r="OJ18" s="168"/>
      <c r="OK18" s="168"/>
      <c r="OL18" s="168"/>
      <c r="OM18" s="168"/>
      <c r="ON18" s="168"/>
      <c r="OO18" s="168"/>
      <c r="OP18" s="168"/>
      <c r="OQ18" s="168"/>
      <c r="OR18" s="168"/>
      <c r="OS18" s="168"/>
      <c r="OT18" s="168"/>
      <c r="OU18" s="169"/>
      <c r="OV18" s="169"/>
      <c r="OW18" s="169"/>
      <c r="OX18" s="169"/>
      <c r="OY18" s="169"/>
      <c r="OZ18" s="169"/>
      <c r="PA18" s="169"/>
      <c r="PB18" s="169"/>
      <c r="PC18" s="169"/>
      <c r="PD18" s="169"/>
      <c r="PE18" s="169"/>
      <c r="PF18" s="169"/>
      <c r="PG18" s="169"/>
      <c r="PH18" s="169"/>
      <c r="PI18" s="169"/>
      <c r="PJ18" s="169"/>
      <c r="PK18" s="169"/>
      <c r="PL18" s="169"/>
      <c r="PM18" s="169"/>
      <c r="PN18" s="169"/>
      <c r="PO18" s="169"/>
      <c r="PP18" s="169"/>
      <c r="PQ18" s="169"/>
      <c r="PR18" s="169"/>
      <c r="PS18" s="169"/>
      <c r="PT18" s="169"/>
      <c r="PU18" s="169"/>
      <c r="PV18" s="169"/>
      <c r="PW18" s="169"/>
      <c r="PX18" s="169"/>
      <c r="PY18" s="169"/>
      <c r="PZ18" s="169"/>
      <c r="QA18" s="169"/>
      <c r="QB18" s="169"/>
      <c r="QC18" s="169"/>
      <c r="QD18" s="169"/>
      <c r="QE18" s="169"/>
      <c r="QF18" s="169"/>
      <c r="QG18" s="169"/>
      <c r="QH18" s="169"/>
      <c r="QI18" s="169"/>
      <c r="QJ18" s="169"/>
      <c r="QK18" s="169"/>
      <c r="QL18" s="169"/>
      <c r="QM18" s="169"/>
      <c r="QN18" s="169"/>
      <c r="QO18" s="169"/>
      <c r="QP18" s="169"/>
      <c r="QQ18" s="169"/>
      <c r="QR18" s="169"/>
      <c r="QS18" s="169"/>
      <c r="QT18" s="169"/>
      <c r="QU18" s="169"/>
      <c r="QV18" s="169"/>
      <c r="QW18" s="169"/>
      <c r="QX18" s="169"/>
      <c r="QY18" s="169"/>
      <c r="QZ18" s="169"/>
      <c r="RA18" s="169"/>
      <c r="RB18" s="169"/>
      <c r="RC18" s="169"/>
      <c r="RD18" s="169"/>
      <c r="RE18" s="169"/>
      <c r="RF18" s="169"/>
      <c r="RG18" s="169"/>
      <c r="RH18" s="169"/>
      <c r="RI18" s="169"/>
      <c r="RJ18" s="169"/>
      <c r="RK18" s="169"/>
      <c r="RL18" s="169"/>
      <c r="RM18" s="169"/>
      <c r="RN18" s="169"/>
      <c r="RO18" s="168"/>
      <c r="RP18" s="168"/>
      <c r="RQ18" s="168"/>
      <c r="RR18" s="168"/>
      <c r="RS18" s="168"/>
      <c r="RT18" s="168"/>
      <c r="RU18" s="170"/>
      <c r="RV18" s="170"/>
      <c r="RW18" s="170"/>
      <c r="RX18" s="170"/>
      <c r="RY18" s="170"/>
      <c r="RZ18" s="170"/>
      <c r="SA18" s="169"/>
      <c r="SB18" s="169"/>
      <c r="SC18" s="169"/>
      <c r="SD18" s="169"/>
      <c r="SE18" s="169"/>
      <c r="SF18" s="169"/>
      <c r="SG18" s="169"/>
      <c r="SH18" s="169"/>
      <c r="SI18" s="169"/>
      <c r="SJ18" s="169"/>
      <c r="SK18" s="169"/>
      <c r="SL18" s="169"/>
      <c r="SM18" s="169"/>
      <c r="SN18" s="169"/>
      <c r="SO18" s="169"/>
      <c r="SP18" s="169"/>
      <c r="SQ18" s="169"/>
      <c r="SR18" s="169"/>
      <c r="SS18" s="175"/>
    </row>
    <row r="19" spans="1:513" s="171" customFormat="1" ht="22.5" customHeight="1">
      <c r="A19" s="168"/>
      <c r="B19" s="168"/>
      <c r="C19" s="168"/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  <c r="AJ19" s="168"/>
      <c r="AK19" s="168"/>
      <c r="AL19" s="168"/>
      <c r="AM19" s="168"/>
      <c r="AN19" s="168"/>
      <c r="AO19" s="168"/>
      <c r="AP19" s="168"/>
      <c r="AQ19" s="168"/>
      <c r="AR19" s="168"/>
      <c r="AS19" s="168"/>
      <c r="AT19" s="168"/>
      <c r="AU19" s="168"/>
      <c r="AV19" s="168"/>
      <c r="AW19" s="168"/>
      <c r="AX19" s="168"/>
      <c r="AY19" s="168"/>
      <c r="AZ19" s="168"/>
      <c r="BA19" s="168"/>
      <c r="BB19" s="168"/>
      <c r="BC19" s="168"/>
      <c r="BD19" s="168"/>
      <c r="BE19" s="168"/>
      <c r="BF19" s="168"/>
      <c r="BG19" s="168"/>
      <c r="BH19" s="168"/>
      <c r="BI19" s="168"/>
      <c r="BJ19" s="168"/>
      <c r="BK19" s="168"/>
      <c r="BL19" s="168"/>
      <c r="BM19" s="168"/>
      <c r="BN19" s="168"/>
      <c r="BO19" s="168"/>
      <c r="BP19" s="168"/>
      <c r="BQ19" s="168"/>
      <c r="BR19" s="168"/>
      <c r="BS19" s="168"/>
      <c r="BT19" s="168"/>
      <c r="BU19" s="168"/>
      <c r="BV19" s="168"/>
      <c r="BW19" s="168"/>
      <c r="BX19" s="168"/>
      <c r="BY19" s="168"/>
      <c r="BZ19" s="168"/>
      <c r="CA19" s="168"/>
      <c r="CB19" s="168"/>
      <c r="CC19" s="168"/>
      <c r="CD19" s="168"/>
      <c r="CE19" s="168"/>
      <c r="CF19" s="168"/>
      <c r="CG19" s="168"/>
      <c r="CH19" s="168"/>
      <c r="CI19" s="168"/>
      <c r="CJ19" s="168"/>
      <c r="CK19" s="168"/>
      <c r="CL19" s="168"/>
      <c r="CM19" s="168"/>
      <c r="CN19" s="168"/>
      <c r="CO19" s="168"/>
      <c r="CP19" s="168"/>
      <c r="CQ19" s="168"/>
      <c r="CR19" s="168"/>
      <c r="CS19" s="168"/>
      <c r="CT19" s="168"/>
      <c r="CU19" s="168"/>
      <c r="CV19" s="168"/>
      <c r="CW19" s="168"/>
      <c r="CX19" s="168"/>
      <c r="CY19" s="168"/>
      <c r="CZ19" s="168"/>
      <c r="DA19" s="168"/>
      <c r="DB19" s="168"/>
      <c r="DC19" s="168"/>
      <c r="DD19" s="168"/>
      <c r="DE19" s="168"/>
      <c r="DF19" s="168"/>
      <c r="DG19" s="168"/>
      <c r="DH19" s="168"/>
      <c r="DI19" s="168"/>
      <c r="DJ19" s="168"/>
      <c r="DK19" s="168"/>
      <c r="DL19" s="168"/>
      <c r="DM19" s="168"/>
      <c r="DN19" s="168"/>
      <c r="DO19" s="168"/>
      <c r="DP19" s="168"/>
      <c r="DQ19" s="168"/>
      <c r="DR19" s="168"/>
      <c r="DS19" s="168"/>
      <c r="DT19" s="168"/>
      <c r="DU19" s="168"/>
      <c r="DV19" s="168"/>
      <c r="DW19" s="168"/>
      <c r="DX19" s="168"/>
      <c r="DY19" s="168"/>
      <c r="DZ19" s="168"/>
      <c r="EA19" s="168"/>
      <c r="EB19" s="168"/>
      <c r="EC19" s="168"/>
      <c r="ED19" s="168"/>
      <c r="EE19" s="168"/>
      <c r="EF19" s="168"/>
      <c r="EG19" s="168"/>
      <c r="EH19" s="168"/>
      <c r="EI19" s="168"/>
      <c r="EJ19" s="168"/>
      <c r="EK19" s="168"/>
      <c r="EL19" s="168"/>
      <c r="EM19" s="168"/>
      <c r="EN19" s="168"/>
      <c r="EO19" s="168"/>
      <c r="EP19" s="168"/>
      <c r="EQ19" s="168"/>
      <c r="ER19" s="168"/>
      <c r="ES19" s="168"/>
      <c r="ET19" s="168"/>
      <c r="EU19" s="168"/>
      <c r="EV19" s="168"/>
      <c r="EW19" s="168"/>
      <c r="EX19" s="168"/>
      <c r="EY19" s="168"/>
      <c r="EZ19" s="168"/>
      <c r="FA19" s="168"/>
      <c r="FB19" s="168"/>
      <c r="FC19" s="168"/>
      <c r="FD19" s="168"/>
      <c r="FE19" s="168"/>
      <c r="FF19" s="168"/>
      <c r="FG19" s="168"/>
      <c r="FH19" s="168"/>
      <c r="FI19" s="168"/>
      <c r="FJ19" s="168"/>
      <c r="FK19" s="168"/>
      <c r="FL19" s="168"/>
      <c r="FM19" s="168"/>
      <c r="FN19" s="168"/>
      <c r="FO19" s="168"/>
      <c r="FP19" s="168"/>
      <c r="FQ19" s="168"/>
      <c r="FR19" s="168"/>
      <c r="FS19" s="168"/>
      <c r="FT19" s="168"/>
      <c r="FU19" s="168"/>
      <c r="FV19" s="168"/>
      <c r="FW19" s="168"/>
      <c r="FX19" s="168"/>
      <c r="FY19" s="168"/>
      <c r="FZ19" s="168"/>
      <c r="GA19" s="168"/>
      <c r="GB19" s="168"/>
      <c r="GC19" s="168"/>
      <c r="GD19" s="168"/>
      <c r="GE19" s="168"/>
      <c r="GF19" s="168"/>
      <c r="GG19" s="168"/>
      <c r="GH19" s="168"/>
      <c r="GI19" s="168"/>
      <c r="GJ19" s="168"/>
      <c r="GK19" s="168"/>
      <c r="GL19" s="168"/>
      <c r="GM19" s="168"/>
      <c r="GN19" s="168"/>
      <c r="GO19" s="168"/>
      <c r="GP19" s="168"/>
      <c r="GQ19" s="168"/>
      <c r="GR19" s="168"/>
      <c r="GS19" s="168"/>
      <c r="GT19" s="168"/>
      <c r="GU19" s="168"/>
      <c r="GV19" s="168"/>
      <c r="GW19" s="168"/>
      <c r="GX19" s="168"/>
      <c r="GY19" s="168"/>
      <c r="GZ19" s="168"/>
      <c r="HA19" s="168"/>
      <c r="HB19" s="168"/>
      <c r="HC19" s="168"/>
      <c r="HD19" s="168"/>
      <c r="HE19" s="168"/>
      <c r="HF19" s="168"/>
      <c r="HG19" s="168"/>
      <c r="HH19" s="168"/>
      <c r="HI19" s="168"/>
      <c r="HJ19" s="168"/>
      <c r="HK19" s="168"/>
      <c r="HL19" s="168"/>
      <c r="HM19" s="168"/>
      <c r="HN19" s="168"/>
      <c r="HO19" s="168"/>
      <c r="HP19" s="168"/>
      <c r="HQ19" s="168"/>
      <c r="HR19" s="168"/>
      <c r="HS19" s="168"/>
      <c r="HT19" s="168"/>
      <c r="HU19" s="168"/>
      <c r="HV19" s="168"/>
      <c r="HW19" s="168"/>
      <c r="HX19" s="168"/>
      <c r="HY19" s="168"/>
      <c r="HZ19" s="168"/>
      <c r="IA19" s="168"/>
      <c r="IB19" s="168"/>
      <c r="IC19" s="168"/>
      <c r="ID19" s="168"/>
      <c r="IE19" s="168"/>
      <c r="IF19" s="168"/>
      <c r="IG19" s="168"/>
      <c r="IH19" s="168"/>
      <c r="II19" s="168"/>
      <c r="IJ19" s="168"/>
      <c r="IK19" s="168"/>
      <c r="IL19" s="168"/>
      <c r="IM19" s="168"/>
      <c r="IN19" s="168"/>
      <c r="IO19" s="168"/>
      <c r="IP19" s="168"/>
      <c r="IQ19" s="168"/>
      <c r="IR19" s="168"/>
      <c r="IS19" s="168"/>
      <c r="IT19" s="168"/>
      <c r="IU19" s="168"/>
      <c r="IV19" s="168"/>
      <c r="IW19" s="168"/>
      <c r="IX19" s="168"/>
      <c r="IY19" s="168"/>
      <c r="IZ19" s="168"/>
      <c r="JA19" s="168"/>
      <c r="JB19" s="168"/>
      <c r="JC19" s="168"/>
      <c r="JD19" s="168"/>
      <c r="JE19" s="168"/>
      <c r="JF19" s="168"/>
      <c r="JG19" s="168"/>
      <c r="JH19" s="168"/>
      <c r="JI19" s="168"/>
      <c r="JJ19" s="168"/>
      <c r="JK19" s="168"/>
      <c r="JL19" s="168"/>
      <c r="JM19" s="168"/>
      <c r="JN19" s="168"/>
      <c r="JO19" s="168"/>
      <c r="JP19" s="168"/>
      <c r="JQ19" s="168"/>
      <c r="JR19" s="168"/>
      <c r="JS19" s="168"/>
      <c r="JT19" s="168"/>
      <c r="JU19" s="168"/>
      <c r="JV19" s="168"/>
      <c r="JW19" s="168"/>
      <c r="JX19" s="168"/>
      <c r="JY19" s="168"/>
      <c r="JZ19" s="168"/>
      <c r="KA19" s="168"/>
      <c r="KB19" s="168"/>
      <c r="KC19" s="168"/>
      <c r="KD19" s="168"/>
      <c r="KE19" s="168"/>
      <c r="KF19" s="168"/>
      <c r="KG19" s="168"/>
      <c r="KH19" s="168"/>
      <c r="KI19" s="168"/>
      <c r="KJ19" s="168"/>
      <c r="KK19" s="168"/>
      <c r="KL19" s="168"/>
      <c r="KM19" s="168"/>
      <c r="KN19" s="168"/>
      <c r="KO19" s="168"/>
      <c r="KP19" s="168"/>
      <c r="KQ19" s="168"/>
      <c r="KR19" s="168"/>
      <c r="KS19" s="168"/>
      <c r="KT19" s="168"/>
      <c r="KU19" s="168"/>
      <c r="KV19" s="168"/>
      <c r="KW19" s="168"/>
      <c r="KX19" s="168"/>
      <c r="KY19" s="168"/>
      <c r="KZ19" s="168"/>
      <c r="LA19" s="168"/>
      <c r="LB19" s="168"/>
      <c r="LC19" s="168"/>
      <c r="LD19" s="168"/>
      <c r="LE19" s="168"/>
      <c r="LF19" s="168"/>
      <c r="LG19" s="168"/>
      <c r="LH19" s="168"/>
      <c r="LI19" s="168"/>
      <c r="LJ19" s="168"/>
      <c r="LK19" s="168"/>
      <c r="LL19" s="168"/>
      <c r="LM19" s="168"/>
      <c r="LN19" s="168"/>
      <c r="LO19" s="168"/>
      <c r="LP19" s="168"/>
      <c r="LQ19" s="168"/>
      <c r="LR19" s="168"/>
      <c r="LS19" s="168"/>
      <c r="LT19" s="168"/>
      <c r="LU19" s="168"/>
      <c r="LV19" s="168"/>
      <c r="LW19" s="168"/>
      <c r="LX19" s="168"/>
      <c r="LY19" s="168"/>
      <c r="LZ19" s="168"/>
      <c r="MA19" s="168"/>
      <c r="MB19" s="168"/>
      <c r="MC19" s="168"/>
      <c r="MD19" s="168"/>
      <c r="ME19" s="168"/>
      <c r="MF19" s="168"/>
      <c r="MG19" s="168"/>
      <c r="MH19" s="168"/>
      <c r="MI19" s="168"/>
      <c r="MJ19" s="168"/>
      <c r="MK19" s="168"/>
      <c r="ML19" s="168"/>
      <c r="MM19" s="168"/>
      <c r="MN19" s="168"/>
      <c r="MO19" s="168"/>
      <c r="MP19" s="168"/>
      <c r="MQ19" s="168"/>
      <c r="MR19" s="168"/>
      <c r="MS19" s="168"/>
      <c r="MT19" s="168"/>
      <c r="MU19" s="168"/>
      <c r="MV19" s="168"/>
      <c r="MW19" s="168"/>
      <c r="MX19" s="168"/>
      <c r="MY19" s="168"/>
      <c r="MZ19" s="168"/>
      <c r="NA19" s="168"/>
      <c r="NB19" s="168"/>
      <c r="NC19" s="168"/>
      <c r="ND19" s="168"/>
      <c r="NE19" s="168"/>
      <c r="NF19" s="168"/>
      <c r="NG19" s="168"/>
      <c r="NH19" s="168"/>
      <c r="NI19" s="168"/>
      <c r="NJ19" s="168"/>
      <c r="NK19" s="168"/>
      <c r="NL19" s="168"/>
      <c r="NM19" s="168"/>
      <c r="NN19" s="168"/>
      <c r="NO19" s="168"/>
      <c r="NP19" s="168"/>
      <c r="NQ19" s="168"/>
      <c r="NR19" s="168"/>
      <c r="NS19" s="168"/>
      <c r="NT19" s="168"/>
      <c r="NU19" s="168"/>
      <c r="NV19" s="168"/>
      <c r="NW19" s="168"/>
      <c r="NX19" s="168"/>
      <c r="NY19" s="168"/>
      <c r="NZ19" s="168"/>
      <c r="OA19" s="168"/>
      <c r="OB19" s="168"/>
      <c r="OC19" s="168"/>
      <c r="OD19" s="168"/>
      <c r="OE19" s="168"/>
      <c r="OF19" s="168"/>
      <c r="OG19" s="168"/>
      <c r="OH19" s="168"/>
      <c r="OI19" s="168"/>
      <c r="OJ19" s="168"/>
      <c r="OK19" s="168"/>
      <c r="OL19" s="168"/>
      <c r="OM19" s="168"/>
      <c r="ON19" s="168"/>
      <c r="OO19" s="168"/>
      <c r="OP19" s="168"/>
      <c r="OQ19" s="168"/>
      <c r="OR19" s="168"/>
      <c r="OS19" s="168"/>
      <c r="OT19" s="168"/>
      <c r="OU19" s="169"/>
      <c r="OV19" s="169"/>
      <c r="OW19" s="169"/>
      <c r="OX19" s="169"/>
      <c r="OY19" s="169"/>
      <c r="OZ19" s="169"/>
      <c r="PA19" s="169"/>
      <c r="PB19" s="169"/>
      <c r="PC19" s="169"/>
      <c r="PD19" s="169"/>
      <c r="PE19" s="169"/>
      <c r="PF19" s="169"/>
      <c r="PG19" s="169"/>
      <c r="PH19" s="169"/>
      <c r="PI19" s="169"/>
      <c r="PJ19" s="169"/>
      <c r="PK19" s="169"/>
      <c r="PL19" s="169"/>
      <c r="PM19" s="169"/>
      <c r="PN19" s="169"/>
      <c r="PO19" s="169"/>
      <c r="PP19" s="169"/>
      <c r="PQ19" s="169"/>
      <c r="PR19" s="169"/>
      <c r="PS19" s="169"/>
      <c r="PT19" s="169"/>
      <c r="PU19" s="169"/>
      <c r="PV19" s="169"/>
      <c r="PW19" s="169"/>
      <c r="PX19" s="169"/>
      <c r="PY19" s="169"/>
      <c r="PZ19" s="169"/>
      <c r="QA19" s="169"/>
      <c r="QB19" s="169"/>
      <c r="QC19" s="169"/>
      <c r="QD19" s="169"/>
      <c r="QE19" s="169"/>
      <c r="QF19" s="169"/>
      <c r="QG19" s="169"/>
      <c r="QH19" s="169"/>
      <c r="QI19" s="169"/>
      <c r="QJ19" s="169"/>
      <c r="QK19" s="169"/>
      <c r="QL19" s="169"/>
      <c r="QM19" s="169"/>
      <c r="QN19" s="169"/>
      <c r="QO19" s="169"/>
      <c r="QP19" s="169"/>
      <c r="QQ19" s="169"/>
      <c r="QR19" s="169"/>
      <c r="QS19" s="169"/>
      <c r="QT19" s="169"/>
      <c r="QU19" s="169"/>
      <c r="QV19" s="169"/>
      <c r="QW19" s="169"/>
      <c r="QX19" s="169"/>
      <c r="QY19" s="169"/>
      <c r="QZ19" s="169"/>
      <c r="RA19" s="169"/>
      <c r="RB19" s="169"/>
      <c r="RC19" s="169"/>
      <c r="RD19" s="169"/>
      <c r="RE19" s="169"/>
      <c r="RF19" s="169"/>
      <c r="RG19" s="169"/>
      <c r="RH19" s="169"/>
      <c r="RI19" s="169"/>
      <c r="RJ19" s="169"/>
      <c r="RK19" s="169"/>
      <c r="RL19" s="169"/>
      <c r="RM19" s="169"/>
      <c r="RN19" s="169"/>
      <c r="RO19" s="168"/>
      <c r="RP19" s="168"/>
      <c r="RQ19" s="168"/>
      <c r="RR19" s="168"/>
      <c r="RS19" s="168"/>
      <c r="RT19" s="168"/>
      <c r="RU19" s="170"/>
      <c r="RV19" s="170"/>
      <c r="RW19" s="170"/>
      <c r="RX19" s="170"/>
      <c r="RY19" s="170"/>
      <c r="RZ19" s="170"/>
      <c r="SA19" s="169"/>
      <c r="SB19" s="169"/>
      <c r="SC19" s="169"/>
      <c r="SD19" s="169"/>
      <c r="SE19" s="169"/>
      <c r="SF19" s="169"/>
      <c r="SG19" s="169"/>
      <c r="SH19" s="169"/>
      <c r="SI19" s="169"/>
      <c r="SJ19" s="169"/>
      <c r="SK19" s="169"/>
      <c r="SL19" s="169"/>
      <c r="SM19" s="169"/>
      <c r="SN19" s="169"/>
      <c r="SO19" s="169"/>
      <c r="SP19" s="169"/>
      <c r="SQ19" s="169"/>
      <c r="SR19" s="169"/>
      <c r="SS19" s="175"/>
    </row>
    <row r="20" spans="1:513" s="171" customFormat="1" ht="19.5" customHeight="1">
      <c r="A20" s="168"/>
      <c r="B20" s="168"/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  <c r="AA20" s="168"/>
      <c r="AB20" s="168"/>
      <c r="AC20" s="168"/>
      <c r="AD20" s="168"/>
      <c r="AE20" s="168"/>
      <c r="AF20" s="168"/>
      <c r="AG20" s="168"/>
      <c r="AH20" s="168"/>
      <c r="AI20" s="168"/>
      <c r="AJ20" s="168"/>
      <c r="AK20" s="168"/>
      <c r="AL20" s="168"/>
      <c r="AM20" s="168"/>
      <c r="AN20" s="168"/>
      <c r="AO20" s="168"/>
      <c r="AP20" s="168"/>
      <c r="AQ20" s="168"/>
      <c r="AR20" s="168"/>
      <c r="AS20" s="168"/>
      <c r="AT20" s="168"/>
      <c r="AU20" s="168"/>
      <c r="AV20" s="168"/>
      <c r="AW20" s="168"/>
      <c r="AX20" s="168"/>
      <c r="AY20" s="168"/>
      <c r="AZ20" s="168"/>
      <c r="BA20" s="168"/>
      <c r="BB20" s="168"/>
      <c r="BC20" s="168"/>
      <c r="BD20" s="168"/>
      <c r="BE20" s="168"/>
      <c r="BF20" s="168"/>
      <c r="BG20" s="168"/>
      <c r="BH20" s="168"/>
      <c r="BI20" s="168"/>
      <c r="BJ20" s="168"/>
      <c r="BK20" s="168"/>
      <c r="BL20" s="168"/>
      <c r="BM20" s="168"/>
      <c r="BN20" s="168"/>
      <c r="BO20" s="168"/>
      <c r="BP20" s="168"/>
      <c r="BQ20" s="168"/>
      <c r="BR20" s="168"/>
      <c r="BS20" s="168"/>
      <c r="BT20" s="168"/>
      <c r="BU20" s="168"/>
      <c r="BV20" s="168"/>
      <c r="BW20" s="168"/>
      <c r="BX20" s="168"/>
      <c r="BY20" s="168"/>
      <c r="BZ20" s="168"/>
      <c r="CA20" s="168"/>
      <c r="CB20" s="168"/>
      <c r="CC20" s="168"/>
      <c r="CD20" s="168"/>
      <c r="CE20" s="168"/>
      <c r="CF20" s="168"/>
      <c r="CG20" s="168"/>
      <c r="CH20" s="168"/>
      <c r="CI20" s="168"/>
      <c r="CJ20" s="168"/>
      <c r="CK20" s="168"/>
      <c r="CL20" s="168"/>
      <c r="CM20" s="168"/>
      <c r="CN20" s="168"/>
      <c r="CO20" s="168"/>
      <c r="CP20" s="168"/>
      <c r="CQ20" s="168"/>
      <c r="CR20" s="168"/>
      <c r="CS20" s="168"/>
      <c r="CT20" s="168"/>
      <c r="CU20" s="168"/>
      <c r="CV20" s="168"/>
      <c r="CW20" s="168"/>
      <c r="CX20" s="168"/>
      <c r="CY20" s="168"/>
      <c r="CZ20" s="168"/>
      <c r="DA20" s="168"/>
      <c r="DB20" s="168"/>
      <c r="DC20" s="168"/>
      <c r="DD20" s="168"/>
      <c r="DE20" s="168"/>
      <c r="DF20" s="168"/>
      <c r="DG20" s="168"/>
      <c r="DH20" s="168"/>
      <c r="DI20" s="168"/>
      <c r="DJ20" s="168"/>
      <c r="DK20" s="168"/>
      <c r="DL20" s="168"/>
      <c r="DM20" s="168"/>
      <c r="DN20" s="168"/>
      <c r="DO20" s="168"/>
      <c r="DP20" s="168"/>
      <c r="DQ20" s="168"/>
      <c r="DR20" s="168"/>
      <c r="DS20" s="168"/>
      <c r="DT20" s="168"/>
      <c r="DU20" s="168"/>
      <c r="DV20" s="168"/>
      <c r="DW20" s="168"/>
      <c r="DX20" s="168"/>
      <c r="DY20" s="168"/>
      <c r="DZ20" s="168"/>
      <c r="EA20" s="168"/>
      <c r="EB20" s="168"/>
      <c r="EC20" s="168"/>
      <c r="ED20" s="168"/>
      <c r="EE20" s="168"/>
      <c r="EF20" s="168"/>
      <c r="EG20" s="168"/>
      <c r="EH20" s="168"/>
      <c r="EI20" s="168"/>
      <c r="EJ20" s="168"/>
      <c r="EK20" s="168"/>
      <c r="EL20" s="168"/>
      <c r="EM20" s="168"/>
      <c r="EN20" s="168"/>
      <c r="EO20" s="168"/>
      <c r="EP20" s="168"/>
      <c r="EQ20" s="168"/>
      <c r="ER20" s="168"/>
      <c r="ES20" s="168"/>
      <c r="ET20" s="168"/>
      <c r="EU20" s="168"/>
      <c r="EV20" s="168"/>
      <c r="EW20" s="168"/>
      <c r="EX20" s="168"/>
      <c r="EY20" s="168"/>
      <c r="EZ20" s="168"/>
      <c r="FA20" s="168"/>
      <c r="FB20" s="168"/>
      <c r="FC20" s="168"/>
      <c r="FD20" s="168"/>
      <c r="FE20" s="168"/>
      <c r="FF20" s="168"/>
      <c r="FG20" s="168"/>
      <c r="FH20" s="168"/>
      <c r="FI20" s="168"/>
      <c r="FJ20" s="168"/>
      <c r="FK20" s="168"/>
      <c r="FL20" s="168"/>
      <c r="FM20" s="168"/>
      <c r="FN20" s="168"/>
      <c r="FO20" s="168"/>
      <c r="FP20" s="168"/>
      <c r="FQ20" s="168"/>
      <c r="FR20" s="168"/>
      <c r="FS20" s="168"/>
      <c r="FT20" s="168"/>
      <c r="FU20" s="168"/>
      <c r="FV20" s="168"/>
      <c r="FW20" s="168"/>
      <c r="FX20" s="168"/>
      <c r="FY20" s="168"/>
      <c r="FZ20" s="168"/>
      <c r="GA20" s="168"/>
      <c r="GB20" s="168"/>
      <c r="GC20" s="168"/>
      <c r="GD20" s="168"/>
      <c r="GE20" s="168"/>
      <c r="GF20" s="168"/>
      <c r="GG20" s="168"/>
      <c r="GH20" s="168"/>
      <c r="GI20" s="168"/>
      <c r="GJ20" s="168"/>
      <c r="GK20" s="168"/>
      <c r="GL20" s="168"/>
      <c r="GM20" s="168"/>
      <c r="GN20" s="168"/>
      <c r="GO20" s="168"/>
      <c r="GP20" s="168"/>
      <c r="GQ20" s="168"/>
      <c r="GR20" s="168"/>
      <c r="GS20" s="168"/>
      <c r="GT20" s="168"/>
      <c r="GU20" s="168"/>
      <c r="GV20" s="168"/>
      <c r="GW20" s="168"/>
      <c r="GX20" s="168"/>
      <c r="GY20" s="168"/>
      <c r="GZ20" s="168"/>
      <c r="HA20" s="168"/>
      <c r="HB20" s="168"/>
      <c r="HC20" s="168"/>
      <c r="HD20" s="168"/>
      <c r="HE20" s="168"/>
      <c r="HF20" s="168"/>
      <c r="HG20" s="168"/>
      <c r="HH20" s="168"/>
      <c r="HI20" s="168"/>
      <c r="HJ20" s="168"/>
      <c r="HK20" s="168"/>
      <c r="HL20" s="168"/>
      <c r="HM20" s="168"/>
      <c r="HN20" s="168"/>
      <c r="HO20" s="168"/>
      <c r="HP20" s="168"/>
      <c r="HQ20" s="168"/>
      <c r="HR20" s="168"/>
      <c r="HS20" s="168"/>
      <c r="HT20" s="168"/>
      <c r="HU20" s="168"/>
      <c r="HV20" s="168"/>
      <c r="HW20" s="168"/>
      <c r="HX20" s="168"/>
      <c r="HY20" s="168"/>
      <c r="HZ20" s="168"/>
      <c r="IA20" s="168"/>
      <c r="IB20" s="168"/>
      <c r="IC20" s="168"/>
      <c r="ID20" s="168"/>
      <c r="IE20" s="168"/>
      <c r="IF20" s="168"/>
      <c r="IG20" s="168"/>
      <c r="IH20" s="168"/>
      <c r="II20" s="168"/>
      <c r="IJ20" s="168"/>
      <c r="IK20" s="168"/>
      <c r="IL20" s="168"/>
      <c r="IM20" s="168"/>
      <c r="IN20" s="168"/>
      <c r="IO20" s="168"/>
      <c r="IP20" s="168"/>
      <c r="IQ20" s="168"/>
      <c r="IR20" s="168"/>
      <c r="IS20" s="168"/>
      <c r="IT20" s="168"/>
      <c r="IU20" s="168"/>
      <c r="IV20" s="168"/>
      <c r="IW20" s="168"/>
      <c r="IX20" s="168"/>
      <c r="IY20" s="168"/>
      <c r="IZ20" s="168"/>
      <c r="JA20" s="168"/>
      <c r="JB20" s="168"/>
      <c r="JC20" s="168"/>
      <c r="JD20" s="168"/>
      <c r="JE20" s="168"/>
      <c r="JF20" s="168"/>
      <c r="JG20" s="168"/>
      <c r="JH20" s="168"/>
      <c r="JI20" s="168"/>
      <c r="JJ20" s="168"/>
      <c r="JK20" s="168"/>
      <c r="JL20" s="168"/>
      <c r="JM20" s="168"/>
      <c r="JN20" s="168"/>
      <c r="JO20" s="168"/>
      <c r="JP20" s="168"/>
      <c r="JQ20" s="168"/>
      <c r="JR20" s="168"/>
      <c r="JS20" s="168"/>
      <c r="JT20" s="168"/>
      <c r="JU20" s="168"/>
      <c r="JV20" s="168"/>
      <c r="JW20" s="168"/>
      <c r="JX20" s="168"/>
      <c r="JY20" s="168"/>
      <c r="JZ20" s="168"/>
      <c r="KA20" s="168"/>
      <c r="KB20" s="168"/>
      <c r="KC20" s="168"/>
      <c r="KD20" s="168"/>
      <c r="KE20" s="168"/>
      <c r="KF20" s="168"/>
      <c r="KG20" s="168"/>
      <c r="KH20" s="168"/>
      <c r="KI20" s="168"/>
      <c r="KJ20" s="168"/>
      <c r="KK20" s="168"/>
      <c r="KL20" s="168"/>
      <c r="KM20" s="168"/>
      <c r="KN20" s="168"/>
      <c r="KO20" s="168"/>
      <c r="KP20" s="168"/>
      <c r="KQ20" s="168"/>
      <c r="KR20" s="168"/>
      <c r="KS20" s="168"/>
      <c r="KT20" s="168"/>
      <c r="KU20" s="168"/>
      <c r="KV20" s="168"/>
      <c r="KW20" s="168"/>
      <c r="KX20" s="168"/>
      <c r="KY20" s="168"/>
      <c r="KZ20" s="168"/>
      <c r="LA20" s="168"/>
      <c r="LB20" s="168"/>
      <c r="LC20" s="168"/>
      <c r="LD20" s="168"/>
      <c r="LE20" s="168"/>
      <c r="LF20" s="168"/>
      <c r="LG20" s="168"/>
      <c r="LH20" s="168"/>
      <c r="LI20" s="168"/>
      <c r="LJ20" s="168"/>
      <c r="LK20" s="168"/>
      <c r="LL20" s="168"/>
      <c r="LM20" s="168"/>
      <c r="LN20" s="168"/>
      <c r="LO20" s="168"/>
      <c r="LP20" s="168"/>
      <c r="LQ20" s="168"/>
      <c r="LR20" s="168"/>
      <c r="LS20" s="168"/>
      <c r="LT20" s="168"/>
      <c r="LU20" s="168"/>
      <c r="LV20" s="168"/>
      <c r="LW20" s="168"/>
      <c r="LX20" s="168"/>
      <c r="LY20" s="168"/>
      <c r="LZ20" s="168"/>
      <c r="MA20" s="168"/>
      <c r="MB20" s="168"/>
      <c r="MC20" s="168"/>
      <c r="MD20" s="168"/>
      <c r="ME20" s="168"/>
      <c r="MF20" s="168"/>
      <c r="MG20" s="168"/>
      <c r="MH20" s="168"/>
      <c r="MI20" s="168"/>
      <c r="MJ20" s="168"/>
      <c r="MK20" s="168"/>
      <c r="ML20" s="168"/>
      <c r="MM20" s="168"/>
      <c r="MN20" s="168"/>
      <c r="MO20" s="168"/>
      <c r="MP20" s="168"/>
      <c r="MQ20" s="168"/>
      <c r="MR20" s="168"/>
      <c r="MS20" s="168"/>
      <c r="MT20" s="168"/>
      <c r="MU20" s="168"/>
      <c r="MV20" s="168"/>
      <c r="MW20" s="168"/>
      <c r="MX20" s="168"/>
      <c r="MY20" s="168"/>
      <c r="MZ20" s="168"/>
      <c r="NA20" s="168"/>
      <c r="NB20" s="168"/>
      <c r="NC20" s="168"/>
      <c r="ND20" s="168"/>
      <c r="NE20" s="168"/>
      <c r="NF20" s="168"/>
      <c r="NG20" s="168"/>
      <c r="NH20" s="168"/>
      <c r="NI20" s="168"/>
      <c r="NJ20" s="168"/>
      <c r="NK20" s="168"/>
      <c r="NL20" s="168"/>
      <c r="NM20" s="168"/>
      <c r="NN20" s="168"/>
      <c r="NO20" s="168"/>
      <c r="NP20" s="168"/>
      <c r="NQ20" s="168"/>
      <c r="NR20" s="168"/>
      <c r="NS20" s="168"/>
      <c r="NT20" s="168"/>
      <c r="NU20" s="168"/>
      <c r="NV20" s="168"/>
      <c r="NW20" s="168"/>
      <c r="NX20" s="168"/>
      <c r="NY20" s="168"/>
      <c r="NZ20" s="168"/>
      <c r="OA20" s="168"/>
      <c r="OB20" s="168"/>
      <c r="OC20" s="168"/>
      <c r="OD20" s="168"/>
      <c r="OE20" s="168"/>
      <c r="OF20" s="168"/>
      <c r="OG20" s="168"/>
      <c r="OH20" s="168"/>
      <c r="OI20" s="168"/>
      <c r="OJ20" s="168"/>
      <c r="OK20" s="168"/>
      <c r="OL20" s="168"/>
      <c r="OM20" s="168"/>
      <c r="ON20" s="168"/>
      <c r="OO20" s="168"/>
      <c r="OP20" s="168"/>
      <c r="OQ20" s="168"/>
      <c r="OR20" s="168"/>
      <c r="OS20" s="168"/>
      <c r="OT20" s="168"/>
      <c r="OU20" s="169"/>
      <c r="OV20" s="169"/>
      <c r="OW20" s="169"/>
      <c r="OX20" s="169"/>
      <c r="OY20" s="169"/>
      <c r="OZ20" s="169"/>
      <c r="PA20" s="169"/>
      <c r="PB20" s="169"/>
      <c r="PC20" s="169"/>
      <c r="PD20" s="169"/>
      <c r="PE20" s="169"/>
      <c r="PF20" s="169"/>
      <c r="PG20" s="169"/>
      <c r="PH20" s="169"/>
      <c r="PI20" s="169"/>
      <c r="PJ20" s="169"/>
      <c r="PK20" s="169"/>
      <c r="PL20" s="169"/>
      <c r="PM20" s="169"/>
      <c r="PN20" s="169"/>
      <c r="PO20" s="169"/>
      <c r="PP20" s="169"/>
      <c r="PQ20" s="169"/>
      <c r="PR20" s="169"/>
      <c r="PS20" s="169"/>
      <c r="PT20" s="169"/>
      <c r="PU20" s="169"/>
      <c r="PV20" s="169"/>
      <c r="PW20" s="169"/>
      <c r="PX20" s="169"/>
      <c r="PY20" s="169"/>
      <c r="PZ20" s="169"/>
      <c r="QA20" s="169"/>
      <c r="QB20" s="169"/>
      <c r="QC20" s="169"/>
      <c r="QD20" s="169"/>
      <c r="QE20" s="169"/>
      <c r="QF20" s="169"/>
      <c r="QG20" s="169"/>
      <c r="QH20" s="169"/>
      <c r="QI20" s="169"/>
      <c r="QJ20" s="169"/>
      <c r="QK20" s="169"/>
      <c r="QL20" s="169"/>
      <c r="QM20" s="169"/>
      <c r="QN20" s="169"/>
      <c r="QO20" s="169"/>
      <c r="QP20" s="169"/>
      <c r="QQ20" s="169"/>
      <c r="QR20" s="169"/>
      <c r="QS20" s="169"/>
      <c r="QT20" s="169"/>
      <c r="QU20" s="169"/>
      <c r="QV20" s="169"/>
      <c r="QW20" s="169"/>
      <c r="QX20" s="169"/>
      <c r="QY20" s="169"/>
      <c r="QZ20" s="169"/>
      <c r="RA20" s="169"/>
      <c r="RB20" s="169"/>
      <c r="RC20" s="169"/>
      <c r="RD20" s="169"/>
      <c r="RE20" s="169"/>
      <c r="RF20" s="169"/>
      <c r="RG20" s="169"/>
      <c r="RH20" s="169"/>
      <c r="RI20" s="169"/>
      <c r="RJ20" s="169"/>
      <c r="RK20" s="169"/>
      <c r="RL20" s="169"/>
      <c r="RM20" s="169"/>
      <c r="RN20" s="169"/>
      <c r="RO20" s="168"/>
      <c r="RP20" s="168"/>
      <c r="RQ20" s="168"/>
      <c r="RR20" s="168"/>
      <c r="RS20" s="168"/>
      <c r="RT20" s="168"/>
      <c r="RU20" s="170"/>
      <c r="RV20" s="170"/>
      <c r="RW20" s="170"/>
      <c r="RX20" s="170"/>
      <c r="RY20" s="170"/>
      <c r="RZ20" s="170"/>
      <c r="SA20" s="169"/>
      <c r="SB20" s="169"/>
      <c r="SC20" s="169"/>
      <c r="SD20" s="169"/>
      <c r="SE20" s="169"/>
      <c r="SF20" s="169"/>
      <c r="SG20" s="169"/>
      <c r="SH20" s="169"/>
      <c r="SI20" s="169"/>
      <c r="SJ20" s="169"/>
      <c r="SK20" s="169"/>
      <c r="SL20" s="169"/>
      <c r="SM20" s="169"/>
      <c r="SN20" s="169"/>
      <c r="SO20" s="169"/>
      <c r="SP20" s="169"/>
      <c r="SQ20" s="169"/>
      <c r="SR20" s="169"/>
      <c r="SS20" s="175"/>
    </row>
    <row r="21" spans="1:513" ht="15" customHeight="1">
      <c r="A21" s="117"/>
      <c r="B21" s="118"/>
      <c r="C21" s="118"/>
      <c r="D21" s="118"/>
      <c r="E21" s="119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5"/>
      <c r="BF21" s="115"/>
      <c r="BG21" s="115"/>
      <c r="BH21" s="115"/>
      <c r="BI21" s="115"/>
      <c r="BJ21" s="115"/>
      <c r="BK21" s="115"/>
      <c r="BL21" s="115"/>
      <c r="BM21" s="115"/>
      <c r="BN21" s="115"/>
      <c r="BO21" s="115"/>
      <c r="BP21" s="115"/>
      <c r="BQ21" s="115"/>
      <c r="BR21" s="115"/>
      <c r="BS21" s="115"/>
      <c r="BT21" s="115"/>
      <c r="BU21" s="115"/>
      <c r="BV21" s="115"/>
      <c r="BW21" s="115"/>
      <c r="BX21" s="115"/>
      <c r="BY21" s="115"/>
      <c r="BZ21" s="115"/>
      <c r="CA21" s="115"/>
      <c r="CB21" s="115"/>
      <c r="CC21" s="115"/>
      <c r="CD21" s="115"/>
      <c r="CE21" s="115"/>
      <c r="CF21" s="115"/>
      <c r="CG21" s="115"/>
      <c r="CH21" s="115"/>
      <c r="CI21" s="115"/>
      <c r="CJ21" s="115"/>
      <c r="CK21" s="115"/>
      <c r="CL21" s="115"/>
      <c r="CM21" s="115"/>
      <c r="CN21" s="115"/>
      <c r="CO21" s="115"/>
      <c r="CP21" s="115"/>
      <c r="CQ21" s="115"/>
      <c r="CR21" s="115"/>
      <c r="CS21" s="115"/>
      <c r="CT21" s="115"/>
      <c r="CU21" s="115"/>
      <c r="CV21" s="115"/>
      <c r="CW21" s="115"/>
      <c r="CX21" s="115"/>
      <c r="CY21" s="115"/>
      <c r="CZ21" s="115"/>
      <c r="DA21" s="115"/>
      <c r="DB21" s="115"/>
      <c r="DC21" s="115"/>
      <c r="DD21" s="115"/>
      <c r="DE21" s="115"/>
      <c r="DF21" s="115"/>
      <c r="DG21" s="115"/>
      <c r="DH21" s="115"/>
      <c r="DI21" s="115"/>
      <c r="DJ21" s="115"/>
      <c r="DK21" s="115"/>
      <c r="DL21" s="115"/>
      <c r="DM21" s="115"/>
      <c r="DN21" s="115"/>
      <c r="DO21" s="115"/>
      <c r="DP21" s="115"/>
      <c r="DQ21" s="115"/>
      <c r="DR21" s="115"/>
      <c r="DS21" s="115"/>
      <c r="DT21" s="115"/>
      <c r="DU21" s="115"/>
      <c r="DV21" s="115"/>
      <c r="DW21" s="115"/>
      <c r="DX21" s="115"/>
      <c r="DY21" s="115"/>
      <c r="DZ21" s="115"/>
      <c r="EA21" s="115"/>
      <c r="EB21" s="115"/>
      <c r="EC21" s="115"/>
      <c r="ED21" s="115"/>
      <c r="EE21" s="115"/>
      <c r="EF21" s="115"/>
      <c r="EG21" s="115"/>
      <c r="EH21" s="115"/>
      <c r="EI21" s="115"/>
      <c r="EJ21" s="115"/>
      <c r="EK21" s="115"/>
      <c r="EL21" s="115"/>
      <c r="EM21" s="115"/>
      <c r="EN21" s="115"/>
      <c r="EO21" s="115"/>
      <c r="EP21" s="115"/>
      <c r="EQ21" s="115"/>
      <c r="ER21" s="115"/>
      <c r="ES21" s="115"/>
      <c r="ET21" s="115"/>
      <c r="EU21" s="115"/>
      <c r="EV21" s="115"/>
      <c r="EW21" s="115"/>
      <c r="EX21" s="115"/>
      <c r="EY21" s="115"/>
      <c r="EZ21" s="115"/>
      <c r="FA21" s="115"/>
      <c r="FB21" s="115"/>
      <c r="FC21" s="115"/>
      <c r="FD21" s="115"/>
      <c r="FE21" s="115"/>
      <c r="FF21" s="115"/>
      <c r="FG21" s="115"/>
      <c r="FH21" s="115"/>
      <c r="FI21" s="115"/>
      <c r="FJ21" s="115"/>
      <c r="FK21" s="115"/>
      <c r="FL21" s="115"/>
      <c r="FM21" s="115"/>
      <c r="FN21" s="115"/>
      <c r="FO21" s="115"/>
      <c r="FP21" s="115"/>
      <c r="FQ21" s="115"/>
      <c r="FR21" s="115"/>
      <c r="FS21" s="115"/>
      <c r="FT21" s="115"/>
      <c r="FU21" s="115"/>
      <c r="FV21" s="115"/>
      <c r="FW21" s="115"/>
      <c r="FX21" s="115"/>
      <c r="FY21" s="115"/>
      <c r="FZ21" s="115"/>
      <c r="GA21" s="115"/>
      <c r="GB21" s="115"/>
      <c r="GC21" s="115"/>
      <c r="GD21" s="115"/>
      <c r="GE21" s="115"/>
      <c r="GF21" s="115"/>
      <c r="GG21" s="115"/>
      <c r="GH21" s="115"/>
      <c r="GI21" s="115"/>
      <c r="GJ21" s="115"/>
      <c r="GK21" s="115"/>
      <c r="GL21" s="115"/>
      <c r="GM21" s="115"/>
      <c r="GN21" s="115"/>
      <c r="GO21" s="115"/>
      <c r="GP21" s="115"/>
      <c r="GQ21" s="115"/>
      <c r="GR21" s="115"/>
      <c r="GS21" s="115"/>
      <c r="GT21" s="115"/>
      <c r="GU21" s="115"/>
      <c r="GV21" s="115"/>
      <c r="GW21" s="115"/>
      <c r="GX21" s="115"/>
      <c r="GY21" s="115"/>
      <c r="GZ21" s="115"/>
      <c r="HA21" s="115"/>
      <c r="HB21" s="115"/>
      <c r="HC21" s="115"/>
      <c r="HD21" s="115"/>
      <c r="HE21" s="115"/>
      <c r="HF21" s="115"/>
      <c r="HG21" s="115"/>
      <c r="HH21" s="115"/>
      <c r="HI21" s="115"/>
      <c r="HJ21" s="115"/>
      <c r="HK21" s="115"/>
      <c r="HL21" s="115"/>
      <c r="HM21" s="115"/>
      <c r="HN21" s="115"/>
      <c r="HO21" s="115"/>
      <c r="HP21" s="115"/>
      <c r="HQ21" s="115"/>
      <c r="HR21" s="115"/>
      <c r="HS21" s="115"/>
      <c r="HT21" s="115"/>
      <c r="HU21" s="115"/>
      <c r="HV21" s="115"/>
      <c r="HW21" s="115"/>
      <c r="HX21" s="115"/>
      <c r="HY21" s="115"/>
      <c r="HZ21" s="115"/>
      <c r="IA21" s="115"/>
      <c r="IB21" s="115"/>
      <c r="IC21" s="115"/>
      <c r="ID21" s="115"/>
      <c r="IE21" s="115"/>
      <c r="IF21" s="115"/>
      <c r="IG21" s="115"/>
      <c r="IH21" s="115"/>
      <c r="II21" s="115"/>
      <c r="IJ21" s="115"/>
      <c r="IK21" s="115"/>
      <c r="IL21" s="115"/>
      <c r="IM21" s="115"/>
      <c r="IN21" s="115"/>
      <c r="IO21" s="115"/>
      <c r="IP21" s="115"/>
      <c r="IQ21" s="115"/>
      <c r="IR21" s="115"/>
      <c r="IS21" s="115"/>
      <c r="IT21" s="115"/>
      <c r="IU21" s="115"/>
      <c r="IV21" s="115"/>
      <c r="IW21" s="115"/>
      <c r="IX21" s="115"/>
      <c r="IY21" s="115"/>
      <c r="IZ21" s="115"/>
      <c r="JA21" s="115"/>
      <c r="JB21" s="115"/>
      <c r="JC21" s="115"/>
      <c r="JD21" s="115"/>
      <c r="JE21" s="115"/>
      <c r="JF21" s="115"/>
      <c r="JG21" s="115"/>
      <c r="JH21" s="115"/>
      <c r="JI21" s="115"/>
      <c r="JJ21" s="115"/>
      <c r="JK21" s="115"/>
      <c r="JL21" s="115"/>
      <c r="JM21" s="115"/>
      <c r="JN21" s="115"/>
      <c r="JO21" s="115"/>
      <c r="JP21" s="115"/>
      <c r="JQ21" s="115"/>
      <c r="JR21" s="115"/>
      <c r="JS21" s="115"/>
      <c r="JT21" s="115"/>
      <c r="JU21" s="115"/>
      <c r="JV21" s="115"/>
      <c r="JW21" s="115"/>
      <c r="JX21" s="115"/>
      <c r="JY21" s="115"/>
      <c r="JZ21" s="115"/>
      <c r="KA21" s="115"/>
      <c r="KB21" s="115"/>
      <c r="KC21" s="115"/>
      <c r="KD21" s="115"/>
      <c r="KE21" s="115"/>
      <c r="KF21" s="115"/>
      <c r="KG21" s="115"/>
      <c r="KH21" s="115"/>
      <c r="KI21" s="115"/>
      <c r="KJ21" s="115"/>
      <c r="KK21" s="115"/>
      <c r="KL21" s="115"/>
      <c r="KM21" s="115"/>
      <c r="KN21" s="115"/>
      <c r="KO21" s="115"/>
      <c r="KP21" s="115"/>
      <c r="KQ21" s="115"/>
      <c r="KR21" s="115"/>
      <c r="KS21" s="115"/>
      <c r="KT21" s="115"/>
      <c r="KU21" s="115"/>
      <c r="KV21" s="115"/>
      <c r="KW21" s="115"/>
      <c r="KX21" s="115"/>
      <c r="KY21" s="115"/>
      <c r="KZ21" s="115"/>
      <c r="LA21" s="115"/>
      <c r="LB21" s="115"/>
      <c r="LC21" s="115"/>
      <c r="LD21" s="115"/>
      <c r="LE21" s="115"/>
      <c r="LF21" s="115"/>
      <c r="LG21" s="115"/>
      <c r="LH21" s="115"/>
      <c r="LI21" s="115"/>
      <c r="LJ21" s="115"/>
      <c r="LK21" s="115"/>
      <c r="LL21" s="115"/>
      <c r="LM21" s="115"/>
      <c r="LN21" s="115"/>
      <c r="LO21" s="115"/>
      <c r="LP21" s="115"/>
      <c r="LQ21" s="115"/>
      <c r="LR21" s="115"/>
      <c r="LS21" s="115"/>
      <c r="LT21" s="115"/>
      <c r="LU21" s="115"/>
      <c r="LV21" s="115"/>
      <c r="LW21" s="115"/>
      <c r="LX21" s="115"/>
      <c r="LY21" s="115"/>
      <c r="LZ21" s="115"/>
      <c r="MA21" s="115"/>
      <c r="MB21" s="115"/>
      <c r="MC21" s="115"/>
      <c r="MD21" s="115"/>
      <c r="ME21" s="115"/>
      <c r="MF21" s="115"/>
      <c r="MG21" s="115"/>
      <c r="MH21" s="115"/>
      <c r="MI21" s="115"/>
      <c r="MJ21" s="115"/>
      <c r="MK21" s="115"/>
      <c r="ML21" s="115"/>
      <c r="MM21" s="115"/>
      <c r="MN21" s="115"/>
      <c r="MO21" s="115"/>
      <c r="MP21" s="115"/>
      <c r="MQ21" s="115"/>
      <c r="MR21" s="115"/>
      <c r="MS21" s="115"/>
      <c r="MT21" s="115"/>
      <c r="MU21" s="115"/>
      <c r="MV21" s="115"/>
      <c r="MW21" s="115"/>
      <c r="MX21" s="115"/>
      <c r="MY21" s="115"/>
      <c r="MZ21" s="115"/>
      <c r="NA21" s="115"/>
      <c r="NB21" s="115"/>
      <c r="NC21" s="115"/>
      <c r="ND21" s="115"/>
      <c r="NE21" s="115"/>
      <c r="NF21" s="115"/>
      <c r="NG21" s="115"/>
      <c r="NH21" s="115"/>
      <c r="NI21" s="115"/>
      <c r="NJ21" s="115"/>
      <c r="NK21" s="115"/>
      <c r="NL21" s="115"/>
      <c r="NM21" s="115"/>
      <c r="NN21" s="115"/>
      <c r="NO21" s="115"/>
      <c r="NP21" s="115"/>
      <c r="NQ21" s="115"/>
      <c r="NR21" s="115"/>
      <c r="NS21" s="115"/>
      <c r="NT21" s="115"/>
      <c r="NU21" s="115"/>
      <c r="NV21" s="115"/>
      <c r="NW21" s="115"/>
      <c r="NX21" s="115"/>
      <c r="NY21" s="115"/>
      <c r="NZ21" s="115"/>
      <c r="OA21" s="115"/>
      <c r="OB21" s="115"/>
      <c r="OC21" s="115"/>
      <c r="OD21" s="115"/>
      <c r="OE21" s="115"/>
      <c r="OF21" s="115"/>
      <c r="OG21" s="115"/>
      <c r="OH21" s="115"/>
      <c r="OI21" s="115"/>
      <c r="OJ21" s="115"/>
      <c r="OK21" s="115"/>
      <c r="OL21" s="115"/>
      <c r="OM21" s="115"/>
      <c r="ON21" s="115"/>
      <c r="OO21" s="115"/>
      <c r="OP21" s="115"/>
      <c r="OQ21" s="115"/>
      <c r="OR21" s="115"/>
      <c r="OS21" s="115"/>
      <c r="OT21" s="115"/>
      <c r="OU21" s="72"/>
      <c r="OV21" s="72"/>
      <c r="OW21" s="72"/>
      <c r="OX21" s="72"/>
      <c r="OY21" s="72"/>
      <c r="OZ21" s="72"/>
      <c r="PA21" s="72"/>
      <c r="PB21" s="72"/>
      <c r="PC21" s="72"/>
      <c r="PD21" s="72"/>
      <c r="PE21" s="72"/>
      <c r="PF21" s="72"/>
      <c r="PG21" s="72"/>
      <c r="PH21" s="72"/>
      <c r="PI21" s="72"/>
      <c r="PJ21" s="72"/>
      <c r="PK21" s="72"/>
      <c r="PL21" s="72"/>
      <c r="PM21" s="72"/>
      <c r="PN21" s="72"/>
      <c r="PO21" s="72"/>
      <c r="PP21" s="72"/>
      <c r="PQ21" s="72"/>
      <c r="PR21" s="72"/>
      <c r="PS21" s="72"/>
      <c r="PT21" s="72"/>
      <c r="PU21" s="72"/>
      <c r="PV21" s="72"/>
      <c r="PW21" s="72"/>
      <c r="PX21" s="72"/>
      <c r="PY21" s="72"/>
      <c r="PZ21" s="72"/>
      <c r="QA21" s="72"/>
      <c r="QB21" s="72"/>
      <c r="QC21" s="72"/>
      <c r="QD21" s="72"/>
      <c r="QE21" s="72"/>
      <c r="QF21" s="72"/>
      <c r="QG21" s="72"/>
      <c r="QH21" s="72"/>
      <c r="QI21" s="72"/>
      <c r="QJ21" s="72"/>
      <c r="QK21" s="72"/>
      <c r="QL21" s="72"/>
      <c r="QM21" s="72"/>
      <c r="QN21" s="72"/>
      <c r="QO21" s="72"/>
      <c r="QP21" s="72"/>
      <c r="QQ21" s="72"/>
      <c r="QR21" s="72"/>
      <c r="QS21" s="72"/>
      <c r="QT21" s="72"/>
      <c r="QU21" s="72"/>
      <c r="QV21" s="72"/>
      <c r="QW21" s="72"/>
      <c r="QX21" s="72"/>
      <c r="QY21" s="72"/>
      <c r="QZ21" s="72"/>
      <c r="RA21" s="72"/>
      <c r="RB21" s="72"/>
      <c r="RC21" s="72"/>
      <c r="RD21" s="72"/>
      <c r="RE21" s="72"/>
      <c r="RF21" s="72"/>
      <c r="RG21" s="72"/>
      <c r="RH21" s="72"/>
      <c r="RI21" s="72"/>
      <c r="RJ21" s="72"/>
      <c r="RK21" s="72"/>
      <c r="RL21" s="72"/>
      <c r="RM21" s="72"/>
      <c r="RN21" s="72"/>
      <c r="RO21" s="115"/>
      <c r="RP21" s="115"/>
      <c r="RQ21" s="115"/>
      <c r="RR21" s="115"/>
      <c r="RS21" s="115"/>
      <c r="RT21" s="115"/>
      <c r="RU21" s="116"/>
      <c r="RV21" s="116"/>
      <c r="RW21" s="116"/>
      <c r="RX21" s="116"/>
      <c r="RY21" s="116"/>
      <c r="RZ21" s="116"/>
      <c r="SA21" s="72"/>
      <c r="SB21" s="72"/>
      <c r="SC21" s="72"/>
      <c r="SD21" s="72"/>
      <c r="SE21" s="72"/>
      <c r="SF21" s="72"/>
      <c r="SG21" s="72"/>
      <c r="SH21" s="72"/>
      <c r="SI21" s="72"/>
      <c r="SJ21" s="72"/>
      <c r="SK21" s="72"/>
      <c r="SL21" s="72"/>
      <c r="SM21" s="72"/>
      <c r="SN21" s="72"/>
      <c r="SO21" s="72"/>
      <c r="SP21" s="72"/>
      <c r="SQ21" s="72"/>
      <c r="SR21" s="72"/>
      <c r="SS21" s="176"/>
    </row>
    <row r="22" spans="1:513" s="194" customFormat="1" ht="19.5" customHeight="1">
      <c r="A22" s="215" t="s">
        <v>198</v>
      </c>
      <c r="B22" s="216"/>
      <c r="C22" s="216"/>
      <c r="D22" s="216"/>
      <c r="E22" s="217"/>
      <c r="F22" s="193">
        <f t="shared" ref="F22" si="88">SUM(F18:F20)</f>
        <v>0</v>
      </c>
      <c r="G22" s="193">
        <f t="shared" ref="G22:BR22" si="89">SUM(G18:G20)</f>
        <v>0</v>
      </c>
      <c r="H22" s="193">
        <f t="shared" si="89"/>
        <v>0</v>
      </c>
      <c r="I22" s="193">
        <f t="shared" si="89"/>
        <v>0</v>
      </c>
      <c r="J22" s="193">
        <f t="shared" si="89"/>
        <v>0</v>
      </c>
      <c r="K22" s="193">
        <f t="shared" si="89"/>
        <v>0</v>
      </c>
      <c r="L22" s="193">
        <f t="shared" si="89"/>
        <v>0</v>
      </c>
      <c r="M22" s="193">
        <f t="shared" si="89"/>
        <v>0</v>
      </c>
      <c r="N22" s="193">
        <f t="shared" si="89"/>
        <v>0</v>
      </c>
      <c r="O22" s="193">
        <f t="shared" si="89"/>
        <v>0</v>
      </c>
      <c r="P22" s="193">
        <f t="shared" si="89"/>
        <v>0</v>
      </c>
      <c r="Q22" s="193">
        <f t="shared" si="89"/>
        <v>0</v>
      </c>
      <c r="R22" s="193">
        <f t="shared" si="89"/>
        <v>0</v>
      </c>
      <c r="S22" s="193">
        <f t="shared" si="89"/>
        <v>0</v>
      </c>
      <c r="T22" s="193">
        <f t="shared" si="89"/>
        <v>0</v>
      </c>
      <c r="U22" s="193">
        <f t="shared" si="89"/>
        <v>0</v>
      </c>
      <c r="V22" s="193">
        <f t="shared" si="89"/>
        <v>0</v>
      </c>
      <c r="W22" s="193">
        <f t="shared" si="89"/>
        <v>0</v>
      </c>
      <c r="X22" s="193">
        <f t="shared" si="89"/>
        <v>0</v>
      </c>
      <c r="Y22" s="193">
        <f t="shared" si="89"/>
        <v>0</v>
      </c>
      <c r="Z22" s="193">
        <f t="shared" si="89"/>
        <v>0</v>
      </c>
      <c r="AA22" s="193">
        <f t="shared" si="89"/>
        <v>0</v>
      </c>
      <c r="AB22" s="193">
        <f t="shared" si="89"/>
        <v>0</v>
      </c>
      <c r="AC22" s="193">
        <f t="shared" si="89"/>
        <v>0</v>
      </c>
      <c r="AD22" s="193">
        <f t="shared" si="89"/>
        <v>0</v>
      </c>
      <c r="AE22" s="193">
        <f t="shared" si="89"/>
        <v>0</v>
      </c>
      <c r="AF22" s="193">
        <f t="shared" si="89"/>
        <v>0</v>
      </c>
      <c r="AG22" s="193">
        <f t="shared" si="89"/>
        <v>0</v>
      </c>
      <c r="AH22" s="193">
        <f t="shared" si="89"/>
        <v>0</v>
      </c>
      <c r="AI22" s="193">
        <f t="shared" si="89"/>
        <v>0</v>
      </c>
      <c r="AJ22" s="193">
        <f t="shared" si="89"/>
        <v>0</v>
      </c>
      <c r="AK22" s="193">
        <f t="shared" si="89"/>
        <v>0</v>
      </c>
      <c r="AL22" s="193">
        <f t="shared" si="89"/>
        <v>0</v>
      </c>
      <c r="AM22" s="193">
        <f t="shared" si="89"/>
        <v>0</v>
      </c>
      <c r="AN22" s="193">
        <f t="shared" si="89"/>
        <v>0</v>
      </c>
      <c r="AO22" s="193">
        <f t="shared" si="89"/>
        <v>0</v>
      </c>
      <c r="AP22" s="193">
        <f t="shared" si="89"/>
        <v>0</v>
      </c>
      <c r="AQ22" s="193">
        <f t="shared" si="89"/>
        <v>0</v>
      </c>
      <c r="AR22" s="193">
        <f t="shared" si="89"/>
        <v>0</v>
      </c>
      <c r="AS22" s="193">
        <f t="shared" si="89"/>
        <v>0</v>
      </c>
      <c r="AT22" s="193">
        <f t="shared" si="89"/>
        <v>0</v>
      </c>
      <c r="AU22" s="193">
        <f t="shared" si="89"/>
        <v>0</v>
      </c>
      <c r="AV22" s="193">
        <f t="shared" si="89"/>
        <v>0</v>
      </c>
      <c r="AW22" s="193">
        <f t="shared" si="89"/>
        <v>0</v>
      </c>
      <c r="AX22" s="193">
        <f t="shared" si="89"/>
        <v>0</v>
      </c>
      <c r="AY22" s="193">
        <f t="shared" si="89"/>
        <v>0</v>
      </c>
      <c r="AZ22" s="193">
        <f t="shared" si="89"/>
        <v>0</v>
      </c>
      <c r="BA22" s="193">
        <f t="shared" si="89"/>
        <v>0</v>
      </c>
      <c r="BB22" s="193">
        <f t="shared" si="89"/>
        <v>0</v>
      </c>
      <c r="BC22" s="193">
        <f t="shared" si="89"/>
        <v>0</v>
      </c>
      <c r="BD22" s="193">
        <f t="shared" si="89"/>
        <v>0</v>
      </c>
      <c r="BE22" s="193">
        <f t="shared" si="89"/>
        <v>0</v>
      </c>
      <c r="BF22" s="193">
        <f t="shared" si="89"/>
        <v>0</v>
      </c>
      <c r="BG22" s="193">
        <f t="shared" si="89"/>
        <v>0</v>
      </c>
      <c r="BH22" s="193">
        <f t="shared" si="89"/>
        <v>0</v>
      </c>
      <c r="BI22" s="193">
        <f t="shared" si="89"/>
        <v>0</v>
      </c>
      <c r="BJ22" s="193">
        <f t="shared" si="89"/>
        <v>0</v>
      </c>
      <c r="BK22" s="193">
        <f t="shared" si="89"/>
        <v>0</v>
      </c>
      <c r="BL22" s="193">
        <f t="shared" si="89"/>
        <v>0</v>
      </c>
      <c r="BM22" s="193">
        <f t="shared" si="89"/>
        <v>0</v>
      </c>
      <c r="BN22" s="193">
        <f t="shared" si="89"/>
        <v>0</v>
      </c>
      <c r="BO22" s="193">
        <f t="shared" si="89"/>
        <v>0</v>
      </c>
      <c r="BP22" s="193">
        <f t="shared" si="89"/>
        <v>0</v>
      </c>
      <c r="BQ22" s="193">
        <f t="shared" si="89"/>
        <v>0</v>
      </c>
      <c r="BR22" s="193">
        <f t="shared" si="89"/>
        <v>0</v>
      </c>
      <c r="BS22" s="193">
        <f t="shared" ref="BS22:ED22" si="90">SUM(BS18:BS20)</f>
        <v>0</v>
      </c>
      <c r="BT22" s="193">
        <f t="shared" si="90"/>
        <v>0</v>
      </c>
      <c r="BU22" s="193">
        <f t="shared" si="90"/>
        <v>0</v>
      </c>
      <c r="BV22" s="193">
        <f t="shared" si="90"/>
        <v>0</v>
      </c>
      <c r="BW22" s="193">
        <f t="shared" si="90"/>
        <v>0</v>
      </c>
      <c r="BX22" s="193">
        <f t="shared" si="90"/>
        <v>0</v>
      </c>
      <c r="BY22" s="193">
        <f t="shared" si="90"/>
        <v>0</v>
      </c>
      <c r="BZ22" s="193">
        <f t="shared" si="90"/>
        <v>0</v>
      </c>
      <c r="CA22" s="193">
        <f t="shared" si="90"/>
        <v>0</v>
      </c>
      <c r="CB22" s="193">
        <f t="shared" si="90"/>
        <v>0</v>
      </c>
      <c r="CC22" s="193">
        <f t="shared" si="90"/>
        <v>0</v>
      </c>
      <c r="CD22" s="193">
        <f t="shared" si="90"/>
        <v>0</v>
      </c>
      <c r="CE22" s="193">
        <f t="shared" si="90"/>
        <v>0</v>
      </c>
      <c r="CF22" s="193">
        <f t="shared" si="90"/>
        <v>0</v>
      </c>
      <c r="CG22" s="193">
        <f t="shared" si="90"/>
        <v>0</v>
      </c>
      <c r="CH22" s="193">
        <f t="shared" si="90"/>
        <v>0</v>
      </c>
      <c r="CI22" s="193">
        <f t="shared" si="90"/>
        <v>0</v>
      </c>
      <c r="CJ22" s="193">
        <f t="shared" si="90"/>
        <v>0</v>
      </c>
      <c r="CK22" s="193">
        <f t="shared" si="90"/>
        <v>0</v>
      </c>
      <c r="CL22" s="193">
        <f>SUM(CL18:CL20)</f>
        <v>0</v>
      </c>
      <c r="CM22" s="193">
        <f>SUM(CM18:CM20)</f>
        <v>0</v>
      </c>
      <c r="CN22" s="193">
        <f t="shared" si="90"/>
        <v>0</v>
      </c>
      <c r="CO22" s="193">
        <f t="shared" si="90"/>
        <v>0</v>
      </c>
      <c r="CP22" s="193">
        <f t="shared" si="90"/>
        <v>0</v>
      </c>
      <c r="CQ22" s="193">
        <f t="shared" si="90"/>
        <v>0</v>
      </c>
      <c r="CR22" s="193">
        <f t="shared" si="90"/>
        <v>0</v>
      </c>
      <c r="CS22" s="193">
        <f t="shared" si="90"/>
        <v>0</v>
      </c>
      <c r="CT22" s="193">
        <f t="shared" si="90"/>
        <v>0</v>
      </c>
      <c r="CU22" s="193">
        <f t="shared" si="90"/>
        <v>0</v>
      </c>
      <c r="CV22" s="193">
        <f t="shared" si="90"/>
        <v>0</v>
      </c>
      <c r="CW22" s="193">
        <f t="shared" si="90"/>
        <v>0</v>
      </c>
      <c r="CX22" s="193">
        <f t="shared" si="90"/>
        <v>0</v>
      </c>
      <c r="CY22" s="193">
        <f t="shared" si="90"/>
        <v>0</v>
      </c>
      <c r="CZ22" s="193">
        <f t="shared" si="90"/>
        <v>0</v>
      </c>
      <c r="DA22" s="193">
        <f t="shared" si="90"/>
        <v>0</v>
      </c>
      <c r="DB22" s="193">
        <f t="shared" si="90"/>
        <v>0</v>
      </c>
      <c r="DC22" s="193">
        <f t="shared" si="90"/>
        <v>0</v>
      </c>
      <c r="DD22" s="193">
        <f t="shared" si="90"/>
        <v>0</v>
      </c>
      <c r="DE22" s="193">
        <f t="shared" si="90"/>
        <v>0</v>
      </c>
      <c r="DF22" s="193">
        <f t="shared" si="90"/>
        <v>0</v>
      </c>
      <c r="DG22" s="193">
        <f t="shared" si="90"/>
        <v>0</v>
      </c>
      <c r="DH22" s="193">
        <f t="shared" si="90"/>
        <v>0</v>
      </c>
      <c r="DI22" s="193">
        <f t="shared" si="90"/>
        <v>0</v>
      </c>
      <c r="DJ22" s="193">
        <f t="shared" si="90"/>
        <v>0</v>
      </c>
      <c r="DK22" s="193">
        <f t="shared" si="90"/>
        <v>0</v>
      </c>
      <c r="DL22" s="193">
        <f t="shared" si="90"/>
        <v>0</v>
      </c>
      <c r="DM22" s="193">
        <f t="shared" si="90"/>
        <v>0</v>
      </c>
      <c r="DN22" s="193">
        <f t="shared" si="90"/>
        <v>0</v>
      </c>
      <c r="DO22" s="193">
        <f t="shared" si="90"/>
        <v>0</v>
      </c>
      <c r="DP22" s="193">
        <f t="shared" si="90"/>
        <v>0</v>
      </c>
      <c r="DQ22" s="193">
        <f t="shared" si="90"/>
        <v>0</v>
      </c>
      <c r="DR22" s="193">
        <f t="shared" si="90"/>
        <v>0</v>
      </c>
      <c r="DS22" s="193">
        <f t="shared" si="90"/>
        <v>0</v>
      </c>
      <c r="DT22" s="193">
        <f t="shared" si="90"/>
        <v>0</v>
      </c>
      <c r="DU22" s="193">
        <f t="shared" si="90"/>
        <v>0</v>
      </c>
      <c r="DV22" s="193">
        <f t="shared" si="90"/>
        <v>0</v>
      </c>
      <c r="DW22" s="193">
        <f t="shared" si="90"/>
        <v>0</v>
      </c>
      <c r="DX22" s="193">
        <f t="shared" si="90"/>
        <v>0</v>
      </c>
      <c r="DY22" s="193">
        <f t="shared" si="90"/>
        <v>0</v>
      </c>
      <c r="DZ22" s="193">
        <f t="shared" si="90"/>
        <v>0</v>
      </c>
      <c r="EA22" s="193">
        <f t="shared" si="90"/>
        <v>0</v>
      </c>
      <c r="EB22" s="193">
        <f t="shared" si="90"/>
        <v>0</v>
      </c>
      <c r="EC22" s="193">
        <f t="shared" si="90"/>
        <v>0</v>
      </c>
      <c r="ED22" s="193">
        <f t="shared" si="90"/>
        <v>0</v>
      </c>
      <c r="EE22" s="193">
        <f t="shared" ref="EE22:GR22" si="91">SUM(EE18:EE20)</f>
        <v>0</v>
      </c>
      <c r="EF22" s="193">
        <f t="shared" si="91"/>
        <v>0</v>
      </c>
      <c r="EG22" s="193">
        <f t="shared" si="91"/>
        <v>0</v>
      </c>
      <c r="EH22" s="193">
        <f t="shared" si="91"/>
        <v>0</v>
      </c>
      <c r="EI22" s="193">
        <f t="shared" si="91"/>
        <v>0</v>
      </c>
      <c r="EJ22" s="193">
        <f t="shared" si="91"/>
        <v>0</v>
      </c>
      <c r="EK22" s="193">
        <f t="shared" si="91"/>
        <v>0</v>
      </c>
      <c r="EL22" s="193">
        <f t="shared" si="91"/>
        <v>0</v>
      </c>
      <c r="EM22" s="193">
        <f t="shared" si="91"/>
        <v>0</v>
      </c>
      <c r="EN22" s="193">
        <f t="shared" si="91"/>
        <v>0</v>
      </c>
      <c r="EO22" s="193">
        <f t="shared" si="91"/>
        <v>0</v>
      </c>
      <c r="EP22" s="193">
        <f t="shared" si="91"/>
        <v>0</v>
      </c>
      <c r="EQ22" s="193">
        <f t="shared" si="91"/>
        <v>0</v>
      </c>
      <c r="ER22" s="193">
        <f t="shared" si="91"/>
        <v>0</v>
      </c>
      <c r="ES22" s="193">
        <f t="shared" si="91"/>
        <v>0</v>
      </c>
      <c r="ET22" s="193">
        <f t="shared" si="91"/>
        <v>0</v>
      </c>
      <c r="EU22" s="193">
        <f t="shared" si="91"/>
        <v>0</v>
      </c>
      <c r="EV22" s="193">
        <f t="shared" si="91"/>
        <v>0</v>
      </c>
      <c r="EW22" s="193">
        <f t="shared" si="91"/>
        <v>0</v>
      </c>
      <c r="EX22" s="193">
        <f t="shared" si="91"/>
        <v>0</v>
      </c>
      <c r="EY22" s="193">
        <f t="shared" si="91"/>
        <v>0</v>
      </c>
      <c r="EZ22" s="193">
        <f t="shared" si="91"/>
        <v>0</v>
      </c>
      <c r="FA22" s="193">
        <f t="shared" si="91"/>
        <v>0</v>
      </c>
      <c r="FB22" s="193">
        <f t="shared" si="91"/>
        <v>0</v>
      </c>
      <c r="FC22" s="193">
        <f t="shared" si="91"/>
        <v>0</v>
      </c>
      <c r="FD22" s="193">
        <f t="shared" si="91"/>
        <v>0</v>
      </c>
      <c r="FE22" s="193">
        <f t="shared" si="91"/>
        <v>0</v>
      </c>
      <c r="FF22" s="193">
        <f t="shared" si="91"/>
        <v>0</v>
      </c>
      <c r="FG22" s="193">
        <f t="shared" si="91"/>
        <v>0</v>
      </c>
      <c r="FH22" s="193">
        <f t="shared" si="91"/>
        <v>0</v>
      </c>
      <c r="FI22" s="193">
        <f t="shared" si="91"/>
        <v>0</v>
      </c>
      <c r="FJ22" s="193">
        <f t="shared" si="91"/>
        <v>0</v>
      </c>
      <c r="FK22" s="193">
        <f t="shared" si="91"/>
        <v>0</v>
      </c>
      <c r="FL22" s="193">
        <f t="shared" si="91"/>
        <v>0</v>
      </c>
      <c r="FM22" s="193">
        <f t="shared" si="91"/>
        <v>0</v>
      </c>
      <c r="FN22" s="193">
        <f t="shared" si="91"/>
        <v>0</v>
      </c>
      <c r="FO22" s="193">
        <f t="shared" si="91"/>
        <v>0</v>
      </c>
      <c r="FP22" s="193">
        <f t="shared" si="91"/>
        <v>0</v>
      </c>
      <c r="FQ22" s="193">
        <f t="shared" si="91"/>
        <v>0</v>
      </c>
      <c r="FR22" s="193">
        <f t="shared" si="91"/>
        <v>0</v>
      </c>
      <c r="FS22" s="193">
        <f t="shared" si="91"/>
        <v>0</v>
      </c>
      <c r="FT22" s="193">
        <f t="shared" si="91"/>
        <v>0</v>
      </c>
      <c r="FU22" s="193">
        <f t="shared" si="91"/>
        <v>0</v>
      </c>
      <c r="FV22" s="193">
        <f t="shared" si="91"/>
        <v>0</v>
      </c>
      <c r="FW22" s="193">
        <f t="shared" si="91"/>
        <v>0</v>
      </c>
      <c r="FX22" s="193">
        <f t="shared" si="91"/>
        <v>0</v>
      </c>
      <c r="FY22" s="193">
        <f t="shared" si="91"/>
        <v>0</v>
      </c>
      <c r="FZ22" s="193">
        <f t="shared" si="91"/>
        <v>0</v>
      </c>
      <c r="GA22" s="193">
        <f t="shared" si="91"/>
        <v>0</v>
      </c>
      <c r="GB22" s="193">
        <f t="shared" si="91"/>
        <v>0</v>
      </c>
      <c r="GC22" s="193"/>
      <c r="GD22" s="193"/>
      <c r="GE22" s="193">
        <f t="shared" si="91"/>
        <v>0</v>
      </c>
      <c r="GF22" s="193">
        <f t="shared" si="91"/>
        <v>0</v>
      </c>
      <c r="GG22" s="193">
        <f t="shared" si="91"/>
        <v>0</v>
      </c>
      <c r="GH22" s="193">
        <f t="shared" si="91"/>
        <v>0</v>
      </c>
      <c r="GI22" s="193">
        <f t="shared" si="91"/>
        <v>0</v>
      </c>
      <c r="GJ22" s="193">
        <f t="shared" si="91"/>
        <v>0</v>
      </c>
      <c r="GK22" s="193">
        <f t="shared" si="91"/>
        <v>0</v>
      </c>
      <c r="GL22" s="193">
        <f t="shared" si="91"/>
        <v>0</v>
      </c>
      <c r="GM22" s="193">
        <f t="shared" si="91"/>
        <v>0</v>
      </c>
      <c r="GN22" s="193">
        <f t="shared" si="91"/>
        <v>0</v>
      </c>
      <c r="GO22" s="193">
        <f t="shared" si="91"/>
        <v>0</v>
      </c>
      <c r="GP22" s="193">
        <f t="shared" si="91"/>
        <v>0</v>
      </c>
      <c r="GQ22" s="193">
        <f t="shared" si="91"/>
        <v>0</v>
      </c>
      <c r="GR22" s="193">
        <f t="shared" si="91"/>
        <v>0</v>
      </c>
      <c r="GS22" s="193">
        <f t="shared" ref="GS22:JD22" si="92">SUM(GS18:GS20)</f>
        <v>0</v>
      </c>
      <c r="GT22" s="193">
        <f t="shared" si="92"/>
        <v>0</v>
      </c>
      <c r="GU22" s="193">
        <f t="shared" si="92"/>
        <v>0</v>
      </c>
      <c r="GV22" s="193">
        <f t="shared" si="92"/>
        <v>0</v>
      </c>
      <c r="GW22" s="193">
        <f t="shared" si="92"/>
        <v>0</v>
      </c>
      <c r="GX22" s="193">
        <f t="shared" si="92"/>
        <v>0</v>
      </c>
      <c r="GY22" s="193">
        <f t="shared" si="92"/>
        <v>0</v>
      </c>
      <c r="GZ22" s="193">
        <f t="shared" si="92"/>
        <v>0</v>
      </c>
      <c r="HA22" s="193">
        <f t="shared" si="92"/>
        <v>0</v>
      </c>
      <c r="HB22" s="193">
        <f t="shared" si="92"/>
        <v>0</v>
      </c>
      <c r="HC22" s="193">
        <f t="shared" si="92"/>
        <v>0</v>
      </c>
      <c r="HD22" s="193">
        <f t="shared" si="92"/>
        <v>0</v>
      </c>
      <c r="HE22" s="193">
        <f t="shared" si="92"/>
        <v>0</v>
      </c>
      <c r="HF22" s="193">
        <f t="shared" si="92"/>
        <v>0</v>
      </c>
      <c r="HG22" s="193">
        <f t="shared" si="92"/>
        <v>0</v>
      </c>
      <c r="HH22" s="193">
        <f t="shared" si="92"/>
        <v>0</v>
      </c>
      <c r="HI22" s="193">
        <f t="shared" si="92"/>
        <v>0</v>
      </c>
      <c r="HJ22" s="193">
        <f t="shared" si="92"/>
        <v>0</v>
      </c>
      <c r="HK22" s="193">
        <f t="shared" si="92"/>
        <v>0</v>
      </c>
      <c r="HL22" s="193">
        <f t="shared" si="92"/>
        <v>0</v>
      </c>
      <c r="HM22" s="193">
        <f t="shared" si="92"/>
        <v>0</v>
      </c>
      <c r="HN22" s="193">
        <f t="shared" si="92"/>
        <v>0</v>
      </c>
      <c r="HO22" s="193">
        <f t="shared" si="92"/>
        <v>0</v>
      </c>
      <c r="HP22" s="193">
        <f t="shared" si="92"/>
        <v>0</v>
      </c>
      <c r="HQ22" s="193">
        <f t="shared" si="92"/>
        <v>0</v>
      </c>
      <c r="HR22" s="193">
        <f t="shared" si="92"/>
        <v>0</v>
      </c>
      <c r="HS22" s="193">
        <f t="shared" si="92"/>
        <v>0</v>
      </c>
      <c r="HT22" s="193">
        <f t="shared" si="92"/>
        <v>0</v>
      </c>
      <c r="HU22" s="193">
        <f t="shared" si="92"/>
        <v>0</v>
      </c>
      <c r="HV22" s="193">
        <f t="shared" si="92"/>
        <v>0</v>
      </c>
      <c r="HW22" s="193">
        <f t="shared" si="92"/>
        <v>0</v>
      </c>
      <c r="HX22" s="193">
        <f t="shared" si="92"/>
        <v>0</v>
      </c>
      <c r="HY22" s="193">
        <f t="shared" si="92"/>
        <v>0</v>
      </c>
      <c r="HZ22" s="193">
        <f t="shared" si="92"/>
        <v>0</v>
      </c>
      <c r="IA22" s="193">
        <f t="shared" si="92"/>
        <v>0</v>
      </c>
      <c r="IB22" s="193">
        <f t="shared" si="92"/>
        <v>0</v>
      </c>
      <c r="IC22" s="193">
        <f t="shared" si="92"/>
        <v>0</v>
      </c>
      <c r="ID22" s="193">
        <f t="shared" si="92"/>
        <v>0</v>
      </c>
      <c r="IE22" s="193">
        <f t="shared" si="92"/>
        <v>0</v>
      </c>
      <c r="IF22" s="193">
        <f t="shared" si="92"/>
        <v>0</v>
      </c>
      <c r="IG22" s="193">
        <f t="shared" si="92"/>
        <v>0</v>
      </c>
      <c r="IH22" s="193">
        <f t="shared" si="92"/>
        <v>0</v>
      </c>
      <c r="II22" s="193">
        <f t="shared" si="92"/>
        <v>0</v>
      </c>
      <c r="IJ22" s="193">
        <f t="shared" si="92"/>
        <v>0</v>
      </c>
      <c r="IK22" s="193">
        <f t="shared" si="92"/>
        <v>0</v>
      </c>
      <c r="IL22" s="193">
        <f t="shared" si="92"/>
        <v>0</v>
      </c>
      <c r="IM22" s="193">
        <f t="shared" si="92"/>
        <v>0</v>
      </c>
      <c r="IN22" s="193">
        <f t="shared" si="92"/>
        <v>0</v>
      </c>
      <c r="IO22" s="193">
        <f t="shared" si="92"/>
        <v>0</v>
      </c>
      <c r="IP22" s="193">
        <f t="shared" si="92"/>
        <v>0</v>
      </c>
      <c r="IQ22" s="193">
        <f t="shared" si="92"/>
        <v>0</v>
      </c>
      <c r="IR22" s="193">
        <f t="shared" si="92"/>
        <v>0</v>
      </c>
      <c r="IS22" s="193">
        <f t="shared" si="92"/>
        <v>0</v>
      </c>
      <c r="IT22" s="193">
        <f t="shared" si="92"/>
        <v>0</v>
      </c>
      <c r="IU22" s="193">
        <f t="shared" si="92"/>
        <v>0</v>
      </c>
      <c r="IV22" s="193">
        <f t="shared" si="92"/>
        <v>0</v>
      </c>
      <c r="IW22" s="193">
        <f t="shared" si="92"/>
        <v>0</v>
      </c>
      <c r="IX22" s="193">
        <f t="shared" si="92"/>
        <v>0</v>
      </c>
      <c r="IY22" s="193">
        <f t="shared" si="92"/>
        <v>0</v>
      </c>
      <c r="IZ22" s="193">
        <f t="shared" si="92"/>
        <v>0</v>
      </c>
      <c r="JA22" s="193">
        <f t="shared" si="92"/>
        <v>0</v>
      </c>
      <c r="JB22" s="193">
        <f t="shared" si="92"/>
        <v>0</v>
      </c>
      <c r="JC22" s="193">
        <f t="shared" si="92"/>
        <v>0</v>
      </c>
      <c r="JD22" s="193">
        <f t="shared" si="92"/>
        <v>0</v>
      </c>
      <c r="JE22" s="193">
        <f t="shared" ref="JE22:LN22" si="93">SUM(JE18:JE20)</f>
        <v>0</v>
      </c>
      <c r="JF22" s="193">
        <f t="shared" si="93"/>
        <v>0</v>
      </c>
      <c r="JG22" s="193">
        <f t="shared" si="93"/>
        <v>0</v>
      </c>
      <c r="JH22" s="193">
        <f t="shared" si="93"/>
        <v>0</v>
      </c>
      <c r="JI22" s="193">
        <f t="shared" si="93"/>
        <v>0</v>
      </c>
      <c r="JJ22" s="193">
        <f t="shared" si="93"/>
        <v>0</v>
      </c>
      <c r="JK22" s="193">
        <f t="shared" si="93"/>
        <v>0</v>
      </c>
      <c r="JL22" s="193">
        <f t="shared" si="93"/>
        <v>0</v>
      </c>
      <c r="JM22" s="193">
        <f t="shared" si="93"/>
        <v>0</v>
      </c>
      <c r="JN22" s="193">
        <f t="shared" si="93"/>
        <v>0</v>
      </c>
      <c r="JO22" s="193">
        <f t="shared" si="93"/>
        <v>0</v>
      </c>
      <c r="JP22" s="193">
        <f t="shared" si="93"/>
        <v>0</v>
      </c>
      <c r="JQ22" s="193">
        <f t="shared" si="93"/>
        <v>0</v>
      </c>
      <c r="JR22" s="193">
        <f t="shared" si="93"/>
        <v>0</v>
      </c>
      <c r="JS22" s="193">
        <f t="shared" si="93"/>
        <v>0</v>
      </c>
      <c r="JT22" s="193">
        <f t="shared" si="93"/>
        <v>0</v>
      </c>
      <c r="JU22" s="193">
        <f t="shared" si="93"/>
        <v>0</v>
      </c>
      <c r="JV22" s="193">
        <f t="shared" si="93"/>
        <v>0</v>
      </c>
      <c r="JW22" s="193">
        <f t="shared" si="93"/>
        <v>0</v>
      </c>
      <c r="JX22" s="193">
        <f t="shared" si="93"/>
        <v>0</v>
      </c>
      <c r="JY22" s="193">
        <f t="shared" si="93"/>
        <v>0</v>
      </c>
      <c r="JZ22" s="193">
        <f t="shared" si="93"/>
        <v>0</v>
      </c>
      <c r="KA22" s="193">
        <f t="shared" si="93"/>
        <v>0</v>
      </c>
      <c r="KB22" s="193">
        <f t="shared" si="93"/>
        <v>0</v>
      </c>
      <c r="KC22" s="193">
        <f t="shared" si="93"/>
        <v>0</v>
      </c>
      <c r="KD22" s="193">
        <f t="shared" si="93"/>
        <v>0</v>
      </c>
      <c r="KE22" s="193">
        <f t="shared" si="93"/>
        <v>0</v>
      </c>
      <c r="KF22" s="193">
        <f t="shared" si="93"/>
        <v>0</v>
      </c>
      <c r="KG22" s="193">
        <f t="shared" si="93"/>
        <v>0</v>
      </c>
      <c r="KH22" s="193">
        <f t="shared" si="93"/>
        <v>0</v>
      </c>
      <c r="KI22" s="193">
        <f t="shared" si="93"/>
        <v>0</v>
      </c>
      <c r="KJ22" s="193">
        <f t="shared" si="93"/>
        <v>0</v>
      </c>
      <c r="KK22" s="193">
        <f t="shared" si="93"/>
        <v>0</v>
      </c>
      <c r="KL22" s="193">
        <f t="shared" si="93"/>
        <v>0</v>
      </c>
      <c r="KM22" s="193">
        <f t="shared" si="93"/>
        <v>0</v>
      </c>
      <c r="KN22" s="193">
        <f t="shared" si="93"/>
        <v>0</v>
      </c>
      <c r="KO22" s="193">
        <f t="shared" si="93"/>
        <v>0</v>
      </c>
      <c r="KP22" s="193">
        <f t="shared" si="93"/>
        <v>0</v>
      </c>
      <c r="KQ22" s="193">
        <f t="shared" si="93"/>
        <v>0</v>
      </c>
      <c r="KR22" s="193">
        <f t="shared" si="93"/>
        <v>0</v>
      </c>
      <c r="KS22" s="193">
        <f t="shared" si="93"/>
        <v>0</v>
      </c>
      <c r="KT22" s="193">
        <f t="shared" si="93"/>
        <v>0</v>
      </c>
      <c r="KU22" s="193">
        <f t="shared" si="93"/>
        <v>0</v>
      </c>
      <c r="KV22" s="193">
        <f t="shared" si="93"/>
        <v>0</v>
      </c>
      <c r="KW22" s="193">
        <f t="shared" si="93"/>
        <v>0</v>
      </c>
      <c r="KX22" s="193">
        <f t="shared" si="93"/>
        <v>0</v>
      </c>
      <c r="KY22" s="193">
        <f t="shared" si="93"/>
        <v>0</v>
      </c>
      <c r="KZ22" s="193">
        <f t="shared" si="93"/>
        <v>0</v>
      </c>
      <c r="LA22" s="193">
        <f t="shared" si="93"/>
        <v>0</v>
      </c>
      <c r="LB22" s="193">
        <f t="shared" si="93"/>
        <v>0</v>
      </c>
      <c r="LC22" s="193">
        <f t="shared" si="93"/>
        <v>0</v>
      </c>
      <c r="LD22" s="193">
        <f t="shared" si="93"/>
        <v>0</v>
      </c>
      <c r="LE22" s="193">
        <f t="shared" si="93"/>
        <v>0</v>
      </c>
      <c r="LF22" s="193">
        <f t="shared" si="93"/>
        <v>0</v>
      </c>
      <c r="LG22" s="193">
        <f t="shared" si="93"/>
        <v>0</v>
      </c>
      <c r="LH22" s="193">
        <f t="shared" si="93"/>
        <v>0</v>
      </c>
      <c r="LI22" s="193">
        <f t="shared" si="93"/>
        <v>0</v>
      </c>
      <c r="LJ22" s="193">
        <f t="shared" si="93"/>
        <v>0</v>
      </c>
      <c r="LK22" s="193">
        <f t="shared" si="93"/>
        <v>0</v>
      </c>
      <c r="LL22" s="193">
        <f t="shared" si="93"/>
        <v>0</v>
      </c>
      <c r="LM22" s="193">
        <f t="shared" si="93"/>
        <v>0</v>
      </c>
      <c r="LN22" s="193">
        <f t="shared" si="93"/>
        <v>0</v>
      </c>
      <c r="LO22" s="193">
        <f t="shared" ref="LO22:LP22" si="94">SUM(LO18:LO20)</f>
        <v>0</v>
      </c>
      <c r="LP22" s="193">
        <f t="shared" si="94"/>
        <v>0</v>
      </c>
      <c r="LQ22" s="193">
        <f t="shared" ref="LQ22:OA22" si="95">SUM(LQ18:LQ20)</f>
        <v>0</v>
      </c>
      <c r="LR22" s="193">
        <f t="shared" si="95"/>
        <v>0</v>
      </c>
      <c r="LS22" s="193">
        <f t="shared" si="95"/>
        <v>0</v>
      </c>
      <c r="LT22" s="193">
        <f t="shared" si="95"/>
        <v>0</v>
      </c>
      <c r="LU22" s="193">
        <f t="shared" si="95"/>
        <v>0</v>
      </c>
      <c r="LV22" s="193">
        <f t="shared" si="95"/>
        <v>0</v>
      </c>
      <c r="LW22" s="193">
        <f t="shared" si="95"/>
        <v>0</v>
      </c>
      <c r="LX22" s="193">
        <f t="shared" si="95"/>
        <v>0</v>
      </c>
      <c r="LY22" s="193">
        <f t="shared" si="95"/>
        <v>0</v>
      </c>
      <c r="LZ22" s="193">
        <f t="shared" si="95"/>
        <v>0</v>
      </c>
      <c r="MA22" s="193">
        <f t="shared" si="95"/>
        <v>0</v>
      </c>
      <c r="MB22" s="193">
        <f t="shared" si="95"/>
        <v>0</v>
      </c>
      <c r="MC22" s="193">
        <f t="shared" si="95"/>
        <v>0</v>
      </c>
      <c r="MD22" s="193">
        <f t="shared" si="95"/>
        <v>0</v>
      </c>
      <c r="ME22" s="193">
        <f t="shared" si="95"/>
        <v>0</v>
      </c>
      <c r="MF22" s="193">
        <f t="shared" si="95"/>
        <v>0</v>
      </c>
      <c r="MG22" s="193">
        <f t="shared" si="95"/>
        <v>0</v>
      </c>
      <c r="MH22" s="193">
        <f t="shared" si="95"/>
        <v>0</v>
      </c>
      <c r="MI22" s="193">
        <f t="shared" si="95"/>
        <v>0</v>
      </c>
      <c r="MJ22" s="193">
        <f t="shared" si="95"/>
        <v>0</v>
      </c>
      <c r="MK22" s="193">
        <f t="shared" si="95"/>
        <v>0</v>
      </c>
      <c r="ML22" s="193">
        <f t="shared" si="95"/>
        <v>0</v>
      </c>
      <c r="MM22" s="193">
        <f t="shared" si="95"/>
        <v>0</v>
      </c>
      <c r="MN22" s="193">
        <f t="shared" si="95"/>
        <v>0</v>
      </c>
      <c r="MO22" s="193">
        <f t="shared" si="95"/>
        <v>0</v>
      </c>
      <c r="MP22" s="193">
        <f t="shared" si="95"/>
        <v>0</v>
      </c>
      <c r="MQ22" s="193">
        <f t="shared" si="95"/>
        <v>0</v>
      </c>
      <c r="MR22" s="193">
        <f t="shared" si="95"/>
        <v>0</v>
      </c>
      <c r="MS22" s="193">
        <f t="shared" si="95"/>
        <v>0</v>
      </c>
      <c r="MT22" s="193">
        <f t="shared" si="95"/>
        <v>0</v>
      </c>
      <c r="MU22" s="193">
        <f t="shared" si="95"/>
        <v>0</v>
      </c>
      <c r="MV22" s="193">
        <f t="shared" si="95"/>
        <v>0</v>
      </c>
      <c r="MW22" s="193">
        <f t="shared" si="95"/>
        <v>0</v>
      </c>
      <c r="MX22" s="193">
        <f t="shared" si="95"/>
        <v>0</v>
      </c>
      <c r="MY22" s="193">
        <f t="shared" si="95"/>
        <v>0</v>
      </c>
      <c r="MZ22" s="193">
        <f t="shared" si="95"/>
        <v>0</v>
      </c>
      <c r="NA22" s="193">
        <f t="shared" si="95"/>
        <v>0</v>
      </c>
      <c r="NB22" s="193">
        <f t="shared" si="95"/>
        <v>0</v>
      </c>
      <c r="NC22" s="193">
        <f t="shared" si="95"/>
        <v>0</v>
      </c>
      <c r="ND22" s="193">
        <f t="shared" si="95"/>
        <v>0</v>
      </c>
      <c r="NE22" s="193">
        <f t="shared" si="95"/>
        <v>0</v>
      </c>
      <c r="NF22" s="193">
        <f t="shared" si="95"/>
        <v>0</v>
      </c>
      <c r="NG22" s="193">
        <f t="shared" si="95"/>
        <v>0</v>
      </c>
      <c r="NH22" s="193">
        <f t="shared" si="95"/>
        <v>0</v>
      </c>
      <c r="NI22" s="193">
        <f t="shared" si="95"/>
        <v>0</v>
      </c>
      <c r="NJ22" s="193">
        <f t="shared" si="95"/>
        <v>0</v>
      </c>
      <c r="NK22" s="193">
        <f t="shared" si="95"/>
        <v>0</v>
      </c>
      <c r="NL22" s="193">
        <f t="shared" si="95"/>
        <v>0</v>
      </c>
      <c r="NM22" s="193">
        <f t="shared" si="95"/>
        <v>0</v>
      </c>
      <c r="NN22" s="193">
        <f t="shared" si="95"/>
        <v>0</v>
      </c>
      <c r="NO22" s="193">
        <f t="shared" si="95"/>
        <v>0</v>
      </c>
      <c r="NP22" s="193">
        <f t="shared" si="95"/>
        <v>0</v>
      </c>
      <c r="NQ22" s="193">
        <f t="shared" si="95"/>
        <v>0</v>
      </c>
      <c r="NR22" s="193">
        <f t="shared" si="95"/>
        <v>0</v>
      </c>
      <c r="NS22" s="193">
        <f t="shared" si="95"/>
        <v>0</v>
      </c>
      <c r="NT22" s="193">
        <f t="shared" si="95"/>
        <v>0</v>
      </c>
      <c r="NU22" s="193">
        <f t="shared" si="95"/>
        <v>0</v>
      </c>
      <c r="NV22" s="193">
        <f t="shared" si="95"/>
        <v>0</v>
      </c>
      <c r="NW22" s="193">
        <f t="shared" si="95"/>
        <v>0</v>
      </c>
      <c r="NX22" s="193">
        <f t="shared" si="95"/>
        <v>0</v>
      </c>
      <c r="NY22" s="193">
        <f t="shared" si="95"/>
        <v>0</v>
      </c>
      <c r="NZ22" s="193">
        <f t="shared" si="95"/>
        <v>0</v>
      </c>
      <c r="OA22" s="193">
        <f t="shared" si="95"/>
        <v>0</v>
      </c>
      <c r="OB22" s="193">
        <f t="shared" ref="OB22:QS22" si="96">SUM(OB18:OB20)</f>
        <v>0</v>
      </c>
      <c r="OC22" s="193">
        <f t="shared" si="96"/>
        <v>0</v>
      </c>
      <c r="OD22" s="193">
        <f>SUM(OD18:OD20)</f>
        <v>0</v>
      </c>
      <c r="OE22" s="193">
        <f t="shared" si="96"/>
        <v>0</v>
      </c>
      <c r="OF22" s="193">
        <f t="shared" si="96"/>
        <v>0</v>
      </c>
      <c r="OG22" s="193">
        <f t="shared" si="96"/>
        <v>0</v>
      </c>
      <c r="OH22" s="193">
        <f t="shared" si="96"/>
        <v>0</v>
      </c>
      <c r="OI22" s="193">
        <f t="shared" ref="OI22:OT22" si="97">SUM(OI18:OI20)</f>
        <v>0</v>
      </c>
      <c r="OJ22" s="193">
        <f t="shared" si="97"/>
        <v>0</v>
      </c>
      <c r="OK22" s="193">
        <f t="shared" si="97"/>
        <v>0</v>
      </c>
      <c r="OL22" s="193">
        <f t="shared" si="97"/>
        <v>0</v>
      </c>
      <c r="OM22" s="193">
        <f t="shared" si="97"/>
        <v>0</v>
      </c>
      <c r="ON22" s="193">
        <f t="shared" si="97"/>
        <v>0</v>
      </c>
      <c r="OO22" s="193">
        <f t="shared" si="97"/>
        <v>0</v>
      </c>
      <c r="OP22" s="193">
        <f t="shared" si="97"/>
        <v>0</v>
      </c>
      <c r="OQ22" s="193">
        <f t="shared" si="97"/>
        <v>0</v>
      </c>
      <c r="OR22" s="193">
        <f t="shared" si="97"/>
        <v>0</v>
      </c>
      <c r="OS22" s="193">
        <f t="shared" si="97"/>
        <v>0</v>
      </c>
      <c r="OT22" s="193">
        <f t="shared" si="97"/>
        <v>0</v>
      </c>
      <c r="OU22" s="193">
        <f t="shared" si="96"/>
        <v>0</v>
      </c>
      <c r="OV22" s="193">
        <f t="shared" si="96"/>
        <v>0</v>
      </c>
      <c r="OW22" s="193"/>
      <c r="OX22" s="193"/>
      <c r="OY22" s="193"/>
      <c r="OZ22" s="193">
        <f t="shared" si="96"/>
        <v>0</v>
      </c>
      <c r="PA22" s="193">
        <f t="shared" si="96"/>
        <v>0</v>
      </c>
      <c r="PB22" s="193">
        <f t="shared" si="96"/>
        <v>0</v>
      </c>
      <c r="PC22" s="193">
        <f t="shared" si="96"/>
        <v>0</v>
      </c>
      <c r="PD22" s="193">
        <f t="shared" si="96"/>
        <v>0</v>
      </c>
      <c r="PE22" s="193">
        <f t="shared" si="96"/>
        <v>0</v>
      </c>
      <c r="PF22" s="193">
        <f t="shared" si="96"/>
        <v>0</v>
      </c>
      <c r="PG22" s="193">
        <f t="shared" si="96"/>
        <v>0</v>
      </c>
      <c r="PH22" s="193">
        <f t="shared" si="96"/>
        <v>0</v>
      </c>
      <c r="PI22" s="193">
        <f t="shared" si="96"/>
        <v>0</v>
      </c>
      <c r="PJ22" s="193">
        <f t="shared" si="96"/>
        <v>0</v>
      </c>
      <c r="PK22" s="193">
        <f t="shared" si="96"/>
        <v>0</v>
      </c>
      <c r="PL22" s="193">
        <f t="shared" si="96"/>
        <v>0</v>
      </c>
      <c r="PM22" s="193">
        <f t="shared" si="96"/>
        <v>0</v>
      </c>
      <c r="PN22" s="193">
        <f t="shared" si="96"/>
        <v>0</v>
      </c>
      <c r="PO22" s="193">
        <f t="shared" si="96"/>
        <v>0</v>
      </c>
      <c r="PP22" s="193">
        <f t="shared" si="96"/>
        <v>0</v>
      </c>
      <c r="PQ22" s="193">
        <f t="shared" si="96"/>
        <v>0</v>
      </c>
      <c r="PR22" s="193">
        <f t="shared" si="96"/>
        <v>0</v>
      </c>
      <c r="PS22" s="193">
        <f t="shared" si="96"/>
        <v>0</v>
      </c>
      <c r="PT22" s="193">
        <f t="shared" si="96"/>
        <v>0</v>
      </c>
      <c r="PU22" s="193">
        <f t="shared" si="96"/>
        <v>0</v>
      </c>
      <c r="PV22" s="193">
        <f t="shared" ref="PV22:QH22" si="98">SUM(PV18:PV20)</f>
        <v>0</v>
      </c>
      <c r="PW22" s="193">
        <f t="shared" si="98"/>
        <v>0</v>
      </c>
      <c r="PX22" s="193">
        <f t="shared" si="98"/>
        <v>0</v>
      </c>
      <c r="PY22" s="193">
        <f t="shared" si="98"/>
        <v>0</v>
      </c>
      <c r="PZ22" s="193">
        <f t="shared" si="98"/>
        <v>0</v>
      </c>
      <c r="QA22" s="193">
        <f t="shared" si="98"/>
        <v>0</v>
      </c>
      <c r="QB22" s="193">
        <f t="shared" si="98"/>
        <v>0</v>
      </c>
      <c r="QC22" s="193">
        <f t="shared" si="98"/>
        <v>0</v>
      </c>
      <c r="QD22" s="193">
        <f t="shared" si="98"/>
        <v>0</v>
      </c>
      <c r="QE22" s="193">
        <f t="shared" si="98"/>
        <v>0</v>
      </c>
      <c r="QF22" s="193">
        <f t="shared" si="98"/>
        <v>0</v>
      </c>
      <c r="QG22" s="193">
        <f t="shared" si="98"/>
        <v>0</v>
      </c>
      <c r="QH22" s="193">
        <f t="shared" si="98"/>
        <v>0</v>
      </c>
      <c r="QI22" s="193">
        <f t="shared" si="96"/>
        <v>0</v>
      </c>
      <c r="QJ22" s="193">
        <f t="shared" si="96"/>
        <v>0</v>
      </c>
      <c r="QK22" s="193">
        <f t="shared" si="96"/>
        <v>0</v>
      </c>
      <c r="QL22" s="193">
        <f t="shared" si="96"/>
        <v>0</v>
      </c>
      <c r="QM22" s="193">
        <f t="shared" si="96"/>
        <v>0</v>
      </c>
      <c r="QN22" s="193">
        <f t="shared" si="96"/>
        <v>0</v>
      </c>
      <c r="QO22" s="193">
        <f t="shared" si="96"/>
        <v>0</v>
      </c>
      <c r="QP22" s="193">
        <f t="shared" si="96"/>
        <v>0</v>
      </c>
      <c r="QQ22" s="193">
        <f t="shared" si="96"/>
        <v>0</v>
      </c>
      <c r="QR22" s="193">
        <f t="shared" si="96"/>
        <v>0</v>
      </c>
      <c r="QS22" s="193">
        <f t="shared" si="96"/>
        <v>0</v>
      </c>
      <c r="QT22" s="193">
        <f t="shared" ref="QT22:SP22" si="99">SUM(QT18:QT20)</f>
        <v>0</v>
      </c>
      <c r="QU22" s="193">
        <f t="shared" si="99"/>
        <v>0</v>
      </c>
      <c r="QV22" s="193">
        <f t="shared" si="99"/>
        <v>0</v>
      </c>
      <c r="QW22" s="193">
        <f t="shared" si="99"/>
        <v>0</v>
      </c>
      <c r="QX22" s="193">
        <f t="shared" si="99"/>
        <v>0</v>
      </c>
      <c r="QY22" s="193">
        <f t="shared" si="99"/>
        <v>0</v>
      </c>
      <c r="QZ22" s="193">
        <f t="shared" si="99"/>
        <v>0</v>
      </c>
      <c r="RA22" s="193">
        <f t="shared" si="99"/>
        <v>0</v>
      </c>
      <c r="RB22" s="193">
        <f>SUM(RB18:RB20)</f>
        <v>0</v>
      </c>
      <c r="RC22" s="193">
        <f>SUM(RC18:RC20)</f>
        <v>0</v>
      </c>
      <c r="RD22" s="193">
        <f t="shared" si="99"/>
        <v>0</v>
      </c>
      <c r="RE22" s="193">
        <f t="shared" si="99"/>
        <v>0</v>
      </c>
      <c r="RF22" s="193">
        <f t="shared" si="99"/>
        <v>0</v>
      </c>
      <c r="RG22" s="193">
        <f t="shared" si="99"/>
        <v>0</v>
      </c>
      <c r="RH22" s="193">
        <f t="shared" si="99"/>
        <v>0</v>
      </c>
      <c r="RI22" s="193">
        <f t="shared" si="99"/>
        <v>0</v>
      </c>
      <c r="RJ22" s="193">
        <f t="shared" si="99"/>
        <v>0</v>
      </c>
      <c r="RK22" s="193">
        <f t="shared" si="99"/>
        <v>0</v>
      </c>
      <c r="RL22" s="193">
        <f t="shared" si="99"/>
        <v>0</v>
      </c>
      <c r="RM22" s="193">
        <f t="shared" si="99"/>
        <v>0</v>
      </c>
      <c r="RN22" s="193">
        <f t="shared" si="99"/>
        <v>0</v>
      </c>
      <c r="RO22" s="193"/>
      <c r="RP22" s="193"/>
      <c r="RQ22" s="193"/>
      <c r="RR22" s="193"/>
      <c r="RS22" s="193"/>
      <c r="RT22" s="193"/>
      <c r="RU22" s="193">
        <f t="shared" si="99"/>
        <v>0</v>
      </c>
      <c r="RV22" s="193">
        <f t="shared" si="99"/>
        <v>0</v>
      </c>
      <c r="RW22" s="193">
        <f t="shared" si="99"/>
        <v>0</v>
      </c>
      <c r="RX22" s="193">
        <f t="shared" si="99"/>
        <v>0</v>
      </c>
      <c r="RY22" s="193">
        <f t="shared" si="99"/>
        <v>0</v>
      </c>
      <c r="RZ22" s="193">
        <f t="shared" si="99"/>
        <v>0</v>
      </c>
      <c r="SA22" s="193">
        <f t="shared" si="99"/>
        <v>0</v>
      </c>
      <c r="SB22" s="193">
        <f t="shared" si="99"/>
        <v>0</v>
      </c>
      <c r="SC22" s="193">
        <f t="shared" si="99"/>
        <v>0</v>
      </c>
      <c r="SD22" s="193">
        <f t="shared" si="99"/>
        <v>0</v>
      </c>
      <c r="SE22" s="193">
        <f t="shared" si="99"/>
        <v>0</v>
      </c>
      <c r="SF22" s="193">
        <f t="shared" si="99"/>
        <v>0</v>
      </c>
      <c r="SG22" s="193">
        <f t="shared" si="99"/>
        <v>0</v>
      </c>
      <c r="SH22" s="193">
        <f t="shared" si="99"/>
        <v>0</v>
      </c>
      <c r="SI22" s="193">
        <f t="shared" si="99"/>
        <v>0</v>
      </c>
      <c r="SJ22" s="193">
        <f t="shared" si="99"/>
        <v>0</v>
      </c>
      <c r="SK22" s="193">
        <f t="shared" si="99"/>
        <v>0</v>
      </c>
      <c r="SL22" s="193">
        <f t="shared" si="99"/>
        <v>0</v>
      </c>
      <c r="SM22" s="193">
        <f t="shared" si="99"/>
        <v>0</v>
      </c>
      <c r="SN22" s="193">
        <f t="shared" si="99"/>
        <v>0</v>
      </c>
      <c r="SO22" s="193">
        <f t="shared" si="99"/>
        <v>0</v>
      </c>
      <c r="SP22" s="193">
        <f t="shared" si="99"/>
        <v>0</v>
      </c>
      <c r="SQ22" s="193"/>
      <c r="SR22" s="193"/>
      <c r="SS22" s="195"/>
    </row>
    <row r="23" spans="1:513" s="194" customFormat="1" ht="18" customHeight="1">
      <c r="A23" s="215" t="s">
        <v>197</v>
      </c>
      <c r="B23" s="216"/>
      <c r="C23" s="216"/>
      <c r="D23" s="216"/>
      <c r="E23" s="217"/>
      <c r="F23" s="193">
        <f>F22</f>
        <v>0</v>
      </c>
      <c r="G23" s="193">
        <f t="shared" ref="G23:BR23" si="100">G22</f>
        <v>0</v>
      </c>
      <c r="H23" s="193">
        <f t="shared" si="100"/>
        <v>0</v>
      </c>
      <c r="I23" s="193">
        <f t="shared" si="100"/>
        <v>0</v>
      </c>
      <c r="J23" s="193">
        <f t="shared" si="100"/>
        <v>0</v>
      </c>
      <c r="K23" s="193">
        <f t="shared" si="100"/>
        <v>0</v>
      </c>
      <c r="L23" s="193">
        <f t="shared" si="100"/>
        <v>0</v>
      </c>
      <c r="M23" s="193">
        <f t="shared" si="100"/>
        <v>0</v>
      </c>
      <c r="N23" s="193">
        <f t="shared" si="100"/>
        <v>0</v>
      </c>
      <c r="O23" s="193">
        <f t="shared" si="100"/>
        <v>0</v>
      </c>
      <c r="P23" s="193">
        <f t="shared" si="100"/>
        <v>0</v>
      </c>
      <c r="Q23" s="193">
        <f t="shared" si="100"/>
        <v>0</v>
      </c>
      <c r="R23" s="193">
        <f t="shared" si="100"/>
        <v>0</v>
      </c>
      <c r="S23" s="193">
        <f t="shared" si="100"/>
        <v>0</v>
      </c>
      <c r="T23" s="193">
        <f t="shared" si="100"/>
        <v>0</v>
      </c>
      <c r="U23" s="193">
        <f t="shared" si="100"/>
        <v>0</v>
      </c>
      <c r="V23" s="193">
        <f t="shared" si="100"/>
        <v>0</v>
      </c>
      <c r="W23" s="193">
        <f t="shared" si="100"/>
        <v>0</v>
      </c>
      <c r="X23" s="193">
        <f t="shared" si="100"/>
        <v>0</v>
      </c>
      <c r="Y23" s="193">
        <f t="shared" si="100"/>
        <v>0</v>
      </c>
      <c r="Z23" s="193">
        <f t="shared" si="100"/>
        <v>0</v>
      </c>
      <c r="AA23" s="193">
        <f t="shared" si="100"/>
        <v>0</v>
      </c>
      <c r="AB23" s="193">
        <f t="shared" si="100"/>
        <v>0</v>
      </c>
      <c r="AC23" s="193">
        <f t="shared" si="100"/>
        <v>0</v>
      </c>
      <c r="AD23" s="193">
        <f t="shared" si="100"/>
        <v>0</v>
      </c>
      <c r="AE23" s="193">
        <f t="shared" si="100"/>
        <v>0</v>
      </c>
      <c r="AF23" s="193">
        <f t="shared" si="100"/>
        <v>0</v>
      </c>
      <c r="AG23" s="193">
        <f t="shared" si="100"/>
        <v>0</v>
      </c>
      <c r="AH23" s="193">
        <f t="shared" si="100"/>
        <v>0</v>
      </c>
      <c r="AI23" s="193">
        <f t="shared" si="100"/>
        <v>0</v>
      </c>
      <c r="AJ23" s="193">
        <f t="shared" si="100"/>
        <v>0</v>
      </c>
      <c r="AK23" s="193">
        <f t="shared" si="100"/>
        <v>0</v>
      </c>
      <c r="AL23" s="193">
        <f t="shared" si="100"/>
        <v>0</v>
      </c>
      <c r="AM23" s="193">
        <f t="shared" si="100"/>
        <v>0</v>
      </c>
      <c r="AN23" s="193">
        <f t="shared" si="100"/>
        <v>0</v>
      </c>
      <c r="AO23" s="193">
        <f t="shared" si="100"/>
        <v>0</v>
      </c>
      <c r="AP23" s="193">
        <f t="shared" si="100"/>
        <v>0</v>
      </c>
      <c r="AQ23" s="193">
        <f t="shared" si="100"/>
        <v>0</v>
      </c>
      <c r="AR23" s="193">
        <f t="shared" si="100"/>
        <v>0</v>
      </c>
      <c r="AS23" s="193">
        <f t="shared" si="100"/>
        <v>0</v>
      </c>
      <c r="AT23" s="193">
        <f t="shared" si="100"/>
        <v>0</v>
      </c>
      <c r="AU23" s="193">
        <f t="shared" si="100"/>
        <v>0</v>
      </c>
      <c r="AV23" s="193">
        <f t="shared" si="100"/>
        <v>0</v>
      </c>
      <c r="AW23" s="193">
        <f t="shared" si="100"/>
        <v>0</v>
      </c>
      <c r="AX23" s="193">
        <f t="shared" si="100"/>
        <v>0</v>
      </c>
      <c r="AY23" s="193">
        <f t="shared" si="100"/>
        <v>0</v>
      </c>
      <c r="AZ23" s="193">
        <f t="shared" si="100"/>
        <v>0</v>
      </c>
      <c r="BA23" s="193">
        <f t="shared" si="100"/>
        <v>0</v>
      </c>
      <c r="BB23" s="193">
        <f t="shared" si="100"/>
        <v>0</v>
      </c>
      <c r="BC23" s="193">
        <f t="shared" si="100"/>
        <v>0</v>
      </c>
      <c r="BD23" s="193">
        <f t="shared" si="100"/>
        <v>0</v>
      </c>
      <c r="BE23" s="193">
        <f t="shared" si="100"/>
        <v>0</v>
      </c>
      <c r="BF23" s="193">
        <f t="shared" si="100"/>
        <v>0</v>
      </c>
      <c r="BG23" s="193">
        <f t="shared" si="100"/>
        <v>0</v>
      </c>
      <c r="BH23" s="193">
        <f t="shared" si="100"/>
        <v>0</v>
      </c>
      <c r="BI23" s="193">
        <f t="shared" si="100"/>
        <v>0</v>
      </c>
      <c r="BJ23" s="193">
        <f t="shared" si="100"/>
        <v>0</v>
      </c>
      <c r="BK23" s="193">
        <f t="shared" si="100"/>
        <v>0</v>
      </c>
      <c r="BL23" s="193">
        <f t="shared" si="100"/>
        <v>0</v>
      </c>
      <c r="BM23" s="193">
        <f t="shared" si="100"/>
        <v>0</v>
      </c>
      <c r="BN23" s="193">
        <f t="shared" si="100"/>
        <v>0</v>
      </c>
      <c r="BO23" s="193">
        <f t="shared" si="100"/>
        <v>0</v>
      </c>
      <c r="BP23" s="193">
        <f t="shared" si="100"/>
        <v>0</v>
      </c>
      <c r="BQ23" s="193">
        <f t="shared" si="100"/>
        <v>0</v>
      </c>
      <c r="BR23" s="193">
        <f t="shared" si="100"/>
        <v>0</v>
      </c>
      <c r="BS23" s="193">
        <f t="shared" ref="BS23:ED23" si="101">BS22</f>
        <v>0</v>
      </c>
      <c r="BT23" s="193">
        <f t="shared" si="101"/>
        <v>0</v>
      </c>
      <c r="BU23" s="193">
        <f t="shared" si="101"/>
        <v>0</v>
      </c>
      <c r="BV23" s="193">
        <f t="shared" si="101"/>
        <v>0</v>
      </c>
      <c r="BW23" s="193">
        <f t="shared" si="101"/>
        <v>0</v>
      </c>
      <c r="BX23" s="193">
        <f t="shared" si="101"/>
        <v>0</v>
      </c>
      <c r="BY23" s="193">
        <f t="shared" si="101"/>
        <v>0</v>
      </c>
      <c r="BZ23" s="193">
        <f t="shared" si="101"/>
        <v>0</v>
      </c>
      <c r="CA23" s="193">
        <f t="shared" si="101"/>
        <v>0</v>
      </c>
      <c r="CB23" s="193">
        <f t="shared" si="101"/>
        <v>0</v>
      </c>
      <c r="CC23" s="193">
        <f t="shared" si="101"/>
        <v>0</v>
      </c>
      <c r="CD23" s="193">
        <f t="shared" si="101"/>
        <v>0</v>
      </c>
      <c r="CE23" s="193">
        <f t="shared" si="101"/>
        <v>0</v>
      </c>
      <c r="CF23" s="193">
        <f t="shared" si="101"/>
        <v>0</v>
      </c>
      <c r="CG23" s="193">
        <f t="shared" si="101"/>
        <v>0</v>
      </c>
      <c r="CH23" s="193">
        <f t="shared" si="101"/>
        <v>0</v>
      </c>
      <c r="CI23" s="193">
        <f t="shared" si="101"/>
        <v>0</v>
      </c>
      <c r="CJ23" s="193">
        <f t="shared" si="101"/>
        <v>0</v>
      </c>
      <c r="CK23" s="193">
        <f t="shared" si="101"/>
        <v>0</v>
      </c>
      <c r="CL23" s="193">
        <f>CL22</f>
        <v>0</v>
      </c>
      <c r="CM23" s="193">
        <f>CM22</f>
        <v>0</v>
      </c>
      <c r="CN23" s="193">
        <f t="shared" si="101"/>
        <v>0</v>
      </c>
      <c r="CO23" s="193">
        <f t="shared" si="101"/>
        <v>0</v>
      </c>
      <c r="CP23" s="193">
        <f t="shared" si="101"/>
        <v>0</v>
      </c>
      <c r="CQ23" s="193">
        <f t="shared" si="101"/>
        <v>0</v>
      </c>
      <c r="CR23" s="193">
        <f t="shared" si="101"/>
        <v>0</v>
      </c>
      <c r="CS23" s="193">
        <f t="shared" si="101"/>
        <v>0</v>
      </c>
      <c r="CT23" s="193">
        <f t="shared" si="101"/>
        <v>0</v>
      </c>
      <c r="CU23" s="193">
        <f t="shared" si="101"/>
        <v>0</v>
      </c>
      <c r="CV23" s="193">
        <f t="shared" si="101"/>
        <v>0</v>
      </c>
      <c r="CW23" s="193">
        <f t="shared" si="101"/>
        <v>0</v>
      </c>
      <c r="CX23" s="193">
        <f t="shared" si="101"/>
        <v>0</v>
      </c>
      <c r="CY23" s="193">
        <f t="shared" si="101"/>
        <v>0</v>
      </c>
      <c r="CZ23" s="193">
        <f t="shared" si="101"/>
        <v>0</v>
      </c>
      <c r="DA23" s="193">
        <f t="shared" si="101"/>
        <v>0</v>
      </c>
      <c r="DB23" s="193">
        <f t="shared" si="101"/>
        <v>0</v>
      </c>
      <c r="DC23" s="193">
        <f t="shared" si="101"/>
        <v>0</v>
      </c>
      <c r="DD23" s="193">
        <f t="shared" si="101"/>
        <v>0</v>
      </c>
      <c r="DE23" s="193">
        <f t="shared" si="101"/>
        <v>0</v>
      </c>
      <c r="DF23" s="193">
        <f t="shared" si="101"/>
        <v>0</v>
      </c>
      <c r="DG23" s="193">
        <f t="shared" si="101"/>
        <v>0</v>
      </c>
      <c r="DH23" s="193">
        <f t="shared" si="101"/>
        <v>0</v>
      </c>
      <c r="DI23" s="193">
        <f t="shared" si="101"/>
        <v>0</v>
      </c>
      <c r="DJ23" s="193">
        <f t="shared" si="101"/>
        <v>0</v>
      </c>
      <c r="DK23" s="193">
        <f t="shared" si="101"/>
        <v>0</v>
      </c>
      <c r="DL23" s="193">
        <f t="shared" si="101"/>
        <v>0</v>
      </c>
      <c r="DM23" s="193">
        <f t="shared" si="101"/>
        <v>0</v>
      </c>
      <c r="DN23" s="193">
        <f t="shared" si="101"/>
        <v>0</v>
      </c>
      <c r="DO23" s="193">
        <f t="shared" si="101"/>
        <v>0</v>
      </c>
      <c r="DP23" s="193">
        <f t="shared" si="101"/>
        <v>0</v>
      </c>
      <c r="DQ23" s="193">
        <f t="shared" si="101"/>
        <v>0</v>
      </c>
      <c r="DR23" s="193">
        <f t="shared" si="101"/>
        <v>0</v>
      </c>
      <c r="DS23" s="193">
        <f t="shared" si="101"/>
        <v>0</v>
      </c>
      <c r="DT23" s="193">
        <f t="shared" si="101"/>
        <v>0</v>
      </c>
      <c r="DU23" s="193">
        <f t="shared" si="101"/>
        <v>0</v>
      </c>
      <c r="DV23" s="193">
        <f t="shared" si="101"/>
        <v>0</v>
      </c>
      <c r="DW23" s="193">
        <f t="shared" si="101"/>
        <v>0</v>
      </c>
      <c r="DX23" s="193">
        <f t="shared" si="101"/>
        <v>0</v>
      </c>
      <c r="DY23" s="193">
        <f t="shared" si="101"/>
        <v>0</v>
      </c>
      <c r="DZ23" s="193">
        <f t="shared" si="101"/>
        <v>0</v>
      </c>
      <c r="EA23" s="193">
        <f t="shared" si="101"/>
        <v>0</v>
      </c>
      <c r="EB23" s="193">
        <f t="shared" si="101"/>
        <v>0</v>
      </c>
      <c r="EC23" s="193">
        <f t="shared" si="101"/>
        <v>0</v>
      </c>
      <c r="ED23" s="193">
        <f t="shared" si="101"/>
        <v>0</v>
      </c>
      <c r="EE23" s="193">
        <f t="shared" ref="EE23:GR23" si="102">EE22</f>
        <v>0</v>
      </c>
      <c r="EF23" s="193">
        <f t="shared" si="102"/>
        <v>0</v>
      </c>
      <c r="EG23" s="193">
        <f t="shared" si="102"/>
        <v>0</v>
      </c>
      <c r="EH23" s="193">
        <f t="shared" si="102"/>
        <v>0</v>
      </c>
      <c r="EI23" s="193">
        <f t="shared" si="102"/>
        <v>0</v>
      </c>
      <c r="EJ23" s="193">
        <f t="shared" si="102"/>
        <v>0</v>
      </c>
      <c r="EK23" s="193">
        <f t="shared" si="102"/>
        <v>0</v>
      </c>
      <c r="EL23" s="193">
        <f t="shared" si="102"/>
        <v>0</v>
      </c>
      <c r="EM23" s="193">
        <f t="shared" si="102"/>
        <v>0</v>
      </c>
      <c r="EN23" s="193">
        <f t="shared" si="102"/>
        <v>0</v>
      </c>
      <c r="EO23" s="193">
        <f t="shared" si="102"/>
        <v>0</v>
      </c>
      <c r="EP23" s="193">
        <f t="shared" si="102"/>
        <v>0</v>
      </c>
      <c r="EQ23" s="193">
        <f t="shared" si="102"/>
        <v>0</v>
      </c>
      <c r="ER23" s="193">
        <f t="shared" si="102"/>
        <v>0</v>
      </c>
      <c r="ES23" s="193">
        <f t="shared" si="102"/>
        <v>0</v>
      </c>
      <c r="ET23" s="193">
        <f t="shared" si="102"/>
        <v>0</v>
      </c>
      <c r="EU23" s="193">
        <f t="shared" si="102"/>
        <v>0</v>
      </c>
      <c r="EV23" s="193">
        <f t="shared" si="102"/>
        <v>0</v>
      </c>
      <c r="EW23" s="193">
        <f t="shared" si="102"/>
        <v>0</v>
      </c>
      <c r="EX23" s="193">
        <f t="shared" si="102"/>
        <v>0</v>
      </c>
      <c r="EY23" s="193">
        <f t="shared" si="102"/>
        <v>0</v>
      </c>
      <c r="EZ23" s="193">
        <f t="shared" si="102"/>
        <v>0</v>
      </c>
      <c r="FA23" s="193">
        <f t="shared" si="102"/>
        <v>0</v>
      </c>
      <c r="FB23" s="193">
        <f t="shared" si="102"/>
        <v>0</v>
      </c>
      <c r="FC23" s="193">
        <f t="shared" si="102"/>
        <v>0</v>
      </c>
      <c r="FD23" s="193">
        <f t="shared" si="102"/>
        <v>0</v>
      </c>
      <c r="FE23" s="193">
        <f t="shared" si="102"/>
        <v>0</v>
      </c>
      <c r="FF23" s="193">
        <f t="shared" si="102"/>
        <v>0</v>
      </c>
      <c r="FG23" s="193">
        <f t="shared" si="102"/>
        <v>0</v>
      </c>
      <c r="FH23" s="193">
        <f t="shared" si="102"/>
        <v>0</v>
      </c>
      <c r="FI23" s="193">
        <f t="shared" si="102"/>
        <v>0</v>
      </c>
      <c r="FJ23" s="193">
        <f t="shared" si="102"/>
        <v>0</v>
      </c>
      <c r="FK23" s="193">
        <f t="shared" si="102"/>
        <v>0</v>
      </c>
      <c r="FL23" s="193">
        <f t="shared" si="102"/>
        <v>0</v>
      </c>
      <c r="FM23" s="193">
        <f t="shared" si="102"/>
        <v>0</v>
      </c>
      <c r="FN23" s="193">
        <f t="shared" si="102"/>
        <v>0</v>
      </c>
      <c r="FO23" s="193">
        <f t="shared" si="102"/>
        <v>0</v>
      </c>
      <c r="FP23" s="193">
        <f t="shared" si="102"/>
        <v>0</v>
      </c>
      <c r="FQ23" s="193">
        <f t="shared" si="102"/>
        <v>0</v>
      </c>
      <c r="FR23" s="193">
        <f t="shared" si="102"/>
        <v>0</v>
      </c>
      <c r="FS23" s="193">
        <f t="shared" si="102"/>
        <v>0</v>
      </c>
      <c r="FT23" s="193">
        <f t="shared" si="102"/>
        <v>0</v>
      </c>
      <c r="FU23" s="193">
        <f t="shared" si="102"/>
        <v>0</v>
      </c>
      <c r="FV23" s="193">
        <f t="shared" si="102"/>
        <v>0</v>
      </c>
      <c r="FW23" s="193">
        <f t="shared" si="102"/>
        <v>0</v>
      </c>
      <c r="FX23" s="193">
        <f t="shared" si="102"/>
        <v>0</v>
      </c>
      <c r="FY23" s="193">
        <f t="shared" si="102"/>
        <v>0</v>
      </c>
      <c r="FZ23" s="193">
        <f t="shared" si="102"/>
        <v>0</v>
      </c>
      <c r="GA23" s="193">
        <f t="shared" si="102"/>
        <v>0</v>
      </c>
      <c r="GB23" s="193">
        <f t="shared" si="102"/>
        <v>0</v>
      </c>
      <c r="GC23" s="193"/>
      <c r="GD23" s="193"/>
      <c r="GE23" s="193">
        <f t="shared" si="102"/>
        <v>0</v>
      </c>
      <c r="GF23" s="193">
        <f t="shared" si="102"/>
        <v>0</v>
      </c>
      <c r="GG23" s="193">
        <f t="shared" si="102"/>
        <v>0</v>
      </c>
      <c r="GH23" s="193">
        <f t="shared" si="102"/>
        <v>0</v>
      </c>
      <c r="GI23" s="193">
        <f t="shared" si="102"/>
        <v>0</v>
      </c>
      <c r="GJ23" s="193">
        <f t="shared" si="102"/>
        <v>0</v>
      </c>
      <c r="GK23" s="193">
        <f t="shared" si="102"/>
        <v>0</v>
      </c>
      <c r="GL23" s="193">
        <f t="shared" si="102"/>
        <v>0</v>
      </c>
      <c r="GM23" s="193">
        <f t="shared" si="102"/>
        <v>0</v>
      </c>
      <c r="GN23" s="193">
        <f t="shared" si="102"/>
        <v>0</v>
      </c>
      <c r="GO23" s="193">
        <f t="shared" si="102"/>
        <v>0</v>
      </c>
      <c r="GP23" s="193">
        <f t="shared" si="102"/>
        <v>0</v>
      </c>
      <c r="GQ23" s="193">
        <f t="shared" si="102"/>
        <v>0</v>
      </c>
      <c r="GR23" s="193">
        <f t="shared" si="102"/>
        <v>0</v>
      </c>
      <c r="GS23" s="193">
        <f t="shared" ref="GS23:JD23" si="103">GS22</f>
        <v>0</v>
      </c>
      <c r="GT23" s="193">
        <f t="shared" si="103"/>
        <v>0</v>
      </c>
      <c r="GU23" s="193">
        <f t="shared" si="103"/>
        <v>0</v>
      </c>
      <c r="GV23" s="193">
        <f t="shared" si="103"/>
        <v>0</v>
      </c>
      <c r="GW23" s="193">
        <f t="shared" si="103"/>
        <v>0</v>
      </c>
      <c r="GX23" s="193">
        <f t="shared" si="103"/>
        <v>0</v>
      </c>
      <c r="GY23" s="193">
        <f t="shared" si="103"/>
        <v>0</v>
      </c>
      <c r="GZ23" s="193">
        <f t="shared" si="103"/>
        <v>0</v>
      </c>
      <c r="HA23" s="193">
        <f t="shared" si="103"/>
        <v>0</v>
      </c>
      <c r="HB23" s="193">
        <f t="shared" si="103"/>
        <v>0</v>
      </c>
      <c r="HC23" s="193">
        <f t="shared" si="103"/>
        <v>0</v>
      </c>
      <c r="HD23" s="193">
        <f t="shared" si="103"/>
        <v>0</v>
      </c>
      <c r="HE23" s="193">
        <f t="shared" si="103"/>
        <v>0</v>
      </c>
      <c r="HF23" s="193">
        <f t="shared" si="103"/>
        <v>0</v>
      </c>
      <c r="HG23" s="193">
        <f t="shared" si="103"/>
        <v>0</v>
      </c>
      <c r="HH23" s="193">
        <f t="shared" si="103"/>
        <v>0</v>
      </c>
      <c r="HI23" s="193">
        <f t="shared" si="103"/>
        <v>0</v>
      </c>
      <c r="HJ23" s="193">
        <f t="shared" si="103"/>
        <v>0</v>
      </c>
      <c r="HK23" s="193">
        <f t="shared" si="103"/>
        <v>0</v>
      </c>
      <c r="HL23" s="193">
        <f t="shared" si="103"/>
        <v>0</v>
      </c>
      <c r="HM23" s="193">
        <f t="shared" si="103"/>
        <v>0</v>
      </c>
      <c r="HN23" s="193">
        <f t="shared" si="103"/>
        <v>0</v>
      </c>
      <c r="HO23" s="193">
        <f t="shared" si="103"/>
        <v>0</v>
      </c>
      <c r="HP23" s="193">
        <f t="shared" si="103"/>
        <v>0</v>
      </c>
      <c r="HQ23" s="193">
        <f t="shared" si="103"/>
        <v>0</v>
      </c>
      <c r="HR23" s="193">
        <f t="shared" si="103"/>
        <v>0</v>
      </c>
      <c r="HS23" s="193">
        <f t="shared" si="103"/>
        <v>0</v>
      </c>
      <c r="HT23" s="193">
        <f t="shared" si="103"/>
        <v>0</v>
      </c>
      <c r="HU23" s="193">
        <f t="shared" si="103"/>
        <v>0</v>
      </c>
      <c r="HV23" s="193">
        <f t="shared" si="103"/>
        <v>0</v>
      </c>
      <c r="HW23" s="193">
        <f t="shared" si="103"/>
        <v>0</v>
      </c>
      <c r="HX23" s="193">
        <f t="shared" si="103"/>
        <v>0</v>
      </c>
      <c r="HY23" s="193">
        <f t="shared" si="103"/>
        <v>0</v>
      </c>
      <c r="HZ23" s="193">
        <f t="shared" si="103"/>
        <v>0</v>
      </c>
      <c r="IA23" s="193">
        <f t="shared" si="103"/>
        <v>0</v>
      </c>
      <c r="IB23" s="193">
        <f t="shared" si="103"/>
        <v>0</v>
      </c>
      <c r="IC23" s="193">
        <f t="shared" si="103"/>
        <v>0</v>
      </c>
      <c r="ID23" s="193">
        <f t="shared" si="103"/>
        <v>0</v>
      </c>
      <c r="IE23" s="193">
        <f t="shared" si="103"/>
        <v>0</v>
      </c>
      <c r="IF23" s="193">
        <f t="shared" si="103"/>
        <v>0</v>
      </c>
      <c r="IG23" s="193">
        <f t="shared" si="103"/>
        <v>0</v>
      </c>
      <c r="IH23" s="193">
        <f t="shared" si="103"/>
        <v>0</v>
      </c>
      <c r="II23" s="193">
        <f t="shared" si="103"/>
        <v>0</v>
      </c>
      <c r="IJ23" s="193">
        <f t="shared" si="103"/>
        <v>0</v>
      </c>
      <c r="IK23" s="193">
        <f t="shared" si="103"/>
        <v>0</v>
      </c>
      <c r="IL23" s="193">
        <f t="shared" si="103"/>
        <v>0</v>
      </c>
      <c r="IM23" s="193">
        <f t="shared" si="103"/>
        <v>0</v>
      </c>
      <c r="IN23" s="193">
        <f t="shared" si="103"/>
        <v>0</v>
      </c>
      <c r="IO23" s="193">
        <f t="shared" si="103"/>
        <v>0</v>
      </c>
      <c r="IP23" s="193">
        <f t="shared" si="103"/>
        <v>0</v>
      </c>
      <c r="IQ23" s="193">
        <f t="shared" si="103"/>
        <v>0</v>
      </c>
      <c r="IR23" s="193">
        <f t="shared" si="103"/>
        <v>0</v>
      </c>
      <c r="IS23" s="193">
        <f t="shared" si="103"/>
        <v>0</v>
      </c>
      <c r="IT23" s="193">
        <f t="shared" si="103"/>
        <v>0</v>
      </c>
      <c r="IU23" s="193">
        <f t="shared" si="103"/>
        <v>0</v>
      </c>
      <c r="IV23" s="193">
        <f t="shared" si="103"/>
        <v>0</v>
      </c>
      <c r="IW23" s="193">
        <f t="shared" si="103"/>
        <v>0</v>
      </c>
      <c r="IX23" s="193">
        <f t="shared" si="103"/>
        <v>0</v>
      </c>
      <c r="IY23" s="193">
        <f t="shared" si="103"/>
        <v>0</v>
      </c>
      <c r="IZ23" s="193">
        <f t="shared" si="103"/>
        <v>0</v>
      </c>
      <c r="JA23" s="193">
        <f t="shared" si="103"/>
        <v>0</v>
      </c>
      <c r="JB23" s="193">
        <f t="shared" si="103"/>
        <v>0</v>
      </c>
      <c r="JC23" s="193">
        <f t="shared" si="103"/>
        <v>0</v>
      </c>
      <c r="JD23" s="193">
        <f t="shared" si="103"/>
        <v>0</v>
      </c>
      <c r="JE23" s="193">
        <f t="shared" ref="JE23:LN23" si="104">JE22</f>
        <v>0</v>
      </c>
      <c r="JF23" s="193">
        <f t="shared" si="104"/>
        <v>0</v>
      </c>
      <c r="JG23" s="193">
        <f t="shared" si="104"/>
        <v>0</v>
      </c>
      <c r="JH23" s="193">
        <f t="shared" si="104"/>
        <v>0</v>
      </c>
      <c r="JI23" s="193">
        <f t="shared" si="104"/>
        <v>0</v>
      </c>
      <c r="JJ23" s="193">
        <f t="shared" si="104"/>
        <v>0</v>
      </c>
      <c r="JK23" s="193">
        <f t="shared" si="104"/>
        <v>0</v>
      </c>
      <c r="JL23" s="193">
        <f t="shared" si="104"/>
        <v>0</v>
      </c>
      <c r="JM23" s="193">
        <f t="shared" si="104"/>
        <v>0</v>
      </c>
      <c r="JN23" s="193">
        <f t="shared" si="104"/>
        <v>0</v>
      </c>
      <c r="JO23" s="193">
        <f t="shared" si="104"/>
        <v>0</v>
      </c>
      <c r="JP23" s="193">
        <f t="shared" si="104"/>
        <v>0</v>
      </c>
      <c r="JQ23" s="193">
        <f t="shared" si="104"/>
        <v>0</v>
      </c>
      <c r="JR23" s="193">
        <f t="shared" si="104"/>
        <v>0</v>
      </c>
      <c r="JS23" s="193">
        <f t="shared" si="104"/>
        <v>0</v>
      </c>
      <c r="JT23" s="193">
        <f t="shared" si="104"/>
        <v>0</v>
      </c>
      <c r="JU23" s="193">
        <f t="shared" si="104"/>
        <v>0</v>
      </c>
      <c r="JV23" s="193">
        <f t="shared" si="104"/>
        <v>0</v>
      </c>
      <c r="JW23" s="193">
        <f t="shared" si="104"/>
        <v>0</v>
      </c>
      <c r="JX23" s="193">
        <f t="shared" si="104"/>
        <v>0</v>
      </c>
      <c r="JY23" s="193">
        <f t="shared" si="104"/>
        <v>0</v>
      </c>
      <c r="JZ23" s="193">
        <f t="shared" si="104"/>
        <v>0</v>
      </c>
      <c r="KA23" s="193">
        <f t="shared" si="104"/>
        <v>0</v>
      </c>
      <c r="KB23" s="193">
        <f t="shared" si="104"/>
        <v>0</v>
      </c>
      <c r="KC23" s="193">
        <f t="shared" si="104"/>
        <v>0</v>
      </c>
      <c r="KD23" s="193">
        <f t="shared" si="104"/>
        <v>0</v>
      </c>
      <c r="KE23" s="193">
        <f t="shared" si="104"/>
        <v>0</v>
      </c>
      <c r="KF23" s="193">
        <f t="shared" si="104"/>
        <v>0</v>
      </c>
      <c r="KG23" s="193">
        <f t="shared" si="104"/>
        <v>0</v>
      </c>
      <c r="KH23" s="193">
        <f t="shared" si="104"/>
        <v>0</v>
      </c>
      <c r="KI23" s="193">
        <f t="shared" si="104"/>
        <v>0</v>
      </c>
      <c r="KJ23" s="193">
        <f t="shared" si="104"/>
        <v>0</v>
      </c>
      <c r="KK23" s="193">
        <f t="shared" si="104"/>
        <v>0</v>
      </c>
      <c r="KL23" s="193">
        <f t="shared" si="104"/>
        <v>0</v>
      </c>
      <c r="KM23" s="193">
        <f t="shared" si="104"/>
        <v>0</v>
      </c>
      <c r="KN23" s="193">
        <f t="shared" si="104"/>
        <v>0</v>
      </c>
      <c r="KO23" s="193">
        <f t="shared" si="104"/>
        <v>0</v>
      </c>
      <c r="KP23" s="193">
        <f t="shared" si="104"/>
        <v>0</v>
      </c>
      <c r="KQ23" s="193">
        <f t="shared" si="104"/>
        <v>0</v>
      </c>
      <c r="KR23" s="193">
        <f t="shared" si="104"/>
        <v>0</v>
      </c>
      <c r="KS23" s="193">
        <f t="shared" si="104"/>
        <v>0</v>
      </c>
      <c r="KT23" s="193">
        <f t="shared" si="104"/>
        <v>0</v>
      </c>
      <c r="KU23" s="193">
        <f t="shared" si="104"/>
        <v>0</v>
      </c>
      <c r="KV23" s="193">
        <f t="shared" si="104"/>
        <v>0</v>
      </c>
      <c r="KW23" s="193">
        <f t="shared" si="104"/>
        <v>0</v>
      </c>
      <c r="KX23" s="193">
        <f t="shared" si="104"/>
        <v>0</v>
      </c>
      <c r="KY23" s="193">
        <f t="shared" si="104"/>
        <v>0</v>
      </c>
      <c r="KZ23" s="193">
        <f t="shared" si="104"/>
        <v>0</v>
      </c>
      <c r="LA23" s="193">
        <f t="shared" si="104"/>
        <v>0</v>
      </c>
      <c r="LB23" s="193">
        <f t="shared" si="104"/>
        <v>0</v>
      </c>
      <c r="LC23" s="193">
        <f t="shared" si="104"/>
        <v>0</v>
      </c>
      <c r="LD23" s="193">
        <f t="shared" si="104"/>
        <v>0</v>
      </c>
      <c r="LE23" s="193">
        <f t="shared" si="104"/>
        <v>0</v>
      </c>
      <c r="LF23" s="193">
        <f t="shared" si="104"/>
        <v>0</v>
      </c>
      <c r="LG23" s="193">
        <f t="shared" si="104"/>
        <v>0</v>
      </c>
      <c r="LH23" s="193">
        <f t="shared" si="104"/>
        <v>0</v>
      </c>
      <c r="LI23" s="193">
        <f t="shared" si="104"/>
        <v>0</v>
      </c>
      <c r="LJ23" s="193">
        <f t="shared" si="104"/>
        <v>0</v>
      </c>
      <c r="LK23" s="193">
        <f t="shared" si="104"/>
        <v>0</v>
      </c>
      <c r="LL23" s="193">
        <f t="shared" si="104"/>
        <v>0</v>
      </c>
      <c r="LM23" s="193">
        <f t="shared" si="104"/>
        <v>0</v>
      </c>
      <c r="LN23" s="193">
        <f t="shared" si="104"/>
        <v>0</v>
      </c>
      <c r="LO23" s="193">
        <f t="shared" ref="LO23:LP23" si="105">LO22</f>
        <v>0</v>
      </c>
      <c r="LP23" s="193">
        <f t="shared" si="105"/>
        <v>0</v>
      </c>
      <c r="LQ23" s="193">
        <f t="shared" ref="LQ23:OA23" si="106">LQ22</f>
        <v>0</v>
      </c>
      <c r="LR23" s="193">
        <f t="shared" si="106"/>
        <v>0</v>
      </c>
      <c r="LS23" s="193">
        <f t="shared" si="106"/>
        <v>0</v>
      </c>
      <c r="LT23" s="193">
        <f t="shared" si="106"/>
        <v>0</v>
      </c>
      <c r="LU23" s="193">
        <f t="shared" si="106"/>
        <v>0</v>
      </c>
      <c r="LV23" s="193">
        <f t="shared" si="106"/>
        <v>0</v>
      </c>
      <c r="LW23" s="193">
        <f t="shared" si="106"/>
        <v>0</v>
      </c>
      <c r="LX23" s="193">
        <f t="shared" si="106"/>
        <v>0</v>
      </c>
      <c r="LY23" s="193">
        <f t="shared" si="106"/>
        <v>0</v>
      </c>
      <c r="LZ23" s="193">
        <f t="shared" si="106"/>
        <v>0</v>
      </c>
      <c r="MA23" s="193">
        <f t="shared" si="106"/>
        <v>0</v>
      </c>
      <c r="MB23" s="193">
        <f t="shared" si="106"/>
        <v>0</v>
      </c>
      <c r="MC23" s="193">
        <f t="shared" si="106"/>
        <v>0</v>
      </c>
      <c r="MD23" s="193">
        <f t="shared" si="106"/>
        <v>0</v>
      </c>
      <c r="ME23" s="193">
        <f t="shared" si="106"/>
        <v>0</v>
      </c>
      <c r="MF23" s="193">
        <f t="shared" si="106"/>
        <v>0</v>
      </c>
      <c r="MG23" s="193">
        <f t="shared" si="106"/>
        <v>0</v>
      </c>
      <c r="MH23" s="193">
        <f t="shared" si="106"/>
        <v>0</v>
      </c>
      <c r="MI23" s="193">
        <f t="shared" si="106"/>
        <v>0</v>
      </c>
      <c r="MJ23" s="193">
        <f t="shared" si="106"/>
        <v>0</v>
      </c>
      <c r="MK23" s="193">
        <f t="shared" si="106"/>
        <v>0</v>
      </c>
      <c r="ML23" s="193">
        <f t="shared" si="106"/>
        <v>0</v>
      </c>
      <c r="MM23" s="193">
        <f t="shared" si="106"/>
        <v>0</v>
      </c>
      <c r="MN23" s="193">
        <f t="shared" si="106"/>
        <v>0</v>
      </c>
      <c r="MO23" s="193">
        <f t="shared" si="106"/>
        <v>0</v>
      </c>
      <c r="MP23" s="193">
        <f t="shared" si="106"/>
        <v>0</v>
      </c>
      <c r="MQ23" s="193">
        <f t="shared" si="106"/>
        <v>0</v>
      </c>
      <c r="MR23" s="193">
        <f t="shared" si="106"/>
        <v>0</v>
      </c>
      <c r="MS23" s="193">
        <f t="shared" si="106"/>
        <v>0</v>
      </c>
      <c r="MT23" s="193">
        <f t="shared" si="106"/>
        <v>0</v>
      </c>
      <c r="MU23" s="193">
        <f t="shared" si="106"/>
        <v>0</v>
      </c>
      <c r="MV23" s="193">
        <f t="shared" si="106"/>
        <v>0</v>
      </c>
      <c r="MW23" s="193">
        <f t="shared" si="106"/>
        <v>0</v>
      </c>
      <c r="MX23" s="193">
        <f t="shared" si="106"/>
        <v>0</v>
      </c>
      <c r="MY23" s="193">
        <f t="shared" si="106"/>
        <v>0</v>
      </c>
      <c r="MZ23" s="193">
        <f t="shared" si="106"/>
        <v>0</v>
      </c>
      <c r="NA23" s="193">
        <f t="shared" si="106"/>
        <v>0</v>
      </c>
      <c r="NB23" s="193">
        <f t="shared" si="106"/>
        <v>0</v>
      </c>
      <c r="NC23" s="193">
        <f t="shared" si="106"/>
        <v>0</v>
      </c>
      <c r="ND23" s="193">
        <f t="shared" si="106"/>
        <v>0</v>
      </c>
      <c r="NE23" s="193">
        <f t="shared" si="106"/>
        <v>0</v>
      </c>
      <c r="NF23" s="193">
        <f t="shared" si="106"/>
        <v>0</v>
      </c>
      <c r="NG23" s="193">
        <f t="shared" si="106"/>
        <v>0</v>
      </c>
      <c r="NH23" s="193">
        <f t="shared" si="106"/>
        <v>0</v>
      </c>
      <c r="NI23" s="193">
        <f t="shared" si="106"/>
        <v>0</v>
      </c>
      <c r="NJ23" s="193">
        <f t="shared" si="106"/>
        <v>0</v>
      </c>
      <c r="NK23" s="193">
        <f t="shared" si="106"/>
        <v>0</v>
      </c>
      <c r="NL23" s="193">
        <f t="shared" si="106"/>
        <v>0</v>
      </c>
      <c r="NM23" s="193">
        <f t="shared" si="106"/>
        <v>0</v>
      </c>
      <c r="NN23" s="193">
        <f t="shared" si="106"/>
        <v>0</v>
      </c>
      <c r="NO23" s="193">
        <f t="shared" si="106"/>
        <v>0</v>
      </c>
      <c r="NP23" s="193">
        <f t="shared" si="106"/>
        <v>0</v>
      </c>
      <c r="NQ23" s="193">
        <f t="shared" si="106"/>
        <v>0</v>
      </c>
      <c r="NR23" s="193">
        <f t="shared" si="106"/>
        <v>0</v>
      </c>
      <c r="NS23" s="193">
        <f t="shared" si="106"/>
        <v>0</v>
      </c>
      <c r="NT23" s="193">
        <f t="shared" si="106"/>
        <v>0</v>
      </c>
      <c r="NU23" s="193">
        <f t="shared" si="106"/>
        <v>0</v>
      </c>
      <c r="NV23" s="193">
        <f t="shared" si="106"/>
        <v>0</v>
      </c>
      <c r="NW23" s="193">
        <f t="shared" si="106"/>
        <v>0</v>
      </c>
      <c r="NX23" s="193">
        <f t="shared" si="106"/>
        <v>0</v>
      </c>
      <c r="NY23" s="193">
        <f t="shared" si="106"/>
        <v>0</v>
      </c>
      <c r="NZ23" s="193">
        <f t="shared" si="106"/>
        <v>0</v>
      </c>
      <c r="OA23" s="193">
        <f t="shared" si="106"/>
        <v>0</v>
      </c>
      <c r="OB23" s="193">
        <f t="shared" ref="OB23:QS23" si="107">OB22</f>
        <v>0</v>
      </c>
      <c r="OC23" s="193">
        <f t="shared" si="107"/>
        <v>0</v>
      </c>
      <c r="OD23" s="193">
        <f t="shared" si="107"/>
        <v>0</v>
      </c>
      <c r="OE23" s="193">
        <f t="shared" si="107"/>
        <v>0</v>
      </c>
      <c r="OF23" s="193">
        <f t="shared" si="107"/>
        <v>0</v>
      </c>
      <c r="OG23" s="193">
        <f t="shared" si="107"/>
        <v>0</v>
      </c>
      <c r="OH23" s="193">
        <f t="shared" si="107"/>
        <v>0</v>
      </c>
      <c r="OI23" s="193">
        <f t="shared" ref="OI23:OT23" si="108">OI22</f>
        <v>0</v>
      </c>
      <c r="OJ23" s="193">
        <f t="shared" si="108"/>
        <v>0</v>
      </c>
      <c r="OK23" s="193">
        <f t="shared" si="108"/>
        <v>0</v>
      </c>
      <c r="OL23" s="193">
        <f t="shared" si="108"/>
        <v>0</v>
      </c>
      <c r="OM23" s="193">
        <f t="shared" si="108"/>
        <v>0</v>
      </c>
      <c r="ON23" s="193">
        <f t="shared" si="108"/>
        <v>0</v>
      </c>
      <c r="OO23" s="193">
        <f t="shared" si="108"/>
        <v>0</v>
      </c>
      <c r="OP23" s="193">
        <f t="shared" si="108"/>
        <v>0</v>
      </c>
      <c r="OQ23" s="193">
        <f t="shared" si="108"/>
        <v>0</v>
      </c>
      <c r="OR23" s="193">
        <f t="shared" si="108"/>
        <v>0</v>
      </c>
      <c r="OS23" s="193">
        <f t="shared" si="108"/>
        <v>0</v>
      </c>
      <c r="OT23" s="193">
        <f t="shared" si="108"/>
        <v>0</v>
      </c>
      <c r="OU23" s="193">
        <f t="shared" si="107"/>
        <v>0</v>
      </c>
      <c r="OV23" s="193">
        <f t="shared" si="107"/>
        <v>0</v>
      </c>
      <c r="OW23" s="193"/>
      <c r="OX23" s="193"/>
      <c r="OY23" s="193"/>
      <c r="OZ23" s="193">
        <f t="shared" si="107"/>
        <v>0</v>
      </c>
      <c r="PA23" s="193">
        <f t="shared" si="107"/>
        <v>0</v>
      </c>
      <c r="PB23" s="193">
        <f t="shared" si="107"/>
        <v>0</v>
      </c>
      <c r="PC23" s="193">
        <f t="shared" si="107"/>
        <v>0</v>
      </c>
      <c r="PD23" s="193">
        <f t="shared" si="107"/>
        <v>0</v>
      </c>
      <c r="PE23" s="193">
        <f t="shared" si="107"/>
        <v>0</v>
      </c>
      <c r="PF23" s="193">
        <f t="shared" si="107"/>
        <v>0</v>
      </c>
      <c r="PG23" s="193">
        <f t="shared" si="107"/>
        <v>0</v>
      </c>
      <c r="PH23" s="193">
        <f t="shared" si="107"/>
        <v>0</v>
      </c>
      <c r="PI23" s="193">
        <f t="shared" si="107"/>
        <v>0</v>
      </c>
      <c r="PJ23" s="193">
        <f t="shared" si="107"/>
        <v>0</v>
      </c>
      <c r="PK23" s="193">
        <f t="shared" si="107"/>
        <v>0</v>
      </c>
      <c r="PL23" s="193">
        <f t="shared" si="107"/>
        <v>0</v>
      </c>
      <c r="PM23" s="193">
        <f t="shared" si="107"/>
        <v>0</v>
      </c>
      <c r="PN23" s="193">
        <f t="shared" si="107"/>
        <v>0</v>
      </c>
      <c r="PO23" s="193">
        <f t="shared" si="107"/>
        <v>0</v>
      </c>
      <c r="PP23" s="193">
        <f t="shared" si="107"/>
        <v>0</v>
      </c>
      <c r="PQ23" s="193">
        <f t="shared" si="107"/>
        <v>0</v>
      </c>
      <c r="PR23" s="193">
        <f t="shared" si="107"/>
        <v>0</v>
      </c>
      <c r="PS23" s="193">
        <f t="shared" si="107"/>
        <v>0</v>
      </c>
      <c r="PT23" s="193">
        <f t="shared" si="107"/>
        <v>0</v>
      </c>
      <c r="PU23" s="193">
        <f t="shared" si="107"/>
        <v>0</v>
      </c>
      <c r="PV23" s="193">
        <f t="shared" ref="PV23:QH23" si="109">PV22</f>
        <v>0</v>
      </c>
      <c r="PW23" s="193">
        <f t="shared" si="109"/>
        <v>0</v>
      </c>
      <c r="PX23" s="193">
        <f t="shared" si="109"/>
        <v>0</v>
      </c>
      <c r="PY23" s="193">
        <f t="shared" si="109"/>
        <v>0</v>
      </c>
      <c r="PZ23" s="193">
        <f t="shared" si="109"/>
        <v>0</v>
      </c>
      <c r="QA23" s="193">
        <f t="shared" si="109"/>
        <v>0</v>
      </c>
      <c r="QB23" s="193">
        <f t="shared" si="109"/>
        <v>0</v>
      </c>
      <c r="QC23" s="193">
        <f t="shared" si="109"/>
        <v>0</v>
      </c>
      <c r="QD23" s="193">
        <f t="shared" si="109"/>
        <v>0</v>
      </c>
      <c r="QE23" s="193">
        <f t="shared" si="109"/>
        <v>0</v>
      </c>
      <c r="QF23" s="193">
        <f t="shared" si="109"/>
        <v>0</v>
      </c>
      <c r="QG23" s="193">
        <f t="shared" si="109"/>
        <v>0</v>
      </c>
      <c r="QH23" s="193">
        <f t="shared" si="109"/>
        <v>0</v>
      </c>
      <c r="QI23" s="193">
        <f t="shared" si="107"/>
        <v>0</v>
      </c>
      <c r="QJ23" s="193">
        <f t="shared" si="107"/>
        <v>0</v>
      </c>
      <c r="QK23" s="193">
        <f t="shared" si="107"/>
        <v>0</v>
      </c>
      <c r="QL23" s="193">
        <f t="shared" si="107"/>
        <v>0</v>
      </c>
      <c r="QM23" s="193">
        <f t="shared" si="107"/>
        <v>0</v>
      </c>
      <c r="QN23" s="193">
        <f t="shared" si="107"/>
        <v>0</v>
      </c>
      <c r="QO23" s="193">
        <f t="shared" si="107"/>
        <v>0</v>
      </c>
      <c r="QP23" s="193">
        <f t="shared" si="107"/>
        <v>0</v>
      </c>
      <c r="QQ23" s="193">
        <f t="shared" si="107"/>
        <v>0</v>
      </c>
      <c r="QR23" s="193">
        <f t="shared" si="107"/>
        <v>0</v>
      </c>
      <c r="QS23" s="193">
        <f t="shared" si="107"/>
        <v>0</v>
      </c>
      <c r="QT23" s="193">
        <f t="shared" ref="QT23:SP23" si="110">QT22</f>
        <v>0</v>
      </c>
      <c r="QU23" s="193">
        <f t="shared" si="110"/>
        <v>0</v>
      </c>
      <c r="QV23" s="193">
        <f t="shared" si="110"/>
        <v>0</v>
      </c>
      <c r="QW23" s="193">
        <f t="shared" si="110"/>
        <v>0</v>
      </c>
      <c r="QX23" s="193">
        <f t="shared" si="110"/>
        <v>0</v>
      </c>
      <c r="QY23" s="193">
        <f t="shared" si="110"/>
        <v>0</v>
      </c>
      <c r="QZ23" s="193">
        <f t="shared" si="110"/>
        <v>0</v>
      </c>
      <c r="RA23" s="193">
        <f t="shared" si="110"/>
        <v>0</v>
      </c>
      <c r="RB23" s="193">
        <f>RB22</f>
        <v>0</v>
      </c>
      <c r="RC23" s="193">
        <f>RC22</f>
        <v>0</v>
      </c>
      <c r="RD23" s="193">
        <f t="shared" si="110"/>
        <v>0</v>
      </c>
      <c r="RE23" s="193">
        <f t="shared" si="110"/>
        <v>0</v>
      </c>
      <c r="RF23" s="193">
        <f t="shared" si="110"/>
        <v>0</v>
      </c>
      <c r="RG23" s="193">
        <f t="shared" si="110"/>
        <v>0</v>
      </c>
      <c r="RH23" s="193">
        <f t="shared" si="110"/>
        <v>0</v>
      </c>
      <c r="RI23" s="193">
        <f t="shared" si="110"/>
        <v>0</v>
      </c>
      <c r="RJ23" s="193">
        <f t="shared" si="110"/>
        <v>0</v>
      </c>
      <c r="RK23" s="193">
        <f t="shared" si="110"/>
        <v>0</v>
      </c>
      <c r="RL23" s="193">
        <f t="shared" si="110"/>
        <v>0</v>
      </c>
      <c r="RM23" s="193">
        <f t="shared" si="110"/>
        <v>0</v>
      </c>
      <c r="RN23" s="193">
        <f t="shared" si="110"/>
        <v>0</v>
      </c>
      <c r="RO23" s="193"/>
      <c r="RP23" s="193"/>
      <c r="RQ23" s="193"/>
      <c r="RR23" s="193"/>
      <c r="RS23" s="193"/>
      <c r="RT23" s="193"/>
      <c r="RU23" s="193">
        <f t="shared" si="110"/>
        <v>0</v>
      </c>
      <c r="RV23" s="193">
        <f t="shared" si="110"/>
        <v>0</v>
      </c>
      <c r="RW23" s="193">
        <f t="shared" si="110"/>
        <v>0</v>
      </c>
      <c r="RX23" s="193">
        <f t="shared" si="110"/>
        <v>0</v>
      </c>
      <c r="RY23" s="193">
        <f t="shared" si="110"/>
        <v>0</v>
      </c>
      <c r="RZ23" s="193">
        <f t="shared" si="110"/>
        <v>0</v>
      </c>
      <c r="SA23" s="193">
        <f t="shared" si="110"/>
        <v>0</v>
      </c>
      <c r="SB23" s="193">
        <f t="shared" si="110"/>
        <v>0</v>
      </c>
      <c r="SC23" s="193">
        <f t="shared" si="110"/>
        <v>0</v>
      </c>
      <c r="SD23" s="193">
        <f t="shared" si="110"/>
        <v>0</v>
      </c>
      <c r="SE23" s="193">
        <f t="shared" si="110"/>
        <v>0</v>
      </c>
      <c r="SF23" s="193">
        <f t="shared" si="110"/>
        <v>0</v>
      </c>
      <c r="SG23" s="193">
        <f t="shared" si="110"/>
        <v>0</v>
      </c>
      <c r="SH23" s="193">
        <f t="shared" si="110"/>
        <v>0</v>
      </c>
      <c r="SI23" s="193">
        <f t="shared" si="110"/>
        <v>0</v>
      </c>
      <c r="SJ23" s="193">
        <f t="shared" si="110"/>
        <v>0</v>
      </c>
      <c r="SK23" s="193">
        <f t="shared" si="110"/>
        <v>0</v>
      </c>
      <c r="SL23" s="193">
        <f t="shared" si="110"/>
        <v>0</v>
      </c>
      <c r="SM23" s="193">
        <f t="shared" si="110"/>
        <v>0</v>
      </c>
      <c r="SN23" s="193">
        <f t="shared" si="110"/>
        <v>0</v>
      </c>
      <c r="SO23" s="193">
        <f t="shared" si="110"/>
        <v>0</v>
      </c>
      <c r="SP23" s="193">
        <f t="shared" si="110"/>
        <v>0</v>
      </c>
      <c r="SQ23" s="193"/>
      <c r="SR23" s="193"/>
      <c r="SS23" s="195"/>
    </row>
    <row r="24" spans="1:513" s="171" customFormat="1" ht="23.25" customHeight="1">
      <c r="A24" s="168"/>
      <c r="B24" s="168"/>
      <c r="C24" s="168"/>
      <c r="D24" s="168"/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  <c r="V24" s="168"/>
      <c r="W24" s="168"/>
      <c r="X24" s="168"/>
      <c r="Y24" s="168"/>
      <c r="Z24" s="168"/>
      <c r="AA24" s="168"/>
      <c r="AB24" s="168"/>
      <c r="AC24" s="168"/>
      <c r="AD24" s="168"/>
      <c r="AE24" s="168"/>
      <c r="AF24" s="168"/>
      <c r="AG24" s="168"/>
      <c r="AH24" s="168"/>
      <c r="AI24" s="168"/>
      <c r="AJ24" s="168"/>
      <c r="AK24" s="168"/>
      <c r="AL24" s="168"/>
      <c r="AM24" s="168"/>
      <c r="AN24" s="168"/>
      <c r="AO24" s="168"/>
      <c r="AP24" s="168"/>
      <c r="AQ24" s="168"/>
      <c r="AR24" s="168"/>
      <c r="AS24" s="168"/>
      <c r="AT24" s="168"/>
      <c r="AU24" s="168"/>
      <c r="AV24" s="168"/>
      <c r="AW24" s="168"/>
      <c r="AX24" s="168"/>
      <c r="AY24" s="168"/>
      <c r="AZ24" s="168"/>
      <c r="BA24" s="168"/>
      <c r="BB24" s="168"/>
      <c r="BC24" s="168"/>
      <c r="BD24" s="168"/>
      <c r="BE24" s="168"/>
      <c r="BF24" s="168"/>
      <c r="BG24" s="168"/>
      <c r="BH24" s="168"/>
      <c r="BI24" s="168"/>
      <c r="BJ24" s="168"/>
      <c r="BK24" s="168"/>
      <c r="BL24" s="168"/>
      <c r="BM24" s="168"/>
      <c r="BN24" s="168"/>
      <c r="BO24" s="168"/>
      <c r="BP24" s="168"/>
      <c r="BQ24" s="168"/>
      <c r="BR24" s="168"/>
      <c r="BS24" s="168"/>
      <c r="BT24" s="168"/>
      <c r="BU24" s="168"/>
      <c r="BV24" s="168"/>
      <c r="BW24" s="168"/>
      <c r="BX24" s="168"/>
      <c r="BY24" s="168"/>
      <c r="BZ24" s="168"/>
      <c r="CA24" s="168"/>
      <c r="CB24" s="168"/>
      <c r="CC24" s="168"/>
      <c r="CD24" s="168"/>
      <c r="CE24" s="168"/>
      <c r="CF24" s="168"/>
      <c r="CG24" s="168"/>
      <c r="CH24" s="168"/>
      <c r="CI24" s="168"/>
      <c r="CJ24" s="168"/>
      <c r="CK24" s="168"/>
      <c r="CL24" s="168"/>
      <c r="CM24" s="168"/>
      <c r="CN24" s="168"/>
      <c r="CO24" s="168"/>
      <c r="CP24" s="168"/>
      <c r="CQ24" s="168"/>
      <c r="CR24" s="168"/>
      <c r="CS24" s="168"/>
      <c r="CT24" s="168"/>
      <c r="CU24" s="168"/>
      <c r="CV24" s="168"/>
      <c r="CW24" s="168"/>
      <c r="CX24" s="168"/>
      <c r="CY24" s="168"/>
      <c r="CZ24" s="168"/>
      <c r="DA24" s="168"/>
      <c r="DB24" s="168"/>
      <c r="DC24" s="168"/>
      <c r="DD24" s="168"/>
      <c r="DE24" s="168"/>
      <c r="DF24" s="168"/>
      <c r="DG24" s="168"/>
      <c r="DH24" s="168"/>
      <c r="DI24" s="168"/>
      <c r="DJ24" s="168"/>
      <c r="DK24" s="168"/>
      <c r="DL24" s="168"/>
      <c r="DM24" s="168"/>
      <c r="DN24" s="168"/>
      <c r="DO24" s="168"/>
      <c r="DP24" s="168"/>
      <c r="DQ24" s="168"/>
      <c r="DR24" s="168"/>
      <c r="DS24" s="168"/>
      <c r="DT24" s="168"/>
      <c r="DU24" s="168"/>
      <c r="DV24" s="168"/>
      <c r="DW24" s="168"/>
      <c r="DX24" s="168"/>
      <c r="DY24" s="168"/>
      <c r="DZ24" s="168"/>
      <c r="EA24" s="168"/>
      <c r="EB24" s="168"/>
      <c r="EC24" s="168"/>
      <c r="ED24" s="168"/>
      <c r="EE24" s="168"/>
      <c r="EF24" s="168"/>
      <c r="EG24" s="168"/>
      <c r="EH24" s="168"/>
      <c r="EI24" s="168"/>
      <c r="EJ24" s="168"/>
      <c r="EK24" s="168"/>
      <c r="EL24" s="168"/>
      <c r="EM24" s="168"/>
      <c r="EN24" s="168"/>
      <c r="EO24" s="168"/>
      <c r="EP24" s="168"/>
      <c r="EQ24" s="168"/>
      <c r="ER24" s="168"/>
      <c r="ES24" s="168"/>
      <c r="ET24" s="168"/>
      <c r="EU24" s="168"/>
      <c r="EV24" s="168"/>
      <c r="EW24" s="168"/>
      <c r="EX24" s="168"/>
      <c r="EY24" s="168"/>
      <c r="EZ24" s="168"/>
      <c r="FA24" s="168"/>
      <c r="FB24" s="168"/>
      <c r="FC24" s="168"/>
      <c r="FD24" s="168"/>
      <c r="FE24" s="168"/>
      <c r="FF24" s="168"/>
      <c r="FG24" s="168"/>
      <c r="FH24" s="168"/>
      <c r="FI24" s="168"/>
      <c r="FJ24" s="168"/>
      <c r="FK24" s="168"/>
      <c r="FL24" s="168"/>
      <c r="FM24" s="168"/>
      <c r="FN24" s="168"/>
      <c r="FO24" s="168"/>
      <c r="FP24" s="168"/>
      <c r="FQ24" s="168"/>
      <c r="FR24" s="168"/>
      <c r="FS24" s="168"/>
      <c r="FT24" s="168"/>
      <c r="FU24" s="168"/>
      <c r="FV24" s="168"/>
      <c r="FW24" s="168"/>
      <c r="FX24" s="168"/>
      <c r="FY24" s="168"/>
      <c r="FZ24" s="168"/>
      <c r="GA24" s="168"/>
      <c r="GB24" s="168"/>
      <c r="GC24" s="168"/>
      <c r="GD24" s="168"/>
      <c r="GE24" s="168"/>
      <c r="GF24" s="168"/>
      <c r="GG24" s="168"/>
      <c r="GH24" s="168"/>
      <c r="GI24" s="168"/>
      <c r="GJ24" s="168"/>
      <c r="GK24" s="168"/>
      <c r="GL24" s="168"/>
      <c r="GM24" s="168"/>
      <c r="GN24" s="168"/>
      <c r="GO24" s="168"/>
      <c r="GP24" s="168"/>
      <c r="GQ24" s="168"/>
      <c r="GR24" s="168"/>
      <c r="GS24" s="168"/>
      <c r="GT24" s="168"/>
      <c r="GU24" s="168"/>
      <c r="GV24" s="168"/>
      <c r="GW24" s="168"/>
      <c r="GX24" s="168"/>
      <c r="GY24" s="168"/>
      <c r="GZ24" s="168"/>
      <c r="HA24" s="168"/>
      <c r="HB24" s="168"/>
      <c r="HC24" s="168"/>
      <c r="HD24" s="168"/>
      <c r="HE24" s="168"/>
      <c r="HF24" s="168"/>
      <c r="HG24" s="168"/>
      <c r="HH24" s="168"/>
      <c r="HI24" s="168"/>
      <c r="HJ24" s="168"/>
      <c r="HK24" s="168"/>
      <c r="HL24" s="168"/>
      <c r="HM24" s="168"/>
      <c r="HN24" s="168"/>
      <c r="HO24" s="168"/>
      <c r="HP24" s="168"/>
      <c r="HQ24" s="168"/>
      <c r="HR24" s="168"/>
      <c r="HS24" s="168"/>
      <c r="HT24" s="168"/>
      <c r="HU24" s="168"/>
      <c r="HV24" s="168"/>
      <c r="HW24" s="168"/>
      <c r="HX24" s="168"/>
      <c r="HY24" s="168"/>
      <c r="HZ24" s="168"/>
      <c r="IA24" s="168"/>
      <c r="IB24" s="168"/>
      <c r="IC24" s="168"/>
      <c r="ID24" s="168"/>
      <c r="IE24" s="168"/>
      <c r="IF24" s="168"/>
      <c r="IG24" s="168"/>
      <c r="IH24" s="168"/>
      <c r="II24" s="168"/>
      <c r="IJ24" s="168"/>
      <c r="IK24" s="168"/>
      <c r="IL24" s="168"/>
      <c r="IM24" s="168"/>
      <c r="IN24" s="168"/>
      <c r="IO24" s="168"/>
      <c r="IP24" s="168"/>
      <c r="IQ24" s="168"/>
      <c r="IR24" s="168"/>
      <c r="IS24" s="168"/>
      <c r="IT24" s="168"/>
      <c r="IU24" s="168"/>
      <c r="IV24" s="168"/>
      <c r="IW24" s="168"/>
      <c r="IX24" s="168"/>
      <c r="IY24" s="168"/>
      <c r="IZ24" s="168"/>
      <c r="JA24" s="168"/>
      <c r="JB24" s="168"/>
      <c r="JC24" s="168"/>
      <c r="JD24" s="168"/>
      <c r="JE24" s="168"/>
      <c r="JF24" s="168"/>
      <c r="JG24" s="168"/>
      <c r="JH24" s="168"/>
      <c r="JI24" s="168"/>
      <c r="JJ24" s="168"/>
      <c r="JK24" s="168"/>
      <c r="JL24" s="168"/>
      <c r="JM24" s="168"/>
      <c r="JN24" s="168"/>
      <c r="JO24" s="168"/>
      <c r="JP24" s="168"/>
      <c r="JQ24" s="168"/>
      <c r="JR24" s="168"/>
      <c r="JS24" s="168"/>
      <c r="JT24" s="168"/>
      <c r="JU24" s="168"/>
      <c r="JV24" s="168"/>
      <c r="JW24" s="168"/>
      <c r="JX24" s="168"/>
      <c r="JY24" s="168"/>
      <c r="JZ24" s="168"/>
      <c r="KA24" s="168"/>
      <c r="KB24" s="168"/>
      <c r="KC24" s="168"/>
      <c r="KD24" s="168"/>
      <c r="KE24" s="168"/>
      <c r="KF24" s="168"/>
      <c r="KG24" s="168"/>
      <c r="KH24" s="168"/>
      <c r="KI24" s="168"/>
      <c r="KJ24" s="168"/>
      <c r="KK24" s="168"/>
      <c r="KL24" s="168"/>
      <c r="KM24" s="168"/>
      <c r="KN24" s="168"/>
      <c r="KO24" s="168"/>
      <c r="KP24" s="168"/>
      <c r="KQ24" s="168"/>
      <c r="KR24" s="168"/>
      <c r="KS24" s="168"/>
      <c r="KT24" s="168"/>
      <c r="KU24" s="168"/>
      <c r="KV24" s="168"/>
      <c r="KW24" s="168"/>
      <c r="KX24" s="168"/>
      <c r="KY24" s="168"/>
      <c r="KZ24" s="168"/>
      <c r="LA24" s="168"/>
      <c r="LB24" s="168"/>
      <c r="LC24" s="168"/>
      <c r="LD24" s="168"/>
      <c r="LE24" s="168"/>
      <c r="LF24" s="168"/>
      <c r="LG24" s="168"/>
      <c r="LH24" s="168"/>
      <c r="LI24" s="168"/>
      <c r="LJ24" s="168"/>
      <c r="LK24" s="168"/>
      <c r="LL24" s="168"/>
      <c r="LM24" s="168"/>
      <c r="LN24" s="168"/>
      <c r="LO24" s="168"/>
      <c r="LP24" s="168"/>
      <c r="LQ24" s="168"/>
      <c r="LR24" s="168"/>
      <c r="LS24" s="115"/>
      <c r="LT24" s="168"/>
      <c r="LU24" s="168"/>
      <c r="LV24" s="168"/>
      <c r="LW24" s="168"/>
      <c r="LX24" s="168"/>
      <c r="LY24" s="168"/>
      <c r="LZ24" s="168"/>
      <c r="MA24" s="168"/>
      <c r="MB24" s="168"/>
      <c r="MC24" s="168"/>
      <c r="MD24" s="168"/>
      <c r="ME24" s="168"/>
      <c r="MF24" s="168"/>
      <c r="MG24" s="168"/>
      <c r="MH24" s="168"/>
      <c r="MI24" s="168"/>
      <c r="MJ24" s="168"/>
      <c r="MK24" s="168"/>
      <c r="ML24" s="168"/>
      <c r="MM24" s="168"/>
      <c r="MN24" s="168"/>
      <c r="MO24" s="168"/>
      <c r="MP24" s="168"/>
      <c r="MQ24" s="168"/>
      <c r="MR24" s="168"/>
      <c r="MS24" s="168"/>
      <c r="MT24" s="168"/>
      <c r="MU24" s="168"/>
      <c r="MV24" s="168"/>
      <c r="MW24" s="168"/>
      <c r="MX24" s="168"/>
      <c r="MY24" s="168"/>
      <c r="MZ24" s="168"/>
      <c r="NA24" s="168"/>
      <c r="NB24" s="168"/>
      <c r="NC24" s="168"/>
      <c r="ND24" s="168"/>
      <c r="NE24" s="168"/>
      <c r="NF24" s="168"/>
      <c r="NG24" s="168"/>
      <c r="NH24" s="168"/>
      <c r="NI24" s="168"/>
      <c r="NJ24" s="168"/>
      <c r="NK24" s="168"/>
      <c r="NL24" s="168"/>
      <c r="NM24" s="168"/>
      <c r="NN24" s="168"/>
      <c r="NO24" s="168"/>
      <c r="NP24" s="168"/>
      <c r="NQ24" s="168"/>
      <c r="NR24" s="168"/>
      <c r="NS24" s="168"/>
      <c r="NT24" s="168"/>
      <c r="NU24" s="168"/>
      <c r="NV24" s="168"/>
      <c r="NW24" s="168"/>
      <c r="NX24" s="168"/>
      <c r="NY24" s="168"/>
      <c r="NZ24" s="168"/>
      <c r="OA24" s="168"/>
      <c r="OB24" s="168"/>
      <c r="OC24" s="168"/>
      <c r="OD24" s="168"/>
      <c r="OE24" s="168"/>
      <c r="OF24" s="168"/>
      <c r="OG24" s="168"/>
      <c r="OH24" s="168"/>
      <c r="OI24" s="168"/>
      <c r="OJ24" s="168"/>
      <c r="OK24" s="168"/>
      <c r="OL24" s="168"/>
      <c r="OM24" s="168"/>
      <c r="ON24" s="168"/>
      <c r="OO24" s="168"/>
      <c r="OP24" s="168"/>
      <c r="OQ24" s="168"/>
      <c r="OR24" s="168"/>
      <c r="OS24" s="168"/>
      <c r="OT24" s="168"/>
      <c r="OU24" s="169"/>
      <c r="OV24" s="169"/>
      <c r="OW24" s="169"/>
      <c r="OX24" s="169"/>
      <c r="OY24" s="169"/>
      <c r="OZ24" s="169"/>
      <c r="PA24" s="169"/>
      <c r="PB24" s="169"/>
      <c r="PC24" s="169"/>
      <c r="PD24" s="169"/>
      <c r="PE24" s="169"/>
      <c r="PF24" s="169"/>
      <c r="PG24" s="169"/>
      <c r="PH24" s="169"/>
      <c r="PI24" s="169"/>
      <c r="PJ24" s="169"/>
      <c r="PK24" s="169"/>
      <c r="PL24" s="169"/>
      <c r="PM24" s="169"/>
      <c r="PN24" s="169"/>
      <c r="PO24" s="169"/>
      <c r="PP24" s="169"/>
      <c r="PQ24" s="169"/>
      <c r="PR24" s="169"/>
      <c r="PS24" s="169"/>
      <c r="PT24" s="169"/>
      <c r="PU24" s="169"/>
      <c r="PV24" s="169"/>
      <c r="PW24" s="169"/>
      <c r="PX24" s="169"/>
      <c r="PY24" s="169"/>
      <c r="PZ24" s="169"/>
      <c r="QA24" s="169"/>
      <c r="QB24" s="169"/>
      <c r="QC24" s="169"/>
      <c r="QD24" s="169"/>
      <c r="QE24" s="169"/>
      <c r="QF24" s="169"/>
      <c r="QG24" s="169"/>
      <c r="QH24" s="169"/>
      <c r="QI24" s="169"/>
      <c r="QJ24" s="169"/>
      <c r="QK24" s="169"/>
      <c r="QL24" s="169"/>
      <c r="QM24" s="169"/>
      <c r="QN24" s="169"/>
      <c r="QO24" s="169"/>
      <c r="QP24" s="169"/>
      <c r="QQ24" s="169"/>
      <c r="QR24" s="169"/>
      <c r="QS24" s="169"/>
      <c r="QT24" s="169"/>
      <c r="QU24" s="169"/>
      <c r="QV24" s="169"/>
      <c r="QW24" s="169"/>
      <c r="QX24" s="169"/>
      <c r="QY24" s="169"/>
      <c r="QZ24" s="169"/>
      <c r="RA24" s="169"/>
      <c r="RB24" s="169"/>
      <c r="RC24" s="169"/>
      <c r="RD24" s="169"/>
      <c r="RE24" s="169"/>
      <c r="RF24" s="169"/>
      <c r="RG24" s="169"/>
      <c r="RH24" s="169"/>
      <c r="RI24" s="169"/>
      <c r="RJ24" s="169"/>
      <c r="RK24" s="169"/>
      <c r="RL24" s="169"/>
      <c r="RM24" s="169"/>
      <c r="RN24" s="169"/>
      <c r="RO24" s="168"/>
      <c r="RP24" s="168"/>
      <c r="RQ24" s="168"/>
      <c r="RR24" s="168"/>
      <c r="RS24" s="168"/>
      <c r="RT24" s="168"/>
      <c r="RU24" s="170"/>
      <c r="RV24" s="170"/>
      <c r="RW24" s="170"/>
      <c r="RX24" s="170"/>
      <c r="RY24" s="170"/>
      <c r="RZ24" s="170"/>
      <c r="SA24" s="169"/>
      <c r="SB24" s="169"/>
      <c r="SC24" s="169"/>
      <c r="SD24" s="169"/>
      <c r="SE24" s="169"/>
      <c r="SF24" s="169"/>
      <c r="SG24" s="169"/>
      <c r="SH24" s="169"/>
      <c r="SI24" s="169"/>
      <c r="SJ24" s="169"/>
      <c r="SK24" s="169"/>
      <c r="SL24" s="169"/>
      <c r="SM24" s="169"/>
      <c r="SN24" s="169"/>
      <c r="SO24" s="169"/>
      <c r="SP24" s="169"/>
      <c r="SQ24" s="169"/>
      <c r="SR24" s="169"/>
      <c r="SS24" s="175"/>
    </row>
    <row r="25" spans="1:513" s="171" customFormat="1" ht="23.25" customHeight="1">
      <c r="A25" s="168"/>
      <c r="B25" s="168"/>
      <c r="C25" s="168"/>
      <c r="D25" s="168"/>
      <c r="E25" s="168"/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8"/>
      <c r="W25" s="168"/>
      <c r="X25" s="168"/>
      <c r="Y25" s="168"/>
      <c r="Z25" s="168"/>
      <c r="AA25" s="168"/>
      <c r="AB25" s="168"/>
      <c r="AC25" s="168"/>
      <c r="AD25" s="168"/>
      <c r="AE25" s="168"/>
      <c r="AF25" s="168"/>
      <c r="AG25" s="168"/>
      <c r="AH25" s="168"/>
      <c r="AI25" s="168"/>
      <c r="AJ25" s="168"/>
      <c r="AK25" s="168"/>
      <c r="AL25" s="168"/>
      <c r="AM25" s="168"/>
      <c r="AN25" s="168"/>
      <c r="AO25" s="168"/>
      <c r="AP25" s="168"/>
      <c r="AQ25" s="168"/>
      <c r="AR25" s="168"/>
      <c r="AS25" s="168"/>
      <c r="AT25" s="168"/>
      <c r="AU25" s="168"/>
      <c r="AV25" s="168"/>
      <c r="AW25" s="168"/>
      <c r="AX25" s="168"/>
      <c r="AY25" s="168"/>
      <c r="AZ25" s="168"/>
      <c r="BA25" s="168"/>
      <c r="BB25" s="168"/>
      <c r="BC25" s="168"/>
      <c r="BD25" s="168"/>
      <c r="BE25" s="168"/>
      <c r="BF25" s="168"/>
      <c r="BG25" s="168"/>
      <c r="BH25" s="168"/>
      <c r="BI25" s="168"/>
      <c r="BJ25" s="168"/>
      <c r="BK25" s="168"/>
      <c r="BL25" s="168"/>
      <c r="BM25" s="168"/>
      <c r="BN25" s="168"/>
      <c r="BO25" s="168"/>
      <c r="BP25" s="168"/>
      <c r="BQ25" s="168"/>
      <c r="BR25" s="168"/>
      <c r="BS25" s="168"/>
      <c r="BT25" s="168"/>
      <c r="BU25" s="168"/>
      <c r="BV25" s="168"/>
      <c r="BW25" s="168"/>
      <c r="BX25" s="168"/>
      <c r="BY25" s="168"/>
      <c r="BZ25" s="168"/>
      <c r="CA25" s="168"/>
      <c r="CB25" s="168"/>
      <c r="CC25" s="168"/>
      <c r="CD25" s="168"/>
      <c r="CE25" s="168"/>
      <c r="CF25" s="168"/>
      <c r="CG25" s="168"/>
      <c r="CH25" s="168"/>
      <c r="CI25" s="168"/>
      <c r="CJ25" s="168"/>
      <c r="CK25" s="168"/>
      <c r="CL25" s="168"/>
      <c r="CM25" s="168"/>
      <c r="CN25" s="168"/>
      <c r="CO25" s="168"/>
      <c r="CP25" s="168"/>
      <c r="CQ25" s="168"/>
      <c r="CR25" s="168"/>
      <c r="CS25" s="168"/>
      <c r="CT25" s="168"/>
      <c r="CU25" s="168"/>
      <c r="CV25" s="168"/>
      <c r="CW25" s="168"/>
      <c r="CX25" s="168"/>
      <c r="CY25" s="168"/>
      <c r="CZ25" s="168"/>
      <c r="DA25" s="168"/>
      <c r="DB25" s="168"/>
      <c r="DC25" s="168"/>
      <c r="DD25" s="168"/>
      <c r="DE25" s="168"/>
      <c r="DF25" s="168"/>
      <c r="DG25" s="168"/>
      <c r="DH25" s="168"/>
      <c r="DI25" s="168"/>
      <c r="DJ25" s="168"/>
      <c r="DK25" s="168"/>
      <c r="DL25" s="168"/>
      <c r="DM25" s="168"/>
      <c r="DN25" s="168"/>
      <c r="DO25" s="168"/>
      <c r="DP25" s="168"/>
      <c r="DQ25" s="168"/>
      <c r="DR25" s="168"/>
      <c r="DS25" s="168"/>
      <c r="DT25" s="168"/>
      <c r="DU25" s="168"/>
      <c r="DV25" s="168"/>
      <c r="DW25" s="168"/>
      <c r="DX25" s="168"/>
      <c r="DY25" s="168"/>
      <c r="DZ25" s="168"/>
      <c r="EA25" s="168"/>
      <c r="EB25" s="168"/>
      <c r="EC25" s="168"/>
      <c r="ED25" s="168"/>
      <c r="EE25" s="168"/>
      <c r="EF25" s="168"/>
      <c r="EG25" s="168"/>
      <c r="EH25" s="168"/>
      <c r="EI25" s="168"/>
      <c r="EJ25" s="168"/>
      <c r="EK25" s="168"/>
      <c r="EL25" s="168"/>
      <c r="EM25" s="168"/>
      <c r="EN25" s="168"/>
      <c r="EO25" s="168"/>
      <c r="EP25" s="168"/>
      <c r="EQ25" s="168"/>
      <c r="ER25" s="168"/>
      <c r="ES25" s="168"/>
      <c r="ET25" s="168"/>
      <c r="EU25" s="168"/>
      <c r="EV25" s="168"/>
      <c r="EW25" s="168"/>
      <c r="EX25" s="168"/>
      <c r="EY25" s="168"/>
      <c r="EZ25" s="168"/>
      <c r="FA25" s="168"/>
      <c r="FB25" s="168"/>
      <c r="FC25" s="168"/>
      <c r="FD25" s="168"/>
      <c r="FE25" s="168"/>
      <c r="FF25" s="168"/>
      <c r="FG25" s="168"/>
      <c r="FH25" s="168"/>
      <c r="FI25" s="168"/>
      <c r="FJ25" s="168"/>
      <c r="FK25" s="168"/>
      <c r="FL25" s="168"/>
      <c r="FM25" s="168"/>
      <c r="FN25" s="168"/>
      <c r="FO25" s="168"/>
      <c r="FP25" s="168"/>
      <c r="FQ25" s="168"/>
      <c r="FR25" s="168"/>
      <c r="FS25" s="168"/>
      <c r="FT25" s="168"/>
      <c r="FU25" s="168"/>
      <c r="FV25" s="168"/>
      <c r="FW25" s="168"/>
      <c r="FX25" s="168"/>
      <c r="FY25" s="168"/>
      <c r="FZ25" s="168"/>
      <c r="GA25" s="168"/>
      <c r="GB25" s="168"/>
      <c r="GC25" s="168"/>
      <c r="GD25" s="168"/>
      <c r="GE25" s="168"/>
      <c r="GF25" s="168"/>
      <c r="GG25" s="168"/>
      <c r="GH25" s="168"/>
      <c r="GI25" s="168"/>
      <c r="GJ25" s="168"/>
      <c r="GK25" s="168"/>
      <c r="GL25" s="168"/>
      <c r="GM25" s="168"/>
      <c r="GN25" s="168"/>
      <c r="GO25" s="168"/>
      <c r="GP25" s="168"/>
      <c r="GQ25" s="168"/>
      <c r="GR25" s="168"/>
      <c r="GS25" s="168"/>
      <c r="GT25" s="168"/>
      <c r="GU25" s="168"/>
      <c r="GV25" s="168"/>
      <c r="GW25" s="168"/>
      <c r="GX25" s="168"/>
      <c r="GY25" s="168"/>
      <c r="GZ25" s="168"/>
      <c r="HA25" s="168"/>
      <c r="HB25" s="168"/>
      <c r="HC25" s="168"/>
      <c r="HD25" s="168"/>
      <c r="HE25" s="168"/>
      <c r="HF25" s="168"/>
      <c r="HG25" s="168"/>
      <c r="HH25" s="168"/>
      <c r="HI25" s="168"/>
      <c r="HJ25" s="168"/>
      <c r="HK25" s="168"/>
      <c r="HL25" s="168"/>
      <c r="HM25" s="168"/>
      <c r="HN25" s="168"/>
      <c r="HO25" s="168"/>
      <c r="HP25" s="168"/>
      <c r="HQ25" s="168"/>
      <c r="HR25" s="168"/>
      <c r="HS25" s="168"/>
      <c r="HT25" s="168"/>
      <c r="HU25" s="168"/>
      <c r="HV25" s="168"/>
      <c r="HW25" s="168"/>
      <c r="HX25" s="168"/>
      <c r="HY25" s="168"/>
      <c r="HZ25" s="168"/>
      <c r="IA25" s="168"/>
      <c r="IB25" s="168"/>
      <c r="IC25" s="168"/>
      <c r="ID25" s="168"/>
      <c r="IE25" s="168"/>
      <c r="IF25" s="168"/>
      <c r="IG25" s="168"/>
      <c r="IH25" s="168"/>
      <c r="II25" s="168"/>
      <c r="IJ25" s="168"/>
      <c r="IK25" s="168"/>
      <c r="IL25" s="168"/>
      <c r="IM25" s="168"/>
      <c r="IN25" s="168"/>
      <c r="IO25" s="168"/>
      <c r="IP25" s="168"/>
      <c r="IQ25" s="168"/>
      <c r="IR25" s="168"/>
      <c r="IS25" s="168"/>
      <c r="IT25" s="168"/>
      <c r="IU25" s="168"/>
      <c r="IV25" s="168"/>
      <c r="IW25" s="168"/>
      <c r="IX25" s="168"/>
      <c r="IY25" s="168"/>
      <c r="IZ25" s="168"/>
      <c r="JA25" s="168"/>
      <c r="JB25" s="168"/>
      <c r="JC25" s="168"/>
      <c r="JD25" s="168"/>
      <c r="JE25" s="168"/>
      <c r="JF25" s="168"/>
      <c r="JG25" s="168"/>
      <c r="JH25" s="168"/>
      <c r="JI25" s="168"/>
      <c r="JJ25" s="168"/>
      <c r="JK25" s="168"/>
      <c r="JL25" s="168"/>
      <c r="JM25" s="168"/>
      <c r="JN25" s="168"/>
      <c r="JO25" s="168"/>
      <c r="JP25" s="168"/>
      <c r="JQ25" s="168"/>
      <c r="JR25" s="168"/>
      <c r="JS25" s="168"/>
      <c r="JT25" s="168"/>
      <c r="JU25" s="168"/>
      <c r="JV25" s="168"/>
      <c r="JW25" s="168"/>
      <c r="JX25" s="168"/>
      <c r="JY25" s="168"/>
      <c r="JZ25" s="168"/>
      <c r="KA25" s="168"/>
      <c r="KB25" s="168"/>
      <c r="KC25" s="168"/>
      <c r="KD25" s="168"/>
      <c r="KE25" s="168"/>
      <c r="KF25" s="168"/>
      <c r="KG25" s="168"/>
      <c r="KH25" s="168"/>
      <c r="KI25" s="168"/>
      <c r="KJ25" s="168"/>
      <c r="KK25" s="168"/>
      <c r="KL25" s="168"/>
      <c r="KM25" s="168"/>
      <c r="KN25" s="168"/>
      <c r="KO25" s="168"/>
      <c r="KP25" s="168"/>
      <c r="KQ25" s="168"/>
      <c r="KR25" s="168"/>
      <c r="KS25" s="168"/>
      <c r="KT25" s="168"/>
      <c r="KU25" s="168"/>
      <c r="KV25" s="168"/>
      <c r="KW25" s="168"/>
      <c r="KX25" s="168"/>
      <c r="KY25" s="168"/>
      <c r="KZ25" s="168"/>
      <c r="LA25" s="168"/>
      <c r="LB25" s="168"/>
      <c r="LC25" s="168"/>
      <c r="LD25" s="168"/>
      <c r="LE25" s="168"/>
      <c r="LF25" s="168"/>
      <c r="LG25" s="168"/>
      <c r="LH25" s="168"/>
      <c r="LI25" s="168"/>
      <c r="LJ25" s="168"/>
      <c r="LK25" s="168"/>
      <c r="LL25" s="168"/>
      <c r="LM25" s="168"/>
      <c r="LN25" s="168"/>
      <c r="LO25" s="168"/>
      <c r="LP25" s="168"/>
      <c r="LQ25" s="168"/>
      <c r="LR25" s="168"/>
      <c r="LS25" s="168"/>
      <c r="LT25" s="168"/>
      <c r="LU25" s="168"/>
      <c r="LV25" s="168"/>
      <c r="LW25" s="168"/>
      <c r="LX25" s="168"/>
      <c r="LY25" s="168"/>
      <c r="LZ25" s="168"/>
      <c r="MA25" s="168"/>
      <c r="MB25" s="168"/>
      <c r="MC25" s="168"/>
      <c r="MD25" s="168"/>
      <c r="ME25" s="168"/>
      <c r="MF25" s="168"/>
      <c r="MG25" s="168"/>
      <c r="MH25" s="168"/>
      <c r="MI25" s="168"/>
      <c r="MJ25" s="168"/>
      <c r="MK25" s="168"/>
      <c r="ML25" s="168"/>
      <c r="MM25" s="168"/>
      <c r="MN25" s="168"/>
      <c r="MO25" s="168"/>
      <c r="MP25" s="168"/>
      <c r="MQ25" s="168"/>
      <c r="MR25" s="168"/>
      <c r="MS25" s="168"/>
      <c r="MT25" s="168"/>
      <c r="MU25" s="168"/>
      <c r="MV25" s="168"/>
      <c r="MW25" s="168"/>
      <c r="MX25" s="168"/>
      <c r="MY25" s="168"/>
      <c r="MZ25" s="168"/>
      <c r="NA25" s="168"/>
      <c r="NB25" s="168"/>
      <c r="NC25" s="168"/>
      <c r="ND25" s="168"/>
      <c r="NE25" s="168"/>
      <c r="NF25" s="168"/>
      <c r="NG25" s="168"/>
      <c r="NH25" s="168"/>
      <c r="NI25" s="168"/>
      <c r="NJ25" s="168"/>
      <c r="NK25" s="168"/>
      <c r="NL25" s="168"/>
      <c r="NM25" s="168"/>
      <c r="NN25" s="168"/>
      <c r="NO25" s="168"/>
      <c r="NP25" s="168"/>
      <c r="NQ25" s="168"/>
      <c r="NR25" s="168"/>
      <c r="NS25" s="168"/>
      <c r="NT25" s="168"/>
      <c r="NU25" s="168"/>
      <c r="NV25" s="168"/>
      <c r="NW25" s="168"/>
      <c r="NX25" s="168"/>
      <c r="NY25" s="168"/>
      <c r="NZ25" s="168"/>
      <c r="OA25" s="168"/>
      <c r="OB25" s="168"/>
      <c r="OC25" s="168"/>
      <c r="OD25" s="168"/>
      <c r="OE25" s="168"/>
      <c r="OF25" s="168"/>
      <c r="OG25" s="168"/>
      <c r="OH25" s="168"/>
      <c r="OI25" s="168"/>
      <c r="OJ25" s="168"/>
      <c r="OK25" s="168"/>
      <c r="OL25" s="168"/>
      <c r="OM25" s="168"/>
      <c r="ON25" s="168"/>
      <c r="OO25" s="168"/>
      <c r="OP25" s="168"/>
      <c r="OQ25" s="168"/>
      <c r="OR25" s="168"/>
      <c r="OS25" s="168"/>
      <c r="OT25" s="168"/>
      <c r="OU25" s="169"/>
      <c r="OV25" s="169"/>
      <c r="OW25" s="169"/>
      <c r="OX25" s="169"/>
      <c r="OY25" s="169"/>
      <c r="OZ25" s="169"/>
      <c r="PA25" s="169"/>
      <c r="PB25" s="169"/>
      <c r="PC25" s="169"/>
      <c r="PD25" s="169"/>
      <c r="PE25" s="169"/>
      <c r="PF25" s="169"/>
      <c r="PG25" s="169"/>
      <c r="PH25" s="169"/>
      <c r="PI25" s="169"/>
      <c r="PJ25" s="169"/>
      <c r="PK25" s="169"/>
      <c r="PL25" s="169"/>
      <c r="PM25" s="169"/>
      <c r="PN25" s="169"/>
      <c r="PO25" s="169"/>
      <c r="PP25" s="169"/>
      <c r="PQ25" s="169"/>
      <c r="PR25" s="169"/>
      <c r="PS25" s="169"/>
      <c r="PT25" s="169"/>
      <c r="PU25" s="169"/>
      <c r="PV25" s="169"/>
      <c r="PW25" s="169"/>
      <c r="PX25" s="169"/>
      <c r="PY25" s="169"/>
      <c r="PZ25" s="169"/>
      <c r="QA25" s="169"/>
      <c r="QB25" s="169"/>
      <c r="QC25" s="169"/>
      <c r="QD25" s="169"/>
      <c r="QE25" s="169"/>
      <c r="QF25" s="169"/>
      <c r="QG25" s="169"/>
      <c r="QH25" s="169"/>
      <c r="QI25" s="169"/>
      <c r="QJ25" s="169"/>
      <c r="QK25" s="169"/>
      <c r="QL25" s="169"/>
      <c r="QM25" s="169"/>
      <c r="QN25" s="169"/>
      <c r="QO25" s="169"/>
      <c r="QP25" s="169"/>
      <c r="QQ25" s="169"/>
      <c r="QR25" s="169"/>
      <c r="QS25" s="169"/>
      <c r="QT25" s="169"/>
      <c r="QU25" s="169"/>
      <c r="QV25" s="169"/>
      <c r="QW25" s="169"/>
      <c r="QX25" s="169"/>
      <c r="QY25" s="169"/>
      <c r="QZ25" s="169"/>
      <c r="RA25" s="169"/>
      <c r="RB25" s="169"/>
      <c r="RC25" s="169"/>
      <c r="RD25" s="169"/>
      <c r="RE25" s="169"/>
      <c r="RF25" s="169"/>
      <c r="RG25" s="169"/>
      <c r="RH25" s="169"/>
      <c r="RI25" s="169"/>
      <c r="RJ25" s="169"/>
      <c r="RK25" s="169"/>
      <c r="RL25" s="169"/>
      <c r="RM25" s="169"/>
      <c r="RN25" s="169"/>
      <c r="RO25" s="168"/>
      <c r="RP25" s="168"/>
      <c r="RQ25" s="168"/>
      <c r="RR25" s="168"/>
      <c r="RS25" s="168"/>
      <c r="RT25" s="168"/>
      <c r="RU25" s="170"/>
      <c r="RV25" s="170"/>
      <c r="RW25" s="170"/>
      <c r="RX25" s="170"/>
      <c r="RY25" s="170"/>
      <c r="RZ25" s="170"/>
      <c r="SA25" s="169"/>
      <c r="SB25" s="169"/>
      <c r="SC25" s="169"/>
      <c r="SD25" s="169"/>
      <c r="SE25" s="169"/>
      <c r="SF25" s="169"/>
      <c r="SG25" s="169"/>
      <c r="SH25" s="169"/>
      <c r="SI25" s="169"/>
      <c r="SJ25" s="169"/>
      <c r="SK25" s="169"/>
      <c r="SL25" s="169"/>
      <c r="SM25" s="169"/>
      <c r="SN25" s="169"/>
      <c r="SO25" s="169"/>
      <c r="SP25" s="169"/>
      <c r="SQ25" s="169"/>
      <c r="SR25" s="169"/>
      <c r="SS25" s="175"/>
    </row>
    <row r="26" spans="1:513" ht="23.25" customHeight="1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  <c r="BF26" s="115"/>
      <c r="BG26" s="115"/>
      <c r="BH26" s="115"/>
      <c r="BI26" s="115"/>
      <c r="BJ26" s="115"/>
      <c r="BK26" s="115"/>
      <c r="BL26" s="115"/>
      <c r="BM26" s="115"/>
      <c r="BN26" s="115"/>
      <c r="BO26" s="115"/>
      <c r="BP26" s="115"/>
      <c r="BQ26" s="115"/>
      <c r="BR26" s="115"/>
      <c r="BS26" s="115"/>
      <c r="BT26" s="115"/>
      <c r="BU26" s="115"/>
      <c r="BV26" s="115"/>
      <c r="BW26" s="115"/>
      <c r="BX26" s="115"/>
      <c r="BY26" s="115"/>
      <c r="BZ26" s="115"/>
      <c r="CA26" s="115"/>
      <c r="CB26" s="115"/>
      <c r="CC26" s="115"/>
      <c r="CD26" s="115"/>
      <c r="CE26" s="115"/>
      <c r="CF26" s="115"/>
      <c r="CG26" s="115"/>
      <c r="CH26" s="115"/>
      <c r="CI26" s="115"/>
      <c r="CJ26" s="115"/>
      <c r="CK26" s="115"/>
      <c r="CL26" s="115"/>
      <c r="CM26" s="115"/>
      <c r="CN26" s="115"/>
      <c r="CO26" s="115"/>
      <c r="CP26" s="115"/>
      <c r="CQ26" s="115"/>
      <c r="CR26" s="115"/>
      <c r="CS26" s="115"/>
      <c r="CT26" s="115"/>
      <c r="CU26" s="115"/>
      <c r="CV26" s="115"/>
      <c r="CW26" s="115"/>
      <c r="CX26" s="115"/>
      <c r="CY26" s="115"/>
      <c r="CZ26" s="115"/>
      <c r="DA26" s="115"/>
      <c r="DB26" s="115"/>
      <c r="DC26" s="115"/>
      <c r="DD26" s="115"/>
      <c r="DE26" s="115"/>
      <c r="DF26" s="115"/>
      <c r="DG26" s="115"/>
      <c r="DH26" s="115"/>
      <c r="DI26" s="115"/>
      <c r="DJ26" s="115"/>
      <c r="DK26" s="115"/>
      <c r="DL26" s="115"/>
      <c r="DM26" s="115"/>
      <c r="DN26" s="115"/>
      <c r="DO26" s="115"/>
      <c r="DP26" s="115"/>
      <c r="DQ26" s="115"/>
      <c r="DR26" s="115"/>
      <c r="DS26" s="115"/>
      <c r="DT26" s="115"/>
      <c r="DU26" s="115"/>
      <c r="DV26" s="115"/>
      <c r="DW26" s="115"/>
      <c r="DX26" s="115"/>
      <c r="DY26" s="115"/>
      <c r="DZ26" s="115"/>
      <c r="EA26" s="115"/>
      <c r="EB26" s="115"/>
      <c r="EC26" s="115"/>
      <c r="ED26" s="115"/>
      <c r="EE26" s="115"/>
      <c r="EF26" s="115"/>
      <c r="EG26" s="115"/>
      <c r="EH26" s="115"/>
      <c r="EI26" s="115"/>
      <c r="EJ26" s="115"/>
      <c r="EK26" s="115"/>
      <c r="EL26" s="115"/>
      <c r="EM26" s="115"/>
      <c r="EN26" s="115"/>
      <c r="EO26" s="115"/>
      <c r="EP26" s="115"/>
      <c r="EQ26" s="115"/>
      <c r="ER26" s="115"/>
      <c r="ES26" s="115"/>
      <c r="ET26" s="115"/>
      <c r="EU26" s="115"/>
      <c r="EV26" s="115"/>
      <c r="EW26" s="115"/>
      <c r="EX26" s="115"/>
      <c r="EY26" s="115"/>
      <c r="EZ26" s="115"/>
      <c r="FA26" s="115"/>
      <c r="FB26" s="115"/>
      <c r="FC26" s="115"/>
      <c r="FD26" s="115"/>
      <c r="FE26" s="115"/>
      <c r="FF26" s="115"/>
      <c r="FG26" s="115"/>
      <c r="FH26" s="115"/>
      <c r="FI26" s="115"/>
      <c r="FJ26" s="115"/>
      <c r="FK26" s="115"/>
      <c r="FL26" s="115"/>
      <c r="FM26" s="115"/>
      <c r="FN26" s="115"/>
      <c r="FO26" s="115"/>
      <c r="FP26" s="115"/>
      <c r="FQ26" s="115"/>
      <c r="FR26" s="115"/>
      <c r="FS26" s="115"/>
      <c r="FT26" s="115"/>
      <c r="FU26" s="115"/>
      <c r="FV26" s="115"/>
      <c r="FW26" s="115"/>
      <c r="FX26" s="115"/>
      <c r="FY26" s="115"/>
      <c r="FZ26" s="115"/>
      <c r="GA26" s="115"/>
      <c r="GB26" s="115"/>
      <c r="GC26" s="115"/>
      <c r="GD26" s="115"/>
      <c r="GE26" s="115"/>
      <c r="GF26" s="115"/>
      <c r="GG26" s="115"/>
      <c r="GH26" s="115"/>
      <c r="GI26" s="115"/>
      <c r="GJ26" s="115"/>
      <c r="GK26" s="115"/>
      <c r="GL26" s="115"/>
      <c r="GM26" s="115"/>
      <c r="GN26" s="115"/>
      <c r="GO26" s="115"/>
      <c r="GP26" s="115"/>
      <c r="GQ26" s="115"/>
      <c r="GR26" s="115"/>
      <c r="GS26" s="115"/>
      <c r="GT26" s="115"/>
      <c r="GU26" s="115"/>
      <c r="GV26" s="115"/>
      <c r="GW26" s="115"/>
      <c r="GX26" s="115"/>
      <c r="GY26" s="115"/>
      <c r="GZ26" s="115"/>
      <c r="HA26" s="115"/>
      <c r="HB26" s="115"/>
      <c r="HC26" s="115"/>
      <c r="HD26" s="115"/>
      <c r="HE26" s="115"/>
      <c r="HF26" s="115"/>
      <c r="HG26" s="115"/>
      <c r="HH26" s="115"/>
      <c r="HI26" s="115"/>
      <c r="HJ26" s="115"/>
      <c r="HK26" s="115"/>
      <c r="HL26" s="115"/>
      <c r="HM26" s="115"/>
      <c r="HN26" s="115"/>
      <c r="HO26" s="115"/>
      <c r="HP26" s="115"/>
      <c r="HQ26" s="115"/>
      <c r="HR26" s="115"/>
      <c r="HS26" s="115"/>
      <c r="HT26" s="115"/>
      <c r="HU26" s="115"/>
      <c r="HV26" s="115"/>
      <c r="HW26" s="115"/>
      <c r="HX26" s="115"/>
      <c r="HY26" s="115"/>
      <c r="HZ26" s="115"/>
      <c r="IA26" s="115"/>
      <c r="IB26" s="115"/>
      <c r="IC26" s="115"/>
      <c r="ID26" s="115"/>
      <c r="IE26" s="115"/>
      <c r="IF26" s="115"/>
      <c r="IG26" s="115"/>
      <c r="IH26" s="115"/>
      <c r="II26" s="115"/>
      <c r="IJ26" s="115"/>
      <c r="IK26" s="115"/>
      <c r="IL26" s="115"/>
      <c r="IM26" s="115"/>
      <c r="IN26" s="115"/>
      <c r="IO26" s="115"/>
      <c r="IP26" s="115"/>
      <c r="IQ26" s="115"/>
      <c r="IR26" s="115"/>
      <c r="IS26" s="115"/>
      <c r="IT26" s="115"/>
      <c r="IU26" s="115"/>
      <c r="IV26" s="115"/>
      <c r="IW26" s="115"/>
      <c r="IX26" s="115"/>
      <c r="IY26" s="115"/>
      <c r="IZ26" s="115"/>
      <c r="JA26" s="115"/>
      <c r="JB26" s="115"/>
      <c r="JC26" s="115"/>
      <c r="JD26" s="115"/>
      <c r="JE26" s="115"/>
      <c r="JF26" s="115"/>
      <c r="JG26" s="115"/>
      <c r="JH26" s="115"/>
      <c r="JI26" s="115"/>
      <c r="JJ26" s="115"/>
      <c r="JK26" s="115"/>
      <c r="JL26" s="115"/>
      <c r="JM26" s="115"/>
      <c r="JN26" s="115"/>
      <c r="JO26" s="115"/>
      <c r="JP26" s="115"/>
      <c r="JQ26" s="115"/>
      <c r="JR26" s="115"/>
      <c r="JS26" s="115"/>
      <c r="JT26" s="115"/>
      <c r="JU26" s="115"/>
      <c r="JV26" s="115"/>
      <c r="JW26" s="115"/>
      <c r="JX26" s="115"/>
      <c r="JY26" s="115"/>
      <c r="JZ26" s="115"/>
      <c r="KA26" s="115"/>
      <c r="KB26" s="115"/>
      <c r="KC26" s="115"/>
      <c r="KD26" s="115"/>
      <c r="KE26" s="115"/>
      <c r="KF26" s="115"/>
      <c r="KG26" s="115"/>
      <c r="KH26" s="115"/>
      <c r="KI26" s="115"/>
      <c r="KJ26" s="115"/>
      <c r="KK26" s="115"/>
      <c r="KL26" s="115"/>
      <c r="KM26" s="115"/>
      <c r="KN26" s="115"/>
      <c r="KO26" s="115"/>
      <c r="KP26" s="115"/>
      <c r="KQ26" s="115"/>
      <c r="KR26" s="115"/>
      <c r="KS26" s="115"/>
      <c r="KT26" s="115"/>
      <c r="KU26" s="115"/>
      <c r="KV26" s="115"/>
      <c r="KW26" s="115"/>
      <c r="KX26" s="115"/>
      <c r="KY26" s="115"/>
      <c r="KZ26" s="115"/>
      <c r="LA26" s="115"/>
      <c r="LB26" s="115"/>
      <c r="LC26" s="115"/>
      <c r="LD26" s="115"/>
      <c r="LE26" s="115"/>
      <c r="LF26" s="115"/>
      <c r="LG26" s="115"/>
      <c r="LH26" s="115"/>
      <c r="LI26" s="115"/>
      <c r="LJ26" s="115"/>
      <c r="LK26" s="115"/>
      <c r="LL26" s="115"/>
      <c r="LM26" s="115"/>
      <c r="LN26" s="115"/>
      <c r="LO26" s="115"/>
      <c r="LP26" s="115"/>
      <c r="LQ26" s="168"/>
      <c r="LR26" s="168"/>
      <c r="LS26" s="115"/>
      <c r="LT26" s="115"/>
      <c r="LU26" s="115"/>
      <c r="LV26" s="115"/>
      <c r="LW26" s="115"/>
      <c r="LX26" s="115"/>
      <c r="LY26" s="115"/>
      <c r="LZ26" s="115"/>
      <c r="MA26" s="115"/>
      <c r="MB26" s="115"/>
      <c r="MC26" s="115"/>
      <c r="MD26" s="115"/>
      <c r="ME26" s="115"/>
      <c r="MF26" s="115"/>
      <c r="MG26" s="115"/>
      <c r="MH26" s="115"/>
      <c r="MI26" s="115"/>
      <c r="MJ26" s="115"/>
      <c r="MK26" s="115"/>
      <c r="ML26" s="115"/>
      <c r="MM26" s="115"/>
      <c r="MN26" s="115"/>
      <c r="MO26" s="115"/>
      <c r="MP26" s="115"/>
      <c r="MQ26" s="115"/>
      <c r="MR26" s="115"/>
      <c r="MS26" s="115"/>
      <c r="MT26" s="115"/>
      <c r="MU26" s="115"/>
      <c r="MV26" s="115"/>
      <c r="MW26" s="115"/>
      <c r="MX26" s="115"/>
      <c r="MY26" s="115"/>
      <c r="MZ26" s="115"/>
      <c r="NA26" s="115"/>
      <c r="NB26" s="115"/>
      <c r="NC26" s="115"/>
      <c r="ND26" s="115"/>
      <c r="NE26" s="115"/>
      <c r="NF26" s="115"/>
      <c r="NG26" s="115"/>
      <c r="NH26" s="115"/>
      <c r="NI26" s="115"/>
      <c r="NJ26" s="115"/>
      <c r="NK26" s="115"/>
      <c r="NL26" s="115"/>
      <c r="NM26" s="115"/>
      <c r="NN26" s="115"/>
      <c r="NO26" s="115"/>
      <c r="NP26" s="115"/>
      <c r="NQ26" s="115"/>
      <c r="NR26" s="115"/>
      <c r="NS26" s="115"/>
      <c r="NT26" s="115"/>
      <c r="NU26" s="115"/>
      <c r="NV26" s="115"/>
      <c r="NW26" s="115"/>
      <c r="NX26" s="115"/>
      <c r="NY26" s="115"/>
      <c r="NZ26" s="115"/>
      <c r="OA26" s="115"/>
      <c r="OB26" s="115"/>
      <c r="OC26" s="115"/>
      <c r="OD26" s="115"/>
      <c r="OE26" s="115"/>
      <c r="OF26" s="115"/>
      <c r="OG26" s="115"/>
      <c r="OH26" s="115"/>
      <c r="OI26" s="115"/>
      <c r="OJ26" s="115"/>
      <c r="OK26" s="115"/>
      <c r="OL26" s="115"/>
      <c r="OM26" s="115"/>
      <c r="ON26" s="115"/>
      <c r="OO26" s="115"/>
      <c r="OP26" s="115"/>
      <c r="OQ26" s="115"/>
      <c r="OR26" s="115"/>
      <c r="OS26" s="115"/>
      <c r="OT26" s="115"/>
      <c r="OU26" s="72"/>
      <c r="OV26" s="72"/>
      <c r="OW26" s="72"/>
      <c r="OX26" s="72"/>
      <c r="OY26" s="72"/>
      <c r="OZ26" s="72"/>
      <c r="PA26" s="72"/>
      <c r="PB26" s="72"/>
      <c r="PC26" s="72"/>
      <c r="PD26" s="72"/>
      <c r="PE26" s="72"/>
      <c r="PF26" s="72"/>
      <c r="PG26" s="72"/>
      <c r="PH26" s="72"/>
      <c r="PI26" s="72"/>
      <c r="PJ26" s="72"/>
      <c r="PK26" s="72"/>
      <c r="PL26" s="72"/>
      <c r="PM26" s="72"/>
      <c r="PN26" s="72"/>
      <c r="PO26" s="72"/>
      <c r="PP26" s="72"/>
      <c r="PQ26" s="72"/>
      <c r="PR26" s="72"/>
      <c r="PS26" s="72"/>
      <c r="PT26" s="72"/>
      <c r="PU26" s="72"/>
      <c r="PV26" s="72"/>
      <c r="PW26" s="72"/>
      <c r="PX26" s="72"/>
      <c r="PY26" s="72"/>
      <c r="PZ26" s="72"/>
      <c r="QA26" s="72"/>
      <c r="QB26" s="72"/>
      <c r="QC26" s="72"/>
      <c r="QD26" s="72"/>
      <c r="QE26" s="72"/>
      <c r="QF26" s="72"/>
      <c r="QG26" s="72"/>
      <c r="QH26" s="72"/>
      <c r="QI26" s="72"/>
      <c r="QJ26" s="72"/>
      <c r="QK26" s="72"/>
      <c r="QL26" s="72"/>
      <c r="QM26" s="72"/>
      <c r="QN26" s="72"/>
      <c r="QO26" s="72"/>
      <c r="QP26" s="72"/>
      <c r="QQ26" s="72"/>
      <c r="QR26" s="72"/>
      <c r="QS26" s="72"/>
      <c r="QT26" s="72"/>
      <c r="QU26" s="72"/>
      <c r="QV26" s="72"/>
      <c r="QW26" s="72"/>
      <c r="QX26" s="72"/>
      <c r="QY26" s="72"/>
      <c r="QZ26" s="72"/>
      <c r="RA26" s="72"/>
      <c r="RB26" s="72"/>
      <c r="RC26" s="72"/>
      <c r="RD26" s="72"/>
      <c r="RE26" s="72"/>
      <c r="RF26" s="72"/>
      <c r="RG26" s="72"/>
      <c r="RH26" s="72"/>
      <c r="RI26" s="72"/>
      <c r="RJ26" s="72"/>
      <c r="RK26" s="72"/>
      <c r="RL26" s="72"/>
      <c r="RM26" s="72"/>
      <c r="RN26" s="72"/>
      <c r="RO26" s="115"/>
      <c r="RP26" s="115"/>
      <c r="RQ26" s="115"/>
      <c r="RR26" s="115"/>
      <c r="RS26" s="115"/>
      <c r="RT26" s="115"/>
      <c r="RU26" s="116"/>
      <c r="RV26" s="116"/>
      <c r="RW26" s="116"/>
      <c r="RX26" s="116"/>
      <c r="RY26" s="116"/>
      <c r="RZ26" s="116"/>
      <c r="SA26" s="72"/>
      <c r="SB26" s="72"/>
      <c r="SC26" s="72"/>
      <c r="SD26" s="72"/>
      <c r="SE26" s="72"/>
      <c r="SF26" s="72"/>
      <c r="SG26" s="72"/>
      <c r="SH26" s="72"/>
      <c r="SI26" s="72"/>
      <c r="SJ26" s="72"/>
      <c r="SK26" s="72"/>
      <c r="SL26" s="72"/>
      <c r="SM26" s="72"/>
      <c r="SN26" s="72"/>
      <c r="SO26" s="72"/>
      <c r="SP26" s="72"/>
      <c r="SQ26" s="72"/>
      <c r="SR26" s="72"/>
      <c r="SS26" s="176"/>
    </row>
    <row r="27" spans="1:513" s="194" customFormat="1" ht="20.25" customHeight="1">
      <c r="A27" s="215" t="s">
        <v>199</v>
      </c>
      <c r="B27" s="216"/>
      <c r="C27" s="216"/>
      <c r="D27" s="216"/>
      <c r="E27" s="217"/>
      <c r="F27" s="193">
        <f>F24+F26+F25</f>
        <v>0</v>
      </c>
      <c r="G27" s="193">
        <f>G24+G26+G25</f>
        <v>0</v>
      </c>
      <c r="H27" s="193">
        <f>H24+H26+H25</f>
        <v>0</v>
      </c>
      <c r="I27" s="193">
        <f>I24+I26+I25</f>
        <v>0</v>
      </c>
      <c r="J27" s="193">
        <f>J24+J26+J25</f>
        <v>0</v>
      </c>
      <c r="K27" s="193">
        <f>K24+K26+K25</f>
        <v>0</v>
      </c>
      <c r="L27" s="193">
        <f>L24+L26+L25</f>
        <v>0</v>
      </c>
      <c r="M27" s="193">
        <f>M24+M26+M25</f>
        <v>0</v>
      </c>
      <c r="N27" s="193">
        <f>N24+N26+N25</f>
        <v>0</v>
      </c>
      <c r="O27" s="193">
        <f>O24+O26+O25</f>
        <v>0</v>
      </c>
      <c r="P27" s="193">
        <f>P24+P26+P25</f>
        <v>0</v>
      </c>
      <c r="Q27" s="193">
        <f>Q24+Q26+Q25</f>
        <v>0</v>
      </c>
      <c r="R27" s="193">
        <f>R24+R26+R25</f>
        <v>0</v>
      </c>
      <c r="S27" s="193">
        <f>S24+S26+S25</f>
        <v>0</v>
      </c>
      <c r="T27" s="193">
        <f>T24+T26+T25</f>
        <v>0</v>
      </c>
      <c r="U27" s="193">
        <f>U24+U26+U25</f>
        <v>0</v>
      </c>
      <c r="V27" s="193">
        <f>V24+V26+V25</f>
        <v>0</v>
      </c>
      <c r="W27" s="193">
        <f>W24+W26+W25</f>
        <v>0</v>
      </c>
      <c r="X27" s="193">
        <f>X24+X26+X25</f>
        <v>0</v>
      </c>
      <c r="Y27" s="193">
        <f>Y24+Y26+Y25</f>
        <v>0</v>
      </c>
      <c r="Z27" s="193">
        <f>Z24+Z26+Z25</f>
        <v>0</v>
      </c>
      <c r="AA27" s="193">
        <f>AA24+AA26+AA25</f>
        <v>0</v>
      </c>
      <c r="AB27" s="193">
        <f>AB24+AB26+AB25</f>
        <v>0</v>
      </c>
      <c r="AC27" s="193">
        <f>AC24+AC26+AC25</f>
        <v>0</v>
      </c>
      <c r="AD27" s="193">
        <f>AD24+AD26+AD25</f>
        <v>0</v>
      </c>
      <c r="AE27" s="193">
        <f>AE24+AE26+AE25</f>
        <v>0</v>
      </c>
      <c r="AF27" s="193">
        <f>AF24+AF26+AF25</f>
        <v>0</v>
      </c>
      <c r="AG27" s="193">
        <f>AG24+AG26+AG25</f>
        <v>0</v>
      </c>
      <c r="AH27" s="193">
        <f>AH24+AH26+AH25</f>
        <v>0</v>
      </c>
      <c r="AI27" s="193">
        <f>AI24+AI26+AI25</f>
        <v>0</v>
      </c>
      <c r="AJ27" s="193">
        <f>AJ24+AJ26+AJ25</f>
        <v>0</v>
      </c>
      <c r="AK27" s="193">
        <f>AK24+AK26+AK25</f>
        <v>0</v>
      </c>
      <c r="AL27" s="193">
        <f>AL24+AL26+AL25</f>
        <v>0</v>
      </c>
      <c r="AM27" s="193">
        <f>AM24+AM26+AM25</f>
        <v>0</v>
      </c>
      <c r="AN27" s="193">
        <f>AN24+AN26+AN25</f>
        <v>0</v>
      </c>
      <c r="AO27" s="193">
        <f>AO24+AO26+AO25</f>
        <v>0</v>
      </c>
      <c r="AP27" s="193">
        <f>AP24+AP26+AP25</f>
        <v>0</v>
      </c>
      <c r="AQ27" s="193">
        <f>AQ24+AQ26+AQ25</f>
        <v>0</v>
      </c>
      <c r="AR27" s="193">
        <f>AR24+AR26+AR25</f>
        <v>0</v>
      </c>
      <c r="AS27" s="193">
        <f>AS24+AS26+AS25</f>
        <v>0</v>
      </c>
      <c r="AT27" s="193">
        <f>AT24+AT26+AT25</f>
        <v>0</v>
      </c>
      <c r="AU27" s="193">
        <f>AU24+AU26+AU25</f>
        <v>0</v>
      </c>
      <c r="AV27" s="193">
        <f>AV24+AV26+AV25</f>
        <v>0</v>
      </c>
      <c r="AW27" s="193">
        <f>AW24+AW26+AW25</f>
        <v>0</v>
      </c>
      <c r="AX27" s="193">
        <f>AX24+AX26+AX25</f>
        <v>0</v>
      </c>
      <c r="AY27" s="193">
        <f>AY24+AY26+AY25</f>
        <v>0</v>
      </c>
      <c r="AZ27" s="193">
        <f>AZ24+AZ26+AZ25</f>
        <v>0</v>
      </c>
      <c r="BA27" s="193">
        <f>BA24+BA26+BA25</f>
        <v>0</v>
      </c>
      <c r="BB27" s="193">
        <f>BB24+BB26+BB25</f>
        <v>0</v>
      </c>
      <c r="BC27" s="193">
        <f>BC24+BC26+BC25</f>
        <v>0</v>
      </c>
      <c r="BD27" s="193">
        <f>BD24+BD26+BD25</f>
        <v>0</v>
      </c>
      <c r="BE27" s="193">
        <f>BE24+BE26+BE25</f>
        <v>0</v>
      </c>
      <c r="BF27" s="193">
        <f>BF24+BF26+BF25</f>
        <v>0</v>
      </c>
      <c r="BG27" s="193">
        <f>BG24+BG26+BG25</f>
        <v>0</v>
      </c>
      <c r="BH27" s="193">
        <f>BH24+BH26+BH25</f>
        <v>0</v>
      </c>
      <c r="BI27" s="193">
        <f>BI24+BI26+BI25</f>
        <v>0</v>
      </c>
      <c r="BJ27" s="193">
        <f>BJ24+BJ26+BJ25</f>
        <v>0</v>
      </c>
      <c r="BK27" s="193">
        <f>BK24+BK26+BK25</f>
        <v>0</v>
      </c>
      <c r="BL27" s="193">
        <f>BL24+BL26+BL25</f>
        <v>0</v>
      </c>
      <c r="BM27" s="193">
        <f>BM24+BM26+BM25</f>
        <v>0</v>
      </c>
      <c r="BN27" s="193">
        <f>BN24+BN26+BN25</f>
        <v>0</v>
      </c>
      <c r="BO27" s="193">
        <f>BO24+BO26+BO25</f>
        <v>0</v>
      </c>
      <c r="BP27" s="193">
        <f>BP24+BP26+BP25</f>
        <v>0</v>
      </c>
      <c r="BQ27" s="193">
        <f>BQ24+BQ26+BQ25</f>
        <v>0</v>
      </c>
      <c r="BR27" s="193">
        <f>BR24+BR26+BR25</f>
        <v>0</v>
      </c>
      <c r="BS27" s="193">
        <f>BS24+BS26+BS25</f>
        <v>0</v>
      </c>
      <c r="BT27" s="193">
        <f>BT24+BT26+BT25</f>
        <v>0</v>
      </c>
      <c r="BU27" s="193">
        <f>BU24+BU26+BU25</f>
        <v>0</v>
      </c>
      <c r="BV27" s="193">
        <f>BV24+BV26+BV25</f>
        <v>0</v>
      </c>
      <c r="BW27" s="193">
        <f>BW24+BW26+BW25</f>
        <v>0</v>
      </c>
      <c r="BX27" s="193">
        <f>BX24+BX26+BX25</f>
        <v>0</v>
      </c>
      <c r="BY27" s="193">
        <f>BY24+BY26+BY25</f>
        <v>0</v>
      </c>
      <c r="BZ27" s="193">
        <f>BZ24+BZ26+BZ25</f>
        <v>0</v>
      </c>
      <c r="CA27" s="193">
        <f>CA24+CA26+CA25</f>
        <v>0</v>
      </c>
      <c r="CB27" s="193">
        <f>CB24+CB26+CB25</f>
        <v>0</v>
      </c>
      <c r="CC27" s="193">
        <f>CC24+CC26+CC25</f>
        <v>0</v>
      </c>
      <c r="CD27" s="193">
        <f>CD24+CD26+CD25</f>
        <v>0</v>
      </c>
      <c r="CE27" s="193">
        <f>CE24+CE26+CE25</f>
        <v>0</v>
      </c>
      <c r="CF27" s="193">
        <f>CF24+CF26+CF25</f>
        <v>0</v>
      </c>
      <c r="CG27" s="193">
        <f>CG24+CG26+CG25</f>
        <v>0</v>
      </c>
      <c r="CH27" s="193">
        <f>CH24+CH26+CH25</f>
        <v>0</v>
      </c>
      <c r="CI27" s="193">
        <f>CI24+CI26+CI25</f>
        <v>0</v>
      </c>
      <c r="CJ27" s="193">
        <f>CJ24+CJ26+CJ25</f>
        <v>0</v>
      </c>
      <c r="CK27" s="193">
        <f>CK24+CK26+CK25</f>
        <v>0</v>
      </c>
      <c r="CL27" s="193">
        <f>CL24+CL26+CL25</f>
        <v>0</v>
      </c>
      <c r="CM27" s="193">
        <f>CM24+CM26+CM25</f>
        <v>0</v>
      </c>
      <c r="CN27" s="193">
        <f>CN24+CN26+CN25</f>
        <v>0</v>
      </c>
      <c r="CO27" s="193">
        <f>CO24+CO26+CO25</f>
        <v>0</v>
      </c>
      <c r="CP27" s="193">
        <f>CP24+CP26+CP25</f>
        <v>0</v>
      </c>
      <c r="CQ27" s="193">
        <f>CQ24+CQ26+CQ25</f>
        <v>0</v>
      </c>
      <c r="CR27" s="193">
        <f>CR24+CR26+CR25</f>
        <v>0</v>
      </c>
      <c r="CS27" s="193">
        <f>CS24+CS26+CS25</f>
        <v>0</v>
      </c>
      <c r="CT27" s="193">
        <f>CT24+CT26+CT25</f>
        <v>0</v>
      </c>
      <c r="CU27" s="193">
        <f>CU24+CU26+CU25</f>
        <v>0</v>
      </c>
      <c r="CV27" s="193">
        <f>CV24+CV26+CV25</f>
        <v>0</v>
      </c>
      <c r="CW27" s="193">
        <f>CW24+CW26+CW25</f>
        <v>0</v>
      </c>
      <c r="CX27" s="193">
        <f>CX24+CX26+CX25</f>
        <v>0</v>
      </c>
      <c r="CY27" s="193">
        <f>CY24+CY26+CY25</f>
        <v>0</v>
      </c>
      <c r="CZ27" s="193">
        <f>CZ24+CZ26+CZ25</f>
        <v>0</v>
      </c>
      <c r="DA27" s="193">
        <f>DA24+DA26+DA25</f>
        <v>0</v>
      </c>
      <c r="DB27" s="193">
        <f>DB24+DB26+DB25</f>
        <v>0</v>
      </c>
      <c r="DC27" s="193">
        <f>DC24+DC26+DC25</f>
        <v>0</v>
      </c>
      <c r="DD27" s="193">
        <f>DD24+DD26+DD25</f>
        <v>0</v>
      </c>
      <c r="DE27" s="193">
        <f>DE24+DE26+DE25</f>
        <v>0</v>
      </c>
      <c r="DF27" s="193">
        <f>DF24+DF26+DF25</f>
        <v>0</v>
      </c>
      <c r="DG27" s="193">
        <f>DG24+DG26+DG25</f>
        <v>0</v>
      </c>
      <c r="DH27" s="193">
        <f>DH24+DH26+DH25</f>
        <v>0</v>
      </c>
      <c r="DI27" s="193">
        <f>DI24+DI26+DI25</f>
        <v>0</v>
      </c>
      <c r="DJ27" s="193">
        <f>DJ24+DJ26+DJ25</f>
        <v>0</v>
      </c>
      <c r="DK27" s="193">
        <f>DK24+DK26+DK25</f>
        <v>0</v>
      </c>
      <c r="DL27" s="193">
        <f>DL24+DL26+DL25</f>
        <v>0</v>
      </c>
      <c r="DM27" s="193">
        <f>DM24+DM26+DM25</f>
        <v>0</v>
      </c>
      <c r="DN27" s="193">
        <f>DN24+DN26+DN25</f>
        <v>0</v>
      </c>
      <c r="DO27" s="193">
        <f>DO24+DO26+DO25</f>
        <v>0</v>
      </c>
      <c r="DP27" s="193">
        <f>DP24+DP26+DP25</f>
        <v>0</v>
      </c>
      <c r="DQ27" s="193">
        <f>DQ24+DQ26+DQ25</f>
        <v>0</v>
      </c>
      <c r="DR27" s="193">
        <f>DR24+DR26+DR25</f>
        <v>0</v>
      </c>
      <c r="DS27" s="193">
        <f>DS24+DS26+DS25</f>
        <v>0</v>
      </c>
      <c r="DT27" s="193">
        <f>DT24+DT26+DT25</f>
        <v>0</v>
      </c>
      <c r="DU27" s="193">
        <f>DU24+DU26+DU25</f>
        <v>0</v>
      </c>
      <c r="DV27" s="193">
        <f>DV24+DV26+DV25</f>
        <v>0</v>
      </c>
      <c r="DW27" s="193">
        <f>DW24+DW26+DW25</f>
        <v>0</v>
      </c>
      <c r="DX27" s="193">
        <f>DX24+DX26+DX25</f>
        <v>0</v>
      </c>
      <c r="DY27" s="193">
        <f>DY24+DY26+DY25</f>
        <v>0</v>
      </c>
      <c r="DZ27" s="193">
        <f>DZ24+DZ26+DZ25</f>
        <v>0</v>
      </c>
      <c r="EA27" s="193">
        <f>EA24+EA26+EA25</f>
        <v>0</v>
      </c>
      <c r="EB27" s="193">
        <f>EB24+EB26+EB25</f>
        <v>0</v>
      </c>
      <c r="EC27" s="193">
        <f>EC24+EC26+EC25</f>
        <v>0</v>
      </c>
      <c r="ED27" s="193">
        <f>ED24+ED26+ED25</f>
        <v>0</v>
      </c>
      <c r="EE27" s="193">
        <f>EE24+EE26+EE25</f>
        <v>0</v>
      </c>
      <c r="EF27" s="193">
        <f>EF24+EF26+EF25</f>
        <v>0</v>
      </c>
      <c r="EG27" s="193">
        <f>EG24+EG26+EG25</f>
        <v>0</v>
      </c>
      <c r="EH27" s="193">
        <f>EH24+EH26+EH25</f>
        <v>0</v>
      </c>
      <c r="EI27" s="193">
        <f>EI24+EI26+EI25</f>
        <v>0</v>
      </c>
      <c r="EJ27" s="193">
        <f>EJ24+EJ26+EJ25</f>
        <v>0</v>
      </c>
      <c r="EK27" s="193">
        <f>EK24+EK26+EK25</f>
        <v>0</v>
      </c>
      <c r="EL27" s="193">
        <f>EL24+EL26+EL25</f>
        <v>0</v>
      </c>
      <c r="EM27" s="193">
        <f>EM24+EM26+EM25</f>
        <v>0</v>
      </c>
      <c r="EN27" s="193">
        <f>EN24+EN26+EN25</f>
        <v>0</v>
      </c>
      <c r="EO27" s="193">
        <f>EO24+EO26+EO25</f>
        <v>0</v>
      </c>
      <c r="EP27" s="193">
        <f>EP24+EP26+EP25</f>
        <v>0</v>
      </c>
      <c r="EQ27" s="193">
        <f>EQ24+EQ26+EQ25</f>
        <v>0</v>
      </c>
      <c r="ER27" s="193">
        <f>ER24+ER26+ER25</f>
        <v>0</v>
      </c>
      <c r="ES27" s="193">
        <f>ES24+ES26+ES25</f>
        <v>0</v>
      </c>
      <c r="ET27" s="193">
        <f>ET24+ET26+ET25</f>
        <v>0</v>
      </c>
      <c r="EU27" s="193">
        <f>EU24+EU26+EU25</f>
        <v>0</v>
      </c>
      <c r="EV27" s="193">
        <f>EV24+EV26+EV25</f>
        <v>0</v>
      </c>
      <c r="EW27" s="193">
        <f>EW24+EW26+EW25</f>
        <v>0</v>
      </c>
      <c r="EX27" s="193">
        <f>EX24+EX26+EX25</f>
        <v>0</v>
      </c>
      <c r="EY27" s="193">
        <f>EY24+EY26+EY25</f>
        <v>0</v>
      </c>
      <c r="EZ27" s="193">
        <f>EZ24+EZ26+EZ25</f>
        <v>0</v>
      </c>
      <c r="FA27" s="193">
        <f>FA24+FA26+FA25</f>
        <v>0</v>
      </c>
      <c r="FB27" s="193">
        <f>FB24+FB26+FB25</f>
        <v>0</v>
      </c>
      <c r="FC27" s="193">
        <f>FC24+FC26+FC25</f>
        <v>0</v>
      </c>
      <c r="FD27" s="193">
        <f>FD24+FD26+FD25</f>
        <v>0</v>
      </c>
      <c r="FE27" s="193">
        <f>FE24+FE26+FE25</f>
        <v>0</v>
      </c>
      <c r="FF27" s="193">
        <f>FF24+FF26+FF25</f>
        <v>0</v>
      </c>
      <c r="FG27" s="193">
        <f>FG24+FG26+FG25</f>
        <v>0</v>
      </c>
      <c r="FH27" s="193">
        <f>FH24+FH26+FH25</f>
        <v>0</v>
      </c>
      <c r="FI27" s="193">
        <f>FI24+FI26+FI25</f>
        <v>0</v>
      </c>
      <c r="FJ27" s="193">
        <f>FJ24+FJ26+FJ25</f>
        <v>0</v>
      </c>
      <c r="FK27" s="193">
        <f>FK24+FK26+FK25</f>
        <v>0</v>
      </c>
      <c r="FL27" s="193">
        <f>FL24+FL26+FL25</f>
        <v>0</v>
      </c>
      <c r="FM27" s="193">
        <f>FM24+FM26+FM25</f>
        <v>0</v>
      </c>
      <c r="FN27" s="193">
        <f>FN24+FN26+FN25</f>
        <v>0</v>
      </c>
      <c r="FO27" s="193">
        <f>FO24+FO26+FO25</f>
        <v>0</v>
      </c>
      <c r="FP27" s="193">
        <f>FP24+FP26+FP25</f>
        <v>0</v>
      </c>
      <c r="FQ27" s="193">
        <f>FQ24+FQ26+FQ25</f>
        <v>0</v>
      </c>
      <c r="FR27" s="193">
        <f>FR24+FR26+FR25</f>
        <v>0</v>
      </c>
      <c r="FS27" s="193">
        <f>FS24+FS26+FS25</f>
        <v>0</v>
      </c>
      <c r="FT27" s="193">
        <f>FT24+FT26+FT25</f>
        <v>0</v>
      </c>
      <c r="FU27" s="193">
        <f>FU24+FU26+FU25</f>
        <v>0</v>
      </c>
      <c r="FV27" s="193">
        <f>FV24+FV26+FV25</f>
        <v>0</v>
      </c>
      <c r="FW27" s="193">
        <f>FW24+FW26+FW25</f>
        <v>0</v>
      </c>
      <c r="FX27" s="193">
        <f>FX24+FX26+FX25</f>
        <v>0</v>
      </c>
      <c r="FY27" s="193">
        <f>FY24+FY26+FY25</f>
        <v>0</v>
      </c>
      <c r="FZ27" s="193">
        <f>FZ24+FZ26+FZ25</f>
        <v>0</v>
      </c>
      <c r="GA27" s="193">
        <f>GA24+GA26+GA25</f>
        <v>0</v>
      </c>
      <c r="GB27" s="193">
        <f>GB24+GB26+GB25</f>
        <v>0</v>
      </c>
      <c r="GC27" s="193">
        <f>GC24+GC26+GC25</f>
        <v>0</v>
      </c>
      <c r="GD27" s="193">
        <f>GD24+GD26+GD25</f>
        <v>0</v>
      </c>
      <c r="GE27" s="193">
        <f>GE24+GE26+GE25</f>
        <v>0</v>
      </c>
      <c r="GF27" s="193">
        <f>GF24+GF26+GF25</f>
        <v>0</v>
      </c>
      <c r="GG27" s="193">
        <f>GG24+GG26+GG25</f>
        <v>0</v>
      </c>
      <c r="GH27" s="193">
        <f>GH24+GH26+GH25</f>
        <v>0</v>
      </c>
      <c r="GI27" s="193">
        <f>GI24+GI26+GI25</f>
        <v>0</v>
      </c>
      <c r="GJ27" s="193">
        <f>GJ24+GJ26+GJ25</f>
        <v>0</v>
      </c>
      <c r="GK27" s="193">
        <f>GK24+GK26+GK25</f>
        <v>0</v>
      </c>
      <c r="GL27" s="193">
        <f>GL24+GL26+GL25</f>
        <v>0</v>
      </c>
      <c r="GM27" s="193">
        <f>GM24+GM26+GM25</f>
        <v>0</v>
      </c>
      <c r="GN27" s="193">
        <f>GN24+GN26+GN25</f>
        <v>0</v>
      </c>
      <c r="GO27" s="193">
        <f>GO24+GO26+GO25</f>
        <v>0</v>
      </c>
      <c r="GP27" s="193">
        <f>GP24+GP26+GP25</f>
        <v>0</v>
      </c>
      <c r="GQ27" s="193">
        <f>GQ24+GQ26+GQ25</f>
        <v>0</v>
      </c>
      <c r="GR27" s="193">
        <f>GR24+GR26+GR25</f>
        <v>0</v>
      </c>
      <c r="GS27" s="193">
        <f>GS24+GS26+GS25</f>
        <v>0</v>
      </c>
      <c r="GT27" s="193">
        <f>GT24+GT26+GT25</f>
        <v>0</v>
      </c>
      <c r="GU27" s="193">
        <f>GU24+GU26+GU25</f>
        <v>0</v>
      </c>
      <c r="GV27" s="193">
        <f>GV24+GV26+GV25</f>
        <v>0</v>
      </c>
      <c r="GW27" s="193">
        <f>GW24+GW26+GW25</f>
        <v>0</v>
      </c>
      <c r="GX27" s="193">
        <f>GX24+GX26+GX25</f>
        <v>0</v>
      </c>
      <c r="GY27" s="193">
        <f>GY24+GY26+GY25</f>
        <v>0</v>
      </c>
      <c r="GZ27" s="193">
        <f>GZ24+GZ26+GZ25</f>
        <v>0</v>
      </c>
      <c r="HA27" s="193">
        <f>HA24+HA26+HA25</f>
        <v>0</v>
      </c>
      <c r="HB27" s="193">
        <f>HB24+HB26+HB25</f>
        <v>0</v>
      </c>
      <c r="HC27" s="193">
        <f>HC24+HC26+HC25</f>
        <v>0</v>
      </c>
      <c r="HD27" s="193">
        <f>HD24+HD26+HD25</f>
        <v>0</v>
      </c>
      <c r="HE27" s="193">
        <f>HE24+HE26+HE25</f>
        <v>0</v>
      </c>
      <c r="HF27" s="193">
        <f>HF24+HF26+HF25</f>
        <v>0</v>
      </c>
      <c r="HG27" s="193">
        <f>HG24+HG26+HG25</f>
        <v>0</v>
      </c>
      <c r="HH27" s="193">
        <f>HH24+HH26+HH25</f>
        <v>0</v>
      </c>
      <c r="HI27" s="193">
        <f>HI24+HI26+HI25</f>
        <v>0</v>
      </c>
      <c r="HJ27" s="193">
        <f>HJ24+HJ26+HJ25</f>
        <v>0</v>
      </c>
      <c r="HK27" s="193">
        <f>HK24+HK26+HK25</f>
        <v>0</v>
      </c>
      <c r="HL27" s="193">
        <f>HL24+HL26+HL25</f>
        <v>0</v>
      </c>
      <c r="HM27" s="193">
        <f>HM24+HM26+HM25</f>
        <v>0</v>
      </c>
      <c r="HN27" s="193">
        <f>HN24+HN26+HN25</f>
        <v>0</v>
      </c>
      <c r="HO27" s="193">
        <f>HO24+HO26+HO25</f>
        <v>0</v>
      </c>
      <c r="HP27" s="193">
        <f>HP24+HP26+HP25</f>
        <v>0</v>
      </c>
      <c r="HQ27" s="193">
        <f>HQ24+HQ26+HQ25</f>
        <v>0</v>
      </c>
      <c r="HR27" s="193">
        <f>HR24+HR26+HR25</f>
        <v>0</v>
      </c>
      <c r="HS27" s="193">
        <f>HS24+HS26+HS25</f>
        <v>0</v>
      </c>
      <c r="HT27" s="193">
        <f>HT24+HT26+HT25</f>
        <v>0</v>
      </c>
      <c r="HU27" s="193">
        <f>HU24+HU26+HU25</f>
        <v>0</v>
      </c>
      <c r="HV27" s="193">
        <f>HV24+HV26+HV25</f>
        <v>0</v>
      </c>
      <c r="HW27" s="193">
        <f>HW24+HW26+HW25</f>
        <v>0</v>
      </c>
      <c r="HX27" s="193">
        <f>HX24+HX26+HX25</f>
        <v>0</v>
      </c>
      <c r="HY27" s="193">
        <f>HY24+HY26+HY25</f>
        <v>0</v>
      </c>
      <c r="HZ27" s="193">
        <f>HZ24+HZ26+HZ25</f>
        <v>0</v>
      </c>
      <c r="IA27" s="193">
        <f>IA24+IA26+IA25</f>
        <v>0</v>
      </c>
      <c r="IB27" s="193">
        <f>IB24+IB26+IB25</f>
        <v>0</v>
      </c>
      <c r="IC27" s="193">
        <f>IC24+IC26+IC25</f>
        <v>0</v>
      </c>
      <c r="ID27" s="193">
        <f>ID24+ID26+ID25</f>
        <v>0</v>
      </c>
      <c r="IE27" s="193">
        <f>IE24+IE26+IE25</f>
        <v>0</v>
      </c>
      <c r="IF27" s="193">
        <f>IF24+IF26+IF25</f>
        <v>0</v>
      </c>
      <c r="IG27" s="193">
        <f>IG24+IG26+IG25</f>
        <v>0</v>
      </c>
      <c r="IH27" s="193">
        <f>IH24+IH26+IH25</f>
        <v>0</v>
      </c>
      <c r="II27" s="193">
        <f>II24+II26+II25</f>
        <v>0</v>
      </c>
      <c r="IJ27" s="193">
        <f>IJ24+IJ26+IJ25</f>
        <v>0</v>
      </c>
      <c r="IK27" s="193">
        <f>IK24+IK26+IK25</f>
        <v>0</v>
      </c>
      <c r="IL27" s="193">
        <f>IL24+IL26+IL25</f>
        <v>0</v>
      </c>
      <c r="IM27" s="193">
        <f>IM24+IM26+IM25</f>
        <v>0</v>
      </c>
      <c r="IN27" s="193">
        <f>IN24+IN26+IN25</f>
        <v>0</v>
      </c>
      <c r="IO27" s="193">
        <f>IO24+IO26+IO25</f>
        <v>0</v>
      </c>
      <c r="IP27" s="193">
        <f>IP24+IP26+IP25</f>
        <v>0</v>
      </c>
      <c r="IQ27" s="193">
        <f>IQ24+IQ26+IQ25</f>
        <v>0</v>
      </c>
      <c r="IR27" s="193">
        <f>IR24+IR26+IR25</f>
        <v>0</v>
      </c>
      <c r="IS27" s="193">
        <f>IS24+IS26+IS25</f>
        <v>0</v>
      </c>
      <c r="IT27" s="193">
        <f>IT24+IT26+IT25</f>
        <v>0</v>
      </c>
      <c r="IU27" s="193">
        <f>IU24+IU26+IU25</f>
        <v>0</v>
      </c>
      <c r="IV27" s="193">
        <f>IV24+IV26+IV25</f>
        <v>0</v>
      </c>
      <c r="IW27" s="193">
        <f>IW24+IW26+IW25</f>
        <v>0</v>
      </c>
      <c r="IX27" s="193">
        <f>IX24+IX26+IX25</f>
        <v>0</v>
      </c>
      <c r="IY27" s="193">
        <f>IY24+IY26+IY25</f>
        <v>0</v>
      </c>
      <c r="IZ27" s="193">
        <f>IZ24+IZ26+IZ25</f>
        <v>0</v>
      </c>
      <c r="JA27" s="193">
        <f>JA24+JA26+JA25</f>
        <v>0</v>
      </c>
      <c r="JB27" s="193">
        <f>JB24+JB26+JB25</f>
        <v>0</v>
      </c>
      <c r="JC27" s="193">
        <f>JC24+JC26+JC25</f>
        <v>0</v>
      </c>
      <c r="JD27" s="193">
        <f>JD24+JD26+JD25</f>
        <v>0</v>
      </c>
      <c r="JE27" s="193">
        <f>JE24+JE26+JE25</f>
        <v>0</v>
      </c>
      <c r="JF27" s="193">
        <f>JF24+JF26+JF25</f>
        <v>0</v>
      </c>
      <c r="JG27" s="193">
        <f>JG24+JG26+JG25</f>
        <v>0</v>
      </c>
      <c r="JH27" s="193">
        <f>JH24+JH26+JH25</f>
        <v>0</v>
      </c>
      <c r="JI27" s="193">
        <f>JI24+JI26+JI25</f>
        <v>0</v>
      </c>
      <c r="JJ27" s="193">
        <f>JJ24+JJ26+JJ25</f>
        <v>0</v>
      </c>
      <c r="JK27" s="193">
        <f>JK24+JK26+JK25</f>
        <v>0</v>
      </c>
      <c r="JL27" s="193">
        <f>JL24+JL26+JL25</f>
        <v>0</v>
      </c>
      <c r="JM27" s="193">
        <f>JM24+JM26+JM25</f>
        <v>0</v>
      </c>
      <c r="JN27" s="193">
        <f>JN24+JN26+JN25</f>
        <v>0</v>
      </c>
      <c r="JO27" s="193">
        <f>JO24+JO26+JO25</f>
        <v>0</v>
      </c>
      <c r="JP27" s="193">
        <f>JP24+JP26+JP25</f>
        <v>0</v>
      </c>
      <c r="JQ27" s="193">
        <f>JQ24+JQ26+JQ25</f>
        <v>0</v>
      </c>
      <c r="JR27" s="193">
        <f>JR24+JR26+JR25</f>
        <v>0</v>
      </c>
      <c r="JS27" s="193">
        <f>JS24+JS26+JS25</f>
        <v>0</v>
      </c>
      <c r="JT27" s="193">
        <f>JT24+JT26+JT25</f>
        <v>0</v>
      </c>
      <c r="JU27" s="193">
        <f>JU24+JU26+JU25</f>
        <v>0</v>
      </c>
      <c r="JV27" s="193">
        <f>JV24+JV26+JV25</f>
        <v>0</v>
      </c>
      <c r="JW27" s="193">
        <f>JW24+JW26+JW25</f>
        <v>0</v>
      </c>
      <c r="JX27" s="193">
        <f>JX24+JX26+JX25</f>
        <v>0</v>
      </c>
      <c r="JY27" s="193">
        <f>JY24+JY26+JY25</f>
        <v>0</v>
      </c>
      <c r="JZ27" s="193">
        <f>JZ24+JZ26+JZ25</f>
        <v>0</v>
      </c>
      <c r="KA27" s="193">
        <f>KA24+KA26+KA25</f>
        <v>0</v>
      </c>
      <c r="KB27" s="193">
        <f>KB24+KB26+KB25</f>
        <v>0</v>
      </c>
      <c r="KC27" s="193">
        <f>KC24+KC26+KC25</f>
        <v>0</v>
      </c>
      <c r="KD27" s="193">
        <f>KD24+KD26+KD25</f>
        <v>0</v>
      </c>
      <c r="KE27" s="193">
        <f>KE24+KE26+KE25</f>
        <v>0</v>
      </c>
      <c r="KF27" s="193">
        <f>KF24+KF26+KF25</f>
        <v>0</v>
      </c>
      <c r="KG27" s="193">
        <f>KG24+KG26+KG25</f>
        <v>0</v>
      </c>
      <c r="KH27" s="193">
        <f>KH24+KH26+KH25</f>
        <v>0</v>
      </c>
      <c r="KI27" s="193">
        <f>KI24+KI26+KI25</f>
        <v>0</v>
      </c>
      <c r="KJ27" s="193">
        <f>KJ24+KJ26+KJ25</f>
        <v>0</v>
      </c>
      <c r="KK27" s="193">
        <f>KK24+KK26+KK25</f>
        <v>0</v>
      </c>
      <c r="KL27" s="193">
        <f>KL24+KL26+KL25</f>
        <v>0</v>
      </c>
      <c r="KM27" s="193">
        <f>KM24+KM26+KM25</f>
        <v>0</v>
      </c>
      <c r="KN27" s="193">
        <f>KN24+KN26+KN25</f>
        <v>0</v>
      </c>
      <c r="KO27" s="193">
        <f>KO24+KO26+KO25</f>
        <v>0</v>
      </c>
      <c r="KP27" s="193">
        <f>KP24+KP26+KP25</f>
        <v>0</v>
      </c>
      <c r="KQ27" s="193">
        <f>KQ24+KQ26+KQ25</f>
        <v>0</v>
      </c>
      <c r="KR27" s="193">
        <f>KR24+KR26+KR25</f>
        <v>0</v>
      </c>
      <c r="KS27" s="193">
        <f>KS24+KS26+KS25</f>
        <v>0</v>
      </c>
      <c r="KT27" s="193">
        <f>KT24+KT26+KT25</f>
        <v>0</v>
      </c>
      <c r="KU27" s="193">
        <f>KU24+KU26+KU25</f>
        <v>0</v>
      </c>
      <c r="KV27" s="193">
        <f>KV24+KV26+KV25</f>
        <v>0</v>
      </c>
      <c r="KW27" s="193">
        <f>KW24+KW26+KW25</f>
        <v>0</v>
      </c>
      <c r="KX27" s="193">
        <f>KX24+KX26+KX25</f>
        <v>0</v>
      </c>
      <c r="KY27" s="193">
        <f>KY24+KY26+KY25</f>
        <v>0</v>
      </c>
      <c r="KZ27" s="193">
        <f>KZ24+KZ26+KZ25</f>
        <v>0</v>
      </c>
      <c r="LA27" s="193">
        <f>LA24+LA26+LA25</f>
        <v>0</v>
      </c>
      <c r="LB27" s="193">
        <f>LB24+LB26+LB25</f>
        <v>0</v>
      </c>
      <c r="LC27" s="193">
        <f>LC24+LC26+LC25</f>
        <v>0</v>
      </c>
      <c r="LD27" s="193">
        <f>LD24+LD26+LD25</f>
        <v>0</v>
      </c>
      <c r="LE27" s="193">
        <f>LE24+LE26+LE25</f>
        <v>0</v>
      </c>
      <c r="LF27" s="193">
        <f>LF24+LF26+LF25</f>
        <v>0</v>
      </c>
      <c r="LG27" s="193">
        <f>LG24+LG26+LG25</f>
        <v>0</v>
      </c>
      <c r="LH27" s="193">
        <f>LH24+LH26+LH25</f>
        <v>0</v>
      </c>
      <c r="LI27" s="193">
        <f>LI24+LI26+LI25</f>
        <v>0</v>
      </c>
      <c r="LJ27" s="193">
        <f>LJ24+LJ26+LJ25</f>
        <v>0</v>
      </c>
      <c r="LK27" s="193">
        <f>LK24+LK26+LK25</f>
        <v>0</v>
      </c>
      <c r="LL27" s="193">
        <f>LL24+LL26+LL25</f>
        <v>0</v>
      </c>
      <c r="LM27" s="193">
        <f>LM24+LM26+LM25</f>
        <v>0</v>
      </c>
      <c r="LN27" s="193">
        <f>LN24+LN26+LN25</f>
        <v>0</v>
      </c>
      <c r="LO27" s="193">
        <f>LO24+LO26+LO25</f>
        <v>0</v>
      </c>
      <c r="LP27" s="193">
        <f>LP24+LP26+LP25</f>
        <v>0</v>
      </c>
      <c r="LQ27" s="193">
        <f>LQ24+LQ26+LQ25</f>
        <v>0</v>
      </c>
      <c r="LR27" s="193">
        <f>LR24+LR26+LR25</f>
        <v>0</v>
      </c>
      <c r="LS27" s="193">
        <f>LS24+LS26+LS25</f>
        <v>0</v>
      </c>
      <c r="LT27" s="193">
        <f>LT24+LT26+LT25</f>
        <v>0</v>
      </c>
      <c r="LU27" s="193">
        <f>LU24+LU26+LU25</f>
        <v>0</v>
      </c>
      <c r="LV27" s="193">
        <f>LV24+LV26+LV25</f>
        <v>0</v>
      </c>
      <c r="LW27" s="193">
        <f>LW24+LW26+LW25</f>
        <v>0</v>
      </c>
      <c r="LX27" s="193">
        <f>LX24+LX26+LX25</f>
        <v>0</v>
      </c>
      <c r="LY27" s="193">
        <f>LY24+LY26+LY25</f>
        <v>0</v>
      </c>
      <c r="LZ27" s="193">
        <f>LZ24+LZ26+LZ25</f>
        <v>0</v>
      </c>
      <c r="MA27" s="193">
        <f>MA24+MA26+MA25</f>
        <v>0</v>
      </c>
      <c r="MB27" s="193">
        <f>MB24+MB26+MB25</f>
        <v>0</v>
      </c>
      <c r="MC27" s="193">
        <f>MC24+MC26+MC25</f>
        <v>0</v>
      </c>
      <c r="MD27" s="193">
        <f>MD24+MD26+MD25</f>
        <v>0</v>
      </c>
      <c r="ME27" s="193">
        <f>ME24+ME26+ME25</f>
        <v>0</v>
      </c>
      <c r="MF27" s="193">
        <f>MF24+MF26+MF25</f>
        <v>0</v>
      </c>
      <c r="MG27" s="193">
        <f>MG24+MG26+MG25</f>
        <v>0</v>
      </c>
      <c r="MH27" s="193">
        <f>MH24+MH26+MH25</f>
        <v>0</v>
      </c>
      <c r="MI27" s="193">
        <f>MI24+MI26+MI25</f>
        <v>0</v>
      </c>
      <c r="MJ27" s="193">
        <f>MJ24+MJ26+MJ25</f>
        <v>0</v>
      </c>
      <c r="MK27" s="193">
        <f>MK24+MK26+MK25</f>
        <v>0</v>
      </c>
      <c r="ML27" s="193">
        <f>ML24+ML26+ML25</f>
        <v>0</v>
      </c>
      <c r="MM27" s="193">
        <f>MM24+MM26+MM25</f>
        <v>0</v>
      </c>
      <c r="MN27" s="193">
        <f>MN24+MN26+MN25</f>
        <v>0</v>
      </c>
      <c r="MO27" s="193">
        <f>MO24+MO26+MO25</f>
        <v>0</v>
      </c>
      <c r="MP27" s="193">
        <f>MP24+MP26+MP25</f>
        <v>0</v>
      </c>
      <c r="MQ27" s="193">
        <f>MQ24+MQ26+MQ25</f>
        <v>0</v>
      </c>
      <c r="MR27" s="193">
        <f>MR24+MR26+MR25</f>
        <v>0</v>
      </c>
      <c r="MS27" s="193">
        <f>MS24+MS26+MS25</f>
        <v>0</v>
      </c>
      <c r="MT27" s="193">
        <f>MT24+MT26+MT25</f>
        <v>0</v>
      </c>
      <c r="MU27" s="193">
        <f>MU24+MU26+MU25</f>
        <v>0</v>
      </c>
      <c r="MV27" s="193">
        <f>MV24+MV26+MV25</f>
        <v>0</v>
      </c>
      <c r="MW27" s="193">
        <f>MW24+MW26+MW25</f>
        <v>0</v>
      </c>
      <c r="MX27" s="193">
        <f>MX24+MX26+MX25</f>
        <v>0</v>
      </c>
      <c r="MY27" s="193">
        <f>MY24+MY26+MY25</f>
        <v>0</v>
      </c>
      <c r="MZ27" s="193">
        <f>MZ24+MZ26+MZ25</f>
        <v>0</v>
      </c>
      <c r="NA27" s="193">
        <f>NA24+NA26+NA25</f>
        <v>0</v>
      </c>
      <c r="NB27" s="193">
        <f>NB24+NB26+NB25</f>
        <v>0</v>
      </c>
      <c r="NC27" s="193">
        <f>NC24+NC26+NC25</f>
        <v>0</v>
      </c>
      <c r="ND27" s="193">
        <f>ND24+ND26+ND25</f>
        <v>0</v>
      </c>
      <c r="NE27" s="193">
        <f>NE24+NE26+NE25</f>
        <v>0</v>
      </c>
      <c r="NF27" s="193">
        <f>NF24+NF26+NF25</f>
        <v>0</v>
      </c>
      <c r="NG27" s="193">
        <f>NG24+NG26+NG25</f>
        <v>0</v>
      </c>
      <c r="NH27" s="193">
        <f>NH24+NH26+NH25</f>
        <v>0</v>
      </c>
      <c r="NI27" s="193">
        <f>NI24+NI26+NI25</f>
        <v>0</v>
      </c>
      <c r="NJ27" s="193">
        <f>NJ24+NJ26+NJ25</f>
        <v>0</v>
      </c>
      <c r="NK27" s="193">
        <f>NK24+NK26+NK25</f>
        <v>0</v>
      </c>
      <c r="NL27" s="193">
        <f>NL24+NL26+NL25</f>
        <v>0</v>
      </c>
      <c r="NM27" s="193">
        <f>NM24+NM26+NM25</f>
        <v>0</v>
      </c>
      <c r="NN27" s="193">
        <f>NN24+NN26+NN25</f>
        <v>0</v>
      </c>
      <c r="NO27" s="193">
        <f>NO24+NO26+NO25</f>
        <v>0</v>
      </c>
      <c r="NP27" s="193">
        <f>NP24+NP26+NP25</f>
        <v>0</v>
      </c>
      <c r="NQ27" s="193">
        <f>NQ24+NQ26+NQ25</f>
        <v>0</v>
      </c>
      <c r="NR27" s="193">
        <f>NR24+NR26+NR25</f>
        <v>0</v>
      </c>
      <c r="NS27" s="193">
        <f>NS24+NS26+NS25</f>
        <v>0</v>
      </c>
      <c r="NT27" s="193">
        <f>NT24+NT26+NT25</f>
        <v>0</v>
      </c>
      <c r="NU27" s="193">
        <f>NU24+NU26+NU25</f>
        <v>0</v>
      </c>
      <c r="NV27" s="193">
        <f>NV24+NV26+NV25</f>
        <v>0</v>
      </c>
      <c r="NW27" s="193">
        <f>NW24+NW26+NW25</f>
        <v>0</v>
      </c>
      <c r="NX27" s="193">
        <f>NX24+NX26+NX25</f>
        <v>0</v>
      </c>
      <c r="NY27" s="193">
        <f>NY24+NY26+NY25</f>
        <v>0</v>
      </c>
      <c r="NZ27" s="193">
        <f>NZ24+NZ26+NZ25</f>
        <v>0</v>
      </c>
      <c r="OA27" s="193">
        <f>OA24+OA26+OA25</f>
        <v>0</v>
      </c>
      <c r="OB27" s="193">
        <f>OB24+OB26+OB25</f>
        <v>0</v>
      </c>
      <c r="OC27" s="193">
        <f>OC24+OC26+OC25</f>
        <v>0</v>
      </c>
      <c r="OD27" s="193">
        <f>OD24+OD26+OD25</f>
        <v>0</v>
      </c>
      <c r="OE27" s="193">
        <f>OE24+OE26+OE25</f>
        <v>0</v>
      </c>
      <c r="OF27" s="193">
        <f>OF24+OF26+OF25</f>
        <v>0</v>
      </c>
      <c r="OG27" s="193">
        <f>OG24+OG26+OG25</f>
        <v>0</v>
      </c>
      <c r="OH27" s="193">
        <f>OH24+OH26+OH25</f>
        <v>0</v>
      </c>
      <c r="OI27" s="193">
        <f>OI24+OI26+OI25</f>
        <v>0</v>
      </c>
      <c r="OJ27" s="193">
        <f>OJ24+OJ26+OJ25</f>
        <v>0</v>
      </c>
      <c r="OK27" s="193">
        <f>OK24+OK26+OK25</f>
        <v>0</v>
      </c>
      <c r="OL27" s="193">
        <f>OL24+OL26+OL25</f>
        <v>0</v>
      </c>
      <c r="OM27" s="193">
        <f>OM24+OM26+OM25</f>
        <v>0</v>
      </c>
      <c r="ON27" s="193">
        <f>ON24+ON26+ON25</f>
        <v>0</v>
      </c>
      <c r="OO27" s="193">
        <f>OO24+OO26+OO25</f>
        <v>0</v>
      </c>
      <c r="OP27" s="193">
        <f>OP24+OP26+OP25</f>
        <v>0</v>
      </c>
      <c r="OQ27" s="193">
        <f>OQ24+OQ26+OQ25</f>
        <v>0</v>
      </c>
      <c r="OR27" s="193">
        <f>OR24+OR26+OR25</f>
        <v>0</v>
      </c>
      <c r="OS27" s="193">
        <f>OS24+OS26+OS25</f>
        <v>0</v>
      </c>
      <c r="OT27" s="193">
        <f>OT24+OT26+OT25</f>
        <v>0</v>
      </c>
      <c r="OU27" s="193">
        <f>OU24+OU26+OU25</f>
        <v>0</v>
      </c>
      <c r="OV27" s="193">
        <f>OV24+OV26+OV25</f>
        <v>0</v>
      </c>
      <c r="OW27" s="193">
        <f>OW24+OW26+OW25</f>
        <v>0</v>
      </c>
      <c r="OX27" s="193">
        <f>OX24+OX26+OX25</f>
        <v>0</v>
      </c>
      <c r="OY27" s="193">
        <f>OY24+OY26+OY25</f>
        <v>0</v>
      </c>
      <c r="OZ27" s="193">
        <f>OZ24+OZ26+OZ25</f>
        <v>0</v>
      </c>
      <c r="PA27" s="193">
        <f>PA24+PA26+PA25</f>
        <v>0</v>
      </c>
      <c r="PB27" s="193">
        <f>PB24+PB26+PB25</f>
        <v>0</v>
      </c>
      <c r="PC27" s="193">
        <f>PC24+PC26+PC25</f>
        <v>0</v>
      </c>
      <c r="PD27" s="193">
        <f>PD24+PD26+PD25</f>
        <v>0</v>
      </c>
      <c r="PE27" s="193">
        <f>PE24+PE26+PE25</f>
        <v>0</v>
      </c>
      <c r="PF27" s="193">
        <f>PF24+PF26+PF25</f>
        <v>0</v>
      </c>
      <c r="PG27" s="193">
        <f>PG24+PG26+PG25</f>
        <v>0</v>
      </c>
      <c r="PH27" s="193">
        <f>PH24+PH26+PH25</f>
        <v>0</v>
      </c>
      <c r="PI27" s="193">
        <f>PI24+PI26+PI25</f>
        <v>0</v>
      </c>
      <c r="PJ27" s="193">
        <f>PJ24+PJ26+PJ25</f>
        <v>0</v>
      </c>
      <c r="PK27" s="193">
        <f>PK24+PK26+PK25</f>
        <v>0</v>
      </c>
      <c r="PL27" s="193">
        <f>PL24+PL26+PL25</f>
        <v>0</v>
      </c>
      <c r="PM27" s="193">
        <f>PM24+PM26+PM25</f>
        <v>0</v>
      </c>
      <c r="PN27" s="193">
        <f>PN24+PN26+PN25</f>
        <v>0</v>
      </c>
      <c r="PO27" s="193">
        <f>PO24+PO26+PO25</f>
        <v>0</v>
      </c>
      <c r="PP27" s="193">
        <f>PP24+PP26+PP25</f>
        <v>0</v>
      </c>
      <c r="PQ27" s="193">
        <f>PQ24+PQ26+PQ25</f>
        <v>0</v>
      </c>
      <c r="PR27" s="193">
        <f>PR24+PR26+PR25</f>
        <v>0</v>
      </c>
      <c r="PS27" s="193">
        <f>PS24+PS26+PS25</f>
        <v>0</v>
      </c>
      <c r="PT27" s="193">
        <f>PT24+PT26+PT25</f>
        <v>0</v>
      </c>
      <c r="PU27" s="193">
        <f>PU24+PU26+PU25</f>
        <v>0</v>
      </c>
      <c r="PV27" s="193">
        <f>PV24+PV26+PV25</f>
        <v>0</v>
      </c>
      <c r="PW27" s="193">
        <f>PW24+PW26+PW25</f>
        <v>0</v>
      </c>
      <c r="PX27" s="193">
        <f>PX24+PX26+PX25</f>
        <v>0</v>
      </c>
      <c r="PY27" s="193">
        <f>PY24+PY26+PY25</f>
        <v>0</v>
      </c>
      <c r="PZ27" s="193">
        <f>PZ24+PZ26+PZ25</f>
        <v>0</v>
      </c>
      <c r="QA27" s="193">
        <f>QA24+QA26+QA25</f>
        <v>0</v>
      </c>
      <c r="QB27" s="193">
        <f>QB24+QB26+QB25</f>
        <v>0</v>
      </c>
      <c r="QC27" s="193">
        <f>QC24+QC26+QC25</f>
        <v>0</v>
      </c>
      <c r="QD27" s="193">
        <f>QD24+QD26+QD25</f>
        <v>0</v>
      </c>
      <c r="QE27" s="193">
        <f>QE24+QE26+QE25</f>
        <v>0</v>
      </c>
      <c r="QF27" s="193">
        <f>QF24+QF26+QF25</f>
        <v>0</v>
      </c>
      <c r="QG27" s="193">
        <f>QG24+QG26+QG25</f>
        <v>0</v>
      </c>
      <c r="QH27" s="193">
        <f>QH24+QH26+QH25</f>
        <v>0</v>
      </c>
      <c r="QI27" s="193">
        <f>QI24+QI26+QI25</f>
        <v>0</v>
      </c>
      <c r="QJ27" s="193">
        <f>QJ24+QJ26+QJ25</f>
        <v>0</v>
      </c>
      <c r="QK27" s="193">
        <f>QK24+QK26+QK25</f>
        <v>0</v>
      </c>
      <c r="QL27" s="193">
        <f>QL24+QL26+QL25</f>
        <v>0</v>
      </c>
      <c r="QM27" s="193">
        <f>QM24+QM26+QM25</f>
        <v>0</v>
      </c>
      <c r="QN27" s="193">
        <f>QN24+QN26+QN25</f>
        <v>0</v>
      </c>
      <c r="QO27" s="193">
        <f>QO24+QO26+QO25</f>
        <v>0</v>
      </c>
      <c r="QP27" s="193">
        <f>QP24+QP26+QP25</f>
        <v>0</v>
      </c>
      <c r="QQ27" s="193">
        <f>QQ24+QQ26+QQ25</f>
        <v>0</v>
      </c>
      <c r="QR27" s="193">
        <f>QR24+QR26+QR25</f>
        <v>0</v>
      </c>
      <c r="QS27" s="193">
        <f>QS24+QS26+QS25</f>
        <v>0</v>
      </c>
      <c r="QT27" s="193">
        <f>QT24+QT26+QT25</f>
        <v>0</v>
      </c>
      <c r="QU27" s="193">
        <f>QU24+QU26+QU25</f>
        <v>0</v>
      </c>
      <c r="QV27" s="193">
        <f>QV24+QV26+QV25</f>
        <v>0</v>
      </c>
      <c r="QW27" s="193">
        <f>QW24+QW26+QW25</f>
        <v>0</v>
      </c>
      <c r="QX27" s="193">
        <f>QX24+QX26+QX25</f>
        <v>0</v>
      </c>
      <c r="QY27" s="193">
        <f>QY24+QY26+QY25</f>
        <v>0</v>
      </c>
      <c r="QZ27" s="193">
        <f>QZ24+QZ26+QZ25</f>
        <v>0</v>
      </c>
      <c r="RA27" s="193">
        <f>RA24+RA26+RA25</f>
        <v>0</v>
      </c>
      <c r="RB27" s="193">
        <f>RB24+RB26+RB25</f>
        <v>0</v>
      </c>
      <c r="RC27" s="193">
        <f>RC24+RC26+RC25</f>
        <v>0</v>
      </c>
      <c r="RD27" s="193">
        <f>RD24+RD26+RD25</f>
        <v>0</v>
      </c>
      <c r="RE27" s="193">
        <f>RE24+RE26+RE25</f>
        <v>0</v>
      </c>
      <c r="RF27" s="193">
        <f>RF24+RF26+RF25</f>
        <v>0</v>
      </c>
      <c r="RG27" s="193">
        <f>RG24+RG26+RG25</f>
        <v>0</v>
      </c>
      <c r="RH27" s="193">
        <f>RH24+RH26+RH25</f>
        <v>0</v>
      </c>
      <c r="RI27" s="193">
        <f>RI24+RI26+RI25</f>
        <v>0</v>
      </c>
      <c r="RJ27" s="193">
        <f>RJ24+RJ26+RJ25</f>
        <v>0</v>
      </c>
      <c r="RK27" s="193">
        <f>RK24+RK26+RK25</f>
        <v>0</v>
      </c>
      <c r="RL27" s="193">
        <f>RL24+RL26+RL25</f>
        <v>0</v>
      </c>
      <c r="RM27" s="193">
        <f>RM24+RM26+RM25</f>
        <v>0</v>
      </c>
      <c r="RN27" s="193">
        <f>RN24+RN26+RN25</f>
        <v>0</v>
      </c>
      <c r="RO27" s="193">
        <f>RO24+RO26+RO25</f>
        <v>0</v>
      </c>
      <c r="RP27" s="193">
        <f>RP24+RP26+RP25</f>
        <v>0</v>
      </c>
      <c r="RQ27" s="193">
        <f>RQ24+RQ26+RQ25</f>
        <v>0</v>
      </c>
      <c r="RR27" s="193">
        <f>RR24+RR26+RR25</f>
        <v>0</v>
      </c>
      <c r="RS27" s="193">
        <f>RS24+RS26+RS25</f>
        <v>0</v>
      </c>
      <c r="RT27" s="193">
        <f>RT24+RT26+RT25</f>
        <v>0</v>
      </c>
      <c r="RU27" s="193">
        <f>RU24+RU26+RU25</f>
        <v>0</v>
      </c>
      <c r="RV27" s="193">
        <f>RV24+RV26+RV25</f>
        <v>0</v>
      </c>
      <c r="RW27" s="193">
        <f>RW24+RW26+RW25</f>
        <v>0</v>
      </c>
      <c r="RX27" s="193">
        <f>RX24+RX26+RX25</f>
        <v>0</v>
      </c>
      <c r="RY27" s="193">
        <f>RY24+RY26+RY25</f>
        <v>0</v>
      </c>
      <c r="RZ27" s="193">
        <f>RZ24+RZ26+RZ25</f>
        <v>0</v>
      </c>
      <c r="SA27" s="193">
        <f>SA24+SA26+SA25</f>
        <v>0</v>
      </c>
      <c r="SB27" s="193">
        <f>SB24+SB26+SB25</f>
        <v>0</v>
      </c>
      <c r="SC27" s="193">
        <f>SC24+SC26+SC25</f>
        <v>0</v>
      </c>
      <c r="SD27" s="193">
        <f>SD24+SD26+SD25</f>
        <v>0</v>
      </c>
      <c r="SE27" s="193">
        <f>SE24+SE26+SE25</f>
        <v>0</v>
      </c>
      <c r="SF27" s="193">
        <f>SF24+SF26+SF25</f>
        <v>0</v>
      </c>
      <c r="SG27" s="193">
        <f>SG24+SG26+SG25</f>
        <v>0</v>
      </c>
      <c r="SH27" s="193">
        <f>SH24+SH26+SH25</f>
        <v>0</v>
      </c>
      <c r="SI27" s="193">
        <f>SI24+SI26+SI25</f>
        <v>0</v>
      </c>
      <c r="SJ27" s="193">
        <f>SJ24+SJ26+SJ25</f>
        <v>0</v>
      </c>
      <c r="SK27" s="193">
        <f>SK24+SK26+SK25</f>
        <v>0</v>
      </c>
      <c r="SL27" s="193">
        <f>SL24+SL26+SL25</f>
        <v>0</v>
      </c>
      <c r="SM27" s="193">
        <f>SM24+SM26+SM25</f>
        <v>0</v>
      </c>
      <c r="SN27" s="193">
        <f>SN24+SN26+SN25</f>
        <v>0</v>
      </c>
      <c r="SO27" s="193">
        <f>SO24+SO26+SO25</f>
        <v>0</v>
      </c>
      <c r="SP27" s="193">
        <f>SP24+SP26+SP25</f>
        <v>0</v>
      </c>
      <c r="SQ27" s="193"/>
      <c r="SR27" s="193"/>
      <c r="SS27" s="195"/>
    </row>
    <row r="28" spans="1:513" s="194" customFormat="1" ht="15" customHeight="1">
      <c r="A28" s="215" t="s">
        <v>200</v>
      </c>
      <c r="B28" s="216"/>
      <c r="C28" s="216"/>
      <c r="D28" s="216"/>
      <c r="E28" s="217"/>
      <c r="F28" s="193">
        <f>F27</f>
        <v>0</v>
      </c>
      <c r="G28" s="193">
        <f t="shared" ref="G28:BR28" si="111">G27</f>
        <v>0</v>
      </c>
      <c r="H28" s="193">
        <f t="shared" si="111"/>
        <v>0</v>
      </c>
      <c r="I28" s="193">
        <f t="shared" si="111"/>
        <v>0</v>
      </c>
      <c r="J28" s="193">
        <f t="shared" si="111"/>
        <v>0</v>
      </c>
      <c r="K28" s="193">
        <f t="shared" si="111"/>
        <v>0</v>
      </c>
      <c r="L28" s="193">
        <f t="shared" si="111"/>
        <v>0</v>
      </c>
      <c r="M28" s="193">
        <f t="shared" si="111"/>
        <v>0</v>
      </c>
      <c r="N28" s="193">
        <f t="shared" si="111"/>
        <v>0</v>
      </c>
      <c r="O28" s="193">
        <f t="shared" si="111"/>
        <v>0</v>
      </c>
      <c r="P28" s="193">
        <f t="shared" si="111"/>
        <v>0</v>
      </c>
      <c r="Q28" s="193">
        <f t="shared" si="111"/>
        <v>0</v>
      </c>
      <c r="R28" s="193">
        <f t="shared" si="111"/>
        <v>0</v>
      </c>
      <c r="S28" s="193">
        <f t="shared" si="111"/>
        <v>0</v>
      </c>
      <c r="T28" s="193">
        <f t="shared" si="111"/>
        <v>0</v>
      </c>
      <c r="U28" s="193">
        <f t="shared" si="111"/>
        <v>0</v>
      </c>
      <c r="V28" s="193">
        <f t="shared" si="111"/>
        <v>0</v>
      </c>
      <c r="W28" s="193">
        <f t="shared" si="111"/>
        <v>0</v>
      </c>
      <c r="X28" s="193">
        <f t="shared" si="111"/>
        <v>0</v>
      </c>
      <c r="Y28" s="193">
        <f t="shared" si="111"/>
        <v>0</v>
      </c>
      <c r="Z28" s="193">
        <f t="shared" si="111"/>
        <v>0</v>
      </c>
      <c r="AA28" s="193">
        <f t="shared" si="111"/>
        <v>0</v>
      </c>
      <c r="AB28" s="193">
        <f t="shared" si="111"/>
        <v>0</v>
      </c>
      <c r="AC28" s="193">
        <f t="shared" si="111"/>
        <v>0</v>
      </c>
      <c r="AD28" s="193">
        <f t="shared" si="111"/>
        <v>0</v>
      </c>
      <c r="AE28" s="193">
        <f t="shared" si="111"/>
        <v>0</v>
      </c>
      <c r="AF28" s="193">
        <f t="shared" si="111"/>
        <v>0</v>
      </c>
      <c r="AG28" s="193">
        <f t="shared" si="111"/>
        <v>0</v>
      </c>
      <c r="AH28" s="193">
        <f t="shared" si="111"/>
        <v>0</v>
      </c>
      <c r="AI28" s="193">
        <f t="shared" si="111"/>
        <v>0</v>
      </c>
      <c r="AJ28" s="193">
        <f t="shared" si="111"/>
        <v>0</v>
      </c>
      <c r="AK28" s="193">
        <f t="shared" si="111"/>
        <v>0</v>
      </c>
      <c r="AL28" s="193">
        <f t="shared" si="111"/>
        <v>0</v>
      </c>
      <c r="AM28" s="193">
        <f t="shared" si="111"/>
        <v>0</v>
      </c>
      <c r="AN28" s="193">
        <f t="shared" si="111"/>
        <v>0</v>
      </c>
      <c r="AO28" s="193">
        <f t="shared" si="111"/>
        <v>0</v>
      </c>
      <c r="AP28" s="193">
        <f t="shared" si="111"/>
        <v>0</v>
      </c>
      <c r="AQ28" s="193">
        <f t="shared" si="111"/>
        <v>0</v>
      </c>
      <c r="AR28" s="193">
        <f t="shared" si="111"/>
        <v>0</v>
      </c>
      <c r="AS28" s="193">
        <f t="shared" si="111"/>
        <v>0</v>
      </c>
      <c r="AT28" s="193">
        <f t="shared" si="111"/>
        <v>0</v>
      </c>
      <c r="AU28" s="193">
        <f t="shared" si="111"/>
        <v>0</v>
      </c>
      <c r="AV28" s="193">
        <f t="shared" si="111"/>
        <v>0</v>
      </c>
      <c r="AW28" s="193">
        <f t="shared" si="111"/>
        <v>0</v>
      </c>
      <c r="AX28" s="193">
        <f t="shared" si="111"/>
        <v>0</v>
      </c>
      <c r="AY28" s="193">
        <f t="shared" si="111"/>
        <v>0</v>
      </c>
      <c r="AZ28" s="193">
        <f t="shared" si="111"/>
        <v>0</v>
      </c>
      <c r="BA28" s="193">
        <f t="shared" si="111"/>
        <v>0</v>
      </c>
      <c r="BB28" s="193">
        <f t="shared" si="111"/>
        <v>0</v>
      </c>
      <c r="BC28" s="193">
        <f t="shared" si="111"/>
        <v>0</v>
      </c>
      <c r="BD28" s="193">
        <f t="shared" si="111"/>
        <v>0</v>
      </c>
      <c r="BE28" s="193">
        <f t="shared" si="111"/>
        <v>0</v>
      </c>
      <c r="BF28" s="193">
        <f t="shared" si="111"/>
        <v>0</v>
      </c>
      <c r="BG28" s="193">
        <f t="shared" si="111"/>
        <v>0</v>
      </c>
      <c r="BH28" s="193">
        <f t="shared" si="111"/>
        <v>0</v>
      </c>
      <c r="BI28" s="193">
        <f t="shared" si="111"/>
        <v>0</v>
      </c>
      <c r="BJ28" s="193">
        <f t="shared" si="111"/>
        <v>0</v>
      </c>
      <c r="BK28" s="193">
        <f t="shared" si="111"/>
        <v>0</v>
      </c>
      <c r="BL28" s="193">
        <f t="shared" si="111"/>
        <v>0</v>
      </c>
      <c r="BM28" s="193">
        <f t="shared" si="111"/>
        <v>0</v>
      </c>
      <c r="BN28" s="193">
        <f t="shared" si="111"/>
        <v>0</v>
      </c>
      <c r="BO28" s="193">
        <f t="shared" si="111"/>
        <v>0</v>
      </c>
      <c r="BP28" s="193">
        <f t="shared" si="111"/>
        <v>0</v>
      </c>
      <c r="BQ28" s="193">
        <f t="shared" si="111"/>
        <v>0</v>
      </c>
      <c r="BR28" s="193">
        <f t="shared" si="111"/>
        <v>0</v>
      </c>
      <c r="BS28" s="193">
        <f t="shared" ref="BS28:ED28" si="112">BS27</f>
        <v>0</v>
      </c>
      <c r="BT28" s="193">
        <f t="shared" si="112"/>
        <v>0</v>
      </c>
      <c r="BU28" s="193">
        <f t="shared" si="112"/>
        <v>0</v>
      </c>
      <c r="BV28" s="193">
        <f t="shared" si="112"/>
        <v>0</v>
      </c>
      <c r="BW28" s="193">
        <f t="shared" si="112"/>
        <v>0</v>
      </c>
      <c r="BX28" s="193">
        <f t="shared" si="112"/>
        <v>0</v>
      </c>
      <c r="BY28" s="193">
        <f t="shared" si="112"/>
        <v>0</v>
      </c>
      <c r="BZ28" s="193">
        <f t="shared" si="112"/>
        <v>0</v>
      </c>
      <c r="CA28" s="193">
        <f t="shared" si="112"/>
        <v>0</v>
      </c>
      <c r="CB28" s="193">
        <f t="shared" si="112"/>
        <v>0</v>
      </c>
      <c r="CC28" s="193">
        <f t="shared" si="112"/>
        <v>0</v>
      </c>
      <c r="CD28" s="193">
        <f t="shared" si="112"/>
        <v>0</v>
      </c>
      <c r="CE28" s="193">
        <f t="shared" si="112"/>
        <v>0</v>
      </c>
      <c r="CF28" s="193">
        <f t="shared" si="112"/>
        <v>0</v>
      </c>
      <c r="CG28" s="193">
        <f t="shared" si="112"/>
        <v>0</v>
      </c>
      <c r="CH28" s="193">
        <f t="shared" si="112"/>
        <v>0</v>
      </c>
      <c r="CI28" s="193">
        <f t="shared" si="112"/>
        <v>0</v>
      </c>
      <c r="CJ28" s="193">
        <f t="shared" si="112"/>
        <v>0</v>
      </c>
      <c r="CK28" s="193">
        <f t="shared" si="112"/>
        <v>0</v>
      </c>
      <c r="CL28" s="193">
        <f t="shared" si="112"/>
        <v>0</v>
      </c>
      <c r="CM28" s="193">
        <f t="shared" si="112"/>
        <v>0</v>
      </c>
      <c r="CN28" s="193">
        <f t="shared" si="112"/>
        <v>0</v>
      </c>
      <c r="CO28" s="193">
        <f t="shared" si="112"/>
        <v>0</v>
      </c>
      <c r="CP28" s="193">
        <f t="shared" si="112"/>
        <v>0</v>
      </c>
      <c r="CQ28" s="193">
        <f t="shared" si="112"/>
        <v>0</v>
      </c>
      <c r="CR28" s="193">
        <f t="shared" si="112"/>
        <v>0</v>
      </c>
      <c r="CS28" s="193">
        <f t="shared" si="112"/>
        <v>0</v>
      </c>
      <c r="CT28" s="193">
        <f t="shared" si="112"/>
        <v>0</v>
      </c>
      <c r="CU28" s="193">
        <f t="shared" si="112"/>
        <v>0</v>
      </c>
      <c r="CV28" s="193">
        <f t="shared" si="112"/>
        <v>0</v>
      </c>
      <c r="CW28" s="193">
        <f t="shared" si="112"/>
        <v>0</v>
      </c>
      <c r="CX28" s="193">
        <f t="shared" si="112"/>
        <v>0</v>
      </c>
      <c r="CY28" s="193">
        <f t="shared" si="112"/>
        <v>0</v>
      </c>
      <c r="CZ28" s="193">
        <f t="shared" si="112"/>
        <v>0</v>
      </c>
      <c r="DA28" s="193">
        <f t="shared" si="112"/>
        <v>0</v>
      </c>
      <c r="DB28" s="193">
        <f t="shared" si="112"/>
        <v>0</v>
      </c>
      <c r="DC28" s="193">
        <f t="shared" si="112"/>
        <v>0</v>
      </c>
      <c r="DD28" s="193">
        <f t="shared" si="112"/>
        <v>0</v>
      </c>
      <c r="DE28" s="193">
        <f t="shared" si="112"/>
        <v>0</v>
      </c>
      <c r="DF28" s="193">
        <f t="shared" si="112"/>
        <v>0</v>
      </c>
      <c r="DG28" s="193">
        <f t="shared" si="112"/>
        <v>0</v>
      </c>
      <c r="DH28" s="193">
        <f t="shared" si="112"/>
        <v>0</v>
      </c>
      <c r="DI28" s="193">
        <f t="shared" si="112"/>
        <v>0</v>
      </c>
      <c r="DJ28" s="193">
        <f t="shared" si="112"/>
        <v>0</v>
      </c>
      <c r="DK28" s="193">
        <f t="shared" si="112"/>
        <v>0</v>
      </c>
      <c r="DL28" s="193">
        <f t="shared" si="112"/>
        <v>0</v>
      </c>
      <c r="DM28" s="193">
        <f t="shared" si="112"/>
        <v>0</v>
      </c>
      <c r="DN28" s="193">
        <f t="shared" si="112"/>
        <v>0</v>
      </c>
      <c r="DO28" s="193">
        <f t="shared" si="112"/>
        <v>0</v>
      </c>
      <c r="DP28" s="193">
        <f t="shared" si="112"/>
        <v>0</v>
      </c>
      <c r="DQ28" s="193">
        <f t="shared" si="112"/>
        <v>0</v>
      </c>
      <c r="DR28" s="193">
        <f t="shared" si="112"/>
        <v>0</v>
      </c>
      <c r="DS28" s="193">
        <f t="shared" si="112"/>
        <v>0</v>
      </c>
      <c r="DT28" s="193">
        <f t="shared" si="112"/>
        <v>0</v>
      </c>
      <c r="DU28" s="193">
        <f t="shared" si="112"/>
        <v>0</v>
      </c>
      <c r="DV28" s="193">
        <f t="shared" si="112"/>
        <v>0</v>
      </c>
      <c r="DW28" s="193">
        <f t="shared" si="112"/>
        <v>0</v>
      </c>
      <c r="DX28" s="193">
        <f t="shared" si="112"/>
        <v>0</v>
      </c>
      <c r="DY28" s="193">
        <f t="shared" si="112"/>
        <v>0</v>
      </c>
      <c r="DZ28" s="193">
        <f t="shared" si="112"/>
        <v>0</v>
      </c>
      <c r="EA28" s="193">
        <f t="shared" si="112"/>
        <v>0</v>
      </c>
      <c r="EB28" s="193">
        <f t="shared" si="112"/>
        <v>0</v>
      </c>
      <c r="EC28" s="193">
        <f t="shared" si="112"/>
        <v>0</v>
      </c>
      <c r="ED28" s="193">
        <f t="shared" si="112"/>
        <v>0</v>
      </c>
      <c r="EE28" s="193">
        <f t="shared" ref="EE28:GP28" si="113">EE27</f>
        <v>0</v>
      </c>
      <c r="EF28" s="193">
        <f t="shared" si="113"/>
        <v>0</v>
      </c>
      <c r="EG28" s="193">
        <f t="shared" si="113"/>
        <v>0</v>
      </c>
      <c r="EH28" s="193">
        <f t="shared" si="113"/>
        <v>0</v>
      </c>
      <c r="EI28" s="193">
        <f t="shared" si="113"/>
        <v>0</v>
      </c>
      <c r="EJ28" s="193">
        <f t="shared" si="113"/>
        <v>0</v>
      </c>
      <c r="EK28" s="193">
        <f t="shared" si="113"/>
        <v>0</v>
      </c>
      <c r="EL28" s="193">
        <f t="shared" si="113"/>
        <v>0</v>
      </c>
      <c r="EM28" s="193">
        <f t="shared" si="113"/>
        <v>0</v>
      </c>
      <c r="EN28" s="193">
        <f t="shared" si="113"/>
        <v>0</v>
      </c>
      <c r="EO28" s="193">
        <f t="shared" si="113"/>
        <v>0</v>
      </c>
      <c r="EP28" s="193">
        <f t="shared" si="113"/>
        <v>0</v>
      </c>
      <c r="EQ28" s="193">
        <f t="shared" si="113"/>
        <v>0</v>
      </c>
      <c r="ER28" s="193">
        <f t="shared" si="113"/>
        <v>0</v>
      </c>
      <c r="ES28" s="193">
        <f t="shared" si="113"/>
        <v>0</v>
      </c>
      <c r="ET28" s="193">
        <f t="shared" si="113"/>
        <v>0</v>
      </c>
      <c r="EU28" s="193">
        <f t="shared" si="113"/>
        <v>0</v>
      </c>
      <c r="EV28" s="193">
        <f t="shared" si="113"/>
        <v>0</v>
      </c>
      <c r="EW28" s="193">
        <f t="shared" si="113"/>
        <v>0</v>
      </c>
      <c r="EX28" s="193">
        <f t="shared" si="113"/>
        <v>0</v>
      </c>
      <c r="EY28" s="193">
        <f t="shared" si="113"/>
        <v>0</v>
      </c>
      <c r="EZ28" s="193">
        <f t="shared" si="113"/>
        <v>0</v>
      </c>
      <c r="FA28" s="193">
        <f t="shared" si="113"/>
        <v>0</v>
      </c>
      <c r="FB28" s="193">
        <f t="shared" si="113"/>
        <v>0</v>
      </c>
      <c r="FC28" s="193">
        <f t="shared" si="113"/>
        <v>0</v>
      </c>
      <c r="FD28" s="193">
        <f t="shared" si="113"/>
        <v>0</v>
      </c>
      <c r="FE28" s="193">
        <f t="shared" si="113"/>
        <v>0</v>
      </c>
      <c r="FF28" s="193">
        <f t="shared" si="113"/>
        <v>0</v>
      </c>
      <c r="FG28" s="193">
        <f t="shared" si="113"/>
        <v>0</v>
      </c>
      <c r="FH28" s="193">
        <f t="shared" si="113"/>
        <v>0</v>
      </c>
      <c r="FI28" s="193">
        <f t="shared" si="113"/>
        <v>0</v>
      </c>
      <c r="FJ28" s="193">
        <f t="shared" si="113"/>
        <v>0</v>
      </c>
      <c r="FK28" s="193">
        <f t="shared" si="113"/>
        <v>0</v>
      </c>
      <c r="FL28" s="193">
        <f t="shared" si="113"/>
        <v>0</v>
      </c>
      <c r="FM28" s="193">
        <f t="shared" si="113"/>
        <v>0</v>
      </c>
      <c r="FN28" s="193">
        <f t="shared" si="113"/>
        <v>0</v>
      </c>
      <c r="FO28" s="193">
        <f t="shared" si="113"/>
        <v>0</v>
      </c>
      <c r="FP28" s="193">
        <f t="shared" si="113"/>
        <v>0</v>
      </c>
      <c r="FQ28" s="193">
        <f t="shared" si="113"/>
        <v>0</v>
      </c>
      <c r="FR28" s="193">
        <f t="shared" si="113"/>
        <v>0</v>
      </c>
      <c r="FS28" s="193">
        <f t="shared" si="113"/>
        <v>0</v>
      </c>
      <c r="FT28" s="193">
        <f t="shared" si="113"/>
        <v>0</v>
      </c>
      <c r="FU28" s="193">
        <f t="shared" si="113"/>
        <v>0</v>
      </c>
      <c r="FV28" s="193">
        <f t="shared" si="113"/>
        <v>0</v>
      </c>
      <c r="FW28" s="193">
        <f t="shared" si="113"/>
        <v>0</v>
      </c>
      <c r="FX28" s="193">
        <f t="shared" si="113"/>
        <v>0</v>
      </c>
      <c r="FY28" s="193">
        <f t="shared" si="113"/>
        <v>0</v>
      </c>
      <c r="FZ28" s="193">
        <f t="shared" si="113"/>
        <v>0</v>
      </c>
      <c r="GA28" s="193">
        <f t="shared" si="113"/>
        <v>0</v>
      </c>
      <c r="GB28" s="193">
        <f t="shared" si="113"/>
        <v>0</v>
      </c>
      <c r="GC28" s="193">
        <f t="shared" si="113"/>
        <v>0</v>
      </c>
      <c r="GD28" s="193">
        <f t="shared" si="113"/>
        <v>0</v>
      </c>
      <c r="GE28" s="193">
        <f t="shared" si="113"/>
        <v>0</v>
      </c>
      <c r="GF28" s="193">
        <f t="shared" si="113"/>
        <v>0</v>
      </c>
      <c r="GG28" s="193">
        <f t="shared" si="113"/>
        <v>0</v>
      </c>
      <c r="GH28" s="193">
        <f t="shared" si="113"/>
        <v>0</v>
      </c>
      <c r="GI28" s="193">
        <f t="shared" si="113"/>
        <v>0</v>
      </c>
      <c r="GJ28" s="193">
        <f t="shared" si="113"/>
        <v>0</v>
      </c>
      <c r="GK28" s="193">
        <f t="shared" si="113"/>
        <v>0</v>
      </c>
      <c r="GL28" s="193">
        <f t="shared" si="113"/>
        <v>0</v>
      </c>
      <c r="GM28" s="193">
        <f t="shared" si="113"/>
        <v>0</v>
      </c>
      <c r="GN28" s="193">
        <f t="shared" si="113"/>
        <v>0</v>
      </c>
      <c r="GO28" s="193">
        <f t="shared" si="113"/>
        <v>0</v>
      </c>
      <c r="GP28" s="193">
        <f t="shared" si="113"/>
        <v>0</v>
      </c>
      <c r="GQ28" s="193">
        <f t="shared" ref="GQ28:JB28" si="114">GQ27</f>
        <v>0</v>
      </c>
      <c r="GR28" s="193">
        <f t="shared" si="114"/>
        <v>0</v>
      </c>
      <c r="GS28" s="193">
        <f t="shared" si="114"/>
        <v>0</v>
      </c>
      <c r="GT28" s="193">
        <f t="shared" si="114"/>
        <v>0</v>
      </c>
      <c r="GU28" s="193">
        <f t="shared" si="114"/>
        <v>0</v>
      </c>
      <c r="GV28" s="193">
        <f t="shared" si="114"/>
        <v>0</v>
      </c>
      <c r="GW28" s="193">
        <f t="shared" si="114"/>
        <v>0</v>
      </c>
      <c r="GX28" s="193">
        <f t="shared" si="114"/>
        <v>0</v>
      </c>
      <c r="GY28" s="193">
        <f t="shared" si="114"/>
        <v>0</v>
      </c>
      <c r="GZ28" s="193">
        <f t="shared" si="114"/>
        <v>0</v>
      </c>
      <c r="HA28" s="193">
        <f t="shared" si="114"/>
        <v>0</v>
      </c>
      <c r="HB28" s="193">
        <f t="shared" si="114"/>
        <v>0</v>
      </c>
      <c r="HC28" s="193">
        <f t="shared" si="114"/>
        <v>0</v>
      </c>
      <c r="HD28" s="193">
        <f t="shared" si="114"/>
        <v>0</v>
      </c>
      <c r="HE28" s="193">
        <f t="shared" si="114"/>
        <v>0</v>
      </c>
      <c r="HF28" s="193">
        <f t="shared" si="114"/>
        <v>0</v>
      </c>
      <c r="HG28" s="193">
        <f t="shared" si="114"/>
        <v>0</v>
      </c>
      <c r="HH28" s="193">
        <f t="shared" si="114"/>
        <v>0</v>
      </c>
      <c r="HI28" s="193">
        <f t="shared" si="114"/>
        <v>0</v>
      </c>
      <c r="HJ28" s="193">
        <f t="shared" si="114"/>
        <v>0</v>
      </c>
      <c r="HK28" s="193">
        <f t="shared" si="114"/>
        <v>0</v>
      </c>
      <c r="HL28" s="193">
        <f t="shared" si="114"/>
        <v>0</v>
      </c>
      <c r="HM28" s="193">
        <f t="shared" si="114"/>
        <v>0</v>
      </c>
      <c r="HN28" s="193">
        <f t="shared" si="114"/>
        <v>0</v>
      </c>
      <c r="HO28" s="193">
        <f t="shared" si="114"/>
        <v>0</v>
      </c>
      <c r="HP28" s="193">
        <f t="shared" si="114"/>
        <v>0</v>
      </c>
      <c r="HQ28" s="193">
        <f t="shared" si="114"/>
        <v>0</v>
      </c>
      <c r="HR28" s="193">
        <f t="shared" si="114"/>
        <v>0</v>
      </c>
      <c r="HS28" s="193">
        <f t="shared" si="114"/>
        <v>0</v>
      </c>
      <c r="HT28" s="193">
        <f t="shared" si="114"/>
        <v>0</v>
      </c>
      <c r="HU28" s="193">
        <f t="shared" si="114"/>
        <v>0</v>
      </c>
      <c r="HV28" s="193">
        <f t="shared" si="114"/>
        <v>0</v>
      </c>
      <c r="HW28" s="193">
        <f t="shared" si="114"/>
        <v>0</v>
      </c>
      <c r="HX28" s="193">
        <f t="shared" si="114"/>
        <v>0</v>
      </c>
      <c r="HY28" s="193">
        <f t="shared" si="114"/>
        <v>0</v>
      </c>
      <c r="HZ28" s="193">
        <f t="shared" si="114"/>
        <v>0</v>
      </c>
      <c r="IA28" s="193">
        <f t="shared" si="114"/>
        <v>0</v>
      </c>
      <c r="IB28" s="193">
        <f t="shared" si="114"/>
        <v>0</v>
      </c>
      <c r="IC28" s="193">
        <f t="shared" si="114"/>
        <v>0</v>
      </c>
      <c r="ID28" s="193">
        <f t="shared" si="114"/>
        <v>0</v>
      </c>
      <c r="IE28" s="193">
        <f t="shared" si="114"/>
        <v>0</v>
      </c>
      <c r="IF28" s="193">
        <f t="shared" si="114"/>
        <v>0</v>
      </c>
      <c r="IG28" s="193">
        <f t="shared" si="114"/>
        <v>0</v>
      </c>
      <c r="IH28" s="193">
        <f t="shared" si="114"/>
        <v>0</v>
      </c>
      <c r="II28" s="193">
        <f t="shared" si="114"/>
        <v>0</v>
      </c>
      <c r="IJ28" s="193">
        <f t="shared" si="114"/>
        <v>0</v>
      </c>
      <c r="IK28" s="193">
        <f t="shared" si="114"/>
        <v>0</v>
      </c>
      <c r="IL28" s="193">
        <f t="shared" si="114"/>
        <v>0</v>
      </c>
      <c r="IM28" s="193">
        <f t="shared" si="114"/>
        <v>0</v>
      </c>
      <c r="IN28" s="193">
        <f t="shared" si="114"/>
        <v>0</v>
      </c>
      <c r="IO28" s="193">
        <f t="shared" si="114"/>
        <v>0</v>
      </c>
      <c r="IP28" s="193">
        <f t="shared" si="114"/>
        <v>0</v>
      </c>
      <c r="IQ28" s="193">
        <f t="shared" si="114"/>
        <v>0</v>
      </c>
      <c r="IR28" s="193">
        <f t="shared" si="114"/>
        <v>0</v>
      </c>
      <c r="IS28" s="193">
        <f t="shared" si="114"/>
        <v>0</v>
      </c>
      <c r="IT28" s="193">
        <f t="shared" si="114"/>
        <v>0</v>
      </c>
      <c r="IU28" s="193">
        <f t="shared" si="114"/>
        <v>0</v>
      </c>
      <c r="IV28" s="193">
        <f t="shared" si="114"/>
        <v>0</v>
      </c>
      <c r="IW28" s="193">
        <f t="shared" si="114"/>
        <v>0</v>
      </c>
      <c r="IX28" s="193">
        <f t="shared" si="114"/>
        <v>0</v>
      </c>
      <c r="IY28" s="193">
        <f t="shared" si="114"/>
        <v>0</v>
      </c>
      <c r="IZ28" s="193">
        <f t="shared" si="114"/>
        <v>0</v>
      </c>
      <c r="JA28" s="193">
        <f t="shared" si="114"/>
        <v>0</v>
      </c>
      <c r="JB28" s="193">
        <f t="shared" si="114"/>
        <v>0</v>
      </c>
      <c r="JC28" s="193">
        <f t="shared" ref="JC28:LN28" si="115">JC27</f>
        <v>0</v>
      </c>
      <c r="JD28" s="193">
        <f t="shared" si="115"/>
        <v>0</v>
      </c>
      <c r="JE28" s="193">
        <f t="shared" si="115"/>
        <v>0</v>
      </c>
      <c r="JF28" s="193">
        <f t="shared" si="115"/>
        <v>0</v>
      </c>
      <c r="JG28" s="193">
        <f t="shared" si="115"/>
        <v>0</v>
      </c>
      <c r="JH28" s="193">
        <f t="shared" si="115"/>
        <v>0</v>
      </c>
      <c r="JI28" s="193">
        <f t="shared" si="115"/>
        <v>0</v>
      </c>
      <c r="JJ28" s="193">
        <f t="shared" si="115"/>
        <v>0</v>
      </c>
      <c r="JK28" s="193">
        <f t="shared" si="115"/>
        <v>0</v>
      </c>
      <c r="JL28" s="193">
        <f t="shared" si="115"/>
        <v>0</v>
      </c>
      <c r="JM28" s="193">
        <f t="shared" si="115"/>
        <v>0</v>
      </c>
      <c r="JN28" s="193">
        <f t="shared" si="115"/>
        <v>0</v>
      </c>
      <c r="JO28" s="193">
        <f t="shared" si="115"/>
        <v>0</v>
      </c>
      <c r="JP28" s="193">
        <f t="shared" si="115"/>
        <v>0</v>
      </c>
      <c r="JQ28" s="193">
        <f t="shared" si="115"/>
        <v>0</v>
      </c>
      <c r="JR28" s="193">
        <f t="shared" si="115"/>
        <v>0</v>
      </c>
      <c r="JS28" s="193">
        <f t="shared" si="115"/>
        <v>0</v>
      </c>
      <c r="JT28" s="193">
        <f t="shared" si="115"/>
        <v>0</v>
      </c>
      <c r="JU28" s="193">
        <f t="shared" si="115"/>
        <v>0</v>
      </c>
      <c r="JV28" s="193">
        <f t="shared" si="115"/>
        <v>0</v>
      </c>
      <c r="JW28" s="193">
        <f t="shared" si="115"/>
        <v>0</v>
      </c>
      <c r="JX28" s="193">
        <f t="shared" si="115"/>
        <v>0</v>
      </c>
      <c r="JY28" s="193">
        <f t="shared" si="115"/>
        <v>0</v>
      </c>
      <c r="JZ28" s="193">
        <f t="shared" si="115"/>
        <v>0</v>
      </c>
      <c r="KA28" s="193">
        <f t="shared" si="115"/>
        <v>0</v>
      </c>
      <c r="KB28" s="193">
        <f t="shared" si="115"/>
        <v>0</v>
      </c>
      <c r="KC28" s="193">
        <f t="shared" si="115"/>
        <v>0</v>
      </c>
      <c r="KD28" s="193">
        <f t="shared" si="115"/>
        <v>0</v>
      </c>
      <c r="KE28" s="193">
        <f t="shared" si="115"/>
        <v>0</v>
      </c>
      <c r="KF28" s="193">
        <f t="shared" si="115"/>
        <v>0</v>
      </c>
      <c r="KG28" s="193">
        <f t="shared" si="115"/>
        <v>0</v>
      </c>
      <c r="KH28" s="193">
        <f t="shared" si="115"/>
        <v>0</v>
      </c>
      <c r="KI28" s="193">
        <f t="shared" si="115"/>
        <v>0</v>
      </c>
      <c r="KJ28" s="193">
        <f t="shared" si="115"/>
        <v>0</v>
      </c>
      <c r="KK28" s="193">
        <f t="shared" si="115"/>
        <v>0</v>
      </c>
      <c r="KL28" s="193">
        <f t="shared" si="115"/>
        <v>0</v>
      </c>
      <c r="KM28" s="193">
        <f t="shared" si="115"/>
        <v>0</v>
      </c>
      <c r="KN28" s="193">
        <f t="shared" si="115"/>
        <v>0</v>
      </c>
      <c r="KO28" s="193">
        <f t="shared" si="115"/>
        <v>0</v>
      </c>
      <c r="KP28" s="193">
        <f t="shared" si="115"/>
        <v>0</v>
      </c>
      <c r="KQ28" s="193">
        <f t="shared" si="115"/>
        <v>0</v>
      </c>
      <c r="KR28" s="193">
        <f t="shared" si="115"/>
        <v>0</v>
      </c>
      <c r="KS28" s="193">
        <f t="shared" si="115"/>
        <v>0</v>
      </c>
      <c r="KT28" s="193">
        <f t="shared" si="115"/>
        <v>0</v>
      </c>
      <c r="KU28" s="193">
        <f t="shared" si="115"/>
        <v>0</v>
      </c>
      <c r="KV28" s="193">
        <f t="shared" si="115"/>
        <v>0</v>
      </c>
      <c r="KW28" s="193">
        <f t="shared" si="115"/>
        <v>0</v>
      </c>
      <c r="KX28" s="193">
        <f t="shared" si="115"/>
        <v>0</v>
      </c>
      <c r="KY28" s="193">
        <f t="shared" si="115"/>
        <v>0</v>
      </c>
      <c r="KZ28" s="193">
        <f t="shared" si="115"/>
        <v>0</v>
      </c>
      <c r="LA28" s="193">
        <f t="shared" si="115"/>
        <v>0</v>
      </c>
      <c r="LB28" s="193">
        <f t="shared" si="115"/>
        <v>0</v>
      </c>
      <c r="LC28" s="193">
        <f t="shared" si="115"/>
        <v>0</v>
      </c>
      <c r="LD28" s="193">
        <f t="shared" si="115"/>
        <v>0</v>
      </c>
      <c r="LE28" s="193">
        <f t="shared" si="115"/>
        <v>0</v>
      </c>
      <c r="LF28" s="193">
        <f t="shared" si="115"/>
        <v>0</v>
      </c>
      <c r="LG28" s="193">
        <f t="shared" si="115"/>
        <v>0</v>
      </c>
      <c r="LH28" s="193">
        <f t="shared" si="115"/>
        <v>0</v>
      </c>
      <c r="LI28" s="193">
        <f t="shared" si="115"/>
        <v>0</v>
      </c>
      <c r="LJ28" s="193">
        <f t="shared" si="115"/>
        <v>0</v>
      </c>
      <c r="LK28" s="193">
        <f t="shared" si="115"/>
        <v>0</v>
      </c>
      <c r="LL28" s="193">
        <f t="shared" si="115"/>
        <v>0</v>
      </c>
      <c r="LM28" s="193">
        <f t="shared" si="115"/>
        <v>0</v>
      </c>
      <c r="LN28" s="193">
        <f t="shared" si="115"/>
        <v>0</v>
      </c>
      <c r="LO28" s="193">
        <f t="shared" ref="LO28:NW28" si="116">LO27</f>
        <v>0</v>
      </c>
      <c r="LP28" s="193">
        <f t="shared" si="116"/>
        <v>0</v>
      </c>
      <c r="LQ28" s="193">
        <f t="shared" si="116"/>
        <v>0</v>
      </c>
      <c r="LR28" s="193">
        <f t="shared" si="116"/>
        <v>0</v>
      </c>
      <c r="LS28" s="193">
        <f t="shared" si="116"/>
        <v>0</v>
      </c>
      <c r="LT28" s="193">
        <f t="shared" si="116"/>
        <v>0</v>
      </c>
      <c r="LU28" s="193">
        <f t="shared" si="116"/>
        <v>0</v>
      </c>
      <c r="LV28" s="193">
        <f t="shared" si="116"/>
        <v>0</v>
      </c>
      <c r="LW28" s="193">
        <f t="shared" si="116"/>
        <v>0</v>
      </c>
      <c r="LX28" s="193">
        <f t="shared" si="116"/>
        <v>0</v>
      </c>
      <c r="LY28" s="193">
        <f t="shared" si="116"/>
        <v>0</v>
      </c>
      <c r="LZ28" s="193">
        <f t="shared" si="116"/>
        <v>0</v>
      </c>
      <c r="MA28" s="193">
        <f t="shared" si="116"/>
        <v>0</v>
      </c>
      <c r="MB28" s="193">
        <f t="shared" si="116"/>
        <v>0</v>
      </c>
      <c r="MC28" s="193">
        <f t="shared" si="116"/>
        <v>0</v>
      </c>
      <c r="MD28" s="193">
        <f t="shared" si="116"/>
        <v>0</v>
      </c>
      <c r="ME28" s="193">
        <f t="shared" si="116"/>
        <v>0</v>
      </c>
      <c r="MF28" s="193">
        <f t="shared" si="116"/>
        <v>0</v>
      </c>
      <c r="MG28" s="193">
        <f t="shared" si="116"/>
        <v>0</v>
      </c>
      <c r="MH28" s="193">
        <f t="shared" si="116"/>
        <v>0</v>
      </c>
      <c r="MI28" s="193">
        <f t="shared" si="116"/>
        <v>0</v>
      </c>
      <c r="MJ28" s="193">
        <f t="shared" si="116"/>
        <v>0</v>
      </c>
      <c r="MK28" s="193">
        <f t="shared" si="116"/>
        <v>0</v>
      </c>
      <c r="ML28" s="193">
        <f t="shared" si="116"/>
        <v>0</v>
      </c>
      <c r="MM28" s="193">
        <f t="shared" si="116"/>
        <v>0</v>
      </c>
      <c r="MN28" s="193">
        <f t="shared" si="116"/>
        <v>0</v>
      </c>
      <c r="MO28" s="193">
        <f t="shared" si="116"/>
        <v>0</v>
      </c>
      <c r="MP28" s="193">
        <f t="shared" si="116"/>
        <v>0</v>
      </c>
      <c r="MQ28" s="193">
        <f t="shared" si="116"/>
        <v>0</v>
      </c>
      <c r="MR28" s="193">
        <f t="shared" si="116"/>
        <v>0</v>
      </c>
      <c r="MS28" s="193">
        <f t="shared" si="116"/>
        <v>0</v>
      </c>
      <c r="MT28" s="193">
        <f t="shared" si="116"/>
        <v>0</v>
      </c>
      <c r="MU28" s="193">
        <f t="shared" si="116"/>
        <v>0</v>
      </c>
      <c r="MV28" s="193">
        <f t="shared" si="116"/>
        <v>0</v>
      </c>
      <c r="MW28" s="193">
        <f t="shared" si="116"/>
        <v>0</v>
      </c>
      <c r="MX28" s="193">
        <f t="shared" si="116"/>
        <v>0</v>
      </c>
      <c r="MY28" s="193">
        <f t="shared" si="116"/>
        <v>0</v>
      </c>
      <c r="MZ28" s="193">
        <f t="shared" si="116"/>
        <v>0</v>
      </c>
      <c r="NA28" s="193">
        <f t="shared" si="116"/>
        <v>0</v>
      </c>
      <c r="NB28" s="193">
        <f t="shared" si="116"/>
        <v>0</v>
      </c>
      <c r="NC28" s="193">
        <f t="shared" si="116"/>
        <v>0</v>
      </c>
      <c r="ND28" s="193">
        <f t="shared" si="116"/>
        <v>0</v>
      </c>
      <c r="NE28" s="193">
        <f t="shared" si="116"/>
        <v>0</v>
      </c>
      <c r="NF28" s="193">
        <f t="shared" si="116"/>
        <v>0</v>
      </c>
      <c r="NG28" s="193">
        <f t="shared" si="116"/>
        <v>0</v>
      </c>
      <c r="NH28" s="193">
        <f t="shared" si="116"/>
        <v>0</v>
      </c>
      <c r="NI28" s="193">
        <f t="shared" si="116"/>
        <v>0</v>
      </c>
      <c r="NJ28" s="193">
        <f t="shared" si="116"/>
        <v>0</v>
      </c>
      <c r="NK28" s="193">
        <f t="shared" si="116"/>
        <v>0</v>
      </c>
      <c r="NL28" s="193">
        <f t="shared" si="116"/>
        <v>0</v>
      </c>
      <c r="NM28" s="193">
        <f t="shared" si="116"/>
        <v>0</v>
      </c>
      <c r="NN28" s="193">
        <f t="shared" si="116"/>
        <v>0</v>
      </c>
      <c r="NO28" s="193">
        <f t="shared" si="116"/>
        <v>0</v>
      </c>
      <c r="NP28" s="193">
        <f t="shared" si="116"/>
        <v>0</v>
      </c>
      <c r="NQ28" s="193">
        <f t="shared" si="116"/>
        <v>0</v>
      </c>
      <c r="NR28" s="193">
        <f t="shared" si="116"/>
        <v>0</v>
      </c>
      <c r="NS28" s="193">
        <f t="shared" si="116"/>
        <v>0</v>
      </c>
      <c r="NT28" s="193">
        <f t="shared" si="116"/>
        <v>0</v>
      </c>
      <c r="NU28" s="193">
        <f t="shared" si="116"/>
        <v>0</v>
      </c>
      <c r="NV28" s="193">
        <f t="shared" si="116"/>
        <v>0</v>
      </c>
      <c r="NW28" s="193">
        <f t="shared" si="116"/>
        <v>0</v>
      </c>
      <c r="NX28" s="193">
        <f t="shared" ref="NX28:QI28" si="117">NX27</f>
        <v>0</v>
      </c>
      <c r="NY28" s="193">
        <f t="shared" si="117"/>
        <v>0</v>
      </c>
      <c r="NZ28" s="193">
        <f t="shared" si="117"/>
        <v>0</v>
      </c>
      <c r="OA28" s="193">
        <f t="shared" si="117"/>
        <v>0</v>
      </c>
      <c r="OB28" s="193">
        <f t="shared" si="117"/>
        <v>0</v>
      </c>
      <c r="OC28" s="193">
        <f t="shared" si="117"/>
        <v>0</v>
      </c>
      <c r="OD28" s="193">
        <f t="shared" si="117"/>
        <v>0</v>
      </c>
      <c r="OE28" s="193">
        <f t="shared" si="117"/>
        <v>0</v>
      </c>
      <c r="OF28" s="193">
        <f t="shared" si="117"/>
        <v>0</v>
      </c>
      <c r="OG28" s="193">
        <f t="shared" si="117"/>
        <v>0</v>
      </c>
      <c r="OH28" s="193">
        <f t="shared" si="117"/>
        <v>0</v>
      </c>
      <c r="OI28" s="193">
        <f t="shared" si="117"/>
        <v>0</v>
      </c>
      <c r="OJ28" s="193">
        <f t="shared" si="117"/>
        <v>0</v>
      </c>
      <c r="OK28" s="193">
        <f t="shared" si="117"/>
        <v>0</v>
      </c>
      <c r="OL28" s="193">
        <f t="shared" si="117"/>
        <v>0</v>
      </c>
      <c r="OM28" s="193">
        <f t="shared" si="117"/>
        <v>0</v>
      </c>
      <c r="ON28" s="193">
        <f t="shared" si="117"/>
        <v>0</v>
      </c>
      <c r="OO28" s="193">
        <f t="shared" si="117"/>
        <v>0</v>
      </c>
      <c r="OP28" s="193">
        <f t="shared" si="117"/>
        <v>0</v>
      </c>
      <c r="OQ28" s="193">
        <f t="shared" si="117"/>
        <v>0</v>
      </c>
      <c r="OR28" s="193">
        <f t="shared" si="117"/>
        <v>0</v>
      </c>
      <c r="OS28" s="193">
        <f t="shared" si="117"/>
        <v>0</v>
      </c>
      <c r="OT28" s="193">
        <f t="shared" si="117"/>
        <v>0</v>
      </c>
      <c r="OU28" s="193">
        <f t="shared" si="117"/>
        <v>0</v>
      </c>
      <c r="OV28" s="193">
        <f t="shared" si="117"/>
        <v>0</v>
      </c>
      <c r="OW28" s="193">
        <f t="shared" si="117"/>
        <v>0</v>
      </c>
      <c r="OX28" s="193">
        <f t="shared" si="117"/>
        <v>0</v>
      </c>
      <c r="OY28" s="193">
        <f t="shared" si="117"/>
        <v>0</v>
      </c>
      <c r="OZ28" s="193">
        <f t="shared" si="117"/>
        <v>0</v>
      </c>
      <c r="PA28" s="193">
        <f t="shared" si="117"/>
        <v>0</v>
      </c>
      <c r="PB28" s="193">
        <f t="shared" si="117"/>
        <v>0</v>
      </c>
      <c r="PC28" s="193">
        <f t="shared" si="117"/>
        <v>0</v>
      </c>
      <c r="PD28" s="193">
        <f t="shared" si="117"/>
        <v>0</v>
      </c>
      <c r="PE28" s="193">
        <f t="shared" si="117"/>
        <v>0</v>
      </c>
      <c r="PF28" s="193">
        <f t="shared" si="117"/>
        <v>0</v>
      </c>
      <c r="PG28" s="193">
        <f t="shared" si="117"/>
        <v>0</v>
      </c>
      <c r="PH28" s="193">
        <f t="shared" si="117"/>
        <v>0</v>
      </c>
      <c r="PI28" s="193">
        <f t="shared" si="117"/>
        <v>0</v>
      </c>
      <c r="PJ28" s="193">
        <f t="shared" si="117"/>
        <v>0</v>
      </c>
      <c r="PK28" s="193">
        <f t="shared" si="117"/>
        <v>0</v>
      </c>
      <c r="PL28" s="193">
        <f t="shared" si="117"/>
        <v>0</v>
      </c>
      <c r="PM28" s="193">
        <f t="shared" si="117"/>
        <v>0</v>
      </c>
      <c r="PN28" s="193">
        <f t="shared" si="117"/>
        <v>0</v>
      </c>
      <c r="PO28" s="193">
        <f t="shared" si="117"/>
        <v>0</v>
      </c>
      <c r="PP28" s="193">
        <f t="shared" si="117"/>
        <v>0</v>
      </c>
      <c r="PQ28" s="193">
        <f t="shared" si="117"/>
        <v>0</v>
      </c>
      <c r="PR28" s="193">
        <f t="shared" si="117"/>
        <v>0</v>
      </c>
      <c r="PS28" s="193">
        <f t="shared" si="117"/>
        <v>0</v>
      </c>
      <c r="PT28" s="193">
        <f t="shared" si="117"/>
        <v>0</v>
      </c>
      <c r="PU28" s="193">
        <f t="shared" si="117"/>
        <v>0</v>
      </c>
      <c r="PV28" s="193">
        <f t="shared" si="117"/>
        <v>0</v>
      </c>
      <c r="PW28" s="193">
        <f t="shared" si="117"/>
        <v>0</v>
      </c>
      <c r="PX28" s="193">
        <f t="shared" si="117"/>
        <v>0</v>
      </c>
      <c r="PY28" s="193">
        <f t="shared" si="117"/>
        <v>0</v>
      </c>
      <c r="PZ28" s="193">
        <f t="shared" si="117"/>
        <v>0</v>
      </c>
      <c r="QA28" s="193">
        <f t="shared" si="117"/>
        <v>0</v>
      </c>
      <c r="QB28" s="193">
        <f t="shared" si="117"/>
        <v>0</v>
      </c>
      <c r="QC28" s="193">
        <f t="shared" si="117"/>
        <v>0</v>
      </c>
      <c r="QD28" s="193">
        <f t="shared" si="117"/>
        <v>0</v>
      </c>
      <c r="QE28" s="193">
        <f t="shared" si="117"/>
        <v>0</v>
      </c>
      <c r="QF28" s="193">
        <f t="shared" si="117"/>
        <v>0</v>
      </c>
      <c r="QG28" s="193">
        <f t="shared" si="117"/>
        <v>0</v>
      </c>
      <c r="QH28" s="193">
        <f t="shared" si="117"/>
        <v>0</v>
      </c>
      <c r="QI28" s="193">
        <f t="shared" si="117"/>
        <v>0</v>
      </c>
      <c r="QJ28" s="193">
        <f t="shared" ref="QJ28:SP28" si="118">QJ27</f>
        <v>0</v>
      </c>
      <c r="QK28" s="193">
        <f t="shared" si="118"/>
        <v>0</v>
      </c>
      <c r="QL28" s="193">
        <f t="shared" si="118"/>
        <v>0</v>
      </c>
      <c r="QM28" s="193">
        <f t="shared" si="118"/>
        <v>0</v>
      </c>
      <c r="QN28" s="193">
        <f t="shared" si="118"/>
        <v>0</v>
      </c>
      <c r="QO28" s="193">
        <f t="shared" si="118"/>
        <v>0</v>
      </c>
      <c r="QP28" s="193">
        <f t="shared" si="118"/>
        <v>0</v>
      </c>
      <c r="QQ28" s="193">
        <f t="shared" si="118"/>
        <v>0</v>
      </c>
      <c r="QR28" s="193">
        <f t="shared" si="118"/>
        <v>0</v>
      </c>
      <c r="QS28" s="193">
        <f t="shared" si="118"/>
        <v>0</v>
      </c>
      <c r="QT28" s="193">
        <f t="shared" si="118"/>
        <v>0</v>
      </c>
      <c r="QU28" s="193">
        <f t="shared" si="118"/>
        <v>0</v>
      </c>
      <c r="QV28" s="193">
        <f t="shared" si="118"/>
        <v>0</v>
      </c>
      <c r="QW28" s="193">
        <f t="shared" si="118"/>
        <v>0</v>
      </c>
      <c r="QX28" s="193">
        <f t="shared" si="118"/>
        <v>0</v>
      </c>
      <c r="QY28" s="193">
        <f t="shared" si="118"/>
        <v>0</v>
      </c>
      <c r="QZ28" s="193">
        <f t="shared" si="118"/>
        <v>0</v>
      </c>
      <c r="RA28" s="193">
        <f t="shared" si="118"/>
        <v>0</v>
      </c>
      <c r="RB28" s="193">
        <f t="shared" si="118"/>
        <v>0</v>
      </c>
      <c r="RC28" s="193">
        <f t="shared" si="118"/>
        <v>0</v>
      </c>
      <c r="RD28" s="193">
        <f t="shared" si="118"/>
        <v>0</v>
      </c>
      <c r="RE28" s="193">
        <f t="shared" si="118"/>
        <v>0</v>
      </c>
      <c r="RF28" s="193">
        <f t="shared" si="118"/>
        <v>0</v>
      </c>
      <c r="RG28" s="193">
        <f t="shared" si="118"/>
        <v>0</v>
      </c>
      <c r="RH28" s="193">
        <f t="shared" si="118"/>
        <v>0</v>
      </c>
      <c r="RI28" s="193">
        <f t="shared" si="118"/>
        <v>0</v>
      </c>
      <c r="RJ28" s="193">
        <f t="shared" si="118"/>
        <v>0</v>
      </c>
      <c r="RK28" s="193">
        <f t="shared" si="118"/>
        <v>0</v>
      </c>
      <c r="RL28" s="193">
        <f t="shared" si="118"/>
        <v>0</v>
      </c>
      <c r="RM28" s="193">
        <f t="shared" si="118"/>
        <v>0</v>
      </c>
      <c r="RN28" s="193">
        <f t="shared" si="118"/>
        <v>0</v>
      </c>
      <c r="RO28" s="193">
        <f t="shared" si="118"/>
        <v>0</v>
      </c>
      <c r="RP28" s="193">
        <f t="shared" si="118"/>
        <v>0</v>
      </c>
      <c r="RQ28" s="193">
        <f t="shared" si="118"/>
        <v>0</v>
      </c>
      <c r="RR28" s="193">
        <f t="shared" si="118"/>
        <v>0</v>
      </c>
      <c r="RS28" s="193">
        <f t="shared" si="118"/>
        <v>0</v>
      </c>
      <c r="RT28" s="193">
        <f t="shared" si="118"/>
        <v>0</v>
      </c>
      <c r="RU28" s="193">
        <f t="shared" si="118"/>
        <v>0</v>
      </c>
      <c r="RV28" s="193">
        <f t="shared" si="118"/>
        <v>0</v>
      </c>
      <c r="RW28" s="193">
        <f t="shared" si="118"/>
        <v>0</v>
      </c>
      <c r="RX28" s="193">
        <f t="shared" si="118"/>
        <v>0</v>
      </c>
      <c r="RY28" s="193">
        <f t="shared" si="118"/>
        <v>0</v>
      </c>
      <c r="RZ28" s="193">
        <f t="shared" si="118"/>
        <v>0</v>
      </c>
      <c r="SA28" s="193">
        <f t="shared" si="118"/>
        <v>0</v>
      </c>
      <c r="SB28" s="193">
        <f t="shared" si="118"/>
        <v>0</v>
      </c>
      <c r="SC28" s="193">
        <f t="shared" si="118"/>
        <v>0</v>
      </c>
      <c r="SD28" s="193">
        <f t="shared" si="118"/>
        <v>0</v>
      </c>
      <c r="SE28" s="193">
        <f t="shared" si="118"/>
        <v>0</v>
      </c>
      <c r="SF28" s="193">
        <f t="shared" si="118"/>
        <v>0</v>
      </c>
      <c r="SG28" s="193">
        <f t="shared" si="118"/>
        <v>0</v>
      </c>
      <c r="SH28" s="193">
        <f t="shared" si="118"/>
        <v>0</v>
      </c>
      <c r="SI28" s="193">
        <f t="shared" si="118"/>
        <v>0</v>
      </c>
      <c r="SJ28" s="193">
        <f t="shared" si="118"/>
        <v>0</v>
      </c>
      <c r="SK28" s="193">
        <f t="shared" si="118"/>
        <v>0</v>
      </c>
      <c r="SL28" s="193">
        <f t="shared" si="118"/>
        <v>0</v>
      </c>
      <c r="SM28" s="193">
        <f t="shared" si="118"/>
        <v>0</v>
      </c>
      <c r="SN28" s="193">
        <f t="shared" si="118"/>
        <v>0</v>
      </c>
      <c r="SO28" s="193">
        <f t="shared" si="118"/>
        <v>0</v>
      </c>
      <c r="SP28" s="193">
        <f t="shared" si="118"/>
        <v>0</v>
      </c>
      <c r="SQ28" s="193"/>
      <c r="SR28" s="193"/>
      <c r="SS28" s="195"/>
    </row>
    <row r="29" spans="1:513" s="171" customFormat="1" ht="21" customHeight="1">
      <c r="A29" s="168"/>
      <c r="B29" s="168"/>
      <c r="C29" s="168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68"/>
      <c r="X29" s="168"/>
      <c r="Y29" s="168"/>
      <c r="Z29" s="168"/>
      <c r="AA29" s="168"/>
      <c r="AB29" s="168"/>
      <c r="AC29" s="168"/>
      <c r="AD29" s="168"/>
      <c r="AE29" s="168"/>
      <c r="AF29" s="168"/>
      <c r="AG29" s="168"/>
      <c r="AH29" s="168"/>
      <c r="AI29" s="168"/>
      <c r="AJ29" s="168"/>
      <c r="AK29" s="168"/>
      <c r="AL29" s="168"/>
      <c r="AM29" s="168"/>
      <c r="AN29" s="168"/>
      <c r="AO29" s="168"/>
      <c r="AP29" s="168"/>
      <c r="AQ29" s="168"/>
      <c r="AR29" s="168"/>
      <c r="AS29" s="168"/>
      <c r="AT29" s="168"/>
      <c r="AU29" s="168"/>
      <c r="AV29" s="168"/>
      <c r="AW29" s="168"/>
      <c r="AX29" s="168"/>
      <c r="AY29" s="168"/>
      <c r="AZ29" s="168"/>
      <c r="BA29" s="168"/>
      <c r="BB29" s="168"/>
      <c r="BC29" s="168"/>
      <c r="BD29" s="168"/>
      <c r="BE29" s="168"/>
      <c r="BF29" s="168"/>
      <c r="BG29" s="168"/>
      <c r="BH29" s="168"/>
      <c r="BI29" s="168"/>
      <c r="BJ29" s="168"/>
      <c r="BK29" s="168"/>
      <c r="BL29" s="168"/>
      <c r="BM29" s="168"/>
      <c r="BN29" s="168"/>
      <c r="BO29" s="168"/>
      <c r="BP29" s="168"/>
      <c r="BQ29" s="168"/>
      <c r="BR29" s="168"/>
      <c r="BS29" s="168"/>
      <c r="BT29" s="168"/>
      <c r="BU29" s="168"/>
      <c r="BV29" s="168"/>
      <c r="BW29" s="168"/>
      <c r="BX29" s="168"/>
      <c r="BY29" s="168"/>
      <c r="BZ29" s="168"/>
      <c r="CA29" s="168"/>
      <c r="CB29" s="168"/>
      <c r="CC29" s="168"/>
      <c r="CD29" s="168"/>
      <c r="CE29" s="168"/>
      <c r="CF29" s="168"/>
      <c r="CG29" s="168"/>
      <c r="CH29" s="168"/>
      <c r="CI29" s="168"/>
      <c r="CJ29" s="168"/>
      <c r="CK29" s="168"/>
      <c r="CL29" s="168"/>
      <c r="CM29" s="168"/>
      <c r="CN29" s="168"/>
      <c r="CO29" s="168"/>
      <c r="CP29" s="168"/>
      <c r="CQ29" s="168"/>
      <c r="CR29" s="168"/>
      <c r="CS29" s="168"/>
      <c r="CT29" s="168"/>
      <c r="CU29" s="168"/>
      <c r="CV29" s="168"/>
      <c r="CW29" s="168"/>
      <c r="CX29" s="168"/>
      <c r="CY29" s="168"/>
      <c r="CZ29" s="168"/>
      <c r="DA29" s="168"/>
      <c r="DB29" s="168"/>
      <c r="DC29" s="168"/>
      <c r="DD29" s="168"/>
      <c r="DE29" s="168"/>
      <c r="DF29" s="168"/>
      <c r="DG29" s="168"/>
      <c r="DH29" s="168"/>
      <c r="DI29" s="168"/>
      <c r="DJ29" s="168"/>
      <c r="DK29" s="168"/>
      <c r="DL29" s="168"/>
      <c r="DM29" s="168"/>
      <c r="DN29" s="168"/>
      <c r="DO29" s="168"/>
      <c r="DP29" s="168"/>
      <c r="DQ29" s="168"/>
      <c r="DR29" s="168"/>
      <c r="DS29" s="168"/>
      <c r="DT29" s="168"/>
      <c r="DU29" s="168"/>
      <c r="DV29" s="168"/>
      <c r="DW29" s="168"/>
      <c r="DX29" s="168"/>
      <c r="DY29" s="168"/>
      <c r="DZ29" s="168"/>
      <c r="EA29" s="168"/>
      <c r="EB29" s="168"/>
      <c r="EC29" s="168"/>
      <c r="ED29" s="168"/>
      <c r="EE29" s="168"/>
      <c r="EF29" s="168"/>
      <c r="EG29" s="168"/>
      <c r="EH29" s="168"/>
      <c r="EI29" s="168"/>
      <c r="EJ29" s="168"/>
      <c r="EK29" s="168"/>
      <c r="EL29" s="168"/>
      <c r="EM29" s="168"/>
      <c r="EN29" s="168"/>
      <c r="EO29" s="168"/>
      <c r="EP29" s="168"/>
      <c r="EQ29" s="168"/>
      <c r="ER29" s="168"/>
      <c r="ES29" s="168"/>
      <c r="ET29" s="168"/>
      <c r="EU29" s="168"/>
      <c r="EV29" s="168"/>
      <c r="EW29" s="168"/>
      <c r="EX29" s="168"/>
      <c r="EY29" s="168"/>
      <c r="EZ29" s="168"/>
      <c r="FA29" s="168"/>
      <c r="FB29" s="168"/>
      <c r="FC29" s="168"/>
      <c r="FD29" s="168"/>
      <c r="FE29" s="168"/>
      <c r="FF29" s="168"/>
      <c r="FG29" s="168"/>
      <c r="FH29" s="168"/>
      <c r="FI29" s="168"/>
      <c r="FJ29" s="168"/>
      <c r="FK29" s="168"/>
      <c r="FL29" s="168"/>
      <c r="FM29" s="168"/>
      <c r="FN29" s="168"/>
      <c r="FO29" s="168"/>
      <c r="FP29" s="168"/>
      <c r="FQ29" s="168"/>
      <c r="FR29" s="168"/>
      <c r="FS29" s="168"/>
      <c r="FT29" s="168"/>
      <c r="FU29" s="168"/>
      <c r="FV29" s="168"/>
      <c r="FW29" s="168"/>
      <c r="FX29" s="168"/>
      <c r="FY29" s="168"/>
      <c r="FZ29" s="168"/>
      <c r="GA29" s="168"/>
      <c r="GB29" s="168"/>
      <c r="GC29" s="168"/>
      <c r="GD29" s="168"/>
      <c r="GE29" s="168"/>
      <c r="GF29" s="168"/>
      <c r="GG29" s="168"/>
      <c r="GH29" s="168"/>
      <c r="GI29" s="168"/>
      <c r="GJ29" s="168"/>
      <c r="GK29" s="168"/>
      <c r="GL29" s="168"/>
      <c r="GM29" s="168"/>
      <c r="GN29" s="168"/>
      <c r="GO29" s="168"/>
      <c r="GP29" s="168"/>
      <c r="GQ29" s="168"/>
      <c r="GR29" s="168"/>
      <c r="GS29" s="168"/>
      <c r="GT29" s="168"/>
      <c r="GU29" s="168"/>
      <c r="GV29" s="168"/>
      <c r="GW29" s="168"/>
      <c r="GX29" s="168"/>
      <c r="GY29" s="168"/>
      <c r="GZ29" s="168"/>
      <c r="HA29" s="168"/>
      <c r="HB29" s="168"/>
      <c r="HC29" s="168"/>
      <c r="HD29" s="168"/>
      <c r="HE29" s="168"/>
      <c r="HF29" s="168"/>
      <c r="HG29" s="168"/>
      <c r="HH29" s="168"/>
      <c r="HI29" s="168"/>
      <c r="HJ29" s="168"/>
      <c r="HK29" s="168"/>
      <c r="HL29" s="168"/>
      <c r="HM29" s="168"/>
      <c r="HN29" s="168"/>
      <c r="HO29" s="168"/>
      <c r="HP29" s="168"/>
      <c r="HQ29" s="168"/>
      <c r="HR29" s="168"/>
      <c r="HS29" s="168"/>
      <c r="HT29" s="168"/>
      <c r="HU29" s="168"/>
      <c r="HV29" s="168"/>
      <c r="HW29" s="168"/>
      <c r="HX29" s="168"/>
      <c r="HY29" s="168"/>
      <c r="HZ29" s="168"/>
      <c r="IA29" s="168"/>
      <c r="IB29" s="168"/>
      <c r="IC29" s="168"/>
      <c r="ID29" s="168"/>
      <c r="IE29" s="168"/>
      <c r="IF29" s="168"/>
      <c r="IG29" s="168"/>
      <c r="IH29" s="168"/>
      <c r="II29" s="168"/>
      <c r="IJ29" s="168"/>
      <c r="IK29" s="168"/>
      <c r="IL29" s="168"/>
      <c r="IM29" s="168"/>
      <c r="IN29" s="168"/>
      <c r="IO29" s="168"/>
      <c r="IP29" s="168"/>
      <c r="IQ29" s="168"/>
      <c r="IR29" s="168"/>
      <c r="IS29" s="168"/>
      <c r="IT29" s="168"/>
      <c r="IU29" s="168"/>
      <c r="IV29" s="168"/>
      <c r="IW29" s="168"/>
      <c r="IX29" s="168"/>
      <c r="IY29" s="168"/>
      <c r="IZ29" s="168"/>
      <c r="JA29" s="168"/>
      <c r="JB29" s="168"/>
      <c r="JC29" s="168"/>
      <c r="JD29" s="168"/>
      <c r="JE29" s="168"/>
      <c r="JF29" s="168"/>
      <c r="JG29" s="168"/>
      <c r="JH29" s="168"/>
      <c r="JI29" s="168"/>
      <c r="JJ29" s="168"/>
      <c r="JK29" s="168"/>
      <c r="JL29" s="168"/>
      <c r="JM29" s="168"/>
      <c r="JN29" s="168"/>
      <c r="JO29" s="168"/>
      <c r="JP29" s="168"/>
      <c r="JQ29" s="168"/>
      <c r="JR29" s="168"/>
      <c r="JS29" s="168"/>
      <c r="JT29" s="168"/>
      <c r="JU29" s="168"/>
      <c r="JV29" s="168"/>
      <c r="JW29" s="168"/>
      <c r="JX29" s="168"/>
      <c r="JY29" s="168"/>
      <c r="JZ29" s="168"/>
      <c r="KA29" s="168"/>
      <c r="KB29" s="168"/>
      <c r="KC29" s="168"/>
      <c r="KD29" s="168"/>
      <c r="KE29" s="168"/>
      <c r="KF29" s="168"/>
      <c r="KG29" s="168"/>
      <c r="KH29" s="168"/>
      <c r="KI29" s="168"/>
      <c r="KJ29" s="168"/>
      <c r="KK29" s="168"/>
      <c r="KL29" s="168"/>
      <c r="KM29" s="168"/>
      <c r="KN29" s="168"/>
      <c r="KO29" s="168"/>
      <c r="KP29" s="168"/>
      <c r="KQ29" s="168"/>
      <c r="KR29" s="168"/>
      <c r="KS29" s="168"/>
      <c r="KT29" s="168"/>
      <c r="KU29" s="168"/>
      <c r="KV29" s="168"/>
      <c r="KW29" s="168"/>
      <c r="KX29" s="168"/>
      <c r="KY29" s="168"/>
      <c r="KZ29" s="168"/>
      <c r="LA29" s="168"/>
      <c r="LB29" s="168"/>
      <c r="LC29" s="168"/>
      <c r="LD29" s="168"/>
      <c r="LE29" s="168"/>
      <c r="LF29" s="168"/>
      <c r="LG29" s="168"/>
      <c r="LH29" s="168"/>
      <c r="LI29" s="168"/>
      <c r="LJ29" s="168"/>
      <c r="LK29" s="168"/>
      <c r="LL29" s="168"/>
      <c r="LM29" s="168"/>
      <c r="LN29" s="168"/>
      <c r="LO29" s="168"/>
      <c r="LP29" s="168"/>
      <c r="LQ29" s="168"/>
      <c r="LR29" s="168"/>
      <c r="LS29" s="168"/>
      <c r="LT29" s="168"/>
      <c r="LU29" s="168"/>
      <c r="LV29" s="168"/>
      <c r="LW29" s="168"/>
      <c r="LX29" s="168"/>
      <c r="LY29" s="168"/>
      <c r="LZ29" s="168"/>
      <c r="MA29" s="168"/>
      <c r="MB29" s="168"/>
      <c r="MC29" s="168"/>
      <c r="MD29" s="168"/>
      <c r="ME29" s="168"/>
      <c r="MF29" s="168"/>
      <c r="MG29" s="168"/>
      <c r="MH29" s="168"/>
      <c r="MI29" s="168"/>
      <c r="MJ29" s="168"/>
      <c r="MK29" s="168"/>
      <c r="ML29" s="168"/>
      <c r="MM29" s="168"/>
      <c r="MN29" s="168"/>
      <c r="MO29" s="168"/>
      <c r="MP29" s="168"/>
      <c r="MQ29" s="168"/>
      <c r="MR29" s="168"/>
      <c r="MS29" s="168"/>
      <c r="MT29" s="168"/>
      <c r="MU29" s="168"/>
      <c r="MV29" s="168"/>
      <c r="MW29" s="168"/>
      <c r="MX29" s="168"/>
      <c r="MY29" s="168"/>
      <c r="MZ29" s="168"/>
      <c r="NA29" s="168"/>
      <c r="NB29" s="168"/>
      <c r="NC29" s="168"/>
      <c r="ND29" s="168"/>
      <c r="NE29" s="168"/>
      <c r="NF29" s="168"/>
      <c r="NG29" s="168"/>
      <c r="NH29" s="168"/>
      <c r="NI29" s="168"/>
      <c r="NJ29" s="168"/>
      <c r="NK29" s="168"/>
      <c r="NL29" s="168"/>
      <c r="NM29" s="168"/>
      <c r="NN29" s="168"/>
      <c r="NO29" s="168"/>
      <c r="NP29" s="168"/>
      <c r="NQ29" s="168"/>
      <c r="NR29" s="168"/>
      <c r="NS29" s="168"/>
      <c r="NT29" s="168"/>
      <c r="NU29" s="168"/>
      <c r="NV29" s="168"/>
      <c r="NW29" s="168"/>
      <c r="NX29" s="168"/>
      <c r="NY29" s="168"/>
      <c r="NZ29" s="168"/>
      <c r="OA29" s="168"/>
      <c r="OB29" s="168"/>
      <c r="OC29" s="168"/>
      <c r="OD29" s="168"/>
      <c r="OE29" s="168"/>
      <c r="OF29" s="168"/>
      <c r="OG29" s="168"/>
      <c r="OH29" s="168"/>
      <c r="OI29" s="168"/>
      <c r="OJ29" s="168"/>
      <c r="OK29" s="168"/>
      <c r="OL29" s="168"/>
      <c r="OM29" s="168"/>
      <c r="ON29" s="168"/>
      <c r="OO29" s="168"/>
      <c r="OP29" s="168"/>
      <c r="OQ29" s="168"/>
      <c r="OR29" s="168"/>
      <c r="OS29" s="168"/>
      <c r="OT29" s="168"/>
      <c r="OU29" s="169"/>
      <c r="OV29" s="169"/>
      <c r="OW29" s="169"/>
      <c r="OX29" s="169"/>
      <c r="OY29" s="169"/>
      <c r="OZ29" s="169"/>
      <c r="PA29" s="169"/>
      <c r="PB29" s="169"/>
      <c r="PC29" s="169"/>
      <c r="PD29" s="169"/>
      <c r="PE29" s="169"/>
      <c r="PF29" s="169"/>
      <c r="PG29" s="169"/>
      <c r="PH29" s="169"/>
      <c r="PI29" s="169"/>
      <c r="PJ29" s="169"/>
      <c r="PK29" s="169"/>
      <c r="PL29" s="169"/>
      <c r="PM29" s="169"/>
      <c r="PN29" s="169"/>
      <c r="PO29" s="169"/>
      <c r="PP29" s="169"/>
      <c r="PQ29" s="169"/>
      <c r="PR29" s="169"/>
      <c r="PS29" s="169"/>
      <c r="PT29" s="169"/>
      <c r="PU29" s="169"/>
      <c r="PV29" s="169"/>
      <c r="PW29" s="169"/>
      <c r="PX29" s="169"/>
      <c r="PY29" s="169"/>
      <c r="PZ29" s="169"/>
      <c r="QA29" s="169"/>
      <c r="QB29" s="169"/>
      <c r="QC29" s="169"/>
      <c r="QD29" s="169"/>
      <c r="QE29" s="169"/>
      <c r="QF29" s="169"/>
      <c r="QG29" s="169"/>
      <c r="QH29" s="169"/>
      <c r="QI29" s="169"/>
      <c r="QJ29" s="169"/>
      <c r="QK29" s="169"/>
      <c r="QL29" s="169"/>
      <c r="QM29" s="169"/>
      <c r="QN29" s="169"/>
      <c r="QO29" s="169"/>
      <c r="QP29" s="169"/>
      <c r="QQ29" s="169"/>
      <c r="QR29" s="169"/>
      <c r="QS29" s="169"/>
      <c r="QT29" s="169"/>
      <c r="QU29" s="169"/>
      <c r="QV29" s="169"/>
      <c r="QW29" s="169"/>
      <c r="QX29" s="169"/>
      <c r="QY29" s="169"/>
      <c r="QZ29" s="169"/>
      <c r="RA29" s="169"/>
      <c r="RB29" s="169"/>
      <c r="RC29" s="169"/>
      <c r="RD29" s="169"/>
      <c r="RE29" s="169"/>
      <c r="RF29" s="169"/>
      <c r="RG29" s="169"/>
      <c r="RH29" s="169"/>
      <c r="RI29" s="169"/>
      <c r="RJ29" s="169"/>
      <c r="RK29" s="169"/>
      <c r="RL29" s="169"/>
      <c r="RM29" s="169"/>
      <c r="RN29" s="169"/>
      <c r="RO29" s="168"/>
      <c r="RP29" s="168"/>
      <c r="RQ29" s="168"/>
      <c r="RR29" s="168"/>
      <c r="RS29" s="168"/>
      <c r="RT29" s="168"/>
      <c r="RU29" s="170"/>
      <c r="RV29" s="170"/>
      <c r="RW29" s="170"/>
      <c r="RX29" s="170"/>
      <c r="RY29" s="170"/>
      <c r="RZ29" s="170"/>
      <c r="SA29" s="169"/>
      <c r="SB29" s="169"/>
      <c r="SC29" s="169"/>
      <c r="SD29" s="169"/>
      <c r="SE29" s="169"/>
      <c r="SF29" s="169"/>
      <c r="SG29" s="169"/>
      <c r="SH29" s="169"/>
      <c r="SI29" s="169"/>
      <c r="SJ29" s="169"/>
      <c r="SK29" s="169"/>
      <c r="SL29" s="169"/>
      <c r="SM29" s="169"/>
      <c r="SN29" s="169"/>
      <c r="SO29" s="169"/>
      <c r="SP29" s="169"/>
      <c r="SQ29" s="169"/>
      <c r="SR29" s="169"/>
      <c r="SS29" s="175"/>
    </row>
    <row r="30" spans="1:513" s="171" customFormat="1" ht="21" customHeight="1">
      <c r="A30" s="168"/>
      <c r="B30" s="168"/>
      <c r="C30" s="168"/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8"/>
      <c r="W30" s="168"/>
      <c r="X30" s="168"/>
      <c r="Y30" s="168"/>
      <c r="Z30" s="168"/>
      <c r="AA30" s="168"/>
      <c r="AB30" s="168"/>
      <c r="AC30" s="168"/>
      <c r="AD30" s="168"/>
      <c r="AE30" s="168"/>
      <c r="AF30" s="168"/>
      <c r="AG30" s="168"/>
      <c r="AH30" s="168"/>
      <c r="AI30" s="168"/>
      <c r="AJ30" s="168"/>
      <c r="AK30" s="168"/>
      <c r="AL30" s="168"/>
      <c r="AM30" s="168"/>
      <c r="AN30" s="168"/>
      <c r="AO30" s="168"/>
      <c r="AP30" s="168"/>
      <c r="AQ30" s="168"/>
      <c r="AR30" s="168"/>
      <c r="AS30" s="168"/>
      <c r="AT30" s="168"/>
      <c r="AU30" s="168"/>
      <c r="AV30" s="168"/>
      <c r="AW30" s="168"/>
      <c r="AX30" s="168"/>
      <c r="AY30" s="168"/>
      <c r="AZ30" s="168"/>
      <c r="BA30" s="168"/>
      <c r="BB30" s="168"/>
      <c r="BC30" s="168"/>
      <c r="BD30" s="168"/>
      <c r="BE30" s="168"/>
      <c r="BF30" s="168"/>
      <c r="BG30" s="168"/>
      <c r="BH30" s="168"/>
      <c r="BI30" s="168"/>
      <c r="BJ30" s="168"/>
      <c r="BK30" s="168"/>
      <c r="BL30" s="168"/>
      <c r="BM30" s="168"/>
      <c r="BN30" s="168"/>
      <c r="BO30" s="168"/>
      <c r="BP30" s="168"/>
      <c r="BQ30" s="168"/>
      <c r="BR30" s="168"/>
      <c r="BS30" s="168"/>
      <c r="BT30" s="168"/>
      <c r="BU30" s="168"/>
      <c r="BV30" s="168"/>
      <c r="BW30" s="168"/>
      <c r="BX30" s="168"/>
      <c r="BY30" s="168"/>
      <c r="BZ30" s="168"/>
      <c r="CA30" s="168"/>
      <c r="CB30" s="168"/>
      <c r="CC30" s="168"/>
      <c r="CD30" s="168"/>
      <c r="CE30" s="168"/>
      <c r="CF30" s="168"/>
      <c r="CG30" s="168"/>
      <c r="CH30" s="168"/>
      <c r="CI30" s="168"/>
      <c r="CJ30" s="168"/>
      <c r="CK30" s="168"/>
      <c r="CL30" s="168"/>
      <c r="CM30" s="168"/>
      <c r="CN30" s="168"/>
      <c r="CO30" s="168"/>
      <c r="CP30" s="168"/>
      <c r="CQ30" s="168"/>
      <c r="CR30" s="168"/>
      <c r="CS30" s="168"/>
      <c r="CT30" s="168"/>
      <c r="CU30" s="168"/>
      <c r="CV30" s="168"/>
      <c r="CW30" s="168"/>
      <c r="CX30" s="168"/>
      <c r="CY30" s="168"/>
      <c r="CZ30" s="168"/>
      <c r="DA30" s="168"/>
      <c r="DB30" s="168"/>
      <c r="DC30" s="168"/>
      <c r="DD30" s="168"/>
      <c r="DE30" s="168"/>
      <c r="DF30" s="168"/>
      <c r="DG30" s="168"/>
      <c r="DH30" s="168"/>
      <c r="DI30" s="168"/>
      <c r="DJ30" s="168"/>
      <c r="DK30" s="168"/>
      <c r="DL30" s="168"/>
      <c r="DM30" s="168"/>
      <c r="DN30" s="168"/>
      <c r="DO30" s="168"/>
      <c r="DP30" s="168"/>
      <c r="DQ30" s="168"/>
      <c r="DR30" s="168"/>
      <c r="DS30" s="168"/>
      <c r="DT30" s="168"/>
      <c r="DU30" s="168"/>
      <c r="DV30" s="168"/>
      <c r="DW30" s="168"/>
      <c r="DX30" s="168"/>
      <c r="DY30" s="168"/>
      <c r="DZ30" s="168"/>
      <c r="EA30" s="168"/>
      <c r="EB30" s="168"/>
      <c r="EC30" s="168"/>
      <c r="ED30" s="168"/>
      <c r="EE30" s="168"/>
      <c r="EF30" s="168"/>
      <c r="EG30" s="168"/>
      <c r="EH30" s="168"/>
      <c r="EI30" s="168"/>
      <c r="EJ30" s="168"/>
      <c r="EK30" s="168"/>
      <c r="EL30" s="168"/>
      <c r="EM30" s="168"/>
      <c r="EN30" s="168"/>
      <c r="EO30" s="168"/>
      <c r="EP30" s="168"/>
      <c r="EQ30" s="168"/>
      <c r="ER30" s="168"/>
      <c r="ES30" s="168"/>
      <c r="ET30" s="168"/>
      <c r="EU30" s="168"/>
      <c r="EV30" s="168"/>
      <c r="EW30" s="168"/>
      <c r="EX30" s="168"/>
      <c r="EY30" s="168"/>
      <c r="EZ30" s="168"/>
      <c r="FA30" s="168"/>
      <c r="FB30" s="168"/>
      <c r="FC30" s="168"/>
      <c r="FD30" s="168"/>
      <c r="FE30" s="168"/>
      <c r="FF30" s="168"/>
      <c r="FG30" s="168"/>
      <c r="FH30" s="168"/>
      <c r="FI30" s="168"/>
      <c r="FJ30" s="168"/>
      <c r="FK30" s="168"/>
      <c r="FL30" s="168"/>
      <c r="FM30" s="168"/>
      <c r="FN30" s="168"/>
      <c r="FO30" s="168"/>
      <c r="FP30" s="168"/>
      <c r="FQ30" s="168"/>
      <c r="FR30" s="168"/>
      <c r="FS30" s="168"/>
      <c r="FT30" s="168"/>
      <c r="FU30" s="168"/>
      <c r="FV30" s="168"/>
      <c r="FW30" s="168"/>
      <c r="FX30" s="168"/>
      <c r="FY30" s="168"/>
      <c r="FZ30" s="168"/>
      <c r="GA30" s="168"/>
      <c r="GB30" s="168"/>
      <c r="GC30" s="168"/>
      <c r="GD30" s="168"/>
      <c r="GE30" s="168"/>
      <c r="GF30" s="168"/>
      <c r="GG30" s="168"/>
      <c r="GH30" s="168"/>
      <c r="GI30" s="168"/>
      <c r="GJ30" s="168"/>
      <c r="GK30" s="168"/>
      <c r="GL30" s="168"/>
      <c r="GM30" s="168"/>
      <c r="GN30" s="168"/>
      <c r="GO30" s="168"/>
      <c r="GP30" s="168"/>
      <c r="GQ30" s="168"/>
      <c r="GR30" s="168"/>
      <c r="GS30" s="168"/>
      <c r="GT30" s="168"/>
      <c r="GU30" s="168"/>
      <c r="GV30" s="168"/>
      <c r="GW30" s="168"/>
      <c r="GX30" s="168"/>
      <c r="GY30" s="168"/>
      <c r="GZ30" s="168"/>
      <c r="HA30" s="168"/>
      <c r="HB30" s="168"/>
      <c r="HC30" s="168"/>
      <c r="HD30" s="168"/>
      <c r="HE30" s="168"/>
      <c r="HF30" s="168"/>
      <c r="HG30" s="168"/>
      <c r="HH30" s="168"/>
      <c r="HI30" s="168"/>
      <c r="HJ30" s="168"/>
      <c r="HK30" s="168"/>
      <c r="HL30" s="168"/>
      <c r="HM30" s="168"/>
      <c r="HN30" s="168"/>
      <c r="HO30" s="168"/>
      <c r="HP30" s="168"/>
      <c r="HQ30" s="168"/>
      <c r="HR30" s="168"/>
      <c r="HS30" s="168"/>
      <c r="HT30" s="168"/>
      <c r="HU30" s="168"/>
      <c r="HV30" s="168"/>
      <c r="HW30" s="168"/>
      <c r="HX30" s="168"/>
      <c r="HY30" s="168"/>
      <c r="HZ30" s="168"/>
      <c r="IA30" s="168"/>
      <c r="IB30" s="168"/>
      <c r="IC30" s="168"/>
      <c r="ID30" s="168"/>
      <c r="IE30" s="168"/>
      <c r="IF30" s="168"/>
      <c r="IG30" s="168"/>
      <c r="IH30" s="168"/>
      <c r="II30" s="168"/>
      <c r="IJ30" s="168"/>
      <c r="IK30" s="168"/>
      <c r="IL30" s="168"/>
      <c r="IM30" s="168"/>
      <c r="IN30" s="168"/>
      <c r="IO30" s="168"/>
      <c r="IP30" s="168"/>
      <c r="IQ30" s="168"/>
      <c r="IR30" s="168"/>
      <c r="IS30" s="168"/>
      <c r="IT30" s="168"/>
      <c r="IU30" s="168"/>
      <c r="IV30" s="168"/>
      <c r="IW30" s="168"/>
      <c r="IX30" s="168"/>
      <c r="IY30" s="168"/>
      <c r="IZ30" s="168"/>
      <c r="JA30" s="168"/>
      <c r="JB30" s="168"/>
      <c r="JC30" s="168"/>
      <c r="JD30" s="168"/>
      <c r="JE30" s="168"/>
      <c r="JF30" s="168"/>
      <c r="JG30" s="168"/>
      <c r="JH30" s="168"/>
      <c r="JI30" s="168"/>
      <c r="JJ30" s="168"/>
      <c r="JK30" s="168"/>
      <c r="JL30" s="168"/>
      <c r="JM30" s="168"/>
      <c r="JN30" s="168"/>
      <c r="JO30" s="168"/>
      <c r="JP30" s="168"/>
      <c r="JQ30" s="168"/>
      <c r="JR30" s="168"/>
      <c r="JS30" s="168"/>
      <c r="JT30" s="168"/>
      <c r="JU30" s="168"/>
      <c r="JV30" s="168"/>
      <c r="JW30" s="168"/>
      <c r="JX30" s="168"/>
      <c r="JY30" s="168"/>
      <c r="JZ30" s="168"/>
      <c r="KA30" s="168"/>
      <c r="KB30" s="168"/>
      <c r="KC30" s="168"/>
      <c r="KD30" s="168"/>
      <c r="KE30" s="168"/>
      <c r="KF30" s="168"/>
      <c r="KG30" s="168"/>
      <c r="KH30" s="168"/>
      <c r="KI30" s="168"/>
      <c r="KJ30" s="168"/>
      <c r="KK30" s="168"/>
      <c r="KL30" s="168"/>
      <c r="KM30" s="168"/>
      <c r="KN30" s="168"/>
      <c r="KO30" s="168"/>
      <c r="KP30" s="168"/>
      <c r="KQ30" s="168"/>
      <c r="KR30" s="168"/>
      <c r="KS30" s="168"/>
      <c r="KT30" s="168"/>
      <c r="KU30" s="168"/>
      <c r="KV30" s="168"/>
      <c r="KW30" s="168"/>
      <c r="KX30" s="168"/>
      <c r="KY30" s="168"/>
      <c r="KZ30" s="168"/>
      <c r="LA30" s="168"/>
      <c r="LB30" s="168"/>
      <c r="LC30" s="168"/>
      <c r="LD30" s="168"/>
      <c r="LE30" s="168"/>
      <c r="LF30" s="168"/>
      <c r="LG30" s="168"/>
      <c r="LH30" s="168"/>
      <c r="LI30" s="168"/>
      <c r="LJ30" s="168"/>
      <c r="LK30" s="168"/>
      <c r="LL30" s="168"/>
      <c r="LM30" s="168"/>
      <c r="LN30" s="168"/>
      <c r="LO30" s="168"/>
      <c r="LP30" s="168"/>
      <c r="LQ30" s="168"/>
      <c r="LR30" s="168"/>
      <c r="LS30" s="168"/>
      <c r="LT30" s="168"/>
      <c r="LU30" s="168"/>
      <c r="LV30" s="168"/>
      <c r="LW30" s="168"/>
      <c r="LX30" s="168"/>
      <c r="LY30" s="168"/>
      <c r="LZ30" s="168"/>
      <c r="MA30" s="168"/>
      <c r="MB30" s="168"/>
      <c r="MC30" s="168"/>
      <c r="MD30" s="168"/>
      <c r="ME30" s="168"/>
      <c r="MF30" s="168"/>
      <c r="MG30" s="168"/>
      <c r="MH30" s="168"/>
      <c r="MI30" s="168"/>
      <c r="MJ30" s="168"/>
      <c r="MK30" s="168"/>
      <c r="ML30" s="168"/>
      <c r="MM30" s="168"/>
      <c r="MN30" s="168"/>
      <c r="MO30" s="168"/>
      <c r="MP30" s="168"/>
      <c r="MQ30" s="168"/>
      <c r="MR30" s="168"/>
      <c r="MS30" s="168"/>
      <c r="MT30" s="168"/>
      <c r="MU30" s="168"/>
      <c r="MV30" s="168"/>
      <c r="MW30" s="168"/>
      <c r="MX30" s="168"/>
      <c r="MY30" s="168"/>
      <c r="MZ30" s="168"/>
      <c r="NA30" s="168"/>
      <c r="NB30" s="168"/>
      <c r="NC30" s="168"/>
      <c r="ND30" s="168"/>
      <c r="NE30" s="168"/>
      <c r="NF30" s="168"/>
      <c r="NG30" s="168"/>
      <c r="NH30" s="168"/>
      <c r="NI30" s="168"/>
      <c r="NJ30" s="168"/>
      <c r="NK30" s="168"/>
      <c r="NL30" s="168"/>
      <c r="NM30" s="168"/>
      <c r="NN30" s="168"/>
      <c r="NO30" s="168"/>
      <c r="NP30" s="168"/>
      <c r="NQ30" s="168"/>
      <c r="NR30" s="168"/>
      <c r="NS30" s="168"/>
      <c r="NT30" s="168"/>
      <c r="NU30" s="168"/>
      <c r="NV30" s="168"/>
      <c r="NW30" s="168"/>
      <c r="NX30" s="168"/>
      <c r="NY30" s="168"/>
      <c r="NZ30" s="168"/>
      <c r="OA30" s="168"/>
      <c r="OB30" s="168"/>
      <c r="OC30" s="168"/>
      <c r="OD30" s="168"/>
      <c r="OE30" s="168"/>
      <c r="OF30" s="168"/>
      <c r="OG30" s="168"/>
      <c r="OH30" s="168"/>
      <c r="OI30" s="168"/>
      <c r="OJ30" s="168"/>
      <c r="OK30" s="168"/>
      <c r="OL30" s="168"/>
      <c r="OM30" s="168"/>
      <c r="ON30" s="168"/>
      <c r="OO30" s="168"/>
      <c r="OP30" s="168"/>
      <c r="OQ30" s="168"/>
      <c r="OR30" s="168"/>
      <c r="OS30" s="168"/>
      <c r="OT30" s="168"/>
      <c r="OU30" s="169"/>
      <c r="OV30" s="169"/>
      <c r="OW30" s="169"/>
      <c r="OX30" s="169"/>
      <c r="OY30" s="169"/>
      <c r="OZ30" s="169"/>
      <c r="PA30" s="169"/>
      <c r="PB30" s="169"/>
      <c r="PC30" s="169"/>
      <c r="PD30" s="169"/>
      <c r="PE30" s="169"/>
      <c r="PF30" s="169"/>
      <c r="PG30" s="169"/>
      <c r="PH30" s="169"/>
      <c r="PI30" s="169"/>
      <c r="PJ30" s="169"/>
      <c r="PK30" s="169"/>
      <c r="PL30" s="169"/>
      <c r="PM30" s="169"/>
      <c r="PN30" s="169"/>
      <c r="PO30" s="169"/>
      <c r="PP30" s="169"/>
      <c r="PQ30" s="169"/>
      <c r="PR30" s="169"/>
      <c r="PS30" s="169"/>
      <c r="PT30" s="169"/>
      <c r="PU30" s="169"/>
      <c r="PV30" s="169"/>
      <c r="PW30" s="169"/>
      <c r="PX30" s="169"/>
      <c r="PY30" s="169"/>
      <c r="PZ30" s="169"/>
      <c r="QA30" s="169"/>
      <c r="QB30" s="169"/>
      <c r="QC30" s="169"/>
      <c r="QD30" s="169"/>
      <c r="QE30" s="169"/>
      <c r="QF30" s="169"/>
      <c r="QG30" s="169"/>
      <c r="QH30" s="169"/>
      <c r="QI30" s="169"/>
      <c r="QJ30" s="169"/>
      <c r="QK30" s="169"/>
      <c r="QL30" s="169"/>
      <c r="QM30" s="169"/>
      <c r="QN30" s="169"/>
      <c r="QO30" s="169"/>
      <c r="QP30" s="169"/>
      <c r="QQ30" s="169"/>
      <c r="QR30" s="169"/>
      <c r="QS30" s="169"/>
      <c r="QT30" s="169"/>
      <c r="QU30" s="169"/>
      <c r="QV30" s="169"/>
      <c r="QW30" s="169"/>
      <c r="QX30" s="169"/>
      <c r="QY30" s="169"/>
      <c r="QZ30" s="169"/>
      <c r="RA30" s="169"/>
      <c r="RB30" s="169"/>
      <c r="RC30" s="169"/>
      <c r="RD30" s="169"/>
      <c r="RE30" s="169"/>
      <c r="RF30" s="169"/>
      <c r="RG30" s="169"/>
      <c r="RH30" s="169"/>
      <c r="RI30" s="169"/>
      <c r="RJ30" s="169"/>
      <c r="RK30" s="169"/>
      <c r="RL30" s="169"/>
      <c r="RM30" s="169"/>
      <c r="RN30" s="169"/>
      <c r="RO30" s="168"/>
      <c r="RP30" s="168"/>
      <c r="RQ30" s="168"/>
      <c r="RR30" s="168"/>
      <c r="RS30" s="168"/>
      <c r="RT30" s="168"/>
      <c r="RU30" s="170"/>
      <c r="RV30" s="170"/>
      <c r="RW30" s="170"/>
      <c r="RX30" s="170"/>
      <c r="RY30" s="170"/>
      <c r="RZ30" s="170"/>
      <c r="SA30" s="169"/>
      <c r="SB30" s="169"/>
      <c r="SC30" s="169"/>
      <c r="SD30" s="169"/>
      <c r="SE30" s="169"/>
      <c r="SF30" s="169"/>
      <c r="SG30" s="169"/>
      <c r="SH30" s="169"/>
      <c r="SI30" s="169"/>
      <c r="SJ30" s="169"/>
      <c r="SK30" s="169"/>
      <c r="SL30" s="169"/>
      <c r="SM30" s="169"/>
      <c r="SN30" s="169"/>
      <c r="SO30" s="169"/>
      <c r="SP30" s="169"/>
      <c r="SQ30" s="169"/>
      <c r="SR30" s="169"/>
      <c r="SS30" s="175"/>
    </row>
    <row r="31" spans="1:513" s="194" customFormat="1" ht="20.25" customHeight="1">
      <c r="A31" s="215" t="s">
        <v>328</v>
      </c>
      <c r="B31" s="216"/>
      <c r="C31" s="216"/>
      <c r="D31" s="216"/>
      <c r="E31" s="217"/>
      <c r="F31" s="193">
        <f>F29+F30</f>
        <v>0</v>
      </c>
      <c r="G31" s="193">
        <f t="shared" ref="G31:BR31" si="119">G29+G30</f>
        <v>0</v>
      </c>
      <c r="H31" s="193">
        <f t="shared" si="119"/>
        <v>0</v>
      </c>
      <c r="I31" s="193">
        <f t="shared" si="119"/>
        <v>0</v>
      </c>
      <c r="J31" s="193">
        <f t="shared" si="119"/>
        <v>0</v>
      </c>
      <c r="K31" s="193">
        <f t="shared" si="119"/>
        <v>0</v>
      </c>
      <c r="L31" s="193">
        <f t="shared" si="119"/>
        <v>0</v>
      </c>
      <c r="M31" s="193">
        <f t="shared" si="119"/>
        <v>0</v>
      </c>
      <c r="N31" s="193">
        <f t="shared" si="119"/>
        <v>0</v>
      </c>
      <c r="O31" s="193">
        <f t="shared" si="119"/>
        <v>0</v>
      </c>
      <c r="P31" s="193">
        <f t="shared" si="119"/>
        <v>0</v>
      </c>
      <c r="Q31" s="193">
        <f t="shared" si="119"/>
        <v>0</v>
      </c>
      <c r="R31" s="193">
        <f t="shared" si="119"/>
        <v>0</v>
      </c>
      <c r="S31" s="193">
        <f t="shared" si="119"/>
        <v>0</v>
      </c>
      <c r="T31" s="193">
        <f t="shared" si="119"/>
        <v>0</v>
      </c>
      <c r="U31" s="193">
        <f t="shared" si="119"/>
        <v>0</v>
      </c>
      <c r="V31" s="193">
        <f t="shared" si="119"/>
        <v>0</v>
      </c>
      <c r="W31" s="193">
        <f t="shared" si="119"/>
        <v>0</v>
      </c>
      <c r="X31" s="193">
        <f t="shared" si="119"/>
        <v>0</v>
      </c>
      <c r="Y31" s="193">
        <f t="shared" si="119"/>
        <v>0</v>
      </c>
      <c r="Z31" s="193">
        <f t="shared" si="119"/>
        <v>0</v>
      </c>
      <c r="AA31" s="193">
        <f t="shared" si="119"/>
        <v>0</v>
      </c>
      <c r="AB31" s="193">
        <f t="shared" si="119"/>
        <v>0</v>
      </c>
      <c r="AC31" s="193">
        <f t="shared" si="119"/>
        <v>0</v>
      </c>
      <c r="AD31" s="193">
        <f t="shared" si="119"/>
        <v>0</v>
      </c>
      <c r="AE31" s="193">
        <f t="shared" si="119"/>
        <v>0</v>
      </c>
      <c r="AF31" s="193">
        <f t="shared" si="119"/>
        <v>0</v>
      </c>
      <c r="AG31" s="193">
        <f t="shared" si="119"/>
        <v>0</v>
      </c>
      <c r="AH31" s="193">
        <f t="shared" si="119"/>
        <v>0</v>
      </c>
      <c r="AI31" s="193">
        <f t="shared" si="119"/>
        <v>0</v>
      </c>
      <c r="AJ31" s="193">
        <f t="shared" si="119"/>
        <v>0</v>
      </c>
      <c r="AK31" s="193">
        <f t="shared" si="119"/>
        <v>0</v>
      </c>
      <c r="AL31" s="193">
        <f t="shared" si="119"/>
        <v>0</v>
      </c>
      <c r="AM31" s="193">
        <f t="shared" si="119"/>
        <v>0</v>
      </c>
      <c r="AN31" s="193">
        <f t="shared" si="119"/>
        <v>0</v>
      </c>
      <c r="AO31" s="193">
        <f t="shared" si="119"/>
        <v>0</v>
      </c>
      <c r="AP31" s="193">
        <f t="shared" si="119"/>
        <v>0</v>
      </c>
      <c r="AQ31" s="193">
        <f t="shared" si="119"/>
        <v>0</v>
      </c>
      <c r="AR31" s="193">
        <f t="shared" si="119"/>
        <v>0</v>
      </c>
      <c r="AS31" s="193">
        <f t="shared" si="119"/>
        <v>0</v>
      </c>
      <c r="AT31" s="193">
        <f t="shared" si="119"/>
        <v>0</v>
      </c>
      <c r="AU31" s="193">
        <f t="shared" si="119"/>
        <v>0</v>
      </c>
      <c r="AV31" s="193">
        <f t="shared" si="119"/>
        <v>0</v>
      </c>
      <c r="AW31" s="193">
        <f t="shared" si="119"/>
        <v>0</v>
      </c>
      <c r="AX31" s="193">
        <f t="shared" si="119"/>
        <v>0</v>
      </c>
      <c r="AY31" s="193">
        <f t="shared" si="119"/>
        <v>0</v>
      </c>
      <c r="AZ31" s="193">
        <f t="shared" si="119"/>
        <v>0</v>
      </c>
      <c r="BA31" s="193">
        <f t="shared" si="119"/>
        <v>0</v>
      </c>
      <c r="BB31" s="193">
        <f t="shared" si="119"/>
        <v>0</v>
      </c>
      <c r="BC31" s="193">
        <f t="shared" si="119"/>
        <v>0</v>
      </c>
      <c r="BD31" s="193">
        <f t="shared" si="119"/>
        <v>0</v>
      </c>
      <c r="BE31" s="193">
        <f t="shared" si="119"/>
        <v>0</v>
      </c>
      <c r="BF31" s="193">
        <f t="shared" si="119"/>
        <v>0</v>
      </c>
      <c r="BG31" s="193">
        <f t="shared" si="119"/>
        <v>0</v>
      </c>
      <c r="BH31" s="193">
        <f t="shared" si="119"/>
        <v>0</v>
      </c>
      <c r="BI31" s="193">
        <f t="shared" si="119"/>
        <v>0</v>
      </c>
      <c r="BJ31" s="193">
        <f t="shared" si="119"/>
        <v>0</v>
      </c>
      <c r="BK31" s="193">
        <f t="shared" si="119"/>
        <v>0</v>
      </c>
      <c r="BL31" s="193">
        <f t="shared" si="119"/>
        <v>0</v>
      </c>
      <c r="BM31" s="193">
        <f t="shared" si="119"/>
        <v>0</v>
      </c>
      <c r="BN31" s="193">
        <f t="shared" si="119"/>
        <v>0</v>
      </c>
      <c r="BO31" s="193">
        <f t="shared" si="119"/>
        <v>0</v>
      </c>
      <c r="BP31" s="193">
        <f t="shared" si="119"/>
        <v>0</v>
      </c>
      <c r="BQ31" s="193">
        <f t="shared" si="119"/>
        <v>0</v>
      </c>
      <c r="BR31" s="193">
        <f t="shared" si="119"/>
        <v>0</v>
      </c>
      <c r="BS31" s="193">
        <f t="shared" ref="BS31:ED31" si="120">BS29+BS30</f>
        <v>0</v>
      </c>
      <c r="BT31" s="193">
        <f t="shared" si="120"/>
        <v>0</v>
      </c>
      <c r="BU31" s="193">
        <f t="shared" si="120"/>
        <v>0</v>
      </c>
      <c r="BV31" s="193">
        <f t="shared" si="120"/>
        <v>0</v>
      </c>
      <c r="BW31" s="193">
        <f t="shared" si="120"/>
        <v>0</v>
      </c>
      <c r="BX31" s="193">
        <f t="shared" si="120"/>
        <v>0</v>
      </c>
      <c r="BY31" s="193">
        <f t="shared" si="120"/>
        <v>0</v>
      </c>
      <c r="BZ31" s="193">
        <f t="shared" si="120"/>
        <v>0</v>
      </c>
      <c r="CA31" s="193">
        <f t="shared" si="120"/>
        <v>0</v>
      </c>
      <c r="CB31" s="193">
        <f t="shared" si="120"/>
        <v>0</v>
      </c>
      <c r="CC31" s="193">
        <f t="shared" si="120"/>
        <v>0</v>
      </c>
      <c r="CD31" s="193">
        <f t="shared" si="120"/>
        <v>0</v>
      </c>
      <c r="CE31" s="193">
        <f t="shared" si="120"/>
        <v>0</v>
      </c>
      <c r="CF31" s="193">
        <f t="shared" si="120"/>
        <v>0</v>
      </c>
      <c r="CG31" s="193">
        <f t="shared" si="120"/>
        <v>0</v>
      </c>
      <c r="CH31" s="193">
        <f t="shared" si="120"/>
        <v>0</v>
      </c>
      <c r="CI31" s="193">
        <f t="shared" si="120"/>
        <v>0</v>
      </c>
      <c r="CJ31" s="193">
        <f t="shared" si="120"/>
        <v>0</v>
      </c>
      <c r="CK31" s="193">
        <f t="shared" si="120"/>
        <v>0</v>
      </c>
      <c r="CL31" s="193">
        <f t="shared" si="120"/>
        <v>0</v>
      </c>
      <c r="CM31" s="193">
        <f t="shared" si="120"/>
        <v>0</v>
      </c>
      <c r="CN31" s="193">
        <f t="shared" si="120"/>
        <v>0</v>
      </c>
      <c r="CO31" s="193">
        <f t="shared" si="120"/>
        <v>0</v>
      </c>
      <c r="CP31" s="193">
        <f t="shared" si="120"/>
        <v>0</v>
      </c>
      <c r="CQ31" s="193">
        <f t="shared" si="120"/>
        <v>0</v>
      </c>
      <c r="CR31" s="193">
        <f t="shared" si="120"/>
        <v>0</v>
      </c>
      <c r="CS31" s="193">
        <f t="shared" si="120"/>
        <v>0</v>
      </c>
      <c r="CT31" s="193">
        <f t="shared" si="120"/>
        <v>0</v>
      </c>
      <c r="CU31" s="193">
        <f t="shared" si="120"/>
        <v>0</v>
      </c>
      <c r="CV31" s="193">
        <f t="shared" si="120"/>
        <v>0</v>
      </c>
      <c r="CW31" s="193">
        <f t="shared" si="120"/>
        <v>0</v>
      </c>
      <c r="CX31" s="193">
        <f t="shared" si="120"/>
        <v>0</v>
      </c>
      <c r="CY31" s="193">
        <f t="shared" si="120"/>
        <v>0</v>
      </c>
      <c r="CZ31" s="193">
        <f t="shared" si="120"/>
        <v>0</v>
      </c>
      <c r="DA31" s="193">
        <f t="shared" si="120"/>
        <v>0</v>
      </c>
      <c r="DB31" s="193">
        <f t="shared" si="120"/>
        <v>0</v>
      </c>
      <c r="DC31" s="193">
        <f t="shared" si="120"/>
        <v>0</v>
      </c>
      <c r="DD31" s="193">
        <f t="shared" si="120"/>
        <v>0</v>
      </c>
      <c r="DE31" s="193">
        <f t="shared" si="120"/>
        <v>0</v>
      </c>
      <c r="DF31" s="193">
        <f t="shared" si="120"/>
        <v>0</v>
      </c>
      <c r="DG31" s="193">
        <f t="shared" si="120"/>
        <v>0</v>
      </c>
      <c r="DH31" s="193">
        <f t="shared" si="120"/>
        <v>0</v>
      </c>
      <c r="DI31" s="193">
        <f t="shared" si="120"/>
        <v>0</v>
      </c>
      <c r="DJ31" s="193">
        <f t="shared" si="120"/>
        <v>0</v>
      </c>
      <c r="DK31" s="193">
        <f t="shared" si="120"/>
        <v>0</v>
      </c>
      <c r="DL31" s="193">
        <f t="shared" si="120"/>
        <v>0</v>
      </c>
      <c r="DM31" s="193">
        <f t="shared" si="120"/>
        <v>0</v>
      </c>
      <c r="DN31" s="193">
        <f t="shared" si="120"/>
        <v>0</v>
      </c>
      <c r="DO31" s="193">
        <f t="shared" si="120"/>
        <v>0</v>
      </c>
      <c r="DP31" s="193">
        <f t="shared" si="120"/>
        <v>0</v>
      </c>
      <c r="DQ31" s="193">
        <f t="shared" si="120"/>
        <v>0</v>
      </c>
      <c r="DR31" s="193">
        <f t="shared" si="120"/>
        <v>0</v>
      </c>
      <c r="DS31" s="193">
        <f t="shared" si="120"/>
        <v>0</v>
      </c>
      <c r="DT31" s="193">
        <f t="shared" si="120"/>
        <v>0</v>
      </c>
      <c r="DU31" s="193">
        <f t="shared" si="120"/>
        <v>0</v>
      </c>
      <c r="DV31" s="193">
        <f t="shared" si="120"/>
        <v>0</v>
      </c>
      <c r="DW31" s="193">
        <f t="shared" si="120"/>
        <v>0</v>
      </c>
      <c r="DX31" s="193">
        <f t="shared" si="120"/>
        <v>0</v>
      </c>
      <c r="DY31" s="193">
        <f t="shared" si="120"/>
        <v>0</v>
      </c>
      <c r="DZ31" s="193">
        <f t="shared" si="120"/>
        <v>0</v>
      </c>
      <c r="EA31" s="193">
        <f t="shared" si="120"/>
        <v>0</v>
      </c>
      <c r="EB31" s="193">
        <f t="shared" si="120"/>
        <v>0</v>
      </c>
      <c r="EC31" s="193">
        <f t="shared" si="120"/>
        <v>0</v>
      </c>
      <c r="ED31" s="193">
        <f t="shared" si="120"/>
        <v>0</v>
      </c>
      <c r="EE31" s="193">
        <f t="shared" ref="EE31:GR31" si="121">EE29+EE30</f>
        <v>0</v>
      </c>
      <c r="EF31" s="193">
        <f t="shared" si="121"/>
        <v>0</v>
      </c>
      <c r="EG31" s="193">
        <f t="shared" si="121"/>
        <v>0</v>
      </c>
      <c r="EH31" s="193">
        <f t="shared" si="121"/>
        <v>0</v>
      </c>
      <c r="EI31" s="193">
        <f t="shared" si="121"/>
        <v>0</v>
      </c>
      <c r="EJ31" s="193">
        <f t="shared" si="121"/>
        <v>0</v>
      </c>
      <c r="EK31" s="193">
        <f t="shared" si="121"/>
        <v>0</v>
      </c>
      <c r="EL31" s="193">
        <f t="shared" si="121"/>
        <v>0</v>
      </c>
      <c r="EM31" s="193">
        <f t="shared" si="121"/>
        <v>0</v>
      </c>
      <c r="EN31" s="193">
        <f t="shared" si="121"/>
        <v>0</v>
      </c>
      <c r="EO31" s="193">
        <f t="shared" si="121"/>
        <v>0</v>
      </c>
      <c r="EP31" s="193">
        <f t="shared" si="121"/>
        <v>0</v>
      </c>
      <c r="EQ31" s="193">
        <f t="shared" si="121"/>
        <v>0</v>
      </c>
      <c r="ER31" s="193">
        <f t="shared" si="121"/>
        <v>0</v>
      </c>
      <c r="ES31" s="193">
        <f t="shared" si="121"/>
        <v>0</v>
      </c>
      <c r="ET31" s="193">
        <f t="shared" si="121"/>
        <v>0</v>
      </c>
      <c r="EU31" s="193">
        <f t="shared" si="121"/>
        <v>0</v>
      </c>
      <c r="EV31" s="193">
        <f t="shared" si="121"/>
        <v>0</v>
      </c>
      <c r="EW31" s="193">
        <f t="shared" si="121"/>
        <v>0</v>
      </c>
      <c r="EX31" s="193">
        <f t="shared" si="121"/>
        <v>0</v>
      </c>
      <c r="EY31" s="193">
        <f t="shared" si="121"/>
        <v>0</v>
      </c>
      <c r="EZ31" s="193">
        <f t="shared" si="121"/>
        <v>0</v>
      </c>
      <c r="FA31" s="193">
        <f t="shared" si="121"/>
        <v>0</v>
      </c>
      <c r="FB31" s="193">
        <f t="shared" si="121"/>
        <v>0</v>
      </c>
      <c r="FC31" s="193">
        <f t="shared" si="121"/>
        <v>0</v>
      </c>
      <c r="FD31" s="193">
        <f t="shared" si="121"/>
        <v>0</v>
      </c>
      <c r="FE31" s="193">
        <f t="shared" si="121"/>
        <v>0</v>
      </c>
      <c r="FF31" s="193">
        <f t="shared" si="121"/>
        <v>0</v>
      </c>
      <c r="FG31" s="193">
        <f t="shared" si="121"/>
        <v>0</v>
      </c>
      <c r="FH31" s="193">
        <f t="shared" si="121"/>
        <v>0</v>
      </c>
      <c r="FI31" s="193">
        <f t="shared" si="121"/>
        <v>0</v>
      </c>
      <c r="FJ31" s="193">
        <f t="shared" si="121"/>
        <v>0</v>
      </c>
      <c r="FK31" s="193">
        <f t="shared" si="121"/>
        <v>0</v>
      </c>
      <c r="FL31" s="193">
        <f t="shared" si="121"/>
        <v>0</v>
      </c>
      <c r="FM31" s="193">
        <f t="shared" si="121"/>
        <v>0</v>
      </c>
      <c r="FN31" s="193">
        <f t="shared" si="121"/>
        <v>0</v>
      </c>
      <c r="FO31" s="193">
        <f t="shared" si="121"/>
        <v>0</v>
      </c>
      <c r="FP31" s="193">
        <f t="shared" si="121"/>
        <v>0</v>
      </c>
      <c r="FQ31" s="193">
        <f t="shared" si="121"/>
        <v>0</v>
      </c>
      <c r="FR31" s="193">
        <f t="shared" si="121"/>
        <v>0</v>
      </c>
      <c r="FS31" s="193">
        <f t="shared" si="121"/>
        <v>0</v>
      </c>
      <c r="FT31" s="193">
        <f t="shared" si="121"/>
        <v>0</v>
      </c>
      <c r="FU31" s="193">
        <f t="shared" si="121"/>
        <v>0</v>
      </c>
      <c r="FV31" s="193">
        <f t="shared" si="121"/>
        <v>0</v>
      </c>
      <c r="FW31" s="193">
        <f t="shared" si="121"/>
        <v>0</v>
      </c>
      <c r="FX31" s="193">
        <f t="shared" si="121"/>
        <v>0</v>
      </c>
      <c r="FY31" s="193">
        <f t="shared" si="121"/>
        <v>0</v>
      </c>
      <c r="FZ31" s="193">
        <f t="shared" si="121"/>
        <v>0</v>
      </c>
      <c r="GA31" s="193">
        <f t="shared" si="121"/>
        <v>0</v>
      </c>
      <c r="GB31" s="193">
        <f t="shared" si="121"/>
        <v>0</v>
      </c>
      <c r="GC31" s="193"/>
      <c r="GD31" s="193"/>
      <c r="GE31" s="193">
        <f t="shared" si="121"/>
        <v>0</v>
      </c>
      <c r="GF31" s="193">
        <f t="shared" si="121"/>
        <v>0</v>
      </c>
      <c r="GG31" s="193">
        <f t="shared" si="121"/>
        <v>0</v>
      </c>
      <c r="GH31" s="193">
        <f t="shared" si="121"/>
        <v>0</v>
      </c>
      <c r="GI31" s="193">
        <f t="shared" si="121"/>
        <v>0</v>
      </c>
      <c r="GJ31" s="193">
        <f t="shared" si="121"/>
        <v>0</v>
      </c>
      <c r="GK31" s="193">
        <f t="shared" si="121"/>
        <v>0</v>
      </c>
      <c r="GL31" s="193">
        <f t="shared" si="121"/>
        <v>0</v>
      </c>
      <c r="GM31" s="193">
        <f t="shared" si="121"/>
        <v>0</v>
      </c>
      <c r="GN31" s="193">
        <f t="shared" si="121"/>
        <v>0</v>
      </c>
      <c r="GO31" s="193">
        <f t="shared" si="121"/>
        <v>0</v>
      </c>
      <c r="GP31" s="193">
        <f t="shared" si="121"/>
        <v>0</v>
      </c>
      <c r="GQ31" s="193">
        <f t="shared" si="121"/>
        <v>0</v>
      </c>
      <c r="GR31" s="193">
        <f t="shared" si="121"/>
        <v>0</v>
      </c>
      <c r="GS31" s="193">
        <f t="shared" ref="GS31:JD31" si="122">GS29+GS30</f>
        <v>0</v>
      </c>
      <c r="GT31" s="193">
        <f t="shared" si="122"/>
        <v>0</v>
      </c>
      <c r="GU31" s="193">
        <f t="shared" si="122"/>
        <v>0</v>
      </c>
      <c r="GV31" s="193">
        <f t="shared" si="122"/>
        <v>0</v>
      </c>
      <c r="GW31" s="193">
        <f t="shared" si="122"/>
        <v>0</v>
      </c>
      <c r="GX31" s="193">
        <f t="shared" si="122"/>
        <v>0</v>
      </c>
      <c r="GY31" s="193">
        <f t="shared" si="122"/>
        <v>0</v>
      </c>
      <c r="GZ31" s="193">
        <f t="shared" si="122"/>
        <v>0</v>
      </c>
      <c r="HA31" s="193">
        <f t="shared" si="122"/>
        <v>0</v>
      </c>
      <c r="HB31" s="193">
        <f t="shared" si="122"/>
        <v>0</v>
      </c>
      <c r="HC31" s="193">
        <f t="shared" si="122"/>
        <v>0</v>
      </c>
      <c r="HD31" s="193">
        <f t="shared" si="122"/>
        <v>0</v>
      </c>
      <c r="HE31" s="193">
        <f t="shared" si="122"/>
        <v>0</v>
      </c>
      <c r="HF31" s="193">
        <f t="shared" si="122"/>
        <v>0</v>
      </c>
      <c r="HG31" s="193">
        <f t="shared" si="122"/>
        <v>0</v>
      </c>
      <c r="HH31" s="193">
        <f t="shared" si="122"/>
        <v>0</v>
      </c>
      <c r="HI31" s="193">
        <f t="shared" si="122"/>
        <v>0</v>
      </c>
      <c r="HJ31" s="193">
        <f t="shared" si="122"/>
        <v>0</v>
      </c>
      <c r="HK31" s="193">
        <f t="shared" si="122"/>
        <v>0</v>
      </c>
      <c r="HL31" s="193">
        <f t="shared" si="122"/>
        <v>0</v>
      </c>
      <c r="HM31" s="193">
        <f t="shared" si="122"/>
        <v>0</v>
      </c>
      <c r="HN31" s="193">
        <f t="shared" si="122"/>
        <v>0</v>
      </c>
      <c r="HO31" s="193">
        <f t="shared" si="122"/>
        <v>0</v>
      </c>
      <c r="HP31" s="193">
        <f t="shared" si="122"/>
        <v>0</v>
      </c>
      <c r="HQ31" s="193">
        <f t="shared" si="122"/>
        <v>0</v>
      </c>
      <c r="HR31" s="193">
        <f t="shared" si="122"/>
        <v>0</v>
      </c>
      <c r="HS31" s="193">
        <f t="shared" si="122"/>
        <v>0</v>
      </c>
      <c r="HT31" s="193">
        <f t="shared" si="122"/>
        <v>0</v>
      </c>
      <c r="HU31" s="193">
        <f t="shared" si="122"/>
        <v>0</v>
      </c>
      <c r="HV31" s="193">
        <f t="shared" si="122"/>
        <v>0</v>
      </c>
      <c r="HW31" s="193">
        <f t="shared" si="122"/>
        <v>0</v>
      </c>
      <c r="HX31" s="193">
        <f t="shared" si="122"/>
        <v>0</v>
      </c>
      <c r="HY31" s="193">
        <f t="shared" si="122"/>
        <v>0</v>
      </c>
      <c r="HZ31" s="193">
        <f t="shared" si="122"/>
        <v>0</v>
      </c>
      <c r="IA31" s="193">
        <f t="shared" si="122"/>
        <v>0</v>
      </c>
      <c r="IB31" s="193">
        <f t="shared" si="122"/>
        <v>0</v>
      </c>
      <c r="IC31" s="193">
        <f t="shared" si="122"/>
        <v>0</v>
      </c>
      <c r="ID31" s="193">
        <f t="shared" si="122"/>
        <v>0</v>
      </c>
      <c r="IE31" s="193">
        <f t="shared" si="122"/>
        <v>0</v>
      </c>
      <c r="IF31" s="193">
        <f t="shared" si="122"/>
        <v>0</v>
      </c>
      <c r="IG31" s="193">
        <f t="shared" si="122"/>
        <v>0</v>
      </c>
      <c r="IH31" s="193">
        <f t="shared" si="122"/>
        <v>0</v>
      </c>
      <c r="II31" s="193">
        <f t="shared" si="122"/>
        <v>0</v>
      </c>
      <c r="IJ31" s="193">
        <f t="shared" si="122"/>
        <v>0</v>
      </c>
      <c r="IK31" s="193">
        <f t="shared" si="122"/>
        <v>0</v>
      </c>
      <c r="IL31" s="193">
        <f t="shared" si="122"/>
        <v>0</v>
      </c>
      <c r="IM31" s="193">
        <f t="shared" si="122"/>
        <v>0</v>
      </c>
      <c r="IN31" s="193">
        <f t="shared" si="122"/>
        <v>0</v>
      </c>
      <c r="IO31" s="193">
        <f t="shared" si="122"/>
        <v>0</v>
      </c>
      <c r="IP31" s="193">
        <f t="shared" si="122"/>
        <v>0</v>
      </c>
      <c r="IQ31" s="193">
        <f t="shared" si="122"/>
        <v>0</v>
      </c>
      <c r="IR31" s="193">
        <f t="shared" si="122"/>
        <v>0</v>
      </c>
      <c r="IS31" s="193">
        <f t="shared" si="122"/>
        <v>0</v>
      </c>
      <c r="IT31" s="193">
        <f t="shared" si="122"/>
        <v>0</v>
      </c>
      <c r="IU31" s="193">
        <f t="shared" si="122"/>
        <v>0</v>
      </c>
      <c r="IV31" s="193">
        <f t="shared" si="122"/>
        <v>0</v>
      </c>
      <c r="IW31" s="193">
        <f t="shared" si="122"/>
        <v>0</v>
      </c>
      <c r="IX31" s="193">
        <f t="shared" si="122"/>
        <v>0</v>
      </c>
      <c r="IY31" s="193">
        <f t="shared" si="122"/>
        <v>0</v>
      </c>
      <c r="IZ31" s="193">
        <f t="shared" si="122"/>
        <v>0</v>
      </c>
      <c r="JA31" s="193">
        <f t="shared" si="122"/>
        <v>0</v>
      </c>
      <c r="JB31" s="193">
        <f t="shared" si="122"/>
        <v>0</v>
      </c>
      <c r="JC31" s="193">
        <f t="shared" si="122"/>
        <v>0</v>
      </c>
      <c r="JD31" s="193">
        <f t="shared" si="122"/>
        <v>0</v>
      </c>
      <c r="JE31" s="193">
        <f t="shared" ref="JE31:LN31" si="123">JE29+JE30</f>
        <v>0</v>
      </c>
      <c r="JF31" s="193">
        <f t="shared" si="123"/>
        <v>0</v>
      </c>
      <c r="JG31" s="193">
        <f t="shared" si="123"/>
        <v>0</v>
      </c>
      <c r="JH31" s="193">
        <f t="shared" si="123"/>
        <v>0</v>
      </c>
      <c r="JI31" s="193">
        <f t="shared" si="123"/>
        <v>0</v>
      </c>
      <c r="JJ31" s="193">
        <f t="shared" si="123"/>
        <v>0</v>
      </c>
      <c r="JK31" s="193">
        <f t="shared" si="123"/>
        <v>0</v>
      </c>
      <c r="JL31" s="193">
        <f t="shared" si="123"/>
        <v>0</v>
      </c>
      <c r="JM31" s="193">
        <f t="shared" si="123"/>
        <v>0</v>
      </c>
      <c r="JN31" s="193">
        <f t="shared" si="123"/>
        <v>0</v>
      </c>
      <c r="JO31" s="193">
        <f t="shared" si="123"/>
        <v>0</v>
      </c>
      <c r="JP31" s="193">
        <f t="shared" si="123"/>
        <v>0</v>
      </c>
      <c r="JQ31" s="193">
        <f t="shared" si="123"/>
        <v>0</v>
      </c>
      <c r="JR31" s="193">
        <f t="shared" si="123"/>
        <v>0</v>
      </c>
      <c r="JS31" s="193">
        <f t="shared" si="123"/>
        <v>0</v>
      </c>
      <c r="JT31" s="193">
        <f t="shared" si="123"/>
        <v>0</v>
      </c>
      <c r="JU31" s="193">
        <f t="shared" si="123"/>
        <v>0</v>
      </c>
      <c r="JV31" s="193">
        <f t="shared" si="123"/>
        <v>0</v>
      </c>
      <c r="JW31" s="193">
        <f t="shared" si="123"/>
        <v>0</v>
      </c>
      <c r="JX31" s="193">
        <f t="shared" si="123"/>
        <v>0</v>
      </c>
      <c r="JY31" s="193">
        <f t="shared" si="123"/>
        <v>0</v>
      </c>
      <c r="JZ31" s="193">
        <f t="shared" si="123"/>
        <v>0</v>
      </c>
      <c r="KA31" s="193">
        <f t="shared" si="123"/>
        <v>0</v>
      </c>
      <c r="KB31" s="193">
        <f t="shared" si="123"/>
        <v>0</v>
      </c>
      <c r="KC31" s="193">
        <f t="shared" si="123"/>
        <v>0</v>
      </c>
      <c r="KD31" s="193">
        <f t="shared" si="123"/>
        <v>0</v>
      </c>
      <c r="KE31" s="193">
        <f t="shared" si="123"/>
        <v>0</v>
      </c>
      <c r="KF31" s="193">
        <f t="shared" si="123"/>
        <v>0</v>
      </c>
      <c r="KG31" s="193">
        <f t="shared" si="123"/>
        <v>0</v>
      </c>
      <c r="KH31" s="193">
        <f t="shared" si="123"/>
        <v>0</v>
      </c>
      <c r="KI31" s="193">
        <f t="shared" si="123"/>
        <v>0</v>
      </c>
      <c r="KJ31" s="193">
        <f t="shared" si="123"/>
        <v>0</v>
      </c>
      <c r="KK31" s="193">
        <f t="shared" si="123"/>
        <v>0</v>
      </c>
      <c r="KL31" s="193">
        <f t="shared" si="123"/>
        <v>0</v>
      </c>
      <c r="KM31" s="193">
        <f t="shared" si="123"/>
        <v>0</v>
      </c>
      <c r="KN31" s="193">
        <f t="shared" si="123"/>
        <v>0</v>
      </c>
      <c r="KO31" s="193">
        <f t="shared" si="123"/>
        <v>0</v>
      </c>
      <c r="KP31" s="193">
        <f t="shared" si="123"/>
        <v>0</v>
      </c>
      <c r="KQ31" s="193">
        <f t="shared" si="123"/>
        <v>0</v>
      </c>
      <c r="KR31" s="193">
        <f t="shared" si="123"/>
        <v>0</v>
      </c>
      <c r="KS31" s="193">
        <f t="shared" si="123"/>
        <v>0</v>
      </c>
      <c r="KT31" s="193">
        <f t="shared" si="123"/>
        <v>0</v>
      </c>
      <c r="KU31" s="193">
        <f t="shared" si="123"/>
        <v>0</v>
      </c>
      <c r="KV31" s="193">
        <f t="shared" si="123"/>
        <v>0</v>
      </c>
      <c r="KW31" s="193">
        <f t="shared" si="123"/>
        <v>0</v>
      </c>
      <c r="KX31" s="193">
        <f t="shared" si="123"/>
        <v>0</v>
      </c>
      <c r="KY31" s="193">
        <f t="shared" si="123"/>
        <v>0</v>
      </c>
      <c r="KZ31" s="193">
        <f t="shared" si="123"/>
        <v>0</v>
      </c>
      <c r="LA31" s="193">
        <f t="shared" si="123"/>
        <v>0</v>
      </c>
      <c r="LB31" s="193">
        <f t="shared" si="123"/>
        <v>0</v>
      </c>
      <c r="LC31" s="193">
        <f t="shared" si="123"/>
        <v>0</v>
      </c>
      <c r="LD31" s="193">
        <f t="shared" si="123"/>
        <v>0</v>
      </c>
      <c r="LE31" s="193">
        <f t="shared" si="123"/>
        <v>0</v>
      </c>
      <c r="LF31" s="193">
        <f t="shared" si="123"/>
        <v>0</v>
      </c>
      <c r="LG31" s="193">
        <f t="shared" si="123"/>
        <v>0</v>
      </c>
      <c r="LH31" s="193">
        <f t="shared" si="123"/>
        <v>0</v>
      </c>
      <c r="LI31" s="193">
        <f t="shared" si="123"/>
        <v>0</v>
      </c>
      <c r="LJ31" s="193">
        <f t="shared" si="123"/>
        <v>0</v>
      </c>
      <c r="LK31" s="193">
        <f t="shared" si="123"/>
        <v>0</v>
      </c>
      <c r="LL31" s="193">
        <f t="shared" si="123"/>
        <v>0</v>
      </c>
      <c r="LM31" s="193">
        <f t="shared" si="123"/>
        <v>0</v>
      </c>
      <c r="LN31" s="193">
        <f t="shared" si="123"/>
        <v>0</v>
      </c>
      <c r="LO31" s="193">
        <f t="shared" ref="LO31:LP31" si="124">LO29+LO30</f>
        <v>0</v>
      </c>
      <c r="LP31" s="193">
        <f t="shared" si="124"/>
        <v>0</v>
      </c>
      <c r="LQ31" s="193">
        <f t="shared" ref="LQ31:OA31" si="125">LQ29+LQ30</f>
        <v>0</v>
      </c>
      <c r="LR31" s="193">
        <f t="shared" si="125"/>
        <v>0</v>
      </c>
      <c r="LS31" s="193">
        <f t="shared" si="125"/>
        <v>0</v>
      </c>
      <c r="LT31" s="193">
        <f t="shared" si="125"/>
        <v>0</v>
      </c>
      <c r="LU31" s="193">
        <f t="shared" si="125"/>
        <v>0</v>
      </c>
      <c r="LV31" s="193">
        <f t="shared" si="125"/>
        <v>0</v>
      </c>
      <c r="LW31" s="193">
        <f t="shared" si="125"/>
        <v>0</v>
      </c>
      <c r="LX31" s="193">
        <f t="shared" si="125"/>
        <v>0</v>
      </c>
      <c r="LY31" s="193">
        <f t="shared" si="125"/>
        <v>0</v>
      </c>
      <c r="LZ31" s="193">
        <f t="shared" si="125"/>
        <v>0</v>
      </c>
      <c r="MA31" s="193">
        <f t="shared" si="125"/>
        <v>0</v>
      </c>
      <c r="MB31" s="193">
        <f t="shared" si="125"/>
        <v>0</v>
      </c>
      <c r="MC31" s="193">
        <f t="shared" si="125"/>
        <v>0</v>
      </c>
      <c r="MD31" s="193">
        <f t="shared" si="125"/>
        <v>0</v>
      </c>
      <c r="ME31" s="193">
        <f t="shared" si="125"/>
        <v>0</v>
      </c>
      <c r="MF31" s="193">
        <f t="shared" si="125"/>
        <v>0</v>
      </c>
      <c r="MG31" s="193">
        <f t="shared" si="125"/>
        <v>0</v>
      </c>
      <c r="MH31" s="193">
        <f t="shared" si="125"/>
        <v>0</v>
      </c>
      <c r="MI31" s="193">
        <f t="shared" si="125"/>
        <v>0</v>
      </c>
      <c r="MJ31" s="193">
        <f t="shared" si="125"/>
        <v>0</v>
      </c>
      <c r="MK31" s="193">
        <f t="shared" si="125"/>
        <v>0</v>
      </c>
      <c r="ML31" s="193">
        <f t="shared" si="125"/>
        <v>0</v>
      </c>
      <c r="MM31" s="193">
        <f t="shared" si="125"/>
        <v>0</v>
      </c>
      <c r="MN31" s="193">
        <f t="shared" si="125"/>
        <v>0</v>
      </c>
      <c r="MO31" s="193">
        <f t="shared" si="125"/>
        <v>0</v>
      </c>
      <c r="MP31" s="193">
        <f t="shared" si="125"/>
        <v>0</v>
      </c>
      <c r="MQ31" s="193">
        <f t="shared" si="125"/>
        <v>0</v>
      </c>
      <c r="MR31" s="193">
        <f t="shared" si="125"/>
        <v>0</v>
      </c>
      <c r="MS31" s="193">
        <f t="shared" si="125"/>
        <v>0</v>
      </c>
      <c r="MT31" s="193">
        <f t="shared" si="125"/>
        <v>0</v>
      </c>
      <c r="MU31" s="193">
        <f t="shared" si="125"/>
        <v>0</v>
      </c>
      <c r="MV31" s="193">
        <f t="shared" si="125"/>
        <v>0</v>
      </c>
      <c r="MW31" s="193">
        <f t="shared" si="125"/>
        <v>0</v>
      </c>
      <c r="MX31" s="193">
        <f t="shared" si="125"/>
        <v>0</v>
      </c>
      <c r="MY31" s="193">
        <f t="shared" si="125"/>
        <v>0</v>
      </c>
      <c r="MZ31" s="193">
        <f t="shared" si="125"/>
        <v>0</v>
      </c>
      <c r="NA31" s="193">
        <f t="shared" si="125"/>
        <v>0</v>
      </c>
      <c r="NB31" s="193">
        <f t="shared" si="125"/>
        <v>0</v>
      </c>
      <c r="NC31" s="193">
        <f t="shared" si="125"/>
        <v>0</v>
      </c>
      <c r="ND31" s="193">
        <f t="shared" si="125"/>
        <v>0</v>
      </c>
      <c r="NE31" s="193">
        <f t="shared" si="125"/>
        <v>0</v>
      </c>
      <c r="NF31" s="193">
        <f t="shared" si="125"/>
        <v>0</v>
      </c>
      <c r="NG31" s="193">
        <f t="shared" si="125"/>
        <v>0</v>
      </c>
      <c r="NH31" s="193">
        <f t="shared" si="125"/>
        <v>0</v>
      </c>
      <c r="NI31" s="193">
        <f t="shared" si="125"/>
        <v>0</v>
      </c>
      <c r="NJ31" s="193">
        <f t="shared" si="125"/>
        <v>0</v>
      </c>
      <c r="NK31" s="193">
        <f t="shared" si="125"/>
        <v>0</v>
      </c>
      <c r="NL31" s="193">
        <f t="shared" si="125"/>
        <v>0</v>
      </c>
      <c r="NM31" s="193">
        <f t="shared" si="125"/>
        <v>0</v>
      </c>
      <c r="NN31" s="193">
        <f t="shared" si="125"/>
        <v>0</v>
      </c>
      <c r="NO31" s="193">
        <f t="shared" si="125"/>
        <v>0</v>
      </c>
      <c r="NP31" s="193">
        <f t="shared" si="125"/>
        <v>0</v>
      </c>
      <c r="NQ31" s="193">
        <f t="shared" si="125"/>
        <v>0</v>
      </c>
      <c r="NR31" s="193">
        <f t="shared" si="125"/>
        <v>0</v>
      </c>
      <c r="NS31" s="193">
        <f t="shared" si="125"/>
        <v>0</v>
      </c>
      <c r="NT31" s="193">
        <f t="shared" si="125"/>
        <v>0</v>
      </c>
      <c r="NU31" s="193">
        <f t="shared" si="125"/>
        <v>0</v>
      </c>
      <c r="NV31" s="193">
        <f t="shared" si="125"/>
        <v>0</v>
      </c>
      <c r="NW31" s="193">
        <f t="shared" si="125"/>
        <v>0</v>
      </c>
      <c r="NX31" s="193">
        <f t="shared" si="125"/>
        <v>0</v>
      </c>
      <c r="NY31" s="193">
        <f t="shared" si="125"/>
        <v>0</v>
      </c>
      <c r="NZ31" s="193">
        <f t="shared" si="125"/>
        <v>0</v>
      </c>
      <c r="OA31" s="193">
        <f t="shared" si="125"/>
        <v>0</v>
      </c>
      <c r="OB31" s="193">
        <f t="shared" ref="OB31:QS31" si="126">OB29+OB30</f>
        <v>0</v>
      </c>
      <c r="OC31" s="193">
        <f t="shared" si="126"/>
        <v>0</v>
      </c>
      <c r="OD31" s="193">
        <f t="shared" si="126"/>
        <v>0</v>
      </c>
      <c r="OE31" s="193">
        <f t="shared" si="126"/>
        <v>0</v>
      </c>
      <c r="OF31" s="193">
        <f t="shared" si="126"/>
        <v>0</v>
      </c>
      <c r="OG31" s="193">
        <f t="shared" si="126"/>
        <v>0</v>
      </c>
      <c r="OH31" s="193">
        <f t="shared" si="126"/>
        <v>0</v>
      </c>
      <c r="OI31" s="193">
        <f t="shared" ref="OI31:OT31" si="127">OI29+OI30</f>
        <v>0</v>
      </c>
      <c r="OJ31" s="193">
        <f t="shared" si="127"/>
        <v>0</v>
      </c>
      <c r="OK31" s="193">
        <f t="shared" si="127"/>
        <v>0</v>
      </c>
      <c r="OL31" s="193">
        <f t="shared" si="127"/>
        <v>0</v>
      </c>
      <c r="OM31" s="193">
        <f t="shared" si="127"/>
        <v>0</v>
      </c>
      <c r="ON31" s="193">
        <f t="shared" si="127"/>
        <v>0</v>
      </c>
      <c r="OO31" s="193">
        <f t="shared" si="127"/>
        <v>0</v>
      </c>
      <c r="OP31" s="193">
        <f t="shared" si="127"/>
        <v>0</v>
      </c>
      <c r="OQ31" s="193">
        <f t="shared" si="127"/>
        <v>0</v>
      </c>
      <c r="OR31" s="193">
        <f t="shared" si="127"/>
        <v>0</v>
      </c>
      <c r="OS31" s="193">
        <f t="shared" si="127"/>
        <v>0</v>
      </c>
      <c r="OT31" s="193">
        <f t="shared" si="127"/>
        <v>0</v>
      </c>
      <c r="OU31" s="193">
        <f t="shared" si="126"/>
        <v>0</v>
      </c>
      <c r="OV31" s="193">
        <f t="shared" si="126"/>
        <v>0</v>
      </c>
      <c r="OW31" s="193">
        <f t="shared" si="126"/>
        <v>0</v>
      </c>
      <c r="OX31" s="193">
        <f t="shared" si="126"/>
        <v>0</v>
      </c>
      <c r="OY31" s="193">
        <f t="shared" si="126"/>
        <v>0</v>
      </c>
      <c r="OZ31" s="193">
        <f t="shared" si="126"/>
        <v>0</v>
      </c>
      <c r="PA31" s="193">
        <f t="shared" si="126"/>
        <v>0</v>
      </c>
      <c r="PB31" s="193">
        <f t="shared" si="126"/>
        <v>0</v>
      </c>
      <c r="PC31" s="193">
        <f t="shared" si="126"/>
        <v>0</v>
      </c>
      <c r="PD31" s="193">
        <f t="shared" si="126"/>
        <v>0</v>
      </c>
      <c r="PE31" s="193">
        <f t="shared" si="126"/>
        <v>0</v>
      </c>
      <c r="PF31" s="193">
        <f t="shared" si="126"/>
        <v>0</v>
      </c>
      <c r="PG31" s="193">
        <f t="shared" si="126"/>
        <v>0</v>
      </c>
      <c r="PH31" s="193">
        <f t="shared" si="126"/>
        <v>0</v>
      </c>
      <c r="PI31" s="193">
        <f t="shared" si="126"/>
        <v>0</v>
      </c>
      <c r="PJ31" s="193">
        <f t="shared" si="126"/>
        <v>0</v>
      </c>
      <c r="PK31" s="193">
        <f t="shared" si="126"/>
        <v>0</v>
      </c>
      <c r="PL31" s="193">
        <f t="shared" si="126"/>
        <v>0</v>
      </c>
      <c r="PM31" s="193">
        <f t="shared" si="126"/>
        <v>0</v>
      </c>
      <c r="PN31" s="193">
        <f t="shared" si="126"/>
        <v>0</v>
      </c>
      <c r="PO31" s="193">
        <f t="shared" si="126"/>
        <v>0</v>
      </c>
      <c r="PP31" s="193">
        <f t="shared" si="126"/>
        <v>0</v>
      </c>
      <c r="PQ31" s="193">
        <f t="shared" si="126"/>
        <v>0</v>
      </c>
      <c r="PR31" s="193">
        <f t="shared" si="126"/>
        <v>0</v>
      </c>
      <c r="PS31" s="193">
        <f t="shared" si="126"/>
        <v>0</v>
      </c>
      <c r="PT31" s="193">
        <f t="shared" si="126"/>
        <v>0</v>
      </c>
      <c r="PU31" s="193">
        <f t="shared" si="126"/>
        <v>0</v>
      </c>
      <c r="PV31" s="193">
        <f t="shared" ref="PV31:QA31" si="128">PV29</f>
        <v>0</v>
      </c>
      <c r="PW31" s="193">
        <f t="shared" si="128"/>
        <v>0</v>
      </c>
      <c r="PX31" s="193">
        <f t="shared" si="128"/>
        <v>0</v>
      </c>
      <c r="PY31" s="193">
        <f t="shared" si="128"/>
        <v>0</v>
      </c>
      <c r="PZ31" s="193">
        <f t="shared" si="128"/>
        <v>0</v>
      </c>
      <c r="QA31" s="193">
        <f t="shared" si="128"/>
        <v>0</v>
      </c>
      <c r="QB31" s="193">
        <f t="shared" ref="QB31:QH31" si="129">QB29+QB30</f>
        <v>0</v>
      </c>
      <c r="QC31" s="193">
        <f t="shared" si="129"/>
        <v>0</v>
      </c>
      <c r="QD31" s="193">
        <f t="shared" si="129"/>
        <v>0</v>
      </c>
      <c r="QE31" s="193">
        <f t="shared" si="129"/>
        <v>0</v>
      </c>
      <c r="QF31" s="193">
        <f t="shared" si="129"/>
        <v>0</v>
      </c>
      <c r="QG31" s="193">
        <f t="shared" si="129"/>
        <v>0</v>
      </c>
      <c r="QH31" s="193">
        <f t="shared" si="129"/>
        <v>0</v>
      </c>
      <c r="QI31" s="193">
        <f t="shared" si="126"/>
        <v>0</v>
      </c>
      <c r="QJ31" s="193">
        <f t="shared" si="126"/>
        <v>0</v>
      </c>
      <c r="QK31" s="193">
        <f t="shared" si="126"/>
        <v>0</v>
      </c>
      <c r="QL31" s="193">
        <f t="shared" si="126"/>
        <v>0</v>
      </c>
      <c r="QM31" s="193">
        <f t="shared" si="126"/>
        <v>0</v>
      </c>
      <c r="QN31" s="193">
        <f t="shared" si="126"/>
        <v>0</v>
      </c>
      <c r="QO31" s="193">
        <f t="shared" si="126"/>
        <v>0</v>
      </c>
      <c r="QP31" s="193">
        <f t="shared" si="126"/>
        <v>0</v>
      </c>
      <c r="QQ31" s="193">
        <f t="shared" si="126"/>
        <v>0</v>
      </c>
      <c r="QR31" s="193">
        <f t="shared" si="126"/>
        <v>0</v>
      </c>
      <c r="QS31" s="193">
        <f t="shared" si="126"/>
        <v>0</v>
      </c>
      <c r="QT31" s="193">
        <f t="shared" ref="QT31" si="130">QT29+QT30</f>
        <v>0</v>
      </c>
      <c r="QU31" s="193"/>
      <c r="QV31" s="193"/>
      <c r="QW31" s="193"/>
      <c r="QX31" s="193"/>
      <c r="QY31" s="193"/>
      <c r="QZ31" s="193"/>
      <c r="RA31" s="193"/>
      <c r="RB31" s="193">
        <f>RB29+RB30</f>
        <v>0</v>
      </c>
      <c r="RC31" s="193">
        <f>RC29</f>
        <v>0</v>
      </c>
      <c r="RD31" s="193">
        <f t="shared" ref="RD31:RE31" si="131">RD29</f>
        <v>0</v>
      </c>
      <c r="RE31" s="193">
        <f t="shared" si="131"/>
        <v>0</v>
      </c>
      <c r="RF31" s="193">
        <f t="shared" ref="RF31:RU31" si="132">RF29</f>
        <v>0</v>
      </c>
      <c r="RG31" s="193">
        <f t="shared" si="132"/>
        <v>0</v>
      </c>
      <c r="RH31" s="193">
        <f t="shared" si="132"/>
        <v>0</v>
      </c>
      <c r="RI31" s="193">
        <f t="shared" si="132"/>
        <v>0</v>
      </c>
      <c r="RJ31" s="193">
        <f t="shared" si="132"/>
        <v>0</v>
      </c>
      <c r="RK31" s="193">
        <f t="shared" si="132"/>
        <v>0</v>
      </c>
      <c r="RL31" s="193">
        <f t="shared" si="132"/>
        <v>0</v>
      </c>
      <c r="RM31" s="193">
        <f t="shared" si="132"/>
        <v>0</v>
      </c>
      <c r="RN31" s="193">
        <f t="shared" si="132"/>
        <v>0</v>
      </c>
      <c r="RO31" s="193"/>
      <c r="RP31" s="193"/>
      <c r="RQ31" s="193"/>
      <c r="RR31" s="193"/>
      <c r="RS31" s="193"/>
      <c r="RT31" s="193"/>
      <c r="RU31" s="193">
        <f t="shared" si="132"/>
        <v>0</v>
      </c>
      <c r="RV31" s="193"/>
      <c r="RW31" s="193">
        <f>RW29</f>
        <v>0</v>
      </c>
      <c r="RX31" s="193"/>
      <c r="RY31" s="193">
        <f>RY29</f>
        <v>0</v>
      </c>
      <c r="RZ31" s="193"/>
      <c r="SA31" s="193">
        <f t="shared" ref="SA31:SG31" si="133">SA29</f>
        <v>0</v>
      </c>
      <c r="SB31" s="193">
        <f t="shared" si="133"/>
        <v>0</v>
      </c>
      <c r="SC31" s="193">
        <f t="shared" si="133"/>
        <v>0</v>
      </c>
      <c r="SD31" s="193">
        <f t="shared" si="133"/>
        <v>0</v>
      </c>
      <c r="SE31" s="193">
        <f t="shared" si="133"/>
        <v>0</v>
      </c>
      <c r="SF31" s="193">
        <f t="shared" si="133"/>
        <v>0</v>
      </c>
      <c r="SG31" s="193">
        <f t="shared" si="133"/>
        <v>0</v>
      </c>
      <c r="SH31" s="193"/>
      <c r="SI31" s="193">
        <f t="shared" ref="SI31:SN31" si="134">SI29</f>
        <v>0</v>
      </c>
      <c r="SJ31" s="193">
        <f t="shared" si="134"/>
        <v>0</v>
      </c>
      <c r="SK31" s="193">
        <f t="shared" si="134"/>
        <v>0</v>
      </c>
      <c r="SL31" s="193">
        <f t="shared" si="134"/>
        <v>0</v>
      </c>
      <c r="SM31" s="193">
        <f t="shared" si="134"/>
        <v>0</v>
      </c>
      <c r="SN31" s="193">
        <f t="shared" si="134"/>
        <v>0</v>
      </c>
      <c r="SO31" s="193">
        <f t="shared" ref="SO31:SP31" si="135">SO29</f>
        <v>0</v>
      </c>
      <c r="SP31" s="193">
        <f t="shared" si="135"/>
        <v>0</v>
      </c>
      <c r="SQ31" s="193"/>
      <c r="SR31" s="193"/>
      <c r="SS31" s="195"/>
    </row>
    <row r="32" spans="1:513" s="194" customFormat="1" ht="19.5" customHeight="1">
      <c r="A32" s="215" t="s">
        <v>327</v>
      </c>
      <c r="B32" s="216"/>
      <c r="C32" s="216"/>
      <c r="D32" s="216"/>
      <c r="E32" s="217"/>
      <c r="F32" s="193">
        <f>F31</f>
        <v>0</v>
      </c>
      <c r="G32" s="193">
        <f t="shared" ref="G32:BR32" si="136">G31</f>
        <v>0</v>
      </c>
      <c r="H32" s="193">
        <f t="shared" si="136"/>
        <v>0</v>
      </c>
      <c r="I32" s="193">
        <f t="shared" si="136"/>
        <v>0</v>
      </c>
      <c r="J32" s="193">
        <f t="shared" si="136"/>
        <v>0</v>
      </c>
      <c r="K32" s="193">
        <f t="shared" si="136"/>
        <v>0</v>
      </c>
      <c r="L32" s="193">
        <f t="shared" si="136"/>
        <v>0</v>
      </c>
      <c r="M32" s="193">
        <f t="shared" si="136"/>
        <v>0</v>
      </c>
      <c r="N32" s="193">
        <f t="shared" si="136"/>
        <v>0</v>
      </c>
      <c r="O32" s="193">
        <f t="shared" si="136"/>
        <v>0</v>
      </c>
      <c r="P32" s="193">
        <f t="shared" si="136"/>
        <v>0</v>
      </c>
      <c r="Q32" s="193">
        <f t="shared" si="136"/>
        <v>0</v>
      </c>
      <c r="R32" s="193">
        <f t="shared" si="136"/>
        <v>0</v>
      </c>
      <c r="S32" s="193">
        <f t="shared" si="136"/>
        <v>0</v>
      </c>
      <c r="T32" s="193">
        <f t="shared" si="136"/>
        <v>0</v>
      </c>
      <c r="U32" s="193">
        <f t="shared" si="136"/>
        <v>0</v>
      </c>
      <c r="V32" s="193">
        <f t="shared" si="136"/>
        <v>0</v>
      </c>
      <c r="W32" s="193">
        <f t="shared" si="136"/>
        <v>0</v>
      </c>
      <c r="X32" s="193">
        <f t="shared" si="136"/>
        <v>0</v>
      </c>
      <c r="Y32" s="193">
        <f t="shared" si="136"/>
        <v>0</v>
      </c>
      <c r="Z32" s="193">
        <f t="shared" si="136"/>
        <v>0</v>
      </c>
      <c r="AA32" s="193">
        <f t="shared" si="136"/>
        <v>0</v>
      </c>
      <c r="AB32" s="193">
        <f t="shared" si="136"/>
        <v>0</v>
      </c>
      <c r="AC32" s="193">
        <f t="shared" si="136"/>
        <v>0</v>
      </c>
      <c r="AD32" s="193">
        <f t="shared" si="136"/>
        <v>0</v>
      </c>
      <c r="AE32" s="193">
        <f t="shared" si="136"/>
        <v>0</v>
      </c>
      <c r="AF32" s="193">
        <f t="shared" si="136"/>
        <v>0</v>
      </c>
      <c r="AG32" s="193">
        <f t="shared" si="136"/>
        <v>0</v>
      </c>
      <c r="AH32" s="193">
        <f t="shared" si="136"/>
        <v>0</v>
      </c>
      <c r="AI32" s="193">
        <f t="shared" si="136"/>
        <v>0</v>
      </c>
      <c r="AJ32" s="193">
        <f t="shared" si="136"/>
        <v>0</v>
      </c>
      <c r="AK32" s="193">
        <f t="shared" si="136"/>
        <v>0</v>
      </c>
      <c r="AL32" s="193">
        <f t="shared" si="136"/>
        <v>0</v>
      </c>
      <c r="AM32" s="193">
        <f t="shared" si="136"/>
        <v>0</v>
      </c>
      <c r="AN32" s="193">
        <f t="shared" si="136"/>
        <v>0</v>
      </c>
      <c r="AO32" s="193">
        <f t="shared" si="136"/>
        <v>0</v>
      </c>
      <c r="AP32" s="193">
        <f t="shared" si="136"/>
        <v>0</v>
      </c>
      <c r="AQ32" s="193">
        <f t="shared" si="136"/>
        <v>0</v>
      </c>
      <c r="AR32" s="193">
        <f t="shared" si="136"/>
        <v>0</v>
      </c>
      <c r="AS32" s="193">
        <f t="shared" si="136"/>
        <v>0</v>
      </c>
      <c r="AT32" s="193">
        <f t="shared" si="136"/>
        <v>0</v>
      </c>
      <c r="AU32" s="193">
        <f t="shared" si="136"/>
        <v>0</v>
      </c>
      <c r="AV32" s="193">
        <f t="shared" si="136"/>
        <v>0</v>
      </c>
      <c r="AW32" s="193">
        <f t="shared" si="136"/>
        <v>0</v>
      </c>
      <c r="AX32" s="193">
        <f t="shared" si="136"/>
        <v>0</v>
      </c>
      <c r="AY32" s="193">
        <f t="shared" si="136"/>
        <v>0</v>
      </c>
      <c r="AZ32" s="193">
        <f t="shared" si="136"/>
        <v>0</v>
      </c>
      <c r="BA32" s="193">
        <f t="shared" si="136"/>
        <v>0</v>
      </c>
      <c r="BB32" s="193">
        <f t="shared" si="136"/>
        <v>0</v>
      </c>
      <c r="BC32" s="193">
        <f t="shared" si="136"/>
        <v>0</v>
      </c>
      <c r="BD32" s="193">
        <f t="shared" si="136"/>
        <v>0</v>
      </c>
      <c r="BE32" s="193">
        <f t="shared" si="136"/>
        <v>0</v>
      </c>
      <c r="BF32" s="193">
        <f t="shared" si="136"/>
        <v>0</v>
      </c>
      <c r="BG32" s="193">
        <f t="shared" si="136"/>
        <v>0</v>
      </c>
      <c r="BH32" s="193">
        <f t="shared" si="136"/>
        <v>0</v>
      </c>
      <c r="BI32" s="193">
        <f t="shared" si="136"/>
        <v>0</v>
      </c>
      <c r="BJ32" s="193">
        <f t="shared" si="136"/>
        <v>0</v>
      </c>
      <c r="BK32" s="193">
        <f t="shared" si="136"/>
        <v>0</v>
      </c>
      <c r="BL32" s="193">
        <f t="shared" si="136"/>
        <v>0</v>
      </c>
      <c r="BM32" s="193">
        <f t="shared" si="136"/>
        <v>0</v>
      </c>
      <c r="BN32" s="193">
        <f t="shared" si="136"/>
        <v>0</v>
      </c>
      <c r="BO32" s="193">
        <f t="shared" si="136"/>
        <v>0</v>
      </c>
      <c r="BP32" s="193">
        <f t="shared" si="136"/>
        <v>0</v>
      </c>
      <c r="BQ32" s="193">
        <f t="shared" si="136"/>
        <v>0</v>
      </c>
      <c r="BR32" s="193">
        <f t="shared" si="136"/>
        <v>0</v>
      </c>
      <c r="BS32" s="193">
        <f t="shared" ref="BS32:ED32" si="137">BS31</f>
        <v>0</v>
      </c>
      <c r="BT32" s="193">
        <f t="shared" si="137"/>
        <v>0</v>
      </c>
      <c r="BU32" s="193">
        <f t="shared" si="137"/>
        <v>0</v>
      </c>
      <c r="BV32" s="193">
        <f t="shared" si="137"/>
        <v>0</v>
      </c>
      <c r="BW32" s="193">
        <f t="shared" si="137"/>
        <v>0</v>
      </c>
      <c r="BX32" s="193">
        <f t="shared" si="137"/>
        <v>0</v>
      </c>
      <c r="BY32" s="193">
        <f t="shared" si="137"/>
        <v>0</v>
      </c>
      <c r="BZ32" s="193">
        <f t="shared" si="137"/>
        <v>0</v>
      </c>
      <c r="CA32" s="193">
        <f t="shared" si="137"/>
        <v>0</v>
      </c>
      <c r="CB32" s="193">
        <f t="shared" si="137"/>
        <v>0</v>
      </c>
      <c r="CC32" s="193">
        <f t="shared" si="137"/>
        <v>0</v>
      </c>
      <c r="CD32" s="193">
        <f t="shared" si="137"/>
        <v>0</v>
      </c>
      <c r="CE32" s="193">
        <f t="shared" si="137"/>
        <v>0</v>
      </c>
      <c r="CF32" s="193">
        <f t="shared" si="137"/>
        <v>0</v>
      </c>
      <c r="CG32" s="193">
        <f t="shared" si="137"/>
        <v>0</v>
      </c>
      <c r="CH32" s="193">
        <f t="shared" si="137"/>
        <v>0</v>
      </c>
      <c r="CI32" s="193">
        <f t="shared" si="137"/>
        <v>0</v>
      </c>
      <c r="CJ32" s="193">
        <f t="shared" si="137"/>
        <v>0</v>
      </c>
      <c r="CK32" s="193">
        <f t="shared" si="137"/>
        <v>0</v>
      </c>
      <c r="CL32" s="193">
        <f t="shared" si="137"/>
        <v>0</v>
      </c>
      <c r="CM32" s="193">
        <f t="shared" si="137"/>
        <v>0</v>
      </c>
      <c r="CN32" s="193">
        <f t="shared" si="137"/>
        <v>0</v>
      </c>
      <c r="CO32" s="193">
        <f t="shared" si="137"/>
        <v>0</v>
      </c>
      <c r="CP32" s="193">
        <f t="shared" si="137"/>
        <v>0</v>
      </c>
      <c r="CQ32" s="193">
        <f t="shared" si="137"/>
        <v>0</v>
      </c>
      <c r="CR32" s="193">
        <f t="shared" si="137"/>
        <v>0</v>
      </c>
      <c r="CS32" s="193">
        <f t="shared" si="137"/>
        <v>0</v>
      </c>
      <c r="CT32" s="193">
        <f t="shared" si="137"/>
        <v>0</v>
      </c>
      <c r="CU32" s="193">
        <f t="shared" si="137"/>
        <v>0</v>
      </c>
      <c r="CV32" s="193">
        <f t="shared" si="137"/>
        <v>0</v>
      </c>
      <c r="CW32" s="193">
        <f t="shared" si="137"/>
        <v>0</v>
      </c>
      <c r="CX32" s="193">
        <f t="shared" si="137"/>
        <v>0</v>
      </c>
      <c r="CY32" s="193">
        <f t="shared" si="137"/>
        <v>0</v>
      </c>
      <c r="CZ32" s="193">
        <f t="shared" si="137"/>
        <v>0</v>
      </c>
      <c r="DA32" s="193">
        <f t="shared" si="137"/>
        <v>0</v>
      </c>
      <c r="DB32" s="193">
        <f t="shared" si="137"/>
        <v>0</v>
      </c>
      <c r="DC32" s="193">
        <f t="shared" si="137"/>
        <v>0</v>
      </c>
      <c r="DD32" s="193">
        <f t="shared" si="137"/>
        <v>0</v>
      </c>
      <c r="DE32" s="193">
        <f t="shared" si="137"/>
        <v>0</v>
      </c>
      <c r="DF32" s="193">
        <f t="shared" si="137"/>
        <v>0</v>
      </c>
      <c r="DG32" s="193">
        <f t="shared" si="137"/>
        <v>0</v>
      </c>
      <c r="DH32" s="193">
        <f t="shared" si="137"/>
        <v>0</v>
      </c>
      <c r="DI32" s="193">
        <f t="shared" si="137"/>
        <v>0</v>
      </c>
      <c r="DJ32" s="193">
        <f t="shared" si="137"/>
        <v>0</v>
      </c>
      <c r="DK32" s="193">
        <f t="shared" si="137"/>
        <v>0</v>
      </c>
      <c r="DL32" s="193">
        <f t="shared" si="137"/>
        <v>0</v>
      </c>
      <c r="DM32" s="193">
        <f t="shared" si="137"/>
        <v>0</v>
      </c>
      <c r="DN32" s="193">
        <f t="shared" si="137"/>
        <v>0</v>
      </c>
      <c r="DO32" s="193">
        <f t="shared" si="137"/>
        <v>0</v>
      </c>
      <c r="DP32" s="193">
        <f t="shared" si="137"/>
        <v>0</v>
      </c>
      <c r="DQ32" s="193">
        <f t="shared" si="137"/>
        <v>0</v>
      </c>
      <c r="DR32" s="193">
        <f t="shared" si="137"/>
        <v>0</v>
      </c>
      <c r="DS32" s="193">
        <f t="shared" si="137"/>
        <v>0</v>
      </c>
      <c r="DT32" s="193">
        <f t="shared" si="137"/>
        <v>0</v>
      </c>
      <c r="DU32" s="193">
        <f t="shared" si="137"/>
        <v>0</v>
      </c>
      <c r="DV32" s="193">
        <f t="shared" si="137"/>
        <v>0</v>
      </c>
      <c r="DW32" s="193">
        <f t="shared" si="137"/>
        <v>0</v>
      </c>
      <c r="DX32" s="193">
        <f t="shared" si="137"/>
        <v>0</v>
      </c>
      <c r="DY32" s="193">
        <f t="shared" si="137"/>
        <v>0</v>
      </c>
      <c r="DZ32" s="193">
        <f t="shared" si="137"/>
        <v>0</v>
      </c>
      <c r="EA32" s="193">
        <f t="shared" si="137"/>
        <v>0</v>
      </c>
      <c r="EB32" s="193">
        <f t="shared" si="137"/>
        <v>0</v>
      </c>
      <c r="EC32" s="193">
        <f t="shared" si="137"/>
        <v>0</v>
      </c>
      <c r="ED32" s="193">
        <f t="shared" si="137"/>
        <v>0</v>
      </c>
      <c r="EE32" s="193">
        <f t="shared" ref="EE32:GR32" si="138">EE31</f>
        <v>0</v>
      </c>
      <c r="EF32" s="193">
        <f t="shared" si="138"/>
        <v>0</v>
      </c>
      <c r="EG32" s="193">
        <f t="shared" si="138"/>
        <v>0</v>
      </c>
      <c r="EH32" s="193">
        <f t="shared" si="138"/>
        <v>0</v>
      </c>
      <c r="EI32" s="193">
        <f t="shared" si="138"/>
        <v>0</v>
      </c>
      <c r="EJ32" s="193">
        <f t="shared" si="138"/>
        <v>0</v>
      </c>
      <c r="EK32" s="193">
        <f t="shared" si="138"/>
        <v>0</v>
      </c>
      <c r="EL32" s="193">
        <f t="shared" si="138"/>
        <v>0</v>
      </c>
      <c r="EM32" s="193">
        <f t="shared" si="138"/>
        <v>0</v>
      </c>
      <c r="EN32" s="193">
        <f t="shared" si="138"/>
        <v>0</v>
      </c>
      <c r="EO32" s="193">
        <f t="shared" si="138"/>
        <v>0</v>
      </c>
      <c r="EP32" s="193">
        <f t="shared" si="138"/>
        <v>0</v>
      </c>
      <c r="EQ32" s="193">
        <f t="shared" si="138"/>
        <v>0</v>
      </c>
      <c r="ER32" s="193">
        <f t="shared" si="138"/>
        <v>0</v>
      </c>
      <c r="ES32" s="193">
        <f t="shared" si="138"/>
        <v>0</v>
      </c>
      <c r="ET32" s="193">
        <f t="shared" si="138"/>
        <v>0</v>
      </c>
      <c r="EU32" s="193">
        <f t="shared" si="138"/>
        <v>0</v>
      </c>
      <c r="EV32" s="193">
        <f t="shared" si="138"/>
        <v>0</v>
      </c>
      <c r="EW32" s="193">
        <f t="shared" si="138"/>
        <v>0</v>
      </c>
      <c r="EX32" s="193">
        <f t="shared" si="138"/>
        <v>0</v>
      </c>
      <c r="EY32" s="193">
        <f t="shared" si="138"/>
        <v>0</v>
      </c>
      <c r="EZ32" s="193">
        <f t="shared" si="138"/>
        <v>0</v>
      </c>
      <c r="FA32" s="193">
        <f t="shared" si="138"/>
        <v>0</v>
      </c>
      <c r="FB32" s="193">
        <f t="shared" si="138"/>
        <v>0</v>
      </c>
      <c r="FC32" s="193">
        <f t="shared" si="138"/>
        <v>0</v>
      </c>
      <c r="FD32" s="193">
        <f t="shared" si="138"/>
        <v>0</v>
      </c>
      <c r="FE32" s="193">
        <f t="shared" si="138"/>
        <v>0</v>
      </c>
      <c r="FF32" s="193">
        <f t="shared" si="138"/>
        <v>0</v>
      </c>
      <c r="FG32" s="193">
        <f t="shared" si="138"/>
        <v>0</v>
      </c>
      <c r="FH32" s="193">
        <f t="shared" si="138"/>
        <v>0</v>
      </c>
      <c r="FI32" s="193">
        <f t="shared" si="138"/>
        <v>0</v>
      </c>
      <c r="FJ32" s="193">
        <f t="shared" si="138"/>
        <v>0</v>
      </c>
      <c r="FK32" s="193">
        <f t="shared" si="138"/>
        <v>0</v>
      </c>
      <c r="FL32" s="193">
        <f t="shared" si="138"/>
        <v>0</v>
      </c>
      <c r="FM32" s="193">
        <f t="shared" si="138"/>
        <v>0</v>
      </c>
      <c r="FN32" s="193">
        <f t="shared" si="138"/>
        <v>0</v>
      </c>
      <c r="FO32" s="193">
        <f t="shared" si="138"/>
        <v>0</v>
      </c>
      <c r="FP32" s="193">
        <f t="shared" si="138"/>
        <v>0</v>
      </c>
      <c r="FQ32" s="193">
        <f t="shared" si="138"/>
        <v>0</v>
      </c>
      <c r="FR32" s="193">
        <f t="shared" si="138"/>
        <v>0</v>
      </c>
      <c r="FS32" s="193">
        <f t="shared" si="138"/>
        <v>0</v>
      </c>
      <c r="FT32" s="193">
        <f t="shared" si="138"/>
        <v>0</v>
      </c>
      <c r="FU32" s="193">
        <f t="shared" si="138"/>
        <v>0</v>
      </c>
      <c r="FV32" s="193">
        <f t="shared" si="138"/>
        <v>0</v>
      </c>
      <c r="FW32" s="193">
        <f t="shared" si="138"/>
        <v>0</v>
      </c>
      <c r="FX32" s="193">
        <f t="shared" si="138"/>
        <v>0</v>
      </c>
      <c r="FY32" s="193">
        <f t="shared" si="138"/>
        <v>0</v>
      </c>
      <c r="FZ32" s="193">
        <f t="shared" si="138"/>
        <v>0</v>
      </c>
      <c r="GA32" s="193">
        <f t="shared" si="138"/>
        <v>0</v>
      </c>
      <c r="GB32" s="193">
        <f t="shared" si="138"/>
        <v>0</v>
      </c>
      <c r="GC32" s="193"/>
      <c r="GD32" s="193"/>
      <c r="GE32" s="193">
        <f t="shared" si="138"/>
        <v>0</v>
      </c>
      <c r="GF32" s="193">
        <f t="shared" si="138"/>
        <v>0</v>
      </c>
      <c r="GG32" s="193">
        <f t="shared" si="138"/>
        <v>0</v>
      </c>
      <c r="GH32" s="193">
        <f t="shared" si="138"/>
        <v>0</v>
      </c>
      <c r="GI32" s="193">
        <f t="shared" si="138"/>
        <v>0</v>
      </c>
      <c r="GJ32" s="193">
        <f t="shared" si="138"/>
        <v>0</v>
      </c>
      <c r="GK32" s="193">
        <f t="shared" si="138"/>
        <v>0</v>
      </c>
      <c r="GL32" s="193">
        <f t="shared" si="138"/>
        <v>0</v>
      </c>
      <c r="GM32" s="193">
        <f t="shared" si="138"/>
        <v>0</v>
      </c>
      <c r="GN32" s="193">
        <f t="shared" si="138"/>
        <v>0</v>
      </c>
      <c r="GO32" s="193">
        <f t="shared" si="138"/>
        <v>0</v>
      </c>
      <c r="GP32" s="193">
        <f t="shared" si="138"/>
        <v>0</v>
      </c>
      <c r="GQ32" s="193">
        <f t="shared" si="138"/>
        <v>0</v>
      </c>
      <c r="GR32" s="193">
        <f t="shared" si="138"/>
        <v>0</v>
      </c>
      <c r="GS32" s="193">
        <f t="shared" ref="GS32:JD32" si="139">GS31</f>
        <v>0</v>
      </c>
      <c r="GT32" s="193">
        <f t="shared" si="139"/>
        <v>0</v>
      </c>
      <c r="GU32" s="193">
        <f t="shared" si="139"/>
        <v>0</v>
      </c>
      <c r="GV32" s="193">
        <f t="shared" si="139"/>
        <v>0</v>
      </c>
      <c r="GW32" s="193">
        <f t="shared" si="139"/>
        <v>0</v>
      </c>
      <c r="GX32" s="193">
        <f t="shared" si="139"/>
        <v>0</v>
      </c>
      <c r="GY32" s="193">
        <f t="shared" si="139"/>
        <v>0</v>
      </c>
      <c r="GZ32" s="193">
        <f t="shared" si="139"/>
        <v>0</v>
      </c>
      <c r="HA32" s="193">
        <f t="shared" si="139"/>
        <v>0</v>
      </c>
      <c r="HB32" s="193">
        <f t="shared" si="139"/>
        <v>0</v>
      </c>
      <c r="HC32" s="193">
        <f t="shared" si="139"/>
        <v>0</v>
      </c>
      <c r="HD32" s="193">
        <f t="shared" si="139"/>
        <v>0</v>
      </c>
      <c r="HE32" s="193">
        <f t="shared" si="139"/>
        <v>0</v>
      </c>
      <c r="HF32" s="193">
        <f t="shared" si="139"/>
        <v>0</v>
      </c>
      <c r="HG32" s="193">
        <f t="shared" si="139"/>
        <v>0</v>
      </c>
      <c r="HH32" s="193">
        <f t="shared" si="139"/>
        <v>0</v>
      </c>
      <c r="HI32" s="193">
        <f t="shared" si="139"/>
        <v>0</v>
      </c>
      <c r="HJ32" s="193">
        <f t="shared" si="139"/>
        <v>0</v>
      </c>
      <c r="HK32" s="193">
        <f t="shared" si="139"/>
        <v>0</v>
      </c>
      <c r="HL32" s="193">
        <f t="shared" si="139"/>
        <v>0</v>
      </c>
      <c r="HM32" s="193">
        <f t="shared" si="139"/>
        <v>0</v>
      </c>
      <c r="HN32" s="193">
        <f t="shared" si="139"/>
        <v>0</v>
      </c>
      <c r="HO32" s="193">
        <f t="shared" si="139"/>
        <v>0</v>
      </c>
      <c r="HP32" s="193">
        <f t="shared" si="139"/>
        <v>0</v>
      </c>
      <c r="HQ32" s="193">
        <f t="shared" si="139"/>
        <v>0</v>
      </c>
      <c r="HR32" s="193">
        <f t="shared" si="139"/>
        <v>0</v>
      </c>
      <c r="HS32" s="193">
        <f t="shared" si="139"/>
        <v>0</v>
      </c>
      <c r="HT32" s="193">
        <f t="shared" si="139"/>
        <v>0</v>
      </c>
      <c r="HU32" s="193">
        <f t="shared" si="139"/>
        <v>0</v>
      </c>
      <c r="HV32" s="193">
        <f t="shared" si="139"/>
        <v>0</v>
      </c>
      <c r="HW32" s="193">
        <f t="shared" si="139"/>
        <v>0</v>
      </c>
      <c r="HX32" s="193">
        <f t="shared" si="139"/>
        <v>0</v>
      </c>
      <c r="HY32" s="193">
        <f t="shared" si="139"/>
        <v>0</v>
      </c>
      <c r="HZ32" s="193">
        <f t="shared" si="139"/>
        <v>0</v>
      </c>
      <c r="IA32" s="193">
        <f t="shared" si="139"/>
        <v>0</v>
      </c>
      <c r="IB32" s="193">
        <f t="shared" si="139"/>
        <v>0</v>
      </c>
      <c r="IC32" s="193">
        <f t="shared" si="139"/>
        <v>0</v>
      </c>
      <c r="ID32" s="193">
        <f t="shared" si="139"/>
        <v>0</v>
      </c>
      <c r="IE32" s="193">
        <f t="shared" si="139"/>
        <v>0</v>
      </c>
      <c r="IF32" s="193">
        <f t="shared" si="139"/>
        <v>0</v>
      </c>
      <c r="IG32" s="193">
        <f t="shared" si="139"/>
        <v>0</v>
      </c>
      <c r="IH32" s="193">
        <f t="shared" si="139"/>
        <v>0</v>
      </c>
      <c r="II32" s="193">
        <f t="shared" si="139"/>
        <v>0</v>
      </c>
      <c r="IJ32" s="193">
        <f t="shared" si="139"/>
        <v>0</v>
      </c>
      <c r="IK32" s="193">
        <f t="shared" si="139"/>
        <v>0</v>
      </c>
      <c r="IL32" s="193">
        <f t="shared" si="139"/>
        <v>0</v>
      </c>
      <c r="IM32" s="193">
        <f t="shared" si="139"/>
        <v>0</v>
      </c>
      <c r="IN32" s="193">
        <f t="shared" si="139"/>
        <v>0</v>
      </c>
      <c r="IO32" s="193">
        <f t="shared" si="139"/>
        <v>0</v>
      </c>
      <c r="IP32" s="193">
        <f t="shared" si="139"/>
        <v>0</v>
      </c>
      <c r="IQ32" s="193">
        <f t="shared" si="139"/>
        <v>0</v>
      </c>
      <c r="IR32" s="193">
        <f t="shared" si="139"/>
        <v>0</v>
      </c>
      <c r="IS32" s="193">
        <f t="shared" si="139"/>
        <v>0</v>
      </c>
      <c r="IT32" s="193">
        <f t="shared" si="139"/>
        <v>0</v>
      </c>
      <c r="IU32" s="193">
        <f t="shared" si="139"/>
        <v>0</v>
      </c>
      <c r="IV32" s="193">
        <f t="shared" si="139"/>
        <v>0</v>
      </c>
      <c r="IW32" s="193">
        <f t="shared" si="139"/>
        <v>0</v>
      </c>
      <c r="IX32" s="193">
        <f t="shared" si="139"/>
        <v>0</v>
      </c>
      <c r="IY32" s="193">
        <f t="shared" si="139"/>
        <v>0</v>
      </c>
      <c r="IZ32" s="193">
        <f t="shared" si="139"/>
        <v>0</v>
      </c>
      <c r="JA32" s="193">
        <f t="shared" si="139"/>
        <v>0</v>
      </c>
      <c r="JB32" s="193">
        <f t="shared" si="139"/>
        <v>0</v>
      </c>
      <c r="JC32" s="193">
        <f t="shared" si="139"/>
        <v>0</v>
      </c>
      <c r="JD32" s="193">
        <f t="shared" si="139"/>
        <v>0</v>
      </c>
      <c r="JE32" s="193">
        <f t="shared" ref="JE32:LN32" si="140">JE31</f>
        <v>0</v>
      </c>
      <c r="JF32" s="193">
        <f t="shared" si="140"/>
        <v>0</v>
      </c>
      <c r="JG32" s="193">
        <f t="shared" si="140"/>
        <v>0</v>
      </c>
      <c r="JH32" s="193">
        <f t="shared" si="140"/>
        <v>0</v>
      </c>
      <c r="JI32" s="193">
        <f t="shared" si="140"/>
        <v>0</v>
      </c>
      <c r="JJ32" s="193">
        <f t="shared" si="140"/>
        <v>0</v>
      </c>
      <c r="JK32" s="193">
        <f t="shared" si="140"/>
        <v>0</v>
      </c>
      <c r="JL32" s="193">
        <f t="shared" si="140"/>
        <v>0</v>
      </c>
      <c r="JM32" s="193">
        <f t="shared" si="140"/>
        <v>0</v>
      </c>
      <c r="JN32" s="193">
        <f t="shared" si="140"/>
        <v>0</v>
      </c>
      <c r="JO32" s="193">
        <f t="shared" si="140"/>
        <v>0</v>
      </c>
      <c r="JP32" s="193">
        <f t="shared" si="140"/>
        <v>0</v>
      </c>
      <c r="JQ32" s="193">
        <f t="shared" si="140"/>
        <v>0</v>
      </c>
      <c r="JR32" s="193">
        <f t="shared" si="140"/>
        <v>0</v>
      </c>
      <c r="JS32" s="193">
        <f t="shared" si="140"/>
        <v>0</v>
      </c>
      <c r="JT32" s="193">
        <f t="shared" si="140"/>
        <v>0</v>
      </c>
      <c r="JU32" s="193">
        <f t="shared" si="140"/>
        <v>0</v>
      </c>
      <c r="JV32" s="193">
        <f t="shared" si="140"/>
        <v>0</v>
      </c>
      <c r="JW32" s="193">
        <f t="shared" si="140"/>
        <v>0</v>
      </c>
      <c r="JX32" s="193">
        <f t="shared" si="140"/>
        <v>0</v>
      </c>
      <c r="JY32" s="193">
        <f t="shared" si="140"/>
        <v>0</v>
      </c>
      <c r="JZ32" s="193">
        <f t="shared" si="140"/>
        <v>0</v>
      </c>
      <c r="KA32" s="193">
        <f t="shared" si="140"/>
        <v>0</v>
      </c>
      <c r="KB32" s="193">
        <f t="shared" si="140"/>
        <v>0</v>
      </c>
      <c r="KC32" s="193">
        <f t="shared" si="140"/>
        <v>0</v>
      </c>
      <c r="KD32" s="193">
        <f t="shared" si="140"/>
        <v>0</v>
      </c>
      <c r="KE32" s="193">
        <f t="shared" si="140"/>
        <v>0</v>
      </c>
      <c r="KF32" s="193">
        <f t="shared" si="140"/>
        <v>0</v>
      </c>
      <c r="KG32" s="193">
        <f t="shared" si="140"/>
        <v>0</v>
      </c>
      <c r="KH32" s="193">
        <f t="shared" si="140"/>
        <v>0</v>
      </c>
      <c r="KI32" s="193">
        <f t="shared" si="140"/>
        <v>0</v>
      </c>
      <c r="KJ32" s="193">
        <f t="shared" si="140"/>
        <v>0</v>
      </c>
      <c r="KK32" s="193">
        <f t="shared" si="140"/>
        <v>0</v>
      </c>
      <c r="KL32" s="193">
        <f t="shared" si="140"/>
        <v>0</v>
      </c>
      <c r="KM32" s="193">
        <f t="shared" si="140"/>
        <v>0</v>
      </c>
      <c r="KN32" s="193">
        <f t="shared" si="140"/>
        <v>0</v>
      </c>
      <c r="KO32" s="193">
        <f t="shared" si="140"/>
        <v>0</v>
      </c>
      <c r="KP32" s="193">
        <f t="shared" si="140"/>
        <v>0</v>
      </c>
      <c r="KQ32" s="193">
        <f t="shared" si="140"/>
        <v>0</v>
      </c>
      <c r="KR32" s="193">
        <f t="shared" si="140"/>
        <v>0</v>
      </c>
      <c r="KS32" s="193">
        <f t="shared" si="140"/>
        <v>0</v>
      </c>
      <c r="KT32" s="193">
        <f t="shared" si="140"/>
        <v>0</v>
      </c>
      <c r="KU32" s="193">
        <f t="shared" si="140"/>
        <v>0</v>
      </c>
      <c r="KV32" s="193">
        <f t="shared" si="140"/>
        <v>0</v>
      </c>
      <c r="KW32" s="193">
        <f t="shared" si="140"/>
        <v>0</v>
      </c>
      <c r="KX32" s="193">
        <f t="shared" si="140"/>
        <v>0</v>
      </c>
      <c r="KY32" s="193">
        <f t="shared" si="140"/>
        <v>0</v>
      </c>
      <c r="KZ32" s="193">
        <f t="shared" si="140"/>
        <v>0</v>
      </c>
      <c r="LA32" s="193">
        <f t="shared" si="140"/>
        <v>0</v>
      </c>
      <c r="LB32" s="193">
        <f t="shared" si="140"/>
        <v>0</v>
      </c>
      <c r="LC32" s="193">
        <f t="shared" si="140"/>
        <v>0</v>
      </c>
      <c r="LD32" s="193">
        <f t="shared" si="140"/>
        <v>0</v>
      </c>
      <c r="LE32" s="193">
        <f t="shared" si="140"/>
        <v>0</v>
      </c>
      <c r="LF32" s="193">
        <f t="shared" si="140"/>
        <v>0</v>
      </c>
      <c r="LG32" s="193">
        <f t="shared" si="140"/>
        <v>0</v>
      </c>
      <c r="LH32" s="193">
        <f t="shared" si="140"/>
        <v>0</v>
      </c>
      <c r="LI32" s="193">
        <f t="shared" si="140"/>
        <v>0</v>
      </c>
      <c r="LJ32" s="193">
        <f t="shared" si="140"/>
        <v>0</v>
      </c>
      <c r="LK32" s="193">
        <f t="shared" si="140"/>
        <v>0</v>
      </c>
      <c r="LL32" s="193">
        <f t="shared" si="140"/>
        <v>0</v>
      </c>
      <c r="LM32" s="193">
        <f t="shared" si="140"/>
        <v>0</v>
      </c>
      <c r="LN32" s="193">
        <f t="shared" si="140"/>
        <v>0</v>
      </c>
      <c r="LO32" s="193">
        <f t="shared" ref="LO32:LP32" si="141">LO31</f>
        <v>0</v>
      </c>
      <c r="LP32" s="193">
        <f t="shared" si="141"/>
        <v>0</v>
      </c>
      <c r="LQ32" s="193">
        <f t="shared" ref="LQ32:LW32" si="142">LQ31</f>
        <v>0</v>
      </c>
      <c r="LR32" s="193">
        <f t="shared" si="142"/>
        <v>0</v>
      </c>
      <c r="LS32" s="193">
        <f t="shared" si="142"/>
        <v>0</v>
      </c>
      <c r="LT32" s="193">
        <f t="shared" si="142"/>
        <v>0</v>
      </c>
      <c r="LU32" s="193">
        <f t="shared" si="142"/>
        <v>0</v>
      </c>
      <c r="LV32" s="193">
        <f t="shared" si="142"/>
        <v>0</v>
      </c>
      <c r="LW32" s="193">
        <f t="shared" si="142"/>
        <v>0</v>
      </c>
      <c r="LX32" s="193">
        <f t="shared" ref="LX32:MY32" si="143">LX31</f>
        <v>0</v>
      </c>
      <c r="LY32" s="193">
        <f t="shared" ref="LY32:MB32" si="144">LY31</f>
        <v>0</v>
      </c>
      <c r="LZ32" s="193">
        <f t="shared" si="144"/>
        <v>0</v>
      </c>
      <c r="MA32" s="193">
        <f t="shared" si="144"/>
        <v>0</v>
      </c>
      <c r="MB32" s="193">
        <f t="shared" si="144"/>
        <v>0</v>
      </c>
      <c r="MC32" s="193">
        <f t="shared" si="143"/>
        <v>0</v>
      </c>
      <c r="MD32" s="193">
        <f t="shared" si="143"/>
        <v>0</v>
      </c>
      <c r="ME32" s="193">
        <f t="shared" si="143"/>
        <v>0</v>
      </c>
      <c r="MF32" s="193">
        <f t="shared" si="143"/>
        <v>0</v>
      </c>
      <c r="MG32" s="193">
        <f t="shared" si="143"/>
        <v>0</v>
      </c>
      <c r="MH32" s="193">
        <f t="shared" si="143"/>
        <v>0</v>
      </c>
      <c r="MI32" s="193">
        <f t="shared" si="143"/>
        <v>0</v>
      </c>
      <c r="MJ32" s="193">
        <f t="shared" si="143"/>
        <v>0</v>
      </c>
      <c r="MK32" s="193">
        <f t="shared" si="143"/>
        <v>0</v>
      </c>
      <c r="ML32" s="193">
        <f t="shared" si="143"/>
        <v>0</v>
      </c>
      <c r="MM32" s="193">
        <f t="shared" si="143"/>
        <v>0</v>
      </c>
      <c r="MN32" s="193">
        <f t="shared" si="143"/>
        <v>0</v>
      </c>
      <c r="MO32" s="193">
        <f t="shared" si="143"/>
        <v>0</v>
      </c>
      <c r="MP32" s="193">
        <f t="shared" si="143"/>
        <v>0</v>
      </c>
      <c r="MQ32" s="193">
        <f t="shared" si="143"/>
        <v>0</v>
      </c>
      <c r="MR32" s="193">
        <f t="shared" si="143"/>
        <v>0</v>
      </c>
      <c r="MS32" s="193">
        <f t="shared" si="143"/>
        <v>0</v>
      </c>
      <c r="MT32" s="193">
        <f t="shared" si="143"/>
        <v>0</v>
      </c>
      <c r="MU32" s="193">
        <f t="shared" si="143"/>
        <v>0</v>
      </c>
      <c r="MV32" s="193">
        <f t="shared" si="143"/>
        <v>0</v>
      </c>
      <c r="MW32" s="193">
        <f t="shared" si="143"/>
        <v>0</v>
      </c>
      <c r="MX32" s="193">
        <f t="shared" si="143"/>
        <v>0</v>
      </c>
      <c r="MY32" s="193">
        <f t="shared" si="143"/>
        <v>0</v>
      </c>
      <c r="MZ32" s="193">
        <f t="shared" ref="MZ32:PJ32" si="145">MZ31</f>
        <v>0</v>
      </c>
      <c r="NA32" s="193">
        <f t="shared" si="145"/>
        <v>0</v>
      </c>
      <c r="NB32" s="193">
        <f t="shared" ref="NB32" si="146">NB31</f>
        <v>0</v>
      </c>
      <c r="NC32" s="193">
        <f t="shared" si="145"/>
        <v>0</v>
      </c>
      <c r="ND32" s="193">
        <f t="shared" si="145"/>
        <v>0</v>
      </c>
      <c r="NE32" s="193">
        <f t="shared" si="145"/>
        <v>0</v>
      </c>
      <c r="NF32" s="193">
        <f t="shared" si="145"/>
        <v>0</v>
      </c>
      <c r="NG32" s="193">
        <f t="shared" si="145"/>
        <v>0</v>
      </c>
      <c r="NH32" s="193">
        <f t="shared" si="145"/>
        <v>0</v>
      </c>
      <c r="NI32" s="193">
        <f>NI31</f>
        <v>0</v>
      </c>
      <c r="NJ32" s="193">
        <f>NJ31</f>
        <v>0</v>
      </c>
      <c r="NK32" s="193">
        <f t="shared" si="145"/>
        <v>0</v>
      </c>
      <c r="NL32" s="193">
        <f t="shared" si="145"/>
        <v>0</v>
      </c>
      <c r="NM32" s="193">
        <f t="shared" si="145"/>
        <v>0</v>
      </c>
      <c r="NN32" s="193">
        <f t="shared" si="145"/>
        <v>0</v>
      </c>
      <c r="NO32" s="193">
        <f t="shared" si="145"/>
        <v>0</v>
      </c>
      <c r="NP32" s="193">
        <f t="shared" si="145"/>
        <v>0</v>
      </c>
      <c r="NQ32" s="193">
        <f t="shared" si="145"/>
        <v>0</v>
      </c>
      <c r="NR32" s="193">
        <f t="shared" si="145"/>
        <v>0</v>
      </c>
      <c r="NS32" s="193">
        <f t="shared" si="145"/>
        <v>0</v>
      </c>
      <c r="NT32" s="193">
        <f t="shared" si="145"/>
        <v>0</v>
      </c>
      <c r="NU32" s="193">
        <f t="shared" si="145"/>
        <v>0</v>
      </c>
      <c r="NV32" s="193">
        <f t="shared" si="145"/>
        <v>0</v>
      </c>
      <c r="NW32" s="193">
        <f t="shared" si="145"/>
        <v>0</v>
      </c>
      <c r="NX32" s="193">
        <f t="shared" si="145"/>
        <v>0</v>
      </c>
      <c r="NY32" s="193">
        <f t="shared" si="145"/>
        <v>0</v>
      </c>
      <c r="NZ32" s="193">
        <f t="shared" si="145"/>
        <v>0</v>
      </c>
      <c r="OA32" s="193">
        <f t="shared" si="145"/>
        <v>0</v>
      </c>
      <c r="OB32" s="193">
        <f t="shared" si="145"/>
        <v>0</v>
      </c>
      <c r="OC32" s="193">
        <f t="shared" si="145"/>
        <v>0</v>
      </c>
      <c r="OD32" s="193">
        <f t="shared" si="145"/>
        <v>0</v>
      </c>
      <c r="OE32" s="193">
        <f t="shared" si="145"/>
        <v>0</v>
      </c>
      <c r="OF32" s="193">
        <f t="shared" si="145"/>
        <v>0</v>
      </c>
      <c r="OG32" s="193">
        <f t="shared" si="145"/>
        <v>0</v>
      </c>
      <c r="OH32" s="193">
        <f t="shared" si="145"/>
        <v>0</v>
      </c>
      <c r="OI32" s="193">
        <f t="shared" ref="OI32:OT32" si="147">OI31</f>
        <v>0</v>
      </c>
      <c r="OJ32" s="193">
        <f t="shared" si="147"/>
        <v>0</v>
      </c>
      <c r="OK32" s="193">
        <f t="shared" si="147"/>
        <v>0</v>
      </c>
      <c r="OL32" s="193">
        <f t="shared" si="147"/>
        <v>0</v>
      </c>
      <c r="OM32" s="193">
        <f t="shared" si="147"/>
        <v>0</v>
      </c>
      <c r="ON32" s="193">
        <f t="shared" si="147"/>
        <v>0</v>
      </c>
      <c r="OO32" s="193">
        <f t="shared" si="147"/>
        <v>0</v>
      </c>
      <c r="OP32" s="193">
        <f t="shared" si="147"/>
        <v>0</v>
      </c>
      <c r="OQ32" s="193">
        <f t="shared" si="147"/>
        <v>0</v>
      </c>
      <c r="OR32" s="193">
        <f t="shared" si="147"/>
        <v>0</v>
      </c>
      <c r="OS32" s="193">
        <f t="shared" si="147"/>
        <v>0</v>
      </c>
      <c r="OT32" s="193">
        <f t="shared" si="147"/>
        <v>0</v>
      </c>
      <c r="OU32" s="193">
        <f t="shared" si="145"/>
        <v>0</v>
      </c>
      <c r="OV32" s="193">
        <f t="shared" si="145"/>
        <v>0</v>
      </c>
      <c r="OW32" s="193"/>
      <c r="OX32" s="193"/>
      <c r="OY32" s="193"/>
      <c r="OZ32" s="193">
        <f t="shared" ref="OZ32:PA32" si="148">OZ31</f>
        <v>0</v>
      </c>
      <c r="PA32" s="193">
        <f t="shared" si="148"/>
        <v>0</v>
      </c>
      <c r="PB32" s="193">
        <f t="shared" si="145"/>
        <v>0</v>
      </c>
      <c r="PC32" s="193">
        <f t="shared" si="145"/>
        <v>0</v>
      </c>
      <c r="PD32" s="193">
        <f t="shared" si="145"/>
        <v>0</v>
      </c>
      <c r="PE32" s="193">
        <f t="shared" ref="PE32:PI32" si="149">PE31</f>
        <v>0</v>
      </c>
      <c r="PF32" s="193">
        <f t="shared" si="149"/>
        <v>0</v>
      </c>
      <c r="PG32" s="193">
        <f t="shared" si="149"/>
        <v>0</v>
      </c>
      <c r="PH32" s="193">
        <f t="shared" si="149"/>
        <v>0</v>
      </c>
      <c r="PI32" s="193">
        <f t="shared" si="149"/>
        <v>0</v>
      </c>
      <c r="PJ32" s="193">
        <f t="shared" si="145"/>
        <v>0</v>
      </c>
      <c r="PK32" s="193">
        <f t="shared" ref="PK32:QJ32" si="150">PK31</f>
        <v>0</v>
      </c>
      <c r="PL32" s="193">
        <f t="shared" si="150"/>
        <v>0</v>
      </c>
      <c r="PM32" s="193">
        <f t="shared" si="150"/>
        <v>0</v>
      </c>
      <c r="PN32" s="193">
        <f t="shared" si="150"/>
        <v>0</v>
      </c>
      <c r="PO32" s="193">
        <f t="shared" si="150"/>
        <v>0</v>
      </c>
      <c r="PP32" s="193">
        <f t="shared" si="150"/>
        <v>0</v>
      </c>
      <c r="PQ32" s="193">
        <f t="shared" si="150"/>
        <v>0</v>
      </c>
      <c r="PR32" s="193">
        <f t="shared" si="150"/>
        <v>0</v>
      </c>
      <c r="PS32" s="193">
        <f t="shared" si="150"/>
        <v>0</v>
      </c>
      <c r="PT32" s="193">
        <f t="shared" si="150"/>
        <v>0</v>
      </c>
      <c r="PU32" s="193">
        <f t="shared" si="150"/>
        <v>0</v>
      </c>
      <c r="PV32" s="193">
        <f>PV31</f>
        <v>0</v>
      </c>
      <c r="PW32" s="193">
        <f t="shared" ref="PW32:QA32" si="151">PW31</f>
        <v>0</v>
      </c>
      <c r="PX32" s="193">
        <f t="shared" si="151"/>
        <v>0</v>
      </c>
      <c r="PY32" s="193">
        <f t="shared" si="151"/>
        <v>0</v>
      </c>
      <c r="PZ32" s="193">
        <f t="shared" si="151"/>
        <v>0</v>
      </c>
      <c r="QA32" s="193">
        <f t="shared" si="151"/>
        <v>0</v>
      </c>
      <c r="QB32" s="193">
        <f t="shared" ref="QB32:QH32" si="152">QB31</f>
        <v>0</v>
      </c>
      <c r="QC32" s="193">
        <f t="shared" si="152"/>
        <v>0</v>
      </c>
      <c r="QD32" s="193">
        <f t="shared" si="152"/>
        <v>0</v>
      </c>
      <c r="QE32" s="193">
        <f t="shared" si="152"/>
        <v>0</v>
      </c>
      <c r="QF32" s="193">
        <f t="shared" si="152"/>
        <v>0</v>
      </c>
      <c r="QG32" s="193">
        <f t="shared" si="152"/>
        <v>0</v>
      </c>
      <c r="QH32" s="193">
        <f t="shared" si="152"/>
        <v>0</v>
      </c>
      <c r="QI32" s="193">
        <f t="shared" si="150"/>
        <v>0</v>
      </c>
      <c r="QJ32" s="193">
        <f t="shared" si="150"/>
        <v>0</v>
      </c>
      <c r="QK32" s="193">
        <f t="shared" ref="QK32:RE32" si="153">QK31</f>
        <v>0</v>
      </c>
      <c r="QL32" s="193">
        <f t="shared" si="153"/>
        <v>0</v>
      </c>
      <c r="QM32" s="193">
        <f t="shared" si="153"/>
        <v>0</v>
      </c>
      <c r="QN32" s="193">
        <f t="shared" si="153"/>
        <v>0</v>
      </c>
      <c r="QO32" s="193"/>
      <c r="QP32" s="193"/>
      <c r="QQ32" s="193"/>
      <c r="QR32" s="193"/>
      <c r="QS32" s="193"/>
      <c r="QT32" s="193"/>
      <c r="QU32" s="193"/>
      <c r="QV32" s="193"/>
      <c r="QW32" s="193"/>
      <c r="QX32" s="193"/>
      <c r="QY32" s="193"/>
      <c r="QZ32" s="193"/>
      <c r="RA32" s="193"/>
      <c r="RB32" s="193">
        <f>RB31</f>
        <v>0</v>
      </c>
      <c r="RC32" s="193">
        <f>RC31</f>
        <v>0</v>
      </c>
      <c r="RD32" s="193">
        <f t="shared" si="153"/>
        <v>0</v>
      </c>
      <c r="RE32" s="193">
        <f t="shared" si="153"/>
        <v>0</v>
      </c>
      <c r="RF32" s="193">
        <f t="shared" ref="RF32:RN32" si="154">RF31</f>
        <v>0</v>
      </c>
      <c r="RG32" s="193">
        <f t="shared" si="154"/>
        <v>0</v>
      </c>
      <c r="RH32" s="193">
        <f t="shared" si="154"/>
        <v>0</v>
      </c>
      <c r="RI32" s="193">
        <f t="shared" si="154"/>
        <v>0</v>
      </c>
      <c r="RJ32" s="193">
        <f t="shared" si="154"/>
        <v>0</v>
      </c>
      <c r="RK32" s="193">
        <f t="shared" si="154"/>
        <v>0</v>
      </c>
      <c r="RL32" s="193">
        <f t="shared" si="154"/>
        <v>0</v>
      </c>
      <c r="RM32" s="193">
        <f t="shared" si="154"/>
        <v>0</v>
      </c>
      <c r="RN32" s="193">
        <f t="shared" si="154"/>
        <v>0</v>
      </c>
      <c r="RO32" s="193"/>
      <c r="RP32" s="193"/>
      <c r="RQ32" s="193"/>
      <c r="RR32" s="193"/>
      <c r="RS32" s="193"/>
      <c r="RT32" s="193"/>
      <c r="RU32" s="193">
        <f t="shared" ref="RU32" si="155">RU31</f>
        <v>0</v>
      </c>
      <c r="RV32" s="193"/>
      <c r="RW32" s="193">
        <f>RW31</f>
        <v>0</v>
      </c>
      <c r="RX32" s="193"/>
      <c r="RY32" s="193">
        <f>RY31</f>
        <v>0</v>
      </c>
      <c r="RZ32" s="193"/>
      <c r="SA32" s="193">
        <f t="shared" ref="SA32:SG32" si="156">SA31</f>
        <v>0</v>
      </c>
      <c r="SB32" s="193">
        <f t="shared" si="156"/>
        <v>0</v>
      </c>
      <c r="SC32" s="193">
        <f t="shared" si="156"/>
        <v>0</v>
      </c>
      <c r="SD32" s="193">
        <f t="shared" si="156"/>
        <v>0</v>
      </c>
      <c r="SE32" s="193">
        <f t="shared" si="156"/>
        <v>0</v>
      </c>
      <c r="SF32" s="193">
        <f t="shared" si="156"/>
        <v>0</v>
      </c>
      <c r="SG32" s="193">
        <f t="shared" si="156"/>
        <v>0</v>
      </c>
      <c r="SH32" s="193"/>
      <c r="SI32" s="193">
        <f t="shared" ref="SI32:SN32" si="157">SI31</f>
        <v>0</v>
      </c>
      <c r="SJ32" s="193">
        <f t="shared" si="157"/>
        <v>0</v>
      </c>
      <c r="SK32" s="193">
        <f t="shared" si="157"/>
        <v>0</v>
      </c>
      <c r="SL32" s="193">
        <f t="shared" si="157"/>
        <v>0</v>
      </c>
      <c r="SM32" s="193">
        <f t="shared" si="157"/>
        <v>0</v>
      </c>
      <c r="SN32" s="193">
        <f t="shared" si="157"/>
        <v>0</v>
      </c>
      <c r="SO32" s="193">
        <f t="shared" ref="SO32:SP32" si="158">SO31</f>
        <v>0</v>
      </c>
      <c r="SP32" s="193">
        <f t="shared" si="158"/>
        <v>0</v>
      </c>
      <c r="SQ32" s="193"/>
      <c r="SR32" s="193"/>
      <c r="SS32" s="195"/>
    </row>
    <row r="33" spans="1:513" s="171" customFormat="1" ht="18" customHeight="1">
      <c r="A33" s="168"/>
      <c r="B33" s="168"/>
      <c r="C33" s="168"/>
      <c r="D33" s="168"/>
      <c r="E33" s="168" t="s">
        <v>493</v>
      </c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8">
        <v>100</v>
      </c>
      <c r="W33" s="168">
        <v>10</v>
      </c>
      <c r="X33" s="168">
        <v>100</v>
      </c>
      <c r="Y33" s="168">
        <v>15</v>
      </c>
      <c r="Z33" s="168">
        <v>100</v>
      </c>
      <c r="AA33" s="168">
        <v>7</v>
      </c>
      <c r="AB33" s="168">
        <v>100</v>
      </c>
      <c r="AC33" s="168">
        <v>8</v>
      </c>
      <c r="AD33" s="168">
        <v>38</v>
      </c>
      <c r="AE33" s="168"/>
      <c r="AF33" s="168">
        <f t="shared" ref="AF33:AG33" si="159">AD33+AB33+Z33+X33+V33</f>
        <v>438</v>
      </c>
      <c r="AG33" s="168">
        <f t="shared" si="159"/>
        <v>40</v>
      </c>
      <c r="AH33" s="168">
        <f t="shared" ref="AH33" si="160">AG33+AF33</f>
        <v>478</v>
      </c>
      <c r="AI33" s="168">
        <v>100</v>
      </c>
      <c r="AJ33" s="168">
        <v>10</v>
      </c>
      <c r="AK33" s="168">
        <v>100</v>
      </c>
      <c r="AL33" s="168">
        <v>15</v>
      </c>
      <c r="AM33" s="168">
        <v>100</v>
      </c>
      <c r="AN33" s="168">
        <v>7</v>
      </c>
      <c r="AO33" s="168">
        <v>100</v>
      </c>
      <c r="AP33" s="168">
        <v>8</v>
      </c>
      <c r="AQ33" s="168">
        <v>38</v>
      </c>
      <c r="AR33" s="168"/>
      <c r="AS33" s="168">
        <f t="shared" ref="AS33" si="161">AQ33+AO33+AM33+AK33+AI33</f>
        <v>438</v>
      </c>
      <c r="AT33" s="168">
        <f t="shared" ref="AT33" si="162">AR33+AP33+AN33+AL33+AJ33</f>
        <v>40</v>
      </c>
      <c r="AU33" s="168">
        <f t="shared" ref="AU33" si="163">AT33+AS33</f>
        <v>478</v>
      </c>
      <c r="AV33" s="168">
        <v>9</v>
      </c>
      <c r="AW33" s="168"/>
      <c r="AX33" s="168">
        <v>3</v>
      </c>
      <c r="AY33" s="168"/>
      <c r="AZ33" s="168"/>
      <c r="BA33" s="168"/>
      <c r="BB33" s="168"/>
      <c r="BC33" s="168"/>
      <c r="BD33" s="168"/>
      <c r="BE33" s="168"/>
      <c r="BF33" s="168">
        <f t="shared" ref="BF33" si="164">BD33+BB33+AZ33+AX33+AV33</f>
        <v>12</v>
      </c>
      <c r="BG33" s="168">
        <f t="shared" ref="BG33" si="165">BE33+BC33+BA33+AY33+AW33</f>
        <v>0</v>
      </c>
      <c r="BH33" s="168">
        <f t="shared" ref="BH33" si="166">BG33+BF33</f>
        <v>12</v>
      </c>
      <c r="BI33" s="168">
        <v>10</v>
      </c>
      <c r="BJ33" s="168"/>
      <c r="BK33" s="168">
        <v>10</v>
      </c>
      <c r="BL33" s="168"/>
      <c r="BM33" s="168"/>
      <c r="BN33" s="168"/>
      <c r="BO33" s="168"/>
      <c r="BP33" s="168"/>
      <c r="BQ33" s="168"/>
      <c r="BR33" s="168"/>
      <c r="BS33" s="168">
        <f t="shared" ref="BS33" si="167">BQ33+BO33+BM33+BK33+BI33</f>
        <v>20</v>
      </c>
      <c r="BT33" s="168">
        <f t="shared" ref="BT33" si="168">BR33+BP33+BN33+BL33+BJ33</f>
        <v>0</v>
      </c>
      <c r="BU33" s="168">
        <f t="shared" ref="BU33" si="169">BT33+BS33</f>
        <v>20</v>
      </c>
      <c r="BV33" s="168">
        <f t="shared" ref="BV33" si="170">AI33</f>
        <v>100</v>
      </c>
      <c r="BW33" s="168">
        <f t="shared" ref="BW33" si="171">AJ33</f>
        <v>10</v>
      </c>
      <c r="BX33" s="168">
        <f t="shared" ref="BX33" si="172">AV33+AK33</f>
        <v>109</v>
      </c>
      <c r="BY33" s="168">
        <f t="shared" ref="BY33" si="173">AL33+AW33</f>
        <v>15</v>
      </c>
      <c r="BZ33" s="168">
        <f t="shared" ref="BZ33" si="174">BI33+AX33+AM33</f>
        <v>113</v>
      </c>
      <c r="CA33" s="168">
        <f t="shared" ref="CA33" si="175">AN33+AY33+BJ33</f>
        <v>7</v>
      </c>
      <c r="CB33" s="168">
        <f t="shared" ref="CB33" si="176">BK33+AZ33+AO33</f>
        <v>110</v>
      </c>
      <c r="CC33" s="168">
        <f t="shared" ref="CC33" si="177">AP33+BA33+BL33</f>
        <v>8</v>
      </c>
      <c r="CD33" s="168">
        <f t="shared" ref="CD33" si="178">BM33+BB33+AQ33</f>
        <v>38</v>
      </c>
      <c r="CE33" s="168">
        <f t="shared" ref="CE33" si="179">BN33+BC33+AR33</f>
        <v>0</v>
      </c>
      <c r="CF33" s="168">
        <f t="shared" ref="CF33" si="180">BO33+BD33</f>
        <v>0</v>
      </c>
      <c r="CG33" s="168">
        <f t="shared" ref="CG33" si="181">BP33+BE33</f>
        <v>0</v>
      </c>
      <c r="CH33" s="168">
        <f t="shared" ref="CH33" si="182">BQ33</f>
        <v>0</v>
      </c>
      <c r="CI33" s="168">
        <f t="shared" ref="CI33" si="183">BR33</f>
        <v>0</v>
      </c>
      <c r="CJ33" s="168">
        <f t="shared" ref="CJ33" si="184">CH33+CF33+CD33+CB33+BZ33+BX33+BV33</f>
        <v>470</v>
      </c>
      <c r="CK33" s="168">
        <f t="shared" ref="CK33" si="185">CI33+CG33+CE33+CC33+CA33+BY33+BW33</f>
        <v>40</v>
      </c>
      <c r="CL33" s="168">
        <f t="shared" ref="CL33" si="186">CK33+CJ33</f>
        <v>510</v>
      </c>
      <c r="CM33" s="168">
        <v>16</v>
      </c>
      <c r="CN33" s="168">
        <v>2</v>
      </c>
      <c r="CO33" s="168"/>
      <c r="CP33" s="168">
        <v>2</v>
      </c>
      <c r="CQ33" s="168"/>
      <c r="CR33" s="168"/>
      <c r="CS33" s="168">
        <v>2</v>
      </c>
      <c r="CT33" s="168"/>
      <c r="CU33" s="168"/>
      <c r="CV33" s="168">
        <f t="shared" ref="CV33" si="187">CS33+CP33+CM33</f>
        <v>20</v>
      </c>
      <c r="CW33" s="168">
        <f t="shared" ref="CW33" si="188">CT33+CQ33+CN33</f>
        <v>2</v>
      </c>
      <c r="CX33" s="168">
        <f t="shared" ref="CX33" si="189">CU33+CR33+CO33</f>
        <v>0</v>
      </c>
      <c r="CY33" s="168">
        <f t="shared" ref="CY33" si="190">CX33+CW33+CV33</f>
        <v>22</v>
      </c>
      <c r="CZ33" s="168"/>
      <c r="DA33" s="168"/>
      <c r="DB33" s="168"/>
      <c r="DC33" s="168"/>
      <c r="DD33" s="168"/>
      <c r="DE33" s="168"/>
      <c r="DF33" s="168">
        <f t="shared" ref="DF33" si="191">DD33+DB33+CZ33</f>
        <v>0</v>
      </c>
      <c r="DG33" s="168">
        <f t="shared" ref="DG33" si="192">DE33+DC33+DA33</f>
        <v>0</v>
      </c>
      <c r="DH33" s="168">
        <f t="shared" ref="DH33" si="193">DG33+DF33</f>
        <v>0</v>
      </c>
      <c r="DI33" s="168"/>
      <c r="DJ33" s="168"/>
      <c r="DK33" s="168"/>
      <c r="DL33" s="168"/>
      <c r="DM33" s="168"/>
      <c r="DN33" s="168"/>
      <c r="DO33" s="168">
        <f t="shared" ref="DO33" si="194">DM33+DK33+DI33</f>
        <v>0</v>
      </c>
      <c r="DP33" s="168">
        <f t="shared" ref="DP33" si="195">DN33+DL33+DJ33</f>
        <v>0</v>
      </c>
      <c r="DQ33" s="168">
        <f>DP33+DO33</f>
        <v>0</v>
      </c>
      <c r="DR33" s="168"/>
      <c r="DS33" s="168"/>
      <c r="DT33" s="168"/>
      <c r="DU33" s="168"/>
      <c r="DV33" s="168"/>
      <c r="DW33" s="168"/>
      <c r="DX33" s="168">
        <f t="shared" ref="DX33" si="196">DV33+DT33+DR33</f>
        <v>0</v>
      </c>
      <c r="DY33" s="168">
        <f t="shared" ref="DY33" si="197">DW33+DU33+DS33</f>
        <v>0</v>
      </c>
      <c r="DZ33" s="168">
        <f t="shared" ref="DZ33" si="198">DY33+DX33</f>
        <v>0</v>
      </c>
      <c r="EA33" s="168"/>
      <c r="EB33" s="168"/>
      <c r="EC33" s="168"/>
      <c r="ED33" s="168"/>
      <c r="EE33" s="168"/>
      <c r="EF33" s="168"/>
      <c r="EG33" s="168">
        <f t="shared" ref="EG33" si="199">EE33+EC33+EA33</f>
        <v>0</v>
      </c>
      <c r="EH33" s="168">
        <f t="shared" ref="EH33" si="200">EF33+ED33+EB33</f>
        <v>0</v>
      </c>
      <c r="EI33" s="168">
        <f t="shared" ref="EI33" si="201">EH33+EG33</f>
        <v>0</v>
      </c>
      <c r="EJ33" s="168"/>
      <c r="EK33" s="168"/>
      <c r="EL33" s="168"/>
      <c r="EM33" s="168"/>
      <c r="EN33" s="168"/>
      <c r="EO33" s="168"/>
      <c r="EP33" s="168">
        <f t="shared" ref="EP33" si="202">EN33+EL33+EJ33</f>
        <v>0</v>
      </c>
      <c r="EQ33" s="168">
        <f t="shared" ref="EQ33" si="203">EO33+EM33+EK33</f>
        <v>0</v>
      </c>
      <c r="ER33" s="168">
        <f t="shared" ref="ER33" si="204">EQ33+EP33</f>
        <v>0</v>
      </c>
      <c r="ES33" s="168"/>
      <c r="ET33" s="168"/>
      <c r="EU33" s="168"/>
      <c r="EV33" s="168"/>
      <c r="EW33" s="168"/>
      <c r="EX33" s="168"/>
      <c r="EY33" s="168">
        <f t="shared" ref="EY33" si="205">EW33+EU33+ES33</f>
        <v>0</v>
      </c>
      <c r="EZ33" s="168">
        <f t="shared" ref="EZ33" si="206">EX33+EV33+ET33</f>
        <v>0</v>
      </c>
      <c r="FA33" s="168">
        <f>EZ33+EY33</f>
        <v>0</v>
      </c>
      <c r="FB33" s="168"/>
      <c r="FC33" s="168"/>
      <c r="FD33" s="168"/>
      <c r="FE33" s="168"/>
      <c r="FF33" s="168"/>
      <c r="FG33" s="168"/>
      <c r="FH33" s="168"/>
      <c r="FI33" s="168"/>
      <c r="FJ33" s="168"/>
      <c r="FK33" s="168"/>
      <c r="FL33" s="168">
        <f t="shared" ref="FL33" si="207">FJ33+FH33+FF33+FD33+FB33</f>
        <v>0</v>
      </c>
      <c r="FM33" s="168">
        <f t="shared" ref="FM33" si="208">FK33+FI33+FG33+FE33+FC33</f>
        <v>0</v>
      </c>
      <c r="FN33" s="168">
        <f t="shared" ref="FN33" si="209">FM33+FL33</f>
        <v>0</v>
      </c>
      <c r="FO33" s="168"/>
      <c r="FP33" s="168"/>
      <c r="FQ33" s="168"/>
      <c r="FR33" s="168"/>
      <c r="FS33" s="168"/>
      <c r="FT33" s="168"/>
      <c r="FU33" s="168"/>
      <c r="FV33" s="168"/>
      <c r="FW33" s="168"/>
      <c r="FX33" s="168"/>
      <c r="FY33" s="168"/>
      <c r="FZ33" s="168"/>
      <c r="GA33" s="168"/>
      <c r="GB33" s="168"/>
      <c r="GC33" s="168"/>
      <c r="GD33" s="168"/>
      <c r="GE33" s="168"/>
      <c r="GF33" s="168"/>
      <c r="GG33" s="168">
        <f>GE33+GA33+FY33+FW33+FU33+FS33+FO33</f>
        <v>0</v>
      </c>
      <c r="GH33" s="168">
        <f>GF33+GB33+FZ33+FX33+FV33+FT33+FP33</f>
        <v>0</v>
      </c>
      <c r="GI33" s="168">
        <f>GH33+GG33</f>
        <v>0</v>
      </c>
      <c r="GJ33" s="168"/>
      <c r="GK33" s="168"/>
      <c r="GL33" s="168"/>
      <c r="GM33" s="168"/>
      <c r="GN33" s="168"/>
      <c r="GO33" s="168"/>
      <c r="GP33" s="168"/>
      <c r="GQ33" s="168"/>
      <c r="GR33" s="168"/>
      <c r="GS33" s="168"/>
      <c r="GT33" s="168"/>
      <c r="GU33" s="168"/>
      <c r="GV33" s="168"/>
      <c r="GW33" s="168"/>
      <c r="GX33" s="168"/>
      <c r="GY33" s="168"/>
      <c r="GZ33" s="168"/>
      <c r="HA33" s="168"/>
      <c r="HB33" s="168"/>
      <c r="HC33" s="168"/>
      <c r="HD33" s="168"/>
      <c r="HE33" s="168"/>
      <c r="HF33" s="168"/>
      <c r="HG33" s="168"/>
      <c r="HH33" s="168"/>
      <c r="HI33" s="168"/>
      <c r="HJ33" s="168"/>
      <c r="HK33" s="168"/>
      <c r="HL33" s="168"/>
      <c r="HM33" s="168"/>
      <c r="HN33" s="168"/>
      <c r="HO33" s="168"/>
      <c r="HP33" s="168"/>
      <c r="HQ33" s="168"/>
      <c r="HR33" s="168"/>
      <c r="HS33" s="168"/>
      <c r="HT33" s="168"/>
      <c r="HU33" s="168"/>
      <c r="HV33" s="168"/>
      <c r="HW33" s="168"/>
      <c r="HX33" s="168"/>
      <c r="HY33" s="168"/>
      <c r="HZ33" s="168"/>
      <c r="IA33" s="168"/>
      <c r="IB33" s="168"/>
      <c r="IC33" s="168"/>
      <c r="ID33" s="168"/>
      <c r="IE33" s="168"/>
      <c r="IF33" s="168"/>
      <c r="IG33" s="168"/>
      <c r="IH33" s="168"/>
      <c r="II33" s="168"/>
      <c r="IJ33" s="168"/>
      <c r="IK33" s="168"/>
      <c r="IL33" s="168"/>
      <c r="IM33" s="168"/>
      <c r="IN33" s="168"/>
      <c r="IO33" s="168"/>
      <c r="IP33" s="168"/>
      <c r="IQ33" s="168"/>
      <c r="IR33" s="168"/>
      <c r="IS33" s="168"/>
      <c r="IT33" s="168"/>
      <c r="IU33" s="168"/>
      <c r="IV33" s="168"/>
      <c r="IW33" s="168"/>
      <c r="IX33" s="168"/>
      <c r="IY33" s="168"/>
      <c r="IZ33" s="168"/>
      <c r="JA33" s="168"/>
      <c r="JB33" s="168"/>
      <c r="JC33" s="168"/>
      <c r="JD33" s="168"/>
      <c r="JE33" s="168"/>
      <c r="JF33" s="168"/>
      <c r="JG33" s="168"/>
      <c r="JH33" s="168"/>
      <c r="JI33" s="168"/>
      <c r="JJ33" s="168"/>
      <c r="JK33" s="168"/>
      <c r="JL33" s="168"/>
      <c r="JM33" s="168"/>
      <c r="JN33" s="168"/>
      <c r="JO33" s="168"/>
      <c r="JP33" s="168"/>
      <c r="JQ33" s="168"/>
      <c r="JR33" s="168"/>
      <c r="JS33" s="168"/>
      <c r="JT33" s="168"/>
      <c r="JU33" s="168"/>
      <c r="JV33" s="168"/>
      <c r="JW33" s="168"/>
      <c r="JX33" s="168"/>
      <c r="JY33" s="168"/>
      <c r="JZ33" s="168"/>
      <c r="KA33" s="168"/>
      <c r="KB33" s="168"/>
      <c r="KC33" s="168"/>
      <c r="KD33" s="168"/>
      <c r="KE33" s="168"/>
      <c r="KF33" s="168"/>
      <c r="KG33" s="168"/>
      <c r="KH33" s="168"/>
      <c r="KI33" s="168"/>
      <c r="KJ33" s="168"/>
      <c r="KK33" s="168"/>
      <c r="KL33" s="168"/>
      <c r="KM33" s="168"/>
      <c r="KN33" s="168"/>
      <c r="KO33" s="168"/>
      <c r="KP33" s="168"/>
      <c r="KQ33" s="168"/>
      <c r="KR33" s="168"/>
      <c r="KS33" s="168"/>
      <c r="KT33" s="168"/>
      <c r="KU33" s="168"/>
      <c r="KV33" s="168">
        <f>KT33+KN33+KJ33+KH33+KF33+KD33+KB33+JZ33+JX33+JV33+JT33+JR33+JP33+JN33+JL33+JJ33+JH33+JF33+JD33+JB33+IZ33+IX33+IV33+IT33+IR33+IP33+IN33+IL33+IJ33+IH33+IF33+ID33+IB33+HZ33+HX33+HV33+HT33+HR33+HP33+HN33+HL33+HJ33+HH33+HF33+HD33+HB33+GZ33+GX33+GV33+GT33+GR33+GP33+GN33+GL33+GJ33</f>
        <v>0</v>
      </c>
      <c r="KW33" s="168">
        <f>KU33+KO33+KK33+KI33+KG33+KE33+KC33+KA33+JY33+JW33+JU33+JS33+JQ33+JO33+JM33+JK33+JI33+JG33+JE33+JC33+JA33+IY33+IW33+IU33+IS33+IQ33+IO33+IM33+IK33+II33+IG33+IE33+IC33+IA33+HY33+HW33+HU33+HS33+HQ33+HO33+HM33+HK33+HI33+HG33+HE33+HC33+HA33+GY33+GW33+GU33+GS33+GQ33+GO33+GM33+GK33</f>
        <v>0</v>
      </c>
      <c r="KX33" s="168">
        <f>KW33+KV33</f>
        <v>0</v>
      </c>
      <c r="KY33" s="168"/>
      <c r="KZ33" s="168"/>
      <c r="LA33" s="168"/>
      <c r="LB33" s="168"/>
      <c r="LC33" s="168"/>
      <c r="LD33" s="168"/>
      <c r="LE33" s="168"/>
      <c r="LF33" s="168"/>
      <c r="LG33" s="168"/>
      <c r="LH33" s="168"/>
      <c r="LI33" s="168"/>
      <c r="LJ33" s="168"/>
      <c r="LK33" s="168"/>
      <c r="LL33" s="168"/>
      <c r="LM33" s="168"/>
      <c r="LN33" s="168"/>
      <c r="LO33" s="168"/>
      <c r="LP33" s="168"/>
      <c r="LQ33" s="168">
        <f t="shared" ref="LQ33" si="210">LA33+LC33+KY33+LE33+LG33+LI33+LK33+LM33+LO33</f>
        <v>0</v>
      </c>
      <c r="LR33" s="168">
        <f t="shared" ref="LR33" si="211">LB33+LD33+KZ33+LF33+LH33+LJ33+LL33+LN33+LP33</f>
        <v>0</v>
      </c>
      <c r="LS33" s="168">
        <f t="shared" ref="LS33" si="212">LR33+LQ33</f>
        <v>0</v>
      </c>
      <c r="LT33" s="168"/>
      <c r="LU33" s="168"/>
      <c r="LV33" s="168"/>
      <c r="LW33" s="168"/>
      <c r="LX33" s="168"/>
      <c r="LY33" s="168"/>
      <c r="LZ33" s="168"/>
      <c r="MA33" s="168"/>
      <c r="MB33" s="168">
        <f t="shared" ref="MB33" si="213">LX33+LV33+LT33+LZ33</f>
        <v>0</v>
      </c>
      <c r="MC33" s="168">
        <f t="shared" ref="MC33" si="214">LY33+LW33+LU33+MA33</f>
        <v>0</v>
      </c>
      <c r="MD33" s="168">
        <f t="shared" ref="MD33" si="215">MC33+MB33</f>
        <v>0</v>
      </c>
      <c r="ME33" s="168"/>
      <c r="MF33" s="168"/>
      <c r="MG33" s="168"/>
      <c r="MH33" s="168"/>
      <c r="MI33" s="168"/>
      <c r="MJ33" s="168"/>
      <c r="MK33" s="168"/>
      <c r="ML33" s="168"/>
      <c r="MM33" s="168"/>
      <c r="MN33" s="168"/>
      <c r="MO33" s="168">
        <f t="shared" ref="MO33" si="216">MM33+MK33+MI33+MG33+ME33</f>
        <v>0</v>
      </c>
      <c r="MP33" s="168">
        <f t="shared" ref="MP33" si="217">MN33+ML33+MJ33+MH33+MF33</f>
        <v>0</v>
      </c>
      <c r="MQ33" s="168">
        <f t="shared" ref="MQ33" si="218">MP33+MO33</f>
        <v>0</v>
      </c>
      <c r="MR33" s="168"/>
      <c r="MS33" s="168"/>
      <c r="MT33" s="168"/>
      <c r="MU33" s="168"/>
      <c r="MV33" s="168"/>
      <c r="MW33" s="168"/>
      <c r="MX33" s="168"/>
      <c r="MY33" s="168"/>
      <c r="MZ33" s="168">
        <f t="shared" ref="MZ33" si="219">MX33+MV33+MT33+MR33</f>
        <v>0</v>
      </c>
      <c r="NA33" s="168">
        <f t="shared" ref="NA33" si="220">MY33+MW33+MU33+MS33</f>
        <v>0</v>
      </c>
      <c r="NB33" s="168">
        <f t="shared" ref="NB33" si="221">NA33+MZ33</f>
        <v>0</v>
      </c>
      <c r="NC33" s="168"/>
      <c r="ND33" s="168"/>
      <c r="NE33" s="168"/>
      <c r="NF33" s="168"/>
      <c r="NG33" s="168"/>
      <c r="NH33" s="168"/>
      <c r="NI33" s="168"/>
      <c r="NJ33" s="168"/>
      <c r="NK33" s="168"/>
      <c r="NL33" s="168"/>
      <c r="NM33" s="168"/>
      <c r="NN33" s="168"/>
      <c r="NO33" s="168"/>
      <c r="NP33" s="168"/>
      <c r="NQ33" s="168"/>
      <c r="NR33" s="168"/>
      <c r="NS33" s="168"/>
      <c r="NT33" s="168"/>
      <c r="NU33" s="168"/>
      <c r="NV33" s="168"/>
      <c r="NW33" s="168">
        <f>NU33+NS33+NQ33+NO33+NM33+NK33+NG33+NI33+NE33</f>
        <v>0</v>
      </c>
      <c r="NX33" s="168">
        <f>NV33+NT33+NR33+NP33+NN33+NL33+NH33+NJ33+NF33</f>
        <v>0</v>
      </c>
      <c r="NY33" s="168">
        <f>NX33+NW33</f>
        <v>0</v>
      </c>
      <c r="NZ33" s="168"/>
      <c r="OA33" s="168"/>
      <c r="OB33" s="168"/>
      <c r="OC33" s="168"/>
      <c r="OD33" s="168"/>
      <c r="OE33" s="168"/>
      <c r="OF33" s="168"/>
      <c r="OG33" s="168"/>
      <c r="OH33" s="168"/>
      <c r="OI33" s="168"/>
      <c r="OJ33" s="168"/>
      <c r="OK33" s="168"/>
      <c r="OL33" s="168"/>
      <c r="OM33" s="168"/>
      <c r="ON33" s="168"/>
      <c r="OO33" s="168"/>
      <c r="OP33" s="168"/>
      <c r="OQ33" s="168"/>
      <c r="OR33" s="168"/>
      <c r="OS33" s="168"/>
      <c r="OT33" s="168"/>
      <c r="OU33" s="169"/>
      <c r="OV33" s="169"/>
      <c r="OW33" s="169"/>
      <c r="OX33" s="169"/>
      <c r="OY33" s="169"/>
      <c r="OZ33" s="169"/>
      <c r="PA33" s="169"/>
      <c r="PB33" s="169"/>
      <c r="PC33" s="169"/>
      <c r="PD33" s="169"/>
      <c r="PE33" s="169"/>
      <c r="PF33" s="169"/>
      <c r="PG33" s="169"/>
      <c r="PH33" s="169"/>
      <c r="PI33" s="169"/>
      <c r="PJ33" s="169"/>
      <c r="PK33" s="169"/>
      <c r="PL33" s="169"/>
      <c r="PM33" s="169"/>
      <c r="PN33" s="169"/>
      <c r="PO33" s="169">
        <f>SUM(PM33:PN33)</f>
        <v>0</v>
      </c>
      <c r="PP33" s="169"/>
      <c r="PQ33" s="169"/>
      <c r="PR33" s="169"/>
      <c r="PS33" s="169"/>
      <c r="PT33" s="169"/>
      <c r="PU33" s="169"/>
      <c r="PV33" s="169"/>
      <c r="PW33" s="169"/>
      <c r="PX33" s="169"/>
      <c r="PY33" s="169"/>
      <c r="PZ33" s="169"/>
      <c r="QA33" s="169"/>
      <c r="QB33" s="169"/>
      <c r="QC33" s="169"/>
      <c r="QD33" s="169"/>
      <c r="QE33" s="169"/>
      <c r="QF33" s="169"/>
      <c r="QG33" s="169"/>
      <c r="QH33" s="169"/>
      <c r="QI33" s="169"/>
      <c r="QJ33" s="169"/>
      <c r="QK33" s="169"/>
      <c r="QL33" s="169"/>
      <c r="QM33" s="169"/>
      <c r="QN33" s="169"/>
      <c r="QO33" s="169"/>
      <c r="QP33" s="169"/>
      <c r="QQ33" s="169"/>
      <c r="QR33" s="169"/>
      <c r="QS33" s="169"/>
      <c r="QT33" s="169"/>
      <c r="QU33" s="169"/>
      <c r="QV33" s="169"/>
      <c r="QW33" s="169"/>
      <c r="QX33" s="169"/>
      <c r="QY33" s="169"/>
      <c r="QZ33" s="169"/>
      <c r="RA33" s="169"/>
      <c r="RB33" s="169"/>
      <c r="RC33" s="169"/>
      <c r="RD33" s="169"/>
      <c r="RE33" s="169"/>
      <c r="RF33" s="169"/>
      <c r="RG33" s="169"/>
      <c r="RH33" s="169"/>
      <c r="RI33" s="169"/>
      <c r="RJ33" s="169"/>
      <c r="RK33" s="169"/>
      <c r="RL33" s="169"/>
      <c r="RM33" s="169"/>
      <c r="RN33" s="169"/>
      <c r="RO33" s="168"/>
      <c r="RP33" s="168"/>
      <c r="RQ33" s="168"/>
      <c r="RR33" s="168"/>
      <c r="RS33" s="168"/>
      <c r="RT33" s="168"/>
      <c r="RU33" s="170"/>
      <c r="RV33" s="170"/>
      <c r="RW33" s="170"/>
      <c r="RX33" s="170"/>
      <c r="RY33" s="170"/>
      <c r="RZ33" s="170"/>
      <c r="SA33" s="169"/>
      <c r="SB33" s="169"/>
      <c r="SC33" s="169"/>
      <c r="SD33" s="169"/>
      <c r="SE33" s="169"/>
      <c r="SF33" s="169"/>
      <c r="SG33" s="169"/>
      <c r="SH33" s="169"/>
      <c r="SI33" s="169"/>
      <c r="SJ33" s="169"/>
      <c r="SK33" s="169"/>
      <c r="SL33" s="169"/>
      <c r="SM33" s="169"/>
      <c r="SN33" s="169"/>
      <c r="SO33" s="169"/>
      <c r="SP33" s="169"/>
      <c r="SQ33" s="169"/>
      <c r="SR33" s="169"/>
      <c r="SS33" s="175"/>
    </row>
    <row r="34" spans="1:513" s="171" customFormat="1" ht="18" customHeight="1">
      <c r="A34" s="115"/>
      <c r="B34" s="115"/>
      <c r="C34" s="168"/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  <c r="Y34" s="168"/>
      <c r="Z34" s="168"/>
      <c r="AA34" s="168"/>
      <c r="AB34" s="168"/>
      <c r="AC34" s="168"/>
      <c r="AD34" s="168"/>
      <c r="AE34" s="168"/>
      <c r="AF34" s="168"/>
      <c r="AG34" s="168"/>
      <c r="AH34" s="168"/>
      <c r="AI34" s="168"/>
      <c r="AJ34" s="168"/>
      <c r="AK34" s="168"/>
      <c r="AL34" s="168"/>
      <c r="AM34" s="168"/>
      <c r="AN34" s="168"/>
      <c r="AO34" s="168"/>
      <c r="AP34" s="168"/>
      <c r="AQ34" s="168"/>
      <c r="AR34" s="168"/>
      <c r="AS34" s="168"/>
      <c r="AT34" s="168"/>
      <c r="AU34" s="168"/>
      <c r="AV34" s="168"/>
      <c r="AW34" s="168"/>
      <c r="AX34" s="168"/>
      <c r="AY34" s="168"/>
      <c r="AZ34" s="168"/>
      <c r="BA34" s="168"/>
      <c r="BB34" s="168"/>
      <c r="BC34" s="168"/>
      <c r="BD34" s="168"/>
      <c r="BE34" s="168"/>
      <c r="BF34" s="168"/>
      <c r="BG34" s="168"/>
      <c r="BH34" s="168"/>
      <c r="BI34" s="168"/>
      <c r="BJ34" s="168"/>
      <c r="BK34" s="168"/>
      <c r="BL34" s="168"/>
      <c r="BM34" s="168"/>
      <c r="BN34" s="168"/>
      <c r="BO34" s="168"/>
      <c r="BP34" s="168"/>
      <c r="BQ34" s="168"/>
      <c r="BR34" s="168"/>
      <c r="BS34" s="168"/>
      <c r="BT34" s="168"/>
      <c r="BU34" s="168"/>
      <c r="BV34" s="168"/>
      <c r="BW34" s="168"/>
      <c r="BX34" s="168"/>
      <c r="BY34" s="168"/>
      <c r="BZ34" s="168"/>
      <c r="CA34" s="168"/>
      <c r="CB34" s="168"/>
      <c r="CC34" s="168"/>
      <c r="CD34" s="168"/>
      <c r="CE34" s="168"/>
      <c r="CF34" s="168"/>
      <c r="CG34" s="168"/>
      <c r="CH34" s="168"/>
      <c r="CI34" s="168"/>
      <c r="CJ34" s="168"/>
      <c r="CK34" s="168"/>
      <c r="CL34" s="168"/>
      <c r="CM34" s="168"/>
      <c r="CN34" s="168"/>
      <c r="CO34" s="168"/>
      <c r="CP34" s="168"/>
      <c r="CQ34" s="168"/>
      <c r="CR34" s="168"/>
      <c r="CS34" s="168"/>
      <c r="CT34" s="168"/>
      <c r="CU34" s="168"/>
      <c r="CV34" s="168"/>
      <c r="CW34" s="168"/>
      <c r="CX34" s="168"/>
      <c r="CY34" s="168"/>
      <c r="CZ34" s="168"/>
      <c r="DA34" s="168"/>
      <c r="DB34" s="168"/>
      <c r="DC34" s="168"/>
      <c r="DD34" s="168"/>
      <c r="DE34" s="168"/>
      <c r="DF34" s="168"/>
      <c r="DG34" s="168"/>
      <c r="DH34" s="168"/>
      <c r="DI34" s="168"/>
      <c r="DJ34" s="168"/>
      <c r="DK34" s="168"/>
      <c r="DL34" s="168"/>
      <c r="DM34" s="168"/>
      <c r="DN34" s="168"/>
      <c r="DO34" s="168"/>
      <c r="DP34" s="168"/>
      <c r="DQ34" s="168"/>
      <c r="DR34" s="168"/>
      <c r="DS34" s="168"/>
      <c r="DT34" s="168"/>
      <c r="DU34" s="168"/>
      <c r="DV34" s="168"/>
      <c r="DW34" s="168"/>
      <c r="DX34" s="168"/>
      <c r="DY34" s="168"/>
      <c r="DZ34" s="168"/>
      <c r="EA34" s="168"/>
      <c r="EB34" s="168"/>
      <c r="EC34" s="168"/>
      <c r="ED34" s="168"/>
      <c r="EE34" s="168"/>
      <c r="EF34" s="168"/>
      <c r="EG34" s="168"/>
      <c r="EH34" s="168"/>
      <c r="EI34" s="168"/>
      <c r="EJ34" s="168"/>
      <c r="EK34" s="168"/>
      <c r="EL34" s="168"/>
      <c r="EM34" s="168"/>
      <c r="EN34" s="168"/>
      <c r="EO34" s="168"/>
      <c r="EP34" s="168"/>
      <c r="EQ34" s="168"/>
      <c r="ER34" s="168"/>
      <c r="ES34" s="168"/>
      <c r="ET34" s="168"/>
      <c r="EU34" s="168"/>
      <c r="EV34" s="168"/>
      <c r="EW34" s="168"/>
      <c r="EX34" s="168"/>
      <c r="EY34" s="168"/>
      <c r="EZ34" s="168"/>
      <c r="FA34" s="168"/>
      <c r="FB34" s="168"/>
      <c r="FC34" s="168"/>
      <c r="FD34" s="168"/>
      <c r="FE34" s="168"/>
      <c r="FF34" s="168"/>
      <c r="FG34" s="168"/>
      <c r="FH34" s="168"/>
      <c r="FI34" s="168"/>
      <c r="FJ34" s="168"/>
      <c r="FK34" s="168"/>
      <c r="FL34" s="168"/>
      <c r="FM34" s="168"/>
      <c r="FN34" s="168"/>
      <c r="FO34" s="168"/>
      <c r="FP34" s="168"/>
      <c r="FQ34" s="168"/>
      <c r="FR34" s="168"/>
      <c r="FS34" s="168"/>
      <c r="FT34" s="168"/>
      <c r="FU34" s="168"/>
      <c r="FV34" s="168"/>
      <c r="FW34" s="168"/>
      <c r="FX34" s="168"/>
      <c r="FY34" s="168"/>
      <c r="FZ34" s="168"/>
      <c r="GA34" s="168"/>
      <c r="GB34" s="168"/>
      <c r="GC34" s="168"/>
      <c r="GD34" s="168"/>
      <c r="GE34" s="168"/>
      <c r="GF34" s="168"/>
      <c r="GG34" s="168"/>
      <c r="GH34" s="168"/>
      <c r="GI34" s="168"/>
      <c r="GJ34" s="168"/>
      <c r="GK34" s="168"/>
      <c r="GL34" s="168"/>
      <c r="GM34" s="168"/>
      <c r="GN34" s="168"/>
      <c r="GO34" s="168"/>
      <c r="GP34" s="168"/>
      <c r="GQ34" s="168"/>
      <c r="GR34" s="168"/>
      <c r="GS34" s="168"/>
      <c r="GT34" s="168"/>
      <c r="GU34" s="168"/>
      <c r="GV34" s="168"/>
      <c r="GW34" s="168"/>
      <c r="GX34" s="168"/>
      <c r="GY34" s="168"/>
      <c r="GZ34" s="168"/>
      <c r="HA34" s="168"/>
      <c r="HB34" s="168"/>
      <c r="HC34" s="168"/>
      <c r="HD34" s="168"/>
      <c r="HE34" s="168"/>
      <c r="HF34" s="168"/>
      <c r="HG34" s="168"/>
      <c r="HH34" s="168"/>
      <c r="HI34" s="168"/>
      <c r="HJ34" s="168"/>
      <c r="HK34" s="168"/>
      <c r="HL34" s="168"/>
      <c r="HM34" s="168"/>
      <c r="HN34" s="168"/>
      <c r="HO34" s="168"/>
      <c r="HP34" s="168"/>
      <c r="HQ34" s="168"/>
      <c r="HR34" s="168"/>
      <c r="HS34" s="168"/>
      <c r="HT34" s="168"/>
      <c r="HU34" s="168"/>
      <c r="HV34" s="168"/>
      <c r="HW34" s="168"/>
      <c r="HX34" s="168"/>
      <c r="HY34" s="168"/>
      <c r="HZ34" s="168"/>
      <c r="IA34" s="168"/>
      <c r="IB34" s="168"/>
      <c r="IC34" s="168"/>
      <c r="ID34" s="168"/>
      <c r="IE34" s="168"/>
      <c r="IF34" s="168"/>
      <c r="IG34" s="168"/>
      <c r="IH34" s="168"/>
      <c r="II34" s="168"/>
      <c r="IJ34" s="168"/>
      <c r="IK34" s="168"/>
      <c r="IL34" s="168"/>
      <c r="IM34" s="168"/>
      <c r="IN34" s="168"/>
      <c r="IO34" s="168"/>
      <c r="IP34" s="168"/>
      <c r="IQ34" s="168"/>
      <c r="IR34" s="168"/>
      <c r="IS34" s="168"/>
      <c r="IT34" s="168"/>
      <c r="IU34" s="168"/>
      <c r="IV34" s="168"/>
      <c r="IW34" s="168"/>
      <c r="IX34" s="168"/>
      <c r="IY34" s="168"/>
      <c r="IZ34" s="168"/>
      <c r="JA34" s="168"/>
      <c r="JB34" s="168"/>
      <c r="JC34" s="168"/>
      <c r="JD34" s="168"/>
      <c r="JE34" s="168"/>
      <c r="JF34" s="168"/>
      <c r="JG34" s="168"/>
      <c r="JH34" s="168"/>
      <c r="JI34" s="168"/>
      <c r="JJ34" s="168"/>
      <c r="JK34" s="168"/>
      <c r="JL34" s="168"/>
      <c r="JM34" s="168"/>
      <c r="JN34" s="168"/>
      <c r="JO34" s="168"/>
      <c r="JP34" s="168"/>
      <c r="JQ34" s="168"/>
      <c r="JR34" s="168"/>
      <c r="JS34" s="168"/>
      <c r="JT34" s="168"/>
      <c r="JU34" s="168"/>
      <c r="JV34" s="168"/>
      <c r="JW34" s="168"/>
      <c r="JX34" s="168"/>
      <c r="JY34" s="168"/>
      <c r="JZ34" s="168"/>
      <c r="KA34" s="168"/>
      <c r="KB34" s="168"/>
      <c r="KC34" s="168"/>
      <c r="KD34" s="168"/>
      <c r="KE34" s="168"/>
      <c r="KF34" s="168"/>
      <c r="KG34" s="168"/>
      <c r="KH34" s="168"/>
      <c r="KI34" s="168"/>
      <c r="KJ34" s="168"/>
      <c r="KK34" s="168"/>
      <c r="KL34" s="168"/>
      <c r="KM34" s="168"/>
      <c r="KN34" s="168"/>
      <c r="KO34" s="168"/>
      <c r="KP34" s="168"/>
      <c r="KQ34" s="168"/>
      <c r="KR34" s="168"/>
      <c r="KS34" s="168"/>
      <c r="KT34" s="168"/>
      <c r="KU34" s="168"/>
      <c r="KV34" s="168"/>
      <c r="KW34" s="168"/>
      <c r="KX34" s="168"/>
      <c r="KY34" s="168"/>
      <c r="KZ34" s="168"/>
      <c r="LA34" s="168"/>
      <c r="LB34" s="168"/>
      <c r="LC34" s="168"/>
      <c r="LD34" s="168"/>
      <c r="LE34" s="168"/>
      <c r="LF34" s="168"/>
      <c r="LG34" s="168"/>
      <c r="LH34" s="168"/>
      <c r="LI34" s="168"/>
      <c r="LJ34" s="168"/>
      <c r="LK34" s="168"/>
      <c r="LL34" s="168"/>
      <c r="LM34" s="168"/>
      <c r="LN34" s="168"/>
      <c r="LO34" s="168"/>
      <c r="LP34" s="168"/>
      <c r="LQ34" s="168"/>
      <c r="LR34" s="168"/>
      <c r="LS34" s="168"/>
      <c r="LT34" s="168"/>
      <c r="LU34" s="168"/>
      <c r="LV34" s="168"/>
      <c r="LW34" s="168"/>
      <c r="LX34" s="168"/>
      <c r="LY34" s="168"/>
      <c r="LZ34" s="168"/>
      <c r="MA34" s="168"/>
      <c r="MB34" s="168"/>
      <c r="MC34" s="168"/>
      <c r="MD34" s="168"/>
      <c r="ME34" s="168"/>
      <c r="MF34" s="168"/>
      <c r="MG34" s="168"/>
      <c r="MH34" s="168"/>
      <c r="MI34" s="168"/>
      <c r="MJ34" s="168"/>
      <c r="MK34" s="168"/>
      <c r="ML34" s="168"/>
      <c r="MM34" s="168"/>
      <c r="MN34" s="168"/>
      <c r="MO34" s="168"/>
      <c r="MP34" s="168"/>
      <c r="MQ34" s="168"/>
      <c r="MR34" s="168"/>
      <c r="MS34" s="168"/>
      <c r="MT34" s="168"/>
      <c r="MU34" s="168"/>
      <c r="MV34" s="168"/>
      <c r="MW34" s="168"/>
      <c r="MX34" s="168"/>
      <c r="MY34" s="168"/>
      <c r="MZ34" s="168"/>
      <c r="NA34" s="168"/>
      <c r="NB34" s="168"/>
      <c r="NC34" s="168"/>
      <c r="ND34" s="168"/>
      <c r="NE34" s="168"/>
      <c r="NF34" s="168"/>
      <c r="NG34" s="168"/>
      <c r="NH34" s="168"/>
      <c r="NI34" s="168"/>
      <c r="NJ34" s="168"/>
      <c r="NK34" s="168"/>
      <c r="NL34" s="168"/>
      <c r="NM34" s="168"/>
      <c r="NN34" s="168"/>
      <c r="NO34" s="168"/>
      <c r="NP34" s="168"/>
      <c r="NQ34" s="168"/>
      <c r="NR34" s="168"/>
      <c r="NS34" s="168"/>
      <c r="NT34" s="168"/>
      <c r="NU34" s="168"/>
      <c r="NV34" s="168"/>
      <c r="NW34" s="168"/>
      <c r="NX34" s="168"/>
      <c r="NY34" s="168"/>
      <c r="NZ34" s="168"/>
      <c r="OA34" s="168"/>
      <c r="OB34" s="168"/>
      <c r="OC34" s="168"/>
      <c r="OD34" s="168"/>
      <c r="OE34" s="168"/>
      <c r="OF34" s="168"/>
      <c r="OG34" s="168"/>
      <c r="OH34" s="168"/>
      <c r="OI34" s="168"/>
      <c r="OJ34" s="168"/>
      <c r="OK34" s="168"/>
      <c r="OL34" s="168"/>
      <c r="OM34" s="168"/>
      <c r="ON34" s="168"/>
      <c r="OO34" s="168"/>
      <c r="OP34" s="168"/>
      <c r="OQ34" s="168"/>
      <c r="OR34" s="168"/>
      <c r="OS34" s="168"/>
      <c r="OT34" s="168"/>
      <c r="OU34" s="169"/>
      <c r="OV34" s="169"/>
      <c r="OW34" s="169"/>
      <c r="OX34" s="169"/>
      <c r="OY34" s="169"/>
      <c r="OZ34" s="169"/>
      <c r="PA34" s="169"/>
      <c r="PB34" s="169"/>
      <c r="PC34" s="169"/>
      <c r="PD34" s="169"/>
      <c r="PE34" s="169"/>
      <c r="PF34" s="169"/>
      <c r="PG34" s="169"/>
      <c r="PH34" s="169"/>
      <c r="PI34" s="169"/>
      <c r="PJ34" s="169"/>
      <c r="PK34" s="169"/>
      <c r="PL34" s="169"/>
      <c r="PM34" s="169"/>
      <c r="PN34" s="169"/>
      <c r="PO34" s="169"/>
      <c r="PP34" s="169"/>
      <c r="PQ34" s="169"/>
      <c r="PR34" s="169"/>
      <c r="PS34" s="169"/>
      <c r="PT34" s="169"/>
      <c r="PU34" s="169"/>
      <c r="PV34" s="169"/>
      <c r="PW34" s="169"/>
      <c r="PX34" s="169"/>
      <c r="PY34" s="169"/>
      <c r="PZ34" s="169"/>
      <c r="QA34" s="169"/>
      <c r="QB34" s="169"/>
      <c r="QC34" s="169"/>
      <c r="QD34" s="169"/>
      <c r="QE34" s="169"/>
      <c r="QF34" s="169"/>
      <c r="QG34" s="169"/>
      <c r="QH34" s="169"/>
      <c r="QI34" s="169"/>
      <c r="QJ34" s="169"/>
      <c r="QK34" s="169"/>
      <c r="QL34" s="169"/>
      <c r="QM34" s="169"/>
      <c r="QN34" s="169"/>
      <c r="QO34" s="169"/>
      <c r="QP34" s="169"/>
      <c r="QQ34" s="169"/>
      <c r="QR34" s="169"/>
      <c r="QS34" s="169"/>
      <c r="QT34" s="169"/>
      <c r="QU34" s="169"/>
      <c r="QV34" s="169"/>
      <c r="QW34" s="169"/>
      <c r="QX34" s="169"/>
      <c r="QY34" s="169"/>
      <c r="QZ34" s="169"/>
      <c r="RA34" s="169"/>
      <c r="RB34" s="169"/>
      <c r="RC34" s="169"/>
      <c r="RD34" s="169"/>
      <c r="RE34" s="169"/>
      <c r="RF34" s="169"/>
      <c r="RG34" s="169"/>
      <c r="RH34" s="169"/>
      <c r="RI34" s="169"/>
      <c r="RJ34" s="169"/>
      <c r="RK34" s="169"/>
      <c r="RL34" s="169"/>
      <c r="RM34" s="169"/>
      <c r="RN34" s="169"/>
      <c r="RO34" s="168"/>
      <c r="RP34" s="168"/>
      <c r="RQ34" s="168"/>
      <c r="RR34" s="168"/>
      <c r="RS34" s="168"/>
      <c r="RT34" s="168"/>
      <c r="RU34" s="170"/>
      <c r="RV34" s="170"/>
      <c r="RW34" s="170"/>
      <c r="RX34" s="170"/>
      <c r="RY34" s="170"/>
      <c r="RZ34" s="170"/>
      <c r="SA34" s="169"/>
      <c r="SB34" s="169"/>
      <c r="SC34" s="169"/>
      <c r="SD34" s="169"/>
      <c r="SE34" s="169"/>
      <c r="SF34" s="169"/>
      <c r="SG34" s="169"/>
      <c r="SH34" s="169"/>
      <c r="SI34" s="169"/>
      <c r="SJ34" s="169"/>
      <c r="SK34" s="169"/>
      <c r="SL34" s="169"/>
      <c r="SM34" s="169"/>
      <c r="SN34" s="169"/>
      <c r="SO34" s="169"/>
      <c r="SP34" s="169"/>
      <c r="SQ34" s="169"/>
      <c r="SR34" s="169"/>
      <c r="SS34" s="175"/>
    </row>
    <row r="35" spans="1:513" s="194" customFormat="1" ht="20.25" customHeight="1">
      <c r="A35" s="215" t="s">
        <v>391</v>
      </c>
      <c r="B35" s="216"/>
      <c r="C35" s="216"/>
      <c r="D35" s="216"/>
      <c r="E35" s="217"/>
      <c r="F35" s="193">
        <f>SUM(F33:F34)</f>
        <v>0</v>
      </c>
      <c r="G35" s="193">
        <f>SUM(G33:G34)</f>
        <v>0</v>
      </c>
      <c r="H35" s="193">
        <f>SUM(H33:H34)</f>
        <v>0</v>
      </c>
      <c r="I35" s="193">
        <f>SUM(I33:I34)</f>
        <v>0</v>
      </c>
      <c r="J35" s="193">
        <f>SUM(J33:J34)</f>
        <v>0</v>
      </c>
      <c r="K35" s="193">
        <f>SUM(K33:K34)</f>
        <v>0</v>
      </c>
      <c r="L35" s="193">
        <f>SUM(L33:L34)</f>
        <v>0</v>
      </c>
      <c r="M35" s="193">
        <f>SUM(M33:M34)</f>
        <v>0</v>
      </c>
      <c r="N35" s="193">
        <f>SUM(N33:N34)</f>
        <v>0</v>
      </c>
      <c r="O35" s="193">
        <f>SUM(O33:O34)</f>
        <v>0</v>
      </c>
      <c r="P35" s="193">
        <f>SUM(P33:P34)</f>
        <v>0</v>
      </c>
      <c r="Q35" s="193">
        <f>SUM(Q33:Q34)</f>
        <v>0</v>
      </c>
      <c r="R35" s="193">
        <f>SUM(R33:R34)</f>
        <v>0</v>
      </c>
      <c r="S35" s="193">
        <f>SUM(S33:S34)</f>
        <v>0</v>
      </c>
      <c r="T35" s="193">
        <f>SUM(T33:T34)</f>
        <v>0</v>
      </c>
      <c r="U35" s="193">
        <f>SUM(U33:U34)</f>
        <v>0</v>
      </c>
      <c r="V35" s="193">
        <f>SUM(V33:V34)</f>
        <v>100</v>
      </c>
      <c r="W35" s="193">
        <f>SUM(W33:W34)</f>
        <v>10</v>
      </c>
      <c r="X35" s="193">
        <f>SUM(X33:X34)</f>
        <v>100</v>
      </c>
      <c r="Y35" s="193">
        <f>SUM(Y33:Y34)</f>
        <v>15</v>
      </c>
      <c r="Z35" s="193">
        <f>SUM(Z33:Z34)</f>
        <v>100</v>
      </c>
      <c r="AA35" s="193">
        <f>SUM(AA33:AA34)</f>
        <v>7</v>
      </c>
      <c r="AB35" s="193">
        <f>SUM(AB33:AB34)</f>
        <v>100</v>
      </c>
      <c r="AC35" s="193">
        <f>SUM(AC33:AC34)</f>
        <v>8</v>
      </c>
      <c r="AD35" s="193">
        <f>SUM(AD33:AD34)</f>
        <v>38</v>
      </c>
      <c r="AE35" s="193">
        <f>SUM(AE33:AE34)</f>
        <v>0</v>
      </c>
      <c r="AF35" s="193">
        <f>SUM(AF33:AF34)</f>
        <v>438</v>
      </c>
      <c r="AG35" s="193">
        <f>SUM(AG33:AG34)</f>
        <v>40</v>
      </c>
      <c r="AH35" s="193">
        <f>SUM(AH33:AH34)</f>
        <v>478</v>
      </c>
      <c r="AI35" s="193">
        <f>SUM(AI33:AI34)</f>
        <v>100</v>
      </c>
      <c r="AJ35" s="193">
        <f>SUM(AJ33:AJ34)</f>
        <v>10</v>
      </c>
      <c r="AK35" s="193">
        <f>SUM(AK33:AK34)</f>
        <v>100</v>
      </c>
      <c r="AL35" s="193">
        <f>SUM(AL33:AL34)</f>
        <v>15</v>
      </c>
      <c r="AM35" s="193">
        <f>SUM(AM33:AM34)</f>
        <v>100</v>
      </c>
      <c r="AN35" s="193">
        <f>SUM(AN33:AN34)</f>
        <v>7</v>
      </c>
      <c r="AO35" s="193">
        <f>SUM(AO33:AO34)</f>
        <v>100</v>
      </c>
      <c r="AP35" s="193">
        <f>SUM(AP33:AP34)</f>
        <v>8</v>
      </c>
      <c r="AQ35" s="193">
        <f>SUM(AQ33:AQ34)</f>
        <v>38</v>
      </c>
      <c r="AR35" s="193">
        <f>SUM(AR33:AR34)</f>
        <v>0</v>
      </c>
      <c r="AS35" s="193">
        <f>SUM(AS33:AS34)</f>
        <v>438</v>
      </c>
      <c r="AT35" s="193">
        <f>SUM(AT33:AT34)</f>
        <v>40</v>
      </c>
      <c r="AU35" s="193">
        <f>SUM(AU33:AU34)</f>
        <v>478</v>
      </c>
      <c r="AV35" s="193">
        <f>SUM(AV33:AV34)</f>
        <v>9</v>
      </c>
      <c r="AW35" s="193">
        <f>SUM(AW33:AW34)</f>
        <v>0</v>
      </c>
      <c r="AX35" s="193">
        <f>SUM(AX33:AX34)</f>
        <v>3</v>
      </c>
      <c r="AY35" s="193">
        <f>SUM(AY33:AY34)</f>
        <v>0</v>
      </c>
      <c r="AZ35" s="193">
        <f>SUM(AZ33:AZ34)</f>
        <v>0</v>
      </c>
      <c r="BA35" s="193">
        <f>SUM(BA33:BA34)</f>
        <v>0</v>
      </c>
      <c r="BB35" s="193">
        <f>SUM(BB33:BB34)</f>
        <v>0</v>
      </c>
      <c r="BC35" s="193">
        <f>SUM(BC33:BC34)</f>
        <v>0</v>
      </c>
      <c r="BD35" s="193">
        <f>SUM(BD33:BD34)</f>
        <v>0</v>
      </c>
      <c r="BE35" s="193">
        <f>SUM(BE33:BE34)</f>
        <v>0</v>
      </c>
      <c r="BF35" s="193">
        <f>SUM(BF33:BF34)</f>
        <v>12</v>
      </c>
      <c r="BG35" s="193">
        <f>SUM(BG33:BG34)</f>
        <v>0</v>
      </c>
      <c r="BH35" s="193">
        <f>SUM(BH33:BH34)</f>
        <v>12</v>
      </c>
      <c r="BI35" s="193">
        <f>SUM(BI33:BI34)</f>
        <v>10</v>
      </c>
      <c r="BJ35" s="193">
        <f>SUM(BJ33:BJ34)</f>
        <v>0</v>
      </c>
      <c r="BK35" s="193">
        <f>SUM(BK33:BK34)</f>
        <v>10</v>
      </c>
      <c r="BL35" s="193">
        <f>SUM(BL33:BL34)</f>
        <v>0</v>
      </c>
      <c r="BM35" s="193">
        <f>SUM(BM33:BM34)</f>
        <v>0</v>
      </c>
      <c r="BN35" s="193">
        <f>SUM(BN33:BN34)</f>
        <v>0</v>
      </c>
      <c r="BO35" s="193">
        <f>SUM(BO33:BO34)</f>
        <v>0</v>
      </c>
      <c r="BP35" s="193">
        <f>SUM(BP33:BP34)</f>
        <v>0</v>
      </c>
      <c r="BQ35" s="193">
        <f>SUM(BQ33:BQ34)</f>
        <v>0</v>
      </c>
      <c r="BR35" s="193">
        <f>SUM(BR33:BR34)</f>
        <v>0</v>
      </c>
      <c r="BS35" s="193">
        <f>SUM(BS33:BS34)</f>
        <v>20</v>
      </c>
      <c r="BT35" s="193">
        <f>SUM(BT33:BT34)</f>
        <v>0</v>
      </c>
      <c r="BU35" s="193">
        <f>SUM(BU33:BU34)</f>
        <v>20</v>
      </c>
      <c r="BV35" s="193">
        <f>SUM(BV33:BV34)</f>
        <v>100</v>
      </c>
      <c r="BW35" s="193">
        <f>SUM(BW33:BW34)</f>
        <v>10</v>
      </c>
      <c r="BX35" s="193">
        <f>SUM(BX33:BX34)</f>
        <v>109</v>
      </c>
      <c r="BY35" s="193">
        <f>SUM(BY33:BY34)</f>
        <v>15</v>
      </c>
      <c r="BZ35" s="193">
        <f>SUM(BZ33:BZ34)</f>
        <v>113</v>
      </c>
      <c r="CA35" s="193">
        <f>SUM(CA33:CA34)</f>
        <v>7</v>
      </c>
      <c r="CB35" s="193">
        <f>SUM(CB33:CB34)</f>
        <v>110</v>
      </c>
      <c r="CC35" s="193">
        <f>SUM(CC33:CC34)</f>
        <v>8</v>
      </c>
      <c r="CD35" s="193">
        <f>SUM(CD33:CD34)</f>
        <v>38</v>
      </c>
      <c r="CE35" s="193">
        <f>SUM(CE33:CE34)</f>
        <v>0</v>
      </c>
      <c r="CF35" s="193">
        <f>SUM(CF33:CF34)</f>
        <v>0</v>
      </c>
      <c r="CG35" s="193">
        <f>SUM(CG33:CG34)</f>
        <v>0</v>
      </c>
      <c r="CH35" s="193">
        <f>SUM(CH33:CH34)</f>
        <v>0</v>
      </c>
      <c r="CI35" s="193">
        <f>SUM(CI33:CI34)</f>
        <v>0</v>
      </c>
      <c r="CJ35" s="193">
        <f>SUM(CJ33:CJ34)</f>
        <v>470</v>
      </c>
      <c r="CK35" s="193">
        <f>SUM(CK33:CK34)</f>
        <v>40</v>
      </c>
      <c r="CL35" s="193">
        <f>SUM(CL33:CL34)</f>
        <v>510</v>
      </c>
      <c r="CM35" s="193">
        <f>SUM(CM33:CM34)</f>
        <v>16</v>
      </c>
      <c r="CN35" s="193">
        <f>SUM(CN33:CN34)</f>
        <v>2</v>
      </c>
      <c r="CO35" s="193">
        <f>SUM(CO33:CO34)</f>
        <v>0</v>
      </c>
      <c r="CP35" s="193">
        <f>SUM(CP33:CP34)</f>
        <v>2</v>
      </c>
      <c r="CQ35" s="193">
        <f>SUM(CQ33:CQ34)</f>
        <v>0</v>
      </c>
      <c r="CR35" s="193">
        <f>SUM(CR33:CR34)</f>
        <v>0</v>
      </c>
      <c r="CS35" s="193">
        <f>SUM(CS33:CS34)</f>
        <v>2</v>
      </c>
      <c r="CT35" s="193">
        <f>SUM(CT33:CT34)</f>
        <v>0</v>
      </c>
      <c r="CU35" s="193">
        <f>SUM(CU33:CU34)</f>
        <v>0</v>
      </c>
      <c r="CV35" s="193">
        <f>SUM(CV33:CV34)</f>
        <v>20</v>
      </c>
      <c r="CW35" s="193">
        <f>SUM(CW33:CW34)</f>
        <v>2</v>
      </c>
      <c r="CX35" s="193">
        <f>SUM(CX33:CX34)</f>
        <v>0</v>
      </c>
      <c r="CY35" s="193">
        <f>SUM(CY33:CY34)</f>
        <v>22</v>
      </c>
      <c r="CZ35" s="193">
        <f>SUM(CZ33:CZ34)</f>
        <v>0</v>
      </c>
      <c r="DA35" s="193">
        <f>SUM(DA33:DA34)</f>
        <v>0</v>
      </c>
      <c r="DB35" s="193">
        <f>SUM(DB33:DB34)</f>
        <v>0</v>
      </c>
      <c r="DC35" s="193">
        <f>SUM(DC33:DC34)</f>
        <v>0</v>
      </c>
      <c r="DD35" s="193">
        <f>SUM(DD33:DD34)</f>
        <v>0</v>
      </c>
      <c r="DE35" s="193">
        <f>SUM(DE33:DE34)</f>
        <v>0</v>
      </c>
      <c r="DF35" s="193">
        <f>SUM(DF33:DF34)</f>
        <v>0</v>
      </c>
      <c r="DG35" s="193">
        <f>SUM(DG33:DG34)</f>
        <v>0</v>
      </c>
      <c r="DH35" s="193">
        <f>SUM(DH33:DH34)</f>
        <v>0</v>
      </c>
      <c r="DI35" s="193">
        <f>SUM(DI33:DI34)</f>
        <v>0</v>
      </c>
      <c r="DJ35" s="193">
        <f>SUM(DJ33:DJ34)</f>
        <v>0</v>
      </c>
      <c r="DK35" s="193">
        <f>SUM(DK33:DK34)</f>
        <v>0</v>
      </c>
      <c r="DL35" s="193">
        <f>SUM(DL33:DL34)</f>
        <v>0</v>
      </c>
      <c r="DM35" s="193">
        <f>SUM(DM33:DM34)</f>
        <v>0</v>
      </c>
      <c r="DN35" s="193">
        <f>SUM(DN33:DN34)</f>
        <v>0</v>
      </c>
      <c r="DO35" s="193">
        <f>SUM(DO33:DO34)</f>
        <v>0</v>
      </c>
      <c r="DP35" s="193">
        <f>SUM(DP33:DP34)</f>
        <v>0</v>
      </c>
      <c r="DQ35" s="193">
        <f>SUM(DQ33:DQ34)</f>
        <v>0</v>
      </c>
      <c r="DR35" s="193">
        <f>SUM(DR33:DR34)</f>
        <v>0</v>
      </c>
      <c r="DS35" s="193">
        <f>SUM(DS33:DS34)</f>
        <v>0</v>
      </c>
      <c r="DT35" s="193">
        <f>SUM(DT33:DT34)</f>
        <v>0</v>
      </c>
      <c r="DU35" s="193">
        <f>SUM(DU33:DU34)</f>
        <v>0</v>
      </c>
      <c r="DV35" s="193">
        <f>SUM(DV33:DV34)</f>
        <v>0</v>
      </c>
      <c r="DW35" s="193">
        <f>SUM(DW33:DW34)</f>
        <v>0</v>
      </c>
      <c r="DX35" s="193">
        <f>SUM(DX33:DX34)</f>
        <v>0</v>
      </c>
      <c r="DY35" s="193">
        <f>SUM(DY33:DY34)</f>
        <v>0</v>
      </c>
      <c r="DZ35" s="193">
        <f>SUM(DZ33:DZ34)</f>
        <v>0</v>
      </c>
      <c r="EA35" s="193">
        <f>SUM(EA33:EA34)</f>
        <v>0</v>
      </c>
      <c r="EB35" s="193">
        <f>SUM(EB33:EB34)</f>
        <v>0</v>
      </c>
      <c r="EC35" s="193">
        <f>SUM(EC33:EC34)</f>
        <v>0</v>
      </c>
      <c r="ED35" s="193">
        <f>SUM(ED33:ED34)</f>
        <v>0</v>
      </c>
      <c r="EE35" s="193">
        <f>SUM(EE33:EE34)</f>
        <v>0</v>
      </c>
      <c r="EF35" s="193">
        <f>SUM(EF33:EF34)</f>
        <v>0</v>
      </c>
      <c r="EG35" s="193">
        <f>SUM(EG33:EG34)</f>
        <v>0</v>
      </c>
      <c r="EH35" s="193">
        <f>SUM(EH33:EH34)</f>
        <v>0</v>
      </c>
      <c r="EI35" s="193">
        <f>SUM(EI33:EI34)</f>
        <v>0</v>
      </c>
      <c r="EJ35" s="193">
        <f>SUM(EJ33:EJ34)</f>
        <v>0</v>
      </c>
      <c r="EK35" s="193">
        <f>SUM(EK33:EK34)</f>
        <v>0</v>
      </c>
      <c r="EL35" s="193">
        <f>SUM(EL33:EL34)</f>
        <v>0</v>
      </c>
      <c r="EM35" s="193">
        <f>SUM(EM33:EM34)</f>
        <v>0</v>
      </c>
      <c r="EN35" s="193">
        <f>SUM(EN33:EN34)</f>
        <v>0</v>
      </c>
      <c r="EO35" s="193">
        <f>SUM(EO33:EO34)</f>
        <v>0</v>
      </c>
      <c r="EP35" s="193">
        <f>SUM(EP33:EP34)</f>
        <v>0</v>
      </c>
      <c r="EQ35" s="193">
        <f>SUM(EQ33:EQ34)</f>
        <v>0</v>
      </c>
      <c r="ER35" s="193">
        <f>SUM(ER33:ER34)</f>
        <v>0</v>
      </c>
      <c r="ES35" s="193">
        <f>SUM(ES33:ES34)</f>
        <v>0</v>
      </c>
      <c r="ET35" s="193">
        <f>SUM(ET33:ET34)</f>
        <v>0</v>
      </c>
      <c r="EU35" s="193">
        <f>SUM(EU33:EU34)</f>
        <v>0</v>
      </c>
      <c r="EV35" s="193">
        <f>SUM(EV33:EV34)</f>
        <v>0</v>
      </c>
      <c r="EW35" s="193">
        <f>SUM(EW33:EW34)</f>
        <v>0</v>
      </c>
      <c r="EX35" s="193">
        <f>SUM(EX33:EX34)</f>
        <v>0</v>
      </c>
      <c r="EY35" s="193">
        <f>SUM(EY33:EY34)</f>
        <v>0</v>
      </c>
      <c r="EZ35" s="193">
        <f>SUM(EZ33:EZ34)</f>
        <v>0</v>
      </c>
      <c r="FA35" s="193">
        <f>SUM(FA33:FA34)</f>
        <v>0</v>
      </c>
      <c r="FB35" s="193">
        <f>SUM(FB33:FB34)</f>
        <v>0</v>
      </c>
      <c r="FC35" s="193">
        <f>SUM(FC33:FC34)</f>
        <v>0</v>
      </c>
      <c r="FD35" s="193">
        <f>SUM(FD33:FD34)</f>
        <v>0</v>
      </c>
      <c r="FE35" s="193">
        <f>SUM(FE33:FE34)</f>
        <v>0</v>
      </c>
      <c r="FF35" s="193">
        <f>SUM(FF33:FF34)</f>
        <v>0</v>
      </c>
      <c r="FG35" s="193">
        <f>SUM(FG33:FG34)</f>
        <v>0</v>
      </c>
      <c r="FH35" s="193">
        <f>SUM(FH33:FH34)</f>
        <v>0</v>
      </c>
      <c r="FI35" s="193">
        <f>SUM(FI33:FI34)</f>
        <v>0</v>
      </c>
      <c r="FJ35" s="193">
        <f>SUM(FJ33:FJ34)</f>
        <v>0</v>
      </c>
      <c r="FK35" s="193">
        <f>SUM(FK33:FK34)</f>
        <v>0</v>
      </c>
      <c r="FL35" s="193">
        <f>SUM(FL33:FL34)</f>
        <v>0</v>
      </c>
      <c r="FM35" s="193">
        <f>SUM(FM33:FM34)</f>
        <v>0</v>
      </c>
      <c r="FN35" s="193">
        <f>SUM(FN33:FN34)</f>
        <v>0</v>
      </c>
      <c r="FO35" s="193">
        <f>SUM(FO33:FO34)</f>
        <v>0</v>
      </c>
      <c r="FP35" s="193">
        <f>SUM(FP33:FP34)</f>
        <v>0</v>
      </c>
      <c r="FQ35" s="193">
        <f>SUM(FQ33:FQ34)</f>
        <v>0</v>
      </c>
      <c r="FR35" s="193">
        <f>SUM(FR33:FR34)</f>
        <v>0</v>
      </c>
      <c r="FS35" s="193">
        <f>SUM(FS33:FS34)</f>
        <v>0</v>
      </c>
      <c r="FT35" s="193">
        <f>SUM(FT33:FT34)</f>
        <v>0</v>
      </c>
      <c r="FU35" s="193">
        <f>SUM(FU33:FU34)</f>
        <v>0</v>
      </c>
      <c r="FV35" s="193">
        <f>SUM(FV33:FV34)</f>
        <v>0</v>
      </c>
      <c r="FW35" s="193">
        <f>SUM(FW33:FW34)</f>
        <v>0</v>
      </c>
      <c r="FX35" s="193">
        <f>SUM(FX33:FX34)</f>
        <v>0</v>
      </c>
      <c r="FY35" s="193">
        <f>SUM(FY33:FY34)</f>
        <v>0</v>
      </c>
      <c r="FZ35" s="193">
        <f>SUM(FZ33:FZ34)</f>
        <v>0</v>
      </c>
      <c r="GA35" s="193">
        <f>SUM(GA33:GA34)</f>
        <v>0</v>
      </c>
      <c r="GB35" s="193">
        <f>SUM(GB33:GB34)</f>
        <v>0</v>
      </c>
      <c r="GC35" s="193"/>
      <c r="GD35" s="193"/>
      <c r="GE35" s="193">
        <f>SUM(GE33:GE34)</f>
        <v>0</v>
      </c>
      <c r="GF35" s="193">
        <f>SUM(GF33:GF34)</f>
        <v>0</v>
      </c>
      <c r="GG35" s="193">
        <f>SUM(GG33:GG34)</f>
        <v>0</v>
      </c>
      <c r="GH35" s="193">
        <f>SUM(GH33:GH34)</f>
        <v>0</v>
      </c>
      <c r="GI35" s="193">
        <f>SUM(GI33:GI34)</f>
        <v>0</v>
      </c>
      <c r="GJ35" s="193">
        <f>SUM(GJ33:GJ34)</f>
        <v>0</v>
      </c>
      <c r="GK35" s="193">
        <f>SUM(GK33:GK34)</f>
        <v>0</v>
      </c>
      <c r="GL35" s="193">
        <f>SUM(GL33:GL34)</f>
        <v>0</v>
      </c>
      <c r="GM35" s="193">
        <f>SUM(GM33:GM34)</f>
        <v>0</v>
      </c>
      <c r="GN35" s="193">
        <f>SUM(GN33:GN34)</f>
        <v>0</v>
      </c>
      <c r="GO35" s="193">
        <f>SUM(GO33:GO34)</f>
        <v>0</v>
      </c>
      <c r="GP35" s="193">
        <f>SUM(GP33:GP34)</f>
        <v>0</v>
      </c>
      <c r="GQ35" s="193">
        <f>SUM(GQ33:GQ34)</f>
        <v>0</v>
      </c>
      <c r="GR35" s="193">
        <f>SUM(GR33:GR34)</f>
        <v>0</v>
      </c>
      <c r="GS35" s="193">
        <f>SUM(GS33:GS34)</f>
        <v>0</v>
      </c>
      <c r="GT35" s="193">
        <f>SUM(GT33:GT34)</f>
        <v>0</v>
      </c>
      <c r="GU35" s="193">
        <f>SUM(GU33:GU34)</f>
        <v>0</v>
      </c>
      <c r="GV35" s="193">
        <f>SUM(GV33:GV34)</f>
        <v>0</v>
      </c>
      <c r="GW35" s="193">
        <f>SUM(GW33:GW34)</f>
        <v>0</v>
      </c>
      <c r="GX35" s="193">
        <f>SUM(GX33:GX34)</f>
        <v>0</v>
      </c>
      <c r="GY35" s="193">
        <f>SUM(GY33:GY34)</f>
        <v>0</v>
      </c>
      <c r="GZ35" s="193">
        <f>SUM(GZ33:GZ34)</f>
        <v>0</v>
      </c>
      <c r="HA35" s="193">
        <f>SUM(HA33:HA34)</f>
        <v>0</v>
      </c>
      <c r="HB35" s="193">
        <f>SUM(HB33:HB34)</f>
        <v>0</v>
      </c>
      <c r="HC35" s="193">
        <f>SUM(HC33:HC34)</f>
        <v>0</v>
      </c>
      <c r="HD35" s="193">
        <f>SUM(HD33:HD34)</f>
        <v>0</v>
      </c>
      <c r="HE35" s="193">
        <f>SUM(HE33:HE34)</f>
        <v>0</v>
      </c>
      <c r="HF35" s="193">
        <f>SUM(HF33:HF34)</f>
        <v>0</v>
      </c>
      <c r="HG35" s="193">
        <f>SUM(HG33:HG34)</f>
        <v>0</v>
      </c>
      <c r="HH35" s="193">
        <f>SUM(HH33:HH34)</f>
        <v>0</v>
      </c>
      <c r="HI35" s="193">
        <f>SUM(HI33:HI34)</f>
        <v>0</v>
      </c>
      <c r="HJ35" s="193">
        <f>SUM(HJ33:HJ34)</f>
        <v>0</v>
      </c>
      <c r="HK35" s="193">
        <f>SUM(HK33:HK34)</f>
        <v>0</v>
      </c>
      <c r="HL35" s="193">
        <f>SUM(HL33:HL34)</f>
        <v>0</v>
      </c>
      <c r="HM35" s="193">
        <f>SUM(HM33:HM34)</f>
        <v>0</v>
      </c>
      <c r="HN35" s="193">
        <f>SUM(HN33:HN34)</f>
        <v>0</v>
      </c>
      <c r="HO35" s="193">
        <f>SUM(HO33:HO34)</f>
        <v>0</v>
      </c>
      <c r="HP35" s="193">
        <f>SUM(HP33:HP34)</f>
        <v>0</v>
      </c>
      <c r="HQ35" s="193">
        <f>SUM(HQ33:HQ34)</f>
        <v>0</v>
      </c>
      <c r="HR35" s="193">
        <f>SUM(HR33:HR34)</f>
        <v>0</v>
      </c>
      <c r="HS35" s="193">
        <f>SUM(HS33:HS34)</f>
        <v>0</v>
      </c>
      <c r="HT35" s="193">
        <f>SUM(HT33:HT34)</f>
        <v>0</v>
      </c>
      <c r="HU35" s="193">
        <f>SUM(HU33:HU34)</f>
        <v>0</v>
      </c>
      <c r="HV35" s="193">
        <f>SUM(HV33:HV34)</f>
        <v>0</v>
      </c>
      <c r="HW35" s="193">
        <f>SUM(HW33:HW34)</f>
        <v>0</v>
      </c>
      <c r="HX35" s="193">
        <f>SUM(HX33:HX34)</f>
        <v>0</v>
      </c>
      <c r="HY35" s="193">
        <f>SUM(HY33:HY34)</f>
        <v>0</v>
      </c>
      <c r="HZ35" s="193">
        <f>SUM(HZ33:HZ34)</f>
        <v>0</v>
      </c>
      <c r="IA35" s="193">
        <f>SUM(IA33:IA34)</f>
        <v>0</v>
      </c>
      <c r="IB35" s="193">
        <f>SUM(IB33:IB34)</f>
        <v>0</v>
      </c>
      <c r="IC35" s="193">
        <f>SUM(IC33:IC34)</f>
        <v>0</v>
      </c>
      <c r="ID35" s="193">
        <f>SUM(ID33:ID34)</f>
        <v>0</v>
      </c>
      <c r="IE35" s="193">
        <f>SUM(IE33:IE34)</f>
        <v>0</v>
      </c>
      <c r="IF35" s="193">
        <f>SUM(IF33:IF34)</f>
        <v>0</v>
      </c>
      <c r="IG35" s="193">
        <f>SUM(IG33:IG34)</f>
        <v>0</v>
      </c>
      <c r="IH35" s="193">
        <f>SUM(IH33:IH34)</f>
        <v>0</v>
      </c>
      <c r="II35" s="193">
        <f>SUM(II33:II34)</f>
        <v>0</v>
      </c>
      <c r="IJ35" s="193">
        <f>SUM(IJ33:IJ34)</f>
        <v>0</v>
      </c>
      <c r="IK35" s="193">
        <f>SUM(IK33:IK34)</f>
        <v>0</v>
      </c>
      <c r="IL35" s="193">
        <f>SUM(IL33:IL34)</f>
        <v>0</v>
      </c>
      <c r="IM35" s="193">
        <f>SUM(IM33:IM34)</f>
        <v>0</v>
      </c>
      <c r="IN35" s="193">
        <f>SUM(IN33:IN34)</f>
        <v>0</v>
      </c>
      <c r="IO35" s="193">
        <f>SUM(IO33:IO34)</f>
        <v>0</v>
      </c>
      <c r="IP35" s="193">
        <f>SUM(IP33:IP34)</f>
        <v>0</v>
      </c>
      <c r="IQ35" s="193">
        <f>SUM(IQ33:IQ34)</f>
        <v>0</v>
      </c>
      <c r="IR35" s="193">
        <f>SUM(IR33:IR34)</f>
        <v>0</v>
      </c>
      <c r="IS35" s="193">
        <f>SUM(IS33:IS34)</f>
        <v>0</v>
      </c>
      <c r="IT35" s="193">
        <f>SUM(IT33:IT34)</f>
        <v>0</v>
      </c>
      <c r="IU35" s="193">
        <f>SUM(IU33:IU34)</f>
        <v>0</v>
      </c>
      <c r="IV35" s="193">
        <f>SUM(IV33:IV34)</f>
        <v>0</v>
      </c>
      <c r="IW35" s="193">
        <f>SUM(IW33:IW34)</f>
        <v>0</v>
      </c>
      <c r="IX35" s="193">
        <f>SUM(IX33:IX34)</f>
        <v>0</v>
      </c>
      <c r="IY35" s="193">
        <f>SUM(IY33:IY34)</f>
        <v>0</v>
      </c>
      <c r="IZ35" s="193">
        <f>SUM(IZ33:IZ34)</f>
        <v>0</v>
      </c>
      <c r="JA35" s="193">
        <f>SUM(JA33:JA34)</f>
        <v>0</v>
      </c>
      <c r="JB35" s="193">
        <f>SUM(JB33:JB34)</f>
        <v>0</v>
      </c>
      <c r="JC35" s="193">
        <f>SUM(JC33:JC34)</f>
        <v>0</v>
      </c>
      <c r="JD35" s="193">
        <f>SUM(JD33:JD34)</f>
        <v>0</v>
      </c>
      <c r="JE35" s="193">
        <f>SUM(JE33:JE34)</f>
        <v>0</v>
      </c>
      <c r="JF35" s="193">
        <f>SUM(JF33:JF34)</f>
        <v>0</v>
      </c>
      <c r="JG35" s="193">
        <f>SUM(JG33:JG34)</f>
        <v>0</v>
      </c>
      <c r="JH35" s="193">
        <f>SUM(JH33:JH34)</f>
        <v>0</v>
      </c>
      <c r="JI35" s="193">
        <f>SUM(JI33:JI34)</f>
        <v>0</v>
      </c>
      <c r="JJ35" s="193">
        <f>SUM(JJ33:JJ34)</f>
        <v>0</v>
      </c>
      <c r="JK35" s="193">
        <f>SUM(JK33:JK34)</f>
        <v>0</v>
      </c>
      <c r="JL35" s="193">
        <f>SUM(JL33:JL34)</f>
        <v>0</v>
      </c>
      <c r="JM35" s="193">
        <f>SUM(JM33:JM34)</f>
        <v>0</v>
      </c>
      <c r="JN35" s="193">
        <f>SUM(JN33:JN34)</f>
        <v>0</v>
      </c>
      <c r="JO35" s="193">
        <f>SUM(JO33:JO34)</f>
        <v>0</v>
      </c>
      <c r="JP35" s="193">
        <f>SUM(JP33:JP34)</f>
        <v>0</v>
      </c>
      <c r="JQ35" s="193">
        <f>SUM(JQ33:JQ34)</f>
        <v>0</v>
      </c>
      <c r="JR35" s="193">
        <f>SUM(JR33:JR34)</f>
        <v>0</v>
      </c>
      <c r="JS35" s="193">
        <f>SUM(JS33:JS34)</f>
        <v>0</v>
      </c>
      <c r="JT35" s="193">
        <f>SUM(JT33:JT34)</f>
        <v>0</v>
      </c>
      <c r="JU35" s="193">
        <f>SUM(JU33:JU34)</f>
        <v>0</v>
      </c>
      <c r="JV35" s="193">
        <f>SUM(JV33:JV34)</f>
        <v>0</v>
      </c>
      <c r="JW35" s="193">
        <f>SUM(JW33:JW34)</f>
        <v>0</v>
      </c>
      <c r="JX35" s="193">
        <f>SUM(JX33:JX34)</f>
        <v>0</v>
      </c>
      <c r="JY35" s="193">
        <f>SUM(JY33:JY34)</f>
        <v>0</v>
      </c>
      <c r="JZ35" s="193">
        <f>SUM(JZ33:JZ34)</f>
        <v>0</v>
      </c>
      <c r="KA35" s="193">
        <f>SUM(KA33:KA34)</f>
        <v>0</v>
      </c>
      <c r="KB35" s="193">
        <f>SUM(KB33:KB34)</f>
        <v>0</v>
      </c>
      <c r="KC35" s="193">
        <f>SUM(KC33:KC34)</f>
        <v>0</v>
      </c>
      <c r="KD35" s="193">
        <f>SUM(KD33:KD34)</f>
        <v>0</v>
      </c>
      <c r="KE35" s="193">
        <f>SUM(KE33:KE34)</f>
        <v>0</v>
      </c>
      <c r="KF35" s="193">
        <f>SUM(KF33:KF34)</f>
        <v>0</v>
      </c>
      <c r="KG35" s="193">
        <f>SUM(KG33:KG34)</f>
        <v>0</v>
      </c>
      <c r="KH35" s="193">
        <f>SUM(KH33:KH34)</f>
        <v>0</v>
      </c>
      <c r="KI35" s="193">
        <f>SUM(KI33:KI34)</f>
        <v>0</v>
      </c>
      <c r="KJ35" s="193">
        <f>SUM(KJ33:KJ34)</f>
        <v>0</v>
      </c>
      <c r="KK35" s="193">
        <f>SUM(KK33:KK34)</f>
        <v>0</v>
      </c>
      <c r="KL35" s="193">
        <f>SUM(KL33:KL34)</f>
        <v>0</v>
      </c>
      <c r="KM35" s="193">
        <f>SUM(KM33:KM34)</f>
        <v>0</v>
      </c>
      <c r="KN35" s="193">
        <f>SUM(KN33:KN34)</f>
        <v>0</v>
      </c>
      <c r="KO35" s="193">
        <f>SUM(KO33:KO34)</f>
        <v>0</v>
      </c>
      <c r="KP35" s="193">
        <f>SUM(KP33:KP34)</f>
        <v>0</v>
      </c>
      <c r="KQ35" s="193">
        <f>SUM(KQ33:KQ34)</f>
        <v>0</v>
      </c>
      <c r="KR35" s="193">
        <f>SUM(KR33:KR34)</f>
        <v>0</v>
      </c>
      <c r="KS35" s="193">
        <f>SUM(KS33:KS34)</f>
        <v>0</v>
      </c>
      <c r="KT35" s="193">
        <f>SUM(KT33:KT34)</f>
        <v>0</v>
      </c>
      <c r="KU35" s="193">
        <f>SUM(KU33:KU34)</f>
        <v>0</v>
      </c>
      <c r="KV35" s="193">
        <f>SUM(KV33:KV34)</f>
        <v>0</v>
      </c>
      <c r="KW35" s="193">
        <f>SUM(KW33:KW34)</f>
        <v>0</v>
      </c>
      <c r="KX35" s="193">
        <f>SUM(KX33:KX34)</f>
        <v>0</v>
      </c>
      <c r="KY35" s="193">
        <f>SUM(KY33:KY34)</f>
        <v>0</v>
      </c>
      <c r="KZ35" s="193">
        <f>SUM(KZ33:KZ34)</f>
        <v>0</v>
      </c>
      <c r="LA35" s="193">
        <f>SUM(LA33:LA34)</f>
        <v>0</v>
      </c>
      <c r="LB35" s="193">
        <f>SUM(LB33:LB34)</f>
        <v>0</v>
      </c>
      <c r="LC35" s="193">
        <f>SUM(LC33:LC34)</f>
        <v>0</v>
      </c>
      <c r="LD35" s="193">
        <f>SUM(LD33:LD34)</f>
        <v>0</v>
      </c>
      <c r="LE35" s="193">
        <f>SUM(LE33:LE34)</f>
        <v>0</v>
      </c>
      <c r="LF35" s="193">
        <f>SUM(LF33:LF34)</f>
        <v>0</v>
      </c>
      <c r="LG35" s="193">
        <f>SUM(LG33:LG34)</f>
        <v>0</v>
      </c>
      <c r="LH35" s="193">
        <f>SUM(LH33:LH34)</f>
        <v>0</v>
      </c>
      <c r="LI35" s="193">
        <f>SUM(LI33:LI34)</f>
        <v>0</v>
      </c>
      <c r="LJ35" s="193">
        <f>SUM(LJ33:LJ34)</f>
        <v>0</v>
      </c>
      <c r="LK35" s="193">
        <f>SUM(LK33:LK34)</f>
        <v>0</v>
      </c>
      <c r="LL35" s="193">
        <f>SUM(LL33:LL34)</f>
        <v>0</v>
      </c>
      <c r="LM35" s="193">
        <f>SUM(LM33:LM34)</f>
        <v>0</v>
      </c>
      <c r="LN35" s="193">
        <f>SUM(LN33:LN34)</f>
        <v>0</v>
      </c>
      <c r="LO35" s="193">
        <f>SUM(LO33:LO34)</f>
        <v>0</v>
      </c>
      <c r="LP35" s="193">
        <f>SUM(LP33:LP34)</f>
        <v>0</v>
      </c>
      <c r="LQ35" s="193">
        <f>SUM(LQ33:LQ34)</f>
        <v>0</v>
      </c>
      <c r="LR35" s="193">
        <f>SUM(LR33:LR34)</f>
        <v>0</v>
      </c>
      <c r="LS35" s="193">
        <f>SUM(LS33:LS34)</f>
        <v>0</v>
      </c>
      <c r="LT35" s="193">
        <f>SUM(LT33:LT34)</f>
        <v>0</v>
      </c>
      <c r="LU35" s="193">
        <f>SUM(LU33:LU34)</f>
        <v>0</v>
      </c>
      <c r="LV35" s="193">
        <f>SUM(LV33:LV34)</f>
        <v>0</v>
      </c>
      <c r="LW35" s="193">
        <f>SUM(LW33:LW34)</f>
        <v>0</v>
      </c>
      <c r="LX35" s="193">
        <f>SUM(LX33:LX34)</f>
        <v>0</v>
      </c>
      <c r="LY35" s="193">
        <f>SUM(LY33:LY34)</f>
        <v>0</v>
      </c>
      <c r="LZ35" s="193">
        <f>SUM(LZ33:LZ34)</f>
        <v>0</v>
      </c>
      <c r="MA35" s="193">
        <f>SUM(MA33:MA34)</f>
        <v>0</v>
      </c>
      <c r="MB35" s="193">
        <f>SUM(MB33:MB34)</f>
        <v>0</v>
      </c>
      <c r="MC35" s="193">
        <f>SUM(MC33:MC34)</f>
        <v>0</v>
      </c>
      <c r="MD35" s="193">
        <f>SUM(MD33:MD34)</f>
        <v>0</v>
      </c>
      <c r="ME35" s="193">
        <f>SUM(ME33:ME34)</f>
        <v>0</v>
      </c>
      <c r="MF35" s="193">
        <f>SUM(MF33:MF34)</f>
        <v>0</v>
      </c>
      <c r="MG35" s="193">
        <f>SUM(MG33:MG34)</f>
        <v>0</v>
      </c>
      <c r="MH35" s="193">
        <f>SUM(MH33:MH34)</f>
        <v>0</v>
      </c>
      <c r="MI35" s="193">
        <f>SUM(MI33:MI34)</f>
        <v>0</v>
      </c>
      <c r="MJ35" s="193">
        <f>SUM(MJ33:MJ34)</f>
        <v>0</v>
      </c>
      <c r="MK35" s="193">
        <f>SUM(MK33:MK34)</f>
        <v>0</v>
      </c>
      <c r="ML35" s="193">
        <f>SUM(ML33:ML34)</f>
        <v>0</v>
      </c>
      <c r="MM35" s="193">
        <f>SUM(MM33:MM34)</f>
        <v>0</v>
      </c>
      <c r="MN35" s="193">
        <f>SUM(MN33:MN34)</f>
        <v>0</v>
      </c>
      <c r="MO35" s="193">
        <f>SUM(MO33:MO34)</f>
        <v>0</v>
      </c>
      <c r="MP35" s="193">
        <f>SUM(MP33:MP34)</f>
        <v>0</v>
      </c>
      <c r="MQ35" s="193">
        <f>SUM(MQ33:MQ34)</f>
        <v>0</v>
      </c>
      <c r="MR35" s="193">
        <f>SUM(MR33:MR34)</f>
        <v>0</v>
      </c>
      <c r="MS35" s="193">
        <f>SUM(MS33:MS34)</f>
        <v>0</v>
      </c>
      <c r="MT35" s="193">
        <f>SUM(MT33:MT34)</f>
        <v>0</v>
      </c>
      <c r="MU35" s="193">
        <f>SUM(MU33:MU34)</f>
        <v>0</v>
      </c>
      <c r="MV35" s="193">
        <f>SUM(MV33:MV34)</f>
        <v>0</v>
      </c>
      <c r="MW35" s="193">
        <f>SUM(MW33:MW34)</f>
        <v>0</v>
      </c>
      <c r="MX35" s="193">
        <f>SUM(MX33:MX34)</f>
        <v>0</v>
      </c>
      <c r="MY35" s="193">
        <f>SUM(MY33:MY34)</f>
        <v>0</v>
      </c>
      <c r="MZ35" s="193">
        <f>SUM(MZ33:MZ34)</f>
        <v>0</v>
      </c>
      <c r="NA35" s="193">
        <f>SUM(NA33:NA34)</f>
        <v>0</v>
      </c>
      <c r="NB35" s="193">
        <f>SUM(NB33:NB34)</f>
        <v>0</v>
      </c>
      <c r="NC35" s="193">
        <f>SUM(NC33:NC34)</f>
        <v>0</v>
      </c>
      <c r="ND35" s="193">
        <f>SUM(ND33:ND34)</f>
        <v>0</v>
      </c>
      <c r="NE35" s="193">
        <f>SUM(NE33:NE34)</f>
        <v>0</v>
      </c>
      <c r="NF35" s="193">
        <f>SUM(NF33:NF34)</f>
        <v>0</v>
      </c>
      <c r="NG35" s="193">
        <f>SUM(NG33:NG34)</f>
        <v>0</v>
      </c>
      <c r="NH35" s="193">
        <f>SUM(NH33:NH34)</f>
        <v>0</v>
      </c>
      <c r="NI35" s="193">
        <f>SUM(NI33:NI34)</f>
        <v>0</v>
      </c>
      <c r="NJ35" s="193">
        <f>SUM(NJ33:NJ34)</f>
        <v>0</v>
      </c>
      <c r="NK35" s="193">
        <f>SUM(NK33:NK34)</f>
        <v>0</v>
      </c>
      <c r="NL35" s="193">
        <f>SUM(NL33:NL34)</f>
        <v>0</v>
      </c>
      <c r="NM35" s="193">
        <f>SUM(NM33:NM34)</f>
        <v>0</v>
      </c>
      <c r="NN35" s="193">
        <f>SUM(NN33:NN34)</f>
        <v>0</v>
      </c>
      <c r="NO35" s="193">
        <f>SUM(NO33:NO34)</f>
        <v>0</v>
      </c>
      <c r="NP35" s="193">
        <f>SUM(NP33:NP34)</f>
        <v>0</v>
      </c>
      <c r="NQ35" s="193">
        <f>SUM(NQ33:NQ34)</f>
        <v>0</v>
      </c>
      <c r="NR35" s="193">
        <f>SUM(NR33:NR34)</f>
        <v>0</v>
      </c>
      <c r="NS35" s="193">
        <f>SUM(NS33:NS34)</f>
        <v>0</v>
      </c>
      <c r="NT35" s="193">
        <f>SUM(NT33:NT34)</f>
        <v>0</v>
      </c>
      <c r="NU35" s="193">
        <f>SUM(NU33:NU34)</f>
        <v>0</v>
      </c>
      <c r="NV35" s="193">
        <f>SUM(NV33:NV34)</f>
        <v>0</v>
      </c>
      <c r="NW35" s="193">
        <f>SUM(NW33:NW34)</f>
        <v>0</v>
      </c>
      <c r="NX35" s="193">
        <f>SUM(NX33:NX34)</f>
        <v>0</v>
      </c>
      <c r="NY35" s="193">
        <f>SUM(NY33:NY34)</f>
        <v>0</v>
      </c>
      <c r="NZ35" s="193">
        <f>SUM(NZ33:NZ34)</f>
        <v>0</v>
      </c>
      <c r="OA35" s="193">
        <f>SUM(OA33:OA34)</f>
        <v>0</v>
      </c>
      <c r="OB35" s="193">
        <f>SUM(OB33:OB34)</f>
        <v>0</v>
      </c>
      <c r="OC35" s="193">
        <f>SUM(OC33:OC34)</f>
        <v>0</v>
      </c>
      <c r="OD35" s="193">
        <f>SUM(OD33:OD34)</f>
        <v>0</v>
      </c>
      <c r="OE35" s="193">
        <f>SUM(OE33:OE34)</f>
        <v>0</v>
      </c>
      <c r="OF35" s="193">
        <f>SUM(OF33:OF34)</f>
        <v>0</v>
      </c>
      <c r="OG35" s="193">
        <f>SUM(OG33:OG34)</f>
        <v>0</v>
      </c>
      <c r="OH35" s="193">
        <f>SUM(OH33:OH34)</f>
        <v>0</v>
      </c>
      <c r="OI35" s="193">
        <f>SUM(OI33:OI34)</f>
        <v>0</v>
      </c>
      <c r="OJ35" s="193">
        <f>SUM(OJ33:OJ34)</f>
        <v>0</v>
      </c>
      <c r="OK35" s="193">
        <f>SUM(OK33:OK34)</f>
        <v>0</v>
      </c>
      <c r="OL35" s="193">
        <f>SUM(OL33:OL34)</f>
        <v>0</v>
      </c>
      <c r="OM35" s="193">
        <f>SUM(OM33:OM34)</f>
        <v>0</v>
      </c>
      <c r="ON35" s="193">
        <f>SUM(ON33:ON34)</f>
        <v>0</v>
      </c>
      <c r="OO35" s="193">
        <f>SUM(OO33:OO34)</f>
        <v>0</v>
      </c>
      <c r="OP35" s="193">
        <f>SUM(OP33:OP34)</f>
        <v>0</v>
      </c>
      <c r="OQ35" s="193">
        <f>SUM(OQ33:OQ34)</f>
        <v>0</v>
      </c>
      <c r="OR35" s="193">
        <f>SUM(OR33:OR34)</f>
        <v>0</v>
      </c>
      <c r="OS35" s="193">
        <f>SUM(OS33:OS34)</f>
        <v>0</v>
      </c>
      <c r="OT35" s="193">
        <f>SUM(OT33:OT34)</f>
        <v>0</v>
      </c>
      <c r="OU35" s="193">
        <f>SUM(OU33:OU34)</f>
        <v>0</v>
      </c>
      <c r="OV35" s="193">
        <f>SUM(OV33:OV34)</f>
        <v>0</v>
      </c>
      <c r="OW35" s="193"/>
      <c r="OX35" s="193"/>
      <c r="OY35" s="193"/>
      <c r="OZ35" s="193">
        <f>SUM(OZ33:OZ34)</f>
        <v>0</v>
      </c>
      <c r="PA35" s="193">
        <f>SUM(PA33:PA34)</f>
        <v>0</v>
      </c>
      <c r="PB35" s="193">
        <f>SUM(PB33:PB34)</f>
        <v>0</v>
      </c>
      <c r="PC35" s="193">
        <f>SUM(PC33:PC34)</f>
        <v>0</v>
      </c>
      <c r="PD35" s="193">
        <f>SUM(PD33:PD34)</f>
        <v>0</v>
      </c>
      <c r="PE35" s="193">
        <f>SUM(PE33:PE34)</f>
        <v>0</v>
      </c>
      <c r="PF35" s="193">
        <f>SUM(PF33:PF34)</f>
        <v>0</v>
      </c>
      <c r="PG35" s="193">
        <f>SUM(PG33:PG34)</f>
        <v>0</v>
      </c>
      <c r="PH35" s="193">
        <f>SUM(PH33:PH34)</f>
        <v>0</v>
      </c>
      <c r="PI35" s="193">
        <f>SUM(PI33:PI34)</f>
        <v>0</v>
      </c>
      <c r="PJ35" s="193">
        <f>SUM(PJ33:PJ34)</f>
        <v>0</v>
      </c>
      <c r="PK35" s="193">
        <f>SUM(PK33:PK34)</f>
        <v>0</v>
      </c>
      <c r="PL35" s="193">
        <f>SUM(PL33:PL34)</f>
        <v>0</v>
      </c>
      <c r="PM35" s="193">
        <f>SUM(PM33:PM34)</f>
        <v>0</v>
      </c>
      <c r="PN35" s="193">
        <f>SUM(PN33:PN34)</f>
        <v>0</v>
      </c>
      <c r="PO35" s="193">
        <f>SUM(PO33:PO34)</f>
        <v>0</v>
      </c>
      <c r="PP35" s="193">
        <f>SUM(PP33:PP34)</f>
        <v>0</v>
      </c>
      <c r="PQ35" s="193">
        <f>SUM(PQ33:PQ34)</f>
        <v>0</v>
      </c>
      <c r="PR35" s="193">
        <f>SUM(PR33:PR34)</f>
        <v>0</v>
      </c>
      <c r="PS35" s="193">
        <f>SUM(PS33:PS34)</f>
        <v>0</v>
      </c>
      <c r="PT35" s="193">
        <f>SUM(PT33:PT34)</f>
        <v>0</v>
      </c>
      <c r="PU35" s="193">
        <f>SUM(PU33:PU34)</f>
        <v>0</v>
      </c>
      <c r="PV35" s="193">
        <f>SUM(PV33:PV34)</f>
        <v>0</v>
      </c>
      <c r="PW35" s="193">
        <f>SUM(PW33:PW34)</f>
        <v>0</v>
      </c>
      <c r="PX35" s="193">
        <f>SUM(PX33:PX34)</f>
        <v>0</v>
      </c>
      <c r="PY35" s="193">
        <f>SUM(PY33:PY34)</f>
        <v>0</v>
      </c>
      <c r="PZ35" s="193">
        <f>SUM(PZ33:PZ34)</f>
        <v>0</v>
      </c>
      <c r="QA35" s="193">
        <f>SUM(QA33:QA34)</f>
        <v>0</v>
      </c>
      <c r="QB35" s="193">
        <f>SUM(QB33:QB34)</f>
        <v>0</v>
      </c>
      <c r="QC35" s="193">
        <f>SUM(QC33:QC34)</f>
        <v>0</v>
      </c>
      <c r="QD35" s="193">
        <f>SUM(QD33:QD34)</f>
        <v>0</v>
      </c>
      <c r="QE35" s="193">
        <f>SUM(QE33:QE34)</f>
        <v>0</v>
      </c>
      <c r="QF35" s="193">
        <f>SUM(QF33:QF34)</f>
        <v>0</v>
      </c>
      <c r="QG35" s="193">
        <f>SUM(QG33:QG34)</f>
        <v>0</v>
      </c>
      <c r="QH35" s="193">
        <f>SUM(QH33:QH34)</f>
        <v>0</v>
      </c>
      <c r="QI35" s="193">
        <f>SUM(QI33:QI34)</f>
        <v>0</v>
      </c>
      <c r="QJ35" s="193">
        <f>SUM(QJ33:QJ34)</f>
        <v>0</v>
      </c>
      <c r="QK35" s="193">
        <f>SUM(QK33:QK34)</f>
        <v>0</v>
      </c>
      <c r="QL35" s="193">
        <f>SUM(QL33:QL34)</f>
        <v>0</v>
      </c>
      <c r="QM35" s="193">
        <f>SUM(QM33:QM34)</f>
        <v>0</v>
      </c>
      <c r="QN35" s="193">
        <f>SUM(QN33:QN34)</f>
        <v>0</v>
      </c>
      <c r="QO35" s="193">
        <f>SUM(QO33:QO34)</f>
        <v>0</v>
      </c>
      <c r="QP35" s="193">
        <f>SUM(QP33:QP34)</f>
        <v>0</v>
      </c>
      <c r="QQ35" s="193">
        <f>SUM(QQ33:QQ34)</f>
        <v>0</v>
      </c>
      <c r="QR35" s="193">
        <f>SUM(QR33:QR34)</f>
        <v>0</v>
      </c>
      <c r="QS35" s="193">
        <f>SUM(QS33:QS34)</f>
        <v>0</v>
      </c>
      <c r="QT35" s="193">
        <f>SUM(QT33:QT34)</f>
        <v>0</v>
      </c>
      <c r="QU35" s="193">
        <f>SUM(QU33:QU34)</f>
        <v>0</v>
      </c>
      <c r="QV35" s="193">
        <f>SUM(QV33:QV34)</f>
        <v>0</v>
      </c>
      <c r="QW35" s="193">
        <f>SUM(QW33:QW34)</f>
        <v>0</v>
      </c>
      <c r="QX35" s="193">
        <f>SUM(QX33:QX34)</f>
        <v>0</v>
      </c>
      <c r="QY35" s="193">
        <f>SUM(QY33:QY34)</f>
        <v>0</v>
      </c>
      <c r="QZ35" s="193">
        <f>SUM(QZ33:QZ34)</f>
        <v>0</v>
      </c>
      <c r="RA35" s="193">
        <f>SUM(RA33:RA34)</f>
        <v>0</v>
      </c>
      <c r="RB35" s="193">
        <f>SUM(RB33:RB34)</f>
        <v>0</v>
      </c>
      <c r="RC35" s="193">
        <f>SUM(RC33:RC34)</f>
        <v>0</v>
      </c>
      <c r="RD35" s="193">
        <f>SUM(RD33:RD34)</f>
        <v>0</v>
      </c>
      <c r="RE35" s="193">
        <f>SUM(RE33:RE34)</f>
        <v>0</v>
      </c>
      <c r="RF35" s="193">
        <f>SUM(RF33:RF34)</f>
        <v>0</v>
      </c>
      <c r="RG35" s="193">
        <f>SUM(RG33:RG34)</f>
        <v>0</v>
      </c>
      <c r="RH35" s="193">
        <f>SUM(RH33:RH34)</f>
        <v>0</v>
      </c>
      <c r="RI35" s="193">
        <f>SUM(RI33:RI34)</f>
        <v>0</v>
      </c>
      <c r="RJ35" s="193">
        <f>SUM(RJ33:RJ34)</f>
        <v>0</v>
      </c>
      <c r="RK35" s="193">
        <f>SUM(RK33:RK34)</f>
        <v>0</v>
      </c>
      <c r="RL35" s="193">
        <f>SUM(RL33:RL34)</f>
        <v>0</v>
      </c>
      <c r="RM35" s="193">
        <f>SUM(RM33:RM34)</f>
        <v>0</v>
      </c>
      <c r="RN35" s="193">
        <f>SUM(RN33:RN34)</f>
        <v>0</v>
      </c>
      <c r="RO35" s="193"/>
      <c r="RP35" s="193"/>
      <c r="RQ35" s="193"/>
      <c r="RR35" s="193"/>
      <c r="RS35" s="193"/>
      <c r="RT35" s="193"/>
      <c r="RU35" s="193">
        <f>SUM(RU33:RU34)</f>
        <v>0</v>
      </c>
      <c r="RV35" s="193">
        <f>SUM(RV33:RV34)</f>
        <v>0</v>
      </c>
      <c r="RW35" s="193">
        <f>SUM(RW33:RW34)</f>
        <v>0</v>
      </c>
      <c r="RX35" s="193">
        <f>SUM(RX33:RX34)</f>
        <v>0</v>
      </c>
      <c r="RY35" s="193">
        <f>SUM(RY33:RY34)</f>
        <v>0</v>
      </c>
      <c r="RZ35" s="193">
        <f>SUM(RZ33:RZ34)</f>
        <v>0</v>
      </c>
      <c r="SA35" s="193">
        <f>SUM(SA33:SA34)</f>
        <v>0</v>
      </c>
      <c r="SB35" s="193">
        <f>SUM(SB33:SB34)</f>
        <v>0</v>
      </c>
      <c r="SC35" s="193">
        <f>SUM(SC33:SC34)</f>
        <v>0</v>
      </c>
      <c r="SD35" s="193">
        <f>SUM(SD33:SD34)</f>
        <v>0</v>
      </c>
      <c r="SE35" s="193">
        <f>SUM(SE33:SE34)</f>
        <v>0</v>
      </c>
      <c r="SF35" s="193">
        <f>SUM(SF33:SF34)</f>
        <v>0</v>
      </c>
      <c r="SG35" s="193">
        <f>SUM(SG33:SG34)</f>
        <v>0</v>
      </c>
      <c r="SH35" s="193">
        <f>SUM(SH33:SH34)</f>
        <v>0</v>
      </c>
      <c r="SI35" s="193">
        <f>SUM(SI33:SI34)</f>
        <v>0</v>
      </c>
      <c r="SJ35" s="193">
        <f>SUM(SJ33:SJ34)</f>
        <v>0</v>
      </c>
      <c r="SK35" s="193">
        <f>SUM(SK33:SK34)</f>
        <v>0</v>
      </c>
      <c r="SL35" s="193">
        <f>SUM(SL33:SL34)</f>
        <v>0</v>
      </c>
      <c r="SM35" s="193">
        <f>SUM(SM33:SM34)</f>
        <v>0</v>
      </c>
      <c r="SN35" s="193">
        <f>SUM(SN33:SN34)</f>
        <v>0</v>
      </c>
      <c r="SO35" s="193">
        <f>SUM(SO33:SO34)</f>
        <v>0</v>
      </c>
      <c r="SP35" s="193">
        <f>SUM(SP33:SP34)</f>
        <v>0</v>
      </c>
      <c r="SQ35" s="193"/>
      <c r="SR35" s="193"/>
      <c r="SS35" s="195"/>
    </row>
    <row r="36" spans="1:513" s="194" customFormat="1" ht="20.25" customHeight="1">
      <c r="A36" s="215" t="s">
        <v>445</v>
      </c>
      <c r="B36" s="216"/>
      <c r="C36" s="216"/>
      <c r="D36" s="216"/>
      <c r="E36" s="217"/>
      <c r="F36" s="193">
        <f>SUM(F33:F34)</f>
        <v>0</v>
      </c>
      <c r="G36" s="193">
        <f>SUM(G33:G34)</f>
        <v>0</v>
      </c>
      <c r="H36" s="193">
        <f>SUM(H33:H34)</f>
        <v>0</v>
      </c>
      <c r="I36" s="193">
        <f>SUM(I33:I34)</f>
        <v>0</v>
      </c>
      <c r="J36" s="193">
        <f>SUM(J33:J34)</f>
        <v>0</v>
      </c>
      <c r="K36" s="193">
        <f>SUM(K33:K34)</f>
        <v>0</v>
      </c>
      <c r="L36" s="193">
        <f>SUM(L33:L34)</f>
        <v>0</v>
      </c>
      <c r="M36" s="193">
        <f>SUM(M33:M34)</f>
        <v>0</v>
      </c>
      <c r="N36" s="193">
        <f>SUM(N33:N34)</f>
        <v>0</v>
      </c>
      <c r="O36" s="193">
        <f>SUM(O33:O34)</f>
        <v>0</v>
      </c>
      <c r="P36" s="193">
        <f>SUM(P33:P34)</f>
        <v>0</v>
      </c>
      <c r="Q36" s="193">
        <f>SUM(Q33:Q34)</f>
        <v>0</v>
      </c>
      <c r="R36" s="193">
        <f>SUM(R33:R34)</f>
        <v>0</v>
      </c>
      <c r="S36" s="193">
        <f>SUM(S33:S34)</f>
        <v>0</v>
      </c>
      <c r="T36" s="193">
        <f>SUM(T33:T34)</f>
        <v>0</v>
      </c>
      <c r="U36" s="193">
        <f>SUM(U33:U34)</f>
        <v>0</v>
      </c>
      <c r="V36" s="193">
        <f>SUM(V33:V34)</f>
        <v>100</v>
      </c>
      <c r="W36" s="193">
        <f>SUM(W33:W34)</f>
        <v>10</v>
      </c>
      <c r="X36" s="193">
        <f>SUM(X33:X34)</f>
        <v>100</v>
      </c>
      <c r="Y36" s="193">
        <f>SUM(Y33:Y34)</f>
        <v>15</v>
      </c>
      <c r="Z36" s="193">
        <f>SUM(Z33:Z34)</f>
        <v>100</v>
      </c>
      <c r="AA36" s="193">
        <f>SUM(AA33:AA34)</f>
        <v>7</v>
      </c>
      <c r="AB36" s="193">
        <f>SUM(AB33:AB34)</f>
        <v>100</v>
      </c>
      <c r="AC36" s="193">
        <f>SUM(AC33:AC34)</f>
        <v>8</v>
      </c>
      <c r="AD36" s="193">
        <f>SUM(AD33:AD34)</f>
        <v>38</v>
      </c>
      <c r="AE36" s="193">
        <f>SUM(AE33:AE34)</f>
        <v>0</v>
      </c>
      <c r="AF36" s="193">
        <f>SUM(AF33:AF34)</f>
        <v>438</v>
      </c>
      <c r="AG36" s="193">
        <f>SUM(AG33:AG34)</f>
        <v>40</v>
      </c>
      <c r="AH36" s="193">
        <f>SUM(AH33:AH34)</f>
        <v>478</v>
      </c>
      <c r="AI36" s="193">
        <f>SUM(AI33:AI34)</f>
        <v>100</v>
      </c>
      <c r="AJ36" s="193">
        <f>SUM(AJ33:AJ34)</f>
        <v>10</v>
      </c>
      <c r="AK36" s="193">
        <f>SUM(AK33:AK34)</f>
        <v>100</v>
      </c>
      <c r="AL36" s="193">
        <f>SUM(AL33:AL34)</f>
        <v>15</v>
      </c>
      <c r="AM36" s="193">
        <f>SUM(AM33:AM34)</f>
        <v>100</v>
      </c>
      <c r="AN36" s="193">
        <f>SUM(AN33:AN34)</f>
        <v>7</v>
      </c>
      <c r="AO36" s="193">
        <f>SUM(AO33:AO34)</f>
        <v>100</v>
      </c>
      <c r="AP36" s="193">
        <f>SUM(AP33:AP34)</f>
        <v>8</v>
      </c>
      <c r="AQ36" s="193">
        <f>SUM(AQ33:AQ34)</f>
        <v>38</v>
      </c>
      <c r="AR36" s="193">
        <f>SUM(AR33:AR34)</f>
        <v>0</v>
      </c>
      <c r="AS36" s="193">
        <f>SUM(AS33:AS34)</f>
        <v>438</v>
      </c>
      <c r="AT36" s="193">
        <f>SUM(AT33:AT34)</f>
        <v>40</v>
      </c>
      <c r="AU36" s="193">
        <f>SUM(AU33:AU34)</f>
        <v>478</v>
      </c>
      <c r="AV36" s="193">
        <f>SUM(AV33:AV34)</f>
        <v>9</v>
      </c>
      <c r="AW36" s="193">
        <f>SUM(AW33:AW34)</f>
        <v>0</v>
      </c>
      <c r="AX36" s="193">
        <f>SUM(AX33:AX34)</f>
        <v>3</v>
      </c>
      <c r="AY36" s="193">
        <f>SUM(AY33:AY34)</f>
        <v>0</v>
      </c>
      <c r="AZ36" s="193">
        <f>SUM(AZ33:AZ34)</f>
        <v>0</v>
      </c>
      <c r="BA36" s="193">
        <f>SUM(BA33:BA34)</f>
        <v>0</v>
      </c>
      <c r="BB36" s="193">
        <f>SUM(BB33:BB34)</f>
        <v>0</v>
      </c>
      <c r="BC36" s="193">
        <f>SUM(BC33:BC34)</f>
        <v>0</v>
      </c>
      <c r="BD36" s="193">
        <f>SUM(BD33:BD34)</f>
        <v>0</v>
      </c>
      <c r="BE36" s="193">
        <f>SUM(BE33:BE34)</f>
        <v>0</v>
      </c>
      <c r="BF36" s="193">
        <f>SUM(BF33:BF34)</f>
        <v>12</v>
      </c>
      <c r="BG36" s="193">
        <f>SUM(BG33:BG34)</f>
        <v>0</v>
      </c>
      <c r="BH36" s="193">
        <f>SUM(BH33:BH34)</f>
        <v>12</v>
      </c>
      <c r="BI36" s="193">
        <f>SUM(BI33:BI34)</f>
        <v>10</v>
      </c>
      <c r="BJ36" s="193">
        <f>SUM(BJ33:BJ34)</f>
        <v>0</v>
      </c>
      <c r="BK36" s="193">
        <f>SUM(BK33:BK34)</f>
        <v>10</v>
      </c>
      <c r="BL36" s="193">
        <f>SUM(BL33:BL34)</f>
        <v>0</v>
      </c>
      <c r="BM36" s="193">
        <f>SUM(BM33:BM34)</f>
        <v>0</v>
      </c>
      <c r="BN36" s="193">
        <f>SUM(BN33:BN34)</f>
        <v>0</v>
      </c>
      <c r="BO36" s="193">
        <f>SUM(BO33:BO34)</f>
        <v>0</v>
      </c>
      <c r="BP36" s="193">
        <f>SUM(BP33:BP34)</f>
        <v>0</v>
      </c>
      <c r="BQ36" s="193">
        <f>SUM(BQ33:BQ34)</f>
        <v>0</v>
      </c>
      <c r="BR36" s="193">
        <f>SUM(BR33:BR34)</f>
        <v>0</v>
      </c>
      <c r="BS36" s="193">
        <f>SUM(BS33:BS34)</f>
        <v>20</v>
      </c>
      <c r="BT36" s="193">
        <f>SUM(BT33:BT34)</f>
        <v>0</v>
      </c>
      <c r="BU36" s="193">
        <f>SUM(BU33:BU34)</f>
        <v>20</v>
      </c>
      <c r="BV36" s="193">
        <f>SUM(BV33:BV34)</f>
        <v>100</v>
      </c>
      <c r="BW36" s="193">
        <f>SUM(BW33:BW34)</f>
        <v>10</v>
      </c>
      <c r="BX36" s="193">
        <f>SUM(BX33:BX34)</f>
        <v>109</v>
      </c>
      <c r="BY36" s="193">
        <f>SUM(BY33:BY34)</f>
        <v>15</v>
      </c>
      <c r="BZ36" s="193">
        <f>SUM(BZ33:BZ34)</f>
        <v>113</v>
      </c>
      <c r="CA36" s="193">
        <f>SUM(CA33:CA34)</f>
        <v>7</v>
      </c>
      <c r="CB36" s="193">
        <f>SUM(CB33:CB34)</f>
        <v>110</v>
      </c>
      <c r="CC36" s="193">
        <f>SUM(CC33:CC34)</f>
        <v>8</v>
      </c>
      <c r="CD36" s="193">
        <f>SUM(CD33:CD34)</f>
        <v>38</v>
      </c>
      <c r="CE36" s="193">
        <f>SUM(CE33:CE34)</f>
        <v>0</v>
      </c>
      <c r="CF36" s="193">
        <f>SUM(CF33:CF34)</f>
        <v>0</v>
      </c>
      <c r="CG36" s="193">
        <f>SUM(CG33:CG34)</f>
        <v>0</v>
      </c>
      <c r="CH36" s="193">
        <f>SUM(CH33:CH34)</f>
        <v>0</v>
      </c>
      <c r="CI36" s="193">
        <f>SUM(CI33:CI34)</f>
        <v>0</v>
      </c>
      <c r="CJ36" s="193">
        <f>SUM(CJ33:CJ34)</f>
        <v>470</v>
      </c>
      <c r="CK36" s="193">
        <f>SUM(CK33:CK34)</f>
        <v>40</v>
      </c>
      <c r="CL36" s="193">
        <f>SUM(CL33:CL34)</f>
        <v>510</v>
      </c>
      <c r="CM36" s="193">
        <f>SUM(CM33:CM34)</f>
        <v>16</v>
      </c>
      <c r="CN36" s="193">
        <f>SUM(CN33:CN34)</f>
        <v>2</v>
      </c>
      <c r="CO36" s="193">
        <f>SUM(CO33:CO34)</f>
        <v>0</v>
      </c>
      <c r="CP36" s="193">
        <f>SUM(CP33:CP34)</f>
        <v>2</v>
      </c>
      <c r="CQ36" s="193">
        <f>SUM(CQ33:CQ34)</f>
        <v>0</v>
      </c>
      <c r="CR36" s="193">
        <f>SUM(CR33:CR34)</f>
        <v>0</v>
      </c>
      <c r="CS36" s="193">
        <f>SUM(CS33:CS34)</f>
        <v>2</v>
      </c>
      <c r="CT36" s="193">
        <f>SUM(CT33:CT34)</f>
        <v>0</v>
      </c>
      <c r="CU36" s="193">
        <f>SUM(CU33:CU34)</f>
        <v>0</v>
      </c>
      <c r="CV36" s="193">
        <f>SUM(CV33:CV34)</f>
        <v>20</v>
      </c>
      <c r="CW36" s="193">
        <f>SUM(CW33:CW34)</f>
        <v>2</v>
      </c>
      <c r="CX36" s="193">
        <f>SUM(CX33:CX34)</f>
        <v>0</v>
      </c>
      <c r="CY36" s="193">
        <f>SUM(CY33:CY34)</f>
        <v>22</v>
      </c>
      <c r="CZ36" s="193">
        <f>SUM(CZ33:CZ34)</f>
        <v>0</v>
      </c>
      <c r="DA36" s="193">
        <f>SUM(DA33:DA34)</f>
        <v>0</v>
      </c>
      <c r="DB36" s="193">
        <f>SUM(DB33:DB34)</f>
        <v>0</v>
      </c>
      <c r="DC36" s="193">
        <f>SUM(DC33:DC34)</f>
        <v>0</v>
      </c>
      <c r="DD36" s="193">
        <f>SUM(DD33:DD34)</f>
        <v>0</v>
      </c>
      <c r="DE36" s="193">
        <f>SUM(DE33:DE34)</f>
        <v>0</v>
      </c>
      <c r="DF36" s="193">
        <f>SUM(DF33:DF34)</f>
        <v>0</v>
      </c>
      <c r="DG36" s="193">
        <f>SUM(DG33:DG34)</f>
        <v>0</v>
      </c>
      <c r="DH36" s="193">
        <f>SUM(DH33:DH34)</f>
        <v>0</v>
      </c>
      <c r="DI36" s="193">
        <f>SUM(DI33:DI34)</f>
        <v>0</v>
      </c>
      <c r="DJ36" s="193">
        <f>SUM(DJ33:DJ34)</f>
        <v>0</v>
      </c>
      <c r="DK36" s="193">
        <f>SUM(DK33:DK34)</f>
        <v>0</v>
      </c>
      <c r="DL36" s="193">
        <f>SUM(DL33:DL34)</f>
        <v>0</v>
      </c>
      <c r="DM36" s="193">
        <f>SUM(DM33:DM34)</f>
        <v>0</v>
      </c>
      <c r="DN36" s="193">
        <f>SUM(DN33:DN34)</f>
        <v>0</v>
      </c>
      <c r="DO36" s="193">
        <f>SUM(DO33:DO34)</f>
        <v>0</v>
      </c>
      <c r="DP36" s="193">
        <f>SUM(DP33:DP34)</f>
        <v>0</v>
      </c>
      <c r="DQ36" s="193">
        <f>SUM(DQ33:DQ34)</f>
        <v>0</v>
      </c>
      <c r="DR36" s="193">
        <f>SUM(DR33:DR34)</f>
        <v>0</v>
      </c>
      <c r="DS36" s="193">
        <f>SUM(DS33:DS34)</f>
        <v>0</v>
      </c>
      <c r="DT36" s="193">
        <f>SUM(DT33:DT34)</f>
        <v>0</v>
      </c>
      <c r="DU36" s="193">
        <f>SUM(DU33:DU34)</f>
        <v>0</v>
      </c>
      <c r="DV36" s="193">
        <f>SUM(DV33:DV34)</f>
        <v>0</v>
      </c>
      <c r="DW36" s="193">
        <f>SUM(DW33:DW34)</f>
        <v>0</v>
      </c>
      <c r="DX36" s="193">
        <f>SUM(DX33:DX34)</f>
        <v>0</v>
      </c>
      <c r="DY36" s="193">
        <f>SUM(DY33:DY34)</f>
        <v>0</v>
      </c>
      <c r="DZ36" s="193">
        <f>SUM(DZ33:DZ34)</f>
        <v>0</v>
      </c>
      <c r="EA36" s="193">
        <f>SUM(EA33:EA34)</f>
        <v>0</v>
      </c>
      <c r="EB36" s="193">
        <f>SUM(EB33:EB34)</f>
        <v>0</v>
      </c>
      <c r="EC36" s="193">
        <f>SUM(EC33:EC34)</f>
        <v>0</v>
      </c>
      <c r="ED36" s="193">
        <f>SUM(ED33:ED34)</f>
        <v>0</v>
      </c>
      <c r="EE36" s="193">
        <f>SUM(EE33:EE34)</f>
        <v>0</v>
      </c>
      <c r="EF36" s="193">
        <f>SUM(EF33:EF34)</f>
        <v>0</v>
      </c>
      <c r="EG36" s="193">
        <f>SUM(EG33:EG34)</f>
        <v>0</v>
      </c>
      <c r="EH36" s="193">
        <f>SUM(EH33:EH34)</f>
        <v>0</v>
      </c>
      <c r="EI36" s="193">
        <f>SUM(EI33:EI34)</f>
        <v>0</v>
      </c>
      <c r="EJ36" s="193">
        <f>SUM(EJ33:EJ34)</f>
        <v>0</v>
      </c>
      <c r="EK36" s="193">
        <f>SUM(EK33:EK34)</f>
        <v>0</v>
      </c>
      <c r="EL36" s="193">
        <f>SUM(EL33:EL34)</f>
        <v>0</v>
      </c>
      <c r="EM36" s="193">
        <f>SUM(EM33:EM34)</f>
        <v>0</v>
      </c>
      <c r="EN36" s="193">
        <f>SUM(EN33:EN34)</f>
        <v>0</v>
      </c>
      <c r="EO36" s="193">
        <f>SUM(EO33:EO34)</f>
        <v>0</v>
      </c>
      <c r="EP36" s="193">
        <f>SUM(EP33:EP34)</f>
        <v>0</v>
      </c>
      <c r="EQ36" s="193">
        <f>SUM(EQ33:EQ34)</f>
        <v>0</v>
      </c>
      <c r="ER36" s="193">
        <f>SUM(ER33:ER34)</f>
        <v>0</v>
      </c>
      <c r="ES36" s="193">
        <f>SUM(ES33:ES34)</f>
        <v>0</v>
      </c>
      <c r="ET36" s="193">
        <f>SUM(ET33:ET34)</f>
        <v>0</v>
      </c>
      <c r="EU36" s="193">
        <f>SUM(EU33:EU34)</f>
        <v>0</v>
      </c>
      <c r="EV36" s="193">
        <f>SUM(EV33:EV34)</f>
        <v>0</v>
      </c>
      <c r="EW36" s="193">
        <f>SUM(EW33:EW34)</f>
        <v>0</v>
      </c>
      <c r="EX36" s="193">
        <f>SUM(EX33:EX34)</f>
        <v>0</v>
      </c>
      <c r="EY36" s="193">
        <f>SUM(EY33:EY34)</f>
        <v>0</v>
      </c>
      <c r="EZ36" s="193">
        <f>SUM(EZ33:EZ34)</f>
        <v>0</v>
      </c>
      <c r="FA36" s="193">
        <f>SUM(FA33:FA34)</f>
        <v>0</v>
      </c>
      <c r="FB36" s="193">
        <f>SUM(FB33:FB34)</f>
        <v>0</v>
      </c>
      <c r="FC36" s="193">
        <f>SUM(FC33:FC34)</f>
        <v>0</v>
      </c>
      <c r="FD36" s="193">
        <f>SUM(FD33:FD34)</f>
        <v>0</v>
      </c>
      <c r="FE36" s="193">
        <f>SUM(FE33:FE34)</f>
        <v>0</v>
      </c>
      <c r="FF36" s="193">
        <f>SUM(FF33:FF34)</f>
        <v>0</v>
      </c>
      <c r="FG36" s="193">
        <f>SUM(FG33:FG34)</f>
        <v>0</v>
      </c>
      <c r="FH36" s="193">
        <f>SUM(FH33:FH34)</f>
        <v>0</v>
      </c>
      <c r="FI36" s="193">
        <f>SUM(FI33:FI34)</f>
        <v>0</v>
      </c>
      <c r="FJ36" s="193">
        <f>SUM(FJ33:FJ34)</f>
        <v>0</v>
      </c>
      <c r="FK36" s="193">
        <f>SUM(FK33:FK34)</f>
        <v>0</v>
      </c>
      <c r="FL36" s="193">
        <f>SUM(FL33:FL34)</f>
        <v>0</v>
      </c>
      <c r="FM36" s="193">
        <f>SUM(FM33:FM34)</f>
        <v>0</v>
      </c>
      <c r="FN36" s="193">
        <f>SUM(FN33:FN34)</f>
        <v>0</v>
      </c>
      <c r="FO36" s="193">
        <f>SUM(FO33:FO34)</f>
        <v>0</v>
      </c>
      <c r="FP36" s="193">
        <f>SUM(FP33:FP34)</f>
        <v>0</v>
      </c>
      <c r="FQ36" s="193">
        <f>SUM(FQ33:FQ34)</f>
        <v>0</v>
      </c>
      <c r="FR36" s="193">
        <f>SUM(FR33:FR34)</f>
        <v>0</v>
      </c>
      <c r="FS36" s="193">
        <f>SUM(FS33:FS34)</f>
        <v>0</v>
      </c>
      <c r="FT36" s="193">
        <f>SUM(FT33:FT34)</f>
        <v>0</v>
      </c>
      <c r="FU36" s="193">
        <f>SUM(FU33:FU34)</f>
        <v>0</v>
      </c>
      <c r="FV36" s="193">
        <f>SUM(FV33:FV34)</f>
        <v>0</v>
      </c>
      <c r="FW36" s="193">
        <f>SUM(FW33:FW34)</f>
        <v>0</v>
      </c>
      <c r="FX36" s="193">
        <f>SUM(FX33:FX34)</f>
        <v>0</v>
      </c>
      <c r="FY36" s="193">
        <f>SUM(FY33:FY34)</f>
        <v>0</v>
      </c>
      <c r="FZ36" s="193">
        <f>SUM(FZ33:FZ34)</f>
        <v>0</v>
      </c>
      <c r="GA36" s="193">
        <f>SUM(GA33:GA34)</f>
        <v>0</v>
      </c>
      <c r="GB36" s="193">
        <f>SUM(GB33:GB34)</f>
        <v>0</v>
      </c>
      <c r="GC36" s="193"/>
      <c r="GD36" s="193"/>
      <c r="GE36" s="193">
        <f>SUM(GE33:GE34)</f>
        <v>0</v>
      </c>
      <c r="GF36" s="193">
        <f>SUM(GF33:GF34)</f>
        <v>0</v>
      </c>
      <c r="GG36" s="193">
        <f>SUM(GG33:GG34)</f>
        <v>0</v>
      </c>
      <c r="GH36" s="193">
        <f>SUM(GH33:GH34)</f>
        <v>0</v>
      </c>
      <c r="GI36" s="193">
        <f>SUM(GI33:GI34)</f>
        <v>0</v>
      </c>
      <c r="GJ36" s="193">
        <f>SUM(GJ33:GJ34)</f>
        <v>0</v>
      </c>
      <c r="GK36" s="193">
        <f>SUM(GK33:GK34)</f>
        <v>0</v>
      </c>
      <c r="GL36" s="193">
        <f>SUM(GL33:GL34)</f>
        <v>0</v>
      </c>
      <c r="GM36" s="193">
        <f>SUM(GM33:GM34)</f>
        <v>0</v>
      </c>
      <c r="GN36" s="193">
        <f>SUM(GN33:GN34)</f>
        <v>0</v>
      </c>
      <c r="GO36" s="193">
        <f>SUM(GO33:GO34)</f>
        <v>0</v>
      </c>
      <c r="GP36" s="193">
        <f>SUM(GP33:GP34)</f>
        <v>0</v>
      </c>
      <c r="GQ36" s="193">
        <f>SUM(GQ33:GQ34)</f>
        <v>0</v>
      </c>
      <c r="GR36" s="193">
        <f>SUM(GR33:GR34)</f>
        <v>0</v>
      </c>
      <c r="GS36" s="193">
        <f>SUM(GS33:GS34)</f>
        <v>0</v>
      </c>
      <c r="GT36" s="193">
        <f>SUM(GT33:GT34)</f>
        <v>0</v>
      </c>
      <c r="GU36" s="193">
        <f>SUM(GU33:GU34)</f>
        <v>0</v>
      </c>
      <c r="GV36" s="193">
        <f>SUM(GV33:GV34)</f>
        <v>0</v>
      </c>
      <c r="GW36" s="193">
        <f>SUM(GW33:GW34)</f>
        <v>0</v>
      </c>
      <c r="GX36" s="193">
        <f>SUM(GX33:GX34)</f>
        <v>0</v>
      </c>
      <c r="GY36" s="193">
        <f>SUM(GY33:GY34)</f>
        <v>0</v>
      </c>
      <c r="GZ36" s="193">
        <f>SUM(GZ33:GZ34)</f>
        <v>0</v>
      </c>
      <c r="HA36" s="193">
        <f>SUM(HA33:HA34)</f>
        <v>0</v>
      </c>
      <c r="HB36" s="193">
        <f>SUM(HB33:HB34)</f>
        <v>0</v>
      </c>
      <c r="HC36" s="193">
        <f>SUM(HC33:HC34)</f>
        <v>0</v>
      </c>
      <c r="HD36" s="193">
        <f>SUM(HD33:HD34)</f>
        <v>0</v>
      </c>
      <c r="HE36" s="193">
        <f>SUM(HE33:HE34)</f>
        <v>0</v>
      </c>
      <c r="HF36" s="193">
        <f>SUM(HF33:HF34)</f>
        <v>0</v>
      </c>
      <c r="HG36" s="193">
        <f>SUM(HG33:HG34)</f>
        <v>0</v>
      </c>
      <c r="HH36" s="193">
        <f>SUM(HH33:HH34)</f>
        <v>0</v>
      </c>
      <c r="HI36" s="193">
        <f>SUM(HI33:HI34)</f>
        <v>0</v>
      </c>
      <c r="HJ36" s="193">
        <f>SUM(HJ33:HJ34)</f>
        <v>0</v>
      </c>
      <c r="HK36" s="193">
        <f>SUM(HK33:HK34)</f>
        <v>0</v>
      </c>
      <c r="HL36" s="193">
        <f>SUM(HL33:HL34)</f>
        <v>0</v>
      </c>
      <c r="HM36" s="193">
        <f>SUM(HM33:HM34)</f>
        <v>0</v>
      </c>
      <c r="HN36" s="193">
        <f>SUM(HN33:HN34)</f>
        <v>0</v>
      </c>
      <c r="HO36" s="193">
        <f>SUM(HO33:HO34)</f>
        <v>0</v>
      </c>
      <c r="HP36" s="193">
        <f>SUM(HP33:HP34)</f>
        <v>0</v>
      </c>
      <c r="HQ36" s="193">
        <f>SUM(HQ33:HQ34)</f>
        <v>0</v>
      </c>
      <c r="HR36" s="193">
        <f>SUM(HR33:HR34)</f>
        <v>0</v>
      </c>
      <c r="HS36" s="193">
        <f>SUM(HS33:HS34)</f>
        <v>0</v>
      </c>
      <c r="HT36" s="193">
        <f>SUM(HT33:HT34)</f>
        <v>0</v>
      </c>
      <c r="HU36" s="193">
        <f>SUM(HU33:HU34)</f>
        <v>0</v>
      </c>
      <c r="HV36" s="193">
        <f>SUM(HV33:HV34)</f>
        <v>0</v>
      </c>
      <c r="HW36" s="193">
        <f>SUM(HW33:HW34)</f>
        <v>0</v>
      </c>
      <c r="HX36" s="193">
        <f>SUM(HX33:HX34)</f>
        <v>0</v>
      </c>
      <c r="HY36" s="193">
        <f>SUM(HY33:HY34)</f>
        <v>0</v>
      </c>
      <c r="HZ36" s="193">
        <f>SUM(HZ33:HZ34)</f>
        <v>0</v>
      </c>
      <c r="IA36" s="193">
        <f>SUM(IA33:IA34)</f>
        <v>0</v>
      </c>
      <c r="IB36" s="193">
        <f>SUM(IB33:IB34)</f>
        <v>0</v>
      </c>
      <c r="IC36" s="193">
        <f>SUM(IC33:IC34)</f>
        <v>0</v>
      </c>
      <c r="ID36" s="193">
        <f>SUM(ID33:ID34)</f>
        <v>0</v>
      </c>
      <c r="IE36" s="193">
        <f>SUM(IE33:IE34)</f>
        <v>0</v>
      </c>
      <c r="IF36" s="193">
        <f>SUM(IF33:IF34)</f>
        <v>0</v>
      </c>
      <c r="IG36" s="193">
        <f>SUM(IG33:IG34)</f>
        <v>0</v>
      </c>
      <c r="IH36" s="193">
        <f>SUM(IH33:IH34)</f>
        <v>0</v>
      </c>
      <c r="II36" s="193">
        <f>SUM(II33:II34)</f>
        <v>0</v>
      </c>
      <c r="IJ36" s="193">
        <f>SUM(IJ33:IJ34)</f>
        <v>0</v>
      </c>
      <c r="IK36" s="193">
        <f>SUM(IK33:IK34)</f>
        <v>0</v>
      </c>
      <c r="IL36" s="193">
        <f>SUM(IL33:IL34)</f>
        <v>0</v>
      </c>
      <c r="IM36" s="193">
        <f>SUM(IM33:IM34)</f>
        <v>0</v>
      </c>
      <c r="IN36" s="193">
        <f>SUM(IN33:IN34)</f>
        <v>0</v>
      </c>
      <c r="IO36" s="193">
        <f>SUM(IO33:IO34)</f>
        <v>0</v>
      </c>
      <c r="IP36" s="193">
        <f>SUM(IP33:IP34)</f>
        <v>0</v>
      </c>
      <c r="IQ36" s="193">
        <f>SUM(IQ33:IQ34)</f>
        <v>0</v>
      </c>
      <c r="IR36" s="193">
        <f>SUM(IR33:IR34)</f>
        <v>0</v>
      </c>
      <c r="IS36" s="193">
        <f>SUM(IS33:IS34)</f>
        <v>0</v>
      </c>
      <c r="IT36" s="193">
        <f>SUM(IT33:IT34)</f>
        <v>0</v>
      </c>
      <c r="IU36" s="193">
        <f>SUM(IU33:IU34)</f>
        <v>0</v>
      </c>
      <c r="IV36" s="193">
        <f>SUM(IV33:IV34)</f>
        <v>0</v>
      </c>
      <c r="IW36" s="193">
        <f>SUM(IW33:IW34)</f>
        <v>0</v>
      </c>
      <c r="IX36" s="193">
        <f>SUM(IX33:IX34)</f>
        <v>0</v>
      </c>
      <c r="IY36" s="193">
        <f>SUM(IY33:IY34)</f>
        <v>0</v>
      </c>
      <c r="IZ36" s="193">
        <f>SUM(IZ33:IZ34)</f>
        <v>0</v>
      </c>
      <c r="JA36" s="193">
        <f>SUM(JA33:JA34)</f>
        <v>0</v>
      </c>
      <c r="JB36" s="193">
        <f>SUM(JB33:JB34)</f>
        <v>0</v>
      </c>
      <c r="JC36" s="193">
        <f>SUM(JC33:JC34)</f>
        <v>0</v>
      </c>
      <c r="JD36" s="193">
        <f>SUM(JD33:JD34)</f>
        <v>0</v>
      </c>
      <c r="JE36" s="193">
        <f>SUM(JE33:JE34)</f>
        <v>0</v>
      </c>
      <c r="JF36" s="193">
        <f>SUM(JF33:JF34)</f>
        <v>0</v>
      </c>
      <c r="JG36" s="193">
        <f>SUM(JG33:JG34)</f>
        <v>0</v>
      </c>
      <c r="JH36" s="193">
        <f>SUM(JH33:JH34)</f>
        <v>0</v>
      </c>
      <c r="JI36" s="193">
        <f>SUM(JI33:JI34)</f>
        <v>0</v>
      </c>
      <c r="JJ36" s="193">
        <f>SUM(JJ33:JJ34)</f>
        <v>0</v>
      </c>
      <c r="JK36" s="193">
        <f>SUM(JK33:JK34)</f>
        <v>0</v>
      </c>
      <c r="JL36" s="193">
        <f>SUM(JL33:JL34)</f>
        <v>0</v>
      </c>
      <c r="JM36" s="193">
        <f>SUM(JM33:JM34)</f>
        <v>0</v>
      </c>
      <c r="JN36" s="193">
        <f>SUM(JN33:JN34)</f>
        <v>0</v>
      </c>
      <c r="JO36" s="193">
        <f>SUM(JO33:JO34)</f>
        <v>0</v>
      </c>
      <c r="JP36" s="193">
        <f>SUM(JP33:JP34)</f>
        <v>0</v>
      </c>
      <c r="JQ36" s="193">
        <f>SUM(JQ33:JQ34)</f>
        <v>0</v>
      </c>
      <c r="JR36" s="193">
        <f>SUM(JR33:JR34)</f>
        <v>0</v>
      </c>
      <c r="JS36" s="193">
        <f>SUM(JS33:JS34)</f>
        <v>0</v>
      </c>
      <c r="JT36" s="193">
        <f>SUM(JT33:JT34)</f>
        <v>0</v>
      </c>
      <c r="JU36" s="193">
        <f>SUM(JU33:JU34)</f>
        <v>0</v>
      </c>
      <c r="JV36" s="193">
        <f>SUM(JV33:JV34)</f>
        <v>0</v>
      </c>
      <c r="JW36" s="193">
        <f>SUM(JW33:JW34)</f>
        <v>0</v>
      </c>
      <c r="JX36" s="193">
        <f>SUM(JX33:JX34)</f>
        <v>0</v>
      </c>
      <c r="JY36" s="193">
        <f>SUM(JY33:JY34)</f>
        <v>0</v>
      </c>
      <c r="JZ36" s="193">
        <f>SUM(JZ33:JZ34)</f>
        <v>0</v>
      </c>
      <c r="KA36" s="193">
        <f>SUM(KA33:KA34)</f>
        <v>0</v>
      </c>
      <c r="KB36" s="193">
        <f>SUM(KB33:KB34)</f>
        <v>0</v>
      </c>
      <c r="KC36" s="193">
        <f>SUM(KC33:KC34)</f>
        <v>0</v>
      </c>
      <c r="KD36" s="193">
        <f>SUM(KD33:KD34)</f>
        <v>0</v>
      </c>
      <c r="KE36" s="193">
        <f>SUM(KE33:KE34)</f>
        <v>0</v>
      </c>
      <c r="KF36" s="193">
        <f>SUM(KF33:KF34)</f>
        <v>0</v>
      </c>
      <c r="KG36" s="193">
        <f>SUM(KG33:KG34)</f>
        <v>0</v>
      </c>
      <c r="KH36" s="193">
        <f>SUM(KH33:KH34)</f>
        <v>0</v>
      </c>
      <c r="KI36" s="193">
        <f>SUM(KI33:KI34)</f>
        <v>0</v>
      </c>
      <c r="KJ36" s="193">
        <f>SUM(KJ33:KJ34)</f>
        <v>0</v>
      </c>
      <c r="KK36" s="193">
        <f>SUM(KK33:KK34)</f>
        <v>0</v>
      </c>
      <c r="KL36" s="193">
        <f>SUM(KL33:KL34)</f>
        <v>0</v>
      </c>
      <c r="KM36" s="193">
        <f>SUM(KM33:KM34)</f>
        <v>0</v>
      </c>
      <c r="KN36" s="193">
        <f>SUM(KN33:KN34)</f>
        <v>0</v>
      </c>
      <c r="KO36" s="193">
        <f>SUM(KO33:KO34)</f>
        <v>0</v>
      </c>
      <c r="KP36" s="193">
        <f>SUM(KP33:KP34)</f>
        <v>0</v>
      </c>
      <c r="KQ36" s="193">
        <f>SUM(KQ33:KQ34)</f>
        <v>0</v>
      </c>
      <c r="KR36" s="193">
        <f>SUM(KR33:KR34)</f>
        <v>0</v>
      </c>
      <c r="KS36" s="193">
        <f>SUM(KS33:KS34)</f>
        <v>0</v>
      </c>
      <c r="KT36" s="193">
        <f>SUM(KT33:KT34)</f>
        <v>0</v>
      </c>
      <c r="KU36" s="193">
        <f>SUM(KU33:KU34)</f>
        <v>0</v>
      </c>
      <c r="KV36" s="193">
        <f>SUM(KV33:KV34)</f>
        <v>0</v>
      </c>
      <c r="KW36" s="193">
        <f>SUM(KW33:KW34)</f>
        <v>0</v>
      </c>
      <c r="KX36" s="193">
        <f>SUM(KX33:KX34)</f>
        <v>0</v>
      </c>
      <c r="KY36" s="193">
        <f>SUM(KY33:KY34)</f>
        <v>0</v>
      </c>
      <c r="KZ36" s="193">
        <f>SUM(KZ33:KZ34)</f>
        <v>0</v>
      </c>
      <c r="LA36" s="193">
        <f>SUM(LA33:LA34)</f>
        <v>0</v>
      </c>
      <c r="LB36" s="193">
        <f>SUM(LB33:LB34)</f>
        <v>0</v>
      </c>
      <c r="LC36" s="193">
        <f>SUM(LC33:LC34)</f>
        <v>0</v>
      </c>
      <c r="LD36" s="193">
        <f>SUM(LD33:LD34)</f>
        <v>0</v>
      </c>
      <c r="LE36" s="193">
        <f>SUM(LE33:LE34)</f>
        <v>0</v>
      </c>
      <c r="LF36" s="193">
        <f>SUM(LF33:LF34)</f>
        <v>0</v>
      </c>
      <c r="LG36" s="193">
        <f>SUM(LG33:LG34)</f>
        <v>0</v>
      </c>
      <c r="LH36" s="193">
        <f>SUM(LH33:LH34)</f>
        <v>0</v>
      </c>
      <c r="LI36" s="193">
        <f>SUM(LI33:LI34)</f>
        <v>0</v>
      </c>
      <c r="LJ36" s="193">
        <f>SUM(LJ33:LJ34)</f>
        <v>0</v>
      </c>
      <c r="LK36" s="193">
        <f>SUM(LK33:LK34)</f>
        <v>0</v>
      </c>
      <c r="LL36" s="193">
        <f>SUM(LL33:LL34)</f>
        <v>0</v>
      </c>
      <c r="LM36" s="193">
        <f>SUM(LM33:LM34)</f>
        <v>0</v>
      </c>
      <c r="LN36" s="193">
        <f>SUM(LN33:LN34)</f>
        <v>0</v>
      </c>
      <c r="LO36" s="193">
        <f>SUM(LO33:LO34)</f>
        <v>0</v>
      </c>
      <c r="LP36" s="193">
        <f>SUM(LP33:LP34)</f>
        <v>0</v>
      </c>
      <c r="LQ36" s="193">
        <f>SUM(LQ33:LQ34)</f>
        <v>0</v>
      </c>
      <c r="LR36" s="193">
        <f>SUM(LR33:LR34)</f>
        <v>0</v>
      </c>
      <c r="LS36" s="193">
        <f>SUM(LS33:LS34)</f>
        <v>0</v>
      </c>
      <c r="LT36" s="193">
        <f>SUM(LT33:LT34)</f>
        <v>0</v>
      </c>
      <c r="LU36" s="193">
        <f>SUM(LU33:LU34)</f>
        <v>0</v>
      </c>
      <c r="LV36" s="193">
        <f>SUM(LV33:LV34)</f>
        <v>0</v>
      </c>
      <c r="LW36" s="193">
        <f>SUM(LW33:LW34)</f>
        <v>0</v>
      </c>
      <c r="LX36" s="193">
        <f>SUM(LX33:LX34)</f>
        <v>0</v>
      </c>
      <c r="LY36" s="193">
        <f>SUM(LY33:LY34)</f>
        <v>0</v>
      </c>
      <c r="LZ36" s="193">
        <f>SUM(LZ33:LZ34)</f>
        <v>0</v>
      </c>
      <c r="MA36" s="193">
        <f>SUM(MA33:MA34)</f>
        <v>0</v>
      </c>
      <c r="MB36" s="193">
        <f>SUM(MB33:MB34)</f>
        <v>0</v>
      </c>
      <c r="MC36" s="193">
        <f>SUM(MC33:MC34)</f>
        <v>0</v>
      </c>
      <c r="MD36" s="193">
        <f>SUM(MD33:MD34)</f>
        <v>0</v>
      </c>
      <c r="ME36" s="193">
        <f>SUM(ME33:ME34)</f>
        <v>0</v>
      </c>
      <c r="MF36" s="193">
        <f>SUM(MF33:MF34)</f>
        <v>0</v>
      </c>
      <c r="MG36" s="193">
        <f>SUM(MG33:MG34)</f>
        <v>0</v>
      </c>
      <c r="MH36" s="193">
        <f>SUM(MH33:MH34)</f>
        <v>0</v>
      </c>
      <c r="MI36" s="193">
        <f>SUM(MI33:MI34)</f>
        <v>0</v>
      </c>
      <c r="MJ36" s="193">
        <f>SUM(MJ33:MJ34)</f>
        <v>0</v>
      </c>
      <c r="MK36" s="193">
        <f>SUM(MK33:MK34)</f>
        <v>0</v>
      </c>
      <c r="ML36" s="193">
        <f>SUM(ML33:ML34)</f>
        <v>0</v>
      </c>
      <c r="MM36" s="193">
        <f>SUM(MM33:MM34)</f>
        <v>0</v>
      </c>
      <c r="MN36" s="193">
        <f>SUM(MN33:MN34)</f>
        <v>0</v>
      </c>
      <c r="MO36" s="193">
        <f>SUM(MO33:MO34)</f>
        <v>0</v>
      </c>
      <c r="MP36" s="193">
        <f>SUM(MP33:MP34)</f>
        <v>0</v>
      </c>
      <c r="MQ36" s="193">
        <f>SUM(MQ33:MQ34)</f>
        <v>0</v>
      </c>
      <c r="MR36" s="193">
        <f>SUM(MR33:MR34)</f>
        <v>0</v>
      </c>
      <c r="MS36" s="193">
        <f>SUM(MS33:MS34)</f>
        <v>0</v>
      </c>
      <c r="MT36" s="193">
        <f>SUM(MT33:MT34)</f>
        <v>0</v>
      </c>
      <c r="MU36" s="193">
        <f>SUM(MU33:MU34)</f>
        <v>0</v>
      </c>
      <c r="MV36" s="193">
        <f>SUM(MV33:MV34)</f>
        <v>0</v>
      </c>
      <c r="MW36" s="193">
        <f>SUM(MW33:MW34)</f>
        <v>0</v>
      </c>
      <c r="MX36" s="193">
        <f>SUM(MX33:MX34)</f>
        <v>0</v>
      </c>
      <c r="MY36" s="193">
        <f>SUM(MY33:MY34)</f>
        <v>0</v>
      </c>
      <c r="MZ36" s="193">
        <f>SUM(MZ33:MZ34)</f>
        <v>0</v>
      </c>
      <c r="NA36" s="193">
        <f>SUM(NA33:NA34)</f>
        <v>0</v>
      </c>
      <c r="NB36" s="193">
        <f>SUM(NB33:NB34)</f>
        <v>0</v>
      </c>
      <c r="NC36" s="193">
        <f>SUM(NC33:NC34)</f>
        <v>0</v>
      </c>
      <c r="ND36" s="193">
        <f>SUM(ND33:ND34)</f>
        <v>0</v>
      </c>
      <c r="NE36" s="193">
        <f>SUM(NE33:NE34)</f>
        <v>0</v>
      </c>
      <c r="NF36" s="193">
        <f>SUM(NF33:NF34)</f>
        <v>0</v>
      </c>
      <c r="NG36" s="193">
        <f>SUM(NG33:NG34)</f>
        <v>0</v>
      </c>
      <c r="NH36" s="193">
        <f>SUM(NH33:NH34)</f>
        <v>0</v>
      </c>
      <c r="NI36" s="193">
        <f>SUM(NI33:NI34)</f>
        <v>0</v>
      </c>
      <c r="NJ36" s="193">
        <f>SUM(NJ33:NJ34)</f>
        <v>0</v>
      </c>
      <c r="NK36" s="193">
        <f>SUM(NK33:NK34)</f>
        <v>0</v>
      </c>
      <c r="NL36" s="193">
        <f>SUM(NL33:NL34)</f>
        <v>0</v>
      </c>
      <c r="NM36" s="193">
        <f>SUM(NM33:NM34)</f>
        <v>0</v>
      </c>
      <c r="NN36" s="193">
        <f>SUM(NN33:NN34)</f>
        <v>0</v>
      </c>
      <c r="NO36" s="193">
        <f>SUM(NO33:NO34)</f>
        <v>0</v>
      </c>
      <c r="NP36" s="193">
        <f>SUM(NP33:NP34)</f>
        <v>0</v>
      </c>
      <c r="NQ36" s="193">
        <f>SUM(NQ33:NQ34)</f>
        <v>0</v>
      </c>
      <c r="NR36" s="193">
        <f>SUM(NR33:NR34)</f>
        <v>0</v>
      </c>
      <c r="NS36" s="193">
        <f>SUM(NS33:NS34)</f>
        <v>0</v>
      </c>
      <c r="NT36" s="193">
        <f>SUM(NT33:NT34)</f>
        <v>0</v>
      </c>
      <c r="NU36" s="193">
        <f>SUM(NU33:NU34)</f>
        <v>0</v>
      </c>
      <c r="NV36" s="193">
        <f>SUM(NV33:NV34)</f>
        <v>0</v>
      </c>
      <c r="NW36" s="193">
        <f>SUM(NW33:NW34)</f>
        <v>0</v>
      </c>
      <c r="NX36" s="193">
        <f>SUM(NX33:NX34)</f>
        <v>0</v>
      </c>
      <c r="NY36" s="193">
        <f>SUM(NY33:NY34)</f>
        <v>0</v>
      </c>
      <c r="NZ36" s="193">
        <f>SUM(NZ33:NZ34)</f>
        <v>0</v>
      </c>
      <c r="OA36" s="193">
        <f>SUM(OA33:OA34)</f>
        <v>0</v>
      </c>
      <c r="OB36" s="193">
        <f>SUM(OB33:OB34)</f>
        <v>0</v>
      </c>
      <c r="OC36" s="193">
        <f>SUM(OC33:OC34)</f>
        <v>0</v>
      </c>
      <c r="OD36" s="193">
        <f>SUM(OD33:OD34)</f>
        <v>0</v>
      </c>
      <c r="OE36" s="193">
        <f>SUM(OE33:OE34)</f>
        <v>0</v>
      </c>
      <c r="OF36" s="193">
        <f>SUM(OF33:OF34)</f>
        <v>0</v>
      </c>
      <c r="OG36" s="193">
        <f>SUM(OG33:OG34)</f>
        <v>0</v>
      </c>
      <c r="OH36" s="193">
        <f>SUM(OH33:OH34)</f>
        <v>0</v>
      </c>
      <c r="OI36" s="193">
        <f>SUM(OI33:OI34)</f>
        <v>0</v>
      </c>
      <c r="OJ36" s="193">
        <f>SUM(OJ33:OJ34)</f>
        <v>0</v>
      </c>
      <c r="OK36" s="193">
        <f>SUM(OK33:OK34)</f>
        <v>0</v>
      </c>
      <c r="OL36" s="193">
        <f>SUM(OL33:OL34)</f>
        <v>0</v>
      </c>
      <c r="OM36" s="193">
        <f>SUM(OM33:OM34)</f>
        <v>0</v>
      </c>
      <c r="ON36" s="193">
        <f>SUM(ON33:ON34)</f>
        <v>0</v>
      </c>
      <c r="OO36" s="193">
        <f>SUM(OO33:OO34)</f>
        <v>0</v>
      </c>
      <c r="OP36" s="193">
        <f>SUM(OP33:OP34)</f>
        <v>0</v>
      </c>
      <c r="OQ36" s="193">
        <f>SUM(OQ33:OQ34)</f>
        <v>0</v>
      </c>
      <c r="OR36" s="193">
        <f>SUM(OR33:OR34)</f>
        <v>0</v>
      </c>
      <c r="OS36" s="193">
        <f>SUM(OS33:OS34)</f>
        <v>0</v>
      </c>
      <c r="OT36" s="193">
        <f>SUM(OT33:OT34)</f>
        <v>0</v>
      </c>
      <c r="OU36" s="193">
        <f>SUM(OU33:OU34)</f>
        <v>0</v>
      </c>
      <c r="OV36" s="193">
        <f>SUM(OV33:OV34)</f>
        <v>0</v>
      </c>
      <c r="OW36" s="193"/>
      <c r="OX36" s="193"/>
      <c r="OY36" s="193"/>
      <c r="OZ36" s="193">
        <f>SUM(OZ33:OZ34)</f>
        <v>0</v>
      </c>
      <c r="PA36" s="193">
        <f>SUM(PA33:PA34)</f>
        <v>0</v>
      </c>
      <c r="PB36" s="193">
        <f>SUM(PB33:PB34)</f>
        <v>0</v>
      </c>
      <c r="PC36" s="193">
        <f>SUM(PC33:PC34)</f>
        <v>0</v>
      </c>
      <c r="PD36" s="193">
        <f>SUM(PD33:PD34)</f>
        <v>0</v>
      </c>
      <c r="PE36" s="193">
        <f>SUM(PE33:PE34)</f>
        <v>0</v>
      </c>
      <c r="PF36" s="193">
        <f>SUM(PF33:PF34)</f>
        <v>0</v>
      </c>
      <c r="PG36" s="193">
        <f>SUM(PG33:PG34)</f>
        <v>0</v>
      </c>
      <c r="PH36" s="193">
        <f>SUM(PH33:PH34)</f>
        <v>0</v>
      </c>
      <c r="PI36" s="193">
        <f>SUM(PI33:PI34)</f>
        <v>0</v>
      </c>
      <c r="PJ36" s="193">
        <f>SUM(PJ33:PJ34)</f>
        <v>0</v>
      </c>
      <c r="PK36" s="193">
        <f>SUM(PK33:PK34)</f>
        <v>0</v>
      </c>
      <c r="PL36" s="193">
        <f>SUM(PL33:PL34)</f>
        <v>0</v>
      </c>
      <c r="PM36" s="193">
        <f>SUM(PM33:PM34)</f>
        <v>0</v>
      </c>
      <c r="PN36" s="193">
        <f>SUM(PN33:PN34)</f>
        <v>0</v>
      </c>
      <c r="PO36" s="193">
        <f>SUM(PO33:PO34)</f>
        <v>0</v>
      </c>
      <c r="PP36" s="193">
        <f>SUM(PP33:PP34)</f>
        <v>0</v>
      </c>
      <c r="PQ36" s="193">
        <f>SUM(PQ33:PQ34)</f>
        <v>0</v>
      </c>
      <c r="PR36" s="193">
        <f>SUM(PR33:PR34)</f>
        <v>0</v>
      </c>
      <c r="PS36" s="193">
        <f>SUM(PS33:PS34)</f>
        <v>0</v>
      </c>
      <c r="PT36" s="193">
        <f>SUM(PT33:PT34)</f>
        <v>0</v>
      </c>
      <c r="PU36" s="193">
        <f>SUM(PU33:PU34)</f>
        <v>0</v>
      </c>
      <c r="PV36" s="193">
        <f>SUM(PV33:PV34)</f>
        <v>0</v>
      </c>
      <c r="PW36" s="193">
        <f>SUM(PW33:PW34)</f>
        <v>0</v>
      </c>
      <c r="PX36" s="193">
        <f>SUM(PX33:PX34)</f>
        <v>0</v>
      </c>
      <c r="PY36" s="193">
        <f>SUM(PY33:PY34)</f>
        <v>0</v>
      </c>
      <c r="PZ36" s="193">
        <f>SUM(PZ33:PZ34)</f>
        <v>0</v>
      </c>
      <c r="QA36" s="193">
        <f>SUM(QA33:QA34)</f>
        <v>0</v>
      </c>
      <c r="QB36" s="193">
        <f>SUM(QB33:QB34)</f>
        <v>0</v>
      </c>
      <c r="QC36" s="193">
        <f>SUM(QC33:QC34)</f>
        <v>0</v>
      </c>
      <c r="QD36" s="193">
        <f>SUM(QD33:QD34)</f>
        <v>0</v>
      </c>
      <c r="QE36" s="193">
        <f>SUM(QE33:QE34)</f>
        <v>0</v>
      </c>
      <c r="QF36" s="193">
        <f>SUM(QF33:QF34)</f>
        <v>0</v>
      </c>
      <c r="QG36" s="193">
        <f>SUM(QG33:QG34)</f>
        <v>0</v>
      </c>
      <c r="QH36" s="193">
        <f>SUM(QH33:QH34)</f>
        <v>0</v>
      </c>
      <c r="QI36" s="193">
        <f>SUM(QI33:QI34)</f>
        <v>0</v>
      </c>
      <c r="QJ36" s="193">
        <f>SUM(QJ33:QJ34)</f>
        <v>0</v>
      </c>
      <c r="QK36" s="193">
        <f>SUM(QK33:QK34)</f>
        <v>0</v>
      </c>
      <c r="QL36" s="193">
        <f>SUM(QL33:QL34)</f>
        <v>0</v>
      </c>
      <c r="QM36" s="193">
        <f>SUM(QM33:QM34)</f>
        <v>0</v>
      </c>
      <c r="QN36" s="193">
        <f>SUM(QN33:QN34)</f>
        <v>0</v>
      </c>
      <c r="QO36" s="193">
        <f>SUM(QO33:QO34)</f>
        <v>0</v>
      </c>
      <c r="QP36" s="193">
        <f>SUM(QP33:QP34)</f>
        <v>0</v>
      </c>
      <c r="QQ36" s="193">
        <f>SUM(QQ33:QQ34)</f>
        <v>0</v>
      </c>
      <c r="QR36" s="193">
        <f>SUM(QR33:QR34)</f>
        <v>0</v>
      </c>
      <c r="QS36" s="193">
        <f>SUM(QS33:QS34)</f>
        <v>0</v>
      </c>
      <c r="QT36" s="193">
        <f>SUM(QT33:QT34)</f>
        <v>0</v>
      </c>
      <c r="QU36" s="193">
        <f>SUM(QU33:QU34)</f>
        <v>0</v>
      </c>
      <c r="QV36" s="193">
        <f>SUM(QV33:QV34)</f>
        <v>0</v>
      </c>
      <c r="QW36" s="193">
        <f>SUM(QW33:QW34)</f>
        <v>0</v>
      </c>
      <c r="QX36" s="193">
        <f>SUM(QX33:QX34)</f>
        <v>0</v>
      </c>
      <c r="QY36" s="193">
        <f>SUM(QY33:QY34)</f>
        <v>0</v>
      </c>
      <c r="QZ36" s="193">
        <f>SUM(QZ33:QZ34)</f>
        <v>0</v>
      </c>
      <c r="RA36" s="193">
        <f>SUM(RA33:RA34)</f>
        <v>0</v>
      </c>
      <c r="RB36" s="193">
        <f>SUM(RB33:RB34)</f>
        <v>0</v>
      </c>
      <c r="RC36" s="193">
        <f>SUM(RC33:RC34)</f>
        <v>0</v>
      </c>
      <c r="RD36" s="193">
        <f>SUM(RD33:RD34)</f>
        <v>0</v>
      </c>
      <c r="RE36" s="193">
        <f>SUM(RE33:RE34)</f>
        <v>0</v>
      </c>
      <c r="RF36" s="193">
        <f>SUM(RF33:RF34)</f>
        <v>0</v>
      </c>
      <c r="RG36" s="193">
        <f>SUM(RG33:RG34)</f>
        <v>0</v>
      </c>
      <c r="RH36" s="193">
        <f>SUM(RH33:RH34)</f>
        <v>0</v>
      </c>
      <c r="RI36" s="193">
        <f>SUM(RI33:RI34)</f>
        <v>0</v>
      </c>
      <c r="RJ36" s="193">
        <f>SUM(RJ33:RJ34)</f>
        <v>0</v>
      </c>
      <c r="RK36" s="193">
        <f>SUM(RK33:RK34)</f>
        <v>0</v>
      </c>
      <c r="RL36" s="193">
        <f>SUM(RL33:RL34)</f>
        <v>0</v>
      </c>
      <c r="RM36" s="193">
        <f>SUM(RM33:RM34)</f>
        <v>0</v>
      </c>
      <c r="RN36" s="193">
        <f>SUM(RN33:RN34)</f>
        <v>0</v>
      </c>
      <c r="RO36" s="193"/>
      <c r="RP36" s="193"/>
      <c r="RQ36" s="193"/>
      <c r="RR36" s="193"/>
      <c r="RS36" s="193"/>
      <c r="RT36" s="193"/>
      <c r="RU36" s="193">
        <f>SUM(RU33:RU34)</f>
        <v>0</v>
      </c>
      <c r="RV36" s="193">
        <f>SUM(RV33:RV34)</f>
        <v>0</v>
      </c>
      <c r="RW36" s="193">
        <f>SUM(RW33:RW34)</f>
        <v>0</v>
      </c>
      <c r="RX36" s="193">
        <f>SUM(RX33:RX34)</f>
        <v>0</v>
      </c>
      <c r="RY36" s="193">
        <f>SUM(RY33:RY34)</f>
        <v>0</v>
      </c>
      <c r="RZ36" s="193">
        <f>SUM(RZ33:RZ34)</f>
        <v>0</v>
      </c>
      <c r="SA36" s="193">
        <f>SUM(SA33:SA34)</f>
        <v>0</v>
      </c>
      <c r="SB36" s="193">
        <f>SUM(SB33:SB34)</f>
        <v>0</v>
      </c>
      <c r="SC36" s="193">
        <f>SUM(SC33:SC34)</f>
        <v>0</v>
      </c>
      <c r="SD36" s="193">
        <f>SUM(SD33:SD34)</f>
        <v>0</v>
      </c>
      <c r="SE36" s="193">
        <f>SUM(SE33:SE34)</f>
        <v>0</v>
      </c>
      <c r="SF36" s="193">
        <f>SUM(SF33:SF34)</f>
        <v>0</v>
      </c>
      <c r="SG36" s="193">
        <f>SUM(SG33:SG34)</f>
        <v>0</v>
      </c>
      <c r="SH36" s="193">
        <f>SUM(SH33:SH34)</f>
        <v>0</v>
      </c>
      <c r="SI36" s="193">
        <f>SUM(SI33:SI34)</f>
        <v>0</v>
      </c>
      <c r="SJ36" s="193">
        <f>SUM(SJ33:SJ34)</f>
        <v>0</v>
      </c>
      <c r="SK36" s="193">
        <f>SUM(SK33:SK34)</f>
        <v>0</v>
      </c>
      <c r="SL36" s="193">
        <f>SUM(SL33:SL34)</f>
        <v>0</v>
      </c>
      <c r="SM36" s="193">
        <f>SUM(SM33:SM34)</f>
        <v>0</v>
      </c>
      <c r="SN36" s="193">
        <f>SUM(SN33:SN34)</f>
        <v>0</v>
      </c>
      <c r="SO36" s="193">
        <f>SUM(SO33:SO34)</f>
        <v>0</v>
      </c>
      <c r="SP36" s="193">
        <f>SUM(SP33:SP34)</f>
        <v>0</v>
      </c>
      <c r="SQ36" s="193"/>
      <c r="SR36" s="193"/>
      <c r="SS36" s="195"/>
    </row>
    <row r="37" spans="1:513" s="171" customFormat="1" ht="24.75" customHeight="1">
      <c r="A37" s="168"/>
      <c r="B37" s="168"/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  <c r="Z37" s="168"/>
      <c r="AA37" s="168"/>
      <c r="AB37" s="168"/>
      <c r="AC37" s="168"/>
      <c r="AD37" s="168"/>
      <c r="AE37" s="168"/>
      <c r="AF37" s="168"/>
      <c r="AG37" s="168"/>
      <c r="AH37" s="168"/>
      <c r="AI37" s="168"/>
      <c r="AJ37" s="168"/>
      <c r="AK37" s="168"/>
      <c r="AL37" s="168"/>
      <c r="AM37" s="168"/>
      <c r="AN37" s="168"/>
      <c r="AO37" s="168"/>
      <c r="AP37" s="168"/>
      <c r="AQ37" s="168"/>
      <c r="AR37" s="168"/>
      <c r="AS37" s="168"/>
      <c r="AT37" s="168"/>
      <c r="AU37" s="168"/>
      <c r="AV37" s="168"/>
      <c r="AW37" s="168"/>
      <c r="AX37" s="168"/>
      <c r="AY37" s="168"/>
      <c r="AZ37" s="168"/>
      <c r="BA37" s="168"/>
      <c r="BB37" s="168"/>
      <c r="BC37" s="168"/>
      <c r="BD37" s="168"/>
      <c r="BE37" s="168"/>
      <c r="BF37" s="168"/>
      <c r="BG37" s="168"/>
      <c r="BH37" s="168"/>
      <c r="BI37" s="168"/>
      <c r="BJ37" s="168"/>
      <c r="BK37" s="168"/>
      <c r="BL37" s="168"/>
      <c r="BM37" s="168"/>
      <c r="BN37" s="168"/>
      <c r="BO37" s="168"/>
      <c r="BP37" s="168"/>
      <c r="BQ37" s="168"/>
      <c r="BR37" s="168"/>
      <c r="BS37" s="168"/>
      <c r="BT37" s="168"/>
      <c r="BU37" s="168"/>
      <c r="BV37" s="168"/>
      <c r="BW37" s="168"/>
      <c r="BX37" s="168"/>
      <c r="BY37" s="168"/>
      <c r="BZ37" s="168"/>
      <c r="CA37" s="168"/>
      <c r="CB37" s="168"/>
      <c r="CC37" s="168"/>
      <c r="CD37" s="168"/>
      <c r="CE37" s="168"/>
      <c r="CF37" s="168"/>
      <c r="CG37" s="168"/>
      <c r="CH37" s="168"/>
      <c r="CI37" s="168"/>
      <c r="CJ37" s="168"/>
      <c r="CK37" s="168"/>
      <c r="CL37" s="168"/>
      <c r="CM37" s="168"/>
      <c r="CN37" s="168"/>
      <c r="CO37" s="168"/>
      <c r="CP37" s="168"/>
      <c r="CQ37" s="168"/>
      <c r="CR37" s="168"/>
      <c r="CS37" s="168"/>
      <c r="CT37" s="168"/>
      <c r="CU37" s="168"/>
      <c r="CV37" s="168"/>
      <c r="CW37" s="168"/>
      <c r="CX37" s="168"/>
      <c r="CY37" s="168"/>
      <c r="CZ37" s="168"/>
      <c r="DA37" s="168"/>
      <c r="DB37" s="168"/>
      <c r="DC37" s="168"/>
      <c r="DD37" s="168"/>
      <c r="DE37" s="168"/>
      <c r="DF37" s="168"/>
      <c r="DG37" s="168"/>
      <c r="DH37" s="168"/>
      <c r="DI37" s="168"/>
      <c r="DJ37" s="168"/>
      <c r="DK37" s="168"/>
      <c r="DL37" s="168"/>
      <c r="DM37" s="168"/>
      <c r="DN37" s="168"/>
      <c r="DO37" s="168"/>
      <c r="DP37" s="168"/>
      <c r="DQ37" s="168"/>
      <c r="DR37" s="168"/>
      <c r="DS37" s="168"/>
      <c r="DT37" s="168"/>
      <c r="DU37" s="168"/>
      <c r="DV37" s="168"/>
      <c r="DW37" s="168"/>
      <c r="DX37" s="168"/>
      <c r="DY37" s="168"/>
      <c r="DZ37" s="168"/>
      <c r="EA37" s="168"/>
      <c r="EB37" s="168"/>
      <c r="EC37" s="168"/>
      <c r="ED37" s="168"/>
      <c r="EE37" s="168"/>
      <c r="EF37" s="168"/>
      <c r="EG37" s="168"/>
      <c r="EH37" s="168"/>
      <c r="EI37" s="168"/>
      <c r="EJ37" s="168"/>
      <c r="EK37" s="168"/>
      <c r="EL37" s="168"/>
      <c r="EM37" s="168"/>
      <c r="EN37" s="168"/>
      <c r="EO37" s="168"/>
      <c r="EP37" s="168"/>
      <c r="EQ37" s="168"/>
      <c r="ER37" s="168"/>
      <c r="ES37" s="168"/>
      <c r="ET37" s="168"/>
      <c r="EU37" s="168"/>
      <c r="EV37" s="168"/>
      <c r="EW37" s="168"/>
      <c r="EX37" s="168"/>
      <c r="EY37" s="168"/>
      <c r="EZ37" s="168"/>
      <c r="FA37" s="168"/>
      <c r="FB37" s="168"/>
      <c r="FC37" s="168"/>
      <c r="FD37" s="168"/>
      <c r="FE37" s="168"/>
      <c r="FF37" s="168"/>
      <c r="FG37" s="168"/>
      <c r="FH37" s="168"/>
      <c r="FI37" s="168"/>
      <c r="FJ37" s="168"/>
      <c r="FK37" s="168"/>
      <c r="FL37" s="168"/>
      <c r="FM37" s="168"/>
      <c r="FN37" s="168"/>
      <c r="FO37" s="168"/>
      <c r="FP37" s="168"/>
      <c r="FQ37" s="168"/>
      <c r="FR37" s="168"/>
      <c r="FS37" s="168"/>
      <c r="FT37" s="168"/>
      <c r="FU37" s="168"/>
      <c r="FV37" s="168"/>
      <c r="FW37" s="168"/>
      <c r="FX37" s="168"/>
      <c r="FY37" s="168"/>
      <c r="FZ37" s="168"/>
      <c r="GA37" s="168"/>
      <c r="GB37" s="168"/>
      <c r="GC37" s="168"/>
      <c r="GD37" s="168"/>
      <c r="GE37" s="168"/>
      <c r="GF37" s="168"/>
      <c r="GG37" s="168"/>
      <c r="GH37" s="168"/>
      <c r="GI37" s="168"/>
      <c r="GJ37" s="168"/>
      <c r="GK37" s="168"/>
      <c r="GL37" s="168"/>
      <c r="GM37" s="168"/>
      <c r="GN37" s="168"/>
      <c r="GO37" s="168"/>
      <c r="GP37" s="168"/>
      <c r="GQ37" s="168"/>
      <c r="GR37" s="168"/>
      <c r="GS37" s="168"/>
      <c r="GT37" s="168"/>
      <c r="GU37" s="168"/>
      <c r="GV37" s="168"/>
      <c r="GW37" s="168"/>
      <c r="GX37" s="168"/>
      <c r="GY37" s="168"/>
      <c r="GZ37" s="168"/>
      <c r="HA37" s="168"/>
      <c r="HB37" s="168"/>
      <c r="HC37" s="168"/>
      <c r="HD37" s="168"/>
      <c r="HE37" s="168"/>
      <c r="HF37" s="168"/>
      <c r="HG37" s="168"/>
      <c r="HH37" s="168"/>
      <c r="HI37" s="168"/>
      <c r="HJ37" s="168"/>
      <c r="HK37" s="168"/>
      <c r="HL37" s="168"/>
      <c r="HM37" s="168"/>
      <c r="HN37" s="168"/>
      <c r="HO37" s="168"/>
      <c r="HP37" s="168"/>
      <c r="HQ37" s="168"/>
      <c r="HR37" s="168"/>
      <c r="HS37" s="168"/>
      <c r="HT37" s="168"/>
      <c r="HU37" s="168"/>
      <c r="HV37" s="168"/>
      <c r="HW37" s="168"/>
      <c r="HX37" s="168"/>
      <c r="HY37" s="168"/>
      <c r="HZ37" s="168"/>
      <c r="IA37" s="168"/>
      <c r="IB37" s="168"/>
      <c r="IC37" s="168"/>
      <c r="ID37" s="168"/>
      <c r="IE37" s="168"/>
      <c r="IF37" s="168"/>
      <c r="IG37" s="168"/>
      <c r="IH37" s="168"/>
      <c r="II37" s="168"/>
      <c r="IJ37" s="168"/>
      <c r="IK37" s="168"/>
      <c r="IL37" s="168"/>
      <c r="IM37" s="168"/>
      <c r="IN37" s="168"/>
      <c r="IO37" s="168"/>
      <c r="IP37" s="168"/>
      <c r="IQ37" s="168"/>
      <c r="IR37" s="168"/>
      <c r="IS37" s="168"/>
      <c r="IT37" s="168"/>
      <c r="IU37" s="168"/>
      <c r="IV37" s="168"/>
      <c r="IW37" s="168"/>
      <c r="IX37" s="168"/>
      <c r="IY37" s="168"/>
      <c r="IZ37" s="168"/>
      <c r="JA37" s="168"/>
      <c r="JB37" s="168"/>
      <c r="JC37" s="168"/>
      <c r="JD37" s="168"/>
      <c r="JE37" s="168"/>
      <c r="JF37" s="168"/>
      <c r="JG37" s="168"/>
      <c r="JH37" s="168"/>
      <c r="JI37" s="168"/>
      <c r="JJ37" s="168"/>
      <c r="JK37" s="168"/>
      <c r="JL37" s="168"/>
      <c r="JM37" s="168"/>
      <c r="JN37" s="168"/>
      <c r="JO37" s="168"/>
      <c r="JP37" s="168"/>
      <c r="JQ37" s="168"/>
      <c r="JR37" s="168"/>
      <c r="JS37" s="168"/>
      <c r="JT37" s="168"/>
      <c r="JU37" s="168"/>
      <c r="JV37" s="168"/>
      <c r="JW37" s="168"/>
      <c r="JX37" s="168"/>
      <c r="JY37" s="168"/>
      <c r="JZ37" s="168"/>
      <c r="KA37" s="168"/>
      <c r="KB37" s="168"/>
      <c r="KC37" s="168"/>
      <c r="KD37" s="168"/>
      <c r="KE37" s="168"/>
      <c r="KF37" s="168"/>
      <c r="KG37" s="168"/>
      <c r="KH37" s="168"/>
      <c r="KI37" s="168"/>
      <c r="KJ37" s="168"/>
      <c r="KK37" s="168"/>
      <c r="KL37" s="168"/>
      <c r="KM37" s="168"/>
      <c r="KN37" s="168"/>
      <c r="KO37" s="168"/>
      <c r="KP37" s="168"/>
      <c r="KQ37" s="168"/>
      <c r="KR37" s="168"/>
      <c r="KS37" s="168"/>
      <c r="KT37" s="168"/>
      <c r="KU37" s="168"/>
      <c r="KV37" s="168"/>
      <c r="KW37" s="168"/>
      <c r="KX37" s="168"/>
      <c r="KY37" s="168"/>
      <c r="KZ37" s="168"/>
      <c r="LA37" s="168"/>
      <c r="LB37" s="168"/>
      <c r="LC37" s="168"/>
      <c r="LD37" s="168"/>
      <c r="LE37" s="168"/>
      <c r="LF37" s="168"/>
      <c r="LG37" s="168"/>
      <c r="LH37" s="168"/>
      <c r="LI37" s="168"/>
      <c r="LJ37" s="168"/>
      <c r="LK37" s="168"/>
      <c r="LL37" s="168"/>
      <c r="LM37" s="168"/>
      <c r="LN37" s="168"/>
      <c r="LO37" s="168"/>
      <c r="LP37" s="168"/>
      <c r="LQ37" s="168"/>
      <c r="LR37" s="168"/>
      <c r="LS37" s="168"/>
      <c r="LT37" s="168"/>
      <c r="LU37" s="168"/>
      <c r="LV37" s="168"/>
      <c r="LW37" s="168"/>
      <c r="LX37" s="168"/>
      <c r="LY37" s="168"/>
      <c r="LZ37" s="168"/>
      <c r="MA37" s="168"/>
      <c r="MB37" s="168"/>
      <c r="MC37" s="168"/>
      <c r="MD37" s="168"/>
      <c r="ME37" s="168"/>
      <c r="MF37" s="168"/>
      <c r="MG37" s="168"/>
      <c r="MH37" s="168"/>
      <c r="MI37" s="168"/>
      <c r="MJ37" s="168"/>
      <c r="MK37" s="168"/>
      <c r="ML37" s="168"/>
      <c r="MM37" s="168"/>
      <c r="MN37" s="168"/>
      <c r="MO37" s="168"/>
      <c r="MP37" s="168"/>
      <c r="MQ37" s="168"/>
      <c r="MR37" s="168"/>
      <c r="MS37" s="168"/>
      <c r="MT37" s="168"/>
      <c r="MU37" s="168"/>
      <c r="MV37" s="168"/>
      <c r="MW37" s="168"/>
      <c r="MX37" s="168"/>
      <c r="MY37" s="168"/>
      <c r="MZ37" s="168"/>
      <c r="NA37" s="168"/>
      <c r="NB37" s="168"/>
      <c r="NC37" s="168"/>
      <c r="ND37" s="168"/>
      <c r="NE37" s="168"/>
      <c r="NF37" s="168"/>
      <c r="NG37" s="168"/>
      <c r="NH37" s="168"/>
      <c r="NI37" s="168"/>
      <c r="NJ37" s="168"/>
      <c r="NK37" s="168"/>
      <c r="NL37" s="168"/>
      <c r="NM37" s="168"/>
      <c r="NN37" s="168"/>
      <c r="NO37" s="168"/>
      <c r="NP37" s="168"/>
      <c r="NQ37" s="168"/>
      <c r="NR37" s="168"/>
      <c r="NS37" s="168"/>
      <c r="NT37" s="168"/>
      <c r="NU37" s="168"/>
      <c r="NV37" s="168"/>
      <c r="NW37" s="168"/>
      <c r="NX37" s="168"/>
      <c r="NY37" s="168"/>
      <c r="NZ37" s="168"/>
      <c r="OA37" s="168"/>
      <c r="OB37" s="168"/>
      <c r="OC37" s="168"/>
      <c r="OD37" s="168"/>
      <c r="OE37" s="168"/>
      <c r="OF37" s="168"/>
      <c r="OG37" s="168"/>
      <c r="OH37" s="168"/>
      <c r="OI37" s="168"/>
      <c r="OJ37" s="168"/>
      <c r="OK37" s="168"/>
      <c r="OL37" s="168"/>
      <c r="OM37" s="168"/>
      <c r="ON37" s="168"/>
      <c r="OO37" s="168"/>
      <c r="OP37" s="168"/>
      <c r="OQ37" s="168"/>
      <c r="OR37" s="168"/>
      <c r="OS37" s="168"/>
      <c r="OT37" s="168"/>
      <c r="OU37" s="169"/>
      <c r="OV37" s="169"/>
      <c r="OW37" s="169"/>
      <c r="OX37" s="169"/>
      <c r="OY37" s="169"/>
      <c r="OZ37" s="169"/>
      <c r="PA37" s="169"/>
      <c r="PB37" s="169"/>
      <c r="PC37" s="169"/>
      <c r="PD37" s="169"/>
      <c r="PE37" s="169"/>
      <c r="PF37" s="169"/>
      <c r="PG37" s="169"/>
      <c r="PH37" s="169"/>
      <c r="PI37" s="169"/>
      <c r="PJ37" s="169"/>
      <c r="PK37" s="169"/>
      <c r="PL37" s="169"/>
      <c r="PM37" s="169"/>
      <c r="PN37" s="169"/>
      <c r="PO37" s="169"/>
      <c r="PP37" s="169"/>
      <c r="PQ37" s="169"/>
      <c r="PR37" s="169"/>
      <c r="PS37" s="169"/>
      <c r="PT37" s="169"/>
      <c r="PU37" s="169"/>
      <c r="PV37" s="169"/>
      <c r="PW37" s="169"/>
      <c r="PX37" s="169"/>
      <c r="PY37" s="169"/>
      <c r="PZ37" s="169"/>
      <c r="QA37" s="169"/>
      <c r="QB37" s="169"/>
      <c r="QC37" s="169"/>
      <c r="QD37" s="169"/>
      <c r="QE37" s="169"/>
      <c r="QF37" s="169"/>
      <c r="QG37" s="169"/>
      <c r="QH37" s="169"/>
      <c r="QI37" s="169"/>
      <c r="QJ37" s="169"/>
      <c r="QK37" s="169"/>
      <c r="QL37" s="169"/>
      <c r="QM37" s="169"/>
      <c r="QN37" s="169"/>
      <c r="QO37" s="169"/>
      <c r="QP37" s="169"/>
      <c r="QQ37" s="169"/>
      <c r="QR37" s="169"/>
      <c r="QS37" s="169"/>
      <c r="QT37" s="169"/>
      <c r="QU37" s="169"/>
      <c r="QV37" s="169"/>
      <c r="QW37" s="169"/>
      <c r="QX37" s="169"/>
      <c r="QY37" s="169"/>
      <c r="QZ37" s="169"/>
      <c r="RA37" s="169"/>
      <c r="RB37" s="169"/>
      <c r="RC37" s="169"/>
      <c r="RD37" s="169"/>
      <c r="RE37" s="169"/>
      <c r="RF37" s="169"/>
      <c r="RG37" s="169"/>
      <c r="RH37" s="169"/>
      <c r="RI37" s="169"/>
      <c r="RJ37" s="169"/>
      <c r="RK37" s="169"/>
      <c r="RL37" s="169"/>
      <c r="RM37" s="169"/>
      <c r="RN37" s="169"/>
      <c r="RO37" s="168"/>
      <c r="RP37" s="168"/>
      <c r="RQ37" s="168"/>
      <c r="RR37" s="168"/>
      <c r="RS37" s="168"/>
      <c r="RT37" s="168"/>
      <c r="RU37" s="170"/>
      <c r="RV37" s="170"/>
      <c r="RW37" s="170"/>
      <c r="RX37" s="170"/>
      <c r="RY37" s="170"/>
      <c r="RZ37" s="170"/>
      <c r="SA37" s="169"/>
      <c r="SB37" s="169"/>
      <c r="SC37" s="169"/>
      <c r="SD37" s="169"/>
      <c r="SE37" s="169"/>
      <c r="SF37" s="169"/>
      <c r="SG37" s="169"/>
      <c r="SH37" s="169"/>
      <c r="SI37" s="169"/>
      <c r="SJ37" s="169"/>
      <c r="SK37" s="169"/>
      <c r="SL37" s="169"/>
      <c r="SM37" s="169"/>
      <c r="SN37" s="169"/>
      <c r="SO37" s="169"/>
      <c r="SP37" s="169"/>
      <c r="SQ37" s="169"/>
      <c r="SR37" s="169"/>
      <c r="SS37" s="175"/>
    </row>
    <row r="38" spans="1:513" s="194" customFormat="1" ht="20.25" customHeight="1">
      <c r="A38" s="215" t="s">
        <v>460</v>
      </c>
      <c r="B38" s="216"/>
      <c r="C38" s="216"/>
      <c r="D38" s="216"/>
      <c r="E38" s="217"/>
      <c r="F38" s="193">
        <f>SUM(F37)</f>
        <v>0</v>
      </c>
      <c r="G38" s="193">
        <f t="shared" ref="G38:BR38" si="222">SUM(G37)</f>
        <v>0</v>
      </c>
      <c r="H38" s="193">
        <f t="shared" si="222"/>
        <v>0</v>
      </c>
      <c r="I38" s="193">
        <f t="shared" si="222"/>
        <v>0</v>
      </c>
      <c r="J38" s="193">
        <f t="shared" si="222"/>
        <v>0</v>
      </c>
      <c r="K38" s="193">
        <f t="shared" si="222"/>
        <v>0</v>
      </c>
      <c r="L38" s="193">
        <f t="shared" si="222"/>
        <v>0</v>
      </c>
      <c r="M38" s="193">
        <f t="shared" si="222"/>
        <v>0</v>
      </c>
      <c r="N38" s="193">
        <f t="shared" si="222"/>
        <v>0</v>
      </c>
      <c r="O38" s="193">
        <f t="shared" si="222"/>
        <v>0</v>
      </c>
      <c r="P38" s="193">
        <f t="shared" si="222"/>
        <v>0</v>
      </c>
      <c r="Q38" s="193">
        <f t="shared" si="222"/>
        <v>0</v>
      </c>
      <c r="R38" s="193">
        <f t="shared" si="222"/>
        <v>0</v>
      </c>
      <c r="S38" s="193">
        <f t="shared" si="222"/>
        <v>0</v>
      </c>
      <c r="T38" s="193">
        <f t="shared" si="222"/>
        <v>0</v>
      </c>
      <c r="U38" s="193">
        <f t="shared" si="222"/>
        <v>0</v>
      </c>
      <c r="V38" s="193">
        <f t="shared" si="222"/>
        <v>0</v>
      </c>
      <c r="W38" s="193">
        <f t="shared" si="222"/>
        <v>0</v>
      </c>
      <c r="X38" s="193">
        <f t="shared" si="222"/>
        <v>0</v>
      </c>
      <c r="Y38" s="193">
        <f t="shared" si="222"/>
        <v>0</v>
      </c>
      <c r="Z38" s="193">
        <f t="shared" si="222"/>
        <v>0</v>
      </c>
      <c r="AA38" s="193">
        <f t="shared" si="222"/>
        <v>0</v>
      </c>
      <c r="AB38" s="193">
        <f t="shared" si="222"/>
        <v>0</v>
      </c>
      <c r="AC38" s="193">
        <f t="shared" si="222"/>
        <v>0</v>
      </c>
      <c r="AD38" s="193">
        <f t="shared" si="222"/>
        <v>0</v>
      </c>
      <c r="AE38" s="193">
        <f t="shared" si="222"/>
        <v>0</v>
      </c>
      <c r="AF38" s="193">
        <f t="shared" si="222"/>
        <v>0</v>
      </c>
      <c r="AG38" s="193">
        <f t="shared" si="222"/>
        <v>0</v>
      </c>
      <c r="AH38" s="193">
        <f t="shared" si="222"/>
        <v>0</v>
      </c>
      <c r="AI38" s="193">
        <f t="shared" si="222"/>
        <v>0</v>
      </c>
      <c r="AJ38" s="193">
        <f t="shared" si="222"/>
        <v>0</v>
      </c>
      <c r="AK38" s="193">
        <f t="shared" si="222"/>
        <v>0</v>
      </c>
      <c r="AL38" s="193">
        <f t="shared" si="222"/>
        <v>0</v>
      </c>
      <c r="AM38" s="193">
        <f t="shared" si="222"/>
        <v>0</v>
      </c>
      <c r="AN38" s="193">
        <f t="shared" si="222"/>
        <v>0</v>
      </c>
      <c r="AO38" s="193">
        <f t="shared" si="222"/>
        <v>0</v>
      </c>
      <c r="AP38" s="193">
        <f t="shared" si="222"/>
        <v>0</v>
      </c>
      <c r="AQ38" s="193">
        <f t="shared" si="222"/>
        <v>0</v>
      </c>
      <c r="AR38" s="193">
        <f t="shared" si="222"/>
        <v>0</v>
      </c>
      <c r="AS38" s="193">
        <f t="shared" si="222"/>
        <v>0</v>
      </c>
      <c r="AT38" s="193">
        <f t="shared" si="222"/>
        <v>0</v>
      </c>
      <c r="AU38" s="193">
        <f t="shared" si="222"/>
        <v>0</v>
      </c>
      <c r="AV38" s="193">
        <f t="shared" si="222"/>
        <v>0</v>
      </c>
      <c r="AW38" s="193">
        <f t="shared" si="222"/>
        <v>0</v>
      </c>
      <c r="AX38" s="193">
        <f t="shared" si="222"/>
        <v>0</v>
      </c>
      <c r="AY38" s="193">
        <f t="shared" si="222"/>
        <v>0</v>
      </c>
      <c r="AZ38" s="193">
        <f t="shared" si="222"/>
        <v>0</v>
      </c>
      <c r="BA38" s="193">
        <f t="shared" si="222"/>
        <v>0</v>
      </c>
      <c r="BB38" s="193">
        <f t="shared" si="222"/>
        <v>0</v>
      </c>
      <c r="BC38" s="193">
        <f t="shared" si="222"/>
        <v>0</v>
      </c>
      <c r="BD38" s="193">
        <f t="shared" si="222"/>
        <v>0</v>
      </c>
      <c r="BE38" s="193">
        <f t="shared" si="222"/>
        <v>0</v>
      </c>
      <c r="BF38" s="193">
        <f t="shared" si="222"/>
        <v>0</v>
      </c>
      <c r="BG38" s="193">
        <f t="shared" si="222"/>
        <v>0</v>
      </c>
      <c r="BH38" s="193">
        <f t="shared" si="222"/>
        <v>0</v>
      </c>
      <c r="BI38" s="193">
        <f t="shared" si="222"/>
        <v>0</v>
      </c>
      <c r="BJ38" s="193">
        <f t="shared" si="222"/>
        <v>0</v>
      </c>
      <c r="BK38" s="193">
        <f t="shared" si="222"/>
        <v>0</v>
      </c>
      <c r="BL38" s="193">
        <f t="shared" si="222"/>
        <v>0</v>
      </c>
      <c r="BM38" s="193">
        <f t="shared" si="222"/>
        <v>0</v>
      </c>
      <c r="BN38" s="193">
        <f t="shared" si="222"/>
        <v>0</v>
      </c>
      <c r="BO38" s="193">
        <f t="shared" si="222"/>
        <v>0</v>
      </c>
      <c r="BP38" s="193">
        <f t="shared" si="222"/>
        <v>0</v>
      </c>
      <c r="BQ38" s="193">
        <f t="shared" si="222"/>
        <v>0</v>
      </c>
      <c r="BR38" s="193">
        <f t="shared" si="222"/>
        <v>0</v>
      </c>
      <c r="BS38" s="193">
        <f t="shared" ref="BS38:ED38" si="223">SUM(BS37)</f>
        <v>0</v>
      </c>
      <c r="BT38" s="193">
        <f t="shared" si="223"/>
        <v>0</v>
      </c>
      <c r="BU38" s="193">
        <f t="shared" si="223"/>
        <v>0</v>
      </c>
      <c r="BV38" s="193">
        <f t="shared" si="223"/>
        <v>0</v>
      </c>
      <c r="BW38" s="193">
        <f t="shared" si="223"/>
        <v>0</v>
      </c>
      <c r="BX38" s="193">
        <f t="shared" si="223"/>
        <v>0</v>
      </c>
      <c r="BY38" s="193">
        <f t="shared" si="223"/>
        <v>0</v>
      </c>
      <c r="BZ38" s="193">
        <f t="shared" si="223"/>
        <v>0</v>
      </c>
      <c r="CA38" s="193">
        <f t="shared" si="223"/>
        <v>0</v>
      </c>
      <c r="CB38" s="193">
        <f t="shared" si="223"/>
        <v>0</v>
      </c>
      <c r="CC38" s="193">
        <f t="shared" si="223"/>
        <v>0</v>
      </c>
      <c r="CD38" s="193">
        <f t="shared" si="223"/>
        <v>0</v>
      </c>
      <c r="CE38" s="193">
        <f t="shared" si="223"/>
        <v>0</v>
      </c>
      <c r="CF38" s="193">
        <f t="shared" si="223"/>
        <v>0</v>
      </c>
      <c r="CG38" s="193">
        <f t="shared" si="223"/>
        <v>0</v>
      </c>
      <c r="CH38" s="193">
        <f t="shared" si="223"/>
        <v>0</v>
      </c>
      <c r="CI38" s="193">
        <f t="shared" si="223"/>
        <v>0</v>
      </c>
      <c r="CJ38" s="193">
        <f t="shared" si="223"/>
        <v>0</v>
      </c>
      <c r="CK38" s="193">
        <f t="shared" si="223"/>
        <v>0</v>
      </c>
      <c r="CL38" s="193">
        <f t="shared" si="223"/>
        <v>0</v>
      </c>
      <c r="CM38" s="193">
        <f t="shared" si="223"/>
        <v>0</v>
      </c>
      <c r="CN38" s="193">
        <f t="shared" si="223"/>
        <v>0</v>
      </c>
      <c r="CO38" s="193">
        <f t="shared" si="223"/>
        <v>0</v>
      </c>
      <c r="CP38" s="193">
        <f t="shared" si="223"/>
        <v>0</v>
      </c>
      <c r="CQ38" s="193">
        <f t="shared" si="223"/>
        <v>0</v>
      </c>
      <c r="CR38" s="193">
        <f t="shared" si="223"/>
        <v>0</v>
      </c>
      <c r="CS38" s="193">
        <f t="shared" si="223"/>
        <v>0</v>
      </c>
      <c r="CT38" s="193">
        <f t="shared" si="223"/>
        <v>0</v>
      </c>
      <c r="CU38" s="193">
        <f t="shared" si="223"/>
        <v>0</v>
      </c>
      <c r="CV38" s="193">
        <f t="shared" si="223"/>
        <v>0</v>
      </c>
      <c r="CW38" s="193">
        <f t="shared" si="223"/>
        <v>0</v>
      </c>
      <c r="CX38" s="193">
        <f t="shared" si="223"/>
        <v>0</v>
      </c>
      <c r="CY38" s="193">
        <f t="shared" si="223"/>
        <v>0</v>
      </c>
      <c r="CZ38" s="193">
        <f t="shared" si="223"/>
        <v>0</v>
      </c>
      <c r="DA38" s="193">
        <f t="shared" si="223"/>
        <v>0</v>
      </c>
      <c r="DB38" s="193">
        <f t="shared" si="223"/>
        <v>0</v>
      </c>
      <c r="DC38" s="193">
        <f t="shared" si="223"/>
        <v>0</v>
      </c>
      <c r="DD38" s="193">
        <f t="shared" si="223"/>
        <v>0</v>
      </c>
      <c r="DE38" s="193">
        <f t="shared" si="223"/>
        <v>0</v>
      </c>
      <c r="DF38" s="193">
        <f t="shared" si="223"/>
        <v>0</v>
      </c>
      <c r="DG38" s="193">
        <f t="shared" si="223"/>
        <v>0</v>
      </c>
      <c r="DH38" s="193">
        <f t="shared" si="223"/>
        <v>0</v>
      </c>
      <c r="DI38" s="193">
        <f t="shared" si="223"/>
        <v>0</v>
      </c>
      <c r="DJ38" s="193">
        <f t="shared" si="223"/>
        <v>0</v>
      </c>
      <c r="DK38" s="193">
        <f t="shared" si="223"/>
        <v>0</v>
      </c>
      <c r="DL38" s="193">
        <f t="shared" si="223"/>
        <v>0</v>
      </c>
      <c r="DM38" s="193">
        <f t="shared" si="223"/>
        <v>0</v>
      </c>
      <c r="DN38" s="193">
        <f t="shared" si="223"/>
        <v>0</v>
      </c>
      <c r="DO38" s="193">
        <f t="shared" si="223"/>
        <v>0</v>
      </c>
      <c r="DP38" s="193">
        <f t="shared" si="223"/>
        <v>0</v>
      </c>
      <c r="DQ38" s="193">
        <f t="shared" si="223"/>
        <v>0</v>
      </c>
      <c r="DR38" s="193">
        <f t="shared" si="223"/>
        <v>0</v>
      </c>
      <c r="DS38" s="193">
        <f t="shared" si="223"/>
        <v>0</v>
      </c>
      <c r="DT38" s="193">
        <f t="shared" si="223"/>
        <v>0</v>
      </c>
      <c r="DU38" s="193">
        <f t="shared" si="223"/>
        <v>0</v>
      </c>
      <c r="DV38" s="193">
        <f t="shared" si="223"/>
        <v>0</v>
      </c>
      <c r="DW38" s="193">
        <f t="shared" si="223"/>
        <v>0</v>
      </c>
      <c r="DX38" s="193">
        <f t="shared" si="223"/>
        <v>0</v>
      </c>
      <c r="DY38" s="193">
        <f t="shared" si="223"/>
        <v>0</v>
      </c>
      <c r="DZ38" s="193">
        <f t="shared" si="223"/>
        <v>0</v>
      </c>
      <c r="EA38" s="193">
        <f t="shared" si="223"/>
        <v>0</v>
      </c>
      <c r="EB38" s="193">
        <f t="shared" si="223"/>
        <v>0</v>
      </c>
      <c r="EC38" s="193">
        <f t="shared" si="223"/>
        <v>0</v>
      </c>
      <c r="ED38" s="193">
        <f t="shared" si="223"/>
        <v>0</v>
      </c>
      <c r="EE38" s="193">
        <f t="shared" ref="EE38:GR38" si="224">SUM(EE37)</f>
        <v>0</v>
      </c>
      <c r="EF38" s="193">
        <f t="shared" si="224"/>
        <v>0</v>
      </c>
      <c r="EG38" s="193">
        <f t="shared" si="224"/>
        <v>0</v>
      </c>
      <c r="EH38" s="193">
        <f t="shared" si="224"/>
        <v>0</v>
      </c>
      <c r="EI38" s="193">
        <f t="shared" si="224"/>
        <v>0</v>
      </c>
      <c r="EJ38" s="193">
        <f t="shared" si="224"/>
        <v>0</v>
      </c>
      <c r="EK38" s="193">
        <f t="shared" si="224"/>
        <v>0</v>
      </c>
      <c r="EL38" s="193">
        <f t="shared" si="224"/>
        <v>0</v>
      </c>
      <c r="EM38" s="193">
        <f t="shared" si="224"/>
        <v>0</v>
      </c>
      <c r="EN38" s="193">
        <f t="shared" si="224"/>
        <v>0</v>
      </c>
      <c r="EO38" s="193">
        <f t="shared" si="224"/>
        <v>0</v>
      </c>
      <c r="EP38" s="193">
        <f t="shared" si="224"/>
        <v>0</v>
      </c>
      <c r="EQ38" s="193">
        <f t="shared" si="224"/>
        <v>0</v>
      </c>
      <c r="ER38" s="193">
        <f t="shared" si="224"/>
        <v>0</v>
      </c>
      <c r="ES38" s="193">
        <f t="shared" si="224"/>
        <v>0</v>
      </c>
      <c r="ET38" s="193">
        <f t="shared" si="224"/>
        <v>0</v>
      </c>
      <c r="EU38" s="193">
        <f t="shared" si="224"/>
        <v>0</v>
      </c>
      <c r="EV38" s="193">
        <f t="shared" si="224"/>
        <v>0</v>
      </c>
      <c r="EW38" s="193">
        <f t="shared" si="224"/>
        <v>0</v>
      </c>
      <c r="EX38" s="193">
        <f t="shared" si="224"/>
        <v>0</v>
      </c>
      <c r="EY38" s="193">
        <f t="shared" si="224"/>
        <v>0</v>
      </c>
      <c r="EZ38" s="193">
        <f t="shared" si="224"/>
        <v>0</v>
      </c>
      <c r="FA38" s="193">
        <f t="shared" si="224"/>
        <v>0</v>
      </c>
      <c r="FB38" s="193">
        <f t="shared" si="224"/>
        <v>0</v>
      </c>
      <c r="FC38" s="193">
        <f t="shared" si="224"/>
        <v>0</v>
      </c>
      <c r="FD38" s="193">
        <f t="shared" si="224"/>
        <v>0</v>
      </c>
      <c r="FE38" s="193">
        <f t="shared" si="224"/>
        <v>0</v>
      </c>
      <c r="FF38" s="193">
        <f t="shared" si="224"/>
        <v>0</v>
      </c>
      <c r="FG38" s="193">
        <f t="shared" si="224"/>
        <v>0</v>
      </c>
      <c r="FH38" s="193">
        <f t="shared" si="224"/>
        <v>0</v>
      </c>
      <c r="FI38" s="193">
        <f t="shared" si="224"/>
        <v>0</v>
      </c>
      <c r="FJ38" s="193">
        <f t="shared" si="224"/>
        <v>0</v>
      </c>
      <c r="FK38" s="193">
        <f t="shared" si="224"/>
        <v>0</v>
      </c>
      <c r="FL38" s="193">
        <f t="shared" si="224"/>
        <v>0</v>
      </c>
      <c r="FM38" s="193">
        <f t="shared" si="224"/>
        <v>0</v>
      </c>
      <c r="FN38" s="193">
        <f t="shared" si="224"/>
        <v>0</v>
      </c>
      <c r="FO38" s="193">
        <f t="shared" si="224"/>
        <v>0</v>
      </c>
      <c r="FP38" s="193">
        <f t="shared" si="224"/>
        <v>0</v>
      </c>
      <c r="FQ38" s="193">
        <f t="shared" si="224"/>
        <v>0</v>
      </c>
      <c r="FR38" s="193">
        <f t="shared" si="224"/>
        <v>0</v>
      </c>
      <c r="FS38" s="193">
        <f t="shared" si="224"/>
        <v>0</v>
      </c>
      <c r="FT38" s="193">
        <f t="shared" si="224"/>
        <v>0</v>
      </c>
      <c r="FU38" s="193">
        <f t="shared" si="224"/>
        <v>0</v>
      </c>
      <c r="FV38" s="193">
        <f t="shared" si="224"/>
        <v>0</v>
      </c>
      <c r="FW38" s="193">
        <f t="shared" si="224"/>
        <v>0</v>
      </c>
      <c r="FX38" s="193">
        <f t="shared" si="224"/>
        <v>0</v>
      </c>
      <c r="FY38" s="193">
        <f t="shared" si="224"/>
        <v>0</v>
      </c>
      <c r="FZ38" s="193">
        <f t="shared" si="224"/>
        <v>0</v>
      </c>
      <c r="GA38" s="193">
        <f t="shared" si="224"/>
        <v>0</v>
      </c>
      <c r="GB38" s="193">
        <f t="shared" si="224"/>
        <v>0</v>
      </c>
      <c r="GC38" s="193"/>
      <c r="GD38" s="193"/>
      <c r="GE38" s="193">
        <f t="shared" si="224"/>
        <v>0</v>
      </c>
      <c r="GF38" s="193">
        <f t="shared" si="224"/>
        <v>0</v>
      </c>
      <c r="GG38" s="193">
        <f t="shared" si="224"/>
        <v>0</v>
      </c>
      <c r="GH38" s="193">
        <f t="shared" si="224"/>
        <v>0</v>
      </c>
      <c r="GI38" s="193">
        <f t="shared" si="224"/>
        <v>0</v>
      </c>
      <c r="GJ38" s="193">
        <f t="shared" si="224"/>
        <v>0</v>
      </c>
      <c r="GK38" s="193">
        <f t="shared" si="224"/>
        <v>0</v>
      </c>
      <c r="GL38" s="193">
        <f t="shared" si="224"/>
        <v>0</v>
      </c>
      <c r="GM38" s="193">
        <f t="shared" si="224"/>
        <v>0</v>
      </c>
      <c r="GN38" s="193">
        <f t="shared" si="224"/>
        <v>0</v>
      </c>
      <c r="GO38" s="193">
        <f t="shared" si="224"/>
        <v>0</v>
      </c>
      <c r="GP38" s="193">
        <f t="shared" si="224"/>
        <v>0</v>
      </c>
      <c r="GQ38" s="193">
        <f t="shared" si="224"/>
        <v>0</v>
      </c>
      <c r="GR38" s="193">
        <f t="shared" si="224"/>
        <v>0</v>
      </c>
      <c r="GS38" s="193">
        <f t="shared" ref="GS38:JD38" si="225">SUM(GS37)</f>
        <v>0</v>
      </c>
      <c r="GT38" s="193">
        <f t="shared" si="225"/>
        <v>0</v>
      </c>
      <c r="GU38" s="193">
        <f t="shared" si="225"/>
        <v>0</v>
      </c>
      <c r="GV38" s="193">
        <f t="shared" si="225"/>
        <v>0</v>
      </c>
      <c r="GW38" s="193">
        <f t="shared" si="225"/>
        <v>0</v>
      </c>
      <c r="GX38" s="193">
        <f t="shared" si="225"/>
        <v>0</v>
      </c>
      <c r="GY38" s="193">
        <f t="shared" si="225"/>
        <v>0</v>
      </c>
      <c r="GZ38" s="193">
        <f t="shared" si="225"/>
        <v>0</v>
      </c>
      <c r="HA38" s="193">
        <f t="shared" si="225"/>
        <v>0</v>
      </c>
      <c r="HB38" s="193">
        <f t="shared" si="225"/>
        <v>0</v>
      </c>
      <c r="HC38" s="193">
        <f t="shared" si="225"/>
        <v>0</v>
      </c>
      <c r="HD38" s="193">
        <f t="shared" si="225"/>
        <v>0</v>
      </c>
      <c r="HE38" s="193">
        <f t="shared" si="225"/>
        <v>0</v>
      </c>
      <c r="HF38" s="193">
        <f t="shared" si="225"/>
        <v>0</v>
      </c>
      <c r="HG38" s="193">
        <f t="shared" si="225"/>
        <v>0</v>
      </c>
      <c r="HH38" s="193">
        <f t="shared" si="225"/>
        <v>0</v>
      </c>
      <c r="HI38" s="193">
        <f t="shared" si="225"/>
        <v>0</v>
      </c>
      <c r="HJ38" s="193">
        <f t="shared" si="225"/>
        <v>0</v>
      </c>
      <c r="HK38" s="193">
        <f t="shared" si="225"/>
        <v>0</v>
      </c>
      <c r="HL38" s="193">
        <f t="shared" si="225"/>
        <v>0</v>
      </c>
      <c r="HM38" s="193">
        <f t="shared" si="225"/>
        <v>0</v>
      </c>
      <c r="HN38" s="193">
        <f t="shared" si="225"/>
        <v>0</v>
      </c>
      <c r="HO38" s="193">
        <f t="shared" si="225"/>
        <v>0</v>
      </c>
      <c r="HP38" s="193">
        <f t="shared" si="225"/>
        <v>0</v>
      </c>
      <c r="HQ38" s="193">
        <f t="shared" si="225"/>
        <v>0</v>
      </c>
      <c r="HR38" s="193">
        <f t="shared" si="225"/>
        <v>0</v>
      </c>
      <c r="HS38" s="193">
        <f t="shared" si="225"/>
        <v>0</v>
      </c>
      <c r="HT38" s="193">
        <f t="shared" si="225"/>
        <v>0</v>
      </c>
      <c r="HU38" s="193">
        <f t="shared" si="225"/>
        <v>0</v>
      </c>
      <c r="HV38" s="193">
        <f t="shared" si="225"/>
        <v>0</v>
      </c>
      <c r="HW38" s="193">
        <f t="shared" si="225"/>
        <v>0</v>
      </c>
      <c r="HX38" s="193">
        <f t="shared" si="225"/>
        <v>0</v>
      </c>
      <c r="HY38" s="193">
        <f t="shared" si="225"/>
        <v>0</v>
      </c>
      <c r="HZ38" s="193">
        <f t="shared" si="225"/>
        <v>0</v>
      </c>
      <c r="IA38" s="193">
        <f t="shared" si="225"/>
        <v>0</v>
      </c>
      <c r="IB38" s="193">
        <f t="shared" si="225"/>
        <v>0</v>
      </c>
      <c r="IC38" s="193">
        <f t="shared" si="225"/>
        <v>0</v>
      </c>
      <c r="ID38" s="193">
        <f t="shared" si="225"/>
        <v>0</v>
      </c>
      <c r="IE38" s="193">
        <f t="shared" si="225"/>
        <v>0</v>
      </c>
      <c r="IF38" s="193">
        <f t="shared" si="225"/>
        <v>0</v>
      </c>
      <c r="IG38" s="193">
        <f t="shared" si="225"/>
        <v>0</v>
      </c>
      <c r="IH38" s="193">
        <f t="shared" si="225"/>
        <v>0</v>
      </c>
      <c r="II38" s="193">
        <f t="shared" si="225"/>
        <v>0</v>
      </c>
      <c r="IJ38" s="193">
        <f t="shared" si="225"/>
        <v>0</v>
      </c>
      <c r="IK38" s="193">
        <f t="shared" si="225"/>
        <v>0</v>
      </c>
      <c r="IL38" s="193">
        <f t="shared" si="225"/>
        <v>0</v>
      </c>
      <c r="IM38" s="193">
        <f t="shared" si="225"/>
        <v>0</v>
      </c>
      <c r="IN38" s="193">
        <f t="shared" si="225"/>
        <v>0</v>
      </c>
      <c r="IO38" s="193">
        <f t="shared" si="225"/>
        <v>0</v>
      </c>
      <c r="IP38" s="193">
        <f t="shared" si="225"/>
        <v>0</v>
      </c>
      <c r="IQ38" s="193">
        <f t="shared" si="225"/>
        <v>0</v>
      </c>
      <c r="IR38" s="193">
        <f t="shared" si="225"/>
        <v>0</v>
      </c>
      <c r="IS38" s="193">
        <f t="shared" si="225"/>
        <v>0</v>
      </c>
      <c r="IT38" s="193">
        <f t="shared" si="225"/>
        <v>0</v>
      </c>
      <c r="IU38" s="193">
        <f t="shared" si="225"/>
        <v>0</v>
      </c>
      <c r="IV38" s="193">
        <f t="shared" si="225"/>
        <v>0</v>
      </c>
      <c r="IW38" s="193">
        <f t="shared" si="225"/>
        <v>0</v>
      </c>
      <c r="IX38" s="193">
        <f t="shared" si="225"/>
        <v>0</v>
      </c>
      <c r="IY38" s="193">
        <f t="shared" si="225"/>
        <v>0</v>
      </c>
      <c r="IZ38" s="193">
        <f t="shared" si="225"/>
        <v>0</v>
      </c>
      <c r="JA38" s="193">
        <f t="shared" si="225"/>
        <v>0</v>
      </c>
      <c r="JB38" s="193">
        <f t="shared" si="225"/>
        <v>0</v>
      </c>
      <c r="JC38" s="193">
        <f t="shared" si="225"/>
        <v>0</v>
      </c>
      <c r="JD38" s="193">
        <f t="shared" si="225"/>
        <v>0</v>
      </c>
      <c r="JE38" s="193">
        <f t="shared" ref="JE38:LN38" si="226">SUM(JE37)</f>
        <v>0</v>
      </c>
      <c r="JF38" s="193">
        <f t="shared" si="226"/>
        <v>0</v>
      </c>
      <c r="JG38" s="193">
        <f t="shared" si="226"/>
        <v>0</v>
      </c>
      <c r="JH38" s="193">
        <f t="shared" si="226"/>
        <v>0</v>
      </c>
      <c r="JI38" s="193">
        <f t="shared" si="226"/>
        <v>0</v>
      </c>
      <c r="JJ38" s="193">
        <f t="shared" si="226"/>
        <v>0</v>
      </c>
      <c r="JK38" s="193">
        <f t="shared" si="226"/>
        <v>0</v>
      </c>
      <c r="JL38" s="193">
        <f t="shared" si="226"/>
        <v>0</v>
      </c>
      <c r="JM38" s="193">
        <f t="shared" si="226"/>
        <v>0</v>
      </c>
      <c r="JN38" s="193">
        <f t="shared" si="226"/>
        <v>0</v>
      </c>
      <c r="JO38" s="193">
        <f t="shared" si="226"/>
        <v>0</v>
      </c>
      <c r="JP38" s="193">
        <f t="shared" si="226"/>
        <v>0</v>
      </c>
      <c r="JQ38" s="193">
        <f t="shared" si="226"/>
        <v>0</v>
      </c>
      <c r="JR38" s="193">
        <f t="shared" si="226"/>
        <v>0</v>
      </c>
      <c r="JS38" s="193">
        <f t="shared" si="226"/>
        <v>0</v>
      </c>
      <c r="JT38" s="193">
        <f t="shared" si="226"/>
        <v>0</v>
      </c>
      <c r="JU38" s="193">
        <f t="shared" si="226"/>
        <v>0</v>
      </c>
      <c r="JV38" s="193">
        <f t="shared" si="226"/>
        <v>0</v>
      </c>
      <c r="JW38" s="193">
        <f t="shared" si="226"/>
        <v>0</v>
      </c>
      <c r="JX38" s="193">
        <f t="shared" si="226"/>
        <v>0</v>
      </c>
      <c r="JY38" s="193">
        <f t="shared" si="226"/>
        <v>0</v>
      </c>
      <c r="JZ38" s="193">
        <f t="shared" si="226"/>
        <v>0</v>
      </c>
      <c r="KA38" s="193">
        <f t="shared" si="226"/>
        <v>0</v>
      </c>
      <c r="KB38" s="193">
        <f t="shared" si="226"/>
        <v>0</v>
      </c>
      <c r="KC38" s="193">
        <f t="shared" si="226"/>
        <v>0</v>
      </c>
      <c r="KD38" s="193">
        <f t="shared" si="226"/>
        <v>0</v>
      </c>
      <c r="KE38" s="193">
        <f t="shared" si="226"/>
        <v>0</v>
      </c>
      <c r="KF38" s="193">
        <f t="shared" si="226"/>
        <v>0</v>
      </c>
      <c r="KG38" s="193">
        <f t="shared" si="226"/>
        <v>0</v>
      </c>
      <c r="KH38" s="193">
        <f t="shared" si="226"/>
        <v>0</v>
      </c>
      <c r="KI38" s="193">
        <f t="shared" si="226"/>
        <v>0</v>
      </c>
      <c r="KJ38" s="193">
        <f t="shared" si="226"/>
        <v>0</v>
      </c>
      <c r="KK38" s="193">
        <f t="shared" si="226"/>
        <v>0</v>
      </c>
      <c r="KL38" s="193">
        <f t="shared" si="226"/>
        <v>0</v>
      </c>
      <c r="KM38" s="193">
        <f t="shared" si="226"/>
        <v>0</v>
      </c>
      <c r="KN38" s="193">
        <f t="shared" si="226"/>
        <v>0</v>
      </c>
      <c r="KO38" s="193">
        <f t="shared" si="226"/>
        <v>0</v>
      </c>
      <c r="KP38" s="193">
        <f t="shared" si="226"/>
        <v>0</v>
      </c>
      <c r="KQ38" s="193">
        <f t="shared" si="226"/>
        <v>0</v>
      </c>
      <c r="KR38" s="193">
        <f t="shared" si="226"/>
        <v>0</v>
      </c>
      <c r="KS38" s="193">
        <f t="shared" si="226"/>
        <v>0</v>
      </c>
      <c r="KT38" s="193">
        <f t="shared" si="226"/>
        <v>0</v>
      </c>
      <c r="KU38" s="193">
        <f t="shared" si="226"/>
        <v>0</v>
      </c>
      <c r="KV38" s="193">
        <f t="shared" si="226"/>
        <v>0</v>
      </c>
      <c r="KW38" s="193">
        <f t="shared" si="226"/>
        <v>0</v>
      </c>
      <c r="KX38" s="193">
        <f t="shared" si="226"/>
        <v>0</v>
      </c>
      <c r="KY38" s="193">
        <f t="shared" si="226"/>
        <v>0</v>
      </c>
      <c r="KZ38" s="193">
        <f t="shared" si="226"/>
        <v>0</v>
      </c>
      <c r="LA38" s="193">
        <f t="shared" si="226"/>
        <v>0</v>
      </c>
      <c r="LB38" s="193">
        <f t="shared" si="226"/>
        <v>0</v>
      </c>
      <c r="LC38" s="193">
        <f t="shared" si="226"/>
        <v>0</v>
      </c>
      <c r="LD38" s="193">
        <f t="shared" si="226"/>
        <v>0</v>
      </c>
      <c r="LE38" s="193">
        <f t="shared" si="226"/>
        <v>0</v>
      </c>
      <c r="LF38" s="193">
        <f t="shared" si="226"/>
        <v>0</v>
      </c>
      <c r="LG38" s="193">
        <f t="shared" si="226"/>
        <v>0</v>
      </c>
      <c r="LH38" s="193">
        <f t="shared" si="226"/>
        <v>0</v>
      </c>
      <c r="LI38" s="193">
        <f t="shared" si="226"/>
        <v>0</v>
      </c>
      <c r="LJ38" s="193">
        <f t="shared" si="226"/>
        <v>0</v>
      </c>
      <c r="LK38" s="193">
        <f t="shared" si="226"/>
        <v>0</v>
      </c>
      <c r="LL38" s="193">
        <f t="shared" si="226"/>
        <v>0</v>
      </c>
      <c r="LM38" s="193">
        <f t="shared" si="226"/>
        <v>0</v>
      </c>
      <c r="LN38" s="193">
        <f t="shared" si="226"/>
        <v>0</v>
      </c>
      <c r="LO38" s="193"/>
      <c r="LP38" s="193"/>
      <c r="LQ38" s="193">
        <f t="shared" ref="LQ38:OA38" si="227">SUM(LQ37)</f>
        <v>0</v>
      </c>
      <c r="LR38" s="193">
        <f t="shared" si="227"/>
        <v>0</v>
      </c>
      <c r="LS38" s="193">
        <f t="shared" si="227"/>
        <v>0</v>
      </c>
      <c r="LT38" s="193">
        <f t="shared" si="227"/>
        <v>0</v>
      </c>
      <c r="LU38" s="193">
        <f t="shared" si="227"/>
        <v>0</v>
      </c>
      <c r="LV38" s="193">
        <f t="shared" si="227"/>
        <v>0</v>
      </c>
      <c r="LW38" s="193">
        <f t="shared" si="227"/>
        <v>0</v>
      </c>
      <c r="LX38" s="193">
        <f t="shared" si="227"/>
        <v>0</v>
      </c>
      <c r="LY38" s="193">
        <f t="shared" si="227"/>
        <v>0</v>
      </c>
      <c r="LZ38" s="193">
        <f t="shared" si="227"/>
        <v>0</v>
      </c>
      <c r="MA38" s="193">
        <f t="shared" si="227"/>
        <v>0</v>
      </c>
      <c r="MB38" s="193">
        <f t="shared" si="227"/>
        <v>0</v>
      </c>
      <c r="MC38" s="193">
        <f t="shared" si="227"/>
        <v>0</v>
      </c>
      <c r="MD38" s="193">
        <f t="shared" si="227"/>
        <v>0</v>
      </c>
      <c r="ME38" s="193">
        <f t="shared" si="227"/>
        <v>0</v>
      </c>
      <c r="MF38" s="193">
        <f t="shared" si="227"/>
        <v>0</v>
      </c>
      <c r="MG38" s="193">
        <f t="shared" si="227"/>
        <v>0</v>
      </c>
      <c r="MH38" s="193">
        <f t="shared" si="227"/>
        <v>0</v>
      </c>
      <c r="MI38" s="193">
        <f t="shared" si="227"/>
        <v>0</v>
      </c>
      <c r="MJ38" s="193">
        <f t="shared" si="227"/>
        <v>0</v>
      </c>
      <c r="MK38" s="193">
        <f t="shared" si="227"/>
        <v>0</v>
      </c>
      <c r="ML38" s="193">
        <f t="shared" si="227"/>
        <v>0</v>
      </c>
      <c r="MM38" s="193">
        <f t="shared" si="227"/>
        <v>0</v>
      </c>
      <c r="MN38" s="193">
        <f t="shared" si="227"/>
        <v>0</v>
      </c>
      <c r="MO38" s="193">
        <f t="shared" si="227"/>
        <v>0</v>
      </c>
      <c r="MP38" s="193">
        <f t="shared" si="227"/>
        <v>0</v>
      </c>
      <c r="MQ38" s="193">
        <f t="shared" si="227"/>
        <v>0</v>
      </c>
      <c r="MR38" s="193">
        <f t="shared" si="227"/>
        <v>0</v>
      </c>
      <c r="MS38" s="193">
        <f t="shared" si="227"/>
        <v>0</v>
      </c>
      <c r="MT38" s="193">
        <f t="shared" si="227"/>
        <v>0</v>
      </c>
      <c r="MU38" s="193">
        <f t="shared" si="227"/>
        <v>0</v>
      </c>
      <c r="MV38" s="193">
        <f t="shared" si="227"/>
        <v>0</v>
      </c>
      <c r="MW38" s="193">
        <f t="shared" si="227"/>
        <v>0</v>
      </c>
      <c r="MX38" s="193">
        <f t="shared" si="227"/>
        <v>0</v>
      </c>
      <c r="MY38" s="193">
        <f t="shared" si="227"/>
        <v>0</v>
      </c>
      <c r="MZ38" s="193">
        <f t="shared" si="227"/>
        <v>0</v>
      </c>
      <c r="NA38" s="193">
        <f t="shared" si="227"/>
        <v>0</v>
      </c>
      <c r="NB38" s="193">
        <f t="shared" si="227"/>
        <v>0</v>
      </c>
      <c r="NC38" s="193">
        <f t="shared" si="227"/>
        <v>0</v>
      </c>
      <c r="ND38" s="207">
        <f t="shared" si="227"/>
        <v>0</v>
      </c>
      <c r="NE38" s="207">
        <f t="shared" si="227"/>
        <v>0</v>
      </c>
      <c r="NF38" s="207">
        <f t="shared" si="227"/>
        <v>0</v>
      </c>
      <c r="NG38" s="207">
        <f t="shared" si="227"/>
        <v>0</v>
      </c>
      <c r="NH38" s="207">
        <f t="shared" si="227"/>
        <v>0</v>
      </c>
      <c r="NI38" s="207">
        <f t="shared" si="227"/>
        <v>0</v>
      </c>
      <c r="NJ38" s="207">
        <f t="shared" si="227"/>
        <v>0</v>
      </c>
      <c r="NK38" s="207">
        <f t="shared" si="227"/>
        <v>0</v>
      </c>
      <c r="NL38" s="207">
        <f t="shared" si="227"/>
        <v>0</v>
      </c>
      <c r="NM38" s="207">
        <f t="shared" si="227"/>
        <v>0</v>
      </c>
      <c r="NN38" s="207">
        <f t="shared" si="227"/>
        <v>0</v>
      </c>
      <c r="NO38" s="207">
        <f t="shared" si="227"/>
        <v>0</v>
      </c>
      <c r="NP38" s="207">
        <f t="shared" si="227"/>
        <v>0</v>
      </c>
      <c r="NQ38" s="207">
        <f t="shared" si="227"/>
        <v>0</v>
      </c>
      <c r="NR38" s="207">
        <f t="shared" si="227"/>
        <v>0</v>
      </c>
      <c r="NS38" s="207">
        <f t="shared" si="227"/>
        <v>0</v>
      </c>
      <c r="NT38" s="207">
        <f t="shared" si="227"/>
        <v>0</v>
      </c>
      <c r="NU38" s="207">
        <f t="shared" si="227"/>
        <v>0</v>
      </c>
      <c r="NV38" s="207">
        <f t="shared" si="227"/>
        <v>0</v>
      </c>
      <c r="NW38" s="207">
        <f t="shared" si="227"/>
        <v>0</v>
      </c>
      <c r="NX38" s="207">
        <f t="shared" si="227"/>
        <v>0</v>
      </c>
      <c r="NY38" s="193">
        <f t="shared" si="227"/>
        <v>0</v>
      </c>
      <c r="NZ38" s="193">
        <f t="shared" si="227"/>
        <v>0</v>
      </c>
      <c r="OA38" s="193">
        <f t="shared" si="227"/>
        <v>0</v>
      </c>
      <c r="OB38" s="193">
        <f t="shared" ref="OB38:QS38" si="228">SUM(OB37)</f>
        <v>0</v>
      </c>
      <c r="OC38" s="193">
        <f t="shared" si="228"/>
        <v>0</v>
      </c>
      <c r="OD38" s="193">
        <f t="shared" si="228"/>
        <v>0</v>
      </c>
      <c r="OE38" s="193">
        <f t="shared" si="228"/>
        <v>0</v>
      </c>
      <c r="OF38" s="193">
        <f t="shared" si="228"/>
        <v>0</v>
      </c>
      <c r="OG38" s="193">
        <f t="shared" si="228"/>
        <v>0</v>
      </c>
      <c r="OH38" s="193">
        <f t="shared" si="228"/>
        <v>0</v>
      </c>
      <c r="OI38" s="193">
        <f t="shared" ref="OI38:OT38" si="229">SUM(OI37)</f>
        <v>0</v>
      </c>
      <c r="OJ38" s="193">
        <f t="shared" si="229"/>
        <v>0</v>
      </c>
      <c r="OK38" s="193">
        <f t="shared" si="229"/>
        <v>0</v>
      </c>
      <c r="OL38" s="193">
        <f t="shared" si="229"/>
        <v>0</v>
      </c>
      <c r="OM38" s="193">
        <f t="shared" si="229"/>
        <v>0</v>
      </c>
      <c r="ON38" s="193">
        <f t="shared" si="229"/>
        <v>0</v>
      </c>
      <c r="OO38" s="193">
        <f t="shared" si="229"/>
        <v>0</v>
      </c>
      <c r="OP38" s="193">
        <f t="shared" si="229"/>
        <v>0</v>
      </c>
      <c r="OQ38" s="193">
        <f t="shared" si="229"/>
        <v>0</v>
      </c>
      <c r="OR38" s="193">
        <f t="shared" si="229"/>
        <v>0</v>
      </c>
      <c r="OS38" s="193">
        <f t="shared" si="229"/>
        <v>0</v>
      </c>
      <c r="OT38" s="193">
        <f t="shared" si="229"/>
        <v>0</v>
      </c>
      <c r="OU38" s="193">
        <f t="shared" si="228"/>
        <v>0</v>
      </c>
      <c r="OV38" s="193">
        <f t="shared" si="228"/>
        <v>0</v>
      </c>
      <c r="OW38" s="193"/>
      <c r="OX38" s="193"/>
      <c r="OY38" s="193"/>
      <c r="OZ38" s="193">
        <f t="shared" si="228"/>
        <v>0</v>
      </c>
      <c r="PA38" s="193">
        <f t="shared" si="228"/>
        <v>0</v>
      </c>
      <c r="PB38" s="193">
        <f t="shared" si="228"/>
        <v>0</v>
      </c>
      <c r="PC38" s="193">
        <f t="shared" si="228"/>
        <v>0</v>
      </c>
      <c r="PD38" s="193">
        <f t="shared" si="228"/>
        <v>0</v>
      </c>
      <c r="PE38" s="193">
        <f t="shared" si="228"/>
        <v>0</v>
      </c>
      <c r="PF38" s="193">
        <f t="shared" si="228"/>
        <v>0</v>
      </c>
      <c r="PG38" s="193">
        <f t="shared" si="228"/>
        <v>0</v>
      </c>
      <c r="PH38" s="193">
        <f t="shared" si="228"/>
        <v>0</v>
      </c>
      <c r="PI38" s="193">
        <f t="shared" si="228"/>
        <v>0</v>
      </c>
      <c r="PJ38" s="193">
        <f t="shared" si="228"/>
        <v>0</v>
      </c>
      <c r="PK38" s="193">
        <f t="shared" si="228"/>
        <v>0</v>
      </c>
      <c r="PL38" s="193">
        <f t="shared" si="228"/>
        <v>0</v>
      </c>
      <c r="PM38" s="193">
        <f t="shared" si="228"/>
        <v>0</v>
      </c>
      <c r="PN38" s="193">
        <f t="shared" si="228"/>
        <v>0</v>
      </c>
      <c r="PO38" s="193">
        <f t="shared" si="228"/>
        <v>0</v>
      </c>
      <c r="PP38" s="193">
        <f t="shared" si="228"/>
        <v>0</v>
      </c>
      <c r="PQ38" s="193">
        <f t="shared" si="228"/>
        <v>0</v>
      </c>
      <c r="PR38" s="193">
        <f t="shared" si="228"/>
        <v>0</v>
      </c>
      <c r="PS38" s="193">
        <f t="shared" si="228"/>
        <v>0</v>
      </c>
      <c r="PT38" s="193">
        <f t="shared" si="228"/>
        <v>0</v>
      </c>
      <c r="PU38" s="193">
        <f t="shared" si="228"/>
        <v>0</v>
      </c>
      <c r="PV38" s="193">
        <f t="shared" ref="PV38:QH38" si="230">SUM(PV37)</f>
        <v>0</v>
      </c>
      <c r="PW38" s="193">
        <f t="shared" si="230"/>
        <v>0</v>
      </c>
      <c r="PX38" s="193">
        <f t="shared" si="230"/>
        <v>0</v>
      </c>
      <c r="PY38" s="193">
        <f t="shared" si="230"/>
        <v>0</v>
      </c>
      <c r="PZ38" s="193">
        <f t="shared" si="230"/>
        <v>0</v>
      </c>
      <c r="QA38" s="193">
        <f t="shared" si="230"/>
        <v>0</v>
      </c>
      <c r="QB38" s="193">
        <f t="shared" si="230"/>
        <v>0</v>
      </c>
      <c r="QC38" s="193">
        <f t="shared" si="230"/>
        <v>0</v>
      </c>
      <c r="QD38" s="193">
        <f t="shared" si="230"/>
        <v>0</v>
      </c>
      <c r="QE38" s="193">
        <f t="shared" si="230"/>
        <v>0</v>
      </c>
      <c r="QF38" s="193">
        <f t="shared" si="230"/>
        <v>0</v>
      </c>
      <c r="QG38" s="193">
        <f t="shared" si="230"/>
        <v>0</v>
      </c>
      <c r="QH38" s="193">
        <f t="shared" si="230"/>
        <v>0</v>
      </c>
      <c r="QI38" s="193">
        <f t="shared" si="228"/>
        <v>0</v>
      </c>
      <c r="QJ38" s="193">
        <f t="shared" si="228"/>
        <v>0</v>
      </c>
      <c r="QK38" s="193">
        <f t="shared" si="228"/>
        <v>0</v>
      </c>
      <c r="QL38" s="193">
        <f t="shared" si="228"/>
        <v>0</v>
      </c>
      <c r="QM38" s="193">
        <f t="shared" si="228"/>
        <v>0</v>
      </c>
      <c r="QN38" s="193">
        <f t="shared" si="228"/>
        <v>0</v>
      </c>
      <c r="QO38" s="193">
        <f t="shared" si="228"/>
        <v>0</v>
      </c>
      <c r="QP38" s="193">
        <f t="shared" si="228"/>
        <v>0</v>
      </c>
      <c r="QQ38" s="193">
        <f t="shared" si="228"/>
        <v>0</v>
      </c>
      <c r="QR38" s="193">
        <f t="shared" si="228"/>
        <v>0</v>
      </c>
      <c r="QS38" s="193">
        <f t="shared" si="228"/>
        <v>0</v>
      </c>
      <c r="QT38" s="193">
        <f t="shared" ref="QT38:SP38" si="231">SUM(QT37)</f>
        <v>0</v>
      </c>
      <c r="QU38" s="193">
        <f t="shared" si="231"/>
        <v>0</v>
      </c>
      <c r="QV38" s="193">
        <f t="shared" si="231"/>
        <v>0</v>
      </c>
      <c r="QW38" s="193">
        <f t="shared" si="231"/>
        <v>0</v>
      </c>
      <c r="QX38" s="193">
        <f t="shared" si="231"/>
        <v>0</v>
      </c>
      <c r="QY38" s="193">
        <f t="shared" si="231"/>
        <v>0</v>
      </c>
      <c r="QZ38" s="193">
        <f t="shared" si="231"/>
        <v>0</v>
      </c>
      <c r="RA38" s="193">
        <f t="shared" si="231"/>
        <v>0</v>
      </c>
      <c r="RB38" s="193">
        <f>SUM(RB37)</f>
        <v>0</v>
      </c>
      <c r="RC38" s="193">
        <f>SUM(RC37)</f>
        <v>0</v>
      </c>
      <c r="RD38" s="193">
        <f t="shared" si="231"/>
        <v>0</v>
      </c>
      <c r="RE38" s="193">
        <f t="shared" si="231"/>
        <v>0</v>
      </c>
      <c r="RF38" s="193">
        <f t="shared" si="231"/>
        <v>0</v>
      </c>
      <c r="RG38" s="193">
        <f t="shared" si="231"/>
        <v>0</v>
      </c>
      <c r="RH38" s="193">
        <f t="shared" si="231"/>
        <v>0</v>
      </c>
      <c r="RI38" s="193">
        <f t="shared" si="231"/>
        <v>0</v>
      </c>
      <c r="RJ38" s="193">
        <f t="shared" si="231"/>
        <v>0</v>
      </c>
      <c r="RK38" s="193">
        <f t="shared" si="231"/>
        <v>0</v>
      </c>
      <c r="RL38" s="193">
        <f t="shared" si="231"/>
        <v>0</v>
      </c>
      <c r="RM38" s="193">
        <f t="shared" si="231"/>
        <v>0</v>
      </c>
      <c r="RN38" s="193">
        <f t="shared" si="231"/>
        <v>0</v>
      </c>
      <c r="RO38" s="193"/>
      <c r="RP38" s="193"/>
      <c r="RQ38" s="193"/>
      <c r="RR38" s="193"/>
      <c r="RS38" s="193"/>
      <c r="RT38" s="193"/>
      <c r="RU38" s="193">
        <f t="shared" si="231"/>
        <v>0</v>
      </c>
      <c r="RV38" s="193">
        <f t="shared" si="231"/>
        <v>0</v>
      </c>
      <c r="RW38" s="193">
        <f t="shared" si="231"/>
        <v>0</v>
      </c>
      <c r="RX38" s="193">
        <f t="shared" si="231"/>
        <v>0</v>
      </c>
      <c r="RY38" s="193">
        <f t="shared" si="231"/>
        <v>0</v>
      </c>
      <c r="RZ38" s="193">
        <f t="shared" si="231"/>
        <v>0</v>
      </c>
      <c r="SA38" s="193">
        <f t="shared" si="231"/>
        <v>0</v>
      </c>
      <c r="SB38" s="193">
        <f t="shared" si="231"/>
        <v>0</v>
      </c>
      <c r="SC38" s="193">
        <f t="shared" si="231"/>
        <v>0</v>
      </c>
      <c r="SD38" s="193">
        <f t="shared" si="231"/>
        <v>0</v>
      </c>
      <c r="SE38" s="193">
        <f t="shared" si="231"/>
        <v>0</v>
      </c>
      <c r="SF38" s="193">
        <f t="shared" si="231"/>
        <v>0</v>
      </c>
      <c r="SG38" s="193">
        <f t="shared" si="231"/>
        <v>0</v>
      </c>
      <c r="SH38" s="193">
        <f t="shared" si="231"/>
        <v>0</v>
      </c>
      <c r="SI38" s="193">
        <f t="shared" si="231"/>
        <v>0</v>
      </c>
      <c r="SJ38" s="193">
        <f t="shared" si="231"/>
        <v>0</v>
      </c>
      <c r="SK38" s="193">
        <f t="shared" si="231"/>
        <v>0</v>
      </c>
      <c r="SL38" s="193">
        <f t="shared" si="231"/>
        <v>0</v>
      </c>
      <c r="SM38" s="193">
        <f t="shared" si="231"/>
        <v>0</v>
      </c>
      <c r="SN38" s="193">
        <f t="shared" si="231"/>
        <v>0</v>
      </c>
      <c r="SO38" s="193">
        <f t="shared" si="231"/>
        <v>0</v>
      </c>
      <c r="SP38" s="193">
        <f t="shared" si="231"/>
        <v>0</v>
      </c>
      <c r="SQ38" s="193"/>
      <c r="SR38" s="193"/>
      <c r="SS38" s="195"/>
    </row>
    <row r="39" spans="1:513" s="171" customFormat="1" ht="24.75" customHeight="1">
      <c r="A39" s="168"/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8"/>
      <c r="W39" s="168"/>
      <c r="X39" s="168"/>
      <c r="Y39" s="168"/>
      <c r="Z39" s="168"/>
      <c r="AA39" s="168"/>
      <c r="AB39" s="168"/>
      <c r="AC39" s="168"/>
      <c r="AD39" s="168"/>
      <c r="AE39" s="168"/>
      <c r="AF39" s="168"/>
      <c r="AG39" s="168"/>
      <c r="AH39" s="168"/>
      <c r="AI39" s="168"/>
      <c r="AJ39" s="168"/>
      <c r="AK39" s="168"/>
      <c r="AL39" s="168"/>
      <c r="AM39" s="168"/>
      <c r="AN39" s="168"/>
      <c r="AO39" s="168"/>
      <c r="AP39" s="168"/>
      <c r="AQ39" s="168"/>
      <c r="AR39" s="168"/>
      <c r="AS39" s="168"/>
      <c r="AT39" s="168"/>
      <c r="AU39" s="168"/>
      <c r="AV39" s="168"/>
      <c r="AW39" s="168"/>
      <c r="AX39" s="168"/>
      <c r="AY39" s="168"/>
      <c r="AZ39" s="168"/>
      <c r="BA39" s="168"/>
      <c r="BB39" s="168"/>
      <c r="BC39" s="168"/>
      <c r="BD39" s="168"/>
      <c r="BE39" s="168"/>
      <c r="BF39" s="168"/>
      <c r="BG39" s="168"/>
      <c r="BH39" s="168"/>
      <c r="BI39" s="168"/>
      <c r="BJ39" s="168"/>
      <c r="BK39" s="168"/>
      <c r="BL39" s="168"/>
      <c r="BM39" s="168"/>
      <c r="BN39" s="168"/>
      <c r="BO39" s="168"/>
      <c r="BP39" s="168"/>
      <c r="BQ39" s="168"/>
      <c r="BR39" s="168"/>
      <c r="BS39" s="168"/>
      <c r="BT39" s="168"/>
      <c r="BU39" s="168"/>
      <c r="BV39" s="168"/>
      <c r="BW39" s="168"/>
      <c r="BX39" s="168"/>
      <c r="BY39" s="168"/>
      <c r="BZ39" s="168"/>
      <c r="CA39" s="168"/>
      <c r="CB39" s="168"/>
      <c r="CC39" s="168"/>
      <c r="CD39" s="168"/>
      <c r="CE39" s="168"/>
      <c r="CF39" s="168"/>
      <c r="CG39" s="168"/>
      <c r="CH39" s="168"/>
      <c r="CI39" s="168"/>
      <c r="CJ39" s="168"/>
      <c r="CK39" s="168"/>
      <c r="CL39" s="168"/>
      <c r="CM39" s="168"/>
      <c r="CN39" s="168"/>
      <c r="CO39" s="168"/>
      <c r="CP39" s="168"/>
      <c r="CQ39" s="168"/>
      <c r="CR39" s="168"/>
      <c r="CS39" s="168"/>
      <c r="CT39" s="168"/>
      <c r="CU39" s="168"/>
      <c r="CV39" s="168"/>
      <c r="CW39" s="168"/>
      <c r="CX39" s="168"/>
      <c r="CY39" s="168"/>
      <c r="CZ39" s="168"/>
      <c r="DA39" s="168"/>
      <c r="DB39" s="168"/>
      <c r="DC39" s="168"/>
      <c r="DD39" s="168"/>
      <c r="DE39" s="168"/>
      <c r="DF39" s="168"/>
      <c r="DG39" s="168"/>
      <c r="DH39" s="168"/>
      <c r="DI39" s="168"/>
      <c r="DJ39" s="168"/>
      <c r="DK39" s="168"/>
      <c r="DL39" s="168"/>
      <c r="DM39" s="168"/>
      <c r="DN39" s="168"/>
      <c r="DO39" s="168"/>
      <c r="DP39" s="168"/>
      <c r="DQ39" s="168"/>
      <c r="DR39" s="168"/>
      <c r="DS39" s="168"/>
      <c r="DT39" s="168"/>
      <c r="DU39" s="168"/>
      <c r="DV39" s="168"/>
      <c r="DW39" s="168"/>
      <c r="DX39" s="168"/>
      <c r="DY39" s="168"/>
      <c r="DZ39" s="168"/>
      <c r="EA39" s="168"/>
      <c r="EB39" s="168"/>
      <c r="EC39" s="168"/>
      <c r="ED39" s="168"/>
      <c r="EE39" s="168"/>
      <c r="EF39" s="168"/>
      <c r="EG39" s="168"/>
      <c r="EH39" s="168"/>
      <c r="EI39" s="168"/>
      <c r="EJ39" s="168"/>
      <c r="EK39" s="168"/>
      <c r="EL39" s="168"/>
      <c r="EM39" s="168"/>
      <c r="EN39" s="168"/>
      <c r="EO39" s="168"/>
      <c r="EP39" s="168"/>
      <c r="EQ39" s="168"/>
      <c r="ER39" s="168"/>
      <c r="ES39" s="168"/>
      <c r="ET39" s="168"/>
      <c r="EU39" s="168"/>
      <c r="EV39" s="168"/>
      <c r="EW39" s="168"/>
      <c r="EX39" s="168"/>
      <c r="EY39" s="168"/>
      <c r="EZ39" s="168"/>
      <c r="FA39" s="168"/>
      <c r="FB39" s="168"/>
      <c r="FC39" s="168"/>
      <c r="FD39" s="168"/>
      <c r="FE39" s="168"/>
      <c r="FF39" s="168"/>
      <c r="FG39" s="168"/>
      <c r="FH39" s="168"/>
      <c r="FI39" s="168"/>
      <c r="FJ39" s="168"/>
      <c r="FK39" s="168"/>
      <c r="FL39" s="168"/>
      <c r="FM39" s="168"/>
      <c r="FN39" s="168"/>
      <c r="FO39" s="168"/>
      <c r="FP39" s="168"/>
      <c r="FQ39" s="168"/>
      <c r="FR39" s="168"/>
      <c r="FS39" s="168"/>
      <c r="FT39" s="168"/>
      <c r="FU39" s="168"/>
      <c r="FV39" s="168"/>
      <c r="FW39" s="168"/>
      <c r="FX39" s="168"/>
      <c r="FY39" s="168"/>
      <c r="FZ39" s="168"/>
      <c r="GA39" s="168"/>
      <c r="GB39" s="168"/>
      <c r="GC39" s="168"/>
      <c r="GD39" s="168"/>
      <c r="GE39" s="168"/>
      <c r="GF39" s="168"/>
      <c r="GG39" s="168"/>
      <c r="GH39" s="168"/>
      <c r="GI39" s="168"/>
      <c r="GJ39" s="168"/>
      <c r="GK39" s="168"/>
      <c r="GL39" s="168"/>
      <c r="GM39" s="168"/>
      <c r="GN39" s="168"/>
      <c r="GO39" s="168"/>
      <c r="GP39" s="168"/>
      <c r="GQ39" s="168"/>
      <c r="GR39" s="168"/>
      <c r="GS39" s="168"/>
      <c r="GT39" s="168"/>
      <c r="GU39" s="168"/>
      <c r="GV39" s="168"/>
      <c r="GW39" s="168"/>
      <c r="GX39" s="168"/>
      <c r="GY39" s="168"/>
      <c r="GZ39" s="168"/>
      <c r="HA39" s="168"/>
      <c r="HB39" s="168"/>
      <c r="HC39" s="168"/>
      <c r="HD39" s="168"/>
      <c r="HE39" s="168"/>
      <c r="HF39" s="168"/>
      <c r="HG39" s="168"/>
      <c r="HH39" s="168"/>
      <c r="HI39" s="168"/>
      <c r="HJ39" s="168"/>
      <c r="HK39" s="168"/>
      <c r="HL39" s="168"/>
      <c r="HM39" s="168"/>
      <c r="HN39" s="168"/>
      <c r="HO39" s="168"/>
      <c r="HP39" s="168"/>
      <c r="HQ39" s="168"/>
      <c r="HR39" s="168"/>
      <c r="HS39" s="168"/>
      <c r="HT39" s="168"/>
      <c r="HU39" s="168"/>
      <c r="HV39" s="168"/>
      <c r="HW39" s="168"/>
      <c r="HX39" s="168"/>
      <c r="HY39" s="168"/>
      <c r="HZ39" s="168"/>
      <c r="IA39" s="168"/>
      <c r="IB39" s="168"/>
      <c r="IC39" s="168"/>
      <c r="ID39" s="168"/>
      <c r="IE39" s="168"/>
      <c r="IF39" s="168"/>
      <c r="IG39" s="168"/>
      <c r="IH39" s="168"/>
      <c r="II39" s="168"/>
      <c r="IJ39" s="168"/>
      <c r="IK39" s="168"/>
      <c r="IL39" s="168"/>
      <c r="IM39" s="168"/>
      <c r="IN39" s="168"/>
      <c r="IO39" s="168"/>
      <c r="IP39" s="168"/>
      <c r="IQ39" s="168"/>
      <c r="IR39" s="168"/>
      <c r="IS39" s="168"/>
      <c r="IT39" s="168"/>
      <c r="IU39" s="168"/>
      <c r="IV39" s="168"/>
      <c r="IW39" s="168"/>
      <c r="IX39" s="168"/>
      <c r="IY39" s="168"/>
      <c r="IZ39" s="168"/>
      <c r="JA39" s="168"/>
      <c r="JB39" s="168"/>
      <c r="JC39" s="168"/>
      <c r="JD39" s="168"/>
      <c r="JE39" s="168"/>
      <c r="JF39" s="168"/>
      <c r="JG39" s="168"/>
      <c r="JH39" s="168"/>
      <c r="JI39" s="168"/>
      <c r="JJ39" s="168"/>
      <c r="JK39" s="168"/>
      <c r="JL39" s="168"/>
      <c r="JM39" s="168"/>
      <c r="JN39" s="168"/>
      <c r="JO39" s="168"/>
      <c r="JP39" s="168"/>
      <c r="JQ39" s="168"/>
      <c r="JR39" s="168"/>
      <c r="JS39" s="168"/>
      <c r="JT39" s="168"/>
      <c r="JU39" s="168"/>
      <c r="JV39" s="168"/>
      <c r="JW39" s="168"/>
      <c r="JX39" s="168"/>
      <c r="JY39" s="168"/>
      <c r="JZ39" s="168"/>
      <c r="KA39" s="168"/>
      <c r="KB39" s="168"/>
      <c r="KC39" s="168"/>
      <c r="KD39" s="168"/>
      <c r="KE39" s="168"/>
      <c r="KF39" s="168"/>
      <c r="KG39" s="168"/>
      <c r="KH39" s="168"/>
      <c r="KI39" s="168"/>
      <c r="KJ39" s="168"/>
      <c r="KK39" s="168"/>
      <c r="KL39" s="168"/>
      <c r="KM39" s="168"/>
      <c r="KN39" s="168"/>
      <c r="KO39" s="168"/>
      <c r="KP39" s="168"/>
      <c r="KQ39" s="168"/>
      <c r="KR39" s="168"/>
      <c r="KS39" s="168"/>
      <c r="KT39" s="168"/>
      <c r="KU39" s="168"/>
      <c r="KV39" s="168"/>
      <c r="KW39" s="168"/>
      <c r="KX39" s="168"/>
      <c r="KY39" s="168"/>
      <c r="KZ39" s="168"/>
      <c r="LA39" s="168"/>
      <c r="LB39" s="168"/>
      <c r="LC39" s="168"/>
      <c r="LD39" s="168"/>
      <c r="LE39" s="168"/>
      <c r="LF39" s="168"/>
      <c r="LG39" s="168"/>
      <c r="LH39" s="168"/>
      <c r="LI39" s="168"/>
      <c r="LJ39" s="168"/>
      <c r="LK39" s="168"/>
      <c r="LL39" s="168"/>
      <c r="LM39" s="168"/>
      <c r="LN39" s="168"/>
      <c r="LO39" s="168"/>
      <c r="LP39" s="168"/>
      <c r="LQ39" s="168"/>
      <c r="LR39" s="168"/>
      <c r="LS39" s="168"/>
      <c r="LT39" s="168"/>
      <c r="LU39" s="168"/>
      <c r="LV39" s="168"/>
      <c r="LW39" s="168"/>
      <c r="LX39" s="168"/>
      <c r="LY39" s="168"/>
      <c r="LZ39" s="168"/>
      <c r="MA39" s="168"/>
      <c r="MB39" s="168"/>
      <c r="MC39" s="168"/>
      <c r="MD39" s="168"/>
      <c r="ME39" s="168"/>
      <c r="MF39" s="168"/>
      <c r="MG39" s="168"/>
      <c r="MH39" s="168"/>
      <c r="MI39" s="168"/>
      <c r="MJ39" s="168"/>
      <c r="MK39" s="168"/>
      <c r="ML39" s="168"/>
      <c r="MM39" s="168"/>
      <c r="MN39" s="168"/>
      <c r="MO39" s="168"/>
      <c r="MP39" s="168"/>
      <c r="MQ39" s="168"/>
      <c r="MR39" s="168"/>
      <c r="MS39" s="168"/>
      <c r="MT39" s="168"/>
      <c r="MU39" s="168"/>
      <c r="MV39" s="168"/>
      <c r="MW39" s="168"/>
      <c r="MX39" s="168"/>
      <c r="MY39" s="168"/>
      <c r="MZ39" s="168"/>
      <c r="NA39" s="168"/>
      <c r="NB39" s="168"/>
      <c r="NC39" s="168"/>
      <c r="ND39" s="168"/>
      <c r="NE39" s="168"/>
      <c r="NF39" s="168"/>
      <c r="NG39" s="168"/>
      <c r="NH39" s="168"/>
      <c r="NI39" s="168"/>
      <c r="NJ39" s="168"/>
      <c r="NK39" s="168"/>
      <c r="NL39" s="168"/>
      <c r="NM39" s="168"/>
      <c r="NN39" s="168"/>
      <c r="NO39" s="168"/>
      <c r="NP39" s="168"/>
      <c r="NQ39" s="168"/>
      <c r="NR39" s="168"/>
      <c r="NS39" s="168"/>
      <c r="NT39" s="168"/>
      <c r="NU39" s="168"/>
      <c r="NV39" s="168"/>
      <c r="NW39" s="168"/>
      <c r="NX39" s="168"/>
      <c r="NY39" s="168"/>
      <c r="NZ39" s="168"/>
      <c r="OA39" s="168"/>
      <c r="OB39" s="168"/>
      <c r="OC39" s="168"/>
      <c r="OD39" s="168"/>
      <c r="OE39" s="168"/>
      <c r="OF39" s="168"/>
      <c r="OG39" s="168"/>
      <c r="OH39" s="168"/>
      <c r="OI39" s="168"/>
      <c r="OJ39" s="168"/>
      <c r="OK39" s="168"/>
      <c r="OL39" s="168"/>
      <c r="OM39" s="168"/>
      <c r="ON39" s="168"/>
      <c r="OO39" s="168"/>
      <c r="OP39" s="168"/>
      <c r="OQ39" s="168"/>
      <c r="OR39" s="168"/>
      <c r="OS39" s="168"/>
      <c r="OT39" s="168"/>
      <c r="OU39" s="169"/>
      <c r="OV39" s="169"/>
      <c r="OW39" s="169"/>
      <c r="OX39" s="169"/>
      <c r="OY39" s="169"/>
      <c r="OZ39" s="169"/>
      <c r="PA39" s="169"/>
      <c r="PB39" s="169"/>
      <c r="PC39" s="169"/>
      <c r="PD39" s="169"/>
      <c r="PE39" s="169"/>
      <c r="PF39" s="169"/>
      <c r="PG39" s="169"/>
      <c r="PH39" s="169"/>
      <c r="PI39" s="169"/>
      <c r="PJ39" s="169"/>
      <c r="PK39" s="169"/>
      <c r="PL39" s="169"/>
      <c r="PM39" s="169"/>
      <c r="PN39" s="169"/>
      <c r="PO39" s="169"/>
      <c r="PP39" s="169"/>
      <c r="PQ39" s="169"/>
      <c r="PR39" s="169"/>
      <c r="PS39" s="169"/>
      <c r="PT39" s="169"/>
      <c r="PU39" s="169"/>
      <c r="PV39" s="169"/>
      <c r="PW39" s="169"/>
      <c r="PX39" s="169"/>
      <c r="PY39" s="169"/>
      <c r="PZ39" s="169"/>
      <c r="QA39" s="169"/>
      <c r="QB39" s="169"/>
      <c r="QC39" s="169"/>
      <c r="QD39" s="169"/>
      <c r="QE39" s="169"/>
      <c r="QF39" s="169"/>
      <c r="QG39" s="169"/>
      <c r="QH39" s="169"/>
      <c r="QI39" s="169"/>
      <c r="QJ39" s="169"/>
      <c r="QK39" s="169"/>
      <c r="QL39" s="169"/>
      <c r="QM39" s="169"/>
      <c r="QN39" s="169"/>
      <c r="QO39" s="169"/>
      <c r="QP39" s="169"/>
      <c r="QQ39" s="169"/>
      <c r="QR39" s="169"/>
      <c r="QS39" s="169"/>
      <c r="QT39" s="169"/>
      <c r="QU39" s="169"/>
      <c r="QV39" s="169"/>
      <c r="QW39" s="169"/>
      <c r="QX39" s="169"/>
      <c r="QY39" s="169"/>
      <c r="QZ39" s="169"/>
      <c r="RA39" s="169"/>
      <c r="RB39" s="169"/>
      <c r="RC39" s="169"/>
      <c r="RD39" s="169"/>
      <c r="RE39" s="169"/>
      <c r="RF39" s="169"/>
      <c r="RG39" s="169"/>
      <c r="RH39" s="169"/>
      <c r="RI39" s="169"/>
      <c r="RJ39" s="169"/>
      <c r="RK39" s="169"/>
      <c r="RL39" s="169"/>
      <c r="RM39" s="169"/>
      <c r="RN39" s="169"/>
      <c r="RO39" s="168"/>
      <c r="RP39" s="168"/>
      <c r="RQ39" s="168"/>
      <c r="RR39" s="168"/>
      <c r="RS39" s="168"/>
      <c r="RT39" s="168"/>
      <c r="RU39" s="170"/>
      <c r="RV39" s="170"/>
      <c r="RW39" s="170"/>
      <c r="RX39" s="170"/>
      <c r="RY39" s="170"/>
      <c r="RZ39" s="170"/>
      <c r="SA39" s="169"/>
      <c r="SB39" s="169"/>
      <c r="SC39" s="169"/>
      <c r="SD39" s="169"/>
      <c r="SE39" s="169"/>
      <c r="SF39" s="169"/>
      <c r="SG39" s="169"/>
      <c r="SH39" s="169"/>
      <c r="SI39" s="169"/>
      <c r="SJ39" s="169"/>
      <c r="SK39" s="169"/>
      <c r="SL39" s="169"/>
      <c r="SM39" s="169"/>
      <c r="SN39" s="169"/>
      <c r="SO39" s="169"/>
      <c r="SP39" s="169"/>
      <c r="SQ39" s="169"/>
      <c r="SR39" s="169"/>
      <c r="SS39" s="175"/>
    </row>
    <row r="40" spans="1:513" s="194" customFormat="1" ht="20.25" customHeight="1">
      <c r="A40" s="215" t="s">
        <v>473</v>
      </c>
      <c r="B40" s="216"/>
      <c r="C40" s="216"/>
      <c r="D40" s="216"/>
      <c r="E40" s="217"/>
      <c r="F40" s="193">
        <f>SUM(F39)</f>
        <v>0</v>
      </c>
      <c r="G40" s="193">
        <f t="shared" ref="G40:BR40" si="232">SUM(G39)</f>
        <v>0</v>
      </c>
      <c r="H40" s="193">
        <f t="shared" si="232"/>
        <v>0</v>
      </c>
      <c r="I40" s="193">
        <f t="shared" si="232"/>
        <v>0</v>
      </c>
      <c r="J40" s="193">
        <f t="shared" si="232"/>
        <v>0</v>
      </c>
      <c r="K40" s="193">
        <f t="shared" si="232"/>
        <v>0</v>
      </c>
      <c r="L40" s="193">
        <f t="shared" si="232"/>
        <v>0</v>
      </c>
      <c r="M40" s="193">
        <f t="shared" si="232"/>
        <v>0</v>
      </c>
      <c r="N40" s="193">
        <f t="shared" si="232"/>
        <v>0</v>
      </c>
      <c r="O40" s="193">
        <f t="shared" si="232"/>
        <v>0</v>
      </c>
      <c r="P40" s="193">
        <f t="shared" si="232"/>
        <v>0</v>
      </c>
      <c r="Q40" s="193">
        <f t="shared" si="232"/>
        <v>0</v>
      </c>
      <c r="R40" s="193">
        <f t="shared" si="232"/>
        <v>0</v>
      </c>
      <c r="S40" s="193">
        <f t="shared" si="232"/>
        <v>0</v>
      </c>
      <c r="T40" s="193">
        <f t="shared" si="232"/>
        <v>0</v>
      </c>
      <c r="U40" s="193">
        <f t="shared" si="232"/>
        <v>0</v>
      </c>
      <c r="V40" s="193">
        <f t="shared" si="232"/>
        <v>0</v>
      </c>
      <c r="W40" s="193">
        <f t="shared" si="232"/>
        <v>0</v>
      </c>
      <c r="X40" s="193">
        <f t="shared" si="232"/>
        <v>0</v>
      </c>
      <c r="Y40" s="193">
        <f t="shared" si="232"/>
        <v>0</v>
      </c>
      <c r="Z40" s="193">
        <f t="shared" si="232"/>
        <v>0</v>
      </c>
      <c r="AA40" s="193">
        <f t="shared" si="232"/>
        <v>0</v>
      </c>
      <c r="AB40" s="193">
        <f t="shared" si="232"/>
        <v>0</v>
      </c>
      <c r="AC40" s="193">
        <f t="shared" si="232"/>
        <v>0</v>
      </c>
      <c r="AD40" s="193">
        <f t="shared" si="232"/>
        <v>0</v>
      </c>
      <c r="AE40" s="193">
        <f t="shared" si="232"/>
        <v>0</v>
      </c>
      <c r="AF40" s="193">
        <f t="shared" si="232"/>
        <v>0</v>
      </c>
      <c r="AG40" s="193">
        <f t="shared" si="232"/>
        <v>0</v>
      </c>
      <c r="AH40" s="193">
        <f t="shared" si="232"/>
        <v>0</v>
      </c>
      <c r="AI40" s="193">
        <f>SUM(AI39)</f>
        <v>0</v>
      </c>
      <c r="AJ40" s="193">
        <f t="shared" si="232"/>
        <v>0</v>
      </c>
      <c r="AK40" s="193">
        <f t="shared" si="232"/>
        <v>0</v>
      </c>
      <c r="AL40" s="193">
        <f t="shared" si="232"/>
        <v>0</v>
      </c>
      <c r="AM40" s="193">
        <f t="shared" si="232"/>
        <v>0</v>
      </c>
      <c r="AN40" s="193">
        <f t="shared" si="232"/>
        <v>0</v>
      </c>
      <c r="AO40" s="193">
        <f t="shared" si="232"/>
        <v>0</v>
      </c>
      <c r="AP40" s="193">
        <f t="shared" si="232"/>
        <v>0</v>
      </c>
      <c r="AQ40" s="193">
        <f t="shared" si="232"/>
        <v>0</v>
      </c>
      <c r="AR40" s="193">
        <f t="shared" si="232"/>
        <v>0</v>
      </c>
      <c r="AS40" s="193">
        <f t="shared" si="232"/>
        <v>0</v>
      </c>
      <c r="AT40" s="193">
        <f t="shared" si="232"/>
        <v>0</v>
      </c>
      <c r="AU40" s="193">
        <f t="shared" si="232"/>
        <v>0</v>
      </c>
      <c r="AV40" s="193">
        <f t="shared" si="232"/>
        <v>0</v>
      </c>
      <c r="AW40" s="193">
        <f t="shared" si="232"/>
        <v>0</v>
      </c>
      <c r="AX40" s="193">
        <f t="shared" si="232"/>
        <v>0</v>
      </c>
      <c r="AY40" s="193">
        <f t="shared" si="232"/>
        <v>0</v>
      </c>
      <c r="AZ40" s="193">
        <f t="shared" si="232"/>
        <v>0</v>
      </c>
      <c r="BA40" s="193">
        <f t="shared" si="232"/>
        <v>0</v>
      </c>
      <c r="BB40" s="193">
        <f t="shared" si="232"/>
        <v>0</v>
      </c>
      <c r="BC40" s="193">
        <f t="shared" si="232"/>
        <v>0</v>
      </c>
      <c r="BD40" s="193">
        <f t="shared" si="232"/>
        <v>0</v>
      </c>
      <c r="BE40" s="193">
        <f t="shared" si="232"/>
        <v>0</v>
      </c>
      <c r="BF40" s="193">
        <f t="shared" si="232"/>
        <v>0</v>
      </c>
      <c r="BG40" s="193">
        <f t="shared" si="232"/>
        <v>0</v>
      </c>
      <c r="BH40" s="193">
        <f t="shared" si="232"/>
        <v>0</v>
      </c>
      <c r="BI40" s="193">
        <f t="shared" si="232"/>
        <v>0</v>
      </c>
      <c r="BJ40" s="193">
        <f t="shared" si="232"/>
        <v>0</v>
      </c>
      <c r="BK40" s="193">
        <f t="shared" si="232"/>
        <v>0</v>
      </c>
      <c r="BL40" s="193">
        <f t="shared" si="232"/>
        <v>0</v>
      </c>
      <c r="BM40" s="193">
        <f t="shared" si="232"/>
        <v>0</v>
      </c>
      <c r="BN40" s="193">
        <f t="shared" si="232"/>
        <v>0</v>
      </c>
      <c r="BO40" s="193">
        <f t="shared" si="232"/>
        <v>0</v>
      </c>
      <c r="BP40" s="193">
        <f t="shared" si="232"/>
        <v>0</v>
      </c>
      <c r="BQ40" s="193">
        <f t="shared" si="232"/>
        <v>0</v>
      </c>
      <c r="BR40" s="193">
        <f t="shared" si="232"/>
        <v>0</v>
      </c>
      <c r="BS40" s="193">
        <f t="shared" ref="BS40:ED40" si="233">SUM(BS39)</f>
        <v>0</v>
      </c>
      <c r="BT40" s="193">
        <f t="shared" si="233"/>
        <v>0</v>
      </c>
      <c r="BU40" s="193">
        <f t="shared" si="233"/>
        <v>0</v>
      </c>
      <c r="BV40" s="193">
        <f t="shared" si="233"/>
        <v>0</v>
      </c>
      <c r="BW40" s="193">
        <f t="shared" si="233"/>
        <v>0</v>
      </c>
      <c r="BX40" s="193">
        <f t="shared" si="233"/>
        <v>0</v>
      </c>
      <c r="BY40" s="193">
        <f t="shared" si="233"/>
        <v>0</v>
      </c>
      <c r="BZ40" s="193">
        <f t="shared" si="233"/>
        <v>0</v>
      </c>
      <c r="CA40" s="193">
        <f t="shared" si="233"/>
        <v>0</v>
      </c>
      <c r="CB40" s="193">
        <f t="shared" si="233"/>
        <v>0</v>
      </c>
      <c r="CC40" s="193">
        <f t="shared" si="233"/>
        <v>0</v>
      </c>
      <c r="CD40" s="193">
        <f t="shared" si="233"/>
        <v>0</v>
      </c>
      <c r="CE40" s="193">
        <f t="shared" si="233"/>
        <v>0</v>
      </c>
      <c r="CF40" s="193">
        <f t="shared" si="233"/>
        <v>0</v>
      </c>
      <c r="CG40" s="193">
        <f t="shared" si="233"/>
        <v>0</v>
      </c>
      <c r="CH40" s="193">
        <f t="shared" si="233"/>
        <v>0</v>
      </c>
      <c r="CI40" s="193">
        <f t="shared" si="233"/>
        <v>0</v>
      </c>
      <c r="CJ40" s="193">
        <f t="shared" si="233"/>
        <v>0</v>
      </c>
      <c r="CK40" s="193">
        <f t="shared" si="233"/>
        <v>0</v>
      </c>
      <c r="CL40" s="193">
        <f t="shared" si="233"/>
        <v>0</v>
      </c>
      <c r="CM40" s="193">
        <f t="shared" si="233"/>
        <v>0</v>
      </c>
      <c r="CN40" s="193">
        <f t="shared" si="233"/>
        <v>0</v>
      </c>
      <c r="CO40" s="193">
        <f t="shared" si="233"/>
        <v>0</v>
      </c>
      <c r="CP40" s="193">
        <f t="shared" si="233"/>
        <v>0</v>
      </c>
      <c r="CQ40" s="193">
        <f t="shared" si="233"/>
        <v>0</v>
      </c>
      <c r="CR40" s="193">
        <f t="shared" si="233"/>
        <v>0</v>
      </c>
      <c r="CS40" s="193">
        <f t="shared" si="233"/>
        <v>0</v>
      </c>
      <c r="CT40" s="193">
        <f t="shared" si="233"/>
        <v>0</v>
      </c>
      <c r="CU40" s="193">
        <f t="shared" si="233"/>
        <v>0</v>
      </c>
      <c r="CV40" s="193">
        <f t="shared" si="233"/>
        <v>0</v>
      </c>
      <c r="CW40" s="193">
        <f t="shared" si="233"/>
        <v>0</v>
      </c>
      <c r="CX40" s="193">
        <f t="shared" si="233"/>
        <v>0</v>
      </c>
      <c r="CY40" s="193">
        <f t="shared" si="233"/>
        <v>0</v>
      </c>
      <c r="CZ40" s="193">
        <f t="shared" si="233"/>
        <v>0</v>
      </c>
      <c r="DA40" s="193">
        <f t="shared" si="233"/>
        <v>0</v>
      </c>
      <c r="DB40" s="193">
        <f t="shared" si="233"/>
        <v>0</v>
      </c>
      <c r="DC40" s="193">
        <f t="shared" si="233"/>
        <v>0</v>
      </c>
      <c r="DD40" s="193">
        <f t="shared" si="233"/>
        <v>0</v>
      </c>
      <c r="DE40" s="193">
        <f t="shared" si="233"/>
        <v>0</v>
      </c>
      <c r="DF40" s="193">
        <f t="shared" si="233"/>
        <v>0</v>
      </c>
      <c r="DG40" s="193">
        <f t="shared" si="233"/>
        <v>0</v>
      </c>
      <c r="DH40" s="193">
        <f t="shared" si="233"/>
        <v>0</v>
      </c>
      <c r="DI40" s="193">
        <f t="shared" si="233"/>
        <v>0</v>
      </c>
      <c r="DJ40" s="193">
        <f t="shared" si="233"/>
        <v>0</v>
      </c>
      <c r="DK40" s="193">
        <f t="shared" si="233"/>
        <v>0</v>
      </c>
      <c r="DL40" s="193">
        <f t="shared" si="233"/>
        <v>0</v>
      </c>
      <c r="DM40" s="193">
        <f t="shared" si="233"/>
        <v>0</v>
      </c>
      <c r="DN40" s="193">
        <f t="shared" si="233"/>
        <v>0</v>
      </c>
      <c r="DO40" s="193">
        <f t="shared" si="233"/>
        <v>0</v>
      </c>
      <c r="DP40" s="193">
        <f t="shared" si="233"/>
        <v>0</v>
      </c>
      <c r="DQ40" s="193">
        <f t="shared" si="233"/>
        <v>0</v>
      </c>
      <c r="DR40" s="193">
        <f t="shared" si="233"/>
        <v>0</v>
      </c>
      <c r="DS40" s="193">
        <f t="shared" si="233"/>
        <v>0</v>
      </c>
      <c r="DT40" s="193">
        <f t="shared" si="233"/>
        <v>0</v>
      </c>
      <c r="DU40" s="193">
        <f t="shared" si="233"/>
        <v>0</v>
      </c>
      <c r="DV40" s="193">
        <f t="shared" si="233"/>
        <v>0</v>
      </c>
      <c r="DW40" s="193">
        <f t="shared" si="233"/>
        <v>0</v>
      </c>
      <c r="DX40" s="193">
        <f t="shared" si="233"/>
        <v>0</v>
      </c>
      <c r="DY40" s="193">
        <f t="shared" si="233"/>
        <v>0</v>
      </c>
      <c r="DZ40" s="193">
        <f t="shared" si="233"/>
        <v>0</v>
      </c>
      <c r="EA40" s="193">
        <f t="shared" si="233"/>
        <v>0</v>
      </c>
      <c r="EB40" s="193">
        <f t="shared" si="233"/>
        <v>0</v>
      </c>
      <c r="EC40" s="193">
        <f t="shared" si="233"/>
        <v>0</v>
      </c>
      <c r="ED40" s="193">
        <f t="shared" si="233"/>
        <v>0</v>
      </c>
      <c r="EE40" s="193">
        <f t="shared" ref="EE40:GP40" si="234">SUM(EE39)</f>
        <v>0</v>
      </c>
      <c r="EF40" s="193">
        <f t="shared" si="234"/>
        <v>0</v>
      </c>
      <c r="EG40" s="193">
        <f t="shared" si="234"/>
        <v>0</v>
      </c>
      <c r="EH40" s="193">
        <f t="shared" si="234"/>
        <v>0</v>
      </c>
      <c r="EI40" s="193">
        <f t="shared" si="234"/>
        <v>0</v>
      </c>
      <c r="EJ40" s="193">
        <f t="shared" si="234"/>
        <v>0</v>
      </c>
      <c r="EK40" s="193">
        <f t="shared" si="234"/>
        <v>0</v>
      </c>
      <c r="EL40" s="193">
        <f t="shared" si="234"/>
        <v>0</v>
      </c>
      <c r="EM40" s="193">
        <f t="shared" si="234"/>
        <v>0</v>
      </c>
      <c r="EN40" s="193">
        <f t="shared" si="234"/>
        <v>0</v>
      </c>
      <c r="EO40" s="193">
        <f t="shared" si="234"/>
        <v>0</v>
      </c>
      <c r="EP40" s="193">
        <f t="shared" si="234"/>
        <v>0</v>
      </c>
      <c r="EQ40" s="193">
        <f t="shared" si="234"/>
        <v>0</v>
      </c>
      <c r="ER40" s="193">
        <f t="shared" si="234"/>
        <v>0</v>
      </c>
      <c r="ES40" s="193">
        <f t="shared" si="234"/>
        <v>0</v>
      </c>
      <c r="ET40" s="193">
        <f t="shared" si="234"/>
        <v>0</v>
      </c>
      <c r="EU40" s="193">
        <f t="shared" si="234"/>
        <v>0</v>
      </c>
      <c r="EV40" s="193">
        <f t="shared" si="234"/>
        <v>0</v>
      </c>
      <c r="EW40" s="193">
        <f t="shared" si="234"/>
        <v>0</v>
      </c>
      <c r="EX40" s="193">
        <f t="shared" si="234"/>
        <v>0</v>
      </c>
      <c r="EY40" s="193">
        <f t="shared" si="234"/>
        <v>0</v>
      </c>
      <c r="EZ40" s="193">
        <f t="shared" si="234"/>
        <v>0</v>
      </c>
      <c r="FA40" s="193">
        <f t="shared" si="234"/>
        <v>0</v>
      </c>
      <c r="FB40" s="193">
        <f t="shared" si="234"/>
        <v>0</v>
      </c>
      <c r="FC40" s="193">
        <f t="shared" si="234"/>
        <v>0</v>
      </c>
      <c r="FD40" s="193">
        <f t="shared" si="234"/>
        <v>0</v>
      </c>
      <c r="FE40" s="193">
        <f t="shared" si="234"/>
        <v>0</v>
      </c>
      <c r="FF40" s="193">
        <f t="shared" si="234"/>
        <v>0</v>
      </c>
      <c r="FG40" s="193">
        <f t="shared" si="234"/>
        <v>0</v>
      </c>
      <c r="FH40" s="193">
        <f t="shared" si="234"/>
        <v>0</v>
      </c>
      <c r="FI40" s="193">
        <f t="shared" si="234"/>
        <v>0</v>
      </c>
      <c r="FJ40" s="193">
        <f t="shared" si="234"/>
        <v>0</v>
      </c>
      <c r="FK40" s="193">
        <f t="shared" si="234"/>
        <v>0</v>
      </c>
      <c r="FL40" s="193">
        <f t="shared" si="234"/>
        <v>0</v>
      </c>
      <c r="FM40" s="193">
        <f t="shared" si="234"/>
        <v>0</v>
      </c>
      <c r="FN40" s="193">
        <f t="shared" si="234"/>
        <v>0</v>
      </c>
      <c r="FO40" s="193">
        <f t="shared" si="234"/>
        <v>0</v>
      </c>
      <c r="FP40" s="193">
        <f t="shared" si="234"/>
        <v>0</v>
      </c>
      <c r="FQ40" s="193">
        <f t="shared" si="234"/>
        <v>0</v>
      </c>
      <c r="FR40" s="193">
        <f t="shared" si="234"/>
        <v>0</v>
      </c>
      <c r="FS40" s="193">
        <f t="shared" si="234"/>
        <v>0</v>
      </c>
      <c r="FT40" s="193">
        <f t="shared" si="234"/>
        <v>0</v>
      </c>
      <c r="FU40" s="193">
        <f t="shared" si="234"/>
        <v>0</v>
      </c>
      <c r="FV40" s="193">
        <f t="shared" si="234"/>
        <v>0</v>
      </c>
      <c r="FW40" s="193">
        <f t="shared" si="234"/>
        <v>0</v>
      </c>
      <c r="FX40" s="193">
        <f t="shared" si="234"/>
        <v>0</v>
      </c>
      <c r="FY40" s="193">
        <f t="shared" si="234"/>
        <v>0</v>
      </c>
      <c r="FZ40" s="193">
        <f t="shared" si="234"/>
        <v>0</v>
      </c>
      <c r="GA40" s="193">
        <f t="shared" si="234"/>
        <v>0</v>
      </c>
      <c r="GB40" s="193">
        <f t="shared" si="234"/>
        <v>0</v>
      </c>
      <c r="GC40" s="193">
        <f t="shared" si="234"/>
        <v>0</v>
      </c>
      <c r="GD40" s="193">
        <f t="shared" si="234"/>
        <v>0</v>
      </c>
      <c r="GE40" s="193">
        <f t="shared" si="234"/>
        <v>0</v>
      </c>
      <c r="GF40" s="193">
        <f t="shared" si="234"/>
        <v>0</v>
      </c>
      <c r="GG40" s="193">
        <f t="shared" si="234"/>
        <v>0</v>
      </c>
      <c r="GH40" s="193">
        <f t="shared" si="234"/>
        <v>0</v>
      </c>
      <c r="GI40" s="193">
        <f t="shared" si="234"/>
        <v>0</v>
      </c>
      <c r="GJ40" s="193">
        <f t="shared" si="234"/>
        <v>0</v>
      </c>
      <c r="GK40" s="193">
        <f t="shared" si="234"/>
        <v>0</v>
      </c>
      <c r="GL40" s="193">
        <f t="shared" si="234"/>
        <v>0</v>
      </c>
      <c r="GM40" s="193">
        <f t="shared" si="234"/>
        <v>0</v>
      </c>
      <c r="GN40" s="193">
        <f t="shared" si="234"/>
        <v>0</v>
      </c>
      <c r="GO40" s="193">
        <f t="shared" si="234"/>
        <v>0</v>
      </c>
      <c r="GP40" s="193">
        <f t="shared" si="234"/>
        <v>0</v>
      </c>
      <c r="GQ40" s="193">
        <f t="shared" ref="GQ40:JB40" si="235">SUM(GQ39)</f>
        <v>0</v>
      </c>
      <c r="GR40" s="193">
        <f t="shared" si="235"/>
        <v>0</v>
      </c>
      <c r="GS40" s="193">
        <f t="shared" si="235"/>
        <v>0</v>
      </c>
      <c r="GT40" s="193">
        <f t="shared" si="235"/>
        <v>0</v>
      </c>
      <c r="GU40" s="193">
        <f t="shared" si="235"/>
        <v>0</v>
      </c>
      <c r="GV40" s="193">
        <f t="shared" si="235"/>
        <v>0</v>
      </c>
      <c r="GW40" s="193">
        <f t="shared" si="235"/>
        <v>0</v>
      </c>
      <c r="GX40" s="193">
        <f t="shared" si="235"/>
        <v>0</v>
      </c>
      <c r="GY40" s="193">
        <f t="shared" si="235"/>
        <v>0</v>
      </c>
      <c r="GZ40" s="193">
        <f t="shared" si="235"/>
        <v>0</v>
      </c>
      <c r="HA40" s="193">
        <f t="shared" si="235"/>
        <v>0</v>
      </c>
      <c r="HB40" s="193">
        <f t="shared" si="235"/>
        <v>0</v>
      </c>
      <c r="HC40" s="193">
        <f t="shared" si="235"/>
        <v>0</v>
      </c>
      <c r="HD40" s="193">
        <f t="shared" si="235"/>
        <v>0</v>
      </c>
      <c r="HE40" s="193">
        <f t="shared" si="235"/>
        <v>0</v>
      </c>
      <c r="HF40" s="193">
        <f t="shared" si="235"/>
        <v>0</v>
      </c>
      <c r="HG40" s="193">
        <f t="shared" si="235"/>
        <v>0</v>
      </c>
      <c r="HH40" s="193">
        <f t="shared" si="235"/>
        <v>0</v>
      </c>
      <c r="HI40" s="193">
        <f t="shared" si="235"/>
        <v>0</v>
      </c>
      <c r="HJ40" s="193">
        <f t="shared" si="235"/>
        <v>0</v>
      </c>
      <c r="HK40" s="193">
        <f t="shared" si="235"/>
        <v>0</v>
      </c>
      <c r="HL40" s="193">
        <f t="shared" si="235"/>
        <v>0</v>
      </c>
      <c r="HM40" s="193">
        <f t="shared" si="235"/>
        <v>0</v>
      </c>
      <c r="HN40" s="193">
        <f t="shared" si="235"/>
        <v>0</v>
      </c>
      <c r="HO40" s="193">
        <f t="shared" si="235"/>
        <v>0</v>
      </c>
      <c r="HP40" s="193">
        <f t="shared" si="235"/>
        <v>0</v>
      </c>
      <c r="HQ40" s="193">
        <f t="shared" si="235"/>
        <v>0</v>
      </c>
      <c r="HR40" s="193">
        <f t="shared" si="235"/>
        <v>0</v>
      </c>
      <c r="HS40" s="193">
        <f t="shared" si="235"/>
        <v>0</v>
      </c>
      <c r="HT40" s="193">
        <f t="shared" si="235"/>
        <v>0</v>
      </c>
      <c r="HU40" s="193">
        <f t="shared" si="235"/>
        <v>0</v>
      </c>
      <c r="HV40" s="193">
        <f t="shared" si="235"/>
        <v>0</v>
      </c>
      <c r="HW40" s="193">
        <f t="shared" si="235"/>
        <v>0</v>
      </c>
      <c r="HX40" s="193">
        <f t="shared" si="235"/>
        <v>0</v>
      </c>
      <c r="HY40" s="193">
        <f t="shared" si="235"/>
        <v>0</v>
      </c>
      <c r="HZ40" s="193">
        <f t="shared" si="235"/>
        <v>0</v>
      </c>
      <c r="IA40" s="193">
        <f t="shared" si="235"/>
        <v>0</v>
      </c>
      <c r="IB40" s="193">
        <f t="shared" si="235"/>
        <v>0</v>
      </c>
      <c r="IC40" s="193">
        <f t="shared" si="235"/>
        <v>0</v>
      </c>
      <c r="ID40" s="193">
        <f t="shared" si="235"/>
        <v>0</v>
      </c>
      <c r="IE40" s="193">
        <f t="shared" si="235"/>
        <v>0</v>
      </c>
      <c r="IF40" s="193">
        <f t="shared" si="235"/>
        <v>0</v>
      </c>
      <c r="IG40" s="193">
        <f t="shared" si="235"/>
        <v>0</v>
      </c>
      <c r="IH40" s="193">
        <f t="shared" si="235"/>
        <v>0</v>
      </c>
      <c r="II40" s="193">
        <f t="shared" si="235"/>
        <v>0</v>
      </c>
      <c r="IJ40" s="193">
        <f t="shared" si="235"/>
        <v>0</v>
      </c>
      <c r="IK40" s="193">
        <f t="shared" si="235"/>
        <v>0</v>
      </c>
      <c r="IL40" s="193">
        <f t="shared" si="235"/>
        <v>0</v>
      </c>
      <c r="IM40" s="193">
        <f t="shared" si="235"/>
        <v>0</v>
      </c>
      <c r="IN40" s="193">
        <f t="shared" si="235"/>
        <v>0</v>
      </c>
      <c r="IO40" s="193">
        <f t="shared" si="235"/>
        <v>0</v>
      </c>
      <c r="IP40" s="193">
        <f t="shared" si="235"/>
        <v>0</v>
      </c>
      <c r="IQ40" s="193">
        <f t="shared" si="235"/>
        <v>0</v>
      </c>
      <c r="IR40" s="193">
        <f t="shared" si="235"/>
        <v>0</v>
      </c>
      <c r="IS40" s="193">
        <f t="shared" si="235"/>
        <v>0</v>
      </c>
      <c r="IT40" s="193">
        <f t="shared" si="235"/>
        <v>0</v>
      </c>
      <c r="IU40" s="193">
        <f t="shared" si="235"/>
        <v>0</v>
      </c>
      <c r="IV40" s="193">
        <f t="shared" si="235"/>
        <v>0</v>
      </c>
      <c r="IW40" s="193">
        <f t="shared" si="235"/>
        <v>0</v>
      </c>
      <c r="IX40" s="193">
        <f t="shared" si="235"/>
        <v>0</v>
      </c>
      <c r="IY40" s="193">
        <f t="shared" si="235"/>
        <v>0</v>
      </c>
      <c r="IZ40" s="193">
        <f t="shared" si="235"/>
        <v>0</v>
      </c>
      <c r="JA40" s="193">
        <f t="shared" si="235"/>
        <v>0</v>
      </c>
      <c r="JB40" s="193">
        <f t="shared" si="235"/>
        <v>0</v>
      </c>
      <c r="JC40" s="193">
        <f t="shared" ref="JC40:LN40" si="236">SUM(JC39)</f>
        <v>0</v>
      </c>
      <c r="JD40" s="193">
        <f t="shared" si="236"/>
        <v>0</v>
      </c>
      <c r="JE40" s="193">
        <f t="shared" si="236"/>
        <v>0</v>
      </c>
      <c r="JF40" s="193">
        <f t="shared" si="236"/>
        <v>0</v>
      </c>
      <c r="JG40" s="193">
        <f t="shared" si="236"/>
        <v>0</v>
      </c>
      <c r="JH40" s="193">
        <f t="shared" si="236"/>
        <v>0</v>
      </c>
      <c r="JI40" s="193">
        <f t="shared" si="236"/>
        <v>0</v>
      </c>
      <c r="JJ40" s="193">
        <f t="shared" si="236"/>
        <v>0</v>
      </c>
      <c r="JK40" s="193">
        <f t="shared" si="236"/>
        <v>0</v>
      </c>
      <c r="JL40" s="193">
        <f t="shared" si="236"/>
        <v>0</v>
      </c>
      <c r="JM40" s="193">
        <f t="shared" si="236"/>
        <v>0</v>
      </c>
      <c r="JN40" s="193">
        <f t="shared" si="236"/>
        <v>0</v>
      </c>
      <c r="JO40" s="193">
        <f t="shared" si="236"/>
        <v>0</v>
      </c>
      <c r="JP40" s="193">
        <f t="shared" si="236"/>
        <v>0</v>
      </c>
      <c r="JQ40" s="193">
        <f t="shared" si="236"/>
        <v>0</v>
      </c>
      <c r="JR40" s="193">
        <f t="shared" si="236"/>
        <v>0</v>
      </c>
      <c r="JS40" s="193">
        <f t="shared" si="236"/>
        <v>0</v>
      </c>
      <c r="JT40" s="193">
        <f t="shared" si="236"/>
        <v>0</v>
      </c>
      <c r="JU40" s="193">
        <f t="shared" si="236"/>
        <v>0</v>
      </c>
      <c r="JV40" s="193">
        <f t="shared" si="236"/>
        <v>0</v>
      </c>
      <c r="JW40" s="193">
        <f t="shared" si="236"/>
        <v>0</v>
      </c>
      <c r="JX40" s="193">
        <f t="shared" si="236"/>
        <v>0</v>
      </c>
      <c r="JY40" s="193">
        <f t="shared" si="236"/>
        <v>0</v>
      </c>
      <c r="JZ40" s="193">
        <f t="shared" si="236"/>
        <v>0</v>
      </c>
      <c r="KA40" s="193">
        <f t="shared" si="236"/>
        <v>0</v>
      </c>
      <c r="KB40" s="193">
        <f t="shared" si="236"/>
        <v>0</v>
      </c>
      <c r="KC40" s="193">
        <f t="shared" si="236"/>
        <v>0</v>
      </c>
      <c r="KD40" s="193">
        <f t="shared" si="236"/>
        <v>0</v>
      </c>
      <c r="KE40" s="193">
        <f t="shared" si="236"/>
        <v>0</v>
      </c>
      <c r="KF40" s="193">
        <f t="shared" si="236"/>
        <v>0</v>
      </c>
      <c r="KG40" s="193">
        <f t="shared" si="236"/>
        <v>0</v>
      </c>
      <c r="KH40" s="193">
        <f t="shared" si="236"/>
        <v>0</v>
      </c>
      <c r="KI40" s="193">
        <f t="shared" si="236"/>
        <v>0</v>
      </c>
      <c r="KJ40" s="193">
        <f t="shared" si="236"/>
        <v>0</v>
      </c>
      <c r="KK40" s="193">
        <f t="shared" si="236"/>
        <v>0</v>
      </c>
      <c r="KL40" s="193">
        <f t="shared" si="236"/>
        <v>0</v>
      </c>
      <c r="KM40" s="193">
        <f t="shared" si="236"/>
        <v>0</v>
      </c>
      <c r="KN40" s="193">
        <f t="shared" si="236"/>
        <v>0</v>
      </c>
      <c r="KO40" s="193">
        <f t="shared" si="236"/>
        <v>0</v>
      </c>
      <c r="KP40" s="193">
        <f t="shared" si="236"/>
        <v>0</v>
      </c>
      <c r="KQ40" s="193">
        <f t="shared" si="236"/>
        <v>0</v>
      </c>
      <c r="KR40" s="193">
        <f t="shared" si="236"/>
        <v>0</v>
      </c>
      <c r="KS40" s="193">
        <f t="shared" si="236"/>
        <v>0</v>
      </c>
      <c r="KT40" s="193">
        <f t="shared" si="236"/>
        <v>0</v>
      </c>
      <c r="KU40" s="193">
        <f t="shared" si="236"/>
        <v>0</v>
      </c>
      <c r="KV40" s="193">
        <f t="shared" si="236"/>
        <v>0</v>
      </c>
      <c r="KW40" s="193">
        <f t="shared" si="236"/>
        <v>0</v>
      </c>
      <c r="KX40" s="193">
        <f t="shared" si="236"/>
        <v>0</v>
      </c>
      <c r="KY40" s="193">
        <f t="shared" si="236"/>
        <v>0</v>
      </c>
      <c r="KZ40" s="193">
        <f t="shared" si="236"/>
        <v>0</v>
      </c>
      <c r="LA40" s="193">
        <f t="shared" si="236"/>
        <v>0</v>
      </c>
      <c r="LB40" s="193">
        <f t="shared" si="236"/>
        <v>0</v>
      </c>
      <c r="LC40" s="193">
        <f t="shared" si="236"/>
        <v>0</v>
      </c>
      <c r="LD40" s="193">
        <f t="shared" si="236"/>
        <v>0</v>
      </c>
      <c r="LE40" s="193">
        <f t="shared" si="236"/>
        <v>0</v>
      </c>
      <c r="LF40" s="193">
        <f t="shared" si="236"/>
        <v>0</v>
      </c>
      <c r="LG40" s="193">
        <f t="shared" si="236"/>
        <v>0</v>
      </c>
      <c r="LH40" s="193">
        <f t="shared" si="236"/>
        <v>0</v>
      </c>
      <c r="LI40" s="193">
        <f t="shared" si="236"/>
        <v>0</v>
      </c>
      <c r="LJ40" s="193">
        <f t="shared" si="236"/>
        <v>0</v>
      </c>
      <c r="LK40" s="193">
        <f t="shared" si="236"/>
        <v>0</v>
      </c>
      <c r="LL40" s="193">
        <f t="shared" si="236"/>
        <v>0</v>
      </c>
      <c r="LM40" s="193">
        <f t="shared" si="236"/>
        <v>0</v>
      </c>
      <c r="LN40" s="193">
        <f t="shared" si="236"/>
        <v>0</v>
      </c>
      <c r="LO40" s="193">
        <f t="shared" ref="LO40:NW40" si="237">SUM(LO39)</f>
        <v>0</v>
      </c>
      <c r="LP40" s="193">
        <f t="shared" si="237"/>
        <v>0</v>
      </c>
      <c r="LQ40" s="193">
        <f t="shared" si="237"/>
        <v>0</v>
      </c>
      <c r="LR40" s="193">
        <f t="shared" si="237"/>
        <v>0</v>
      </c>
      <c r="LS40" s="193">
        <f t="shared" si="237"/>
        <v>0</v>
      </c>
      <c r="LT40" s="193">
        <f t="shared" si="237"/>
        <v>0</v>
      </c>
      <c r="LU40" s="193">
        <f t="shared" si="237"/>
        <v>0</v>
      </c>
      <c r="LV40" s="193">
        <f t="shared" si="237"/>
        <v>0</v>
      </c>
      <c r="LW40" s="193">
        <f t="shared" si="237"/>
        <v>0</v>
      </c>
      <c r="LX40" s="193">
        <f t="shared" si="237"/>
        <v>0</v>
      </c>
      <c r="LY40" s="193">
        <f t="shared" si="237"/>
        <v>0</v>
      </c>
      <c r="LZ40" s="193">
        <f t="shared" si="237"/>
        <v>0</v>
      </c>
      <c r="MA40" s="193">
        <f t="shared" si="237"/>
        <v>0</v>
      </c>
      <c r="MB40" s="193">
        <f t="shared" si="237"/>
        <v>0</v>
      </c>
      <c r="MC40" s="193">
        <f t="shared" si="237"/>
        <v>0</v>
      </c>
      <c r="MD40" s="193">
        <f t="shared" si="237"/>
        <v>0</v>
      </c>
      <c r="ME40" s="193">
        <f t="shared" si="237"/>
        <v>0</v>
      </c>
      <c r="MF40" s="193">
        <f t="shared" si="237"/>
        <v>0</v>
      </c>
      <c r="MG40" s="193">
        <f t="shared" si="237"/>
        <v>0</v>
      </c>
      <c r="MH40" s="193">
        <f t="shared" si="237"/>
        <v>0</v>
      </c>
      <c r="MI40" s="193">
        <f t="shared" si="237"/>
        <v>0</v>
      </c>
      <c r="MJ40" s="193">
        <f t="shared" si="237"/>
        <v>0</v>
      </c>
      <c r="MK40" s="193">
        <f t="shared" si="237"/>
        <v>0</v>
      </c>
      <c r="ML40" s="193">
        <f t="shared" si="237"/>
        <v>0</v>
      </c>
      <c r="MM40" s="193">
        <f t="shared" si="237"/>
        <v>0</v>
      </c>
      <c r="MN40" s="193">
        <f t="shared" si="237"/>
        <v>0</v>
      </c>
      <c r="MO40" s="193">
        <f t="shared" si="237"/>
        <v>0</v>
      </c>
      <c r="MP40" s="193">
        <f t="shared" si="237"/>
        <v>0</v>
      </c>
      <c r="MQ40" s="193">
        <f t="shared" si="237"/>
        <v>0</v>
      </c>
      <c r="MR40" s="193">
        <f t="shared" si="237"/>
        <v>0</v>
      </c>
      <c r="MS40" s="193">
        <f t="shared" si="237"/>
        <v>0</v>
      </c>
      <c r="MT40" s="193">
        <f t="shared" si="237"/>
        <v>0</v>
      </c>
      <c r="MU40" s="193">
        <f t="shared" si="237"/>
        <v>0</v>
      </c>
      <c r="MV40" s="193">
        <f t="shared" si="237"/>
        <v>0</v>
      </c>
      <c r="MW40" s="193">
        <f t="shared" si="237"/>
        <v>0</v>
      </c>
      <c r="MX40" s="193">
        <f t="shared" si="237"/>
        <v>0</v>
      </c>
      <c r="MY40" s="193">
        <f t="shared" si="237"/>
        <v>0</v>
      </c>
      <c r="MZ40" s="193">
        <f t="shared" si="237"/>
        <v>0</v>
      </c>
      <c r="NA40" s="193">
        <f t="shared" si="237"/>
        <v>0</v>
      </c>
      <c r="NB40" s="193">
        <f t="shared" si="237"/>
        <v>0</v>
      </c>
      <c r="NC40" s="193">
        <f t="shared" si="237"/>
        <v>0</v>
      </c>
      <c r="ND40" s="193">
        <f t="shared" si="237"/>
        <v>0</v>
      </c>
      <c r="NE40" s="193">
        <f t="shared" si="237"/>
        <v>0</v>
      </c>
      <c r="NF40" s="193">
        <f t="shared" si="237"/>
        <v>0</v>
      </c>
      <c r="NG40" s="193">
        <f t="shared" si="237"/>
        <v>0</v>
      </c>
      <c r="NH40" s="193">
        <f t="shared" si="237"/>
        <v>0</v>
      </c>
      <c r="NI40" s="193">
        <f t="shared" si="237"/>
        <v>0</v>
      </c>
      <c r="NJ40" s="193">
        <f t="shared" si="237"/>
        <v>0</v>
      </c>
      <c r="NK40" s="193">
        <f t="shared" si="237"/>
        <v>0</v>
      </c>
      <c r="NL40" s="193">
        <f t="shared" si="237"/>
        <v>0</v>
      </c>
      <c r="NM40" s="193">
        <f t="shared" si="237"/>
        <v>0</v>
      </c>
      <c r="NN40" s="193">
        <f t="shared" si="237"/>
        <v>0</v>
      </c>
      <c r="NO40" s="193">
        <f t="shared" si="237"/>
        <v>0</v>
      </c>
      <c r="NP40" s="193">
        <f t="shared" si="237"/>
        <v>0</v>
      </c>
      <c r="NQ40" s="193">
        <f t="shared" si="237"/>
        <v>0</v>
      </c>
      <c r="NR40" s="193">
        <f t="shared" si="237"/>
        <v>0</v>
      </c>
      <c r="NS40" s="193">
        <f t="shared" si="237"/>
        <v>0</v>
      </c>
      <c r="NT40" s="193">
        <f t="shared" si="237"/>
        <v>0</v>
      </c>
      <c r="NU40" s="193">
        <f t="shared" si="237"/>
        <v>0</v>
      </c>
      <c r="NV40" s="193">
        <f t="shared" si="237"/>
        <v>0</v>
      </c>
      <c r="NW40" s="193">
        <f t="shared" si="237"/>
        <v>0</v>
      </c>
      <c r="NX40" s="193">
        <f t="shared" ref="NX40:QU40" si="238">SUM(NX39)</f>
        <v>0</v>
      </c>
      <c r="NY40" s="193">
        <f t="shared" si="238"/>
        <v>0</v>
      </c>
      <c r="NZ40" s="193">
        <f t="shared" si="238"/>
        <v>0</v>
      </c>
      <c r="OA40" s="193">
        <f t="shared" si="238"/>
        <v>0</v>
      </c>
      <c r="OB40" s="193">
        <f t="shared" si="238"/>
        <v>0</v>
      </c>
      <c r="OC40" s="193">
        <f t="shared" si="238"/>
        <v>0</v>
      </c>
      <c r="OD40" s="193">
        <f t="shared" si="238"/>
        <v>0</v>
      </c>
      <c r="OE40" s="193">
        <f t="shared" si="238"/>
        <v>0</v>
      </c>
      <c r="OF40" s="193">
        <f t="shared" si="238"/>
        <v>0</v>
      </c>
      <c r="OG40" s="193">
        <f t="shared" si="238"/>
        <v>0</v>
      </c>
      <c r="OH40" s="193">
        <f t="shared" si="238"/>
        <v>0</v>
      </c>
      <c r="OI40" s="193">
        <f t="shared" ref="OI40:OT40" si="239">SUM(OI39)</f>
        <v>0</v>
      </c>
      <c r="OJ40" s="193">
        <f t="shared" si="239"/>
        <v>0</v>
      </c>
      <c r="OK40" s="193">
        <f t="shared" si="239"/>
        <v>0</v>
      </c>
      <c r="OL40" s="193">
        <f t="shared" si="239"/>
        <v>0</v>
      </c>
      <c r="OM40" s="193">
        <f t="shared" si="239"/>
        <v>0</v>
      </c>
      <c r="ON40" s="193">
        <f t="shared" si="239"/>
        <v>0</v>
      </c>
      <c r="OO40" s="193">
        <f t="shared" si="239"/>
        <v>0</v>
      </c>
      <c r="OP40" s="193">
        <f t="shared" si="239"/>
        <v>0</v>
      </c>
      <c r="OQ40" s="193">
        <f t="shared" si="239"/>
        <v>0</v>
      </c>
      <c r="OR40" s="193">
        <f t="shared" si="239"/>
        <v>0</v>
      </c>
      <c r="OS40" s="193">
        <f t="shared" si="239"/>
        <v>0</v>
      </c>
      <c r="OT40" s="193">
        <f t="shared" si="239"/>
        <v>0</v>
      </c>
      <c r="OU40" s="193">
        <f t="shared" si="238"/>
        <v>0</v>
      </c>
      <c r="OV40" s="193">
        <f t="shared" si="238"/>
        <v>0</v>
      </c>
      <c r="OW40" s="193">
        <f t="shared" si="238"/>
        <v>0</v>
      </c>
      <c r="OX40" s="193">
        <f t="shared" si="238"/>
        <v>0</v>
      </c>
      <c r="OY40" s="193">
        <f t="shared" si="238"/>
        <v>0</v>
      </c>
      <c r="OZ40" s="193">
        <f t="shared" si="238"/>
        <v>0</v>
      </c>
      <c r="PA40" s="193">
        <f t="shared" si="238"/>
        <v>0</v>
      </c>
      <c r="PB40" s="193">
        <f t="shared" si="238"/>
        <v>0</v>
      </c>
      <c r="PC40" s="193">
        <f t="shared" si="238"/>
        <v>0</v>
      </c>
      <c r="PD40" s="193">
        <f t="shared" si="238"/>
        <v>0</v>
      </c>
      <c r="PE40" s="193">
        <f t="shared" si="238"/>
        <v>0</v>
      </c>
      <c r="PF40" s="193">
        <f t="shared" si="238"/>
        <v>0</v>
      </c>
      <c r="PG40" s="193">
        <f t="shared" si="238"/>
        <v>0</v>
      </c>
      <c r="PH40" s="193">
        <f t="shared" si="238"/>
        <v>0</v>
      </c>
      <c r="PI40" s="193">
        <f t="shared" si="238"/>
        <v>0</v>
      </c>
      <c r="PJ40" s="193">
        <f t="shared" si="238"/>
        <v>0</v>
      </c>
      <c r="PK40" s="193">
        <f t="shared" si="238"/>
        <v>0</v>
      </c>
      <c r="PL40" s="193">
        <f t="shared" si="238"/>
        <v>0</v>
      </c>
      <c r="PM40" s="193">
        <f t="shared" si="238"/>
        <v>0</v>
      </c>
      <c r="PN40" s="193">
        <f t="shared" si="238"/>
        <v>0</v>
      </c>
      <c r="PO40" s="193">
        <f t="shared" si="238"/>
        <v>0</v>
      </c>
      <c r="PP40" s="193">
        <f t="shared" si="238"/>
        <v>0</v>
      </c>
      <c r="PQ40" s="193">
        <f t="shared" si="238"/>
        <v>0</v>
      </c>
      <c r="PR40" s="193">
        <f t="shared" si="238"/>
        <v>0</v>
      </c>
      <c r="PS40" s="193">
        <f t="shared" si="238"/>
        <v>0</v>
      </c>
      <c r="PT40" s="193">
        <f t="shared" si="238"/>
        <v>0</v>
      </c>
      <c r="PU40" s="193">
        <f t="shared" si="238"/>
        <v>0</v>
      </c>
      <c r="PV40" s="193">
        <f t="shared" si="238"/>
        <v>0</v>
      </c>
      <c r="PW40" s="193">
        <f t="shared" si="238"/>
        <v>0</v>
      </c>
      <c r="PX40" s="193">
        <f t="shared" si="238"/>
        <v>0</v>
      </c>
      <c r="PY40" s="193">
        <f t="shared" si="238"/>
        <v>0</v>
      </c>
      <c r="PZ40" s="193">
        <f t="shared" si="238"/>
        <v>0</v>
      </c>
      <c r="QA40" s="193">
        <f t="shared" si="238"/>
        <v>0</v>
      </c>
      <c r="QB40" s="193">
        <f t="shared" si="238"/>
        <v>0</v>
      </c>
      <c r="QC40" s="193">
        <f t="shared" si="238"/>
        <v>0</v>
      </c>
      <c r="QD40" s="193">
        <f t="shared" si="238"/>
        <v>0</v>
      </c>
      <c r="QE40" s="193">
        <f t="shared" si="238"/>
        <v>0</v>
      </c>
      <c r="QF40" s="193">
        <f t="shared" si="238"/>
        <v>0</v>
      </c>
      <c r="QG40" s="193">
        <f t="shared" si="238"/>
        <v>0</v>
      </c>
      <c r="QH40" s="193">
        <f t="shared" si="238"/>
        <v>0</v>
      </c>
      <c r="QI40" s="193">
        <f t="shared" si="238"/>
        <v>0</v>
      </c>
      <c r="QJ40" s="193">
        <f t="shared" si="238"/>
        <v>0</v>
      </c>
      <c r="QK40" s="193">
        <f t="shared" si="238"/>
        <v>0</v>
      </c>
      <c r="QL40" s="193">
        <f t="shared" si="238"/>
        <v>0</v>
      </c>
      <c r="QM40" s="193">
        <f t="shared" si="238"/>
        <v>0</v>
      </c>
      <c r="QN40" s="193">
        <f t="shared" si="238"/>
        <v>0</v>
      </c>
      <c r="QO40" s="193">
        <f t="shared" si="238"/>
        <v>0</v>
      </c>
      <c r="QP40" s="193">
        <f t="shared" si="238"/>
        <v>0</v>
      </c>
      <c r="QQ40" s="193">
        <f t="shared" si="238"/>
        <v>0</v>
      </c>
      <c r="QR40" s="193">
        <f t="shared" si="238"/>
        <v>0</v>
      </c>
      <c r="QS40" s="193">
        <f t="shared" si="238"/>
        <v>0</v>
      </c>
      <c r="QT40" s="193">
        <f t="shared" si="238"/>
        <v>0</v>
      </c>
      <c r="QU40" s="193">
        <f t="shared" si="238"/>
        <v>0</v>
      </c>
      <c r="QV40" s="193">
        <f t="shared" ref="QV40:SP40" si="240">SUM(QV39)</f>
        <v>0</v>
      </c>
      <c r="QW40" s="193">
        <f t="shared" si="240"/>
        <v>0</v>
      </c>
      <c r="QX40" s="193">
        <f t="shared" si="240"/>
        <v>0</v>
      </c>
      <c r="QY40" s="193">
        <f t="shared" si="240"/>
        <v>0</v>
      </c>
      <c r="QZ40" s="193">
        <f t="shared" si="240"/>
        <v>0</v>
      </c>
      <c r="RA40" s="193">
        <f t="shared" si="240"/>
        <v>0</v>
      </c>
      <c r="RB40" s="193">
        <f t="shared" si="240"/>
        <v>0</v>
      </c>
      <c r="RC40" s="193">
        <f t="shared" si="240"/>
        <v>0</v>
      </c>
      <c r="RD40" s="193">
        <f t="shared" si="240"/>
        <v>0</v>
      </c>
      <c r="RE40" s="193">
        <f t="shared" si="240"/>
        <v>0</v>
      </c>
      <c r="RF40" s="193">
        <f t="shared" si="240"/>
        <v>0</v>
      </c>
      <c r="RG40" s="193">
        <f t="shared" si="240"/>
        <v>0</v>
      </c>
      <c r="RH40" s="193">
        <f t="shared" si="240"/>
        <v>0</v>
      </c>
      <c r="RI40" s="193">
        <f t="shared" si="240"/>
        <v>0</v>
      </c>
      <c r="RJ40" s="193">
        <f t="shared" si="240"/>
        <v>0</v>
      </c>
      <c r="RK40" s="193">
        <f t="shared" si="240"/>
        <v>0</v>
      </c>
      <c r="RL40" s="193">
        <f t="shared" si="240"/>
        <v>0</v>
      </c>
      <c r="RM40" s="193">
        <f t="shared" si="240"/>
        <v>0</v>
      </c>
      <c r="RN40" s="193">
        <f t="shared" si="240"/>
        <v>0</v>
      </c>
      <c r="RO40" s="193">
        <f t="shared" si="240"/>
        <v>0</v>
      </c>
      <c r="RP40" s="193">
        <f t="shared" si="240"/>
        <v>0</v>
      </c>
      <c r="RQ40" s="193">
        <f t="shared" si="240"/>
        <v>0</v>
      </c>
      <c r="RR40" s="193">
        <f t="shared" si="240"/>
        <v>0</v>
      </c>
      <c r="RS40" s="193">
        <f t="shared" si="240"/>
        <v>0</v>
      </c>
      <c r="RT40" s="193">
        <f t="shared" si="240"/>
        <v>0</v>
      </c>
      <c r="RU40" s="193">
        <f t="shared" si="240"/>
        <v>0</v>
      </c>
      <c r="RV40" s="193">
        <f t="shared" si="240"/>
        <v>0</v>
      </c>
      <c r="RW40" s="193">
        <f t="shared" si="240"/>
        <v>0</v>
      </c>
      <c r="RX40" s="193">
        <f t="shared" si="240"/>
        <v>0</v>
      </c>
      <c r="RY40" s="193">
        <f t="shared" si="240"/>
        <v>0</v>
      </c>
      <c r="RZ40" s="193">
        <f t="shared" si="240"/>
        <v>0</v>
      </c>
      <c r="SA40" s="193">
        <f t="shared" si="240"/>
        <v>0</v>
      </c>
      <c r="SB40" s="193">
        <f t="shared" si="240"/>
        <v>0</v>
      </c>
      <c r="SC40" s="193">
        <f t="shared" si="240"/>
        <v>0</v>
      </c>
      <c r="SD40" s="193">
        <f t="shared" si="240"/>
        <v>0</v>
      </c>
      <c r="SE40" s="193">
        <f t="shared" si="240"/>
        <v>0</v>
      </c>
      <c r="SF40" s="193">
        <f t="shared" si="240"/>
        <v>0</v>
      </c>
      <c r="SG40" s="193">
        <f t="shared" si="240"/>
        <v>0</v>
      </c>
      <c r="SH40" s="193">
        <f t="shared" si="240"/>
        <v>0</v>
      </c>
      <c r="SI40" s="193">
        <f t="shared" si="240"/>
        <v>0</v>
      </c>
      <c r="SJ40" s="193">
        <f t="shared" si="240"/>
        <v>0</v>
      </c>
      <c r="SK40" s="193">
        <f t="shared" si="240"/>
        <v>0</v>
      </c>
      <c r="SL40" s="193">
        <f t="shared" si="240"/>
        <v>0</v>
      </c>
      <c r="SM40" s="193">
        <f t="shared" si="240"/>
        <v>0</v>
      </c>
      <c r="SN40" s="193">
        <f t="shared" si="240"/>
        <v>0</v>
      </c>
      <c r="SO40" s="193">
        <f t="shared" si="240"/>
        <v>0</v>
      </c>
      <c r="SP40" s="193">
        <f t="shared" si="240"/>
        <v>0</v>
      </c>
      <c r="SQ40" s="193"/>
      <c r="SR40" s="193"/>
      <c r="SS40" s="195"/>
    </row>
    <row r="41" spans="1:513" s="121" customFormat="1" ht="26.25" customHeight="1">
      <c r="A41" s="228" t="s">
        <v>496</v>
      </c>
      <c r="B41" s="229"/>
      <c r="C41" s="229"/>
      <c r="D41" s="229"/>
      <c r="E41" s="230"/>
      <c r="F41" s="120">
        <f>F32+F28+F23+F17+F35+F38+F40</f>
        <v>0</v>
      </c>
      <c r="G41" s="120">
        <f>G32+G28+G23+G17+G35+G38+G40</f>
        <v>0</v>
      </c>
      <c r="H41" s="120">
        <f>H32+H28+H23+H17+H35+H38+H40</f>
        <v>1</v>
      </c>
      <c r="I41" s="120">
        <f>I32+I28+I23+I17+I35+I38+I40</f>
        <v>1</v>
      </c>
      <c r="J41" s="120">
        <f>J32+J28+J23+J17+J35+J38+J40</f>
        <v>0</v>
      </c>
      <c r="K41" s="120">
        <f>K32+K28+K23+K17+K35+K38+K40</f>
        <v>1</v>
      </c>
      <c r="L41" s="120">
        <f>L32+L28+L23+L17+L35+L38+L40</f>
        <v>0</v>
      </c>
      <c r="M41" s="120">
        <f>M32+M28+M23+M17+M35+M38+M40</f>
        <v>0</v>
      </c>
      <c r="N41" s="120">
        <f>N32+N28+N23+N17+N35+N38+N40</f>
        <v>0</v>
      </c>
      <c r="O41" s="120">
        <f>O32+O28+O23+O17+O35+O38+O40</f>
        <v>1</v>
      </c>
      <c r="P41" s="120">
        <f>P32+P28+P23+P17+P35+P38+P40</f>
        <v>0</v>
      </c>
      <c r="Q41" s="120">
        <f>Q32+Q28+Q23+Q17+Q35+Q38+Q40</f>
        <v>1</v>
      </c>
      <c r="R41" s="120">
        <f>R32+R28+R23+R17+R35+R38+R40</f>
        <v>0</v>
      </c>
      <c r="S41" s="120">
        <f>S32+S28+S23+S17+S35+S38+S40</f>
        <v>0</v>
      </c>
      <c r="T41" s="120">
        <f>T32+T28+T23+T17+T35+T38+T40</f>
        <v>0</v>
      </c>
      <c r="U41" s="120">
        <f>U32+U28+U23+U17+U35+U38+U40</f>
        <v>1</v>
      </c>
      <c r="V41" s="120">
        <f>V32+V28+V23+V17+V35+V38+V40</f>
        <v>167</v>
      </c>
      <c r="W41" s="120">
        <f>W32+W28+W23+W17+W35+W38+W40</f>
        <v>23</v>
      </c>
      <c r="X41" s="120">
        <f>X32+X28+X23+X17+X35+X38+X40</f>
        <v>159</v>
      </c>
      <c r="Y41" s="120">
        <f>Y32+Y28+Y23+Y17+Y35+Y38+Y40</f>
        <v>35</v>
      </c>
      <c r="Z41" s="120">
        <f>Z32+Z28+Z23+Z17+Z35+Z38+Z40</f>
        <v>145</v>
      </c>
      <c r="AA41" s="120">
        <f>AA32+AA28+AA23+AA17+AA35+AA38+AA40</f>
        <v>27</v>
      </c>
      <c r="AB41" s="120">
        <f>AB32+AB28+AB23+AB17+AB35+AB38+AB40</f>
        <v>129</v>
      </c>
      <c r="AC41" s="120">
        <f>AC32+AC28+AC23+AC17+AC35+AC38+AC40</f>
        <v>15</v>
      </c>
      <c r="AD41" s="120">
        <f>AD32+AD28+AD23+AD17+AD35+AD38+AD40</f>
        <v>38</v>
      </c>
      <c r="AE41" s="120">
        <f>AE32+AE28+AE23+AE17+AE35+AE38+AE40</f>
        <v>0</v>
      </c>
      <c r="AF41" s="120">
        <f>AF32+AF28+AF23+AF17+AF35+AF38+AF40</f>
        <v>638</v>
      </c>
      <c r="AG41" s="120">
        <f>AG32+AG28+AG23+AG17+AG35+AG38+AG40</f>
        <v>100</v>
      </c>
      <c r="AH41" s="120">
        <f>AH32+AH28+AH23+AH17+AH35+AH38+AH40</f>
        <v>738</v>
      </c>
      <c r="AI41" s="120">
        <f>AI32+AI28+AI23+AI17+AI35+AI38+AI40</f>
        <v>167</v>
      </c>
      <c r="AJ41" s="120">
        <f>AJ32+AJ28+AJ23+AJ17+AJ35+AJ38+AJ40</f>
        <v>23</v>
      </c>
      <c r="AK41" s="120">
        <f>AK32+AK28+AK23+AK17+AK35+AK38+AK40</f>
        <v>159</v>
      </c>
      <c r="AL41" s="120">
        <f>AL32+AL28+AL23+AL17+AL35+AL38+AL40</f>
        <v>35</v>
      </c>
      <c r="AM41" s="120">
        <f>AM32+AM28+AM23+AM17+AM35+AM38+AM40</f>
        <v>145</v>
      </c>
      <c r="AN41" s="120">
        <f>AN32+AN28+AN23+AN17+AN35+AN38+AN40</f>
        <v>27</v>
      </c>
      <c r="AO41" s="120">
        <f>AO32+AO28+AO23+AO17+AO35+AO38+AO40</f>
        <v>129</v>
      </c>
      <c r="AP41" s="120">
        <f>AP32+AP28+AP23+AP17+AP35+AP38+AP40</f>
        <v>15</v>
      </c>
      <c r="AQ41" s="120">
        <f>AQ32+AQ28+AQ23+AQ17+AQ35+AQ38+AQ40</f>
        <v>38</v>
      </c>
      <c r="AR41" s="120">
        <f>AR32+AR28+AR23+AR17+AR35+AR38+AR40</f>
        <v>0</v>
      </c>
      <c r="AS41" s="120">
        <f>AS32+AS28+AS23+AS17+AS35+AS38+AS40</f>
        <v>638</v>
      </c>
      <c r="AT41" s="120">
        <f>AT32+AT28+AT23+AT17+AT35+AT38+AT40</f>
        <v>100</v>
      </c>
      <c r="AU41" s="120">
        <f>AU32+AU28+AU23+AU17+AU35+AU38+AU40</f>
        <v>738</v>
      </c>
      <c r="AV41" s="120">
        <f>AV32+AV28+AV23+AV17+AV35+AV38+AV40</f>
        <v>9</v>
      </c>
      <c r="AW41" s="120">
        <f>AW32+AW28+AW23+AW17+AW35+AW38+AW40</f>
        <v>0</v>
      </c>
      <c r="AX41" s="120">
        <f>AX32+AX28+AX23+AX17+AX35+AX38+AX40</f>
        <v>3</v>
      </c>
      <c r="AY41" s="120">
        <f>AY32+AY28+AY23+AY17+AY35+AY38+AY40</f>
        <v>0</v>
      </c>
      <c r="AZ41" s="120">
        <f>AZ32+AZ28+AZ23+AZ17+AZ35+AZ38+AZ40</f>
        <v>0</v>
      </c>
      <c r="BA41" s="120">
        <f>BA32+BA28+BA23+BA17+BA35+BA38+BA40</f>
        <v>0</v>
      </c>
      <c r="BB41" s="120">
        <f>BB32+BB28+BB23+BB17+BB35+BB38+BB40</f>
        <v>0</v>
      </c>
      <c r="BC41" s="120">
        <f>BC32+BC28+BC23+BC17+BC35+BC38+BC40</f>
        <v>0</v>
      </c>
      <c r="BD41" s="120">
        <f>BD32+BD28+BD23+BD17+BD35+BD38+BD40</f>
        <v>0</v>
      </c>
      <c r="BE41" s="120">
        <f>BE32+BE28+BE23+BE17+BE35+BE38+BE40</f>
        <v>0</v>
      </c>
      <c r="BF41" s="120">
        <f>BF32+BF28+BF23+BF17+BF35+BF38+BF40</f>
        <v>12</v>
      </c>
      <c r="BG41" s="120">
        <f>BG32+BG28+BG23+BG17+BG35+BG38+BG40</f>
        <v>0</v>
      </c>
      <c r="BH41" s="120">
        <f>BH32+BH28+BH23+BH17+BH35+BH38+BH40</f>
        <v>12</v>
      </c>
      <c r="BI41" s="120">
        <f>BI32+BI28+BI23+BI17+BI35+BI38+BI40</f>
        <v>10</v>
      </c>
      <c r="BJ41" s="120">
        <f>BJ32+BJ28+BJ23+BJ17+BJ35+BJ38+BJ40</f>
        <v>0</v>
      </c>
      <c r="BK41" s="120">
        <f>BK32+BK28+BK23+BK17+BK35+BK38+BK40</f>
        <v>10</v>
      </c>
      <c r="BL41" s="120">
        <f>BL32+BL28+BL23+BL17+BL35+BL38+BL40</f>
        <v>0</v>
      </c>
      <c r="BM41" s="120">
        <f>BM32+BM28+BM23+BM17+BM35+BM38+BM40</f>
        <v>0</v>
      </c>
      <c r="BN41" s="120">
        <f>BN32+BN28+BN23+BN17+BN35+BN38+BN40</f>
        <v>0</v>
      </c>
      <c r="BO41" s="120">
        <f>BO32+BO28+BO23+BO17+BO35+BO38+BO40</f>
        <v>0</v>
      </c>
      <c r="BP41" s="120">
        <f>BP32+BP28+BP23+BP17+BP35+BP38+BP40</f>
        <v>0</v>
      </c>
      <c r="BQ41" s="120">
        <f>BQ32+BQ28+BQ23+BQ17+BQ35+BQ38+BQ40</f>
        <v>0</v>
      </c>
      <c r="BR41" s="120">
        <f>BR32+BR28+BR23+BR17+BR35+BR38+BR40</f>
        <v>0</v>
      </c>
      <c r="BS41" s="120">
        <f>BS32+BS28+BS23+BS17+BS35+BS38+BS40</f>
        <v>20</v>
      </c>
      <c r="BT41" s="120">
        <f>BT32+BT28+BT23+BT17+BT35+BT38+BT40</f>
        <v>0</v>
      </c>
      <c r="BU41" s="120">
        <f>BU32+BU28+BU23+BU17+BU35+BU38+BU40</f>
        <v>20</v>
      </c>
      <c r="BV41" s="120">
        <f>BV32+BV28+BV23+BV17+BV35+BV38+BV40</f>
        <v>167</v>
      </c>
      <c r="BW41" s="120">
        <f>BW32+BW28+BW23+BW17+BW35+BW38+BW40</f>
        <v>23</v>
      </c>
      <c r="BX41" s="120">
        <f>BX32+BX28+BX23+BX17+BX35+BX38+BX40</f>
        <v>168</v>
      </c>
      <c r="BY41" s="120">
        <f>BY32+BY28+BY23+BY17+BY35+BY38+BY40</f>
        <v>35</v>
      </c>
      <c r="BZ41" s="120">
        <f>BZ32+BZ28+BZ23+BZ17+BZ35+BZ38+BZ40</f>
        <v>158</v>
      </c>
      <c r="CA41" s="120">
        <f>CA32+CA28+CA23+CA17+CA35+CA38+CA40</f>
        <v>27</v>
      </c>
      <c r="CB41" s="120">
        <f>CB32+CB28+CB23+CB17+CB35+CB38+CB40</f>
        <v>139</v>
      </c>
      <c r="CC41" s="120">
        <f>CC32+CC28+CC23+CC17+CC35+CC38+CC40</f>
        <v>15</v>
      </c>
      <c r="CD41" s="120">
        <f>CD32+CD28+CD23+CD17+CD35+CD38+CD40</f>
        <v>38</v>
      </c>
      <c r="CE41" s="120">
        <f>CE32+CE28+CE23+CE17+CE35+CE38+CE40</f>
        <v>0</v>
      </c>
      <c r="CF41" s="120">
        <f>CF32+CF28+CF23+CF17+CF35+CF38+CF40</f>
        <v>0</v>
      </c>
      <c r="CG41" s="120">
        <f>CG32+CG28+CG23+CG17+CG35+CG38+CG40</f>
        <v>0</v>
      </c>
      <c r="CH41" s="120">
        <f>CH32+CH28+CH23+CH17+CH35+CH38+CH40</f>
        <v>0</v>
      </c>
      <c r="CI41" s="120">
        <f>CI32+CI28+CI23+CI17+CI35+CI38+CI40</f>
        <v>0</v>
      </c>
      <c r="CJ41" s="120">
        <f>CJ32+CJ28+CJ23+CJ17+CJ35+CJ38+CJ40</f>
        <v>670</v>
      </c>
      <c r="CK41" s="120">
        <f>CK32+CK28+CK23+CK17+CK35+CK38+CK40</f>
        <v>100</v>
      </c>
      <c r="CL41" s="120">
        <f>CL32+CL28+CL23+CL17+CL35+CL38+CL40</f>
        <v>770</v>
      </c>
      <c r="CM41" s="120">
        <f>CM32+CM28+CM23+CM17+CM35+CM38+CM40</f>
        <v>23</v>
      </c>
      <c r="CN41" s="120">
        <f>CN32+CN28+CN23+CN17+CN35+CN38+CN40</f>
        <v>5</v>
      </c>
      <c r="CO41" s="120">
        <f>CO32+CO28+CO23+CO17+CO35+CO38+CO40</f>
        <v>0</v>
      </c>
      <c r="CP41" s="120">
        <f>CP32+CP28+CP23+CP17+CP35+CP38+CP40</f>
        <v>2</v>
      </c>
      <c r="CQ41" s="120">
        <f>CQ32+CQ28+CQ23+CQ17+CQ35+CQ38+CQ40</f>
        <v>0</v>
      </c>
      <c r="CR41" s="120">
        <f>CR32+CR28+CR23+CR17+CR35+CR38+CR40</f>
        <v>0</v>
      </c>
      <c r="CS41" s="120">
        <f>CS32+CS28+CS23+CS17+CS35+CS38+CS40</f>
        <v>2</v>
      </c>
      <c r="CT41" s="120">
        <f>CT32+CT28+CT23+CT17+CT35+CT38+CT40</f>
        <v>0</v>
      </c>
      <c r="CU41" s="120">
        <f>CU32+CU28+CU23+CU17+CU35+CU38+CU40</f>
        <v>0</v>
      </c>
      <c r="CV41" s="120">
        <f>CV32+CV28+CV23+CV17+CV35+CV38+CV40</f>
        <v>27</v>
      </c>
      <c r="CW41" s="120">
        <f>CW32+CW28+CW23+CW17+CW35+CW38+CW40</f>
        <v>5</v>
      </c>
      <c r="CX41" s="120">
        <f>CX32+CX28+CX23+CX17+CX35+CX38+CX40</f>
        <v>0</v>
      </c>
      <c r="CY41" s="120">
        <f>CY32+CY28+CY23+CY17+CY35+CY38+CY40</f>
        <v>32</v>
      </c>
      <c r="CZ41" s="120">
        <f>CZ32+CZ28+CZ23+CZ17+CZ35+CZ38+CZ40</f>
        <v>0</v>
      </c>
      <c r="DA41" s="120">
        <f>DA32+DA28+DA23+DA17+DA35+DA38+DA40</f>
        <v>0</v>
      </c>
      <c r="DB41" s="120">
        <f>DB32+DB28+DB23+DB17+DB35+DB38+DB40</f>
        <v>0</v>
      </c>
      <c r="DC41" s="120">
        <f>DC32+DC28+DC23+DC17+DC35+DC38+DC40</f>
        <v>0</v>
      </c>
      <c r="DD41" s="120">
        <f>DD32+DD28+DD23+DD17+DD35+DD38+DD40</f>
        <v>0</v>
      </c>
      <c r="DE41" s="120">
        <f>DE32+DE28+DE23+DE17+DE35+DE38+DE40</f>
        <v>0</v>
      </c>
      <c r="DF41" s="120">
        <f>DF32+DF28+DF23+DF17+DF35+DF38+DF40</f>
        <v>0</v>
      </c>
      <c r="DG41" s="120">
        <f>DG32+DG28+DG23+DG17+DG35+DG38+DG40</f>
        <v>0</v>
      </c>
      <c r="DH41" s="120">
        <f>DH32+DH28+DH23+DH17+DH35+DH38+DH40</f>
        <v>0</v>
      </c>
      <c r="DI41" s="120">
        <f>DI32+DI28+DI23+DI17+DI35+DI38+DI40</f>
        <v>0</v>
      </c>
      <c r="DJ41" s="120">
        <f>DJ32+DJ28+DJ23+DJ17+DJ35+DJ38+DJ40</f>
        <v>0</v>
      </c>
      <c r="DK41" s="120">
        <f>DK32+DK28+DK23+DK17+DK35+DK38+DK40</f>
        <v>0</v>
      </c>
      <c r="DL41" s="120">
        <f>DL32+DL28+DL23+DL17+DL35+DL38+DL40</f>
        <v>0</v>
      </c>
      <c r="DM41" s="120">
        <f>DM32+DM28+DM23+DM17+DM35+DM38+DM40</f>
        <v>0</v>
      </c>
      <c r="DN41" s="120">
        <f>DN32+DN28+DN23+DN17+DN35+DN38+DN40</f>
        <v>0</v>
      </c>
      <c r="DO41" s="120">
        <f>DO32+DO28+DO23+DO17+DO35+DO38+DO40</f>
        <v>0</v>
      </c>
      <c r="DP41" s="120">
        <f>DP32+DP28+DP23+DP17+DP35+DP38+DP40</f>
        <v>0</v>
      </c>
      <c r="DQ41" s="120">
        <f>DQ32+DQ28+DQ23+DQ17+DQ35+DQ38+DQ40</f>
        <v>0</v>
      </c>
      <c r="DR41" s="120">
        <f>DR32+DR28+DR23+DR17+DR35+DR38+DR40</f>
        <v>0</v>
      </c>
      <c r="DS41" s="120">
        <f>DS32+DS28+DS23+DS17+DS35+DS38+DS40</f>
        <v>0</v>
      </c>
      <c r="DT41" s="120">
        <f>DT32+DT28+DT23+DT17+DT35+DT38+DT40</f>
        <v>0</v>
      </c>
      <c r="DU41" s="120">
        <f>DU32+DU28+DU23+DU17+DU35+DU38+DU40</f>
        <v>0</v>
      </c>
      <c r="DV41" s="120">
        <f>DV32+DV28+DV23+DV17+DV35+DV38+DV40</f>
        <v>0</v>
      </c>
      <c r="DW41" s="120">
        <f>DW32+DW28+DW23+DW17+DW35+DW38+DW40</f>
        <v>0</v>
      </c>
      <c r="DX41" s="120">
        <f>DX32+DX28+DX23+DX17+DX35+DX38+DX40</f>
        <v>0</v>
      </c>
      <c r="DY41" s="120">
        <f>DY32+DY28+DY23+DY17+DY35+DY38+DY40</f>
        <v>0</v>
      </c>
      <c r="DZ41" s="120">
        <f>DZ32+DZ28+DZ23+DZ17+DZ35+DZ38+DZ40</f>
        <v>0</v>
      </c>
      <c r="EA41" s="120">
        <f>EA32+EA28+EA23+EA17+EA35+EA38+EA40</f>
        <v>0</v>
      </c>
      <c r="EB41" s="120">
        <f>EB32+EB28+EB23+EB17+EB35+EB38+EB40</f>
        <v>0</v>
      </c>
      <c r="EC41" s="120">
        <f>EC32+EC28+EC23+EC17+EC35+EC38+EC40</f>
        <v>0</v>
      </c>
      <c r="ED41" s="120">
        <f>ED32+ED28+ED23+ED17+ED35+ED38+ED40</f>
        <v>0</v>
      </c>
      <c r="EE41" s="120">
        <f>EE32+EE28+EE23+EE17+EE35+EE38+EE40</f>
        <v>0</v>
      </c>
      <c r="EF41" s="120">
        <f>EF32+EF28+EF23+EF17+EF35+EF38+EF40</f>
        <v>0</v>
      </c>
      <c r="EG41" s="120">
        <f>EG32+EG28+EG23+EG17+EG35+EG38+EG40</f>
        <v>0</v>
      </c>
      <c r="EH41" s="120">
        <f>EH32+EH28+EH23+EH17+EH35+EH38+EH40</f>
        <v>0</v>
      </c>
      <c r="EI41" s="120">
        <f>EI32+EI28+EI23+EI17+EI35+EI38+EI40</f>
        <v>0</v>
      </c>
      <c r="EJ41" s="120">
        <f>EJ32+EJ28+EJ23+EJ17+EJ35+EJ38+EJ40</f>
        <v>0</v>
      </c>
      <c r="EK41" s="120">
        <f>EK32+EK28+EK23+EK17+EK35+EK38+EK40</f>
        <v>0</v>
      </c>
      <c r="EL41" s="120">
        <f>EL32+EL28+EL23+EL17+EL35+EL38+EL40</f>
        <v>0</v>
      </c>
      <c r="EM41" s="120">
        <f>EM32+EM28+EM23+EM17+EM35+EM38+EM40</f>
        <v>0</v>
      </c>
      <c r="EN41" s="120">
        <f>EN32+EN28+EN23+EN17+EN35+EN38+EN40</f>
        <v>0</v>
      </c>
      <c r="EO41" s="120">
        <f>EO32+EO28+EO23+EO17+EO35+EO38+EO40</f>
        <v>0</v>
      </c>
      <c r="EP41" s="120">
        <f>EP32+EP28+EP23+EP17+EP35+EP38+EP40</f>
        <v>0</v>
      </c>
      <c r="EQ41" s="120">
        <f>EQ32+EQ28+EQ23+EQ17+EQ35+EQ38+EQ40</f>
        <v>0</v>
      </c>
      <c r="ER41" s="120">
        <f>ER32+ER28+ER23+ER17+ER35+ER38+ER40</f>
        <v>0</v>
      </c>
      <c r="ES41" s="120">
        <f>ES32+ES28+ES23+ES17+ES35+ES38+ES40</f>
        <v>0</v>
      </c>
      <c r="ET41" s="120">
        <f>ET32+ET28+ET23+ET17+ET35+ET38+ET40</f>
        <v>0</v>
      </c>
      <c r="EU41" s="120">
        <f>EU32+EU28+EU23+EU17+EU35+EU38+EU40</f>
        <v>0</v>
      </c>
      <c r="EV41" s="120">
        <f>EV32+EV28+EV23+EV17+EV35+EV38+EV40</f>
        <v>0</v>
      </c>
      <c r="EW41" s="120">
        <f>EW32+EW28+EW23+EW17+EW35+EW38+EW40</f>
        <v>0</v>
      </c>
      <c r="EX41" s="120">
        <f>EX32+EX28+EX23+EX17+EX35+EX38+EX40</f>
        <v>0</v>
      </c>
      <c r="EY41" s="120">
        <f>EY32+EY28+EY23+EY17+EY35+EY38+EY40</f>
        <v>0</v>
      </c>
      <c r="EZ41" s="120">
        <f>EZ32+EZ28+EZ23+EZ17+EZ35+EZ38+EZ40</f>
        <v>0</v>
      </c>
      <c r="FA41" s="120">
        <f>FA32+FA28+FA23+FA17+FA35+FA38+FA40</f>
        <v>0</v>
      </c>
      <c r="FB41" s="120">
        <f>FB32+FB28+FB23+FB17+FB35+FB38+FB40</f>
        <v>0</v>
      </c>
      <c r="FC41" s="120">
        <f>FC32+FC28+FC23+FC17+FC35+FC38+FC40</f>
        <v>1</v>
      </c>
      <c r="FD41" s="120">
        <f>FD32+FD28+FD23+FD17+FD35+FD38+FD40</f>
        <v>3</v>
      </c>
      <c r="FE41" s="120">
        <f>FE32+FE28+FE23+FE17+FE35+FE38+FE40</f>
        <v>0</v>
      </c>
      <c r="FF41" s="120">
        <f>FF32+FF28+FF23+FF17+FF35+FF38+FF40</f>
        <v>10</v>
      </c>
      <c r="FG41" s="120">
        <f>FG32+FG28+FG23+FG17+FG35+FG38+FG40</f>
        <v>18</v>
      </c>
      <c r="FH41" s="120">
        <f>FH32+FH28+FH23+FH17+FH35+FH38+FH40</f>
        <v>0</v>
      </c>
      <c r="FI41" s="120">
        <f>FI32+FI28+FI23+FI17+FI35+FI38+FI40</f>
        <v>0</v>
      </c>
      <c r="FJ41" s="120">
        <f>FJ32+FJ28+FJ23+FJ17+FJ35+FJ38+FJ40</f>
        <v>0</v>
      </c>
      <c r="FK41" s="120">
        <f>FK32+FK28+FK23+FK17+FK35+FK38+FK40</f>
        <v>0</v>
      </c>
      <c r="FL41" s="120">
        <f>FL32+FL28+FL23+FL17+FL35+FL38+FL40</f>
        <v>13</v>
      </c>
      <c r="FM41" s="120">
        <f>FM32+FM28+FM23+FM17+FM35+FM38+FM40</f>
        <v>19</v>
      </c>
      <c r="FN41" s="120">
        <f>FN32+FN28+FN23+FN17+FN35+FN38+FN40</f>
        <v>32</v>
      </c>
      <c r="FO41" s="120">
        <f>FO32+FO28+FO23+FO17+FO35+FO38+FO40</f>
        <v>0</v>
      </c>
      <c r="FP41" s="120">
        <f>FP32+FP28+FP23+FP17+FP35+FP38+FP40</f>
        <v>0</v>
      </c>
      <c r="FQ41" s="120">
        <f>FQ32+FQ28+FQ23+FQ17+FQ35+FQ38+FQ40</f>
        <v>0</v>
      </c>
      <c r="FR41" s="120">
        <f>FR32+FR28+FR23+FR17+FR35+FR38+FR40</f>
        <v>0</v>
      </c>
      <c r="FS41" s="120">
        <f>FS32+FS28+FS23+FS17+FS35+FS38+FS40</f>
        <v>0</v>
      </c>
      <c r="FT41" s="120">
        <f>FT32+FT28+FT23+FT17+FT35+FT38+FT40</f>
        <v>0</v>
      </c>
      <c r="FU41" s="120">
        <f>FU32+FU28+FU23+FU17+FU35+FU38+FU40</f>
        <v>0</v>
      </c>
      <c r="FV41" s="120">
        <f>FV32+FV28+FV23+FV17+FV35+FV38+FV40</f>
        <v>0</v>
      </c>
      <c r="FW41" s="120">
        <f>FW32+FW28+FW23+FW17+FW35+FW38+FW40</f>
        <v>0</v>
      </c>
      <c r="FX41" s="120">
        <f>FX32+FX28+FX23+FX17+FX35+FX38+FX40</f>
        <v>0</v>
      </c>
      <c r="FY41" s="120">
        <f>FY32+FY28+FY23+FY17+FY35+FY38+FY40</f>
        <v>0</v>
      </c>
      <c r="FZ41" s="120">
        <f>FZ32+FZ28+FZ23+FZ17+FZ35+FZ38+FZ40</f>
        <v>0</v>
      </c>
      <c r="GA41" s="120">
        <f>GA32+GA28+GA23+GA17+GA35+GA38+GA40</f>
        <v>0</v>
      </c>
      <c r="GB41" s="120">
        <f>GB32+GB28+GB23+GB17+GB35+GB38+GB40</f>
        <v>0</v>
      </c>
      <c r="GC41" s="120">
        <f>GC32+GC28+GC23+GC17+GC35+GC38+GC40</f>
        <v>0</v>
      </c>
      <c r="GD41" s="120">
        <f>GD32+GD28+GD23+GD17+GD35+GD38+GD40</f>
        <v>0</v>
      </c>
      <c r="GE41" s="120">
        <f>GE32+GE28+GE23+GE17+GE35+GE38+GE40</f>
        <v>0</v>
      </c>
      <c r="GF41" s="120">
        <f>GF32+GF28+GF23+GF17+GF35+GF38+GF40</f>
        <v>0</v>
      </c>
      <c r="GG41" s="120">
        <f>GG32+GG28+GG23+GG17+GG35+GG38+GG40</f>
        <v>0</v>
      </c>
      <c r="GH41" s="120">
        <f>GH32+GH28+GH23+GH17+GH35+GH38+GH40</f>
        <v>0</v>
      </c>
      <c r="GI41" s="120">
        <f>GI32+GI28+GI23+GI17+GI35+GI38+GI40</f>
        <v>0</v>
      </c>
      <c r="GJ41" s="120">
        <f>GJ32+GJ28+GJ23+GJ17+GJ35+GJ38+GJ40</f>
        <v>1</v>
      </c>
      <c r="GK41" s="120">
        <f>GK32+GK28+GK23+GK17+GK35+GK38+GK40</f>
        <v>5</v>
      </c>
      <c r="GL41" s="120">
        <f>GL32+GL28+GL23+GL17+GL35+GL38+GL40</f>
        <v>0</v>
      </c>
      <c r="GM41" s="120">
        <f>GM32+GM28+GM23+GM17+GM35+GM38+GM40</f>
        <v>0</v>
      </c>
      <c r="GN41" s="120">
        <f>GN32+GN28+GN23+GN17+GN35+GN38+GN40</f>
        <v>4</v>
      </c>
      <c r="GO41" s="120">
        <f>GO32+GO28+GO23+GO17+GO35+GO38+GO40</f>
        <v>1</v>
      </c>
      <c r="GP41" s="120">
        <f>GP32+GP28+GP23+GP17+GP35+GP38+GP40</f>
        <v>0</v>
      </c>
      <c r="GQ41" s="120">
        <f>GQ32+GQ28+GQ23+GQ17+GQ35+GQ38+GQ40</f>
        <v>0</v>
      </c>
      <c r="GR41" s="120">
        <f>GR32+GR28+GR23+GR17+GR35+GR38+GR40</f>
        <v>2</v>
      </c>
      <c r="GS41" s="120">
        <f>GS32+GS28+GS23+GS17+GS35+GS38+GS40</f>
        <v>1</v>
      </c>
      <c r="GT41" s="120">
        <f>GT32+GT28+GT23+GT17+GT35+GT38+GT40</f>
        <v>0</v>
      </c>
      <c r="GU41" s="120">
        <f>GU32+GU28+GU23+GU17+GU35+GU38+GU40</f>
        <v>0</v>
      </c>
      <c r="GV41" s="120">
        <f>GV32+GV28+GV23+GV17+GV35+GV38+GV40</f>
        <v>0</v>
      </c>
      <c r="GW41" s="120">
        <f>GW32+GW28+GW23+GW17+GW35+GW38+GW40</f>
        <v>2</v>
      </c>
      <c r="GX41" s="120">
        <f>GX32+GX28+GX23+GX17+GX35+GX38+GX40</f>
        <v>0</v>
      </c>
      <c r="GY41" s="120">
        <f>GY32+GY28+GY23+GY17+GY35+GY38+GY40</f>
        <v>0</v>
      </c>
      <c r="GZ41" s="120">
        <f>GZ32+GZ28+GZ23+GZ17+GZ35+GZ38+GZ40</f>
        <v>0</v>
      </c>
      <c r="HA41" s="120">
        <f>HA32+HA28+HA23+HA17+HA35+HA38+HA40</f>
        <v>0</v>
      </c>
      <c r="HB41" s="120">
        <f>HB32+HB28+HB23+HB17+HB35+HB38+HB40</f>
        <v>0</v>
      </c>
      <c r="HC41" s="120">
        <f>HC32+HC28+HC23+HC17+HC35+HC38+HC40</f>
        <v>0</v>
      </c>
      <c r="HD41" s="120">
        <f>HD32+HD28+HD23+HD17+HD35+HD38+HD40</f>
        <v>0</v>
      </c>
      <c r="HE41" s="120">
        <f>HE32+HE28+HE23+HE17+HE35+HE38+HE40</f>
        <v>0</v>
      </c>
      <c r="HF41" s="120">
        <f>HF32+HF28+HF23+HF17+HF35+HF38+HF40</f>
        <v>1</v>
      </c>
      <c r="HG41" s="120">
        <f>HG32+HG28+HG23+HG17+HG35+HG38+HG40</f>
        <v>0</v>
      </c>
      <c r="HH41" s="120">
        <f>HH32+HH28+HH23+HH17+HH35+HH38+HH40</f>
        <v>0</v>
      </c>
      <c r="HI41" s="120">
        <f>HI32+HI28+HI23+HI17+HI35+HI38+HI40</f>
        <v>0</v>
      </c>
      <c r="HJ41" s="120">
        <f>HJ32+HJ28+HJ23+HJ17+HJ35+HJ38+HJ40</f>
        <v>0</v>
      </c>
      <c r="HK41" s="120">
        <f>HK32+HK28+HK23+HK17+HK35+HK38+HK40</f>
        <v>0</v>
      </c>
      <c r="HL41" s="120">
        <f>HL32+HL28+HL23+HL17+HL35+HL38+HL40</f>
        <v>0</v>
      </c>
      <c r="HM41" s="120">
        <f>HM32+HM28+HM23+HM17+HM35+HM38+HM40</f>
        <v>0</v>
      </c>
      <c r="HN41" s="120">
        <f>HN32+HN28+HN23+HN17+HN35+HN38+HN40</f>
        <v>0</v>
      </c>
      <c r="HO41" s="120">
        <f>HO32+HO28+HO23+HO17+HO35+HO38+HO40</f>
        <v>0</v>
      </c>
      <c r="HP41" s="120">
        <f>HP32+HP28+HP23+HP17+HP35+HP38+HP40</f>
        <v>0</v>
      </c>
      <c r="HQ41" s="120">
        <f>HQ32+HQ28+HQ23+HQ17+HQ35+HQ38+HQ40</f>
        <v>0</v>
      </c>
      <c r="HR41" s="120">
        <f>HR32+HR28+HR23+HR17+HR35+HR38+HR40</f>
        <v>0</v>
      </c>
      <c r="HS41" s="120">
        <f>HS32+HS28+HS23+HS17+HS35+HS38+HS40</f>
        <v>0</v>
      </c>
      <c r="HT41" s="120">
        <f>HT32+HT28+HT23+HT17+HT35+HT38+HT40</f>
        <v>0</v>
      </c>
      <c r="HU41" s="120">
        <f>HU32+HU28+HU23+HU17+HU35+HU38+HU40</f>
        <v>0</v>
      </c>
      <c r="HV41" s="120">
        <f>HV32+HV28+HV23+HV17+HV35+HV38+HV40</f>
        <v>0</v>
      </c>
      <c r="HW41" s="120">
        <f>HW32+HW28+HW23+HW17+HW35+HW38+HW40</f>
        <v>0</v>
      </c>
      <c r="HX41" s="120">
        <f>HX32+HX28+HX23+HX17+HX35+HX38+HX40</f>
        <v>0</v>
      </c>
      <c r="HY41" s="120">
        <f>HY32+HY28+HY23+HY17+HY35+HY38+HY40</f>
        <v>0</v>
      </c>
      <c r="HZ41" s="120">
        <f>HZ32+HZ28+HZ23+HZ17+HZ35+HZ38+HZ40</f>
        <v>0</v>
      </c>
      <c r="IA41" s="120">
        <f>IA32+IA28+IA23+IA17+IA35+IA38+IA40</f>
        <v>0</v>
      </c>
      <c r="IB41" s="120">
        <f>IB32+IB28+IB23+IB17+IB35+IB38+IB40</f>
        <v>0</v>
      </c>
      <c r="IC41" s="120">
        <f>IC32+IC28+IC23+IC17+IC35+IC38+IC40</f>
        <v>0</v>
      </c>
      <c r="ID41" s="120">
        <f>ID32+ID28+ID23+ID17+ID35+ID38+ID40</f>
        <v>0</v>
      </c>
      <c r="IE41" s="120">
        <f>IE32+IE28+IE23+IE17+IE35+IE38+IE40</f>
        <v>0</v>
      </c>
      <c r="IF41" s="120">
        <f>IF32+IF28+IF23+IF17+IF35+IF38+IF40</f>
        <v>0</v>
      </c>
      <c r="IG41" s="120">
        <f>IG32+IG28+IG23+IG17+IG35+IG38+IG40</f>
        <v>0</v>
      </c>
      <c r="IH41" s="120">
        <f>IH32+IH28+IH23+IH17+IH35+IH38+IH40</f>
        <v>0</v>
      </c>
      <c r="II41" s="120">
        <f>II32+II28+II23+II17+II35+II38+II40</f>
        <v>0</v>
      </c>
      <c r="IJ41" s="120">
        <f>IJ32+IJ28+IJ23+IJ17+IJ35+IJ38+IJ40</f>
        <v>1</v>
      </c>
      <c r="IK41" s="120">
        <f>IK32+IK28+IK23+IK17+IK35+IK38+IK40</f>
        <v>0</v>
      </c>
      <c r="IL41" s="120">
        <f>IL32+IL28+IL23+IL17+IL35+IL38+IL40</f>
        <v>0</v>
      </c>
      <c r="IM41" s="120">
        <f>IM32+IM28+IM23+IM17+IM35+IM38+IM40</f>
        <v>0</v>
      </c>
      <c r="IN41" s="120">
        <f>IN32+IN28+IN23+IN17+IN35+IN38+IN40</f>
        <v>0</v>
      </c>
      <c r="IO41" s="120">
        <f>IO32+IO28+IO23+IO17+IO35+IO38+IO40</f>
        <v>0</v>
      </c>
      <c r="IP41" s="120">
        <f>IP32+IP28+IP23+IP17+IP35+IP38+IP40</f>
        <v>0</v>
      </c>
      <c r="IQ41" s="120">
        <f>IQ32+IQ28+IQ23+IQ17+IQ35+IQ38+IQ40</f>
        <v>0</v>
      </c>
      <c r="IR41" s="120">
        <f>IR32+IR28+IR23+IR17+IR35+IR38+IR40</f>
        <v>0</v>
      </c>
      <c r="IS41" s="120">
        <f>IS32+IS28+IS23+IS17+IS35+IS38+IS40</f>
        <v>0</v>
      </c>
      <c r="IT41" s="120">
        <f>IT32+IT28+IT23+IT17+IT35+IT38+IT40</f>
        <v>0</v>
      </c>
      <c r="IU41" s="120">
        <f>IU32+IU28+IU23+IU17+IU35+IU38+IU40</f>
        <v>0</v>
      </c>
      <c r="IV41" s="120">
        <f>IV32+IV28+IV23+IV17+IV35+IV38+IV40</f>
        <v>0</v>
      </c>
      <c r="IW41" s="120">
        <f>IW32+IW28+IW23+IW17+IW35+IW38+IW40</f>
        <v>0</v>
      </c>
      <c r="IX41" s="120">
        <f>IX32+IX28+IX23+IX17+IX35+IX38+IX40</f>
        <v>0</v>
      </c>
      <c r="IY41" s="120">
        <f>IY32+IY28+IY23+IY17+IY35+IY38+IY40</f>
        <v>0</v>
      </c>
      <c r="IZ41" s="120">
        <f>IZ32+IZ28+IZ23+IZ17+IZ35+IZ38+IZ40</f>
        <v>0</v>
      </c>
      <c r="JA41" s="120">
        <f>JA32+JA28+JA23+JA17+JA35+JA38+JA40</f>
        <v>0</v>
      </c>
      <c r="JB41" s="120">
        <f>JB32+JB28+JB23+JB17+JB35+JB38+JB40</f>
        <v>0</v>
      </c>
      <c r="JC41" s="120">
        <f>JC32+JC28+JC23+JC17+JC35+JC38+JC40</f>
        <v>0</v>
      </c>
      <c r="JD41" s="120">
        <f>JD32+JD28+JD23+JD17+JD35+JD38+JD40</f>
        <v>0</v>
      </c>
      <c r="JE41" s="120">
        <f>JE32+JE28+JE23+JE17+JE35+JE38+JE40</f>
        <v>0</v>
      </c>
      <c r="JF41" s="120">
        <f>JF32+JF28+JF23+JF17+JF35+JF38+JF40</f>
        <v>0</v>
      </c>
      <c r="JG41" s="120">
        <f>JG32+JG28+JG23+JG17+JG35+JG38+JG40</f>
        <v>0</v>
      </c>
      <c r="JH41" s="120">
        <f>JH32+JH28+JH23+JH17+JH35+JH38+JH40</f>
        <v>0</v>
      </c>
      <c r="JI41" s="120">
        <f>JI32+JI28+JI23+JI17+JI35+JI38+JI40</f>
        <v>0</v>
      </c>
      <c r="JJ41" s="120">
        <f>JJ32+JJ28+JJ23+JJ17+JJ35+JJ38+JJ40</f>
        <v>0</v>
      </c>
      <c r="JK41" s="120">
        <f>JK32+JK28+JK23+JK17+JK35+JK38+JK40</f>
        <v>0</v>
      </c>
      <c r="JL41" s="120">
        <f>JL32+JL28+JL23+JL17+JL35+JL38+JL40</f>
        <v>0</v>
      </c>
      <c r="JM41" s="120">
        <f>JM32+JM28+JM23+JM17+JM35+JM38+JM40</f>
        <v>0</v>
      </c>
      <c r="JN41" s="120">
        <f>JN32+JN28+JN23+JN17+JN35+JN38+JN40</f>
        <v>0</v>
      </c>
      <c r="JO41" s="120">
        <f>JO32+JO28+JO23+JO17+JO35+JO38+JO40</f>
        <v>0</v>
      </c>
      <c r="JP41" s="120">
        <f>JP32+JP28+JP23+JP17+JP35+JP38+JP40</f>
        <v>0</v>
      </c>
      <c r="JQ41" s="120">
        <f>JQ32+JQ28+JQ23+JQ17+JQ35+JQ38+JQ40</f>
        <v>0</v>
      </c>
      <c r="JR41" s="120">
        <f>JR32+JR28+JR23+JR17+JR35+JR38+JR40</f>
        <v>0</v>
      </c>
      <c r="JS41" s="120">
        <f>JS32+JS28+JS23+JS17+JS35+JS38+JS40</f>
        <v>0</v>
      </c>
      <c r="JT41" s="120">
        <f>JT32+JT28+JT23+JT17+JT35+JT38+JT40</f>
        <v>0</v>
      </c>
      <c r="JU41" s="120">
        <f>JU32+JU28+JU23+JU17+JU35+JU38+JU40</f>
        <v>0</v>
      </c>
      <c r="JV41" s="120">
        <f>JV32+JV28+JV23+JV17+JV35+JV38+JV40</f>
        <v>0</v>
      </c>
      <c r="JW41" s="120">
        <f>JW32+JW28+JW23+JW17+JW35+JW38+JW40</f>
        <v>0</v>
      </c>
      <c r="JX41" s="120">
        <f>JX32+JX28+JX23+JX17+JX35+JX38+JX40</f>
        <v>0</v>
      </c>
      <c r="JY41" s="120">
        <f>JY32+JY28+JY23+JY17+JY35+JY38+JY40</f>
        <v>0</v>
      </c>
      <c r="JZ41" s="120">
        <f>JZ32+JZ28+JZ23+JZ17+JZ35+JZ38+JZ40</f>
        <v>0</v>
      </c>
      <c r="KA41" s="120">
        <f>KA32+KA28+KA23+KA17+KA35+KA38+KA40</f>
        <v>0</v>
      </c>
      <c r="KB41" s="120">
        <f>KB32+KB28+KB23+KB17+KB35+KB38+KB40</f>
        <v>0</v>
      </c>
      <c r="KC41" s="120">
        <f>KC32+KC28+KC23+KC17+KC35+KC38+KC40</f>
        <v>0</v>
      </c>
      <c r="KD41" s="120">
        <f>KD32+KD28+KD23+KD17+KD35+KD38+KD40</f>
        <v>0</v>
      </c>
      <c r="KE41" s="120">
        <f>KE32+KE28+KE23+KE17+KE35+KE38+KE40</f>
        <v>0</v>
      </c>
      <c r="KF41" s="120">
        <f>KF32+KF28+KF23+KF17+KF35+KF38+KF40</f>
        <v>0</v>
      </c>
      <c r="KG41" s="120">
        <f>KG32+KG28+KG23+KG17+KG35+KG38+KG40</f>
        <v>0</v>
      </c>
      <c r="KH41" s="120">
        <f>KH32+KH28+KH23+KH17+KH35+KH38+KH40</f>
        <v>0</v>
      </c>
      <c r="KI41" s="120">
        <f>KI32+KI28+KI23+KI17+KI35+KI38+KI40</f>
        <v>0</v>
      </c>
      <c r="KJ41" s="120">
        <f>KJ32+KJ28+KJ23+KJ17+KJ35+KJ38+KJ40</f>
        <v>0</v>
      </c>
      <c r="KK41" s="120">
        <f>KK32+KK28+KK23+KK17+KK35+KK38+KK40</f>
        <v>0</v>
      </c>
      <c r="KL41" s="120">
        <f>KL32+KL28+KL23+KL17+KL35+KL38+KL40</f>
        <v>0</v>
      </c>
      <c r="KM41" s="120">
        <f>KM32+KM28+KM23+KM17+KM35+KM38+KM40</f>
        <v>0</v>
      </c>
      <c r="KN41" s="120">
        <f>KN32+KN28+KN23+KN17+KN35+KN38+KN40</f>
        <v>0</v>
      </c>
      <c r="KO41" s="120">
        <f>KO32+KO28+KO23+KO17+KO35+KO38+KO40</f>
        <v>5</v>
      </c>
      <c r="KP41" s="120">
        <f>KP32+KP28+KP23+KP17+KP35+KP38+KP40</f>
        <v>0</v>
      </c>
      <c r="KQ41" s="120">
        <f>KQ32+KQ28+KQ23+KQ17+KQ35+KQ38+KQ40</f>
        <v>0</v>
      </c>
      <c r="KR41" s="120">
        <f>KR32+KR28+KR23+KR17+KR35+KR38+KR40</f>
        <v>0</v>
      </c>
      <c r="KS41" s="120">
        <f>KS32+KS28+KS23+KS17+KS35+KS38+KS40</f>
        <v>0</v>
      </c>
      <c r="KT41" s="120">
        <f>KT32+KT28+KT23+KT17+KT35+KT38+KT40</f>
        <v>4</v>
      </c>
      <c r="KU41" s="120">
        <f>KU32+KU28+KU23+KU17+KU35+KU38+KU40</f>
        <v>5</v>
      </c>
      <c r="KV41" s="120">
        <f>KV32+KV28+KV23+KV17+KV35+KV38+KV40</f>
        <v>13</v>
      </c>
      <c r="KW41" s="120">
        <f>KW32+KW28+KW23+KW17+KW35+KW38+KW40</f>
        <v>19</v>
      </c>
      <c r="KX41" s="120">
        <f>KX32+KX28+KX23+KX17+KX35+KX38+KX40</f>
        <v>32</v>
      </c>
      <c r="KY41" s="120">
        <f>KY32+KY28+KY23+KY17+KY35+KY38+KY40</f>
        <v>13</v>
      </c>
      <c r="KZ41" s="120">
        <f>KZ32+KZ28+KZ23+KZ17+KZ35+KZ38+KZ40</f>
        <v>19</v>
      </c>
      <c r="LA41" s="120">
        <f>LA32+LA28+LA23+LA17+LA35+LA38+LA40</f>
        <v>0</v>
      </c>
      <c r="LB41" s="120">
        <f>LB32+LB28+LB23+LB17+LB35+LB38+LB40</f>
        <v>0</v>
      </c>
      <c r="LC41" s="120">
        <f>LC32+LC28+LC23+LC17+LC35+LC38+LC40</f>
        <v>0</v>
      </c>
      <c r="LD41" s="120">
        <f>LD32+LD28+LD23+LD17+LD35+LD38+LD40</f>
        <v>0</v>
      </c>
      <c r="LE41" s="120">
        <f>LE32+LE28+LE23+LE17+LE35+LE38+LE40</f>
        <v>0</v>
      </c>
      <c r="LF41" s="120">
        <f>LF32+LF28+LF23+LF17+LF35+LF38+LF40</f>
        <v>0</v>
      </c>
      <c r="LG41" s="120">
        <f>LG32+LG28+LG23+LG17+LG35+LG38+LG40</f>
        <v>0</v>
      </c>
      <c r="LH41" s="120">
        <f>LH32+LH28+LH23+LH17+LH35+LH38+LH40</f>
        <v>0</v>
      </c>
      <c r="LI41" s="120">
        <f>LI32+LI28+LI23+LI17+LI35+LI38+LI40</f>
        <v>0</v>
      </c>
      <c r="LJ41" s="120">
        <f>LJ32+LJ28+LJ23+LJ17+LJ35+LJ38+LJ40</f>
        <v>0</v>
      </c>
      <c r="LK41" s="120">
        <f>LK32+LK28+LK23+LK17+LK35+LK38+LK40</f>
        <v>0</v>
      </c>
      <c r="LL41" s="120">
        <f>LL32+LL28+LL23+LL17+LL35+LL38+LL40</f>
        <v>0</v>
      </c>
      <c r="LM41" s="120">
        <f>LM32+LM28+LM23+LM17+LM35+LM38+LM40</f>
        <v>0</v>
      </c>
      <c r="LN41" s="120">
        <f>LN32+LN28+LN23+LN17+LN35+LN38+LN40</f>
        <v>0</v>
      </c>
      <c r="LO41" s="120">
        <f>LO32+LO28+LO23+LO17+LO35+LO38+LO40</f>
        <v>0</v>
      </c>
      <c r="LP41" s="120">
        <f>LP32+LP28+LP23+LP17+LP35+LP38+LP40</f>
        <v>0</v>
      </c>
      <c r="LQ41" s="120">
        <f>LQ32+LQ28+LQ23+LQ17+LQ35+LQ38+LQ40</f>
        <v>13</v>
      </c>
      <c r="LR41" s="120">
        <f>LR32+LR28+LR23+LR17+LR35+LR38+LR40</f>
        <v>19</v>
      </c>
      <c r="LS41" s="120">
        <f>LS32+LS28+LS23+LS17+LS35+LS38+LS40</f>
        <v>32</v>
      </c>
      <c r="LT41" s="120">
        <f>LT32+LT28+LT23+LT17+LT35+LT38+LT40</f>
        <v>9</v>
      </c>
      <c r="LU41" s="120">
        <f>LU32+LU28+LU23+LU17+LU35+LU38+LU40</f>
        <v>12</v>
      </c>
      <c r="LV41" s="120">
        <f>LV32+LV28+LV23+LV17+LV35+LV38+LV40</f>
        <v>0</v>
      </c>
      <c r="LW41" s="120">
        <f>LW32+LW28+LW23+LW17+LW35+LW38+LW40</f>
        <v>4</v>
      </c>
      <c r="LX41" s="120">
        <f>LX32+LX28+LX23+LX17+LX35+LX38+LX40</f>
        <v>4</v>
      </c>
      <c r="LY41" s="120">
        <f>LY32+LY28+LY23+LY17+LY35+LY38+LY40</f>
        <v>2</v>
      </c>
      <c r="LZ41" s="120">
        <f>LZ32+LZ28+LZ23+LZ17+LZ35+LZ38+LZ40</f>
        <v>0</v>
      </c>
      <c r="MA41" s="120">
        <f>MA32+MA28+MA23+MA17+MA35+MA38+MA40</f>
        <v>1</v>
      </c>
      <c r="MB41" s="120">
        <f>MB32+MB28+MB23+MB17+MB35+MB38+MB40</f>
        <v>13</v>
      </c>
      <c r="MC41" s="120">
        <f>MC32+MC28+MC23+MC17+MC35+MC38+MC40</f>
        <v>19</v>
      </c>
      <c r="MD41" s="120">
        <f>MD32+MD28+MD23+MD17+MD35+MD38+MD40</f>
        <v>32</v>
      </c>
      <c r="ME41" s="120">
        <f>ME32+ME28+ME23+ME17+ME35+ME38+ME40</f>
        <v>10</v>
      </c>
      <c r="MF41" s="120">
        <f>MF32+MF28+MF23+MF17+MF35+MF38+MF40</f>
        <v>9</v>
      </c>
      <c r="MG41" s="120">
        <f>MG32+MG28+MG23+MG17+MG35+MG38+MG40</f>
        <v>2</v>
      </c>
      <c r="MH41" s="120">
        <f>MH32+MH28+MH23+MH17+MH35+MH38+MH40</f>
        <v>8</v>
      </c>
      <c r="MI41" s="120">
        <f>MI32+MI28+MI23+MI17+MI35+MI38+MI40</f>
        <v>0</v>
      </c>
      <c r="MJ41" s="120">
        <f>MJ32+MJ28+MJ23+MJ17+MJ35+MJ38+MJ40</f>
        <v>2</v>
      </c>
      <c r="MK41" s="120">
        <f>MK32+MK28+MK23+MK17+MK35+MK38+MK40</f>
        <v>0</v>
      </c>
      <c r="ML41" s="120">
        <f>ML32+ML28+ML23+ML17+ML35+ML38+ML40</f>
        <v>0</v>
      </c>
      <c r="MM41" s="120">
        <f>MM32+MM28+MM23+MM17+MM35+MM38+MM40</f>
        <v>1</v>
      </c>
      <c r="MN41" s="120">
        <f>MN32+MN28+MN23+MN17+MN35+MN38+MN40</f>
        <v>0</v>
      </c>
      <c r="MO41" s="120">
        <f>MO32+MO28+MO23+MO17+MO35+MO38+MO40</f>
        <v>13</v>
      </c>
      <c r="MP41" s="120">
        <f>MP32+MP28+MP23+MP17+MP35+MP38+MP40</f>
        <v>19</v>
      </c>
      <c r="MQ41" s="120">
        <f>MQ32+MQ28+MQ23+MQ17+MQ35+MQ38+MQ40</f>
        <v>32</v>
      </c>
      <c r="MR41" s="120">
        <f>MR32+MR28+MR23+MR17+MR35+MR38+MR40</f>
        <v>8</v>
      </c>
      <c r="MS41" s="120">
        <f>MS32+MS28+MS23+MS17+MS35+MS38+MS40</f>
        <v>14</v>
      </c>
      <c r="MT41" s="120">
        <f>MT32+MT28+MT23+MT17+MT35+MT38+MT40</f>
        <v>5</v>
      </c>
      <c r="MU41" s="120">
        <f>MU32+MU28+MU23+MU17+MU35+MU38+MU40</f>
        <v>2</v>
      </c>
      <c r="MV41" s="120">
        <f>MV32+MV28+MV23+MV17+MV35+MV38+MV40</f>
        <v>0</v>
      </c>
      <c r="MW41" s="120">
        <f>MW32+MW28+MW23+MW17+MW35+MW38+MW40</f>
        <v>1</v>
      </c>
      <c r="MX41" s="120">
        <f>MX32+MX28+MX23+MX17+MX35+MX38+MX40</f>
        <v>0</v>
      </c>
      <c r="MY41" s="120">
        <f>MY32+MY28+MY23+MY17+MY35+MY38+MY40</f>
        <v>2</v>
      </c>
      <c r="MZ41" s="120">
        <f>MZ32+MZ28+MZ23+MZ17+MZ35+MZ38+MZ40</f>
        <v>13</v>
      </c>
      <c r="NA41" s="120">
        <f>NA32+NA28+NA23+NA17+NA35+NA38+NA40</f>
        <v>19</v>
      </c>
      <c r="NB41" s="120">
        <f>NB32+NB28+NB23+NB17+NB35+NB38+NB40</f>
        <v>32</v>
      </c>
      <c r="NC41" s="120">
        <f>NC32+NC28+NC23+NC17+NC35+NC38+NC40</f>
        <v>0</v>
      </c>
      <c r="ND41" s="120">
        <f>ND32+ND28+ND23+ND17+ND35+ND38+ND40</f>
        <v>0</v>
      </c>
      <c r="NE41" s="120">
        <f>NE32+NE28+NE23+NE17+NE35+NE38+NE40</f>
        <v>0</v>
      </c>
      <c r="NF41" s="120">
        <f>NF32+NF28+NF23+NF17+NF35+NF38+NF40</f>
        <v>0</v>
      </c>
      <c r="NG41" s="120">
        <f>NG32+NG28+NG23+NG17+NG35+NG38+NG40</f>
        <v>0</v>
      </c>
      <c r="NH41" s="120">
        <f>NH32+NH28+NH23+NH17+NH35+NH38+NH40</f>
        <v>0</v>
      </c>
      <c r="NI41" s="120">
        <f>NI32+NI28+NI23+NI17+NI35+NI38+NI40</f>
        <v>1</v>
      </c>
      <c r="NJ41" s="120">
        <f>NJ32+NJ28+NJ23+NJ17+NJ35+NJ38+NJ40</f>
        <v>0</v>
      </c>
      <c r="NK41" s="120">
        <f>NK32+NK28+NK23+NK17+NK35+NK38+NK40</f>
        <v>7</v>
      </c>
      <c r="NL41" s="120">
        <f>NL32+NL28+NL23+NL17+NL35+NL38+NL40</f>
        <v>6</v>
      </c>
      <c r="NM41" s="120">
        <f>NM32+NM28+NM23+NM17+NM35+NM38+NM40</f>
        <v>4</v>
      </c>
      <c r="NN41" s="120">
        <f>NN32+NN28+NN23+NN17+NN35+NN38+NN40</f>
        <v>13</v>
      </c>
      <c r="NO41" s="120">
        <f>NO32+NO28+NO23+NO17+NO35+NO38+NO40</f>
        <v>1</v>
      </c>
      <c r="NP41" s="120">
        <f>NP32+NP28+NP23+NP17+NP35+NP38+NP40</f>
        <v>0</v>
      </c>
      <c r="NQ41" s="120">
        <f>NQ32+NQ28+NQ23+NQ17+NQ35+NQ38+NQ40</f>
        <v>0</v>
      </c>
      <c r="NR41" s="120">
        <f>NR32+NR28+NR23+NR17+NR35+NR38+NR40</f>
        <v>0</v>
      </c>
      <c r="NS41" s="120">
        <f>NS32+NS28+NS23+NS17+NS35+NS38+NS40</f>
        <v>0</v>
      </c>
      <c r="NT41" s="120">
        <f>NT32+NT28+NT23+NT17+NT35+NT38+NT40</f>
        <v>0</v>
      </c>
      <c r="NU41" s="120">
        <f>NU32+NU28+NU23+NU17+NU35+NU38+NU40</f>
        <v>0</v>
      </c>
      <c r="NV41" s="120">
        <f>NV32+NV28+NV23+NV17+NV35+NV38+NV40</f>
        <v>0</v>
      </c>
      <c r="NW41" s="120">
        <f>NW32+NW28+NW23+NW17+NW35+NW38+NW40</f>
        <v>13</v>
      </c>
      <c r="NX41" s="120">
        <f>NX32+NX28+NX23+NX17+NX35+NX38+NX40</f>
        <v>19</v>
      </c>
      <c r="NY41" s="120">
        <f>NY32+NY28+NY23+NY17+NY35+NY38+NY40</f>
        <v>32</v>
      </c>
      <c r="NZ41" s="120">
        <f>NZ32+NZ28+NZ23+NZ17+NZ35+NZ38+NZ40</f>
        <v>0</v>
      </c>
      <c r="OA41" s="120">
        <f>OA32+OA28+OA23+OA17+OA35+OA38+OA40</f>
        <v>0</v>
      </c>
      <c r="OB41" s="120">
        <f>OB32+OB28+OB23+OB17+OB35+OB38+OB40</f>
        <v>0</v>
      </c>
      <c r="OC41" s="120">
        <f>OC32+OC28+OC23+OC17+OC35+OC38+OC40</f>
        <v>0</v>
      </c>
      <c r="OD41" s="120">
        <f>OD32+OD28+OD23+OD17+OD35+OD38+OD40</f>
        <v>0</v>
      </c>
      <c r="OE41" s="120">
        <f>OE32+OE28+OE23+OE17+OE35+OE38+OE40</f>
        <v>0</v>
      </c>
      <c r="OF41" s="120">
        <f>OF32+OF28+OF23+OF17+OF35+OF38+OF40</f>
        <v>0</v>
      </c>
      <c r="OG41" s="120">
        <f>OG32+OG28+OG23+OG17+OG35+OG38+OG40</f>
        <v>0</v>
      </c>
      <c r="OH41" s="120">
        <f>OH32+OH28+OH23+OH17+OH35+OH38+OH40</f>
        <v>0</v>
      </c>
      <c r="OI41" s="120">
        <f>OI32+OI28+OI23+OI17+OI35+OI38+OI40</f>
        <v>0</v>
      </c>
      <c r="OJ41" s="120">
        <f>OJ32+OJ28+OJ23+OJ17+OJ35+OJ38+OJ40</f>
        <v>1</v>
      </c>
      <c r="OK41" s="120">
        <f>OK32+OK28+OK23+OK17+OK35+OK38+OK40</f>
        <v>1</v>
      </c>
      <c r="OL41" s="120">
        <f>OL32+OL28+OL23+OL17+OL35+OL38+OL40</f>
        <v>0</v>
      </c>
      <c r="OM41" s="120">
        <f>OM32+OM28+OM23+OM17+OM35+OM38+OM40</f>
        <v>1</v>
      </c>
      <c r="ON41" s="120">
        <f>ON32+ON28+ON23+ON17+ON35+ON38+ON40</f>
        <v>0</v>
      </c>
      <c r="OO41" s="120">
        <f>OO32+OO28+OO23+OO17+OO35+OO38+OO40</f>
        <v>0</v>
      </c>
      <c r="OP41" s="120">
        <f>OP32+OP28+OP23+OP17+OP35+OP38+OP40</f>
        <v>1</v>
      </c>
      <c r="OQ41" s="120">
        <f>OQ32+OQ28+OQ23+OQ17+OQ35+OQ38+OQ40</f>
        <v>0</v>
      </c>
      <c r="OR41" s="120">
        <f>OR32+OR28+OR23+OR17+OR35+OR38+OR40</f>
        <v>0</v>
      </c>
      <c r="OS41" s="120">
        <f>OS32+OS28+OS23+OS17+OS35+OS38+OS40</f>
        <v>0</v>
      </c>
      <c r="OT41" s="120">
        <f>OT32+OT28+OT23+OT17+OT35+OT38+OT40</f>
        <v>0</v>
      </c>
      <c r="OU41" s="120">
        <f>OU32+OU28+OU23+OU17+OU35+OU38+OU40</f>
        <v>1</v>
      </c>
      <c r="OV41" s="120">
        <f>OV32+OV28+OV23+OV17+OV35+OV38+OV40</f>
        <v>0</v>
      </c>
      <c r="OW41" s="120">
        <f>OW32+OW28+OW23+OW17+OW35+OW38+OW40</f>
        <v>0</v>
      </c>
      <c r="OX41" s="120">
        <f>OX32+OX28+OX23+OX17+OX35+OX38+OX40</f>
        <v>0</v>
      </c>
      <c r="OY41" s="120">
        <f>OY32+OY28+OY23+OY17+OY35+OY38+OY40</f>
        <v>0</v>
      </c>
      <c r="OZ41" s="120">
        <f>OZ32+OZ28+OZ23+OZ17+OZ35+OZ38+OZ40</f>
        <v>1</v>
      </c>
      <c r="PA41" s="120">
        <f>PA32+PA28+PA23+PA17+PA35+PA38+PA40</f>
        <v>0</v>
      </c>
      <c r="PB41" s="120">
        <f>PB32+PB28+PB23+PB17+PB35+PB38+PB40</f>
        <v>0</v>
      </c>
      <c r="PC41" s="120">
        <f>PC32+PC28+PC23+PC17+PC35+PC38+PC40</f>
        <v>1</v>
      </c>
      <c r="PD41" s="120">
        <f>PD32+PD28+PD23+PD17+PD35+PD38+PD40</f>
        <v>0</v>
      </c>
      <c r="PE41" s="120">
        <f>PE32+PE28+PE23+PE17+PE35+PE38+PE40</f>
        <v>0</v>
      </c>
      <c r="PF41" s="120">
        <f>PF32+PF28+PF23+PF17+PF35+PF38+PF40</f>
        <v>0</v>
      </c>
      <c r="PG41" s="120">
        <f>PG32+PG28+PG23+PG17+PG35+PG38+PG40</f>
        <v>0</v>
      </c>
      <c r="PH41" s="120">
        <f>PH32+PH28+PH23+PH17+PH35+PH38+PH40</f>
        <v>0</v>
      </c>
      <c r="PI41" s="120">
        <f>PI32+PI28+PI23+PI17+PI35+PI38+PI40</f>
        <v>1</v>
      </c>
      <c r="PJ41" s="120">
        <f>PJ32+PJ28+PJ23+PJ17+PJ35+PJ38+PJ40</f>
        <v>0</v>
      </c>
      <c r="PK41" s="120">
        <f>PK32+PK28+PK23+PK17+PK35+PK38+PK40</f>
        <v>1</v>
      </c>
      <c r="PL41" s="120">
        <f>PL32+PL28+PL23+PL17+PL35+PL38+PL40</f>
        <v>0</v>
      </c>
      <c r="PM41" s="120">
        <f>PM32+PM28+PM23+PM17+PM35+PM38+PM40</f>
        <v>40</v>
      </c>
      <c r="PN41" s="120">
        <f>PN32+PN28+PN23+PN17+PN35+PN38+PN40</f>
        <v>4</v>
      </c>
      <c r="PO41" s="120">
        <f>PO32+PO28+PO23+PO17+PO35+PO38+PO40</f>
        <v>44</v>
      </c>
      <c r="PP41" s="120">
        <f>PP32+PP28+PP23+PP17+PP35+PP38+PP40</f>
        <v>1</v>
      </c>
      <c r="PQ41" s="120">
        <f>PQ32+PQ28+PQ23+PQ17+PQ35+PQ38+PQ40</f>
        <v>0</v>
      </c>
      <c r="PR41" s="120">
        <f>PR32+PR28+PR23+PR17+PR35+PR38+PR40</f>
        <v>0</v>
      </c>
      <c r="PS41" s="120">
        <f>PS32+PS28+PS23+PS17+PS35+PS38+PS40</f>
        <v>0</v>
      </c>
      <c r="PT41" s="120">
        <f>PT32+PT28+PT23+PT17+PT35+PT38+PT40</f>
        <v>0</v>
      </c>
      <c r="PU41" s="120">
        <f>PU32+PU28+PU23+PU17+PU35+PU38+PU40</f>
        <v>0</v>
      </c>
      <c r="PV41" s="120">
        <f>PV32+PV28+PV23+PV17+PV35+PV38+PV40</f>
        <v>1</v>
      </c>
      <c r="PW41" s="120">
        <f>PW32+PW28+PW23+PW17+PW35+PW38+PW40</f>
        <v>0</v>
      </c>
      <c r="PX41" s="120">
        <f>PX32+PX28+PX23+PX17+PX35+PX38+PX40</f>
        <v>1</v>
      </c>
      <c r="PY41" s="120">
        <f>PY32+PY28+PY23+PY17+PY35+PY38+PY40</f>
        <v>0</v>
      </c>
      <c r="PZ41" s="120">
        <f>PZ32+PZ28+PZ23+PZ17+PZ35+PZ38+PZ40</f>
        <v>1</v>
      </c>
      <c r="QA41" s="120">
        <f>QA32+QA28+QA23+QA17+QA35+QA38+QA40</f>
        <v>0</v>
      </c>
      <c r="QB41" s="120">
        <f>QB32+QB28+QB23+QB17+QB35+QB38+QB40</f>
        <v>1</v>
      </c>
      <c r="QC41" s="120">
        <f>QC32+QC28+QC23+QC17+QC35+QC38+QC40</f>
        <v>0</v>
      </c>
      <c r="QD41" s="120">
        <f>QD32+QD28+QD23+QD17+QD35+QD38+QD40</f>
        <v>1</v>
      </c>
      <c r="QE41" s="120">
        <f>QE32+QE28+QE23+QE17+QE35+QE38+QE40</f>
        <v>0</v>
      </c>
      <c r="QF41" s="120">
        <f>QF32+QF28+QF23+QF17+QF35+QF38+QF40</f>
        <v>0</v>
      </c>
      <c r="QG41" s="120">
        <f>QG32+QG28+QG23+QG17+QG35+QG38+QG40</f>
        <v>0</v>
      </c>
      <c r="QH41" s="120">
        <f>QH32+QH28+QH23+QH17+QH35+QH38+QH40</f>
        <v>0</v>
      </c>
      <c r="QI41" s="120">
        <f>QI32+QI28+QI23+QI17+QI35+QI38+QI40</f>
        <v>1</v>
      </c>
      <c r="QJ41" s="120">
        <f>QJ32+QJ28+QJ23+QJ17+QJ35+QJ38+QJ40</f>
        <v>0</v>
      </c>
      <c r="QK41" s="120">
        <f>QK32+QK28+QK23+QK17+QK35+QK38+QK40</f>
        <v>1</v>
      </c>
      <c r="QL41" s="120">
        <f>QL32+QL28+QL23+QL17+QL35+QL38+QL40</f>
        <v>0</v>
      </c>
      <c r="QM41" s="120">
        <f>QM32+QM28+QM23+QM17+QM35+QM38+QM40</f>
        <v>1</v>
      </c>
      <c r="QN41" s="120">
        <f>QN32+QN28+QN23+QN17+QN35+QN38+QN40</f>
        <v>0</v>
      </c>
      <c r="QO41" s="120">
        <f>QO32+QO28+QO23+QO17+QO35+QO38+QO40</f>
        <v>1</v>
      </c>
      <c r="QP41" s="120">
        <f>QP32+QP28+QP23+QP17+QP35+QP38+QP40</f>
        <v>0</v>
      </c>
      <c r="QQ41" s="120">
        <f>QQ32+QQ28+QQ23+QQ17+QQ35+QQ38+QQ40</f>
        <v>0</v>
      </c>
      <c r="QR41" s="120">
        <f>QR32+QR28+QR23+QR17+QR35+QR38+QR40</f>
        <v>1</v>
      </c>
      <c r="QS41" s="120">
        <f>QS32+QS28+QS23+QS17+QS35+QS38+QS40</f>
        <v>0</v>
      </c>
      <c r="QT41" s="120">
        <f>QT32+QT28+QT23+QT17+QT35+QT38+QT40</f>
        <v>0</v>
      </c>
      <c r="QU41" s="120">
        <f>QU32+QU28+QU23+QU17+QU35+QU38+QU40</f>
        <v>1</v>
      </c>
      <c r="QV41" s="120">
        <f>QV32+QV28+QV23+QV17+QV35+QV38+QV40</f>
        <v>0</v>
      </c>
      <c r="QW41" s="120">
        <f>QW32+QW28+QW23+QW17+QW35+QW38+QW40</f>
        <v>0</v>
      </c>
      <c r="QX41" s="120">
        <f>QX32+QX28+QX23+QX17+QX35+QX38+QX40</f>
        <v>0</v>
      </c>
      <c r="QY41" s="120">
        <f>QY32+QY28+QY23+QY17+QY35+QY38+QY40</f>
        <v>0</v>
      </c>
      <c r="QZ41" s="120">
        <f>QZ32+QZ28+QZ23+QZ17+QZ35+QZ38+QZ40</f>
        <v>1</v>
      </c>
      <c r="RA41" s="120">
        <f>RA32+RA28+RA23+RA17+RA35+RA38+RA40</f>
        <v>0</v>
      </c>
      <c r="RB41" s="120">
        <f>RB32+RB28+RB23+RB17+RB35+RB38+RB40</f>
        <v>1</v>
      </c>
      <c r="RC41" s="120">
        <f>RC32+RC28+RC23+RC17+RC35+RC38+RC40</f>
        <v>0</v>
      </c>
      <c r="RD41" s="120">
        <f>RD32+RD28+RD23+RD17+RD35+RD38+RD40</f>
        <v>1</v>
      </c>
      <c r="RE41" s="120">
        <f>RE32+RE28+RE23+RE17+RE35+RE38+RE40</f>
        <v>0</v>
      </c>
      <c r="RF41" s="120">
        <f>RF32+RF28+RF23+RF17+RF35+RF38+RF40</f>
        <v>1</v>
      </c>
      <c r="RG41" s="120">
        <f>RG32+RG28+RG23+RG17+RG35+RG38+RG40</f>
        <v>0</v>
      </c>
      <c r="RH41" s="120">
        <f>RH32+RH28+RH23+RH17+RH35+RH38+RH40</f>
        <v>0</v>
      </c>
      <c r="RI41" s="120">
        <f>RI32+RI28+RI23+RI17+RI35+RI38+RI40</f>
        <v>0</v>
      </c>
      <c r="RJ41" s="120">
        <f>RJ32+RJ28+RJ23+RJ17+RJ35+RJ38+RJ40</f>
        <v>0</v>
      </c>
      <c r="RK41" s="120">
        <f>RK32+RK28+RK23+RK17+RK35+RK38+RK40</f>
        <v>1</v>
      </c>
      <c r="RL41" s="120">
        <f>RL32+RL28+RL23+RL17+RL35+RL38+RL40</f>
        <v>1</v>
      </c>
      <c r="RM41" s="120">
        <f>RM32+RM28+RM23+RM17+RM35+RM38+RM40</f>
        <v>0</v>
      </c>
      <c r="RN41" s="120">
        <f>RN32+RN28+RN23+RN17+RN35+RN38+RN40</f>
        <v>0</v>
      </c>
      <c r="RO41" s="120">
        <f>RO32+RO28+RO23+RO17+RO35+RO38+RO40</f>
        <v>0</v>
      </c>
      <c r="RP41" s="120">
        <f>RP32+RP28+RP23+RP17+RP35+RP38+RP40</f>
        <v>0</v>
      </c>
      <c r="RQ41" s="120">
        <f>RQ32+RQ28+RQ23+RQ17+RQ35+RQ38+RQ40</f>
        <v>0</v>
      </c>
      <c r="RR41" s="120">
        <f>RR32+RR28+RR23+RR17+RR35+RR38+RR40</f>
        <v>0</v>
      </c>
      <c r="RS41" s="120">
        <f>RS32+RS28+RS23+RS17+RS35+RS38+RS40</f>
        <v>0</v>
      </c>
      <c r="RT41" s="120">
        <f>RT32+RT28+RT23+RT17+RT35+RT38+RT40</f>
        <v>0</v>
      </c>
      <c r="RU41" s="120">
        <f>RU32+RU28+RU23+RU17+RU35+RU38+RU40</f>
        <v>50</v>
      </c>
      <c r="RV41" s="120">
        <f>RV32+RV28+RV23+RV17+RV35+RV38+RV40</f>
        <v>0</v>
      </c>
      <c r="RW41" s="120">
        <f>RW32+RW28+RW23+RW17+RW35+RW38+RW40</f>
        <v>3</v>
      </c>
      <c r="RX41" s="120">
        <f>RX32+RX28+RX23+RX17+RX35+RX38+RX40</f>
        <v>0</v>
      </c>
      <c r="RY41" s="120">
        <f>RY32+RY28+RY23+RY17+RY35+RY38+RY40</f>
        <v>3</v>
      </c>
      <c r="RZ41" s="120">
        <f>RZ32+RZ28+RZ23+RZ17+RZ35+RZ38+RZ40</f>
        <v>0</v>
      </c>
      <c r="SA41" s="120">
        <f>SA32+SA28+SA23+SA17+SA35+SA38+SA40</f>
        <v>0</v>
      </c>
      <c r="SB41" s="120">
        <f>SB32+SB28+SB23+SB17+SB35+SB38+SB40</f>
        <v>1</v>
      </c>
      <c r="SC41" s="120">
        <f>SC32+SC28+SC23+SC17+SC35+SC38+SC40</f>
        <v>0</v>
      </c>
      <c r="SD41" s="120">
        <f>SD32+SD28+SD23+SD17+SD35+SD38+SD40</f>
        <v>0</v>
      </c>
      <c r="SE41" s="120">
        <f>SE32+SE28+SE23+SE17+SE35+SE38+SE40</f>
        <v>0</v>
      </c>
      <c r="SF41" s="120">
        <f>SF32+SF28+SF23+SF17+SF35+SF38+SF40</f>
        <v>0</v>
      </c>
      <c r="SG41" s="120">
        <f>SG32+SG28+SG23+SG17+SG35+SG38+SG40</f>
        <v>0</v>
      </c>
      <c r="SH41" s="120">
        <f>SH32+SH28+SH23+SH17+SH35+SH38+SH40</f>
        <v>0</v>
      </c>
      <c r="SI41" s="120">
        <f>SI32+SI28+SI23+SI17+SI35+SI38+SI40</f>
        <v>0</v>
      </c>
      <c r="SJ41" s="120">
        <f>SJ32+SJ28+SJ23+SJ17+SJ35+SJ38+SJ40</f>
        <v>0</v>
      </c>
      <c r="SK41" s="120">
        <f>SK32+SK28+SK23+SK17+SK35+SK38+SK40</f>
        <v>0</v>
      </c>
      <c r="SL41" s="120">
        <f>SL32+SL28+SL23+SL17+SL35+SL38+SL40</f>
        <v>0</v>
      </c>
      <c r="SM41" s="120">
        <f>SM32+SM28+SM23+SM17+SM35+SM38+SM40</f>
        <v>0</v>
      </c>
      <c r="SN41" s="120">
        <f>SN32+SN28+SN23+SN17+SN35+SN38+SN40</f>
        <v>0</v>
      </c>
      <c r="SO41" s="120">
        <f>SO32+SO28+SO23+SO17+SO35+SO38+SO40</f>
        <v>2</v>
      </c>
      <c r="SP41" s="120">
        <f>SP32+SP28+SP23+SP17+SP35+SP38+SP40</f>
        <v>2</v>
      </c>
      <c r="SQ41" s="120"/>
      <c r="SR41" s="120"/>
      <c r="SS41" s="179"/>
    </row>
    <row r="43" spans="1:513" s="123" customFormat="1" ht="20.25" customHeight="1">
      <c r="A43" s="218" t="s">
        <v>446</v>
      </c>
      <c r="B43" s="219"/>
      <c r="C43" s="219"/>
      <c r="D43" s="219"/>
      <c r="E43" s="220"/>
      <c r="F43" s="122">
        <f>SUM(F33:F34)+F31+F23+F9+F38+F26+F40</f>
        <v>0</v>
      </c>
      <c r="G43" s="122">
        <f>SUM(G33:G34)+G31+G23+G9+G38+G26+G40</f>
        <v>0</v>
      </c>
      <c r="H43" s="122">
        <f>SUM(H33:H34)+H31+H23+H9+H38+H26+H40</f>
        <v>1</v>
      </c>
      <c r="I43" s="122">
        <f>SUM(I33:I34)+I31+I23+I9+I38+I26+I40</f>
        <v>1</v>
      </c>
      <c r="J43" s="122">
        <f>SUM(J33:J34)+J31+J23+J9+J38+J26+J40</f>
        <v>0</v>
      </c>
      <c r="K43" s="122">
        <f>SUM(K33:K34)+K31+K23+K9+K38+K26+K40</f>
        <v>1</v>
      </c>
      <c r="L43" s="122">
        <f>SUM(L33:L34)+L31+L23+L9+L38+L26+L40</f>
        <v>0</v>
      </c>
      <c r="M43" s="122">
        <f>SUM(M33:M34)+M31+M23+M9+M38+M26+M40</f>
        <v>0</v>
      </c>
      <c r="N43" s="122">
        <f>SUM(N33:N34)+N31+N23+N9+N38+N26+N40</f>
        <v>0</v>
      </c>
      <c r="O43" s="122">
        <f>SUM(O33:O34)+O31+O23+O9+O38+O26+O40</f>
        <v>1</v>
      </c>
      <c r="P43" s="122">
        <f>SUM(P33:P34)+P31+P23+P9+P38+P26+P40</f>
        <v>0</v>
      </c>
      <c r="Q43" s="122">
        <f>SUM(Q33:Q34)+Q31+Q23+Q9+Q38+Q26+Q40</f>
        <v>1</v>
      </c>
      <c r="R43" s="122">
        <f>SUM(R33:R34)+R31+R23+R9+R38+R26+R40</f>
        <v>0</v>
      </c>
      <c r="S43" s="122">
        <f>SUM(S33:S34)+S31+S23+S9+S38+S26+S40</f>
        <v>0</v>
      </c>
      <c r="T43" s="122">
        <f>SUM(T33:T34)+T31+T23+T9+T38+T26+T40</f>
        <v>0</v>
      </c>
      <c r="U43" s="122">
        <f>SUM(U33:U34)+U31+U23+U9+U38+U26+U40</f>
        <v>1</v>
      </c>
      <c r="V43" s="122">
        <f>SUM(V33:V34)+V31+V23+V9+V38+V26+V40</f>
        <v>167</v>
      </c>
      <c r="W43" s="122">
        <f>SUM(W33:W34)+W31+W23+W9+W38+W26+W40</f>
        <v>23</v>
      </c>
      <c r="X43" s="122">
        <f>SUM(X33:X34)+X31+X23+X9+X38+X26+X40</f>
        <v>159</v>
      </c>
      <c r="Y43" s="122">
        <f>SUM(Y33:Y34)+Y31+Y23+Y9+Y38+Y26+Y40</f>
        <v>35</v>
      </c>
      <c r="Z43" s="122">
        <f>SUM(Z33:Z34)+Z31+Z23+Z9+Z38+Z26+Z40</f>
        <v>145</v>
      </c>
      <c r="AA43" s="122">
        <f>SUM(AA33:AA34)+AA31+AA23+AA9+AA38+AA26+AA40</f>
        <v>27</v>
      </c>
      <c r="AB43" s="122">
        <f>SUM(AB33:AB34)+AB31+AB23+AB9+AB38+AB26+AB40</f>
        <v>129</v>
      </c>
      <c r="AC43" s="122">
        <f>SUM(AC33:AC34)+AC31+AC23+AC9+AC38+AC26+AC40</f>
        <v>15</v>
      </c>
      <c r="AD43" s="122">
        <f>SUM(AD33:AD34)+AD31+AD23+AD9+AD38+AD26+AD40</f>
        <v>38</v>
      </c>
      <c r="AE43" s="122">
        <f>SUM(AE33:AE34)+AE31+AE23+AE9+AE38+AE26+AE40</f>
        <v>0</v>
      </c>
      <c r="AF43" s="122">
        <f>SUM(AF33:AF34)+AF31+AF23+AF9+AF38+AF26+AF40</f>
        <v>638</v>
      </c>
      <c r="AG43" s="122">
        <f>SUM(AG33:AG34)+AG31+AG23+AG9+AG38+AG26+AG40</f>
        <v>100</v>
      </c>
      <c r="AH43" s="122">
        <f>SUM(AH33:AH34)+AH31+AH23+AH9+AH38+AH26+AH40</f>
        <v>738</v>
      </c>
      <c r="AI43" s="122">
        <f>SUM(AI33:AI34)+AI31+AI23+AI9+AI38+AI26+AI40</f>
        <v>167</v>
      </c>
      <c r="AJ43" s="122">
        <f>SUM(AJ33:AJ34)+AJ31+AJ23+AJ9+AJ38+AJ26+AJ40</f>
        <v>23</v>
      </c>
      <c r="AK43" s="122">
        <f>SUM(AK33:AK34)+AK31+AK23+AK9+AK38+AK26+AK40</f>
        <v>159</v>
      </c>
      <c r="AL43" s="122">
        <f>SUM(AL33:AL34)+AL31+AL23+AL9+AL38+AL26+AL40</f>
        <v>35</v>
      </c>
      <c r="AM43" s="122">
        <f>SUM(AM33:AM34)+AM31+AM23+AM9+AM38+AM26+AM40</f>
        <v>145</v>
      </c>
      <c r="AN43" s="122">
        <f>SUM(AN33:AN34)+AN31+AN23+AN9+AN38+AN26+AN40</f>
        <v>27</v>
      </c>
      <c r="AO43" s="122">
        <f>SUM(AO33:AO34)+AO31+AO23+AO9+AO38+AO26+AO40</f>
        <v>129</v>
      </c>
      <c r="AP43" s="122">
        <f>SUM(AP33:AP34)+AP31+AP23+AP9+AP38+AP26+AP40</f>
        <v>15</v>
      </c>
      <c r="AQ43" s="122">
        <f>SUM(AQ33:AQ34)+AQ31+AQ23+AQ9+AQ38+AQ26+AQ40</f>
        <v>38</v>
      </c>
      <c r="AR43" s="122">
        <f>SUM(AR33:AR34)+AR31+AR23+AR9+AR38+AR26+AR40</f>
        <v>0</v>
      </c>
      <c r="AS43" s="122">
        <f>SUM(AS33:AS34)+AS31+AS23+AS9+AS38+AS26+AS40</f>
        <v>638</v>
      </c>
      <c r="AT43" s="122">
        <f>SUM(AT33:AT34)+AT31+AT23+AT9+AT38+AT26+AT40</f>
        <v>100</v>
      </c>
      <c r="AU43" s="122">
        <f>SUM(AU33:AU34)+AU31+AU23+AU9+AU38+AU26+AU40</f>
        <v>738</v>
      </c>
      <c r="AV43" s="122">
        <f>SUM(AV33:AV34)+AV31+AV23+AV9+AV38+AV26+AV40</f>
        <v>9</v>
      </c>
      <c r="AW43" s="122">
        <f>SUM(AW33:AW34)+AW31+AW23+AW9+AW38+AW26+AW40</f>
        <v>0</v>
      </c>
      <c r="AX43" s="122">
        <f>SUM(AX33:AX34)+AX31+AX23+AX9+AX38+AX26+AX40</f>
        <v>3</v>
      </c>
      <c r="AY43" s="122">
        <f>SUM(AY33:AY34)+AY31+AY23+AY9+AY38+AY26+AY40</f>
        <v>0</v>
      </c>
      <c r="AZ43" s="122">
        <f>SUM(AZ33:AZ34)+AZ31+AZ23+AZ9+AZ38+AZ26+AZ40</f>
        <v>0</v>
      </c>
      <c r="BA43" s="122">
        <f>SUM(BA33:BA34)+BA31+BA23+BA9+BA38+BA26+BA40</f>
        <v>0</v>
      </c>
      <c r="BB43" s="122">
        <f>SUM(BB33:BB34)+BB31+BB23+BB9+BB38+BB26+BB40</f>
        <v>0</v>
      </c>
      <c r="BC43" s="122">
        <f>SUM(BC33:BC34)+BC31+BC23+BC9+BC38+BC26+BC40</f>
        <v>0</v>
      </c>
      <c r="BD43" s="122">
        <f>SUM(BD33:BD34)+BD31+BD23+BD9+BD38+BD26+BD40</f>
        <v>0</v>
      </c>
      <c r="BE43" s="122">
        <f>SUM(BE33:BE34)+BE31+BE23+BE9+BE38+BE26+BE40</f>
        <v>0</v>
      </c>
      <c r="BF43" s="122">
        <f>SUM(BF33:BF34)+BF31+BF23+BF9+BF38+BF26+BF40</f>
        <v>12</v>
      </c>
      <c r="BG43" s="122">
        <f>SUM(BG33:BG34)+BG31+BG23+BG9+BG38+BG26+BG40</f>
        <v>0</v>
      </c>
      <c r="BH43" s="122">
        <f>SUM(BH33:BH34)+BH31+BH23+BH9+BH38+BH26+BH40</f>
        <v>12</v>
      </c>
      <c r="BI43" s="122">
        <f>SUM(BI33:BI34)+BI31+BI23+BI9+BI38+BI26+BI40</f>
        <v>10</v>
      </c>
      <c r="BJ43" s="122">
        <f>SUM(BJ33:BJ34)+BJ31+BJ23+BJ9+BJ38+BJ26+BJ40</f>
        <v>0</v>
      </c>
      <c r="BK43" s="122">
        <f>SUM(BK33:BK34)+BK31+BK23+BK9+BK38+BK26+BK40</f>
        <v>10</v>
      </c>
      <c r="BL43" s="122">
        <f>SUM(BL33:BL34)+BL31+BL23+BL9+BL38+BL26+BL40</f>
        <v>0</v>
      </c>
      <c r="BM43" s="122">
        <f>SUM(BM33:BM34)+BM31+BM23+BM9+BM38+BM26+BM40</f>
        <v>0</v>
      </c>
      <c r="BN43" s="122">
        <f>SUM(BN33:BN34)+BN31+BN23+BN9+BN38+BN26+BN40</f>
        <v>0</v>
      </c>
      <c r="BO43" s="122">
        <f>SUM(BO33:BO34)+BO31+BO23+BO9+BO38+BO26+BO40</f>
        <v>0</v>
      </c>
      <c r="BP43" s="122">
        <f>SUM(BP33:BP34)+BP31+BP23+BP9+BP38+BP26+BP40</f>
        <v>0</v>
      </c>
      <c r="BQ43" s="122">
        <f>SUM(BQ33:BQ34)+BQ31+BQ23+BQ9+BQ38+BQ26+BQ40</f>
        <v>0</v>
      </c>
      <c r="BR43" s="122">
        <f>SUM(BR33:BR34)+BR31+BR23+BR9+BR38+BR26+BR40</f>
        <v>0</v>
      </c>
      <c r="BS43" s="122">
        <f>SUM(BS33:BS34)+BS31+BS23+BS9+BS38+BS26+BS40</f>
        <v>20</v>
      </c>
      <c r="BT43" s="122">
        <f>SUM(BT33:BT34)+BT31+BT23+BT9+BT38+BT26+BT40</f>
        <v>0</v>
      </c>
      <c r="BU43" s="122">
        <f>SUM(BU33:BU34)+BU31+BU23+BU9+BU38+BU26+BU40</f>
        <v>20</v>
      </c>
      <c r="BV43" s="122">
        <f>SUM(BV33:BV34)+BV31+BV23+BV9+BV38+BV26+BV40</f>
        <v>167</v>
      </c>
      <c r="BW43" s="122">
        <f>SUM(BW33:BW34)+BW31+BW23+BW9+BW38+BW26+BW40</f>
        <v>23</v>
      </c>
      <c r="BX43" s="122">
        <f>SUM(BX33:BX34)+BX31+BX23+BX9+BX38+BX26+BX40</f>
        <v>168</v>
      </c>
      <c r="BY43" s="122">
        <f>SUM(BY33:BY34)+BY31+BY23+BY9+BY38+BY26+BY40</f>
        <v>35</v>
      </c>
      <c r="BZ43" s="122">
        <f>SUM(BZ33:BZ34)+BZ31+BZ23+BZ9+BZ38+BZ26+BZ40</f>
        <v>158</v>
      </c>
      <c r="CA43" s="122">
        <f>SUM(CA33:CA34)+CA31+CA23+CA9+CA38+CA26+CA40</f>
        <v>27</v>
      </c>
      <c r="CB43" s="122">
        <f>SUM(CB33:CB34)+CB31+CB23+CB9+CB38+CB26+CB40</f>
        <v>139</v>
      </c>
      <c r="CC43" s="122">
        <f>SUM(CC33:CC34)+CC31+CC23+CC9+CC38+CC26+CC40</f>
        <v>15</v>
      </c>
      <c r="CD43" s="122">
        <f>SUM(CD33:CD34)+CD31+CD23+CD9+CD38+CD26+CD40</f>
        <v>38</v>
      </c>
      <c r="CE43" s="122">
        <f>SUM(CE33:CE34)+CE31+CE23+CE9+CE38+CE26+CE40</f>
        <v>0</v>
      </c>
      <c r="CF43" s="122">
        <f>SUM(CF33:CF34)+CF31+CF23+CF9+CF38+CF26+CF40</f>
        <v>0</v>
      </c>
      <c r="CG43" s="122">
        <f>SUM(CG33:CG34)+CG31+CG23+CG9+CG38+CG26+CG40</f>
        <v>0</v>
      </c>
      <c r="CH43" s="122">
        <f>SUM(CH33:CH34)+CH31+CH23+CH9+CH38+CH26+CH40</f>
        <v>0</v>
      </c>
      <c r="CI43" s="122">
        <f>SUM(CI33:CI34)+CI31+CI23+CI9+CI38+CI26+CI40</f>
        <v>0</v>
      </c>
      <c r="CJ43" s="122">
        <f>SUM(CJ33:CJ34)+CJ31+CJ23+CJ9+CJ38+CJ26+CJ40</f>
        <v>670</v>
      </c>
      <c r="CK43" s="122">
        <f>SUM(CK33:CK34)+CK31+CK23+CK9+CK38+CK26+CK40</f>
        <v>100</v>
      </c>
      <c r="CL43" s="122">
        <f>SUM(CL33:CL34)+CL31+CL23+CL9+CL38+CL26+CL40</f>
        <v>770</v>
      </c>
      <c r="CM43" s="122">
        <f>SUM(CM33:CM34)+CM31+CM23+CM9+CM38+CM26+CM40</f>
        <v>23</v>
      </c>
      <c r="CN43" s="122">
        <f>SUM(CN33:CN34)+CN31+CN23+CN9+CN38+CN26+CN40</f>
        <v>5</v>
      </c>
      <c r="CO43" s="122">
        <f>SUM(CO33:CO34)+CO31+CO23+CO9+CO38+CO26+CO40</f>
        <v>0</v>
      </c>
      <c r="CP43" s="122">
        <f>SUM(CP33:CP34)+CP31+CP23+CP9+CP38+CP26+CP40</f>
        <v>2</v>
      </c>
      <c r="CQ43" s="122">
        <f>SUM(CQ33:CQ34)+CQ31+CQ23+CQ9+CQ38+CQ26+CQ40</f>
        <v>0</v>
      </c>
      <c r="CR43" s="122">
        <f>SUM(CR33:CR34)+CR31+CR23+CR9+CR38+CR26+CR40</f>
        <v>0</v>
      </c>
      <c r="CS43" s="122">
        <f>SUM(CS33:CS34)+CS31+CS23+CS9+CS38+CS26+CS40</f>
        <v>2</v>
      </c>
      <c r="CT43" s="122">
        <f>SUM(CT33:CT34)+CT31+CT23+CT9+CT38+CT26+CT40</f>
        <v>0</v>
      </c>
      <c r="CU43" s="122">
        <f>SUM(CU33:CU34)+CU31+CU23+CU9+CU38+CU26+CU40</f>
        <v>0</v>
      </c>
      <c r="CV43" s="122">
        <f>SUM(CV33:CV34)+CV31+CV23+CV9+CV38+CV26+CV40</f>
        <v>27</v>
      </c>
      <c r="CW43" s="122">
        <f>SUM(CW33:CW34)+CW31+CW23+CW9+CW38+CW26+CW40</f>
        <v>5</v>
      </c>
      <c r="CX43" s="122">
        <f>SUM(CX33:CX34)+CX31+CX23+CX9+CX38+CX26+CX40</f>
        <v>0</v>
      </c>
      <c r="CY43" s="122">
        <f>SUM(CY33:CY34)+CY31+CY23+CY9+CY38+CY26+CY40</f>
        <v>32</v>
      </c>
      <c r="CZ43" s="122">
        <f>SUM(CZ33:CZ34)+CZ31+CZ23+CZ9+CZ38+CZ26+CZ40</f>
        <v>0</v>
      </c>
      <c r="DA43" s="122">
        <f>SUM(DA33:DA34)+DA31+DA23+DA9+DA38+DA26+DA40</f>
        <v>0</v>
      </c>
      <c r="DB43" s="122">
        <f>SUM(DB33:DB34)+DB31+DB23+DB9+DB38+DB26+DB40</f>
        <v>0</v>
      </c>
      <c r="DC43" s="122">
        <f>SUM(DC33:DC34)+DC31+DC23+DC9+DC38+DC26+DC40</f>
        <v>0</v>
      </c>
      <c r="DD43" s="122">
        <f>SUM(DD33:DD34)+DD31+DD23+DD9+DD38+DD26+DD40</f>
        <v>0</v>
      </c>
      <c r="DE43" s="122">
        <f>SUM(DE33:DE34)+DE31+DE23+DE9+DE38+DE26+DE40</f>
        <v>0</v>
      </c>
      <c r="DF43" s="122">
        <f>SUM(DF33:DF34)+DF31+DF23+DF9+DF38+DF26+DF40</f>
        <v>0</v>
      </c>
      <c r="DG43" s="122">
        <f>SUM(DG33:DG34)+DG31+DG23+DG9+DG38+DG26+DG40</f>
        <v>0</v>
      </c>
      <c r="DH43" s="122">
        <f>SUM(DH33:DH34)+DH31+DH23+DH9+DH38+DH26+DH40</f>
        <v>0</v>
      </c>
      <c r="DI43" s="122">
        <f>SUM(DI33:DI34)+DI31+DI23+DI9+DI38+DI26+DI40</f>
        <v>0</v>
      </c>
      <c r="DJ43" s="122">
        <f>SUM(DJ33:DJ34)+DJ31+DJ23+DJ9+DJ38+DJ26+DJ40</f>
        <v>0</v>
      </c>
      <c r="DK43" s="122">
        <f>SUM(DK33:DK34)+DK31+DK23+DK9+DK38+DK26+DK40</f>
        <v>0</v>
      </c>
      <c r="DL43" s="122">
        <f>SUM(DL33:DL34)+DL31+DL23+DL9+DL38+DL26+DL40</f>
        <v>0</v>
      </c>
      <c r="DM43" s="122">
        <f>SUM(DM33:DM34)+DM31+DM23+DM9+DM38+DM26+DM40</f>
        <v>0</v>
      </c>
      <c r="DN43" s="122">
        <f>SUM(DN33:DN34)+DN31+DN23+DN9+DN38+DN26+DN40</f>
        <v>0</v>
      </c>
      <c r="DO43" s="122">
        <f>SUM(DO33:DO34)+DO31+DO23+DO9+DO38+DO26+DO40</f>
        <v>0</v>
      </c>
      <c r="DP43" s="122">
        <f>SUM(DP33:DP34)+DP31+DP23+DP9+DP38+DP26+DP40</f>
        <v>0</v>
      </c>
      <c r="DQ43" s="122">
        <f>SUM(DQ33:DQ34)+DQ31+DQ23+DQ9+DQ38+DQ26+DQ40</f>
        <v>0</v>
      </c>
      <c r="DR43" s="122">
        <f>SUM(DR33:DR34)+DR31+DR23+DR9+DR38+DR26+DR40</f>
        <v>0</v>
      </c>
      <c r="DS43" s="122">
        <f>SUM(DS33:DS34)+DS31+DS23+DS9+DS38+DS26+DS40</f>
        <v>0</v>
      </c>
      <c r="DT43" s="122">
        <f>SUM(DT33:DT34)+DT31+DT23+DT9+DT38+DT26+DT40</f>
        <v>0</v>
      </c>
      <c r="DU43" s="122">
        <f>SUM(DU33:DU34)+DU31+DU23+DU9+DU38+DU26+DU40</f>
        <v>0</v>
      </c>
      <c r="DV43" s="122">
        <f>SUM(DV33:DV34)+DV31+DV23+DV9+DV38+DV26+DV40</f>
        <v>0</v>
      </c>
      <c r="DW43" s="122">
        <f>SUM(DW33:DW34)+DW31+DW23+DW9+DW38+DW26+DW40</f>
        <v>0</v>
      </c>
      <c r="DX43" s="122">
        <f>SUM(DX33:DX34)+DX31+DX23+DX9+DX38+DX26+DX40</f>
        <v>0</v>
      </c>
      <c r="DY43" s="122">
        <f>SUM(DY33:DY34)+DY31+DY23+DY9+DY38+DY26+DY40</f>
        <v>0</v>
      </c>
      <c r="DZ43" s="122">
        <f>SUM(DZ33:DZ34)+DZ31+DZ23+DZ9+DZ38+DZ26+DZ40</f>
        <v>0</v>
      </c>
      <c r="EA43" s="122">
        <f>SUM(EA33:EA34)+EA31+EA23+EA9+EA38+EA26+EA40</f>
        <v>0</v>
      </c>
      <c r="EB43" s="122">
        <f>SUM(EB33:EB34)+EB31+EB23+EB9+EB38+EB26+EB40</f>
        <v>0</v>
      </c>
      <c r="EC43" s="122">
        <f>SUM(EC33:EC34)+EC31+EC23+EC9+EC38+EC26+EC40</f>
        <v>0</v>
      </c>
      <c r="ED43" s="122">
        <f>SUM(ED33:ED34)+ED31+ED23+ED9+ED38+ED26+ED40</f>
        <v>0</v>
      </c>
      <c r="EE43" s="122">
        <f>SUM(EE33:EE34)+EE31+EE23+EE9+EE38+EE26+EE40</f>
        <v>0</v>
      </c>
      <c r="EF43" s="122">
        <f>SUM(EF33:EF34)+EF31+EF23+EF9+EF38+EF26+EF40</f>
        <v>0</v>
      </c>
      <c r="EG43" s="122">
        <f>SUM(EG33:EG34)+EG31+EG23+EG9+EG38+EG26+EG40</f>
        <v>0</v>
      </c>
      <c r="EH43" s="122">
        <f>SUM(EH33:EH34)+EH31+EH23+EH9+EH38+EH26+EH40</f>
        <v>0</v>
      </c>
      <c r="EI43" s="122">
        <f>SUM(EI33:EI34)+EI31+EI23+EI9+EI38+EI26+EI40</f>
        <v>0</v>
      </c>
      <c r="EJ43" s="122">
        <f>SUM(EJ33:EJ34)+EJ31+EJ23+EJ9+EJ38+EJ26+EJ40</f>
        <v>0</v>
      </c>
      <c r="EK43" s="122">
        <f>SUM(EK33:EK34)+EK31+EK23+EK9+EK38+EK26+EK40</f>
        <v>0</v>
      </c>
      <c r="EL43" s="122">
        <f>SUM(EL33:EL34)+EL31+EL23+EL9+EL38+EL26+EL40</f>
        <v>0</v>
      </c>
      <c r="EM43" s="122">
        <f>SUM(EM33:EM34)+EM31+EM23+EM9+EM38+EM26+EM40</f>
        <v>0</v>
      </c>
      <c r="EN43" s="122">
        <f>SUM(EN33:EN34)+EN31+EN23+EN9+EN38+EN26+EN40</f>
        <v>0</v>
      </c>
      <c r="EO43" s="122">
        <f>SUM(EO33:EO34)+EO31+EO23+EO9+EO38+EO26+EO40</f>
        <v>0</v>
      </c>
      <c r="EP43" s="122">
        <f>SUM(EP33:EP34)+EP31+EP23+EP9+EP38+EP26+EP40</f>
        <v>0</v>
      </c>
      <c r="EQ43" s="122">
        <f>SUM(EQ33:EQ34)+EQ31+EQ23+EQ9+EQ38+EQ26+EQ40</f>
        <v>0</v>
      </c>
      <c r="ER43" s="122">
        <f>SUM(ER33:ER34)+ER31+ER23+ER9+ER38+ER26+ER40</f>
        <v>0</v>
      </c>
      <c r="ES43" s="122">
        <f>SUM(ES33:ES34)+ES31+ES23+ES9+ES38+ES26+ES40</f>
        <v>0</v>
      </c>
      <c r="ET43" s="122">
        <f>SUM(ET33:ET34)+ET31+ET23+ET9+ET38+ET26+ET40</f>
        <v>0</v>
      </c>
      <c r="EU43" s="122">
        <f>SUM(EU33:EU34)+EU31+EU23+EU9+EU38+EU26+EU40</f>
        <v>0</v>
      </c>
      <c r="EV43" s="122">
        <f>SUM(EV33:EV34)+EV31+EV23+EV9+EV38+EV26+EV40</f>
        <v>0</v>
      </c>
      <c r="EW43" s="122">
        <f>SUM(EW33:EW34)+EW31+EW23+EW9+EW38+EW26+EW40</f>
        <v>0</v>
      </c>
      <c r="EX43" s="122">
        <f>SUM(EX33:EX34)+EX31+EX23+EX9+EX38+EX26+EX40</f>
        <v>0</v>
      </c>
      <c r="EY43" s="122">
        <f>SUM(EY33:EY34)+EY31+EY23+EY9+EY38+EY26+EY40</f>
        <v>0</v>
      </c>
      <c r="EZ43" s="122">
        <f>SUM(EZ33:EZ34)+EZ31+EZ23+EZ9+EZ38+EZ26+EZ40</f>
        <v>0</v>
      </c>
      <c r="FA43" s="122">
        <f>SUM(FA33:FA34)+FA31+FA23+FA9+FA38+FA26+FA40</f>
        <v>0</v>
      </c>
      <c r="FB43" s="122">
        <f>SUM(FB33:FB34)+FB31+FB23+FB9+FB38+FB26+FB40</f>
        <v>0</v>
      </c>
      <c r="FC43" s="122">
        <f>SUM(FC33:FC34)+FC31+FC23+FC9+FC38+FC26+FC40</f>
        <v>1</v>
      </c>
      <c r="FD43" s="122">
        <f>SUM(FD33:FD34)+FD31+FD23+FD9+FD38+FD26+FD40</f>
        <v>3</v>
      </c>
      <c r="FE43" s="122">
        <f>SUM(FE33:FE34)+FE31+FE23+FE9+FE38+FE26+FE40</f>
        <v>0</v>
      </c>
      <c r="FF43" s="122">
        <f>SUM(FF33:FF34)+FF31+FF23+FF9+FF38+FF26+FF40</f>
        <v>10</v>
      </c>
      <c r="FG43" s="122">
        <f>SUM(FG33:FG34)+FG31+FG23+FG9+FG38+FG26+FG40</f>
        <v>18</v>
      </c>
      <c r="FH43" s="122">
        <f>SUM(FH33:FH34)+FH31+FH23+FH9+FH38+FH26+FH40</f>
        <v>0</v>
      </c>
      <c r="FI43" s="122">
        <f>SUM(FI33:FI34)+FI31+FI23+FI9+FI38+FI26+FI40</f>
        <v>0</v>
      </c>
      <c r="FJ43" s="122">
        <f>SUM(FJ33:FJ34)+FJ31+FJ23+FJ9+FJ38+FJ26+FJ40</f>
        <v>0</v>
      </c>
      <c r="FK43" s="122">
        <f>SUM(FK33:FK34)+FK31+FK23+FK9+FK38+FK26+FK40</f>
        <v>0</v>
      </c>
      <c r="FL43" s="122">
        <f>SUM(FL33:FL34)+FL31+FL23+FL9+FL38+FL26+FL40</f>
        <v>13</v>
      </c>
      <c r="FM43" s="122">
        <f>SUM(FM33:FM34)+FM31+FM23+FM9+FM38+FM26+FM40</f>
        <v>19</v>
      </c>
      <c r="FN43" s="122">
        <f>SUM(FN33:FN34)+FN31+FN23+FN9+FN38+FN26+FN40</f>
        <v>32</v>
      </c>
      <c r="FO43" s="122">
        <f>SUM(FO33:FO34)+FO31+FO23+FO9+FO38+FO26+FO40</f>
        <v>0</v>
      </c>
      <c r="FP43" s="122">
        <f>SUM(FP33:FP34)+FP31+FP23+FP9+FP38+FP26+FP40</f>
        <v>0</v>
      </c>
      <c r="FQ43" s="122">
        <f>SUM(FQ33:FQ34)+FQ31+FQ23+FQ9+FQ38+FQ26+FQ40</f>
        <v>0</v>
      </c>
      <c r="FR43" s="122">
        <f>SUM(FR33:FR34)+FR31+FR23+FR9+FR38+FR26+FR40</f>
        <v>0</v>
      </c>
      <c r="FS43" s="122">
        <f>SUM(FS33:FS34)+FS31+FS23+FS9+FS38+FS26+FS40</f>
        <v>0</v>
      </c>
      <c r="FT43" s="122">
        <f>SUM(FT33:FT34)+FT31+FT23+FT9+FT38+FT26+FT40</f>
        <v>0</v>
      </c>
      <c r="FU43" s="122">
        <f>SUM(FU33:FU34)+FU31+FU23+FU9+FU38+FU26+FU40</f>
        <v>0</v>
      </c>
      <c r="FV43" s="122">
        <f>SUM(FV33:FV34)+FV31+FV23+FV9+FV38+FV26+FV40</f>
        <v>0</v>
      </c>
      <c r="FW43" s="122">
        <f>SUM(FW33:FW34)+FW31+FW23+FW9+FW38+FW26+FW40</f>
        <v>0</v>
      </c>
      <c r="FX43" s="122">
        <f>SUM(FX33:FX34)+FX31+FX23+FX9+FX38+FX26+FX40</f>
        <v>0</v>
      </c>
      <c r="FY43" s="122">
        <f>SUM(FY33:FY34)+FY31+FY23+FY9+FY38+FY26+FY40</f>
        <v>0</v>
      </c>
      <c r="FZ43" s="122">
        <f>SUM(FZ33:FZ34)+FZ31+FZ23+FZ9+FZ38+FZ26+FZ40</f>
        <v>0</v>
      </c>
      <c r="GA43" s="122">
        <f>SUM(GA33:GA34)+GA31+GA23+GA9+GA38+GA26+GA40</f>
        <v>0</v>
      </c>
      <c r="GB43" s="122">
        <f>SUM(GB33:GB34)+GB31+GB23+GB9+GB38+GB26+GB40</f>
        <v>0</v>
      </c>
      <c r="GC43" s="122">
        <f>SUM(GC33:GC34)+GC31+GC23+GC9+GC38+GC26+GC40</f>
        <v>0</v>
      </c>
      <c r="GD43" s="122">
        <f>SUM(GD33:GD34)+GD31+GD23+GD9+GD38+GD26+GD40</f>
        <v>0</v>
      </c>
      <c r="GE43" s="122">
        <f>SUM(GE33:GE34)+GE31+GE23+GE9+GE38+GE26+GE40</f>
        <v>0</v>
      </c>
      <c r="GF43" s="122">
        <f>SUM(GF33:GF34)+GF31+GF23+GF9+GF38+GF26+GF40</f>
        <v>0</v>
      </c>
      <c r="GG43" s="122">
        <f>SUM(GG33:GG34)+GG31+GG23+GG9+GG38+GG26+GG40</f>
        <v>0</v>
      </c>
      <c r="GH43" s="122">
        <f>SUM(GH33:GH34)+GH31+GH23+GH9+GH38+GH26+GH40</f>
        <v>0</v>
      </c>
      <c r="GI43" s="122">
        <f>SUM(GI33:GI34)+GI31+GI23+GI9+GI38+GI26+GI40</f>
        <v>0</v>
      </c>
      <c r="GJ43" s="122">
        <f>SUM(GJ33:GJ34)+GJ31+GJ23+GJ9+GJ38+GJ26+GJ40</f>
        <v>1</v>
      </c>
      <c r="GK43" s="122">
        <f>SUM(GK33:GK34)+GK31+GK23+GK9+GK38+GK26+GK40</f>
        <v>5</v>
      </c>
      <c r="GL43" s="122">
        <f>SUM(GL33:GL34)+GL31+GL23+GL9+GL38+GL26+GL40</f>
        <v>0</v>
      </c>
      <c r="GM43" s="122">
        <f>SUM(GM33:GM34)+GM31+GM23+GM9+GM38+GM26+GM40</f>
        <v>0</v>
      </c>
      <c r="GN43" s="122">
        <f>SUM(GN33:GN34)+GN31+GN23+GN9+GN38+GN26+GN40</f>
        <v>4</v>
      </c>
      <c r="GO43" s="122">
        <f>SUM(GO33:GO34)+GO31+GO23+GO9+GO38+GO26+GO40</f>
        <v>1</v>
      </c>
      <c r="GP43" s="122">
        <f>SUM(GP33:GP34)+GP31+GP23+GP9+GP38+GP26+GP40</f>
        <v>0</v>
      </c>
      <c r="GQ43" s="122">
        <f>SUM(GQ33:GQ34)+GQ31+GQ23+GQ9+GQ38+GQ26+GQ40</f>
        <v>0</v>
      </c>
      <c r="GR43" s="122">
        <f>SUM(GR33:GR34)+GR31+GR23+GR9+GR38+GR26+GR40</f>
        <v>2</v>
      </c>
      <c r="GS43" s="122">
        <f>SUM(GS33:GS34)+GS31+GS23+GS9+GS38+GS26+GS40</f>
        <v>1</v>
      </c>
      <c r="GT43" s="122">
        <f>SUM(GT33:GT34)+GT31+GT23+GT9+GT38+GT26+GT40</f>
        <v>0</v>
      </c>
      <c r="GU43" s="122">
        <f>SUM(GU33:GU34)+GU31+GU23+GU9+GU38+GU26+GU40</f>
        <v>0</v>
      </c>
      <c r="GV43" s="122">
        <f>SUM(GV33:GV34)+GV31+GV23+GV9+GV38+GV26+GV40</f>
        <v>0</v>
      </c>
      <c r="GW43" s="122">
        <f>SUM(GW33:GW34)+GW31+GW23+GW9+GW38+GW26+GW40</f>
        <v>2</v>
      </c>
      <c r="GX43" s="122">
        <f>SUM(GX33:GX34)+GX31+GX23+GX9+GX38+GX26+GX40</f>
        <v>0</v>
      </c>
      <c r="GY43" s="122">
        <f>SUM(GY33:GY34)+GY31+GY23+GY9+GY38+GY26+GY40</f>
        <v>0</v>
      </c>
      <c r="GZ43" s="122">
        <f>SUM(GZ33:GZ34)+GZ31+GZ23+GZ9+GZ38+GZ26+GZ40</f>
        <v>0</v>
      </c>
      <c r="HA43" s="122">
        <f>SUM(HA33:HA34)+HA31+HA23+HA9+HA38+HA26+HA40</f>
        <v>0</v>
      </c>
      <c r="HB43" s="122">
        <f>SUM(HB33:HB34)+HB31+HB23+HB9+HB38+HB26+HB40</f>
        <v>0</v>
      </c>
      <c r="HC43" s="122">
        <f>SUM(HC33:HC34)+HC31+HC23+HC9+HC38+HC26+HC40</f>
        <v>0</v>
      </c>
      <c r="HD43" s="122">
        <f>SUM(HD33:HD34)+HD31+HD23+HD9+HD38+HD26+HD40</f>
        <v>0</v>
      </c>
      <c r="HE43" s="122">
        <f>SUM(HE33:HE34)+HE31+HE23+HE9+HE38+HE26+HE40</f>
        <v>0</v>
      </c>
      <c r="HF43" s="122">
        <f>SUM(HF33:HF34)+HF31+HF23+HF9+HF38+HF26+HF40</f>
        <v>1</v>
      </c>
      <c r="HG43" s="122">
        <f>SUM(HG33:HG34)+HG31+HG23+HG9+HG38+HG26+HG40</f>
        <v>0</v>
      </c>
      <c r="HH43" s="122">
        <f>SUM(HH33:HH34)+HH31+HH23+HH9+HH38+HH26+HH40</f>
        <v>0</v>
      </c>
      <c r="HI43" s="122">
        <f>SUM(HI33:HI34)+HI31+HI23+HI9+HI38+HI26+HI40</f>
        <v>0</v>
      </c>
      <c r="HJ43" s="122">
        <f>SUM(HJ33:HJ34)+HJ31+HJ23+HJ9+HJ38+HJ26+HJ40</f>
        <v>0</v>
      </c>
      <c r="HK43" s="122">
        <f>SUM(HK33:HK34)+HK31+HK23+HK9+HK38+HK26+HK40</f>
        <v>0</v>
      </c>
      <c r="HL43" s="122">
        <f>SUM(HL33:HL34)+HL31+HL23+HL9+HL38+HL26+HL40</f>
        <v>0</v>
      </c>
      <c r="HM43" s="122">
        <f>SUM(HM33:HM34)+HM31+HM23+HM9+HM38+HM26+HM40</f>
        <v>0</v>
      </c>
      <c r="HN43" s="122">
        <f>SUM(HN33:HN34)+HN31+HN23+HN9+HN38+HN26+HN40</f>
        <v>0</v>
      </c>
      <c r="HO43" s="122">
        <f>SUM(HO33:HO34)+HO31+HO23+HO9+HO38+HO26+HO40</f>
        <v>0</v>
      </c>
      <c r="HP43" s="122">
        <f>SUM(HP33:HP34)+HP31+HP23+HP9+HP38+HP26+HP40</f>
        <v>0</v>
      </c>
      <c r="HQ43" s="122">
        <f>SUM(HQ33:HQ34)+HQ31+HQ23+HQ9+HQ38+HQ26+HQ40</f>
        <v>0</v>
      </c>
      <c r="HR43" s="122">
        <f>SUM(HR33:HR34)+HR31+HR23+HR9+HR38+HR26+HR40</f>
        <v>0</v>
      </c>
      <c r="HS43" s="122">
        <f>SUM(HS33:HS34)+HS31+HS23+HS9+HS38+HS26+HS40</f>
        <v>0</v>
      </c>
      <c r="HT43" s="122">
        <f>SUM(HT33:HT34)+HT31+HT23+HT9+HT38+HT26+HT40</f>
        <v>0</v>
      </c>
      <c r="HU43" s="122">
        <f>SUM(HU33:HU34)+HU31+HU23+HU9+HU38+HU26+HU40</f>
        <v>0</v>
      </c>
      <c r="HV43" s="122">
        <f>SUM(HV33:HV34)+HV31+HV23+HV9+HV38+HV26+HV40</f>
        <v>0</v>
      </c>
      <c r="HW43" s="122">
        <f>SUM(HW33:HW34)+HW31+HW23+HW9+HW38+HW26+HW40</f>
        <v>0</v>
      </c>
      <c r="HX43" s="122">
        <f>SUM(HX33:HX34)+HX31+HX23+HX9+HX38+HX26+HX40</f>
        <v>0</v>
      </c>
      <c r="HY43" s="122">
        <f>SUM(HY33:HY34)+HY31+HY23+HY9+HY38+HY26+HY40</f>
        <v>0</v>
      </c>
      <c r="HZ43" s="122">
        <f>SUM(HZ33:HZ34)+HZ31+HZ23+HZ9+HZ38+HZ26+HZ40</f>
        <v>0</v>
      </c>
      <c r="IA43" s="122">
        <f>SUM(IA33:IA34)+IA31+IA23+IA9+IA38+IA26+IA40</f>
        <v>0</v>
      </c>
      <c r="IB43" s="122">
        <f>SUM(IB33:IB34)+IB31+IB23+IB9+IB38+IB26+IB40</f>
        <v>0</v>
      </c>
      <c r="IC43" s="122">
        <f>SUM(IC33:IC34)+IC31+IC23+IC9+IC38+IC26+IC40</f>
        <v>0</v>
      </c>
      <c r="ID43" s="122">
        <f>SUM(ID33:ID34)+ID31+ID23+ID9+ID38+ID26+ID40</f>
        <v>0</v>
      </c>
      <c r="IE43" s="122">
        <f>SUM(IE33:IE34)+IE31+IE23+IE9+IE38+IE26+IE40</f>
        <v>0</v>
      </c>
      <c r="IF43" s="122">
        <f>SUM(IF33:IF34)+IF31+IF23+IF9+IF38+IF26+IF40</f>
        <v>0</v>
      </c>
      <c r="IG43" s="122">
        <f>SUM(IG33:IG34)+IG31+IG23+IG9+IG38+IG26+IG40</f>
        <v>0</v>
      </c>
      <c r="IH43" s="122">
        <f>SUM(IH33:IH34)+IH31+IH23+IH9+IH38+IH26+IH40</f>
        <v>0</v>
      </c>
      <c r="II43" s="122">
        <f>SUM(II33:II34)+II31+II23+II9+II38+II26+II40</f>
        <v>0</v>
      </c>
      <c r="IJ43" s="122">
        <f>SUM(IJ33:IJ34)+IJ31+IJ23+IJ9+IJ38+IJ26+IJ40</f>
        <v>1</v>
      </c>
      <c r="IK43" s="122">
        <f>SUM(IK33:IK34)+IK31+IK23+IK9+IK38+IK26+IK40</f>
        <v>0</v>
      </c>
      <c r="IL43" s="122">
        <f>SUM(IL33:IL34)+IL31+IL23+IL9+IL38+IL26+IL40</f>
        <v>0</v>
      </c>
      <c r="IM43" s="122">
        <f>SUM(IM33:IM34)+IM31+IM23+IM9+IM38+IM26+IM40</f>
        <v>0</v>
      </c>
      <c r="IN43" s="122">
        <f>SUM(IN33:IN34)+IN31+IN23+IN9+IN38+IN26+IN40</f>
        <v>0</v>
      </c>
      <c r="IO43" s="122">
        <f>SUM(IO33:IO34)+IO31+IO23+IO9+IO38+IO26+IO40</f>
        <v>0</v>
      </c>
      <c r="IP43" s="122">
        <f>SUM(IP33:IP34)+IP31+IP23+IP9+IP38+IP26+IP40</f>
        <v>0</v>
      </c>
      <c r="IQ43" s="122">
        <f>SUM(IQ33:IQ34)+IQ31+IQ23+IQ9+IQ38+IQ26+IQ40</f>
        <v>0</v>
      </c>
      <c r="IR43" s="122">
        <f>SUM(IR33:IR34)+IR31+IR23+IR9+IR38+IR26+IR40</f>
        <v>0</v>
      </c>
      <c r="IS43" s="122">
        <f>SUM(IS33:IS34)+IS31+IS23+IS9+IS38+IS26+IS40</f>
        <v>0</v>
      </c>
      <c r="IT43" s="122">
        <f>SUM(IT33:IT34)+IT31+IT23+IT9+IT38+IT26+IT40</f>
        <v>0</v>
      </c>
      <c r="IU43" s="122">
        <f>SUM(IU33:IU34)+IU31+IU23+IU9+IU38+IU26+IU40</f>
        <v>0</v>
      </c>
      <c r="IV43" s="122">
        <f>SUM(IV33:IV34)+IV31+IV23+IV9+IV38+IV26+IV40</f>
        <v>0</v>
      </c>
      <c r="IW43" s="122">
        <f>SUM(IW33:IW34)+IW31+IW23+IW9+IW38+IW26+IW40</f>
        <v>0</v>
      </c>
      <c r="IX43" s="122">
        <f>SUM(IX33:IX34)+IX31+IX23+IX9+IX38+IX26+IX40</f>
        <v>0</v>
      </c>
      <c r="IY43" s="122">
        <f>SUM(IY33:IY34)+IY31+IY23+IY9+IY38+IY26+IY40</f>
        <v>0</v>
      </c>
      <c r="IZ43" s="122">
        <f>SUM(IZ33:IZ34)+IZ31+IZ23+IZ9+IZ38+IZ26+IZ40</f>
        <v>0</v>
      </c>
      <c r="JA43" s="122">
        <f>SUM(JA33:JA34)+JA31+JA23+JA9+JA38+JA26+JA40</f>
        <v>0</v>
      </c>
      <c r="JB43" s="122">
        <f>SUM(JB33:JB34)+JB31+JB23+JB9+JB38+JB26+JB40</f>
        <v>0</v>
      </c>
      <c r="JC43" s="122">
        <f>SUM(JC33:JC34)+JC31+JC23+JC9+JC38+JC26+JC40</f>
        <v>0</v>
      </c>
      <c r="JD43" s="122">
        <f>SUM(JD33:JD34)+JD31+JD23+JD9+JD38+JD26+JD40</f>
        <v>0</v>
      </c>
      <c r="JE43" s="122">
        <f>SUM(JE33:JE34)+JE31+JE23+JE9+JE38+JE26+JE40</f>
        <v>0</v>
      </c>
      <c r="JF43" s="122">
        <f>SUM(JF33:JF34)+JF31+JF23+JF9+JF38+JF26+JF40</f>
        <v>0</v>
      </c>
      <c r="JG43" s="122">
        <f>SUM(JG33:JG34)+JG31+JG23+JG9+JG38+JG26+JG40</f>
        <v>0</v>
      </c>
      <c r="JH43" s="122">
        <f>SUM(JH33:JH34)+JH31+JH23+JH9+JH38+JH26+JH40</f>
        <v>0</v>
      </c>
      <c r="JI43" s="122">
        <f>SUM(JI33:JI34)+JI31+JI23+JI9+JI38+JI26+JI40</f>
        <v>0</v>
      </c>
      <c r="JJ43" s="122">
        <f>SUM(JJ33:JJ34)+JJ31+JJ23+JJ9+JJ38+JJ26+JJ40</f>
        <v>0</v>
      </c>
      <c r="JK43" s="122">
        <f>SUM(JK33:JK34)+JK31+JK23+JK9+JK38+JK26+JK40</f>
        <v>0</v>
      </c>
      <c r="JL43" s="122">
        <f>SUM(JL33:JL34)+JL31+JL23+JL9+JL38+JL26+JL40</f>
        <v>0</v>
      </c>
      <c r="JM43" s="122">
        <f>SUM(JM33:JM34)+JM31+JM23+JM9+JM38+JM26+JM40</f>
        <v>0</v>
      </c>
      <c r="JN43" s="122">
        <f>SUM(JN33:JN34)+JN31+JN23+JN9+JN38+JN26+JN40</f>
        <v>0</v>
      </c>
      <c r="JO43" s="122">
        <f>SUM(JO33:JO34)+JO31+JO23+JO9+JO38+JO26+JO40</f>
        <v>0</v>
      </c>
      <c r="JP43" s="122">
        <f>SUM(JP33:JP34)+JP31+JP23+JP9+JP38+JP26+JP40</f>
        <v>0</v>
      </c>
      <c r="JQ43" s="122">
        <f>SUM(JQ33:JQ34)+JQ31+JQ23+JQ9+JQ38+JQ26+JQ40</f>
        <v>0</v>
      </c>
      <c r="JR43" s="122">
        <f>SUM(JR33:JR34)+JR31+JR23+JR9+JR38+JR26+JR40</f>
        <v>0</v>
      </c>
      <c r="JS43" s="122">
        <f>SUM(JS33:JS34)+JS31+JS23+JS9+JS38+JS26+JS40</f>
        <v>0</v>
      </c>
      <c r="JT43" s="122">
        <f>SUM(JT33:JT34)+JT31+JT23+JT9+JT38+JT26+JT40</f>
        <v>0</v>
      </c>
      <c r="JU43" s="122">
        <f>SUM(JU33:JU34)+JU31+JU23+JU9+JU38+JU26+JU40</f>
        <v>0</v>
      </c>
      <c r="JV43" s="122">
        <f>SUM(JV33:JV34)+JV31+JV23+JV9+JV38+JV26+JV40</f>
        <v>0</v>
      </c>
      <c r="JW43" s="122">
        <f>SUM(JW33:JW34)+JW31+JW23+JW9+JW38+JW26+JW40</f>
        <v>0</v>
      </c>
      <c r="JX43" s="122">
        <f>SUM(JX33:JX34)+JX31+JX23+JX9+JX38+JX26+JX40</f>
        <v>0</v>
      </c>
      <c r="JY43" s="122">
        <f>SUM(JY33:JY34)+JY31+JY23+JY9+JY38+JY26+JY40</f>
        <v>0</v>
      </c>
      <c r="JZ43" s="122">
        <f>SUM(JZ33:JZ34)+JZ31+JZ23+JZ9+JZ38+JZ26+JZ40</f>
        <v>0</v>
      </c>
      <c r="KA43" s="122">
        <f>SUM(KA33:KA34)+KA31+KA23+KA9+KA38+KA26+KA40</f>
        <v>0</v>
      </c>
      <c r="KB43" s="122">
        <f>SUM(KB33:KB34)+KB31+KB23+KB9+KB38+KB26+KB40</f>
        <v>0</v>
      </c>
      <c r="KC43" s="122">
        <f>SUM(KC33:KC34)+KC31+KC23+KC9+KC38+KC26+KC40</f>
        <v>0</v>
      </c>
      <c r="KD43" s="122">
        <f>SUM(KD33:KD34)+KD31+KD23+KD9+KD38+KD26+KD40</f>
        <v>0</v>
      </c>
      <c r="KE43" s="122">
        <f>SUM(KE33:KE34)+KE31+KE23+KE9+KE38+KE26+KE40</f>
        <v>0</v>
      </c>
      <c r="KF43" s="122">
        <f>SUM(KF33:KF34)+KF31+KF23+KF9+KF38+KF26+KF40</f>
        <v>0</v>
      </c>
      <c r="KG43" s="122">
        <f>SUM(KG33:KG34)+KG31+KG23+KG9+KG38+KG26+KG40</f>
        <v>0</v>
      </c>
      <c r="KH43" s="122">
        <f>SUM(KH33:KH34)+KH31+KH23+KH9+KH38+KH26+KH40</f>
        <v>0</v>
      </c>
      <c r="KI43" s="122">
        <f>SUM(KI33:KI34)+KI31+KI23+KI9+KI38+KI26+KI40</f>
        <v>0</v>
      </c>
      <c r="KJ43" s="122">
        <f>SUM(KJ33:KJ34)+KJ31+KJ23+KJ9+KJ38+KJ26+KJ40</f>
        <v>0</v>
      </c>
      <c r="KK43" s="122">
        <f>SUM(KK33:KK34)+KK31+KK23+KK9+KK38+KK26+KK40</f>
        <v>0</v>
      </c>
      <c r="KL43" s="122">
        <f>SUM(KL33:KL34)+KL31+KL23+KL9+KL38+KL26+KL40</f>
        <v>0</v>
      </c>
      <c r="KM43" s="122">
        <f>SUM(KM33:KM34)+KM31+KM23+KM9+KM38+KM26+KM40</f>
        <v>0</v>
      </c>
      <c r="KN43" s="122">
        <f>SUM(KN33:KN34)+KN31+KN23+KN9+KN38+KN26+KN40</f>
        <v>0</v>
      </c>
      <c r="KO43" s="122">
        <f>SUM(KO33:KO34)+KO31+KO23+KO9+KO38+KO26+KO40</f>
        <v>5</v>
      </c>
      <c r="KP43" s="122">
        <f>SUM(KP33:KP34)+KP31+KP23+KP9+KP38+KP26+KP40</f>
        <v>0</v>
      </c>
      <c r="KQ43" s="122">
        <f>SUM(KQ33:KQ34)+KQ31+KQ23+KQ9+KQ38+KQ26+KQ40</f>
        <v>0</v>
      </c>
      <c r="KR43" s="122">
        <f>SUM(KR33:KR34)+KR31+KR23+KR9+KR38+KR26+KR40</f>
        <v>0</v>
      </c>
      <c r="KS43" s="122">
        <f>SUM(KS33:KS34)+KS31+KS23+KS9+KS38+KS26+KS40</f>
        <v>0</v>
      </c>
      <c r="KT43" s="122">
        <f>SUM(KT33:KT34)+KT31+KT23+KT9+KT38+KT26+KT40</f>
        <v>4</v>
      </c>
      <c r="KU43" s="122">
        <f>SUM(KU33:KU34)+KU31+KU23+KU9+KU38+KU26+KU40</f>
        <v>5</v>
      </c>
      <c r="KV43" s="122">
        <f>SUM(KV33:KV34)+KV31+KV23+KV9+KV38+KV26+KV40</f>
        <v>13</v>
      </c>
      <c r="KW43" s="122">
        <f>SUM(KW33:KW34)+KW31+KW23+KW9+KW38+KW26+KW40</f>
        <v>19</v>
      </c>
      <c r="KX43" s="122">
        <f>SUM(KX33:KX34)+KX31+KX23+KX9+KX38+KX26+KX40</f>
        <v>32</v>
      </c>
      <c r="KY43" s="122">
        <f>SUM(KY33:KY34)+KY31+KY23+KY9+KY38+KY26+KY40</f>
        <v>13</v>
      </c>
      <c r="KZ43" s="122">
        <f>SUM(KZ33:KZ34)+KZ31+KZ23+KZ9+KZ38+KZ26+KZ40</f>
        <v>19</v>
      </c>
      <c r="LA43" s="122">
        <f>SUM(LA33:LA34)+LA31+LA23+LA9+LA38+LA26+LA40</f>
        <v>0</v>
      </c>
      <c r="LB43" s="122">
        <f>SUM(LB33:LB34)+LB31+LB23+LB9+LB38+LB26+LB40</f>
        <v>0</v>
      </c>
      <c r="LC43" s="122">
        <f>SUM(LC33:LC34)+LC31+LC23+LC9+LC38+LC26+LC40</f>
        <v>0</v>
      </c>
      <c r="LD43" s="122">
        <f>SUM(LD33:LD34)+LD31+LD23+LD9+LD38+LD26+LD40</f>
        <v>0</v>
      </c>
      <c r="LE43" s="122">
        <f>SUM(LE33:LE34)+LE31+LE23+LE9+LE38+LE26+LE40</f>
        <v>0</v>
      </c>
      <c r="LF43" s="122">
        <f>SUM(LF33:LF34)+LF31+LF23+LF9+LF38+LF26+LF40</f>
        <v>0</v>
      </c>
      <c r="LG43" s="122">
        <f>SUM(LG33:LG34)+LG31+LG23+LG9+LG38+LG26+LG40</f>
        <v>0</v>
      </c>
      <c r="LH43" s="122">
        <f>SUM(LH33:LH34)+LH31+LH23+LH9+LH38+LH26+LH40</f>
        <v>0</v>
      </c>
      <c r="LI43" s="122">
        <f>SUM(LI33:LI34)+LI31+LI23+LI9+LI38+LI26+LI40</f>
        <v>0</v>
      </c>
      <c r="LJ43" s="122">
        <f>SUM(LJ33:LJ34)+LJ31+LJ23+LJ9+LJ38+LJ26+LJ40</f>
        <v>0</v>
      </c>
      <c r="LK43" s="122">
        <f>SUM(LK33:LK34)+LK31+LK23+LK9+LK38+LK26+LK40</f>
        <v>0</v>
      </c>
      <c r="LL43" s="122">
        <f>SUM(LL33:LL34)+LL31+LL23+LL9+LL38+LL26+LL40</f>
        <v>0</v>
      </c>
      <c r="LM43" s="122">
        <f>SUM(LM33:LM34)+LM31+LM23+LM9+LM38+LM26+LM40</f>
        <v>0</v>
      </c>
      <c r="LN43" s="122">
        <f>SUM(LN33:LN34)+LN31+LN23+LN9+LN38+LN26+LN40</f>
        <v>0</v>
      </c>
      <c r="LO43" s="122">
        <f>SUM(LO33:LO34)+LO31+LO23+LO9+LO38+LO26+LO40</f>
        <v>0</v>
      </c>
      <c r="LP43" s="122">
        <f>SUM(LP33:LP34)+LP31+LP23+LP9+LP38+LP26+LP40</f>
        <v>0</v>
      </c>
      <c r="LQ43" s="122">
        <f>SUM(LQ33:LQ34)+LQ31+LQ23+LQ9+LQ38+LQ26+LQ40</f>
        <v>13</v>
      </c>
      <c r="LR43" s="122">
        <f>SUM(LR33:LR34)+LR31+LR23+LR9+LR38+LR26+LR40</f>
        <v>19</v>
      </c>
      <c r="LS43" s="122">
        <f>SUM(LS33:LS34)+LS31+LS23+LS9+LS38+LS26+LS40</f>
        <v>32</v>
      </c>
      <c r="LT43" s="122">
        <f>SUM(LT33:LT34)+LT31+LT23+LT9+LT38+LT26+LT40</f>
        <v>9</v>
      </c>
      <c r="LU43" s="122">
        <f>SUM(LU33:LU34)+LU31+LU23+LU9+LU38+LU26+LU40</f>
        <v>12</v>
      </c>
      <c r="LV43" s="122">
        <f>SUM(LV33:LV34)+LV31+LV23+LV9+LV38+LV26+LV40</f>
        <v>0</v>
      </c>
      <c r="LW43" s="122">
        <f>SUM(LW33:LW34)+LW31+LW23+LW9+LW38+LW26+LW40</f>
        <v>4</v>
      </c>
      <c r="LX43" s="122">
        <f>SUM(LX33:LX34)+LX31+LX23+LX9+LX38+LX26+LX40</f>
        <v>4</v>
      </c>
      <c r="LY43" s="122">
        <f>SUM(LY33:LY34)+LY31+LY23+LY9+LY38+LY26+LY40</f>
        <v>2</v>
      </c>
      <c r="LZ43" s="122">
        <f>SUM(LZ33:LZ34)+LZ31+LZ23+LZ9+LZ38+LZ26+LZ40</f>
        <v>0</v>
      </c>
      <c r="MA43" s="122">
        <f>SUM(MA33:MA34)+MA31+MA23+MA9+MA38+MA26+MA40</f>
        <v>1</v>
      </c>
      <c r="MB43" s="122">
        <f>SUM(MB33:MB34)+MB31+MB23+MB9+MB38+MB26+MB40</f>
        <v>13</v>
      </c>
      <c r="MC43" s="122">
        <f>SUM(MC33:MC34)+MC31+MC23+MC9+MC38+MC26+MC40</f>
        <v>19</v>
      </c>
      <c r="MD43" s="122">
        <f>SUM(MD33:MD34)+MD31+MD23+MD9+MD38+MD26+MD40</f>
        <v>32</v>
      </c>
      <c r="ME43" s="122">
        <f>SUM(ME33:ME34)+ME31+ME23+ME9+ME38+ME26+ME40</f>
        <v>10</v>
      </c>
      <c r="MF43" s="122">
        <f>SUM(MF33:MF34)+MF31+MF23+MF9+MF38+MF26+MF40</f>
        <v>9</v>
      </c>
      <c r="MG43" s="122">
        <f>SUM(MG33:MG34)+MG31+MG23+MG9+MG38+MG26+MG40</f>
        <v>2</v>
      </c>
      <c r="MH43" s="122">
        <f>SUM(MH33:MH34)+MH31+MH23+MH9+MH38+MH26+MH40</f>
        <v>8</v>
      </c>
      <c r="MI43" s="122">
        <f>SUM(MI33:MI34)+MI31+MI23+MI9+MI38+MI26+MI40</f>
        <v>0</v>
      </c>
      <c r="MJ43" s="122">
        <f>SUM(MJ33:MJ34)+MJ31+MJ23+MJ9+MJ38+MJ26+MJ40</f>
        <v>2</v>
      </c>
      <c r="MK43" s="122">
        <f>SUM(MK33:MK34)+MK31+MK23+MK9+MK38+MK26+MK40</f>
        <v>0</v>
      </c>
      <c r="ML43" s="122">
        <f>SUM(ML33:ML34)+ML31+ML23+ML9+ML38+ML26+ML40</f>
        <v>0</v>
      </c>
      <c r="MM43" s="122">
        <f>SUM(MM33:MM34)+MM31+MM23+MM9+MM38+MM26+MM40</f>
        <v>1</v>
      </c>
      <c r="MN43" s="122">
        <f>SUM(MN33:MN34)+MN31+MN23+MN9+MN38+MN26+MN40</f>
        <v>0</v>
      </c>
      <c r="MO43" s="122">
        <f>SUM(MO33:MO34)+MO31+MO23+MO9+MO38+MO26+MO40</f>
        <v>13</v>
      </c>
      <c r="MP43" s="122">
        <f>SUM(MP33:MP34)+MP31+MP23+MP9+MP38+MP26+MP40</f>
        <v>19</v>
      </c>
      <c r="MQ43" s="122">
        <f>SUM(MQ33:MQ34)+MQ31+MQ23+MQ9+MQ38+MQ26+MQ40</f>
        <v>32</v>
      </c>
      <c r="MR43" s="122">
        <f>SUM(MR33:MR34)+MR31+MR23+MR9+MR38+MR26+MR40</f>
        <v>8</v>
      </c>
      <c r="MS43" s="122">
        <f>SUM(MS33:MS34)+MS31+MS23+MS9+MS38+MS26+MS40</f>
        <v>14</v>
      </c>
      <c r="MT43" s="122">
        <f>SUM(MT33:MT34)+MT31+MT23+MT9+MT38+MT26+MT40</f>
        <v>5</v>
      </c>
      <c r="MU43" s="122">
        <f>SUM(MU33:MU34)+MU31+MU23+MU9+MU38+MU26+MU40</f>
        <v>2</v>
      </c>
      <c r="MV43" s="122">
        <f>SUM(MV33:MV34)+MV31+MV23+MV9+MV38+MV26+MV40</f>
        <v>0</v>
      </c>
      <c r="MW43" s="122">
        <f>SUM(MW33:MW34)+MW31+MW23+MW9+MW38+MW26+MW40</f>
        <v>1</v>
      </c>
      <c r="MX43" s="122">
        <f>SUM(MX33:MX34)+MX31+MX23+MX9+MX38+MX26+MX40</f>
        <v>0</v>
      </c>
      <c r="MY43" s="122">
        <f>SUM(MY33:MY34)+MY31+MY23+MY9+MY38+MY26+MY40</f>
        <v>2</v>
      </c>
      <c r="MZ43" s="122">
        <f>SUM(MZ33:MZ34)+MZ31+MZ23+MZ9+MZ38+MZ26+MZ40</f>
        <v>13</v>
      </c>
      <c r="NA43" s="122">
        <f>SUM(NA33:NA34)+NA31+NA23+NA9+NA38+NA26+NA40</f>
        <v>19</v>
      </c>
      <c r="NB43" s="122">
        <f>SUM(NB33:NB34)+NB31+NB23+NB9+NB38+NB26+NB40</f>
        <v>32</v>
      </c>
      <c r="NC43" s="122">
        <f>SUM(NC33:NC34)+NC31+NC23+NC9+NC38+NC26+NC40</f>
        <v>0</v>
      </c>
      <c r="ND43" s="122">
        <f>SUM(ND33:ND34)+ND31+ND23+ND9+ND38+ND26+ND40</f>
        <v>0</v>
      </c>
      <c r="NE43" s="122">
        <f>SUM(NE33:NE34)+NE31+NE23+NE9+NE38+NE26+NE40</f>
        <v>0</v>
      </c>
      <c r="NF43" s="122">
        <f>SUM(NF33:NF34)+NF31+NF23+NF9+NF38+NF26+NF40</f>
        <v>0</v>
      </c>
      <c r="NG43" s="122">
        <f>SUM(NG33:NG34)+NG31+NG23+NG9+NG38+NG26+NG40</f>
        <v>0</v>
      </c>
      <c r="NH43" s="122">
        <f>SUM(NH33:NH34)+NH31+NH23+NH9+NH38+NH26+NH40</f>
        <v>0</v>
      </c>
      <c r="NI43" s="122">
        <f>SUM(NI33:NI34)+NI31+NI23+NI9+NI38+NI26+NI40</f>
        <v>1</v>
      </c>
      <c r="NJ43" s="122">
        <f>SUM(NJ33:NJ34)+NJ31+NJ23+NJ9+NJ38+NJ26+NJ40</f>
        <v>0</v>
      </c>
      <c r="NK43" s="122">
        <f>SUM(NK33:NK34)+NK31+NK23+NK9+NK38+NK26+NK40</f>
        <v>7</v>
      </c>
      <c r="NL43" s="122">
        <f>SUM(NL33:NL34)+NL31+NL23+NL9+NL38+NL26+NL40</f>
        <v>6</v>
      </c>
      <c r="NM43" s="122">
        <f>SUM(NM33:NM34)+NM31+NM23+NM9+NM38+NM26+NM40</f>
        <v>4</v>
      </c>
      <c r="NN43" s="122">
        <f>SUM(NN33:NN34)+NN31+NN23+NN9+NN38+NN26+NN40</f>
        <v>13</v>
      </c>
      <c r="NO43" s="122">
        <f>SUM(NO33:NO34)+NO31+NO23+NO9+NO38+NO26+NO40</f>
        <v>1</v>
      </c>
      <c r="NP43" s="122">
        <f>SUM(NP33:NP34)+NP31+NP23+NP9+NP38+NP26+NP40</f>
        <v>0</v>
      </c>
      <c r="NQ43" s="122">
        <f>SUM(NQ33:NQ34)+NQ31+NQ23+NQ9+NQ38+NQ26+NQ40</f>
        <v>0</v>
      </c>
      <c r="NR43" s="122">
        <f>SUM(NR33:NR34)+NR31+NR23+NR9+NR38+NR26+NR40</f>
        <v>0</v>
      </c>
      <c r="NS43" s="122">
        <f>SUM(NS33:NS34)+NS31+NS23+NS9+NS38+NS26+NS40</f>
        <v>0</v>
      </c>
      <c r="NT43" s="122">
        <f>SUM(NT33:NT34)+NT31+NT23+NT9+NT38+NT26+NT40</f>
        <v>0</v>
      </c>
      <c r="NU43" s="122">
        <f>SUM(NU33:NU34)+NU31+NU23+NU9+NU38+NU26+NU40</f>
        <v>0</v>
      </c>
      <c r="NV43" s="122">
        <f>SUM(NV33:NV34)+NV31+NV23+NV9+NV38+NV26+NV40</f>
        <v>0</v>
      </c>
      <c r="NW43" s="122">
        <f>SUM(NW33:NW34)+NW31+NW23+NW9+NW38+NW26+NW40</f>
        <v>13</v>
      </c>
      <c r="NX43" s="122">
        <f>SUM(NX33:NX34)+NX31+NX23+NX9+NX38+NX26+NX40</f>
        <v>19</v>
      </c>
      <c r="NY43" s="122">
        <f>SUM(NY33:NY34)+NY31+NY23+NY9+NY38+NY26+NY40</f>
        <v>32</v>
      </c>
      <c r="NZ43" s="122">
        <f>SUM(NZ33:NZ34)+NZ31+NZ23+NZ9+NZ38+NZ26+NZ40</f>
        <v>0</v>
      </c>
      <c r="OA43" s="122">
        <f>SUM(OA33:OA34)+OA31+OA23+OA9+OA38+OA26+OA40</f>
        <v>0</v>
      </c>
      <c r="OB43" s="122">
        <f>SUM(OB33:OB34)+OB31+OB23+OB9+OB38+OB26+OB40</f>
        <v>0</v>
      </c>
      <c r="OC43" s="122">
        <f>SUM(OC33:OC34)+OC31+OC23+OC9+OC38+OC26+OC40</f>
        <v>0</v>
      </c>
      <c r="OD43" s="122">
        <f>SUM(OD33:OD34)+OD31+OD23+OD9+OD38+OD26+OD40</f>
        <v>0</v>
      </c>
      <c r="OE43" s="122">
        <f>SUM(OE33:OE34)+OE31+OE23+OE9+OE38+OE26+OE40</f>
        <v>0</v>
      </c>
      <c r="OF43" s="122">
        <f>SUM(OF33:OF34)+OF31+OF23+OF9+OF38+OF26+OF40</f>
        <v>0</v>
      </c>
      <c r="OG43" s="122">
        <f>SUM(OG33:OG34)+OG31+OG23+OG9+OG38+OG26+OG40</f>
        <v>0</v>
      </c>
      <c r="OH43" s="122">
        <f>SUM(OH33:OH34)+OH31+OH23+OH9+OH38+OH26+OH40</f>
        <v>0</v>
      </c>
      <c r="OI43" s="122">
        <f>SUM(OI33:OI34)+OI31+OI23+OI9+OI38+OI26+OI40</f>
        <v>0</v>
      </c>
      <c r="OJ43" s="122">
        <f>SUM(OJ33:OJ34)+OJ31+OJ23+OJ9+OJ38+OJ26+OJ40</f>
        <v>1</v>
      </c>
      <c r="OK43" s="122">
        <f>SUM(OK33:OK34)+OK31+OK23+OK9+OK38+OK26+OK40</f>
        <v>1</v>
      </c>
      <c r="OL43" s="122">
        <f>SUM(OL33:OL34)+OL31+OL23+OL9+OL38+OL26+OL40</f>
        <v>0</v>
      </c>
      <c r="OM43" s="122">
        <f>SUM(OM33:OM34)+OM31+OM23+OM9+OM38+OM26+OM40</f>
        <v>1</v>
      </c>
      <c r="ON43" s="122">
        <f>SUM(ON33:ON34)+ON31+ON23+ON9+ON38+ON26+ON40</f>
        <v>0</v>
      </c>
      <c r="OO43" s="122">
        <f>SUM(OO33:OO34)+OO31+OO23+OO9+OO38+OO26+OO40</f>
        <v>0</v>
      </c>
      <c r="OP43" s="122">
        <f>SUM(OP33:OP34)+OP31+OP23+OP9+OP38+OP26+OP40</f>
        <v>1</v>
      </c>
      <c r="OQ43" s="122">
        <f>SUM(OQ33:OQ34)+OQ31+OQ23+OQ9+OQ38+OQ26+OQ40</f>
        <v>0</v>
      </c>
      <c r="OR43" s="122">
        <f>SUM(OR33:OR34)+OR31+OR23+OR9+OR38+OR26+OR40</f>
        <v>0</v>
      </c>
      <c r="OS43" s="122">
        <f>SUM(OS33:OS34)+OS31+OS23+OS9+OS38+OS26+OS40</f>
        <v>0</v>
      </c>
      <c r="OT43" s="122">
        <f>SUM(OT33:OT34)+OT31+OT23+OT9+OT38+OT26+OT40</f>
        <v>0</v>
      </c>
      <c r="OU43" s="122">
        <f>SUM(OU33:OU34)+OU31+OU23+OU9+OU38+OU26+OU40</f>
        <v>1</v>
      </c>
      <c r="OV43" s="122">
        <f>SUM(OV33:OV34)+OV31+OV23+OV9+OV38+OV26+OV40</f>
        <v>0</v>
      </c>
      <c r="OW43" s="122"/>
      <c r="OX43" s="122"/>
      <c r="OY43" s="122">
        <f>SUM(OY33:OY34)+OY31+OY23+OY9+OY38+OY26+OY40</f>
        <v>0</v>
      </c>
      <c r="OZ43" s="122">
        <f>SUM(OZ33:OZ34)+OZ31+OZ23+OZ9+OZ38+OZ26+OZ40</f>
        <v>1</v>
      </c>
      <c r="PA43" s="122">
        <f>SUM(PA33:PA34)+PA31+PA23+PA9+PA38+PA26+PA40</f>
        <v>0</v>
      </c>
      <c r="PB43" s="122">
        <f>SUM(PB33:PB34)+PB31+PB23+PB9+PB38+PB26+PB40</f>
        <v>0</v>
      </c>
      <c r="PC43" s="122">
        <f>SUM(PC33:PC34)+PC31+PC23+PC9+PC38+PC26+PC40</f>
        <v>1</v>
      </c>
      <c r="PD43" s="122">
        <f>SUM(PD33:PD34)+PD31+PD23+PD9+PD38+PD26+PD40</f>
        <v>0</v>
      </c>
      <c r="PE43" s="122">
        <f>SUM(PE33:PE34)+PE31+PE23+PE9+PE38+PE26+PE40</f>
        <v>0</v>
      </c>
      <c r="PF43" s="122">
        <f>SUM(PF33:PF34)+PF31+PF23+PF9+PF38+PF26+PF40</f>
        <v>0</v>
      </c>
      <c r="PG43" s="122">
        <f>SUM(PG33:PG34)+PG31+PG23+PG9+PG38+PG26+PG40</f>
        <v>0</v>
      </c>
      <c r="PH43" s="122">
        <f>SUM(PH33:PH34)+PH31+PH23+PH9+PH38+PH26+PH40</f>
        <v>0</v>
      </c>
      <c r="PI43" s="122">
        <f>SUM(PI33:PI34)+PI31+PI23+PI9+PI38+PI26+PI40</f>
        <v>1</v>
      </c>
      <c r="PJ43" s="122">
        <f>SUM(PJ33:PJ34)+PJ31+PJ23+PJ9+PJ38+PJ26+PJ40</f>
        <v>0</v>
      </c>
      <c r="PK43" s="122">
        <f>SUM(PK33:PK34)+PK31+PK23+PK9+PK38+PK26+PK40</f>
        <v>1</v>
      </c>
      <c r="PL43" s="122">
        <f>SUM(PL33:PL34)+PL31+PL23+PL9+PL38+PL26+PL40</f>
        <v>0</v>
      </c>
      <c r="PM43" s="122">
        <f>SUM(PM33:PM34)+PM31+PM23+PM9+PM38+PM26+PM40</f>
        <v>40</v>
      </c>
      <c r="PN43" s="122">
        <f>SUM(PN33:PN34)+PN31+PN23+PN9+PN38+PN26+PN40</f>
        <v>4</v>
      </c>
      <c r="PO43" s="122">
        <f>SUM(PO33:PO34)+PO31+PO23+PO9+PO38+PO26+PO40</f>
        <v>44</v>
      </c>
      <c r="PP43" s="122">
        <f>SUM(PP33:PP34)+PP31+PP23+PP9+PP38+PP26+PP40</f>
        <v>1</v>
      </c>
      <c r="PQ43" s="122">
        <f>SUM(PQ33:PQ34)+PQ31+PQ23+PQ9+PQ38+PQ26+PQ40</f>
        <v>0</v>
      </c>
      <c r="PR43" s="122">
        <f>SUM(PR33:PR34)+PR31+PR23+PR9+PR38+PR26+PR40</f>
        <v>0</v>
      </c>
      <c r="PS43" s="122">
        <f>SUM(PS33:PS34)+PS31+PS23+PS9+PS38+PS26+PS40</f>
        <v>0</v>
      </c>
      <c r="PT43" s="122">
        <f>SUM(PT33:PT34)+PT31+PT23+PT9+PT38+PT26+PT40</f>
        <v>0</v>
      </c>
      <c r="PU43" s="122">
        <f>SUM(PU33:PU34)+PU31+PU23+PU9+PU38+PU26+PU40</f>
        <v>0</v>
      </c>
      <c r="PV43" s="122">
        <f>SUM(PV33:PV34)+PV31+PV23+PV9+PV38+PV26+PV40</f>
        <v>1</v>
      </c>
      <c r="PW43" s="122">
        <f>SUM(PW33:PW34)+PW31+PW23+PW9+PW38+PW26+PW40</f>
        <v>0</v>
      </c>
      <c r="PX43" s="122">
        <f>SUM(PX33:PX34)+PX31+PX23+PX9+PX38+PX26+PX40</f>
        <v>1</v>
      </c>
      <c r="PY43" s="122">
        <f>SUM(PY33:PY34)+PY31+PY23+PY9+PY38+PY26+PY40</f>
        <v>0</v>
      </c>
      <c r="PZ43" s="122">
        <f>SUM(PZ33:PZ34)+PZ31+PZ23+PZ9+PZ38+PZ26+PZ40</f>
        <v>1</v>
      </c>
      <c r="QA43" s="122">
        <f>SUM(QA33:QA34)+QA31+QA23+QA9+QA38+QA26+QA40</f>
        <v>0</v>
      </c>
      <c r="QB43" s="122">
        <f>SUM(QB33:QB34)+QB31+QB23+QB9+QB38+QB26+QB40</f>
        <v>1</v>
      </c>
      <c r="QC43" s="122">
        <f>SUM(QC33:QC34)+QC31+QC23+QC9+QC38+QC26+QC40</f>
        <v>0</v>
      </c>
      <c r="QD43" s="122">
        <f>SUM(QD33:QD34)+QD31+QD23+QD9+QD38+QD26+QD40</f>
        <v>1</v>
      </c>
      <c r="QE43" s="122">
        <f>SUM(QE33:QE34)+QE31+QE23+QE9+QE38+QE26+QE40</f>
        <v>0</v>
      </c>
      <c r="QF43" s="122">
        <f>SUM(QF33:QF34)+QF31+QF23+QF9+QF38+QF26+QF40</f>
        <v>0</v>
      </c>
      <c r="QG43" s="122">
        <f>SUM(QG33:QG34)+QG31+QG23+QG9+QG38+QG26+QG40</f>
        <v>0</v>
      </c>
      <c r="QH43" s="122">
        <f>SUM(QH33:QH34)+QH31+QH23+QH9+QH38+QH26+QH40</f>
        <v>0</v>
      </c>
      <c r="QI43" s="122">
        <f>SUM(QI33:QI34)+QI31+QI23+QI9+QI38+QI26+QI40</f>
        <v>1</v>
      </c>
      <c r="QJ43" s="122">
        <f>SUM(QJ33:QJ34)+QJ31+QJ23+QJ9+QJ38+QJ26+QJ40</f>
        <v>0</v>
      </c>
      <c r="QK43" s="122">
        <f>SUM(QK33:QK34)+QK31+QK23+QK9+QK38+QK26+QK40</f>
        <v>1</v>
      </c>
      <c r="QL43" s="122">
        <f>SUM(QL33:QL34)+QL31+QL23+QL9+QL38+QL26+QL40</f>
        <v>0</v>
      </c>
      <c r="QM43" s="122">
        <f>SUM(QM33:QM34)+QM31+QM23+QM9+QM38+QM26+QM40</f>
        <v>1</v>
      </c>
      <c r="QN43" s="122">
        <f>SUM(QN33:QN34)+QN31+QN23+QN9+QN38+QN26+QN40</f>
        <v>0</v>
      </c>
      <c r="QO43" s="122">
        <f>SUM(QO33:QO34)+QO31+QO23+QO9+QO38+QO26+QO40</f>
        <v>1</v>
      </c>
      <c r="QP43" s="122">
        <f>SUM(QP33:QP34)+QP31+QP23+QP9+QP38+QP26+QP40</f>
        <v>0</v>
      </c>
      <c r="QQ43" s="122">
        <f>SUM(QQ33:QQ34)+QQ31+QQ23+QQ9+QQ38+QQ26+QQ40</f>
        <v>0</v>
      </c>
      <c r="QR43" s="122">
        <f>SUM(QR33:QR34)+QR31+QR23+QR9+QR38+QR26+QR40</f>
        <v>1</v>
      </c>
      <c r="QS43" s="122">
        <f>SUM(QS33:QS34)+QS31+QS23+QS9+QS38+QS26+QS40</f>
        <v>0</v>
      </c>
      <c r="QT43" s="122">
        <f>SUM(QT33:QT34)+QT31+QT23+QT9+QT38+QT26+QT40</f>
        <v>0</v>
      </c>
      <c r="QU43" s="122">
        <f>SUM(QU33:QU34)+QU31+QU23+QU9+QU38+QU26+QU40</f>
        <v>1</v>
      </c>
      <c r="QV43" s="122">
        <f>SUM(QV33:QV34)+QV31+QV23+QV9+QV38+QV26+QV40</f>
        <v>0</v>
      </c>
      <c r="QW43" s="122">
        <f>SUM(QW33:QW34)+QW31+QW23+QW9+QW38+QW26+QW40</f>
        <v>0</v>
      </c>
      <c r="QX43" s="122">
        <f>SUM(QX33:QX34)+QX31+QX23+QX9+QX38+QX26+QX40</f>
        <v>0</v>
      </c>
      <c r="QY43" s="122">
        <f>SUM(QY33:QY34)+QY31+QY23+QY9+QY38+QY26+QY40</f>
        <v>0</v>
      </c>
      <c r="QZ43" s="122">
        <f>SUM(QZ33:QZ34)+QZ31+QZ23+QZ9+QZ38+QZ26+QZ40</f>
        <v>1</v>
      </c>
      <c r="RA43" s="122">
        <f>SUM(RA33:RA34)+RA31+RA23+RA9+RA38+RA26+RA40</f>
        <v>0</v>
      </c>
      <c r="RB43" s="122">
        <f>SUM(RB33:RB34)+RB31+RB23+RB9+RB38+RB26+RB40</f>
        <v>1</v>
      </c>
      <c r="RC43" s="122">
        <f>SUM(RC33:RC34)+RC31+RC23+RC9+RC38+RC26+RC40</f>
        <v>0</v>
      </c>
      <c r="RD43" s="122">
        <f>SUM(RD33:RD34)+RD31+RD23+RD9+RD38+RD26+RD40</f>
        <v>1</v>
      </c>
      <c r="RE43" s="122">
        <f>SUM(RE33:RE34)+RE31+RE23+RE9+RE38+RE26+RE40</f>
        <v>0</v>
      </c>
      <c r="RF43" s="122">
        <f>SUM(RF33:RF34)+RF31+RF23+RF9+RF38+RF26+RF40</f>
        <v>1</v>
      </c>
      <c r="RG43" s="122">
        <f>SUM(RG33:RG34)+RG31+RG23+RG9+RG38+RG26+RG40</f>
        <v>0</v>
      </c>
      <c r="RH43" s="122">
        <f>SUM(RH33:RH34)+RH31+RH23+RH9+RH38+RH26+RH40</f>
        <v>0</v>
      </c>
      <c r="RI43" s="122">
        <f>SUM(RI33:RI34)+RI31+RI23+RI9+RI38+RI26+RI40</f>
        <v>0</v>
      </c>
      <c r="RJ43" s="122">
        <f>SUM(RJ33:RJ34)+RJ31+RJ23+RJ9+RJ38+RJ26+RJ40</f>
        <v>0</v>
      </c>
      <c r="RK43" s="122">
        <f>SUM(RK33:RK34)+RK31+RK23+RK9+RK38+RK26+RK40</f>
        <v>1</v>
      </c>
      <c r="RL43" s="122">
        <f>SUM(RL33:RL34)+RL31+RL23+RL9+RL38+RL26+RL40</f>
        <v>1</v>
      </c>
      <c r="RM43" s="122">
        <f>SUM(RM33:RM34)+RM31+RM23+RM9+RM38+RM26+RM40</f>
        <v>0</v>
      </c>
      <c r="RN43" s="122">
        <f>SUM(RN33:RN34)+RN31+RN23+RN9+RN38+RN26+RN40</f>
        <v>0</v>
      </c>
      <c r="RO43" s="122">
        <f>SUM(RO33:RO34)+RO31+RO23+RO9+RO38+RO26+RO40</f>
        <v>0</v>
      </c>
      <c r="RP43" s="122">
        <f>SUM(RP33:RP34)+RP31+RP23+RP9+RP38+RP26+RP40</f>
        <v>0</v>
      </c>
      <c r="RQ43" s="122">
        <f>SUM(RQ33:RQ34)+RQ31+RQ23+RQ9+RQ38+RQ26+RQ40</f>
        <v>0</v>
      </c>
      <c r="RR43" s="122">
        <f>SUM(RR33:RR34)+RR31+RR23+RR9+RR38+RR26+RR40</f>
        <v>0</v>
      </c>
      <c r="RS43" s="122">
        <f>SUM(RS33:RS34)+RS31+RS23+RS9+RS38+RS26+RS40</f>
        <v>0</v>
      </c>
      <c r="RT43" s="122">
        <f>SUM(RT33:RT34)+RT31+RT23+RT9+RT38+RT26+RT40</f>
        <v>0</v>
      </c>
      <c r="RU43" s="122">
        <f>SUM(RU33:RU34)+RU31+RU23+RU9+RU38+RU26+RU40</f>
        <v>50</v>
      </c>
      <c r="RV43" s="122">
        <f>SUM(RV33:RV34)+RV31+RV23+RV9+RV38+RV26+RV40</f>
        <v>0</v>
      </c>
      <c r="RW43" s="122">
        <f>SUM(RW33:RW34)+RW31+RW23+RW9+RW38+RW26+RW40</f>
        <v>3</v>
      </c>
      <c r="RX43" s="122">
        <f>SUM(RX33:RX34)+RX31+RX23+RX9+RX38+RX26+RX40</f>
        <v>0</v>
      </c>
      <c r="RY43" s="122">
        <f>SUM(RY33:RY34)+RY31+RY23+RY9+RY38+RY26+RY40</f>
        <v>3</v>
      </c>
      <c r="RZ43" s="122">
        <f>SUM(RZ33:RZ34)+RZ31+RZ23+RZ9+RZ38+RZ26+RZ40</f>
        <v>0</v>
      </c>
      <c r="SA43" s="122">
        <f>SUM(SA33:SA34)+SA31+SA23+SA9+SA38+SA26+SA40</f>
        <v>0</v>
      </c>
      <c r="SB43" s="122">
        <f>SUM(SB33:SB34)+SB31+SB23+SB9+SB38+SB26+SB40</f>
        <v>1</v>
      </c>
      <c r="SC43" s="122">
        <f>SUM(SC33:SC34)+SC31+SC23+SC9+SC38+SC26+SC40</f>
        <v>0</v>
      </c>
      <c r="SD43" s="122">
        <f>SUM(SD33:SD34)+SD31+SD23+SD9+SD38+SD26+SD40</f>
        <v>0</v>
      </c>
      <c r="SE43" s="122">
        <f>SUM(SE33:SE34)+SE31+SE23+SE9+SE38+SE26+SE40</f>
        <v>0</v>
      </c>
      <c r="SF43" s="122">
        <f>SUM(SF33:SF34)+SF31+SF23+SF9+SF38+SF26+SF40</f>
        <v>0</v>
      </c>
      <c r="SG43" s="122">
        <f>SUM(SG33:SG34)+SG31+SG23+SG9+SG38+SG26+SG40</f>
        <v>0</v>
      </c>
      <c r="SH43" s="122">
        <f>SUM(SH33:SH34)+SH31+SH23+SH9+SH38+SH26+SH40</f>
        <v>0</v>
      </c>
      <c r="SI43" s="122">
        <f>SUM(SI33:SI34)+SI31+SI23+SI9+SI38+SI26+SI40</f>
        <v>0</v>
      </c>
      <c r="SJ43" s="122">
        <f>SUM(SJ33:SJ34)+SJ31+SJ23+SJ9+SJ38+SJ26+SJ40</f>
        <v>0</v>
      </c>
      <c r="SK43" s="122">
        <f>SUM(SK33:SK34)+SK31+SK23+SK9+SK38+SK26+SK40</f>
        <v>0</v>
      </c>
      <c r="SL43" s="122">
        <f>SUM(SL33:SL34)+SL31+SL23+SL9+SL38+SL26+SL40</f>
        <v>0</v>
      </c>
      <c r="SM43" s="122">
        <f>SUM(SM33:SM34)+SM31+SM23+SM9+SM38+SM26+SM40</f>
        <v>0</v>
      </c>
      <c r="SN43" s="122">
        <f>SUM(SN33:SN34)+SN31+SN23+SN9+SN38+SN26+SN40</f>
        <v>0</v>
      </c>
      <c r="SO43" s="122">
        <f>SUM(SO33:SO34)+SO31+SO23+SO9+SO38+SO26+SO40</f>
        <v>2</v>
      </c>
      <c r="SP43" s="122">
        <f>SUM(SP33:SP34)+SP31+SP23+SP9+SP38+SP26+SP40</f>
        <v>2</v>
      </c>
      <c r="SQ43" s="122"/>
      <c r="SR43" s="122"/>
      <c r="SS43" s="180"/>
    </row>
    <row r="44" spans="1:513" s="151" customFormat="1" ht="20.25" customHeight="1">
      <c r="A44" s="221" t="s">
        <v>447</v>
      </c>
      <c r="B44" s="222"/>
      <c r="C44" s="222"/>
      <c r="D44" s="222"/>
      <c r="E44" s="223"/>
      <c r="F44" s="150">
        <f>F24+F12</f>
        <v>0</v>
      </c>
      <c r="G44" s="150">
        <f t="shared" ref="G44:BR44" si="241">G24+G12</f>
        <v>0</v>
      </c>
      <c r="H44" s="150">
        <f t="shared" si="241"/>
        <v>0</v>
      </c>
      <c r="I44" s="150">
        <f t="shared" si="241"/>
        <v>0</v>
      </c>
      <c r="J44" s="150">
        <f t="shared" si="241"/>
        <v>0</v>
      </c>
      <c r="K44" s="150">
        <f t="shared" si="241"/>
        <v>0</v>
      </c>
      <c r="L44" s="150">
        <f t="shared" si="241"/>
        <v>0</v>
      </c>
      <c r="M44" s="150">
        <f t="shared" si="241"/>
        <v>0</v>
      </c>
      <c r="N44" s="150">
        <f t="shared" si="241"/>
        <v>0</v>
      </c>
      <c r="O44" s="150">
        <f t="shared" si="241"/>
        <v>0</v>
      </c>
      <c r="P44" s="150">
        <f t="shared" si="241"/>
        <v>0</v>
      </c>
      <c r="Q44" s="150">
        <f t="shared" si="241"/>
        <v>0</v>
      </c>
      <c r="R44" s="150">
        <f t="shared" si="241"/>
        <v>0</v>
      </c>
      <c r="S44" s="150">
        <f t="shared" si="241"/>
        <v>0</v>
      </c>
      <c r="T44" s="150">
        <f t="shared" si="241"/>
        <v>0</v>
      </c>
      <c r="U44" s="150">
        <f t="shared" si="241"/>
        <v>0</v>
      </c>
      <c r="V44" s="150">
        <f t="shared" si="241"/>
        <v>0</v>
      </c>
      <c r="W44" s="150">
        <f t="shared" si="241"/>
        <v>0</v>
      </c>
      <c r="X44" s="150">
        <f t="shared" si="241"/>
        <v>0</v>
      </c>
      <c r="Y44" s="150">
        <f t="shared" si="241"/>
        <v>0</v>
      </c>
      <c r="Z44" s="150">
        <f t="shared" si="241"/>
        <v>0</v>
      </c>
      <c r="AA44" s="150">
        <f t="shared" si="241"/>
        <v>0</v>
      </c>
      <c r="AB44" s="150">
        <f t="shared" si="241"/>
        <v>0</v>
      </c>
      <c r="AC44" s="150">
        <f t="shared" si="241"/>
        <v>0</v>
      </c>
      <c r="AD44" s="150">
        <f t="shared" si="241"/>
        <v>0</v>
      </c>
      <c r="AE44" s="150">
        <f t="shared" si="241"/>
        <v>0</v>
      </c>
      <c r="AF44" s="150">
        <f t="shared" si="241"/>
        <v>0</v>
      </c>
      <c r="AG44" s="150">
        <f t="shared" si="241"/>
        <v>0</v>
      </c>
      <c r="AH44" s="150">
        <f t="shared" si="241"/>
        <v>0</v>
      </c>
      <c r="AI44" s="150">
        <f t="shared" si="241"/>
        <v>0</v>
      </c>
      <c r="AJ44" s="150">
        <f t="shared" si="241"/>
        <v>0</v>
      </c>
      <c r="AK44" s="150">
        <f t="shared" si="241"/>
        <v>0</v>
      </c>
      <c r="AL44" s="150">
        <f t="shared" si="241"/>
        <v>0</v>
      </c>
      <c r="AM44" s="150">
        <f t="shared" si="241"/>
        <v>0</v>
      </c>
      <c r="AN44" s="150">
        <f t="shared" si="241"/>
        <v>0</v>
      </c>
      <c r="AO44" s="150">
        <f t="shared" si="241"/>
        <v>0</v>
      </c>
      <c r="AP44" s="150">
        <f t="shared" si="241"/>
        <v>0</v>
      </c>
      <c r="AQ44" s="150">
        <f t="shared" si="241"/>
        <v>0</v>
      </c>
      <c r="AR44" s="150">
        <f t="shared" si="241"/>
        <v>0</v>
      </c>
      <c r="AS44" s="150">
        <f t="shared" si="241"/>
        <v>0</v>
      </c>
      <c r="AT44" s="150">
        <f t="shared" si="241"/>
        <v>0</v>
      </c>
      <c r="AU44" s="150">
        <f t="shared" si="241"/>
        <v>0</v>
      </c>
      <c r="AV44" s="150">
        <f t="shared" si="241"/>
        <v>0</v>
      </c>
      <c r="AW44" s="150">
        <f t="shared" si="241"/>
        <v>0</v>
      </c>
      <c r="AX44" s="150">
        <f t="shared" si="241"/>
        <v>0</v>
      </c>
      <c r="AY44" s="150">
        <f t="shared" si="241"/>
        <v>0</v>
      </c>
      <c r="AZ44" s="150">
        <f t="shared" si="241"/>
        <v>0</v>
      </c>
      <c r="BA44" s="150">
        <f t="shared" si="241"/>
        <v>0</v>
      </c>
      <c r="BB44" s="150">
        <f t="shared" si="241"/>
        <v>0</v>
      </c>
      <c r="BC44" s="150">
        <f t="shared" si="241"/>
        <v>0</v>
      </c>
      <c r="BD44" s="150">
        <f t="shared" si="241"/>
        <v>0</v>
      </c>
      <c r="BE44" s="150">
        <f t="shared" si="241"/>
        <v>0</v>
      </c>
      <c r="BF44" s="150">
        <f t="shared" si="241"/>
        <v>0</v>
      </c>
      <c r="BG44" s="150">
        <f t="shared" si="241"/>
        <v>0</v>
      </c>
      <c r="BH44" s="150">
        <f t="shared" si="241"/>
        <v>0</v>
      </c>
      <c r="BI44" s="150">
        <f t="shared" si="241"/>
        <v>0</v>
      </c>
      <c r="BJ44" s="150">
        <f t="shared" si="241"/>
        <v>0</v>
      </c>
      <c r="BK44" s="150">
        <f t="shared" si="241"/>
        <v>0</v>
      </c>
      <c r="BL44" s="150">
        <f t="shared" si="241"/>
        <v>0</v>
      </c>
      <c r="BM44" s="150">
        <f t="shared" si="241"/>
        <v>0</v>
      </c>
      <c r="BN44" s="150">
        <f t="shared" si="241"/>
        <v>0</v>
      </c>
      <c r="BO44" s="150">
        <f t="shared" si="241"/>
        <v>0</v>
      </c>
      <c r="BP44" s="150">
        <f t="shared" si="241"/>
        <v>0</v>
      </c>
      <c r="BQ44" s="150">
        <f t="shared" si="241"/>
        <v>0</v>
      </c>
      <c r="BR44" s="150">
        <f t="shared" si="241"/>
        <v>0</v>
      </c>
      <c r="BS44" s="150">
        <f t="shared" ref="BS44:ED44" si="242">BS24+BS12</f>
        <v>0</v>
      </c>
      <c r="BT44" s="150">
        <f t="shared" si="242"/>
        <v>0</v>
      </c>
      <c r="BU44" s="150">
        <f t="shared" si="242"/>
        <v>0</v>
      </c>
      <c r="BV44" s="150">
        <f t="shared" si="242"/>
        <v>0</v>
      </c>
      <c r="BW44" s="150">
        <f t="shared" si="242"/>
        <v>0</v>
      </c>
      <c r="BX44" s="150">
        <f t="shared" si="242"/>
        <v>0</v>
      </c>
      <c r="BY44" s="150">
        <f t="shared" si="242"/>
        <v>0</v>
      </c>
      <c r="BZ44" s="150">
        <f t="shared" si="242"/>
        <v>0</v>
      </c>
      <c r="CA44" s="150">
        <f t="shared" si="242"/>
        <v>0</v>
      </c>
      <c r="CB44" s="150">
        <f t="shared" si="242"/>
        <v>0</v>
      </c>
      <c r="CC44" s="150">
        <f t="shared" si="242"/>
        <v>0</v>
      </c>
      <c r="CD44" s="150">
        <f t="shared" si="242"/>
        <v>0</v>
      </c>
      <c r="CE44" s="150">
        <f t="shared" si="242"/>
        <v>0</v>
      </c>
      <c r="CF44" s="150">
        <f t="shared" si="242"/>
        <v>0</v>
      </c>
      <c r="CG44" s="150">
        <f t="shared" si="242"/>
        <v>0</v>
      </c>
      <c r="CH44" s="150">
        <f t="shared" si="242"/>
        <v>0</v>
      </c>
      <c r="CI44" s="150">
        <f t="shared" si="242"/>
        <v>0</v>
      </c>
      <c r="CJ44" s="150">
        <f t="shared" si="242"/>
        <v>0</v>
      </c>
      <c r="CK44" s="150">
        <f t="shared" si="242"/>
        <v>0</v>
      </c>
      <c r="CL44" s="150">
        <f t="shared" si="242"/>
        <v>0</v>
      </c>
      <c r="CM44" s="150">
        <f t="shared" si="242"/>
        <v>0</v>
      </c>
      <c r="CN44" s="150">
        <f t="shared" si="242"/>
        <v>0</v>
      </c>
      <c r="CO44" s="150">
        <f t="shared" si="242"/>
        <v>0</v>
      </c>
      <c r="CP44" s="150">
        <f t="shared" si="242"/>
        <v>0</v>
      </c>
      <c r="CQ44" s="150">
        <f t="shared" si="242"/>
        <v>0</v>
      </c>
      <c r="CR44" s="150">
        <f t="shared" si="242"/>
        <v>0</v>
      </c>
      <c r="CS44" s="150">
        <f t="shared" si="242"/>
        <v>0</v>
      </c>
      <c r="CT44" s="150">
        <f t="shared" si="242"/>
        <v>0</v>
      </c>
      <c r="CU44" s="150">
        <f t="shared" si="242"/>
        <v>0</v>
      </c>
      <c r="CV44" s="150">
        <f t="shared" si="242"/>
        <v>0</v>
      </c>
      <c r="CW44" s="150">
        <f t="shared" si="242"/>
        <v>0</v>
      </c>
      <c r="CX44" s="150">
        <f t="shared" si="242"/>
        <v>0</v>
      </c>
      <c r="CY44" s="150">
        <f t="shared" si="242"/>
        <v>0</v>
      </c>
      <c r="CZ44" s="150">
        <f t="shared" si="242"/>
        <v>0</v>
      </c>
      <c r="DA44" s="150">
        <f t="shared" si="242"/>
        <v>0</v>
      </c>
      <c r="DB44" s="150">
        <f t="shared" si="242"/>
        <v>0</v>
      </c>
      <c r="DC44" s="150">
        <f t="shared" si="242"/>
        <v>0</v>
      </c>
      <c r="DD44" s="150">
        <f t="shared" si="242"/>
        <v>0</v>
      </c>
      <c r="DE44" s="150">
        <f t="shared" si="242"/>
        <v>0</v>
      </c>
      <c r="DF44" s="150">
        <f t="shared" si="242"/>
        <v>0</v>
      </c>
      <c r="DG44" s="150">
        <f t="shared" si="242"/>
        <v>0</v>
      </c>
      <c r="DH44" s="150">
        <f t="shared" si="242"/>
        <v>0</v>
      </c>
      <c r="DI44" s="150">
        <f t="shared" si="242"/>
        <v>0</v>
      </c>
      <c r="DJ44" s="150">
        <f t="shared" si="242"/>
        <v>0</v>
      </c>
      <c r="DK44" s="150">
        <f t="shared" si="242"/>
        <v>0</v>
      </c>
      <c r="DL44" s="150">
        <f t="shared" si="242"/>
        <v>0</v>
      </c>
      <c r="DM44" s="150">
        <f t="shared" si="242"/>
        <v>0</v>
      </c>
      <c r="DN44" s="150">
        <f t="shared" si="242"/>
        <v>0</v>
      </c>
      <c r="DO44" s="150">
        <f t="shared" si="242"/>
        <v>0</v>
      </c>
      <c r="DP44" s="150">
        <f t="shared" si="242"/>
        <v>0</v>
      </c>
      <c r="DQ44" s="150">
        <f t="shared" si="242"/>
        <v>0</v>
      </c>
      <c r="DR44" s="150">
        <f t="shared" si="242"/>
        <v>0</v>
      </c>
      <c r="DS44" s="150">
        <f t="shared" si="242"/>
        <v>0</v>
      </c>
      <c r="DT44" s="150">
        <f t="shared" si="242"/>
        <v>0</v>
      </c>
      <c r="DU44" s="150">
        <f t="shared" si="242"/>
        <v>0</v>
      </c>
      <c r="DV44" s="150">
        <f t="shared" si="242"/>
        <v>0</v>
      </c>
      <c r="DW44" s="150">
        <f t="shared" si="242"/>
        <v>0</v>
      </c>
      <c r="DX44" s="150">
        <f t="shared" si="242"/>
        <v>0</v>
      </c>
      <c r="DY44" s="150">
        <f t="shared" si="242"/>
        <v>0</v>
      </c>
      <c r="DZ44" s="150">
        <f t="shared" si="242"/>
        <v>0</v>
      </c>
      <c r="EA44" s="150">
        <f t="shared" si="242"/>
        <v>0</v>
      </c>
      <c r="EB44" s="150">
        <f t="shared" si="242"/>
        <v>0</v>
      </c>
      <c r="EC44" s="150">
        <f t="shared" si="242"/>
        <v>0</v>
      </c>
      <c r="ED44" s="150">
        <f t="shared" si="242"/>
        <v>0</v>
      </c>
      <c r="EE44" s="150">
        <f t="shared" ref="EE44:GP44" si="243">EE24+EE12</f>
        <v>0</v>
      </c>
      <c r="EF44" s="150">
        <f t="shared" si="243"/>
        <v>0</v>
      </c>
      <c r="EG44" s="150">
        <f t="shared" si="243"/>
        <v>0</v>
      </c>
      <c r="EH44" s="150">
        <f t="shared" si="243"/>
        <v>0</v>
      </c>
      <c r="EI44" s="150">
        <f t="shared" si="243"/>
        <v>0</v>
      </c>
      <c r="EJ44" s="150">
        <f t="shared" si="243"/>
        <v>0</v>
      </c>
      <c r="EK44" s="150">
        <f t="shared" si="243"/>
        <v>0</v>
      </c>
      <c r="EL44" s="150">
        <f t="shared" si="243"/>
        <v>0</v>
      </c>
      <c r="EM44" s="150">
        <f t="shared" si="243"/>
        <v>0</v>
      </c>
      <c r="EN44" s="150">
        <f t="shared" si="243"/>
        <v>0</v>
      </c>
      <c r="EO44" s="150">
        <f t="shared" si="243"/>
        <v>0</v>
      </c>
      <c r="EP44" s="150">
        <f t="shared" si="243"/>
        <v>0</v>
      </c>
      <c r="EQ44" s="150">
        <f t="shared" si="243"/>
        <v>0</v>
      </c>
      <c r="ER44" s="150">
        <f t="shared" si="243"/>
        <v>0</v>
      </c>
      <c r="ES44" s="150">
        <f t="shared" si="243"/>
        <v>0</v>
      </c>
      <c r="ET44" s="150">
        <f t="shared" si="243"/>
        <v>0</v>
      </c>
      <c r="EU44" s="150">
        <f t="shared" si="243"/>
        <v>0</v>
      </c>
      <c r="EV44" s="150">
        <f t="shared" si="243"/>
        <v>0</v>
      </c>
      <c r="EW44" s="150">
        <f t="shared" si="243"/>
        <v>0</v>
      </c>
      <c r="EX44" s="150">
        <f t="shared" si="243"/>
        <v>0</v>
      </c>
      <c r="EY44" s="150">
        <f t="shared" si="243"/>
        <v>0</v>
      </c>
      <c r="EZ44" s="150">
        <f t="shared" si="243"/>
        <v>0</v>
      </c>
      <c r="FA44" s="150">
        <f t="shared" si="243"/>
        <v>0</v>
      </c>
      <c r="FB44" s="150">
        <f t="shared" si="243"/>
        <v>0</v>
      </c>
      <c r="FC44" s="150">
        <f t="shared" si="243"/>
        <v>0</v>
      </c>
      <c r="FD44" s="150">
        <f t="shared" si="243"/>
        <v>0</v>
      </c>
      <c r="FE44" s="150">
        <f t="shared" si="243"/>
        <v>0</v>
      </c>
      <c r="FF44" s="150">
        <f t="shared" si="243"/>
        <v>0</v>
      </c>
      <c r="FG44" s="150">
        <f t="shared" si="243"/>
        <v>0</v>
      </c>
      <c r="FH44" s="150">
        <f t="shared" si="243"/>
        <v>0</v>
      </c>
      <c r="FI44" s="150">
        <f t="shared" si="243"/>
        <v>0</v>
      </c>
      <c r="FJ44" s="150">
        <f t="shared" si="243"/>
        <v>0</v>
      </c>
      <c r="FK44" s="150">
        <f t="shared" si="243"/>
        <v>0</v>
      </c>
      <c r="FL44" s="150">
        <f t="shared" si="243"/>
        <v>0</v>
      </c>
      <c r="FM44" s="150">
        <f t="shared" si="243"/>
        <v>0</v>
      </c>
      <c r="FN44" s="150">
        <f t="shared" si="243"/>
        <v>0</v>
      </c>
      <c r="FO44" s="150">
        <f t="shared" si="243"/>
        <v>0</v>
      </c>
      <c r="FP44" s="150">
        <f t="shared" si="243"/>
        <v>0</v>
      </c>
      <c r="FQ44" s="150">
        <f t="shared" si="243"/>
        <v>0</v>
      </c>
      <c r="FR44" s="150">
        <f t="shared" si="243"/>
        <v>0</v>
      </c>
      <c r="FS44" s="150">
        <f t="shared" si="243"/>
        <v>0</v>
      </c>
      <c r="FT44" s="150">
        <f t="shared" si="243"/>
        <v>0</v>
      </c>
      <c r="FU44" s="150">
        <f t="shared" si="243"/>
        <v>0</v>
      </c>
      <c r="FV44" s="150">
        <f t="shared" si="243"/>
        <v>0</v>
      </c>
      <c r="FW44" s="150">
        <f t="shared" si="243"/>
        <v>0</v>
      </c>
      <c r="FX44" s="150">
        <f t="shared" si="243"/>
        <v>0</v>
      </c>
      <c r="FY44" s="150">
        <f t="shared" si="243"/>
        <v>0</v>
      </c>
      <c r="FZ44" s="150">
        <f t="shared" si="243"/>
        <v>0</v>
      </c>
      <c r="GA44" s="150">
        <f t="shared" si="243"/>
        <v>0</v>
      </c>
      <c r="GB44" s="150">
        <f t="shared" si="243"/>
        <v>0</v>
      </c>
      <c r="GC44" s="150">
        <f t="shared" si="243"/>
        <v>0</v>
      </c>
      <c r="GD44" s="150">
        <f t="shared" si="243"/>
        <v>0</v>
      </c>
      <c r="GE44" s="150">
        <f t="shared" si="243"/>
        <v>0</v>
      </c>
      <c r="GF44" s="150">
        <f t="shared" si="243"/>
        <v>0</v>
      </c>
      <c r="GG44" s="150">
        <f t="shared" si="243"/>
        <v>0</v>
      </c>
      <c r="GH44" s="150">
        <f t="shared" si="243"/>
        <v>0</v>
      </c>
      <c r="GI44" s="150">
        <f t="shared" si="243"/>
        <v>0</v>
      </c>
      <c r="GJ44" s="150">
        <f t="shared" si="243"/>
        <v>0</v>
      </c>
      <c r="GK44" s="150">
        <f t="shared" si="243"/>
        <v>0</v>
      </c>
      <c r="GL44" s="150">
        <f t="shared" si="243"/>
        <v>0</v>
      </c>
      <c r="GM44" s="150">
        <f t="shared" si="243"/>
        <v>0</v>
      </c>
      <c r="GN44" s="150">
        <f t="shared" si="243"/>
        <v>0</v>
      </c>
      <c r="GO44" s="150">
        <f t="shared" si="243"/>
        <v>0</v>
      </c>
      <c r="GP44" s="150">
        <f t="shared" si="243"/>
        <v>0</v>
      </c>
      <c r="GQ44" s="150">
        <f t="shared" ref="GQ44:JB44" si="244">GQ24+GQ12</f>
        <v>0</v>
      </c>
      <c r="GR44" s="150">
        <f t="shared" si="244"/>
        <v>0</v>
      </c>
      <c r="GS44" s="150">
        <f t="shared" si="244"/>
        <v>0</v>
      </c>
      <c r="GT44" s="150">
        <f t="shared" si="244"/>
        <v>0</v>
      </c>
      <c r="GU44" s="150">
        <f t="shared" si="244"/>
        <v>0</v>
      </c>
      <c r="GV44" s="150">
        <f t="shared" si="244"/>
        <v>0</v>
      </c>
      <c r="GW44" s="150">
        <f t="shared" si="244"/>
        <v>0</v>
      </c>
      <c r="GX44" s="150">
        <f t="shared" si="244"/>
        <v>0</v>
      </c>
      <c r="GY44" s="150">
        <f t="shared" si="244"/>
        <v>0</v>
      </c>
      <c r="GZ44" s="150">
        <f t="shared" si="244"/>
        <v>0</v>
      </c>
      <c r="HA44" s="150">
        <f t="shared" si="244"/>
        <v>0</v>
      </c>
      <c r="HB44" s="150">
        <f t="shared" si="244"/>
        <v>0</v>
      </c>
      <c r="HC44" s="150">
        <f t="shared" si="244"/>
        <v>0</v>
      </c>
      <c r="HD44" s="150">
        <f t="shared" si="244"/>
        <v>0</v>
      </c>
      <c r="HE44" s="150">
        <f t="shared" si="244"/>
        <v>0</v>
      </c>
      <c r="HF44" s="150">
        <f t="shared" si="244"/>
        <v>0</v>
      </c>
      <c r="HG44" s="150">
        <f t="shared" si="244"/>
        <v>0</v>
      </c>
      <c r="HH44" s="150">
        <f t="shared" si="244"/>
        <v>0</v>
      </c>
      <c r="HI44" s="150">
        <f t="shared" si="244"/>
        <v>0</v>
      </c>
      <c r="HJ44" s="150">
        <f t="shared" si="244"/>
        <v>0</v>
      </c>
      <c r="HK44" s="150">
        <f t="shared" si="244"/>
        <v>0</v>
      </c>
      <c r="HL44" s="150">
        <f t="shared" si="244"/>
        <v>0</v>
      </c>
      <c r="HM44" s="150">
        <f t="shared" si="244"/>
        <v>0</v>
      </c>
      <c r="HN44" s="150">
        <f t="shared" si="244"/>
        <v>0</v>
      </c>
      <c r="HO44" s="150">
        <f t="shared" si="244"/>
        <v>0</v>
      </c>
      <c r="HP44" s="150">
        <f t="shared" si="244"/>
        <v>0</v>
      </c>
      <c r="HQ44" s="150">
        <f t="shared" si="244"/>
        <v>0</v>
      </c>
      <c r="HR44" s="150">
        <f t="shared" si="244"/>
        <v>0</v>
      </c>
      <c r="HS44" s="150">
        <f t="shared" si="244"/>
        <v>0</v>
      </c>
      <c r="HT44" s="150">
        <f t="shared" si="244"/>
        <v>0</v>
      </c>
      <c r="HU44" s="150">
        <f t="shared" si="244"/>
        <v>0</v>
      </c>
      <c r="HV44" s="150">
        <f t="shared" si="244"/>
        <v>0</v>
      </c>
      <c r="HW44" s="150">
        <f t="shared" si="244"/>
        <v>0</v>
      </c>
      <c r="HX44" s="150">
        <f t="shared" si="244"/>
        <v>0</v>
      </c>
      <c r="HY44" s="150">
        <f t="shared" si="244"/>
        <v>0</v>
      </c>
      <c r="HZ44" s="150">
        <f t="shared" si="244"/>
        <v>0</v>
      </c>
      <c r="IA44" s="150">
        <f t="shared" si="244"/>
        <v>0</v>
      </c>
      <c r="IB44" s="150">
        <f t="shared" si="244"/>
        <v>0</v>
      </c>
      <c r="IC44" s="150">
        <f t="shared" si="244"/>
        <v>0</v>
      </c>
      <c r="ID44" s="150">
        <f t="shared" si="244"/>
        <v>0</v>
      </c>
      <c r="IE44" s="150">
        <f t="shared" si="244"/>
        <v>0</v>
      </c>
      <c r="IF44" s="150">
        <f t="shared" si="244"/>
        <v>0</v>
      </c>
      <c r="IG44" s="150">
        <f t="shared" si="244"/>
        <v>0</v>
      </c>
      <c r="IH44" s="150">
        <f t="shared" si="244"/>
        <v>0</v>
      </c>
      <c r="II44" s="150">
        <f t="shared" si="244"/>
        <v>0</v>
      </c>
      <c r="IJ44" s="150">
        <f t="shared" si="244"/>
        <v>0</v>
      </c>
      <c r="IK44" s="150">
        <f t="shared" si="244"/>
        <v>0</v>
      </c>
      <c r="IL44" s="150">
        <f t="shared" si="244"/>
        <v>0</v>
      </c>
      <c r="IM44" s="150">
        <f t="shared" si="244"/>
        <v>0</v>
      </c>
      <c r="IN44" s="150">
        <f t="shared" si="244"/>
        <v>0</v>
      </c>
      <c r="IO44" s="150">
        <f t="shared" si="244"/>
        <v>0</v>
      </c>
      <c r="IP44" s="150">
        <f t="shared" si="244"/>
        <v>0</v>
      </c>
      <c r="IQ44" s="150">
        <f t="shared" si="244"/>
        <v>0</v>
      </c>
      <c r="IR44" s="150">
        <f t="shared" si="244"/>
        <v>0</v>
      </c>
      <c r="IS44" s="150">
        <f t="shared" si="244"/>
        <v>0</v>
      </c>
      <c r="IT44" s="150">
        <f t="shared" si="244"/>
        <v>0</v>
      </c>
      <c r="IU44" s="150">
        <f t="shared" si="244"/>
        <v>0</v>
      </c>
      <c r="IV44" s="150">
        <f t="shared" si="244"/>
        <v>0</v>
      </c>
      <c r="IW44" s="150">
        <f t="shared" si="244"/>
        <v>0</v>
      </c>
      <c r="IX44" s="150">
        <f t="shared" si="244"/>
        <v>0</v>
      </c>
      <c r="IY44" s="150">
        <f t="shared" si="244"/>
        <v>0</v>
      </c>
      <c r="IZ44" s="150">
        <f t="shared" si="244"/>
        <v>0</v>
      </c>
      <c r="JA44" s="150">
        <f t="shared" si="244"/>
        <v>0</v>
      </c>
      <c r="JB44" s="150">
        <f t="shared" si="244"/>
        <v>0</v>
      </c>
      <c r="JC44" s="150">
        <f t="shared" ref="JC44:LN44" si="245">JC24+JC12</f>
        <v>0</v>
      </c>
      <c r="JD44" s="150">
        <f t="shared" si="245"/>
        <v>0</v>
      </c>
      <c r="JE44" s="150">
        <f t="shared" si="245"/>
        <v>0</v>
      </c>
      <c r="JF44" s="150">
        <f t="shared" si="245"/>
        <v>0</v>
      </c>
      <c r="JG44" s="150">
        <f t="shared" si="245"/>
        <v>0</v>
      </c>
      <c r="JH44" s="150">
        <f t="shared" si="245"/>
        <v>0</v>
      </c>
      <c r="JI44" s="150">
        <f t="shared" si="245"/>
        <v>0</v>
      </c>
      <c r="JJ44" s="150">
        <f t="shared" si="245"/>
        <v>0</v>
      </c>
      <c r="JK44" s="150">
        <f t="shared" si="245"/>
        <v>0</v>
      </c>
      <c r="JL44" s="150">
        <f t="shared" si="245"/>
        <v>0</v>
      </c>
      <c r="JM44" s="150">
        <f t="shared" si="245"/>
        <v>0</v>
      </c>
      <c r="JN44" s="150">
        <f t="shared" si="245"/>
        <v>0</v>
      </c>
      <c r="JO44" s="150">
        <f t="shared" si="245"/>
        <v>0</v>
      </c>
      <c r="JP44" s="150">
        <f t="shared" si="245"/>
        <v>0</v>
      </c>
      <c r="JQ44" s="150">
        <f t="shared" si="245"/>
        <v>0</v>
      </c>
      <c r="JR44" s="150">
        <f t="shared" si="245"/>
        <v>0</v>
      </c>
      <c r="JS44" s="150">
        <f t="shared" si="245"/>
        <v>0</v>
      </c>
      <c r="JT44" s="150">
        <f t="shared" si="245"/>
        <v>0</v>
      </c>
      <c r="JU44" s="150">
        <f t="shared" si="245"/>
        <v>0</v>
      </c>
      <c r="JV44" s="150">
        <f t="shared" si="245"/>
        <v>0</v>
      </c>
      <c r="JW44" s="150">
        <f t="shared" si="245"/>
        <v>0</v>
      </c>
      <c r="JX44" s="150">
        <f t="shared" si="245"/>
        <v>0</v>
      </c>
      <c r="JY44" s="150">
        <f t="shared" si="245"/>
        <v>0</v>
      </c>
      <c r="JZ44" s="150">
        <f t="shared" si="245"/>
        <v>0</v>
      </c>
      <c r="KA44" s="150">
        <f t="shared" si="245"/>
        <v>0</v>
      </c>
      <c r="KB44" s="150">
        <f t="shared" si="245"/>
        <v>0</v>
      </c>
      <c r="KC44" s="150">
        <f t="shared" si="245"/>
        <v>0</v>
      </c>
      <c r="KD44" s="150">
        <f t="shared" si="245"/>
        <v>0</v>
      </c>
      <c r="KE44" s="150">
        <f t="shared" si="245"/>
        <v>0</v>
      </c>
      <c r="KF44" s="150">
        <f t="shared" si="245"/>
        <v>0</v>
      </c>
      <c r="KG44" s="150">
        <f t="shared" si="245"/>
        <v>0</v>
      </c>
      <c r="KH44" s="150">
        <f t="shared" si="245"/>
        <v>0</v>
      </c>
      <c r="KI44" s="150">
        <f t="shared" si="245"/>
        <v>0</v>
      </c>
      <c r="KJ44" s="150">
        <f t="shared" si="245"/>
        <v>0</v>
      </c>
      <c r="KK44" s="150">
        <f t="shared" si="245"/>
        <v>0</v>
      </c>
      <c r="KL44" s="150">
        <f t="shared" si="245"/>
        <v>0</v>
      </c>
      <c r="KM44" s="150">
        <f t="shared" si="245"/>
        <v>0</v>
      </c>
      <c r="KN44" s="150">
        <f t="shared" si="245"/>
        <v>0</v>
      </c>
      <c r="KO44" s="150">
        <f t="shared" si="245"/>
        <v>0</v>
      </c>
      <c r="KP44" s="150">
        <f t="shared" si="245"/>
        <v>0</v>
      </c>
      <c r="KQ44" s="150">
        <f t="shared" si="245"/>
        <v>0</v>
      </c>
      <c r="KR44" s="150">
        <f t="shared" si="245"/>
        <v>0</v>
      </c>
      <c r="KS44" s="150">
        <f t="shared" si="245"/>
        <v>0</v>
      </c>
      <c r="KT44" s="150">
        <f t="shared" si="245"/>
        <v>0</v>
      </c>
      <c r="KU44" s="150">
        <f t="shared" si="245"/>
        <v>0</v>
      </c>
      <c r="KV44" s="150">
        <f t="shared" si="245"/>
        <v>0</v>
      </c>
      <c r="KW44" s="150">
        <f t="shared" si="245"/>
        <v>0</v>
      </c>
      <c r="KX44" s="150">
        <f t="shared" si="245"/>
        <v>0</v>
      </c>
      <c r="KY44" s="150">
        <f t="shared" si="245"/>
        <v>0</v>
      </c>
      <c r="KZ44" s="150">
        <f t="shared" si="245"/>
        <v>0</v>
      </c>
      <c r="LA44" s="150">
        <f t="shared" si="245"/>
        <v>0</v>
      </c>
      <c r="LB44" s="150">
        <f t="shared" si="245"/>
        <v>0</v>
      </c>
      <c r="LC44" s="150">
        <f t="shared" si="245"/>
        <v>0</v>
      </c>
      <c r="LD44" s="150">
        <f t="shared" si="245"/>
        <v>0</v>
      </c>
      <c r="LE44" s="150">
        <f t="shared" si="245"/>
        <v>0</v>
      </c>
      <c r="LF44" s="150">
        <f t="shared" si="245"/>
        <v>0</v>
      </c>
      <c r="LG44" s="150">
        <f t="shared" si="245"/>
        <v>0</v>
      </c>
      <c r="LH44" s="150">
        <f t="shared" si="245"/>
        <v>0</v>
      </c>
      <c r="LI44" s="150">
        <f t="shared" si="245"/>
        <v>0</v>
      </c>
      <c r="LJ44" s="150">
        <f t="shared" si="245"/>
        <v>0</v>
      </c>
      <c r="LK44" s="150">
        <f t="shared" si="245"/>
        <v>0</v>
      </c>
      <c r="LL44" s="150">
        <f t="shared" si="245"/>
        <v>0</v>
      </c>
      <c r="LM44" s="150">
        <f t="shared" si="245"/>
        <v>0</v>
      </c>
      <c r="LN44" s="150">
        <f t="shared" si="245"/>
        <v>0</v>
      </c>
      <c r="LO44" s="150">
        <f t="shared" ref="LO44:NZ44" si="246">LO24+LO12</f>
        <v>0</v>
      </c>
      <c r="LP44" s="150">
        <f t="shared" si="246"/>
        <v>0</v>
      </c>
      <c r="LQ44" s="150">
        <f t="shared" si="246"/>
        <v>0</v>
      </c>
      <c r="LR44" s="150">
        <f t="shared" si="246"/>
        <v>0</v>
      </c>
      <c r="LS44" s="150">
        <f t="shared" si="246"/>
        <v>0</v>
      </c>
      <c r="LT44" s="150">
        <f t="shared" si="246"/>
        <v>0</v>
      </c>
      <c r="LU44" s="150">
        <f t="shared" si="246"/>
        <v>0</v>
      </c>
      <c r="LV44" s="150">
        <f t="shared" si="246"/>
        <v>0</v>
      </c>
      <c r="LW44" s="150">
        <f t="shared" si="246"/>
        <v>0</v>
      </c>
      <c r="LX44" s="150">
        <f t="shared" si="246"/>
        <v>0</v>
      </c>
      <c r="LY44" s="150">
        <f t="shared" si="246"/>
        <v>0</v>
      </c>
      <c r="LZ44" s="150">
        <f t="shared" si="246"/>
        <v>0</v>
      </c>
      <c r="MA44" s="150">
        <f t="shared" si="246"/>
        <v>0</v>
      </c>
      <c r="MB44" s="150">
        <f t="shared" si="246"/>
        <v>0</v>
      </c>
      <c r="MC44" s="150">
        <f t="shared" si="246"/>
        <v>0</v>
      </c>
      <c r="MD44" s="150">
        <f t="shared" si="246"/>
        <v>0</v>
      </c>
      <c r="ME44" s="150">
        <f t="shared" si="246"/>
        <v>0</v>
      </c>
      <c r="MF44" s="150">
        <f t="shared" si="246"/>
        <v>0</v>
      </c>
      <c r="MG44" s="150">
        <f t="shared" si="246"/>
        <v>0</v>
      </c>
      <c r="MH44" s="150">
        <f t="shared" si="246"/>
        <v>0</v>
      </c>
      <c r="MI44" s="150">
        <f t="shared" si="246"/>
        <v>0</v>
      </c>
      <c r="MJ44" s="150">
        <f t="shared" si="246"/>
        <v>0</v>
      </c>
      <c r="MK44" s="150">
        <f t="shared" si="246"/>
        <v>0</v>
      </c>
      <c r="ML44" s="150">
        <f t="shared" si="246"/>
        <v>0</v>
      </c>
      <c r="MM44" s="150">
        <f t="shared" si="246"/>
        <v>0</v>
      </c>
      <c r="MN44" s="150">
        <f t="shared" si="246"/>
        <v>0</v>
      </c>
      <c r="MO44" s="150">
        <f t="shared" si="246"/>
        <v>0</v>
      </c>
      <c r="MP44" s="150">
        <f t="shared" si="246"/>
        <v>0</v>
      </c>
      <c r="MQ44" s="150">
        <f t="shared" si="246"/>
        <v>0</v>
      </c>
      <c r="MR44" s="150">
        <f t="shared" si="246"/>
        <v>0</v>
      </c>
      <c r="MS44" s="150">
        <f t="shared" si="246"/>
        <v>0</v>
      </c>
      <c r="MT44" s="150">
        <f t="shared" si="246"/>
        <v>0</v>
      </c>
      <c r="MU44" s="150">
        <f t="shared" si="246"/>
        <v>0</v>
      </c>
      <c r="MV44" s="150">
        <f t="shared" si="246"/>
        <v>0</v>
      </c>
      <c r="MW44" s="150">
        <f t="shared" si="246"/>
        <v>0</v>
      </c>
      <c r="MX44" s="150">
        <f t="shared" si="246"/>
        <v>0</v>
      </c>
      <c r="MY44" s="150">
        <f t="shared" si="246"/>
        <v>0</v>
      </c>
      <c r="MZ44" s="150">
        <f t="shared" si="246"/>
        <v>0</v>
      </c>
      <c r="NA44" s="150">
        <f t="shared" si="246"/>
        <v>0</v>
      </c>
      <c r="NB44" s="150">
        <f t="shared" si="246"/>
        <v>0</v>
      </c>
      <c r="NC44" s="150">
        <f t="shared" si="246"/>
        <v>0</v>
      </c>
      <c r="ND44" s="150">
        <f t="shared" si="246"/>
        <v>0</v>
      </c>
      <c r="NE44" s="150">
        <f t="shared" si="246"/>
        <v>0</v>
      </c>
      <c r="NF44" s="150">
        <f t="shared" si="246"/>
        <v>0</v>
      </c>
      <c r="NG44" s="150">
        <f t="shared" si="246"/>
        <v>0</v>
      </c>
      <c r="NH44" s="150">
        <f t="shared" si="246"/>
        <v>0</v>
      </c>
      <c r="NI44" s="150">
        <f t="shared" si="246"/>
        <v>0</v>
      </c>
      <c r="NJ44" s="150">
        <f t="shared" si="246"/>
        <v>0</v>
      </c>
      <c r="NK44" s="150">
        <f t="shared" si="246"/>
        <v>0</v>
      </c>
      <c r="NL44" s="150">
        <f t="shared" si="246"/>
        <v>0</v>
      </c>
      <c r="NM44" s="150">
        <f t="shared" si="246"/>
        <v>0</v>
      </c>
      <c r="NN44" s="150">
        <f t="shared" si="246"/>
        <v>0</v>
      </c>
      <c r="NO44" s="150">
        <f t="shared" si="246"/>
        <v>0</v>
      </c>
      <c r="NP44" s="150">
        <f t="shared" si="246"/>
        <v>0</v>
      </c>
      <c r="NQ44" s="150">
        <f t="shared" si="246"/>
        <v>0</v>
      </c>
      <c r="NR44" s="150">
        <f t="shared" si="246"/>
        <v>0</v>
      </c>
      <c r="NS44" s="150">
        <f t="shared" si="246"/>
        <v>0</v>
      </c>
      <c r="NT44" s="150">
        <f t="shared" si="246"/>
        <v>0</v>
      </c>
      <c r="NU44" s="150">
        <f t="shared" si="246"/>
        <v>0</v>
      </c>
      <c r="NV44" s="150">
        <f t="shared" si="246"/>
        <v>0</v>
      </c>
      <c r="NW44" s="150">
        <f t="shared" si="246"/>
        <v>0</v>
      </c>
      <c r="NX44" s="150">
        <f t="shared" si="246"/>
        <v>0</v>
      </c>
      <c r="NY44" s="150">
        <f t="shared" si="246"/>
        <v>0</v>
      </c>
      <c r="NZ44" s="150">
        <f t="shared" si="246"/>
        <v>0</v>
      </c>
      <c r="OA44" s="150">
        <f t="shared" ref="OA44:QL44" si="247">OA24+OA12</f>
        <v>0</v>
      </c>
      <c r="OB44" s="150">
        <f t="shared" si="247"/>
        <v>0</v>
      </c>
      <c r="OC44" s="150">
        <f t="shared" si="247"/>
        <v>0</v>
      </c>
      <c r="OD44" s="150">
        <f t="shared" si="247"/>
        <v>0</v>
      </c>
      <c r="OE44" s="150">
        <f t="shared" si="247"/>
        <v>0</v>
      </c>
      <c r="OF44" s="150">
        <f t="shared" si="247"/>
        <v>0</v>
      </c>
      <c r="OG44" s="150">
        <f t="shared" si="247"/>
        <v>0</v>
      </c>
      <c r="OH44" s="150">
        <f t="shared" si="247"/>
        <v>0</v>
      </c>
      <c r="OI44" s="150">
        <f t="shared" si="247"/>
        <v>0</v>
      </c>
      <c r="OJ44" s="150">
        <f t="shared" si="247"/>
        <v>0</v>
      </c>
      <c r="OK44" s="150">
        <f t="shared" si="247"/>
        <v>0</v>
      </c>
      <c r="OL44" s="150">
        <f t="shared" si="247"/>
        <v>0</v>
      </c>
      <c r="OM44" s="150">
        <f t="shared" si="247"/>
        <v>0</v>
      </c>
      <c r="ON44" s="150">
        <f t="shared" si="247"/>
        <v>0</v>
      </c>
      <c r="OO44" s="150">
        <f t="shared" si="247"/>
        <v>0</v>
      </c>
      <c r="OP44" s="150">
        <f t="shared" si="247"/>
        <v>0</v>
      </c>
      <c r="OQ44" s="150">
        <f t="shared" si="247"/>
        <v>0</v>
      </c>
      <c r="OR44" s="150">
        <f t="shared" si="247"/>
        <v>0</v>
      </c>
      <c r="OS44" s="150">
        <f t="shared" si="247"/>
        <v>0</v>
      </c>
      <c r="OT44" s="150">
        <f t="shared" si="247"/>
        <v>0</v>
      </c>
      <c r="OU44" s="150">
        <f t="shared" si="247"/>
        <v>0</v>
      </c>
      <c r="OV44" s="150">
        <f t="shared" si="247"/>
        <v>0</v>
      </c>
      <c r="OW44" s="150">
        <f t="shared" si="247"/>
        <v>0</v>
      </c>
      <c r="OX44" s="150">
        <f t="shared" si="247"/>
        <v>0</v>
      </c>
      <c r="OY44" s="150">
        <f t="shared" si="247"/>
        <v>0</v>
      </c>
      <c r="OZ44" s="150">
        <f t="shared" si="247"/>
        <v>0</v>
      </c>
      <c r="PA44" s="150">
        <f t="shared" si="247"/>
        <v>0</v>
      </c>
      <c r="PB44" s="150">
        <f t="shared" si="247"/>
        <v>0</v>
      </c>
      <c r="PC44" s="150">
        <f t="shared" si="247"/>
        <v>0</v>
      </c>
      <c r="PD44" s="150">
        <f t="shared" si="247"/>
        <v>0</v>
      </c>
      <c r="PE44" s="150">
        <f t="shared" si="247"/>
        <v>0</v>
      </c>
      <c r="PF44" s="150">
        <f t="shared" si="247"/>
        <v>0</v>
      </c>
      <c r="PG44" s="150">
        <f t="shared" si="247"/>
        <v>0</v>
      </c>
      <c r="PH44" s="150">
        <f t="shared" si="247"/>
        <v>0</v>
      </c>
      <c r="PI44" s="150">
        <f t="shared" si="247"/>
        <v>0</v>
      </c>
      <c r="PJ44" s="150">
        <f t="shared" si="247"/>
        <v>0</v>
      </c>
      <c r="PK44" s="150">
        <f t="shared" si="247"/>
        <v>0</v>
      </c>
      <c r="PL44" s="150">
        <f t="shared" si="247"/>
        <v>0</v>
      </c>
      <c r="PM44" s="150">
        <f t="shared" si="247"/>
        <v>0</v>
      </c>
      <c r="PN44" s="150">
        <f t="shared" si="247"/>
        <v>0</v>
      </c>
      <c r="PO44" s="150">
        <f t="shared" si="247"/>
        <v>0</v>
      </c>
      <c r="PP44" s="150">
        <f t="shared" si="247"/>
        <v>0</v>
      </c>
      <c r="PQ44" s="150">
        <f t="shared" si="247"/>
        <v>0</v>
      </c>
      <c r="PR44" s="150">
        <f t="shared" si="247"/>
        <v>0</v>
      </c>
      <c r="PS44" s="150">
        <f t="shared" si="247"/>
        <v>0</v>
      </c>
      <c r="PT44" s="150">
        <f t="shared" si="247"/>
        <v>0</v>
      </c>
      <c r="PU44" s="150">
        <f t="shared" si="247"/>
        <v>0</v>
      </c>
      <c r="PV44" s="150">
        <f t="shared" si="247"/>
        <v>0</v>
      </c>
      <c r="PW44" s="150">
        <f t="shared" si="247"/>
        <v>0</v>
      </c>
      <c r="PX44" s="150">
        <f t="shared" si="247"/>
        <v>0</v>
      </c>
      <c r="PY44" s="150">
        <f t="shared" si="247"/>
        <v>0</v>
      </c>
      <c r="PZ44" s="150">
        <f t="shared" si="247"/>
        <v>0</v>
      </c>
      <c r="QA44" s="150">
        <f t="shared" si="247"/>
        <v>0</v>
      </c>
      <c r="QB44" s="150">
        <f t="shared" si="247"/>
        <v>0</v>
      </c>
      <c r="QC44" s="150">
        <f t="shared" si="247"/>
        <v>0</v>
      </c>
      <c r="QD44" s="150">
        <f t="shared" si="247"/>
        <v>0</v>
      </c>
      <c r="QE44" s="150">
        <f t="shared" si="247"/>
        <v>0</v>
      </c>
      <c r="QF44" s="150">
        <f t="shared" si="247"/>
        <v>0</v>
      </c>
      <c r="QG44" s="150">
        <f t="shared" si="247"/>
        <v>0</v>
      </c>
      <c r="QH44" s="150">
        <f t="shared" si="247"/>
        <v>0</v>
      </c>
      <c r="QI44" s="150">
        <f t="shared" si="247"/>
        <v>0</v>
      </c>
      <c r="QJ44" s="150">
        <f t="shared" si="247"/>
        <v>0</v>
      </c>
      <c r="QK44" s="150">
        <f t="shared" si="247"/>
        <v>0</v>
      </c>
      <c r="QL44" s="150">
        <f t="shared" si="247"/>
        <v>0</v>
      </c>
      <c r="QM44" s="150">
        <f t="shared" ref="QM44:SP44" si="248">QM24+QM12</f>
        <v>0</v>
      </c>
      <c r="QN44" s="150">
        <f t="shared" si="248"/>
        <v>0</v>
      </c>
      <c r="QO44" s="150">
        <f t="shared" si="248"/>
        <v>0</v>
      </c>
      <c r="QP44" s="150">
        <f t="shared" si="248"/>
        <v>0</v>
      </c>
      <c r="QQ44" s="150">
        <f t="shared" si="248"/>
        <v>0</v>
      </c>
      <c r="QR44" s="150">
        <f t="shared" si="248"/>
        <v>0</v>
      </c>
      <c r="QS44" s="150">
        <f t="shared" si="248"/>
        <v>0</v>
      </c>
      <c r="QT44" s="150">
        <f t="shared" si="248"/>
        <v>0</v>
      </c>
      <c r="QU44" s="150">
        <f t="shared" si="248"/>
        <v>0</v>
      </c>
      <c r="QV44" s="150">
        <f t="shared" si="248"/>
        <v>0</v>
      </c>
      <c r="QW44" s="150">
        <f t="shared" si="248"/>
        <v>0</v>
      </c>
      <c r="QX44" s="150">
        <f t="shared" si="248"/>
        <v>0</v>
      </c>
      <c r="QY44" s="150">
        <f t="shared" si="248"/>
        <v>0</v>
      </c>
      <c r="QZ44" s="150">
        <f t="shared" si="248"/>
        <v>0</v>
      </c>
      <c r="RA44" s="150">
        <f t="shared" si="248"/>
        <v>0</v>
      </c>
      <c r="RB44" s="150">
        <f t="shared" si="248"/>
        <v>0</v>
      </c>
      <c r="RC44" s="150">
        <f t="shared" si="248"/>
        <v>0</v>
      </c>
      <c r="RD44" s="150">
        <f t="shared" si="248"/>
        <v>0</v>
      </c>
      <c r="RE44" s="150">
        <f t="shared" si="248"/>
        <v>0</v>
      </c>
      <c r="RF44" s="150">
        <f t="shared" si="248"/>
        <v>0</v>
      </c>
      <c r="RG44" s="150">
        <f t="shared" si="248"/>
        <v>0</v>
      </c>
      <c r="RH44" s="150">
        <f t="shared" si="248"/>
        <v>0</v>
      </c>
      <c r="RI44" s="150">
        <f t="shared" si="248"/>
        <v>0</v>
      </c>
      <c r="RJ44" s="150">
        <f t="shared" si="248"/>
        <v>0</v>
      </c>
      <c r="RK44" s="150">
        <f t="shared" si="248"/>
        <v>0</v>
      </c>
      <c r="RL44" s="150">
        <f t="shared" si="248"/>
        <v>0</v>
      </c>
      <c r="RM44" s="150">
        <f t="shared" si="248"/>
        <v>0</v>
      </c>
      <c r="RN44" s="150">
        <f t="shared" si="248"/>
        <v>0</v>
      </c>
      <c r="RO44" s="150">
        <f t="shared" si="248"/>
        <v>0</v>
      </c>
      <c r="RP44" s="150">
        <f t="shared" si="248"/>
        <v>0</v>
      </c>
      <c r="RQ44" s="150">
        <f t="shared" si="248"/>
        <v>0</v>
      </c>
      <c r="RR44" s="150">
        <f t="shared" si="248"/>
        <v>0</v>
      </c>
      <c r="RS44" s="150">
        <f t="shared" si="248"/>
        <v>0</v>
      </c>
      <c r="RT44" s="150">
        <f t="shared" si="248"/>
        <v>0</v>
      </c>
      <c r="RU44" s="150">
        <f t="shared" si="248"/>
        <v>0</v>
      </c>
      <c r="RV44" s="150">
        <f t="shared" si="248"/>
        <v>0</v>
      </c>
      <c r="RW44" s="150">
        <f t="shared" si="248"/>
        <v>0</v>
      </c>
      <c r="RX44" s="150">
        <f t="shared" si="248"/>
        <v>0</v>
      </c>
      <c r="RY44" s="150">
        <f t="shared" si="248"/>
        <v>0</v>
      </c>
      <c r="RZ44" s="150">
        <f t="shared" si="248"/>
        <v>0</v>
      </c>
      <c r="SA44" s="150">
        <f t="shared" si="248"/>
        <v>0</v>
      </c>
      <c r="SB44" s="150">
        <f t="shared" si="248"/>
        <v>0</v>
      </c>
      <c r="SC44" s="150">
        <f t="shared" si="248"/>
        <v>0</v>
      </c>
      <c r="SD44" s="150">
        <f t="shared" si="248"/>
        <v>0</v>
      </c>
      <c r="SE44" s="150">
        <f t="shared" si="248"/>
        <v>0</v>
      </c>
      <c r="SF44" s="150">
        <f t="shared" si="248"/>
        <v>0</v>
      </c>
      <c r="SG44" s="150">
        <f t="shared" si="248"/>
        <v>0</v>
      </c>
      <c r="SH44" s="150">
        <f t="shared" si="248"/>
        <v>0</v>
      </c>
      <c r="SI44" s="150">
        <f t="shared" si="248"/>
        <v>0</v>
      </c>
      <c r="SJ44" s="150">
        <f t="shared" si="248"/>
        <v>0</v>
      </c>
      <c r="SK44" s="150">
        <f t="shared" si="248"/>
        <v>0</v>
      </c>
      <c r="SL44" s="150">
        <f t="shared" si="248"/>
        <v>0</v>
      </c>
      <c r="SM44" s="150">
        <f t="shared" si="248"/>
        <v>0</v>
      </c>
      <c r="SN44" s="150">
        <f t="shared" si="248"/>
        <v>0</v>
      </c>
      <c r="SO44" s="150">
        <f t="shared" si="248"/>
        <v>0</v>
      </c>
      <c r="SP44" s="150">
        <f t="shared" si="248"/>
        <v>0</v>
      </c>
      <c r="SQ44" s="150"/>
      <c r="SR44" s="150"/>
      <c r="SS44" s="181"/>
    </row>
    <row r="45" spans="1:513" s="153" customFormat="1" ht="20.25" customHeight="1">
      <c r="A45" s="224" t="s">
        <v>448</v>
      </c>
      <c r="B45" s="225"/>
      <c r="C45" s="225"/>
      <c r="D45" s="225"/>
      <c r="E45" s="226"/>
      <c r="F45" s="152">
        <f>F15+F25</f>
        <v>0</v>
      </c>
      <c r="G45" s="152">
        <f t="shared" ref="G45:BR45" si="249">G15+G25</f>
        <v>0</v>
      </c>
      <c r="H45" s="152">
        <f t="shared" si="249"/>
        <v>0</v>
      </c>
      <c r="I45" s="152">
        <f t="shared" si="249"/>
        <v>0</v>
      </c>
      <c r="J45" s="152">
        <f t="shared" si="249"/>
        <v>0</v>
      </c>
      <c r="K45" s="152">
        <f t="shared" si="249"/>
        <v>0</v>
      </c>
      <c r="L45" s="152">
        <f t="shared" si="249"/>
        <v>0</v>
      </c>
      <c r="M45" s="152">
        <f t="shared" si="249"/>
        <v>0</v>
      </c>
      <c r="N45" s="152">
        <f t="shared" si="249"/>
        <v>0</v>
      </c>
      <c r="O45" s="152">
        <f t="shared" si="249"/>
        <v>0</v>
      </c>
      <c r="P45" s="152">
        <f t="shared" si="249"/>
        <v>0</v>
      </c>
      <c r="Q45" s="152">
        <f t="shared" si="249"/>
        <v>0</v>
      </c>
      <c r="R45" s="152">
        <f t="shared" si="249"/>
        <v>0</v>
      </c>
      <c r="S45" s="152">
        <f t="shared" si="249"/>
        <v>0</v>
      </c>
      <c r="T45" s="152">
        <f t="shared" si="249"/>
        <v>0</v>
      </c>
      <c r="U45" s="152">
        <f t="shared" si="249"/>
        <v>0</v>
      </c>
      <c r="V45" s="152">
        <f t="shared" si="249"/>
        <v>0</v>
      </c>
      <c r="W45" s="152">
        <f t="shared" si="249"/>
        <v>0</v>
      </c>
      <c r="X45" s="152">
        <f t="shared" si="249"/>
        <v>0</v>
      </c>
      <c r="Y45" s="152">
        <f t="shared" si="249"/>
        <v>0</v>
      </c>
      <c r="Z45" s="152">
        <f t="shared" si="249"/>
        <v>0</v>
      </c>
      <c r="AA45" s="152">
        <f t="shared" si="249"/>
        <v>0</v>
      </c>
      <c r="AB45" s="152">
        <f t="shared" si="249"/>
        <v>0</v>
      </c>
      <c r="AC45" s="152">
        <f t="shared" si="249"/>
        <v>0</v>
      </c>
      <c r="AD45" s="152">
        <f t="shared" si="249"/>
        <v>0</v>
      </c>
      <c r="AE45" s="152">
        <f t="shared" si="249"/>
        <v>0</v>
      </c>
      <c r="AF45" s="152">
        <f t="shared" si="249"/>
        <v>0</v>
      </c>
      <c r="AG45" s="152">
        <f t="shared" si="249"/>
        <v>0</v>
      </c>
      <c r="AH45" s="152">
        <f t="shared" si="249"/>
        <v>0</v>
      </c>
      <c r="AI45" s="152">
        <f t="shared" si="249"/>
        <v>0</v>
      </c>
      <c r="AJ45" s="152">
        <f t="shared" si="249"/>
        <v>0</v>
      </c>
      <c r="AK45" s="152">
        <f t="shared" si="249"/>
        <v>0</v>
      </c>
      <c r="AL45" s="152">
        <f t="shared" si="249"/>
        <v>0</v>
      </c>
      <c r="AM45" s="152">
        <f t="shared" si="249"/>
        <v>0</v>
      </c>
      <c r="AN45" s="152">
        <f t="shared" si="249"/>
        <v>0</v>
      </c>
      <c r="AO45" s="152">
        <f t="shared" si="249"/>
        <v>0</v>
      </c>
      <c r="AP45" s="152">
        <f t="shared" si="249"/>
        <v>0</v>
      </c>
      <c r="AQ45" s="152">
        <f t="shared" si="249"/>
        <v>0</v>
      </c>
      <c r="AR45" s="152">
        <f t="shared" si="249"/>
        <v>0</v>
      </c>
      <c r="AS45" s="152">
        <f t="shared" si="249"/>
        <v>0</v>
      </c>
      <c r="AT45" s="152">
        <f t="shared" si="249"/>
        <v>0</v>
      </c>
      <c r="AU45" s="152">
        <f t="shared" si="249"/>
        <v>0</v>
      </c>
      <c r="AV45" s="152">
        <f t="shared" si="249"/>
        <v>0</v>
      </c>
      <c r="AW45" s="152">
        <f t="shared" si="249"/>
        <v>0</v>
      </c>
      <c r="AX45" s="152">
        <f t="shared" si="249"/>
        <v>0</v>
      </c>
      <c r="AY45" s="152">
        <f t="shared" si="249"/>
        <v>0</v>
      </c>
      <c r="AZ45" s="152">
        <f t="shared" si="249"/>
        <v>0</v>
      </c>
      <c r="BA45" s="152">
        <f t="shared" si="249"/>
        <v>0</v>
      </c>
      <c r="BB45" s="152">
        <f t="shared" si="249"/>
        <v>0</v>
      </c>
      <c r="BC45" s="152">
        <f t="shared" si="249"/>
        <v>0</v>
      </c>
      <c r="BD45" s="152">
        <f t="shared" si="249"/>
        <v>0</v>
      </c>
      <c r="BE45" s="152">
        <f t="shared" si="249"/>
        <v>0</v>
      </c>
      <c r="BF45" s="152">
        <f t="shared" si="249"/>
        <v>0</v>
      </c>
      <c r="BG45" s="152">
        <f t="shared" si="249"/>
        <v>0</v>
      </c>
      <c r="BH45" s="152">
        <f t="shared" si="249"/>
        <v>0</v>
      </c>
      <c r="BI45" s="152">
        <f t="shared" si="249"/>
        <v>0</v>
      </c>
      <c r="BJ45" s="152">
        <f t="shared" si="249"/>
        <v>0</v>
      </c>
      <c r="BK45" s="152">
        <f t="shared" si="249"/>
        <v>0</v>
      </c>
      <c r="BL45" s="152">
        <f t="shared" si="249"/>
        <v>0</v>
      </c>
      <c r="BM45" s="152">
        <f t="shared" si="249"/>
        <v>0</v>
      </c>
      <c r="BN45" s="152">
        <f t="shared" si="249"/>
        <v>0</v>
      </c>
      <c r="BO45" s="152">
        <f t="shared" si="249"/>
        <v>0</v>
      </c>
      <c r="BP45" s="152">
        <f t="shared" si="249"/>
        <v>0</v>
      </c>
      <c r="BQ45" s="152">
        <f t="shared" si="249"/>
        <v>0</v>
      </c>
      <c r="BR45" s="152">
        <f t="shared" si="249"/>
        <v>0</v>
      </c>
      <c r="BS45" s="152">
        <f t="shared" ref="BS45:ED45" si="250">BS15+BS25</f>
        <v>0</v>
      </c>
      <c r="BT45" s="152">
        <f t="shared" si="250"/>
        <v>0</v>
      </c>
      <c r="BU45" s="152">
        <f t="shared" si="250"/>
        <v>0</v>
      </c>
      <c r="BV45" s="152">
        <f t="shared" si="250"/>
        <v>0</v>
      </c>
      <c r="BW45" s="152">
        <f t="shared" si="250"/>
        <v>0</v>
      </c>
      <c r="BX45" s="152">
        <f t="shared" si="250"/>
        <v>0</v>
      </c>
      <c r="BY45" s="152">
        <f t="shared" si="250"/>
        <v>0</v>
      </c>
      <c r="BZ45" s="152">
        <f t="shared" si="250"/>
        <v>0</v>
      </c>
      <c r="CA45" s="152">
        <f t="shared" si="250"/>
        <v>0</v>
      </c>
      <c r="CB45" s="152">
        <f t="shared" si="250"/>
        <v>0</v>
      </c>
      <c r="CC45" s="152">
        <f t="shared" si="250"/>
        <v>0</v>
      </c>
      <c r="CD45" s="152">
        <f t="shared" si="250"/>
        <v>0</v>
      </c>
      <c r="CE45" s="152">
        <f t="shared" si="250"/>
        <v>0</v>
      </c>
      <c r="CF45" s="152">
        <f t="shared" si="250"/>
        <v>0</v>
      </c>
      <c r="CG45" s="152">
        <f t="shared" si="250"/>
        <v>0</v>
      </c>
      <c r="CH45" s="152">
        <f t="shared" si="250"/>
        <v>0</v>
      </c>
      <c r="CI45" s="152">
        <f t="shared" si="250"/>
        <v>0</v>
      </c>
      <c r="CJ45" s="152">
        <f t="shared" si="250"/>
        <v>0</v>
      </c>
      <c r="CK45" s="152">
        <f t="shared" si="250"/>
        <v>0</v>
      </c>
      <c r="CL45" s="152">
        <f t="shared" si="250"/>
        <v>0</v>
      </c>
      <c r="CM45" s="152">
        <f t="shared" si="250"/>
        <v>0</v>
      </c>
      <c r="CN45" s="152">
        <f t="shared" si="250"/>
        <v>0</v>
      </c>
      <c r="CO45" s="152">
        <f t="shared" si="250"/>
        <v>0</v>
      </c>
      <c r="CP45" s="152">
        <f t="shared" si="250"/>
        <v>0</v>
      </c>
      <c r="CQ45" s="152">
        <f t="shared" si="250"/>
        <v>0</v>
      </c>
      <c r="CR45" s="152">
        <f t="shared" si="250"/>
        <v>0</v>
      </c>
      <c r="CS45" s="152">
        <f t="shared" si="250"/>
        <v>0</v>
      </c>
      <c r="CT45" s="152">
        <f t="shared" si="250"/>
        <v>0</v>
      </c>
      <c r="CU45" s="152">
        <f t="shared" si="250"/>
        <v>0</v>
      </c>
      <c r="CV45" s="152">
        <f t="shared" si="250"/>
        <v>0</v>
      </c>
      <c r="CW45" s="152">
        <f t="shared" si="250"/>
        <v>0</v>
      </c>
      <c r="CX45" s="152">
        <f t="shared" si="250"/>
        <v>0</v>
      </c>
      <c r="CY45" s="152">
        <f t="shared" si="250"/>
        <v>0</v>
      </c>
      <c r="CZ45" s="152">
        <f t="shared" si="250"/>
        <v>0</v>
      </c>
      <c r="DA45" s="152">
        <f t="shared" si="250"/>
        <v>0</v>
      </c>
      <c r="DB45" s="152">
        <f t="shared" si="250"/>
        <v>0</v>
      </c>
      <c r="DC45" s="152">
        <f t="shared" si="250"/>
        <v>0</v>
      </c>
      <c r="DD45" s="152">
        <f t="shared" si="250"/>
        <v>0</v>
      </c>
      <c r="DE45" s="152">
        <f t="shared" si="250"/>
        <v>0</v>
      </c>
      <c r="DF45" s="152">
        <f t="shared" si="250"/>
        <v>0</v>
      </c>
      <c r="DG45" s="152">
        <f t="shared" si="250"/>
        <v>0</v>
      </c>
      <c r="DH45" s="152">
        <f t="shared" si="250"/>
        <v>0</v>
      </c>
      <c r="DI45" s="152">
        <f t="shared" si="250"/>
        <v>0</v>
      </c>
      <c r="DJ45" s="152">
        <f t="shared" si="250"/>
        <v>0</v>
      </c>
      <c r="DK45" s="152">
        <f t="shared" si="250"/>
        <v>0</v>
      </c>
      <c r="DL45" s="152">
        <f t="shared" si="250"/>
        <v>0</v>
      </c>
      <c r="DM45" s="152">
        <f t="shared" si="250"/>
        <v>0</v>
      </c>
      <c r="DN45" s="152">
        <f t="shared" si="250"/>
        <v>0</v>
      </c>
      <c r="DO45" s="152">
        <f t="shared" si="250"/>
        <v>0</v>
      </c>
      <c r="DP45" s="152">
        <f t="shared" si="250"/>
        <v>0</v>
      </c>
      <c r="DQ45" s="152">
        <f t="shared" si="250"/>
        <v>0</v>
      </c>
      <c r="DR45" s="152">
        <f t="shared" si="250"/>
        <v>0</v>
      </c>
      <c r="DS45" s="152">
        <f t="shared" si="250"/>
        <v>0</v>
      </c>
      <c r="DT45" s="152">
        <f t="shared" si="250"/>
        <v>0</v>
      </c>
      <c r="DU45" s="152">
        <f t="shared" si="250"/>
        <v>0</v>
      </c>
      <c r="DV45" s="152">
        <f t="shared" si="250"/>
        <v>0</v>
      </c>
      <c r="DW45" s="152">
        <f t="shared" si="250"/>
        <v>0</v>
      </c>
      <c r="DX45" s="152">
        <f t="shared" si="250"/>
        <v>0</v>
      </c>
      <c r="DY45" s="152">
        <f t="shared" si="250"/>
        <v>0</v>
      </c>
      <c r="DZ45" s="152">
        <f t="shared" si="250"/>
        <v>0</v>
      </c>
      <c r="EA45" s="152">
        <f t="shared" si="250"/>
        <v>0</v>
      </c>
      <c r="EB45" s="152">
        <f t="shared" si="250"/>
        <v>0</v>
      </c>
      <c r="EC45" s="152">
        <f t="shared" si="250"/>
        <v>0</v>
      </c>
      <c r="ED45" s="152">
        <f t="shared" si="250"/>
        <v>0</v>
      </c>
      <c r="EE45" s="152">
        <f t="shared" ref="EE45:GP45" si="251">EE15+EE25</f>
        <v>0</v>
      </c>
      <c r="EF45" s="152">
        <f t="shared" si="251"/>
        <v>0</v>
      </c>
      <c r="EG45" s="152">
        <f t="shared" si="251"/>
        <v>0</v>
      </c>
      <c r="EH45" s="152">
        <f t="shared" si="251"/>
        <v>0</v>
      </c>
      <c r="EI45" s="152">
        <f t="shared" si="251"/>
        <v>0</v>
      </c>
      <c r="EJ45" s="152">
        <f t="shared" si="251"/>
        <v>0</v>
      </c>
      <c r="EK45" s="152">
        <f t="shared" si="251"/>
        <v>0</v>
      </c>
      <c r="EL45" s="152">
        <f t="shared" si="251"/>
        <v>0</v>
      </c>
      <c r="EM45" s="152">
        <f t="shared" si="251"/>
        <v>0</v>
      </c>
      <c r="EN45" s="152">
        <f t="shared" si="251"/>
        <v>0</v>
      </c>
      <c r="EO45" s="152">
        <f t="shared" si="251"/>
        <v>0</v>
      </c>
      <c r="EP45" s="152">
        <f t="shared" si="251"/>
        <v>0</v>
      </c>
      <c r="EQ45" s="152">
        <f t="shared" si="251"/>
        <v>0</v>
      </c>
      <c r="ER45" s="152">
        <f t="shared" si="251"/>
        <v>0</v>
      </c>
      <c r="ES45" s="152">
        <f t="shared" si="251"/>
        <v>0</v>
      </c>
      <c r="ET45" s="152">
        <f t="shared" si="251"/>
        <v>0</v>
      </c>
      <c r="EU45" s="152">
        <f t="shared" si="251"/>
        <v>0</v>
      </c>
      <c r="EV45" s="152">
        <f t="shared" si="251"/>
        <v>0</v>
      </c>
      <c r="EW45" s="152">
        <f t="shared" si="251"/>
        <v>0</v>
      </c>
      <c r="EX45" s="152">
        <f t="shared" si="251"/>
        <v>0</v>
      </c>
      <c r="EY45" s="152">
        <f t="shared" si="251"/>
        <v>0</v>
      </c>
      <c r="EZ45" s="152">
        <f t="shared" si="251"/>
        <v>0</v>
      </c>
      <c r="FA45" s="152">
        <f t="shared" si="251"/>
        <v>0</v>
      </c>
      <c r="FB45" s="152">
        <f t="shared" si="251"/>
        <v>0</v>
      </c>
      <c r="FC45" s="152">
        <f t="shared" si="251"/>
        <v>0</v>
      </c>
      <c r="FD45" s="152">
        <f t="shared" si="251"/>
        <v>0</v>
      </c>
      <c r="FE45" s="152">
        <f t="shared" si="251"/>
        <v>0</v>
      </c>
      <c r="FF45" s="152">
        <f t="shared" si="251"/>
        <v>0</v>
      </c>
      <c r="FG45" s="152">
        <f t="shared" si="251"/>
        <v>0</v>
      </c>
      <c r="FH45" s="152">
        <f t="shared" si="251"/>
        <v>0</v>
      </c>
      <c r="FI45" s="152">
        <f t="shared" si="251"/>
        <v>0</v>
      </c>
      <c r="FJ45" s="152">
        <f t="shared" si="251"/>
        <v>0</v>
      </c>
      <c r="FK45" s="152">
        <f t="shared" si="251"/>
        <v>0</v>
      </c>
      <c r="FL45" s="152">
        <f t="shared" si="251"/>
        <v>0</v>
      </c>
      <c r="FM45" s="152">
        <f t="shared" si="251"/>
        <v>0</v>
      </c>
      <c r="FN45" s="152">
        <f t="shared" si="251"/>
        <v>0</v>
      </c>
      <c r="FO45" s="152">
        <f t="shared" si="251"/>
        <v>0</v>
      </c>
      <c r="FP45" s="152">
        <f t="shared" si="251"/>
        <v>0</v>
      </c>
      <c r="FQ45" s="152">
        <f t="shared" si="251"/>
        <v>0</v>
      </c>
      <c r="FR45" s="152">
        <f t="shared" si="251"/>
        <v>0</v>
      </c>
      <c r="FS45" s="152">
        <f t="shared" si="251"/>
        <v>0</v>
      </c>
      <c r="FT45" s="152">
        <f t="shared" si="251"/>
        <v>0</v>
      </c>
      <c r="FU45" s="152">
        <f t="shared" si="251"/>
        <v>0</v>
      </c>
      <c r="FV45" s="152">
        <f t="shared" si="251"/>
        <v>0</v>
      </c>
      <c r="FW45" s="152">
        <f t="shared" si="251"/>
        <v>0</v>
      </c>
      <c r="FX45" s="152">
        <f t="shared" si="251"/>
        <v>0</v>
      </c>
      <c r="FY45" s="152">
        <f t="shared" si="251"/>
        <v>0</v>
      </c>
      <c r="FZ45" s="152">
        <f t="shared" si="251"/>
        <v>0</v>
      </c>
      <c r="GA45" s="152">
        <f t="shared" si="251"/>
        <v>0</v>
      </c>
      <c r="GB45" s="152">
        <f t="shared" si="251"/>
        <v>0</v>
      </c>
      <c r="GC45" s="152">
        <f t="shared" si="251"/>
        <v>0</v>
      </c>
      <c r="GD45" s="152">
        <f t="shared" si="251"/>
        <v>0</v>
      </c>
      <c r="GE45" s="152">
        <f t="shared" si="251"/>
        <v>0</v>
      </c>
      <c r="GF45" s="152">
        <f t="shared" si="251"/>
        <v>0</v>
      </c>
      <c r="GG45" s="152">
        <f t="shared" si="251"/>
        <v>0</v>
      </c>
      <c r="GH45" s="152">
        <f t="shared" si="251"/>
        <v>0</v>
      </c>
      <c r="GI45" s="152">
        <f t="shared" si="251"/>
        <v>0</v>
      </c>
      <c r="GJ45" s="152">
        <f t="shared" si="251"/>
        <v>0</v>
      </c>
      <c r="GK45" s="152">
        <f t="shared" si="251"/>
        <v>0</v>
      </c>
      <c r="GL45" s="152">
        <f t="shared" si="251"/>
        <v>0</v>
      </c>
      <c r="GM45" s="152">
        <f t="shared" si="251"/>
        <v>0</v>
      </c>
      <c r="GN45" s="152">
        <f t="shared" si="251"/>
        <v>0</v>
      </c>
      <c r="GO45" s="152">
        <f t="shared" si="251"/>
        <v>0</v>
      </c>
      <c r="GP45" s="152">
        <f t="shared" si="251"/>
        <v>0</v>
      </c>
      <c r="GQ45" s="152">
        <f t="shared" ref="GQ45:JB45" si="252">GQ15+GQ25</f>
        <v>0</v>
      </c>
      <c r="GR45" s="152">
        <f t="shared" si="252"/>
        <v>0</v>
      </c>
      <c r="GS45" s="152">
        <f t="shared" si="252"/>
        <v>0</v>
      </c>
      <c r="GT45" s="152">
        <f t="shared" si="252"/>
        <v>0</v>
      </c>
      <c r="GU45" s="152">
        <f t="shared" si="252"/>
        <v>0</v>
      </c>
      <c r="GV45" s="152">
        <f t="shared" si="252"/>
        <v>0</v>
      </c>
      <c r="GW45" s="152">
        <f t="shared" si="252"/>
        <v>0</v>
      </c>
      <c r="GX45" s="152">
        <f t="shared" si="252"/>
        <v>0</v>
      </c>
      <c r="GY45" s="152">
        <f t="shared" si="252"/>
        <v>0</v>
      </c>
      <c r="GZ45" s="152">
        <f t="shared" si="252"/>
        <v>0</v>
      </c>
      <c r="HA45" s="152">
        <f t="shared" si="252"/>
        <v>0</v>
      </c>
      <c r="HB45" s="152">
        <f t="shared" si="252"/>
        <v>0</v>
      </c>
      <c r="HC45" s="152">
        <f t="shared" si="252"/>
        <v>0</v>
      </c>
      <c r="HD45" s="152">
        <f t="shared" si="252"/>
        <v>0</v>
      </c>
      <c r="HE45" s="152">
        <f t="shared" si="252"/>
        <v>0</v>
      </c>
      <c r="HF45" s="152">
        <f t="shared" si="252"/>
        <v>0</v>
      </c>
      <c r="HG45" s="152">
        <f t="shared" si="252"/>
        <v>0</v>
      </c>
      <c r="HH45" s="152">
        <f t="shared" si="252"/>
        <v>0</v>
      </c>
      <c r="HI45" s="152">
        <f t="shared" si="252"/>
        <v>0</v>
      </c>
      <c r="HJ45" s="152">
        <f t="shared" si="252"/>
        <v>0</v>
      </c>
      <c r="HK45" s="152">
        <f t="shared" si="252"/>
        <v>0</v>
      </c>
      <c r="HL45" s="152">
        <f t="shared" si="252"/>
        <v>0</v>
      </c>
      <c r="HM45" s="152">
        <f t="shared" si="252"/>
        <v>0</v>
      </c>
      <c r="HN45" s="152">
        <f t="shared" si="252"/>
        <v>0</v>
      </c>
      <c r="HO45" s="152">
        <f t="shared" si="252"/>
        <v>0</v>
      </c>
      <c r="HP45" s="152">
        <f t="shared" si="252"/>
        <v>0</v>
      </c>
      <c r="HQ45" s="152">
        <f t="shared" si="252"/>
        <v>0</v>
      </c>
      <c r="HR45" s="152">
        <f t="shared" si="252"/>
        <v>0</v>
      </c>
      <c r="HS45" s="152">
        <f t="shared" si="252"/>
        <v>0</v>
      </c>
      <c r="HT45" s="152">
        <f t="shared" si="252"/>
        <v>0</v>
      </c>
      <c r="HU45" s="152">
        <f t="shared" si="252"/>
        <v>0</v>
      </c>
      <c r="HV45" s="152">
        <f t="shared" si="252"/>
        <v>0</v>
      </c>
      <c r="HW45" s="152">
        <f t="shared" si="252"/>
        <v>0</v>
      </c>
      <c r="HX45" s="152">
        <f t="shared" si="252"/>
        <v>0</v>
      </c>
      <c r="HY45" s="152">
        <f t="shared" si="252"/>
        <v>0</v>
      </c>
      <c r="HZ45" s="152">
        <f t="shared" si="252"/>
        <v>0</v>
      </c>
      <c r="IA45" s="152">
        <f t="shared" si="252"/>
        <v>0</v>
      </c>
      <c r="IB45" s="152">
        <f t="shared" si="252"/>
        <v>0</v>
      </c>
      <c r="IC45" s="152">
        <f t="shared" si="252"/>
        <v>0</v>
      </c>
      <c r="ID45" s="152">
        <f t="shared" si="252"/>
        <v>0</v>
      </c>
      <c r="IE45" s="152">
        <f t="shared" si="252"/>
        <v>0</v>
      </c>
      <c r="IF45" s="152">
        <f t="shared" si="252"/>
        <v>0</v>
      </c>
      <c r="IG45" s="152">
        <f t="shared" si="252"/>
        <v>0</v>
      </c>
      <c r="IH45" s="152">
        <f t="shared" si="252"/>
        <v>0</v>
      </c>
      <c r="II45" s="152">
        <f t="shared" si="252"/>
        <v>0</v>
      </c>
      <c r="IJ45" s="152">
        <f t="shared" si="252"/>
        <v>0</v>
      </c>
      <c r="IK45" s="152">
        <f t="shared" si="252"/>
        <v>0</v>
      </c>
      <c r="IL45" s="152">
        <f t="shared" si="252"/>
        <v>0</v>
      </c>
      <c r="IM45" s="152">
        <f t="shared" si="252"/>
        <v>0</v>
      </c>
      <c r="IN45" s="152">
        <f t="shared" si="252"/>
        <v>0</v>
      </c>
      <c r="IO45" s="152">
        <f t="shared" si="252"/>
        <v>0</v>
      </c>
      <c r="IP45" s="152">
        <f t="shared" si="252"/>
        <v>0</v>
      </c>
      <c r="IQ45" s="152">
        <f t="shared" si="252"/>
        <v>0</v>
      </c>
      <c r="IR45" s="152">
        <f t="shared" si="252"/>
        <v>0</v>
      </c>
      <c r="IS45" s="152">
        <f t="shared" si="252"/>
        <v>0</v>
      </c>
      <c r="IT45" s="152">
        <f t="shared" si="252"/>
        <v>0</v>
      </c>
      <c r="IU45" s="152">
        <f t="shared" si="252"/>
        <v>0</v>
      </c>
      <c r="IV45" s="152">
        <f t="shared" si="252"/>
        <v>0</v>
      </c>
      <c r="IW45" s="152">
        <f t="shared" si="252"/>
        <v>0</v>
      </c>
      <c r="IX45" s="152">
        <f t="shared" si="252"/>
        <v>0</v>
      </c>
      <c r="IY45" s="152">
        <f t="shared" si="252"/>
        <v>0</v>
      </c>
      <c r="IZ45" s="152">
        <f t="shared" si="252"/>
        <v>0</v>
      </c>
      <c r="JA45" s="152">
        <f t="shared" si="252"/>
        <v>0</v>
      </c>
      <c r="JB45" s="152">
        <f t="shared" si="252"/>
        <v>0</v>
      </c>
      <c r="JC45" s="152">
        <f t="shared" ref="JC45:LN45" si="253">JC15+JC25</f>
        <v>0</v>
      </c>
      <c r="JD45" s="152">
        <f t="shared" si="253"/>
        <v>0</v>
      </c>
      <c r="JE45" s="152">
        <f t="shared" si="253"/>
        <v>0</v>
      </c>
      <c r="JF45" s="152">
        <f t="shared" si="253"/>
        <v>0</v>
      </c>
      <c r="JG45" s="152">
        <f t="shared" si="253"/>
        <v>0</v>
      </c>
      <c r="JH45" s="152">
        <f t="shared" si="253"/>
        <v>0</v>
      </c>
      <c r="JI45" s="152">
        <f t="shared" si="253"/>
        <v>0</v>
      </c>
      <c r="JJ45" s="152">
        <f t="shared" si="253"/>
        <v>0</v>
      </c>
      <c r="JK45" s="152">
        <f t="shared" si="253"/>
        <v>0</v>
      </c>
      <c r="JL45" s="152">
        <f t="shared" si="253"/>
        <v>0</v>
      </c>
      <c r="JM45" s="152">
        <f t="shared" si="253"/>
        <v>0</v>
      </c>
      <c r="JN45" s="152">
        <f t="shared" si="253"/>
        <v>0</v>
      </c>
      <c r="JO45" s="152">
        <f t="shared" si="253"/>
        <v>0</v>
      </c>
      <c r="JP45" s="152">
        <f t="shared" si="253"/>
        <v>0</v>
      </c>
      <c r="JQ45" s="152">
        <f t="shared" si="253"/>
        <v>0</v>
      </c>
      <c r="JR45" s="152">
        <f t="shared" si="253"/>
        <v>0</v>
      </c>
      <c r="JS45" s="152">
        <f t="shared" si="253"/>
        <v>0</v>
      </c>
      <c r="JT45" s="152">
        <f t="shared" si="253"/>
        <v>0</v>
      </c>
      <c r="JU45" s="152">
        <f t="shared" si="253"/>
        <v>0</v>
      </c>
      <c r="JV45" s="152">
        <f t="shared" si="253"/>
        <v>0</v>
      </c>
      <c r="JW45" s="152">
        <f t="shared" si="253"/>
        <v>0</v>
      </c>
      <c r="JX45" s="152">
        <f t="shared" si="253"/>
        <v>0</v>
      </c>
      <c r="JY45" s="152">
        <f t="shared" si="253"/>
        <v>0</v>
      </c>
      <c r="JZ45" s="152">
        <f t="shared" si="253"/>
        <v>0</v>
      </c>
      <c r="KA45" s="152">
        <f t="shared" si="253"/>
        <v>0</v>
      </c>
      <c r="KB45" s="152">
        <f t="shared" si="253"/>
        <v>0</v>
      </c>
      <c r="KC45" s="152">
        <f t="shared" si="253"/>
        <v>0</v>
      </c>
      <c r="KD45" s="152">
        <f t="shared" si="253"/>
        <v>0</v>
      </c>
      <c r="KE45" s="152">
        <f t="shared" si="253"/>
        <v>0</v>
      </c>
      <c r="KF45" s="152">
        <f t="shared" si="253"/>
        <v>0</v>
      </c>
      <c r="KG45" s="152">
        <f t="shared" si="253"/>
        <v>0</v>
      </c>
      <c r="KH45" s="152">
        <f t="shared" si="253"/>
        <v>0</v>
      </c>
      <c r="KI45" s="152">
        <f t="shared" si="253"/>
        <v>0</v>
      </c>
      <c r="KJ45" s="152">
        <f t="shared" si="253"/>
        <v>0</v>
      </c>
      <c r="KK45" s="152">
        <f t="shared" si="253"/>
        <v>0</v>
      </c>
      <c r="KL45" s="152">
        <f t="shared" si="253"/>
        <v>0</v>
      </c>
      <c r="KM45" s="152">
        <f t="shared" si="253"/>
        <v>0</v>
      </c>
      <c r="KN45" s="152">
        <f t="shared" si="253"/>
        <v>0</v>
      </c>
      <c r="KO45" s="152">
        <f t="shared" si="253"/>
        <v>0</v>
      </c>
      <c r="KP45" s="152">
        <f t="shared" si="253"/>
        <v>0</v>
      </c>
      <c r="KQ45" s="152">
        <f t="shared" si="253"/>
        <v>0</v>
      </c>
      <c r="KR45" s="152">
        <f t="shared" si="253"/>
        <v>0</v>
      </c>
      <c r="KS45" s="152">
        <f t="shared" si="253"/>
        <v>0</v>
      </c>
      <c r="KT45" s="152">
        <f t="shared" si="253"/>
        <v>0</v>
      </c>
      <c r="KU45" s="152">
        <f t="shared" si="253"/>
        <v>0</v>
      </c>
      <c r="KV45" s="152">
        <f t="shared" si="253"/>
        <v>0</v>
      </c>
      <c r="KW45" s="152">
        <f t="shared" si="253"/>
        <v>0</v>
      </c>
      <c r="KX45" s="152">
        <f t="shared" si="253"/>
        <v>0</v>
      </c>
      <c r="KY45" s="152">
        <f t="shared" si="253"/>
        <v>0</v>
      </c>
      <c r="KZ45" s="152">
        <f t="shared" si="253"/>
        <v>0</v>
      </c>
      <c r="LA45" s="152">
        <f t="shared" si="253"/>
        <v>0</v>
      </c>
      <c r="LB45" s="152">
        <f t="shared" si="253"/>
        <v>0</v>
      </c>
      <c r="LC45" s="152">
        <f t="shared" si="253"/>
        <v>0</v>
      </c>
      <c r="LD45" s="152">
        <f t="shared" si="253"/>
        <v>0</v>
      </c>
      <c r="LE45" s="152">
        <f t="shared" si="253"/>
        <v>0</v>
      </c>
      <c r="LF45" s="152">
        <f t="shared" si="253"/>
        <v>0</v>
      </c>
      <c r="LG45" s="152">
        <f t="shared" si="253"/>
        <v>0</v>
      </c>
      <c r="LH45" s="152">
        <f t="shared" si="253"/>
        <v>0</v>
      </c>
      <c r="LI45" s="152">
        <f t="shared" si="253"/>
        <v>0</v>
      </c>
      <c r="LJ45" s="152">
        <f t="shared" si="253"/>
        <v>0</v>
      </c>
      <c r="LK45" s="152">
        <f t="shared" si="253"/>
        <v>0</v>
      </c>
      <c r="LL45" s="152">
        <f t="shared" si="253"/>
        <v>0</v>
      </c>
      <c r="LM45" s="152">
        <f t="shared" si="253"/>
        <v>0</v>
      </c>
      <c r="LN45" s="152">
        <f t="shared" si="253"/>
        <v>0</v>
      </c>
      <c r="LO45" s="152">
        <f t="shared" ref="LO45:NZ45" si="254">LO15+LO25</f>
        <v>0</v>
      </c>
      <c r="LP45" s="152">
        <f t="shared" si="254"/>
        <v>0</v>
      </c>
      <c r="LQ45" s="152">
        <f t="shared" si="254"/>
        <v>0</v>
      </c>
      <c r="LR45" s="152">
        <f t="shared" si="254"/>
        <v>0</v>
      </c>
      <c r="LS45" s="152">
        <f t="shared" si="254"/>
        <v>0</v>
      </c>
      <c r="LT45" s="152">
        <f t="shared" si="254"/>
        <v>0</v>
      </c>
      <c r="LU45" s="152">
        <f t="shared" si="254"/>
        <v>0</v>
      </c>
      <c r="LV45" s="152">
        <f t="shared" si="254"/>
        <v>0</v>
      </c>
      <c r="LW45" s="152">
        <f t="shared" si="254"/>
        <v>0</v>
      </c>
      <c r="LX45" s="152">
        <f t="shared" si="254"/>
        <v>0</v>
      </c>
      <c r="LY45" s="152">
        <f t="shared" si="254"/>
        <v>0</v>
      </c>
      <c r="LZ45" s="152">
        <f t="shared" si="254"/>
        <v>0</v>
      </c>
      <c r="MA45" s="152">
        <f t="shared" si="254"/>
        <v>0</v>
      </c>
      <c r="MB45" s="152">
        <f t="shared" si="254"/>
        <v>0</v>
      </c>
      <c r="MC45" s="152">
        <f t="shared" si="254"/>
        <v>0</v>
      </c>
      <c r="MD45" s="152">
        <f t="shared" si="254"/>
        <v>0</v>
      </c>
      <c r="ME45" s="152">
        <f t="shared" si="254"/>
        <v>0</v>
      </c>
      <c r="MF45" s="152">
        <f t="shared" si="254"/>
        <v>0</v>
      </c>
      <c r="MG45" s="152">
        <f t="shared" si="254"/>
        <v>0</v>
      </c>
      <c r="MH45" s="152">
        <f t="shared" si="254"/>
        <v>0</v>
      </c>
      <c r="MI45" s="152">
        <f t="shared" si="254"/>
        <v>0</v>
      </c>
      <c r="MJ45" s="152">
        <f t="shared" si="254"/>
        <v>0</v>
      </c>
      <c r="MK45" s="152">
        <f t="shared" si="254"/>
        <v>0</v>
      </c>
      <c r="ML45" s="152">
        <f t="shared" si="254"/>
        <v>0</v>
      </c>
      <c r="MM45" s="152">
        <f t="shared" si="254"/>
        <v>0</v>
      </c>
      <c r="MN45" s="152">
        <f t="shared" si="254"/>
        <v>0</v>
      </c>
      <c r="MO45" s="152">
        <f t="shared" si="254"/>
        <v>0</v>
      </c>
      <c r="MP45" s="152">
        <f t="shared" si="254"/>
        <v>0</v>
      </c>
      <c r="MQ45" s="152">
        <f t="shared" si="254"/>
        <v>0</v>
      </c>
      <c r="MR45" s="152">
        <f t="shared" si="254"/>
        <v>0</v>
      </c>
      <c r="MS45" s="152">
        <f t="shared" si="254"/>
        <v>0</v>
      </c>
      <c r="MT45" s="152">
        <f t="shared" si="254"/>
        <v>0</v>
      </c>
      <c r="MU45" s="152">
        <f t="shared" si="254"/>
        <v>0</v>
      </c>
      <c r="MV45" s="152">
        <f t="shared" si="254"/>
        <v>0</v>
      </c>
      <c r="MW45" s="152">
        <f t="shared" si="254"/>
        <v>0</v>
      </c>
      <c r="MX45" s="152">
        <f t="shared" si="254"/>
        <v>0</v>
      </c>
      <c r="MY45" s="152">
        <f t="shared" si="254"/>
        <v>0</v>
      </c>
      <c r="MZ45" s="152">
        <f t="shared" si="254"/>
        <v>0</v>
      </c>
      <c r="NA45" s="152">
        <f t="shared" si="254"/>
        <v>0</v>
      </c>
      <c r="NB45" s="152">
        <f t="shared" si="254"/>
        <v>0</v>
      </c>
      <c r="NC45" s="152">
        <f t="shared" si="254"/>
        <v>0</v>
      </c>
      <c r="ND45" s="152">
        <f t="shared" si="254"/>
        <v>0</v>
      </c>
      <c r="NE45" s="152">
        <f t="shared" si="254"/>
        <v>0</v>
      </c>
      <c r="NF45" s="152">
        <f t="shared" si="254"/>
        <v>0</v>
      </c>
      <c r="NG45" s="152">
        <f t="shared" si="254"/>
        <v>0</v>
      </c>
      <c r="NH45" s="152">
        <f t="shared" si="254"/>
        <v>0</v>
      </c>
      <c r="NI45" s="152">
        <f t="shared" si="254"/>
        <v>0</v>
      </c>
      <c r="NJ45" s="152">
        <f t="shared" si="254"/>
        <v>0</v>
      </c>
      <c r="NK45" s="152">
        <f t="shared" si="254"/>
        <v>0</v>
      </c>
      <c r="NL45" s="152">
        <f t="shared" si="254"/>
        <v>0</v>
      </c>
      <c r="NM45" s="152">
        <f t="shared" si="254"/>
        <v>0</v>
      </c>
      <c r="NN45" s="152">
        <f t="shared" si="254"/>
        <v>0</v>
      </c>
      <c r="NO45" s="152">
        <f t="shared" si="254"/>
        <v>0</v>
      </c>
      <c r="NP45" s="152">
        <f t="shared" si="254"/>
        <v>0</v>
      </c>
      <c r="NQ45" s="152">
        <f t="shared" si="254"/>
        <v>0</v>
      </c>
      <c r="NR45" s="152">
        <f t="shared" si="254"/>
        <v>0</v>
      </c>
      <c r="NS45" s="152">
        <f t="shared" si="254"/>
        <v>0</v>
      </c>
      <c r="NT45" s="152">
        <f t="shared" si="254"/>
        <v>0</v>
      </c>
      <c r="NU45" s="152">
        <f t="shared" si="254"/>
        <v>0</v>
      </c>
      <c r="NV45" s="152">
        <f t="shared" si="254"/>
        <v>0</v>
      </c>
      <c r="NW45" s="152">
        <f t="shared" si="254"/>
        <v>0</v>
      </c>
      <c r="NX45" s="152">
        <f t="shared" si="254"/>
        <v>0</v>
      </c>
      <c r="NY45" s="152">
        <f t="shared" si="254"/>
        <v>0</v>
      </c>
      <c r="NZ45" s="152">
        <f t="shared" si="254"/>
        <v>0</v>
      </c>
      <c r="OA45" s="152">
        <f t="shared" ref="OA45:QL45" si="255">OA15+OA25</f>
        <v>0</v>
      </c>
      <c r="OB45" s="152">
        <f t="shared" si="255"/>
        <v>0</v>
      </c>
      <c r="OC45" s="152">
        <f t="shared" si="255"/>
        <v>0</v>
      </c>
      <c r="OD45" s="152">
        <f t="shared" si="255"/>
        <v>0</v>
      </c>
      <c r="OE45" s="152">
        <f t="shared" si="255"/>
        <v>0</v>
      </c>
      <c r="OF45" s="152">
        <f t="shared" si="255"/>
        <v>0</v>
      </c>
      <c r="OG45" s="152">
        <f t="shared" si="255"/>
        <v>0</v>
      </c>
      <c r="OH45" s="152">
        <f t="shared" si="255"/>
        <v>0</v>
      </c>
      <c r="OI45" s="152">
        <f t="shared" si="255"/>
        <v>0</v>
      </c>
      <c r="OJ45" s="152">
        <f t="shared" si="255"/>
        <v>0</v>
      </c>
      <c r="OK45" s="152">
        <f t="shared" si="255"/>
        <v>0</v>
      </c>
      <c r="OL45" s="152">
        <f t="shared" si="255"/>
        <v>0</v>
      </c>
      <c r="OM45" s="152">
        <f t="shared" si="255"/>
        <v>0</v>
      </c>
      <c r="ON45" s="152">
        <f t="shared" si="255"/>
        <v>0</v>
      </c>
      <c r="OO45" s="152">
        <f t="shared" si="255"/>
        <v>0</v>
      </c>
      <c r="OP45" s="152">
        <f t="shared" si="255"/>
        <v>0</v>
      </c>
      <c r="OQ45" s="152">
        <f t="shared" si="255"/>
        <v>0</v>
      </c>
      <c r="OR45" s="152">
        <f t="shared" si="255"/>
        <v>0</v>
      </c>
      <c r="OS45" s="152">
        <f t="shared" si="255"/>
        <v>0</v>
      </c>
      <c r="OT45" s="152">
        <f t="shared" si="255"/>
        <v>0</v>
      </c>
      <c r="OU45" s="152">
        <f t="shared" si="255"/>
        <v>0</v>
      </c>
      <c r="OV45" s="152">
        <f t="shared" si="255"/>
        <v>0</v>
      </c>
      <c r="OW45" s="152">
        <f t="shared" si="255"/>
        <v>0</v>
      </c>
      <c r="OX45" s="152">
        <f t="shared" si="255"/>
        <v>0</v>
      </c>
      <c r="OY45" s="152">
        <f t="shared" si="255"/>
        <v>0</v>
      </c>
      <c r="OZ45" s="152">
        <f t="shared" si="255"/>
        <v>0</v>
      </c>
      <c r="PA45" s="152">
        <f t="shared" si="255"/>
        <v>0</v>
      </c>
      <c r="PB45" s="152">
        <f t="shared" si="255"/>
        <v>0</v>
      </c>
      <c r="PC45" s="152">
        <f t="shared" si="255"/>
        <v>0</v>
      </c>
      <c r="PD45" s="152">
        <f t="shared" si="255"/>
        <v>0</v>
      </c>
      <c r="PE45" s="152">
        <f t="shared" si="255"/>
        <v>0</v>
      </c>
      <c r="PF45" s="152">
        <f t="shared" si="255"/>
        <v>0</v>
      </c>
      <c r="PG45" s="152">
        <f t="shared" si="255"/>
        <v>0</v>
      </c>
      <c r="PH45" s="152">
        <f t="shared" si="255"/>
        <v>0</v>
      </c>
      <c r="PI45" s="152">
        <f t="shared" si="255"/>
        <v>0</v>
      </c>
      <c r="PJ45" s="152">
        <f t="shared" si="255"/>
        <v>0</v>
      </c>
      <c r="PK45" s="152">
        <f t="shared" si="255"/>
        <v>0</v>
      </c>
      <c r="PL45" s="152">
        <f t="shared" si="255"/>
        <v>0</v>
      </c>
      <c r="PM45" s="152">
        <f t="shared" si="255"/>
        <v>0</v>
      </c>
      <c r="PN45" s="152">
        <f t="shared" si="255"/>
        <v>0</v>
      </c>
      <c r="PO45" s="152">
        <f t="shared" si="255"/>
        <v>0</v>
      </c>
      <c r="PP45" s="152">
        <f t="shared" si="255"/>
        <v>0</v>
      </c>
      <c r="PQ45" s="152">
        <f t="shared" si="255"/>
        <v>0</v>
      </c>
      <c r="PR45" s="152">
        <f t="shared" si="255"/>
        <v>0</v>
      </c>
      <c r="PS45" s="152">
        <f t="shared" si="255"/>
        <v>0</v>
      </c>
      <c r="PT45" s="152">
        <f t="shared" si="255"/>
        <v>0</v>
      </c>
      <c r="PU45" s="152">
        <f t="shared" si="255"/>
        <v>0</v>
      </c>
      <c r="PV45" s="152">
        <f t="shared" si="255"/>
        <v>0</v>
      </c>
      <c r="PW45" s="152">
        <f t="shared" si="255"/>
        <v>0</v>
      </c>
      <c r="PX45" s="152">
        <f t="shared" si="255"/>
        <v>0</v>
      </c>
      <c r="PY45" s="152">
        <f t="shared" si="255"/>
        <v>0</v>
      </c>
      <c r="PZ45" s="152">
        <f t="shared" si="255"/>
        <v>0</v>
      </c>
      <c r="QA45" s="152">
        <f t="shared" si="255"/>
        <v>0</v>
      </c>
      <c r="QB45" s="152">
        <f t="shared" si="255"/>
        <v>0</v>
      </c>
      <c r="QC45" s="152">
        <f t="shared" si="255"/>
        <v>0</v>
      </c>
      <c r="QD45" s="152">
        <f t="shared" si="255"/>
        <v>0</v>
      </c>
      <c r="QE45" s="152">
        <f t="shared" si="255"/>
        <v>0</v>
      </c>
      <c r="QF45" s="152">
        <f t="shared" si="255"/>
        <v>0</v>
      </c>
      <c r="QG45" s="152">
        <f t="shared" si="255"/>
        <v>0</v>
      </c>
      <c r="QH45" s="152">
        <f t="shared" si="255"/>
        <v>0</v>
      </c>
      <c r="QI45" s="152">
        <f t="shared" si="255"/>
        <v>0</v>
      </c>
      <c r="QJ45" s="152">
        <f t="shared" si="255"/>
        <v>0</v>
      </c>
      <c r="QK45" s="152">
        <f t="shared" si="255"/>
        <v>0</v>
      </c>
      <c r="QL45" s="152">
        <f t="shared" si="255"/>
        <v>0</v>
      </c>
      <c r="QM45" s="152">
        <f t="shared" ref="QM45:SP45" si="256">QM15+QM25</f>
        <v>0</v>
      </c>
      <c r="QN45" s="152">
        <f t="shared" si="256"/>
        <v>0</v>
      </c>
      <c r="QO45" s="152">
        <f t="shared" si="256"/>
        <v>0</v>
      </c>
      <c r="QP45" s="152">
        <f t="shared" si="256"/>
        <v>0</v>
      </c>
      <c r="QQ45" s="152">
        <f t="shared" si="256"/>
        <v>0</v>
      </c>
      <c r="QR45" s="152">
        <f t="shared" si="256"/>
        <v>0</v>
      </c>
      <c r="QS45" s="152">
        <f t="shared" si="256"/>
        <v>0</v>
      </c>
      <c r="QT45" s="152">
        <f t="shared" si="256"/>
        <v>0</v>
      </c>
      <c r="QU45" s="152">
        <f t="shared" si="256"/>
        <v>0</v>
      </c>
      <c r="QV45" s="152">
        <f t="shared" si="256"/>
        <v>0</v>
      </c>
      <c r="QW45" s="152">
        <f t="shared" si="256"/>
        <v>0</v>
      </c>
      <c r="QX45" s="152">
        <f t="shared" si="256"/>
        <v>0</v>
      </c>
      <c r="QY45" s="152">
        <f t="shared" si="256"/>
        <v>0</v>
      </c>
      <c r="QZ45" s="152">
        <f t="shared" si="256"/>
        <v>0</v>
      </c>
      <c r="RA45" s="152">
        <f t="shared" si="256"/>
        <v>0</v>
      </c>
      <c r="RB45" s="152">
        <f t="shared" si="256"/>
        <v>0</v>
      </c>
      <c r="RC45" s="152">
        <f t="shared" si="256"/>
        <v>0</v>
      </c>
      <c r="RD45" s="152">
        <f t="shared" si="256"/>
        <v>0</v>
      </c>
      <c r="RE45" s="152">
        <f t="shared" si="256"/>
        <v>0</v>
      </c>
      <c r="RF45" s="152">
        <f t="shared" si="256"/>
        <v>0</v>
      </c>
      <c r="RG45" s="152">
        <f t="shared" si="256"/>
        <v>0</v>
      </c>
      <c r="RH45" s="152">
        <f t="shared" si="256"/>
        <v>0</v>
      </c>
      <c r="RI45" s="152">
        <f t="shared" si="256"/>
        <v>0</v>
      </c>
      <c r="RJ45" s="152">
        <f t="shared" si="256"/>
        <v>0</v>
      </c>
      <c r="RK45" s="152">
        <f t="shared" si="256"/>
        <v>0</v>
      </c>
      <c r="RL45" s="152">
        <f t="shared" si="256"/>
        <v>0</v>
      </c>
      <c r="RM45" s="152">
        <f t="shared" si="256"/>
        <v>0</v>
      </c>
      <c r="RN45" s="152">
        <f t="shared" si="256"/>
        <v>0</v>
      </c>
      <c r="RO45" s="152">
        <f t="shared" si="256"/>
        <v>0</v>
      </c>
      <c r="RP45" s="152">
        <f t="shared" si="256"/>
        <v>0</v>
      </c>
      <c r="RQ45" s="152">
        <f t="shared" si="256"/>
        <v>0</v>
      </c>
      <c r="RR45" s="152">
        <f t="shared" si="256"/>
        <v>0</v>
      </c>
      <c r="RS45" s="152">
        <f t="shared" si="256"/>
        <v>0</v>
      </c>
      <c r="RT45" s="152">
        <f t="shared" si="256"/>
        <v>0</v>
      </c>
      <c r="RU45" s="152">
        <f t="shared" si="256"/>
        <v>0</v>
      </c>
      <c r="RV45" s="152">
        <f t="shared" si="256"/>
        <v>0</v>
      </c>
      <c r="RW45" s="152">
        <f t="shared" si="256"/>
        <v>0</v>
      </c>
      <c r="RX45" s="152">
        <f t="shared" si="256"/>
        <v>0</v>
      </c>
      <c r="RY45" s="152">
        <f t="shared" si="256"/>
        <v>0</v>
      </c>
      <c r="RZ45" s="152">
        <f t="shared" si="256"/>
        <v>0</v>
      </c>
      <c r="SA45" s="152">
        <f t="shared" si="256"/>
        <v>0</v>
      </c>
      <c r="SB45" s="152">
        <f t="shared" si="256"/>
        <v>0</v>
      </c>
      <c r="SC45" s="152">
        <f t="shared" si="256"/>
        <v>0</v>
      </c>
      <c r="SD45" s="152">
        <f t="shared" si="256"/>
        <v>0</v>
      </c>
      <c r="SE45" s="152">
        <f t="shared" si="256"/>
        <v>0</v>
      </c>
      <c r="SF45" s="152">
        <f t="shared" si="256"/>
        <v>0</v>
      </c>
      <c r="SG45" s="152">
        <f t="shared" si="256"/>
        <v>0</v>
      </c>
      <c r="SH45" s="152">
        <f t="shared" si="256"/>
        <v>0</v>
      </c>
      <c r="SI45" s="152">
        <f t="shared" si="256"/>
        <v>0</v>
      </c>
      <c r="SJ45" s="152">
        <f t="shared" si="256"/>
        <v>0</v>
      </c>
      <c r="SK45" s="152">
        <f t="shared" si="256"/>
        <v>0</v>
      </c>
      <c r="SL45" s="152">
        <f t="shared" si="256"/>
        <v>0</v>
      </c>
      <c r="SM45" s="152">
        <f t="shared" si="256"/>
        <v>0</v>
      </c>
      <c r="SN45" s="152">
        <f t="shared" si="256"/>
        <v>0</v>
      </c>
      <c r="SO45" s="152">
        <f t="shared" si="256"/>
        <v>0</v>
      </c>
      <c r="SP45" s="152">
        <f t="shared" si="256"/>
        <v>0</v>
      </c>
      <c r="SQ45" s="152"/>
      <c r="SR45" s="152"/>
      <c r="SS45" s="182"/>
    </row>
  </sheetData>
  <mergeCells count="277">
    <mergeCell ref="RS3:RT4"/>
    <mergeCell ref="HJ4:HK4"/>
    <mergeCell ref="HL4:HM4"/>
    <mergeCell ref="HN4:HO4"/>
    <mergeCell ref="LM4:LN4"/>
    <mergeCell ref="OW4:OY4"/>
    <mergeCell ref="OZ4:PA4"/>
    <mergeCell ref="OU3:PC3"/>
    <mergeCell ref="OM3:ON4"/>
    <mergeCell ref="OI3:OJ4"/>
    <mergeCell ref="OK3:OL4"/>
    <mergeCell ref="NW3:NY4"/>
    <mergeCell ref="OQ3:OT4"/>
    <mergeCell ref="PJ4:PL4"/>
    <mergeCell ref="NU3:NV4"/>
    <mergeCell ref="IR4:IS4"/>
    <mergeCell ref="IT4:IU4"/>
    <mergeCell ref="JX4:JY4"/>
    <mergeCell ref="IZ4:JA4"/>
    <mergeCell ref="JB4:JC4"/>
    <mergeCell ref="JN4:JO4"/>
    <mergeCell ref="IB4:IC4"/>
    <mergeCell ref="LZ4:MA4"/>
    <mergeCell ref="KD4:KE4"/>
    <mergeCell ref="RO3:RP4"/>
    <mergeCell ref="RQ3:RR4"/>
    <mergeCell ref="A35:E35"/>
    <mergeCell ref="A1:J2"/>
    <mergeCell ref="F3:H4"/>
    <mergeCell ref="I3:J4"/>
    <mergeCell ref="CP4:CR4"/>
    <mergeCell ref="CS4:CU4"/>
    <mergeCell ref="FY4:FZ4"/>
    <mergeCell ref="A31:E31"/>
    <mergeCell ref="A32:E32"/>
    <mergeCell ref="BZ4:CA4"/>
    <mergeCell ref="CV4:CY4"/>
    <mergeCell ref="FD4:FE4"/>
    <mergeCell ref="FF4:FG4"/>
    <mergeCell ref="DK4:DL4"/>
    <mergeCell ref="DM4:DN4"/>
    <mergeCell ref="CH4:CI4"/>
    <mergeCell ref="BB4:BC4"/>
    <mergeCell ref="ES1:FA3"/>
    <mergeCell ref="AM4:AN4"/>
    <mergeCell ref="AS4:AU4"/>
    <mergeCell ref="ES4:ET4"/>
    <mergeCell ref="EU4:EV4"/>
    <mergeCell ref="EW4:EX4"/>
    <mergeCell ref="CZ1:DH3"/>
    <mergeCell ref="DR1:DZ3"/>
    <mergeCell ref="DO4:DQ4"/>
    <mergeCell ref="EE4:EF4"/>
    <mergeCell ref="EG4:EI4"/>
    <mergeCell ref="EJ4:EK4"/>
    <mergeCell ref="DT4:DU4"/>
    <mergeCell ref="EY4:FA4"/>
    <mergeCell ref="CZ4:DA4"/>
    <mergeCell ref="EN4:EO4"/>
    <mergeCell ref="EJ1:ER3"/>
    <mergeCell ref="DF4:DH4"/>
    <mergeCell ref="DR4:DS4"/>
    <mergeCell ref="DV4:DW4"/>
    <mergeCell ref="DI1:DQ3"/>
    <mergeCell ref="EA1:EI3"/>
    <mergeCell ref="QM2:QN2"/>
    <mergeCell ref="JV4:JW4"/>
    <mergeCell ref="JL4:JM4"/>
    <mergeCell ref="HT4:HU4"/>
    <mergeCell ref="HV4:HW4"/>
    <mergeCell ref="ID4:IE4"/>
    <mergeCell ref="HF4:HG4"/>
    <mergeCell ref="HH4:HI4"/>
    <mergeCell ref="HX4:HY4"/>
    <mergeCell ref="HP4:HQ4"/>
    <mergeCell ref="KT4:KU4"/>
    <mergeCell ref="KJ4:KK4"/>
    <mergeCell ref="KN4:KO4"/>
    <mergeCell ref="KH4:KI4"/>
    <mergeCell ref="HR4:HS4"/>
    <mergeCell ref="IX4:IY4"/>
    <mergeCell ref="JH4:JI4"/>
    <mergeCell ref="JF4:JG4"/>
    <mergeCell ref="LX4:LY4"/>
    <mergeCell ref="IN4:IO4"/>
    <mergeCell ref="KV4:KX4"/>
    <mergeCell ref="NK3:NL4"/>
    <mergeCell ref="IV4:IW4"/>
    <mergeCell ref="KB4:KC4"/>
    <mergeCell ref="RU3:RV4"/>
    <mergeCell ref="GA4:GB4"/>
    <mergeCell ref="GZ4:HA4"/>
    <mergeCell ref="HB4:HC4"/>
    <mergeCell ref="FS4:FT4"/>
    <mergeCell ref="GG4:GI4"/>
    <mergeCell ref="FU4:FV4"/>
    <mergeCell ref="KY3:KZ4"/>
    <mergeCell ref="IF4:IG4"/>
    <mergeCell ref="NM3:NN4"/>
    <mergeCell ref="MB4:MD4"/>
    <mergeCell ref="LT1:MD3"/>
    <mergeCell ref="ME4:MF4"/>
    <mergeCell ref="MG4:MH4"/>
    <mergeCell ref="NE1:NN2"/>
    <mergeCell ref="IL4:IM4"/>
    <mergeCell ref="MM4:MN4"/>
    <mergeCell ref="LC4:LD4"/>
    <mergeCell ref="LE4:LF4"/>
    <mergeCell ref="JD4:JE4"/>
    <mergeCell ref="IH4:II4"/>
    <mergeCell ref="IJ4:IK4"/>
    <mergeCell ref="HZ4:IA4"/>
    <mergeCell ref="LQ3:LS4"/>
    <mergeCell ref="RW3:RX4"/>
    <mergeCell ref="RY3:RZ4"/>
    <mergeCell ref="LA4:LB4"/>
    <mergeCell ref="LG4:LH4"/>
    <mergeCell ref="LI4:LJ4"/>
    <mergeCell ref="KY1:LS2"/>
    <mergeCell ref="JP4:JQ4"/>
    <mergeCell ref="JR4:JS4"/>
    <mergeCell ref="MO4:MQ4"/>
    <mergeCell ref="JT4:JU4"/>
    <mergeCell ref="JZ4:KA4"/>
    <mergeCell ref="OO3:OP4"/>
    <mergeCell ref="KL4:KM4"/>
    <mergeCell ref="KP4:KQ4"/>
    <mergeCell ref="KR4:KS4"/>
    <mergeCell ref="NC1:ND3"/>
    <mergeCell ref="NI3:NJ4"/>
    <mergeCell ref="OU2:PC2"/>
    <mergeCell ref="PE4:PI4"/>
    <mergeCell ref="NZ4:OA4"/>
    <mergeCell ref="OB4:OC4"/>
    <mergeCell ref="OD4:OE4"/>
    <mergeCell ref="NZ1:OH3"/>
    <mergeCell ref="NG3:NH4"/>
    <mergeCell ref="SC3:SG4"/>
    <mergeCell ref="SI3:SK4"/>
    <mergeCell ref="SL3:SN4"/>
    <mergeCell ref="SP3:SP5"/>
    <mergeCell ref="FW4:FX4"/>
    <mergeCell ref="RL4:RN4"/>
    <mergeCell ref="PM4:PO4"/>
    <mergeCell ref="GN4:GO4"/>
    <mergeCell ref="JJ4:JK4"/>
    <mergeCell ref="SA3:SB4"/>
    <mergeCell ref="GJ1:KX3"/>
    <mergeCell ref="GV4:GW4"/>
    <mergeCell ref="HD4:HE4"/>
    <mergeCell ref="SA2:SN2"/>
    <mergeCell ref="IP4:IQ4"/>
    <mergeCell ref="PV2:PW2"/>
    <mergeCell ref="QK3:QL4"/>
    <mergeCell ref="QD3:QH4"/>
    <mergeCell ref="QO3:QQ4"/>
    <mergeCell ref="QR3:QT4"/>
    <mergeCell ref="QU3:QV4"/>
    <mergeCell ref="QW3:RA4"/>
    <mergeCell ref="QI2:QJ2"/>
    <mergeCell ref="QB2:QC2"/>
    <mergeCell ref="SO3:SO5"/>
    <mergeCell ref="NO3:NP4"/>
    <mergeCell ref="NQ3:NR4"/>
    <mergeCell ref="NS3:NT4"/>
    <mergeCell ref="MR4:MS4"/>
    <mergeCell ref="MT4:MU4"/>
    <mergeCell ref="MV4:MW4"/>
    <mergeCell ref="MX4:MY4"/>
    <mergeCell ref="NC4:ND4"/>
    <mergeCell ref="MR1:NB3"/>
    <mergeCell ref="OI2:OT2"/>
    <mergeCell ref="MZ4:NB4"/>
    <mergeCell ref="QI3:QJ4"/>
    <mergeCell ref="OU4:OV4"/>
    <mergeCell ref="PB4:PD4"/>
    <mergeCell ref="RI4:RK4"/>
    <mergeCell ref="RF4:RH4"/>
    <mergeCell ref="QM3:QN4"/>
    <mergeCell ref="RB3:RC4"/>
    <mergeCell ref="OF4:OH4"/>
    <mergeCell ref="QB3:QC4"/>
    <mergeCell ref="RU2:RY2"/>
    <mergeCell ref="PV3:QA4"/>
    <mergeCell ref="RD3:RE4"/>
    <mergeCell ref="NE3:NF4"/>
    <mergeCell ref="LO4:LP4"/>
    <mergeCell ref="PP4:PU4"/>
    <mergeCell ref="FH4:FI4"/>
    <mergeCell ref="LA3:LP3"/>
    <mergeCell ref="GP4:GQ4"/>
    <mergeCell ref="GX4:GY4"/>
    <mergeCell ref="FB1:FN3"/>
    <mergeCell ref="FO4:FP4"/>
    <mergeCell ref="GL4:GM4"/>
    <mergeCell ref="FO1:GI3"/>
    <mergeCell ref="FQ4:FR4"/>
    <mergeCell ref="FL4:FN4"/>
    <mergeCell ref="FB4:FC4"/>
    <mergeCell ref="FJ4:FK4"/>
    <mergeCell ref="GE4:GF4"/>
    <mergeCell ref="GJ4:GK4"/>
    <mergeCell ref="GR4:GS4"/>
    <mergeCell ref="GT4:GU4"/>
    <mergeCell ref="GC4:GD4"/>
    <mergeCell ref="LV4:LW4"/>
    <mergeCell ref="KF4:KG4"/>
    <mergeCell ref="LK4:LL4"/>
    <mergeCell ref="Q1:T4"/>
    <mergeCell ref="BI1:BU3"/>
    <mergeCell ref="AF4:AH4"/>
    <mergeCell ref="A27:E27"/>
    <mergeCell ref="A28:E28"/>
    <mergeCell ref="A9:E9"/>
    <mergeCell ref="A11:E11"/>
    <mergeCell ref="A16:E16"/>
    <mergeCell ref="A17:E17"/>
    <mergeCell ref="A8:E8"/>
    <mergeCell ref="A12:E12"/>
    <mergeCell ref="A15:E15"/>
    <mergeCell ref="A23:E23"/>
    <mergeCell ref="A22:E22"/>
    <mergeCell ref="A3:E4"/>
    <mergeCell ref="AI1:AU3"/>
    <mergeCell ref="AV1:BH3"/>
    <mergeCell ref="U1:U5"/>
    <mergeCell ref="AD4:AE4"/>
    <mergeCell ref="X4:Y4"/>
    <mergeCell ref="AB4:AC4"/>
    <mergeCell ref="AO4:AP4"/>
    <mergeCell ref="AQ4:AR4"/>
    <mergeCell ref="BS4:BU4"/>
    <mergeCell ref="AZ4:BA4"/>
    <mergeCell ref="EP4:ER4"/>
    <mergeCell ref="AI4:AJ4"/>
    <mergeCell ref="AK4:AL4"/>
    <mergeCell ref="EL4:EM4"/>
    <mergeCell ref="AV4:AW4"/>
    <mergeCell ref="AX4:AY4"/>
    <mergeCell ref="BQ4:BR4"/>
    <mergeCell ref="EA4:EB4"/>
    <mergeCell ref="CM4:CO4"/>
    <mergeCell ref="BM4:BN4"/>
    <mergeCell ref="BO4:BP4"/>
    <mergeCell ref="CB4:CC4"/>
    <mergeCell ref="CD4:CE4"/>
    <mergeCell ref="DB4:DC4"/>
    <mergeCell ref="DD4:DE4"/>
    <mergeCell ref="BV4:BW4"/>
    <mergeCell ref="BX4:BY4"/>
    <mergeCell ref="CF4:CG4"/>
    <mergeCell ref="DI4:DJ4"/>
    <mergeCell ref="EC4:ED4"/>
    <mergeCell ref="A40:E40"/>
    <mergeCell ref="A38:E38"/>
    <mergeCell ref="A43:E43"/>
    <mergeCell ref="A44:E44"/>
    <mergeCell ref="A45:E45"/>
    <mergeCell ref="MI4:MJ4"/>
    <mergeCell ref="MK4:ML4"/>
    <mergeCell ref="A36:E36"/>
    <mergeCell ref="K1:N4"/>
    <mergeCell ref="O1:P4"/>
    <mergeCell ref="V1:AH3"/>
    <mergeCell ref="A41:E41"/>
    <mergeCell ref="DX4:DZ4"/>
    <mergeCell ref="BV1:CL3"/>
    <mergeCell ref="CJ4:CL4"/>
    <mergeCell ref="BD4:BE4"/>
    <mergeCell ref="BF4:BH4"/>
    <mergeCell ref="BI4:BJ4"/>
    <mergeCell ref="BK4:BL4"/>
    <mergeCell ref="V4:W4"/>
    <mergeCell ref="Z4:AA4"/>
    <mergeCell ref="CM1:CY3"/>
    <mergeCell ref="ME1:MQ3"/>
    <mergeCell ref="LT4:LU4"/>
  </mergeCells>
  <pageMargins left="0.7" right="0.7" top="0.75" bottom="0.75" header="0.3" footer="0.3"/>
  <pageSetup paperSize="9" scale="86" orientation="landscape" horizontalDpi="300" verticalDpi="300" r:id="rId1"/>
  <colBreaks count="3" manualBreakCount="3">
    <brk id="355" max="33" man="1"/>
    <brk id="380" max="33" man="1"/>
    <brk id="406" max="33" man="1"/>
  </colBreaks>
  <ignoredErrors>
    <ignoredError sqref="CA6:CC6 FL38:FN38 G15 CA33:CC33 MZ38:NB38" formula="1"/>
    <ignoredError sqref="PO33 CM43 CP4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3"/>
  <sheetViews>
    <sheetView rightToLeft="1" tabSelected="1" view="pageBreakPreview" zoomScale="80" zoomScaleNormal="100" zoomScaleSheetLayoutView="80" workbookViewId="0">
      <selection activeCell="A9" sqref="A9"/>
    </sheetView>
  </sheetViews>
  <sheetFormatPr defaultColWidth="9" defaultRowHeight="31.5" customHeight="1"/>
  <cols>
    <col min="1" max="1" width="22.375" style="97" customWidth="1"/>
    <col min="2" max="2" width="7" style="97" bestFit="1" customWidth="1"/>
    <col min="3" max="3" width="7.625" style="97" customWidth="1"/>
    <col min="4" max="4" width="13.125" style="97" customWidth="1"/>
    <col min="5" max="5" width="9.875" style="97" bestFit="1" customWidth="1"/>
    <col min="6" max="6" width="8.75" style="97" customWidth="1"/>
    <col min="7" max="7" width="11.875" style="97" customWidth="1"/>
    <col min="8" max="8" width="12.25" style="97" customWidth="1"/>
    <col min="9" max="9" width="10.875" style="97" customWidth="1"/>
    <col min="10" max="10" width="9" style="97" customWidth="1"/>
    <col min="11" max="11" width="12.875" style="97" customWidth="1"/>
    <col min="12" max="12" width="9.25" style="97" customWidth="1"/>
    <col min="13" max="13" width="14" style="97" customWidth="1"/>
    <col min="14" max="14" width="15.25" style="97" customWidth="1"/>
    <col min="15" max="15" width="10.125" style="97" customWidth="1"/>
    <col min="16" max="16" width="9.75" style="97" customWidth="1"/>
    <col min="17" max="17" width="11.625" style="97" customWidth="1"/>
    <col min="18" max="18" width="13.375" style="97" customWidth="1"/>
    <col min="19" max="19" width="7.75" style="97" customWidth="1"/>
    <col min="20" max="20" width="7.375" style="97" customWidth="1"/>
    <col min="21" max="16384" width="9" style="97"/>
  </cols>
  <sheetData>
    <row r="1" spans="1:21" ht="31.5" customHeight="1">
      <c r="A1" s="328" t="s">
        <v>109</v>
      </c>
      <c r="B1" s="328"/>
      <c r="C1" s="328"/>
      <c r="D1" s="328"/>
      <c r="E1" s="328"/>
      <c r="F1" s="328"/>
      <c r="G1" s="86"/>
      <c r="H1" s="86"/>
      <c r="I1" s="86"/>
      <c r="J1" s="87"/>
      <c r="K1" s="87"/>
      <c r="L1" s="87"/>
      <c r="M1" s="87"/>
      <c r="N1" s="87"/>
      <c r="O1" s="87"/>
      <c r="P1" s="87"/>
      <c r="Q1" s="87"/>
      <c r="R1" s="87"/>
      <c r="S1" s="328" t="s">
        <v>110</v>
      </c>
      <c r="T1" s="328"/>
      <c r="U1" s="87"/>
    </row>
    <row r="2" spans="1:21" ht="31.5" customHeight="1">
      <c r="A2" s="340" t="s">
        <v>185</v>
      </c>
      <c r="B2" s="340"/>
      <c r="C2" s="340"/>
      <c r="D2" s="340"/>
      <c r="E2" s="340"/>
      <c r="F2" s="340"/>
      <c r="G2" s="86"/>
      <c r="H2" s="86"/>
      <c r="I2" s="23" t="s">
        <v>188</v>
      </c>
      <c r="J2" s="23"/>
      <c r="K2" s="23"/>
      <c r="L2" s="23"/>
      <c r="M2" s="87"/>
      <c r="N2" s="87"/>
      <c r="O2" s="87"/>
      <c r="P2" s="87"/>
      <c r="Q2" s="87"/>
      <c r="R2" s="87"/>
      <c r="S2" s="86"/>
      <c r="T2" s="86"/>
      <c r="U2" s="87"/>
    </row>
    <row r="3" spans="1:21" ht="31.5" customHeight="1">
      <c r="A3" s="328" t="s">
        <v>111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87"/>
    </row>
    <row r="4" spans="1:21" ht="31.5" customHeight="1">
      <c r="A4" s="328" t="s">
        <v>497</v>
      </c>
      <c r="B4" s="328"/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  <c r="Q4" s="328"/>
      <c r="R4" s="328"/>
      <c r="S4" s="328"/>
      <c r="T4" s="328"/>
      <c r="U4" s="87"/>
    </row>
    <row r="5" spans="1:21" ht="31.5" customHeight="1">
      <c r="A5" s="343" t="s">
        <v>112</v>
      </c>
      <c r="B5" s="343"/>
      <c r="C5" s="343"/>
      <c r="D5" s="343"/>
      <c r="E5" s="343"/>
      <c r="F5" s="343"/>
      <c r="G5" s="343"/>
      <c r="H5" s="343"/>
      <c r="I5" s="343"/>
      <c r="J5" s="343"/>
      <c r="K5" s="343"/>
      <c r="L5" s="343"/>
      <c r="M5" s="343"/>
      <c r="N5" s="343"/>
      <c r="O5" s="343"/>
      <c r="P5" s="343"/>
      <c r="Q5" s="343"/>
      <c r="R5" s="343"/>
      <c r="S5" s="343"/>
      <c r="T5" s="343"/>
      <c r="U5" s="87"/>
    </row>
    <row r="6" spans="1:21" ht="31.5" customHeight="1" thickBot="1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87"/>
      <c r="U6" s="87"/>
    </row>
    <row r="7" spans="1:21" ht="48" customHeight="1" thickTop="1" thickBot="1">
      <c r="A7" s="336" t="s">
        <v>113</v>
      </c>
      <c r="B7" s="324" t="s">
        <v>114</v>
      </c>
      <c r="C7" s="325"/>
      <c r="D7" s="325"/>
      <c r="E7" s="326"/>
      <c r="F7" s="324" t="s">
        <v>115</v>
      </c>
      <c r="G7" s="325"/>
      <c r="H7" s="326"/>
      <c r="I7" s="324" t="s">
        <v>210</v>
      </c>
      <c r="J7" s="325"/>
      <c r="K7" s="326"/>
      <c r="L7" s="324" t="s">
        <v>117</v>
      </c>
      <c r="M7" s="325"/>
      <c r="N7" s="326"/>
      <c r="O7" s="329" t="s">
        <v>118</v>
      </c>
      <c r="P7" s="329"/>
      <c r="Q7" s="334" t="s">
        <v>205</v>
      </c>
      <c r="R7" s="335"/>
      <c r="S7" s="330" t="s">
        <v>208</v>
      </c>
      <c r="T7" s="331"/>
      <c r="U7" s="87"/>
    </row>
    <row r="8" spans="1:21" ht="44.25" customHeight="1" thickTop="1" thickBot="1">
      <c r="A8" s="337"/>
      <c r="B8" s="14" t="s">
        <v>119</v>
      </c>
      <c r="C8" s="14" t="s">
        <v>6</v>
      </c>
      <c r="D8" s="14" t="s">
        <v>67</v>
      </c>
      <c r="E8" s="14" t="s">
        <v>25</v>
      </c>
      <c r="F8" s="14" t="s">
        <v>119</v>
      </c>
      <c r="G8" s="14" t="s">
        <v>6</v>
      </c>
      <c r="H8" s="14" t="s">
        <v>25</v>
      </c>
      <c r="I8" s="14" t="s">
        <v>119</v>
      </c>
      <c r="J8" s="14" t="s">
        <v>6</v>
      </c>
      <c r="K8" s="14" t="s">
        <v>25</v>
      </c>
      <c r="L8" s="14" t="s">
        <v>119</v>
      </c>
      <c r="M8" s="14" t="s">
        <v>6</v>
      </c>
      <c r="N8" s="14" t="s">
        <v>25</v>
      </c>
      <c r="O8" s="14" t="s">
        <v>120</v>
      </c>
      <c r="P8" s="14" t="s">
        <v>15</v>
      </c>
      <c r="Q8" s="14" t="s">
        <v>206</v>
      </c>
      <c r="R8" s="14" t="s">
        <v>207</v>
      </c>
      <c r="S8" s="332"/>
      <c r="T8" s="333"/>
      <c r="U8" s="87"/>
    </row>
    <row r="9" spans="1:21" ht="31.5" customHeight="1" thickTop="1" thickBot="1">
      <c r="A9" s="15" t="s">
        <v>121</v>
      </c>
      <c r="B9" s="15">
        <f>المهني!F17</f>
        <v>0</v>
      </c>
      <c r="C9" s="15">
        <f>المهني!G17</f>
        <v>0</v>
      </c>
      <c r="D9" s="15">
        <f>المهني!H17</f>
        <v>1</v>
      </c>
      <c r="E9" s="15">
        <f t="shared" ref="E9:E15" si="0">D9+C9+B9</f>
        <v>1</v>
      </c>
      <c r="F9" s="15">
        <f>المهني!AF17</f>
        <v>200</v>
      </c>
      <c r="G9" s="15">
        <f>المهني!AG17</f>
        <v>60</v>
      </c>
      <c r="H9" s="15">
        <f t="shared" ref="H9:H15" si="1">G9+F9</f>
        <v>260</v>
      </c>
      <c r="I9" s="15">
        <f>المهني!CJ17</f>
        <v>200</v>
      </c>
      <c r="J9" s="15">
        <f>المهني!CK17</f>
        <v>60</v>
      </c>
      <c r="K9" s="15">
        <f t="shared" ref="K9:K15" si="2">J9+I9</f>
        <v>260</v>
      </c>
      <c r="L9" s="15">
        <f>المهني!FL17</f>
        <v>13</v>
      </c>
      <c r="M9" s="15">
        <f>المهني!FM17</f>
        <v>19</v>
      </c>
      <c r="N9" s="15">
        <f t="shared" ref="N9:N15" si="3">M9+L9</f>
        <v>32</v>
      </c>
      <c r="O9" s="15">
        <f>المهني!O17</f>
        <v>1</v>
      </c>
      <c r="P9" s="15">
        <f>المهني!P17</f>
        <v>0</v>
      </c>
      <c r="Q9" s="15">
        <f>المهني!I17</f>
        <v>1</v>
      </c>
      <c r="R9" s="15">
        <f>المهني!J17</f>
        <v>0</v>
      </c>
      <c r="S9" s="322">
        <f>المهني!U17</f>
        <v>1</v>
      </c>
      <c r="T9" s="323"/>
      <c r="U9" s="87"/>
    </row>
    <row r="10" spans="1:21" ht="31.5" customHeight="1" thickTop="1" thickBot="1">
      <c r="A10" s="15" t="s">
        <v>122</v>
      </c>
      <c r="B10" s="15">
        <v>0</v>
      </c>
      <c r="C10" s="15">
        <v>0</v>
      </c>
      <c r="D10" s="15">
        <v>0</v>
      </c>
      <c r="E10" s="15">
        <f t="shared" si="0"/>
        <v>0</v>
      </c>
      <c r="F10" s="15">
        <f>المهني!AF28</f>
        <v>0</v>
      </c>
      <c r="G10" s="15">
        <f>المهني!AG28</f>
        <v>0</v>
      </c>
      <c r="H10" s="15">
        <f t="shared" si="1"/>
        <v>0</v>
      </c>
      <c r="I10" s="15">
        <f>المهني!CJ28</f>
        <v>0</v>
      </c>
      <c r="J10" s="15">
        <f>المهني!CK28</f>
        <v>0</v>
      </c>
      <c r="K10" s="15">
        <f t="shared" si="2"/>
        <v>0</v>
      </c>
      <c r="L10" s="15">
        <f>المهني!FL28</f>
        <v>0</v>
      </c>
      <c r="M10" s="15">
        <f>المهني!FM28</f>
        <v>0</v>
      </c>
      <c r="N10" s="15">
        <f t="shared" si="3"/>
        <v>0</v>
      </c>
      <c r="O10" s="15">
        <v>0</v>
      </c>
      <c r="P10" s="15">
        <v>0</v>
      </c>
      <c r="Q10" s="15">
        <v>0</v>
      </c>
      <c r="R10" s="15">
        <v>0</v>
      </c>
      <c r="S10" s="322">
        <v>0</v>
      </c>
      <c r="T10" s="323"/>
      <c r="U10" s="87"/>
    </row>
    <row r="11" spans="1:21" ht="31.5" customHeight="1" thickTop="1" thickBot="1">
      <c r="A11" s="15" t="s">
        <v>123</v>
      </c>
      <c r="B11" s="15">
        <f>المهني!F23</f>
        <v>0</v>
      </c>
      <c r="C11" s="15">
        <f>المهني!G23</f>
        <v>0</v>
      </c>
      <c r="D11" s="15">
        <f>المهني!H23</f>
        <v>0</v>
      </c>
      <c r="E11" s="15">
        <f t="shared" si="0"/>
        <v>0</v>
      </c>
      <c r="F11" s="15">
        <f>المهني!AF23</f>
        <v>0</v>
      </c>
      <c r="G11" s="15">
        <f>المهني!AG23</f>
        <v>0</v>
      </c>
      <c r="H11" s="15">
        <f t="shared" si="1"/>
        <v>0</v>
      </c>
      <c r="I11" s="15">
        <f>المهني!CJ23</f>
        <v>0</v>
      </c>
      <c r="J11" s="15">
        <f>المهني!CK23</f>
        <v>0</v>
      </c>
      <c r="K11" s="15">
        <f t="shared" si="2"/>
        <v>0</v>
      </c>
      <c r="L11" s="15">
        <f>المهني!FL23</f>
        <v>0</v>
      </c>
      <c r="M11" s="15">
        <f>المهني!FM23</f>
        <v>0</v>
      </c>
      <c r="N11" s="15">
        <f t="shared" si="3"/>
        <v>0</v>
      </c>
      <c r="O11" s="15">
        <f>المهني!O23</f>
        <v>0</v>
      </c>
      <c r="P11" s="15">
        <f>المهني!P23</f>
        <v>0</v>
      </c>
      <c r="Q11" s="15">
        <f>المهني!I23</f>
        <v>0</v>
      </c>
      <c r="R11" s="15">
        <v>0</v>
      </c>
      <c r="S11" s="322">
        <f>المهني!U23</f>
        <v>0</v>
      </c>
      <c r="T11" s="323"/>
      <c r="U11" s="87"/>
    </row>
    <row r="12" spans="1:21" ht="31.5" customHeight="1" thickTop="1" thickBot="1">
      <c r="A12" s="15" t="s">
        <v>209</v>
      </c>
      <c r="B12" s="15">
        <v>0</v>
      </c>
      <c r="C12" s="15">
        <v>0</v>
      </c>
      <c r="D12" s="15">
        <v>0</v>
      </c>
      <c r="E12" s="15">
        <f t="shared" si="0"/>
        <v>0</v>
      </c>
      <c r="F12" s="15">
        <f>المهني!AF32</f>
        <v>0</v>
      </c>
      <c r="G12" s="15">
        <f>المهني!AG32</f>
        <v>0</v>
      </c>
      <c r="H12" s="15">
        <f t="shared" si="1"/>
        <v>0</v>
      </c>
      <c r="I12" s="15">
        <v>0</v>
      </c>
      <c r="J12" s="15">
        <f>المهني!CK32</f>
        <v>0</v>
      </c>
      <c r="K12" s="15">
        <f t="shared" si="2"/>
        <v>0</v>
      </c>
      <c r="L12" s="15">
        <v>0</v>
      </c>
      <c r="M12" s="15">
        <f>المهني!FM32</f>
        <v>0</v>
      </c>
      <c r="N12" s="15">
        <f t="shared" si="3"/>
        <v>0</v>
      </c>
      <c r="O12" s="15">
        <v>0</v>
      </c>
      <c r="P12" s="15">
        <v>0</v>
      </c>
      <c r="Q12" s="15">
        <v>0</v>
      </c>
      <c r="R12" s="15">
        <v>0</v>
      </c>
      <c r="S12" s="322">
        <v>0</v>
      </c>
      <c r="T12" s="323"/>
      <c r="U12" s="87"/>
    </row>
    <row r="13" spans="1:21" ht="31.5" customHeight="1" thickTop="1" thickBot="1">
      <c r="A13" s="15" t="s">
        <v>459</v>
      </c>
      <c r="B13" s="15">
        <f>المهني!F38</f>
        <v>0</v>
      </c>
      <c r="C13" s="15">
        <f>المهني!G38</f>
        <v>0</v>
      </c>
      <c r="D13" s="15">
        <f>المهني!H38</f>
        <v>0</v>
      </c>
      <c r="E13" s="15">
        <f t="shared" si="0"/>
        <v>0</v>
      </c>
      <c r="F13" s="15">
        <f>المهني!AF37</f>
        <v>0</v>
      </c>
      <c r="G13" s="15">
        <f>المهني!AG37</f>
        <v>0</v>
      </c>
      <c r="H13" s="15">
        <f t="shared" si="1"/>
        <v>0</v>
      </c>
      <c r="I13" s="15">
        <f>المهني!CJ37</f>
        <v>0</v>
      </c>
      <c r="J13" s="15">
        <f>المهني!CK37</f>
        <v>0</v>
      </c>
      <c r="K13" s="15">
        <f t="shared" si="2"/>
        <v>0</v>
      </c>
      <c r="L13" s="15">
        <f>المهني!FL38</f>
        <v>0</v>
      </c>
      <c r="M13" s="15">
        <f>المهني!FM38</f>
        <v>0</v>
      </c>
      <c r="N13" s="15">
        <f t="shared" si="3"/>
        <v>0</v>
      </c>
      <c r="O13" s="15">
        <f>المهني!O38</f>
        <v>0</v>
      </c>
      <c r="P13" s="15">
        <f>المهني!P38</f>
        <v>0</v>
      </c>
      <c r="Q13" s="15">
        <f>المهني!I38</f>
        <v>0</v>
      </c>
      <c r="R13" s="15">
        <f>المهني!J38</f>
        <v>0</v>
      </c>
      <c r="S13" s="322">
        <f>المهني!U40</f>
        <v>0</v>
      </c>
      <c r="T13" s="323"/>
      <c r="U13" s="135"/>
    </row>
    <row r="14" spans="1:21" ht="31.5" customHeight="1" thickTop="1" thickBot="1">
      <c r="A14" s="15" t="s">
        <v>474</v>
      </c>
      <c r="B14" s="15">
        <f>المهني!F40</f>
        <v>0</v>
      </c>
      <c r="C14" s="15">
        <f>المهني!G40</f>
        <v>0</v>
      </c>
      <c r="D14" s="15">
        <f>المهني!H40</f>
        <v>0</v>
      </c>
      <c r="E14" s="15">
        <f t="shared" si="0"/>
        <v>0</v>
      </c>
      <c r="F14" s="15">
        <f>المهني!AF40</f>
        <v>0</v>
      </c>
      <c r="G14" s="15">
        <f>المهني!AG40</f>
        <v>0</v>
      </c>
      <c r="H14" s="15">
        <f t="shared" si="1"/>
        <v>0</v>
      </c>
      <c r="I14" s="15">
        <f>المهني!CJ40</f>
        <v>0</v>
      </c>
      <c r="J14" s="15">
        <f>المهني!CK40</f>
        <v>0</v>
      </c>
      <c r="K14" s="15">
        <f t="shared" si="2"/>
        <v>0</v>
      </c>
      <c r="L14" s="15">
        <f>المهني!FL40</f>
        <v>0</v>
      </c>
      <c r="M14" s="15">
        <f>المهني!FM40</f>
        <v>0</v>
      </c>
      <c r="N14" s="15">
        <f t="shared" si="3"/>
        <v>0</v>
      </c>
      <c r="O14" s="15">
        <f>المهني!O40</f>
        <v>0</v>
      </c>
      <c r="P14" s="15">
        <f>المهني!P40</f>
        <v>0</v>
      </c>
      <c r="Q14" s="15">
        <f>المهني!I40</f>
        <v>0</v>
      </c>
      <c r="R14" s="15">
        <f>المهني!J40</f>
        <v>0</v>
      </c>
      <c r="S14" s="322">
        <f>المهني!U40</f>
        <v>0</v>
      </c>
      <c r="T14" s="323"/>
      <c r="U14" s="172"/>
    </row>
    <row r="15" spans="1:21" ht="31.5" customHeight="1" thickTop="1" thickBot="1">
      <c r="A15" s="206" t="s">
        <v>387</v>
      </c>
      <c r="B15" s="15">
        <f>المهني!F36</f>
        <v>0</v>
      </c>
      <c r="C15" s="15">
        <f>المهني!G36</f>
        <v>0</v>
      </c>
      <c r="D15" s="15">
        <f>المهني!H36</f>
        <v>0</v>
      </c>
      <c r="E15" s="15">
        <f t="shared" si="0"/>
        <v>0</v>
      </c>
      <c r="F15" s="15">
        <f>المهني!AF35</f>
        <v>438</v>
      </c>
      <c r="G15" s="15">
        <f>المهني!AG35</f>
        <v>40</v>
      </c>
      <c r="H15" s="15">
        <f t="shared" si="1"/>
        <v>478</v>
      </c>
      <c r="I15" s="15">
        <f>المهني!CJ35</f>
        <v>470</v>
      </c>
      <c r="J15" s="15">
        <f>المهني!CK35</f>
        <v>40</v>
      </c>
      <c r="K15" s="15">
        <f t="shared" si="2"/>
        <v>510</v>
      </c>
      <c r="L15" s="15">
        <f>المهني!FL35</f>
        <v>0</v>
      </c>
      <c r="M15" s="15">
        <f>المهني!FM35</f>
        <v>0</v>
      </c>
      <c r="N15" s="15">
        <f t="shared" si="3"/>
        <v>0</v>
      </c>
      <c r="O15" s="15">
        <f>المهني!O35</f>
        <v>0</v>
      </c>
      <c r="P15" s="15">
        <v>0</v>
      </c>
      <c r="Q15" s="15">
        <f>المهني!I35</f>
        <v>0</v>
      </c>
      <c r="R15" s="15">
        <v>0</v>
      </c>
      <c r="S15" s="322">
        <f>المهني!U35</f>
        <v>0</v>
      </c>
      <c r="T15" s="323"/>
      <c r="U15" s="87"/>
    </row>
    <row r="16" spans="1:21" ht="31.5" customHeight="1" thickTop="1" thickBot="1">
      <c r="A16" s="15" t="s">
        <v>25</v>
      </c>
      <c r="B16" s="15">
        <f>B12+B11+B10+B9+B15+B13+B14</f>
        <v>0</v>
      </c>
      <c r="C16" s="15">
        <f t="shared" ref="C16:R16" si="4">C12+C11+C10+C9+C15+C13+C14</f>
        <v>0</v>
      </c>
      <c r="D16" s="15">
        <f t="shared" si="4"/>
        <v>1</v>
      </c>
      <c r="E16" s="15">
        <f t="shared" si="4"/>
        <v>1</v>
      </c>
      <c r="F16" s="15">
        <f t="shared" si="4"/>
        <v>638</v>
      </c>
      <c r="G16" s="15">
        <f t="shared" si="4"/>
        <v>100</v>
      </c>
      <c r="H16" s="15">
        <f t="shared" si="4"/>
        <v>738</v>
      </c>
      <c r="I16" s="15">
        <f t="shared" si="4"/>
        <v>670</v>
      </c>
      <c r="J16" s="15">
        <f t="shared" si="4"/>
        <v>100</v>
      </c>
      <c r="K16" s="15">
        <f>K12+K11+K10+K9+K15+K13+K14</f>
        <v>770</v>
      </c>
      <c r="L16" s="15">
        <f t="shared" si="4"/>
        <v>13</v>
      </c>
      <c r="M16" s="15">
        <f t="shared" si="4"/>
        <v>19</v>
      </c>
      <c r="N16" s="15">
        <f t="shared" si="4"/>
        <v>32</v>
      </c>
      <c r="O16" s="15">
        <f t="shared" si="4"/>
        <v>1</v>
      </c>
      <c r="P16" s="15">
        <f t="shared" si="4"/>
        <v>0</v>
      </c>
      <c r="Q16" s="15">
        <f t="shared" si="4"/>
        <v>1</v>
      </c>
      <c r="R16" s="15">
        <f t="shared" si="4"/>
        <v>0</v>
      </c>
      <c r="S16" s="322">
        <f>SUM(S9:T15)</f>
        <v>1</v>
      </c>
      <c r="T16" s="323"/>
      <c r="U16" s="87"/>
    </row>
    <row r="17" spans="1:21" ht="31.5" customHeight="1" thickTop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87"/>
      <c r="P17" s="87"/>
      <c r="Q17" s="87"/>
      <c r="R17" s="87"/>
      <c r="S17" s="87"/>
      <c r="T17" s="87"/>
      <c r="U17" s="87"/>
    </row>
    <row r="18" spans="1:21" ht="31.5" customHeight="1">
      <c r="A18" s="17"/>
      <c r="B18" s="17"/>
      <c r="C18" s="17"/>
      <c r="D18" s="328" t="s">
        <v>124</v>
      </c>
      <c r="E18" s="328"/>
      <c r="F18" s="328"/>
      <c r="G18" s="328"/>
      <c r="H18" s="328"/>
      <c r="I18" s="328"/>
      <c r="J18" s="328"/>
      <c r="K18" s="328"/>
      <c r="L18" s="328"/>
      <c r="M18" s="328"/>
      <c r="N18" s="328"/>
      <c r="O18" s="328"/>
      <c r="P18" s="328"/>
      <c r="Q18" s="328"/>
      <c r="R18" s="87"/>
      <c r="S18" s="87"/>
      <c r="T18" s="87"/>
      <c r="U18" s="87"/>
    </row>
    <row r="19" spans="1:21" ht="31.5" customHeight="1">
      <c r="A19" s="87"/>
      <c r="B19" s="87"/>
      <c r="C19" s="86" t="s">
        <v>186</v>
      </c>
      <c r="D19" s="328" t="s">
        <v>497</v>
      </c>
      <c r="E19" s="328"/>
      <c r="F19" s="328"/>
      <c r="G19" s="328"/>
      <c r="H19" s="328"/>
      <c r="I19" s="328"/>
      <c r="J19" s="328"/>
      <c r="K19" s="328"/>
      <c r="L19" s="328"/>
      <c r="M19" s="328"/>
      <c r="N19" s="328"/>
      <c r="O19" s="328"/>
      <c r="P19" s="328"/>
      <c r="Q19" s="328"/>
      <c r="R19" s="87"/>
      <c r="S19" s="87"/>
      <c r="T19" s="87"/>
      <c r="U19" s="87"/>
    </row>
    <row r="20" spans="1:21" ht="31.5" customHeight="1">
      <c r="A20" s="87"/>
      <c r="B20" s="86"/>
      <c r="C20" s="86"/>
      <c r="D20" s="328" t="s">
        <v>187</v>
      </c>
      <c r="E20" s="328"/>
      <c r="F20" s="328"/>
      <c r="G20" s="328"/>
      <c r="H20" s="328"/>
      <c r="I20" s="328"/>
      <c r="J20" s="328"/>
      <c r="K20" s="328"/>
      <c r="L20" s="328"/>
      <c r="M20" s="328"/>
      <c r="N20" s="328"/>
      <c r="O20" s="328"/>
      <c r="P20" s="328"/>
      <c r="Q20" s="328"/>
      <c r="R20" s="87"/>
      <c r="S20" s="87"/>
      <c r="T20" s="87"/>
      <c r="U20" s="87"/>
    </row>
    <row r="21" spans="1:21" ht="31.5" customHeight="1" thickBot="1">
      <c r="A21" s="87"/>
      <c r="B21" s="18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</row>
    <row r="22" spans="1:21" ht="31.5" customHeight="1" thickTop="1" thickBot="1">
      <c r="A22" s="87"/>
      <c r="B22" s="87"/>
      <c r="C22" s="344" t="s">
        <v>113</v>
      </c>
      <c r="D22" s="345"/>
      <c r="E22" s="322" t="s">
        <v>125</v>
      </c>
      <c r="F22" s="323"/>
      <c r="G22" s="322" t="s">
        <v>126</v>
      </c>
      <c r="H22" s="323"/>
      <c r="I22" s="322" t="s">
        <v>127</v>
      </c>
      <c r="J22" s="323"/>
      <c r="K22" s="322" t="s">
        <v>128</v>
      </c>
      <c r="L22" s="323"/>
      <c r="M22" s="322" t="s">
        <v>129</v>
      </c>
      <c r="N22" s="323"/>
      <c r="O22" s="322" t="s">
        <v>130</v>
      </c>
      <c r="P22" s="327"/>
      <c r="Q22" s="323"/>
      <c r="R22" s="87"/>
      <c r="S22" s="87"/>
      <c r="T22" s="87"/>
      <c r="U22" s="87"/>
    </row>
    <row r="23" spans="1:21" ht="31.5" customHeight="1" thickTop="1" thickBot="1">
      <c r="A23" s="87"/>
      <c r="B23" s="87"/>
      <c r="C23" s="346"/>
      <c r="D23" s="347"/>
      <c r="E23" s="15" t="s">
        <v>5</v>
      </c>
      <c r="F23" s="15" t="s">
        <v>6</v>
      </c>
      <c r="G23" s="15" t="s">
        <v>5</v>
      </c>
      <c r="H23" s="15" t="s">
        <v>6</v>
      </c>
      <c r="I23" s="15" t="s">
        <v>5</v>
      </c>
      <c r="J23" s="15" t="s">
        <v>6</v>
      </c>
      <c r="K23" s="15" t="s">
        <v>5</v>
      </c>
      <c r="L23" s="15" t="s">
        <v>6</v>
      </c>
      <c r="M23" s="15" t="s">
        <v>5</v>
      </c>
      <c r="N23" s="15" t="s">
        <v>6</v>
      </c>
      <c r="O23" s="15" t="s">
        <v>5</v>
      </c>
      <c r="P23" s="15" t="s">
        <v>6</v>
      </c>
      <c r="Q23" s="15" t="s">
        <v>25</v>
      </c>
      <c r="R23" s="87"/>
      <c r="S23" s="87"/>
      <c r="T23" s="87"/>
      <c r="U23" s="87"/>
    </row>
    <row r="24" spans="1:21" ht="31.5" customHeight="1" thickTop="1" thickBot="1">
      <c r="A24" s="87"/>
      <c r="B24" s="87"/>
      <c r="C24" s="322" t="s">
        <v>121</v>
      </c>
      <c r="D24" s="323"/>
      <c r="E24" s="15">
        <f>المهني!V17</f>
        <v>67</v>
      </c>
      <c r="F24" s="15">
        <f>المهني!W17</f>
        <v>13</v>
      </c>
      <c r="G24" s="15">
        <f>المهني!X17</f>
        <v>59</v>
      </c>
      <c r="H24" s="15">
        <f>المهني!Y17</f>
        <v>20</v>
      </c>
      <c r="I24" s="15">
        <f>المهني!Z17</f>
        <v>45</v>
      </c>
      <c r="J24" s="15">
        <f>المهني!AA17</f>
        <v>20</v>
      </c>
      <c r="K24" s="15">
        <f>المهني!AB17</f>
        <v>29</v>
      </c>
      <c r="L24" s="15">
        <f>المهني!AC17</f>
        <v>7</v>
      </c>
      <c r="M24" s="15">
        <f>المهني!AD17</f>
        <v>0</v>
      </c>
      <c r="N24" s="15">
        <f>المهني!AE17</f>
        <v>0</v>
      </c>
      <c r="O24" s="15">
        <f t="shared" ref="O24:P30" si="5">M24+K24+I24+G24+E24</f>
        <v>200</v>
      </c>
      <c r="P24" s="15">
        <f t="shared" si="5"/>
        <v>60</v>
      </c>
      <c r="Q24" s="15">
        <f t="shared" ref="Q24:Q30" si="6">P24+O24</f>
        <v>260</v>
      </c>
      <c r="R24" s="19"/>
      <c r="S24" s="19"/>
      <c r="T24" s="87"/>
      <c r="U24" s="87"/>
    </row>
    <row r="25" spans="1:21" ht="31.5" customHeight="1" thickTop="1" thickBot="1">
      <c r="A25" s="87"/>
      <c r="B25" s="87"/>
      <c r="C25" s="322" t="s">
        <v>122</v>
      </c>
      <c r="D25" s="323"/>
      <c r="E25" s="15">
        <f>المهني!V28</f>
        <v>0</v>
      </c>
      <c r="F25" s="15">
        <f>المهني!W28</f>
        <v>0</v>
      </c>
      <c r="G25" s="15">
        <f>المهني!X28</f>
        <v>0</v>
      </c>
      <c r="H25" s="15">
        <f>المهني!Y28</f>
        <v>0</v>
      </c>
      <c r="I25" s="15">
        <f>المهني!Z28</f>
        <v>0</v>
      </c>
      <c r="J25" s="15">
        <f>المهني!AA28</f>
        <v>0</v>
      </c>
      <c r="K25" s="15">
        <f>المهني!AB28</f>
        <v>0</v>
      </c>
      <c r="L25" s="15">
        <f>المهني!AC28</f>
        <v>0</v>
      </c>
      <c r="M25" s="15">
        <f>المهني!AD28</f>
        <v>0</v>
      </c>
      <c r="N25" s="15">
        <f>المهني!AE28</f>
        <v>0</v>
      </c>
      <c r="O25" s="15">
        <f t="shared" si="5"/>
        <v>0</v>
      </c>
      <c r="P25" s="15">
        <f t="shared" si="5"/>
        <v>0</v>
      </c>
      <c r="Q25" s="15">
        <f t="shared" si="6"/>
        <v>0</v>
      </c>
      <c r="R25" s="19"/>
      <c r="S25" s="19"/>
      <c r="T25" s="87"/>
      <c r="U25" s="87"/>
    </row>
    <row r="26" spans="1:21" ht="31.5" customHeight="1" thickTop="1" thickBot="1">
      <c r="A26" s="87"/>
      <c r="B26" s="87"/>
      <c r="C26" s="322" t="s">
        <v>123</v>
      </c>
      <c r="D26" s="323"/>
      <c r="E26" s="15">
        <f>المهني!V23</f>
        <v>0</v>
      </c>
      <c r="F26" s="15">
        <f>المهني!W23</f>
        <v>0</v>
      </c>
      <c r="G26" s="15">
        <f>المهني!X23</f>
        <v>0</v>
      </c>
      <c r="H26" s="15">
        <f>المهني!Y23</f>
        <v>0</v>
      </c>
      <c r="I26" s="15">
        <f>المهني!Z23</f>
        <v>0</v>
      </c>
      <c r="J26" s="15">
        <f>المهني!AA23</f>
        <v>0</v>
      </c>
      <c r="K26" s="15">
        <f>المهني!AB23</f>
        <v>0</v>
      </c>
      <c r="L26" s="15">
        <f>المهني!AC23</f>
        <v>0</v>
      </c>
      <c r="M26" s="15">
        <f>المهني!AD23</f>
        <v>0</v>
      </c>
      <c r="N26" s="15">
        <f>المهني!AE23</f>
        <v>0</v>
      </c>
      <c r="O26" s="15">
        <f t="shared" si="5"/>
        <v>0</v>
      </c>
      <c r="P26" s="15">
        <f t="shared" si="5"/>
        <v>0</v>
      </c>
      <c r="Q26" s="15">
        <f t="shared" si="6"/>
        <v>0</v>
      </c>
      <c r="R26" s="19"/>
      <c r="S26" s="19"/>
      <c r="T26" s="87"/>
      <c r="U26" s="87"/>
    </row>
    <row r="27" spans="1:21" ht="31.5" customHeight="1" thickTop="1" thickBot="1">
      <c r="A27" s="87"/>
      <c r="B27" s="87"/>
      <c r="C27" s="322" t="s">
        <v>209</v>
      </c>
      <c r="D27" s="323"/>
      <c r="E27" s="15">
        <f>المهني!V32</f>
        <v>0</v>
      </c>
      <c r="F27" s="15">
        <f>المهني!W32</f>
        <v>0</v>
      </c>
      <c r="G27" s="15">
        <v>0</v>
      </c>
      <c r="H27" s="15">
        <f>المهني!Y32</f>
        <v>0</v>
      </c>
      <c r="I27" s="15">
        <v>0</v>
      </c>
      <c r="J27" s="15">
        <f>المهني!AA32</f>
        <v>0</v>
      </c>
      <c r="K27" s="15">
        <v>0</v>
      </c>
      <c r="L27" s="15">
        <f>المهني!AC32</f>
        <v>0</v>
      </c>
      <c r="M27" s="15">
        <v>0</v>
      </c>
      <c r="N27" s="15">
        <f>المهني!AE32</f>
        <v>0</v>
      </c>
      <c r="O27" s="15">
        <f>M27+K27+I27+G27+E27</f>
        <v>0</v>
      </c>
      <c r="P27" s="15">
        <f t="shared" si="5"/>
        <v>0</v>
      </c>
      <c r="Q27" s="15">
        <f t="shared" si="6"/>
        <v>0</v>
      </c>
      <c r="R27" s="19"/>
      <c r="S27" s="19"/>
      <c r="T27" s="87"/>
      <c r="U27" s="87"/>
    </row>
    <row r="28" spans="1:21" ht="31.5" customHeight="1" thickTop="1" thickBot="1">
      <c r="A28" s="135"/>
      <c r="B28" s="135"/>
      <c r="C28" s="322" t="s">
        <v>459</v>
      </c>
      <c r="D28" s="323"/>
      <c r="E28" s="15">
        <f>المهني!V38</f>
        <v>0</v>
      </c>
      <c r="F28" s="15">
        <f>المهني!W38</f>
        <v>0</v>
      </c>
      <c r="G28" s="15">
        <f>المهني!X38</f>
        <v>0</v>
      </c>
      <c r="H28" s="15">
        <f>المهني!Y38</f>
        <v>0</v>
      </c>
      <c r="I28" s="15">
        <f>المهني!Z38</f>
        <v>0</v>
      </c>
      <c r="J28" s="15">
        <f>المهني!AA38</f>
        <v>0</v>
      </c>
      <c r="K28" s="15">
        <f>المهني!AB38</f>
        <v>0</v>
      </c>
      <c r="L28" s="15">
        <f>المهني!AC38</f>
        <v>0</v>
      </c>
      <c r="M28" s="15">
        <f>المهني!AD38</f>
        <v>0</v>
      </c>
      <c r="N28" s="15">
        <f>المهني!AE38</f>
        <v>0</v>
      </c>
      <c r="O28" s="15">
        <f>M28+K28+I28+G28+E28</f>
        <v>0</v>
      </c>
      <c r="P28" s="15">
        <f t="shared" ref="P28" si="7">N28+L28+J28+H28+F28</f>
        <v>0</v>
      </c>
      <c r="Q28" s="15">
        <f t="shared" si="6"/>
        <v>0</v>
      </c>
      <c r="R28" s="19"/>
      <c r="S28" s="19"/>
      <c r="T28" s="135"/>
      <c r="U28" s="135"/>
    </row>
    <row r="29" spans="1:21" ht="31.5" customHeight="1" thickTop="1" thickBot="1">
      <c r="A29" s="172"/>
      <c r="B29" s="172"/>
      <c r="C29" s="322" t="s">
        <v>474</v>
      </c>
      <c r="D29" s="323"/>
      <c r="E29" s="15">
        <f>المهني!V40</f>
        <v>0</v>
      </c>
      <c r="F29" s="15">
        <f>المهني!W40</f>
        <v>0</v>
      </c>
      <c r="G29" s="15">
        <f>المهني!X40</f>
        <v>0</v>
      </c>
      <c r="H29" s="15">
        <f>المهني!Y40</f>
        <v>0</v>
      </c>
      <c r="I29" s="15">
        <f>المهني!Z40</f>
        <v>0</v>
      </c>
      <c r="J29" s="15">
        <f>المهني!AA40</f>
        <v>0</v>
      </c>
      <c r="K29" s="15">
        <f>المهني!AB40</f>
        <v>0</v>
      </c>
      <c r="L29" s="15">
        <f>المهني!AC40</f>
        <v>0</v>
      </c>
      <c r="M29" s="15">
        <f>المهني!AD40</f>
        <v>0</v>
      </c>
      <c r="N29" s="15">
        <f>المهني!AE40</f>
        <v>0</v>
      </c>
      <c r="O29" s="15">
        <f>M29+K29+I29+G29+E29</f>
        <v>0</v>
      </c>
      <c r="P29" s="15">
        <f t="shared" ref="P29" si="8">N29+L29+J29+H29+F29</f>
        <v>0</v>
      </c>
      <c r="Q29" s="15">
        <f t="shared" ref="Q29" si="9">P29+O29</f>
        <v>0</v>
      </c>
      <c r="R29" s="19"/>
      <c r="S29" s="19"/>
      <c r="T29" s="172"/>
      <c r="U29" s="172"/>
    </row>
    <row r="30" spans="1:21" ht="31.5" customHeight="1" thickTop="1" thickBot="1">
      <c r="A30" s="87"/>
      <c r="B30" s="87"/>
      <c r="C30" s="341" t="s">
        <v>387</v>
      </c>
      <c r="D30" s="342"/>
      <c r="E30" s="15">
        <f>المهني!V35</f>
        <v>100</v>
      </c>
      <c r="F30" s="15">
        <f>المهني!W35</f>
        <v>10</v>
      </c>
      <c r="G30" s="15">
        <f>المهني!X35</f>
        <v>100</v>
      </c>
      <c r="H30" s="15">
        <f>المهني!Y35</f>
        <v>15</v>
      </c>
      <c r="I30" s="15">
        <f>المهني!Z35</f>
        <v>100</v>
      </c>
      <c r="J30" s="15">
        <f>المهني!AA35</f>
        <v>7</v>
      </c>
      <c r="K30" s="15">
        <f>المهني!AB35</f>
        <v>100</v>
      </c>
      <c r="L30" s="15">
        <f>المهني!AC35</f>
        <v>8</v>
      </c>
      <c r="M30" s="15">
        <f>المهني!AD35</f>
        <v>38</v>
      </c>
      <c r="N30" s="15">
        <f>المهني!AE35</f>
        <v>0</v>
      </c>
      <c r="O30" s="15">
        <f t="shared" si="5"/>
        <v>438</v>
      </c>
      <c r="P30" s="15">
        <f t="shared" si="5"/>
        <v>40</v>
      </c>
      <c r="Q30" s="15">
        <f t="shared" si="6"/>
        <v>478</v>
      </c>
      <c r="R30" s="19"/>
      <c r="S30" s="19"/>
      <c r="T30" s="87"/>
      <c r="U30" s="87"/>
    </row>
    <row r="31" spans="1:21" ht="31.5" customHeight="1" thickTop="1" thickBot="1">
      <c r="A31" s="87"/>
      <c r="B31" s="87"/>
      <c r="C31" s="322" t="s">
        <v>25</v>
      </c>
      <c r="D31" s="323"/>
      <c r="E31" s="15">
        <f>E27+E26+E25+E24+E30+E28+E29</f>
        <v>167</v>
      </c>
      <c r="F31" s="15">
        <f t="shared" ref="F31:Q31" si="10">F27+F26+F25+F24+F30+F28+F29</f>
        <v>23</v>
      </c>
      <c r="G31" s="15">
        <f t="shared" si="10"/>
        <v>159</v>
      </c>
      <c r="H31" s="15">
        <f t="shared" si="10"/>
        <v>35</v>
      </c>
      <c r="I31" s="15">
        <f t="shared" si="10"/>
        <v>145</v>
      </c>
      <c r="J31" s="15">
        <f t="shared" si="10"/>
        <v>27</v>
      </c>
      <c r="K31" s="15">
        <f t="shared" si="10"/>
        <v>129</v>
      </c>
      <c r="L31" s="15">
        <f t="shared" si="10"/>
        <v>15</v>
      </c>
      <c r="M31" s="15">
        <f t="shared" si="10"/>
        <v>38</v>
      </c>
      <c r="N31" s="15">
        <f t="shared" si="10"/>
        <v>0</v>
      </c>
      <c r="O31" s="15">
        <f t="shared" si="10"/>
        <v>638</v>
      </c>
      <c r="P31" s="15">
        <f t="shared" si="10"/>
        <v>100</v>
      </c>
      <c r="Q31" s="15">
        <f t="shared" si="10"/>
        <v>738</v>
      </c>
      <c r="R31" s="19"/>
      <c r="S31" s="19"/>
      <c r="T31" s="87"/>
      <c r="U31" s="87"/>
    </row>
    <row r="32" spans="1:21" ht="31.5" customHeight="1" thickTop="1">
      <c r="A32" s="87"/>
      <c r="B32" s="87"/>
      <c r="C32" s="87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</row>
    <row r="33" spans="1:21" ht="31.5" customHeight="1">
      <c r="A33" s="328" t="s">
        <v>109</v>
      </c>
      <c r="B33" s="328"/>
      <c r="C33" s="328"/>
      <c r="D33" s="328"/>
      <c r="E33" s="328"/>
      <c r="F33" s="328"/>
      <c r="G33" s="86"/>
      <c r="H33" s="86"/>
      <c r="I33" s="86"/>
      <c r="J33" s="87"/>
      <c r="K33" s="87"/>
      <c r="L33" s="87"/>
      <c r="M33" s="87"/>
      <c r="N33" s="87"/>
      <c r="O33" s="87"/>
      <c r="P33" s="87"/>
      <c r="Q33" s="87"/>
      <c r="R33" s="87"/>
      <c r="S33" s="328" t="s">
        <v>110</v>
      </c>
      <c r="T33" s="328"/>
      <c r="U33" s="87"/>
    </row>
    <row r="34" spans="1:21" ht="31.5" customHeight="1">
      <c r="A34" s="340" t="s">
        <v>185</v>
      </c>
      <c r="B34" s="340"/>
      <c r="C34" s="340"/>
      <c r="D34" s="340"/>
      <c r="E34" s="340"/>
      <c r="F34" s="340"/>
      <c r="G34" s="86"/>
      <c r="H34" s="86"/>
      <c r="I34" s="328" t="s">
        <v>202</v>
      </c>
      <c r="J34" s="328"/>
      <c r="K34" s="328"/>
      <c r="L34" s="328"/>
      <c r="M34" s="87"/>
      <c r="N34" s="87"/>
      <c r="O34" s="87"/>
      <c r="P34" s="87"/>
      <c r="Q34" s="87"/>
      <c r="R34" s="87"/>
      <c r="S34" s="86"/>
      <c r="T34" s="86"/>
      <c r="U34" s="87"/>
    </row>
    <row r="35" spans="1:21" ht="31.5" customHeight="1">
      <c r="A35" s="328" t="s">
        <v>111</v>
      </c>
      <c r="B35" s="328"/>
      <c r="C35" s="328"/>
      <c r="D35" s="328"/>
      <c r="E35" s="328"/>
      <c r="F35" s="328"/>
      <c r="G35" s="328"/>
      <c r="H35" s="328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87"/>
    </row>
    <row r="36" spans="1:21" ht="31.5" customHeight="1">
      <c r="A36" s="328" t="s">
        <v>497</v>
      </c>
      <c r="B36" s="328"/>
      <c r="C36" s="328"/>
      <c r="D36" s="328"/>
      <c r="E36" s="328"/>
      <c r="F36" s="328"/>
      <c r="G36" s="328"/>
      <c r="H36" s="328"/>
      <c r="I36" s="328"/>
      <c r="J36" s="328"/>
      <c r="K36" s="328"/>
      <c r="L36" s="328"/>
      <c r="M36" s="328"/>
      <c r="N36" s="328"/>
      <c r="O36" s="328"/>
      <c r="P36" s="328"/>
      <c r="Q36" s="328"/>
      <c r="R36" s="328"/>
      <c r="S36" s="328"/>
      <c r="T36" s="328"/>
      <c r="U36" s="87"/>
    </row>
    <row r="37" spans="1:21" ht="31.5" customHeight="1">
      <c r="A37" s="343" t="s">
        <v>112</v>
      </c>
      <c r="B37" s="343"/>
      <c r="C37" s="343"/>
      <c r="D37" s="343"/>
      <c r="E37" s="343"/>
      <c r="F37" s="343"/>
      <c r="G37" s="343"/>
      <c r="H37" s="343"/>
      <c r="I37" s="343"/>
      <c r="J37" s="343"/>
      <c r="K37" s="343"/>
      <c r="L37" s="343"/>
      <c r="M37" s="343"/>
      <c r="N37" s="343"/>
      <c r="O37" s="343"/>
      <c r="P37" s="343"/>
      <c r="Q37" s="343"/>
      <c r="R37" s="343"/>
      <c r="S37" s="343"/>
      <c r="T37" s="343"/>
      <c r="U37" s="87"/>
    </row>
    <row r="38" spans="1:21" ht="31.5" customHeight="1" thickBo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87"/>
      <c r="U38" s="87"/>
    </row>
    <row r="39" spans="1:21" ht="51" customHeight="1" thickTop="1" thickBot="1">
      <c r="A39" s="336" t="s">
        <v>113</v>
      </c>
      <c r="B39" s="324" t="s">
        <v>114</v>
      </c>
      <c r="C39" s="325"/>
      <c r="D39" s="325"/>
      <c r="E39" s="326"/>
      <c r="F39" s="324" t="s">
        <v>115</v>
      </c>
      <c r="G39" s="325"/>
      <c r="H39" s="326"/>
      <c r="I39" s="324" t="s">
        <v>210</v>
      </c>
      <c r="J39" s="325"/>
      <c r="K39" s="326"/>
      <c r="L39" s="324" t="s">
        <v>117</v>
      </c>
      <c r="M39" s="325"/>
      <c r="N39" s="326"/>
      <c r="O39" s="329" t="s">
        <v>118</v>
      </c>
      <c r="P39" s="329"/>
      <c r="Q39" s="334" t="s">
        <v>205</v>
      </c>
      <c r="R39" s="335"/>
      <c r="S39" s="330" t="s">
        <v>208</v>
      </c>
      <c r="T39" s="331"/>
      <c r="U39" s="87"/>
    </row>
    <row r="40" spans="1:21" ht="31.5" customHeight="1" thickTop="1" thickBot="1">
      <c r="A40" s="337"/>
      <c r="B40" s="14" t="s">
        <v>119</v>
      </c>
      <c r="C40" s="14" t="s">
        <v>6</v>
      </c>
      <c r="D40" s="14" t="s">
        <v>67</v>
      </c>
      <c r="E40" s="14" t="s">
        <v>25</v>
      </c>
      <c r="F40" s="14" t="s">
        <v>119</v>
      </c>
      <c r="G40" s="14" t="s">
        <v>6</v>
      </c>
      <c r="H40" s="14" t="s">
        <v>25</v>
      </c>
      <c r="I40" s="14" t="s">
        <v>119</v>
      </c>
      <c r="J40" s="14" t="s">
        <v>6</v>
      </c>
      <c r="K40" s="14" t="s">
        <v>25</v>
      </c>
      <c r="L40" s="14" t="s">
        <v>119</v>
      </c>
      <c r="M40" s="14" t="s">
        <v>6</v>
      </c>
      <c r="N40" s="14" t="s">
        <v>25</v>
      </c>
      <c r="O40" s="14" t="s">
        <v>120</v>
      </c>
      <c r="P40" s="14" t="s">
        <v>15</v>
      </c>
      <c r="Q40" s="14" t="s">
        <v>206</v>
      </c>
      <c r="R40" s="14" t="s">
        <v>207</v>
      </c>
      <c r="S40" s="332"/>
      <c r="T40" s="333"/>
      <c r="U40" s="87"/>
    </row>
    <row r="41" spans="1:21" ht="31.5" customHeight="1" thickTop="1" thickBot="1">
      <c r="A41" s="15" t="s">
        <v>121</v>
      </c>
      <c r="B41" s="15">
        <f>المهني!F9</f>
        <v>0</v>
      </c>
      <c r="C41" s="15">
        <f>المهني!G9</f>
        <v>0</v>
      </c>
      <c r="D41" s="15">
        <f>المهني!H9</f>
        <v>1</v>
      </c>
      <c r="E41" s="15">
        <f>D41+C41+B41</f>
        <v>1</v>
      </c>
      <c r="F41" s="15">
        <f>المهني!AF9</f>
        <v>200</v>
      </c>
      <c r="G41" s="15">
        <f>المهني!AG9</f>
        <v>60</v>
      </c>
      <c r="H41" s="15">
        <f t="shared" ref="H41:H46" si="11">G41+F41</f>
        <v>260</v>
      </c>
      <c r="I41" s="15">
        <f>المهني!CJ9</f>
        <v>200</v>
      </c>
      <c r="J41" s="15">
        <f>المهني!CK9</f>
        <v>60</v>
      </c>
      <c r="K41" s="15">
        <f t="shared" ref="K41:K46" si="12">J41+I41</f>
        <v>260</v>
      </c>
      <c r="L41" s="15">
        <f>المهني!FL9</f>
        <v>13</v>
      </c>
      <c r="M41" s="15">
        <f>المهني!FM9</f>
        <v>19</v>
      </c>
      <c r="N41" s="15">
        <f t="shared" ref="N41:N46" si="13">M41+L41</f>
        <v>32</v>
      </c>
      <c r="O41" s="15">
        <f>المهني!O9</f>
        <v>1</v>
      </c>
      <c r="P41" s="15">
        <f>المهني!P9</f>
        <v>0</v>
      </c>
      <c r="Q41" s="15">
        <f>المهني!I9</f>
        <v>1</v>
      </c>
      <c r="R41" s="15">
        <f>المهني!J9</f>
        <v>0</v>
      </c>
      <c r="S41" s="322">
        <f>المهني!U9</f>
        <v>1</v>
      </c>
      <c r="T41" s="323"/>
      <c r="U41" s="87"/>
    </row>
    <row r="42" spans="1:21" ht="31.5" customHeight="1" thickTop="1" thickBot="1">
      <c r="A42" s="15" t="s">
        <v>122</v>
      </c>
      <c r="B42" s="15">
        <v>0</v>
      </c>
      <c r="C42" s="15">
        <v>0</v>
      </c>
      <c r="D42" s="15">
        <v>0</v>
      </c>
      <c r="E42" s="15">
        <f>D42+C42+B42</f>
        <v>0</v>
      </c>
      <c r="F42" s="15">
        <v>0</v>
      </c>
      <c r="G42" s="15">
        <v>0</v>
      </c>
      <c r="H42" s="15">
        <f t="shared" si="11"/>
        <v>0</v>
      </c>
      <c r="I42" s="15">
        <v>0</v>
      </c>
      <c r="J42" s="15">
        <v>0</v>
      </c>
      <c r="K42" s="15">
        <f t="shared" si="12"/>
        <v>0</v>
      </c>
      <c r="L42" s="15">
        <v>0</v>
      </c>
      <c r="M42" s="15">
        <v>0</v>
      </c>
      <c r="N42" s="15">
        <f t="shared" si="13"/>
        <v>0</v>
      </c>
      <c r="O42" s="15">
        <v>0</v>
      </c>
      <c r="P42" s="15">
        <v>0</v>
      </c>
      <c r="Q42" s="15">
        <v>0</v>
      </c>
      <c r="R42" s="15">
        <v>0</v>
      </c>
      <c r="S42" s="322">
        <v>0</v>
      </c>
      <c r="T42" s="323"/>
      <c r="U42" s="87"/>
    </row>
    <row r="43" spans="1:21" ht="31.5" customHeight="1" thickTop="1" thickBot="1">
      <c r="A43" s="15" t="s">
        <v>123</v>
      </c>
      <c r="B43" s="15">
        <f>المهني!F23</f>
        <v>0</v>
      </c>
      <c r="C43" s="15">
        <f>المهني!G23</f>
        <v>0</v>
      </c>
      <c r="D43" s="15">
        <f>المهني!H23</f>
        <v>0</v>
      </c>
      <c r="E43" s="15">
        <f>D43+C43+B43</f>
        <v>0</v>
      </c>
      <c r="F43" s="15">
        <f>المهني!AF23</f>
        <v>0</v>
      </c>
      <c r="G43" s="15">
        <f>المهني!AG23</f>
        <v>0</v>
      </c>
      <c r="H43" s="15">
        <f t="shared" si="11"/>
        <v>0</v>
      </c>
      <c r="I43" s="15">
        <f>المهني!CJ23</f>
        <v>0</v>
      </c>
      <c r="J43" s="15">
        <f>المهني!CK23</f>
        <v>0</v>
      </c>
      <c r="K43" s="15">
        <f t="shared" si="12"/>
        <v>0</v>
      </c>
      <c r="L43" s="15">
        <f>المهني!FL23</f>
        <v>0</v>
      </c>
      <c r="M43" s="15">
        <f>المهني!FM23</f>
        <v>0</v>
      </c>
      <c r="N43" s="15">
        <f t="shared" si="13"/>
        <v>0</v>
      </c>
      <c r="O43" s="15">
        <v>0</v>
      </c>
      <c r="P43" s="15">
        <v>0</v>
      </c>
      <c r="Q43" s="15">
        <v>0</v>
      </c>
      <c r="R43" s="15">
        <v>0</v>
      </c>
      <c r="S43" s="322">
        <v>0</v>
      </c>
      <c r="T43" s="323"/>
      <c r="U43" s="87"/>
    </row>
    <row r="44" spans="1:21" ht="31.5" customHeight="1" thickTop="1" thickBot="1">
      <c r="A44" s="15" t="s">
        <v>209</v>
      </c>
      <c r="B44" s="15">
        <v>0</v>
      </c>
      <c r="C44" s="15">
        <v>0</v>
      </c>
      <c r="D44" s="15">
        <v>0</v>
      </c>
      <c r="E44" s="15">
        <f>D44+C44+B44</f>
        <v>0</v>
      </c>
      <c r="F44" s="15">
        <f>المهني!AF32</f>
        <v>0</v>
      </c>
      <c r="G44" s="15">
        <f>المهني!AG32</f>
        <v>0</v>
      </c>
      <c r="H44" s="15">
        <f t="shared" si="11"/>
        <v>0</v>
      </c>
      <c r="I44" s="15">
        <v>0</v>
      </c>
      <c r="J44" s="15">
        <f>المهني!CK31</f>
        <v>0</v>
      </c>
      <c r="K44" s="15">
        <f t="shared" si="12"/>
        <v>0</v>
      </c>
      <c r="L44" s="15">
        <v>0</v>
      </c>
      <c r="M44" s="15">
        <f>المهني!FM31</f>
        <v>0</v>
      </c>
      <c r="N44" s="15">
        <f t="shared" si="13"/>
        <v>0</v>
      </c>
      <c r="O44" s="15">
        <v>0</v>
      </c>
      <c r="P44" s="15">
        <v>0</v>
      </c>
      <c r="Q44" s="15">
        <v>0</v>
      </c>
      <c r="R44" s="15">
        <v>0</v>
      </c>
      <c r="S44" s="322">
        <v>0</v>
      </c>
      <c r="T44" s="323"/>
      <c r="U44" s="87"/>
    </row>
    <row r="45" spans="1:21" ht="31.5" customHeight="1" thickTop="1" thickBot="1">
      <c r="A45" s="15" t="s">
        <v>459</v>
      </c>
      <c r="B45" s="15"/>
      <c r="C45" s="15"/>
      <c r="D45" s="15"/>
      <c r="E45" s="15"/>
      <c r="F45" s="15">
        <f>المهني!AF38</f>
        <v>0</v>
      </c>
      <c r="G45" s="15">
        <f>المهني!AG38</f>
        <v>0</v>
      </c>
      <c r="H45" s="15">
        <f t="shared" si="11"/>
        <v>0</v>
      </c>
      <c r="I45" s="15">
        <f>المهني!CJ38</f>
        <v>0</v>
      </c>
      <c r="J45" s="15">
        <f>المهني!CK38</f>
        <v>0</v>
      </c>
      <c r="K45" s="15">
        <f t="shared" si="12"/>
        <v>0</v>
      </c>
      <c r="L45" s="15">
        <f>المهني!FL38</f>
        <v>0</v>
      </c>
      <c r="M45" s="15">
        <f>المهني!FM38</f>
        <v>0</v>
      </c>
      <c r="N45" s="15">
        <f t="shared" si="13"/>
        <v>0</v>
      </c>
      <c r="O45" s="15"/>
      <c r="P45" s="15"/>
      <c r="Q45" s="15"/>
      <c r="R45" s="15"/>
      <c r="S45" s="132"/>
      <c r="T45" s="133"/>
      <c r="U45" s="135"/>
    </row>
    <row r="46" spans="1:21" ht="31.5" customHeight="1" thickTop="1" thickBot="1">
      <c r="A46" s="57" t="s">
        <v>387</v>
      </c>
      <c r="B46" s="15">
        <v>0</v>
      </c>
      <c r="C46" s="15">
        <v>0</v>
      </c>
      <c r="D46" s="15">
        <v>0</v>
      </c>
      <c r="E46" s="15">
        <v>0</v>
      </c>
      <c r="F46" s="15">
        <f>المهني!AF36</f>
        <v>438</v>
      </c>
      <c r="G46" s="15">
        <f>المهني!AG36</f>
        <v>40</v>
      </c>
      <c r="H46" s="15">
        <f t="shared" si="11"/>
        <v>478</v>
      </c>
      <c r="I46" s="15">
        <f>المهني!CJ36</f>
        <v>470</v>
      </c>
      <c r="J46" s="15">
        <f>المهني!CK36</f>
        <v>40</v>
      </c>
      <c r="K46" s="15">
        <f t="shared" si="12"/>
        <v>510</v>
      </c>
      <c r="L46" s="15">
        <f>المهني!FL35</f>
        <v>0</v>
      </c>
      <c r="M46" s="15">
        <f>المهني!FM35</f>
        <v>0</v>
      </c>
      <c r="N46" s="15">
        <f t="shared" si="13"/>
        <v>0</v>
      </c>
      <c r="O46" s="15">
        <v>0</v>
      </c>
      <c r="P46" s="15">
        <v>0</v>
      </c>
      <c r="Q46" s="15">
        <v>0</v>
      </c>
      <c r="R46" s="15">
        <v>0</v>
      </c>
      <c r="S46" s="322">
        <v>0</v>
      </c>
      <c r="T46" s="323"/>
      <c r="U46" s="87"/>
    </row>
    <row r="47" spans="1:21" ht="31.5" customHeight="1" thickTop="1" thickBot="1">
      <c r="A47" s="15" t="s">
        <v>25</v>
      </c>
      <c r="B47" s="15">
        <f>B44+B43+B42+B41+B46+B45</f>
        <v>0</v>
      </c>
      <c r="C47" s="15">
        <f t="shared" ref="C47:R47" si="14">C44+C43+C42+C41+C46+C45</f>
        <v>0</v>
      </c>
      <c r="D47" s="15">
        <f t="shared" si="14"/>
        <v>1</v>
      </c>
      <c r="E47" s="15">
        <f t="shared" si="14"/>
        <v>1</v>
      </c>
      <c r="F47" s="15">
        <f t="shared" si="14"/>
        <v>638</v>
      </c>
      <c r="G47" s="15">
        <f t="shared" si="14"/>
        <v>100</v>
      </c>
      <c r="H47" s="15">
        <f t="shared" si="14"/>
        <v>738</v>
      </c>
      <c r="I47" s="15">
        <f t="shared" si="14"/>
        <v>670</v>
      </c>
      <c r="J47" s="15">
        <f t="shared" si="14"/>
        <v>100</v>
      </c>
      <c r="K47" s="15">
        <f t="shared" si="14"/>
        <v>770</v>
      </c>
      <c r="L47" s="15">
        <f t="shared" si="14"/>
        <v>13</v>
      </c>
      <c r="M47" s="15">
        <f t="shared" si="14"/>
        <v>19</v>
      </c>
      <c r="N47" s="15">
        <f>N44+N43+N42+N41+N46+N45</f>
        <v>32</v>
      </c>
      <c r="O47" s="15">
        <f t="shared" si="14"/>
        <v>1</v>
      </c>
      <c r="P47" s="15">
        <f t="shared" si="14"/>
        <v>0</v>
      </c>
      <c r="Q47" s="15">
        <f t="shared" si="14"/>
        <v>1</v>
      </c>
      <c r="R47" s="15">
        <f t="shared" si="14"/>
        <v>0</v>
      </c>
      <c r="S47" s="322">
        <f>SUM(S41:S44)</f>
        <v>1</v>
      </c>
      <c r="T47" s="323"/>
      <c r="U47" s="87"/>
    </row>
    <row r="48" spans="1:21" ht="31.5" customHeight="1" thickTop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87"/>
      <c r="P48" s="87"/>
      <c r="Q48" s="87"/>
      <c r="R48" s="87"/>
      <c r="S48" s="87"/>
      <c r="T48" s="87"/>
      <c r="U48" s="87"/>
    </row>
    <row r="49" spans="1:21" ht="31.5" customHeight="1">
      <c r="A49" s="17"/>
      <c r="B49" s="17"/>
      <c r="C49" s="17"/>
      <c r="D49" s="328" t="s">
        <v>124</v>
      </c>
      <c r="E49" s="328"/>
      <c r="F49" s="328"/>
      <c r="G49" s="328"/>
      <c r="H49" s="328"/>
      <c r="I49" s="328"/>
      <c r="J49" s="328"/>
      <c r="K49" s="328"/>
      <c r="L49" s="328"/>
      <c r="M49" s="328"/>
      <c r="N49" s="328"/>
      <c r="O49" s="328"/>
      <c r="P49" s="328"/>
      <c r="Q49" s="328"/>
      <c r="R49" s="87"/>
      <c r="S49" s="87"/>
      <c r="T49" s="87"/>
      <c r="U49" s="87"/>
    </row>
    <row r="50" spans="1:21" ht="31.5" customHeight="1">
      <c r="A50" s="87"/>
      <c r="B50" s="87"/>
      <c r="C50" s="86" t="s">
        <v>186</v>
      </c>
      <c r="D50" s="328" t="s">
        <v>497</v>
      </c>
      <c r="E50" s="328"/>
      <c r="F50" s="328"/>
      <c r="G50" s="328"/>
      <c r="H50" s="328"/>
      <c r="I50" s="328"/>
      <c r="J50" s="328"/>
      <c r="K50" s="328"/>
      <c r="L50" s="328"/>
      <c r="M50" s="328"/>
      <c r="N50" s="328"/>
      <c r="O50" s="328"/>
      <c r="P50" s="328"/>
      <c r="Q50" s="328"/>
      <c r="R50" s="87"/>
      <c r="S50" s="87"/>
      <c r="T50" s="87"/>
      <c r="U50" s="87"/>
    </row>
    <row r="51" spans="1:21" ht="31.5" customHeight="1">
      <c r="A51" s="87"/>
      <c r="B51" s="86"/>
      <c r="C51" s="86"/>
      <c r="D51" s="328" t="s">
        <v>187</v>
      </c>
      <c r="E51" s="328"/>
      <c r="F51" s="328"/>
      <c r="G51" s="328"/>
      <c r="H51" s="328"/>
      <c r="I51" s="328"/>
      <c r="J51" s="328"/>
      <c r="K51" s="328"/>
      <c r="L51" s="328"/>
      <c r="M51" s="328"/>
      <c r="N51" s="328"/>
      <c r="O51" s="328"/>
      <c r="P51" s="328"/>
      <c r="Q51" s="328"/>
      <c r="R51" s="87"/>
      <c r="S51" s="87"/>
      <c r="T51" s="87"/>
      <c r="U51" s="87"/>
    </row>
    <row r="52" spans="1:21" ht="31.5" customHeight="1" thickBot="1">
      <c r="A52" s="87"/>
      <c r="B52" s="18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</row>
    <row r="53" spans="1:21" ht="31.5" customHeight="1" thickTop="1" thickBot="1">
      <c r="A53" s="87"/>
      <c r="B53" s="87"/>
      <c r="C53" s="87"/>
      <c r="D53" s="92" t="s">
        <v>113</v>
      </c>
      <c r="E53" s="322" t="s">
        <v>125</v>
      </c>
      <c r="F53" s="323"/>
      <c r="G53" s="322" t="s">
        <v>126</v>
      </c>
      <c r="H53" s="323"/>
      <c r="I53" s="322" t="s">
        <v>127</v>
      </c>
      <c r="J53" s="323"/>
      <c r="K53" s="322" t="s">
        <v>128</v>
      </c>
      <c r="L53" s="323"/>
      <c r="M53" s="322" t="s">
        <v>129</v>
      </c>
      <c r="N53" s="323"/>
      <c r="O53" s="322" t="s">
        <v>130</v>
      </c>
      <c r="P53" s="327"/>
      <c r="Q53" s="323"/>
      <c r="R53" s="87"/>
      <c r="S53" s="87"/>
      <c r="T53" s="87"/>
      <c r="U53" s="87"/>
    </row>
    <row r="54" spans="1:21" ht="31.5" customHeight="1" thickTop="1" thickBot="1">
      <c r="A54" s="87"/>
      <c r="B54" s="87"/>
      <c r="C54" s="87"/>
      <c r="D54" s="93"/>
      <c r="E54" s="15" t="s">
        <v>5</v>
      </c>
      <c r="F54" s="15" t="s">
        <v>6</v>
      </c>
      <c r="G54" s="15" t="s">
        <v>5</v>
      </c>
      <c r="H54" s="15" t="s">
        <v>6</v>
      </c>
      <c r="I54" s="15" t="s">
        <v>5</v>
      </c>
      <c r="J54" s="15" t="s">
        <v>6</v>
      </c>
      <c r="K54" s="15" t="s">
        <v>5</v>
      </c>
      <c r="L54" s="15" t="s">
        <v>6</v>
      </c>
      <c r="M54" s="15" t="s">
        <v>5</v>
      </c>
      <c r="N54" s="15" t="s">
        <v>6</v>
      </c>
      <c r="O54" s="15" t="s">
        <v>5</v>
      </c>
      <c r="P54" s="15" t="s">
        <v>6</v>
      </c>
      <c r="Q54" s="15" t="s">
        <v>25</v>
      </c>
      <c r="R54" s="87"/>
      <c r="S54" s="87"/>
      <c r="T54" s="87"/>
      <c r="U54" s="87"/>
    </row>
    <row r="55" spans="1:21" ht="31.5" customHeight="1" thickTop="1" thickBot="1">
      <c r="A55" s="87"/>
      <c r="B55" s="87"/>
      <c r="C55" s="87"/>
      <c r="D55" s="15" t="s">
        <v>121</v>
      </c>
      <c r="E55" s="15">
        <f>المهني!V9</f>
        <v>67</v>
      </c>
      <c r="F55" s="15">
        <f>المهني!W9</f>
        <v>13</v>
      </c>
      <c r="G55" s="15">
        <f>المهني!X9</f>
        <v>59</v>
      </c>
      <c r="H55" s="15">
        <f>المهني!Y9</f>
        <v>20</v>
      </c>
      <c r="I55" s="15">
        <f>المهني!Z9</f>
        <v>45</v>
      </c>
      <c r="J55" s="15">
        <f>المهني!AA9</f>
        <v>20</v>
      </c>
      <c r="K55" s="15">
        <f>المهني!AB9</f>
        <v>29</v>
      </c>
      <c r="L55" s="15">
        <f>المهني!AC9</f>
        <v>7</v>
      </c>
      <c r="M55" s="15">
        <f>المهني!AD9</f>
        <v>0</v>
      </c>
      <c r="N55" s="15">
        <f>المهني!AE9</f>
        <v>0</v>
      </c>
      <c r="O55" s="15">
        <f t="shared" ref="O55:P60" si="15">M55+K55+I55+G55+E55</f>
        <v>200</v>
      </c>
      <c r="P55" s="15">
        <f t="shared" si="15"/>
        <v>60</v>
      </c>
      <c r="Q55" s="15">
        <f>P55+O55</f>
        <v>260</v>
      </c>
      <c r="R55" s="19"/>
      <c r="S55" s="19"/>
      <c r="T55" s="87"/>
      <c r="U55" s="87"/>
    </row>
    <row r="56" spans="1:21" ht="31.5" customHeight="1" thickTop="1" thickBot="1">
      <c r="A56" s="87"/>
      <c r="B56" s="87"/>
      <c r="C56" s="87"/>
      <c r="D56" s="15" t="s">
        <v>122</v>
      </c>
      <c r="E56" s="15">
        <v>0</v>
      </c>
      <c r="F56" s="15">
        <v>0</v>
      </c>
      <c r="G56" s="15">
        <v>0</v>
      </c>
      <c r="H56" s="15">
        <v>0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f t="shared" si="15"/>
        <v>0</v>
      </c>
      <c r="P56" s="15">
        <f t="shared" si="15"/>
        <v>0</v>
      </c>
      <c r="Q56" s="15">
        <f>P56+O56</f>
        <v>0</v>
      </c>
      <c r="R56" s="19"/>
      <c r="S56" s="19"/>
      <c r="T56" s="87"/>
      <c r="U56" s="87"/>
    </row>
    <row r="57" spans="1:21" ht="31.5" customHeight="1" thickTop="1" thickBot="1">
      <c r="A57" s="87"/>
      <c r="B57" s="87"/>
      <c r="C57" s="87"/>
      <c r="D57" s="15" t="s">
        <v>123</v>
      </c>
      <c r="E57" s="15">
        <f>المهني!V23</f>
        <v>0</v>
      </c>
      <c r="F57" s="15">
        <f>المهني!W23</f>
        <v>0</v>
      </c>
      <c r="G57" s="15">
        <f>المهني!X23</f>
        <v>0</v>
      </c>
      <c r="H57" s="15">
        <f>المهني!Y23</f>
        <v>0</v>
      </c>
      <c r="I57" s="15">
        <f>المهني!Z23</f>
        <v>0</v>
      </c>
      <c r="J57" s="15">
        <f>المهني!AA23</f>
        <v>0</v>
      </c>
      <c r="K57" s="15">
        <f>المهني!AB23</f>
        <v>0</v>
      </c>
      <c r="L57" s="15">
        <f>المهني!AC23</f>
        <v>0</v>
      </c>
      <c r="M57" s="15">
        <f>المهني!AD23</f>
        <v>0</v>
      </c>
      <c r="N57" s="15">
        <f>المهني!AE23</f>
        <v>0</v>
      </c>
      <c r="O57" s="15">
        <f t="shared" si="15"/>
        <v>0</v>
      </c>
      <c r="P57" s="15">
        <f t="shared" si="15"/>
        <v>0</v>
      </c>
      <c r="Q57" s="15">
        <f>P57+O57</f>
        <v>0</v>
      </c>
      <c r="R57" s="19"/>
      <c r="S57" s="19"/>
      <c r="T57" s="87"/>
      <c r="U57" s="87"/>
    </row>
    <row r="58" spans="1:21" ht="31.5" customHeight="1" thickTop="1" thickBot="1">
      <c r="A58" s="87"/>
      <c r="B58" s="87"/>
      <c r="C58" s="87"/>
      <c r="D58" s="15" t="s">
        <v>209</v>
      </c>
      <c r="E58" s="15">
        <v>0</v>
      </c>
      <c r="F58" s="15">
        <f>المهني!AJ32</f>
        <v>0</v>
      </c>
      <c r="G58" s="15">
        <v>0</v>
      </c>
      <c r="H58" s="15">
        <f>المهني!AL31</f>
        <v>0</v>
      </c>
      <c r="I58" s="15">
        <v>0</v>
      </c>
      <c r="J58" s="15">
        <f>المهني!AN31</f>
        <v>0</v>
      </c>
      <c r="K58" s="15">
        <v>0</v>
      </c>
      <c r="L58" s="15">
        <f>المهني!AP31</f>
        <v>0</v>
      </c>
      <c r="M58" s="15">
        <v>0</v>
      </c>
      <c r="N58" s="15">
        <f>المهني!AE32</f>
        <v>0</v>
      </c>
      <c r="O58" s="15">
        <f t="shared" si="15"/>
        <v>0</v>
      </c>
      <c r="P58" s="15">
        <f t="shared" si="15"/>
        <v>0</v>
      </c>
      <c r="Q58" s="15">
        <f>P58+O58</f>
        <v>0</v>
      </c>
      <c r="R58" s="19"/>
      <c r="S58" s="19"/>
      <c r="T58" s="87"/>
      <c r="U58" s="87"/>
    </row>
    <row r="59" spans="1:21" ht="31.5" customHeight="1" thickTop="1" thickBot="1">
      <c r="A59" s="135"/>
      <c r="B59" s="135"/>
      <c r="C59" s="135"/>
      <c r="D59" s="15" t="s">
        <v>459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9"/>
      <c r="S59" s="19"/>
      <c r="T59" s="135"/>
      <c r="U59" s="135"/>
    </row>
    <row r="60" spans="1:21" ht="31.5" customHeight="1" thickTop="1" thickBot="1">
      <c r="A60" s="87"/>
      <c r="B60" s="87"/>
      <c r="C60" s="87"/>
      <c r="D60" s="131" t="s">
        <v>387</v>
      </c>
      <c r="E60" s="15">
        <f>المهني!V36</f>
        <v>100</v>
      </c>
      <c r="F60" s="15">
        <f>المهني!W36</f>
        <v>10</v>
      </c>
      <c r="G60" s="15">
        <f>المهني!X36</f>
        <v>100</v>
      </c>
      <c r="H60" s="15">
        <f>المهني!Y36</f>
        <v>15</v>
      </c>
      <c r="I60" s="15">
        <f>المهني!Z36</f>
        <v>100</v>
      </c>
      <c r="J60" s="15">
        <f>المهني!AA36</f>
        <v>7</v>
      </c>
      <c r="K60" s="15">
        <f>المهني!AB36</f>
        <v>100</v>
      </c>
      <c r="L60" s="15">
        <f>المهني!AC36</f>
        <v>8</v>
      </c>
      <c r="M60" s="15">
        <f>المهني!AD36</f>
        <v>38</v>
      </c>
      <c r="N60" s="15">
        <f>المهني!AE36</f>
        <v>0</v>
      </c>
      <c r="O60" s="15">
        <f t="shared" si="15"/>
        <v>438</v>
      </c>
      <c r="P60" s="15">
        <f t="shared" si="15"/>
        <v>40</v>
      </c>
      <c r="Q60" s="15">
        <f>P60+O60</f>
        <v>478</v>
      </c>
      <c r="R60" s="19"/>
      <c r="S60" s="19"/>
      <c r="T60" s="87"/>
      <c r="U60" s="87"/>
    </row>
    <row r="61" spans="1:21" ht="31.5" customHeight="1" thickTop="1" thickBot="1">
      <c r="A61" s="87"/>
      <c r="B61" s="87"/>
      <c r="C61" s="87"/>
      <c r="D61" s="15" t="s">
        <v>25</v>
      </c>
      <c r="E61" s="15">
        <f t="shared" ref="E61:Q61" si="16">E58+E57+E56+E55+E60</f>
        <v>167</v>
      </c>
      <c r="F61" s="15">
        <f t="shared" si="16"/>
        <v>23</v>
      </c>
      <c r="G61" s="15">
        <f t="shared" si="16"/>
        <v>159</v>
      </c>
      <c r="H61" s="15">
        <f t="shared" si="16"/>
        <v>35</v>
      </c>
      <c r="I61" s="15">
        <f t="shared" si="16"/>
        <v>145</v>
      </c>
      <c r="J61" s="15">
        <f t="shared" si="16"/>
        <v>27</v>
      </c>
      <c r="K61" s="15">
        <f t="shared" si="16"/>
        <v>129</v>
      </c>
      <c r="L61" s="15">
        <f t="shared" si="16"/>
        <v>15</v>
      </c>
      <c r="M61" s="15">
        <f t="shared" si="16"/>
        <v>38</v>
      </c>
      <c r="N61" s="15">
        <f t="shared" si="16"/>
        <v>0</v>
      </c>
      <c r="O61" s="15">
        <f t="shared" si="16"/>
        <v>638</v>
      </c>
      <c r="P61" s="15">
        <f t="shared" si="16"/>
        <v>100</v>
      </c>
      <c r="Q61" s="15">
        <f t="shared" si="16"/>
        <v>738</v>
      </c>
      <c r="R61" s="19"/>
      <c r="S61" s="19"/>
      <c r="T61" s="87"/>
      <c r="U61" s="87"/>
    </row>
    <row r="62" spans="1:21" ht="31.5" customHeight="1" thickTop="1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</row>
    <row r="63" spans="1:21" ht="31.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</row>
    <row r="64" spans="1:21" ht="31.5" customHeight="1">
      <c r="A64" s="328" t="s">
        <v>109</v>
      </c>
      <c r="B64" s="328"/>
      <c r="C64" s="328"/>
      <c r="D64" s="328"/>
      <c r="E64" s="328"/>
      <c r="F64" s="328"/>
      <c r="G64" s="86"/>
      <c r="H64" s="86"/>
      <c r="I64" s="86"/>
      <c r="J64" s="87"/>
      <c r="K64" s="87"/>
      <c r="L64" s="87"/>
      <c r="M64" s="87"/>
      <c r="N64" s="87"/>
      <c r="O64" s="87"/>
      <c r="P64" s="87"/>
      <c r="Q64" s="87"/>
      <c r="R64" s="87"/>
      <c r="S64" s="328" t="s">
        <v>110</v>
      </c>
      <c r="T64" s="328"/>
    </row>
    <row r="65" spans="1:20" ht="31.5" customHeight="1">
      <c r="A65" s="340" t="s">
        <v>185</v>
      </c>
      <c r="B65" s="340"/>
      <c r="C65" s="340"/>
      <c r="D65" s="340"/>
      <c r="E65" s="340"/>
      <c r="F65" s="340"/>
      <c r="G65" s="86"/>
      <c r="H65" s="328" t="s">
        <v>183</v>
      </c>
      <c r="I65" s="328"/>
      <c r="J65" s="328"/>
      <c r="K65" s="328"/>
      <c r="L65" s="328"/>
      <c r="M65" s="87"/>
      <c r="N65" s="87"/>
      <c r="O65" s="87"/>
      <c r="P65" s="87"/>
      <c r="Q65" s="87"/>
      <c r="R65" s="87"/>
      <c r="S65" s="86"/>
      <c r="T65" s="86"/>
    </row>
    <row r="66" spans="1:20" ht="31.5" customHeight="1">
      <c r="A66" s="328" t="s">
        <v>111</v>
      </c>
      <c r="B66" s="328"/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8"/>
      <c r="Q66" s="328"/>
      <c r="R66" s="328"/>
      <c r="S66" s="328"/>
      <c r="T66" s="328"/>
    </row>
    <row r="67" spans="1:20" ht="31.5" customHeight="1">
      <c r="A67" s="328" t="s">
        <v>497</v>
      </c>
      <c r="B67" s="328"/>
      <c r="C67" s="328"/>
      <c r="D67" s="328"/>
      <c r="E67" s="328"/>
      <c r="F67" s="328"/>
      <c r="G67" s="328"/>
      <c r="H67" s="328"/>
      <c r="I67" s="328"/>
      <c r="J67" s="328"/>
      <c r="K67" s="328"/>
      <c r="L67" s="328"/>
      <c r="M67" s="328"/>
      <c r="N67" s="328"/>
      <c r="O67" s="328"/>
      <c r="P67" s="328"/>
      <c r="Q67" s="328"/>
      <c r="R67" s="328"/>
      <c r="S67" s="328"/>
      <c r="T67" s="328"/>
    </row>
    <row r="68" spans="1:20" ht="31.5" customHeight="1">
      <c r="A68" s="343" t="s">
        <v>112</v>
      </c>
      <c r="B68" s="343"/>
      <c r="C68" s="343"/>
      <c r="D68" s="343"/>
      <c r="E68" s="343"/>
      <c r="F68" s="343"/>
      <c r="G68" s="343"/>
      <c r="H68" s="343"/>
      <c r="I68" s="343"/>
      <c r="J68" s="343"/>
      <c r="K68" s="343"/>
      <c r="L68" s="343"/>
      <c r="M68" s="343"/>
      <c r="N68" s="343"/>
      <c r="O68" s="343"/>
      <c r="P68" s="343"/>
      <c r="Q68" s="343"/>
      <c r="R68" s="343"/>
      <c r="S68" s="343"/>
      <c r="T68" s="343"/>
    </row>
    <row r="69" spans="1:20" ht="31.5" customHeight="1" thickBo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87"/>
    </row>
    <row r="70" spans="1:20" ht="46.5" customHeight="1" thickTop="1" thickBot="1">
      <c r="A70" s="336" t="s">
        <v>113</v>
      </c>
      <c r="B70" s="324" t="s">
        <v>114</v>
      </c>
      <c r="C70" s="325"/>
      <c r="D70" s="325"/>
      <c r="E70" s="326"/>
      <c r="F70" s="324" t="s">
        <v>115</v>
      </c>
      <c r="G70" s="325"/>
      <c r="H70" s="326"/>
      <c r="I70" s="324" t="s">
        <v>116</v>
      </c>
      <c r="J70" s="325"/>
      <c r="K70" s="326"/>
      <c r="L70" s="324" t="s">
        <v>117</v>
      </c>
      <c r="M70" s="325"/>
      <c r="N70" s="326"/>
      <c r="O70" s="329" t="s">
        <v>118</v>
      </c>
      <c r="P70" s="329"/>
      <c r="Q70" s="329" t="s">
        <v>205</v>
      </c>
      <c r="R70" s="329"/>
      <c r="S70" s="330" t="s">
        <v>208</v>
      </c>
      <c r="T70" s="331"/>
    </row>
    <row r="71" spans="1:20" ht="31.5" customHeight="1" thickTop="1" thickBot="1">
      <c r="A71" s="337"/>
      <c r="B71" s="14" t="s">
        <v>119</v>
      </c>
      <c r="C71" s="14" t="s">
        <v>6</v>
      </c>
      <c r="D71" s="14" t="s">
        <v>67</v>
      </c>
      <c r="E71" s="14" t="s">
        <v>25</v>
      </c>
      <c r="F71" s="14" t="s">
        <v>119</v>
      </c>
      <c r="G71" s="14" t="s">
        <v>6</v>
      </c>
      <c r="H71" s="14" t="s">
        <v>25</v>
      </c>
      <c r="I71" s="14" t="s">
        <v>119</v>
      </c>
      <c r="J71" s="14" t="s">
        <v>6</v>
      </c>
      <c r="K71" s="14" t="s">
        <v>25</v>
      </c>
      <c r="L71" s="14" t="s">
        <v>119</v>
      </c>
      <c r="M71" s="14" t="s">
        <v>6</v>
      </c>
      <c r="N71" s="14" t="s">
        <v>25</v>
      </c>
      <c r="O71" s="14" t="s">
        <v>120</v>
      </c>
      <c r="P71" s="14" t="s">
        <v>15</v>
      </c>
      <c r="Q71" s="14" t="s">
        <v>206</v>
      </c>
      <c r="R71" s="14" t="s">
        <v>207</v>
      </c>
      <c r="S71" s="332"/>
      <c r="T71" s="333"/>
    </row>
    <row r="72" spans="1:20" ht="31.5" customHeight="1" thickTop="1" thickBot="1">
      <c r="A72" s="15" t="s">
        <v>121</v>
      </c>
      <c r="B72" s="15">
        <f>المهني!F12</f>
        <v>0</v>
      </c>
      <c r="C72" s="15">
        <f>المهني!G12</f>
        <v>0</v>
      </c>
      <c r="D72" s="15">
        <f>المهني!H12</f>
        <v>0</v>
      </c>
      <c r="E72" s="15">
        <f>D72+C72+B72</f>
        <v>0</v>
      </c>
      <c r="F72" s="15">
        <f>المهني!AF12</f>
        <v>0</v>
      </c>
      <c r="G72" s="15">
        <f>المهني!AG12</f>
        <v>0</v>
      </c>
      <c r="H72" s="15">
        <f>G72+F72</f>
        <v>0</v>
      </c>
      <c r="I72" s="15">
        <f>المهني!CJ12</f>
        <v>0</v>
      </c>
      <c r="J72" s="15">
        <f>المهني!CK12</f>
        <v>0</v>
      </c>
      <c r="K72" s="15">
        <f>J72+I72</f>
        <v>0</v>
      </c>
      <c r="L72" s="15">
        <f>المهني!FL12</f>
        <v>0</v>
      </c>
      <c r="M72" s="15">
        <f>المهني!FM12</f>
        <v>0</v>
      </c>
      <c r="N72" s="15">
        <f>M72+L72</f>
        <v>0</v>
      </c>
      <c r="O72" s="15">
        <f>المهني!O12</f>
        <v>0</v>
      </c>
      <c r="P72" s="15">
        <f>المهني!P12</f>
        <v>0</v>
      </c>
      <c r="Q72" s="15">
        <f>المهني!I12</f>
        <v>0</v>
      </c>
      <c r="R72" s="15">
        <f>المهني!J12</f>
        <v>0</v>
      </c>
      <c r="S72" s="322">
        <f>المهني!U12</f>
        <v>0</v>
      </c>
      <c r="T72" s="323"/>
    </row>
    <row r="73" spans="1:20" ht="31.5" customHeight="1" thickTop="1" thickBot="1">
      <c r="A73" s="15" t="s">
        <v>122</v>
      </c>
      <c r="B73" s="15">
        <f>المهني!F28</f>
        <v>0</v>
      </c>
      <c r="C73" s="15">
        <f>المهني!G28</f>
        <v>0</v>
      </c>
      <c r="D73" s="15">
        <f>المهني!H28</f>
        <v>0</v>
      </c>
      <c r="E73" s="15">
        <f>D73+C73+B73</f>
        <v>0</v>
      </c>
      <c r="F73" s="15">
        <f>المهني!AF28</f>
        <v>0</v>
      </c>
      <c r="G73" s="15">
        <f>المهني!AG28</f>
        <v>0</v>
      </c>
      <c r="H73" s="15">
        <f>G73+F73</f>
        <v>0</v>
      </c>
      <c r="I73" s="15">
        <f>المهني!CJ28</f>
        <v>0</v>
      </c>
      <c r="J73" s="15">
        <f>المهني!CK28</f>
        <v>0</v>
      </c>
      <c r="K73" s="15">
        <f>J73+I73</f>
        <v>0</v>
      </c>
      <c r="L73" s="15">
        <f>المهني!FL28</f>
        <v>0</v>
      </c>
      <c r="M73" s="15">
        <f>المهني!FM28</f>
        <v>0</v>
      </c>
      <c r="N73" s="15">
        <f>M73+L73</f>
        <v>0</v>
      </c>
      <c r="O73" s="15">
        <f>المهني!O28</f>
        <v>0</v>
      </c>
      <c r="P73" s="15">
        <f>المهني!P28</f>
        <v>0</v>
      </c>
      <c r="Q73" s="15">
        <v>0</v>
      </c>
      <c r="R73" s="15">
        <v>0</v>
      </c>
      <c r="S73" s="322">
        <v>0</v>
      </c>
      <c r="T73" s="323"/>
    </row>
    <row r="74" spans="1:20" ht="31.5" customHeight="1" thickTop="1" thickBot="1">
      <c r="A74" s="15" t="s">
        <v>123</v>
      </c>
      <c r="B74" s="15">
        <v>0</v>
      </c>
      <c r="C74" s="15">
        <v>0</v>
      </c>
      <c r="D74" s="15">
        <v>0</v>
      </c>
      <c r="E74" s="15">
        <f>D74+C74+B74</f>
        <v>0</v>
      </c>
      <c r="F74" s="15">
        <v>0</v>
      </c>
      <c r="G74" s="15">
        <v>0</v>
      </c>
      <c r="H74" s="15">
        <f>G74+F74</f>
        <v>0</v>
      </c>
      <c r="I74" s="15">
        <v>0</v>
      </c>
      <c r="J74" s="15">
        <v>0</v>
      </c>
      <c r="K74" s="15">
        <f>J74+I74</f>
        <v>0</v>
      </c>
      <c r="L74" s="15">
        <v>0</v>
      </c>
      <c r="M74" s="15">
        <v>0</v>
      </c>
      <c r="N74" s="15">
        <f>M74+L74</f>
        <v>0</v>
      </c>
      <c r="O74" s="15">
        <v>0</v>
      </c>
      <c r="P74" s="15">
        <v>0</v>
      </c>
      <c r="Q74" s="15">
        <v>0</v>
      </c>
      <c r="R74" s="15">
        <v>0</v>
      </c>
      <c r="S74" s="322">
        <v>0</v>
      </c>
      <c r="T74" s="323"/>
    </row>
    <row r="75" spans="1:20" ht="31.5" customHeight="1" thickTop="1" thickBot="1">
      <c r="A75" s="15" t="s">
        <v>211</v>
      </c>
      <c r="B75" s="15">
        <v>0</v>
      </c>
      <c r="C75" s="15">
        <v>0</v>
      </c>
      <c r="D75" s="15">
        <v>0</v>
      </c>
      <c r="E75" s="15">
        <f>D75+C75+B75</f>
        <v>0</v>
      </c>
      <c r="F75" s="15">
        <v>0</v>
      </c>
      <c r="G75" s="15">
        <v>0</v>
      </c>
      <c r="H75" s="15">
        <f>G75+F75</f>
        <v>0</v>
      </c>
      <c r="I75" s="15">
        <v>0</v>
      </c>
      <c r="J75" s="15">
        <v>0</v>
      </c>
      <c r="K75" s="15">
        <f>J75+I75</f>
        <v>0</v>
      </c>
      <c r="L75" s="15">
        <v>0</v>
      </c>
      <c r="M75" s="15">
        <v>0</v>
      </c>
      <c r="N75" s="15">
        <f>M75+L75</f>
        <v>0</v>
      </c>
      <c r="O75" s="15">
        <v>0</v>
      </c>
      <c r="P75" s="15">
        <v>0</v>
      </c>
      <c r="Q75" s="15">
        <v>0</v>
      </c>
      <c r="R75" s="15">
        <v>0</v>
      </c>
      <c r="S75" s="322">
        <v>0</v>
      </c>
      <c r="T75" s="323"/>
    </row>
    <row r="76" spans="1:20" ht="31.5" customHeight="1" thickTop="1" thickBot="1">
      <c r="A76" s="15" t="s">
        <v>459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32"/>
      <c r="T76" s="133"/>
    </row>
    <row r="77" spans="1:20" ht="31.5" customHeight="1" thickTop="1" thickBot="1">
      <c r="A77" s="57" t="s">
        <v>387</v>
      </c>
      <c r="B77" s="15">
        <v>0</v>
      </c>
      <c r="C77" s="15">
        <v>0</v>
      </c>
      <c r="D77" s="15">
        <v>0</v>
      </c>
      <c r="E77" s="15">
        <f>D77+C77+B77</f>
        <v>0</v>
      </c>
      <c r="F77" s="15" t="e">
        <f>المهني!#REF!</f>
        <v>#REF!</v>
      </c>
      <c r="G77" s="15" t="e">
        <f>المهني!#REF!</f>
        <v>#REF!</v>
      </c>
      <c r="H77" s="15" t="e">
        <f>G77+F77</f>
        <v>#REF!</v>
      </c>
      <c r="I77" s="15" t="e">
        <f>المهني!#REF!</f>
        <v>#REF!</v>
      </c>
      <c r="J77" s="15" t="e">
        <f>المهني!#REF!</f>
        <v>#REF!</v>
      </c>
      <c r="K77" s="15" t="e">
        <f>J77+I77</f>
        <v>#REF!</v>
      </c>
      <c r="L77" s="15" t="e">
        <f>المهني!#REF!</f>
        <v>#REF!</v>
      </c>
      <c r="M77" s="15" t="e">
        <f>المهني!#REF!</f>
        <v>#REF!</v>
      </c>
      <c r="N77" s="15" t="e">
        <f>M77+L77</f>
        <v>#REF!</v>
      </c>
      <c r="O77" s="15">
        <v>0</v>
      </c>
      <c r="P77" s="15">
        <v>0</v>
      </c>
      <c r="Q77" s="15">
        <v>0</v>
      </c>
      <c r="R77" s="15">
        <v>0</v>
      </c>
      <c r="S77" s="322">
        <v>0</v>
      </c>
      <c r="T77" s="323"/>
    </row>
    <row r="78" spans="1:20" ht="31.5" customHeight="1" thickTop="1" thickBot="1">
      <c r="A78" s="15" t="s">
        <v>25</v>
      </c>
      <c r="B78" s="15">
        <f>B75+B74+B73+B72+B77+B76</f>
        <v>0</v>
      </c>
      <c r="C78" s="15">
        <f t="shared" ref="C78:R78" si="17">C75+C74+C73+C72+C77+C76</f>
        <v>0</v>
      </c>
      <c r="D78" s="15">
        <f t="shared" si="17"/>
        <v>0</v>
      </c>
      <c r="E78" s="15">
        <f t="shared" si="17"/>
        <v>0</v>
      </c>
      <c r="F78" s="15" t="e">
        <f t="shared" si="17"/>
        <v>#REF!</v>
      </c>
      <c r="G78" s="15" t="e">
        <f t="shared" si="17"/>
        <v>#REF!</v>
      </c>
      <c r="H78" s="15" t="e">
        <f t="shared" si="17"/>
        <v>#REF!</v>
      </c>
      <c r="I78" s="15" t="e">
        <f t="shared" si="17"/>
        <v>#REF!</v>
      </c>
      <c r="J78" s="15" t="e">
        <f t="shared" si="17"/>
        <v>#REF!</v>
      </c>
      <c r="K78" s="15" t="e">
        <f t="shared" si="17"/>
        <v>#REF!</v>
      </c>
      <c r="L78" s="15" t="e">
        <f t="shared" si="17"/>
        <v>#REF!</v>
      </c>
      <c r="M78" s="15" t="e">
        <f t="shared" si="17"/>
        <v>#REF!</v>
      </c>
      <c r="N78" s="15" t="e">
        <f t="shared" si="17"/>
        <v>#REF!</v>
      </c>
      <c r="O78" s="15">
        <f t="shared" si="17"/>
        <v>0</v>
      </c>
      <c r="P78" s="15">
        <f t="shared" si="17"/>
        <v>0</v>
      </c>
      <c r="Q78" s="15">
        <f t="shared" si="17"/>
        <v>0</v>
      </c>
      <c r="R78" s="15">
        <f t="shared" si="17"/>
        <v>0</v>
      </c>
      <c r="S78" s="322">
        <f>SUM(S72:S75)</f>
        <v>0</v>
      </c>
      <c r="T78" s="323"/>
    </row>
    <row r="79" spans="1:20" ht="31.5" customHeight="1" thickTop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87"/>
      <c r="P79" s="87"/>
      <c r="Q79" s="87"/>
      <c r="R79" s="87"/>
      <c r="S79" s="87"/>
      <c r="T79" s="87"/>
    </row>
    <row r="80" spans="1:20" ht="31.5" customHeight="1">
      <c r="A80" s="17"/>
      <c r="B80" s="17"/>
      <c r="C80" s="17"/>
      <c r="D80" s="328" t="s">
        <v>124</v>
      </c>
      <c r="E80" s="328"/>
      <c r="F80" s="328"/>
      <c r="G80" s="328"/>
      <c r="H80" s="328"/>
      <c r="I80" s="328"/>
      <c r="J80" s="328"/>
      <c r="K80" s="328"/>
      <c r="L80" s="328"/>
      <c r="M80" s="328"/>
      <c r="N80" s="328"/>
      <c r="O80" s="328"/>
      <c r="P80" s="328"/>
      <c r="Q80" s="328"/>
      <c r="R80" s="87"/>
      <c r="S80" s="87"/>
      <c r="T80" s="87"/>
    </row>
    <row r="81" spans="1:21" ht="31.5" customHeight="1">
      <c r="A81" s="87"/>
      <c r="B81" s="87"/>
      <c r="C81" s="86" t="s">
        <v>186</v>
      </c>
      <c r="D81" s="328" t="s">
        <v>498</v>
      </c>
      <c r="E81" s="328"/>
      <c r="F81" s="328"/>
      <c r="G81" s="328"/>
      <c r="H81" s="328"/>
      <c r="I81" s="328"/>
      <c r="J81" s="328"/>
      <c r="K81" s="328"/>
      <c r="L81" s="328"/>
      <c r="M81" s="328"/>
      <c r="N81" s="328"/>
      <c r="O81" s="328"/>
      <c r="P81" s="328"/>
      <c r="Q81" s="328"/>
      <c r="R81" s="87"/>
      <c r="S81" s="87"/>
      <c r="T81" s="87"/>
    </row>
    <row r="82" spans="1:21" ht="31.5" customHeight="1">
      <c r="A82" s="87"/>
      <c r="B82" s="86"/>
      <c r="C82" s="86"/>
      <c r="D82" s="328" t="s">
        <v>187</v>
      </c>
      <c r="E82" s="328"/>
      <c r="F82" s="328"/>
      <c r="G82" s="328"/>
      <c r="H82" s="328"/>
      <c r="I82" s="328"/>
      <c r="J82" s="328"/>
      <c r="K82" s="328"/>
      <c r="L82" s="328"/>
      <c r="M82" s="328"/>
      <c r="N82" s="328"/>
      <c r="O82" s="328"/>
      <c r="P82" s="328"/>
      <c r="Q82" s="328"/>
      <c r="R82" s="87"/>
      <c r="S82" s="87"/>
      <c r="T82" s="87"/>
    </row>
    <row r="83" spans="1:21" ht="31.5" customHeight="1" thickBot="1">
      <c r="A83" s="87"/>
      <c r="B83" s="18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</row>
    <row r="84" spans="1:21" ht="31.5" customHeight="1" thickTop="1" thickBot="1">
      <c r="A84" s="87"/>
      <c r="B84" s="87"/>
      <c r="C84" s="87"/>
      <c r="D84" s="338" t="s">
        <v>113</v>
      </c>
      <c r="E84" s="322" t="s">
        <v>125</v>
      </c>
      <c r="F84" s="323"/>
      <c r="G84" s="322" t="s">
        <v>126</v>
      </c>
      <c r="H84" s="323"/>
      <c r="I84" s="322" t="s">
        <v>127</v>
      </c>
      <c r="J84" s="323"/>
      <c r="K84" s="322" t="s">
        <v>128</v>
      </c>
      <c r="L84" s="323"/>
      <c r="M84" s="322" t="s">
        <v>129</v>
      </c>
      <c r="N84" s="323"/>
      <c r="O84" s="322" t="s">
        <v>130</v>
      </c>
      <c r="P84" s="327"/>
      <c r="Q84" s="323"/>
      <c r="R84" s="87"/>
      <c r="S84" s="87"/>
      <c r="T84" s="87"/>
    </row>
    <row r="85" spans="1:21" ht="31.5" customHeight="1" thickTop="1" thickBot="1">
      <c r="A85" s="87"/>
      <c r="B85" s="87"/>
      <c r="C85" s="87"/>
      <c r="D85" s="339"/>
      <c r="E85" s="15" t="s">
        <v>5</v>
      </c>
      <c r="F85" s="15" t="s">
        <v>6</v>
      </c>
      <c r="G85" s="15" t="s">
        <v>5</v>
      </c>
      <c r="H85" s="15" t="s">
        <v>6</v>
      </c>
      <c r="I85" s="15" t="s">
        <v>5</v>
      </c>
      <c r="J85" s="15" t="s">
        <v>6</v>
      </c>
      <c r="K85" s="15" t="s">
        <v>5</v>
      </c>
      <c r="L85" s="15" t="s">
        <v>6</v>
      </c>
      <c r="M85" s="15" t="s">
        <v>5</v>
      </c>
      <c r="N85" s="15" t="s">
        <v>6</v>
      </c>
      <c r="O85" s="15" t="s">
        <v>5</v>
      </c>
      <c r="P85" s="15" t="s">
        <v>6</v>
      </c>
      <c r="Q85" s="15" t="s">
        <v>25</v>
      </c>
      <c r="R85" s="87"/>
      <c r="S85" s="87"/>
      <c r="T85" s="87"/>
    </row>
    <row r="86" spans="1:21" ht="31.5" customHeight="1" thickTop="1" thickBot="1">
      <c r="A86" s="87"/>
      <c r="B86" s="87"/>
      <c r="C86" s="87"/>
      <c r="D86" s="15" t="s">
        <v>121</v>
      </c>
      <c r="E86" s="15">
        <f>المهني!V12</f>
        <v>0</v>
      </c>
      <c r="F86" s="15">
        <f>المهني!W12</f>
        <v>0</v>
      </c>
      <c r="G86" s="15">
        <f>المهني!X12</f>
        <v>0</v>
      </c>
      <c r="H86" s="15">
        <f>المهني!Y12</f>
        <v>0</v>
      </c>
      <c r="I86" s="15">
        <f>المهني!Z12</f>
        <v>0</v>
      </c>
      <c r="J86" s="15">
        <f>المهني!AA12</f>
        <v>0</v>
      </c>
      <c r="K86" s="15">
        <f>المهني!AB12</f>
        <v>0</v>
      </c>
      <c r="L86" s="15">
        <f>المهني!AC12</f>
        <v>0</v>
      </c>
      <c r="M86" s="15">
        <f>المهني!AD12</f>
        <v>0</v>
      </c>
      <c r="N86" s="15">
        <f>المهني!AE12</f>
        <v>0</v>
      </c>
      <c r="O86" s="15">
        <f t="shared" ref="O86:P91" si="18">M86+K86+I86+G86+E86</f>
        <v>0</v>
      </c>
      <c r="P86" s="15">
        <f t="shared" si="18"/>
        <v>0</v>
      </c>
      <c r="Q86" s="15">
        <f>P86+O86</f>
        <v>0</v>
      </c>
      <c r="R86" s="19"/>
      <c r="S86" s="19"/>
      <c r="T86" s="87"/>
    </row>
    <row r="87" spans="1:21" ht="31.5" customHeight="1" thickTop="1" thickBot="1">
      <c r="A87" s="87"/>
      <c r="B87" s="87"/>
      <c r="C87" s="87"/>
      <c r="D87" s="15" t="s">
        <v>122</v>
      </c>
      <c r="E87" s="15">
        <f>المهني!V28</f>
        <v>0</v>
      </c>
      <c r="F87" s="15">
        <f>المهني!W28</f>
        <v>0</v>
      </c>
      <c r="G87" s="15">
        <f>المهني!X28</f>
        <v>0</v>
      </c>
      <c r="H87" s="15">
        <f>المهني!Y28</f>
        <v>0</v>
      </c>
      <c r="I87" s="15">
        <f>المهني!Z28</f>
        <v>0</v>
      </c>
      <c r="J87" s="15">
        <f>المهني!AA28</f>
        <v>0</v>
      </c>
      <c r="K87" s="15">
        <f>المهني!AB28</f>
        <v>0</v>
      </c>
      <c r="L87" s="15">
        <f>المهني!AC28</f>
        <v>0</v>
      </c>
      <c r="M87" s="15">
        <f>المهني!AD28</f>
        <v>0</v>
      </c>
      <c r="N87" s="15">
        <f>المهني!AE28</f>
        <v>0</v>
      </c>
      <c r="O87" s="15">
        <f t="shared" si="18"/>
        <v>0</v>
      </c>
      <c r="P87" s="15">
        <f t="shared" si="18"/>
        <v>0</v>
      </c>
      <c r="Q87" s="15">
        <f>P87+O87</f>
        <v>0</v>
      </c>
      <c r="R87" s="19"/>
      <c r="S87" s="19"/>
      <c r="T87" s="87"/>
    </row>
    <row r="88" spans="1:21" ht="31.5" customHeight="1" thickTop="1" thickBot="1">
      <c r="A88" s="87"/>
      <c r="B88" s="87"/>
      <c r="C88" s="87"/>
      <c r="D88" s="15" t="s">
        <v>123</v>
      </c>
      <c r="E88" s="15">
        <v>0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f t="shared" si="18"/>
        <v>0</v>
      </c>
      <c r="P88" s="15">
        <f t="shared" si="18"/>
        <v>0</v>
      </c>
      <c r="Q88" s="15">
        <f>P88+O88</f>
        <v>0</v>
      </c>
      <c r="R88" s="19"/>
      <c r="S88" s="19"/>
      <c r="T88" s="87"/>
    </row>
    <row r="89" spans="1:21" ht="31.5" customHeight="1" thickTop="1" thickBot="1">
      <c r="A89" s="87"/>
      <c r="B89" s="87"/>
      <c r="C89" s="87"/>
      <c r="D89" s="15" t="s">
        <v>211</v>
      </c>
      <c r="E89" s="15">
        <v>0</v>
      </c>
      <c r="F89" s="15">
        <v>0</v>
      </c>
      <c r="G89" s="15">
        <v>0</v>
      </c>
      <c r="H89" s="15">
        <v>0</v>
      </c>
      <c r="I89" s="15">
        <v>0</v>
      </c>
      <c r="J89" s="15">
        <v>0</v>
      </c>
      <c r="K89" s="15">
        <v>0</v>
      </c>
      <c r="L89" s="15">
        <v>0</v>
      </c>
      <c r="M89" s="15">
        <v>0</v>
      </c>
      <c r="N89" s="15">
        <v>0</v>
      </c>
      <c r="O89" s="15">
        <f t="shared" si="18"/>
        <v>0</v>
      </c>
      <c r="P89" s="15">
        <f t="shared" si="18"/>
        <v>0</v>
      </c>
      <c r="Q89" s="15">
        <f>P89+O89</f>
        <v>0</v>
      </c>
      <c r="R89" s="19"/>
      <c r="S89" s="19"/>
      <c r="T89" s="87"/>
    </row>
    <row r="90" spans="1:21" ht="31.5" customHeight="1" thickTop="1" thickBot="1">
      <c r="A90" s="135"/>
      <c r="B90" s="135"/>
      <c r="C90" s="135"/>
      <c r="D90" s="15" t="s">
        <v>459</v>
      </c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9"/>
      <c r="S90" s="19"/>
      <c r="T90" s="135"/>
    </row>
    <row r="91" spans="1:21" ht="31.5" customHeight="1" thickTop="1" thickBot="1">
      <c r="A91" s="87"/>
      <c r="B91" s="87"/>
      <c r="C91" s="87"/>
      <c r="D91" s="131" t="s">
        <v>387</v>
      </c>
      <c r="E91" s="15" t="e">
        <f>المهني!#REF!</f>
        <v>#REF!</v>
      </c>
      <c r="F91" s="15" t="e">
        <f>المهني!#REF!</f>
        <v>#REF!</v>
      </c>
      <c r="G91" s="15" t="e">
        <f>المهني!#REF!</f>
        <v>#REF!</v>
      </c>
      <c r="H91" s="15" t="e">
        <f>المهني!#REF!</f>
        <v>#REF!</v>
      </c>
      <c r="I91" s="15" t="e">
        <f>المهني!#REF!</f>
        <v>#REF!</v>
      </c>
      <c r="J91" s="15" t="e">
        <f>المهني!#REF!</f>
        <v>#REF!</v>
      </c>
      <c r="K91" s="15" t="e">
        <f>المهني!#REF!</f>
        <v>#REF!</v>
      </c>
      <c r="L91" s="15" t="e">
        <f>المهني!#REF!</f>
        <v>#REF!</v>
      </c>
      <c r="M91" s="15" t="e">
        <f>المهني!#REF!</f>
        <v>#REF!</v>
      </c>
      <c r="N91" s="15" t="e">
        <f>المهني!#REF!</f>
        <v>#REF!</v>
      </c>
      <c r="O91" s="15" t="e">
        <f t="shared" si="18"/>
        <v>#REF!</v>
      </c>
      <c r="P91" s="15" t="e">
        <f t="shared" si="18"/>
        <v>#REF!</v>
      </c>
      <c r="Q91" s="15" t="e">
        <f>P91+O91</f>
        <v>#REF!</v>
      </c>
      <c r="R91" s="19"/>
      <c r="S91" s="19"/>
      <c r="T91" s="87"/>
    </row>
    <row r="92" spans="1:21" ht="31.5" customHeight="1" thickTop="1" thickBot="1">
      <c r="A92" s="87"/>
      <c r="B92" s="87"/>
      <c r="C92" s="87"/>
      <c r="D92" s="15" t="s">
        <v>25</v>
      </c>
      <c r="E92" s="15">
        <f t="shared" ref="E92:Q92" si="19">E89+E88+E87+E86</f>
        <v>0</v>
      </c>
      <c r="F92" s="15">
        <f t="shared" si="19"/>
        <v>0</v>
      </c>
      <c r="G92" s="15">
        <f t="shared" si="19"/>
        <v>0</v>
      </c>
      <c r="H92" s="15">
        <f t="shared" si="19"/>
        <v>0</v>
      </c>
      <c r="I92" s="15">
        <f t="shared" si="19"/>
        <v>0</v>
      </c>
      <c r="J92" s="15">
        <f t="shared" si="19"/>
        <v>0</v>
      </c>
      <c r="K92" s="15">
        <f t="shared" si="19"/>
        <v>0</v>
      </c>
      <c r="L92" s="15">
        <f t="shared" si="19"/>
        <v>0</v>
      </c>
      <c r="M92" s="15">
        <f t="shared" si="19"/>
        <v>0</v>
      </c>
      <c r="N92" s="15">
        <f t="shared" si="19"/>
        <v>0</v>
      </c>
      <c r="O92" s="15">
        <f t="shared" si="19"/>
        <v>0</v>
      </c>
      <c r="P92" s="15">
        <f t="shared" si="19"/>
        <v>0</v>
      </c>
      <c r="Q92" s="15">
        <f t="shared" si="19"/>
        <v>0</v>
      </c>
      <c r="R92" s="19"/>
      <c r="S92" s="19"/>
      <c r="T92" s="87"/>
    </row>
    <row r="93" spans="1:21" ht="31.5" customHeight="1" thickTop="1"/>
    <row r="94" spans="1:21" ht="31.5" customHeight="1">
      <c r="A94" s="328" t="s">
        <v>109</v>
      </c>
      <c r="B94" s="328"/>
      <c r="C94" s="328"/>
      <c r="D94" s="328"/>
      <c r="E94" s="328"/>
      <c r="F94" s="328"/>
      <c r="G94" s="86"/>
      <c r="H94" s="86"/>
      <c r="I94" s="86"/>
      <c r="J94" s="87"/>
      <c r="K94" s="87"/>
      <c r="L94" s="87"/>
      <c r="M94" s="87"/>
      <c r="N94" s="87"/>
      <c r="O94" s="87"/>
      <c r="P94" s="87"/>
      <c r="Q94" s="87"/>
      <c r="R94" s="87"/>
      <c r="S94" s="328" t="s">
        <v>110</v>
      </c>
      <c r="T94" s="328"/>
      <c r="U94" s="87"/>
    </row>
    <row r="95" spans="1:21" ht="31.5" customHeight="1">
      <c r="A95" s="340" t="s">
        <v>185</v>
      </c>
      <c r="B95" s="340"/>
      <c r="C95" s="340"/>
      <c r="D95" s="340"/>
      <c r="E95" s="340"/>
      <c r="F95" s="340"/>
      <c r="G95" s="86"/>
      <c r="H95" s="86"/>
      <c r="I95" s="328" t="s">
        <v>184</v>
      </c>
      <c r="J95" s="328"/>
      <c r="K95" s="328"/>
      <c r="L95" s="328"/>
      <c r="M95" s="87"/>
      <c r="N95" s="87"/>
      <c r="O95" s="87"/>
      <c r="P95" s="87"/>
      <c r="Q95" s="87"/>
      <c r="R95" s="87"/>
      <c r="S95" s="86"/>
      <c r="T95" s="86"/>
      <c r="U95" s="87"/>
    </row>
    <row r="96" spans="1:21" ht="31.5" customHeight="1">
      <c r="A96" s="328" t="s">
        <v>111</v>
      </c>
      <c r="B96" s="328"/>
      <c r="C96" s="328"/>
      <c r="D96" s="328"/>
      <c r="E96" s="328"/>
      <c r="F96" s="328"/>
      <c r="G96" s="328"/>
      <c r="H96" s="328"/>
      <c r="I96" s="328"/>
      <c r="J96" s="328"/>
      <c r="K96" s="328"/>
      <c r="L96" s="328"/>
      <c r="M96" s="328"/>
      <c r="N96" s="328"/>
      <c r="O96" s="328"/>
      <c r="P96" s="328"/>
      <c r="Q96" s="328"/>
      <c r="R96" s="328"/>
      <c r="S96" s="328"/>
      <c r="T96" s="328"/>
      <c r="U96" s="87"/>
    </row>
    <row r="97" spans="1:21" ht="31.5" customHeight="1">
      <c r="A97" s="328" t="s">
        <v>497</v>
      </c>
      <c r="B97" s="328"/>
      <c r="C97" s="328"/>
      <c r="D97" s="328"/>
      <c r="E97" s="328"/>
      <c r="F97" s="328"/>
      <c r="G97" s="328"/>
      <c r="H97" s="328"/>
      <c r="I97" s="328"/>
      <c r="J97" s="328"/>
      <c r="K97" s="328"/>
      <c r="L97" s="328"/>
      <c r="M97" s="328"/>
      <c r="N97" s="328"/>
      <c r="O97" s="328"/>
      <c r="P97" s="328"/>
      <c r="Q97" s="328"/>
      <c r="R97" s="328"/>
      <c r="S97" s="328"/>
      <c r="T97" s="328"/>
      <c r="U97" s="87"/>
    </row>
    <row r="98" spans="1:21" ht="31.5" customHeight="1">
      <c r="A98" s="343" t="s">
        <v>112</v>
      </c>
      <c r="B98" s="343"/>
      <c r="C98" s="343"/>
      <c r="D98" s="343"/>
      <c r="E98" s="343"/>
      <c r="F98" s="343"/>
      <c r="G98" s="343"/>
      <c r="H98" s="343"/>
      <c r="I98" s="343"/>
      <c r="J98" s="343"/>
      <c r="K98" s="343"/>
      <c r="L98" s="343"/>
      <c r="M98" s="343"/>
      <c r="N98" s="343"/>
      <c r="O98" s="343"/>
      <c r="P98" s="343"/>
      <c r="Q98" s="343"/>
      <c r="R98" s="343"/>
      <c r="S98" s="343"/>
      <c r="T98" s="343"/>
      <c r="U98" s="87"/>
    </row>
    <row r="99" spans="1:21" ht="31.5" customHeight="1" thickBo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87"/>
      <c r="U99" s="87"/>
    </row>
    <row r="100" spans="1:21" ht="31.5" customHeight="1" thickTop="1" thickBot="1">
      <c r="A100" s="336" t="s">
        <v>113</v>
      </c>
      <c r="B100" s="324" t="s">
        <v>114</v>
      </c>
      <c r="C100" s="325"/>
      <c r="D100" s="325"/>
      <c r="E100" s="326"/>
      <c r="F100" s="324" t="s">
        <v>115</v>
      </c>
      <c r="G100" s="325"/>
      <c r="H100" s="326"/>
      <c r="I100" s="324" t="s">
        <v>210</v>
      </c>
      <c r="J100" s="325"/>
      <c r="K100" s="326"/>
      <c r="L100" s="324" t="s">
        <v>117</v>
      </c>
      <c r="M100" s="325"/>
      <c r="N100" s="326"/>
      <c r="O100" s="329" t="s">
        <v>118</v>
      </c>
      <c r="P100" s="329"/>
      <c r="Q100" s="329" t="s">
        <v>205</v>
      </c>
      <c r="R100" s="329"/>
      <c r="S100" s="330" t="s">
        <v>208</v>
      </c>
      <c r="T100" s="331"/>
      <c r="U100" s="87"/>
    </row>
    <row r="101" spans="1:21" ht="31.5" customHeight="1" thickTop="1" thickBot="1">
      <c r="A101" s="337"/>
      <c r="B101" s="14" t="s">
        <v>119</v>
      </c>
      <c r="C101" s="14" t="s">
        <v>6</v>
      </c>
      <c r="D101" s="14" t="s">
        <v>67</v>
      </c>
      <c r="E101" s="14" t="s">
        <v>25</v>
      </c>
      <c r="F101" s="14" t="s">
        <v>119</v>
      </c>
      <c r="G101" s="14" t="s">
        <v>6</v>
      </c>
      <c r="H101" s="14" t="s">
        <v>25</v>
      </c>
      <c r="I101" s="14" t="s">
        <v>119</v>
      </c>
      <c r="J101" s="14" t="s">
        <v>6</v>
      </c>
      <c r="K101" s="14" t="s">
        <v>25</v>
      </c>
      <c r="L101" s="14" t="s">
        <v>119</v>
      </c>
      <c r="M101" s="14" t="s">
        <v>6</v>
      </c>
      <c r="N101" s="14" t="s">
        <v>25</v>
      </c>
      <c r="O101" s="14" t="s">
        <v>120</v>
      </c>
      <c r="P101" s="14" t="s">
        <v>15</v>
      </c>
      <c r="Q101" s="14" t="s">
        <v>206</v>
      </c>
      <c r="R101" s="14" t="s">
        <v>207</v>
      </c>
      <c r="S101" s="332"/>
      <c r="T101" s="333"/>
      <c r="U101" s="87"/>
    </row>
    <row r="102" spans="1:21" ht="31.5" customHeight="1" thickTop="1" thickBot="1">
      <c r="A102" s="15" t="s">
        <v>121</v>
      </c>
      <c r="B102" s="15">
        <f>المهني!F16</f>
        <v>0</v>
      </c>
      <c r="C102" s="15">
        <f>المهني!G16</f>
        <v>0</v>
      </c>
      <c r="D102" s="15">
        <f>المهني!H16</f>
        <v>0</v>
      </c>
      <c r="E102" s="15">
        <f>D102+C102+B102</f>
        <v>0</v>
      </c>
      <c r="F102" s="15">
        <f>المهني!AF16</f>
        <v>0</v>
      </c>
      <c r="G102" s="15">
        <f>المهني!AG16</f>
        <v>0</v>
      </c>
      <c r="H102" s="15">
        <f>G102+F102</f>
        <v>0</v>
      </c>
      <c r="I102" s="15">
        <f>المهني!CJ16</f>
        <v>0</v>
      </c>
      <c r="J102" s="15">
        <f>المهني!CK16</f>
        <v>0</v>
      </c>
      <c r="K102" s="15">
        <f>J102+I102</f>
        <v>0</v>
      </c>
      <c r="L102" s="15">
        <f>المهني!FL16</f>
        <v>0</v>
      </c>
      <c r="M102" s="15">
        <f>المهني!FM16</f>
        <v>0</v>
      </c>
      <c r="N102" s="15">
        <f>M102+L102</f>
        <v>0</v>
      </c>
      <c r="O102" s="15">
        <f>المهني!O16</f>
        <v>0</v>
      </c>
      <c r="P102" s="15">
        <f>المهني!P16</f>
        <v>0</v>
      </c>
      <c r="Q102" s="15">
        <f>المهني!I16</f>
        <v>0</v>
      </c>
      <c r="R102" s="15">
        <f>المهني!J16</f>
        <v>0</v>
      </c>
      <c r="S102" s="322">
        <f>المهني!U16</f>
        <v>0</v>
      </c>
      <c r="T102" s="323"/>
      <c r="U102" s="87"/>
    </row>
    <row r="103" spans="1:21" ht="31.5" customHeight="1" thickTop="1" thickBot="1">
      <c r="A103" s="15" t="s">
        <v>122</v>
      </c>
      <c r="B103" s="15">
        <v>0</v>
      </c>
      <c r="C103" s="15">
        <v>0</v>
      </c>
      <c r="D103" s="15">
        <v>0</v>
      </c>
      <c r="E103" s="15">
        <f>D103+C103+B103</f>
        <v>0</v>
      </c>
      <c r="F103" s="15">
        <v>0</v>
      </c>
      <c r="G103" s="15">
        <v>0</v>
      </c>
      <c r="H103" s="15">
        <f>G103+F103</f>
        <v>0</v>
      </c>
      <c r="I103" s="15">
        <v>0</v>
      </c>
      <c r="J103" s="15">
        <v>0</v>
      </c>
      <c r="K103" s="15">
        <f>J103+I103</f>
        <v>0</v>
      </c>
      <c r="L103" s="15">
        <v>0</v>
      </c>
      <c r="M103" s="15">
        <v>0</v>
      </c>
      <c r="N103" s="15">
        <f>M103+L103</f>
        <v>0</v>
      </c>
      <c r="O103" s="15">
        <v>0</v>
      </c>
      <c r="P103" s="15">
        <v>0</v>
      </c>
      <c r="Q103" s="15">
        <v>0</v>
      </c>
      <c r="R103" s="15">
        <v>0</v>
      </c>
      <c r="S103" s="322">
        <v>0</v>
      </c>
      <c r="T103" s="323"/>
      <c r="U103" s="87"/>
    </row>
    <row r="104" spans="1:21" ht="31.5" customHeight="1" thickTop="1" thickBot="1">
      <c r="A104" s="15" t="s">
        <v>123</v>
      </c>
      <c r="B104" s="15">
        <v>0</v>
      </c>
      <c r="C104" s="15">
        <v>0</v>
      </c>
      <c r="D104" s="15">
        <v>0</v>
      </c>
      <c r="E104" s="15">
        <f>D104+C104+B104</f>
        <v>0</v>
      </c>
      <c r="F104" s="15">
        <v>0</v>
      </c>
      <c r="G104" s="15">
        <v>0</v>
      </c>
      <c r="H104" s="15">
        <f>G104+F104</f>
        <v>0</v>
      </c>
      <c r="I104" s="15">
        <v>0</v>
      </c>
      <c r="J104" s="15">
        <v>0</v>
      </c>
      <c r="K104" s="15">
        <f>J104+I104</f>
        <v>0</v>
      </c>
      <c r="L104" s="15">
        <v>0</v>
      </c>
      <c r="M104" s="15">
        <v>0</v>
      </c>
      <c r="N104" s="15">
        <f>M104+L104</f>
        <v>0</v>
      </c>
      <c r="O104" s="15">
        <v>0</v>
      </c>
      <c r="P104" s="15">
        <v>0</v>
      </c>
      <c r="Q104" s="15">
        <v>0</v>
      </c>
      <c r="R104" s="15">
        <v>0</v>
      </c>
      <c r="S104" s="322">
        <v>0</v>
      </c>
      <c r="T104" s="323"/>
      <c r="U104" s="87"/>
    </row>
    <row r="105" spans="1:21" ht="31.5" customHeight="1" thickTop="1" thickBot="1">
      <c r="A105" s="15" t="s">
        <v>211</v>
      </c>
      <c r="B105" s="15">
        <v>0</v>
      </c>
      <c r="C105" s="15">
        <v>0</v>
      </c>
      <c r="D105" s="15">
        <v>0</v>
      </c>
      <c r="E105" s="15">
        <f>D105+C105+B105</f>
        <v>0</v>
      </c>
      <c r="F105" s="15">
        <v>0</v>
      </c>
      <c r="G105" s="15">
        <v>0</v>
      </c>
      <c r="H105" s="15">
        <f>G105+F105</f>
        <v>0</v>
      </c>
      <c r="I105" s="15">
        <v>0</v>
      </c>
      <c r="J105" s="15">
        <v>0</v>
      </c>
      <c r="K105" s="15">
        <f>J105+I105</f>
        <v>0</v>
      </c>
      <c r="L105" s="15">
        <v>0</v>
      </c>
      <c r="M105" s="15">
        <v>0</v>
      </c>
      <c r="N105" s="15">
        <f>M105+L105</f>
        <v>0</v>
      </c>
      <c r="O105" s="15">
        <v>0</v>
      </c>
      <c r="P105" s="15">
        <v>0</v>
      </c>
      <c r="Q105" s="15">
        <v>0</v>
      </c>
      <c r="R105" s="15">
        <v>0</v>
      </c>
      <c r="S105" s="322">
        <v>0</v>
      </c>
      <c r="T105" s="323"/>
      <c r="U105" s="87"/>
    </row>
    <row r="106" spans="1:21" ht="31.5" customHeight="1" thickTop="1" thickBot="1">
      <c r="A106" s="15" t="s">
        <v>459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32"/>
      <c r="T106" s="133"/>
      <c r="U106" s="135"/>
    </row>
    <row r="107" spans="1:21" ht="31.5" customHeight="1" thickTop="1" thickBot="1">
      <c r="A107" s="57" t="s">
        <v>387</v>
      </c>
      <c r="B107" s="15">
        <v>0</v>
      </c>
      <c r="C107" s="15">
        <v>0</v>
      </c>
      <c r="D107" s="15">
        <v>0</v>
      </c>
      <c r="E107" s="15">
        <f>D107+C107+B107</f>
        <v>0</v>
      </c>
      <c r="F107" s="15" t="e">
        <f>المهني!#REF!</f>
        <v>#REF!</v>
      </c>
      <c r="G107" s="15" t="e">
        <f>المهني!#REF!</f>
        <v>#REF!</v>
      </c>
      <c r="H107" s="15" t="e">
        <f>G107+F107</f>
        <v>#REF!</v>
      </c>
      <c r="I107" s="15" t="e">
        <f>المهني!#REF!</f>
        <v>#REF!</v>
      </c>
      <c r="J107" s="15" t="e">
        <f>المهني!#REF!</f>
        <v>#REF!</v>
      </c>
      <c r="K107" s="15" t="e">
        <f>المهني!#REF!</f>
        <v>#REF!</v>
      </c>
      <c r="L107" s="15">
        <v>0</v>
      </c>
      <c r="M107" s="15">
        <v>0</v>
      </c>
      <c r="N107" s="15">
        <f>M107+L107</f>
        <v>0</v>
      </c>
      <c r="O107" s="15">
        <v>0</v>
      </c>
      <c r="P107" s="15">
        <v>0</v>
      </c>
      <c r="Q107" s="15">
        <v>0</v>
      </c>
      <c r="R107" s="15">
        <v>0</v>
      </c>
      <c r="S107" s="322">
        <v>0</v>
      </c>
      <c r="T107" s="323"/>
      <c r="U107" s="87"/>
    </row>
    <row r="108" spans="1:21" ht="31.5" customHeight="1" thickTop="1" thickBot="1">
      <c r="A108" s="15" t="s">
        <v>25</v>
      </c>
      <c r="B108" s="15">
        <f t="shared" ref="B108:R108" si="20">B105+B104+B103+B102+B107</f>
        <v>0</v>
      </c>
      <c r="C108" s="15">
        <f t="shared" si="20"/>
        <v>0</v>
      </c>
      <c r="D108" s="15">
        <f t="shared" si="20"/>
        <v>0</v>
      </c>
      <c r="E108" s="15">
        <f t="shared" si="20"/>
        <v>0</v>
      </c>
      <c r="F108" s="15" t="e">
        <f t="shared" si="20"/>
        <v>#REF!</v>
      </c>
      <c r="G108" s="15" t="e">
        <f t="shared" si="20"/>
        <v>#REF!</v>
      </c>
      <c r="H108" s="15" t="e">
        <f t="shared" si="20"/>
        <v>#REF!</v>
      </c>
      <c r="I108" s="15" t="e">
        <f t="shared" si="20"/>
        <v>#REF!</v>
      </c>
      <c r="J108" s="15" t="e">
        <f t="shared" si="20"/>
        <v>#REF!</v>
      </c>
      <c r="K108" s="15" t="e">
        <f t="shared" si="20"/>
        <v>#REF!</v>
      </c>
      <c r="L108" s="15">
        <f t="shared" si="20"/>
        <v>0</v>
      </c>
      <c r="M108" s="15">
        <f t="shared" si="20"/>
        <v>0</v>
      </c>
      <c r="N108" s="15">
        <f t="shared" si="20"/>
        <v>0</v>
      </c>
      <c r="O108" s="15">
        <f t="shared" si="20"/>
        <v>0</v>
      </c>
      <c r="P108" s="15">
        <f t="shared" si="20"/>
        <v>0</v>
      </c>
      <c r="Q108" s="15">
        <f t="shared" si="20"/>
        <v>0</v>
      </c>
      <c r="R108" s="15">
        <f t="shared" si="20"/>
        <v>0</v>
      </c>
      <c r="S108" s="322">
        <v>0</v>
      </c>
      <c r="T108" s="323"/>
      <c r="U108" s="87"/>
    </row>
    <row r="109" spans="1:21" ht="31.5" customHeight="1" thickTop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87"/>
      <c r="P109" s="87"/>
      <c r="Q109" s="87"/>
      <c r="R109" s="87"/>
      <c r="S109" s="87"/>
      <c r="T109" s="87"/>
      <c r="U109" s="87"/>
    </row>
    <row r="110" spans="1:21" ht="31.5" customHeight="1">
      <c r="A110" s="17"/>
      <c r="B110" s="17"/>
      <c r="C110" s="17"/>
      <c r="D110" s="328" t="s">
        <v>124</v>
      </c>
      <c r="E110" s="328"/>
      <c r="F110" s="328"/>
      <c r="G110" s="328"/>
      <c r="H110" s="328"/>
      <c r="I110" s="328"/>
      <c r="J110" s="328"/>
      <c r="K110" s="328"/>
      <c r="L110" s="328"/>
      <c r="M110" s="328"/>
      <c r="N110" s="328"/>
      <c r="O110" s="328"/>
      <c r="P110" s="328"/>
      <c r="Q110" s="328"/>
      <c r="R110" s="87"/>
      <c r="S110" s="87"/>
      <c r="T110" s="87"/>
      <c r="U110" s="87"/>
    </row>
    <row r="111" spans="1:21" ht="31.5" customHeight="1">
      <c r="A111" s="87"/>
      <c r="B111" s="87"/>
      <c r="C111" s="86" t="s">
        <v>186</v>
      </c>
      <c r="D111" s="328" t="s">
        <v>498</v>
      </c>
      <c r="E111" s="328"/>
      <c r="F111" s="328"/>
      <c r="G111" s="328"/>
      <c r="H111" s="328"/>
      <c r="I111" s="328"/>
      <c r="J111" s="328"/>
      <c r="K111" s="328"/>
      <c r="L111" s="328"/>
      <c r="M111" s="328"/>
      <c r="N111" s="328"/>
      <c r="O111" s="328"/>
      <c r="P111" s="328"/>
      <c r="Q111" s="328"/>
      <c r="R111" s="87"/>
      <c r="S111" s="87"/>
      <c r="T111" s="87"/>
      <c r="U111" s="87"/>
    </row>
    <row r="112" spans="1:21" ht="31.5" customHeight="1">
      <c r="A112" s="87"/>
      <c r="B112" s="86"/>
      <c r="C112" s="86"/>
      <c r="D112" s="328" t="s">
        <v>187</v>
      </c>
      <c r="E112" s="328"/>
      <c r="F112" s="328"/>
      <c r="G112" s="328"/>
      <c r="H112" s="328"/>
      <c r="I112" s="328"/>
      <c r="J112" s="328"/>
      <c r="K112" s="328"/>
      <c r="L112" s="328"/>
      <c r="M112" s="328"/>
      <c r="N112" s="328"/>
      <c r="O112" s="328"/>
      <c r="P112" s="328"/>
      <c r="Q112" s="328"/>
      <c r="R112" s="87"/>
      <c r="S112" s="87"/>
      <c r="T112" s="87"/>
      <c r="U112" s="87"/>
    </row>
    <row r="113" spans="1:22" ht="31.5" customHeight="1" thickBot="1">
      <c r="A113" s="87"/>
      <c r="B113" s="18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  <c r="O113" s="87"/>
      <c r="P113" s="87"/>
      <c r="Q113" s="87"/>
      <c r="R113" s="87"/>
      <c r="S113" s="87"/>
      <c r="T113" s="87"/>
      <c r="U113" s="87"/>
    </row>
    <row r="114" spans="1:22" ht="31.5" customHeight="1" thickTop="1" thickBot="1">
      <c r="A114" s="87"/>
      <c r="B114" s="87"/>
      <c r="C114" s="87"/>
      <c r="D114" s="338" t="s">
        <v>113</v>
      </c>
      <c r="E114" s="322" t="s">
        <v>125</v>
      </c>
      <c r="F114" s="323"/>
      <c r="G114" s="322" t="s">
        <v>126</v>
      </c>
      <c r="H114" s="323"/>
      <c r="I114" s="322" t="s">
        <v>127</v>
      </c>
      <c r="J114" s="323"/>
      <c r="K114" s="322" t="s">
        <v>128</v>
      </c>
      <c r="L114" s="323"/>
      <c r="M114" s="322" t="s">
        <v>129</v>
      </c>
      <c r="N114" s="323"/>
      <c r="O114" s="322" t="s">
        <v>130</v>
      </c>
      <c r="P114" s="327"/>
      <c r="Q114" s="323"/>
      <c r="R114" s="87"/>
      <c r="S114" s="87"/>
      <c r="T114" s="87"/>
      <c r="U114" s="87"/>
    </row>
    <row r="115" spans="1:22" ht="31.5" customHeight="1" thickTop="1" thickBot="1">
      <c r="A115" s="87"/>
      <c r="B115" s="87"/>
      <c r="C115" s="87"/>
      <c r="D115" s="339"/>
      <c r="E115" s="15" t="s">
        <v>5</v>
      </c>
      <c r="F115" s="15" t="s">
        <v>6</v>
      </c>
      <c r="G115" s="15" t="s">
        <v>5</v>
      </c>
      <c r="H115" s="15" t="s">
        <v>6</v>
      </c>
      <c r="I115" s="15" t="s">
        <v>5</v>
      </c>
      <c r="J115" s="15" t="s">
        <v>6</v>
      </c>
      <c r="K115" s="15" t="s">
        <v>5</v>
      </c>
      <c r="L115" s="15" t="s">
        <v>6</v>
      </c>
      <c r="M115" s="15" t="s">
        <v>5</v>
      </c>
      <c r="N115" s="15" t="s">
        <v>6</v>
      </c>
      <c r="O115" s="15" t="s">
        <v>5</v>
      </c>
      <c r="P115" s="15" t="s">
        <v>6</v>
      </c>
      <c r="Q115" s="15" t="s">
        <v>25</v>
      </c>
      <c r="R115" s="87"/>
      <c r="S115" s="87"/>
      <c r="T115" s="87"/>
      <c r="U115" s="87"/>
    </row>
    <row r="116" spans="1:22" ht="31.5" customHeight="1" thickTop="1" thickBot="1">
      <c r="A116" s="87"/>
      <c r="B116" s="87"/>
      <c r="C116" s="87"/>
      <c r="D116" s="15" t="s">
        <v>121</v>
      </c>
      <c r="E116" s="15">
        <f>المهني!V16</f>
        <v>0</v>
      </c>
      <c r="F116" s="15">
        <f>المهني!W16</f>
        <v>0</v>
      </c>
      <c r="G116" s="15">
        <f>المهني!X16</f>
        <v>0</v>
      </c>
      <c r="H116" s="15">
        <f>المهني!Y16</f>
        <v>0</v>
      </c>
      <c r="I116" s="15">
        <f>المهني!Z16</f>
        <v>0</v>
      </c>
      <c r="J116" s="15">
        <f>المهني!AA16</f>
        <v>0</v>
      </c>
      <c r="K116" s="15">
        <f>المهني!AB16</f>
        <v>0</v>
      </c>
      <c r="L116" s="15">
        <f>المهني!AC16</f>
        <v>0</v>
      </c>
      <c r="M116" s="15">
        <f>المهني!AD16</f>
        <v>0</v>
      </c>
      <c r="N116" s="15">
        <f>المهني!AE16</f>
        <v>0</v>
      </c>
      <c r="O116" s="15">
        <f t="shared" ref="O116:P121" si="21">M116+K116+I116+G116+E116</f>
        <v>0</v>
      </c>
      <c r="P116" s="15">
        <f t="shared" si="21"/>
        <v>0</v>
      </c>
      <c r="Q116" s="15">
        <f>P116+O116</f>
        <v>0</v>
      </c>
      <c r="R116" s="19"/>
      <c r="S116" s="19"/>
      <c r="T116" s="87"/>
      <c r="U116" s="87"/>
    </row>
    <row r="117" spans="1:22" ht="31.5" customHeight="1" thickTop="1" thickBot="1">
      <c r="A117" s="87"/>
      <c r="B117" s="87"/>
      <c r="C117" s="87"/>
      <c r="D117" s="15" t="s">
        <v>122</v>
      </c>
      <c r="E117" s="15">
        <v>0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0</v>
      </c>
      <c r="L117" s="15">
        <v>0</v>
      </c>
      <c r="M117" s="15">
        <v>0</v>
      </c>
      <c r="N117" s="15">
        <v>0</v>
      </c>
      <c r="O117" s="15">
        <f t="shared" si="21"/>
        <v>0</v>
      </c>
      <c r="P117" s="15">
        <f t="shared" si="21"/>
        <v>0</v>
      </c>
      <c r="Q117" s="15">
        <f>P117+O117</f>
        <v>0</v>
      </c>
      <c r="R117" s="19"/>
      <c r="S117" s="19"/>
      <c r="T117" s="87"/>
      <c r="U117" s="87"/>
    </row>
    <row r="118" spans="1:22" ht="31.5" customHeight="1" thickTop="1" thickBot="1">
      <c r="A118" s="87"/>
      <c r="B118" s="87"/>
      <c r="C118" s="87"/>
      <c r="D118" s="15" t="s">
        <v>123</v>
      </c>
      <c r="E118" s="15">
        <v>0</v>
      </c>
      <c r="F118" s="15">
        <v>0</v>
      </c>
      <c r="G118" s="15">
        <v>0</v>
      </c>
      <c r="H118" s="15">
        <v>0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f t="shared" si="21"/>
        <v>0</v>
      </c>
      <c r="P118" s="15">
        <f t="shared" si="21"/>
        <v>0</v>
      </c>
      <c r="Q118" s="15">
        <f>P118+O118</f>
        <v>0</v>
      </c>
      <c r="R118" s="19"/>
      <c r="S118" s="19"/>
      <c r="T118" s="87"/>
      <c r="U118" s="87"/>
    </row>
    <row r="119" spans="1:22" ht="31.5" customHeight="1" thickTop="1" thickBot="1">
      <c r="A119" s="87"/>
      <c r="B119" s="87"/>
      <c r="C119" s="87"/>
      <c r="D119" s="15" t="s">
        <v>211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0</v>
      </c>
      <c r="N119" s="15">
        <v>0</v>
      </c>
      <c r="O119" s="15">
        <f t="shared" si="21"/>
        <v>0</v>
      </c>
      <c r="P119" s="15">
        <f t="shared" si="21"/>
        <v>0</v>
      </c>
      <c r="Q119" s="15">
        <f>P119+O119</f>
        <v>0</v>
      </c>
      <c r="R119" s="19"/>
      <c r="S119" s="19"/>
      <c r="T119" s="87"/>
      <c r="U119" s="87"/>
    </row>
    <row r="120" spans="1:22" ht="31.5" customHeight="1" thickTop="1" thickBot="1">
      <c r="A120" s="135"/>
      <c r="B120" s="135"/>
      <c r="C120" s="135"/>
      <c r="D120" s="15" t="s">
        <v>459</v>
      </c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9"/>
      <c r="S120" s="19"/>
      <c r="T120" s="135"/>
      <c r="U120" s="135"/>
    </row>
    <row r="121" spans="1:22" ht="31.5" customHeight="1" thickTop="1" thickBot="1">
      <c r="A121" s="87"/>
      <c r="B121" s="87"/>
      <c r="C121" s="87"/>
      <c r="D121" s="131" t="s">
        <v>387</v>
      </c>
      <c r="E121" s="15" t="e">
        <f>المهني!#REF!</f>
        <v>#REF!</v>
      </c>
      <c r="F121" s="15" t="e">
        <f>المهني!#REF!</f>
        <v>#REF!</v>
      </c>
      <c r="G121" s="15" t="e">
        <f>المهني!#REF!</f>
        <v>#REF!</v>
      </c>
      <c r="H121" s="15" t="e">
        <f>المهني!#REF!</f>
        <v>#REF!</v>
      </c>
      <c r="I121" s="15" t="e">
        <f>المهني!#REF!</f>
        <v>#REF!</v>
      </c>
      <c r="J121" s="15" t="e">
        <f>المهني!#REF!</f>
        <v>#REF!</v>
      </c>
      <c r="K121" s="15" t="e">
        <f>المهني!#REF!</f>
        <v>#REF!</v>
      </c>
      <c r="L121" s="15" t="e">
        <f>المهني!#REF!</f>
        <v>#REF!</v>
      </c>
      <c r="M121" s="15" t="e">
        <f>المهني!#REF!</f>
        <v>#REF!</v>
      </c>
      <c r="N121" s="15" t="e">
        <f>المهني!#REF!</f>
        <v>#REF!</v>
      </c>
      <c r="O121" s="15" t="e">
        <f t="shared" si="21"/>
        <v>#REF!</v>
      </c>
      <c r="P121" s="15" t="e">
        <f t="shared" si="21"/>
        <v>#REF!</v>
      </c>
      <c r="Q121" s="15" t="e">
        <f>P121+O121</f>
        <v>#REF!</v>
      </c>
      <c r="R121" s="19"/>
      <c r="S121" s="19"/>
      <c r="T121" s="87"/>
      <c r="U121" s="87"/>
    </row>
    <row r="122" spans="1:22" ht="31.5" customHeight="1" thickTop="1" thickBot="1">
      <c r="A122" s="87"/>
      <c r="B122" s="87"/>
      <c r="C122" s="87"/>
      <c r="D122" s="15" t="s">
        <v>25</v>
      </c>
      <c r="E122" s="15" t="e">
        <f t="shared" ref="E122:Q122" si="22">E121+E118+E117+E116</f>
        <v>#REF!</v>
      </c>
      <c r="F122" s="15" t="e">
        <f t="shared" si="22"/>
        <v>#REF!</v>
      </c>
      <c r="G122" s="15" t="e">
        <f t="shared" si="22"/>
        <v>#REF!</v>
      </c>
      <c r="H122" s="15" t="e">
        <f t="shared" si="22"/>
        <v>#REF!</v>
      </c>
      <c r="I122" s="15" t="e">
        <f t="shared" si="22"/>
        <v>#REF!</v>
      </c>
      <c r="J122" s="15" t="e">
        <f t="shared" si="22"/>
        <v>#REF!</v>
      </c>
      <c r="K122" s="15" t="e">
        <f t="shared" si="22"/>
        <v>#REF!</v>
      </c>
      <c r="L122" s="15" t="e">
        <f t="shared" si="22"/>
        <v>#REF!</v>
      </c>
      <c r="M122" s="15" t="e">
        <f t="shared" si="22"/>
        <v>#REF!</v>
      </c>
      <c r="N122" s="15" t="e">
        <f t="shared" si="22"/>
        <v>#REF!</v>
      </c>
      <c r="O122" s="15" t="e">
        <f t="shared" si="22"/>
        <v>#REF!</v>
      </c>
      <c r="P122" s="15" t="e">
        <f t="shared" si="22"/>
        <v>#REF!</v>
      </c>
      <c r="Q122" s="15" t="e">
        <f t="shared" si="22"/>
        <v>#REF!</v>
      </c>
      <c r="R122" s="19"/>
      <c r="S122" s="19"/>
      <c r="T122" s="87"/>
      <c r="U122" s="87"/>
    </row>
    <row r="123" spans="1:22" ht="31.5" customHeight="1" thickTop="1">
      <c r="B123" s="87"/>
      <c r="C123" s="87"/>
      <c r="D123" s="87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19"/>
      <c r="T123" s="19"/>
      <c r="U123" s="87"/>
      <c r="V123" s="87"/>
    </row>
  </sheetData>
  <mergeCells count="132">
    <mergeCell ref="S11:T11"/>
    <mergeCell ref="S12:T12"/>
    <mergeCell ref="S15:T15"/>
    <mergeCell ref="S13:T13"/>
    <mergeCell ref="S14:T14"/>
    <mergeCell ref="S42:T42"/>
    <mergeCell ref="S43:T43"/>
    <mergeCell ref="S44:T44"/>
    <mergeCell ref="S47:T47"/>
    <mergeCell ref="S46:T46"/>
    <mergeCell ref="S39:T40"/>
    <mergeCell ref="A36:T36"/>
    <mergeCell ref="A37:T37"/>
    <mergeCell ref="C24:D24"/>
    <mergeCell ref="C25:D25"/>
    <mergeCell ref="C26:D26"/>
    <mergeCell ref="C27:D27"/>
    <mergeCell ref="C28:D28"/>
    <mergeCell ref="E22:F22"/>
    <mergeCell ref="G22:H22"/>
    <mergeCell ref="K22:L22"/>
    <mergeCell ref="M22:N22"/>
    <mergeCell ref="O22:Q22"/>
    <mergeCell ref="A33:F33"/>
    <mergeCell ref="I39:K39"/>
    <mergeCell ref="S16:T16"/>
    <mergeCell ref="A1:F1"/>
    <mergeCell ref="S1:T1"/>
    <mergeCell ref="A4:T4"/>
    <mergeCell ref="A2:F2"/>
    <mergeCell ref="A3:T3"/>
    <mergeCell ref="A5:T5"/>
    <mergeCell ref="A7:A8"/>
    <mergeCell ref="B7:E7"/>
    <mergeCell ref="F7:H7"/>
    <mergeCell ref="I7:K7"/>
    <mergeCell ref="L7:N7"/>
    <mergeCell ref="S7:T8"/>
    <mergeCell ref="O7:P7"/>
    <mergeCell ref="Q7:R7"/>
    <mergeCell ref="S9:T9"/>
    <mergeCell ref="S10:T10"/>
    <mergeCell ref="D18:Q18"/>
    <mergeCell ref="D19:Q19"/>
    <mergeCell ref="D20:Q20"/>
    <mergeCell ref="C22:D23"/>
    <mergeCell ref="I34:L34"/>
    <mergeCell ref="A35:T35"/>
    <mergeCell ref="I53:J53"/>
    <mergeCell ref="K53:L53"/>
    <mergeCell ref="M53:N53"/>
    <mergeCell ref="H65:L65"/>
    <mergeCell ref="D51:Q51"/>
    <mergeCell ref="A67:T67"/>
    <mergeCell ref="A70:A71"/>
    <mergeCell ref="A68:T68"/>
    <mergeCell ref="B70:E70"/>
    <mergeCell ref="A66:T66"/>
    <mergeCell ref="E53:F53"/>
    <mergeCell ref="G53:H53"/>
    <mergeCell ref="S33:T33"/>
    <mergeCell ref="A34:F34"/>
    <mergeCell ref="C29:D29"/>
    <mergeCell ref="C30:D30"/>
    <mergeCell ref="C31:D31"/>
    <mergeCell ref="I22:J22"/>
    <mergeCell ref="S104:T104"/>
    <mergeCell ref="A96:T96"/>
    <mergeCell ref="A97:T97"/>
    <mergeCell ref="A98:T98"/>
    <mergeCell ref="A100:A101"/>
    <mergeCell ref="D84:D85"/>
    <mergeCell ref="E84:F84"/>
    <mergeCell ref="G84:H84"/>
    <mergeCell ref="I84:J84"/>
    <mergeCell ref="K84:L84"/>
    <mergeCell ref="M84:N84"/>
    <mergeCell ref="O84:Q84"/>
    <mergeCell ref="A94:F94"/>
    <mergeCell ref="S94:T94"/>
    <mergeCell ref="A95:F95"/>
    <mergeCell ref="I95:L95"/>
    <mergeCell ref="D82:Q82"/>
    <mergeCell ref="A65:F65"/>
    <mergeCell ref="Q39:R39"/>
    <mergeCell ref="A39:A40"/>
    <mergeCell ref="B39:E39"/>
    <mergeCell ref="F39:H39"/>
    <mergeCell ref="S105:T105"/>
    <mergeCell ref="S108:T108"/>
    <mergeCell ref="D114:D115"/>
    <mergeCell ref="F100:H100"/>
    <mergeCell ref="I100:K100"/>
    <mergeCell ref="L100:N100"/>
    <mergeCell ref="O100:P100"/>
    <mergeCell ref="Q100:R100"/>
    <mergeCell ref="S100:T101"/>
    <mergeCell ref="O114:Q114"/>
    <mergeCell ref="S107:T107"/>
    <mergeCell ref="D110:Q110"/>
    <mergeCell ref="D111:Q111"/>
    <mergeCell ref="D112:Q112"/>
    <mergeCell ref="E114:F114"/>
    <mergeCell ref="G114:H114"/>
    <mergeCell ref="I114:J114"/>
    <mergeCell ref="K114:L114"/>
    <mergeCell ref="M114:N114"/>
    <mergeCell ref="S102:T102"/>
    <mergeCell ref="S103:T103"/>
    <mergeCell ref="B100:E100"/>
    <mergeCell ref="L39:N39"/>
    <mergeCell ref="O53:Q53"/>
    <mergeCell ref="D80:Q80"/>
    <mergeCell ref="D81:Q81"/>
    <mergeCell ref="S41:T41"/>
    <mergeCell ref="S78:T78"/>
    <mergeCell ref="S74:T74"/>
    <mergeCell ref="S75:T75"/>
    <mergeCell ref="S64:T64"/>
    <mergeCell ref="S73:T73"/>
    <mergeCell ref="S77:T77"/>
    <mergeCell ref="F70:H70"/>
    <mergeCell ref="I70:K70"/>
    <mergeCell ref="L70:N70"/>
    <mergeCell ref="A64:F64"/>
    <mergeCell ref="O70:P70"/>
    <mergeCell ref="Q70:R70"/>
    <mergeCell ref="S70:T71"/>
    <mergeCell ref="S72:T72"/>
    <mergeCell ref="O39:P39"/>
    <mergeCell ref="D49:Q49"/>
    <mergeCell ref="D50:Q50"/>
  </mergeCells>
  <printOptions horizontalCentered="1" verticalCentered="1"/>
  <pageMargins left="0.23622047244094491" right="0.23622047244094491" top="0.31496062992125984" bottom="0.35433070866141736" header="0.19685039370078741" footer="0.19685039370078741"/>
  <pageSetup paperSize="9" scale="53" orientation="landscape" r:id="rId1"/>
  <rowBreaks count="3" manualBreakCount="3">
    <brk id="31" max="19" man="1"/>
    <brk id="62" max="16383" man="1"/>
    <brk id="93" max="16383" man="1"/>
  </rowBreaks>
  <colBreaks count="1" manualBreakCount="1">
    <brk id="20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0"/>
  <sheetViews>
    <sheetView rightToLeft="1" view="pageBreakPreview" zoomScale="80" zoomScaleNormal="50" zoomScaleSheetLayoutView="80" workbookViewId="0">
      <selection activeCell="B11" sqref="B11"/>
    </sheetView>
  </sheetViews>
  <sheetFormatPr defaultColWidth="9" defaultRowHeight="36.75" customHeight="1"/>
  <cols>
    <col min="1" max="1" width="21.875" style="97" customWidth="1"/>
    <col min="2" max="2" width="6.625" style="97" bestFit="1" customWidth="1"/>
    <col min="3" max="3" width="5.625" style="97" bestFit="1" customWidth="1"/>
    <col min="4" max="4" width="8.625" style="97" bestFit="1" customWidth="1"/>
    <col min="5" max="5" width="9.625" style="97" bestFit="1" customWidth="1"/>
    <col min="6" max="6" width="6.625" style="97" bestFit="1" customWidth="1"/>
    <col min="7" max="7" width="5.625" style="97" bestFit="1" customWidth="1"/>
    <col min="8" max="8" width="9.625" style="97" bestFit="1" customWidth="1"/>
    <col min="9" max="9" width="6.625" style="97" bestFit="1" customWidth="1"/>
    <col min="10" max="10" width="7.375" style="97" customWidth="1"/>
    <col min="11" max="11" width="6.625" style="97" bestFit="1" customWidth="1"/>
    <col min="12" max="12" width="6.25" style="97" customWidth="1"/>
    <col min="13" max="13" width="6.625" style="97" bestFit="1" customWidth="1"/>
    <col min="14" max="14" width="7" style="97" customWidth="1"/>
    <col min="15" max="15" width="6.625" style="97" bestFit="1" customWidth="1"/>
    <col min="16" max="16" width="5.625" style="97" bestFit="1" customWidth="1"/>
    <col min="17" max="17" width="9.625" style="97" bestFit="1" customWidth="1"/>
    <col min="18" max="18" width="6.625" style="97" bestFit="1" customWidth="1"/>
    <col min="19" max="19" width="8.375" style="97" customWidth="1"/>
    <col min="20" max="20" width="9.375" style="97" customWidth="1"/>
    <col min="21" max="21" width="9.625" style="97" bestFit="1" customWidth="1"/>
    <col min="22" max="16384" width="9" style="97"/>
  </cols>
  <sheetData>
    <row r="1" spans="1:21" s="87" customFormat="1" ht="36.75" customHeight="1">
      <c r="A1" s="328" t="s">
        <v>109</v>
      </c>
      <c r="B1" s="328"/>
      <c r="C1" s="328"/>
      <c r="D1" s="328"/>
      <c r="E1" s="328"/>
      <c r="F1" s="328"/>
      <c r="G1" s="328"/>
      <c r="S1" s="328" t="s">
        <v>110</v>
      </c>
      <c r="T1" s="328"/>
    </row>
    <row r="2" spans="1:21" s="87" customFormat="1" ht="36.75" customHeight="1">
      <c r="B2" s="340" t="s">
        <v>185</v>
      </c>
      <c r="C2" s="340"/>
      <c r="D2" s="340"/>
      <c r="E2" s="340"/>
      <c r="F2" s="340"/>
      <c r="J2" s="24" t="s">
        <v>188</v>
      </c>
      <c r="K2" s="24"/>
      <c r="L2" s="24"/>
    </row>
    <row r="3" spans="1:21" s="87" customFormat="1" ht="23.25">
      <c r="A3" s="328" t="s">
        <v>131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</row>
    <row r="4" spans="1:21" s="87" customFormat="1" ht="23.25">
      <c r="A4" s="343" t="s">
        <v>497</v>
      </c>
      <c r="B4" s="343"/>
      <c r="C4" s="343"/>
      <c r="D4" s="343"/>
      <c r="E4" s="343"/>
      <c r="F4" s="343"/>
      <c r="G4" s="343"/>
      <c r="H4" s="343"/>
      <c r="I4" s="343"/>
      <c r="J4" s="343"/>
      <c r="K4" s="343"/>
      <c r="L4" s="343"/>
      <c r="M4" s="343"/>
      <c r="N4" s="343"/>
      <c r="O4" s="343"/>
      <c r="P4" s="343"/>
      <c r="Q4" s="343"/>
      <c r="R4" s="343"/>
      <c r="S4" s="343"/>
      <c r="T4" s="343"/>
      <c r="U4" s="343"/>
    </row>
    <row r="5" spans="1:21" s="87" customFormat="1" ht="23.25">
      <c r="A5" s="343" t="s">
        <v>132</v>
      </c>
      <c r="B5" s="343"/>
      <c r="C5" s="343"/>
      <c r="D5" s="343"/>
      <c r="E5" s="343"/>
      <c r="F5" s="343"/>
      <c r="G5" s="343"/>
      <c r="H5" s="343"/>
      <c r="I5" s="343"/>
      <c r="J5" s="343"/>
      <c r="K5" s="343"/>
      <c r="L5" s="343"/>
      <c r="M5" s="343"/>
      <c r="N5" s="343"/>
      <c r="O5" s="343"/>
      <c r="P5" s="343"/>
      <c r="Q5" s="343"/>
      <c r="R5" s="343"/>
      <c r="S5" s="343"/>
      <c r="T5" s="343"/>
      <c r="U5" s="343"/>
    </row>
    <row r="6" spans="1:21" s="87" customFormat="1" ht="36.75" customHeight="1" thickBot="1">
      <c r="I6" s="87" t="s">
        <v>133</v>
      </c>
    </row>
    <row r="7" spans="1:21" s="87" customFormat="1" ht="36.75" customHeight="1" thickTop="1" thickBot="1">
      <c r="A7" s="336" t="s">
        <v>113</v>
      </c>
      <c r="B7" s="349" t="s">
        <v>114</v>
      </c>
      <c r="C7" s="350"/>
      <c r="D7" s="350"/>
      <c r="E7" s="351"/>
      <c r="F7" s="349" t="s">
        <v>134</v>
      </c>
      <c r="G7" s="350"/>
      <c r="H7" s="350"/>
      <c r="I7" s="324" t="s">
        <v>210</v>
      </c>
      <c r="J7" s="325"/>
      <c r="K7" s="325"/>
      <c r="L7" s="325"/>
      <c r="M7" s="325"/>
      <c r="N7" s="325"/>
      <c r="O7" s="325"/>
      <c r="P7" s="325"/>
      <c r="Q7" s="326"/>
      <c r="R7" s="355" t="s">
        <v>136</v>
      </c>
      <c r="S7" s="356"/>
      <c r="T7" s="356"/>
      <c r="U7" s="357"/>
    </row>
    <row r="8" spans="1:21" s="87" customFormat="1" ht="36.75" customHeight="1" thickTop="1" thickBot="1">
      <c r="A8" s="348"/>
      <c r="B8" s="352"/>
      <c r="C8" s="353"/>
      <c r="D8" s="353"/>
      <c r="E8" s="354"/>
      <c r="F8" s="352"/>
      <c r="G8" s="353"/>
      <c r="H8" s="353"/>
      <c r="I8" s="324" t="s">
        <v>57</v>
      </c>
      <c r="J8" s="326"/>
      <c r="K8" s="324" t="s">
        <v>58</v>
      </c>
      <c r="L8" s="326"/>
      <c r="M8" s="324" t="s">
        <v>59</v>
      </c>
      <c r="N8" s="326"/>
      <c r="O8" s="324" t="s">
        <v>137</v>
      </c>
      <c r="P8" s="325"/>
      <c r="Q8" s="326"/>
      <c r="R8" s="358"/>
      <c r="S8" s="359"/>
      <c r="T8" s="359"/>
      <c r="U8" s="360"/>
    </row>
    <row r="9" spans="1:21" s="87" customFormat="1" ht="36.75" customHeight="1" thickTop="1" thickBot="1">
      <c r="A9" s="337"/>
      <c r="B9" s="14" t="s">
        <v>119</v>
      </c>
      <c r="C9" s="14" t="s">
        <v>6</v>
      </c>
      <c r="D9" s="14" t="s">
        <v>67</v>
      </c>
      <c r="E9" s="14" t="s">
        <v>25</v>
      </c>
      <c r="F9" s="14" t="s">
        <v>73</v>
      </c>
      <c r="G9" s="14" t="s">
        <v>29</v>
      </c>
      <c r="H9" s="14" t="s">
        <v>25</v>
      </c>
      <c r="I9" s="14" t="s">
        <v>119</v>
      </c>
      <c r="J9" s="14" t="s">
        <v>6</v>
      </c>
      <c r="K9" s="14" t="s">
        <v>119</v>
      </c>
      <c r="L9" s="14" t="s">
        <v>6</v>
      </c>
      <c r="M9" s="14" t="s">
        <v>119</v>
      </c>
      <c r="N9" s="14" t="s">
        <v>6</v>
      </c>
      <c r="O9" s="14" t="s">
        <v>119</v>
      </c>
      <c r="P9" s="14" t="s">
        <v>6</v>
      </c>
      <c r="Q9" s="14" t="s">
        <v>25</v>
      </c>
      <c r="R9" s="14" t="s">
        <v>119</v>
      </c>
      <c r="S9" s="14" t="s">
        <v>6</v>
      </c>
      <c r="T9" s="14" t="s">
        <v>7</v>
      </c>
      <c r="U9" s="14" t="s">
        <v>25</v>
      </c>
    </row>
    <row r="10" spans="1:21" s="87" customFormat="1" ht="36.75" customHeight="1" thickTop="1" thickBot="1">
      <c r="A10" s="14" t="s">
        <v>121</v>
      </c>
      <c r="B10" s="125">
        <v>0</v>
      </c>
      <c r="C10" s="125" t="e">
        <f>المهني!#REF!</f>
        <v>#REF!</v>
      </c>
      <c r="D10" s="125" t="e">
        <f>المهني!#REF!</f>
        <v>#REF!</v>
      </c>
      <c r="E10" s="125" t="e">
        <f t="shared" ref="E10:E16" si="0">D10+C10+B10</f>
        <v>#REF!</v>
      </c>
      <c r="F10" s="125" t="e">
        <f>المهني!#REF!</f>
        <v>#REF!</v>
      </c>
      <c r="G10" s="125" t="e">
        <f>المهني!#REF!</f>
        <v>#REF!</v>
      </c>
      <c r="H10" s="125" t="e">
        <f>G10+F10</f>
        <v>#REF!</v>
      </c>
      <c r="I10" s="125" t="e">
        <f>المهني!#REF!</f>
        <v>#REF!</v>
      </c>
      <c r="J10" s="125" t="e">
        <f>المهني!#REF!</f>
        <v>#REF!</v>
      </c>
      <c r="K10" s="125" t="e">
        <f>المهني!#REF!</f>
        <v>#REF!</v>
      </c>
      <c r="L10" s="125" t="e">
        <f>المهني!#REF!</f>
        <v>#REF!</v>
      </c>
      <c r="M10" s="125" t="e">
        <f>المهني!#REF!</f>
        <v>#REF!</v>
      </c>
      <c r="N10" s="125" t="e">
        <f>المهني!#REF!</f>
        <v>#REF!</v>
      </c>
      <c r="O10" s="125" t="e">
        <f t="shared" ref="O10:P12" si="1">M10+K10+I10</f>
        <v>#REF!</v>
      </c>
      <c r="P10" s="125" t="e">
        <f t="shared" si="1"/>
        <v>#REF!</v>
      </c>
      <c r="Q10" s="125" t="e">
        <f t="shared" ref="Q10:Q16" si="2">P10+O10</f>
        <v>#REF!</v>
      </c>
      <c r="R10" s="125" t="e">
        <f>المهني!#REF!</f>
        <v>#REF!</v>
      </c>
      <c r="S10" s="125" t="e">
        <f>المهني!#REF!</f>
        <v>#REF!</v>
      </c>
      <c r="T10" s="125" t="e">
        <f>المهني!#REF!</f>
        <v>#REF!</v>
      </c>
      <c r="U10" s="125" t="e">
        <f t="shared" ref="U10:U15" si="3">T10+S10+R10</f>
        <v>#REF!</v>
      </c>
    </row>
    <row r="11" spans="1:21" s="87" customFormat="1" ht="36.75" customHeight="1" thickTop="1" thickBot="1">
      <c r="A11" s="14" t="s">
        <v>122</v>
      </c>
      <c r="B11" s="125">
        <v>0</v>
      </c>
      <c r="C11" s="125">
        <v>0</v>
      </c>
      <c r="D11" s="125">
        <v>0</v>
      </c>
      <c r="E11" s="125">
        <f t="shared" si="0"/>
        <v>0</v>
      </c>
      <c r="F11" s="125">
        <v>0</v>
      </c>
      <c r="G11" s="125">
        <v>0</v>
      </c>
      <c r="H11" s="125">
        <f>G11+F11</f>
        <v>0</v>
      </c>
      <c r="I11" s="125">
        <v>0</v>
      </c>
      <c r="J11" s="125">
        <v>0</v>
      </c>
      <c r="K11" s="125">
        <v>0</v>
      </c>
      <c r="L11" s="125">
        <v>0</v>
      </c>
      <c r="M11" s="125">
        <v>0</v>
      </c>
      <c r="N11" s="125">
        <v>0</v>
      </c>
      <c r="O11" s="125">
        <f t="shared" si="1"/>
        <v>0</v>
      </c>
      <c r="P11" s="125">
        <f t="shared" si="1"/>
        <v>0</v>
      </c>
      <c r="Q11" s="125">
        <f t="shared" si="2"/>
        <v>0</v>
      </c>
      <c r="R11" s="125">
        <v>0</v>
      </c>
      <c r="S11" s="125">
        <v>0</v>
      </c>
      <c r="T11" s="125">
        <v>0</v>
      </c>
      <c r="U11" s="125">
        <f t="shared" si="3"/>
        <v>0</v>
      </c>
    </row>
    <row r="12" spans="1:21" s="87" customFormat="1" ht="36.75" customHeight="1" thickTop="1" thickBot="1">
      <c r="A12" s="14" t="s">
        <v>123</v>
      </c>
      <c r="B12" s="125">
        <v>0</v>
      </c>
      <c r="C12" s="125">
        <v>0</v>
      </c>
      <c r="D12" s="125">
        <v>0</v>
      </c>
      <c r="E12" s="125">
        <f t="shared" si="0"/>
        <v>0</v>
      </c>
      <c r="F12" s="125">
        <v>0</v>
      </c>
      <c r="G12" s="125">
        <v>0</v>
      </c>
      <c r="H12" s="125">
        <f>G12+F12</f>
        <v>0</v>
      </c>
      <c r="I12" s="125">
        <f>المهني!AS20</f>
        <v>0</v>
      </c>
      <c r="J12" s="125">
        <v>0</v>
      </c>
      <c r="K12" s="125">
        <f>المهني!BF20</f>
        <v>0</v>
      </c>
      <c r="L12" s="125">
        <v>0</v>
      </c>
      <c r="M12" s="125">
        <f>المهني!BS20</f>
        <v>0</v>
      </c>
      <c r="N12" s="125">
        <v>0</v>
      </c>
      <c r="O12" s="125">
        <f t="shared" si="1"/>
        <v>0</v>
      </c>
      <c r="P12" s="125">
        <f t="shared" si="1"/>
        <v>0</v>
      </c>
      <c r="Q12" s="125">
        <f t="shared" si="2"/>
        <v>0</v>
      </c>
      <c r="R12" s="125">
        <f>المهني!CV20</f>
        <v>0</v>
      </c>
      <c r="S12" s="125">
        <v>0</v>
      </c>
      <c r="T12" s="125">
        <v>0</v>
      </c>
      <c r="U12" s="125">
        <f t="shared" si="3"/>
        <v>0</v>
      </c>
    </row>
    <row r="13" spans="1:21" s="87" customFormat="1" ht="36.75" customHeight="1" thickTop="1" thickBot="1">
      <c r="A13" s="14" t="s">
        <v>209</v>
      </c>
      <c r="B13" s="125">
        <v>0</v>
      </c>
      <c r="C13" s="125">
        <v>0</v>
      </c>
      <c r="D13" s="125">
        <v>0</v>
      </c>
      <c r="E13" s="125">
        <f t="shared" si="0"/>
        <v>0</v>
      </c>
      <c r="F13" s="125">
        <v>0</v>
      </c>
      <c r="G13" s="125">
        <v>0</v>
      </c>
      <c r="H13" s="125">
        <f>G13+F13</f>
        <v>0</v>
      </c>
      <c r="I13" s="126"/>
      <c r="J13" s="125">
        <v>0</v>
      </c>
      <c r="K13" s="126"/>
      <c r="L13" s="125">
        <v>0</v>
      </c>
      <c r="M13" s="126"/>
      <c r="N13" s="125">
        <v>0</v>
      </c>
      <c r="O13" s="126"/>
      <c r="P13" s="125">
        <f>N13+L13+J13</f>
        <v>0</v>
      </c>
      <c r="Q13" s="125">
        <f t="shared" si="2"/>
        <v>0</v>
      </c>
      <c r="R13" s="126"/>
      <c r="S13" s="125">
        <v>0</v>
      </c>
      <c r="T13" s="126"/>
      <c r="U13" s="125">
        <f t="shared" si="3"/>
        <v>0</v>
      </c>
    </row>
    <row r="14" spans="1:21" s="135" customFormat="1" ht="36.75" customHeight="1" thickTop="1" thickBot="1">
      <c r="A14" s="134" t="s">
        <v>459</v>
      </c>
      <c r="B14" s="125">
        <v>0</v>
      </c>
      <c r="C14" s="125">
        <v>0</v>
      </c>
      <c r="D14" s="125">
        <v>0</v>
      </c>
      <c r="E14" s="125">
        <f t="shared" si="0"/>
        <v>0</v>
      </c>
      <c r="F14" s="125">
        <v>0</v>
      </c>
      <c r="G14" s="125">
        <v>0</v>
      </c>
      <c r="H14" s="125">
        <v>0</v>
      </c>
      <c r="I14" s="125"/>
      <c r="J14" s="125">
        <v>0</v>
      </c>
      <c r="K14" s="125">
        <v>0</v>
      </c>
      <c r="L14" s="125">
        <v>0</v>
      </c>
      <c r="M14" s="125">
        <v>0</v>
      </c>
      <c r="N14" s="125">
        <v>0</v>
      </c>
      <c r="O14" s="125">
        <v>0</v>
      </c>
      <c r="P14" s="125">
        <f>N14+L14+J14</f>
        <v>0</v>
      </c>
      <c r="Q14" s="125">
        <f t="shared" si="2"/>
        <v>0</v>
      </c>
      <c r="R14" s="125">
        <v>0</v>
      </c>
      <c r="S14" s="125">
        <v>0</v>
      </c>
      <c r="T14" s="125">
        <v>0</v>
      </c>
      <c r="U14" s="125">
        <f t="shared" si="3"/>
        <v>0</v>
      </c>
    </row>
    <row r="15" spans="1:21" s="184" customFormat="1" ht="36.75" customHeight="1" thickTop="1" thickBot="1">
      <c r="A15" s="15" t="s">
        <v>474</v>
      </c>
      <c r="B15" s="125">
        <v>0</v>
      </c>
      <c r="C15" s="125">
        <v>5</v>
      </c>
      <c r="D15" s="125">
        <v>0</v>
      </c>
      <c r="E15" s="125">
        <f t="shared" ref="E15" si="4">D15+C15+B15</f>
        <v>5</v>
      </c>
      <c r="F15" s="125">
        <v>0</v>
      </c>
      <c r="G15" s="125">
        <v>0</v>
      </c>
      <c r="H15" s="125">
        <v>0</v>
      </c>
      <c r="I15" s="125"/>
      <c r="J15" s="125">
        <v>0</v>
      </c>
      <c r="K15" s="125">
        <v>0</v>
      </c>
      <c r="L15" s="125">
        <v>0</v>
      </c>
      <c r="M15" s="125">
        <v>0</v>
      </c>
      <c r="N15" s="125">
        <v>0</v>
      </c>
      <c r="O15" s="125">
        <v>0</v>
      </c>
      <c r="P15" s="125">
        <f>N15+L15+J15</f>
        <v>0</v>
      </c>
      <c r="Q15" s="125">
        <f t="shared" ref="Q15" si="5">P15+O15</f>
        <v>0</v>
      </c>
      <c r="R15" s="125">
        <v>0</v>
      </c>
      <c r="S15" s="125">
        <v>0</v>
      </c>
      <c r="T15" s="125">
        <v>0</v>
      </c>
      <c r="U15" s="125">
        <f t="shared" si="3"/>
        <v>0</v>
      </c>
    </row>
    <row r="16" spans="1:21" s="87" customFormat="1" ht="36.75" customHeight="1" thickTop="1" thickBot="1">
      <c r="A16" s="137" t="s">
        <v>387</v>
      </c>
      <c r="B16" s="125">
        <v>0</v>
      </c>
      <c r="C16" s="125">
        <v>0</v>
      </c>
      <c r="D16" s="125">
        <v>0</v>
      </c>
      <c r="E16" s="125">
        <f t="shared" si="0"/>
        <v>0</v>
      </c>
      <c r="F16" s="125">
        <v>0</v>
      </c>
      <c r="G16" s="125">
        <v>0</v>
      </c>
      <c r="H16" s="125">
        <f>G16+F16</f>
        <v>0</v>
      </c>
      <c r="I16" s="125">
        <v>0</v>
      </c>
      <c r="J16" s="125">
        <v>0</v>
      </c>
      <c r="K16" s="125">
        <v>0</v>
      </c>
      <c r="L16" s="125">
        <v>0</v>
      </c>
      <c r="M16" s="125">
        <v>0</v>
      </c>
      <c r="N16" s="125">
        <v>0</v>
      </c>
      <c r="O16" s="125">
        <v>0</v>
      </c>
      <c r="P16" s="125">
        <v>0</v>
      </c>
      <c r="Q16" s="125">
        <f t="shared" si="2"/>
        <v>0</v>
      </c>
      <c r="R16" s="125">
        <v>0</v>
      </c>
      <c r="S16" s="125">
        <v>0</v>
      </c>
      <c r="T16" s="125">
        <v>0</v>
      </c>
      <c r="U16" s="125">
        <v>0</v>
      </c>
    </row>
    <row r="17" spans="1:21" s="87" customFormat="1" ht="36.75" customHeight="1" thickTop="1" thickBot="1">
      <c r="A17" s="14" t="s">
        <v>25</v>
      </c>
      <c r="B17" s="125">
        <f>B13+B12+B11+B10</f>
        <v>0</v>
      </c>
      <c r="C17" s="125" t="e">
        <f t="shared" ref="C17:U17" si="6">C13+C12+C11+C10</f>
        <v>#REF!</v>
      </c>
      <c r="D17" s="125" t="e">
        <f t="shared" si="6"/>
        <v>#REF!</v>
      </c>
      <c r="E17" s="125" t="e">
        <f t="shared" si="6"/>
        <v>#REF!</v>
      </c>
      <c r="F17" s="125" t="e">
        <f t="shared" si="6"/>
        <v>#REF!</v>
      </c>
      <c r="G17" s="125" t="e">
        <f t="shared" si="6"/>
        <v>#REF!</v>
      </c>
      <c r="H17" s="125" t="e">
        <f t="shared" si="6"/>
        <v>#REF!</v>
      </c>
      <c r="I17" s="125" t="e">
        <f t="shared" si="6"/>
        <v>#REF!</v>
      </c>
      <c r="J17" s="125" t="e">
        <f t="shared" si="6"/>
        <v>#REF!</v>
      </c>
      <c r="K17" s="125" t="e">
        <f t="shared" si="6"/>
        <v>#REF!</v>
      </c>
      <c r="L17" s="125" t="e">
        <f t="shared" si="6"/>
        <v>#REF!</v>
      </c>
      <c r="M17" s="125" t="e">
        <f t="shared" si="6"/>
        <v>#REF!</v>
      </c>
      <c r="N17" s="125" t="e">
        <f t="shared" si="6"/>
        <v>#REF!</v>
      </c>
      <c r="O17" s="125" t="e">
        <f t="shared" si="6"/>
        <v>#REF!</v>
      </c>
      <c r="P17" s="125" t="e">
        <f t="shared" si="6"/>
        <v>#REF!</v>
      </c>
      <c r="Q17" s="125" t="e">
        <f t="shared" si="6"/>
        <v>#REF!</v>
      </c>
      <c r="R17" s="125" t="e">
        <f t="shared" si="6"/>
        <v>#REF!</v>
      </c>
      <c r="S17" s="125" t="e">
        <f t="shared" si="6"/>
        <v>#REF!</v>
      </c>
      <c r="T17" s="125" t="e">
        <f t="shared" si="6"/>
        <v>#REF!</v>
      </c>
      <c r="U17" s="125" t="e">
        <f t="shared" si="6"/>
        <v>#REF!</v>
      </c>
    </row>
    <row r="18" spans="1:21" s="87" customFormat="1" ht="36.75" customHeight="1" thickTop="1"/>
    <row r="19" spans="1:21" s="87" customFormat="1" ht="36.75" customHeight="1">
      <c r="A19" s="328" t="s">
        <v>109</v>
      </c>
      <c r="B19" s="328"/>
      <c r="C19" s="328"/>
      <c r="D19" s="328"/>
      <c r="E19" s="328"/>
      <c r="F19" s="328"/>
      <c r="G19" s="328"/>
      <c r="S19" s="328" t="s">
        <v>110</v>
      </c>
      <c r="T19" s="328"/>
    </row>
    <row r="20" spans="1:21" ht="36.75" customHeight="1">
      <c r="A20" s="87"/>
      <c r="B20" s="340" t="s">
        <v>185</v>
      </c>
      <c r="C20" s="340"/>
      <c r="D20" s="340"/>
      <c r="E20" s="340"/>
      <c r="F20" s="340"/>
      <c r="G20" s="87"/>
      <c r="H20" s="87"/>
      <c r="I20" s="87"/>
      <c r="J20" s="340" t="s">
        <v>189</v>
      </c>
      <c r="K20" s="340"/>
      <c r="L20" s="340"/>
      <c r="M20" s="87"/>
      <c r="N20" s="87"/>
      <c r="O20" s="87"/>
      <c r="P20" s="87"/>
      <c r="Q20" s="87"/>
      <c r="R20" s="87"/>
      <c r="S20" s="87"/>
      <c r="T20" s="87"/>
      <c r="U20" s="87"/>
    </row>
    <row r="21" spans="1:21" ht="36.75" customHeight="1">
      <c r="A21" s="328" t="s">
        <v>131</v>
      </c>
      <c r="B21" s="328"/>
      <c r="C21" s="328"/>
      <c r="D21" s="328"/>
      <c r="E21" s="328"/>
      <c r="F21" s="328"/>
      <c r="G21" s="328"/>
      <c r="H21" s="328"/>
      <c r="I21" s="328"/>
      <c r="J21" s="328"/>
      <c r="K21" s="328"/>
      <c r="L21" s="328"/>
      <c r="M21" s="328"/>
      <c r="N21" s="328"/>
      <c r="O21" s="328"/>
      <c r="P21" s="328"/>
      <c r="Q21" s="328"/>
      <c r="R21" s="328"/>
      <c r="S21" s="328"/>
      <c r="T21" s="328"/>
      <c r="U21" s="328"/>
    </row>
    <row r="22" spans="1:21" ht="36.75" customHeight="1">
      <c r="A22" s="343" t="s">
        <v>497</v>
      </c>
      <c r="B22" s="343"/>
      <c r="C22" s="343"/>
      <c r="D22" s="343"/>
      <c r="E22" s="343"/>
      <c r="F22" s="343"/>
      <c r="G22" s="343"/>
      <c r="H22" s="343"/>
      <c r="I22" s="343"/>
      <c r="J22" s="343"/>
      <c r="K22" s="343"/>
      <c r="L22" s="343"/>
      <c r="M22" s="343"/>
      <c r="N22" s="343"/>
      <c r="O22" s="343"/>
      <c r="P22" s="343"/>
      <c r="Q22" s="343"/>
      <c r="R22" s="343"/>
      <c r="S22" s="343"/>
      <c r="T22" s="343"/>
      <c r="U22" s="343"/>
    </row>
    <row r="23" spans="1:21" ht="36.75" customHeight="1">
      <c r="A23" s="343" t="s">
        <v>132</v>
      </c>
      <c r="B23" s="343"/>
      <c r="C23" s="343"/>
      <c r="D23" s="343"/>
      <c r="E23" s="343"/>
      <c r="F23" s="343"/>
      <c r="G23" s="343"/>
      <c r="H23" s="343"/>
      <c r="I23" s="343"/>
      <c r="J23" s="343"/>
      <c r="K23" s="343"/>
      <c r="L23" s="343"/>
      <c r="M23" s="343"/>
      <c r="N23" s="343"/>
      <c r="O23" s="343"/>
      <c r="P23" s="343"/>
      <c r="Q23" s="343"/>
      <c r="R23" s="343"/>
      <c r="S23" s="343"/>
      <c r="T23" s="343"/>
      <c r="U23" s="343"/>
    </row>
    <row r="24" spans="1:21" ht="36.75" customHeight="1" thickBot="1">
      <c r="A24" s="87"/>
      <c r="B24" s="87"/>
      <c r="C24" s="87"/>
      <c r="D24" s="87"/>
      <c r="E24" s="87"/>
      <c r="F24" s="87"/>
      <c r="G24" s="87"/>
      <c r="H24" s="87"/>
      <c r="I24" s="87" t="s">
        <v>133</v>
      </c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</row>
    <row r="25" spans="1:21" ht="36.75" customHeight="1" thickTop="1" thickBot="1">
      <c r="A25" s="336" t="s">
        <v>113</v>
      </c>
      <c r="B25" s="349" t="s">
        <v>114</v>
      </c>
      <c r="C25" s="350"/>
      <c r="D25" s="350"/>
      <c r="E25" s="351"/>
      <c r="F25" s="349" t="s">
        <v>134</v>
      </c>
      <c r="G25" s="350"/>
      <c r="H25" s="350"/>
      <c r="I25" s="324" t="s">
        <v>135</v>
      </c>
      <c r="J25" s="325"/>
      <c r="K25" s="325"/>
      <c r="L25" s="325"/>
      <c r="M25" s="325"/>
      <c r="N25" s="325"/>
      <c r="O25" s="325"/>
      <c r="P25" s="325"/>
      <c r="Q25" s="326"/>
      <c r="R25" s="355" t="s">
        <v>136</v>
      </c>
      <c r="S25" s="356"/>
      <c r="T25" s="356"/>
      <c r="U25" s="357"/>
    </row>
    <row r="26" spans="1:21" ht="36.75" customHeight="1" thickTop="1" thickBot="1">
      <c r="A26" s="348"/>
      <c r="B26" s="352"/>
      <c r="C26" s="353"/>
      <c r="D26" s="353"/>
      <c r="E26" s="354"/>
      <c r="F26" s="352"/>
      <c r="G26" s="353"/>
      <c r="H26" s="353"/>
      <c r="I26" s="324" t="s">
        <v>57</v>
      </c>
      <c r="J26" s="326"/>
      <c r="K26" s="324" t="s">
        <v>58</v>
      </c>
      <c r="L26" s="326"/>
      <c r="M26" s="324" t="s">
        <v>59</v>
      </c>
      <c r="N26" s="326"/>
      <c r="O26" s="324" t="s">
        <v>137</v>
      </c>
      <c r="P26" s="325"/>
      <c r="Q26" s="326"/>
      <c r="R26" s="358"/>
      <c r="S26" s="359"/>
      <c r="T26" s="359"/>
      <c r="U26" s="360"/>
    </row>
    <row r="27" spans="1:21" ht="36.75" customHeight="1" thickTop="1" thickBot="1">
      <c r="A27" s="337"/>
      <c r="B27" s="14" t="s">
        <v>119</v>
      </c>
      <c r="C27" s="14" t="s">
        <v>6</v>
      </c>
      <c r="D27" s="14" t="s">
        <v>67</v>
      </c>
      <c r="E27" s="14" t="s">
        <v>25</v>
      </c>
      <c r="F27" s="14" t="s">
        <v>119</v>
      </c>
      <c r="G27" s="14" t="s">
        <v>6</v>
      </c>
      <c r="H27" s="14" t="s">
        <v>25</v>
      </c>
      <c r="I27" s="14" t="s">
        <v>119</v>
      </c>
      <c r="J27" s="14" t="s">
        <v>6</v>
      </c>
      <c r="K27" s="14" t="s">
        <v>119</v>
      </c>
      <c r="L27" s="14" t="s">
        <v>6</v>
      </c>
      <c r="M27" s="14" t="s">
        <v>119</v>
      </c>
      <c r="N27" s="14" t="s">
        <v>6</v>
      </c>
      <c r="O27" s="14" t="s">
        <v>119</v>
      </c>
      <c r="P27" s="14" t="s">
        <v>6</v>
      </c>
      <c r="Q27" s="14" t="s">
        <v>25</v>
      </c>
      <c r="R27" s="14" t="s">
        <v>119</v>
      </c>
      <c r="S27" s="14" t="s">
        <v>6</v>
      </c>
      <c r="T27" s="14" t="s">
        <v>7</v>
      </c>
      <c r="U27" s="14" t="s">
        <v>25</v>
      </c>
    </row>
    <row r="28" spans="1:21" ht="36.75" customHeight="1" thickTop="1" thickBot="1">
      <c r="A28" s="14" t="s">
        <v>121</v>
      </c>
      <c r="B28" s="125" t="e">
        <f>المهني!#REF!</f>
        <v>#REF!</v>
      </c>
      <c r="C28" s="125" t="e">
        <f>المهني!#REF!</f>
        <v>#REF!</v>
      </c>
      <c r="D28" s="125" t="e">
        <f>المهني!#REF!</f>
        <v>#REF!</v>
      </c>
      <c r="E28" s="125" t="e">
        <f>D28+C28+B28</f>
        <v>#REF!</v>
      </c>
      <c r="F28" s="125" t="e">
        <f>المهني!#REF!</f>
        <v>#REF!</v>
      </c>
      <c r="G28" s="125" t="e">
        <f>المهني!#REF!</f>
        <v>#REF!</v>
      </c>
      <c r="H28" s="125" t="e">
        <f>G28+F28</f>
        <v>#REF!</v>
      </c>
      <c r="I28" s="125" t="e">
        <f>المهني!#REF!</f>
        <v>#REF!</v>
      </c>
      <c r="J28" s="125" t="e">
        <f>المهني!#REF!</f>
        <v>#REF!</v>
      </c>
      <c r="K28" s="125" t="e">
        <f>المهني!#REF!</f>
        <v>#REF!</v>
      </c>
      <c r="L28" s="125" t="e">
        <f>المهني!#REF!</f>
        <v>#REF!</v>
      </c>
      <c r="M28" s="125" t="e">
        <f>المهني!#REF!</f>
        <v>#REF!</v>
      </c>
      <c r="N28" s="125" t="e">
        <f>المهني!#REF!</f>
        <v>#REF!</v>
      </c>
      <c r="O28" s="125" t="e">
        <f t="shared" ref="O28:P30" si="7">M28+K28+I28</f>
        <v>#REF!</v>
      </c>
      <c r="P28" s="125" t="e">
        <f t="shared" si="7"/>
        <v>#REF!</v>
      </c>
      <c r="Q28" s="125" t="e">
        <f>P28+O28</f>
        <v>#REF!</v>
      </c>
      <c r="R28" s="125" t="e">
        <f>المهني!#REF!</f>
        <v>#REF!</v>
      </c>
      <c r="S28" s="125" t="e">
        <f>المهني!#REF!</f>
        <v>#REF!</v>
      </c>
      <c r="T28" s="125" t="e">
        <f>المهني!#REF!</f>
        <v>#REF!</v>
      </c>
      <c r="U28" s="125" t="e">
        <f>T28+S28+R28</f>
        <v>#REF!</v>
      </c>
    </row>
    <row r="29" spans="1:21" ht="36.75" customHeight="1" thickTop="1" thickBot="1">
      <c r="A29" s="14" t="s">
        <v>122</v>
      </c>
      <c r="B29" s="127">
        <v>0</v>
      </c>
      <c r="C29" s="127">
        <v>0</v>
      </c>
      <c r="D29" s="127">
        <v>0</v>
      </c>
      <c r="E29" s="125">
        <f>D29+C29+B29</f>
        <v>0</v>
      </c>
      <c r="F29" s="127">
        <v>0</v>
      </c>
      <c r="G29" s="127">
        <v>0</v>
      </c>
      <c r="H29" s="125">
        <f>G29+F29</f>
        <v>0</v>
      </c>
      <c r="I29" s="127">
        <v>0</v>
      </c>
      <c r="J29" s="127">
        <v>0</v>
      </c>
      <c r="K29" s="127">
        <v>0</v>
      </c>
      <c r="L29" s="127">
        <v>0</v>
      </c>
      <c r="M29" s="127">
        <v>0</v>
      </c>
      <c r="N29" s="127">
        <v>0</v>
      </c>
      <c r="O29" s="127">
        <f t="shared" si="7"/>
        <v>0</v>
      </c>
      <c r="P29" s="127">
        <f t="shared" si="7"/>
        <v>0</v>
      </c>
      <c r="Q29" s="127">
        <f>P29+O29</f>
        <v>0</v>
      </c>
      <c r="R29" s="127">
        <v>0</v>
      </c>
      <c r="S29" s="127">
        <v>0</v>
      </c>
      <c r="T29" s="127">
        <v>0</v>
      </c>
      <c r="U29" s="125">
        <f>T29+S29+R29</f>
        <v>0</v>
      </c>
    </row>
    <row r="30" spans="1:21" ht="36.75" customHeight="1" thickTop="1" thickBot="1">
      <c r="A30" s="14" t="s">
        <v>123</v>
      </c>
      <c r="B30" s="127">
        <v>0</v>
      </c>
      <c r="C30" s="127">
        <v>0</v>
      </c>
      <c r="D30" s="127">
        <v>0</v>
      </c>
      <c r="E30" s="125">
        <f>D30+C30+B30</f>
        <v>0</v>
      </c>
      <c r="F30" s="127">
        <v>0</v>
      </c>
      <c r="G30" s="127">
        <v>0</v>
      </c>
      <c r="H30" s="125">
        <f>G30+F30</f>
        <v>0</v>
      </c>
      <c r="I30" s="125">
        <f>المهني!AS20</f>
        <v>0</v>
      </c>
      <c r="J30" s="125">
        <f>المهني!AT20</f>
        <v>0</v>
      </c>
      <c r="K30" s="125">
        <f>المهني!BF20</f>
        <v>0</v>
      </c>
      <c r="L30" s="125">
        <f>المهني!BG20</f>
        <v>0</v>
      </c>
      <c r="M30" s="125">
        <f>المهني!BS20</f>
        <v>0</v>
      </c>
      <c r="N30" s="125">
        <f>المهني!BT20</f>
        <v>0</v>
      </c>
      <c r="O30" s="125">
        <f t="shared" si="7"/>
        <v>0</v>
      </c>
      <c r="P30" s="125">
        <f t="shared" si="7"/>
        <v>0</v>
      </c>
      <c r="Q30" s="125">
        <f>P30+O30</f>
        <v>0</v>
      </c>
      <c r="R30" s="125">
        <f>المهني!CV20</f>
        <v>0</v>
      </c>
      <c r="S30" s="125">
        <v>0</v>
      </c>
      <c r="T30" s="125">
        <v>0</v>
      </c>
      <c r="U30" s="125">
        <f>T30+S30+R30</f>
        <v>0</v>
      </c>
    </row>
    <row r="31" spans="1:21" ht="36.75" customHeight="1" thickTop="1" thickBot="1">
      <c r="A31" s="14" t="s">
        <v>209</v>
      </c>
      <c r="B31" s="127">
        <v>0</v>
      </c>
      <c r="C31" s="127">
        <v>0</v>
      </c>
      <c r="D31" s="127">
        <v>0</v>
      </c>
      <c r="E31" s="125">
        <f>D31+C31+B31</f>
        <v>0</v>
      </c>
      <c r="F31" s="127">
        <v>0</v>
      </c>
      <c r="G31" s="127">
        <v>0</v>
      </c>
      <c r="H31" s="125">
        <f>G31+F31</f>
        <v>0</v>
      </c>
      <c r="I31" s="128"/>
      <c r="J31" s="125">
        <v>0</v>
      </c>
      <c r="K31" s="128"/>
      <c r="L31" s="125">
        <v>0</v>
      </c>
      <c r="M31" s="128"/>
      <c r="N31" s="125">
        <v>0</v>
      </c>
      <c r="O31" s="128"/>
      <c r="P31" s="125">
        <f>N31+L31+J31</f>
        <v>0</v>
      </c>
      <c r="Q31" s="125">
        <f>P31+O31</f>
        <v>0</v>
      </c>
      <c r="R31" s="128"/>
      <c r="S31" s="125">
        <v>0</v>
      </c>
      <c r="T31" s="128"/>
      <c r="U31" s="125">
        <f>T31+S31+R31</f>
        <v>0</v>
      </c>
    </row>
    <row r="32" spans="1:21" ht="36.75" customHeight="1" thickTop="1" thickBot="1">
      <c r="A32" s="134" t="s">
        <v>459</v>
      </c>
      <c r="B32" s="127"/>
      <c r="C32" s="127"/>
      <c r="D32" s="127"/>
      <c r="E32" s="125"/>
      <c r="F32" s="127"/>
      <c r="G32" s="127"/>
      <c r="H32" s="125"/>
      <c r="I32" s="128"/>
      <c r="J32" s="125"/>
      <c r="K32" s="128"/>
      <c r="L32" s="125"/>
      <c r="M32" s="128"/>
      <c r="N32" s="125"/>
      <c r="O32" s="128"/>
      <c r="P32" s="125"/>
      <c r="Q32" s="125"/>
      <c r="R32" s="128"/>
      <c r="S32" s="125"/>
      <c r="T32" s="128"/>
      <c r="U32" s="125"/>
    </row>
    <row r="33" spans="1:22" ht="36.75" customHeight="1" thickTop="1" thickBot="1">
      <c r="A33" s="55" t="s">
        <v>387</v>
      </c>
      <c r="B33" s="127"/>
      <c r="C33" s="127"/>
      <c r="D33" s="127"/>
      <c r="E33" s="125">
        <f>D33+C33+B33</f>
        <v>0</v>
      </c>
      <c r="F33" s="127"/>
      <c r="G33" s="127"/>
      <c r="H33" s="125">
        <v>0</v>
      </c>
      <c r="I33" s="127"/>
      <c r="J33" s="127"/>
      <c r="K33" s="127"/>
      <c r="L33" s="127"/>
      <c r="M33" s="127"/>
      <c r="N33" s="127"/>
      <c r="O33" s="125">
        <v>0</v>
      </c>
      <c r="P33" s="125">
        <v>0</v>
      </c>
      <c r="Q33" s="125">
        <v>0</v>
      </c>
      <c r="R33" s="127"/>
      <c r="S33" s="127"/>
      <c r="T33" s="127"/>
      <c r="U33" s="125">
        <v>0</v>
      </c>
    </row>
    <row r="34" spans="1:22" ht="36.75" customHeight="1" thickTop="1" thickBot="1">
      <c r="A34" s="14" t="s">
        <v>25</v>
      </c>
      <c r="B34" s="125" t="e">
        <f t="shared" ref="B34:U34" si="8">B31+B30+B29+B28</f>
        <v>#REF!</v>
      </c>
      <c r="C34" s="125" t="e">
        <f t="shared" si="8"/>
        <v>#REF!</v>
      </c>
      <c r="D34" s="125" t="e">
        <f t="shared" si="8"/>
        <v>#REF!</v>
      </c>
      <c r="E34" s="125" t="e">
        <f t="shared" si="8"/>
        <v>#REF!</v>
      </c>
      <c r="F34" s="125" t="e">
        <f t="shared" si="8"/>
        <v>#REF!</v>
      </c>
      <c r="G34" s="125" t="e">
        <f t="shared" si="8"/>
        <v>#REF!</v>
      </c>
      <c r="H34" s="125" t="e">
        <f t="shared" si="8"/>
        <v>#REF!</v>
      </c>
      <c r="I34" s="125" t="e">
        <f t="shared" si="8"/>
        <v>#REF!</v>
      </c>
      <c r="J34" s="125" t="e">
        <f t="shared" si="8"/>
        <v>#REF!</v>
      </c>
      <c r="K34" s="125" t="e">
        <f t="shared" si="8"/>
        <v>#REF!</v>
      </c>
      <c r="L34" s="125" t="e">
        <f t="shared" si="8"/>
        <v>#REF!</v>
      </c>
      <c r="M34" s="125" t="e">
        <f t="shared" si="8"/>
        <v>#REF!</v>
      </c>
      <c r="N34" s="125" t="e">
        <f t="shared" si="8"/>
        <v>#REF!</v>
      </c>
      <c r="O34" s="125" t="e">
        <f t="shared" si="8"/>
        <v>#REF!</v>
      </c>
      <c r="P34" s="125" t="e">
        <f t="shared" si="8"/>
        <v>#REF!</v>
      </c>
      <c r="Q34" s="125" t="e">
        <f t="shared" si="8"/>
        <v>#REF!</v>
      </c>
      <c r="R34" s="125" t="e">
        <f t="shared" si="8"/>
        <v>#REF!</v>
      </c>
      <c r="S34" s="125" t="e">
        <f t="shared" si="8"/>
        <v>#REF!</v>
      </c>
      <c r="T34" s="125" t="e">
        <f t="shared" si="8"/>
        <v>#REF!</v>
      </c>
      <c r="U34" s="125" t="e">
        <f t="shared" si="8"/>
        <v>#REF!</v>
      </c>
    </row>
    <row r="35" spans="1:22" ht="36.75" customHeight="1" thickTop="1">
      <c r="A35" s="87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</row>
    <row r="36" spans="1:22" ht="36.75" customHeight="1">
      <c r="A36" s="87"/>
      <c r="B36" s="87"/>
      <c r="C36" s="87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</row>
    <row r="37" spans="1:22" ht="36.75" customHeight="1">
      <c r="A37" s="328" t="s">
        <v>109</v>
      </c>
      <c r="B37" s="328"/>
      <c r="C37" s="328"/>
      <c r="D37" s="328"/>
      <c r="E37" s="328"/>
      <c r="F37" s="328"/>
      <c r="G37" s="328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328" t="s">
        <v>110</v>
      </c>
      <c r="T37" s="328"/>
      <c r="U37" s="87"/>
      <c r="V37" s="87"/>
    </row>
    <row r="38" spans="1:22" ht="36.75" customHeight="1">
      <c r="A38" s="87"/>
      <c r="B38" s="340" t="s">
        <v>185</v>
      </c>
      <c r="C38" s="340"/>
      <c r="D38" s="340"/>
      <c r="E38" s="340"/>
      <c r="F38" s="340"/>
      <c r="G38" s="87"/>
      <c r="H38" s="87"/>
      <c r="I38" s="340" t="s">
        <v>183</v>
      </c>
      <c r="J38" s="340"/>
      <c r="K38" s="340"/>
      <c r="L38" s="340"/>
      <c r="M38" s="87"/>
      <c r="N38" s="87"/>
      <c r="O38" s="87"/>
      <c r="P38" s="87"/>
      <c r="Q38" s="87"/>
      <c r="R38" s="87"/>
      <c r="S38" s="87"/>
      <c r="T38" s="87"/>
      <c r="U38" s="87"/>
      <c r="V38" s="87"/>
    </row>
    <row r="39" spans="1:22" ht="36.75" customHeight="1">
      <c r="A39" s="328" t="s">
        <v>131</v>
      </c>
      <c r="B39" s="328"/>
      <c r="C39" s="328"/>
      <c r="D39" s="328"/>
      <c r="E39" s="328"/>
      <c r="F39" s="328"/>
      <c r="G39" s="328"/>
      <c r="H39" s="32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87"/>
    </row>
    <row r="40" spans="1:22" ht="36.75" customHeight="1">
      <c r="A40" s="343" t="s">
        <v>499</v>
      </c>
      <c r="B40" s="343"/>
      <c r="C40" s="343"/>
      <c r="D40" s="343"/>
      <c r="E40" s="343"/>
      <c r="F40" s="343"/>
      <c r="G40" s="343"/>
      <c r="H40" s="343"/>
      <c r="I40" s="343"/>
      <c r="J40" s="343"/>
      <c r="K40" s="343"/>
      <c r="L40" s="343"/>
      <c r="M40" s="343"/>
      <c r="N40" s="343"/>
      <c r="O40" s="343"/>
      <c r="P40" s="343"/>
      <c r="Q40" s="343"/>
      <c r="R40" s="343"/>
      <c r="S40" s="343"/>
      <c r="T40" s="343"/>
      <c r="U40" s="343"/>
      <c r="V40" s="87"/>
    </row>
    <row r="41" spans="1:22" ht="36.75" customHeight="1">
      <c r="A41" s="343" t="s">
        <v>132</v>
      </c>
      <c r="B41" s="343"/>
      <c r="C41" s="343"/>
      <c r="D41" s="343"/>
      <c r="E41" s="343"/>
      <c r="F41" s="343"/>
      <c r="G41" s="343"/>
      <c r="H41" s="343"/>
      <c r="I41" s="343"/>
      <c r="J41" s="343"/>
      <c r="K41" s="343"/>
      <c r="L41" s="343"/>
      <c r="M41" s="343"/>
      <c r="N41" s="343"/>
      <c r="O41" s="343"/>
      <c r="P41" s="343"/>
      <c r="Q41" s="343"/>
      <c r="R41" s="343"/>
      <c r="S41" s="343"/>
      <c r="T41" s="343"/>
      <c r="U41" s="343"/>
      <c r="V41" s="87"/>
    </row>
    <row r="42" spans="1:22" ht="36.75" customHeight="1" thickBot="1">
      <c r="A42" s="87"/>
      <c r="B42" s="87"/>
      <c r="C42" s="87"/>
      <c r="D42" s="87"/>
      <c r="E42" s="87"/>
      <c r="F42" s="87"/>
      <c r="G42" s="87"/>
      <c r="H42" s="87"/>
      <c r="I42" s="87" t="s">
        <v>133</v>
      </c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</row>
    <row r="43" spans="1:22" ht="36.75" customHeight="1" thickTop="1" thickBot="1">
      <c r="A43" s="336" t="s">
        <v>113</v>
      </c>
      <c r="B43" s="349" t="s">
        <v>114</v>
      </c>
      <c r="C43" s="350"/>
      <c r="D43" s="350"/>
      <c r="E43" s="351"/>
      <c r="F43" s="349" t="s">
        <v>134</v>
      </c>
      <c r="G43" s="350"/>
      <c r="H43" s="350"/>
      <c r="I43" s="324" t="s">
        <v>135</v>
      </c>
      <c r="J43" s="325"/>
      <c r="K43" s="325"/>
      <c r="L43" s="325"/>
      <c r="M43" s="325"/>
      <c r="N43" s="325"/>
      <c r="O43" s="325"/>
      <c r="P43" s="325"/>
      <c r="Q43" s="326"/>
      <c r="R43" s="355" t="s">
        <v>136</v>
      </c>
      <c r="S43" s="356"/>
      <c r="T43" s="356"/>
      <c r="U43" s="357"/>
      <c r="V43" s="87"/>
    </row>
    <row r="44" spans="1:22" ht="36.75" customHeight="1" thickTop="1" thickBot="1">
      <c r="A44" s="348"/>
      <c r="B44" s="352"/>
      <c r="C44" s="353"/>
      <c r="D44" s="353"/>
      <c r="E44" s="354"/>
      <c r="F44" s="352"/>
      <c r="G44" s="353"/>
      <c r="H44" s="353"/>
      <c r="I44" s="324" t="s">
        <v>57</v>
      </c>
      <c r="J44" s="326"/>
      <c r="K44" s="324" t="s">
        <v>58</v>
      </c>
      <c r="L44" s="326"/>
      <c r="M44" s="324" t="s">
        <v>59</v>
      </c>
      <c r="N44" s="326"/>
      <c r="O44" s="324" t="s">
        <v>137</v>
      </c>
      <c r="P44" s="325"/>
      <c r="Q44" s="326"/>
      <c r="R44" s="358"/>
      <c r="S44" s="359"/>
      <c r="T44" s="359"/>
      <c r="U44" s="360"/>
      <c r="V44" s="87"/>
    </row>
    <row r="45" spans="1:22" ht="36.75" customHeight="1" thickTop="1" thickBot="1">
      <c r="A45" s="337"/>
      <c r="B45" s="14" t="s">
        <v>119</v>
      </c>
      <c r="C45" s="14" t="s">
        <v>6</v>
      </c>
      <c r="D45" s="14" t="s">
        <v>67</v>
      </c>
      <c r="E45" s="14" t="s">
        <v>25</v>
      </c>
      <c r="F45" s="14" t="s">
        <v>119</v>
      </c>
      <c r="G45" s="14" t="s">
        <v>6</v>
      </c>
      <c r="H45" s="14" t="s">
        <v>25</v>
      </c>
      <c r="I45" s="14" t="s">
        <v>119</v>
      </c>
      <c r="J45" s="14" t="s">
        <v>6</v>
      </c>
      <c r="K45" s="14" t="s">
        <v>119</v>
      </c>
      <c r="L45" s="14" t="s">
        <v>6</v>
      </c>
      <c r="M45" s="14" t="s">
        <v>119</v>
      </c>
      <c r="N45" s="14" t="s">
        <v>6</v>
      </c>
      <c r="O45" s="14" t="s">
        <v>119</v>
      </c>
      <c r="P45" s="14" t="s">
        <v>6</v>
      </c>
      <c r="Q45" s="14" t="s">
        <v>25</v>
      </c>
      <c r="R45" s="14" t="s">
        <v>119</v>
      </c>
      <c r="S45" s="14" t="s">
        <v>6</v>
      </c>
      <c r="T45" s="14" t="s">
        <v>7</v>
      </c>
      <c r="U45" s="14" t="s">
        <v>25</v>
      </c>
      <c r="V45" s="87"/>
    </row>
    <row r="46" spans="1:22" ht="36.75" customHeight="1" thickTop="1" thickBot="1">
      <c r="A46" s="14" t="s">
        <v>121</v>
      </c>
      <c r="B46" s="125">
        <v>0</v>
      </c>
      <c r="C46" s="125">
        <v>0</v>
      </c>
      <c r="D46" s="125">
        <v>0</v>
      </c>
      <c r="E46" s="125">
        <f>D46+C46+B46</f>
        <v>0</v>
      </c>
      <c r="F46" s="125">
        <v>0</v>
      </c>
      <c r="G46" s="125">
        <v>0</v>
      </c>
      <c r="H46" s="125">
        <f>G46+F46</f>
        <v>0</v>
      </c>
      <c r="I46" s="125">
        <v>0</v>
      </c>
      <c r="J46" s="125">
        <v>0</v>
      </c>
      <c r="K46" s="125">
        <v>0</v>
      </c>
      <c r="L46" s="125">
        <v>0</v>
      </c>
      <c r="M46" s="125">
        <v>0</v>
      </c>
      <c r="N46" s="125">
        <v>0</v>
      </c>
      <c r="O46" s="125">
        <f t="shared" ref="O46:P51" si="9">M46+K46+I46</f>
        <v>0</v>
      </c>
      <c r="P46" s="125">
        <f t="shared" si="9"/>
        <v>0</v>
      </c>
      <c r="Q46" s="125">
        <f>P46+O46</f>
        <v>0</v>
      </c>
      <c r="R46" s="125">
        <v>0</v>
      </c>
      <c r="S46" s="125">
        <v>0</v>
      </c>
      <c r="T46" s="125">
        <v>0</v>
      </c>
      <c r="U46" s="125">
        <f>T46+S46+R46</f>
        <v>0</v>
      </c>
      <c r="V46" s="87"/>
    </row>
    <row r="47" spans="1:22" ht="36.75" customHeight="1" thickTop="1" thickBot="1">
      <c r="A47" s="14" t="s">
        <v>122</v>
      </c>
      <c r="B47" s="125">
        <v>0</v>
      </c>
      <c r="C47" s="125">
        <v>0</v>
      </c>
      <c r="D47" s="125">
        <v>0</v>
      </c>
      <c r="E47" s="125">
        <f>D47+C47+B47</f>
        <v>0</v>
      </c>
      <c r="F47" s="125">
        <v>0</v>
      </c>
      <c r="G47" s="125">
        <v>0</v>
      </c>
      <c r="H47" s="125">
        <f>G47+F47</f>
        <v>0</v>
      </c>
      <c r="I47" s="125">
        <v>0</v>
      </c>
      <c r="J47" s="125">
        <v>0</v>
      </c>
      <c r="K47" s="125">
        <v>0</v>
      </c>
      <c r="L47" s="125">
        <v>0</v>
      </c>
      <c r="M47" s="125">
        <v>0</v>
      </c>
      <c r="N47" s="125">
        <v>0</v>
      </c>
      <c r="O47" s="125">
        <f t="shared" si="9"/>
        <v>0</v>
      </c>
      <c r="P47" s="125">
        <f t="shared" si="9"/>
        <v>0</v>
      </c>
      <c r="Q47" s="125">
        <f>P47+O47</f>
        <v>0</v>
      </c>
      <c r="R47" s="125">
        <v>0</v>
      </c>
      <c r="S47" s="125">
        <v>0</v>
      </c>
      <c r="T47" s="125">
        <v>0</v>
      </c>
      <c r="U47" s="125">
        <f>T47+S47+R47</f>
        <v>0</v>
      </c>
      <c r="V47" s="87"/>
    </row>
    <row r="48" spans="1:22" ht="36.75" customHeight="1" thickTop="1" thickBot="1">
      <c r="A48" s="14" t="s">
        <v>123</v>
      </c>
      <c r="B48" s="125">
        <v>0</v>
      </c>
      <c r="C48" s="125">
        <v>0</v>
      </c>
      <c r="D48" s="125">
        <v>0</v>
      </c>
      <c r="E48" s="125">
        <f>D48+C48+B48</f>
        <v>0</v>
      </c>
      <c r="F48" s="125">
        <v>0</v>
      </c>
      <c r="G48" s="125">
        <v>0</v>
      </c>
      <c r="H48" s="125">
        <f>G48+F48</f>
        <v>0</v>
      </c>
      <c r="I48" s="125">
        <v>0</v>
      </c>
      <c r="J48" s="125">
        <v>0</v>
      </c>
      <c r="K48" s="125">
        <v>0</v>
      </c>
      <c r="L48" s="125">
        <v>0</v>
      </c>
      <c r="M48" s="125">
        <v>0</v>
      </c>
      <c r="N48" s="125">
        <v>0</v>
      </c>
      <c r="O48" s="125">
        <f t="shared" si="9"/>
        <v>0</v>
      </c>
      <c r="P48" s="125">
        <f t="shared" si="9"/>
        <v>0</v>
      </c>
      <c r="Q48" s="125">
        <f>P48+O48</f>
        <v>0</v>
      </c>
      <c r="R48" s="125">
        <v>0</v>
      </c>
      <c r="S48" s="125">
        <v>0</v>
      </c>
      <c r="T48" s="125">
        <v>0</v>
      </c>
      <c r="U48" s="125">
        <f>T48+S48+R48</f>
        <v>0</v>
      </c>
      <c r="V48" s="87"/>
    </row>
    <row r="49" spans="1:22" ht="36.75" customHeight="1" thickTop="1" thickBot="1">
      <c r="A49" s="14" t="s">
        <v>211</v>
      </c>
      <c r="B49" s="125">
        <v>0</v>
      </c>
      <c r="C49" s="125">
        <v>0</v>
      </c>
      <c r="D49" s="125">
        <v>0</v>
      </c>
      <c r="E49" s="125">
        <f>D49+C49+B49</f>
        <v>0</v>
      </c>
      <c r="F49" s="125">
        <v>0</v>
      </c>
      <c r="G49" s="125">
        <v>0</v>
      </c>
      <c r="H49" s="125">
        <f>G49+F49</f>
        <v>0</v>
      </c>
      <c r="I49" s="125">
        <v>0</v>
      </c>
      <c r="J49" s="125">
        <v>0</v>
      </c>
      <c r="K49" s="125">
        <v>0</v>
      </c>
      <c r="L49" s="125">
        <v>0</v>
      </c>
      <c r="M49" s="125">
        <v>0</v>
      </c>
      <c r="N49" s="125">
        <v>0</v>
      </c>
      <c r="O49" s="125">
        <f t="shared" si="9"/>
        <v>0</v>
      </c>
      <c r="P49" s="125">
        <f t="shared" si="9"/>
        <v>0</v>
      </c>
      <c r="Q49" s="125">
        <f>P49+O49</f>
        <v>0</v>
      </c>
      <c r="R49" s="125">
        <v>0</v>
      </c>
      <c r="S49" s="125">
        <v>0</v>
      </c>
      <c r="T49" s="125">
        <v>0</v>
      </c>
      <c r="U49" s="125">
        <f>T49+S49+R49</f>
        <v>0</v>
      </c>
      <c r="V49" s="87"/>
    </row>
    <row r="50" spans="1:22" ht="36.75" customHeight="1" thickTop="1" thickBot="1">
      <c r="A50" s="134" t="s">
        <v>459</v>
      </c>
      <c r="B50" s="125"/>
      <c r="C50" s="125"/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35"/>
    </row>
    <row r="51" spans="1:22" ht="36.75" customHeight="1" thickTop="1" thickBot="1">
      <c r="A51" s="55" t="s">
        <v>387</v>
      </c>
      <c r="B51" s="125">
        <v>0</v>
      </c>
      <c r="C51" s="125">
        <v>0</v>
      </c>
      <c r="D51" s="125">
        <v>0</v>
      </c>
      <c r="E51" s="125">
        <f>D51+C51+B51</f>
        <v>0</v>
      </c>
      <c r="F51" s="125">
        <v>0</v>
      </c>
      <c r="G51" s="125">
        <v>0</v>
      </c>
      <c r="H51" s="125">
        <f>G51+F51</f>
        <v>0</v>
      </c>
      <c r="I51" s="125">
        <v>0</v>
      </c>
      <c r="J51" s="125">
        <v>0</v>
      </c>
      <c r="K51" s="125">
        <v>0</v>
      </c>
      <c r="L51" s="125">
        <v>0</v>
      </c>
      <c r="M51" s="125">
        <v>0</v>
      </c>
      <c r="N51" s="125">
        <v>0</v>
      </c>
      <c r="O51" s="125">
        <f t="shared" si="9"/>
        <v>0</v>
      </c>
      <c r="P51" s="125">
        <f t="shared" si="9"/>
        <v>0</v>
      </c>
      <c r="Q51" s="125">
        <f>P51+O51</f>
        <v>0</v>
      </c>
      <c r="R51" s="125">
        <v>0</v>
      </c>
      <c r="S51" s="125">
        <v>0</v>
      </c>
      <c r="T51" s="125">
        <v>0</v>
      </c>
      <c r="U51" s="125">
        <f>T51+S51+R51</f>
        <v>0</v>
      </c>
      <c r="V51" s="87"/>
    </row>
    <row r="52" spans="1:22" ht="36.75" customHeight="1" thickTop="1" thickBot="1">
      <c r="A52" s="14" t="s">
        <v>25</v>
      </c>
      <c r="B52" s="125">
        <f t="shared" ref="B52:U52" si="10">B49+B48+B47+B46</f>
        <v>0</v>
      </c>
      <c r="C52" s="125">
        <f t="shared" si="10"/>
        <v>0</v>
      </c>
      <c r="D52" s="125">
        <f t="shared" si="10"/>
        <v>0</v>
      </c>
      <c r="E52" s="125">
        <f t="shared" si="10"/>
        <v>0</v>
      </c>
      <c r="F52" s="125">
        <f t="shared" si="10"/>
        <v>0</v>
      </c>
      <c r="G52" s="125">
        <f t="shared" si="10"/>
        <v>0</v>
      </c>
      <c r="H52" s="125">
        <f t="shared" si="10"/>
        <v>0</v>
      </c>
      <c r="I52" s="125">
        <f t="shared" si="10"/>
        <v>0</v>
      </c>
      <c r="J52" s="125">
        <f t="shared" si="10"/>
        <v>0</v>
      </c>
      <c r="K52" s="125">
        <f t="shared" si="10"/>
        <v>0</v>
      </c>
      <c r="L52" s="125">
        <f t="shared" si="10"/>
        <v>0</v>
      </c>
      <c r="M52" s="125">
        <f t="shared" si="10"/>
        <v>0</v>
      </c>
      <c r="N52" s="125">
        <f t="shared" si="10"/>
        <v>0</v>
      </c>
      <c r="O52" s="125">
        <f t="shared" si="10"/>
        <v>0</v>
      </c>
      <c r="P52" s="125">
        <f t="shared" si="10"/>
        <v>0</v>
      </c>
      <c r="Q52" s="125">
        <f t="shared" si="10"/>
        <v>0</v>
      </c>
      <c r="R52" s="125">
        <f t="shared" si="10"/>
        <v>0</v>
      </c>
      <c r="S52" s="125">
        <f t="shared" si="10"/>
        <v>0</v>
      </c>
      <c r="T52" s="125">
        <f t="shared" si="10"/>
        <v>0</v>
      </c>
      <c r="U52" s="125">
        <f t="shared" si="10"/>
        <v>0</v>
      </c>
      <c r="V52" s="87"/>
    </row>
    <row r="53" spans="1:22" ht="36.75" customHeight="1" thickTop="1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</row>
    <row r="54" spans="1:22" ht="36.75" customHeight="1">
      <c r="A54" s="328" t="s">
        <v>109</v>
      </c>
      <c r="B54" s="328"/>
      <c r="C54" s="328"/>
      <c r="D54" s="328"/>
      <c r="E54" s="328"/>
      <c r="F54" s="328"/>
      <c r="G54" s="328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328" t="s">
        <v>110</v>
      </c>
      <c r="T54" s="328"/>
      <c r="U54" s="87"/>
    </row>
    <row r="55" spans="1:22" ht="36.75" customHeight="1">
      <c r="A55" s="87"/>
      <c r="B55" s="340" t="s">
        <v>185</v>
      </c>
      <c r="C55" s="340"/>
      <c r="D55" s="340"/>
      <c r="E55" s="340"/>
      <c r="F55" s="340"/>
      <c r="G55" s="87"/>
      <c r="H55" s="87"/>
      <c r="I55" s="87"/>
      <c r="J55" s="340" t="s">
        <v>184</v>
      </c>
      <c r="K55" s="340"/>
      <c r="L55" s="340"/>
      <c r="M55" s="87"/>
      <c r="N55" s="87"/>
      <c r="O55" s="87"/>
      <c r="P55" s="87"/>
      <c r="Q55" s="87"/>
      <c r="R55" s="87"/>
      <c r="S55" s="87"/>
      <c r="T55" s="87"/>
      <c r="U55" s="87"/>
    </row>
    <row r="56" spans="1:22" ht="36.75" customHeight="1">
      <c r="A56" s="328" t="s">
        <v>131</v>
      </c>
      <c r="B56" s="328"/>
      <c r="C56" s="328"/>
      <c r="D56" s="328"/>
      <c r="E56" s="328"/>
      <c r="F56" s="328"/>
      <c r="G56" s="328"/>
      <c r="H56" s="328"/>
      <c r="I56" s="328"/>
      <c r="J56" s="328"/>
      <c r="K56" s="328"/>
      <c r="L56" s="328"/>
      <c r="M56" s="328"/>
      <c r="N56" s="328"/>
      <c r="O56" s="328"/>
      <c r="P56" s="328"/>
      <c r="Q56" s="328"/>
      <c r="R56" s="328"/>
      <c r="S56" s="328"/>
      <c r="T56" s="328"/>
      <c r="U56" s="328"/>
    </row>
    <row r="57" spans="1:22" ht="36.75" customHeight="1">
      <c r="A57" s="343" t="s">
        <v>499</v>
      </c>
      <c r="B57" s="343"/>
      <c r="C57" s="343"/>
      <c r="D57" s="343"/>
      <c r="E57" s="343"/>
      <c r="F57" s="343"/>
      <c r="G57" s="343"/>
      <c r="H57" s="343"/>
      <c r="I57" s="343"/>
      <c r="J57" s="343"/>
      <c r="K57" s="343"/>
      <c r="L57" s="343"/>
      <c r="M57" s="343"/>
      <c r="N57" s="343"/>
      <c r="O57" s="343"/>
      <c r="P57" s="343"/>
      <c r="Q57" s="343"/>
      <c r="R57" s="343"/>
      <c r="S57" s="343"/>
      <c r="T57" s="343"/>
      <c r="U57" s="343"/>
    </row>
    <row r="58" spans="1:22" ht="36.75" customHeight="1">
      <c r="A58" s="343" t="s">
        <v>132</v>
      </c>
      <c r="B58" s="343"/>
      <c r="C58" s="343"/>
      <c r="D58" s="343"/>
      <c r="E58" s="343"/>
      <c r="F58" s="343"/>
      <c r="G58" s="343"/>
      <c r="H58" s="343"/>
      <c r="I58" s="343"/>
      <c r="J58" s="343"/>
      <c r="K58" s="343"/>
      <c r="L58" s="343"/>
      <c r="M58" s="343"/>
      <c r="N58" s="343"/>
      <c r="O58" s="343"/>
      <c r="P58" s="343"/>
      <c r="Q58" s="343"/>
      <c r="R58" s="343"/>
      <c r="S58" s="343"/>
      <c r="T58" s="343"/>
      <c r="U58" s="343"/>
    </row>
    <row r="59" spans="1:22" ht="36.75" customHeight="1" thickBot="1">
      <c r="A59" s="87"/>
      <c r="B59" s="87"/>
      <c r="C59" s="87"/>
      <c r="D59" s="87"/>
      <c r="E59" s="87"/>
      <c r="F59" s="87"/>
      <c r="G59" s="87"/>
      <c r="H59" s="87"/>
      <c r="I59" s="87" t="s">
        <v>133</v>
      </c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</row>
    <row r="60" spans="1:22" ht="36.75" customHeight="1" thickTop="1" thickBot="1">
      <c r="A60" s="336" t="s">
        <v>113</v>
      </c>
      <c r="B60" s="349" t="s">
        <v>114</v>
      </c>
      <c r="C60" s="350"/>
      <c r="D60" s="350"/>
      <c r="E60" s="351"/>
      <c r="F60" s="349" t="s">
        <v>134</v>
      </c>
      <c r="G60" s="350"/>
      <c r="H60" s="350"/>
      <c r="I60" s="324" t="s">
        <v>135</v>
      </c>
      <c r="J60" s="325"/>
      <c r="K60" s="325"/>
      <c r="L60" s="325"/>
      <c r="M60" s="325"/>
      <c r="N60" s="325"/>
      <c r="O60" s="325"/>
      <c r="P60" s="325"/>
      <c r="Q60" s="326"/>
      <c r="R60" s="355" t="s">
        <v>136</v>
      </c>
      <c r="S60" s="356"/>
      <c r="T60" s="356"/>
      <c r="U60" s="357"/>
    </row>
    <row r="61" spans="1:22" ht="36.75" customHeight="1" thickTop="1" thickBot="1">
      <c r="A61" s="348"/>
      <c r="B61" s="352"/>
      <c r="C61" s="353"/>
      <c r="D61" s="353"/>
      <c r="E61" s="354"/>
      <c r="F61" s="352"/>
      <c r="G61" s="353"/>
      <c r="H61" s="353"/>
      <c r="I61" s="324" t="s">
        <v>57</v>
      </c>
      <c r="J61" s="326"/>
      <c r="K61" s="324" t="s">
        <v>58</v>
      </c>
      <c r="L61" s="326"/>
      <c r="M61" s="324" t="s">
        <v>59</v>
      </c>
      <c r="N61" s="326"/>
      <c r="O61" s="324" t="s">
        <v>137</v>
      </c>
      <c r="P61" s="325"/>
      <c r="Q61" s="326"/>
      <c r="R61" s="358"/>
      <c r="S61" s="359"/>
      <c r="T61" s="359"/>
      <c r="U61" s="360"/>
    </row>
    <row r="62" spans="1:22" ht="36.75" customHeight="1" thickTop="1" thickBot="1">
      <c r="A62" s="337"/>
      <c r="B62" s="14" t="s">
        <v>119</v>
      </c>
      <c r="C62" s="14" t="s">
        <v>6</v>
      </c>
      <c r="D62" s="14" t="s">
        <v>67</v>
      </c>
      <c r="E62" s="14" t="s">
        <v>25</v>
      </c>
      <c r="F62" s="14" t="s">
        <v>119</v>
      </c>
      <c r="G62" s="14" t="s">
        <v>6</v>
      </c>
      <c r="H62" s="14" t="s">
        <v>25</v>
      </c>
      <c r="I62" s="14" t="s">
        <v>119</v>
      </c>
      <c r="J62" s="14" t="s">
        <v>6</v>
      </c>
      <c r="K62" s="14" t="s">
        <v>119</v>
      </c>
      <c r="L62" s="14" t="s">
        <v>6</v>
      </c>
      <c r="M62" s="14" t="s">
        <v>119</v>
      </c>
      <c r="N62" s="14" t="s">
        <v>6</v>
      </c>
      <c r="O62" s="14" t="s">
        <v>119</v>
      </c>
      <c r="P62" s="14" t="s">
        <v>6</v>
      </c>
      <c r="Q62" s="14" t="s">
        <v>25</v>
      </c>
      <c r="R62" s="14" t="s">
        <v>119</v>
      </c>
      <c r="S62" s="14" t="s">
        <v>6</v>
      </c>
      <c r="T62" s="14" t="s">
        <v>7</v>
      </c>
      <c r="U62" s="14" t="s">
        <v>25</v>
      </c>
    </row>
    <row r="63" spans="1:22" ht="36.75" customHeight="1" thickTop="1" thickBot="1">
      <c r="A63" s="14" t="s">
        <v>121</v>
      </c>
      <c r="B63" s="125">
        <v>0</v>
      </c>
      <c r="C63" s="125">
        <v>0</v>
      </c>
      <c r="D63" s="125">
        <v>0</v>
      </c>
      <c r="E63" s="125">
        <f>D63+C63+B63</f>
        <v>0</v>
      </c>
      <c r="F63" s="125">
        <v>0</v>
      </c>
      <c r="G63" s="125">
        <v>0</v>
      </c>
      <c r="H63" s="125">
        <f>G63+F63</f>
        <v>0</v>
      </c>
      <c r="I63" s="125">
        <v>0</v>
      </c>
      <c r="J63" s="125">
        <v>0</v>
      </c>
      <c r="K63" s="125">
        <v>0</v>
      </c>
      <c r="L63" s="125">
        <v>0</v>
      </c>
      <c r="M63" s="125">
        <v>0</v>
      </c>
      <c r="N63" s="125">
        <v>0</v>
      </c>
      <c r="O63" s="125">
        <f t="shared" ref="O63:P66" si="11">M63+K63+I63</f>
        <v>0</v>
      </c>
      <c r="P63" s="125">
        <f t="shared" si="11"/>
        <v>0</v>
      </c>
      <c r="Q63" s="125">
        <f>P63+O63</f>
        <v>0</v>
      </c>
      <c r="R63" s="125">
        <v>0</v>
      </c>
      <c r="S63" s="125">
        <v>0</v>
      </c>
      <c r="T63" s="125">
        <v>0</v>
      </c>
      <c r="U63" s="125">
        <f>T63+S63+R63</f>
        <v>0</v>
      </c>
    </row>
    <row r="64" spans="1:22" ht="36.75" customHeight="1" thickTop="1" thickBot="1">
      <c r="A64" s="14" t="s">
        <v>122</v>
      </c>
      <c r="B64" s="125">
        <v>0</v>
      </c>
      <c r="C64" s="125">
        <v>0</v>
      </c>
      <c r="D64" s="125">
        <v>0</v>
      </c>
      <c r="E64" s="125">
        <f>D64+C64+B64</f>
        <v>0</v>
      </c>
      <c r="F64" s="125">
        <v>0</v>
      </c>
      <c r="G64" s="125">
        <v>0</v>
      </c>
      <c r="H64" s="125">
        <f>G64+F64</f>
        <v>0</v>
      </c>
      <c r="I64" s="125">
        <v>0</v>
      </c>
      <c r="J64" s="125">
        <v>0</v>
      </c>
      <c r="K64" s="125">
        <v>0</v>
      </c>
      <c r="L64" s="125">
        <v>0</v>
      </c>
      <c r="M64" s="125">
        <v>0</v>
      </c>
      <c r="N64" s="125">
        <v>0</v>
      </c>
      <c r="O64" s="125">
        <f t="shared" si="11"/>
        <v>0</v>
      </c>
      <c r="P64" s="125">
        <f t="shared" si="11"/>
        <v>0</v>
      </c>
      <c r="Q64" s="125">
        <f>P64+O64</f>
        <v>0</v>
      </c>
      <c r="R64" s="125">
        <v>0</v>
      </c>
      <c r="S64" s="125">
        <v>0</v>
      </c>
      <c r="T64" s="125">
        <v>0</v>
      </c>
      <c r="U64" s="125">
        <f>T64+S64+R64</f>
        <v>0</v>
      </c>
    </row>
    <row r="65" spans="1:21" ht="36.75" customHeight="1" thickTop="1" thickBot="1">
      <c r="A65" s="14" t="s">
        <v>123</v>
      </c>
      <c r="B65" s="125">
        <v>0</v>
      </c>
      <c r="C65" s="125">
        <v>0</v>
      </c>
      <c r="D65" s="125">
        <v>0</v>
      </c>
      <c r="E65" s="125">
        <f>D65+C65+B65</f>
        <v>0</v>
      </c>
      <c r="F65" s="125">
        <v>0</v>
      </c>
      <c r="G65" s="125">
        <v>0</v>
      </c>
      <c r="H65" s="125">
        <f>G65+F65</f>
        <v>0</v>
      </c>
      <c r="I65" s="125">
        <v>0</v>
      </c>
      <c r="J65" s="125">
        <v>0</v>
      </c>
      <c r="K65" s="125">
        <v>0</v>
      </c>
      <c r="L65" s="125">
        <v>0</v>
      </c>
      <c r="M65" s="125">
        <v>0</v>
      </c>
      <c r="N65" s="125">
        <v>0</v>
      </c>
      <c r="O65" s="125">
        <f t="shared" si="11"/>
        <v>0</v>
      </c>
      <c r="P65" s="125">
        <f t="shared" si="11"/>
        <v>0</v>
      </c>
      <c r="Q65" s="125">
        <f>P65+O65</f>
        <v>0</v>
      </c>
      <c r="R65" s="125">
        <v>0</v>
      </c>
      <c r="S65" s="125">
        <v>0</v>
      </c>
      <c r="T65" s="125">
        <v>0</v>
      </c>
      <c r="U65" s="125">
        <f>T65+S65+R65</f>
        <v>0</v>
      </c>
    </row>
    <row r="66" spans="1:21" ht="36.75" customHeight="1" thickTop="1" thickBot="1">
      <c r="A66" s="14" t="s">
        <v>211</v>
      </c>
      <c r="B66" s="125">
        <v>0</v>
      </c>
      <c r="C66" s="125">
        <v>0</v>
      </c>
      <c r="D66" s="125">
        <v>0</v>
      </c>
      <c r="E66" s="125">
        <f>D66+C66+B66</f>
        <v>0</v>
      </c>
      <c r="F66" s="125">
        <v>0</v>
      </c>
      <c r="G66" s="125">
        <v>0</v>
      </c>
      <c r="H66" s="125">
        <f>G66+F66</f>
        <v>0</v>
      </c>
      <c r="I66" s="125">
        <v>0</v>
      </c>
      <c r="J66" s="125">
        <v>0</v>
      </c>
      <c r="K66" s="125">
        <v>0</v>
      </c>
      <c r="L66" s="125">
        <v>0</v>
      </c>
      <c r="M66" s="125">
        <v>0</v>
      </c>
      <c r="N66" s="125">
        <v>0</v>
      </c>
      <c r="O66" s="125">
        <f t="shared" si="11"/>
        <v>0</v>
      </c>
      <c r="P66" s="125">
        <f t="shared" si="11"/>
        <v>0</v>
      </c>
      <c r="Q66" s="125">
        <f>P66+O66</f>
        <v>0</v>
      </c>
      <c r="R66" s="125">
        <v>0</v>
      </c>
      <c r="S66" s="125">
        <v>0</v>
      </c>
      <c r="T66" s="125">
        <v>0</v>
      </c>
      <c r="U66" s="125">
        <f>T66+S66+R66</f>
        <v>0</v>
      </c>
    </row>
    <row r="67" spans="1:21" ht="36.75" customHeight="1" thickTop="1" thickBot="1">
      <c r="A67" s="134" t="s">
        <v>459</v>
      </c>
      <c r="B67" s="125"/>
      <c r="C67" s="125"/>
      <c r="D67" s="125"/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</row>
    <row r="68" spans="1:21" ht="36.75" customHeight="1" thickTop="1" thickBot="1">
      <c r="A68" s="129" t="s">
        <v>387</v>
      </c>
      <c r="B68" s="125">
        <v>0</v>
      </c>
      <c r="C68" s="125">
        <v>0</v>
      </c>
      <c r="D68" s="125">
        <v>0</v>
      </c>
      <c r="E68" s="125">
        <f>D68+C68+B68</f>
        <v>0</v>
      </c>
      <c r="F68" s="125">
        <v>0</v>
      </c>
      <c r="G68" s="125">
        <v>0</v>
      </c>
      <c r="H68" s="125">
        <f>G68+F68</f>
        <v>0</v>
      </c>
      <c r="I68" s="125">
        <v>0</v>
      </c>
      <c r="J68" s="125">
        <v>0</v>
      </c>
      <c r="K68" s="125">
        <v>0</v>
      </c>
      <c r="L68" s="125">
        <v>0</v>
      </c>
      <c r="M68" s="125">
        <v>0</v>
      </c>
      <c r="N68" s="125">
        <v>0</v>
      </c>
      <c r="O68" s="125">
        <v>0</v>
      </c>
      <c r="P68" s="125">
        <f>N68+L68+J68</f>
        <v>0</v>
      </c>
      <c r="Q68" s="125">
        <f>P68+O68</f>
        <v>0</v>
      </c>
      <c r="R68" s="125">
        <v>0</v>
      </c>
      <c r="S68" s="125">
        <v>0</v>
      </c>
      <c r="T68" s="125">
        <v>0</v>
      </c>
      <c r="U68" s="125">
        <f>T68+S68+R68</f>
        <v>0</v>
      </c>
    </row>
    <row r="69" spans="1:21" ht="36.75" customHeight="1" thickTop="1" thickBot="1">
      <c r="A69" s="14" t="s">
        <v>25</v>
      </c>
      <c r="B69" s="125">
        <f t="shared" ref="B69:U69" si="12">B66+B65+B64+B63</f>
        <v>0</v>
      </c>
      <c r="C69" s="125">
        <f t="shared" si="12"/>
        <v>0</v>
      </c>
      <c r="D69" s="125">
        <f t="shared" si="12"/>
        <v>0</v>
      </c>
      <c r="E69" s="125">
        <f t="shared" si="12"/>
        <v>0</v>
      </c>
      <c r="F69" s="125">
        <f t="shared" si="12"/>
        <v>0</v>
      </c>
      <c r="G69" s="125">
        <f t="shared" si="12"/>
        <v>0</v>
      </c>
      <c r="H69" s="125">
        <f t="shared" si="12"/>
        <v>0</v>
      </c>
      <c r="I69" s="125">
        <f t="shared" si="12"/>
        <v>0</v>
      </c>
      <c r="J69" s="125">
        <f t="shared" si="12"/>
        <v>0</v>
      </c>
      <c r="K69" s="125">
        <f t="shared" si="12"/>
        <v>0</v>
      </c>
      <c r="L69" s="125">
        <f t="shared" si="12"/>
        <v>0</v>
      </c>
      <c r="M69" s="125">
        <f t="shared" si="12"/>
        <v>0</v>
      </c>
      <c r="N69" s="125">
        <f t="shared" si="12"/>
        <v>0</v>
      </c>
      <c r="O69" s="125">
        <f t="shared" si="12"/>
        <v>0</v>
      </c>
      <c r="P69" s="125">
        <f t="shared" si="12"/>
        <v>0</v>
      </c>
      <c r="Q69" s="125">
        <f t="shared" si="12"/>
        <v>0</v>
      </c>
      <c r="R69" s="125">
        <f t="shared" si="12"/>
        <v>0</v>
      </c>
      <c r="S69" s="125">
        <f t="shared" si="12"/>
        <v>0</v>
      </c>
      <c r="T69" s="125">
        <f t="shared" si="12"/>
        <v>0</v>
      </c>
      <c r="U69" s="125">
        <f t="shared" si="12"/>
        <v>0</v>
      </c>
    </row>
    <row r="70" spans="1:21" ht="36.75" customHeight="1" thickTop="1"/>
  </sheetData>
  <mergeCells count="63">
    <mergeCell ref="A5:U5"/>
    <mergeCell ref="R7:U8"/>
    <mergeCell ref="I8:J8"/>
    <mergeCell ref="K8:L8"/>
    <mergeCell ref="M8:N8"/>
    <mergeCell ref="O8:Q8"/>
    <mergeCell ref="A7:A9"/>
    <mergeCell ref="B7:E8"/>
    <mergeCell ref="F7:H8"/>
    <mergeCell ref="I7:Q7"/>
    <mergeCell ref="A1:G1"/>
    <mergeCell ref="S1:T1"/>
    <mergeCell ref="B2:F2"/>
    <mergeCell ref="A3:U3"/>
    <mergeCell ref="A4:U4"/>
    <mergeCell ref="A23:U23"/>
    <mergeCell ref="A25:A27"/>
    <mergeCell ref="B25:E26"/>
    <mergeCell ref="S19:T19"/>
    <mergeCell ref="F25:H26"/>
    <mergeCell ref="I25:Q25"/>
    <mergeCell ref="B20:F20"/>
    <mergeCell ref="A19:G19"/>
    <mergeCell ref="J20:L20"/>
    <mergeCell ref="A21:U21"/>
    <mergeCell ref="A22:U22"/>
    <mergeCell ref="A40:U40"/>
    <mergeCell ref="R25:U26"/>
    <mergeCell ref="I26:J26"/>
    <mergeCell ref="K26:L26"/>
    <mergeCell ref="M26:N26"/>
    <mergeCell ref="O26:Q26"/>
    <mergeCell ref="B38:F38"/>
    <mergeCell ref="A39:U39"/>
    <mergeCell ref="A37:G37"/>
    <mergeCell ref="S37:T37"/>
    <mergeCell ref="I38:L38"/>
    <mergeCell ref="A41:U41"/>
    <mergeCell ref="A43:A45"/>
    <mergeCell ref="B43:E44"/>
    <mergeCell ref="F43:H44"/>
    <mergeCell ref="I43:Q43"/>
    <mergeCell ref="R43:U44"/>
    <mergeCell ref="I44:J44"/>
    <mergeCell ref="K44:L44"/>
    <mergeCell ref="M44:N44"/>
    <mergeCell ref="O44:Q44"/>
    <mergeCell ref="A54:G54"/>
    <mergeCell ref="S54:T54"/>
    <mergeCell ref="A58:U58"/>
    <mergeCell ref="A60:A62"/>
    <mergeCell ref="B60:E61"/>
    <mergeCell ref="F60:H61"/>
    <mergeCell ref="I60:Q60"/>
    <mergeCell ref="R60:U61"/>
    <mergeCell ref="I61:J61"/>
    <mergeCell ref="K61:L61"/>
    <mergeCell ref="M61:N61"/>
    <mergeCell ref="O61:Q61"/>
    <mergeCell ref="B55:F55"/>
    <mergeCell ref="J55:L55"/>
    <mergeCell ref="A56:U56"/>
    <mergeCell ref="A57:U57"/>
  </mergeCells>
  <printOptions horizontalCentered="1" verticalCentered="1"/>
  <pageMargins left="0.27559055118110237" right="0.2" top="0.51181102362204722" bottom="0.43307086614173229" header="0.31496062992125984" footer="0.31496062992125984"/>
  <pageSetup paperSize="9" scale="75" orientation="landscape" horizontalDpi="300" verticalDpi="300" r:id="rId1"/>
  <rowBreaks count="3" manualBreakCount="3">
    <brk id="18" max="16383" man="1"/>
    <brk id="35" max="16383" man="1"/>
    <brk id="5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2"/>
  <sheetViews>
    <sheetView rightToLeft="1" view="pageBreakPreview" topLeftCell="B1" zoomScale="70" zoomScaleNormal="80" zoomScaleSheetLayoutView="70" workbookViewId="0">
      <selection activeCell="G34" sqref="G34"/>
    </sheetView>
  </sheetViews>
  <sheetFormatPr defaultRowHeight="30" customHeight="1"/>
  <cols>
    <col min="1" max="1" width="17.75" customWidth="1"/>
    <col min="2" max="2" width="12.375" customWidth="1"/>
    <col min="4" max="4" width="10.375" customWidth="1"/>
    <col min="5" max="5" width="11" customWidth="1"/>
    <col min="6" max="6" width="11.375" customWidth="1"/>
    <col min="7" max="7" width="11" customWidth="1"/>
    <col min="8" max="8" width="11.25" customWidth="1"/>
    <col min="9" max="9" width="10.25" customWidth="1"/>
    <col min="10" max="11" width="10.625" customWidth="1"/>
    <col min="12" max="12" width="11.375" customWidth="1"/>
    <col min="13" max="13" width="10.625" customWidth="1"/>
    <col min="14" max="14" width="11.375" customWidth="1"/>
    <col min="15" max="15" width="11.625" customWidth="1"/>
    <col min="16" max="16" width="12" customWidth="1"/>
    <col min="17" max="17" width="12.75" customWidth="1"/>
    <col min="18" max="18" width="15.875" customWidth="1"/>
    <col min="19" max="19" width="13.125" customWidth="1"/>
    <col min="20" max="20" width="14.375" customWidth="1"/>
  </cols>
  <sheetData>
    <row r="1" spans="1:20" ht="30" customHeight="1">
      <c r="A1" s="328" t="s">
        <v>109</v>
      </c>
      <c r="B1" s="328"/>
      <c r="C1" s="328"/>
      <c r="D1" s="328"/>
      <c r="E1" s="328"/>
      <c r="F1" s="328"/>
      <c r="G1" s="21"/>
      <c r="H1" s="21"/>
      <c r="I1" s="21"/>
      <c r="J1" s="22"/>
      <c r="K1" s="22"/>
      <c r="L1" s="22"/>
      <c r="M1" s="22"/>
      <c r="N1" s="22"/>
      <c r="O1" s="22"/>
      <c r="P1" s="22"/>
      <c r="Q1" s="22"/>
      <c r="R1" s="22"/>
      <c r="S1" s="328" t="s">
        <v>110</v>
      </c>
      <c r="T1" s="328"/>
    </row>
    <row r="2" spans="1:20" ht="30" customHeight="1">
      <c r="A2" s="340" t="s">
        <v>185</v>
      </c>
      <c r="B2" s="340"/>
      <c r="C2" s="340"/>
      <c r="D2" s="340"/>
      <c r="E2" s="340"/>
      <c r="F2" s="340"/>
      <c r="G2" s="21"/>
      <c r="H2" s="22"/>
      <c r="I2" s="340" t="s">
        <v>188</v>
      </c>
      <c r="J2" s="340"/>
      <c r="K2" s="340"/>
      <c r="L2" s="340"/>
      <c r="M2" s="22"/>
      <c r="N2" s="22"/>
      <c r="O2" s="22"/>
      <c r="P2" s="21"/>
      <c r="Q2" s="21"/>
      <c r="R2" s="22"/>
      <c r="S2" s="22"/>
      <c r="T2" s="22"/>
    </row>
    <row r="3" spans="1:20" ht="30" customHeight="1">
      <c r="A3" s="328" t="s">
        <v>138</v>
      </c>
      <c r="B3" s="328"/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</row>
    <row r="4" spans="1:20" ht="30" customHeight="1">
      <c r="A4" s="328" t="s">
        <v>497</v>
      </c>
      <c r="B4" s="328"/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  <c r="Q4" s="328"/>
      <c r="R4" s="328"/>
      <c r="S4" s="328"/>
      <c r="T4" s="328"/>
    </row>
    <row r="5" spans="1:20" ht="30" customHeight="1">
      <c r="A5" s="328" t="s">
        <v>139</v>
      </c>
      <c r="B5" s="328"/>
      <c r="C5" s="328"/>
      <c r="D5" s="328"/>
      <c r="E5" s="328"/>
      <c r="F5" s="328"/>
      <c r="G5" s="328"/>
      <c r="H5" s="328"/>
      <c r="I5" s="328"/>
      <c r="J5" s="328"/>
      <c r="K5" s="328"/>
      <c r="L5" s="328"/>
      <c r="M5" s="328"/>
      <c r="N5" s="328"/>
      <c r="O5" s="328"/>
      <c r="P5" s="328"/>
      <c r="Q5" s="328"/>
      <c r="R5" s="328"/>
      <c r="S5" s="328"/>
      <c r="T5" s="328"/>
    </row>
    <row r="6" spans="1:20" ht="30" customHeight="1" thickBo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ht="30" customHeight="1" thickTop="1" thickBot="1">
      <c r="A7" s="364" t="s">
        <v>113</v>
      </c>
      <c r="B7" s="364" t="s">
        <v>140</v>
      </c>
      <c r="C7" s="364"/>
      <c r="D7" s="368" t="s">
        <v>125</v>
      </c>
      <c r="E7" s="369"/>
      <c r="F7" s="368" t="s">
        <v>126</v>
      </c>
      <c r="G7" s="369"/>
      <c r="H7" s="368" t="s">
        <v>127</v>
      </c>
      <c r="I7" s="369"/>
      <c r="J7" s="368" t="s">
        <v>128</v>
      </c>
      <c r="K7" s="369"/>
      <c r="L7" s="368" t="s">
        <v>129</v>
      </c>
      <c r="M7" s="369"/>
      <c r="N7" s="368" t="s">
        <v>141</v>
      </c>
      <c r="O7" s="369"/>
      <c r="P7" s="368" t="s">
        <v>142</v>
      </c>
      <c r="Q7" s="369"/>
      <c r="R7" s="368" t="s">
        <v>25</v>
      </c>
      <c r="S7" s="370"/>
      <c r="T7" s="369"/>
    </row>
    <row r="8" spans="1:20" ht="30" customHeight="1" thickTop="1" thickBot="1">
      <c r="A8" s="364"/>
      <c r="B8" s="364"/>
      <c r="C8" s="364"/>
      <c r="D8" s="4" t="s">
        <v>5</v>
      </c>
      <c r="E8" s="4" t="s">
        <v>6</v>
      </c>
      <c r="F8" s="4" t="s">
        <v>5</v>
      </c>
      <c r="G8" s="4" t="s">
        <v>6</v>
      </c>
      <c r="H8" s="4" t="s">
        <v>5</v>
      </c>
      <c r="I8" s="4" t="s">
        <v>6</v>
      </c>
      <c r="J8" s="4" t="s">
        <v>5</v>
      </c>
      <c r="K8" s="4" t="s">
        <v>6</v>
      </c>
      <c r="L8" s="4" t="s">
        <v>5</v>
      </c>
      <c r="M8" s="4" t="s">
        <v>6</v>
      </c>
      <c r="N8" s="4" t="s">
        <v>5</v>
      </c>
      <c r="O8" s="4" t="s">
        <v>6</v>
      </c>
      <c r="P8" s="4" t="s">
        <v>5</v>
      </c>
      <c r="Q8" s="4" t="s">
        <v>6</v>
      </c>
      <c r="R8" s="4" t="s">
        <v>5</v>
      </c>
      <c r="S8" s="4" t="s">
        <v>6</v>
      </c>
      <c r="T8" s="4" t="s">
        <v>25</v>
      </c>
    </row>
    <row r="9" spans="1:20" ht="30" customHeight="1" thickTop="1" thickBot="1">
      <c r="A9" s="362" t="s">
        <v>121</v>
      </c>
      <c r="B9" s="361" t="s">
        <v>143</v>
      </c>
      <c r="C9" s="361"/>
      <c r="D9" s="20">
        <f>المهني!AI17</f>
        <v>67</v>
      </c>
      <c r="E9" s="20">
        <f>المهني!AJ17</f>
        <v>13</v>
      </c>
      <c r="F9" s="20">
        <f>المهني!AK17</f>
        <v>59</v>
      </c>
      <c r="G9" s="20">
        <f>المهني!AL17</f>
        <v>20</v>
      </c>
      <c r="H9" s="20">
        <f>المهني!AM17</f>
        <v>45</v>
      </c>
      <c r="I9" s="20">
        <f>المهني!AN17</f>
        <v>20</v>
      </c>
      <c r="J9" s="20">
        <f>المهني!AO17</f>
        <v>29</v>
      </c>
      <c r="K9" s="20">
        <f>المهني!AP17</f>
        <v>7</v>
      </c>
      <c r="L9" s="20">
        <f>المهني!AQ17</f>
        <v>0</v>
      </c>
      <c r="M9" s="20">
        <f>المهني!AR17</f>
        <v>0</v>
      </c>
      <c r="N9" s="47">
        <v>0</v>
      </c>
      <c r="O9" s="47">
        <v>0</v>
      </c>
      <c r="P9" s="47">
        <v>0</v>
      </c>
      <c r="Q9" s="47">
        <v>0</v>
      </c>
      <c r="R9" s="20">
        <f t="shared" ref="R9:S11" si="0">P9+N9+L9+J9+H9+F9+D9</f>
        <v>200</v>
      </c>
      <c r="S9" s="20">
        <f>Q9+O9+M9+K9+I9+G9+E9</f>
        <v>60</v>
      </c>
      <c r="T9" s="20">
        <f>S9+R9</f>
        <v>260</v>
      </c>
    </row>
    <row r="10" spans="1:20" ht="30" customHeight="1" thickTop="1" thickBot="1">
      <c r="A10" s="362"/>
      <c r="B10" s="361" t="s">
        <v>144</v>
      </c>
      <c r="C10" s="361"/>
      <c r="D10" s="26"/>
      <c r="E10" s="26"/>
      <c r="F10" s="20">
        <f>المهني!AV17</f>
        <v>0</v>
      </c>
      <c r="G10" s="20">
        <f>المهني!AW17</f>
        <v>0</v>
      </c>
      <c r="H10" s="20">
        <f>المهني!AX17</f>
        <v>0</v>
      </c>
      <c r="I10" s="20">
        <f>المهني!AY17</f>
        <v>0</v>
      </c>
      <c r="J10" s="20">
        <f>المهني!AZ17</f>
        <v>0</v>
      </c>
      <c r="K10" s="20">
        <f>المهني!BA17</f>
        <v>0</v>
      </c>
      <c r="L10" s="20">
        <f>المهني!BB17</f>
        <v>0</v>
      </c>
      <c r="M10" s="20">
        <f>المهني!BC17</f>
        <v>0</v>
      </c>
      <c r="N10" s="25">
        <f>المهني!BD17</f>
        <v>0</v>
      </c>
      <c r="O10" s="25">
        <f>المهني!BE17</f>
        <v>0</v>
      </c>
      <c r="P10" s="47">
        <v>0</v>
      </c>
      <c r="Q10" s="47">
        <v>0</v>
      </c>
      <c r="R10" s="20">
        <f t="shared" si="0"/>
        <v>0</v>
      </c>
      <c r="S10" s="20">
        <f t="shared" si="0"/>
        <v>0</v>
      </c>
      <c r="T10" s="20">
        <f>S10+R10</f>
        <v>0</v>
      </c>
    </row>
    <row r="11" spans="1:20" ht="30" customHeight="1" thickTop="1" thickBot="1">
      <c r="A11" s="362"/>
      <c r="B11" s="361" t="s">
        <v>145</v>
      </c>
      <c r="C11" s="361"/>
      <c r="D11" s="26"/>
      <c r="E11" s="26"/>
      <c r="F11" s="26"/>
      <c r="G11" s="26"/>
      <c r="H11" s="20">
        <f>المهني!BI17</f>
        <v>0</v>
      </c>
      <c r="I11" s="20">
        <f>المهني!BJ17</f>
        <v>0</v>
      </c>
      <c r="J11" s="20">
        <f>المهني!BK17</f>
        <v>0</v>
      </c>
      <c r="K11" s="20">
        <f>المهني!BL17</f>
        <v>0</v>
      </c>
      <c r="L11" s="20">
        <f>المهني!BM17</f>
        <v>0</v>
      </c>
      <c r="M11" s="20">
        <f>المهني!BN17</f>
        <v>0</v>
      </c>
      <c r="N11" s="25">
        <f>المهني!BO17</f>
        <v>0</v>
      </c>
      <c r="O11" s="25">
        <f>المهني!BP17</f>
        <v>0</v>
      </c>
      <c r="P11" s="25">
        <f>المهني!BQ17</f>
        <v>0</v>
      </c>
      <c r="Q11" s="25">
        <f>المهني!BR17</f>
        <v>0</v>
      </c>
      <c r="R11" s="20">
        <f t="shared" si="0"/>
        <v>0</v>
      </c>
      <c r="S11" s="20">
        <f t="shared" si="0"/>
        <v>0</v>
      </c>
      <c r="T11" s="20">
        <f>S11+R11</f>
        <v>0</v>
      </c>
    </row>
    <row r="12" spans="1:20" ht="30" customHeight="1" thickTop="1" thickBot="1">
      <c r="A12" s="362"/>
      <c r="B12" s="361" t="s">
        <v>25</v>
      </c>
      <c r="C12" s="361"/>
      <c r="D12" s="20">
        <f t="shared" ref="D12:T12" si="1">D11+D10+D9</f>
        <v>67</v>
      </c>
      <c r="E12" s="20">
        <f t="shared" si="1"/>
        <v>13</v>
      </c>
      <c r="F12" s="20">
        <f t="shared" si="1"/>
        <v>59</v>
      </c>
      <c r="G12" s="20">
        <f t="shared" si="1"/>
        <v>20</v>
      </c>
      <c r="H12" s="20">
        <f t="shared" si="1"/>
        <v>45</v>
      </c>
      <c r="I12" s="20">
        <f t="shared" si="1"/>
        <v>20</v>
      </c>
      <c r="J12" s="20">
        <f t="shared" si="1"/>
        <v>29</v>
      </c>
      <c r="K12" s="20">
        <f t="shared" si="1"/>
        <v>7</v>
      </c>
      <c r="L12" s="20">
        <f t="shared" si="1"/>
        <v>0</v>
      </c>
      <c r="M12" s="20">
        <f t="shared" si="1"/>
        <v>0</v>
      </c>
      <c r="N12" s="20">
        <f t="shared" si="1"/>
        <v>0</v>
      </c>
      <c r="O12" s="20">
        <f t="shared" si="1"/>
        <v>0</v>
      </c>
      <c r="P12" s="20">
        <f t="shared" si="1"/>
        <v>0</v>
      </c>
      <c r="Q12" s="20">
        <f t="shared" si="1"/>
        <v>0</v>
      </c>
      <c r="R12" s="20">
        <f t="shared" si="1"/>
        <v>200</v>
      </c>
      <c r="S12" s="20">
        <f t="shared" si="1"/>
        <v>60</v>
      </c>
      <c r="T12" s="20">
        <f t="shared" si="1"/>
        <v>260</v>
      </c>
    </row>
    <row r="13" spans="1:20" ht="30" customHeight="1" thickTop="1" thickBot="1">
      <c r="A13" s="362" t="s">
        <v>122</v>
      </c>
      <c r="B13" s="361" t="s">
        <v>143</v>
      </c>
      <c r="C13" s="361"/>
      <c r="D13" s="20">
        <f>المهني!AI28</f>
        <v>0</v>
      </c>
      <c r="E13" s="20">
        <f>المهني!AJ28</f>
        <v>0</v>
      </c>
      <c r="F13" s="20">
        <f>المهني!AK28</f>
        <v>0</v>
      </c>
      <c r="G13" s="20">
        <f>المهني!AL28</f>
        <v>0</v>
      </c>
      <c r="H13" s="20">
        <f>المهني!AM28</f>
        <v>0</v>
      </c>
      <c r="I13" s="20">
        <f>المهني!AN28</f>
        <v>0</v>
      </c>
      <c r="J13" s="20">
        <f>المهني!AO28</f>
        <v>0</v>
      </c>
      <c r="K13" s="20">
        <f>المهني!AP28</f>
        <v>0</v>
      </c>
      <c r="L13" s="20">
        <f>المهني!AQ28</f>
        <v>0</v>
      </c>
      <c r="M13" s="20">
        <f>المهني!AR28</f>
        <v>0</v>
      </c>
      <c r="N13" s="47">
        <v>0</v>
      </c>
      <c r="O13" s="47">
        <v>0</v>
      </c>
      <c r="P13" s="47">
        <v>0</v>
      </c>
      <c r="Q13" s="47">
        <v>0</v>
      </c>
      <c r="R13" s="20">
        <f t="shared" ref="R13:S20" si="2">P13+N13+L13+J13+H13+F13+D13</f>
        <v>0</v>
      </c>
      <c r="S13" s="20">
        <f t="shared" si="2"/>
        <v>0</v>
      </c>
      <c r="T13" s="20">
        <f t="shared" ref="T13:T39" si="3">S13+R13</f>
        <v>0</v>
      </c>
    </row>
    <row r="14" spans="1:20" ht="30" customHeight="1" thickTop="1" thickBot="1">
      <c r="A14" s="362"/>
      <c r="B14" s="361" t="s">
        <v>144</v>
      </c>
      <c r="C14" s="361"/>
      <c r="D14" s="26"/>
      <c r="E14" s="26"/>
      <c r="F14" s="20">
        <f>المهني!AV28</f>
        <v>0</v>
      </c>
      <c r="G14" s="20">
        <f>المهني!AW28</f>
        <v>0</v>
      </c>
      <c r="H14" s="20">
        <f>المهني!AX28</f>
        <v>0</v>
      </c>
      <c r="I14" s="20">
        <f>المهني!AY28</f>
        <v>0</v>
      </c>
      <c r="J14" s="20">
        <f>المهني!AZ28</f>
        <v>0</v>
      </c>
      <c r="K14" s="20">
        <f>المهني!BA28</f>
        <v>0</v>
      </c>
      <c r="L14" s="20">
        <f>المهني!BB28</f>
        <v>0</v>
      </c>
      <c r="M14" s="20">
        <f>المهني!BC28</f>
        <v>0</v>
      </c>
      <c r="N14" s="25">
        <f>المهني!BD28</f>
        <v>0</v>
      </c>
      <c r="O14" s="25">
        <f>المهني!BE28</f>
        <v>0</v>
      </c>
      <c r="P14" s="47">
        <v>0</v>
      </c>
      <c r="Q14" s="47">
        <v>0</v>
      </c>
      <c r="R14" s="20">
        <f t="shared" si="2"/>
        <v>0</v>
      </c>
      <c r="S14" s="20">
        <f t="shared" si="2"/>
        <v>0</v>
      </c>
      <c r="T14" s="20">
        <f t="shared" si="3"/>
        <v>0</v>
      </c>
    </row>
    <row r="15" spans="1:20" ht="30" customHeight="1" thickTop="1" thickBot="1">
      <c r="A15" s="362"/>
      <c r="B15" s="361" t="s">
        <v>145</v>
      </c>
      <c r="C15" s="361"/>
      <c r="D15" s="26"/>
      <c r="E15" s="26"/>
      <c r="F15" s="26"/>
      <c r="G15" s="26"/>
      <c r="H15" s="20">
        <f>المهني!BI28</f>
        <v>0</v>
      </c>
      <c r="I15" s="20">
        <f>المهني!BJ28</f>
        <v>0</v>
      </c>
      <c r="J15" s="20">
        <f>المهني!BK28</f>
        <v>0</v>
      </c>
      <c r="K15" s="20">
        <f>المهني!BL28</f>
        <v>0</v>
      </c>
      <c r="L15" s="20">
        <f>المهني!BM28</f>
        <v>0</v>
      </c>
      <c r="M15" s="20">
        <f>المهني!BN28</f>
        <v>0</v>
      </c>
      <c r="N15" s="25">
        <f>المهني!BO28</f>
        <v>0</v>
      </c>
      <c r="O15" s="25">
        <f>المهني!BP28</f>
        <v>0</v>
      </c>
      <c r="P15" s="25">
        <f>المهني!BQ28</f>
        <v>0</v>
      </c>
      <c r="Q15" s="25">
        <f>المهني!BR28</f>
        <v>0</v>
      </c>
      <c r="R15" s="20">
        <f t="shared" si="2"/>
        <v>0</v>
      </c>
      <c r="S15" s="20">
        <f t="shared" si="2"/>
        <v>0</v>
      </c>
      <c r="T15" s="20">
        <f t="shared" si="3"/>
        <v>0</v>
      </c>
    </row>
    <row r="16" spans="1:20" ht="30" customHeight="1" thickTop="1" thickBot="1">
      <c r="A16" s="362"/>
      <c r="B16" s="361" t="s">
        <v>25</v>
      </c>
      <c r="C16" s="361"/>
      <c r="D16" s="20">
        <f t="shared" ref="D16:Q16" si="4">D15+D14+D13</f>
        <v>0</v>
      </c>
      <c r="E16" s="20">
        <f t="shared" si="4"/>
        <v>0</v>
      </c>
      <c r="F16" s="20">
        <f t="shared" si="4"/>
        <v>0</v>
      </c>
      <c r="G16" s="20">
        <f t="shared" si="4"/>
        <v>0</v>
      </c>
      <c r="H16" s="20">
        <f t="shared" si="4"/>
        <v>0</v>
      </c>
      <c r="I16" s="20">
        <f t="shared" si="4"/>
        <v>0</v>
      </c>
      <c r="J16" s="20">
        <f t="shared" si="4"/>
        <v>0</v>
      </c>
      <c r="K16" s="20">
        <f t="shared" si="4"/>
        <v>0</v>
      </c>
      <c r="L16" s="20">
        <f t="shared" si="4"/>
        <v>0</v>
      </c>
      <c r="M16" s="20">
        <f t="shared" si="4"/>
        <v>0</v>
      </c>
      <c r="N16" s="20">
        <f t="shared" si="4"/>
        <v>0</v>
      </c>
      <c r="O16" s="20">
        <f t="shared" si="4"/>
        <v>0</v>
      </c>
      <c r="P16" s="20">
        <f t="shared" si="4"/>
        <v>0</v>
      </c>
      <c r="Q16" s="20">
        <f t="shared" si="4"/>
        <v>0</v>
      </c>
      <c r="R16" s="20">
        <f t="shared" si="2"/>
        <v>0</v>
      </c>
      <c r="S16" s="20">
        <f t="shared" si="2"/>
        <v>0</v>
      </c>
      <c r="T16" s="20">
        <f t="shared" si="3"/>
        <v>0</v>
      </c>
    </row>
    <row r="17" spans="1:20" ht="30" customHeight="1" thickTop="1" thickBot="1">
      <c r="A17" s="362" t="s">
        <v>123</v>
      </c>
      <c r="B17" s="361" t="s">
        <v>143</v>
      </c>
      <c r="C17" s="361"/>
      <c r="D17" s="20">
        <f>المهني!AI23</f>
        <v>0</v>
      </c>
      <c r="E17" s="20">
        <f>المهني!AJ23</f>
        <v>0</v>
      </c>
      <c r="F17" s="20">
        <f>المهني!AK23</f>
        <v>0</v>
      </c>
      <c r="G17" s="20">
        <f>المهني!AL23</f>
        <v>0</v>
      </c>
      <c r="H17" s="20">
        <f>المهني!AM23</f>
        <v>0</v>
      </c>
      <c r="I17" s="20">
        <f>المهني!AN23</f>
        <v>0</v>
      </c>
      <c r="J17" s="20">
        <f>المهني!AO23</f>
        <v>0</v>
      </c>
      <c r="K17" s="20">
        <f>المهني!AP23</f>
        <v>0</v>
      </c>
      <c r="L17" s="20">
        <f>المهني!AQ23</f>
        <v>0</v>
      </c>
      <c r="M17" s="20">
        <f>المهني!AR23</f>
        <v>0</v>
      </c>
      <c r="N17" s="47">
        <v>0</v>
      </c>
      <c r="O17" s="47">
        <v>0</v>
      </c>
      <c r="P17" s="47">
        <v>0</v>
      </c>
      <c r="Q17" s="47">
        <v>0</v>
      </c>
      <c r="R17" s="20">
        <f t="shared" si="2"/>
        <v>0</v>
      </c>
      <c r="S17" s="20">
        <f t="shared" si="2"/>
        <v>0</v>
      </c>
      <c r="T17" s="20">
        <f t="shared" si="3"/>
        <v>0</v>
      </c>
    </row>
    <row r="18" spans="1:20" ht="30" customHeight="1" thickTop="1" thickBot="1">
      <c r="A18" s="362"/>
      <c r="B18" s="361" t="s">
        <v>144</v>
      </c>
      <c r="C18" s="361"/>
      <c r="D18" s="26"/>
      <c r="E18" s="26"/>
      <c r="F18" s="20">
        <f>المهني!AV23</f>
        <v>0</v>
      </c>
      <c r="G18" s="20">
        <f>المهني!AW23</f>
        <v>0</v>
      </c>
      <c r="H18" s="20">
        <f>المهني!AX23</f>
        <v>0</v>
      </c>
      <c r="I18" s="20">
        <f>المهني!AY23</f>
        <v>0</v>
      </c>
      <c r="J18" s="20">
        <f>المهني!AZ23</f>
        <v>0</v>
      </c>
      <c r="K18" s="20">
        <f>المهني!BA23</f>
        <v>0</v>
      </c>
      <c r="L18" s="20">
        <f>المهني!BB23</f>
        <v>0</v>
      </c>
      <c r="M18" s="20">
        <f>المهني!BC23</f>
        <v>0</v>
      </c>
      <c r="N18" s="25">
        <f>المهني!BD23</f>
        <v>0</v>
      </c>
      <c r="O18" s="25">
        <f>المهني!BE23</f>
        <v>0</v>
      </c>
      <c r="P18" s="47">
        <v>0</v>
      </c>
      <c r="Q18" s="47">
        <v>0</v>
      </c>
      <c r="R18" s="20">
        <f t="shared" si="2"/>
        <v>0</v>
      </c>
      <c r="S18" s="20">
        <f t="shared" si="2"/>
        <v>0</v>
      </c>
      <c r="T18" s="20">
        <f t="shared" si="3"/>
        <v>0</v>
      </c>
    </row>
    <row r="19" spans="1:20" ht="30" customHeight="1" thickTop="1" thickBot="1">
      <c r="A19" s="362"/>
      <c r="B19" s="361" t="s">
        <v>145</v>
      </c>
      <c r="C19" s="361"/>
      <c r="D19" s="26"/>
      <c r="E19" s="26"/>
      <c r="F19" s="26"/>
      <c r="G19" s="26"/>
      <c r="H19" s="20">
        <f>المهني!BI23</f>
        <v>0</v>
      </c>
      <c r="I19" s="20">
        <f>المهني!BJ23</f>
        <v>0</v>
      </c>
      <c r="J19" s="20">
        <f>المهني!BK23</f>
        <v>0</v>
      </c>
      <c r="K19" s="20">
        <f>المهني!BL23</f>
        <v>0</v>
      </c>
      <c r="L19" s="20">
        <f>المهني!BM23</f>
        <v>0</v>
      </c>
      <c r="M19" s="20">
        <f>المهني!BN23</f>
        <v>0</v>
      </c>
      <c r="N19" s="25">
        <f>المهني!BO23</f>
        <v>0</v>
      </c>
      <c r="O19" s="25">
        <f>المهني!BP23</f>
        <v>0</v>
      </c>
      <c r="P19" s="25">
        <f>المهني!BQ23</f>
        <v>0</v>
      </c>
      <c r="Q19" s="25">
        <f>المهني!BR23</f>
        <v>0</v>
      </c>
      <c r="R19" s="20">
        <f t="shared" si="2"/>
        <v>0</v>
      </c>
      <c r="S19" s="20">
        <f t="shared" si="2"/>
        <v>0</v>
      </c>
      <c r="T19" s="20">
        <f t="shared" si="3"/>
        <v>0</v>
      </c>
    </row>
    <row r="20" spans="1:20" ht="30" customHeight="1" thickTop="1" thickBot="1">
      <c r="A20" s="362"/>
      <c r="B20" s="361" t="s">
        <v>25</v>
      </c>
      <c r="C20" s="361"/>
      <c r="D20" s="20">
        <f>D19+D18+D17</f>
        <v>0</v>
      </c>
      <c r="E20" s="20">
        <f t="shared" ref="E20:Q20" si="5">E19+E18+E17</f>
        <v>0</v>
      </c>
      <c r="F20" s="20">
        <f t="shared" si="5"/>
        <v>0</v>
      </c>
      <c r="G20" s="20">
        <f t="shared" si="5"/>
        <v>0</v>
      </c>
      <c r="H20" s="20">
        <f t="shared" si="5"/>
        <v>0</v>
      </c>
      <c r="I20" s="20">
        <f t="shared" si="5"/>
        <v>0</v>
      </c>
      <c r="J20" s="20">
        <f t="shared" si="5"/>
        <v>0</v>
      </c>
      <c r="K20" s="20">
        <f t="shared" si="5"/>
        <v>0</v>
      </c>
      <c r="L20" s="20">
        <f t="shared" si="5"/>
        <v>0</v>
      </c>
      <c r="M20" s="20">
        <f t="shared" si="5"/>
        <v>0</v>
      </c>
      <c r="N20" s="20">
        <f t="shared" si="5"/>
        <v>0</v>
      </c>
      <c r="O20" s="20">
        <f t="shared" si="5"/>
        <v>0</v>
      </c>
      <c r="P20" s="20">
        <f t="shared" si="5"/>
        <v>0</v>
      </c>
      <c r="Q20" s="20">
        <f t="shared" si="5"/>
        <v>0</v>
      </c>
      <c r="R20" s="20">
        <f>P20+N20+L20+J20+H20+F20+D20</f>
        <v>0</v>
      </c>
      <c r="S20" s="20">
        <f t="shared" si="2"/>
        <v>0</v>
      </c>
      <c r="T20" s="20">
        <f t="shared" si="3"/>
        <v>0</v>
      </c>
    </row>
    <row r="21" spans="1:20" ht="30" customHeight="1" thickTop="1" thickBot="1">
      <c r="A21" s="362" t="s">
        <v>211</v>
      </c>
      <c r="B21" s="361" t="s">
        <v>143</v>
      </c>
      <c r="C21" s="361"/>
      <c r="D21" s="26"/>
      <c r="E21" s="27">
        <f>المهني!AJ32</f>
        <v>0</v>
      </c>
      <c r="F21" s="26"/>
      <c r="G21" s="27">
        <f>المهني!AL32</f>
        <v>0</v>
      </c>
      <c r="H21" s="26"/>
      <c r="I21" s="27">
        <f>المهني!AN32</f>
        <v>0</v>
      </c>
      <c r="J21" s="26"/>
      <c r="K21" s="27">
        <f>المهني!AP32</f>
        <v>0</v>
      </c>
      <c r="L21" s="26"/>
      <c r="M21" s="27">
        <f>المهني!AR32</f>
        <v>0</v>
      </c>
      <c r="N21" s="26"/>
      <c r="O21" s="47">
        <v>0</v>
      </c>
      <c r="P21" s="26"/>
      <c r="Q21" s="47">
        <v>0</v>
      </c>
      <c r="R21" s="26"/>
      <c r="S21" s="20">
        <f t="shared" ref="S21:S40" si="6">Q21+O21+M21+K21+I21+G21+E21</f>
        <v>0</v>
      </c>
      <c r="T21" s="20">
        <f t="shared" si="3"/>
        <v>0</v>
      </c>
    </row>
    <row r="22" spans="1:20" ht="30" customHeight="1" thickTop="1" thickBot="1">
      <c r="A22" s="362"/>
      <c r="B22" s="361" t="s">
        <v>144</v>
      </c>
      <c r="C22" s="361"/>
      <c r="D22" s="26"/>
      <c r="E22" s="26"/>
      <c r="F22" s="26"/>
      <c r="G22" s="20">
        <f>المهني!AW32</f>
        <v>0</v>
      </c>
      <c r="H22" s="26"/>
      <c r="I22" s="27">
        <f>المهني!AY32</f>
        <v>0</v>
      </c>
      <c r="J22" s="26"/>
      <c r="K22" s="27">
        <f>المهني!BA32</f>
        <v>0</v>
      </c>
      <c r="L22" s="26"/>
      <c r="M22" s="27">
        <f>المهني!BC32</f>
        <v>0</v>
      </c>
      <c r="N22" s="26"/>
      <c r="O22" s="25">
        <f>المهني!BE32</f>
        <v>0</v>
      </c>
      <c r="P22" s="26"/>
      <c r="Q22" s="47">
        <v>0</v>
      </c>
      <c r="R22" s="26"/>
      <c r="S22" s="20">
        <f t="shared" si="6"/>
        <v>0</v>
      </c>
      <c r="T22" s="20">
        <f t="shared" si="3"/>
        <v>0</v>
      </c>
    </row>
    <row r="23" spans="1:20" ht="30" customHeight="1" thickTop="1" thickBot="1">
      <c r="A23" s="362"/>
      <c r="B23" s="361" t="s">
        <v>145</v>
      </c>
      <c r="C23" s="361"/>
      <c r="D23" s="26"/>
      <c r="E23" s="26"/>
      <c r="F23" s="26"/>
      <c r="G23" s="26"/>
      <c r="H23" s="26"/>
      <c r="I23" s="27">
        <f>المهني!BJ32</f>
        <v>0</v>
      </c>
      <c r="J23" s="26"/>
      <c r="K23" s="27">
        <f>المهني!BL32</f>
        <v>0</v>
      </c>
      <c r="L23" s="26"/>
      <c r="M23" s="27">
        <f>المهني!BN32</f>
        <v>0</v>
      </c>
      <c r="N23" s="26"/>
      <c r="O23" s="25">
        <f>المهني!BP32</f>
        <v>0</v>
      </c>
      <c r="P23" s="26"/>
      <c r="Q23" s="25">
        <f>المهني!BR32</f>
        <v>0</v>
      </c>
      <c r="R23" s="26"/>
      <c r="S23" s="20">
        <f t="shared" si="6"/>
        <v>0</v>
      </c>
      <c r="T23" s="20">
        <f t="shared" si="3"/>
        <v>0</v>
      </c>
    </row>
    <row r="24" spans="1:20" ht="30" customHeight="1" thickTop="1" thickBot="1">
      <c r="A24" s="362"/>
      <c r="B24" s="361" t="s">
        <v>25</v>
      </c>
      <c r="C24" s="361"/>
      <c r="D24" s="26"/>
      <c r="E24" s="27">
        <f>E23+E22+E21</f>
        <v>0</v>
      </c>
      <c r="F24" s="26"/>
      <c r="G24" s="27">
        <f>G23+G22+G21</f>
        <v>0</v>
      </c>
      <c r="H24" s="26"/>
      <c r="I24" s="27">
        <f>I23+I22+I21</f>
        <v>0</v>
      </c>
      <c r="J24" s="26"/>
      <c r="K24" s="27">
        <f>K23+K22+K21</f>
        <v>0</v>
      </c>
      <c r="L24" s="26"/>
      <c r="M24" s="27">
        <f>M23+M22+M21</f>
        <v>0</v>
      </c>
      <c r="N24" s="26"/>
      <c r="O24" s="27">
        <f>O23+O22+O21</f>
        <v>0</v>
      </c>
      <c r="P24" s="26"/>
      <c r="Q24" s="27">
        <f>Q23+Q22+Q21</f>
        <v>0</v>
      </c>
      <c r="R24" s="26"/>
      <c r="S24" s="20">
        <f t="shared" si="6"/>
        <v>0</v>
      </c>
      <c r="T24" s="20">
        <f t="shared" si="3"/>
        <v>0</v>
      </c>
    </row>
    <row r="25" spans="1:20" ht="30" customHeight="1" thickTop="1" thickBot="1">
      <c r="A25" s="362" t="s">
        <v>459</v>
      </c>
      <c r="B25" s="361" t="s">
        <v>143</v>
      </c>
      <c r="C25" s="361"/>
      <c r="D25" s="27">
        <f>المهني!AI38</f>
        <v>0</v>
      </c>
      <c r="E25" s="27">
        <f>المهني!AJ38</f>
        <v>0</v>
      </c>
      <c r="F25" s="27">
        <f>المهني!AK38</f>
        <v>0</v>
      </c>
      <c r="G25" s="27">
        <f>المهني!AL38</f>
        <v>0</v>
      </c>
      <c r="H25" s="27">
        <f>المهني!AM38</f>
        <v>0</v>
      </c>
      <c r="I25" s="27">
        <f>المهني!AN38</f>
        <v>0</v>
      </c>
      <c r="J25" s="27">
        <f>المهني!AO38</f>
        <v>0</v>
      </c>
      <c r="K25" s="27">
        <f>المهني!AP38</f>
        <v>0</v>
      </c>
      <c r="L25" s="27">
        <f>المهني!AQ38</f>
        <v>0</v>
      </c>
      <c r="M25" s="27">
        <f>المهني!AR38</f>
        <v>0</v>
      </c>
      <c r="N25" s="47"/>
      <c r="O25" s="47"/>
      <c r="P25" s="47"/>
      <c r="Q25" s="47"/>
      <c r="R25" s="27">
        <f t="shared" ref="R25:R27" si="7">P25+N25+L25+J25+H25+F25+D25</f>
        <v>0</v>
      </c>
      <c r="S25" s="27">
        <f t="shared" si="6"/>
        <v>0</v>
      </c>
      <c r="T25" s="27">
        <f t="shared" ref="T25:T28" si="8">S25+R25</f>
        <v>0</v>
      </c>
    </row>
    <row r="26" spans="1:20" ht="30" customHeight="1" thickTop="1" thickBot="1">
      <c r="A26" s="362"/>
      <c r="B26" s="361" t="s">
        <v>144</v>
      </c>
      <c r="C26" s="361"/>
      <c r="D26" s="26"/>
      <c r="E26" s="26"/>
      <c r="F26" s="27">
        <f>المهني!AV38</f>
        <v>0</v>
      </c>
      <c r="G26" s="27">
        <f>المهني!AW38</f>
        <v>0</v>
      </c>
      <c r="H26" s="27">
        <f>المهني!AX38</f>
        <v>0</v>
      </c>
      <c r="I26" s="27">
        <f>المهني!AY38</f>
        <v>0</v>
      </c>
      <c r="J26" s="27">
        <f>المهني!AZ38</f>
        <v>0</v>
      </c>
      <c r="K26" s="27">
        <f>المهني!BA38</f>
        <v>0</v>
      </c>
      <c r="L26" s="27">
        <f>المهني!BB38</f>
        <v>0</v>
      </c>
      <c r="M26" s="27">
        <f>المهني!BC38</f>
        <v>0</v>
      </c>
      <c r="N26" s="27">
        <f>المهني!BD38</f>
        <v>0</v>
      </c>
      <c r="O26" s="27">
        <f>المهني!BE38</f>
        <v>0</v>
      </c>
      <c r="P26" s="47"/>
      <c r="Q26" s="47"/>
      <c r="R26" s="27">
        <f t="shared" si="7"/>
        <v>0</v>
      </c>
      <c r="S26" s="27">
        <f t="shared" si="6"/>
        <v>0</v>
      </c>
      <c r="T26" s="27">
        <f t="shared" si="8"/>
        <v>0</v>
      </c>
    </row>
    <row r="27" spans="1:20" ht="30" customHeight="1" thickTop="1" thickBot="1">
      <c r="A27" s="362"/>
      <c r="B27" s="361" t="s">
        <v>145</v>
      </c>
      <c r="C27" s="361"/>
      <c r="D27" s="26"/>
      <c r="E27" s="26"/>
      <c r="F27" s="26"/>
      <c r="G27" s="26"/>
      <c r="H27" s="27">
        <f>المهني!BI38</f>
        <v>0</v>
      </c>
      <c r="I27" s="27">
        <f>المهني!BJ38</f>
        <v>0</v>
      </c>
      <c r="J27" s="27">
        <f>المهني!BK38</f>
        <v>0</v>
      </c>
      <c r="K27" s="27">
        <f>المهني!BL38</f>
        <v>0</v>
      </c>
      <c r="L27" s="27">
        <f>المهني!BM38</f>
        <v>0</v>
      </c>
      <c r="M27" s="27">
        <f>المهني!BN38</f>
        <v>0</v>
      </c>
      <c r="N27" s="27">
        <f>المهني!BO38</f>
        <v>0</v>
      </c>
      <c r="O27" s="27">
        <f>المهني!BP38</f>
        <v>0</v>
      </c>
      <c r="P27" s="27">
        <f>المهني!BQ38</f>
        <v>0</v>
      </c>
      <c r="Q27" s="27">
        <f>المهني!BR38</f>
        <v>0</v>
      </c>
      <c r="R27" s="27">
        <f t="shared" si="7"/>
        <v>0</v>
      </c>
      <c r="S27" s="27">
        <f t="shared" si="6"/>
        <v>0</v>
      </c>
      <c r="T27" s="27">
        <f t="shared" si="8"/>
        <v>0</v>
      </c>
    </row>
    <row r="28" spans="1:20" ht="30" customHeight="1" thickTop="1" thickBot="1">
      <c r="A28" s="362"/>
      <c r="B28" s="361" t="s">
        <v>25</v>
      </c>
      <c r="C28" s="361"/>
      <c r="D28" s="139">
        <f t="shared" ref="D28:Q28" si="9">D27+D26+D25</f>
        <v>0</v>
      </c>
      <c r="E28" s="139">
        <f t="shared" si="9"/>
        <v>0</v>
      </c>
      <c r="F28" s="139">
        <f t="shared" si="9"/>
        <v>0</v>
      </c>
      <c r="G28" s="139">
        <f t="shared" si="9"/>
        <v>0</v>
      </c>
      <c r="H28" s="139">
        <f t="shared" si="9"/>
        <v>0</v>
      </c>
      <c r="I28" s="139">
        <f t="shared" si="9"/>
        <v>0</v>
      </c>
      <c r="J28" s="139">
        <f t="shared" si="9"/>
        <v>0</v>
      </c>
      <c r="K28" s="139">
        <f t="shared" si="9"/>
        <v>0</v>
      </c>
      <c r="L28" s="139">
        <f t="shared" si="9"/>
        <v>0</v>
      </c>
      <c r="M28" s="139">
        <f t="shared" si="9"/>
        <v>0</v>
      </c>
      <c r="N28" s="139">
        <f t="shared" si="9"/>
        <v>0</v>
      </c>
      <c r="O28" s="139">
        <f t="shared" si="9"/>
        <v>0</v>
      </c>
      <c r="P28" s="139">
        <f t="shared" si="9"/>
        <v>0</v>
      </c>
      <c r="Q28" s="139">
        <f t="shared" si="9"/>
        <v>0</v>
      </c>
      <c r="R28" s="27">
        <f>P28+N28+L28+J28+H28+F28+D28</f>
        <v>0</v>
      </c>
      <c r="S28" s="27">
        <f t="shared" si="6"/>
        <v>0</v>
      </c>
      <c r="T28" s="27">
        <f t="shared" si="8"/>
        <v>0</v>
      </c>
    </row>
    <row r="29" spans="1:20" ht="30" customHeight="1" thickTop="1" thickBot="1">
      <c r="A29" s="362" t="s">
        <v>474</v>
      </c>
      <c r="B29" s="361" t="s">
        <v>143</v>
      </c>
      <c r="C29" s="361"/>
      <c r="D29" s="185">
        <f>المهني!AI40</f>
        <v>0</v>
      </c>
      <c r="E29" s="185">
        <f>المهني!AJ40</f>
        <v>0</v>
      </c>
      <c r="F29" s="185">
        <f>المهني!AK40</f>
        <v>0</v>
      </c>
      <c r="G29" s="185">
        <f>المهني!AL40</f>
        <v>0</v>
      </c>
      <c r="H29" s="185">
        <f>المهني!AM40</f>
        <v>0</v>
      </c>
      <c r="I29" s="185">
        <f>المهني!AN40</f>
        <v>0</v>
      </c>
      <c r="J29" s="185">
        <f>المهني!AO40</f>
        <v>0</v>
      </c>
      <c r="K29" s="185">
        <f>المهني!AP40</f>
        <v>0</v>
      </c>
      <c r="L29" s="185">
        <f>المهني!AQ40</f>
        <v>0</v>
      </c>
      <c r="M29" s="185">
        <f>المهني!AR40</f>
        <v>0</v>
      </c>
      <c r="N29" s="47"/>
      <c r="O29" s="47"/>
      <c r="P29" s="47"/>
      <c r="Q29" s="47"/>
      <c r="R29" s="27">
        <f t="shared" ref="R29:R31" si="10">P29+N29+L29+J29+H29+F29+D29</f>
        <v>0</v>
      </c>
      <c r="S29" s="27">
        <f t="shared" ref="S29:S32" si="11">Q29+O29+M29+K29+I29+G29+E29</f>
        <v>0</v>
      </c>
      <c r="T29" s="27">
        <f t="shared" ref="T29:T32" si="12">S29+R29</f>
        <v>0</v>
      </c>
    </row>
    <row r="30" spans="1:20" ht="30" customHeight="1" thickTop="1" thickBot="1">
      <c r="A30" s="362"/>
      <c r="B30" s="361" t="s">
        <v>144</v>
      </c>
      <c r="C30" s="361"/>
      <c r="D30" s="26"/>
      <c r="E30" s="26"/>
      <c r="F30" s="185">
        <f>المهني!AV40</f>
        <v>0</v>
      </c>
      <c r="G30" s="185">
        <f>المهني!AW40</f>
        <v>0</v>
      </c>
      <c r="H30" s="185">
        <f>المهني!AX40</f>
        <v>0</v>
      </c>
      <c r="I30" s="185">
        <f>المهني!AY40</f>
        <v>0</v>
      </c>
      <c r="J30" s="185">
        <f>المهني!AZ40</f>
        <v>0</v>
      </c>
      <c r="K30" s="185">
        <f>المهني!BA40</f>
        <v>0</v>
      </c>
      <c r="L30" s="185">
        <f>المهني!BB40</f>
        <v>0</v>
      </c>
      <c r="M30" s="185">
        <f>المهني!BC40</f>
        <v>0</v>
      </c>
      <c r="N30" s="185">
        <f>المهني!BD40</f>
        <v>0</v>
      </c>
      <c r="O30" s="185">
        <f>المهني!BE40</f>
        <v>0</v>
      </c>
      <c r="P30" s="47"/>
      <c r="Q30" s="47"/>
      <c r="R30" s="27">
        <f t="shared" si="10"/>
        <v>0</v>
      </c>
      <c r="S30" s="27">
        <f t="shared" si="11"/>
        <v>0</v>
      </c>
      <c r="T30" s="27">
        <f t="shared" si="12"/>
        <v>0</v>
      </c>
    </row>
    <row r="31" spans="1:20" ht="30" customHeight="1" thickTop="1" thickBot="1">
      <c r="A31" s="362"/>
      <c r="B31" s="361" t="s">
        <v>145</v>
      </c>
      <c r="C31" s="361"/>
      <c r="D31" s="26"/>
      <c r="E31" s="26"/>
      <c r="F31" s="26"/>
      <c r="G31" s="26"/>
      <c r="H31" s="185">
        <f>المهني!BI40</f>
        <v>0</v>
      </c>
      <c r="I31" s="185">
        <f>المهني!BJ40</f>
        <v>0</v>
      </c>
      <c r="J31" s="185">
        <f>المهني!BK42</f>
        <v>0</v>
      </c>
      <c r="K31" s="185">
        <f>المهني!BL42</f>
        <v>0</v>
      </c>
      <c r="L31" s="185">
        <f>المهني!BM42</f>
        <v>0</v>
      </c>
      <c r="M31" s="185">
        <f>المهني!BN42</f>
        <v>0</v>
      </c>
      <c r="N31" s="185">
        <f>المهني!BO42</f>
        <v>0</v>
      </c>
      <c r="O31" s="185">
        <f>المهني!BP42</f>
        <v>0</v>
      </c>
      <c r="P31" s="185">
        <f>المهني!BQ42</f>
        <v>0</v>
      </c>
      <c r="Q31" s="185">
        <f>المهني!BR42</f>
        <v>0</v>
      </c>
      <c r="R31" s="27">
        <f t="shared" si="10"/>
        <v>0</v>
      </c>
      <c r="S31" s="27">
        <f t="shared" si="11"/>
        <v>0</v>
      </c>
      <c r="T31" s="27">
        <f t="shared" si="12"/>
        <v>0</v>
      </c>
    </row>
    <row r="32" spans="1:20" ht="30" customHeight="1" thickTop="1" thickBot="1">
      <c r="A32" s="362"/>
      <c r="B32" s="361" t="s">
        <v>25</v>
      </c>
      <c r="C32" s="361"/>
      <c r="D32" s="185">
        <f t="shared" ref="D32:Q32" si="13">D31+D30+D29</f>
        <v>0</v>
      </c>
      <c r="E32" s="185">
        <f t="shared" si="13"/>
        <v>0</v>
      </c>
      <c r="F32" s="185">
        <f t="shared" si="13"/>
        <v>0</v>
      </c>
      <c r="G32" s="185">
        <f t="shared" si="13"/>
        <v>0</v>
      </c>
      <c r="H32" s="185">
        <f t="shared" si="13"/>
        <v>0</v>
      </c>
      <c r="I32" s="185">
        <f t="shared" si="13"/>
        <v>0</v>
      </c>
      <c r="J32" s="185">
        <f t="shared" si="13"/>
        <v>0</v>
      </c>
      <c r="K32" s="185">
        <f t="shared" si="13"/>
        <v>0</v>
      </c>
      <c r="L32" s="185">
        <f t="shared" si="13"/>
        <v>0</v>
      </c>
      <c r="M32" s="185">
        <f t="shared" si="13"/>
        <v>0</v>
      </c>
      <c r="N32" s="185">
        <f t="shared" si="13"/>
        <v>0</v>
      </c>
      <c r="O32" s="185">
        <f t="shared" si="13"/>
        <v>0</v>
      </c>
      <c r="P32" s="185">
        <f t="shared" si="13"/>
        <v>0</v>
      </c>
      <c r="Q32" s="185">
        <f t="shared" si="13"/>
        <v>0</v>
      </c>
      <c r="R32" s="27">
        <f>P32+N32+L32+J32+H32+F32+D32</f>
        <v>0</v>
      </c>
      <c r="S32" s="27">
        <f t="shared" si="11"/>
        <v>0</v>
      </c>
      <c r="T32" s="27">
        <f t="shared" si="12"/>
        <v>0</v>
      </c>
    </row>
    <row r="33" spans="1:20" ht="30" customHeight="1" thickTop="1" thickBot="1">
      <c r="A33" s="383" t="s">
        <v>387</v>
      </c>
      <c r="B33" s="361" t="s">
        <v>143</v>
      </c>
      <c r="C33" s="361"/>
      <c r="D33" s="53">
        <f>المهني!AI35</f>
        <v>100</v>
      </c>
      <c r="E33" s="54">
        <f>المهني!AJ35</f>
        <v>10</v>
      </c>
      <c r="F33" s="53">
        <f>المهني!AK35</f>
        <v>100</v>
      </c>
      <c r="G33" s="54">
        <f>المهني!AL35</f>
        <v>15</v>
      </c>
      <c r="H33" s="53">
        <f>المهني!AM35</f>
        <v>100</v>
      </c>
      <c r="I33" s="54">
        <f>المهني!AN35</f>
        <v>7</v>
      </c>
      <c r="J33" s="53">
        <f>المهني!AO35</f>
        <v>100</v>
      </c>
      <c r="K33" s="54">
        <f>المهني!AP35</f>
        <v>8</v>
      </c>
      <c r="L33" s="53">
        <f>المهني!AQ35</f>
        <v>38</v>
      </c>
      <c r="M33" s="54">
        <f>المهني!AR35</f>
        <v>0</v>
      </c>
      <c r="N33" s="47"/>
      <c r="O33" s="47"/>
      <c r="P33" s="47"/>
      <c r="Q33" s="47"/>
      <c r="R33" s="54">
        <f t="shared" ref="R33:R40" si="14">P33+N33+L33+J33+H33+F33+D33</f>
        <v>438</v>
      </c>
      <c r="S33" s="54">
        <f t="shared" si="6"/>
        <v>40</v>
      </c>
      <c r="T33" s="54">
        <f t="shared" si="3"/>
        <v>478</v>
      </c>
    </row>
    <row r="34" spans="1:20" ht="30" customHeight="1" thickTop="1" thickBot="1">
      <c r="A34" s="384"/>
      <c r="B34" s="361" t="s">
        <v>144</v>
      </c>
      <c r="C34" s="361"/>
      <c r="D34" s="26"/>
      <c r="E34" s="26"/>
      <c r="F34" s="53">
        <f>المهني!AV35</f>
        <v>9</v>
      </c>
      <c r="G34" s="54">
        <f>المهني!AW35</f>
        <v>0</v>
      </c>
      <c r="H34" s="53">
        <f>المهني!AX35</f>
        <v>3</v>
      </c>
      <c r="I34" s="54">
        <f>المهني!AY35</f>
        <v>0</v>
      </c>
      <c r="J34" s="53">
        <f>المهني!AZ35</f>
        <v>0</v>
      </c>
      <c r="K34" s="54">
        <f>المهني!BA35</f>
        <v>0</v>
      </c>
      <c r="L34" s="53">
        <f>المهني!BB35</f>
        <v>0</v>
      </c>
      <c r="M34" s="54">
        <f>المهني!BC35</f>
        <v>0</v>
      </c>
      <c r="N34" s="53">
        <f>المهني!BD35</f>
        <v>0</v>
      </c>
      <c r="O34" s="54">
        <f>المهني!BE35</f>
        <v>0</v>
      </c>
      <c r="P34" s="47"/>
      <c r="Q34" s="47"/>
      <c r="R34" s="54">
        <f t="shared" si="14"/>
        <v>12</v>
      </c>
      <c r="S34" s="54">
        <f t="shared" si="6"/>
        <v>0</v>
      </c>
      <c r="T34" s="54">
        <f t="shared" si="3"/>
        <v>12</v>
      </c>
    </row>
    <row r="35" spans="1:20" ht="30" customHeight="1" thickTop="1" thickBot="1">
      <c r="A35" s="384"/>
      <c r="B35" s="361" t="s">
        <v>145</v>
      </c>
      <c r="C35" s="361"/>
      <c r="D35" s="26"/>
      <c r="E35" s="26"/>
      <c r="F35" s="26"/>
      <c r="G35" s="26"/>
      <c r="H35" s="53">
        <f>المهني!BI35</f>
        <v>10</v>
      </c>
      <c r="I35" s="54">
        <f>المهني!BJ35</f>
        <v>0</v>
      </c>
      <c r="J35" s="53">
        <f>المهني!BK35</f>
        <v>10</v>
      </c>
      <c r="K35" s="54">
        <f>المهني!BL35</f>
        <v>0</v>
      </c>
      <c r="L35" s="53">
        <f>المهني!BM35</f>
        <v>0</v>
      </c>
      <c r="M35" s="54">
        <f>المهني!BN35</f>
        <v>0</v>
      </c>
      <c r="N35" s="53">
        <f>المهني!BO35</f>
        <v>0</v>
      </c>
      <c r="O35" s="54">
        <f>المهني!BP35</f>
        <v>0</v>
      </c>
      <c r="P35" s="53">
        <f>المهني!BQ35</f>
        <v>0</v>
      </c>
      <c r="Q35" s="54">
        <f>المهني!BR35</f>
        <v>0</v>
      </c>
      <c r="R35" s="54">
        <f t="shared" si="14"/>
        <v>20</v>
      </c>
      <c r="S35" s="54">
        <f t="shared" si="6"/>
        <v>0</v>
      </c>
      <c r="T35" s="54">
        <f t="shared" si="3"/>
        <v>20</v>
      </c>
    </row>
    <row r="36" spans="1:20" ht="30" customHeight="1" thickTop="1" thickBot="1">
      <c r="A36" s="385"/>
      <c r="B36" s="361" t="s">
        <v>25</v>
      </c>
      <c r="C36" s="361"/>
      <c r="D36" s="54">
        <f t="shared" ref="D36:Q36" si="15">D35+D34+D33</f>
        <v>100</v>
      </c>
      <c r="E36" s="54">
        <f t="shared" si="15"/>
        <v>10</v>
      </c>
      <c r="F36" s="54">
        <f>F35+F34+F33</f>
        <v>109</v>
      </c>
      <c r="G36" s="54">
        <f t="shared" si="15"/>
        <v>15</v>
      </c>
      <c r="H36" s="54">
        <f t="shared" si="15"/>
        <v>113</v>
      </c>
      <c r="I36" s="54">
        <f t="shared" si="15"/>
        <v>7</v>
      </c>
      <c r="J36" s="54">
        <f t="shared" si="15"/>
        <v>110</v>
      </c>
      <c r="K36" s="54">
        <f t="shared" si="15"/>
        <v>8</v>
      </c>
      <c r="L36" s="54">
        <f t="shared" si="15"/>
        <v>38</v>
      </c>
      <c r="M36" s="54">
        <f t="shared" si="15"/>
        <v>0</v>
      </c>
      <c r="N36" s="54">
        <f t="shared" si="15"/>
        <v>0</v>
      </c>
      <c r="O36" s="54">
        <f t="shared" si="15"/>
        <v>0</v>
      </c>
      <c r="P36" s="54">
        <f t="shared" si="15"/>
        <v>0</v>
      </c>
      <c r="Q36" s="54">
        <f t="shared" si="15"/>
        <v>0</v>
      </c>
      <c r="R36" s="54">
        <f t="shared" si="14"/>
        <v>470</v>
      </c>
      <c r="S36" s="54">
        <f t="shared" si="6"/>
        <v>40</v>
      </c>
      <c r="T36" s="54">
        <f t="shared" si="3"/>
        <v>510</v>
      </c>
    </row>
    <row r="37" spans="1:20" ht="30" customHeight="1" thickTop="1" thickBot="1">
      <c r="A37" s="362" t="s">
        <v>137</v>
      </c>
      <c r="B37" s="361" t="s">
        <v>143</v>
      </c>
      <c r="C37" s="361"/>
      <c r="D37" s="20">
        <f>D21+D17+D13+D9+D33+D25+D29</f>
        <v>167</v>
      </c>
      <c r="E37" s="185">
        <f t="shared" ref="E37:M37" si="16">E21+E17+E13+E9+E33+E25+E29</f>
        <v>23</v>
      </c>
      <c r="F37" s="185">
        <f>F21+F17+F13+F9+F33+F25+F29</f>
        <v>159</v>
      </c>
      <c r="G37" s="185">
        <f t="shared" si="16"/>
        <v>35</v>
      </c>
      <c r="H37" s="185">
        <f>H21+H17+H13+H9+H33+H25+H29</f>
        <v>145</v>
      </c>
      <c r="I37" s="185">
        <f t="shared" si="16"/>
        <v>27</v>
      </c>
      <c r="J37" s="185">
        <f>J21+J17+J13+J9+J33+J25+J29</f>
        <v>129</v>
      </c>
      <c r="K37" s="185">
        <f t="shared" si="16"/>
        <v>15</v>
      </c>
      <c r="L37" s="185">
        <f>L21+L17+L13+L9+L33+L25+L29</f>
        <v>38</v>
      </c>
      <c r="M37" s="185">
        <f t="shared" si="16"/>
        <v>0</v>
      </c>
      <c r="N37" s="47">
        <f>N21+N17+N13+N9</f>
        <v>0</v>
      </c>
      <c r="O37" s="47">
        <f>O21+O17+O13+O9</f>
        <v>0</v>
      </c>
      <c r="P37" s="47">
        <f>P21+P17+P13+P9</f>
        <v>0</v>
      </c>
      <c r="Q37" s="47">
        <f>Q21+Q17+Q13+Q9</f>
        <v>0</v>
      </c>
      <c r="R37" s="20">
        <f>P37+N37+L37+J37+H37+F37+D37</f>
        <v>638</v>
      </c>
      <c r="S37" s="20">
        <f>Q37+O37+M37+K37+I37+G37+E37</f>
        <v>100</v>
      </c>
      <c r="T37" s="20">
        <f t="shared" si="3"/>
        <v>738</v>
      </c>
    </row>
    <row r="38" spans="1:20" ht="30" customHeight="1" thickTop="1" thickBot="1">
      <c r="A38" s="362"/>
      <c r="B38" s="361" t="s">
        <v>144</v>
      </c>
      <c r="C38" s="361"/>
      <c r="D38" s="26"/>
      <c r="E38" s="26"/>
      <c r="F38" s="145">
        <f>F22+F18+F14+F10+F34+F26+F30</f>
        <v>9</v>
      </c>
      <c r="G38" s="209">
        <f t="shared" ref="G38:O38" si="17">G22+G18+G14+G10+G34+G26+G30</f>
        <v>0</v>
      </c>
      <c r="H38" s="209">
        <f t="shared" si="17"/>
        <v>3</v>
      </c>
      <c r="I38" s="209">
        <f t="shared" si="17"/>
        <v>0</v>
      </c>
      <c r="J38" s="209">
        <f t="shared" si="17"/>
        <v>0</v>
      </c>
      <c r="K38" s="209">
        <f t="shared" si="17"/>
        <v>0</v>
      </c>
      <c r="L38" s="209">
        <f t="shared" si="17"/>
        <v>0</v>
      </c>
      <c r="M38" s="209">
        <f t="shared" si="17"/>
        <v>0</v>
      </c>
      <c r="N38" s="209">
        <f t="shared" si="17"/>
        <v>0</v>
      </c>
      <c r="O38" s="209">
        <f t="shared" si="17"/>
        <v>0</v>
      </c>
      <c r="P38" s="47">
        <f>P22+P18+P14+P10</f>
        <v>0</v>
      </c>
      <c r="Q38" s="47">
        <f>Q22+Q18+Q14+Q10</f>
        <v>0</v>
      </c>
      <c r="R38" s="20">
        <f t="shared" si="14"/>
        <v>12</v>
      </c>
      <c r="S38" s="20">
        <f t="shared" si="6"/>
        <v>0</v>
      </c>
      <c r="T38" s="20">
        <f t="shared" si="3"/>
        <v>12</v>
      </c>
    </row>
    <row r="39" spans="1:20" ht="30" customHeight="1" thickTop="1" thickBot="1">
      <c r="A39" s="362"/>
      <c r="B39" s="361" t="s">
        <v>145</v>
      </c>
      <c r="C39" s="361"/>
      <c r="D39" s="26"/>
      <c r="E39" s="26"/>
      <c r="F39" s="26"/>
      <c r="G39" s="26"/>
      <c r="H39" s="145">
        <f>H23+H19+H15+H11+H35+H27</f>
        <v>10</v>
      </c>
      <c r="I39" s="145">
        <f t="shared" ref="I39:Q39" si="18">I23+I19+I15+I11+I35+I27</f>
        <v>0</v>
      </c>
      <c r="J39" s="145">
        <f t="shared" si="18"/>
        <v>10</v>
      </c>
      <c r="K39" s="145">
        <f t="shared" si="18"/>
        <v>0</v>
      </c>
      <c r="L39" s="145">
        <f t="shared" si="18"/>
        <v>0</v>
      </c>
      <c r="M39" s="145">
        <f t="shared" si="18"/>
        <v>0</v>
      </c>
      <c r="N39" s="145">
        <f t="shared" si="18"/>
        <v>0</v>
      </c>
      <c r="O39" s="145">
        <f t="shared" si="18"/>
        <v>0</v>
      </c>
      <c r="P39" s="145">
        <f t="shared" si="18"/>
        <v>0</v>
      </c>
      <c r="Q39" s="145">
        <f t="shared" si="18"/>
        <v>0</v>
      </c>
      <c r="R39" s="20">
        <f t="shared" si="14"/>
        <v>20</v>
      </c>
      <c r="S39" s="20">
        <f t="shared" si="6"/>
        <v>0</v>
      </c>
      <c r="T39" s="20">
        <f t="shared" si="3"/>
        <v>20</v>
      </c>
    </row>
    <row r="40" spans="1:20" ht="30" customHeight="1" thickTop="1" thickBot="1">
      <c r="A40" s="362"/>
      <c r="B40" s="361" t="s">
        <v>25</v>
      </c>
      <c r="C40" s="361"/>
      <c r="D40" s="20">
        <f>D39+D38+D37</f>
        <v>167</v>
      </c>
      <c r="E40" s="20">
        <f t="shared" ref="E40:Q40" si="19">E39+E38+E37</f>
        <v>23</v>
      </c>
      <c r="F40" s="20">
        <f t="shared" si="19"/>
        <v>168</v>
      </c>
      <c r="G40" s="20">
        <f t="shared" si="19"/>
        <v>35</v>
      </c>
      <c r="H40" s="20">
        <f t="shared" si="19"/>
        <v>158</v>
      </c>
      <c r="I40" s="20">
        <f t="shared" si="19"/>
        <v>27</v>
      </c>
      <c r="J40" s="20">
        <f t="shared" si="19"/>
        <v>139</v>
      </c>
      <c r="K40" s="20">
        <f t="shared" si="19"/>
        <v>15</v>
      </c>
      <c r="L40" s="20">
        <f t="shared" si="19"/>
        <v>38</v>
      </c>
      <c r="M40" s="20">
        <f t="shared" si="19"/>
        <v>0</v>
      </c>
      <c r="N40" s="20">
        <f t="shared" si="19"/>
        <v>0</v>
      </c>
      <c r="O40" s="20">
        <f t="shared" si="19"/>
        <v>0</v>
      </c>
      <c r="P40" s="20">
        <f t="shared" si="19"/>
        <v>0</v>
      </c>
      <c r="Q40" s="20">
        <f t="shared" si="19"/>
        <v>0</v>
      </c>
      <c r="R40" s="20">
        <f t="shared" si="14"/>
        <v>670</v>
      </c>
      <c r="S40" s="20">
        <f t="shared" si="6"/>
        <v>100</v>
      </c>
      <c r="T40" s="20">
        <f>S40+R40</f>
        <v>770</v>
      </c>
    </row>
    <row r="41" spans="1:20" ht="30" customHeight="1" thickTop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spans="1:20" ht="30" customHeight="1">
      <c r="A42" s="381" t="s">
        <v>109</v>
      </c>
      <c r="B42" s="381"/>
      <c r="C42" s="381"/>
      <c r="D42" s="381"/>
      <c r="E42" s="381"/>
      <c r="F42" s="381"/>
      <c r="G42" s="2"/>
      <c r="H42" s="2"/>
      <c r="I42" s="2"/>
      <c r="J42" s="75"/>
      <c r="K42" s="75"/>
      <c r="L42" s="75"/>
      <c r="M42" s="75"/>
      <c r="N42" s="75"/>
      <c r="O42" s="75"/>
      <c r="P42" s="75"/>
      <c r="Q42" s="75"/>
      <c r="R42" s="75"/>
      <c r="S42" s="381" t="s">
        <v>110</v>
      </c>
      <c r="T42" s="381"/>
    </row>
    <row r="43" spans="1:20" ht="30" customHeight="1">
      <c r="A43" s="382" t="s">
        <v>185</v>
      </c>
      <c r="B43" s="382"/>
      <c r="C43" s="382"/>
      <c r="D43" s="382"/>
      <c r="E43" s="382"/>
      <c r="F43" s="382"/>
      <c r="G43" s="2"/>
      <c r="H43" s="382" t="s">
        <v>189</v>
      </c>
      <c r="I43" s="382"/>
      <c r="J43" s="382"/>
      <c r="K43" s="382"/>
      <c r="L43" s="382"/>
      <c r="M43" s="75"/>
      <c r="N43" s="75"/>
      <c r="O43" s="75"/>
      <c r="P43" s="2"/>
      <c r="Q43" s="2"/>
      <c r="R43" s="75"/>
      <c r="S43" s="75"/>
      <c r="T43" s="75"/>
    </row>
    <row r="44" spans="1:20" ht="30" customHeight="1">
      <c r="A44" s="381" t="s">
        <v>138</v>
      </c>
      <c r="B44" s="381"/>
      <c r="C44" s="381"/>
      <c r="D44" s="381"/>
      <c r="E44" s="381"/>
      <c r="F44" s="381"/>
      <c r="G44" s="381"/>
      <c r="H44" s="381"/>
      <c r="I44" s="381"/>
      <c r="J44" s="381"/>
      <c r="K44" s="381"/>
      <c r="L44" s="381"/>
      <c r="M44" s="381"/>
      <c r="N44" s="381"/>
      <c r="O44" s="381"/>
      <c r="P44" s="381"/>
      <c r="Q44" s="381"/>
      <c r="R44" s="381"/>
      <c r="S44" s="381"/>
      <c r="T44" s="381"/>
    </row>
    <row r="45" spans="1:20" ht="30" customHeight="1">
      <c r="A45" s="381" t="s">
        <v>497</v>
      </c>
      <c r="B45" s="381"/>
      <c r="C45" s="381"/>
      <c r="D45" s="381"/>
      <c r="E45" s="381"/>
      <c r="F45" s="381"/>
      <c r="G45" s="381"/>
      <c r="H45" s="381"/>
      <c r="I45" s="381"/>
      <c r="J45" s="381"/>
      <c r="K45" s="381"/>
      <c r="L45" s="381"/>
      <c r="M45" s="381"/>
      <c r="N45" s="381"/>
      <c r="O45" s="381"/>
      <c r="P45" s="381"/>
      <c r="Q45" s="381"/>
      <c r="R45" s="381"/>
      <c r="S45" s="381"/>
      <c r="T45" s="381"/>
    </row>
    <row r="46" spans="1:20" ht="30" customHeight="1">
      <c r="A46" s="381" t="s">
        <v>139</v>
      </c>
      <c r="B46" s="381"/>
      <c r="C46" s="381"/>
      <c r="D46" s="381"/>
      <c r="E46" s="381"/>
      <c r="F46" s="381"/>
      <c r="G46" s="381"/>
      <c r="H46" s="381"/>
      <c r="I46" s="381"/>
      <c r="J46" s="381"/>
      <c r="K46" s="381"/>
      <c r="L46" s="381"/>
      <c r="M46" s="381"/>
      <c r="N46" s="381"/>
      <c r="O46" s="381"/>
      <c r="P46" s="381"/>
      <c r="Q46" s="381"/>
      <c r="R46" s="381"/>
      <c r="S46" s="381"/>
      <c r="T46" s="381"/>
    </row>
    <row r="47" spans="1:20" ht="30" customHeight="1" thickBot="1">
      <c r="A47" s="75"/>
      <c r="B47" s="75"/>
      <c r="C47" s="75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</row>
    <row r="48" spans="1:20" ht="30" customHeight="1" thickTop="1" thickBot="1">
      <c r="A48" s="364" t="s">
        <v>113</v>
      </c>
      <c r="B48" s="364" t="s">
        <v>140</v>
      </c>
      <c r="C48" s="364"/>
      <c r="D48" s="368" t="s">
        <v>125</v>
      </c>
      <c r="E48" s="369"/>
      <c r="F48" s="368" t="s">
        <v>126</v>
      </c>
      <c r="G48" s="369"/>
      <c r="H48" s="368" t="s">
        <v>127</v>
      </c>
      <c r="I48" s="369"/>
      <c r="J48" s="368" t="s">
        <v>128</v>
      </c>
      <c r="K48" s="369"/>
      <c r="L48" s="368" t="s">
        <v>129</v>
      </c>
      <c r="M48" s="369"/>
      <c r="N48" s="368" t="s">
        <v>141</v>
      </c>
      <c r="O48" s="369"/>
      <c r="P48" s="368" t="s">
        <v>142</v>
      </c>
      <c r="Q48" s="369"/>
      <c r="R48" s="368" t="s">
        <v>25</v>
      </c>
      <c r="S48" s="370"/>
      <c r="T48" s="369"/>
    </row>
    <row r="49" spans="1:20" ht="30" customHeight="1" thickTop="1" thickBot="1">
      <c r="A49" s="364"/>
      <c r="B49" s="364"/>
      <c r="C49" s="364"/>
      <c r="D49" s="74" t="s">
        <v>5</v>
      </c>
      <c r="E49" s="74" t="s">
        <v>6</v>
      </c>
      <c r="F49" s="74" t="s">
        <v>5</v>
      </c>
      <c r="G49" s="74" t="s">
        <v>6</v>
      </c>
      <c r="H49" s="74" t="s">
        <v>5</v>
      </c>
      <c r="I49" s="74" t="s">
        <v>6</v>
      </c>
      <c r="J49" s="74" t="s">
        <v>5</v>
      </c>
      <c r="K49" s="74" t="s">
        <v>6</v>
      </c>
      <c r="L49" s="74" t="s">
        <v>5</v>
      </c>
      <c r="M49" s="74" t="s">
        <v>6</v>
      </c>
      <c r="N49" s="74" t="s">
        <v>5</v>
      </c>
      <c r="O49" s="74" t="s">
        <v>6</v>
      </c>
      <c r="P49" s="74" t="s">
        <v>5</v>
      </c>
      <c r="Q49" s="74" t="s">
        <v>6</v>
      </c>
      <c r="R49" s="74" t="s">
        <v>5</v>
      </c>
      <c r="S49" s="74" t="s">
        <v>6</v>
      </c>
      <c r="T49" s="74" t="s">
        <v>25</v>
      </c>
    </row>
    <row r="50" spans="1:20" ht="30" customHeight="1" thickTop="1" thickBot="1">
      <c r="A50" s="363" t="s">
        <v>121</v>
      </c>
      <c r="B50" s="364" t="s">
        <v>143</v>
      </c>
      <c r="C50" s="364"/>
      <c r="D50" s="74">
        <f>المهني!AI9</f>
        <v>67</v>
      </c>
      <c r="E50" s="74">
        <f>المهني!AJ9</f>
        <v>13</v>
      </c>
      <c r="F50" s="74">
        <f>المهني!AK9</f>
        <v>59</v>
      </c>
      <c r="G50" s="74">
        <f>المهني!AL9</f>
        <v>20</v>
      </c>
      <c r="H50" s="74">
        <f>المهني!AM9</f>
        <v>45</v>
      </c>
      <c r="I50" s="74">
        <f>المهني!AN9</f>
        <v>20</v>
      </c>
      <c r="J50" s="74">
        <f>المهني!AO9</f>
        <v>29</v>
      </c>
      <c r="K50" s="74">
        <f>المهني!AP9</f>
        <v>7</v>
      </c>
      <c r="L50" s="74">
        <f>المهني!AQ9</f>
        <v>0</v>
      </c>
      <c r="M50" s="74">
        <f>المهني!AR9</f>
        <v>0</v>
      </c>
      <c r="N50" s="48"/>
      <c r="O50" s="48"/>
      <c r="P50" s="48"/>
      <c r="Q50" s="48"/>
      <c r="R50" s="74">
        <f t="shared" ref="R50:S52" si="20">P50+N50+L50+J50+H50+F50+D50</f>
        <v>200</v>
      </c>
      <c r="S50" s="74">
        <f t="shared" si="20"/>
        <v>60</v>
      </c>
      <c r="T50" s="74">
        <f>S50+R50</f>
        <v>260</v>
      </c>
    </row>
    <row r="51" spans="1:20" ht="30" customHeight="1" thickTop="1" thickBot="1">
      <c r="A51" s="363"/>
      <c r="B51" s="364" t="s">
        <v>144</v>
      </c>
      <c r="C51" s="364"/>
      <c r="D51" s="7"/>
      <c r="E51" s="7"/>
      <c r="F51" s="74">
        <f>المهني!AV9</f>
        <v>0</v>
      </c>
      <c r="G51" s="74">
        <f>المهني!AW9</f>
        <v>0</v>
      </c>
      <c r="H51" s="74">
        <f>المهني!AX9</f>
        <v>0</v>
      </c>
      <c r="I51" s="74">
        <f>المهني!AY9</f>
        <v>0</v>
      </c>
      <c r="J51" s="74">
        <f>المهني!AZ9</f>
        <v>0</v>
      </c>
      <c r="K51" s="74">
        <f>المهني!BA9</f>
        <v>0</v>
      </c>
      <c r="L51" s="74">
        <f>المهني!BB9</f>
        <v>0</v>
      </c>
      <c r="M51" s="74">
        <f>المهني!BC9</f>
        <v>0</v>
      </c>
      <c r="N51" s="6">
        <f>المهني!BD9</f>
        <v>0</v>
      </c>
      <c r="O51" s="6">
        <f>المهني!BE9</f>
        <v>0</v>
      </c>
      <c r="P51" s="48"/>
      <c r="Q51" s="48"/>
      <c r="R51" s="74">
        <f t="shared" si="20"/>
        <v>0</v>
      </c>
      <c r="S51" s="74">
        <f t="shared" si="20"/>
        <v>0</v>
      </c>
      <c r="T51" s="74">
        <f>S51+R51</f>
        <v>0</v>
      </c>
    </row>
    <row r="52" spans="1:20" ht="30" customHeight="1" thickTop="1" thickBot="1">
      <c r="A52" s="363"/>
      <c r="B52" s="364" t="s">
        <v>145</v>
      </c>
      <c r="C52" s="364"/>
      <c r="D52" s="7"/>
      <c r="E52" s="7"/>
      <c r="F52" s="7"/>
      <c r="G52" s="7"/>
      <c r="H52" s="74">
        <f>المهني!BI9</f>
        <v>0</v>
      </c>
      <c r="I52" s="74">
        <f>المهني!BJ9</f>
        <v>0</v>
      </c>
      <c r="J52" s="74">
        <f>المهني!BK9</f>
        <v>0</v>
      </c>
      <c r="K52" s="74">
        <f>المهني!BL9</f>
        <v>0</v>
      </c>
      <c r="L52" s="74">
        <f>المهني!BM9</f>
        <v>0</v>
      </c>
      <c r="M52" s="74">
        <f>المهني!BN9</f>
        <v>0</v>
      </c>
      <c r="N52" s="6">
        <f>المهني!BO9</f>
        <v>0</v>
      </c>
      <c r="O52" s="6">
        <f>المهني!BP9</f>
        <v>0</v>
      </c>
      <c r="P52" s="6">
        <f>المهني!BQ9</f>
        <v>0</v>
      </c>
      <c r="Q52" s="6">
        <f>المهني!BR9</f>
        <v>0</v>
      </c>
      <c r="R52" s="74">
        <f t="shared" si="20"/>
        <v>0</v>
      </c>
      <c r="S52" s="74">
        <f t="shared" si="20"/>
        <v>0</v>
      </c>
      <c r="T52" s="74">
        <f>S52+R52</f>
        <v>0</v>
      </c>
    </row>
    <row r="53" spans="1:20" ht="30" customHeight="1" thickTop="1" thickBot="1">
      <c r="A53" s="363"/>
      <c r="B53" s="364" t="s">
        <v>25</v>
      </c>
      <c r="C53" s="364"/>
      <c r="D53" s="74">
        <f t="shared" ref="D53:T53" si="21">D52+D51+D50</f>
        <v>67</v>
      </c>
      <c r="E53" s="74">
        <f t="shared" si="21"/>
        <v>13</v>
      </c>
      <c r="F53" s="74">
        <f t="shared" si="21"/>
        <v>59</v>
      </c>
      <c r="G53" s="74">
        <f t="shared" si="21"/>
        <v>20</v>
      </c>
      <c r="H53" s="74">
        <f t="shared" si="21"/>
        <v>45</v>
      </c>
      <c r="I53" s="74">
        <f t="shared" si="21"/>
        <v>20</v>
      </c>
      <c r="J53" s="74">
        <f t="shared" si="21"/>
        <v>29</v>
      </c>
      <c r="K53" s="74">
        <f t="shared" si="21"/>
        <v>7</v>
      </c>
      <c r="L53" s="74">
        <f t="shared" si="21"/>
        <v>0</v>
      </c>
      <c r="M53" s="74">
        <f t="shared" si="21"/>
        <v>0</v>
      </c>
      <c r="N53" s="74">
        <f t="shared" si="21"/>
        <v>0</v>
      </c>
      <c r="O53" s="74">
        <f t="shared" si="21"/>
        <v>0</v>
      </c>
      <c r="P53" s="74">
        <f t="shared" si="21"/>
        <v>0</v>
      </c>
      <c r="Q53" s="74">
        <f t="shared" si="21"/>
        <v>0</v>
      </c>
      <c r="R53" s="74">
        <f t="shared" si="21"/>
        <v>200</v>
      </c>
      <c r="S53" s="74">
        <f t="shared" si="21"/>
        <v>60</v>
      </c>
      <c r="T53" s="74">
        <f t="shared" si="21"/>
        <v>260</v>
      </c>
    </row>
    <row r="54" spans="1:20" ht="30" customHeight="1" thickTop="1" thickBot="1">
      <c r="A54" s="363" t="s">
        <v>122</v>
      </c>
      <c r="B54" s="364" t="s">
        <v>143</v>
      </c>
      <c r="C54" s="364"/>
      <c r="D54" s="74">
        <v>0</v>
      </c>
      <c r="E54" s="74">
        <v>0</v>
      </c>
      <c r="F54" s="74">
        <v>0</v>
      </c>
      <c r="G54" s="74">
        <v>0</v>
      </c>
      <c r="H54" s="74">
        <v>0</v>
      </c>
      <c r="I54" s="74">
        <v>0</v>
      </c>
      <c r="J54" s="74">
        <v>0</v>
      </c>
      <c r="K54" s="74">
        <v>0</v>
      </c>
      <c r="L54" s="74">
        <v>0</v>
      </c>
      <c r="M54" s="74">
        <v>0</v>
      </c>
      <c r="N54" s="48"/>
      <c r="O54" s="48"/>
      <c r="P54" s="48"/>
      <c r="Q54" s="48"/>
      <c r="R54" s="74">
        <f t="shared" ref="R54:S61" si="22">P54+N54+L54+J54+H54+F54+D54</f>
        <v>0</v>
      </c>
      <c r="S54" s="74">
        <f t="shared" si="22"/>
        <v>0</v>
      </c>
      <c r="T54" s="74">
        <f t="shared" ref="T54:T77" si="23">S54+R54</f>
        <v>0</v>
      </c>
    </row>
    <row r="55" spans="1:20" ht="30" customHeight="1" thickTop="1" thickBot="1">
      <c r="A55" s="363"/>
      <c r="B55" s="364" t="s">
        <v>144</v>
      </c>
      <c r="C55" s="364"/>
      <c r="D55" s="7"/>
      <c r="E55" s="7"/>
      <c r="F55" s="74">
        <v>0</v>
      </c>
      <c r="G55" s="74">
        <v>0</v>
      </c>
      <c r="H55" s="74">
        <v>0</v>
      </c>
      <c r="I55" s="74">
        <v>0</v>
      </c>
      <c r="J55" s="74">
        <v>0</v>
      </c>
      <c r="K55" s="74">
        <v>0</v>
      </c>
      <c r="L55" s="74">
        <v>0</v>
      </c>
      <c r="M55" s="74">
        <v>0</v>
      </c>
      <c r="N55" s="6">
        <v>0</v>
      </c>
      <c r="O55" s="6">
        <v>0</v>
      </c>
      <c r="P55" s="48"/>
      <c r="Q55" s="48"/>
      <c r="R55" s="74">
        <f t="shared" si="22"/>
        <v>0</v>
      </c>
      <c r="S55" s="74">
        <f t="shared" si="22"/>
        <v>0</v>
      </c>
      <c r="T55" s="74">
        <f t="shared" si="23"/>
        <v>0</v>
      </c>
    </row>
    <row r="56" spans="1:20" ht="30" customHeight="1" thickTop="1" thickBot="1">
      <c r="A56" s="363"/>
      <c r="B56" s="364" t="s">
        <v>145</v>
      </c>
      <c r="C56" s="364"/>
      <c r="D56" s="7"/>
      <c r="E56" s="7"/>
      <c r="F56" s="7"/>
      <c r="G56" s="7"/>
      <c r="H56" s="74">
        <v>0</v>
      </c>
      <c r="I56" s="74">
        <v>0</v>
      </c>
      <c r="J56" s="74">
        <v>0</v>
      </c>
      <c r="K56" s="74">
        <v>0</v>
      </c>
      <c r="L56" s="74">
        <v>0</v>
      </c>
      <c r="M56" s="74">
        <v>0</v>
      </c>
      <c r="N56" s="6">
        <v>0</v>
      </c>
      <c r="O56" s="6">
        <v>0</v>
      </c>
      <c r="P56" s="6">
        <v>0</v>
      </c>
      <c r="Q56" s="6">
        <v>0</v>
      </c>
      <c r="R56" s="74">
        <f t="shared" si="22"/>
        <v>0</v>
      </c>
      <c r="S56" s="74">
        <f t="shared" si="22"/>
        <v>0</v>
      </c>
      <c r="T56" s="74">
        <f t="shared" si="23"/>
        <v>0</v>
      </c>
    </row>
    <row r="57" spans="1:20" ht="30" customHeight="1" thickTop="1" thickBot="1">
      <c r="A57" s="363"/>
      <c r="B57" s="364" t="s">
        <v>25</v>
      </c>
      <c r="C57" s="364"/>
      <c r="D57" s="74">
        <f t="shared" ref="D57:Q57" si="24">D56+D55+D54</f>
        <v>0</v>
      </c>
      <c r="E57" s="74">
        <f t="shared" si="24"/>
        <v>0</v>
      </c>
      <c r="F57" s="74">
        <f t="shared" si="24"/>
        <v>0</v>
      </c>
      <c r="G57" s="74">
        <f t="shared" si="24"/>
        <v>0</v>
      </c>
      <c r="H57" s="74">
        <f t="shared" si="24"/>
        <v>0</v>
      </c>
      <c r="I57" s="74">
        <f t="shared" si="24"/>
        <v>0</v>
      </c>
      <c r="J57" s="74">
        <f t="shared" si="24"/>
        <v>0</v>
      </c>
      <c r="K57" s="74">
        <f t="shared" si="24"/>
        <v>0</v>
      </c>
      <c r="L57" s="74">
        <f t="shared" si="24"/>
        <v>0</v>
      </c>
      <c r="M57" s="74">
        <f t="shared" si="24"/>
        <v>0</v>
      </c>
      <c r="N57" s="74">
        <f t="shared" si="24"/>
        <v>0</v>
      </c>
      <c r="O57" s="74">
        <f t="shared" si="24"/>
        <v>0</v>
      </c>
      <c r="P57" s="74">
        <f t="shared" si="24"/>
        <v>0</v>
      </c>
      <c r="Q57" s="74">
        <f t="shared" si="24"/>
        <v>0</v>
      </c>
      <c r="R57" s="74">
        <f t="shared" si="22"/>
        <v>0</v>
      </c>
      <c r="S57" s="74">
        <f t="shared" si="22"/>
        <v>0</v>
      </c>
      <c r="T57" s="74">
        <f t="shared" si="23"/>
        <v>0</v>
      </c>
    </row>
    <row r="58" spans="1:20" ht="30" customHeight="1" thickTop="1" thickBot="1">
      <c r="A58" s="363" t="s">
        <v>123</v>
      </c>
      <c r="B58" s="364" t="s">
        <v>143</v>
      </c>
      <c r="C58" s="364"/>
      <c r="D58" s="74">
        <f>المهني!AI23</f>
        <v>0</v>
      </c>
      <c r="E58" s="74">
        <f>المهني!AJ23</f>
        <v>0</v>
      </c>
      <c r="F58" s="74">
        <f>المهني!AK23</f>
        <v>0</v>
      </c>
      <c r="G58" s="74">
        <f>المهني!AL23</f>
        <v>0</v>
      </c>
      <c r="H58" s="74">
        <f>المهني!AM23</f>
        <v>0</v>
      </c>
      <c r="I58" s="74">
        <f>المهني!AN23</f>
        <v>0</v>
      </c>
      <c r="J58" s="74">
        <f>المهني!AO23</f>
        <v>0</v>
      </c>
      <c r="K58" s="74">
        <f>المهني!AP23</f>
        <v>0</v>
      </c>
      <c r="L58" s="74">
        <f>المهني!AQ23</f>
        <v>0</v>
      </c>
      <c r="M58" s="74">
        <f>المهني!AR23</f>
        <v>0</v>
      </c>
      <c r="N58" s="48"/>
      <c r="O58" s="48"/>
      <c r="P58" s="48"/>
      <c r="Q58" s="48"/>
      <c r="R58" s="74">
        <f t="shared" si="22"/>
        <v>0</v>
      </c>
      <c r="S58" s="74">
        <f t="shared" si="22"/>
        <v>0</v>
      </c>
      <c r="T58" s="74">
        <f t="shared" si="23"/>
        <v>0</v>
      </c>
    </row>
    <row r="59" spans="1:20" ht="30" customHeight="1" thickTop="1" thickBot="1">
      <c r="A59" s="363"/>
      <c r="B59" s="364" t="s">
        <v>144</v>
      </c>
      <c r="C59" s="364"/>
      <c r="D59" s="7"/>
      <c r="E59" s="7"/>
      <c r="F59" s="74">
        <f>المهني!AV23</f>
        <v>0</v>
      </c>
      <c r="G59" s="74">
        <f>المهني!AW23</f>
        <v>0</v>
      </c>
      <c r="H59" s="74">
        <f>المهني!AX23</f>
        <v>0</v>
      </c>
      <c r="I59" s="74">
        <f>المهني!AY23</f>
        <v>0</v>
      </c>
      <c r="J59" s="74">
        <f>المهني!AZ23</f>
        <v>0</v>
      </c>
      <c r="K59" s="74">
        <f>المهني!BA23</f>
        <v>0</v>
      </c>
      <c r="L59" s="74">
        <f>المهني!BB23</f>
        <v>0</v>
      </c>
      <c r="M59" s="74">
        <f>المهني!BC23</f>
        <v>0</v>
      </c>
      <c r="N59" s="6">
        <f>المهني!BD23</f>
        <v>0</v>
      </c>
      <c r="O59" s="6">
        <f>المهني!BE23</f>
        <v>0</v>
      </c>
      <c r="P59" s="48"/>
      <c r="Q59" s="48"/>
      <c r="R59" s="74">
        <f t="shared" si="22"/>
        <v>0</v>
      </c>
      <c r="S59" s="74">
        <f t="shared" si="22"/>
        <v>0</v>
      </c>
      <c r="T59" s="74">
        <f t="shared" si="23"/>
        <v>0</v>
      </c>
    </row>
    <row r="60" spans="1:20" ht="30" customHeight="1" thickTop="1" thickBot="1">
      <c r="A60" s="363"/>
      <c r="B60" s="364" t="s">
        <v>145</v>
      </c>
      <c r="C60" s="364"/>
      <c r="D60" s="7"/>
      <c r="E60" s="7"/>
      <c r="F60" s="7"/>
      <c r="G60" s="7"/>
      <c r="H60" s="74">
        <f>المهني!BI23</f>
        <v>0</v>
      </c>
      <c r="I60" s="74">
        <f>المهني!BJ23</f>
        <v>0</v>
      </c>
      <c r="J60" s="74">
        <f>المهني!BK23</f>
        <v>0</v>
      </c>
      <c r="K60" s="74">
        <f>المهني!BL23</f>
        <v>0</v>
      </c>
      <c r="L60" s="74">
        <f>المهني!BM23</f>
        <v>0</v>
      </c>
      <c r="M60" s="74">
        <f>المهني!BN23</f>
        <v>0</v>
      </c>
      <c r="N60" s="6">
        <f>المهني!BO23</f>
        <v>0</v>
      </c>
      <c r="O60" s="6">
        <f>المهني!BP23</f>
        <v>0</v>
      </c>
      <c r="P60" s="6">
        <f>المهني!BQ23</f>
        <v>0</v>
      </c>
      <c r="Q60" s="6">
        <f>المهني!BR23</f>
        <v>0</v>
      </c>
      <c r="R60" s="74">
        <f t="shared" si="22"/>
        <v>0</v>
      </c>
      <c r="S60" s="74">
        <f t="shared" si="22"/>
        <v>0</v>
      </c>
      <c r="T60" s="74">
        <f t="shared" si="23"/>
        <v>0</v>
      </c>
    </row>
    <row r="61" spans="1:20" ht="30" customHeight="1" thickTop="1" thickBot="1">
      <c r="A61" s="363"/>
      <c r="B61" s="364" t="s">
        <v>25</v>
      </c>
      <c r="C61" s="364"/>
      <c r="D61" s="74">
        <f t="shared" ref="D61:Q61" si="25">D60+D59+D58</f>
        <v>0</v>
      </c>
      <c r="E61" s="74">
        <f t="shared" si="25"/>
        <v>0</v>
      </c>
      <c r="F61" s="74">
        <f t="shared" si="25"/>
        <v>0</v>
      </c>
      <c r="G61" s="74">
        <f t="shared" si="25"/>
        <v>0</v>
      </c>
      <c r="H61" s="74">
        <f t="shared" si="25"/>
        <v>0</v>
      </c>
      <c r="I61" s="74">
        <f t="shared" si="25"/>
        <v>0</v>
      </c>
      <c r="J61" s="74">
        <f t="shared" si="25"/>
        <v>0</v>
      </c>
      <c r="K61" s="74">
        <f t="shared" si="25"/>
        <v>0</v>
      </c>
      <c r="L61" s="74">
        <f t="shared" si="25"/>
        <v>0</v>
      </c>
      <c r="M61" s="74">
        <f t="shared" si="25"/>
        <v>0</v>
      </c>
      <c r="N61" s="74">
        <f t="shared" si="25"/>
        <v>0</v>
      </c>
      <c r="O61" s="74">
        <f t="shared" si="25"/>
        <v>0</v>
      </c>
      <c r="P61" s="74">
        <f t="shared" si="25"/>
        <v>0</v>
      </c>
      <c r="Q61" s="74">
        <f t="shared" si="25"/>
        <v>0</v>
      </c>
      <c r="R61" s="74">
        <f t="shared" si="22"/>
        <v>0</v>
      </c>
      <c r="S61" s="74">
        <f t="shared" si="22"/>
        <v>0</v>
      </c>
      <c r="T61" s="74">
        <f t="shared" si="23"/>
        <v>0</v>
      </c>
    </row>
    <row r="62" spans="1:20" ht="30" customHeight="1" thickTop="1" thickBot="1">
      <c r="A62" s="363" t="s">
        <v>209</v>
      </c>
      <c r="B62" s="364" t="s">
        <v>143</v>
      </c>
      <c r="C62" s="364"/>
      <c r="D62" s="11"/>
      <c r="E62" s="8">
        <f>المهني!AJ31</f>
        <v>0</v>
      </c>
      <c r="F62" s="7">
        <f>المهني!AK31</f>
        <v>0</v>
      </c>
      <c r="G62" s="8">
        <f>المهني!AL31</f>
        <v>0</v>
      </c>
      <c r="H62" s="7">
        <f>المهني!AM31</f>
        <v>0</v>
      </c>
      <c r="I62" s="8">
        <f>المهني!AN31</f>
        <v>0</v>
      </c>
      <c r="J62" s="7">
        <f>المهني!AO31</f>
        <v>0</v>
      </c>
      <c r="K62" s="8">
        <f>المهني!AP31</f>
        <v>0</v>
      </c>
      <c r="L62" s="7">
        <f>المهني!AQ31</f>
        <v>0</v>
      </c>
      <c r="M62" s="8">
        <f>المهني!AR31</f>
        <v>0</v>
      </c>
      <c r="N62" s="7"/>
      <c r="O62" s="48"/>
      <c r="P62" s="7"/>
      <c r="Q62" s="48"/>
      <c r="R62" s="7"/>
      <c r="S62" s="74">
        <f>Q62+O62+M62+K62+I62+G62+E62</f>
        <v>0</v>
      </c>
      <c r="T62" s="74">
        <f t="shared" si="23"/>
        <v>0</v>
      </c>
    </row>
    <row r="63" spans="1:20" ht="30" customHeight="1" thickTop="1" thickBot="1">
      <c r="A63" s="363"/>
      <c r="B63" s="364" t="s">
        <v>144</v>
      </c>
      <c r="C63" s="364"/>
      <c r="D63" s="11"/>
      <c r="E63" s="7"/>
      <c r="F63" s="7"/>
      <c r="G63" s="74">
        <f>المهني!AW31</f>
        <v>0</v>
      </c>
      <c r="H63" s="7"/>
      <c r="I63" s="8">
        <f>المهني!AY31</f>
        <v>0</v>
      </c>
      <c r="J63" s="7"/>
      <c r="K63" s="8">
        <f>المهني!BA31</f>
        <v>0</v>
      </c>
      <c r="L63" s="7"/>
      <c r="M63" s="8">
        <f>المهني!BC31</f>
        <v>0</v>
      </c>
      <c r="N63" s="7"/>
      <c r="O63" s="6">
        <f>المهني!BE31</f>
        <v>0</v>
      </c>
      <c r="P63" s="7"/>
      <c r="Q63" s="48"/>
      <c r="R63" s="7"/>
      <c r="S63" s="74">
        <f t="shared" ref="S63:S77" si="26">Q63+O63+M63+K63+I63+G63+E63</f>
        <v>0</v>
      </c>
      <c r="T63" s="74">
        <f t="shared" si="23"/>
        <v>0</v>
      </c>
    </row>
    <row r="64" spans="1:20" ht="30" customHeight="1" thickTop="1" thickBot="1">
      <c r="A64" s="363"/>
      <c r="B64" s="364" t="s">
        <v>145</v>
      </c>
      <c r="C64" s="364"/>
      <c r="D64" s="7"/>
      <c r="E64" s="7"/>
      <c r="F64" s="7"/>
      <c r="G64" s="7"/>
      <c r="H64" s="7"/>
      <c r="I64" s="8">
        <f>المهني!BJ32</f>
        <v>0</v>
      </c>
      <c r="J64" s="7"/>
      <c r="K64" s="8">
        <f>المهني!BL32</f>
        <v>0</v>
      </c>
      <c r="L64" s="7"/>
      <c r="M64" s="8">
        <f>المهني!BN32</f>
        <v>0</v>
      </c>
      <c r="N64" s="7"/>
      <c r="O64" s="6">
        <f>المهني!BP32</f>
        <v>0</v>
      </c>
      <c r="P64" s="7"/>
      <c r="Q64" s="6">
        <f>المهني!BR32</f>
        <v>0</v>
      </c>
      <c r="R64" s="7"/>
      <c r="S64" s="74">
        <f t="shared" si="26"/>
        <v>0</v>
      </c>
      <c r="T64" s="74">
        <f t="shared" si="23"/>
        <v>0</v>
      </c>
    </row>
    <row r="65" spans="1:20" ht="30" customHeight="1" thickTop="1" thickBot="1">
      <c r="A65" s="363"/>
      <c r="B65" s="364" t="s">
        <v>25</v>
      </c>
      <c r="C65" s="364"/>
      <c r="D65" s="7"/>
      <c r="E65" s="8">
        <f>E64+E63+E62</f>
        <v>0</v>
      </c>
      <c r="F65" s="7"/>
      <c r="G65" s="8">
        <f>G64+G63+G62</f>
        <v>0</v>
      </c>
      <c r="H65" s="7"/>
      <c r="I65" s="8">
        <f>I64+I63+I62</f>
        <v>0</v>
      </c>
      <c r="J65" s="7"/>
      <c r="K65" s="8">
        <f>K64+K63+K62</f>
        <v>0</v>
      </c>
      <c r="L65" s="7"/>
      <c r="M65" s="8">
        <f>M64+M63+M62</f>
        <v>0</v>
      </c>
      <c r="N65" s="7"/>
      <c r="O65" s="8">
        <f>O64+O63+O62</f>
        <v>0</v>
      </c>
      <c r="P65" s="7"/>
      <c r="Q65" s="8">
        <f>Q64+Q63+Q62</f>
        <v>0</v>
      </c>
      <c r="R65" s="7"/>
      <c r="S65" s="74">
        <f>Q65+O65+M65+K65+I65+G65+E65</f>
        <v>0</v>
      </c>
      <c r="T65" s="74">
        <f t="shared" si="23"/>
        <v>0</v>
      </c>
    </row>
    <row r="66" spans="1:20" ht="30" customHeight="1" thickTop="1" thickBot="1">
      <c r="A66" s="363" t="s">
        <v>459</v>
      </c>
      <c r="B66" s="364" t="s">
        <v>143</v>
      </c>
      <c r="C66" s="364"/>
      <c r="D66" s="8">
        <f>المهني!AI38</f>
        <v>0</v>
      </c>
      <c r="E66" s="8">
        <f>المهني!AJ38</f>
        <v>0</v>
      </c>
      <c r="F66" s="8">
        <f>المهني!AK38</f>
        <v>0</v>
      </c>
      <c r="G66" s="8">
        <f>المهني!AL38</f>
        <v>0</v>
      </c>
      <c r="H66" s="8">
        <f>المهني!AM38</f>
        <v>0</v>
      </c>
      <c r="I66" s="8">
        <f>المهني!AN38</f>
        <v>0</v>
      </c>
      <c r="J66" s="8">
        <f>المهني!AO38</f>
        <v>0</v>
      </c>
      <c r="K66" s="8">
        <f>المهني!AP38</f>
        <v>0</v>
      </c>
      <c r="L66" s="8">
        <f>المهني!AQ38</f>
        <v>0</v>
      </c>
      <c r="M66" s="8">
        <f>المهني!AR38</f>
        <v>0</v>
      </c>
      <c r="N66" s="7"/>
      <c r="O66" s="7"/>
      <c r="P66" s="7"/>
      <c r="Q66" s="7"/>
      <c r="R66" s="146">
        <f>P66+N66+L66+J66+H66+F66+D66</f>
        <v>0</v>
      </c>
      <c r="S66" s="146">
        <f>Q66+O66+M66+K66+I66+G66+E66</f>
        <v>0</v>
      </c>
      <c r="T66" s="146">
        <f>S66+R66</f>
        <v>0</v>
      </c>
    </row>
    <row r="67" spans="1:20" ht="30" customHeight="1" thickTop="1" thickBot="1">
      <c r="A67" s="363"/>
      <c r="B67" s="364" t="s">
        <v>144</v>
      </c>
      <c r="C67" s="364"/>
      <c r="D67" s="7"/>
      <c r="E67" s="7"/>
      <c r="F67" s="8">
        <f>المهني!AV38</f>
        <v>0</v>
      </c>
      <c r="G67" s="8">
        <f>المهني!AW38</f>
        <v>0</v>
      </c>
      <c r="H67" s="8">
        <f>المهني!AX38</f>
        <v>0</v>
      </c>
      <c r="I67" s="8">
        <f>المهني!AY38</f>
        <v>0</v>
      </c>
      <c r="J67" s="8">
        <f>المهني!AZ38</f>
        <v>0</v>
      </c>
      <c r="K67" s="8">
        <f>المهني!BA38</f>
        <v>0</v>
      </c>
      <c r="L67" s="8">
        <f>المهني!BB38</f>
        <v>0</v>
      </c>
      <c r="M67" s="8">
        <f>المهني!BC38</f>
        <v>0</v>
      </c>
      <c r="N67" s="8">
        <f>المهني!BD38</f>
        <v>0</v>
      </c>
      <c r="O67" s="8">
        <f>المهني!BE38</f>
        <v>0</v>
      </c>
      <c r="P67" s="7"/>
      <c r="Q67" s="7"/>
      <c r="R67" s="146">
        <f t="shared" ref="R67:S69" si="27">P67+N67+L67+J67+H67+F67+D67</f>
        <v>0</v>
      </c>
      <c r="S67" s="146">
        <f t="shared" si="27"/>
        <v>0</v>
      </c>
      <c r="T67" s="146">
        <f t="shared" si="23"/>
        <v>0</v>
      </c>
    </row>
    <row r="68" spans="1:20" ht="30" customHeight="1" thickTop="1" thickBot="1">
      <c r="A68" s="363"/>
      <c r="B68" s="364" t="s">
        <v>145</v>
      </c>
      <c r="C68" s="364"/>
      <c r="D68" s="7"/>
      <c r="E68" s="7"/>
      <c r="F68" s="7"/>
      <c r="G68" s="7"/>
      <c r="H68" s="8">
        <f>المهني!BI38</f>
        <v>0</v>
      </c>
      <c r="I68" s="8">
        <f>المهني!BJ38</f>
        <v>0</v>
      </c>
      <c r="J68" s="8">
        <f>المهني!BK38</f>
        <v>0</v>
      </c>
      <c r="K68" s="8">
        <f>المهني!BL38</f>
        <v>0</v>
      </c>
      <c r="L68" s="8">
        <f>المهني!BM38</f>
        <v>0</v>
      </c>
      <c r="M68" s="8">
        <f>المهني!BN38</f>
        <v>0</v>
      </c>
      <c r="N68" s="8">
        <f>المهني!BO38</f>
        <v>0</v>
      </c>
      <c r="O68" s="8">
        <f>المهني!BP38</f>
        <v>0</v>
      </c>
      <c r="P68" s="8">
        <f>المهني!BQ38</f>
        <v>0</v>
      </c>
      <c r="Q68" s="8">
        <f>المهني!BR38</f>
        <v>0</v>
      </c>
      <c r="R68" s="146">
        <f t="shared" si="27"/>
        <v>0</v>
      </c>
      <c r="S68" s="146">
        <f t="shared" si="27"/>
        <v>0</v>
      </c>
      <c r="T68" s="146">
        <f t="shared" si="23"/>
        <v>0</v>
      </c>
    </row>
    <row r="69" spans="1:20" ht="30" customHeight="1" thickTop="1" thickBot="1">
      <c r="A69" s="363"/>
      <c r="B69" s="364" t="s">
        <v>25</v>
      </c>
      <c r="C69" s="364"/>
      <c r="D69" s="8">
        <f t="shared" ref="D69:Q69" si="28">D68+D67+D66</f>
        <v>0</v>
      </c>
      <c r="E69" s="8">
        <f t="shared" si="28"/>
        <v>0</v>
      </c>
      <c r="F69" s="8">
        <f t="shared" si="28"/>
        <v>0</v>
      </c>
      <c r="G69" s="8">
        <f t="shared" si="28"/>
        <v>0</v>
      </c>
      <c r="H69" s="8">
        <f t="shared" si="28"/>
        <v>0</v>
      </c>
      <c r="I69" s="8">
        <f t="shared" si="28"/>
        <v>0</v>
      </c>
      <c r="J69" s="8">
        <f t="shared" si="28"/>
        <v>0</v>
      </c>
      <c r="K69" s="8">
        <f t="shared" si="28"/>
        <v>0</v>
      </c>
      <c r="L69" s="8">
        <f t="shared" si="28"/>
        <v>0</v>
      </c>
      <c r="M69" s="8">
        <f t="shared" si="28"/>
        <v>0</v>
      </c>
      <c r="N69" s="8">
        <f t="shared" si="28"/>
        <v>0</v>
      </c>
      <c r="O69" s="8">
        <f t="shared" si="28"/>
        <v>0</v>
      </c>
      <c r="P69" s="8">
        <f t="shared" si="28"/>
        <v>0</v>
      </c>
      <c r="Q69" s="8">
        <f t="shared" si="28"/>
        <v>0</v>
      </c>
      <c r="R69" s="146">
        <f t="shared" si="27"/>
        <v>0</v>
      </c>
      <c r="S69" s="146">
        <f t="shared" si="27"/>
        <v>0</v>
      </c>
      <c r="T69" s="146">
        <f t="shared" si="23"/>
        <v>0</v>
      </c>
    </row>
    <row r="70" spans="1:20" ht="30" customHeight="1" thickTop="1" thickBot="1">
      <c r="A70" s="365" t="s">
        <v>390</v>
      </c>
      <c r="B70" s="364" t="s">
        <v>143</v>
      </c>
      <c r="C70" s="364"/>
      <c r="D70" s="74">
        <f>المهني!AI36</f>
        <v>100</v>
      </c>
      <c r="E70" s="74">
        <f>المهني!AJ36</f>
        <v>10</v>
      </c>
      <c r="F70" s="74">
        <f>المهني!AK36</f>
        <v>100</v>
      </c>
      <c r="G70" s="74">
        <f>المهني!AL36</f>
        <v>15</v>
      </c>
      <c r="H70" s="74">
        <f>المهني!AM36</f>
        <v>100</v>
      </c>
      <c r="I70" s="74">
        <f>المهني!AN36</f>
        <v>7</v>
      </c>
      <c r="J70" s="74">
        <f>المهني!AO36</f>
        <v>100</v>
      </c>
      <c r="K70" s="74">
        <f>المهني!AP36</f>
        <v>8</v>
      </c>
      <c r="L70" s="74">
        <f>المهني!AQ36</f>
        <v>38</v>
      </c>
      <c r="M70" s="74">
        <f>المهني!AR36</f>
        <v>0</v>
      </c>
      <c r="N70" s="48"/>
      <c r="O70" s="48"/>
      <c r="P70" s="48"/>
      <c r="Q70" s="48"/>
      <c r="R70" s="74">
        <f t="shared" ref="R70:R77" si="29">P70+N70+L70+J70+H70+F70+D70</f>
        <v>438</v>
      </c>
      <c r="S70" s="74">
        <f t="shared" si="26"/>
        <v>40</v>
      </c>
      <c r="T70" s="74">
        <f t="shared" si="23"/>
        <v>478</v>
      </c>
    </row>
    <row r="71" spans="1:20" ht="30" customHeight="1" thickTop="1" thickBot="1">
      <c r="A71" s="366"/>
      <c r="B71" s="364" t="s">
        <v>144</v>
      </c>
      <c r="C71" s="364"/>
      <c r="D71" s="7"/>
      <c r="E71" s="7"/>
      <c r="F71" s="74">
        <f>المهني!AV36</f>
        <v>9</v>
      </c>
      <c r="G71" s="74">
        <f>المهني!AW36</f>
        <v>0</v>
      </c>
      <c r="H71" s="74">
        <f>المهني!AX36</f>
        <v>3</v>
      </c>
      <c r="I71" s="74">
        <f>المهني!AY36</f>
        <v>0</v>
      </c>
      <c r="J71" s="74">
        <f>المهني!AZ36</f>
        <v>0</v>
      </c>
      <c r="K71" s="74">
        <f>المهني!BA36</f>
        <v>0</v>
      </c>
      <c r="L71" s="74">
        <f>المهني!BB36</f>
        <v>0</v>
      </c>
      <c r="M71" s="74">
        <f>المهني!BC36</f>
        <v>0</v>
      </c>
      <c r="N71" s="74">
        <f>المهني!BD36</f>
        <v>0</v>
      </c>
      <c r="O71" s="74">
        <f>المهني!BE36</f>
        <v>0</v>
      </c>
      <c r="P71" s="48"/>
      <c r="Q71" s="48"/>
      <c r="R71" s="74">
        <f t="shared" si="29"/>
        <v>12</v>
      </c>
      <c r="S71" s="74">
        <f t="shared" si="26"/>
        <v>0</v>
      </c>
      <c r="T71" s="74">
        <f t="shared" si="23"/>
        <v>12</v>
      </c>
    </row>
    <row r="72" spans="1:20" ht="30" customHeight="1" thickTop="1" thickBot="1">
      <c r="A72" s="366"/>
      <c r="B72" s="364" t="s">
        <v>145</v>
      </c>
      <c r="C72" s="364"/>
      <c r="D72" s="7"/>
      <c r="E72" s="7"/>
      <c r="F72" s="7"/>
      <c r="G72" s="7"/>
      <c r="H72" s="74">
        <f>المهني!BI36</f>
        <v>10</v>
      </c>
      <c r="I72" s="74">
        <f>المهني!BJ36</f>
        <v>0</v>
      </c>
      <c r="J72" s="74">
        <f>المهني!BK36</f>
        <v>10</v>
      </c>
      <c r="K72" s="74">
        <f>المهني!BL36</f>
        <v>0</v>
      </c>
      <c r="L72" s="74">
        <f>المهني!BM36</f>
        <v>0</v>
      </c>
      <c r="M72" s="74">
        <f>المهني!BN36</f>
        <v>0</v>
      </c>
      <c r="N72" s="74">
        <f>المهني!BO36</f>
        <v>0</v>
      </c>
      <c r="O72" s="74">
        <f>المهني!BP36</f>
        <v>0</v>
      </c>
      <c r="P72" s="74">
        <f>المهني!BQ36</f>
        <v>0</v>
      </c>
      <c r="Q72" s="74">
        <f>المهني!BR36</f>
        <v>0</v>
      </c>
      <c r="R72" s="74">
        <f t="shared" si="29"/>
        <v>20</v>
      </c>
      <c r="S72" s="74">
        <f t="shared" si="26"/>
        <v>0</v>
      </c>
      <c r="T72" s="74">
        <f t="shared" si="23"/>
        <v>20</v>
      </c>
    </row>
    <row r="73" spans="1:20" ht="30" customHeight="1" thickTop="1" thickBot="1">
      <c r="A73" s="367"/>
      <c r="B73" s="364" t="s">
        <v>25</v>
      </c>
      <c r="C73" s="364"/>
      <c r="D73" s="74">
        <f t="shared" ref="D73:Q73" si="30">SUM(D70:D72)</f>
        <v>100</v>
      </c>
      <c r="E73" s="74">
        <f t="shared" si="30"/>
        <v>10</v>
      </c>
      <c r="F73" s="74">
        <f t="shared" si="30"/>
        <v>109</v>
      </c>
      <c r="G73" s="74">
        <f t="shared" si="30"/>
        <v>15</v>
      </c>
      <c r="H73" s="74">
        <f t="shared" si="30"/>
        <v>113</v>
      </c>
      <c r="I73" s="74">
        <f t="shared" si="30"/>
        <v>7</v>
      </c>
      <c r="J73" s="74">
        <f t="shared" si="30"/>
        <v>110</v>
      </c>
      <c r="K73" s="74">
        <f t="shared" si="30"/>
        <v>8</v>
      </c>
      <c r="L73" s="74">
        <f t="shared" si="30"/>
        <v>38</v>
      </c>
      <c r="M73" s="74">
        <f t="shared" si="30"/>
        <v>0</v>
      </c>
      <c r="N73" s="74">
        <f t="shared" si="30"/>
        <v>0</v>
      </c>
      <c r="O73" s="74">
        <f t="shared" si="30"/>
        <v>0</v>
      </c>
      <c r="P73" s="74">
        <f t="shared" si="30"/>
        <v>0</v>
      </c>
      <c r="Q73" s="74">
        <f t="shared" si="30"/>
        <v>0</v>
      </c>
      <c r="R73" s="74">
        <f t="shared" si="29"/>
        <v>470</v>
      </c>
      <c r="S73" s="74">
        <f t="shared" si="26"/>
        <v>40</v>
      </c>
      <c r="T73" s="74">
        <f t="shared" si="23"/>
        <v>510</v>
      </c>
    </row>
    <row r="74" spans="1:20" ht="30" customHeight="1" thickTop="1" thickBot="1">
      <c r="A74" s="363" t="s">
        <v>137</v>
      </c>
      <c r="B74" s="364" t="s">
        <v>143</v>
      </c>
      <c r="C74" s="364"/>
      <c r="D74" s="74">
        <f>D62+D58+D54+D50+D70+D66</f>
        <v>167</v>
      </c>
      <c r="E74" s="149">
        <f>E62+E58+E54+E50+E70+E66</f>
        <v>23</v>
      </c>
      <c r="F74" s="149">
        <f t="shared" ref="F74:Q76" si="31">F62+F58+F54+F50+F70+F66</f>
        <v>159</v>
      </c>
      <c r="G74" s="149">
        <f t="shared" si="31"/>
        <v>35</v>
      </c>
      <c r="H74" s="149">
        <f t="shared" si="31"/>
        <v>145</v>
      </c>
      <c r="I74" s="149">
        <f t="shared" si="31"/>
        <v>27</v>
      </c>
      <c r="J74" s="149">
        <f t="shared" si="31"/>
        <v>129</v>
      </c>
      <c r="K74" s="149">
        <f t="shared" si="31"/>
        <v>15</v>
      </c>
      <c r="L74" s="149">
        <f t="shared" si="31"/>
        <v>38</v>
      </c>
      <c r="M74" s="149">
        <f t="shared" si="31"/>
        <v>0</v>
      </c>
      <c r="N74" s="7">
        <f t="shared" si="31"/>
        <v>0</v>
      </c>
      <c r="O74" s="7">
        <f t="shared" si="31"/>
        <v>0</v>
      </c>
      <c r="P74" s="7">
        <f t="shared" si="31"/>
        <v>0</v>
      </c>
      <c r="Q74" s="7">
        <f t="shared" si="31"/>
        <v>0</v>
      </c>
      <c r="R74" s="74">
        <f>P74+N74+L74+J74+H74+F74+D74</f>
        <v>638</v>
      </c>
      <c r="S74" s="74">
        <f t="shared" si="26"/>
        <v>100</v>
      </c>
      <c r="T74" s="74">
        <f t="shared" si="23"/>
        <v>738</v>
      </c>
    </row>
    <row r="75" spans="1:20" ht="30" customHeight="1" thickTop="1" thickBot="1">
      <c r="A75" s="363"/>
      <c r="B75" s="364" t="s">
        <v>144</v>
      </c>
      <c r="C75" s="364"/>
      <c r="D75" s="7">
        <f t="shared" ref="D75:E75" si="32">D63+D59+D55+D51+D71+D67</f>
        <v>0</v>
      </c>
      <c r="E75" s="7">
        <f t="shared" si="32"/>
        <v>0</v>
      </c>
      <c r="F75" s="149">
        <f t="shared" si="31"/>
        <v>9</v>
      </c>
      <c r="G75" s="149">
        <f t="shared" si="31"/>
        <v>0</v>
      </c>
      <c r="H75" s="149">
        <f t="shared" si="31"/>
        <v>3</v>
      </c>
      <c r="I75" s="149">
        <f t="shared" ref="I75:O75" si="33">I63+I59+I55+I51+I71+I67</f>
        <v>0</v>
      </c>
      <c r="J75" s="149">
        <f t="shared" si="33"/>
        <v>0</v>
      </c>
      <c r="K75" s="149">
        <f t="shared" si="33"/>
        <v>0</v>
      </c>
      <c r="L75" s="149">
        <f t="shared" si="33"/>
        <v>0</v>
      </c>
      <c r="M75" s="149">
        <f t="shared" si="33"/>
        <v>0</v>
      </c>
      <c r="N75" s="149">
        <f t="shared" si="33"/>
        <v>0</v>
      </c>
      <c r="O75" s="149">
        <f t="shared" si="33"/>
        <v>0</v>
      </c>
      <c r="P75" s="7">
        <f t="shared" si="31"/>
        <v>0</v>
      </c>
      <c r="Q75" s="7">
        <f t="shared" si="31"/>
        <v>0</v>
      </c>
      <c r="R75" s="74">
        <f>P75+N75+L75+J75+H75+F75+D75</f>
        <v>12</v>
      </c>
      <c r="S75" s="74">
        <f t="shared" si="26"/>
        <v>0</v>
      </c>
      <c r="T75" s="74">
        <f t="shared" si="23"/>
        <v>12</v>
      </c>
    </row>
    <row r="76" spans="1:20" ht="30" customHeight="1" thickTop="1" thickBot="1">
      <c r="A76" s="363"/>
      <c r="B76" s="364" t="s">
        <v>145</v>
      </c>
      <c r="C76" s="364"/>
      <c r="D76" s="7">
        <f t="shared" ref="D76:G76" si="34">D64+D60+D56+D52+D72+D68</f>
        <v>0</v>
      </c>
      <c r="E76" s="7">
        <f t="shared" si="34"/>
        <v>0</v>
      </c>
      <c r="F76" s="7">
        <f t="shared" si="34"/>
        <v>0</v>
      </c>
      <c r="G76" s="7">
        <f t="shared" si="34"/>
        <v>0</v>
      </c>
      <c r="H76" s="149">
        <f t="shared" si="31"/>
        <v>10</v>
      </c>
      <c r="I76" s="149">
        <f t="shared" si="31"/>
        <v>0</v>
      </c>
      <c r="J76" s="149">
        <f t="shared" si="31"/>
        <v>10</v>
      </c>
      <c r="K76" s="149">
        <f t="shared" si="31"/>
        <v>0</v>
      </c>
      <c r="L76" s="149">
        <f t="shared" si="31"/>
        <v>0</v>
      </c>
      <c r="M76" s="149">
        <f t="shared" si="31"/>
        <v>0</v>
      </c>
      <c r="N76" s="149">
        <f t="shared" si="31"/>
        <v>0</v>
      </c>
      <c r="O76" s="149">
        <f t="shared" si="31"/>
        <v>0</v>
      </c>
      <c r="P76" s="149">
        <f t="shared" si="31"/>
        <v>0</v>
      </c>
      <c r="Q76" s="149">
        <f t="shared" si="31"/>
        <v>0</v>
      </c>
      <c r="R76" s="74">
        <f t="shared" si="29"/>
        <v>20</v>
      </c>
      <c r="S76" s="74">
        <f t="shared" si="26"/>
        <v>0</v>
      </c>
      <c r="T76" s="74">
        <f t="shared" si="23"/>
        <v>20</v>
      </c>
    </row>
    <row r="77" spans="1:20" ht="30" customHeight="1" thickTop="1" thickBot="1">
      <c r="A77" s="363"/>
      <c r="B77" s="364" t="s">
        <v>25</v>
      </c>
      <c r="C77" s="364"/>
      <c r="D77" s="74">
        <f t="shared" ref="D77:Q77" si="35">D76+D75+D74</f>
        <v>167</v>
      </c>
      <c r="E77" s="74">
        <f t="shared" si="35"/>
        <v>23</v>
      </c>
      <c r="F77" s="74">
        <f t="shared" si="35"/>
        <v>168</v>
      </c>
      <c r="G77" s="74">
        <f t="shared" si="35"/>
        <v>35</v>
      </c>
      <c r="H77" s="74">
        <f t="shared" si="35"/>
        <v>158</v>
      </c>
      <c r="I77" s="74">
        <f t="shared" si="35"/>
        <v>27</v>
      </c>
      <c r="J77" s="74">
        <f t="shared" si="35"/>
        <v>139</v>
      </c>
      <c r="K77" s="74">
        <f t="shared" si="35"/>
        <v>15</v>
      </c>
      <c r="L77" s="74">
        <f t="shared" si="35"/>
        <v>38</v>
      </c>
      <c r="M77" s="74">
        <f t="shared" si="35"/>
        <v>0</v>
      </c>
      <c r="N77" s="74">
        <f t="shared" si="35"/>
        <v>0</v>
      </c>
      <c r="O77" s="74">
        <f t="shared" si="35"/>
        <v>0</v>
      </c>
      <c r="P77" s="74">
        <f t="shared" si="35"/>
        <v>0</v>
      </c>
      <c r="Q77" s="74">
        <f t="shared" si="35"/>
        <v>0</v>
      </c>
      <c r="R77" s="74">
        <f t="shared" si="29"/>
        <v>670</v>
      </c>
      <c r="S77" s="74">
        <f t="shared" si="26"/>
        <v>100</v>
      </c>
      <c r="T77" s="74">
        <f t="shared" si="23"/>
        <v>770</v>
      </c>
    </row>
    <row r="78" spans="1:20" ht="30" customHeight="1" thickTop="1">
      <c r="A78" s="75"/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</row>
    <row r="79" spans="1:20" ht="30" customHeight="1">
      <c r="A79" s="376" t="s">
        <v>109</v>
      </c>
      <c r="B79" s="376"/>
      <c r="C79" s="376"/>
      <c r="D79" s="376"/>
      <c r="E79" s="376"/>
      <c r="F79" s="376"/>
      <c r="G79" s="76"/>
      <c r="H79" s="76"/>
      <c r="I79" s="76"/>
      <c r="J79" s="40"/>
      <c r="K79" s="40"/>
      <c r="L79" s="40"/>
      <c r="M79" s="40"/>
      <c r="N79" s="40"/>
      <c r="O79" s="40"/>
      <c r="P79" s="40"/>
      <c r="Q79" s="40"/>
      <c r="R79" s="40"/>
      <c r="S79" s="376" t="s">
        <v>110</v>
      </c>
      <c r="T79" s="376"/>
    </row>
    <row r="80" spans="1:20" ht="30" customHeight="1">
      <c r="A80" s="379" t="s">
        <v>185</v>
      </c>
      <c r="B80" s="379"/>
      <c r="C80" s="379"/>
      <c r="D80" s="379"/>
      <c r="E80" s="379"/>
      <c r="F80" s="379"/>
      <c r="G80" s="76"/>
      <c r="H80" s="379" t="s">
        <v>183</v>
      </c>
      <c r="I80" s="379"/>
      <c r="J80" s="379"/>
      <c r="K80" s="379"/>
      <c r="L80" s="379"/>
      <c r="M80" s="40"/>
      <c r="N80" s="40"/>
      <c r="O80" s="40"/>
      <c r="P80" s="76"/>
      <c r="Q80" s="76"/>
      <c r="R80" s="40"/>
      <c r="S80" s="40"/>
      <c r="T80" s="40"/>
    </row>
    <row r="81" spans="1:20" ht="30" customHeight="1">
      <c r="A81" s="376" t="s">
        <v>138</v>
      </c>
      <c r="B81" s="376"/>
      <c r="C81" s="376"/>
      <c r="D81" s="376"/>
      <c r="E81" s="376"/>
      <c r="F81" s="376"/>
      <c r="G81" s="376"/>
      <c r="H81" s="376"/>
      <c r="I81" s="376"/>
      <c r="J81" s="376"/>
      <c r="K81" s="376"/>
      <c r="L81" s="376"/>
      <c r="M81" s="376"/>
      <c r="N81" s="376"/>
      <c r="O81" s="376"/>
      <c r="P81" s="376"/>
      <c r="Q81" s="376"/>
      <c r="R81" s="376"/>
      <c r="S81" s="376"/>
      <c r="T81" s="376"/>
    </row>
    <row r="82" spans="1:20" ht="30" customHeight="1">
      <c r="A82" s="376" t="s">
        <v>500</v>
      </c>
      <c r="B82" s="376"/>
      <c r="C82" s="376"/>
      <c r="D82" s="376"/>
      <c r="E82" s="376"/>
      <c r="F82" s="376"/>
      <c r="G82" s="376"/>
      <c r="H82" s="376"/>
      <c r="I82" s="376"/>
      <c r="J82" s="376"/>
      <c r="K82" s="376"/>
      <c r="L82" s="376"/>
      <c r="M82" s="376"/>
      <c r="N82" s="376"/>
      <c r="O82" s="376"/>
      <c r="P82" s="376"/>
      <c r="Q82" s="376"/>
      <c r="R82" s="376"/>
      <c r="S82" s="376"/>
      <c r="T82" s="376"/>
    </row>
    <row r="83" spans="1:20" ht="30" customHeight="1">
      <c r="A83" s="376" t="s">
        <v>139</v>
      </c>
      <c r="B83" s="376"/>
      <c r="C83" s="376"/>
      <c r="D83" s="376"/>
      <c r="E83" s="376"/>
      <c r="F83" s="376"/>
      <c r="G83" s="376"/>
      <c r="H83" s="376"/>
      <c r="I83" s="376"/>
      <c r="J83" s="376"/>
      <c r="K83" s="376"/>
      <c r="L83" s="376"/>
      <c r="M83" s="376"/>
      <c r="N83" s="376"/>
      <c r="O83" s="376"/>
      <c r="P83" s="376"/>
      <c r="Q83" s="376"/>
      <c r="R83" s="376"/>
      <c r="S83" s="376"/>
      <c r="T83" s="376"/>
    </row>
    <row r="84" spans="1:20" ht="30" customHeight="1" thickBot="1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</row>
    <row r="85" spans="1:20" ht="30" customHeight="1" thickTop="1" thickBot="1">
      <c r="A85" s="372" t="s">
        <v>113</v>
      </c>
      <c r="B85" s="372" t="s">
        <v>140</v>
      </c>
      <c r="C85" s="372"/>
      <c r="D85" s="377" t="s">
        <v>125</v>
      </c>
      <c r="E85" s="378"/>
      <c r="F85" s="377" t="s">
        <v>126</v>
      </c>
      <c r="G85" s="378"/>
      <c r="H85" s="377" t="s">
        <v>127</v>
      </c>
      <c r="I85" s="378"/>
      <c r="J85" s="377" t="s">
        <v>128</v>
      </c>
      <c r="K85" s="378"/>
      <c r="L85" s="377" t="s">
        <v>129</v>
      </c>
      <c r="M85" s="378"/>
      <c r="N85" s="377" t="s">
        <v>141</v>
      </c>
      <c r="O85" s="378"/>
      <c r="P85" s="377" t="s">
        <v>142</v>
      </c>
      <c r="Q85" s="378"/>
      <c r="R85" s="377" t="s">
        <v>25</v>
      </c>
      <c r="S85" s="380"/>
      <c r="T85" s="378"/>
    </row>
    <row r="86" spans="1:20" ht="30" customHeight="1" thickTop="1" thickBot="1">
      <c r="A86" s="372"/>
      <c r="B86" s="372"/>
      <c r="C86" s="372"/>
      <c r="D86" s="12" t="s">
        <v>5</v>
      </c>
      <c r="E86" s="12" t="s">
        <v>6</v>
      </c>
      <c r="F86" s="12" t="s">
        <v>5</v>
      </c>
      <c r="G86" s="12" t="s">
        <v>6</v>
      </c>
      <c r="H86" s="12" t="s">
        <v>5</v>
      </c>
      <c r="I86" s="12" t="s">
        <v>6</v>
      </c>
      <c r="J86" s="12" t="s">
        <v>5</v>
      </c>
      <c r="K86" s="12" t="s">
        <v>6</v>
      </c>
      <c r="L86" s="12" t="s">
        <v>5</v>
      </c>
      <c r="M86" s="12" t="s">
        <v>6</v>
      </c>
      <c r="N86" s="12" t="s">
        <v>5</v>
      </c>
      <c r="O86" s="12" t="s">
        <v>6</v>
      </c>
      <c r="P86" s="12" t="s">
        <v>5</v>
      </c>
      <c r="Q86" s="12" t="s">
        <v>6</v>
      </c>
      <c r="R86" s="12" t="s">
        <v>5</v>
      </c>
      <c r="S86" s="12" t="s">
        <v>6</v>
      </c>
      <c r="T86" s="12" t="s">
        <v>25</v>
      </c>
    </row>
    <row r="87" spans="1:20" ht="30" customHeight="1" thickTop="1" thickBot="1">
      <c r="A87" s="371" t="s">
        <v>121</v>
      </c>
      <c r="B87" s="372" t="s">
        <v>143</v>
      </c>
      <c r="C87" s="372"/>
      <c r="D87" s="12">
        <f>المهني!AI12</f>
        <v>0</v>
      </c>
      <c r="E87" s="12">
        <f>المهني!AJ12</f>
        <v>0</v>
      </c>
      <c r="F87" s="12">
        <f>المهني!AK12</f>
        <v>0</v>
      </c>
      <c r="G87" s="12">
        <f>المهني!AL12</f>
        <v>0</v>
      </c>
      <c r="H87" s="12">
        <f>المهني!AM12</f>
        <v>0</v>
      </c>
      <c r="I87" s="12">
        <f>المهني!AN12</f>
        <v>0</v>
      </c>
      <c r="J87" s="12">
        <f>المهني!AO12</f>
        <v>0</v>
      </c>
      <c r="K87" s="12">
        <f>المهني!AP12</f>
        <v>0</v>
      </c>
      <c r="L87" s="12">
        <f>المهني!AQ12</f>
        <v>0</v>
      </c>
      <c r="M87" s="12">
        <f>المهني!AR12</f>
        <v>0</v>
      </c>
      <c r="N87" s="77">
        <v>0</v>
      </c>
      <c r="O87" s="77">
        <v>0</v>
      </c>
      <c r="P87" s="77">
        <v>0</v>
      </c>
      <c r="Q87" s="77">
        <v>0</v>
      </c>
      <c r="R87" s="12">
        <f t="shared" ref="R87:S89" si="36">P87+N87+L87+J87+H87+F87+D87</f>
        <v>0</v>
      </c>
      <c r="S87" s="12">
        <f t="shared" si="36"/>
        <v>0</v>
      </c>
      <c r="T87" s="12">
        <f>S87+R87</f>
        <v>0</v>
      </c>
    </row>
    <row r="88" spans="1:20" ht="30" customHeight="1" thickTop="1" thickBot="1">
      <c r="A88" s="371"/>
      <c r="B88" s="372" t="s">
        <v>144</v>
      </c>
      <c r="C88" s="372"/>
      <c r="D88" s="78"/>
      <c r="E88" s="78"/>
      <c r="F88" s="12">
        <f>المهني!AV12</f>
        <v>0</v>
      </c>
      <c r="G88" s="12">
        <f>المهني!AW12</f>
        <v>0</v>
      </c>
      <c r="H88" s="12">
        <f>المهني!AX12</f>
        <v>0</v>
      </c>
      <c r="I88" s="12">
        <f>المهني!AY12</f>
        <v>0</v>
      </c>
      <c r="J88" s="12">
        <f>المهني!AZ12</f>
        <v>0</v>
      </c>
      <c r="K88" s="12">
        <f>المهني!BA12</f>
        <v>0</v>
      </c>
      <c r="L88" s="12">
        <f>المهني!BB12</f>
        <v>0</v>
      </c>
      <c r="M88" s="12">
        <f>المهني!BC12</f>
        <v>0</v>
      </c>
      <c r="N88" s="79">
        <f>المهني!BD12</f>
        <v>0</v>
      </c>
      <c r="O88" s="79">
        <f>المهني!BE12</f>
        <v>0</v>
      </c>
      <c r="P88" s="77">
        <v>0</v>
      </c>
      <c r="Q88" s="77">
        <v>0</v>
      </c>
      <c r="R88" s="12">
        <f t="shared" si="36"/>
        <v>0</v>
      </c>
      <c r="S88" s="12">
        <f t="shared" si="36"/>
        <v>0</v>
      </c>
      <c r="T88" s="12">
        <f>S88+R88</f>
        <v>0</v>
      </c>
    </row>
    <row r="89" spans="1:20" ht="30" customHeight="1" thickTop="1" thickBot="1">
      <c r="A89" s="371"/>
      <c r="B89" s="372" t="s">
        <v>145</v>
      </c>
      <c r="C89" s="372"/>
      <c r="D89" s="78"/>
      <c r="E89" s="78"/>
      <c r="F89" s="78"/>
      <c r="G89" s="78"/>
      <c r="H89" s="12">
        <f>المهني!BI12</f>
        <v>0</v>
      </c>
      <c r="I89" s="12">
        <f>المهني!BJ12</f>
        <v>0</v>
      </c>
      <c r="J89" s="12">
        <f>المهني!BK12</f>
        <v>0</v>
      </c>
      <c r="K89" s="12">
        <f>المهني!BL12</f>
        <v>0</v>
      </c>
      <c r="L89" s="12">
        <f>المهني!BM12</f>
        <v>0</v>
      </c>
      <c r="M89" s="12">
        <f>المهني!BN12</f>
        <v>0</v>
      </c>
      <c r="N89" s="79">
        <f>المهني!BO12</f>
        <v>0</v>
      </c>
      <c r="O89" s="79">
        <f>المهني!BP12</f>
        <v>0</v>
      </c>
      <c r="P89" s="79">
        <f>المهني!BQ12</f>
        <v>0</v>
      </c>
      <c r="Q89" s="79">
        <f>المهني!BR12</f>
        <v>0</v>
      </c>
      <c r="R89" s="12">
        <f t="shared" si="36"/>
        <v>0</v>
      </c>
      <c r="S89" s="12">
        <f t="shared" si="36"/>
        <v>0</v>
      </c>
      <c r="T89" s="12">
        <f>S89+R89</f>
        <v>0</v>
      </c>
    </row>
    <row r="90" spans="1:20" ht="30" customHeight="1" thickTop="1" thickBot="1">
      <c r="A90" s="371"/>
      <c r="B90" s="372" t="s">
        <v>25</v>
      </c>
      <c r="C90" s="372"/>
      <c r="D90" s="12">
        <f t="shared" ref="D90:T90" si="37">D89+D88+D87</f>
        <v>0</v>
      </c>
      <c r="E90" s="12">
        <f t="shared" si="37"/>
        <v>0</v>
      </c>
      <c r="F90" s="12">
        <f t="shared" si="37"/>
        <v>0</v>
      </c>
      <c r="G90" s="12">
        <f t="shared" si="37"/>
        <v>0</v>
      </c>
      <c r="H90" s="12">
        <f t="shared" si="37"/>
        <v>0</v>
      </c>
      <c r="I90" s="12">
        <f t="shared" si="37"/>
        <v>0</v>
      </c>
      <c r="J90" s="12">
        <f t="shared" si="37"/>
        <v>0</v>
      </c>
      <c r="K90" s="12">
        <f t="shared" si="37"/>
        <v>0</v>
      </c>
      <c r="L90" s="12">
        <f t="shared" si="37"/>
        <v>0</v>
      </c>
      <c r="M90" s="12">
        <f t="shared" si="37"/>
        <v>0</v>
      </c>
      <c r="N90" s="12">
        <f t="shared" si="37"/>
        <v>0</v>
      </c>
      <c r="O90" s="12">
        <f t="shared" si="37"/>
        <v>0</v>
      </c>
      <c r="P90" s="12">
        <f t="shared" si="37"/>
        <v>0</v>
      </c>
      <c r="Q90" s="12">
        <f t="shared" si="37"/>
        <v>0</v>
      </c>
      <c r="R90" s="12">
        <f t="shared" si="37"/>
        <v>0</v>
      </c>
      <c r="S90" s="12">
        <f t="shared" si="37"/>
        <v>0</v>
      </c>
      <c r="T90" s="12">
        <f t="shared" si="37"/>
        <v>0</v>
      </c>
    </row>
    <row r="91" spans="1:20" ht="30" customHeight="1" thickTop="1" thickBot="1">
      <c r="A91" s="371" t="s">
        <v>122</v>
      </c>
      <c r="B91" s="372" t="s">
        <v>143</v>
      </c>
      <c r="C91" s="372"/>
      <c r="D91" s="12">
        <f>المهني!AI28</f>
        <v>0</v>
      </c>
      <c r="E91" s="12">
        <f>المهني!AJ28</f>
        <v>0</v>
      </c>
      <c r="F91" s="12">
        <f>المهني!AK28</f>
        <v>0</v>
      </c>
      <c r="G91" s="12">
        <f>المهني!AL28</f>
        <v>0</v>
      </c>
      <c r="H91" s="12">
        <f>المهني!AM28</f>
        <v>0</v>
      </c>
      <c r="I91" s="12">
        <f>المهني!AN28</f>
        <v>0</v>
      </c>
      <c r="J91" s="12">
        <f>المهني!AO28</f>
        <v>0</v>
      </c>
      <c r="K91" s="12">
        <f>المهني!AP28</f>
        <v>0</v>
      </c>
      <c r="L91" s="12">
        <f>المهني!AQ28</f>
        <v>0</v>
      </c>
      <c r="M91" s="12">
        <f>المهني!AR28</f>
        <v>0</v>
      </c>
      <c r="N91" s="77">
        <v>0</v>
      </c>
      <c r="O91" s="77">
        <v>0</v>
      </c>
      <c r="P91" s="77">
        <v>0</v>
      </c>
      <c r="Q91" s="77">
        <v>0</v>
      </c>
      <c r="R91" s="12">
        <f t="shared" ref="R91:S98" si="38">P91+N91+L91+J91+H91+F91+D91</f>
        <v>0</v>
      </c>
      <c r="S91" s="12">
        <f t="shared" si="38"/>
        <v>0</v>
      </c>
      <c r="T91" s="12">
        <f t="shared" ref="T91:T114" si="39">S91+R91</f>
        <v>0</v>
      </c>
    </row>
    <row r="92" spans="1:20" ht="30" customHeight="1" thickTop="1" thickBot="1">
      <c r="A92" s="371"/>
      <c r="B92" s="372" t="s">
        <v>144</v>
      </c>
      <c r="C92" s="372"/>
      <c r="D92" s="78"/>
      <c r="E92" s="78"/>
      <c r="F92" s="12">
        <f>المهني!AV28</f>
        <v>0</v>
      </c>
      <c r="G92" s="12">
        <f>المهني!AW28</f>
        <v>0</v>
      </c>
      <c r="H92" s="12">
        <f>المهني!AX28</f>
        <v>0</v>
      </c>
      <c r="I92" s="12">
        <f>المهني!AY28</f>
        <v>0</v>
      </c>
      <c r="J92" s="12">
        <f>المهني!AZ28</f>
        <v>0</v>
      </c>
      <c r="K92" s="12">
        <f>المهني!BA28</f>
        <v>0</v>
      </c>
      <c r="L92" s="12">
        <f>المهني!BB28</f>
        <v>0</v>
      </c>
      <c r="M92" s="12">
        <f>المهني!BC28</f>
        <v>0</v>
      </c>
      <c r="N92" s="79">
        <f>المهني!BD28</f>
        <v>0</v>
      </c>
      <c r="O92" s="79">
        <f>المهني!BE28</f>
        <v>0</v>
      </c>
      <c r="P92" s="77">
        <v>0</v>
      </c>
      <c r="Q92" s="77">
        <v>0</v>
      </c>
      <c r="R92" s="12">
        <f t="shared" si="38"/>
        <v>0</v>
      </c>
      <c r="S92" s="12">
        <f t="shared" si="38"/>
        <v>0</v>
      </c>
      <c r="T92" s="12">
        <f t="shared" si="39"/>
        <v>0</v>
      </c>
    </row>
    <row r="93" spans="1:20" ht="30" customHeight="1" thickTop="1" thickBot="1">
      <c r="A93" s="371"/>
      <c r="B93" s="372" t="s">
        <v>145</v>
      </c>
      <c r="C93" s="372"/>
      <c r="D93" s="78"/>
      <c r="E93" s="78"/>
      <c r="F93" s="78"/>
      <c r="G93" s="78"/>
      <c r="H93" s="12">
        <f>المهني!BI28</f>
        <v>0</v>
      </c>
      <c r="I93" s="12">
        <f>المهني!BJ28</f>
        <v>0</v>
      </c>
      <c r="J93" s="12">
        <f>المهني!BK28</f>
        <v>0</v>
      </c>
      <c r="K93" s="12">
        <f>المهني!BL28</f>
        <v>0</v>
      </c>
      <c r="L93" s="12">
        <f>المهني!BM28</f>
        <v>0</v>
      </c>
      <c r="M93" s="12">
        <f>المهني!BN28</f>
        <v>0</v>
      </c>
      <c r="N93" s="79">
        <f>المهني!BO28</f>
        <v>0</v>
      </c>
      <c r="O93" s="79">
        <f>المهني!BP28</f>
        <v>0</v>
      </c>
      <c r="P93" s="79">
        <f>المهني!BQ28</f>
        <v>0</v>
      </c>
      <c r="Q93" s="79">
        <f>المهني!BR28</f>
        <v>0</v>
      </c>
      <c r="R93" s="12">
        <f t="shared" si="38"/>
        <v>0</v>
      </c>
      <c r="S93" s="12">
        <f t="shared" si="38"/>
        <v>0</v>
      </c>
      <c r="T93" s="12">
        <f t="shared" si="39"/>
        <v>0</v>
      </c>
    </row>
    <row r="94" spans="1:20" ht="30" customHeight="1" thickTop="1" thickBot="1">
      <c r="A94" s="371"/>
      <c r="B94" s="372" t="s">
        <v>25</v>
      </c>
      <c r="C94" s="372"/>
      <c r="D94" s="12">
        <f t="shared" ref="D94:Q94" si="40">D93+D92+D91</f>
        <v>0</v>
      </c>
      <c r="E94" s="12">
        <f t="shared" si="40"/>
        <v>0</v>
      </c>
      <c r="F94" s="12">
        <f t="shared" si="40"/>
        <v>0</v>
      </c>
      <c r="G94" s="12">
        <f t="shared" si="40"/>
        <v>0</v>
      </c>
      <c r="H94" s="12">
        <f t="shared" si="40"/>
        <v>0</v>
      </c>
      <c r="I94" s="12">
        <f t="shared" si="40"/>
        <v>0</v>
      </c>
      <c r="J94" s="12">
        <f t="shared" si="40"/>
        <v>0</v>
      </c>
      <c r="K94" s="12">
        <f t="shared" si="40"/>
        <v>0</v>
      </c>
      <c r="L94" s="12">
        <f t="shared" si="40"/>
        <v>0</v>
      </c>
      <c r="M94" s="12">
        <f t="shared" si="40"/>
        <v>0</v>
      </c>
      <c r="N94" s="12">
        <f t="shared" si="40"/>
        <v>0</v>
      </c>
      <c r="O94" s="12">
        <f t="shared" si="40"/>
        <v>0</v>
      </c>
      <c r="P94" s="12">
        <f t="shared" si="40"/>
        <v>0</v>
      </c>
      <c r="Q94" s="12">
        <f t="shared" si="40"/>
        <v>0</v>
      </c>
      <c r="R94" s="12">
        <f t="shared" si="38"/>
        <v>0</v>
      </c>
      <c r="S94" s="12">
        <f t="shared" si="38"/>
        <v>0</v>
      </c>
      <c r="T94" s="12">
        <f t="shared" si="39"/>
        <v>0</v>
      </c>
    </row>
    <row r="95" spans="1:20" ht="30" customHeight="1" thickTop="1" thickBot="1">
      <c r="A95" s="371" t="s">
        <v>123</v>
      </c>
      <c r="B95" s="372" t="s">
        <v>143</v>
      </c>
      <c r="C95" s="372"/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77">
        <v>0</v>
      </c>
      <c r="O95" s="77">
        <v>0</v>
      </c>
      <c r="P95" s="77">
        <v>0</v>
      </c>
      <c r="Q95" s="77">
        <v>0</v>
      </c>
      <c r="R95" s="12">
        <f t="shared" si="38"/>
        <v>0</v>
      </c>
      <c r="S95" s="12">
        <f t="shared" si="38"/>
        <v>0</v>
      </c>
      <c r="T95" s="12">
        <f t="shared" si="39"/>
        <v>0</v>
      </c>
    </row>
    <row r="96" spans="1:20" ht="30" customHeight="1" thickTop="1" thickBot="1">
      <c r="A96" s="371"/>
      <c r="B96" s="372" t="s">
        <v>144</v>
      </c>
      <c r="C96" s="372"/>
      <c r="D96" s="78"/>
      <c r="E96" s="78"/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79">
        <v>0</v>
      </c>
      <c r="O96" s="79">
        <v>0</v>
      </c>
      <c r="P96" s="77">
        <v>0</v>
      </c>
      <c r="Q96" s="77">
        <v>0</v>
      </c>
      <c r="R96" s="12">
        <f t="shared" si="38"/>
        <v>0</v>
      </c>
      <c r="S96" s="12">
        <f t="shared" si="38"/>
        <v>0</v>
      </c>
      <c r="T96" s="12">
        <f t="shared" si="39"/>
        <v>0</v>
      </c>
    </row>
    <row r="97" spans="1:20" ht="30" customHeight="1" thickTop="1" thickBot="1">
      <c r="A97" s="371"/>
      <c r="B97" s="372" t="s">
        <v>145</v>
      </c>
      <c r="C97" s="372"/>
      <c r="D97" s="78"/>
      <c r="E97" s="78"/>
      <c r="F97" s="78"/>
      <c r="G97" s="78"/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79">
        <v>0</v>
      </c>
      <c r="O97" s="79">
        <v>0</v>
      </c>
      <c r="P97" s="79">
        <v>0</v>
      </c>
      <c r="Q97" s="79">
        <v>0</v>
      </c>
      <c r="R97" s="12">
        <f t="shared" si="38"/>
        <v>0</v>
      </c>
      <c r="S97" s="12">
        <f t="shared" si="38"/>
        <v>0</v>
      </c>
      <c r="T97" s="12">
        <f t="shared" si="39"/>
        <v>0</v>
      </c>
    </row>
    <row r="98" spans="1:20" ht="30" customHeight="1" thickTop="1" thickBot="1">
      <c r="A98" s="371"/>
      <c r="B98" s="372" t="s">
        <v>25</v>
      </c>
      <c r="C98" s="372"/>
      <c r="D98" s="12">
        <f t="shared" ref="D98:Q98" si="41">D97+D96+D95</f>
        <v>0</v>
      </c>
      <c r="E98" s="12">
        <f t="shared" si="41"/>
        <v>0</v>
      </c>
      <c r="F98" s="12">
        <f t="shared" si="41"/>
        <v>0</v>
      </c>
      <c r="G98" s="12">
        <f t="shared" si="41"/>
        <v>0</v>
      </c>
      <c r="H98" s="12">
        <f t="shared" si="41"/>
        <v>0</v>
      </c>
      <c r="I98" s="12">
        <f t="shared" si="41"/>
        <v>0</v>
      </c>
      <c r="J98" s="12">
        <f t="shared" si="41"/>
        <v>0</v>
      </c>
      <c r="K98" s="12">
        <f t="shared" si="41"/>
        <v>0</v>
      </c>
      <c r="L98" s="12">
        <f t="shared" si="41"/>
        <v>0</v>
      </c>
      <c r="M98" s="12">
        <f t="shared" si="41"/>
        <v>0</v>
      </c>
      <c r="N98" s="12">
        <f t="shared" si="41"/>
        <v>0</v>
      </c>
      <c r="O98" s="12">
        <f t="shared" si="41"/>
        <v>0</v>
      </c>
      <c r="P98" s="12">
        <f t="shared" si="41"/>
        <v>0</v>
      </c>
      <c r="Q98" s="12">
        <f t="shared" si="41"/>
        <v>0</v>
      </c>
      <c r="R98" s="12">
        <f t="shared" si="38"/>
        <v>0</v>
      </c>
      <c r="S98" s="12">
        <f t="shared" si="38"/>
        <v>0</v>
      </c>
      <c r="T98" s="12">
        <f t="shared" si="39"/>
        <v>0</v>
      </c>
    </row>
    <row r="99" spans="1:20" ht="30" customHeight="1" thickTop="1" thickBot="1">
      <c r="A99" s="371" t="s">
        <v>211</v>
      </c>
      <c r="B99" s="372" t="s">
        <v>143</v>
      </c>
      <c r="C99" s="372"/>
      <c r="D99" s="80"/>
      <c r="E99" s="81">
        <v>0</v>
      </c>
      <c r="F99" s="80"/>
      <c r="G99" s="81">
        <v>0</v>
      </c>
      <c r="H99" s="80"/>
      <c r="I99" s="81">
        <v>0</v>
      </c>
      <c r="J99" s="80"/>
      <c r="K99" s="81">
        <v>0</v>
      </c>
      <c r="L99" s="80"/>
      <c r="M99" s="81">
        <v>0</v>
      </c>
      <c r="N99" s="80"/>
      <c r="O99" s="77">
        <v>0</v>
      </c>
      <c r="P99" s="80"/>
      <c r="Q99" s="77">
        <v>0</v>
      </c>
      <c r="R99" s="80"/>
      <c r="S99" s="12">
        <f t="shared" ref="S99:S114" si="42">Q99+O99+M99+K99+I99+G99+E99</f>
        <v>0</v>
      </c>
      <c r="T99" s="12">
        <f t="shared" si="39"/>
        <v>0</v>
      </c>
    </row>
    <row r="100" spans="1:20" ht="30" customHeight="1" thickTop="1" thickBot="1">
      <c r="A100" s="371"/>
      <c r="B100" s="372" t="s">
        <v>144</v>
      </c>
      <c r="C100" s="372"/>
      <c r="D100" s="80"/>
      <c r="E100" s="78"/>
      <c r="F100" s="80"/>
      <c r="G100" s="12">
        <v>0</v>
      </c>
      <c r="H100" s="80"/>
      <c r="I100" s="81">
        <v>0</v>
      </c>
      <c r="J100" s="80"/>
      <c r="K100" s="81">
        <v>0</v>
      </c>
      <c r="L100" s="80"/>
      <c r="M100" s="81">
        <v>0</v>
      </c>
      <c r="N100" s="80"/>
      <c r="O100" s="79">
        <v>0</v>
      </c>
      <c r="P100" s="80"/>
      <c r="Q100" s="77">
        <v>0</v>
      </c>
      <c r="R100" s="80"/>
      <c r="S100" s="12">
        <f t="shared" si="42"/>
        <v>0</v>
      </c>
      <c r="T100" s="12">
        <f t="shared" si="39"/>
        <v>0</v>
      </c>
    </row>
    <row r="101" spans="1:20" ht="30" customHeight="1" thickTop="1" thickBot="1">
      <c r="A101" s="371"/>
      <c r="B101" s="372" t="s">
        <v>145</v>
      </c>
      <c r="C101" s="372"/>
      <c r="D101" s="80"/>
      <c r="E101" s="78"/>
      <c r="F101" s="80"/>
      <c r="G101" s="78"/>
      <c r="H101" s="80"/>
      <c r="I101" s="81">
        <v>0</v>
      </c>
      <c r="J101" s="80"/>
      <c r="K101" s="81">
        <v>0</v>
      </c>
      <c r="L101" s="80"/>
      <c r="M101" s="81">
        <v>0</v>
      </c>
      <c r="N101" s="80"/>
      <c r="O101" s="79">
        <v>0</v>
      </c>
      <c r="P101" s="80"/>
      <c r="Q101" s="79">
        <v>0</v>
      </c>
      <c r="R101" s="80"/>
      <c r="S101" s="12">
        <f t="shared" si="42"/>
        <v>0</v>
      </c>
      <c r="T101" s="12">
        <f t="shared" si="39"/>
        <v>0</v>
      </c>
    </row>
    <row r="102" spans="1:20" ht="30" customHeight="1" thickTop="1" thickBot="1">
      <c r="A102" s="371"/>
      <c r="B102" s="372" t="s">
        <v>25</v>
      </c>
      <c r="C102" s="372"/>
      <c r="D102" s="80"/>
      <c r="E102" s="81">
        <f>E101+E100+E99</f>
        <v>0</v>
      </c>
      <c r="F102" s="80"/>
      <c r="G102" s="81">
        <f>G101+G100+G99</f>
        <v>0</v>
      </c>
      <c r="H102" s="80"/>
      <c r="I102" s="81">
        <f>I101+I100+I99</f>
        <v>0</v>
      </c>
      <c r="J102" s="80"/>
      <c r="K102" s="81">
        <f>K101+K100+K99</f>
        <v>0</v>
      </c>
      <c r="L102" s="80"/>
      <c r="M102" s="81">
        <f>M101+M100+M99</f>
        <v>0</v>
      </c>
      <c r="N102" s="80"/>
      <c r="O102" s="81">
        <f>O101+O100+O99</f>
        <v>0</v>
      </c>
      <c r="P102" s="80"/>
      <c r="Q102" s="81">
        <f>Q101+Q100+Q99</f>
        <v>0</v>
      </c>
      <c r="R102" s="80"/>
      <c r="S102" s="12">
        <f>Q102+O102+M102+K102+I102+G102+E102</f>
        <v>0</v>
      </c>
      <c r="T102" s="12">
        <f t="shared" si="39"/>
        <v>0</v>
      </c>
    </row>
    <row r="103" spans="1:20" ht="30" customHeight="1" thickTop="1" thickBot="1">
      <c r="A103" s="371" t="s">
        <v>459</v>
      </c>
      <c r="B103" s="372" t="s">
        <v>143</v>
      </c>
      <c r="C103" s="372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147">
        <f t="shared" ref="R103:S106" si="43">P103+N103+L103+J103+H103+F103+D103</f>
        <v>0</v>
      </c>
      <c r="S103" s="147">
        <f t="shared" si="43"/>
        <v>0</v>
      </c>
      <c r="T103" s="147">
        <f t="shared" ref="T103:T106" si="44">S103+R103</f>
        <v>0</v>
      </c>
    </row>
    <row r="104" spans="1:20" ht="30" customHeight="1" thickTop="1" thickBot="1">
      <c r="A104" s="371"/>
      <c r="B104" s="372" t="s">
        <v>144</v>
      </c>
      <c r="C104" s="372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147">
        <f t="shared" si="43"/>
        <v>0</v>
      </c>
      <c r="S104" s="147">
        <f t="shared" si="43"/>
        <v>0</v>
      </c>
      <c r="T104" s="147">
        <f t="shared" si="44"/>
        <v>0</v>
      </c>
    </row>
    <row r="105" spans="1:20" ht="30" customHeight="1" thickTop="1" thickBot="1">
      <c r="A105" s="371"/>
      <c r="B105" s="372" t="s">
        <v>145</v>
      </c>
      <c r="C105" s="372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147">
        <f t="shared" si="43"/>
        <v>0</v>
      </c>
      <c r="S105" s="147">
        <f t="shared" si="43"/>
        <v>0</v>
      </c>
      <c r="T105" s="147">
        <f t="shared" si="44"/>
        <v>0</v>
      </c>
    </row>
    <row r="106" spans="1:20" ht="30" customHeight="1" thickTop="1" thickBot="1">
      <c r="A106" s="371"/>
      <c r="B106" s="372" t="s">
        <v>25</v>
      </c>
      <c r="C106" s="372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147">
        <f t="shared" si="43"/>
        <v>0</v>
      </c>
      <c r="S106" s="147">
        <f t="shared" si="43"/>
        <v>0</v>
      </c>
      <c r="T106" s="147">
        <f t="shared" si="44"/>
        <v>0</v>
      </c>
    </row>
    <row r="107" spans="1:20" ht="30" customHeight="1" thickTop="1" thickBot="1">
      <c r="A107" s="373" t="s">
        <v>387</v>
      </c>
      <c r="B107" s="372" t="s">
        <v>143</v>
      </c>
      <c r="C107" s="372"/>
      <c r="D107" s="12" t="e">
        <f>المهني!#REF!</f>
        <v>#REF!</v>
      </c>
      <c r="E107" s="12" t="e">
        <f>المهني!#REF!</f>
        <v>#REF!</v>
      </c>
      <c r="F107" s="12" t="e">
        <f>المهني!#REF!</f>
        <v>#REF!</v>
      </c>
      <c r="G107" s="12" t="e">
        <f>المهني!#REF!</f>
        <v>#REF!</v>
      </c>
      <c r="H107" s="12" t="e">
        <f>المهني!#REF!</f>
        <v>#REF!</v>
      </c>
      <c r="I107" s="12" t="e">
        <f>المهني!#REF!</f>
        <v>#REF!</v>
      </c>
      <c r="J107" s="12" t="e">
        <f>المهني!#REF!</f>
        <v>#REF!</v>
      </c>
      <c r="K107" s="12" t="e">
        <f>المهني!#REF!</f>
        <v>#REF!</v>
      </c>
      <c r="L107" s="12" t="e">
        <f>المهني!#REF!</f>
        <v>#REF!</v>
      </c>
      <c r="M107" s="12" t="e">
        <f>المهني!#REF!</f>
        <v>#REF!</v>
      </c>
      <c r="N107" s="77"/>
      <c r="O107" s="77"/>
      <c r="P107" s="77"/>
      <c r="Q107" s="77"/>
      <c r="R107" s="12" t="e">
        <f t="shared" ref="R107:R114" si="45">P107+N107+L107+J107+H107+F107+D107</f>
        <v>#REF!</v>
      </c>
      <c r="S107" s="12" t="e">
        <f t="shared" si="42"/>
        <v>#REF!</v>
      </c>
      <c r="T107" s="12" t="e">
        <f t="shared" si="39"/>
        <v>#REF!</v>
      </c>
    </row>
    <row r="108" spans="1:20" ht="30" customHeight="1" thickTop="1" thickBot="1">
      <c r="A108" s="374"/>
      <c r="B108" s="372" t="s">
        <v>144</v>
      </c>
      <c r="C108" s="372"/>
      <c r="D108" s="78"/>
      <c r="E108" s="78"/>
      <c r="F108" s="12" t="e">
        <f>المهني!#REF!</f>
        <v>#REF!</v>
      </c>
      <c r="G108" s="12" t="e">
        <f>المهني!#REF!</f>
        <v>#REF!</v>
      </c>
      <c r="H108" s="12" t="e">
        <f>المهني!#REF!</f>
        <v>#REF!</v>
      </c>
      <c r="I108" s="12" t="e">
        <f>المهني!#REF!</f>
        <v>#REF!</v>
      </c>
      <c r="J108" s="12" t="e">
        <f>المهني!#REF!</f>
        <v>#REF!</v>
      </c>
      <c r="K108" s="12" t="e">
        <f>المهني!#REF!</f>
        <v>#REF!</v>
      </c>
      <c r="L108" s="12" t="e">
        <f>المهني!#REF!</f>
        <v>#REF!</v>
      </c>
      <c r="M108" s="12" t="e">
        <f>المهني!#REF!</f>
        <v>#REF!</v>
      </c>
      <c r="N108" s="12" t="e">
        <f>المهني!#REF!</f>
        <v>#REF!</v>
      </c>
      <c r="O108" s="12" t="e">
        <f>المهني!#REF!</f>
        <v>#REF!</v>
      </c>
      <c r="P108" s="77"/>
      <c r="Q108" s="77"/>
      <c r="R108" s="12" t="e">
        <f t="shared" si="45"/>
        <v>#REF!</v>
      </c>
      <c r="S108" s="12" t="e">
        <f t="shared" si="42"/>
        <v>#REF!</v>
      </c>
      <c r="T108" s="12" t="e">
        <f t="shared" si="39"/>
        <v>#REF!</v>
      </c>
    </row>
    <row r="109" spans="1:20" ht="30" customHeight="1" thickTop="1" thickBot="1">
      <c r="A109" s="374"/>
      <c r="B109" s="372" t="s">
        <v>145</v>
      </c>
      <c r="C109" s="372"/>
      <c r="D109" s="78"/>
      <c r="E109" s="78"/>
      <c r="F109" s="78"/>
      <c r="G109" s="78"/>
      <c r="H109" s="12" t="e">
        <f>المهني!#REF!</f>
        <v>#REF!</v>
      </c>
      <c r="I109" s="12" t="e">
        <f>المهني!#REF!</f>
        <v>#REF!</v>
      </c>
      <c r="J109" s="12" t="e">
        <f>المهني!#REF!</f>
        <v>#REF!</v>
      </c>
      <c r="K109" s="12" t="e">
        <f>المهني!#REF!</f>
        <v>#REF!</v>
      </c>
      <c r="L109" s="12" t="e">
        <f>المهني!#REF!</f>
        <v>#REF!</v>
      </c>
      <c r="M109" s="12" t="e">
        <f>المهني!#REF!</f>
        <v>#REF!</v>
      </c>
      <c r="N109" s="12" t="e">
        <f>المهني!#REF!</f>
        <v>#REF!</v>
      </c>
      <c r="O109" s="12" t="e">
        <f>المهني!#REF!</f>
        <v>#REF!</v>
      </c>
      <c r="P109" s="12" t="e">
        <f>المهني!#REF!</f>
        <v>#REF!</v>
      </c>
      <c r="Q109" s="12" t="e">
        <f>المهني!#REF!</f>
        <v>#REF!</v>
      </c>
      <c r="R109" s="12" t="e">
        <f t="shared" si="45"/>
        <v>#REF!</v>
      </c>
      <c r="S109" s="12" t="e">
        <f t="shared" si="42"/>
        <v>#REF!</v>
      </c>
      <c r="T109" s="12" t="e">
        <f t="shared" si="39"/>
        <v>#REF!</v>
      </c>
    </row>
    <row r="110" spans="1:20" ht="30" customHeight="1" thickTop="1" thickBot="1">
      <c r="A110" s="375"/>
      <c r="B110" s="372" t="s">
        <v>25</v>
      </c>
      <c r="C110" s="372"/>
      <c r="D110" s="12" t="e">
        <f t="shared" ref="D110:Q110" si="46">SUM(D107:D109)</f>
        <v>#REF!</v>
      </c>
      <c r="E110" s="12" t="e">
        <f t="shared" si="46"/>
        <v>#REF!</v>
      </c>
      <c r="F110" s="12" t="e">
        <f t="shared" si="46"/>
        <v>#REF!</v>
      </c>
      <c r="G110" s="12" t="e">
        <f t="shared" si="46"/>
        <v>#REF!</v>
      </c>
      <c r="H110" s="12" t="e">
        <f t="shared" si="46"/>
        <v>#REF!</v>
      </c>
      <c r="I110" s="12" t="e">
        <f t="shared" si="46"/>
        <v>#REF!</v>
      </c>
      <c r="J110" s="12" t="e">
        <f t="shared" si="46"/>
        <v>#REF!</v>
      </c>
      <c r="K110" s="12" t="e">
        <f t="shared" si="46"/>
        <v>#REF!</v>
      </c>
      <c r="L110" s="12" t="e">
        <f t="shared" si="46"/>
        <v>#REF!</v>
      </c>
      <c r="M110" s="12" t="e">
        <f t="shared" si="46"/>
        <v>#REF!</v>
      </c>
      <c r="N110" s="12" t="e">
        <f t="shared" si="46"/>
        <v>#REF!</v>
      </c>
      <c r="O110" s="12" t="e">
        <f t="shared" si="46"/>
        <v>#REF!</v>
      </c>
      <c r="P110" s="12" t="e">
        <f t="shared" si="46"/>
        <v>#REF!</v>
      </c>
      <c r="Q110" s="12" t="e">
        <f t="shared" si="46"/>
        <v>#REF!</v>
      </c>
      <c r="R110" s="12" t="e">
        <f t="shared" si="45"/>
        <v>#REF!</v>
      </c>
      <c r="S110" s="12" t="e">
        <f t="shared" si="42"/>
        <v>#REF!</v>
      </c>
      <c r="T110" s="12" t="e">
        <f t="shared" si="39"/>
        <v>#REF!</v>
      </c>
    </row>
    <row r="111" spans="1:20" ht="30" customHeight="1" thickTop="1" thickBot="1">
      <c r="A111" s="371" t="s">
        <v>137</v>
      </c>
      <c r="B111" s="372" t="s">
        <v>143</v>
      </c>
      <c r="C111" s="372"/>
      <c r="D111" s="12" t="e">
        <f t="shared" ref="D111:M111" si="47">D99+D95+D91+D87+D107</f>
        <v>#REF!</v>
      </c>
      <c r="E111" s="12" t="e">
        <f t="shared" si="47"/>
        <v>#REF!</v>
      </c>
      <c r="F111" s="12" t="e">
        <f t="shared" si="47"/>
        <v>#REF!</v>
      </c>
      <c r="G111" s="12" t="e">
        <f t="shared" si="47"/>
        <v>#REF!</v>
      </c>
      <c r="H111" s="12" t="e">
        <f t="shared" si="47"/>
        <v>#REF!</v>
      </c>
      <c r="I111" s="12" t="e">
        <f t="shared" si="47"/>
        <v>#REF!</v>
      </c>
      <c r="J111" s="12" t="e">
        <f t="shared" si="47"/>
        <v>#REF!</v>
      </c>
      <c r="K111" s="12" t="e">
        <f t="shared" si="47"/>
        <v>#REF!</v>
      </c>
      <c r="L111" s="12" t="e">
        <f t="shared" si="47"/>
        <v>#REF!</v>
      </c>
      <c r="M111" s="12" t="e">
        <f t="shared" si="47"/>
        <v>#REF!</v>
      </c>
      <c r="N111" s="77">
        <f>N99+N95+N91+N87</f>
        <v>0</v>
      </c>
      <c r="O111" s="77">
        <f>O99+O95+O91+O87</f>
        <v>0</v>
      </c>
      <c r="P111" s="77">
        <f>P99+P95+P91+P87</f>
        <v>0</v>
      </c>
      <c r="Q111" s="77">
        <f>Q99+Q95+Q91+Q87</f>
        <v>0</v>
      </c>
      <c r="R111" s="12" t="e">
        <f t="shared" si="45"/>
        <v>#REF!</v>
      </c>
      <c r="S111" s="12" t="e">
        <f t="shared" si="42"/>
        <v>#REF!</v>
      </c>
      <c r="T111" s="12" t="e">
        <f t="shared" si="39"/>
        <v>#REF!</v>
      </c>
    </row>
    <row r="112" spans="1:20" ht="30" customHeight="1" thickTop="1" thickBot="1">
      <c r="A112" s="371"/>
      <c r="B112" s="372" t="s">
        <v>144</v>
      </c>
      <c r="C112" s="372"/>
      <c r="D112" s="78">
        <f>D100+D96+D92+D88</f>
        <v>0</v>
      </c>
      <c r="E112" s="78">
        <f>E100+E96+E92+E88</f>
        <v>0</v>
      </c>
      <c r="F112" s="12" t="e">
        <f t="shared" ref="F112:O112" si="48">F100+F96+F92+F88+F108</f>
        <v>#REF!</v>
      </c>
      <c r="G112" s="12" t="e">
        <f t="shared" si="48"/>
        <v>#REF!</v>
      </c>
      <c r="H112" s="12" t="e">
        <f t="shared" si="48"/>
        <v>#REF!</v>
      </c>
      <c r="I112" s="12" t="e">
        <f t="shared" si="48"/>
        <v>#REF!</v>
      </c>
      <c r="J112" s="12" t="e">
        <f t="shared" si="48"/>
        <v>#REF!</v>
      </c>
      <c r="K112" s="12" t="e">
        <f t="shared" si="48"/>
        <v>#REF!</v>
      </c>
      <c r="L112" s="12" t="e">
        <f t="shared" si="48"/>
        <v>#REF!</v>
      </c>
      <c r="M112" s="12" t="e">
        <f t="shared" si="48"/>
        <v>#REF!</v>
      </c>
      <c r="N112" s="12" t="e">
        <f t="shared" si="48"/>
        <v>#REF!</v>
      </c>
      <c r="O112" s="12" t="e">
        <f t="shared" si="48"/>
        <v>#REF!</v>
      </c>
      <c r="P112" s="77">
        <f>P100+P96+P92+P88</f>
        <v>0</v>
      </c>
      <c r="Q112" s="77">
        <f>Q100+Q96+Q92+Q88</f>
        <v>0</v>
      </c>
      <c r="R112" s="12" t="e">
        <f t="shared" si="45"/>
        <v>#REF!</v>
      </c>
      <c r="S112" s="12" t="e">
        <f t="shared" si="42"/>
        <v>#REF!</v>
      </c>
      <c r="T112" s="12" t="e">
        <f t="shared" si="39"/>
        <v>#REF!</v>
      </c>
    </row>
    <row r="113" spans="1:20" ht="30" customHeight="1" thickTop="1" thickBot="1">
      <c r="A113" s="371"/>
      <c r="B113" s="372" t="s">
        <v>145</v>
      </c>
      <c r="C113" s="372"/>
      <c r="D113" s="78">
        <f>D101+D97+D93+D89</f>
        <v>0</v>
      </c>
      <c r="E113" s="78">
        <f>E101+E97+E93+E89</f>
        <v>0</v>
      </c>
      <c r="F113" s="78">
        <f>F101+F97+F93+F89</f>
        <v>0</v>
      </c>
      <c r="G113" s="78">
        <f>G101+G97+G93+G89</f>
        <v>0</v>
      </c>
      <c r="H113" s="12" t="e">
        <f t="shared" ref="H113:Q113" si="49">H101+H97+H93+H89+H109</f>
        <v>#REF!</v>
      </c>
      <c r="I113" s="12" t="e">
        <f t="shared" si="49"/>
        <v>#REF!</v>
      </c>
      <c r="J113" s="12" t="e">
        <f t="shared" si="49"/>
        <v>#REF!</v>
      </c>
      <c r="K113" s="12" t="e">
        <f t="shared" si="49"/>
        <v>#REF!</v>
      </c>
      <c r="L113" s="12" t="e">
        <f t="shared" si="49"/>
        <v>#REF!</v>
      </c>
      <c r="M113" s="12" t="e">
        <f t="shared" si="49"/>
        <v>#REF!</v>
      </c>
      <c r="N113" s="12" t="e">
        <f t="shared" si="49"/>
        <v>#REF!</v>
      </c>
      <c r="O113" s="12" t="e">
        <f t="shared" si="49"/>
        <v>#REF!</v>
      </c>
      <c r="P113" s="12" t="e">
        <f t="shared" si="49"/>
        <v>#REF!</v>
      </c>
      <c r="Q113" s="12" t="e">
        <f t="shared" si="49"/>
        <v>#REF!</v>
      </c>
      <c r="R113" s="12" t="e">
        <f t="shared" si="45"/>
        <v>#REF!</v>
      </c>
      <c r="S113" s="12" t="e">
        <f t="shared" si="42"/>
        <v>#REF!</v>
      </c>
      <c r="T113" s="12" t="e">
        <f t="shared" si="39"/>
        <v>#REF!</v>
      </c>
    </row>
    <row r="114" spans="1:20" ht="30" customHeight="1" thickTop="1" thickBot="1">
      <c r="A114" s="371"/>
      <c r="B114" s="372" t="s">
        <v>25</v>
      </c>
      <c r="C114" s="372"/>
      <c r="D114" s="12" t="e">
        <f t="shared" ref="D114:Q114" si="50">D113+D112+D111</f>
        <v>#REF!</v>
      </c>
      <c r="E114" s="12" t="e">
        <f t="shared" si="50"/>
        <v>#REF!</v>
      </c>
      <c r="F114" s="12" t="e">
        <f t="shared" si="50"/>
        <v>#REF!</v>
      </c>
      <c r="G114" s="12" t="e">
        <f t="shared" si="50"/>
        <v>#REF!</v>
      </c>
      <c r="H114" s="12" t="e">
        <f t="shared" si="50"/>
        <v>#REF!</v>
      </c>
      <c r="I114" s="12" t="e">
        <f t="shared" si="50"/>
        <v>#REF!</v>
      </c>
      <c r="J114" s="12" t="e">
        <f t="shared" si="50"/>
        <v>#REF!</v>
      </c>
      <c r="K114" s="12" t="e">
        <f t="shared" si="50"/>
        <v>#REF!</v>
      </c>
      <c r="L114" s="12" t="e">
        <f t="shared" si="50"/>
        <v>#REF!</v>
      </c>
      <c r="M114" s="12" t="e">
        <f t="shared" si="50"/>
        <v>#REF!</v>
      </c>
      <c r="N114" s="12" t="e">
        <f t="shared" si="50"/>
        <v>#REF!</v>
      </c>
      <c r="O114" s="12" t="e">
        <f t="shared" si="50"/>
        <v>#REF!</v>
      </c>
      <c r="P114" s="12" t="e">
        <f t="shared" si="50"/>
        <v>#REF!</v>
      </c>
      <c r="Q114" s="12" t="e">
        <f t="shared" si="50"/>
        <v>#REF!</v>
      </c>
      <c r="R114" s="12" t="e">
        <f t="shared" si="45"/>
        <v>#REF!</v>
      </c>
      <c r="S114" s="12" t="e">
        <f t="shared" si="42"/>
        <v>#REF!</v>
      </c>
      <c r="T114" s="12" t="e">
        <f t="shared" si="39"/>
        <v>#REF!</v>
      </c>
    </row>
    <row r="115" spans="1:20" ht="30" customHeight="1" thickTop="1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</row>
    <row r="116" spans="1:20" ht="30" customHeight="1">
      <c r="A116" s="328" t="s">
        <v>109</v>
      </c>
      <c r="B116" s="328"/>
      <c r="C116" s="328"/>
      <c r="D116" s="328"/>
      <c r="E116" s="328"/>
      <c r="F116" s="328"/>
      <c r="G116" s="21"/>
      <c r="H116" s="21"/>
      <c r="I116" s="21"/>
      <c r="J116" s="22"/>
      <c r="K116" s="22"/>
      <c r="L116" s="22"/>
      <c r="M116" s="22"/>
      <c r="N116" s="22"/>
      <c r="O116" s="22"/>
      <c r="P116" s="22"/>
      <c r="Q116" s="22"/>
      <c r="R116" s="22"/>
      <c r="S116" s="328" t="s">
        <v>110</v>
      </c>
      <c r="T116" s="328"/>
    </row>
    <row r="117" spans="1:20" ht="30" customHeight="1">
      <c r="A117" s="340" t="s">
        <v>185</v>
      </c>
      <c r="B117" s="340"/>
      <c r="C117" s="340"/>
      <c r="D117" s="340"/>
      <c r="E117" s="340"/>
      <c r="F117" s="340"/>
      <c r="G117" s="21"/>
      <c r="H117" s="22"/>
      <c r="I117" s="24" t="s">
        <v>184</v>
      </c>
      <c r="J117" s="24"/>
      <c r="K117" s="24"/>
      <c r="L117" s="24"/>
      <c r="M117" s="22"/>
      <c r="N117" s="22"/>
      <c r="O117" s="22"/>
      <c r="P117" s="21"/>
      <c r="Q117" s="21"/>
      <c r="R117" s="22"/>
      <c r="S117" s="22"/>
      <c r="T117" s="22"/>
    </row>
    <row r="118" spans="1:20" ht="30" customHeight="1">
      <c r="A118" s="328" t="s">
        <v>138</v>
      </c>
      <c r="B118" s="328"/>
      <c r="C118" s="328"/>
      <c r="D118" s="328"/>
      <c r="E118" s="328"/>
      <c r="F118" s="328"/>
      <c r="G118" s="328"/>
      <c r="H118" s="328"/>
      <c r="I118" s="328"/>
      <c r="J118" s="328"/>
      <c r="K118" s="328"/>
      <c r="L118" s="328"/>
      <c r="M118" s="328"/>
      <c r="N118" s="328"/>
      <c r="O118" s="328"/>
      <c r="P118" s="328"/>
      <c r="Q118" s="328"/>
      <c r="R118" s="328"/>
      <c r="S118" s="328"/>
      <c r="T118" s="328"/>
    </row>
    <row r="119" spans="1:20" ht="30" customHeight="1">
      <c r="A119" s="328" t="s">
        <v>500</v>
      </c>
      <c r="B119" s="328"/>
      <c r="C119" s="328"/>
      <c r="D119" s="328"/>
      <c r="E119" s="328"/>
      <c r="F119" s="328"/>
      <c r="G119" s="328"/>
      <c r="H119" s="328"/>
      <c r="I119" s="328"/>
      <c r="J119" s="328"/>
      <c r="K119" s="328"/>
      <c r="L119" s="328"/>
      <c r="M119" s="328"/>
      <c r="N119" s="328"/>
      <c r="O119" s="328"/>
      <c r="P119" s="328"/>
      <c r="Q119" s="328"/>
      <c r="R119" s="328"/>
      <c r="S119" s="328"/>
      <c r="T119" s="328"/>
    </row>
    <row r="120" spans="1:20" ht="30" customHeight="1">
      <c r="A120" s="328" t="s">
        <v>139</v>
      </c>
      <c r="B120" s="328"/>
      <c r="C120" s="328"/>
      <c r="D120" s="328"/>
      <c r="E120" s="328"/>
      <c r="F120" s="328"/>
      <c r="G120" s="328"/>
      <c r="H120" s="328"/>
      <c r="I120" s="328"/>
      <c r="J120" s="328"/>
      <c r="K120" s="328"/>
      <c r="L120" s="328"/>
      <c r="M120" s="328"/>
      <c r="N120" s="328"/>
      <c r="O120" s="328"/>
      <c r="P120" s="328"/>
      <c r="Q120" s="328"/>
      <c r="R120" s="328"/>
      <c r="S120" s="328"/>
      <c r="T120" s="328"/>
    </row>
    <row r="121" spans="1:20" ht="30" customHeight="1" thickBo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spans="1:20" ht="30" customHeight="1" thickTop="1" thickBot="1">
      <c r="A122" s="364" t="s">
        <v>113</v>
      </c>
      <c r="B122" s="364" t="s">
        <v>140</v>
      </c>
      <c r="C122" s="364"/>
      <c r="D122" s="368" t="s">
        <v>125</v>
      </c>
      <c r="E122" s="369"/>
      <c r="F122" s="368" t="s">
        <v>126</v>
      </c>
      <c r="G122" s="369"/>
      <c r="H122" s="368" t="s">
        <v>127</v>
      </c>
      <c r="I122" s="369"/>
      <c r="J122" s="368" t="s">
        <v>128</v>
      </c>
      <c r="K122" s="369"/>
      <c r="L122" s="368" t="s">
        <v>129</v>
      </c>
      <c r="M122" s="369"/>
      <c r="N122" s="368" t="s">
        <v>141</v>
      </c>
      <c r="O122" s="369"/>
      <c r="P122" s="368" t="s">
        <v>142</v>
      </c>
      <c r="Q122" s="369"/>
      <c r="R122" s="368" t="s">
        <v>25</v>
      </c>
      <c r="S122" s="370"/>
      <c r="T122" s="369"/>
    </row>
    <row r="123" spans="1:20" ht="30" customHeight="1" thickTop="1" thickBot="1">
      <c r="A123" s="364"/>
      <c r="B123" s="364"/>
      <c r="C123" s="364"/>
      <c r="D123" s="4" t="s">
        <v>5</v>
      </c>
      <c r="E123" s="4" t="s">
        <v>6</v>
      </c>
      <c r="F123" s="4" t="s">
        <v>5</v>
      </c>
      <c r="G123" s="4" t="s">
        <v>6</v>
      </c>
      <c r="H123" s="4" t="s">
        <v>5</v>
      </c>
      <c r="I123" s="4" t="s">
        <v>6</v>
      </c>
      <c r="J123" s="4" t="s">
        <v>5</v>
      </c>
      <c r="K123" s="4" t="s">
        <v>6</v>
      </c>
      <c r="L123" s="4" t="s">
        <v>5</v>
      </c>
      <c r="M123" s="4" t="s">
        <v>6</v>
      </c>
      <c r="N123" s="4" t="s">
        <v>5</v>
      </c>
      <c r="O123" s="4" t="s">
        <v>6</v>
      </c>
      <c r="P123" s="4" t="s">
        <v>5</v>
      </c>
      <c r="Q123" s="4" t="s">
        <v>6</v>
      </c>
      <c r="R123" s="4" t="s">
        <v>5</v>
      </c>
      <c r="S123" s="4" t="s">
        <v>6</v>
      </c>
      <c r="T123" s="4" t="s">
        <v>25</v>
      </c>
    </row>
    <row r="124" spans="1:20" ht="30" customHeight="1" thickTop="1" thickBot="1">
      <c r="A124" s="363" t="s">
        <v>121</v>
      </c>
      <c r="B124" s="364" t="s">
        <v>143</v>
      </c>
      <c r="C124" s="364"/>
      <c r="D124" s="4">
        <f>المهني!AI16</f>
        <v>0</v>
      </c>
      <c r="E124" s="4">
        <f>المهني!AJ16</f>
        <v>0</v>
      </c>
      <c r="F124" s="4">
        <f>المهني!AK16</f>
        <v>0</v>
      </c>
      <c r="G124" s="4">
        <f>المهني!AL16</f>
        <v>0</v>
      </c>
      <c r="H124" s="4">
        <f>المهني!AM16</f>
        <v>0</v>
      </c>
      <c r="I124" s="4">
        <f>المهني!AN16</f>
        <v>0</v>
      </c>
      <c r="J124" s="4">
        <f>المهني!AO16</f>
        <v>0</v>
      </c>
      <c r="K124" s="4">
        <f>المهني!AP16</f>
        <v>0</v>
      </c>
      <c r="L124" s="4">
        <f>المهني!AQ16</f>
        <v>0</v>
      </c>
      <c r="M124" s="4">
        <f>المهني!AR16</f>
        <v>0</v>
      </c>
      <c r="N124" s="48">
        <v>0</v>
      </c>
      <c r="O124" s="48">
        <v>0</v>
      </c>
      <c r="P124" s="48">
        <v>0</v>
      </c>
      <c r="Q124" s="48">
        <v>0</v>
      </c>
      <c r="R124" s="4">
        <f t="shared" ref="R124:S126" si="51">P124+N124+L124+J124+H124+F124+D124</f>
        <v>0</v>
      </c>
      <c r="S124" s="4">
        <f t="shared" si="51"/>
        <v>0</v>
      </c>
      <c r="T124" s="4">
        <f>S124+R124</f>
        <v>0</v>
      </c>
    </row>
    <row r="125" spans="1:20" ht="30" customHeight="1" thickTop="1" thickBot="1">
      <c r="A125" s="363"/>
      <c r="B125" s="364" t="s">
        <v>144</v>
      </c>
      <c r="C125" s="364"/>
      <c r="D125" s="7"/>
      <c r="E125" s="7"/>
      <c r="F125" s="4">
        <f>المهني!AV16</f>
        <v>0</v>
      </c>
      <c r="G125" s="4">
        <f>المهني!AW16</f>
        <v>0</v>
      </c>
      <c r="H125" s="4">
        <f>المهني!AX16</f>
        <v>0</v>
      </c>
      <c r="I125" s="4">
        <f>المهني!AY16</f>
        <v>0</v>
      </c>
      <c r="J125" s="4">
        <f>المهني!AZ16</f>
        <v>0</v>
      </c>
      <c r="K125" s="4">
        <f>المهني!BA16</f>
        <v>0</v>
      </c>
      <c r="L125" s="4">
        <f>المهني!BB16</f>
        <v>0</v>
      </c>
      <c r="M125" s="4">
        <f>المهني!BC16</f>
        <v>0</v>
      </c>
      <c r="N125" s="6">
        <f>المهني!BD16</f>
        <v>0</v>
      </c>
      <c r="O125" s="6">
        <f>المهني!BE16</f>
        <v>0</v>
      </c>
      <c r="P125" s="48">
        <v>0</v>
      </c>
      <c r="Q125" s="48">
        <v>0</v>
      </c>
      <c r="R125" s="4">
        <f t="shared" si="51"/>
        <v>0</v>
      </c>
      <c r="S125" s="4">
        <f t="shared" si="51"/>
        <v>0</v>
      </c>
      <c r="T125" s="4">
        <f>S125+R125</f>
        <v>0</v>
      </c>
    </row>
    <row r="126" spans="1:20" ht="30" customHeight="1" thickTop="1" thickBot="1">
      <c r="A126" s="363"/>
      <c r="B126" s="364" t="s">
        <v>145</v>
      </c>
      <c r="C126" s="364"/>
      <c r="D126" s="7"/>
      <c r="E126" s="7"/>
      <c r="F126" s="7"/>
      <c r="G126" s="7"/>
      <c r="H126" s="4">
        <f>المهني!BI16</f>
        <v>0</v>
      </c>
      <c r="I126" s="4">
        <f>المهني!BJ16</f>
        <v>0</v>
      </c>
      <c r="J126" s="4">
        <f>المهني!BK16</f>
        <v>0</v>
      </c>
      <c r="K126" s="4">
        <f>المهني!BL16</f>
        <v>0</v>
      </c>
      <c r="L126" s="4">
        <f>المهني!BM16</f>
        <v>0</v>
      </c>
      <c r="M126" s="4">
        <f>المهني!BN16</f>
        <v>0</v>
      </c>
      <c r="N126" s="6">
        <f>المهني!BO16</f>
        <v>0</v>
      </c>
      <c r="O126" s="6">
        <f>المهني!BP16</f>
        <v>0</v>
      </c>
      <c r="P126" s="6">
        <f>المهني!BQ16</f>
        <v>0</v>
      </c>
      <c r="Q126" s="6">
        <f>المهني!BR16</f>
        <v>0</v>
      </c>
      <c r="R126" s="4">
        <f t="shared" si="51"/>
        <v>0</v>
      </c>
      <c r="S126" s="4">
        <f t="shared" si="51"/>
        <v>0</v>
      </c>
      <c r="T126" s="4">
        <f>S126+R126</f>
        <v>0</v>
      </c>
    </row>
    <row r="127" spans="1:20" ht="30" customHeight="1" thickTop="1" thickBot="1">
      <c r="A127" s="363"/>
      <c r="B127" s="364" t="s">
        <v>25</v>
      </c>
      <c r="C127" s="364"/>
      <c r="D127" s="4">
        <f t="shared" ref="D127:T127" si="52">D126+D125+D124</f>
        <v>0</v>
      </c>
      <c r="E127" s="4">
        <f t="shared" si="52"/>
        <v>0</v>
      </c>
      <c r="F127" s="4">
        <f t="shared" si="52"/>
        <v>0</v>
      </c>
      <c r="G127" s="4">
        <f t="shared" si="52"/>
        <v>0</v>
      </c>
      <c r="H127" s="4">
        <f t="shared" si="52"/>
        <v>0</v>
      </c>
      <c r="I127" s="4">
        <f t="shared" si="52"/>
        <v>0</v>
      </c>
      <c r="J127" s="4">
        <f t="shared" si="52"/>
        <v>0</v>
      </c>
      <c r="K127" s="4">
        <f t="shared" si="52"/>
        <v>0</v>
      </c>
      <c r="L127" s="4">
        <f t="shared" si="52"/>
        <v>0</v>
      </c>
      <c r="M127" s="4">
        <f t="shared" si="52"/>
        <v>0</v>
      </c>
      <c r="N127" s="4">
        <f t="shared" si="52"/>
        <v>0</v>
      </c>
      <c r="O127" s="4">
        <f t="shared" si="52"/>
        <v>0</v>
      </c>
      <c r="P127" s="4">
        <f t="shared" si="52"/>
        <v>0</v>
      </c>
      <c r="Q127" s="4">
        <f t="shared" si="52"/>
        <v>0</v>
      </c>
      <c r="R127" s="4">
        <f t="shared" si="52"/>
        <v>0</v>
      </c>
      <c r="S127" s="4">
        <f t="shared" si="52"/>
        <v>0</v>
      </c>
      <c r="T127" s="4">
        <f t="shared" si="52"/>
        <v>0</v>
      </c>
    </row>
    <row r="128" spans="1:20" ht="30" customHeight="1" thickTop="1" thickBot="1">
      <c r="A128" s="363" t="s">
        <v>122</v>
      </c>
      <c r="B128" s="364" t="s">
        <v>143</v>
      </c>
      <c r="C128" s="364"/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8">
        <v>0</v>
      </c>
      <c r="O128" s="48">
        <v>0</v>
      </c>
      <c r="P128" s="48">
        <v>0</v>
      </c>
      <c r="Q128" s="48">
        <v>0</v>
      </c>
      <c r="R128" s="4">
        <f t="shared" ref="R128:S135" si="53">P128+N128+L128+J128+H128+F128+D128</f>
        <v>0</v>
      </c>
      <c r="S128" s="4">
        <f t="shared" si="53"/>
        <v>0</v>
      </c>
      <c r="T128" s="4">
        <f t="shared" ref="T128:T151" si="54">S128+R128</f>
        <v>0</v>
      </c>
    </row>
    <row r="129" spans="1:20" ht="30" customHeight="1" thickTop="1" thickBot="1">
      <c r="A129" s="363"/>
      <c r="B129" s="364" t="s">
        <v>144</v>
      </c>
      <c r="C129" s="364"/>
      <c r="D129" s="7"/>
      <c r="E129" s="7"/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6">
        <v>0</v>
      </c>
      <c r="O129" s="6">
        <v>0</v>
      </c>
      <c r="P129" s="48">
        <v>0</v>
      </c>
      <c r="Q129" s="48">
        <v>0</v>
      </c>
      <c r="R129" s="4">
        <f t="shared" si="53"/>
        <v>0</v>
      </c>
      <c r="S129" s="4">
        <f t="shared" si="53"/>
        <v>0</v>
      </c>
      <c r="T129" s="4">
        <f t="shared" si="54"/>
        <v>0</v>
      </c>
    </row>
    <row r="130" spans="1:20" ht="30" customHeight="1" thickTop="1" thickBot="1">
      <c r="A130" s="363"/>
      <c r="B130" s="364" t="s">
        <v>145</v>
      </c>
      <c r="C130" s="364"/>
      <c r="D130" s="7"/>
      <c r="E130" s="7"/>
      <c r="F130" s="7"/>
      <c r="G130" s="7"/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6">
        <v>0</v>
      </c>
      <c r="O130" s="6">
        <v>0</v>
      </c>
      <c r="P130" s="6">
        <v>0</v>
      </c>
      <c r="Q130" s="6">
        <v>0</v>
      </c>
      <c r="R130" s="4">
        <f t="shared" si="53"/>
        <v>0</v>
      </c>
      <c r="S130" s="4">
        <f t="shared" si="53"/>
        <v>0</v>
      </c>
      <c r="T130" s="4">
        <f t="shared" si="54"/>
        <v>0</v>
      </c>
    </row>
    <row r="131" spans="1:20" ht="30" customHeight="1" thickTop="1" thickBot="1">
      <c r="A131" s="363"/>
      <c r="B131" s="364" t="s">
        <v>25</v>
      </c>
      <c r="C131" s="364"/>
      <c r="D131" s="4">
        <f t="shared" ref="D131:Q131" si="55">D130+D129+D128</f>
        <v>0</v>
      </c>
      <c r="E131" s="4">
        <f t="shared" si="55"/>
        <v>0</v>
      </c>
      <c r="F131" s="4">
        <f t="shared" si="55"/>
        <v>0</v>
      </c>
      <c r="G131" s="4">
        <f t="shared" si="55"/>
        <v>0</v>
      </c>
      <c r="H131" s="4">
        <f t="shared" si="55"/>
        <v>0</v>
      </c>
      <c r="I131" s="4">
        <f t="shared" si="55"/>
        <v>0</v>
      </c>
      <c r="J131" s="4">
        <f t="shared" si="55"/>
        <v>0</v>
      </c>
      <c r="K131" s="4">
        <f t="shared" si="55"/>
        <v>0</v>
      </c>
      <c r="L131" s="4">
        <f t="shared" si="55"/>
        <v>0</v>
      </c>
      <c r="M131" s="4">
        <f t="shared" si="55"/>
        <v>0</v>
      </c>
      <c r="N131" s="4">
        <f t="shared" si="55"/>
        <v>0</v>
      </c>
      <c r="O131" s="4">
        <f t="shared" si="55"/>
        <v>0</v>
      </c>
      <c r="P131" s="4">
        <f t="shared" si="55"/>
        <v>0</v>
      </c>
      <c r="Q131" s="4">
        <f t="shared" si="55"/>
        <v>0</v>
      </c>
      <c r="R131" s="4">
        <f t="shared" si="53"/>
        <v>0</v>
      </c>
      <c r="S131" s="4">
        <f t="shared" si="53"/>
        <v>0</v>
      </c>
      <c r="T131" s="4">
        <f t="shared" si="54"/>
        <v>0</v>
      </c>
    </row>
    <row r="132" spans="1:20" ht="30" customHeight="1" thickTop="1" thickBot="1">
      <c r="A132" s="363" t="s">
        <v>123</v>
      </c>
      <c r="B132" s="364" t="s">
        <v>143</v>
      </c>
      <c r="C132" s="364"/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8">
        <v>0</v>
      </c>
      <c r="O132" s="48">
        <v>0</v>
      </c>
      <c r="P132" s="48">
        <v>0</v>
      </c>
      <c r="Q132" s="48">
        <v>0</v>
      </c>
      <c r="R132" s="4">
        <f t="shared" si="53"/>
        <v>0</v>
      </c>
      <c r="S132" s="4">
        <f t="shared" si="53"/>
        <v>0</v>
      </c>
      <c r="T132" s="4">
        <f t="shared" si="54"/>
        <v>0</v>
      </c>
    </row>
    <row r="133" spans="1:20" ht="30" customHeight="1" thickTop="1" thickBot="1">
      <c r="A133" s="363"/>
      <c r="B133" s="364" t="s">
        <v>144</v>
      </c>
      <c r="C133" s="364"/>
      <c r="D133" s="7"/>
      <c r="E133" s="7"/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6">
        <v>0</v>
      </c>
      <c r="O133" s="6">
        <v>0</v>
      </c>
      <c r="P133" s="48">
        <v>0</v>
      </c>
      <c r="Q133" s="48">
        <v>0</v>
      </c>
      <c r="R133" s="4">
        <f t="shared" si="53"/>
        <v>0</v>
      </c>
      <c r="S133" s="4">
        <f t="shared" si="53"/>
        <v>0</v>
      </c>
      <c r="T133" s="4">
        <f t="shared" si="54"/>
        <v>0</v>
      </c>
    </row>
    <row r="134" spans="1:20" ht="30" customHeight="1" thickTop="1" thickBot="1">
      <c r="A134" s="363"/>
      <c r="B134" s="364" t="s">
        <v>145</v>
      </c>
      <c r="C134" s="364"/>
      <c r="D134" s="7"/>
      <c r="E134" s="7"/>
      <c r="F134" s="7"/>
      <c r="G134" s="7"/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6">
        <v>0</v>
      </c>
      <c r="O134" s="6">
        <v>0</v>
      </c>
      <c r="P134" s="6">
        <v>0</v>
      </c>
      <c r="Q134" s="6">
        <v>0</v>
      </c>
      <c r="R134" s="4">
        <f t="shared" si="53"/>
        <v>0</v>
      </c>
      <c r="S134" s="4">
        <f t="shared" si="53"/>
        <v>0</v>
      </c>
      <c r="T134" s="4">
        <f t="shared" si="54"/>
        <v>0</v>
      </c>
    </row>
    <row r="135" spans="1:20" ht="30" customHeight="1" thickTop="1" thickBot="1">
      <c r="A135" s="363"/>
      <c r="B135" s="364" t="s">
        <v>25</v>
      </c>
      <c r="C135" s="364"/>
      <c r="D135" s="4">
        <f t="shared" ref="D135:Q135" si="56">D134+D133+D132</f>
        <v>0</v>
      </c>
      <c r="E135" s="4">
        <f t="shared" si="56"/>
        <v>0</v>
      </c>
      <c r="F135" s="4">
        <f t="shared" si="56"/>
        <v>0</v>
      </c>
      <c r="G135" s="4">
        <f t="shared" si="56"/>
        <v>0</v>
      </c>
      <c r="H135" s="4">
        <f t="shared" si="56"/>
        <v>0</v>
      </c>
      <c r="I135" s="4">
        <f t="shared" si="56"/>
        <v>0</v>
      </c>
      <c r="J135" s="4">
        <f t="shared" si="56"/>
        <v>0</v>
      </c>
      <c r="K135" s="4">
        <f t="shared" si="56"/>
        <v>0</v>
      </c>
      <c r="L135" s="4">
        <f t="shared" si="56"/>
        <v>0</v>
      </c>
      <c r="M135" s="4">
        <f t="shared" si="56"/>
        <v>0</v>
      </c>
      <c r="N135" s="4">
        <f t="shared" si="56"/>
        <v>0</v>
      </c>
      <c r="O135" s="4">
        <f t="shared" si="56"/>
        <v>0</v>
      </c>
      <c r="P135" s="4">
        <f t="shared" si="56"/>
        <v>0</v>
      </c>
      <c r="Q135" s="4">
        <f t="shared" si="56"/>
        <v>0</v>
      </c>
      <c r="R135" s="4">
        <f t="shared" si="53"/>
        <v>0</v>
      </c>
      <c r="S135" s="4">
        <f t="shared" si="53"/>
        <v>0</v>
      </c>
      <c r="T135" s="4">
        <f t="shared" si="54"/>
        <v>0</v>
      </c>
    </row>
    <row r="136" spans="1:20" ht="30" customHeight="1" thickTop="1" thickBot="1">
      <c r="A136" s="363" t="s">
        <v>211</v>
      </c>
      <c r="B136" s="364" t="s">
        <v>143</v>
      </c>
      <c r="C136" s="364"/>
      <c r="D136" s="11"/>
      <c r="E136" s="8">
        <v>0</v>
      </c>
      <c r="F136" s="11"/>
      <c r="G136" s="8">
        <v>0</v>
      </c>
      <c r="H136" s="11"/>
      <c r="I136" s="8">
        <v>0</v>
      </c>
      <c r="J136" s="11"/>
      <c r="K136" s="8">
        <v>0</v>
      </c>
      <c r="L136" s="11"/>
      <c r="M136" s="8">
        <v>0</v>
      </c>
      <c r="N136" s="11"/>
      <c r="O136" s="48">
        <v>0</v>
      </c>
      <c r="P136" s="11"/>
      <c r="Q136" s="48">
        <v>0</v>
      </c>
      <c r="R136" s="11"/>
      <c r="S136" s="4">
        <f t="shared" ref="S136:S151" si="57">Q136+O136+M136+K136+I136+G136+E136</f>
        <v>0</v>
      </c>
      <c r="T136" s="4">
        <f t="shared" si="54"/>
        <v>0</v>
      </c>
    </row>
    <row r="137" spans="1:20" ht="30" customHeight="1" thickTop="1" thickBot="1">
      <c r="A137" s="363"/>
      <c r="B137" s="364" t="s">
        <v>144</v>
      </c>
      <c r="C137" s="364"/>
      <c r="D137" s="11"/>
      <c r="E137" s="7"/>
      <c r="F137" s="11"/>
      <c r="G137" s="4">
        <v>0</v>
      </c>
      <c r="H137" s="11"/>
      <c r="I137" s="8">
        <v>0</v>
      </c>
      <c r="J137" s="11"/>
      <c r="K137" s="8">
        <v>0</v>
      </c>
      <c r="L137" s="11"/>
      <c r="M137" s="8">
        <v>0</v>
      </c>
      <c r="N137" s="11"/>
      <c r="O137" s="6">
        <v>0</v>
      </c>
      <c r="P137" s="11"/>
      <c r="Q137" s="48">
        <v>0</v>
      </c>
      <c r="R137" s="11"/>
      <c r="S137" s="4">
        <f t="shared" si="57"/>
        <v>0</v>
      </c>
      <c r="T137" s="4">
        <f t="shared" si="54"/>
        <v>0</v>
      </c>
    </row>
    <row r="138" spans="1:20" ht="30" customHeight="1" thickTop="1" thickBot="1">
      <c r="A138" s="363"/>
      <c r="B138" s="364" t="s">
        <v>145</v>
      </c>
      <c r="C138" s="364"/>
      <c r="D138" s="11"/>
      <c r="E138" s="7"/>
      <c r="F138" s="11"/>
      <c r="G138" s="7"/>
      <c r="H138" s="11"/>
      <c r="I138" s="8">
        <v>0</v>
      </c>
      <c r="J138" s="11"/>
      <c r="K138" s="8">
        <v>0</v>
      </c>
      <c r="L138" s="11"/>
      <c r="M138" s="8">
        <v>0</v>
      </c>
      <c r="N138" s="11"/>
      <c r="O138" s="6">
        <v>0</v>
      </c>
      <c r="P138" s="11"/>
      <c r="Q138" s="6">
        <v>0</v>
      </c>
      <c r="R138" s="11"/>
      <c r="S138" s="4">
        <f t="shared" si="57"/>
        <v>0</v>
      </c>
      <c r="T138" s="4">
        <f t="shared" si="54"/>
        <v>0</v>
      </c>
    </row>
    <row r="139" spans="1:20" ht="30" customHeight="1" thickTop="1" thickBot="1">
      <c r="A139" s="363"/>
      <c r="B139" s="364" t="s">
        <v>25</v>
      </c>
      <c r="C139" s="364"/>
      <c r="D139" s="11"/>
      <c r="E139" s="8">
        <f>E138+E137+E136</f>
        <v>0</v>
      </c>
      <c r="F139" s="11"/>
      <c r="G139" s="8">
        <f>G138+G137+G136</f>
        <v>0</v>
      </c>
      <c r="H139" s="11"/>
      <c r="I139" s="8">
        <f>I138+I137+I136</f>
        <v>0</v>
      </c>
      <c r="J139" s="11"/>
      <c r="K139" s="8">
        <f>K138+K137+K136</f>
        <v>0</v>
      </c>
      <c r="L139" s="11"/>
      <c r="M139" s="8">
        <f>M138+M137+M136</f>
        <v>0</v>
      </c>
      <c r="N139" s="11"/>
      <c r="O139" s="8">
        <f>O138+O137+O136</f>
        <v>0</v>
      </c>
      <c r="P139" s="11"/>
      <c r="Q139" s="8">
        <f>Q138+Q137+Q136</f>
        <v>0</v>
      </c>
      <c r="R139" s="11"/>
      <c r="S139" s="4">
        <f t="shared" si="57"/>
        <v>0</v>
      </c>
      <c r="T139" s="4">
        <f t="shared" si="54"/>
        <v>0</v>
      </c>
    </row>
    <row r="140" spans="1:20" ht="30" customHeight="1" thickTop="1" thickBot="1">
      <c r="A140" s="363" t="s">
        <v>459</v>
      </c>
      <c r="B140" s="364" t="s">
        <v>143</v>
      </c>
      <c r="C140" s="364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</row>
    <row r="141" spans="1:20" ht="30" customHeight="1" thickTop="1" thickBot="1">
      <c r="A141" s="363"/>
      <c r="B141" s="364" t="s">
        <v>144</v>
      </c>
      <c r="C141" s="364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</row>
    <row r="142" spans="1:20" ht="30" customHeight="1" thickTop="1" thickBot="1">
      <c r="A142" s="363"/>
      <c r="B142" s="364" t="s">
        <v>145</v>
      </c>
      <c r="C142" s="364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</row>
    <row r="143" spans="1:20" ht="30" customHeight="1" thickTop="1" thickBot="1">
      <c r="A143" s="363"/>
      <c r="B143" s="364" t="s">
        <v>25</v>
      </c>
      <c r="C143" s="364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</row>
    <row r="144" spans="1:20" ht="30" customHeight="1" thickTop="1" thickBot="1">
      <c r="A144" s="365" t="s">
        <v>387</v>
      </c>
      <c r="B144" s="364" t="s">
        <v>143</v>
      </c>
      <c r="C144" s="364"/>
      <c r="D144" s="58" t="e">
        <f>المهني!#REF!</f>
        <v>#REF!</v>
      </c>
      <c r="E144" s="59" t="e">
        <f>المهني!#REF!</f>
        <v>#REF!</v>
      </c>
      <c r="F144" s="59" t="e">
        <f>المهني!#REF!</f>
        <v>#REF!</v>
      </c>
      <c r="G144" s="59" t="e">
        <f>المهني!#REF!</f>
        <v>#REF!</v>
      </c>
      <c r="H144" s="59" t="e">
        <f>المهني!#REF!</f>
        <v>#REF!</v>
      </c>
      <c r="I144" s="59" t="e">
        <f>المهني!#REF!</f>
        <v>#REF!</v>
      </c>
      <c r="J144" s="59" t="e">
        <f>المهني!#REF!</f>
        <v>#REF!</v>
      </c>
      <c r="K144" s="59" t="e">
        <f>المهني!#REF!</f>
        <v>#REF!</v>
      </c>
      <c r="L144" s="59" t="e">
        <f>المهني!#REF!</f>
        <v>#REF!</v>
      </c>
      <c r="M144" s="59" t="e">
        <f>المهني!#REF!</f>
        <v>#REF!</v>
      </c>
      <c r="N144" s="48"/>
      <c r="O144" s="48"/>
      <c r="P144" s="48"/>
      <c r="Q144" s="48"/>
      <c r="R144" s="58" t="e">
        <f t="shared" ref="R144:R151" si="58">P144+N144+L144+J144+H144+F144+D144</f>
        <v>#REF!</v>
      </c>
      <c r="S144" s="58" t="e">
        <f t="shared" si="57"/>
        <v>#REF!</v>
      </c>
      <c r="T144" s="58" t="e">
        <f t="shared" si="54"/>
        <v>#REF!</v>
      </c>
    </row>
    <row r="145" spans="1:20" ht="30" customHeight="1" thickTop="1" thickBot="1">
      <c r="A145" s="366"/>
      <c r="B145" s="364" t="s">
        <v>144</v>
      </c>
      <c r="C145" s="364"/>
      <c r="D145" s="7"/>
      <c r="E145" s="7"/>
      <c r="F145" s="58" t="e">
        <f>المهني!#REF!</f>
        <v>#REF!</v>
      </c>
      <c r="G145" s="59" t="e">
        <f>المهني!#REF!</f>
        <v>#REF!</v>
      </c>
      <c r="H145" s="59" t="e">
        <f>المهني!#REF!</f>
        <v>#REF!</v>
      </c>
      <c r="I145" s="59" t="e">
        <f>المهني!#REF!</f>
        <v>#REF!</v>
      </c>
      <c r="J145" s="59" t="e">
        <f>المهني!#REF!</f>
        <v>#REF!</v>
      </c>
      <c r="K145" s="59" t="e">
        <f>المهني!#REF!</f>
        <v>#REF!</v>
      </c>
      <c r="L145" s="59" t="e">
        <f>المهني!#REF!</f>
        <v>#REF!</v>
      </c>
      <c r="M145" s="59" t="e">
        <f>المهني!#REF!</f>
        <v>#REF!</v>
      </c>
      <c r="N145" s="59" t="e">
        <f>المهني!#REF!</f>
        <v>#REF!</v>
      </c>
      <c r="O145" s="59" t="e">
        <f>المهني!#REF!</f>
        <v>#REF!</v>
      </c>
      <c r="P145" s="48"/>
      <c r="Q145" s="48"/>
      <c r="R145" s="58" t="e">
        <f t="shared" si="58"/>
        <v>#REF!</v>
      </c>
      <c r="S145" s="58" t="e">
        <f t="shared" si="57"/>
        <v>#REF!</v>
      </c>
      <c r="T145" s="58" t="e">
        <f t="shared" si="54"/>
        <v>#REF!</v>
      </c>
    </row>
    <row r="146" spans="1:20" ht="30" customHeight="1" thickTop="1" thickBot="1">
      <c r="A146" s="366"/>
      <c r="B146" s="364" t="s">
        <v>145</v>
      </c>
      <c r="C146" s="364"/>
      <c r="D146" s="7"/>
      <c r="E146" s="7"/>
      <c r="F146" s="7"/>
      <c r="G146" s="7"/>
      <c r="H146" s="58" t="e">
        <f>المهني!#REF!</f>
        <v>#REF!</v>
      </c>
      <c r="I146" s="59" t="e">
        <f>المهني!#REF!</f>
        <v>#REF!</v>
      </c>
      <c r="J146" s="59" t="e">
        <f>المهني!#REF!</f>
        <v>#REF!</v>
      </c>
      <c r="K146" s="59" t="e">
        <f>المهني!#REF!</f>
        <v>#REF!</v>
      </c>
      <c r="L146" s="59" t="e">
        <f>المهني!#REF!</f>
        <v>#REF!</v>
      </c>
      <c r="M146" s="59" t="e">
        <f>المهني!#REF!</f>
        <v>#REF!</v>
      </c>
      <c r="N146" s="59" t="e">
        <f>المهني!#REF!</f>
        <v>#REF!</v>
      </c>
      <c r="O146" s="59" t="e">
        <f>المهني!#REF!</f>
        <v>#REF!</v>
      </c>
      <c r="P146" s="59" t="e">
        <f>المهني!#REF!</f>
        <v>#REF!</v>
      </c>
      <c r="Q146" s="59" t="e">
        <f>المهني!#REF!</f>
        <v>#REF!</v>
      </c>
      <c r="R146" s="58" t="e">
        <f t="shared" si="58"/>
        <v>#REF!</v>
      </c>
      <c r="S146" s="58" t="e">
        <f t="shared" si="57"/>
        <v>#REF!</v>
      </c>
      <c r="T146" s="58" t="e">
        <f t="shared" si="54"/>
        <v>#REF!</v>
      </c>
    </row>
    <row r="147" spans="1:20" ht="30" customHeight="1" thickTop="1" thickBot="1">
      <c r="A147" s="367"/>
      <c r="B147" s="364" t="s">
        <v>25</v>
      </c>
      <c r="C147" s="364"/>
      <c r="D147" s="58" t="e">
        <f t="shared" ref="D147:Q147" si="59">SUM(D144:D146)</f>
        <v>#REF!</v>
      </c>
      <c r="E147" s="59" t="e">
        <f t="shared" si="59"/>
        <v>#REF!</v>
      </c>
      <c r="F147" s="59" t="e">
        <f t="shared" si="59"/>
        <v>#REF!</v>
      </c>
      <c r="G147" s="59" t="e">
        <f t="shared" si="59"/>
        <v>#REF!</v>
      </c>
      <c r="H147" s="59" t="e">
        <f t="shared" si="59"/>
        <v>#REF!</v>
      </c>
      <c r="I147" s="59" t="e">
        <f t="shared" si="59"/>
        <v>#REF!</v>
      </c>
      <c r="J147" s="59" t="e">
        <f t="shared" si="59"/>
        <v>#REF!</v>
      </c>
      <c r="K147" s="59" t="e">
        <f t="shared" si="59"/>
        <v>#REF!</v>
      </c>
      <c r="L147" s="59" t="e">
        <f t="shared" si="59"/>
        <v>#REF!</v>
      </c>
      <c r="M147" s="59" t="e">
        <f t="shared" si="59"/>
        <v>#REF!</v>
      </c>
      <c r="N147" s="59" t="e">
        <f t="shared" si="59"/>
        <v>#REF!</v>
      </c>
      <c r="O147" s="59" t="e">
        <f t="shared" si="59"/>
        <v>#REF!</v>
      </c>
      <c r="P147" s="59" t="e">
        <f t="shared" si="59"/>
        <v>#REF!</v>
      </c>
      <c r="Q147" s="59" t="e">
        <f t="shared" si="59"/>
        <v>#REF!</v>
      </c>
      <c r="R147" s="58" t="e">
        <f t="shared" si="58"/>
        <v>#REF!</v>
      </c>
      <c r="S147" s="58" t="e">
        <f t="shared" si="57"/>
        <v>#REF!</v>
      </c>
      <c r="T147" s="58" t="e">
        <f t="shared" si="54"/>
        <v>#REF!</v>
      </c>
    </row>
    <row r="148" spans="1:20" ht="30" customHeight="1" thickTop="1" thickBot="1">
      <c r="A148" s="363" t="s">
        <v>137</v>
      </c>
      <c r="B148" s="364" t="s">
        <v>143</v>
      </c>
      <c r="C148" s="364"/>
      <c r="D148" s="4" t="e">
        <f t="shared" ref="D148:M148" si="60">D136+D132+D128+D124+D144</f>
        <v>#REF!</v>
      </c>
      <c r="E148" s="59" t="e">
        <f t="shared" si="60"/>
        <v>#REF!</v>
      </c>
      <c r="F148" s="59" t="e">
        <f t="shared" si="60"/>
        <v>#REF!</v>
      </c>
      <c r="G148" s="59" t="e">
        <f t="shared" si="60"/>
        <v>#REF!</v>
      </c>
      <c r="H148" s="59" t="e">
        <f t="shared" si="60"/>
        <v>#REF!</v>
      </c>
      <c r="I148" s="59" t="e">
        <f t="shared" si="60"/>
        <v>#REF!</v>
      </c>
      <c r="J148" s="59" t="e">
        <f t="shared" si="60"/>
        <v>#REF!</v>
      </c>
      <c r="K148" s="59" t="e">
        <f t="shared" si="60"/>
        <v>#REF!</v>
      </c>
      <c r="L148" s="59" t="e">
        <f t="shared" si="60"/>
        <v>#REF!</v>
      </c>
      <c r="M148" s="59" t="e">
        <f t="shared" si="60"/>
        <v>#REF!</v>
      </c>
      <c r="N148" s="48">
        <f>N136+N132+N128+N124</f>
        <v>0</v>
      </c>
      <c r="O148" s="48">
        <f>O136+O132+O128+O124</f>
        <v>0</v>
      </c>
      <c r="P148" s="48">
        <f>P136+P132+P128+P124</f>
        <v>0</v>
      </c>
      <c r="Q148" s="48">
        <f>Q136+Q132+Q128+Q124</f>
        <v>0</v>
      </c>
      <c r="R148" s="4" t="e">
        <f t="shared" si="58"/>
        <v>#REF!</v>
      </c>
      <c r="S148" s="4" t="e">
        <f t="shared" si="57"/>
        <v>#REF!</v>
      </c>
      <c r="T148" s="4" t="e">
        <f t="shared" si="54"/>
        <v>#REF!</v>
      </c>
    </row>
    <row r="149" spans="1:20" ht="30" customHeight="1" thickTop="1" thickBot="1">
      <c r="A149" s="363"/>
      <c r="B149" s="364" t="s">
        <v>144</v>
      </c>
      <c r="C149" s="364"/>
      <c r="D149" s="7">
        <f>D137+D133+D129+D125</f>
        <v>0</v>
      </c>
      <c r="E149" s="7">
        <f>E137+E133+E129+E125</f>
        <v>0</v>
      </c>
      <c r="F149" s="59" t="e">
        <f t="shared" ref="F149:O149" si="61">F137+F133+F129+F125+F145</f>
        <v>#REF!</v>
      </c>
      <c r="G149" s="59" t="e">
        <f t="shared" si="61"/>
        <v>#REF!</v>
      </c>
      <c r="H149" s="59" t="e">
        <f t="shared" si="61"/>
        <v>#REF!</v>
      </c>
      <c r="I149" s="59" t="e">
        <f t="shared" si="61"/>
        <v>#REF!</v>
      </c>
      <c r="J149" s="59" t="e">
        <f t="shared" si="61"/>
        <v>#REF!</v>
      </c>
      <c r="K149" s="59" t="e">
        <f t="shared" si="61"/>
        <v>#REF!</v>
      </c>
      <c r="L149" s="59" t="e">
        <f t="shared" si="61"/>
        <v>#REF!</v>
      </c>
      <c r="M149" s="59" t="e">
        <f t="shared" si="61"/>
        <v>#REF!</v>
      </c>
      <c r="N149" s="59" t="e">
        <f t="shared" si="61"/>
        <v>#REF!</v>
      </c>
      <c r="O149" s="59" t="e">
        <f t="shared" si="61"/>
        <v>#REF!</v>
      </c>
      <c r="P149" s="48">
        <f>P137+P133+P129+P125</f>
        <v>0</v>
      </c>
      <c r="Q149" s="48">
        <f>Q137+Q133+Q129+Q125</f>
        <v>0</v>
      </c>
      <c r="R149" s="4" t="e">
        <f t="shared" si="58"/>
        <v>#REF!</v>
      </c>
      <c r="S149" s="4" t="e">
        <f t="shared" si="57"/>
        <v>#REF!</v>
      </c>
      <c r="T149" s="4" t="e">
        <f t="shared" si="54"/>
        <v>#REF!</v>
      </c>
    </row>
    <row r="150" spans="1:20" ht="30" customHeight="1" thickTop="1" thickBot="1">
      <c r="A150" s="363"/>
      <c r="B150" s="364" t="s">
        <v>145</v>
      </c>
      <c r="C150" s="364"/>
      <c r="D150" s="7">
        <f>D138+D134+D130+D126</f>
        <v>0</v>
      </c>
      <c r="E150" s="7">
        <f>E138+E134+E130+E126</f>
        <v>0</v>
      </c>
      <c r="F150" s="7">
        <f>F138+F134+F130+F126</f>
        <v>0</v>
      </c>
      <c r="G150" s="7">
        <f>G138+G134+G130+G126</f>
        <v>0</v>
      </c>
      <c r="H150" s="59" t="e">
        <f t="shared" ref="H150:Q150" si="62">H138+H134+H130+H126+H146</f>
        <v>#REF!</v>
      </c>
      <c r="I150" s="59" t="e">
        <f t="shared" si="62"/>
        <v>#REF!</v>
      </c>
      <c r="J150" s="59" t="e">
        <f t="shared" si="62"/>
        <v>#REF!</v>
      </c>
      <c r="K150" s="59" t="e">
        <f t="shared" si="62"/>
        <v>#REF!</v>
      </c>
      <c r="L150" s="59" t="e">
        <f t="shared" si="62"/>
        <v>#REF!</v>
      </c>
      <c r="M150" s="59" t="e">
        <f t="shared" si="62"/>
        <v>#REF!</v>
      </c>
      <c r="N150" s="59" t="e">
        <f t="shared" si="62"/>
        <v>#REF!</v>
      </c>
      <c r="O150" s="59" t="e">
        <f t="shared" si="62"/>
        <v>#REF!</v>
      </c>
      <c r="P150" s="59" t="e">
        <f t="shared" si="62"/>
        <v>#REF!</v>
      </c>
      <c r="Q150" s="59" t="e">
        <f t="shared" si="62"/>
        <v>#REF!</v>
      </c>
      <c r="R150" s="4" t="e">
        <f t="shared" si="58"/>
        <v>#REF!</v>
      </c>
      <c r="S150" s="4" t="e">
        <f t="shared" si="57"/>
        <v>#REF!</v>
      </c>
      <c r="T150" s="4" t="e">
        <f t="shared" si="54"/>
        <v>#REF!</v>
      </c>
    </row>
    <row r="151" spans="1:20" ht="30" customHeight="1" thickTop="1" thickBot="1">
      <c r="A151" s="363"/>
      <c r="B151" s="364" t="s">
        <v>25</v>
      </c>
      <c r="C151" s="364"/>
      <c r="D151" s="59" t="e">
        <f>D139+D135+D131+D127+D147</f>
        <v>#REF!</v>
      </c>
      <c r="E151" s="59" t="e">
        <f>E139+E135+E131+E127+E147</f>
        <v>#REF!</v>
      </c>
      <c r="F151" s="59" t="e">
        <f>F139+F135+F131+F127+F147</f>
        <v>#REF!</v>
      </c>
      <c r="G151" s="59" t="e">
        <f>G139+G135+G131+G127+G147</f>
        <v>#REF!</v>
      </c>
      <c r="H151" s="59" t="e">
        <f t="shared" ref="H151:Q151" si="63">H139+H135+H131+H127+H147</f>
        <v>#REF!</v>
      </c>
      <c r="I151" s="59" t="e">
        <f t="shared" si="63"/>
        <v>#REF!</v>
      </c>
      <c r="J151" s="59" t="e">
        <f t="shared" si="63"/>
        <v>#REF!</v>
      </c>
      <c r="K151" s="59" t="e">
        <f t="shared" si="63"/>
        <v>#REF!</v>
      </c>
      <c r="L151" s="59" t="e">
        <f t="shared" si="63"/>
        <v>#REF!</v>
      </c>
      <c r="M151" s="59" t="e">
        <f t="shared" si="63"/>
        <v>#REF!</v>
      </c>
      <c r="N151" s="59" t="e">
        <f t="shared" si="63"/>
        <v>#REF!</v>
      </c>
      <c r="O151" s="59" t="e">
        <f t="shared" si="63"/>
        <v>#REF!</v>
      </c>
      <c r="P151" s="59" t="e">
        <f t="shared" si="63"/>
        <v>#REF!</v>
      </c>
      <c r="Q151" s="59" t="e">
        <f t="shared" si="63"/>
        <v>#REF!</v>
      </c>
      <c r="R151" s="4" t="e">
        <f t="shared" si="58"/>
        <v>#REF!</v>
      </c>
      <c r="S151" s="4" t="e">
        <f t="shared" si="57"/>
        <v>#REF!</v>
      </c>
      <c r="T151" s="4" t="e">
        <f t="shared" si="54"/>
        <v>#REF!</v>
      </c>
    </row>
    <row r="152" spans="1:20" ht="30" customHeight="1" thickTop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</sheetData>
  <mergeCells count="212">
    <mergeCell ref="B19:C19"/>
    <mergeCell ref="B38:C38"/>
    <mergeCell ref="B40:C40"/>
    <mergeCell ref="B13:C13"/>
    <mergeCell ref="B14:C14"/>
    <mergeCell ref="B39:C39"/>
    <mergeCell ref="A33:A36"/>
    <mergeCell ref="B33:C33"/>
    <mergeCell ref="B34:C34"/>
    <mergeCell ref="B35:C35"/>
    <mergeCell ref="B36:C36"/>
    <mergeCell ref="B20:C20"/>
    <mergeCell ref="B21:C21"/>
    <mergeCell ref="B22:C22"/>
    <mergeCell ref="B23:C23"/>
    <mergeCell ref="B24:C24"/>
    <mergeCell ref="B37:C37"/>
    <mergeCell ref="A13:A16"/>
    <mergeCell ref="A17:A20"/>
    <mergeCell ref="A21:A24"/>
    <mergeCell ref="A37:A40"/>
    <mergeCell ref="B15:C15"/>
    <mergeCell ref="B16:C16"/>
    <mergeCell ref="B17:C17"/>
    <mergeCell ref="B18:C18"/>
    <mergeCell ref="B9:C9"/>
    <mergeCell ref="B10:C10"/>
    <mergeCell ref="B11:C11"/>
    <mergeCell ref="B12:C12"/>
    <mergeCell ref="P7:Q7"/>
    <mergeCell ref="S1:T1"/>
    <mergeCell ref="A2:F2"/>
    <mergeCell ref="A3:T3"/>
    <mergeCell ref="I2:L2"/>
    <mergeCell ref="A4:T4"/>
    <mergeCell ref="A5:T5"/>
    <mergeCell ref="A1:F1"/>
    <mergeCell ref="A9:A12"/>
    <mergeCell ref="R7:T7"/>
    <mergeCell ref="A7:A8"/>
    <mergeCell ref="D7:E7"/>
    <mergeCell ref="F7:G7"/>
    <mergeCell ref="H7:I7"/>
    <mergeCell ref="J7:K7"/>
    <mergeCell ref="L7:M7"/>
    <mergeCell ref="N7:O7"/>
    <mergeCell ref="B7:C8"/>
    <mergeCell ref="A44:T44"/>
    <mergeCell ref="H43:L43"/>
    <mergeCell ref="A45:T45"/>
    <mergeCell ref="A46:T46"/>
    <mergeCell ref="A48:A49"/>
    <mergeCell ref="B48:C49"/>
    <mergeCell ref="D48:E48"/>
    <mergeCell ref="F48:G48"/>
    <mergeCell ref="A42:F42"/>
    <mergeCell ref="S42:T42"/>
    <mergeCell ref="A43:F43"/>
    <mergeCell ref="H48:I48"/>
    <mergeCell ref="J48:K48"/>
    <mergeCell ref="R48:T48"/>
    <mergeCell ref="L48:M48"/>
    <mergeCell ref="N48:O48"/>
    <mergeCell ref="P48:Q48"/>
    <mergeCell ref="A70:A73"/>
    <mergeCell ref="B70:C70"/>
    <mergeCell ref="B71:C71"/>
    <mergeCell ref="B72:C72"/>
    <mergeCell ref="B73:C73"/>
    <mergeCell ref="A62:A65"/>
    <mergeCell ref="B62:C62"/>
    <mergeCell ref="B63:C63"/>
    <mergeCell ref="B64:C64"/>
    <mergeCell ref="B65:C65"/>
    <mergeCell ref="A66:A69"/>
    <mergeCell ref="B66:C66"/>
    <mergeCell ref="B67:C67"/>
    <mergeCell ref="B68:C68"/>
    <mergeCell ref="B69:C69"/>
    <mergeCell ref="B77:C77"/>
    <mergeCell ref="A79:F79"/>
    <mergeCell ref="S79:T79"/>
    <mergeCell ref="A80:F80"/>
    <mergeCell ref="A81:T81"/>
    <mergeCell ref="H80:L80"/>
    <mergeCell ref="R85:T85"/>
    <mergeCell ref="F85:G85"/>
    <mergeCell ref="H85:I85"/>
    <mergeCell ref="J85:K85"/>
    <mergeCell ref="L85:M85"/>
    <mergeCell ref="N85:O85"/>
    <mergeCell ref="P85:Q85"/>
    <mergeCell ref="A74:A77"/>
    <mergeCell ref="B74:C74"/>
    <mergeCell ref="B75:C75"/>
    <mergeCell ref="B76:C76"/>
    <mergeCell ref="A87:A90"/>
    <mergeCell ref="B87:C87"/>
    <mergeCell ref="B88:C88"/>
    <mergeCell ref="B89:C89"/>
    <mergeCell ref="B90:C90"/>
    <mergeCell ref="A82:T82"/>
    <mergeCell ref="A83:T83"/>
    <mergeCell ref="A85:A86"/>
    <mergeCell ref="B85:C86"/>
    <mergeCell ref="D85:E85"/>
    <mergeCell ref="B94:C94"/>
    <mergeCell ref="A95:A98"/>
    <mergeCell ref="B95:C95"/>
    <mergeCell ref="B96:C96"/>
    <mergeCell ref="B97:C97"/>
    <mergeCell ref="B98:C98"/>
    <mergeCell ref="A91:A94"/>
    <mergeCell ref="B91:C91"/>
    <mergeCell ref="B92:C92"/>
    <mergeCell ref="B93:C93"/>
    <mergeCell ref="A111:A114"/>
    <mergeCell ref="B111:C111"/>
    <mergeCell ref="B112:C112"/>
    <mergeCell ref="B113:C113"/>
    <mergeCell ref="B114:C114"/>
    <mergeCell ref="A99:A102"/>
    <mergeCell ref="B99:C99"/>
    <mergeCell ref="B100:C100"/>
    <mergeCell ref="B101:C101"/>
    <mergeCell ref="B102:C102"/>
    <mergeCell ref="A107:A110"/>
    <mergeCell ref="B107:C107"/>
    <mergeCell ref="B108:C108"/>
    <mergeCell ref="B109:C109"/>
    <mergeCell ref="B110:C110"/>
    <mergeCell ref="A103:A106"/>
    <mergeCell ref="B103:C103"/>
    <mergeCell ref="B104:C104"/>
    <mergeCell ref="B105:C105"/>
    <mergeCell ref="B106:C106"/>
    <mergeCell ref="A116:F116"/>
    <mergeCell ref="S116:T116"/>
    <mergeCell ref="A117:F117"/>
    <mergeCell ref="A118:T118"/>
    <mergeCell ref="A132:A135"/>
    <mergeCell ref="B132:C132"/>
    <mergeCell ref="B133:C133"/>
    <mergeCell ref="B134:C134"/>
    <mergeCell ref="B135:C135"/>
    <mergeCell ref="A128:A131"/>
    <mergeCell ref="A148:A151"/>
    <mergeCell ref="B148:C148"/>
    <mergeCell ref="B149:C149"/>
    <mergeCell ref="B150:C150"/>
    <mergeCell ref="B151:C151"/>
    <mergeCell ref="A136:A139"/>
    <mergeCell ref="B136:C136"/>
    <mergeCell ref="B137:C137"/>
    <mergeCell ref="A119:T119"/>
    <mergeCell ref="A120:T120"/>
    <mergeCell ref="A122:A123"/>
    <mergeCell ref="B122:C123"/>
    <mergeCell ref="D122:E122"/>
    <mergeCell ref="F122:G122"/>
    <mergeCell ref="H122:I122"/>
    <mergeCell ref="J122:K122"/>
    <mergeCell ref="L122:M122"/>
    <mergeCell ref="N122:O122"/>
    <mergeCell ref="B128:C128"/>
    <mergeCell ref="B129:C129"/>
    <mergeCell ref="B130:C130"/>
    <mergeCell ref="B131:C131"/>
    <mergeCell ref="A124:A127"/>
    <mergeCell ref="B124:C124"/>
    <mergeCell ref="B138:C138"/>
    <mergeCell ref="B139:C139"/>
    <mergeCell ref="A144:A147"/>
    <mergeCell ref="B144:C144"/>
    <mergeCell ref="B145:C145"/>
    <mergeCell ref="B146:C146"/>
    <mergeCell ref="B147:C147"/>
    <mergeCell ref="P122:Q122"/>
    <mergeCell ref="R122:T122"/>
    <mergeCell ref="B125:C125"/>
    <mergeCell ref="B126:C126"/>
    <mergeCell ref="B127:C127"/>
    <mergeCell ref="A140:A143"/>
    <mergeCell ref="B140:C140"/>
    <mergeCell ref="B141:C141"/>
    <mergeCell ref="B142:C142"/>
    <mergeCell ref="B143:C143"/>
    <mergeCell ref="A50:A53"/>
    <mergeCell ref="A58:A61"/>
    <mergeCell ref="B58:C58"/>
    <mergeCell ref="B59:C59"/>
    <mergeCell ref="B60:C60"/>
    <mergeCell ref="B61:C61"/>
    <mergeCell ref="B50:C50"/>
    <mergeCell ref="B51:C51"/>
    <mergeCell ref="B52:C52"/>
    <mergeCell ref="B53:C53"/>
    <mergeCell ref="A54:A57"/>
    <mergeCell ref="B54:C54"/>
    <mergeCell ref="B55:C55"/>
    <mergeCell ref="B56:C56"/>
    <mergeCell ref="B57:C57"/>
    <mergeCell ref="B29:C29"/>
    <mergeCell ref="B30:C30"/>
    <mergeCell ref="B31:C31"/>
    <mergeCell ref="B32:C32"/>
    <mergeCell ref="A29:A32"/>
    <mergeCell ref="A25:A28"/>
    <mergeCell ref="B25:C25"/>
    <mergeCell ref="B26:C26"/>
    <mergeCell ref="B27:C27"/>
    <mergeCell ref="B28:C28"/>
  </mergeCells>
  <printOptions horizontalCentered="1" verticalCentered="1"/>
  <pageMargins left="0.43307086614173229" right="0.39370078740157483" top="0.2" bottom="0.19685039370078741" header="0.2" footer="0.19685039370078741"/>
  <pageSetup paperSize="9" scale="46" orientation="landscape" horizontalDpi="300" verticalDpi="300" r:id="rId1"/>
  <rowBreaks count="3" manualBreakCount="3">
    <brk id="40" max="19" man="1"/>
    <brk id="78" max="16383" man="1"/>
    <brk id="115" max="16383" man="1"/>
  </rowBreaks>
  <ignoredErrors>
    <ignoredError sqref="R12:T12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0"/>
  <sheetViews>
    <sheetView rightToLeft="1" view="pageBreakPreview" zoomScale="60" zoomScaleNormal="80" workbookViewId="0">
      <selection activeCell="C9" sqref="C9"/>
    </sheetView>
  </sheetViews>
  <sheetFormatPr defaultColWidth="9" defaultRowHeight="23.25"/>
  <cols>
    <col min="1" max="2" width="9" style="98" customWidth="1"/>
    <col min="3" max="8" width="9" style="98"/>
    <col min="9" max="9" width="5.25" style="98" customWidth="1"/>
    <col min="10" max="10" width="14.875" style="98" customWidth="1"/>
    <col min="11" max="11" width="13.375" style="98" customWidth="1"/>
    <col min="12" max="12" width="13.625" style="98" customWidth="1"/>
    <col min="13" max="13" width="16.125" style="98" customWidth="1"/>
    <col min="14" max="16384" width="9" style="98"/>
  </cols>
  <sheetData>
    <row r="1" spans="1:19" ht="30.75" customHeight="1">
      <c r="C1" s="148" t="s">
        <v>146</v>
      </c>
      <c r="D1" s="86"/>
      <c r="E1" s="86"/>
      <c r="F1" s="86"/>
      <c r="G1" s="86"/>
      <c r="H1" s="87"/>
      <c r="I1" s="87"/>
      <c r="J1" s="87"/>
      <c r="K1" s="87"/>
      <c r="L1" s="87"/>
      <c r="M1" s="87"/>
      <c r="N1" s="87"/>
      <c r="O1" s="328" t="s">
        <v>110</v>
      </c>
      <c r="P1" s="328"/>
      <c r="S1" s="87"/>
    </row>
    <row r="2" spans="1:19">
      <c r="C2" s="89" t="s">
        <v>185</v>
      </c>
      <c r="D2" s="89"/>
      <c r="E2" s="89"/>
      <c r="F2" s="89"/>
      <c r="G2" s="89"/>
      <c r="H2" s="86"/>
      <c r="I2" s="86"/>
      <c r="J2" s="86"/>
      <c r="K2" s="87"/>
      <c r="L2" s="87"/>
      <c r="M2" s="87"/>
      <c r="N2" s="87"/>
      <c r="O2" s="87"/>
      <c r="P2" s="87"/>
      <c r="Q2" s="87"/>
      <c r="R2" s="87"/>
      <c r="S2" s="87"/>
    </row>
    <row r="3" spans="1:19">
      <c r="C3" s="87"/>
      <c r="D3" s="87"/>
      <c r="E3" s="87"/>
      <c r="F3" s="87"/>
      <c r="G3" s="87"/>
      <c r="H3" s="87"/>
      <c r="I3" s="87"/>
      <c r="J3" s="87"/>
      <c r="K3" s="86" t="s">
        <v>188</v>
      </c>
      <c r="L3" s="86"/>
      <c r="M3" s="86"/>
      <c r="N3" s="86"/>
      <c r="O3" s="87"/>
      <c r="P3" s="87"/>
      <c r="Q3" s="87"/>
      <c r="R3" s="87"/>
      <c r="S3" s="87"/>
    </row>
    <row r="4" spans="1:19">
      <c r="C4" s="87"/>
      <c r="D4" s="87"/>
      <c r="E4" s="87"/>
      <c r="F4" s="87"/>
      <c r="G4" s="86" t="s">
        <v>181</v>
      </c>
      <c r="H4" s="86"/>
      <c r="I4" s="86"/>
      <c r="J4" s="86"/>
      <c r="K4" s="86"/>
      <c r="L4" s="86"/>
      <c r="M4" s="86"/>
      <c r="N4" s="86"/>
      <c r="O4" s="86"/>
      <c r="P4" s="86"/>
      <c r="Q4" s="87"/>
      <c r="R4" s="87"/>
      <c r="S4" s="87"/>
    </row>
    <row r="5" spans="1:19">
      <c r="C5" s="87"/>
      <c r="D5" s="87"/>
      <c r="E5" s="87"/>
      <c r="F5" s="87"/>
      <c r="G5" s="86" t="s">
        <v>497</v>
      </c>
      <c r="H5" s="86"/>
      <c r="I5" s="86"/>
      <c r="J5" s="86"/>
      <c r="K5" s="86"/>
      <c r="L5" s="86"/>
      <c r="M5" s="86"/>
      <c r="N5" s="86"/>
      <c r="O5" s="86"/>
      <c r="P5" s="86"/>
      <c r="Q5" s="87"/>
      <c r="R5" s="87"/>
      <c r="S5" s="87"/>
    </row>
    <row r="6" spans="1:19">
      <c r="C6" s="87"/>
      <c r="D6" s="86"/>
      <c r="E6" s="86"/>
      <c r="F6" s="86"/>
      <c r="G6" s="90" t="s">
        <v>453</v>
      </c>
      <c r="H6" s="90"/>
      <c r="I6" s="90"/>
      <c r="J6" s="90"/>
      <c r="K6" s="90"/>
      <c r="L6" s="90"/>
      <c r="M6" s="90"/>
      <c r="N6" s="90"/>
      <c r="O6" s="90"/>
      <c r="P6" s="90"/>
      <c r="Q6" s="87"/>
      <c r="R6" s="87"/>
      <c r="S6" s="87"/>
    </row>
    <row r="7" spans="1:19" ht="24" thickBot="1">
      <c r="A7" s="87"/>
      <c r="B7" s="90"/>
      <c r="C7" s="90"/>
      <c r="D7" s="90"/>
      <c r="E7" s="90"/>
      <c r="F7" s="90"/>
      <c r="G7" s="90"/>
      <c r="H7" s="99"/>
      <c r="I7" s="86"/>
      <c r="J7" s="87"/>
      <c r="K7" s="87"/>
      <c r="L7" s="87"/>
      <c r="M7" s="87"/>
      <c r="N7" s="87"/>
      <c r="O7" s="87"/>
      <c r="P7" s="87"/>
      <c r="Q7" s="87"/>
    </row>
    <row r="8" spans="1:19" ht="24" thickTop="1">
      <c r="A8" s="87"/>
      <c r="B8" s="100"/>
      <c r="C8" s="100"/>
      <c r="D8" s="101"/>
      <c r="E8" s="349" t="s">
        <v>113</v>
      </c>
      <c r="F8" s="351"/>
      <c r="G8" s="349" t="s">
        <v>140</v>
      </c>
      <c r="H8" s="350"/>
      <c r="I8" s="351"/>
      <c r="J8" s="349" t="s">
        <v>27</v>
      </c>
      <c r="K8" s="350"/>
      <c r="L8" s="350"/>
      <c r="M8" s="351"/>
      <c r="N8" s="87"/>
      <c r="O8" s="87"/>
      <c r="P8" s="87"/>
      <c r="Q8" s="87"/>
    </row>
    <row r="9" spans="1:19" ht="24" thickBot="1">
      <c r="A9" s="87"/>
      <c r="B9" s="87"/>
      <c r="C9" s="87"/>
      <c r="D9" s="87"/>
      <c r="E9" s="398"/>
      <c r="F9" s="399"/>
      <c r="G9" s="398"/>
      <c r="H9" s="343"/>
      <c r="I9" s="399"/>
      <c r="J9" s="352"/>
      <c r="K9" s="353"/>
      <c r="L9" s="353"/>
      <c r="M9" s="354"/>
      <c r="N9" s="87"/>
      <c r="O9" s="87"/>
      <c r="P9" s="87"/>
      <c r="Q9" s="87"/>
    </row>
    <row r="10" spans="1:19" ht="24.75" thickTop="1" thickBot="1">
      <c r="A10" s="87"/>
      <c r="B10" s="87"/>
      <c r="C10" s="87"/>
      <c r="D10" s="87"/>
      <c r="E10" s="352"/>
      <c r="F10" s="354"/>
      <c r="G10" s="352"/>
      <c r="H10" s="353"/>
      <c r="I10" s="354"/>
      <c r="J10" s="14" t="s">
        <v>5</v>
      </c>
      <c r="K10" s="14" t="s">
        <v>6</v>
      </c>
      <c r="L10" s="14" t="s">
        <v>67</v>
      </c>
      <c r="M10" s="14" t="s">
        <v>25</v>
      </c>
      <c r="N10" s="87"/>
      <c r="O10" s="87"/>
      <c r="P10" s="87"/>
      <c r="Q10" s="87"/>
    </row>
    <row r="11" spans="1:19" ht="24.75" thickTop="1" thickBot="1">
      <c r="A11" s="87"/>
      <c r="B11" s="87"/>
      <c r="C11" s="87"/>
      <c r="D11" s="87"/>
      <c r="E11" s="386" t="s">
        <v>121</v>
      </c>
      <c r="F11" s="387"/>
      <c r="G11" s="322" t="s">
        <v>143</v>
      </c>
      <c r="H11" s="327"/>
      <c r="I11" s="323"/>
      <c r="J11" s="102">
        <f>المهني!CM17</f>
        <v>7</v>
      </c>
      <c r="K11" s="102">
        <f>المهني!CN17</f>
        <v>3</v>
      </c>
      <c r="L11" s="102">
        <f>المهني!CO17</f>
        <v>0</v>
      </c>
      <c r="M11" s="102">
        <f>L11+K11+J11</f>
        <v>10</v>
      </c>
      <c r="N11" s="87"/>
      <c r="O11" s="87"/>
      <c r="P11" s="87"/>
      <c r="Q11" s="87"/>
    </row>
    <row r="12" spans="1:19" ht="24.75" thickTop="1" thickBot="1">
      <c r="A12" s="87"/>
      <c r="B12" s="87"/>
      <c r="C12" s="87"/>
      <c r="D12" s="87"/>
      <c r="E12" s="388"/>
      <c r="F12" s="389"/>
      <c r="G12" s="322" t="s">
        <v>144</v>
      </c>
      <c r="H12" s="327"/>
      <c r="I12" s="323"/>
      <c r="J12" s="102">
        <f>المهني!CP17</f>
        <v>0</v>
      </c>
      <c r="K12" s="102">
        <f>المهني!CQ17</f>
        <v>0</v>
      </c>
      <c r="L12" s="102">
        <f>المهني!CR17</f>
        <v>0</v>
      </c>
      <c r="M12" s="102">
        <f>L12+K12+J12</f>
        <v>0</v>
      </c>
      <c r="N12" s="87"/>
      <c r="O12" s="87"/>
      <c r="P12" s="87"/>
      <c r="Q12" s="87"/>
    </row>
    <row r="13" spans="1:19" ht="24.75" thickTop="1" thickBot="1">
      <c r="A13" s="87"/>
      <c r="B13" s="87"/>
      <c r="C13" s="87"/>
      <c r="D13" s="87"/>
      <c r="E13" s="388"/>
      <c r="F13" s="389"/>
      <c r="G13" s="322" t="s">
        <v>145</v>
      </c>
      <c r="H13" s="327"/>
      <c r="I13" s="323"/>
      <c r="J13" s="102">
        <f>المهني!CS17</f>
        <v>0</v>
      </c>
      <c r="K13" s="102">
        <f>المهني!CT17</f>
        <v>0</v>
      </c>
      <c r="L13" s="102">
        <f>المهني!CU17</f>
        <v>0</v>
      </c>
      <c r="M13" s="102">
        <f>L13+K13+J13</f>
        <v>0</v>
      </c>
      <c r="N13" s="87"/>
      <c r="O13" s="87"/>
      <c r="P13" s="87"/>
      <c r="Q13" s="87"/>
    </row>
    <row r="14" spans="1:19" ht="24.75" thickTop="1" thickBot="1">
      <c r="A14" s="87"/>
      <c r="B14" s="87"/>
      <c r="C14" s="87"/>
      <c r="D14" s="87"/>
      <c r="E14" s="390"/>
      <c r="F14" s="391"/>
      <c r="G14" s="322" t="s">
        <v>25</v>
      </c>
      <c r="H14" s="327"/>
      <c r="I14" s="323"/>
      <c r="J14" s="102">
        <f>J13+J12+J11</f>
        <v>7</v>
      </c>
      <c r="K14" s="102">
        <f>K13+K12+K11</f>
        <v>3</v>
      </c>
      <c r="L14" s="102">
        <f>L13+L12+L11</f>
        <v>0</v>
      </c>
      <c r="M14" s="102">
        <f>M13+M12+M11</f>
        <v>10</v>
      </c>
      <c r="N14" s="87"/>
      <c r="O14" s="87"/>
      <c r="P14" s="87"/>
      <c r="Q14" s="87"/>
    </row>
    <row r="15" spans="1:19" ht="24.75" thickTop="1" thickBot="1">
      <c r="A15" s="87"/>
      <c r="B15" s="87"/>
      <c r="C15" s="87"/>
      <c r="D15" s="87"/>
      <c r="E15" s="386" t="s">
        <v>122</v>
      </c>
      <c r="F15" s="387"/>
      <c r="G15" s="322" t="s">
        <v>143</v>
      </c>
      <c r="H15" s="327"/>
      <c r="I15" s="323"/>
      <c r="J15" s="102">
        <f>المهني!CM28</f>
        <v>0</v>
      </c>
      <c r="K15" s="102">
        <f>المهني!CN28</f>
        <v>0</v>
      </c>
      <c r="L15" s="102">
        <f>المهني!CO28</f>
        <v>0</v>
      </c>
      <c r="M15" s="102">
        <f>L15+K15+J15</f>
        <v>0</v>
      </c>
      <c r="N15" s="87"/>
      <c r="O15" s="87"/>
      <c r="P15" s="87"/>
      <c r="Q15" s="87"/>
    </row>
    <row r="16" spans="1:19" ht="24.75" thickTop="1" thickBot="1">
      <c r="A16" s="87"/>
      <c r="B16" s="87"/>
      <c r="C16" s="87"/>
      <c r="D16" s="87"/>
      <c r="E16" s="388"/>
      <c r="F16" s="389"/>
      <c r="G16" s="322" t="s">
        <v>144</v>
      </c>
      <c r="H16" s="327"/>
      <c r="I16" s="323"/>
      <c r="J16" s="102">
        <f>المهني!CP28</f>
        <v>0</v>
      </c>
      <c r="K16" s="102">
        <f>المهني!CQ28</f>
        <v>0</v>
      </c>
      <c r="L16" s="102">
        <f>المهني!CR28</f>
        <v>0</v>
      </c>
      <c r="M16" s="102">
        <f>L16+K16+J16</f>
        <v>0</v>
      </c>
      <c r="N16" s="87"/>
      <c r="O16" s="87"/>
      <c r="P16" s="87"/>
      <c r="Q16" s="87"/>
    </row>
    <row r="17" spans="1:17" ht="24.75" thickTop="1" thickBot="1">
      <c r="A17" s="87"/>
      <c r="B17" s="87"/>
      <c r="C17" s="87"/>
      <c r="D17" s="87"/>
      <c r="E17" s="388"/>
      <c r="F17" s="389"/>
      <c r="G17" s="322" t="s">
        <v>145</v>
      </c>
      <c r="H17" s="327"/>
      <c r="I17" s="323"/>
      <c r="J17" s="102">
        <f>المهني!CS28</f>
        <v>0</v>
      </c>
      <c r="K17" s="102">
        <f>المهني!CT28</f>
        <v>0</v>
      </c>
      <c r="L17" s="102">
        <f>المهني!CU28</f>
        <v>0</v>
      </c>
      <c r="M17" s="102">
        <f>L17+K17+J17</f>
        <v>0</v>
      </c>
      <c r="N17" s="87"/>
      <c r="O17" s="87"/>
      <c r="P17" s="87"/>
      <c r="Q17" s="87"/>
    </row>
    <row r="18" spans="1:17" ht="24.75" thickTop="1" thickBot="1">
      <c r="A18" s="87"/>
      <c r="B18" s="87"/>
      <c r="C18" s="87"/>
      <c r="D18" s="87"/>
      <c r="E18" s="390"/>
      <c r="F18" s="391"/>
      <c r="G18" s="322" t="s">
        <v>25</v>
      </c>
      <c r="H18" s="327"/>
      <c r="I18" s="323"/>
      <c r="J18" s="102">
        <f>J17+J16+J15</f>
        <v>0</v>
      </c>
      <c r="K18" s="102">
        <f>K17+K16+K15</f>
        <v>0</v>
      </c>
      <c r="L18" s="102">
        <f>L17+L16+L15</f>
        <v>0</v>
      </c>
      <c r="M18" s="102">
        <f>M17+M16+M15</f>
        <v>0</v>
      </c>
      <c r="N18" s="87"/>
      <c r="O18" s="87"/>
      <c r="P18" s="87"/>
      <c r="Q18" s="87"/>
    </row>
    <row r="19" spans="1:17" ht="24.75" thickTop="1" thickBot="1">
      <c r="A19" s="87"/>
      <c r="B19" s="87"/>
      <c r="C19" s="87"/>
      <c r="D19" s="87"/>
      <c r="E19" s="386" t="s">
        <v>123</v>
      </c>
      <c r="F19" s="387"/>
      <c r="G19" s="322" t="s">
        <v>143</v>
      </c>
      <c r="H19" s="327"/>
      <c r="I19" s="323"/>
      <c r="J19" s="102">
        <f>المهني!CM23</f>
        <v>0</v>
      </c>
      <c r="K19" s="102">
        <f>المهني!CN23</f>
        <v>0</v>
      </c>
      <c r="L19" s="102">
        <f>المهني!CO23</f>
        <v>0</v>
      </c>
      <c r="M19" s="102">
        <f>L19+K19+J19</f>
        <v>0</v>
      </c>
      <c r="N19" s="87"/>
      <c r="O19" s="87"/>
      <c r="P19" s="87"/>
      <c r="Q19" s="87"/>
    </row>
    <row r="20" spans="1:17" ht="24.75" thickTop="1" thickBot="1">
      <c r="A20" s="87"/>
      <c r="B20" s="87"/>
      <c r="C20" s="87"/>
      <c r="D20" s="87"/>
      <c r="E20" s="388"/>
      <c r="F20" s="389"/>
      <c r="G20" s="322" t="s">
        <v>144</v>
      </c>
      <c r="H20" s="327"/>
      <c r="I20" s="323"/>
      <c r="J20" s="102">
        <f>المهني!CP23</f>
        <v>0</v>
      </c>
      <c r="K20" s="102">
        <f>المهني!CQ23</f>
        <v>0</v>
      </c>
      <c r="L20" s="102">
        <f>المهني!CR23</f>
        <v>0</v>
      </c>
      <c r="M20" s="102">
        <f>L20+K20+J20</f>
        <v>0</v>
      </c>
      <c r="N20" s="87"/>
      <c r="O20" s="87"/>
      <c r="P20" s="87"/>
      <c r="Q20" s="87"/>
    </row>
    <row r="21" spans="1:17" ht="24.75" thickTop="1" thickBot="1">
      <c r="A21" s="87"/>
      <c r="B21" s="87"/>
      <c r="C21" s="87"/>
      <c r="D21" s="87"/>
      <c r="E21" s="388"/>
      <c r="F21" s="389"/>
      <c r="G21" s="322" t="s">
        <v>145</v>
      </c>
      <c r="H21" s="327"/>
      <c r="I21" s="323"/>
      <c r="J21" s="102">
        <f>المهني!CS23</f>
        <v>0</v>
      </c>
      <c r="K21" s="102">
        <f>المهني!CT23</f>
        <v>0</v>
      </c>
      <c r="L21" s="102">
        <f>المهني!CU23</f>
        <v>0</v>
      </c>
      <c r="M21" s="102">
        <f>L21+K21+J21</f>
        <v>0</v>
      </c>
      <c r="N21" s="87"/>
      <c r="O21" s="87"/>
      <c r="P21" s="87"/>
      <c r="Q21" s="87"/>
    </row>
    <row r="22" spans="1:17" ht="24.75" thickTop="1" thickBot="1">
      <c r="A22" s="87"/>
      <c r="B22" s="87"/>
      <c r="C22" s="87"/>
      <c r="D22" s="87"/>
      <c r="E22" s="390"/>
      <c r="F22" s="391"/>
      <c r="G22" s="322" t="s">
        <v>25</v>
      </c>
      <c r="H22" s="327"/>
      <c r="I22" s="323"/>
      <c r="J22" s="102">
        <f>J21+J20+J19</f>
        <v>0</v>
      </c>
      <c r="K22" s="102">
        <f>K21+K20+K19</f>
        <v>0</v>
      </c>
      <c r="L22" s="102">
        <f>L21+L20+L19</f>
        <v>0</v>
      </c>
      <c r="M22" s="102">
        <f>M21+M20+M19</f>
        <v>0</v>
      </c>
      <c r="N22" s="87"/>
      <c r="O22" s="87"/>
      <c r="P22" s="87"/>
      <c r="Q22" s="87"/>
    </row>
    <row r="23" spans="1:17" ht="24.75" thickTop="1" thickBot="1">
      <c r="A23" s="87"/>
      <c r="B23" s="87"/>
      <c r="C23" s="87"/>
      <c r="D23" s="87"/>
      <c r="E23" s="386" t="s">
        <v>211</v>
      </c>
      <c r="F23" s="387"/>
      <c r="G23" s="322" t="s">
        <v>143</v>
      </c>
      <c r="H23" s="327"/>
      <c r="I23" s="323"/>
      <c r="J23" s="106"/>
      <c r="K23" s="102">
        <f>المهني!CN32</f>
        <v>0</v>
      </c>
      <c r="L23" s="106"/>
      <c r="M23" s="102">
        <f>L23+K23+J23</f>
        <v>0</v>
      </c>
      <c r="N23" s="87"/>
      <c r="O23" s="87"/>
      <c r="P23" s="87"/>
      <c r="Q23" s="87"/>
    </row>
    <row r="24" spans="1:17" ht="24.75" thickTop="1" thickBot="1">
      <c r="A24" s="87"/>
      <c r="B24" s="87"/>
      <c r="C24" s="87"/>
      <c r="D24" s="87"/>
      <c r="E24" s="388"/>
      <c r="F24" s="389"/>
      <c r="G24" s="322" t="s">
        <v>144</v>
      </c>
      <c r="H24" s="327"/>
      <c r="I24" s="323"/>
      <c r="J24" s="106"/>
      <c r="K24" s="102">
        <f>المهني!CQ32</f>
        <v>0</v>
      </c>
      <c r="L24" s="106"/>
      <c r="M24" s="102">
        <f>L24+K24+J24</f>
        <v>0</v>
      </c>
      <c r="N24" s="87"/>
      <c r="O24" s="87"/>
      <c r="P24" s="87"/>
      <c r="Q24" s="87"/>
    </row>
    <row r="25" spans="1:17" ht="24.75" thickTop="1" thickBot="1">
      <c r="A25" s="87"/>
      <c r="B25" s="87"/>
      <c r="C25" s="87"/>
      <c r="D25" s="87"/>
      <c r="E25" s="388"/>
      <c r="F25" s="389"/>
      <c r="G25" s="322" t="s">
        <v>145</v>
      </c>
      <c r="H25" s="327"/>
      <c r="I25" s="323"/>
      <c r="J25" s="106"/>
      <c r="K25" s="102">
        <f>المهني!CT32</f>
        <v>0</v>
      </c>
      <c r="L25" s="106"/>
      <c r="M25" s="102">
        <f>L25+K25+J25</f>
        <v>0</v>
      </c>
      <c r="N25" s="87"/>
      <c r="O25" s="87"/>
      <c r="P25" s="87"/>
      <c r="Q25" s="87"/>
    </row>
    <row r="26" spans="1:17" ht="24.75" thickTop="1" thickBot="1">
      <c r="A26" s="87"/>
      <c r="B26" s="87"/>
      <c r="C26" s="87"/>
      <c r="D26" s="87"/>
      <c r="E26" s="390"/>
      <c r="F26" s="391"/>
      <c r="G26" s="322" t="s">
        <v>25</v>
      </c>
      <c r="H26" s="327"/>
      <c r="I26" s="323"/>
      <c r="J26" s="106"/>
      <c r="K26" s="102">
        <f>K25+K24+K23</f>
        <v>0</v>
      </c>
      <c r="L26" s="106"/>
      <c r="M26" s="104">
        <f>M25+M24+M23</f>
        <v>0</v>
      </c>
      <c r="N26" s="87"/>
      <c r="O26" s="87"/>
      <c r="P26" s="87"/>
      <c r="Q26" s="87"/>
    </row>
    <row r="27" spans="1:17" ht="24.75" thickTop="1" thickBot="1">
      <c r="A27" s="135"/>
      <c r="B27" s="135"/>
      <c r="C27" s="135"/>
      <c r="D27" s="135"/>
      <c r="E27" s="386" t="s">
        <v>459</v>
      </c>
      <c r="F27" s="387"/>
      <c r="G27" s="322" t="s">
        <v>143</v>
      </c>
      <c r="H27" s="327"/>
      <c r="I27" s="323"/>
      <c r="J27" s="102">
        <f>المهني!CM38</f>
        <v>0</v>
      </c>
      <c r="K27" s="102">
        <f>المهني!CN38</f>
        <v>0</v>
      </c>
      <c r="L27" s="102">
        <f>المهني!CO38</f>
        <v>0</v>
      </c>
      <c r="M27" s="102">
        <f t="shared" ref="M27:M30" si="0">L27+K27+J27</f>
        <v>0</v>
      </c>
      <c r="N27" s="135"/>
      <c r="O27" s="135"/>
      <c r="P27" s="135"/>
      <c r="Q27" s="135"/>
    </row>
    <row r="28" spans="1:17" ht="24.75" thickTop="1" thickBot="1">
      <c r="A28" s="135"/>
      <c r="B28" s="135"/>
      <c r="C28" s="135"/>
      <c r="D28" s="135"/>
      <c r="E28" s="388"/>
      <c r="F28" s="389"/>
      <c r="G28" s="322" t="s">
        <v>144</v>
      </c>
      <c r="H28" s="327"/>
      <c r="I28" s="323"/>
      <c r="J28" s="102">
        <f>المهني!CP38</f>
        <v>0</v>
      </c>
      <c r="K28" s="102">
        <f>المهني!CQ38</f>
        <v>0</v>
      </c>
      <c r="L28" s="102">
        <f>المهني!CR38</f>
        <v>0</v>
      </c>
      <c r="M28" s="102">
        <f t="shared" si="0"/>
        <v>0</v>
      </c>
      <c r="N28" s="135"/>
      <c r="O28" s="135"/>
      <c r="P28" s="135"/>
      <c r="Q28" s="135"/>
    </row>
    <row r="29" spans="1:17" ht="24.75" thickTop="1" thickBot="1">
      <c r="A29" s="135"/>
      <c r="B29" s="135"/>
      <c r="C29" s="135"/>
      <c r="D29" s="135"/>
      <c r="E29" s="388"/>
      <c r="F29" s="389"/>
      <c r="G29" s="322" t="s">
        <v>145</v>
      </c>
      <c r="H29" s="327"/>
      <c r="I29" s="323"/>
      <c r="J29" s="102">
        <f>المهني!CS38</f>
        <v>0</v>
      </c>
      <c r="K29" s="102">
        <f>المهني!CT38</f>
        <v>0</v>
      </c>
      <c r="L29" s="102">
        <f>المهني!CU38</f>
        <v>0</v>
      </c>
      <c r="M29" s="102">
        <f t="shared" si="0"/>
        <v>0</v>
      </c>
      <c r="N29" s="135"/>
      <c r="O29" s="135"/>
      <c r="P29" s="135"/>
      <c r="Q29" s="135"/>
    </row>
    <row r="30" spans="1:17" ht="24.75" thickTop="1" thickBot="1">
      <c r="A30" s="135"/>
      <c r="B30" s="135"/>
      <c r="C30" s="135"/>
      <c r="D30" s="135"/>
      <c r="E30" s="390"/>
      <c r="F30" s="391"/>
      <c r="G30" s="322" t="s">
        <v>25</v>
      </c>
      <c r="H30" s="327"/>
      <c r="I30" s="323"/>
      <c r="J30" s="102">
        <f t="shared" ref="J30:L30" si="1">J29+J28+J27</f>
        <v>0</v>
      </c>
      <c r="K30" s="102">
        <f t="shared" si="1"/>
        <v>0</v>
      </c>
      <c r="L30" s="102">
        <f t="shared" si="1"/>
        <v>0</v>
      </c>
      <c r="M30" s="102">
        <f t="shared" si="0"/>
        <v>0</v>
      </c>
      <c r="N30" s="135"/>
      <c r="O30" s="135"/>
      <c r="P30" s="135"/>
      <c r="Q30" s="135"/>
    </row>
    <row r="31" spans="1:17" ht="24.75" thickTop="1" thickBot="1">
      <c r="A31" s="184"/>
      <c r="B31" s="184"/>
      <c r="C31" s="184"/>
      <c r="D31" s="184"/>
      <c r="E31" s="386" t="s">
        <v>474</v>
      </c>
      <c r="F31" s="387"/>
      <c r="G31" s="322" t="s">
        <v>143</v>
      </c>
      <c r="H31" s="327"/>
      <c r="I31" s="323"/>
      <c r="J31" s="102">
        <f>المهني!CM40</f>
        <v>0</v>
      </c>
      <c r="K31" s="102">
        <f>المهني!CN40</f>
        <v>0</v>
      </c>
      <c r="L31" s="102">
        <f>المهني!CO40</f>
        <v>0</v>
      </c>
      <c r="M31" s="102">
        <f t="shared" ref="M31:M34" si="2">L31+K31+J31</f>
        <v>0</v>
      </c>
      <c r="N31" s="184"/>
      <c r="O31" s="184"/>
      <c r="P31" s="184"/>
      <c r="Q31" s="184"/>
    </row>
    <row r="32" spans="1:17" ht="24.75" thickTop="1" thickBot="1">
      <c r="A32" s="184"/>
      <c r="B32" s="184"/>
      <c r="C32" s="184"/>
      <c r="D32" s="184"/>
      <c r="E32" s="388"/>
      <c r="F32" s="389"/>
      <c r="G32" s="322" t="s">
        <v>144</v>
      </c>
      <c r="H32" s="327"/>
      <c r="I32" s="323"/>
      <c r="J32" s="102">
        <f>المهني!CP40</f>
        <v>0</v>
      </c>
      <c r="K32" s="102">
        <f>المهني!CQ40</f>
        <v>0</v>
      </c>
      <c r="L32" s="102">
        <f>المهني!CR40</f>
        <v>0</v>
      </c>
      <c r="M32" s="102">
        <f t="shared" si="2"/>
        <v>0</v>
      </c>
      <c r="N32" s="184"/>
      <c r="O32" s="184"/>
      <c r="P32" s="184"/>
      <c r="Q32" s="184"/>
    </row>
    <row r="33" spans="1:19" ht="24.75" thickTop="1" thickBot="1">
      <c r="A33" s="184"/>
      <c r="B33" s="184"/>
      <c r="C33" s="184"/>
      <c r="D33" s="184"/>
      <c r="E33" s="388"/>
      <c r="F33" s="389"/>
      <c r="G33" s="322" t="s">
        <v>145</v>
      </c>
      <c r="H33" s="327"/>
      <c r="I33" s="323"/>
      <c r="J33" s="102">
        <f>المهني!CS40</f>
        <v>0</v>
      </c>
      <c r="K33" s="102">
        <f>المهني!CT40</f>
        <v>0</v>
      </c>
      <c r="L33" s="102">
        <f>المهني!CU40</f>
        <v>0</v>
      </c>
      <c r="M33" s="102">
        <f t="shared" si="2"/>
        <v>0</v>
      </c>
      <c r="N33" s="184"/>
      <c r="O33" s="184"/>
      <c r="P33" s="184"/>
      <c r="Q33" s="184"/>
    </row>
    <row r="34" spans="1:19" ht="24.75" thickTop="1" thickBot="1">
      <c r="A34" s="184"/>
      <c r="B34" s="184"/>
      <c r="C34" s="184"/>
      <c r="D34" s="184"/>
      <c r="E34" s="390"/>
      <c r="F34" s="391"/>
      <c r="G34" s="322" t="s">
        <v>25</v>
      </c>
      <c r="H34" s="327"/>
      <c r="I34" s="323"/>
      <c r="J34" s="102">
        <f t="shared" ref="J34:L34" si="3">J33+J32+J31</f>
        <v>0</v>
      </c>
      <c r="K34" s="102">
        <f t="shared" si="3"/>
        <v>0</v>
      </c>
      <c r="L34" s="102">
        <f t="shared" si="3"/>
        <v>0</v>
      </c>
      <c r="M34" s="102">
        <f t="shared" si="2"/>
        <v>0</v>
      </c>
      <c r="N34" s="184"/>
      <c r="O34" s="184"/>
      <c r="P34" s="184"/>
      <c r="Q34" s="184"/>
    </row>
    <row r="35" spans="1:19" ht="24.75" thickTop="1" thickBot="1">
      <c r="A35" s="87"/>
      <c r="B35" s="87"/>
      <c r="C35" s="87"/>
      <c r="D35" s="87"/>
      <c r="E35" s="400" t="s">
        <v>475</v>
      </c>
      <c r="F35" s="401"/>
      <c r="G35" s="322" t="s">
        <v>143</v>
      </c>
      <c r="H35" s="327"/>
      <c r="I35" s="323"/>
      <c r="J35" s="104">
        <f>المهني!CM35</f>
        <v>16</v>
      </c>
      <c r="K35" s="104">
        <f>المهني!CN35</f>
        <v>2</v>
      </c>
      <c r="L35" s="104">
        <f>المهني!CO35</f>
        <v>0</v>
      </c>
      <c r="M35" s="102">
        <f>L35+K35+J35</f>
        <v>18</v>
      </c>
      <c r="N35" s="87"/>
      <c r="O35" s="87"/>
      <c r="P35" s="87"/>
      <c r="Q35" s="87"/>
    </row>
    <row r="36" spans="1:19" ht="24.75" thickTop="1" thickBot="1">
      <c r="A36" s="87"/>
      <c r="B36" s="87"/>
      <c r="C36" s="87"/>
      <c r="D36" s="87"/>
      <c r="E36" s="402"/>
      <c r="F36" s="403"/>
      <c r="G36" s="322" t="s">
        <v>144</v>
      </c>
      <c r="H36" s="327"/>
      <c r="I36" s="323"/>
      <c r="J36" s="104">
        <f>المهني!CP35</f>
        <v>2</v>
      </c>
      <c r="K36" s="104">
        <f>المهني!CQ35</f>
        <v>0</v>
      </c>
      <c r="L36" s="104">
        <f>المهني!CR35</f>
        <v>0</v>
      </c>
      <c r="M36" s="102">
        <f>L36+K36+J36</f>
        <v>2</v>
      </c>
      <c r="N36" s="87"/>
      <c r="O36" s="87"/>
      <c r="P36" s="87"/>
      <c r="Q36" s="87"/>
    </row>
    <row r="37" spans="1:19" ht="24.75" thickTop="1" thickBot="1">
      <c r="A37" s="87"/>
      <c r="B37" s="87"/>
      <c r="C37" s="87"/>
      <c r="D37" s="87"/>
      <c r="E37" s="402"/>
      <c r="F37" s="403"/>
      <c r="G37" s="322" t="s">
        <v>145</v>
      </c>
      <c r="H37" s="327"/>
      <c r="I37" s="323"/>
      <c r="J37" s="104">
        <f>المهني!CS35</f>
        <v>2</v>
      </c>
      <c r="K37" s="104">
        <f>المهني!CT35</f>
        <v>0</v>
      </c>
      <c r="L37" s="104">
        <f>المهني!CU35</f>
        <v>0</v>
      </c>
      <c r="M37" s="102">
        <f>L37+K37+J37</f>
        <v>2</v>
      </c>
      <c r="N37" s="87"/>
      <c r="O37" s="87"/>
      <c r="P37" s="87"/>
      <c r="Q37" s="87"/>
    </row>
    <row r="38" spans="1:19" ht="24.75" thickTop="1" thickBot="1">
      <c r="A38" s="87"/>
      <c r="B38" s="87"/>
      <c r="C38" s="87"/>
      <c r="D38" s="87"/>
      <c r="E38" s="404"/>
      <c r="F38" s="405"/>
      <c r="G38" s="322" t="s">
        <v>25</v>
      </c>
      <c r="H38" s="327"/>
      <c r="I38" s="323"/>
      <c r="J38" s="102">
        <f>J37+J36+J35</f>
        <v>20</v>
      </c>
      <c r="K38" s="102">
        <f>K37+K36+K35</f>
        <v>2</v>
      </c>
      <c r="L38" s="102">
        <f>L37+L36+L35</f>
        <v>0</v>
      </c>
      <c r="M38" s="102">
        <f>M37+M36+M35</f>
        <v>22</v>
      </c>
      <c r="N38" s="87"/>
      <c r="O38" s="87"/>
      <c r="P38" s="87"/>
      <c r="Q38" s="87"/>
    </row>
    <row r="39" spans="1:19" ht="24.75" thickTop="1" thickBot="1">
      <c r="A39" s="87"/>
      <c r="B39" s="87"/>
      <c r="C39" s="87"/>
      <c r="D39" s="87"/>
      <c r="E39" s="386" t="s">
        <v>137</v>
      </c>
      <c r="F39" s="387"/>
      <c r="G39" s="322" t="s">
        <v>143</v>
      </c>
      <c r="H39" s="327"/>
      <c r="I39" s="323"/>
      <c r="J39" s="102">
        <f>J23+J19+J15+J11+J35+J27+J31</f>
        <v>23</v>
      </c>
      <c r="K39" s="102">
        <f t="shared" ref="K39:M39" si="4">K23+K19+K15+K11+K35+K27+K31</f>
        <v>5</v>
      </c>
      <c r="L39" s="102">
        <f t="shared" si="4"/>
        <v>0</v>
      </c>
      <c r="M39" s="102">
        <f t="shared" si="4"/>
        <v>28</v>
      </c>
      <c r="N39" s="87"/>
      <c r="O39" s="87"/>
      <c r="P39" s="87"/>
      <c r="Q39" s="87"/>
    </row>
    <row r="40" spans="1:19" ht="24.75" thickTop="1" thickBot="1">
      <c r="A40" s="87"/>
      <c r="B40" s="87"/>
      <c r="C40" s="87"/>
      <c r="D40" s="87"/>
      <c r="E40" s="388"/>
      <c r="F40" s="389"/>
      <c r="G40" s="322" t="s">
        <v>144</v>
      </c>
      <c r="H40" s="327"/>
      <c r="I40" s="323"/>
      <c r="J40" s="102">
        <f t="shared" ref="J40:M42" si="5">J24+J20+J16+J12+J36+J28+J32</f>
        <v>2</v>
      </c>
      <c r="K40" s="102">
        <f t="shared" si="5"/>
        <v>0</v>
      </c>
      <c r="L40" s="102">
        <f t="shared" si="5"/>
        <v>0</v>
      </c>
      <c r="M40" s="102">
        <f t="shared" si="5"/>
        <v>2</v>
      </c>
      <c r="N40" s="87"/>
      <c r="O40" s="87"/>
      <c r="P40" s="87"/>
      <c r="Q40" s="87"/>
    </row>
    <row r="41" spans="1:19" ht="24.75" thickTop="1" thickBot="1">
      <c r="A41" s="87"/>
      <c r="B41" s="87"/>
      <c r="C41" s="87"/>
      <c r="D41" s="87"/>
      <c r="E41" s="388"/>
      <c r="F41" s="389"/>
      <c r="G41" s="322" t="s">
        <v>145</v>
      </c>
      <c r="H41" s="327"/>
      <c r="I41" s="323"/>
      <c r="J41" s="102">
        <f t="shared" si="5"/>
        <v>2</v>
      </c>
      <c r="K41" s="102">
        <f t="shared" si="5"/>
        <v>0</v>
      </c>
      <c r="L41" s="102">
        <f t="shared" si="5"/>
        <v>0</v>
      </c>
      <c r="M41" s="102">
        <f t="shared" si="5"/>
        <v>2</v>
      </c>
      <c r="N41" s="87"/>
      <c r="O41" s="87"/>
      <c r="P41" s="87"/>
      <c r="Q41" s="87"/>
    </row>
    <row r="42" spans="1:19" ht="24.75" thickTop="1" thickBot="1">
      <c r="A42" s="87"/>
      <c r="B42" s="87"/>
      <c r="C42" s="87"/>
      <c r="D42" s="87"/>
      <c r="E42" s="390"/>
      <c r="F42" s="391"/>
      <c r="G42" s="322" t="s">
        <v>25</v>
      </c>
      <c r="H42" s="327"/>
      <c r="I42" s="323"/>
      <c r="J42" s="102">
        <f t="shared" si="5"/>
        <v>27</v>
      </c>
      <c r="K42" s="102">
        <f t="shared" si="5"/>
        <v>5</v>
      </c>
      <c r="L42" s="102">
        <f t="shared" si="5"/>
        <v>0</v>
      </c>
      <c r="M42" s="102">
        <f t="shared" si="5"/>
        <v>32</v>
      </c>
      <c r="N42" s="87"/>
      <c r="O42" s="87"/>
      <c r="P42" s="87"/>
      <c r="Q42" s="87"/>
    </row>
    <row r="43" spans="1:19" ht="24" thickTop="1">
      <c r="A43" s="87"/>
      <c r="B43" s="87"/>
      <c r="C43" s="87"/>
      <c r="D43" s="87"/>
      <c r="E43" s="87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</row>
    <row r="44" spans="1:19">
      <c r="C44" s="86" t="s">
        <v>146</v>
      </c>
      <c r="D44" s="86"/>
      <c r="E44" s="86"/>
      <c r="F44" s="86"/>
      <c r="G44" s="86"/>
      <c r="H44" s="87"/>
      <c r="I44" s="87"/>
      <c r="J44" s="87"/>
      <c r="K44" s="87"/>
      <c r="L44" s="87"/>
      <c r="M44" s="87"/>
      <c r="N44" s="87"/>
      <c r="O44" s="328" t="s">
        <v>110</v>
      </c>
      <c r="P44" s="328"/>
      <c r="S44" s="87"/>
    </row>
    <row r="45" spans="1:19">
      <c r="C45" s="89" t="s">
        <v>185</v>
      </c>
      <c r="D45" s="89"/>
      <c r="E45" s="89"/>
      <c r="F45" s="89"/>
      <c r="G45" s="89"/>
      <c r="H45" s="86"/>
      <c r="I45" s="86"/>
      <c r="J45" s="86"/>
      <c r="K45" s="87"/>
      <c r="L45" s="87"/>
      <c r="M45" s="87"/>
      <c r="N45" s="87"/>
      <c r="O45" s="87"/>
      <c r="P45" s="87"/>
      <c r="Q45" s="87"/>
      <c r="R45" s="87"/>
      <c r="S45" s="87"/>
    </row>
    <row r="46" spans="1:19">
      <c r="C46" s="87"/>
      <c r="D46" s="87"/>
      <c r="E46" s="87"/>
      <c r="F46" s="87"/>
      <c r="G46" s="87"/>
      <c r="H46" s="87"/>
      <c r="I46" s="87"/>
      <c r="J46" s="87"/>
      <c r="K46" s="86" t="s">
        <v>189</v>
      </c>
      <c r="L46" s="86"/>
      <c r="M46" s="86"/>
      <c r="N46" s="86"/>
      <c r="O46" s="87"/>
      <c r="P46" s="87"/>
      <c r="Q46" s="87"/>
      <c r="R46" s="87"/>
      <c r="S46" s="87"/>
    </row>
    <row r="47" spans="1:19">
      <c r="C47" s="87"/>
      <c r="D47" s="87"/>
      <c r="E47" s="87"/>
      <c r="F47" s="87"/>
      <c r="G47" s="86" t="s">
        <v>181</v>
      </c>
      <c r="H47" s="86"/>
      <c r="I47" s="86"/>
      <c r="J47" s="86"/>
      <c r="K47" s="86"/>
      <c r="L47" s="86"/>
      <c r="M47" s="86"/>
      <c r="N47" s="86"/>
      <c r="O47" s="86"/>
      <c r="P47" s="86"/>
      <c r="Q47" s="87"/>
      <c r="R47" s="87"/>
      <c r="S47" s="87"/>
    </row>
    <row r="48" spans="1:19">
      <c r="C48" s="87"/>
      <c r="D48" s="87"/>
      <c r="E48" s="87"/>
      <c r="F48" s="87"/>
      <c r="G48" s="86" t="s">
        <v>497</v>
      </c>
      <c r="H48" s="86"/>
      <c r="I48" s="86"/>
      <c r="J48" s="86"/>
      <c r="K48" s="86"/>
      <c r="L48" s="86"/>
      <c r="M48" s="86"/>
      <c r="N48" s="86"/>
      <c r="O48" s="86"/>
      <c r="P48" s="86"/>
      <c r="Q48" s="87"/>
      <c r="R48" s="87"/>
      <c r="S48" s="87"/>
    </row>
    <row r="49" spans="1:19">
      <c r="C49" s="87"/>
      <c r="D49" s="86"/>
      <c r="E49" s="86"/>
      <c r="F49" s="86"/>
      <c r="G49" s="90" t="s">
        <v>453</v>
      </c>
      <c r="H49" s="90"/>
      <c r="I49" s="90"/>
      <c r="J49" s="90"/>
      <c r="K49" s="90"/>
      <c r="L49" s="90"/>
      <c r="M49" s="90"/>
      <c r="N49" s="90"/>
      <c r="O49" s="90"/>
      <c r="P49" s="90"/>
      <c r="Q49" s="87"/>
      <c r="R49" s="87"/>
      <c r="S49" s="87"/>
    </row>
    <row r="50" spans="1:19" ht="24" thickBot="1">
      <c r="A50" s="87"/>
      <c r="B50" s="90"/>
      <c r="C50" s="90"/>
      <c r="D50" s="90"/>
      <c r="E50" s="90"/>
      <c r="F50" s="90"/>
      <c r="G50" s="90"/>
      <c r="H50" s="99"/>
      <c r="I50" s="86"/>
      <c r="J50" s="87"/>
      <c r="K50" s="87"/>
      <c r="L50" s="87"/>
      <c r="M50" s="87"/>
      <c r="N50" s="87"/>
      <c r="O50" s="87"/>
      <c r="P50" s="87"/>
      <c r="Q50" s="87"/>
    </row>
    <row r="51" spans="1:19" ht="24" thickTop="1">
      <c r="A51" s="87"/>
      <c r="B51" s="100"/>
      <c r="C51" s="100"/>
      <c r="D51" s="101"/>
      <c r="E51" s="349" t="s">
        <v>113</v>
      </c>
      <c r="F51" s="351"/>
      <c r="G51" s="349" t="s">
        <v>140</v>
      </c>
      <c r="H51" s="350"/>
      <c r="I51" s="351"/>
      <c r="J51" s="349" t="s">
        <v>27</v>
      </c>
      <c r="K51" s="350"/>
      <c r="L51" s="350"/>
      <c r="M51" s="351"/>
      <c r="N51" s="87"/>
      <c r="O51" s="87"/>
      <c r="P51" s="87"/>
      <c r="Q51" s="87"/>
    </row>
    <row r="52" spans="1:19" ht="24" thickBot="1">
      <c r="A52" s="87"/>
      <c r="B52" s="87"/>
      <c r="C52" s="87"/>
      <c r="D52" s="87"/>
      <c r="E52" s="398"/>
      <c r="F52" s="399"/>
      <c r="G52" s="398"/>
      <c r="H52" s="343"/>
      <c r="I52" s="399"/>
      <c r="J52" s="352"/>
      <c r="K52" s="353"/>
      <c r="L52" s="353"/>
      <c r="M52" s="354"/>
      <c r="N52" s="87"/>
      <c r="O52" s="87"/>
      <c r="P52" s="87"/>
      <c r="Q52" s="87"/>
    </row>
    <row r="53" spans="1:19" ht="24.75" thickTop="1" thickBot="1">
      <c r="A53" s="87"/>
      <c r="B53" s="87"/>
      <c r="C53" s="87"/>
      <c r="D53" s="87"/>
      <c r="E53" s="352"/>
      <c r="F53" s="354"/>
      <c r="G53" s="352"/>
      <c r="H53" s="353"/>
      <c r="I53" s="354"/>
      <c r="J53" s="14" t="s">
        <v>5</v>
      </c>
      <c r="K53" s="14" t="s">
        <v>6</v>
      </c>
      <c r="L53" s="14" t="s">
        <v>67</v>
      </c>
      <c r="M53" s="14" t="s">
        <v>25</v>
      </c>
      <c r="N53" s="87"/>
      <c r="O53" s="87"/>
      <c r="P53" s="87"/>
      <c r="Q53" s="87"/>
    </row>
    <row r="54" spans="1:19" ht="24.75" thickTop="1" thickBot="1">
      <c r="A54" s="87"/>
      <c r="B54" s="87"/>
      <c r="C54" s="87"/>
      <c r="D54" s="87"/>
      <c r="E54" s="386" t="s">
        <v>121</v>
      </c>
      <c r="F54" s="387"/>
      <c r="G54" s="322" t="s">
        <v>143</v>
      </c>
      <c r="H54" s="327"/>
      <c r="I54" s="323"/>
      <c r="J54" s="102">
        <f>المهني!CM9</f>
        <v>7</v>
      </c>
      <c r="K54" s="102">
        <f>المهني!CN9</f>
        <v>3</v>
      </c>
      <c r="L54" s="102">
        <f>المهني!CO9</f>
        <v>0</v>
      </c>
      <c r="M54" s="102">
        <f>L54+K54+J54</f>
        <v>10</v>
      </c>
      <c r="N54" s="87"/>
      <c r="O54" s="87"/>
      <c r="P54" s="87"/>
      <c r="Q54" s="87"/>
    </row>
    <row r="55" spans="1:19" ht="24.75" thickTop="1" thickBot="1">
      <c r="A55" s="87"/>
      <c r="B55" s="87"/>
      <c r="C55" s="87"/>
      <c r="D55" s="87"/>
      <c r="E55" s="388"/>
      <c r="F55" s="389"/>
      <c r="G55" s="322" t="s">
        <v>144</v>
      </c>
      <c r="H55" s="327"/>
      <c r="I55" s="323"/>
      <c r="J55" s="102">
        <f>المهني!CP9</f>
        <v>0</v>
      </c>
      <c r="K55" s="102">
        <f>المهني!CQ9</f>
        <v>0</v>
      </c>
      <c r="L55" s="102">
        <f>المهني!CR9</f>
        <v>0</v>
      </c>
      <c r="M55" s="102">
        <f>L55+K55+J55</f>
        <v>0</v>
      </c>
      <c r="N55" s="87"/>
      <c r="O55" s="87"/>
      <c r="P55" s="87"/>
      <c r="Q55" s="87"/>
    </row>
    <row r="56" spans="1:19" ht="24.75" thickTop="1" thickBot="1">
      <c r="A56" s="87"/>
      <c r="B56" s="87"/>
      <c r="C56" s="87"/>
      <c r="D56" s="87"/>
      <c r="E56" s="388"/>
      <c r="F56" s="389"/>
      <c r="G56" s="322" t="s">
        <v>145</v>
      </c>
      <c r="H56" s="327"/>
      <c r="I56" s="323"/>
      <c r="J56" s="102">
        <f>المهني!CS9</f>
        <v>0</v>
      </c>
      <c r="K56" s="102">
        <f>المهني!CT9</f>
        <v>0</v>
      </c>
      <c r="L56" s="102">
        <f>المهني!CU9</f>
        <v>0</v>
      </c>
      <c r="M56" s="102">
        <f>L56+K56+J56</f>
        <v>0</v>
      </c>
      <c r="N56" s="87"/>
      <c r="O56" s="87"/>
      <c r="P56" s="87"/>
      <c r="Q56" s="87"/>
    </row>
    <row r="57" spans="1:19" ht="24.75" thickTop="1" thickBot="1">
      <c r="A57" s="87"/>
      <c r="B57" s="87"/>
      <c r="C57" s="87"/>
      <c r="D57" s="87"/>
      <c r="E57" s="390"/>
      <c r="F57" s="391"/>
      <c r="G57" s="322" t="s">
        <v>25</v>
      </c>
      <c r="H57" s="327"/>
      <c r="I57" s="323"/>
      <c r="J57" s="102">
        <f>J56+J55+J54</f>
        <v>7</v>
      </c>
      <c r="K57" s="102">
        <f>K56+K55+K54</f>
        <v>3</v>
      </c>
      <c r="L57" s="102">
        <f>L56+L55+L54</f>
        <v>0</v>
      </c>
      <c r="M57" s="102">
        <f>M56+M55+M54</f>
        <v>10</v>
      </c>
      <c r="N57" s="87"/>
      <c r="O57" s="87"/>
      <c r="P57" s="87"/>
      <c r="Q57" s="87"/>
    </row>
    <row r="58" spans="1:19" ht="24.75" thickTop="1" thickBot="1">
      <c r="A58" s="87"/>
      <c r="B58" s="87"/>
      <c r="C58" s="87"/>
      <c r="D58" s="87"/>
      <c r="E58" s="386" t="s">
        <v>122</v>
      </c>
      <c r="F58" s="387"/>
      <c r="G58" s="322" t="s">
        <v>143</v>
      </c>
      <c r="H58" s="327"/>
      <c r="I58" s="323"/>
      <c r="J58" s="105">
        <v>0</v>
      </c>
      <c r="K58" s="105">
        <v>0</v>
      </c>
      <c r="L58" s="105">
        <v>0</v>
      </c>
      <c r="M58" s="102">
        <f>L58+K58+J58</f>
        <v>0</v>
      </c>
      <c r="N58" s="87"/>
      <c r="O58" s="87"/>
      <c r="P58" s="87"/>
      <c r="Q58" s="87"/>
    </row>
    <row r="59" spans="1:19" ht="24.75" thickTop="1" thickBot="1">
      <c r="A59" s="87"/>
      <c r="B59" s="87"/>
      <c r="C59" s="87"/>
      <c r="D59" s="87"/>
      <c r="E59" s="388"/>
      <c r="F59" s="389"/>
      <c r="G59" s="322" t="s">
        <v>144</v>
      </c>
      <c r="H59" s="327"/>
      <c r="I59" s="323"/>
      <c r="J59" s="105">
        <v>0</v>
      </c>
      <c r="K59" s="105">
        <v>0</v>
      </c>
      <c r="L59" s="105">
        <v>0</v>
      </c>
      <c r="M59" s="102">
        <f>L59+K59+J59</f>
        <v>0</v>
      </c>
      <c r="N59" s="87"/>
      <c r="O59" s="87"/>
      <c r="P59" s="87"/>
      <c r="Q59" s="87"/>
    </row>
    <row r="60" spans="1:19" ht="24.75" thickTop="1" thickBot="1">
      <c r="A60" s="87"/>
      <c r="B60" s="87"/>
      <c r="C60" s="87"/>
      <c r="D60" s="87"/>
      <c r="E60" s="388"/>
      <c r="F60" s="389"/>
      <c r="G60" s="322" t="s">
        <v>145</v>
      </c>
      <c r="H60" s="327"/>
      <c r="I60" s="323"/>
      <c r="J60" s="105">
        <v>0</v>
      </c>
      <c r="K60" s="105">
        <v>0</v>
      </c>
      <c r="L60" s="105">
        <v>0</v>
      </c>
      <c r="M60" s="102">
        <f>L60+K60+J60</f>
        <v>0</v>
      </c>
      <c r="N60" s="87"/>
      <c r="O60" s="87"/>
      <c r="P60" s="87"/>
      <c r="Q60" s="87"/>
    </row>
    <row r="61" spans="1:19" ht="24.75" thickTop="1" thickBot="1">
      <c r="A61" s="87"/>
      <c r="B61" s="87"/>
      <c r="C61" s="87"/>
      <c r="D61" s="87"/>
      <c r="E61" s="390"/>
      <c r="F61" s="391"/>
      <c r="G61" s="322" t="s">
        <v>25</v>
      </c>
      <c r="H61" s="327"/>
      <c r="I61" s="323"/>
      <c r="J61" s="102">
        <f>J60+J59+J58</f>
        <v>0</v>
      </c>
      <c r="K61" s="102">
        <f>K60+K59+K58</f>
        <v>0</v>
      </c>
      <c r="L61" s="102">
        <f>L60+L59+L58</f>
        <v>0</v>
      </c>
      <c r="M61" s="102">
        <f>M60+M59+M58</f>
        <v>0</v>
      </c>
      <c r="N61" s="87"/>
      <c r="O61" s="87"/>
      <c r="P61" s="87"/>
      <c r="Q61" s="87"/>
    </row>
    <row r="62" spans="1:19" ht="24.75" thickTop="1" thickBot="1">
      <c r="A62" s="87"/>
      <c r="B62" s="87"/>
      <c r="C62" s="87"/>
      <c r="D62" s="87"/>
      <c r="E62" s="386" t="s">
        <v>123</v>
      </c>
      <c r="F62" s="387"/>
      <c r="G62" s="322" t="s">
        <v>143</v>
      </c>
      <c r="H62" s="327"/>
      <c r="I62" s="323"/>
      <c r="J62" s="102">
        <f>المهني!CM23</f>
        <v>0</v>
      </c>
      <c r="K62" s="102">
        <f>المهني!CN23</f>
        <v>0</v>
      </c>
      <c r="L62" s="102">
        <f>المهني!CO23</f>
        <v>0</v>
      </c>
      <c r="M62" s="102">
        <f>L62+K62+J62</f>
        <v>0</v>
      </c>
      <c r="N62" s="87"/>
      <c r="O62" s="87"/>
      <c r="P62" s="87"/>
      <c r="Q62" s="87"/>
    </row>
    <row r="63" spans="1:19" ht="24.75" thickTop="1" thickBot="1">
      <c r="A63" s="87"/>
      <c r="B63" s="87"/>
      <c r="C63" s="87"/>
      <c r="D63" s="87"/>
      <c r="E63" s="388"/>
      <c r="F63" s="389"/>
      <c r="G63" s="322" t="s">
        <v>144</v>
      </c>
      <c r="H63" s="327"/>
      <c r="I63" s="323"/>
      <c r="J63" s="102">
        <f>المهني!CP23</f>
        <v>0</v>
      </c>
      <c r="K63" s="102">
        <f>المهني!CQ23</f>
        <v>0</v>
      </c>
      <c r="L63" s="102">
        <f>المهني!CR23</f>
        <v>0</v>
      </c>
      <c r="M63" s="102">
        <f>L63+K63+J63</f>
        <v>0</v>
      </c>
      <c r="N63" s="87"/>
      <c r="O63" s="87"/>
      <c r="P63" s="87"/>
      <c r="Q63" s="87"/>
    </row>
    <row r="64" spans="1:19" ht="24.75" thickTop="1" thickBot="1">
      <c r="A64" s="87"/>
      <c r="B64" s="87"/>
      <c r="C64" s="87"/>
      <c r="D64" s="87"/>
      <c r="E64" s="388"/>
      <c r="F64" s="389"/>
      <c r="G64" s="322" t="s">
        <v>145</v>
      </c>
      <c r="H64" s="327"/>
      <c r="I64" s="323"/>
      <c r="J64" s="102">
        <f>المهني!CS23</f>
        <v>0</v>
      </c>
      <c r="K64" s="102">
        <f>المهني!CT23</f>
        <v>0</v>
      </c>
      <c r="L64" s="102">
        <f>المهني!CU23</f>
        <v>0</v>
      </c>
      <c r="M64" s="102">
        <f>L64+K64+J64</f>
        <v>0</v>
      </c>
      <c r="N64" s="87"/>
      <c r="O64" s="87"/>
      <c r="P64" s="87"/>
      <c r="Q64" s="87"/>
    </row>
    <row r="65" spans="1:17" ht="24.75" thickTop="1" thickBot="1">
      <c r="A65" s="87"/>
      <c r="B65" s="87"/>
      <c r="C65" s="87"/>
      <c r="D65" s="87"/>
      <c r="E65" s="390"/>
      <c r="F65" s="391"/>
      <c r="G65" s="322" t="s">
        <v>25</v>
      </c>
      <c r="H65" s="327"/>
      <c r="I65" s="323"/>
      <c r="J65" s="102">
        <f>J64+J63+J62</f>
        <v>0</v>
      </c>
      <c r="K65" s="102">
        <f>K64+K63+K62</f>
        <v>0</v>
      </c>
      <c r="L65" s="102">
        <f>L64+L63+L62</f>
        <v>0</v>
      </c>
      <c r="M65" s="102">
        <f>M64+M63+M62</f>
        <v>0</v>
      </c>
      <c r="N65" s="87"/>
      <c r="O65" s="87"/>
      <c r="P65" s="87"/>
      <c r="Q65" s="87"/>
    </row>
    <row r="66" spans="1:17" ht="24.75" thickTop="1" thickBot="1">
      <c r="A66" s="87"/>
      <c r="B66" s="87"/>
      <c r="C66" s="87"/>
      <c r="D66" s="87"/>
      <c r="E66" s="386" t="s">
        <v>209</v>
      </c>
      <c r="F66" s="387"/>
      <c r="G66" s="322" t="s">
        <v>143</v>
      </c>
      <c r="H66" s="327"/>
      <c r="I66" s="323"/>
      <c r="J66" s="142">
        <v>0</v>
      </c>
      <c r="K66" s="104">
        <f>المهني!CN32</f>
        <v>0</v>
      </c>
      <c r="L66" s="142">
        <v>0</v>
      </c>
      <c r="M66" s="102">
        <f>L66+K66+J66</f>
        <v>0</v>
      </c>
      <c r="N66" s="87"/>
      <c r="O66" s="87"/>
      <c r="P66" s="87"/>
      <c r="Q66" s="87"/>
    </row>
    <row r="67" spans="1:17" ht="24.75" thickTop="1" thickBot="1">
      <c r="A67" s="87"/>
      <c r="B67" s="87"/>
      <c r="C67" s="87"/>
      <c r="D67" s="87"/>
      <c r="E67" s="388"/>
      <c r="F67" s="389"/>
      <c r="G67" s="322" t="s">
        <v>144</v>
      </c>
      <c r="H67" s="327"/>
      <c r="I67" s="323"/>
      <c r="J67" s="142">
        <v>0</v>
      </c>
      <c r="K67" s="104">
        <f>المهني!CQ31</f>
        <v>0</v>
      </c>
      <c r="L67" s="142">
        <v>0</v>
      </c>
      <c r="M67" s="102">
        <f>L67+K67+J67</f>
        <v>0</v>
      </c>
      <c r="N67" s="87"/>
      <c r="O67" s="87"/>
      <c r="P67" s="87"/>
      <c r="Q67" s="87"/>
    </row>
    <row r="68" spans="1:17" ht="24.75" thickTop="1" thickBot="1">
      <c r="A68" s="87"/>
      <c r="B68" s="87"/>
      <c r="C68" s="87"/>
      <c r="D68" s="87"/>
      <c r="E68" s="388"/>
      <c r="F68" s="389"/>
      <c r="G68" s="322" t="s">
        <v>145</v>
      </c>
      <c r="H68" s="327"/>
      <c r="I68" s="323"/>
      <c r="J68" s="142">
        <v>0</v>
      </c>
      <c r="K68" s="104">
        <f>المهني!CT32</f>
        <v>0</v>
      </c>
      <c r="L68" s="142">
        <v>0</v>
      </c>
      <c r="M68" s="102">
        <f>L68+K68+J68</f>
        <v>0</v>
      </c>
      <c r="N68" s="87"/>
      <c r="O68" s="87"/>
      <c r="P68" s="87"/>
      <c r="Q68" s="87"/>
    </row>
    <row r="69" spans="1:17" ht="24.75" thickTop="1" thickBot="1">
      <c r="A69" s="87"/>
      <c r="B69" s="87"/>
      <c r="C69" s="87"/>
      <c r="D69" s="87"/>
      <c r="E69" s="390"/>
      <c r="F69" s="391"/>
      <c r="G69" s="322" t="s">
        <v>25</v>
      </c>
      <c r="H69" s="327"/>
      <c r="I69" s="323"/>
      <c r="J69" s="142">
        <f>J68+J67+J66</f>
        <v>0</v>
      </c>
      <c r="K69" s="104">
        <f>K68+K67+K66</f>
        <v>0</v>
      </c>
      <c r="L69" s="142">
        <f>L68+L67+L66</f>
        <v>0</v>
      </c>
      <c r="M69" s="104">
        <f>M68+M67+M66</f>
        <v>0</v>
      </c>
      <c r="N69" s="87"/>
      <c r="O69" s="87"/>
      <c r="P69" s="87"/>
      <c r="Q69" s="87"/>
    </row>
    <row r="70" spans="1:17" ht="24.75" thickTop="1" thickBot="1">
      <c r="A70" s="135"/>
      <c r="B70" s="135"/>
      <c r="C70" s="135"/>
      <c r="D70" s="135"/>
      <c r="E70" s="386" t="s">
        <v>459</v>
      </c>
      <c r="F70" s="387"/>
      <c r="G70" s="322" t="s">
        <v>143</v>
      </c>
      <c r="H70" s="327"/>
      <c r="I70" s="323"/>
      <c r="J70" s="104">
        <f>المهني!CM38</f>
        <v>0</v>
      </c>
      <c r="K70" s="104">
        <f>المهني!CN38</f>
        <v>0</v>
      </c>
      <c r="L70" s="104">
        <f>المهني!CO38</f>
        <v>0</v>
      </c>
      <c r="M70" s="102">
        <f t="shared" ref="M70:M72" si="6">L70+K70+J70</f>
        <v>0</v>
      </c>
      <c r="N70" s="135"/>
      <c r="O70" s="135"/>
      <c r="P70" s="135"/>
      <c r="Q70" s="135"/>
    </row>
    <row r="71" spans="1:17" ht="24.75" thickTop="1" thickBot="1">
      <c r="A71" s="135"/>
      <c r="B71" s="135"/>
      <c r="C71" s="135"/>
      <c r="D71" s="135"/>
      <c r="E71" s="388"/>
      <c r="F71" s="389"/>
      <c r="G71" s="322" t="s">
        <v>144</v>
      </c>
      <c r="H71" s="327"/>
      <c r="I71" s="323"/>
      <c r="J71" s="104">
        <f>المهني!CP38</f>
        <v>0</v>
      </c>
      <c r="K71" s="104">
        <f>المهني!CQ38</f>
        <v>0</v>
      </c>
      <c r="L71" s="104">
        <f>المهني!CR38</f>
        <v>0</v>
      </c>
      <c r="M71" s="102">
        <f t="shared" si="6"/>
        <v>0</v>
      </c>
      <c r="N71" s="135"/>
      <c r="O71" s="135"/>
      <c r="P71" s="135"/>
      <c r="Q71" s="135"/>
    </row>
    <row r="72" spans="1:17" ht="24.75" thickTop="1" thickBot="1">
      <c r="A72" s="135"/>
      <c r="B72" s="135"/>
      <c r="C72" s="135"/>
      <c r="D72" s="135"/>
      <c r="E72" s="388"/>
      <c r="F72" s="389"/>
      <c r="G72" s="322" t="s">
        <v>145</v>
      </c>
      <c r="H72" s="327"/>
      <c r="I72" s="323"/>
      <c r="J72" s="104">
        <f>المهني!CS38</f>
        <v>0</v>
      </c>
      <c r="K72" s="104">
        <f>المهني!CT38</f>
        <v>0</v>
      </c>
      <c r="L72" s="104">
        <f>المهني!CU38</f>
        <v>0</v>
      </c>
      <c r="M72" s="102">
        <f t="shared" si="6"/>
        <v>0</v>
      </c>
      <c r="N72" s="135"/>
      <c r="O72" s="135"/>
      <c r="P72" s="135"/>
      <c r="Q72" s="135"/>
    </row>
    <row r="73" spans="1:17" ht="24.75" thickTop="1" thickBot="1">
      <c r="A73" s="135"/>
      <c r="B73" s="135"/>
      <c r="C73" s="135"/>
      <c r="D73" s="135"/>
      <c r="E73" s="390"/>
      <c r="F73" s="391"/>
      <c r="G73" s="322" t="s">
        <v>25</v>
      </c>
      <c r="H73" s="327"/>
      <c r="I73" s="323"/>
      <c r="J73" s="104">
        <f t="shared" ref="J73:M73" si="7">J72+J71+J70</f>
        <v>0</v>
      </c>
      <c r="K73" s="104">
        <f t="shared" si="7"/>
        <v>0</v>
      </c>
      <c r="L73" s="104">
        <f t="shared" si="7"/>
        <v>0</v>
      </c>
      <c r="M73" s="104">
        <f t="shared" si="7"/>
        <v>0</v>
      </c>
      <c r="N73" s="135"/>
      <c r="O73" s="135"/>
      <c r="P73" s="135"/>
      <c r="Q73" s="135"/>
    </row>
    <row r="74" spans="1:17" ht="24.75" thickTop="1" thickBot="1">
      <c r="A74" s="87"/>
      <c r="B74" s="87"/>
      <c r="C74" s="87"/>
      <c r="D74" s="87"/>
      <c r="E74" s="392" t="s">
        <v>387</v>
      </c>
      <c r="F74" s="393"/>
      <c r="G74" s="322" t="s">
        <v>143</v>
      </c>
      <c r="H74" s="327"/>
      <c r="I74" s="323"/>
      <c r="J74" s="104">
        <f>المهني!CM36</f>
        <v>16</v>
      </c>
      <c r="K74" s="104">
        <f>المهني!CN36</f>
        <v>2</v>
      </c>
      <c r="L74" s="104">
        <f>المهني!CO36</f>
        <v>0</v>
      </c>
      <c r="M74" s="102">
        <f>L74+K74+J74</f>
        <v>18</v>
      </c>
      <c r="N74" s="87"/>
      <c r="O74" s="87"/>
      <c r="P74" s="87"/>
      <c r="Q74" s="87"/>
    </row>
    <row r="75" spans="1:17" ht="24.75" thickTop="1" thickBot="1">
      <c r="A75" s="87"/>
      <c r="B75" s="87"/>
      <c r="C75" s="87"/>
      <c r="D75" s="87"/>
      <c r="E75" s="394"/>
      <c r="F75" s="395"/>
      <c r="G75" s="322" t="s">
        <v>144</v>
      </c>
      <c r="H75" s="327"/>
      <c r="I75" s="323"/>
      <c r="J75" s="104">
        <f>المهني!CP36</f>
        <v>2</v>
      </c>
      <c r="K75" s="104">
        <f>المهني!CQ36</f>
        <v>0</v>
      </c>
      <c r="L75" s="104">
        <f>المهني!CR36</f>
        <v>0</v>
      </c>
      <c r="M75" s="102">
        <f>L75+K75+J75</f>
        <v>2</v>
      </c>
      <c r="N75" s="87"/>
      <c r="O75" s="87"/>
      <c r="P75" s="87"/>
      <c r="Q75" s="87"/>
    </row>
    <row r="76" spans="1:17" ht="24.75" thickTop="1" thickBot="1">
      <c r="A76" s="87"/>
      <c r="B76" s="87"/>
      <c r="C76" s="87"/>
      <c r="D76" s="87"/>
      <c r="E76" s="394"/>
      <c r="F76" s="395"/>
      <c r="G76" s="322" t="s">
        <v>145</v>
      </c>
      <c r="H76" s="327"/>
      <c r="I76" s="323"/>
      <c r="J76" s="104">
        <f>المهني!CS36</f>
        <v>2</v>
      </c>
      <c r="K76" s="104">
        <f>المهني!CT36</f>
        <v>0</v>
      </c>
      <c r="L76" s="104">
        <f>المهني!CU36</f>
        <v>0</v>
      </c>
      <c r="M76" s="102">
        <f>L76+K76+J76</f>
        <v>2</v>
      </c>
      <c r="N76" s="87"/>
      <c r="O76" s="87"/>
      <c r="P76" s="87"/>
      <c r="Q76" s="87"/>
    </row>
    <row r="77" spans="1:17" ht="24.75" thickTop="1" thickBot="1">
      <c r="A77" s="87"/>
      <c r="B77" s="87"/>
      <c r="C77" s="87"/>
      <c r="D77" s="87"/>
      <c r="E77" s="396"/>
      <c r="F77" s="397"/>
      <c r="G77" s="322" t="s">
        <v>25</v>
      </c>
      <c r="H77" s="327"/>
      <c r="I77" s="323"/>
      <c r="J77" s="104">
        <f>J76+J75+J74</f>
        <v>20</v>
      </c>
      <c r="K77" s="104">
        <f>K76+K75+K74</f>
        <v>2</v>
      </c>
      <c r="L77" s="104">
        <f>L76+L75+L74</f>
        <v>0</v>
      </c>
      <c r="M77" s="104">
        <f>M76+M75+M74</f>
        <v>22</v>
      </c>
      <c r="N77" s="87"/>
      <c r="O77" s="87"/>
      <c r="P77" s="87"/>
      <c r="Q77" s="87"/>
    </row>
    <row r="78" spans="1:17" ht="24.75" thickTop="1" thickBot="1">
      <c r="A78" s="87"/>
      <c r="B78" s="87"/>
      <c r="C78" s="87"/>
      <c r="D78" s="87"/>
      <c r="E78" s="386" t="s">
        <v>137</v>
      </c>
      <c r="F78" s="387"/>
      <c r="G78" s="322" t="s">
        <v>143</v>
      </c>
      <c r="H78" s="327"/>
      <c r="I78" s="323"/>
      <c r="J78" s="102">
        <f>J66+J62+J58+J54+J74+J70</f>
        <v>23</v>
      </c>
      <c r="K78" s="102">
        <f t="shared" ref="K78:M78" si="8">K66+K62+K58+K54+K74+K70</f>
        <v>5</v>
      </c>
      <c r="L78" s="102">
        <f t="shared" si="8"/>
        <v>0</v>
      </c>
      <c r="M78" s="102">
        <f t="shared" si="8"/>
        <v>28</v>
      </c>
      <c r="N78" s="87"/>
      <c r="O78" s="87"/>
      <c r="P78" s="87"/>
      <c r="Q78" s="87"/>
    </row>
    <row r="79" spans="1:17" ht="24.75" thickTop="1" thickBot="1">
      <c r="A79" s="87"/>
      <c r="B79" s="87"/>
      <c r="C79" s="87"/>
      <c r="D79" s="87"/>
      <c r="E79" s="388"/>
      <c r="F79" s="389"/>
      <c r="G79" s="322" t="s">
        <v>144</v>
      </c>
      <c r="H79" s="327"/>
      <c r="I79" s="323"/>
      <c r="J79" s="102">
        <f t="shared" ref="J79:M79" si="9">J67+J63+J59+J55+J75+J71</f>
        <v>2</v>
      </c>
      <c r="K79" s="102">
        <f t="shared" si="9"/>
        <v>0</v>
      </c>
      <c r="L79" s="102">
        <f t="shared" si="9"/>
        <v>0</v>
      </c>
      <c r="M79" s="102">
        <f t="shared" si="9"/>
        <v>2</v>
      </c>
      <c r="N79" s="87"/>
      <c r="O79" s="87"/>
      <c r="P79" s="87"/>
      <c r="Q79" s="87"/>
    </row>
    <row r="80" spans="1:17" ht="24.75" thickTop="1" thickBot="1">
      <c r="A80" s="87"/>
      <c r="B80" s="87"/>
      <c r="C80" s="87"/>
      <c r="D80" s="87"/>
      <c r="E80" s="388"/>
      <c r="F80" s="389"/>
      <c r="G80" s="322" t="s">
        <v>145</v>
      </c>
      <c r="H80" s="327"/>
      <c r="I80" s="323"/>
      <c r="J80" s="102">
        <f t="shared" ref="J80:M80" si="10">J68+J64+J60+J56+J76+J72</f>
        <v>2</v>
      </c>
      <c r="K80" s="102">
        <f t="shared" si="10"/>
        <v>0</v>
      </c>
      <c r="L80" s="102">
        <f t="shared" si="10"/>
        <v>0</v>
      </c>
      <c r="M80" s="102">
        <f t="shared" si="10"/>
        <v>2</v>
      </c>
      <c r="N80" s="87"/>
      <c r="O80" s="87"/>
      <c r="P80" s="87"/>
      <c r="Q80" s="87"/>
    </row>
    <row r="81" spans="1:19" ht="24.75" thickTop="1" thickBot="1">
      <c r="A81" s="87"/>
      <c r="B81" s="87"/>
      <c r="C81" s="87"/>
      <c r="D81" s="87"/>
      <c r="E81" s="390"/>
      <c r="F81" s="391"/>
      <c r="G81" s="322" t="s">
        <v>25</v>
      </c>
      <c r="H81" s="327"/>
      <c r="I81" s="323"/>
      <c r="J81" s="102">
        <f t="shared" ref="J81:M81" si="11">J69+J65+J61+J57+J77+J73</f>
        <v>27</v>
      </c>
      <c r="K81" s="102">
        <f t="shared" si="11"/>
        <v>5</v>
      </c>
      <c r="L81" s="102">
        <f t="shared" si="11"/>
        <v>0</v>
      </c>
      <c r="M81" s="102">
        <f t="shared" si="11"/>
        <v>32</v>
      </c>
      <c r="N81" s="87"/>
      <c r="O81" s="87"/>
      <c r="P81" s="87"/>
      <c r="Q81" s="87"/>
    </row>
    <row r="82" spans="1:19" ht="24" thickTop="1"/>
    <row r="83" spans="1:19">
      <c r="C83" s="86" t="s">
        <v>146</v>
      </c>
      <c r="D83" s="86"/>
      <c r="E83" s="86"/>
      <c r="F83" s="86"/>
      <c r="G83" s="86"/>
      <c r="H83" s="87"/>
      <c r="I83" s="87"/>
      <c r="J83" s="87"/>
      <c r="K83" s="87"/>
      <c r="L83" s="87"/>
      <c r="M83" s="87"/>
      <c r="N83" s="87"/>
      <c r="O83" s="328" t="s">
        <v>110</v>
      </c>
      <c r="P83" s="328"/>
      <c r="S83" s="87"/>
    </row>
    <row r="84" spans="1:19">
      <c r="C84" s="89" t="s">
        <v>185</v>
      </c>
      <c r="D84" s="89"/>
      <c r="E84" s="89"/>
      <c r="F84" s="89"/>
      <c r="G84" s="89"/>
      <c r="H84" s="86"/>
      <c r="I84" s="86"/>
      <c r="J84" s="86"/>
      <c r="K84" s="87"/>
      <c r="L84" s="87"/>
      <c r="M84" s="87"/>
      <c r="N84" s="87"/>
      <c r="O84" s="87"/>
      <c r="P84" s="87"/>
      <c r="Q84" s="87"/>
      <c r="R84" s="87"/>
      <c r="S84" s="87"/>
    </row>
    <row r="85" spans="1:19">
      <c r="C85" s="87"/>
      <c r="D85" s="87"/>
      <c r="E85" s="87"/>
      <c r="F85" s="87"/>
      <c r="G85" s="87"/>
      <c r="H85" s="87"/>
      <c r="I85" s="87"/>
      <c r="J85" s="87"/>
      <c r="K85" s="86" t="s">
        <v>183</v>
      </c>
      <c r="L85" s="86"/>
      <c r="M85" s="86"/>
      <c r="N85" s="86"/>
      <c r="O85" s="87"/>
      <c r="P85" s="87"/>
      <c r="Q85" s="87"/>
      <c r="R85" s="87"/>
      <c r="S85" s="87"/>
    </row>
    <row r="86" spans="1:19">
      <c r="C86" s="87"/>
      <c r="D86" s="87"/>
      <c r="E86" s="87"/>
      <c r="F86" s="87"/>
      <c r="G86" s="86" t="s">
        <v>181</v>
      </c>
      <c r="H86" s="86"/>
      <c r="I86" s="86"/>
      <c r="J86" s="86"/>
      <c r="K86" s="86"/>
      <c r="L86" s="86"/>
      <c r="M86" s="86"/>
      <c r="N86" s="86"/>
      <c r="O86" s="86"/>
      <c r="P86" s="86"/>
      <c r="Q86" s="87"/>
      <c r="R86" s="87"/>
      <c r="S86" s="87"/>
    </row>
    <row r="87" spans="1:19">
      <c r="C87" s="87"/>
      <c r="D87" s="87"/>
      <c r="E87" s="87"/>
      <c r="F87" s="87"/>
      <c r="G87" s="86" t="s">
        <v>501</v>
      </c>
      <c r="H87" s="86"/>
      <c r="I87" s="86"/>
      <c r="J87" s="86"/>
      <c r="K87" s="86"/>
      <c r="L87" s="86"/>
      <c r="M87" s="86"/>
      <c r="N87" s="86"/>
      <c r="O87" s="86"/>
      <c r="P87" s="86"/>
      <c r="Q87" s="87"/>
      <c r="R87" s="87"/>
      <c r="S87" s="87"/>
    </row>
    <row r="88" spans="1:19">
      <c r="C88" s="87"/>
      <c r="D88" s="86"/>
      <c r="E88" s="86"/>
      <c r="F88" s="86"/>
      <c r="G88" s="90" t="s">
        <v>453</v>
      </c>
      <c r="H88" s="90"/>
      <c r="I88" s="90"/>
      <c r="J88" s="90"/>
      <c r="K88" s="90"/>
      <c r="L88" s="90"/>
      <c r="M88" s="90"/>
      <c r="N88" s="90"/>
      <c r="O88" s="90"/>
      <c r="P88" s="90"/>
      <c r="Q88" s="87"/>
      <c r="R88" s="87"/>
      <c r="S88" s="87"/>
    </row>
    <row r="89" spans="1:19" ht="24" thickBot="1">
      <c r="A89" s="87"/>
      <c r="B89" s="90"/>
      <c r="C89" s="90"/>
      <c r="D89" s="90"/>
      <c r="E89" s="90"/>
      <c r="F89" s="90"/>
      <c r="G89" s="90"/>
      <c r="H89" s="99"/>
      <c r="I89" s="86"/>
      <c r="J89" s="87"/>
      <c r="K89" s="87"/>
      <c r="L89" s="87"/>
      <c r="M89" s="87"/>
      <c r="N89" s="87"/>
      <c r="O89" s="87"/>
      <c r="P89" s="87"/>
      <c r="Q89" s="87"/>
    </row>
    <row r="90" spans="1:19" ht="24" thickTop="1">
      <c r="A90" s="87"/>
      <c r="B90" s="100"/>
      <c r="C90" s="100"/>
      <c r="D90" s="101"/>
      <c r="E90" s="349" t="s">
        <v>113</v>
      </c>
      <c r="F90" s="351"/>
      <c r="G90" s="349" t="s">
        <v>140</v>
      </c>
      <c r="H90" s="350"/>
      <c r="I90" s="351"/>
      <c r="J90" s="349" t="s">
        <v>27</v>
      </c>
      <c r="K90" s="350"/>
      <c r="L90" s="350"/>
      <c r="M90" s="351"/>
      <c r="N90" s="87"/>
      <c r="O90" s="87"/>
      <c r="P90" s="87"/>
      <c r="Q90" s="87"/>
    </row>
    <row r="91" spans="1:19" ht="24" thickBot="1">
      <c r="A91" s="87"/>
      <c r="B91" s="87"/>
      <c r="C91" s="87"/>
      <c r="D91" s="87"/>
      <c r="E91" s="398"/>
      <c r="F91" s="399"/>
      <c r="G91" s="398"/>
      <c r="H91" s="343"/>
      <c r="I91" s="399"/>
      <c r="J91" s="352"/>
      <c r="K91" s="353"/>
      <c r="L91" s="353"/>
      <c r="M91" s="354"/>
      <c r="N91" s="87"/>
      <c r="O91" s="87"/>
      <c r="P91" s="87"/>
      <c r="Q91" s="87"/>
    </row>
    <row r="92" spans="1:19" ht="24.75" thickTop="1" thickBot="1">
      <c r="A92" s="87"/>
      <c r="B92" s="87"/>
      <c r="C92" s="87"/>
      <c r="D92" s="87"/>
      <c r="E92" s="352"/>
      <c r="F92" s="354"/>
      <c r="G92" s="352"/>
      <c r="H92" s="353"/>
      <c r="I92" s="354"/>
      <c r="J92" s="14" t="s">
        <v>5</v>
      </c>
      <c r="K92" s="14" t="s">
        <v>6</v>
      </c>
      <c r="L92" s="14" t="s">
        <v>67</v>
      </c>
      <c r="M92" s="14" t="s">
        <v>25</v>
      </c>
      <c r="N92" s="87"/>
      <c r="O92" s="87"/>
      <c r="P92" s="87"/>
      <c r="Q92" s="87"/>
    </row>
    <row r="93" spans="1:19" ht="24.75" thickTop="1" thickBot="1">
      <c r="A93" s="87"/>
      <c r="B93" s="87"/>
      <c r="C93" s="87"/>
      <c r="D93" s="87"/>
      <c r="E93" s="386" t="s">
        <v>121</v>
      </c>
      <c r="F93" s="387"/>
      <c r="G93" s="322" t="s">
        <v>143</v>
      </c>
      <c r="H93" s="327"/>
      <c r="I93" s="323"/>
      <c r="J93" s="102">
        <f>المهني!CM12</f>
        <v>0</v>
      </c>
      <c r="K93" s="102">
        <f>المهني!CN12</f>
        <v>0</v>
      </c>
      <c r="L93" s="102">
        <f>المهني!CO12</f>
        <v>0</v>
      </c>
      <c r="M93" s="102">
        <f>L93+K93+J93</f>
        <v>0</v>
      </c>
      <c r="N93" s="87"/>
      <c r="O93" s="87"/>
      <c r="P93" s="87"/>
      <c r="Q93" s="87"/>
    </row>
    <row r="94" spans="1:19" ht="24.75" thickTop="1" thickBot="1">
      <c r="A94" s="87"/>
      <c r="B94" s="87"/>
      <c r="C94" s="87"/>
      <c r="D94" s="87"/>
      <c r="E94" s="388"/>
      <c r="F94" s="389"/>
      <c r="G94" s="322" t="s">
        <v>144</v>
      </c>
      <c r="H94" s="327"/>
      <c r="I94" s="323"/>
      <c r="J94" s="102">
        <f>المهني!CP12</f>
        <v>0</v>
      </c>
      <c r="K94" s="102">
        <f>المهني!CQ12</f>
        <v>0</v>
      </c>
      <c r="L94" s="102">
        <f>المهني!CR12</f>
        <v>0</v>
      </c>
      <c r="M94" s="102">
        <f>L94+K94+J94</f>
        <v>0</v>
      </c>
      <c r="N94" s="87"/>
      <c r="O94" s="87"/>
      <c r="P94" s="87"/>
      <c r="Q94" s="87"/>
    </row>
    <row r="95" spans="1:19" ht="24.75" thickTop="1" thickBot="1">
      <c r="A95" s="87"/>
      <c r="B95" s="87"/>
      <c r="C95" s="87"/>
      <c r="D95" s="87"/>
      <c r="E95" s="388"/>
      <c r="F95" s="389"/>
      <c r="G95" s="322" t="s">
        <v>145</v>
      </c>
      <c r="H95" s="327"/>
      <c r="I95" s="323"/>
      <c r="J95" s="102">
        <f>المهني!CS12</f>
        <v>0</v>
      </c>
      <c r="K95" s="102">
        <f>المهني!CT12</f>
        <v>0</v>
      </c>
      <c r="L95" s="102">
        <f>المهني!CU12</f>
        <v>0</v>
      </c>
      <c r="M95" s="102">
        <f>L95+K95+J95</f>
        <v>0</v>
      </c>
      <c r="N95" s="87"/>
      <c r="O95" s="87"/>
      <c r="P95" s="87"/>
      <c r="Q95" s="87"/>
    </row>
    <row r="96" spans="1:19" ht="24.75" thickTop="1" thickBot="1">
      <c r="A96" s="87"/>
      <c r="B96" s="87"/>
      <c r="C96" s="87"/>
      <c r="D96" s="87"/>
      <c r="E96" s="390"/>
      <c r="F96" s="391"/>
      <c r="G96" s="322" t="s">
        <v>25</v>
      </c>
      <c r="H96" s="327"/>
      <c r="I96" s="323"/>
      <c r="J96" s="102">
        <f>J95+J94+J93</f>
        <v>0</v>
      </c>
      <c r="K96" s="102">
        <f>K95+K94+K93</f>
        <v>0</v>
      </c>
      <c r="L96" s="102">
        <f>L95+L94+L93</f>
        <v>0</v>
      </c>
      <c r="M96" s="102">
        <f>M95+M94+M93</f>
        <v>0</v>
      </c>
      <c r="N96" s="87"/>
      <c r="O96" s="87"/>
      <c r="P96" s="87"/>
      <c r="Q96" s="87"/>
    </row>
    <row r="97" spans="1:17" ht="24.75" thickTop="1" thickBot="1">
      <c r="A97" s="87"/>
      <c r="B97" s="87"/>
      <c r="C97" s="87"/>
      <c r="D97" s="87"/>
      <c r="E97" s="386" t="s">
        <v>122</v>
      </c>
      <c r="F97" s="387"/>
      <c r="G97" s="322" t="s">
        <v>143</v>
      </c>
      <c r="H97" s="327"/>
      <c r="I97" s="323"/>
      <c r="J97" s="102">
        <f>المهني!CM28</f>
        <v>0</v>
      </c>
      <c r="K97" s="102">
        <f>المهني!CN28</f>
        <v>0</v>
      </c>
      <c r="L97" s="102">
        <f>المهني!CO28</f>
        <v>0</v>
      </c>
      <c r="M97" s="102">
        <f>L97+K97+J97</f>
        <v>0</v>
      </c>
      <c r="N97" s="87"/>
      <c r="O97" s="87"/>
      <c r="P97" s="87"/>
      <c r="Q97" s="87"/>
    </row>
    <row r="98" spans="1:17" ht="24.75" thickTop="1" thickBot="1">
      <c r="A98" s="87"/>
      <c r="B98" s="87"/>
      <c r="C98" s="87"/>
      <c r="D98" s="87"/>
      <c r="E98" s="388"/>
      <c r="F98" s="389"/>
      <c r="G98" s="322" t="s">
        <v>144</v>
      </c>
      <c r="H98" s="327"/>
      <c r="I98" s="323"/>
      <c r="J98" s="102">
        <f>المهني!CP28</f>
        <v>0</v>
      </c>
      <c r="K98" s="102">
        <f>المهني!CQ28</f>
        <v>0</v>
      </c>
      <c r="L98" s="102">
        <f>المهني!CR28</f>
        <v>0</v>
      </c>
      <c r="M98" s="102">
        <f>L98+K98+J98</f>
        <v>0</v>
      </c>
      <c r="N98" s="87"/>
      <c r="O98" s="87"/>
      <c r="P98" s="87"/>
      <c r="Q98" s="87"/>
    </row>
    <row r="99" spans="1:17" ht="24.75" thickTop="1" thickBot="1">
      <c r="A99" s="87"/>
      <c r="B99" s="87"/>
      <c r="C99" s="87"/>
      <c r="D99" s="87"/>
      <c r="E99" s="388"/>
      <c r="F99" s="389"/>
      <c r="G99" s="322" t="s">
        <v>145</v>
      </c>
      <c r="H99" s="327"/>
      <c r="I99" s="323"/>
      <c r="J99" s="102">
        <f>المهني!CS28</f>
        <v>0</v>
      </c>
      <c r="K99" s="102">
        <f>المهني!CT28</f>
        <v>0</v>
      </c>
      <c r="L99" s="102">
        <f>المهني!CU28</f>
        <v>0</v>
      </c>
      <c r="M99" s="102">
        <f>L99+K99+J99</f>
        <v>0</v>
      </c>
      <c r="N99" s="87"/>
      <c r="O99" s="87"/>
      <c r="P99" s="87"/>
      <c r="Q99" s="87"/>
    </row>
    <row r="100" spans="1:17" ht="24.75" thickTop="1" thickBot="1">
      <c r="A100" s="87"/>
      <c r="B100" s="87"/>
      <c r="C100" s="87"/>
      <c r="D100" s="87"/>
      <c r="E100" s="390"/>
      <c r="F100" s="391"/>
      <c r="G100" s="322" t="s">
        <v>25</v>
      </c>
      <c r="H100" s="327"/>
      <c r="I100" s="323"/>
      <c r="J100" s="102">
        <f>J99+J98+J97</f>
        <v>0</v>
      </c>
      <c r="K100" s="102">
        <f>K99+K98+K97</f>
        <v>0</v>
      </c>
      <c r="L100" s="102">
        <f>L99+L98+L97</f>
        <v>0</v>
      </c>
      <c r="M100" s="102">
        <f>M99+M98+M97</f>
        <v>0</v>
      </c>
      <c r="N100" s="87"/>
      <c r="O100" s="87"/>
      <c r="P100" s="87"/>
      <c r="Q100" s="87"/>
    </row>
    <row r="101" spans="1:17" ht="24.75" thickTop="1" thickBot="1">
      <c r="A101" s="87"/>
      <c r="B101" s="87"/>
      <c r="C101" s="87"/>
      <c r="D101" s="87"/>
      <c r="E101" s="386" t="s">
        <v>123</v>
      </c>
      <c r="F101" s="387"/>
      <c r="G101" s="322" t="s">
        <v>143</v>
      </c>
      <c r="H101" s="327"/>
      <c r="I101" s="323"/>
      <c r="J101" s="102">
        <v>0</v>
      </c>
      <c r="K101" s="102">
        <v>0</v>
      </c>
      <c r="L101" s="102">
        <v>0</v>
      </c>
      <c r="M101" s="102">
        <f>L101+K101+J101</f>
        <v>0</v>
      </c>
      <c r="N101" s="87"/>
      <c r="O101" s="87"/>
      <c r="P101" s="87"/>
      <c r="Q101" s="87"/>
    </row>
    <row r="102" spans="1:17" ht="24.75" thickTop="1" thickBot="1">
      <c r="A102" s="87"/>
      <c r="B102" s="87"/>
      <c r="C102" s="87"/>
      <c r="D102" s="87"/>
      <c r="E102" s="388"/>
      <c r="F102" s="389"/>
      <c r="G102" s="322" t="s">
        <v>144</v>
      </c>
      <c r="H102" s="327"/>
      <c r="I102" s="323"/>
      <c r="J102" s="102">
        <v>0</v>
      </c>
      <c r="K102" s="102">
        <v>0</v>
      </c>
      <c r="L102" s="102">
        <v>0</v>
      </c>
      <c r="M102" s="102">
        <f>L102+K102+J102</f>
        <v>0</v>
      </c>
      <c r="N102" s="87"/>
      <c r="O102" s="87"/>
      <c r="P102" s="87"/>
      <c r="Q102" s="87"/>
    </row>
    <row r="103" spans="1:17" ht="24.75" thickTop="1" thickBot="1">
      <c r="A103" s="87"/>
      <c r="B103" s="87"/>
      <c r="C103" s="87"/>
      <c r="D103" s="87"/>
      <c r="E103" s="388"/>
      <c r="F103" s="389"/>
      <c r="G103" s="322" t="s">
        <v>145</v>
      </c>
      <c r="H103" s="327"/>
      <c r="I103" s="323"/>
      <c r="J103" s="102">
        <v>0</v>
      </c>
      <c r="K103" s="102">
        <v>0</v>
      </c>
      <c r="L103" s="102">
        <v>0</v>
      </c>
      <c r="M103" s="102">
        <f>L103+K103+J103</f>
        <v>0</v>
      </c>
      <c r="N103" s="87"/>
      <c r="O103" s="87"/>
      <c r="P103" s="87"/>
      <c r="Q103" s="87"/>
    </row>
    <row r="104" spans="1:17" ht="24.75" thickTop="1" thickBot="1">
      <c r="A104" s="87"/>
      <c r="B104" s="87"/>
      <c r="C104" s="87"/>
      <c r="D104" s="87"/>
      <c r="E104" s="390"/>
      <c r="F104" s="391"/>
      <c r="G104" s="322" t="s">
        <v>25</v>
      </c>
      <c r="H104" s="327"/>
      <c r="I104" s="323"/>
      <c r="J104" s="102">
        <f>J103+J102+J101</f>
        <v>0</v>
      </c>
      <c r="K104" s="102">
        <f>K103+K102+K101</f>
        <v>0</v>
      </c>
      <c r="L104" s="102">
        <f>L103+L102+L101</f>
        <v>0</v>
      </c>
      <c r="M104" s="102">
        <f>M103+M102+M101</f>
        <v>0</v>
      </c>
      <c r="N104" s="87"/>
      <c r="O104" s="87"/>
      <c r="P104" s="87"/>
      <c r="Q104" s="87"/>
    </row>
    <row r="105" spans="1:17" ht="24.75" thickTop="1" thickBot="1">
      <c r="A105" s="87"/>
      <c r="B105" s="87"/>
      <c r="C105" s="87"/>
      <c r="D105" s="87"/>
      <c r="E105" s="386" t="s">
        <v>211</v>
      </c>
      <c r="F105" s="387"/>
      <c r="G105" s="322" t="s">
        <v>143</v>
      </c>
      <c r="H105" s="327"/>
      <c r="I105" s="323"/>
      <c r="J105" s="142"/>
      <c r="K105" s="102">
        <v>0</v>
      </c>
      <c r="L105" s="142"/>
      <c r="M105" s="102">
        <f>L105+K105+J105</f>
        <v>0</v>
      </c>
      <c r="N105" s="87"/>
      <c r="O105" s="87"/>
      <c r="P105" s="87"/>
      <c r="Q105" s="87"/>
    </row>
    <row r="106" spans="1:17" ht="24.75" thickTop="1" thickBot="1">
      <c r="A106" s="87"/>
      <c r="B106" s="87"/>
      <c r="C106" s="87"/>
      <c r="D106" s="87"/>
      <c r="E106" s="388"/>
      <c r="F106" s="389"/>
      <c r="G106" s="322" t="s">
        <v>144</v>
      </c>
      <c r="H106" s="327"/>
      <c r="I106" s="323"/>
      <c r="J106" s="142"/>
      <c r="K106" s="102">
        <v>0</v>
      </c>
      <c r="L106" s="142"/>
      <c r="M106" s="102">
        <f>L106+K106+J106</f>
        <v>0</v>
      </c>
      <c r="N106" s="87"/>
      <c r="O106" s="87"/>
      <c r="P106" s="87"/>
      <c r="Q106" s="87"/>
    </row>
    <row r="107" spans="1:17" ht="24.75" thickTop="1" thickBot="1">
      <c r="A107" s="87"/>
      <c r="B107" s="87"/>
      <c r="C107" s="87"/>
      <c r="D107" s="87"/>
      <c r="E107" s="388"/>
      <c r="F107" s="389"/>
      <c r="G107" s="322" t="s">
        <v>145</v>
      </c>
      <c r="H107" s="327"/>
      <c r="I107" s="323"/>
      <c r="J107" s="142"/>
      <c r="K107" s="102">
        <v>0</v>
      </c>
      <c r="L107" s="142"/>
      <c r="M107" s="102">
        <f>L107+K107+J107</f>
        <v>0</v>
      </c>
      <c r="N107" s="87"/>
      <c r="O107" s="87"/>
      <c r="P107" s="87"/>
      <c r="Q107" s="87"/>
    </row>
    <row r="108" spans="1:17" ht="24.75" thickTop="1" thickBot="1">
      <c r="A108" s="87"/>
      <c r="B108" s="87"/>
      <c r="C108" s="87"/>
      <c r="D108" s="87"/>
      <c r="E108" s="390"/>
      <c r="F108" s="391"/>
      <c r="G108" s="322" t="s">
        <v>25</v>
      </c>
      <c r="H108" s="327"/>
      <c r="I108" s="323"/>
      <c r="J108" s="142"/>
      <c r="K108" s="102">
        <f>K107+K106+K105</f>
        <v>0</v>
      </c>
      <c r="L108" s="142"/>
      <c r="M108" s="104">
        <f>M107+M106+M105</f>
        <v>0</v>
      </c>
      <c r="N108" s="87"/>
      <c r="O108" s="87"/>
      <c r="P108" s="87"/>
      <c r="Q108" s="87"/>
    </row>
    <row r="109" spans="1:17" ht="24.75" thickTop="1" thickBot="1">
      <c r="A109" s="135"/>
      <c r="B109" s="135"/>
      <c r="C109" s="135"/>
      <c r="D109" s="135"/>
      <c r="E109" s="386" t="s">
        <v>459</v>
      </c>
      <c r="F109" s="387"/>
      <c r="G109" s="322" t="s">
        <v>143</v>
      </c>
      <c r="H109" s="327"/>
      <c r="I109" s="323"/>
      <c r="J109" s="102"/>
      <c r="K109" s="102"/>
      <c r="L109" s="102"/>
      <c r="M109" s="104"/>
      <c r="N109" s="135"/>
      <c r="O109" s="135"/>
      <c r="P109" s="135"/>
      <c r="Q109" s="135"/>
    </row>
    <row r="110" spans="1:17" ht="24.75" thickTop="1" thickBot="1">
      <c r="A110" s="135"/>
      <c r="B110" s="135"/>
      <c r="C110" s="135"/>
      <c r="D110" s="135"/>
      <c r="E110" s="388"/>
      <c r="F110" s="389"/>
      <c r="G110" s="322" t="s">
        <v>144</v>
      </c>
      <c r="H110" s="327"/>
      <c r="I110" s="323"/>
      <c r="J110" s="102"/>
      <c r="K110" s="102"/>
      <c r="L110" s="102"/>
      <c r="M110" s="104"/>
      <c r="N110" s="135"/>
      <c r="O110" s="135"/>
      <c r="P110" s="135"/>
      <c r="Q110" s="135"/>
    </row>
    <row r="111" spans="1:17" ht="24.75" thickTop="1" thickBot="1">
      <c r="A111" s="135"/>
      <c r="B111" s="135"/>
      <c r="C111" s="135"/>
      <c r="D111" s="135"/>
      <c r="E111" s="388"/>
      <c r="F111" s="389"/>
      <c r="G111" s="322" t="s">
        <v>145</v>
      </c>
      <c r="H111" s="327"/>
      <c r="I111" s="323"/>
      <c r="J111" s="102"/>
      <c r="K111" s="102"/>
      <c r="L111" s="102"/>
      <c r="M111" s="104"/>
      <c r="N111" s="135"/>
      <c r="O111" s="135"/>
      <c r="P111" s="135"/>
      <c r="Q111" s="135"/>
    </row>
    <row r="112" spans="1:17" ht="24.75" thickTop="1" thickBot="1">
      <c r="A112" s="135"/>
      <c r="B112" s="135"/>
      <c r="C112" s="135"/>
      <c r="D112" s="135"/>
      <c r="E112" s="390"/>
      <c r="F112" s="391"/>
      <c r="G112" s="322" t="s">
        <v>25</v>
      </c>
      <c r="H112" s="327"/>
      <c r="I112" s="323"/>
      <c r="J112" s="102"/>
      <c r="K112" s="102"/>
      <c r="L112" s="102"/>
      <c r="M112" s="104"/>
      <c r="N112" s="135"/>
      <c r="O112" s="135"/>
      <c r="P112" s="135"/>
      <c r="Q112" s="135"/>
    </row>
    <row r="113" spans="1:19" ht="24.75" thickTop="1" thickBot="1">
      <c r="A113" s="87"/>
      <c r="B113" s="87"/>
      <c r="C113" s="87"/>
      <c r="D113" s="87"/>
      <c r="E113" s="392" t="s">
        <v>392</v>
      </c>
      <c r="F113" s="393"/>
      <c r="G113" s="322" t="s">
        <v>143</v>
      </c>
      <c r="H113" s="327"/>
      <c r="I113" s="323"/>
      <c r="J113" s="102" t="e">
        <f>المهني!#REF!</f>
        <v>#REF!</v>
      </c>
      <c r="K113" s="102" t="e">
        <f>المهني!#REF!</f>
        <v>#REF!</v>
      </c>
      <c r="L113" s="102" t="e">
        <f>المهني!#REF!</f>
        <v>#REF!</v>
      </c>
      <c r="M113" s="102" t="e">
        <f>L113+K113+J113</f>
        <v>#REF!</v>
      </c>
      <c r="N113" s="87"/>
      <c r="O113" s="87"/>
      <c r="P113" s="87"/>
      <c r="Q113" s="87"/>
    </row>
    <row r="114" spans="1:19" ht="24.75" thickTop="1" thickBot="1">
      <c r="A114" s="87"/>
      <c r="B114" s="87"/>
      <c r="C114" s="87"/>
      <c r="D114" s="87"/>
      <c r="E114" s="394"/>
      <c r="F114" s="395"/>
      <c r="G114" s="322" t="s">
        <v>144</v>
      </c>
      <c r="H114" s="327"/>
      <c r="I114" s="323"/>
      <c r="J114" s="102" t="e">
        <f>المهني!#REF!</f>
        <v>#REF!</v>
      </c>
      <c r="K114" s="102" t="e">
        <f>المهني!#REF!</f>
        <v>#REF!</v>
      </c>
      <c r="L114" s="102" t="e">
        <f>المهني!#REF!</f>
        <v>#REF!</v>
      </c>
      <c r="M114" s="102" t="e">
        <f>L114+K114+J114</f>
        <v>#REF!</v>
      </c>
      <c r="N114" s="87"/>
      <c r="O114" s="87"/>
      <c r="P114" s="87"/>
      <c r="Q114" s="87"/>
    </row>
    <row r="115" spans="1:19" ht="24.75" thickTop="1" thickBot="1">
      <c r="A115" s="87"/>
      <c r="B115" s="87"/>
      <c r="C115" s="87"/>
      <c r="D115" s="87"/>
      <c r="E115" s="394"/>
      <c r="F115" s="395"/>
      <c r="G115" s="322" t="s">
        <v>145</v>
      </c>
      <c r="H115" s="327"/>
      <c r="I115" s="323"/>
      <c r="J115" s="102" t="e">
        <f>المهني!#REF!</f>
        <v>#REF!</v>
      </c>
      <c r="K115" s="102" t="e">
        <f>المهني!#REF!</f>
        <v>#REF!</v>
      </c>
      <c r="L115" s="102" t="e">
        <f>المهني!#REF!</f>
        <v>#REF!</v>
      </c>
      <c r="M115" s="102" t="e">
        <f>L115+K115+J115</f>
        <v>#REF!</v>
      </c>
      <c r="N115" s="87"/>
      <c r="O115" s="87"/>
      <c r="P115" s="87"/>
      <c r="Q115" s="87"/>
    </row>
    <row r="116" spans="1:19" ht="24.75" thickTop="1" thickBot="1">
      <c r="A116" s="87"/>
      <c r="B116" s="87"/>
      <c r="C116" s="87"/>
      <c r="D116" s="87"/>
      <c r="E116" s="396"/>
      <c r="F116" s="397"/>
      <c r="G116" s="322" t="s">
        <v>25</v>
      </c>
      <c r="H116" s="327"/>
      <c r="I116" s="323"/>
      <c r="J116" s="102" t="e">
        <f>J115+J114+J113</f>
        <v>#REF!</v>
      </c>
      <c r="K116" s="102" t="e">
        <f>K115+K114+K113</f>
        <v>#REF!</v>
      </c>
      <c r="L116" s="102" t="e">
        <f>L115+L114+L113</f>
        <v>#REF!</v>
      </c>
      <c r="M116" s="102" t="e">
        <f>M115+M114+M113</f>
        <v>#REF!</v>
      </c>
      <c r="N116" s="87"/>
      <c r="O116" s="87"/>
      <c r="P116" s="87"/>
      <c r="Q116" s="87"/>
    </row>
    <row r="117" spans="1:19" ht="24.75" thickTop="1" thickBot="1">
      <c r="A117" s="87"/>
      <c r="B117" s="87"/>
      <c r="C117" s="87"/>
      <c r="D117" s="87"/>
      <c r="E117" s="386" t="s">
        <v>137</v>
      </c>
      <c r="F117" s="387"/>
      <c r="G117" s="322" t="s">
        <v>143</v>
      </c>
      <c r="H117" s="327"/>
      <c r="I117" s="323"/>
      <c r="J117" s="102" t="e">
        <f t="shared" ref="J117:M120" si="12">J105+J101+J97+J93+J113</f>
        <v>#REF!</v>
      </c>
      <c r="K117" s="102" t="e">
        <f t="shared" si="12"/>
        <v>#REF!</v>
      </c>
      <c r="L117" s="102" t="e">
        <f t="shared" si="12"/>
        <v>#REF!</v>
      </c>
      <c r="M117" s="102" t="e">
        <f t="shared" si="12"/>
        <v>#REF!</v>
      </c>
      <c r="N117" s="87"/>
      <c r="O117" s="87"/>
      <c r="P117" s="87"/>
      <c r="Q117" s="87"/>
    </row>
    <row r="118" spans="1:19" ht="24.75" thickTop="1" thickBot="1">
      <c r="A118" s="87"/>
      <c r="B118" s="87"/>
      <c r="C118" s="87"/>
      <c r="D118" s="87"/>
      <c r="E118" s="388"/>
      <c r="F118" s="389"/>
      <c r="G118" s="322" t="s">
        <v>144</v>
      </c>
      <c r="H118" s="327"/>
      <c r="I118" s="323"/>
      <c r="J118" s="102" t="e">
        <f t="shared" si="12"/>
        <v>#REF!</v>
      </c>
      <c r="K118" s="102" t="e">
        <f t="shared" si="12"/>
        <v>#REF!</v>
      </c>
      <c r="L118" s="102" t="e">
        <f t="shared" si="12"/>
        <v>#REF!</v>
      </c>
      <c r="M118" s="102" t="e">
        <f t="shared" si="12"/>
        <v>#REF!</v>
      </c>
      <c r="N118" s="87"/>
      <c r="O118" s="87"/>
      <c r="P118" s="87"/>
      <c r="Q118" s="87"/>
    </row>
    <row r="119" spans="1:19" ht="24.75" thickTop="1" thickBot="1">
      <c r="A119" s="87"/>
      <c r="B119" s="87"/>
      <c r="C119" s="87"/>
      <c r="D119" s="87"/>
      <c r="E119" s="388"/>
      <c r="F119" s="389"/>
      <c r="G119" s="322" t="s">
        <v>145</v>
      </c>
      <c r="H119" s="327"/>
      <c r="I119" s="323"/>
      <c r="J119" s="102" t="e">
        <f t="shared" si="12"/>
        <v>#REF!</v>
      </c>
      <c r="K119" s="102" t="e">
        <f t="shared" si="12"/>
        <v>#REF!</v>
      </c>
      <c r="L119" s="102" t="e">
        <f t="shared" si="12"/>
        <v>#REF!</v>
      </c>
      <c r="M119" s="102" t="e">
        <f t="shared" si="12"/>
        <v>#REF!</v>
      </c>
      <c r="N119" s="87"/>
      <c r="O119" s="87"/>
      <c r="P119" s="87"/>
      <c r="Q119" s="87"/>
    </row>
    <row r="120" spans="1:19" ht="24.75" thickTop="1" thickBot="1">
      <c r="A120" s="87"/>
      <c r="B120" s="87"/>
      <c r="C120" s="87"/>
      <c r="D120" s="87"/>
      <c r="E120" s="390"/>
      <c r="F120" s="391"/>
      <c r="G120" s="322" t="s">
        <v>25</v>
      </c>
      <c r="H120" s="327"/>
      <c r="I120" s="323"/>
      <c r="J120" s="102" t="e">
        <f t="shared" si="12"/>
        <v>#REF!</v>
      </c>
      <c r="K120" s="102" t="e">
        <f t="shared" si="12"/>
        <v>#REF!</v>
      </c>
      <c r="L120" s="102" t="e">
        <f t="shared" si="12"/>
        <v>#REF!</v>
      </c>
      <c r="M120" s="102" t="e">
        <f t="shared" si="12"/>
        <v>#REF!</v>
      </c>
      <c r="N120" s="87"/>
      <c r="O120" s="87"/>
      <c r="P120" s="87"/>
      <c r="Q120" s="87"/>
    </row>
    <row r="121" spans="1:19" ht="24" thickTop="1"/>
    <row r="122" spans="1:19">
      <c r="C122" s="86" t="s">
        <v>146</v>
      </c>
      <c r="D122" s="86"/>
      <c r="E122" s="86"/>
      <c r="F122" s="86"/>
      <c r="G122" s="86"/>
      <c r="H122" s="87"/>
      <c r="I122" s="87"/>
      <c r="J122" s="87"/>
      <c r="K122" s="87"/>
      <c r="L122" s="87"/>
      <c r="M122" s="87"/>
      <c r="N122" s="87"/>
      <c r="O122" s="328" t="s">
        <v>110</v>
      </c>
      <c r="P122" s="328"/>
      <c r="S122" s="87"/>
    </row>
    <row r="123" spans="1:19">
      <c r="C123" s="89" t="s">
        <v>185</v>
      </c>
      <c r="D123" s="89"/>
      <c r="E123" s="89"/>
      <c r="F123" s="89"/>
      <c r="G123" s="89"/>
      <c r="H123" s="86"/>
      <c r="I123" s="86"/>
      <c r="J123" s="86"/>
      <c r="K123" s="87"/>
      <c r="L123" s="87"/>
      <c r="M123" s="87"/>
      <c r="N123" s="87"/>
      <c r="O123" s="87"/>
      <c r="P123" s="87"/>
      <c r="Q123" s="87"/>
      <c r="R123" s="87"/>
      <c r="S123" s="87"/>
    </row>
    <row r="124" spans="1:19">
      <c r="C124" s="87"/>
      <c r="D124" s="87"/>
      <c r="E124" s="87"/>
      <c r="F124" s="87"/>
      <c r="G124" s="87"/>
      <c r="H124" s="87"/>
      <c r="I124" s="87"/>
      <c r="J124" s="87"/>
      <c r="K124" s="86" t="s">
        <v>184</v>
      </c>
      <c r="L124" s="86"/>
      <c r="M124" s="86"/>
      <c r="N124" s="86"/>
      <c r="O124" s="87"/>
      <c r="P124" s="87"/>
      <c r="Q124" s="87"/>
      <c r="R124" s="87"/>
      <c r="S124" s="87"/>
    </row>
    <row r="125" spans="1:19">
      <c r="C125" s="87"/>
      <c r="D125" s="87"/>
      <c r="E125" s="87"/>
      <c r="F125" s="87"/>
      <c r="G125" s="86" t="s">
        <v>181</v>
      </c>
      <c r="H125" s="86"/>
      <c r="I125" s="86"/>
      <c r="J125" s="86"/>
      <c r="K125" s="86"/>
      <c r="L125" s="86"/>
      <c r="M125" s="86"/>
      <c r="N125" s="86"/>
      <c r="O125" s="86"/>
      <c r="P125" s="86"/>
      <c r="Q125" s="87"/>
      <c r="R125" s="87"/>
      <c r="S125" s="87"/>
    </row>
    <row r="126" spans="1:19">
      <c r="C126" s="87"/>
      <c r="D126" s="87"/>
      <c r="E126" s="87"/>
      <c r="F126" s="87"/>
      <c r="G126" s="86" t="s">
        <v>502</v>
      </c>
      <c r="H126" s="86"/>
      <c r="I126" s="86"/>
      <c r="J126" s="86"/>
      <c r="K126" s="86"/>
      <c r="L126" s="86"/>
      <c r="M126" s="86"/>
      <c r="N126" s="86"/>
      <c r="O126" s="86"/>
      <c r="P126" s="86"/>
      <c r="Q126" s="87"/>
      <c r="R126" s="87"/>
      <c r="S126" s="87"/>
    </row>
    <row r="127" spans="1:19">
      <c r="C127" s="87"/>
      <c r="D127" s="86"/>
      <c r="E127" s="86"/>
      <c r="F127" s="86"/>
      <c r="G127" s="90" t="s">
        <v>453</v>
      </c>
      <c r="H127" s="90"/>
      <c r="I127" s="90"/>
      <c r="J127" s="90"/>
      <c r="K127" s="90"/>
      <c r="L127" s="90"/>
      <c r="M127" s="90"/>
      <c r="N127" s="90"/>
      <c r="O127" s="90"/>
      <c r="P127" s="90"/>
      <c r="Q127" s="87"/>
      <c r="R127" s="87"/>
      <c r="S127" s="87"/>
    </row>
    <row r="128" spans="1:19" ht="24" thickBot="1">
      <c r="A128" s="87"/>
      <c r="B128" s="90"/>
      <c r="C128" s="90"/>
      <c r="D128" s="90"/>
      <c r="E128" s="90"/>
      <c r="F128" s="90"/>
      <c r="G128" s="90"/>
      <c r="H128" s="99"/>
      <c r="I128" s="86"/>
      <c r="J128" s="87"/>
      <c r="K128" s="87"/>
      <c r="L128" s="87"/>
      <c r="M128" s="87"/>
      <c r="N128" s="87"/>
      <c r="O128" s="87"/>
      <c r="P128" s="87"/>
      <c r="Q128" s="87"/>
    </row>
    <row r="129" spans="1:17" ht="24" thickTop="1">
      <c r="A129" s="87"/>
      <c r="B129" s="100"/>
      <c r="C129" s="100"/>
      <c r="D129" s="101"/>
      <c r="E129" s="349" t="s">
        <v>113</v>
      </c>
      <c r="F129" s="351"/>
      <c r="G129" s="349" t="s">
        <v>140</v>
      </c>
      <c r="H129" s="350"/>
      <c r="I129" s="351"/>
      <c r="J129" s="349" t="s">
        <v>27</v>
      </c>
      <c r="K129" s="350"/>
      <c r="L129" s="350"/>
      <c r="M129" s="351"/>
      <c r="N129" s="87"/>
      <c r="O129" s="87"/>
      <c r="P129" s="87"/>
      <c r="Q129" s="87"/>
    </row>
    <row r="130" spans="1:17" ht="24" thickBot="1">
      <c r="A130" s="87"/>
      <c r="B130" s="87"/>
      <c r="C130" s="87"/>
      <c r="D130" s="87"/>
      <c r="E130" s="398"/>
      <c r="F130" s="399"/>
      <c r="G130" s="398"/>
      <c r="H130" s="343"/>
      <c r="I130" s="399"/>
      <c r="J130" s="352"/>
      <c r="K130" s="353"/>
      <c r="L130" s="353"/>
      <c r="M130" s="354"/>
      <c r="N130" s="87"/>
      <c r="O130" s="87"/>
      <c r="P130" s="87"/>
      <c r="Q130" s="87"/>
    </row>
    <row r="131" spans="1:17" ht="24.75" thickTop="1" thickBot="1">
      <c r="A131" s="87"/>
      <c r="B131" s="87"/>
      <c r="C131" s="87"/>
      <c r="D131" s="87"/>
      <c r="E131" s="352"/>
      <c r="F131" s="354"/>
      <c r="G131" s="352"/>
      <c r="H131" s="353"/>
      <c r="I131" s="354"/>
      <c r="J131" s="14" t="s">
        <v>5</v>
      </c>
      <c r="K131" s="14" t="s">
        <v>6</v>
      </c>
      <c r="L131" s="14" t="s">
        <v>67</v>
      </c>
      <c r="M131" s="14" t="s">
        <v>25</v>
      </c>
      <c r="N131" s="87"/>
      <c r="O131" s="87"/>
      <c r="P131" s="87"/>
      <c r="Q131" s="87"/>
    </row>
    <row r="132" spans="1:17" ht="24.75" thickTop="1" thickBot="1">
      <c r="A132" s="87"/>
      <c r="B132" s="87"/>
      <c r="C132" s="87"/>
      <c r="D132" s="87"/>
      <c r="E132" s="386" t="s">
        <v>121</v>
      </c>
      <c r="F132" s="387"/>
      <c r="G132" s="322" t="s">
        <v>143</v>
      </c>
      <c r="H132" s="327"/>
      <c r="I132" s="323"/>
      <c r="J132" s="102">
        <f>المهني!CM16</f>
        <v>0</v>
      </c>
      <c r="K132" s="102">
        <f>المهني!CN16</f>
        <v>0</v>
      </c>
      <c r="L132" s="102">
        <f>المهني!CO16</f>
        <v>0</v>
      </c>
      <c r="M132" s="102">
        <f>L132+K132+J132</f>
        <v>0</v>
      </c>
      <c r="N132" s="87"/>
      <c r="O132" s="87"/>
      <c r="P132" s="87"/>
      <c r="Q132" s="87"/>
    </row>
    <row r="133" spans="1:17" ht="24.75" thickTop="1" thickBot="1">
      <c r="A133" s="87"/>
      <c r="B133" s="87"/>
      <c r="C133" s="87"/>
      <c r="D133" s="87"/>
      <c r="E133" s="388"/>
      <c r="F133" s="389"/>
      <c r="G133" s="322" t="s">
        <v>144</v>
      </c>
      <c r="H133" s="327"/>
      <c r="I133" s="323"/>
      <c r="J133" s="102">
        <f>المهني!CP16</f>
        <v>0</v>
      </c>
      <c r="K133" s="102">
        <f>المهني!CQ16</f>
        <v>0</v>
      </c>
      <c r="L133" s="102">
        <f>المهني!CR16</f>
        <v>0</v>
      </c>
      <c r="M133" s="102">
        <f>L133+K133+J133</f>
        <v>0</v>
      </c>
      <c r="N133" s="87"/>
      <c r="O133" s="87"/>
      <c r="P133" s="87"/>
      <c r="Q133" s="87"/>
    </row>
    <row r="134" spans="1:17" ht="24.75" thickTop="1" thickBot="1">
      <c r="A134" s="87"/>
      <c r="B134" s="87"/>
      <c r="C134" s="87"/>
      <c r="D134" s="87"/>
      <c r="E134" s="388"/>
      <c r="F134" s="389"/>
      <c r="G134" s="322" t="s">
        <v>145</v>
      </c>
      <c r="H134" s="327"/>
      <c r="I134" s="323"/>
      <c r="J134" s="102">
        <f>المهني!CS16</f>
        <v>0</v>
      </c>
      <c r="K134" s="102">
        <f>المهني!CT16</f>
        <v>0</v>
      </c>
      <c r="L134" s="102">
        <f>المهني!CU16</f>
        <v>0</v>
      </c>
      <c r="M134" s="102">
        <f>L134+K134+J134</f>
        <v>0</v>
      </c>
      <c r="N134" s="87"/>
      <c r="O134" s="87"/>
      <c r="P134" s="87"/>
      <c r="Q134" s="87"/>
    </row>
    <row r="135" spans="1:17" ht="24.75" thickTop="1" thickBot="1">
      <c r="A135" s="87"/>
      <c r="B135" s="87"/>
      <c r="C135" s="87"/>
      <c r="D135" s="87"/>
      <c r="E135" s="390"/>
      <c r="F135" s="391"/>
      <c r="G135" s="322" t="s">
        <v>25</v>
      </c>
      <c r="H135" s="327"/>
      <c r="I135" s="323"/>
      <c r="J135" s="102">
        <f>J134+J133+J132</f>
        <v>0</v>
      </c>
      <c r="K135" s="102">
        <f>K134+K133+K132</f>
        <v>0</v>
      </c>
      <c r="L135" s="102">
        <f>L134+L133+L132</f>
        <v>0</v>
      </c>
      <c r="M135" s="102">
        <f>M134+M133+M132</f>
        <v>0</v>
      </c>
      <c r="N135" s="87"/>
      <c r="O135" s="87"/>
      <c r="P135" s="87"/>
      <c r="Q135" s="87"/>
    </row>
    <row r="136" spans="1:17" ht="24.75" thickTop="1" thickBot="1">
      <c r="A136" s="87"/>
      <c r="B136" s="87"/>
      <c r="C136" s="87"/>
      <c r="D136" s="87"/>
      <c r="E136" s="386" t="s">
        <v>122</v>
      </c>
      <c r="F136" s="387"/>
      <c r="G136" s="322" t="s">
        <v>143</v>
      </c>
      <c r="H136" s="327"/>
      <c r="I136" s="323"/>
      <c r="J136" s="102">
        <v>0</v>
      </c>
      <c r="K136" s="102">
        <v>0</v>
      </c>
      <c r="L136" s="102">
        <v>0</v>
      </c>
      <c r="M136" s="102">
        <f>L136+K136+J136</f>
        <v>0</v>
      </c>
      <c r="N136" s="87"/>
      <c r="O136" s="87"/>
      <c r="P136" s="87"/>
      <c r="Q136" s="87"/>
    </row>
    <row r="137" spans="1:17" ht="24.75" thickTop="1" thickBot="1">
      <c r="A137" s="87"/>
      <c r="B137" s="87"/>
      <c r="C137" s="87"/>
      <c r="D137" s="87"/>
      <c r="E137" s="388"/>
      <c r="F137" s="389"/>
      <c r="G137" s="322" t="s">
        <v>144</v>
      </c>
      <c r="H137" s="327"/>
      <c r="I137" s="323"/>
      <c r="J137" s="102">
        <v>0</v>
      </c>
      <c r="K137" s="102">
        <v>0</v>
      </c>
      <c r="L137" s="102">
        <v>0</v>
      </c>
      <c r="M137" s="102">
        <f>L137+K137+J137</f>
        <v>0</v>
      </c>
      <c r="N137" s="87"/>
      <c r="O137" s="87"/>
      <c r="P137" s="87"/>
      <c r="Q137" s="87"/>
    </row>
    <row r="138" spans="1:17" ht="24.75" thickTop="1" thickBot="1">
      <c r="A138" s="87"/>
      <c r="B138" s="87"/>
      <c r="C138" s="87"/>
      <c r="D138" s="87"/>
      <c r="E138" s="388"/>
      <c r="F138" s="389"/>
      <c r="G138" s="322" t="s">
        <v>145</v>
      </c>
      <c r="H138" s="327"/>
      <c r="I138" s="323"/>
      <c r="J138" s="102">
        <v>0</v>
      </c>
      <c r="K138" s="102">
        <v>0</v>
      </c>
      <c r="L138" s="102">
        <v>0</v>
      </c>
      <c r="M138" s="102">
        <f>L138+K138+J138</f>
        <v>0</v>
      </c>
      <c r="N138" s="87"/>
      <c r="O138" s="87"/>
      <c r="P138" s="87"/>
      <c r="Q138" s="87"/>
    </row>
    <row r="139" spans="1:17" ht="24.75" thickTop="1" thickBot="1">
      <c r="A139" s="87"/>
      <c r="B139" s="87"/>
      <c r="C139" s="87"/>
      <c r="D139" s="87"/>
      <c r="E139" s="390"/>
      <c r="F139" s="391"/>
      <c r="G139" s="322" t="s">
        <v>25</v>
      </c>
      <c r="H139" s="327"/>
      <c r="I139" s="323"/>
      <c r="J139" s="102">
        <f>J138+J137+J136</f>
        <v>0</v>
      </c>
      <c r="K139" s="102">
        <f>K138+K137+K136</f>
        <v>0</v>
      </c>
      <c r="L139" s="102">
        <f>L138+L137+L136</f>
        <v>0</v>
      </c>
      <c r="M139" s="102">
        <f>M138+M137+M136</f>
        <v>0</v>
      </c>
      <c r="N139" s="87"/>
      <c r="O139" s="87"/>
      <c r="P139" s="87"/>
      <c r="Q139" s="87"/>
    </row>
    <row r="140" spans="1:17" ht="24.75" thickTop="1" thickBot="1">
      <c r="A140" s="87"/>
      <c r="B140" s="87"/>
      <c r="C140" s="87"/>
      <c r="D140" s="87"/>
      <c r="E140" s="386" t="s">
        <v>123</v>
      </c>
      <c r="F140" s="387"/>
      <c r="G140" s="322" t="s">
        <v>143</v>
      </c>
      <c r="H140" s="327"/>
      <c r="I140" s="323"/>
      <c r="J140" s="102">
        <v>0</v>
      </c>
      <c r="K140" s="102">
        <v>0</v>
      </c>
      <c r="L140" s="102">
        <v>0</v>
      </c>
      <c r="M140" s="102">
        <f>L140+K140+J140</f>
        <v>0</v>
      </c>
      <c r="N140" s="87"/>
      <c r="O140" s="87"/>
      <c r="P140" s="87"/>
      <c r="Q140" s="87"/>
    </row>
    <row r="141" spans="1:17" ht="24.75" thickTop="1" thickBot="1">
      <c r="A141" s="87"/>
      <c r="B141" s="87"/>
      <c r="C141" s="87"/>
      <c r="D141" s="87"/>
      <c r="E141" s="388"/>
      <c r="F141" s="389"/>
      <c r="G141" s="322" t="s">
        <v>144</v>
      </c>
      <c r="H141" s="327"/>
      <c r="I141" s="323"/>
      <c r="J141" s="102">
        <v>0</v>
      </c>
      <c r="K141" s="102">
        <v>0</v>
      </c>
      <c r="L141" s="102">
        <v>0</v>
      </c>
      <c r="M141" s="102">
        <f>L141+K141+J141</f>
        <v>0</v>
      </c>
      <c r="N141" s="87"/>
      <c r="O141" s="87"/>
      <c r="P141" s="87"/>
      <c r="Q141" s="87"/>
    </row>
    <row r="142" spans="1:17" ht="24.75" thickTop="1" thickBot="1">
      <c r="A142" s="87"/>
      <c r="B142" s="87"/>
      <c r="C142" s="87"/>
      <c r="D142" s="87"/>
      <c r="E142" s="388"/>
      <c r="F142" s="389"/>
      <c r="G142" s="322" t="s">
        <v>145</v>
      </c>
      <c r="H142" s="327"/>
      <c r="I142" s="323"/>
      <c r="J142" s="102">
        <v>0</v>
      </c>
      <c r="K142" s="102">
        <v>0</v>
      </c>
      <c r="L142" s="102">
        <v>0</v>
      </c>
      <c r="M142" s="102">
        <f>L142+K142+J142</f>
        <v>0</v>
      </c>
      <c r="N142" s="87"/>
      <c r="O142" s="87"/>
      <c r="P142" s="87"/>
      <c r="Q142" s="87"/>
    </row>
    <row r="143" spans="1:17" ht="24.75" thickTop="1" thickBot="1">
      <c r="A143" s="87"/>
      <c r="B143" s="87"/>
      <c r="C143" s="87"/>
      <c r="D143" s="87"/>
      <c r="E143" s="390"/>
      <c r="F143" s="391"/>
      <c r="G143" s="322" t="s">
        <v>25</v>
      </c>
      <c r="H143" s="327"/>
      <c r="I143" s="323"/>
      <c r="J143" s="102">
        <f>J142+J141+J140</f>
        <v>0</v>
      </c>
      <c r="K143" s="102">
        <f>K142+K141+K140</f>
        <v>0</v>
      </c>
      <c r="L143" s="102">
        <f>L142+L141+L140</f>
        <v>0</v>
      </c>
      <c r="M143" s="102">
        <f>M142+M141+M140</f>
        <v>0</v>
      </c>
      <c r="N143" s="87"/>
      <c r="O143" s="87"/>
      <c r="P143" s="87"/>
      <c r="Q143" s="87"/>
    </row>
    <row r="144" spans="1:17" ht="24.75" thickTop="1" thickBot="1">
      <c r="A144" s="87"/>
      <c r="B144" s="87"/>
      <c r="C144" s="87"/>
      <c r="D144" s="87"/>
      <c r="E144" s="386" t="s">
        <v>211</v>
      </c>
      <c r="F144" s="387"/>
      <c r="G144" s="322" t="s">
        <v>143</v>
      </c>
      <c r="H144" s="327"/>
      <c r="I144" s="323"/>
      <c r="J144" s="142"/>
      <c r="K144" s="102">
        <v>0</v>
      </c>
      <c r="L144" s="142"/>
      <c r="M144" s="102">
        <f>L144+K144+J144</f>
        <v>0</v>
      </c>
      <c r="N144" s="87"/>
      <c r="O144" s="87"/>
      <c r="P144" s="87"/>
      <c r="Q144" s="87"/>
    </row>
    <row r="145" spans="1:17" ht="24.75" thickTop="1" thickBot="1">
      <c r="A145" s="87"/>
      <c r="B145" s="87"/>
      <c r="C145" s="87"/>
      <c r="D145" s="87"/>
      <c r="E145" s="388"/>
      <c r="F145" s="389"/>
      <c r="G145" s="322" t="s">
        <v>144</v>
      </c>
      <c r="H145" s="327"/>
      <c r="I145" s="323"/>
      <c r="J145" s="142"/>
      <c r="K145" s="102">
        <v>0</v>
      </c>
      <c r="L145" s="142"/>
      <c r="M145" s="102">
        <f>L145+K145+J145</f>
        <v>0</v>
      </c>
      <c r="N145" s="87"/>
      <c r="O145" s="87"/>
      <c r="P145" s="87"/>
      <c r="Q145" s="87"/>
    </row>
    <row r="146" spans="1:17" ht="24.75" thickTop="1" thickBot="1">
      <c r="A146" s="87"/>
      <c r="B146" s="87"/>
      <c r="C146" s="87"/>
      <c r="D146" s="87"/>
      <c r="E146" s="388"/>
      <c r="F146" s="389"/>
      <c r="G146" s="322" t="s">
        <v>145</v>
      </c>
      <c r="H146" s="327"/>
      <c r="I146" s="323"/>
      <c r="J146" s="142"/>
      <c r="K146" s="102">
        <v>0</v>
      </c>
      <c r="L146" s="142"/>
      <c r="M146" s="102">
        <f>L146+K146+J146</f>
        <v>0</v>
      </c>
      <c r="N146" s="87"/>
      <c r="O146" s="87"/>
      <c r="P146" s="87"/>
      <c r="Q146" s="87"/>
    </row>
    <row r="147" spans="1:17" ht="24.75" thickTop="1" thickBot="1">
      <c r="A147" s="87"/>
      <c r="B147" s="87"/>
      <c r="C147" s="87"/>
      <c r="D147" s="87"/>
      <c r="E147" s="390"/>
      <c r="F147" s="391"/>
      <c r="G147" s="322" t="s">
        <v>25</v>
      </c>
      <c r="H147" s="327"/>
      <c r="I147" s="323"/>
      <c r="J147" s="142"/>
      <c r="K147" s="102">
        <f>K146+K145+K144</f>
        <v>0</v>
      </c>
      <c r="L147" s="142"/>
      <c r="M147" s="104">
        <f>M146+M145+M144</f>
        <v>0</v>
      </c>
      <c r="N147" s="87"/>
      <c r="O147" s="87"/>
      <c r="P147" s="87"/>
      <c r="Q147" s="87"/>
    </row>
    <row r="148" spans="1:17" ht="24.75" thickTop="1" thickBot="1">
      <c r="A148" s="135"/>
      <c r="B148" s="135"/>
      <c r="C148" s="135"/>
      <c r="D148" s="135"/>
      <c r="E148" s="386" t="s">
        <v>459</v>
      </c>
      <c r="F148" s="387"/>
      <c r="G148" s="322" t="s">
        <v>143</v>
      </c>
      <c r="H148" s="327"/>
      <c r="I148" s="323"/>
      <c r="J148" s="102"/>
      <c r="K148" s="102"/>
      <c r="L148" s="102"/>
      <c r="M148" s="104"/>
      <c r="N148" s="135"/>
      <c r="O148" s="135"/>
      <c r="P148" s="135"/>
      <c r="Q148" s="135"/>
    </row>
    <row r="149" spans="1:17" ht="24.75" thickTop="1" thickBot="1">
      <c r="A149" s="135"/>
      <c r="B149" s="135"/>
      <c r="C149" s="135"/>
      <c r="D149" s="135"/>
      <c r="E149" s="388"/>
      <c r="F149" s="389"/>
      <c r="G149" s="322" t="s">
        <v>144</v>
      </c>
      <c r="H149" s="327"/>
      <c r="I149" s="323"/>
      <c r="J149" s="102"/>
      <c r="K149" s="102"/>
      <c r="L149" s="102"/>
      <c r="M149" s="104"/>
      <c r="N149" s="135"/>
      <c r="O149" s="135"/>
      <c r="P149" s="135"/>
      <c r="Q149" s="135"/>
    </row>
    <row r="150" spans="1:17" ht="24.75" thickTop="1" thickBot="1">
      <c r="A150" s="135"/>
      <c r="B150" s="135"/>
      <c r="C150" s="135"/>
      <c r="D150" s="135"/>
      <c r="E150" s="388"/>
      <c r="F150" s="389"/>
      <c r="G150" s="322" t="s">
        <v>145</v>
      </c>
      <c r="H150" s="327"/>
      <c r="I150" s="323"/>
      <c r="J150" s="102"/>
      <c r="K150" s="102"/>
      <c r="L150" s="102"/>
      <c r="M150" s="104"/>
      <c r="N150" s="135"/>
      <c r="O150" s="135"/>
      <c r="P150" s="135"/>
      <c r="Q150" s="135"/>
    </row>
    <row r="151" spans="1:17" ht="24.75" thickTop="1" thickBot="1">
      <c r="A151" s="135"/>
      <c r="B151" s="135"/>
      <c r="C151" s="135"/>
      <c r="D151" s="135"/>
      <c r="E151" s="390"/>
      <c r="F151" s="391"/>
      <c r="G151" s="322" t="s">
        <v>25</v>
      </c>
      <c r="H151" s="327"/>
      <c r="I151" s="323"/>
      <c r="J151" s="102"/>
      <c r="K151" s="102"/>
      <c r="L151" s="102"/>
      <c r="M151" s="104"/>
      <c r="N151" s="135"/>
      <c r="O151" s="135"/>
      <c r="P151" s="135"/>
      <c r="Q151" s="135"/>
    </row>
    <row r="152" spans="1:17" ht="24.75" thickTop="1" thickBot="1">
      <c r="A152" s="87"/>
      <c r="B152" s="87"/>
      <c r="C152" s="87"/>
      <c r="D152" s="87"/>
      <c r="E152" s="392" t="s">
        <v>387</v>
      </c>
      <c r="F152" s="393"/>
      <c r="G152" s="322" t="s">
        <v>143</v>
      </c>
      <c r="H152" s="327"/>
      <c r="I152" s="323"/>
      <c r="J152" s="102" t="e">
        <f>المهني!#REF!</f>
        <v>#REF!</v>
      </c>
      <c r="K152" s="102" t="e">
        <f>المهني!#REF!</f>
        <v>#REF!</v>
      </c>
      <c r="L152" s="102" t="e">
        <f>المهني!#REF!</f>
        <v>#REF!</v>
      </c>
      <c r="M152" s="102" t="e">
        <f>L152+K152+J152</f>
        <v>#REF!</v>
      </c>
      <c r="N152" s="87"/>
      <c r="O152" s="87"/>
      <c r="P152" s="87"/>
      <c r="Q152" s="87"/>
    </row>
    <row r="153" spans="1:17" ht="24.75" thickTop="1" thickBot="1">
      <c r="A153" s="87"/>
      <c r="B153" s="87"/>
      <c r="C153" s="87"/>
      <c r="D153" s="87"/>
      <c r="E153" s="394"/>
      <c r="F153" s="395"/>
      <c r="G153" s="322" t="s">
        <v>144</v>
      </c>
      <c r="H153" s="327"/>
      <c r="I153" s="323"/>
      <c r="J153" s="102" t="e">
        <f>المهني!#REF!</f>
        <v>#REF!</v>
      </c>
      <c r="K153" s="102" t="e">
        <f>المهني!#REF!</f>
        <v>#REF!</v>
      </c>
      <c r="L153" s="102" t="e">
        <f>المهني!#REF!</f>
        <v>#REF!</v>
      </c>
      <c r="M153" s="102" t="e">
        <f>L153+K153+J153</f>
        <v>#REF!</v>
      </c>
      <c r="N153" s="87"/>
      <c r="O153" s="87"/>
      <c r="P153" s="87"/>
      <c r="Q153" s="87"/>
    </row>
    <row r="154" spans="1:17" ht="24.75" thickTop="1" thickBot="1">
      <c r="A154" s="87"/>
      <c r="B154" s="87"/>
      <c r="C154" s="87"/>
      <c r="D154" s="87"/>
      <c r="E154" s="394"/>
      <c r="F154" s="395"/>
      <c r="G154" s="322" t="s">
        <v>145</v>
      </c>
      <c r="H154" s="327"/>
      <c r="I154" s="323"/>
      <c r="J154" s="102" t="e">
        <f>المهني!#REF!</f>
        <v>#REF!</v>
      </c>
      <c r="K154" s="102" t="e">
        <f>المهني!#REF!</f>
        <v>#REF!</v>
      </c>
      <c r="L154" s="102" t="e">
        <f>المهني!#REF!</f>
        <v>#REF!</v>
      </c>
      <c r="M154" s="102" t="e">
        <f>L154+K154+J154</f>
        <v>#REF!</v>
      </c>
      <c r="N154" s="87"/>
      <c r="O154" s="87"/>
      <c r="P154" s="87"/>
      <c r="Q154" s="87"/>
    </row>
    <row r="155" spans="1:17" ht="24.75" thickTop="1" thickBot="1">
      <c r="A155" s="87"/>
      <c r="B155" s="87"/>
      <c r="C155" s="87"/>
      <c r="D155" s="87"/>
      <c r="E155" s="396"/>
      <c r="F155" s="397"/>
      <c r="G155" s="322" t="s">
        <v>25</v>
      </c>
      <c r="H155" s="327"/>
      <c r="I155" s="323"/>
      <c r="J155" s="102" t="e">
        <f>J154+J153+J152</f>
        <v>#REF!</v>
      </c>
      <c r="K155" s="102" t="e">
        <f>K154+K153+K152</f>
        <v>#REF!</v>
      </c>
      <c r="L155" s="102" t="e">
        <f>L154+L153+L152</f>
        <v>#REF!</v>
      </c>
      <c r="M155" s="102" t="e">
        <f>L155+K155+J155</f>
        <v>#REF!</v>
      </c>
      <c r="N155" s="87"/>
      <c r="O155" s="87"/>
      <c r="P155" s="87"/>
      <c r="Q155" s="87"/>
    </row>
    <row r="156" spans="1:17" ht="24.75" thickTop="1" thickBot="1">
      <c r="A156" s="87"/>
      <c r="B156" s="87"/>
      <c r="C156" s="87"/>
      <c r="D156" s="87"/>
      <c r="E156" s="386" t="s">
        <v>137</v>
      </c>
      <c r="F156" s="387"/>
      <c r="G156" s="322" t="s">
        <v>143</v>
      </c>
      <c r="H156" s="327"/>
      <c r="I156" s="323"/>
      <c r="J156" s="102" t="e">
        <f t="shared" ref="J156:M159" si="13">J144+J140+J136+J132+J152</f>
        <v>#REF!</v>
      </c>
      <c r="K156" s="102" t="e">
        <f t="shared" si="13"/>
        <v>#REF!</v>
      </c>
      <c r="L156" s="102" t="e">
        <f t="shared" si="13"/>
        <v>#REF!</v>
      </c>
      <c r="M156" s="102" t="e">
        <f t="shared" si="13"/>
        <v>#REF!</v>
      </c>
      <c r="N156" s="87"/>
      <c r="O156" s="87"/>
      <c r="P156" s="87"/>
      <c r="Q156" s="87"/>
    </row>
    <row r="157" spans="1:17" ht="24.75" thickTop="1" thickBot="1">
      <c r="A157" s="87"/>
      <c r="B157" s="87"/>
      <c r="C157" s="87"/>
      <c r="D157" s="87"/>
      <c r="E157" s="388"/>
      <c r="F157" s="389"/>
      <c r="G157" s="322" t="s">
        <v>144</v>
      </c>
      <c r="H157" s="327"/>
      <c r="I157" s="323"/>
      <c r="J157" s="102" t="e">
        <f t="shared" si="13"/>
        <v>#REF!</v>
      </c>
      <c r="K157" s="102" t="e">
        <f t="shared" si="13"/>
        <v>#REF!</v>
      </c>
      <c r="L157" s="102" t="e">
        <f t="shared" si="13"/>
        <v>#REF!</v>
      </c>
      <c r="M157" s="102" t="e">
        <f t="shared" si="13"/>
        <v>#REF!</v>
      </c>
      <c r="N157" s="87"/>
      <c r="O157" s="87"/>
      <c r="P157" s="87"/>
      <c r="Q157" s="87"/>
    </row>
    <row r="158" spans="1:17" ht="24.75" thickTop="1" thickBot="1">
      <c r="A158" s="87"/>
      <c r="B158" s="87"/>
      <c r="C158" s="87"/>
      <c r="D158" s="87"/>
      <c r="E158" s="388"/>
      <c r="F158" s="389"/>
      <c r="G158" s="322" t="s">
        <v>145</v>
      </c>
      <c r="H158" s="327"/>
      <c r="I158" s="323"/>
      <c r="J158" s="102" t="e">
        <f t="shared" si="13"/>
        <v>#REF!</v>
      </c>
      <c r="K158" s="102" t="e">
        <f t="shared" si="13"/>
        <v>#REF!</v>
      </c>
      <c r="L158" s="102" t="e">
        <f t="shared" si="13"/>
        <v>#REF!</v>
      </c>
      <c r="M158" s="102" t="e">
        <f t="shared" si="13"/>
        <v>#REF!</v>
      </c>
      <c r="N158" s="87"/>
      <c r="O158" s="87"/>
      <c r="P158" s="87"/>
      <c r="Q158" s="87"/>
    </row>
    <row r="159" spans="1:17" ht="24.75" thickTop="1" thickBot="1">
      <c r="A159" s="87"/>
      <c r="B159" s="87"/>
      <c r="C159" s="87"/>
      <c r="D159" s="87"/>
      <c r="E159" s="390"/>
      <c r="F159" s="391"/>
      <c r="G159" s="322" t="s">
        <v>25</v>
      </c>
      <c r="H159" s="327"/>
      <c r="I159" s="323"/>
      <c r="J159" s="102" t="e">
        <f t="shared" si="13"/>
        <v>#REF!</v>
      </c>
      <c r="K159" s="102" t="e">
        <f t="shared" si="13"/>
        <v>#REF!</v>
      </c>
      <c r="L159" s="102" t="e">
        <f t="shared" si="13"/>
        <v>#REF!</v>
      </c>
      <c r="M159" s="102" t="e">
        <f t="shared" si="13"/>
        <v>#REF!</v>
      </c>
      <c r="N159" s="87"/>
      <c r="O159" s="87"/>
      <c r="P159" s="87"/>
      <c r="Q159" s="87"/>
    </row>
    <row r="160" spans="1:17" ht="24" thickTop="1"/>
  </sheetData>
  <mergeCells count="161">
    <mergeCell ref="O1:P1"/>
    <mergeCell ref="J8:M9"/>
    <mergeCell ref="G8:I10"/>
    <mergeCell ref="G11:I11"/>
    <mergeCell ref="G12:I12"/>
    <mergeCell ref="E35:F38"/>
    <mergeCell ref="G35:I35"/>
    <mergeCell ref="G36:I36"/>
    <mergeCell ref="G37:I37"/>
    <mergeCell ref="G38:I38"/>
    <mergeCell ref="G19:I19"/>
    <mergeCell ref="G25:I25"/>
    <mergeCell ref="E8:F10"/>
    <mergeCell ref="E11:F14"/>
    <mergeCell ref="E15:F18"/>
    <mergeCell ref="E19:F22"/>
    <mergeCell ref="E23:F26"/>
    <mergeCell ref="G26:I26"/>
    <mergeCell ref="G20:I20"/>
    <mergeCell ref="G21:I21"/>
    <mergeCell ref="G22:I22"/>
    <mergeCell ref="G23:I23"/>
    <mergeCell ref="G13:I13"/>
    <mergeCell ref="G14:I14"/>
    <mergeCell ref="G15:I15"/>
    <mergeCell ref="G16:I16"/>
    <mergeCell ref="G17:I17"/>
    <mergeCell ref="G18:I18"/>
    <mergeCell ref="E51:F53"/>
    <mergeCell ref="G51:I53"/>
    <mergeCell ref="E27:F30"/>
    <mergeCell ref="G27:I27"/>
    <mergeCell ref="G28:I28"/>
    <mergeCell ref="G29:I29"/>
    <mergeCell ref="G30:I30"/>
    <mergeCell ref="G24:I24"/>
    <mergeCell ref="G41:I41"/>
    <mergeCell ref="G42:I42"/>
    <mergeCell ref="E31:F34"/>
    <mergeCell ref="G31:I31"/>
    <mergeCell ref="G32:I32"/>
    <mergeCell ref="G33:I33"/>
    <mergeCell ref="G34:I34"/>
    <mergeCell ref="O44:P44"/>
    <mergeCell ref="E74:F77"/>
    <mergeCell ref="G74:I74"/>
    <mergeCell ref="G75:I75"/>
    <mergeCell ref="G76:I76"/>
    <mergeCell ref="G77:I77"/>
    <mergeCell ref="E54:F57"/>
    <mergeCell ref="G54:I54"/>
    <mergeCell ref="G55:I55"/>
    <mergeCell ref="G56:I56"/>
    <mergeCell ref="E58:F61"/>
    <mergeCell ref="J51:M52"/>
    <mergeCell ref="E62:F65"/>
    <mergeCell ref="G57:I57"/>
    <mergeCell ref="G61:I61"/>
    <mergeCell ref="J90:M91"/>
    <mergeCell ref="O83:P83"/>
    <mergeCell ref="G66:I66"/>
    <mergeCell ref="G67:I67"/>
    <mergeCell ref="G68:I68"/>
    <mergeCell ref="G69:I69"/>
    <mergeCell ref="G62:I62"/>
    <mergeCell ref="E78:F81"/>
    <mergeCell ref="G78:I78"/>
    <mergeCell ref="G79:I79"/>
    <mergeCell ref="G80:I80"/>
    <mergeCell ref="G81:I81"/>
    <mergeCell ref="E66:F69"/>
    <mergeCell ref="E70:F73"/>
    <mergeCell ref="G70:I70"/>
    <mergeCell ref="G71:I71"/>
    <mergeCell ref="G72:I72"/>
    <mergeCell ref="G73:I73"/>
    <mergeCell ref="O122:P122"/>
    <mergeCell ref="E129:F131"/>
    <mergeCell ref="G129:I131"/>
    <mergeCell ref="J129:M130"/>
    <mergeCell ref="E113:F116"/>
    <mergeCell ref="G113:I113"/>
    <mergeCell ref="G114:I114"/>
    <mergeCell ref="G115:I115"/>
    <mergeCell ref="G116:I116"/>
    <mergeCell ref="E117:F120"/>
    <mergeCell ref="G117:I117"/>
    <mergeCell ref="G118:I118"/>
    <mergeCell ref="G119:I119"/>
    <mergeCell ref="G120:I120"/>
    <mergeCell ref="E132:F135"/>
    <mergeCell ref="G132:I132"/>
    <mergeCell ref="G133:I133"/>
    <mergeCell ref="G134:I134"/>
    <mergeCell ref="G135:I135"/>
    <mergeCell ref="G103:I103"/>
    <mergeCell ref="G104:I104"/>
    <mergeCell ref="E97:F100"/>
    <mergeCell ref="G97:I97"/>
    <mergeCell ref="G98:I98"/>
    <mergeCell ref="G99:I99"/>
    <mergeCell ref="G100:I100"/>
    <mergeCell ref="G95:I95"/>
    <mergeCell ref="G96:I96"/>
    <mergeCell ref="E90:F92"/>
    <mergeCell ref="G90:I92"/>
    <mergeCell ref="E39:F42"/>
    <mergeCell ref="E105:F108"/>
    <mergeCell ref="G105:I105"/>
    <mergeCell ref="G106:I106"/>
    <mergeCell ref="G107:I107"/>
    <mergeCell ref="G108:I108"/>
    <mergeCell ref="E101:F104"/>
    <mergeCell ref="G101:I101"/>
    <mergeCell ref="G102:I102"/>
    <mergeCell ref="G39:I39"/>
    <mergeCell ref="G40:I40"/>
    <mergeCell ref="E156:F159"/>
    <mergeCell ref="G156:I156"/>
    <mergeCell ref="G157:I157"/>
    <mergeCell ref="G158:I158"/>
    <mergeCell ref="G159:I159"/>
    <mergeCell ref="E152:F155"/>
    <mergeCell ref="G152:I152"/>
    <mergeCell ref="G153:I153"/>
    <mergeCell ref="G154:I154"/>
    <mergeCell ref="G155:I155"/>
    <mergeCell ref="G140:I140"/>
    <mergeCell ref="G141:I141"/>
    <mergeCell ref="G142:I142"/>
    <mergeCell ref="G143:I143"/>
    <mergeCell ref="E136:F139"/>
    <mergeCell ref="G58:I58"/>
    <mergeCell ref="G59:I59"/>
    <mergeCell ref="G60:I60"/>
    <mergeCell ref="G63:I63"/>
    <mergeCell ref="G64:I64"/>
    <mergeCell ref="G65:I65"/>
    <mergeCell ref="G136:I136"/>
    <mergeCell ref="G137:I137"/>
    <mergeCell ref="G138:I138"/>
    <mergeCell ref="E109:F112"/>
    <mergeCell ref="G109:I109"/>
    <mergeCell ref="G110:I110"/>
    <mergeCell ref="G111:I111"/>
    <mergeCell ref="G112:I112"/>
    <mergeCell ref="G139:I139"/>
    <mergeCell ref="E140:F143"/>
    <mergeCell ref="E93:F96"/>
    <mergeCell ref="G93:I93"/>
    <mergeCell ref="G94:I94"/>
    <mergeCell ref="E148:F151"/>
    <mergeCell ref="G148:I148"/>
    <mergeCell ref="G149:I149"/>
    <mergeCell ref="G150:I150"/>
    <mergeCell ref="G151:I151"/>
    <mergeCell ref="E144:F147"/>
    <mergeCell ref="G144:I144"/>
    <mergeCell ref="G145:I145"/>
    <mergeCell ref="G146:I146"/>
    <mergeCell ref="G147:I147"/>
  </mergeCells>
  <printOptions horizontalCentered="1" verticalCentered="1"/>
  <pageMargins left="0.70866141732283472" right="0.6692913385826772" top="0.19685039370078741" bottom="0.19685039370078741" header="0.19685039370078741" footer="0.19685039370078741"/>
  <pageSetup paperSize="9" scale="55" orientation="landscape" horizontalDpi="300" verticalDpi="300" r:id="rId1"/>
  <rowBreaks count="3" manualBreakCount="3">
    <brk id="42" max="16383" man="1"/>
    <brk id="81" max="16383" man="1"/>
    <brk id="120" max="16383" man="1"/>
  </rowBreaks>
  <ignoredErrors>
    <ignoredError sqref="M73 M22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7"/>
  <sheetViews>
    <sheetView rightToLeft="1" view="pageBreakPreview" zoomScale="60" zoomScaleNormal="80" workbookViewId="0">
      <selection activeCell="E7" sqref="E7:G8"/>
    </sheetView>
  </sheetViews>
  <sheetFormatPr defaultColWidth="9" defaultRowHeight="27" customHeight="1"/>
  <cols>
    <col min="1" max="3" width="9" style="98"/>
    <col min="4" max="4" width="14.875" style="98" customWidth="1"/>
    <col min="5" max="5" width="11.125" style="98" customWidth="1"/>
    <col min="6" max="6" width="10.875" style="98" customWidth="1"/>
    <col min="7" max="7" width="11.125" style="98" customWidth="1"/>
    <col min="8" max="8" width="9" style="98"/>
    <col min="9" max="9" width="11.75" style="98" customWidth="1"/>
    <col min="10" max="10" width="11.375" style="98" customWidth="1"/>
    <col min="11" max="11" width="9.875" style="98" customWidth="1"/>
    <col min="12" max="12" width="11.125" style="98" customWidth="1"/>
    <col min="13" max="13" width="9" style="98"/>
    <col min="14" max="14" width="11.75" style="98" customWidth="1"/>
    <col min="15" max="15" width="10.375" style="98" customWidth="1"/>
    <col min="16" max="16" width="9" style="98"/>
    <col min="17" max="17" width="11.125" style="98" customWidth="1"/>
    <col min="18" max="18" width="10.875" style="98" customWidth="1"/>
    <col min="19" max="19" width="13.375" style="98" customWidth="1"/>
    <col min="20" max="16384" width="9" style="98"/>
  </cols>
  <sheetData>
    <row r="1" spans="1:19" ht="27" customHeight="1">
      <c r="A1" s="328" t="s">
        <v>146</v>
      </c>
      <c r="B1" s="328"/>
      <c r="C1" s="328"/>
      <c r="D1" s="328"/>
      <c r="E1" s="328"/>
      <c r="F1" s="328"/>
      <c r="G1" s="86"/>
      <c r="H1" s="87"/>
      <c r="I1" s="87"/>
      <c r="J1" s="87"/>
      <c r="K1" s="87"/>
      <c r="L1" s="87"/>
      <c r="M1" s="87"/>
      <c r="N1" s="87"/>
      <c r="O1" s="87"/>
      <c r="P1" s="87"/>
      <c r="Q1" s="87"/>
      <c r="R1" s="328" t="s">
        <v>110</v>
      </c>
      <c r="S1" s="328"/>
    </row>
    <row r="2" spans="1:19" ht="27" customHeight="1">
      <c r="A2" s="340" t="s">
        <v>185</v>
      </c>
      <c r="B2" s="340"/>
      <c r="C2" s="340"/>
      <c r="D2" s="340"/>
      <c r="E2" s="340"/>
      <c r="F2" s="340"/>
      <c r="G2" s="87"/>
      <c r="H2" s="87"/>
      <c r="I2" s="340" t="s">
        <v>188</v>
      </c>
      <c r="J2" s="340"/>
      <c r="K2" s="340"/>
      <c r="L2" s="340"/>
      <c r="M2" s="87"/>
      <c r="N2" s="87"/>
      <c r="O2" s="87"/>
      <c r="P2" s="87"/>
      <c r="Q2" s="87"/>
      <c r="R2" s="87"/>
      <c r="S2" s="87"/>
    </row>
    <row r="3" spans="1:19" ht="27" customHeight="1">
      <c r="A3" s="87"/>
      <c r="B3" s="328" t="s">
        <v>147</v>
      </c>
      <c r="C3" s="328"/>
      <c r="D3" s="328"/>
      <c r="E3" s="328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</row>
    <row r="4" spans="1:19" ht="27" customHeight="1">
      <c r="A4" s="87"/>
      <c r="B4" s="328" t="s">
        <v>497</v>
      </c>
      <c r="C4" s="328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  <c r="Q4" s="328"/>
      <c r="R4" s="328"/>
      <c r="S4" s="328"/>
    </row>
    <row r="5" spans="1:19" ht="27" customHeight="1">
      <c r="A5" s="87"/>
      <c r="B5" s="343" t="s">
        <v>491</v>
      </c>
      <c r="C5" s="343"/>
      <c r="D5" s="343"/>
      <c r="E5" s="343"/>
      <c r="F5" s="343"/>
      <c r="G5" s="343"/>
      <c r="H5" s="343"/>
      <c r="I5" s="343"/>
      <c r="J5" s="343"/>
      <c r="K5" s="343"/>
      <c r="L5" s="343"/>
      <c r="M5" s="343"/>
      <c r="N5" s="343"/>
      <c r="O5" s="343"/>
      <c r="P5" s="343"/>
      <c r="Q5" s="343"/>
      <c r="R5" s="343"/>
      <c r="S5" s="343"/>
    </row>
    <row r="6" spans="1:19" ht="27" customHeight="1" thickBot="1">
      <c r="A6" s="87"/>
      <c r="B6" s="90"/>
      <c r="C6" s="90"/>
      <c r="D6" s="90"/>
      <c r="E6" s="90"/>
      <c r="F6" s="90"/>
      <c r="G6" s="90"/>
      <c r="H6" s="90"/>
      <c r="I6" s="90"/>
      <c r="J6" s="90"/>
      <c r="K6" s="99"/>
      <c r="L6" s="99"/>
      <c r="M6" s="99"/>
      <c r="N6" s="99"/>
      <c r="O6" s="86"/>
      <c r="P6" s="87"/>
      <c r="Q6" s="87"/>
      <c r="R6" s="87"/>
      <c r="S6" s="87"/>
    </row>
    <row r="7" spans="1:19" ht="27" customHeight="1" thickTop="1" thickBot="1">
      <c r="A7" s="87"/>
      <c r="B7" s="349" t="s">
        <v>113</v>
      </c>
      <c r="C7" s="351"/>
      <c r="D7" s="329" t="s">
        <v>140</v>
      </c>
      <c r="E7" s="330" t="s">
        <v>481</v>
      </c>
      <c r="F7" s="406"/>
      <c r="G7" s="331"/>
      <c r="H7" s="330" t="s">
        <v>489</v>
      </c>
      <c r="I7" s="406"/>
      <c r="J7" s="331"/>
      <c r="K7" s="324" t="s">
        <v>490</v>
      </c>
      <c r="L7" s="325"/>
      <c r="M7" s="325"/>
      <c r="N7" s="325"/>
      <c r="O7" s="325"/>
      <c r="P7" s="325"/>
      <c r="Q7" s="325"/>
      <c r="R7" s="325"/>
      <c r="S7" s="326"/>
    </row>
    <row r="8" spans="1:19" ht="27" customHeight="1" thickTop="1" thickBot="1">
      <c r="A8" s="87"/>
      <c r="B8" s="398"/>
      <c r="C8" s="399"/>
      <c r="D8" s="329"/>
      <c r="E8" s="332"/>
      <c r="F8" s="407"/>
      <c r="G8" s="333"/>
      <c r="H8" s="332"/>
      <c r="I8" s="407"/>
      <c r="J8" s="333"/>
      <c r="K8" s="324" t="s">
        <v>148</v>
      </c>
      <c r="L8" s="326"/>
      <c r="M8" s="324" t="s">
        <v>149</v>
      </c>
      <c r="N8" s="326"/>
      <c r="O8" s="324" t="s">
        <v>150</v>
      </c>
      <c r="P8" s="326"/>
      <c r="Q8" s="324" t="s">
        <v>151</v>
      </c>
      <c r="R8" s="325"/>
      <c r="S8" s="326"/>
    </row>
    <row r="9" spans="1:19" ht="27" customHeight="1" thickTop="1" thickBot="1">
      <c r="A9" s="87"/>
      <c r="B9" s="352"/>
      <c r="C9" s="354"/>
      <c r="D9" s="329"/>
      <c r="E9" s="14" t="s">
        <v>5</v>
      </c>
      <c r="F9" s="14" t="s">
        <v>6</v>
      </c>
      <c r="G9" s="14" t="s">
        <v>25</v>
      </c>
      <c r="H9" s="14" t="s">
        <v>5</v>
      </c>
      <c r="I9" s="14" t="s">
        <v>6</v>
      </c>
      <c r="J9" s="14" t="s">
        <v>25</v>
      </c>
      <c r="K9" s="96" t="s">
        <v>5</v>
      </c>
      <c r="L9" s="96" t="s">
        <v>6</v>
      </c>
      <c r="M9" s="96" t="s">
        <v>5</v>
      </c>
      <c r="N9" s="96" t="s">
        <v>6</v>
      </c>
      <c r="O9" s="96" t="s">
        <v>5</v>
      </c>
      <c r="P9" s="96" t="s">
        <v>6</v>
      </c>
      <c r="Q9" s="96" t="s">
        <v>5</v>
      </c>
      <c r="R9" s="96" t="s">
        <v>6</v>
      </c>
      <c r="S9" s="14" t="s">
        <v>25</v>
      </c>
    </row>
    <row r="10" spans="1:19" ht="27" customHeight="1" thickTop="1" thickBot="1">
      <c r="A10" s="87"/>
      <c r="B10" s="386" t="s">
        <v>121</v>
      </c>
      <c r="C10" s="387"/>
      <c r="D10" s="15" t="s">
        <v>143</v>
      </c>
      <c r="E10" s="102">
        <f>المهني!CZ17</f>
        <v>0</v>
      </c>
      <c r="F10" s="102">
        <f>المهني!DA17</f>
        <v>0</v>
      </c>
      <c r="G10" s="102">
        <f>F10+E10</f>
        <v>0</v>
      </c>
      <c r="H10" s="102">
        <f>المهني!DR17</f>
        <v>0</v>
      </c>
      <c r="I10" s="102">
        <f>المهني!DS17</f>
        <v>0</v>
      </c>
      <c r="J10" s="102">
        <f>I10+H10</f>
        <v>0</v>
      </c>
      <c r="K10" s="102">
        <f>المهني!EA17</f>
        <v>0</v>
      </c>
      <c r="L10" s="102">
        <f>المهني!EB17</f>
        <v>0</v>
      </c>
      <c r="M10" s="102">
        <f>المهني!EJ17</f>
        <v>0</v>
      </c>
      <c r="N10" s="102">
        <f>المهني!EK17</f>
        <v>0</v>
      </c>
      <c r="O10" s="102">
        <f>المهني!ES17</f>
        <v>0</v>
      </c>
      <c r="P10" s="102">
        <f>المهني!ET17</f>
        <v>0</v>
      </c>
      <c r="Q10" s="102">
        <f t="shared" ref="Q10:R12" si="0">O10+M10+K10</f>
        <v>0</v>
      </c>
      <c r="R10" s="102">
        <f t="shared" si="0"/>
        <v>0</v>
      </c>
      <c r="S10" s="102">
        <f t="shared" ref="S10:S37" si="1">R10+Q10</f>
        <v>0</v>
      </c>
    </row>
    <row r="11" spans="1:19" ht="27" customHeight="1" thickTop="1" thickBot="1">
      <c r="A11" s="87"/>
      <c r="B11" s="388"/>
      <c r="C11" s="389"/>
      <c r="D11" s="15" t="s">
        <v>144</v>
      </c>
      <c r="E11" s="102">
        <f>المهني!DB17</f>
        <v>0</v>
      </c>
      <c r="F11" s="102">
        <f>المهني!DC17</f>
        <v>0</v>
      </c>
      <c r="G11" s="102">
        <f>F11+E11</f>
        <v>0</v>
      </c>
      <c r="H11" s="102">
        <f>المهني!DT17</f>
        <v>0</v>
      </c>
      <c r="I11" s="102">
        <f>المهني!DU17</f>
        <v>0</v>
      </c>
      <c r="J11" s="102">
        <f>I11+H11</f>
        <v>0</v>
      </c>
      <c r="K11" s="102">
        <f>المهني!EC17</f>
        <v>0</v>
      </c>
      <c r="L11" s="102">
        <f>المهني!ED17</f>
        <v>0</v>
      </c>
      <c r="M11" s="102">
        <f>المهني!EL17</f>
        <v>0</v>
      </c>
      <c r="N11" s="102">
        <f>المهني!EM17</f>
        <v>0</v>
      </c>
      <c r="O11" s="102">
        <f>المهني!EU17</f>
        <v>0</v>
      </c>
      <c r="P11" s="102">
        <f>المهني!EV17</f>
        <v>0</v>
      </c>
      <c r="Q11" s="102">
        <f t="shared" si="0"/>
        <v>0</v>
      </c>
      <c r="R11" s="102">
        <f t="shared" si="0"/>
        <v>0</v>
      </c>
      <c r="S11" s="102">
        <f t="shared" si="1"/>
        <v>0</v>
      </c>
    </row>
    <row r="12" spans="1:19" ht="27" customHeight="1" thickTop="1" thickBot="1">
      <c r="A12" s="87"/>
      <c r="B12" s="388"/>
      <c r="C12" s="389"/>
      <c r="D12" s="15" t="s">
        <v>145</v>
      </c>
      <c r="E12" s="102">
        <f>المهني!DD17</f>
        <v>0</v>
      </c>
      <c r="F12" s="102">
        <f>المهني!DE17</f>
        <v>0</v>
      </c>
      <c r="G12" s="102">
        <f>F12+E12</f>
        <v>0</v>
      </c>
      <c r="H12" s="102">
        <f>المهني!DV17</f>
        <v>0</v>
      </c>
      <c r="I12" s="102">
        <f>المهني!DW17</f>
        <v>0</v>
      </c>
      <c r="J12" s="102">
        <f>I12+H12</f>
        <v>0</v>
      </c>
      <c r="K12" s="102">
        <f>المهني!EE17</f>
        <v>0</v>
      </c>
      <c r="L12" s="102">
        <f>المهني!EF17</f>
        <v>0</v>
      </c>
      <c r="M12" s="102">
        <f>المهني!EN17</f>
        <v>0</v>
      </c>
      <c r="N12" s="102">
        <f>المهني!EO17</f>
        <v>0</v>
      </c>
      <c r="O12" s="102">
        <f>المهني!EW17</f>
        <v>0</v>
      </c>
      <c r="P12" s="102">
        <f>المهني!EX17</f>
        <v>0</v>
      </c>
      <c r="Q12" s="102">
        <f t="shared" si="0"/>
        <v>0</v>
      </c>
      <c r="R12" s="102">
        <f t="shared" si="0"/>
        <v>0</v>
      </c>
      <c r="S12" s="102">
        <f t="shared" si="1"/>
        <v>0</v>
      </c>
    </row>
    <row r="13" spans="1:19" ht="27" customHeight="1" thickTop="1" thickBot="1">
      <c r="A13" s="87"/>
      <c r="B13" s="390"/>
      <c r="C13" s="391"/>
      <c r="D13" s="15" t="s">
        <v>25</v>
      </c>
      <c r="E13" s="102">
        <f t="shared" ref="E13:R13" si="2">E12+E11+E10</f>
        <v>0</v>
      </c>
      <c r="F13" s="102">
        <f t="shared" si="2"/>
        <v>0</v>
      </c>
      <c r="G13" s="102">
        <f t="shared" si="2"/>
        <v>0</v>
      </c>
      <c r="H13" s="102">
        <f t="shared" si="2"/>
        <v>0</v>
      </c>
      <c r="I13" s="102">
        <f t="shared" si="2"/>
        <v>0</v>
      </c>
      <c r="J13" s="102">
        <f t="shared" si="2"/>
        <v>0</v>
      </c>
      <c r="K13" s="102">
        <f t="shared" si="2"/>
        <v>0</v>
      </c>
      <c r="L13" s="102">
        <f t="shared" si="2"/>
        <v>0</v>
      </c>
      <c r="M13" s="102">
        <f t="shared" si="2"/>
        <v>0</v>
      </c>
      <c r="N13" s="102">
        <f t="shared" si="2"/>
        <v>0</v>
      </c>
      <c r="O13" s="102">
        <f t="shared" si="2"/>
        <v>0</v>
      </c>
      <c r="P13" s="102">
        <f t="shared" si="2"/>
        <v>0</v>
      </c>
      <c r="Q13" s="102">
        <f t="shared" si="2"/>
        <v>0</v>
      </c>
      <c r="R13" s="102">
        <f t="shared" si="2"/>
        <v>0</v>
      </c>
      <c r="S13" s="102">
        <f t="shared" si="1"/>
        <v>0</v>
      </c>
    </row>
    <row r="14" spans="1:19" ht="27" customHeight="1" thickTop="1" thickBot="1">
      <c r="A14" s="87"/>
      <c r="B14" s="386" t="s">
        <v>122</v>
      </c>
      <c r="C14" s="387"/>
      <c r="D14" s="15" t="s">
        <v>143</v>
      </c>
      <c r="E14" s="102">
        <f>المهني!CZ28</f>
        <v>0</v>
      </c>
      <c r="F14" s="102">
        <f>المهني!DA28</f>
        <v>0</v>
      </c>
      <c r="G14" s="102">
        <f>F14+E14</f>
        <v>0</v>
      </c>
      <c r="H14" s="102">
        <f>المهني!DR28</f>
        <v>0</v>
      </c>
      <c r="I14" s="102">
        <f>المهني!DS28</f>
        <v>0</v>
      </c>
      <c r="J14" s="102">
        <f>I14+H14</f>
        <v>0</v>
      </c>
      <c r="K14" s="102">
        <f>المهني!EA28</f>
        <v>0</v>
      </c>
      <c r="L14" s="102">
        <f>المهني!EB28</f>
        <v>0</v>
      </c>
      <c r="M14" s="102">
        <f>المهني!EJ28</f>
        <v>0</v>
      </c>
      <c r="N14" s="102">
        <f>المهني!EK28</f>
        <v>0</v>
      </c>
      <c r="O14" s="102">
        <f>المهني!ES28</f>
        <v>0</v>
      </c>
      <c r="P14" s="102">
        <f>المهني!ET28</f>
        <v>0</v>
      </c>
      <c r="Q14" s="102">
        <f t="shared" ref="Q14:R16" si="3">O14+M14+K14</f>
        <v>0</v>
      </c>
      <c r="R14" s="102">
        <f t="shared" si="3"/>
        <v>0</v>
      </c>
      <c r="S14" s="102">
        <f t="shared" si="1"/>
        <v>0</v>
      </c>
    </row>
    <row r="15" spans="1:19" ht="27" customHeight="1" thickTop="1" thickBot="1">
      <c r="A15" s="87"/>
      <c r="B15" s="388"/>
      <c r="C15" s="389"/>
      <c r="D15" s="15" t="s">
        <v>144</v>
      </c>
      <c r="E15" s="102">
        <f>المهني!DB28</f>
        <v>0</v>
      </c>
      <c r="F15" s="102">
        <f>المهني!DC28</f>
        <v>0</v>
      </c>
      <c r="G15" s="102">
        <f>F15+E15</f>
        <v>0</v>
      </c>
      <c r="H15" s="102">
        <f>المهني!DT28</f>
        <v>0</v>
      </c>
      <c r="I15" s="102">
        <f>المهني!DU28</f>
        <v>0</v>
      </c>
      <c r="J15" s="102">
        <f>I15+H15</f>
        <v>0</v>
      </c>
      <c r="K15" s="102">
        <f>المهني!EC28</f>
        <v>0</v>
      </c>
      <c r="L15" s="102">
        <f>المهني!ED28</f>
        <v>0</v>
      </c>
      <c r="M15" s="102">
        <f>المهني!EL28</f>
        <v>0</v>
      </c>
      <c r="N15" s="102">
        <f>المهني!EM28</f>
        <v>0</v>
      </c>
      <c r="O15" s="102">
        <f>المهني!EU28</f>
        <v>0</v>
      </c>
      <c r="P15" s="102">
        <f>المهني!EV28</f>
        <v>0</v>
      </c>
      <c r="Q15" s="102">
        <f t="shared" si="3"/>
        <v>0</v>
      </c>
      <c r="R15" s="102">
        <f t="shared" si="3"/>
        <v>0</v>
      </c>
      <c r="S15" s="102">
        <f t="shared" si="1"/>
        <v>0</v>
      </c>
    </row>
    <row r="16" spans="1:19" ht="27" customHeight="1" thickTop="1" thickBot="1">
      <c r="A16" s="87"/>
      <c r="B16" s="388"/>
      <c r="C16" s="389"/>
      <c r="D16" s="15" t="s">
        <v>145</v>
      </c>
      <c r="E16" s="102">
        <f>المهني!DD28</f>
        <v>0</v>
      </c>
      <c r="F16" s="102">
        <f>المهني!DE28</f>
        <v>0</v>
      </c>
      <c r="G16" s="102">
        <f>F16+E16</f>
        <v>0</v>
      </c>
      <c r="H16" s="102">
        <f>المهني!DV28</f>
        <v>0</v>
      </c>
      <c r="I16" s="102">
        <f>المهني!DW28</f>
        <v>0</v>
      </c>
      <c r="J16" s="102">
        <f>I16+H16</f>
        <v>0</v>
      </c>
      <c r="K16" s="102">
        <f>المهني!EE28</f>
        <v>0</v>
      </c>
      <c r="L16" s="102">
        <f>المهني!EF28</f>
        <v>0</v>
      </c>
      <c r="M16" s="102">
        <f>المهني!EN28</f>
        <v>0</v>
      </c>
      <c r="N16" s="102">
        <f>المهني!EO28</f>
        <v>0</v>
      </c>
      <c r="O16" s="102">
        <f>المهني!EW28</f>
        <v>0</v>
      </c>
      <c r="P16" s="102">
        <f>المهني!EX28</f>
        <v>0</v>
      </c>
      <c r="Q16" s="102">
        <f t="shared" si="3"/>
        <v>0</v>
      </c>
      <c r="R16" s="102">
        <f t="shared" si="3"/>
        <v>0</v>
      </c>
      <c r="S16" s="102">
        <f t="shared" si="1"/>
        <v>0</v>
      </c>
    </row>
    <row r="17" spans="1:19" ht="27" customHeight="1" thickTop="1" thickBot="1">
      <c r="A17" s="87"/>
      <c r="B17" s="390"/>
      <c r="C17" s="391"/>
      <c r="D17" s="15" t="s">
        <v>25</v>
      </c>
      <c r="E17" s="102">
        <f t="shared" ref="E17:R17" si="4">E16+E15+E14</f>
        <v>0</v>
      </c>
      <c r="F17" s="102">
        <f t="shared" si="4"/>
        <v>0</v>
      </c>
      <c r="G17" s="102">
        <f t="shared" si="4"/>
        <v>0</v>
      </c>
      <c r="H17" s="102">
        <f t="shared" si="4"/>
        <v>0</v>
      </c>
      <c r="I17" s="102">
        <f t="shared" si="4"/>
        <v>0</v>
      </c>
      <c r="J17" s="102">
        <f t="shared" si="4"/>
        <v>0</v>
      </c>
      <c r="K17" s="102">
        <f t="shared" si="4"/>
        <v>0</v>
      </c>
      <c r="L17" s="102">
        <f t="shared" si="4"/>
        <v>0</v>
      </c>
      <c r="M17" s="102">
        <f t="shared" si="4"/>
        <v>0</v>
      </c>
      <c r="N17" s="102">
        <f t="shared" si="4"/>
        <v>0</v>
      </c>
      <c r="O17" s="102">
        <f t="shared" si="4"/>
        <v>0</v>
      </c>
      <c r="P17" s="102">
        <f t="shared" si="4"/>
        <v>0</v>
      </c>
      <c r="Q17" s="102">
        <f t="shared" si="4"/>
        <v>0</v>
      </c>
      <c r="R17" s="102">
        <f t="shared" si="4"/>
        <v>0</v>
      </c>
      <c r="S17" s="102">
        <f t="shared" si="1"/>
        <v>0</v>
      </c>
    </row>
    <row r="18" spans="1:19" ht="27" customHeight="1" thickTop="1" thickBot="1">
      <c r="A18" s="87"/>
      <c r="B18" s="386" t="s">
        <v>123</v>
      </c>
      <c r="C18" s="387"/>
      <c r="D18" s="15" t="s">
        <v>143</v>
      </c>
      <c r="E18" s="102">
        <f>المهني!CZ23</f>
        <v>0</v>
      </c>
      <c r="F18" s="102">
        <f>المهني!DA23</f>
        <v>0</v>
      </c>
      <c r="G18" s="102">
        <f>F18+E18</f>
        <v>0</v>
      </c>
      <c r="H18" s="102">
        <f>المهني!DR23</f>
        <v>0</v>
      </c>
      <c r="I18" s="102">
        <f>المهني!DS23</f>
        <v>0</v>
      </c>
      <c r="J18" s="102">
        <f>I18+H18</f>
        <v>0</v>
      </c>
      <c r="K18" s="102">
        <f>المهني!EA23</f>
        <v>0</v>
      </c>
      <c r="L18" s="102">
        <f>المهني!EB23</f>
        <v>0</v>
      </c>
      <c r="M18" s="102">
        <f>المهني!EJ23</f>
        <v>0</v>
      </c>
      <c r="N18" s="102">
        <f>المهني!EK23</f>
        <v>0</v>
      </c>
      <c r="O18" s="102">
        <f>المهني!ES23</f>
        <v>0</v>
      </c>
      <c r="P18" s="102">
        <f>المهني!ET23</f>
        <v>0</v>
      </c>
      <c r="Q18" s="102">
        <f t="shared" ref="Q18:R20" si="5">O18+M18+K18</f>
        <v>0</v>
      </c>
      <c r="R18" s="102">
        <f t="shared" si="5"/>
        <v>0</v>
      </c>
      <c r="S18" s="102">
        <f t="shared" si="1"/>
        <v>0</v>
      </c>
    </row>
    <row r="19" spans="1:19" ht="27" customHeight="1" thickTop="1" thickBot="1">
      <c r="A19" s="87"/>
      <c r="B19" s="388"/>
      <c r="C19" s="389"/>
      <c r="D19" s="15" t="s">
        <v>144</v>
      </c>
      <c r="E19" s="102">
        <f>المهني!DB23</f>
        <v>0</v>
      </c>
      <c r="F19" s="102">
        <f>المهني!DC23</f>
        <v>0</v>
      </c>
      <c r="G19" s="102">
        <f>F19+E19</f>
        <v>0</v>
      </c>
      <c r="H19" s="102">
        <f>المهني!DT23</f>
        <v>0</v>
      </c>
      <c r="I19" s="102">
        <f>المهني!DU23</f>
        <v>0</v>
      </c>
      <c r="J19" s="102">
        <f>I19+H19</f>
        <v>0</v>
      </c>
      <c r="K19" s="102">
        <f>المهني!EC23</f>
        <v>0</v>
      </c>
      <c r="L19" s="102">
        <f>المهني!ED23</f>
        <v>0</v>
      </c>
      <c r="M19" s="102">
        <f>المهني!EL23</f>
        <v>0</v>
      </c>
      <c r="N19" s="102">
        <f>المهني!EM23</f>
        <v>0</v>
      </c>
      <c r="O19" s="102">
        <f>المهني!EU23</f>
        <v>0</v>
      </c>
      <c r="P19" s="102">
        <f>المهني!EV23</f>
        <v>0</v>
      </c>
      <c r="Q19" s="102">
        <f t="shared" si="5"/>
        <v>0</v>
      </c>
      <c r="R19" s="102">
        <f t="shared" si="5"/>
        <v>0</v>
      </c>
      <c r="S19" s="102">
        <f t="shared" si="1"/>
        <v>0</v>
      </c>
    </row>
    <row r="20" spans="1:19" ht="27" customHeight="1" thickTop="1" thickBot="1">
      <c r="A20" s="87"/>
      <c r="B20" s="388"/>
      <c r="C20" s="389"/>
      <c r="D20" s="15" t="s">
        <v>145</v>
      </c>
      <c r="E20" s="102">
        <f>المهني!DD23</f>
        <v>0</v>
      </c>
      <c r="F20" s="102">
        <f>المهني!DE23</f>
        <v>0</v>
      </c>
      <c r="G20" s="102">
        <f>F20+E20</f>
        <v>0</v>
      </c>
      <c r="H20" s="102">
        <f>المهني!DV23</f>
        <v>0</v>
      </c>
      <c r="I20" s="102">
        <f>المهني!DW23</f>
        <v>0</v>
      </c>
      <c r="J20" s="102">
        <f>I20+H20</f>
        <v>0</v>
      </c>
      <c r="K20" s="102">
        <f>المهني!EE23</f>
        <v>0</v>
      </c>
      <c r="L20" s="102">
        <f>المهني!EF23</f>
        <v>0</v>
      </c>
      <c r="M20" s="102">
        <f>المهني!EN23</f>
        <v>0</v>
      </c>
      <c r="N20" s="102">
        <f>المهني!EO23</f>
        <v>0</v>
      </c>
      <c r="O20" s="102">
        <f>المهني!EW23</f>
        <v>0</v>
      </c>
      <c r="P20" s="102">
        <f>المهني!EX23</f>
        <v>0</v>
      </c>
      <c r="Q20" s="102">
        <f t="shared" si="5"/>
        <v>0</v>
      </c>
      <c r="R20" s="102">
        <f t="shared" si="5"/>
        <v>0</v>
      </c>
      <c r="S20" s="102">
        <f t="shared" si="1"/>
        <v>0</v>
      </c>
    </row>
    <row r="21" spans="1:19" ht="27" customHeight="1" thickTop="1" thickBot="1">
      <c r="A21" s="87"/>
      <c r="B21" s="390"/>
      <c r="C21" s="391"/>
      <c r="D21" s="15" t="s">
        <v>25</v>
      </c>
      <c r="E21" s="102">
        <f t="shared" ref="E21:R21" si="6">E20+E19+E18</f>
        <v>0</v>
      </c>
      <c r="F21" s="102">
        <f t="shared" si="6"/>
        <v>0</v>
      </c>
      <c r="G21" s="102">
        <f t="shared" si="6"/>
        <v>0</v>
      </c>
      <c r="H21" s="102">
        <f t="shared" si="6"/>
        <v>0</v>
      </c>
      <c r="I21" s="102">
        <f t="shared" si="6"/>
        <v>0</v>
      </c>
      <c r="J21" s="102">
        <f t="shared" si="6"/>
        <v>0</v>
      </c>
      <c r="K21" s="102">
        <f t="shared" si="6"/>
        <v>0</v>
      </c>
      <c r="L21" s="102">
        <f t="shared" si="6"/>
        <v>0</v>
      </c>
      <c r="M21" s="102">
        <f t="shared" si="6"/>
        <v>0</v>
      </c>
      <c r="N21" s="102">
        <f t="shared" si="6"/>
        <v>0</v>
      </c>
      <c r="O21" s="102">
        <f t="shared" si="6"/>
        <v>0</v>
      </c>
      <c r="P21" s="102">
        <f t="shared" si="6"/>
        <v>0</v>
      </c>
      <c r="Q21" s="102">
        <f t="shared" si="6"/>
        <v>0</v>
      </c>
      <c r="R21" s="102">
        <f t="shared" si="6"/>
        <v>0</v>
      </c>
      <c r="S21" s="102">
        <f t="shared" si="1"/>
        <v>0</v>
      </c>
    </row>
    <row r="22" spans="1:19" ht="27" customHeight="1" thickTop="1" thickBot="1">
      <c r="A22" s="87"/>
      <c r="B22" s="386" t="s">
        <v>211</v>
      </c>
      <c r="C22" s="387"/>
      <c r="D22" s="15" t="s">
        <v>143</v>
      </c>
      <c r="E22" s="103"/>
      <c r="F22" s="104">
        <f>المهني!DA32</f>
        <v>0</v>
      </c>
      <c r="G22" s="102">
        <f>F22+E22</f>
        <v>0</v>
      </c>
      <c r="H22" s="103"/>
      <c r="I22" s="104">
        <f>المهني!DS32</f>
        <v>0</v>
      </c>
      <c r="J22" s="102">
        <f>I22+H22</f>
        <v>0</v>
      </c>
      <c r="K22" s="103"/>
      <c r="L22" s="104">
        <v>0</v>
      </c>
      <c r="M22" s="103"/>
      <c r="N22" s="104">
        <f>المهني!EK32</f>
        <v>0</v>
      </c>
      <c r="O22" s="103"/>
      <c r="P22" s="104">
        <f>المهني!ET32</f>
        <v>0</v>
      </c>
      <c r="Q22" s="103"/>
      <c r="R22" s="102">
        <f>P22+N22+L22</f>
        <v>0</v>
      </c>
      <c r="S22" s="102">
        <f t="shared" si="1"/>
        <v>0</v>
      </c>
    </row>
    <row r="23" spans="1:19" ht="27" customHeight="1" thickTop="1" thickBot="1">
      <c r="A23" s="87"/>
      <c r="B23" s="388"/>
      <c r="C23" s="389"/>
      <c r="D23" s="15" t="s">
        <v>144</v>
      </c>
      <c r="E23" s="103"/>
      <c r="F23" s="104">
        <f>المهني!DC32</f>
        <v>0</v>
      </c>
      <c r="G23" s="102">
        <f>F23+E23</f>
        <v>0</v>
      </c>
      <c r="H23" s="103"/>
      <c r="I23" s="104">
        <f>المهني!DU32</f>
        <v>0</v>
      </c>
      <c r="J23" s="102">
        <f>I23+H23</f>
        <v>0</v>
      </c>
      <c r="K23" s="103"/>
      <c r="L23" s="104">
        <v>0</v>
      </c>
      <c r="M23" s="103"/>
      <c r="N23" s="104">
        <f>المهني!EM32</f>
        <v>0</v>
      </c>
      <c r="O23" s="103"/>
      <c r="P23" s="104">
        <f>المهني!EV32</f>
        <v>0</v>
      </c>
      <c r="Q23" s="103"/>
      <c r="R23" s="102">
        <f>P23+N23+L23</f>
        <v>0</v>
      </c>
      <c r="S23" s="102">
        <f t="shared" si="1"/>
        <v>0</v>
      </c>
    </row>
    <row r="24" spans="1:19" ht="27" customHeight="1" thickTop="1" thickBot="1">
      <c r="A24" s="87"/>
      <c r="B24" s="388"/>
      <c r="C24" s="389"/>
      <c r="D24" s="15" t="s">
        <v>145</v>
      </c>
      <c r="E24" s="103"/>
      <c r="F24" s="104">
        <f>المهني!DE32</f>
        <v>0</v>
      </c>
      <c r="G24" s="102">
        <f>F24+E24</f>
        <v>0</v>
      </c>
      <c r="H24" s="103"/>
      <c r="I24" s="104">
        <f>المهني!DW32</f>
        <v>0</v>
      </c>
      <c r="J24" s="102">
        <f>I24+H24</f>
        <v>0</v>
      </c>
      <c r="K24" s="103"/>
      <c r="L24" s="104">
        <v>0</v>
      </c>
      <c r="M24" s="103"/>
      <c r="N24" s="104">
        <f>المهني!EO32</f>
        <v>0</v>
      </c>
      <c r="O24" s="103"/>
      <c r="P24" s="104">
        <f>المهني!EX32</f>
        <v>0</v>
      </c>
      <c r="Q24" s="103"/>
      <c r="R24" s="102">
        <f>P24+N24+L24</f>
        <v>0</v>
      </c>
      <c r="S24" s="102">
        <f t="shared" si="1"/>
        <v>0</v>
      </c>
    </row>
    <row r="25" spans="1:19" ht="27" customHeight="1" thickTop="1" thickBot="1">
      <c r="A25" s="87"/>
      <c r="B25" s="390"/>
      <c r="C25" s="391"/>
      <c r="D25" s="15" t="s">
        <v>25</v>
      </c>
      <c r="E25" s="103"/>
      <c r="F25" s="104">
        <f>F24+F23+F22</f>
        <v>0</v>
      </c>
      <c r="G25" s="104">
        <f>G24+G23+G22</f>
        <v>0</v>
      </c>
      <c r="H25" s="103"/>
      <c r="I25" s="104">
        <f>I24+I23+I22</f>
        <v>0</v>
      </c>
      <c r="J25" s="104">
        <f>J24+J23+J22</f>
        <v>0</v>
      </c>
      <c r="K25" s="103"/>
      <c r="L25" s="104">
        <f>L24+L23+L22</f>
        <v>0</v>
      </c>
      <c r="M25" s="103"/>
      <c r="N25" s="104">
        <f>N24+N23+N22</f>
        <v>0</v>
      </c>
      <c r="O25" s="103"/>
      <c r="P25" s="104">
        <f>P24+P23+P22</f>
        <v>0</v>
      </c>
      <c r="Q25" s="103"/>
      <c r="R25" s="104">
        <f>R24+R23+R22</f>
        <v>0</v>
      </c>
      <c r="S25" s="102">
        <f t="shared" si="1"/>
        <v>0</v>
      </c>
    </row>
    <row r="26" spans="1:19" ht="27" customHeight="1" thickTop="1" thickBot="1">
      <c r="A26" s="135"/>
      <c r="B26" s="386" t="s">
        <v>459</v>
      </c>
      <c r="C26" s="387"/>
      <c r="D26" s="15" t="s">
        <v>143</v>
      </c>
      <c r="E26" s="104">
        <f>المهني!CZ38</f>
        <v>0</v>
      </c>
      <c r="F26" s="104">
        <f>المهني!DA38</f>
        <v>0</v>
      </c>
      <c r="G26" s="102">
        <f t="shared" ref="G26:G29" si="7">F26+E26</f>
        <v>0</v>
      </c>
      <c r="H26" s="104">
        <f>المهني!DR38</f>
        <v>0</v>
      </c>
      <c r="I26" s="104">
        <f>المهني!DS38</f>
        <v>0</v>
      </c>
      <c r="J26" s="104">
        <f t="shared" ref="J26:J29" si="8">I26+H26</f>
        <v>0</v>
      </c>
      <c r="K26" s="104">
        <f>المهني!EA38</f>
        <v>0</v>
      </c>
      <c r="L26" s="104">
        <f>المهني!EB38</f>
        <v>0</v>
      </c>
      <c r="M26" s="104">
        <f t="shared" ref="M26:M29" si="9">L26+K26</f>
        <v>0</v>
      </c>
      <c r="N26" s="104">
        <f>المهني!EJ38</f>
        <v>0</v>
      </c>
      <c r="O26" s="104">
        <f>المهني!EK38</f>
        <v>0</v>
      </c>
      <c r="P26" s="104">
        <f t="shared" ref="P26:P29" si="10">O26+N26</f>
        <v>0</v>
      </c>
      <c r="Q26" s="104">
        <f t="shared" ref="Q26:Q29" si="11">O26+M26+K26</f>
        <v>0</v>
      </c>
      <c r="R26" s="104">
        <f t="shared" ref="R26:R29" si="12">P26+N26+L26</f>
        <v>0</v>
      </c>
      <c r="S26" s="104">
        <f t="shared" ref="S26:S29" si="13">R26+Q26</f>
        <v>0</v>
      </c>
    </row>
    <row r="27" spans="1:19" ht="27" customHeight="1" thickTop="1" thickBot="1">
      <c r="A27" s="135"/>
      <c r="B27" s="388"/>
      <c r="C27" s="389"/>
      <c r="D27" s="15" t="s">
        <v>144</v>
      </c>
      <c r="E27" s="104">
        <f>المهني!DB38</f>
        <v>0</v>
      </c>
      <c r="F27" s="104">
        <f>المهني!DC38</f>
        <v>0</v>
      </c>
      <c r="G27" s="102">
        <f t="shared" si="7"/>
        <v>0</v>
      </c>
      <c r="H27" s="104">
        <f>المهني!DT38</f>
        <v>0</v>
      </c>
      <c r="I27" s="104">
        <f>المهني!DU38</f>
        <v>0</v>
      </c>
      <c r="J27" s="104">
        <f t="shared" si="8"/>
        <v>0</v>
      </c>
      <c r="K27" s="104">
        <f>المهني!EC38</f>
        <v>0</v>
      </c>
      <c r="L27" s="104">
        <f>المهني!ED38</f>
        <v>0</v>
      </c>
      <c r="M27" s="104">
        <f t="shared" si="9"/>
        <v>0</v>
      </c>
      <c r="N27" s="104">
        <f>المهني!EL38</f>
        <v>0</v>
      </c>
      <c r="O27" s="104">
        <f>المهني!EM38</f>
        <v>0</v>
      </c>
      <c r="P27" s="104">
        <f t="shared" si="10"/>
        <v>0</v>
      </c>
      <c r="Q27" s="104">
        <f t="shared" si="11"/>
        <v>0</v>
      </c>
      <c r="R27" s="104">
        <f t="shared" si="12"/>
        <v>0</v>
      </c>
      <c r="S27" s="104">
        <f t="shared" si="13"/>
        <v>0</v>
      </c>
    </row>
    <row r="28" spans="1:19" ht="27" customHeight="1" thickTop="1" thickBot="1">
      <c r="A28" s="135"/>
      <c r="B28" s="388"/>
      <c r="C28" s="389"/>
      <c r="D28" s="15" t="s">
        <v>145</v>
      </c>
      <c r="E28" s="104">
        <f>المهني!DD38</f>
        <v>0</v>
      </c>
      <c r="F28" s="104">
        <f>المهني!DE38</f>
        <v>0</v>
      </c>
      <c r="G28" s="102">
        <f t="shared" si="7"/>
        <v>0</v>
      </c>
      <c r="H28" s="104">
        <f>المهني!DV38</f>
        <v>0</v>
      </c>
      <c r="I28" s="104">
        <f>المهني!DW38</f>
        <v>0</v>
      </c>
      <c r="J28" s="104">
        <f t="shared" si="8"/>
        <v>0</v>
      </c>
      <c r="K28" s="104">
        <f>المهني!EE38</f>
        <v>0</v>
      </c>
      <c r="L28" s="104">
        <f>المهني!EF38</f>
        <v>0</v>
      </c>
      <c r="M28" s="104">
        <f t="shared" si="9"/>
        <v>0</v>
      </c>
      <c r="N28" s="104">
        <f>المهني!EN38</f>
        <v>0</v>
      </c>
      <c r="O28" s="104">
        <f>المهني!EO38</f>
        <v>0</v>
      </c>
      <c r="P28" s="104">
        <f t="shared" si="10"/>
        <v>0</v>
      </c>
      <c r="Q28" s="104">
        <f t="shared" si="11"/>
        <v>0</v>
      </c>
      <c r="R28" s="104">
        <f t="shared" si="12"/>
        <v>0</v>
      </c>
      <c r="S28" s="104">
        <f t="shared" si="13"/>
        <v>0</v>
      </c>
    </row>
    <row r="29" spans="1:19" ht="27" customHeight="1" thickTop="1" thickBot="1">
      <c r="A29" s="135"/>
      <c r="B29" s="390"/>
      <c r="C29" s="391"/>
      <c r="D29" s="15" t="s">
        <v>25</v>
      </c>
      <c r="E29" s="104">
        <f t="shared" ref="E29:O29" si="14">E28+E27+E26</f>
        <v>0</v>
      </c>
      <c r="F29" s="104">
        <f t="shared" si="14"/>
        <v>0</v>
      </c>
      <c r="G29" s="102">
        <f t="shared" si="7"/>
        <v>0</v>
      </c>
      <c r="H29" s="104">
        <f t="shared" si="14"/>
        <v>0</v>
      </c>
      <c r="I29" s="104">
        <f t="shared" si="14"/>
        <v>0</v>
      </c>
      <c r="J29" s="104">
        <f t="shared" si="8"/>
        <v>0</v>
      </c>
      <c r="K29" s="104">
        <f t="shared" si="14"/>
        <v>0</v>
      </c>
      <c r="L29" s="104">
        <f t="shared" si="14"/>
        <v>0</v>
      </c>
      <c r="M29" s="104">
        <f t="shared" si="9"/>
        <v>0</v>
      </c>
      <c r="N29" s="104">
        <f t="shared" si="14"/>
        <v>0</v>
      </c>
      <c r="O29" s="104">
        <f t="shared" si="14"/>
        <v>0</v>
      </c>
      <c r="P29" s="104">
        <f t="shared" si="10"/>
        <v>0</v>
      </c>
      <c r="Q29" s="104">
        <f t="shared" si="11"/>
        <v>0</v>
      </c>
      <c r="R29" s="104">
        <f t="shared" si="12"/>
        <v>0</v>
      </c>
      <c r="S29" s="104">
        <f t="shared" si="13"/>
        <v>0</v>
      </c>
    </row>
    <row r="30" spans="1:19" ht="27" customHeight="1" thickTop="1" thickBot="1">
      <c r="A30" s="184"/>
      <c r="B30" s="386" t="s">
        <v>474</v>
      </c>
      <c r="C30" s="387"/>
      <c r="D30" s="15" t="s">
        <v>143</v>
      </c>
      <c r="E30" s="104">
        <f>المهني!CZ39</f>
        <v>0</v>
      </c>
      <c r="F30" s="104">
        <f>المهني!DA39</f>
        <v>0</v>
      </c>
      <c r="G30" s="102">
        <f t="shared" ref="G30:G33" si="15">F30+E30</f>
        <v>0</v>
      </c>
      <c r="H30" s="104">
        <f>المهني!DR39</f>
        <v>0</v>
      </c>
      <c r="I30" s="104">
        <f>المهني!DS39</f>
        <v>0</v>
      </c>
      <c r="J30" s="104">
        <f t="shared" ref="J30:J33" si="16">I30+H30</f>
        <v>0</v>
      </c>
      <c r="K30" s="104">
        <f>المهني!EA39</f>
        <v>0</v>
      </c>
      <c r="L30" s="104">
        <f>المهني!EB39</f>
        <v>0</v>
      </c>
      <c r="M30" s="104">
        <f>L30+K30</f>
        <v>0</v>
      </c>
      <c r="N30" s="104">
        <f>المهني!EJ39</f>
        <v>0</v>
      </c>
      <c r="O30" s="104">
        <f>المهني!EK39</f>
        <v>0</v>
      </c>
      <c r="P30" s="104">
        <f t="shared" ref="P30:P33" si="17">O30+N30</f>
        <v>0</v>
      </c>
      <c r="Q30" s="104">
        <f t="shared" ref="Q30:Q33" si="18">O30+M30+K30</f>
        <v>0</v>
      </c>
      <c r="R30" s="104">
        <f t="shared" ref="R30:R33" si="19">P30+N30+L30</f>
        <v>0</v>
      </c>
      <c r="S30" s="104">
        <f t="shared" ref="S30:S33" si="20">R30+Q30</f>
        <v>0</v>
      </c>
    </row>
    <row r="31" spans="1:19" ht="27" customHeight="1" thickTop="1" thickBot="1">
      <c r="A31" s="184"/>
      <c r="B31" s="388"/>
      <c r="C31" s="389"/>
      <c r="D31" s="15" t="s">
        <v>144</v>
      </c>
      <c r="E31" s="104">
        <f>المهني!DB39</f>
        <v>0</v>
      </c>
      <c r="F31" s="104">
        <f>المهني!DC39</f>
        <v>0</v>
      </c>
      <c r="G31" s="102">
        <f t="shared" si="15"/>
        <v>0</v>
      </c>
      <c r="H31" s="104">
        <f>المهني!DT39</f>
        <v>0</v>
      </c>
      <c r="I31" s="104">
        <f>المهني!DU39</f>
        <v>0</v>
      </c>
      <c r="J31" s="104">
        <f t="shared" si="16"/>
        <v>0</v>
      </c>
      <c r="K31" s="104">
        <f>المهني!EC39</f>
        <v>0</v>
      </c>
      <c r="L31" s="104">
        <f>المهني!ED39</f>
        <v>0</v>
      </c>
      <c r="M31" s="104">
        <f t="shared" ref="M31:M33" si="21">L31+K31</f>
        <v>0</v>
      </c>
      <c r="N31" s="104">
        <f>المهني!EL39</f>
        <v>0</v>
      </c>
      <c r="O31" s="104">
        <f>المهني!EM39</f>
        <v>0</v>
      </c>
      <c r="P31" s="104">
        <f t="shared" si="17"/>
        <v>0</v>
      </c>
      <c r="Q31" s="104">
        <f t="shared" si="18"/>
        <v>0</v>
      </c>
      <c r="R31" s="104">
        <f>P31+N31+L31</f>
        <v>0</v>
      </c>
      <c r="S31" s="104">
        <f t="shared" si="20"/>
        <v>0</v>
      </c>
    </row>
    <row r="32" spans="1:19" ht="27" customHeight="1" thickTop="1" thickBot="1">
      <c r="A32" s="184"/>
      <c r="B32" s="388"/>
      <c r="C32" s="389"/>
      <c r="D32" s="15" t="s">
        <v>145</v>
      </c>
      <c r="E32" s="104">
        <f>المهني!DD39</f>
        <v>0</v>
      </c>
      <c r="F32" s="104">
        <f>المهني!DE39</f>
        <v>0</v>
      </c>
      <c r="G32" s="102">
        <f t="shared" si="15"/>
        <v>0</v>
      </c>
      <c r="H32" s="104">
        <f>المهني!DV39</f>
        <v>0</v>
      </c>
      <c r="I32" s="104">
        <f>المهني!DW39</f>
        <v>0</v>
      </c>
      <c r="J32" s="104">
        <f t="shared" si="16"/>
        <v>0</v>
      </c>
      <c r="K32" s="104">
        <f>المهني!EE39</f>
        <v>0</v>
      </c>
      <c r="L32" s="104">
        <f>المهني!EF39</f>
        <v>0</v>
      </c>
      <c r="M32" s="104">
        <f t="shared" si="21"/>
        <v>0</v>
      </c>
      <c r="N32" s="104">
        <f>المهني!EN39</f>
        <v>0</v>
      </c>
      <c r="O32" s="104">
        <f>المهني!EO39</f>
        <v>0</v>
      </c>
      <c r="P32" s="104">
        <f t="shared" si="17"/>
        <v>0</v>
      </c>
      <c r="Q32" s="104">
        <f t="shared" si="18"/>
        <v>0</v>
      </c>
      <c r="R32" s="104">
        <f t="shared" si="19"/>
        <v>0</v>
      </c>
      <c r="S32" s="104">
        <f t="shared" si="20"/>
        <v>0</v>
      </c>
    </row>
    <row r="33" spans="1:19" ht="27" customHeight="1" thickTop="1" thickBot="1">
      <c r="A33" s="184"/>
      <c r="B33" s="390"/>
      <c r="C33" s="391"/>
      <c r="D33" s="15" t="s">
        <v>25</v>
      </c>
      <c r="E33" s="104">
        <f t="shared" ref="E33:F33" si="22">E32+E31+E30</f>
        <v>0</v>
      </c>
      <c r="F33" s="104">
        <f t="shared" si="22"/>
        <v>0</v>
      </c>
      <c r="G33" s="102">
        <f t="shared" si="15"/>
        <v>0</v>
      </c>
      <c r="H33" s="104">
        <f t="shared" ref="H33:I33" si="23">H32+H31+H30</f>
        <v>0</v>
      </c>
      <c r="I33" s="104">
        <f t="shared" si="23"/>
        <v>0</v>
      </c>
      <c r="J33" s="104">
        <f t="shared" si="16"/>
        <v>0</v>
      </c>
      <c r="K33" s="104">
        <f t="shared" ref="K33:L33" si="24">K32+K31+K30</f>
        <v>0</v>
      </c>
      <c r="L33" s="104">
        <f t="shared" si="24"/>
        <v>0</v>
      </c>
      <c r="M33" s="104">
        <f t="shared" si="21"/>
        <v>0</v>
      </c>
      <c r="N33" s="104">
        <f t="shared" ref="N33:O33" si="25">N32+N31+N30</f>
        <v>0</v>
      </c>
      <c r="O33" s="104">
        <f t="shared" si="25"/>
        <v>0</v>
      </c>
      <c r="P33" s="104">
        <f t="shared" si="17"/>
        <v>0</v>
      </c>
      <c r="Q33" s="104">
        <f t="shared" si="18"/>
        <v>0</v>
      </c>
      <c r="R33" s="104">
        <f t="shared" si="19"/>
        <v>0</v>
      </c>
      <c r="S33" s="104">
        <f t="shared" si="20"/>
        <v>0</v>
      </c>
    </row>
    <row r="34" spans="1:19" ht="27" customHeight="1" thickTop="1" thickBot="1">
      <c r="A34" s="87"/>
      <c r="B34" s="400" t="s">
        <v>476</v>
      </c>
      <c r="C34" s="401"/>
      <c r="D34" s="15" t="s">
        <v>143</v>
      </c>
      <c r="E34" s="104">
        <f>المهني!CZ35</f>
        <v>0</v>
      </c>
      <c r="F34" s="104">
        <f>المهني!DA35</f>
        <v>0</v>
      </c>
      <c r="G34" s="104">
        <f>F34+E34</f>
        <v>0</v>
      </c>
      <c r="H34" s="14">
        <f>المهني!DR35</f>
        <v>0</v>
      </c>
      <c r="I34" s="14">
        <f>المهني!DS35</f>
        <v>0</v>
      </c>
      <c r="J34" s="14">
        <f>I34+H34</f>
        <v>0</v>
      </c>
      <c r="K34" s="14">
        <f>المهني!EA35</f>
        <v>0</v>
      </c>
      <c r="L34" s="14">
        <f>المهني!EB35</f>
        <v>0</v>
      </c>
      <c r="M34" s="14">
        <f>المهني!EJ35</f>
        <v>0</v>
      </c>
      <c r="N34" s="14">
        <f>المهني!EK35</f>
        <v>0</v>
      </c>
      <c r="O34" s="14">
        <f>المهني!ES35</f>
        <v>0</v>
      </c>
      <c r="P34" s="14">
        <f>المهني!ET35</f>
        <v>0</v>
      </c>
      <c r="Q34" s="14">
        <f t="shared" ref="Q34:R36" si="26">O34+M34+K34</f>
        <v>0</v>
      </c>
      <c r="R34" s="104">
        <f t="shared" si="26"/>
        <v>0</v>
      </c>
      <c r="S34" s="102">
        <f t="shared" si="1"/>
        <v>0</v>
      </c>
    </row>
    <row r="35" spans="1:19" ht="27" customHeight="1" thickTop="1" thickBot="1">
      <c r="A35" s="87"/>
      <c r="B35" s="402"/>
      <c r="C35" s="403"/>
      <c r="D35" s="15" t="s">
        <v>144</v>
      </c>
      <c r="E35" s="104">
        <f>المهني!DB35</f>
        <v>0</v>
      </c>
      <c r="F35" s="104">
        <f>المهني!DC35</f>
        <v>0</v>
      </c>
      <c r="G35" s="104">
        <f>F35+E35</f>
        <v>0</v>
      </c>
      <c r="H35" s="14">
        <f>المهني!DT35</f>
        <v>0</v>
      </c>
      <c r="I35" s="14">
        <f>المهني!DU35</f>
        <v>0</v>
      </c>
      <c r="J35" s="14">
        <f>I35+H35</f>
        <v>0</v>
      </c>
      <c r="K35" s="14">
        <f>المهني!EC35</f>
        <v>0</v>
      </c>
      <c r="L35" s="14">
        <f>المهني!ED35</f>
        <v>0</v>
      </c>
      <c r="M35" s="14">
        <f>المهني!EL35</f>
        <v>0</v>
      </c>
      <c r="N35" s="14">
        <f>المهني!EM35</f>
        <v>0</v>
      </c>
      <c r="O35" s="14">
        <f>المهني!EU35</f>
        <v>0</v>
      </c>
      <c r="P35" s="14">
        <f>المهني!EV35</f>
        <v>0</v>
      </c>
      <c r="Q35" s="14">
        <f t="shared" si="26"/>
        <v>0</v>
      </c>
      <c r="R35" s="104">
        <f t="shared" si="26"/>
        <v>0</v>
      </c>
      <c r="S35" s="102">
        <f t="shared" si="1"/>
        <v>0</v>
      </c>
    </row>
    <row r="36" spans="1:19" ht="27" customHeight="1" thickTop="1" thickBot="1">
      <c r="A36" s="87"/>
      <c r="B36" s="402"/>
      <c r="C36" s="403"/>
      <c r="D36" s="15" t="s">
        <v>145</v>
      </c>
      <c r="E36" s="104">
        <f>المهني!DD35</f>
        <v>0</v>
      </c>
      <c r="F36" s="104">
        <f>المهني!DE35</f>
        <v>0</v>
      </c>
      <c r="G36" s="104">
        <f>F36+E36</f>
        <v>0</v>
      </c>
      <c r="H36" s="14">
        <f>المهني!DV35</f>
        <v>0</v>
      </c>
      <c r="I36" s="14">
        <f>المهني!DW35</f>
        <v>0</v>
      </c>
      <c r="J36" s="14">
        <f>I36+H36</f>
        <v>0</v>
      </c>
      <c r="K36" s="14">
        <f>المهني!EE35</f>
        <v>0</v>
      </c>
      <c r="L36" s="14">
        <f>المهني!EF35</f>
        <v>0</v>
      </c>
      <c r="M36" s="14">
        <f>المهني!EN35</f>
        <v>0</v>
      </c>
      <c r="N36" s="14">
        <f>المهني!EO35</f>
        <v>0</v>
      </c>
      <c r="O36" s="14">
        <f>المهني!EW35</f>
        <v>0</v>
      </c>
      <c r="P36" s="14">
        <f>المهني!EX35</f>
        <v>0</v>
      </c>
      <c r="Q36" s="14">
        <f t="shared" si="26"/>
        <v>0</v>
      </c>
      <c r="R36" s="104">
        <f t="shared" si="26"/>
        <v>0</v>
      </c>
      <c r="S36" s="102">
        <f t="shared" si="1"/>
        <v>0</v>
      </c>
    </row>
    <row r="37" spans="1:19" ht="27" customHeight="1" thickTop="1" thickBot="1">
      <c r="A37" s="87"/>
      <c r="B37" s="404"/>
      <c r="C37" s="405"/>
      <c r="D37" s="15" t="s">
        <v>25</v>
      </c>
      <c r="E37" s="102">
        <f>E36+E35+E34</f>
        <v>0</v>
      </c>
      <c r="F37" s="102">
        <f>F36+F35+F34</f>
        <v>0</v>
      </c>
      <c r="G37" s="102">
        <f>G36+G35+G34</f>
        <v>0</v>
      </c>
      <c r="H37" s="14">
        <f t="shared" ref="H37:R37" si="27">SUM(H34:H36)</f>
        <v>0</v>
      </c>
      <c r="I37" s="14">
        <f t="shared" si="27"/>
        <v>0</v>
      </c>
      <c r="J37" s="14">
        <f t="shared" si="27"/>
        <v>0</v>
      </c>
      <c r="K37" s="14">
        <f t="shared" si="27"/>
        <v>0</v>
      </c>
      <c r="L37" s="14">
        <f t="shared" si="27"/>
        <v>0</v>
      </c>
      <c r="M37" s="14">
        <f t="shared" si="27"/>
        <v>0</v>
      </c>
      <c r="N37" s="14">
        <f t="shared" si="27"/>
        <v>0</v>
      </c>
      <c r="O37" s="14">
        <f t="shared" si="27"/>
        <v>0</v>
      </c>
      <c r="P37" s="14">
        <f t="shared" si="27"/>
        <v>0</v>
      </c>
      <c r="Q37" s="14">
        <f t="shared" si="27"/>
        <v>0</v>
      </c>
      <c r="R37" s="14">
        <f t="shared" si="27"/>
        <v>0</v>
      </c>
      <c r="S37" s="102">
        <f t="shared" si="1"/>
        <v>0</v>
      </c>
    </row>
    <row r="38" spans="1:19" ht="27" customHeight="1" thickTop="1" thickBot="1">
      <c r="A38" s="87"/>
      <c r="B38" s="392" t="s">
        <v>137</v>
      </c>
      <c r="C38" s="393"/>
      <c r="D38" s="15" t="s">
        <v>143</v>
      </c>
      <c r="E38" s="102">
        <f>E22+E18+E14+E10+E34+E26+E30</f>
        <v>0</v>
      </c>
      <c r="F38" s="102">
        <f t="shared" ref="F38:S38" si="28">F22+F18+F14+F10+F34+F26+F30</f>
        <v>0</v>
      </c>
      <c r="G38" s="102">
        <f t="shared" si="28"/>
        <v>0</v>
      </c>
      <c r="H38" s="102">
        <f t="shared" si="28"/>
        <v>0</v>
      </c>
      <c r="I38" s="102">
        <f t="shared" si="28"/>
        <v>0</v>
      </c>
      <c r="J38" s="102">
        <f t="shared" si="28"/>
        <v>0</v>
      </c>
      <c r="K38" s="102">
        <f t="shared" si="28"/>
        <v>0</v>
      </c>
      <c r="L38" s="102">
        <f t="shared" si="28"/>
        <v>0</v>
      </c>
      <c r="M38" s="102">
        <f t="shared" si="28"/>
        <v>0</v>
      </c>
      <c r="N38" s="102">
        <f t="shared" si="28"/>
        <v>0</v>
      </c>
      <c r="O38" s="102">
        <f t="shared" si="28"/>
        <v>0</v>
      </c>
      <c r="P38" s="102">
        <f t="shared" si="28"/>
        <v>0</v>
      </c>
      <c r="Q38" s="102">
        <f t="shared" si="28"/>
        <v>0</v>
      </c>
      <c r="R38" s="102">
        <f t="shared" si="28"/>
        <v>0</v>
      </c>
      <c r="S38" s="102">
        <f t="shared" si="28"/>
        <v>0</v>
      </c>
    </row>
    <row r="39" spans="1:19" ht="27" customHeight="1" thickTop="1" thickBot="1">
      <c r="A39" s="87"/>
      <c r="B39" s="394"/>
      <c r="C39" s="395"/>
      <c r="D39" s="15" t="s">
        <v>144</v>
      </c>
      <c r="E39" s="102">
        <f t="shared" ref="E39:S39" si="29">E23+E19+E15+E11+E35+E27+E31</f>
        <v>0</v>
      </c>
      <c r="F39" s="102">
        <f t="shared" si="29"/>
        <v>0</v>
      </c>
      <c r="G39" s="102">
        <f t="shared" si="29"/>
        <v>0</v>
      </c>
      <c r="H39" s="102">
        <f t="shared" si="29"/>
        <v>0</v>
      </c>
      <c r="I39" s="102">
        <f t="shared" si="29"/>
        <v>0</v>
      </c>
      <c r="J39" s="102">
        <f t="shared" si="29"/>
        <v>0</v>
      </c>
      <c r="K39" s="102">
        <f t="shared" si="29"/>
        <v>0</v>
      </c>
      <c r="L39" s="102">
        <f t="shared" si="29"/>
        <v>0</v>
      </c>
      <c r="M39" s="102">
        <f t="shared" si="29"/>
        <v>0</v>
      </c>
      <c r="N39" s="102">
        <f t="shared" si="29"/>
        <v>0</v>
      </c>
      <c r="O39" s="102">
        <f t="shared" si="29"/>
        <v>0</v>
      </c>
      <c r="P39" s="102">
        <f t="shared" si="29"/>
        <v>0</v>
      </c>
      <c r="Q39" s="102">
        <f t="shared" si="29"/>
        <v>0</v>
      </c>
      <c r="R39" s="102">
        <f t="shared" si="29"/>
        <v>0</v>
      </c>
      <c r="S39" s="102">
        <f t="shared" si="29"/>
        <v>0</v>
      </c>
    </row>
    <row r="40" spans="1:19" ht="27" customHeight="1" thickTop="1" thickBot="1">
      <c r="A40" s="87"/>
      <c r="B40" s="394"/>
      <c r="C40" s="395"/>
      <c r="D40" s="15" t="s">
        <v>145</v>
      </c>
      <c r="E40" s="102">
        <f t="shared" ref="E40:S40" si="30">E24+E20+E16+E12+E36+E28+E32</f>
        <v>0</v>
      </c>
      <c r="F40" s="102">
        <f t="shared" si="30"/>
        <v>0</v>
      </c>
      <c r="G40" s="102">
        <f t="shared" si="30"/>
        <v>0</v>
      </c>
      <c r="H40" s="102">
        <f t="shared" si="30"/>
        <v>0</v>
      </c>
      <c r="I40" s="102">
        <f t="shared" si="30"/>
        <v>0</v>
      </c>
      <c r="J40" s="102">
        <f t="shared" si="30"/>
        <v>0</v>
      </c>
      <c r="K40" s="102">
        <f t="shared" si="30"/>
        <v>0</v>
      </c>
      <c r="L40" s="102">
        <f t="shared" si="30"/>
        <v>0</v>
      </c>
      <c r="M40" s="102">
        <f t="shared" si="30"/>
        <v>0</v>
      </c>
      <c r="N40" s="102">
        <f t="shared" si="30"/>
        <v>0</v>
      </c>
      <c r="O40" s="102">
        <f t="shared" si="30"/>
        <v>0</v>
      </c>
      <c r="P40" s="102">
        <f t="shared" si="30"/>
        <v>0</v>
      </c>
      <c r="Q40" s="102">
        <f t="shared" si="30"/>
        <v>0</v>
      </c>
      <c r="R40" s="102">
        <f t="shared" si="30"/>
        <v>0</v>
      </c>
      <c r="S40" s="102">
        <f t="shared" si="30"/>
        <v>0</v>
      </c>
    </row>
    <row r="41" spans="1:19" ht="27" customHeight="1" thickTop="1" thickBot="1">
      <c r="A41" s="87"/>
      <c r="B41" s="396"/>
      <c r="C41" s="397"/>
      <c r="D41" s="15" t="s">
        <v>25</v>
      </c>
      <c r="E41" s="102">
        <f t="shared" ref="E41:S41" si="31">E25+E21+E17+E13+E37+E29+E33</f>
        <v>0</v>
      </c>
      <c r="F41" s="102">
        <f t="shared" si="31"/>
        <v>0</v>
      </c>
      <c r="G41" s="102">
        <f t="shared" si="31"/>
        <v>0</v>
      </c>
      <c r="H41" s="102">
        <f t="shared" si="31"/>
        <v>0</v>
      </c>
      <c r="I41" s="102">
        <f t="shared" si="31"/>
        <v>0</v>
      </c>
      <c r="J41" s="102">
        <f t="shared" si="31"/>
        <v>0</v>
      </c>
      <c r="K41" s="102">
        <f t="shared" si="31"/>
        <v>0</v>
      </c>
      <c r="L41" s="102">
        <f t="shared" si="31"/>
        <v>0</v>
      </c>
      <c r="M41" s="102">
        <f t="shared" si="31"/>
        <v>0</v>
      </c>
      <c r="N41" s="102">
        <f t="shared" si="31"/>
        <v>0</v>
      </c>
      <c r="O41" s="102">
        <f t="shared" si="31"/>
        <v>0</v>
      </c>
      <c r="P41" s="102">
        <f t="shared" si="31"/>
        <v>0</v>
      </c>
      <c r="Q41" s="102">
        <f t="shared" si="31"/>
        <v>0</v>
      </c>
      <c r="R41" s="102">
        <f t="shared" si="31"/>
        <v>0</v>
      </c>
      <c r="S41" s="102">
        <f t="shared" si="31"/>
        <v>0</v>
      </c>
    </row>
    <row r="42" spans="1:19" ht="27" customHeight="1" thickTop="1"/>
    <row r="44" spans="1:19" ht="27" customHeight="1">
      <c r="A44" s="328" t="s">
        <v>146</v>
      </c>
      <c r="B44" s="328"/>
      <c r="C44" s="328"/>
      <c r="D44" s="328"/>
      <c r="E44" s="328"/>
      <c r="F44" s="86"/>
      <c r="G44" s="86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328" t="s">
        <v>110</v>
      </c>
      <c r="S44" s="328"/>
    </row>
    <row r="45" spans="1:19" ht="27" customHeight="1">
      <c r="A45" s="340" t="s">
        <v>185</v>
      </c>
      <c r="B45" s="340"/>
      <c r="C45" s="340"/>
      <c r="D45" s="340"/>
      <c r="E45" s="340"/>
      <c r="F45" s="87"/>
      <c r="G45" s="87"/>
      <c r="H45" s="87"/>
      <c r="I45" s="340" t="s">
        <v>189</v>
      </c>
      <c r="J45" s="340"/>
      <c r="K45" s="340"/>
      <c r="L45" s="340"/>
      <c r="M45" s="87"/>
      <c r="N45" s="87"/>
      <c r="O45" s="87"/>
      <c r="P45" s="87"/>
      <c r="Q45" s="87"/>
      <c r="R45" s="87"/>
      <c r="S45" s="87"/>
    </row>
    <row r="46" spans="1:19" ht="27" customHeight="1">
      <c r="A46" s="87"/>
      <c r="B46" s="328" t="s">
        <v>147</v>
      </c>
      <c r="C46" s="328"/>
      <c r="D46" s="328"/>
      <c r="E46" s="328"/>
      <c r="F46" s="328"/>
      <c r="G46" s="328"/>
      <c r="H46" s="328"/>
      <c r="I46" s="328"/>
      <c r="J46" s="328"/>
      <c r="K46" s="328"/>
      <c r="L46" s="328"/>
      <c r="M46" s="328"/>
      <c r="N46" s="328"/>
      <c r="O46" s="328"/>
      <c r="P46" s="328"/>
      <c r="Q46" s="328"/>
      <c r="R46" s="328"/>
      <c r="S46" s="328"/>
    </row>
    <row r="47" spans="1:19" ht="27" customHeight="1">
      <c r="A47" s="87"/>
      <c r="B47" s="328" t="s">
        <v>497</v>
      </c>
      <c r="C47" s="328"/>
      <c r="D47" s="328"/>
      <c r="E47" s="328"/>
      <c r="F47" s="328"/>
      <c r="G47" s="328"/>
      <c r="H47" s="328"/>
      <c r="I47" s="328"/>
      <c r="J47" s="328"/>
      <c r="K47" s="328"/>
      <c r="L47" s="328"/>
      <c r="M47" s="328"/>
      <c r="N47" s="328"/>
      <c r="O47" s="328"/>
      <c r="P47" s="328"/>
      <c r="Q47" s="328"/>
      <c r="R47" s="328"/>
      <c r="S47" s="328"/>
    </row>
    <row r="48" spans="1:19" ht="27" customHeight="1">
      <c r="A48" s="87"/>
      <c r="B48" s="343" t="s">
        <v>468</v>
      </c>
      <c r="C48" s="343"/>
      <c r="D48" s="343"/>
      <c r="E48" s="343"/>
      <c r="F48" s="343"/>
      <c r="G48" s="343"/>
      <c r="H48" s="343"/>
      <c r="I48" s="343"/>
      <c r="J48" s="343"/>
      <c r="K48" s="343"/>
      <c r="L48" s="343"/>
      <c r="M48" s="343"/>
      <c r="N48" s="343"/>
      <c r="O48" s="343"/>
      <c r="P48" s="343"/>
      <c r="Q48" s="343"/>
      <c r="R48" s="343"/>
      <c r="S48" s="343"/>
    </row>
    <row r="49" spans="1:19" ht="27" customHeight="1" thickBot="1">
      <c r="A49" s="87"/>
      <c r="B49" s="90"/>
      <c r="C49" s="90"/>
      <c r="D49" s="90"/>
      <c r="E49" s="90"/>
      <c r="F49" s="90"/>
      <c r="G49" s="90"/>
      <c r="H49" s="90"/>
      <c r="I49" s="90"/>
      <c r="J49" s="90"/>
      <c r="K49" s="99"/>
      <c r="L49" s="99"/>
      <c r="M49" s="99"/>
      <c r="N49" s="99"/>
      <c r="O49" s="86"/>
      <c r="P49" s="87"/>
      <c r="Q49" s="87"/>
      <c r="R49" s="87"/>
      <c r="S49" s="87"/>
    </row>
    <row r="50" spans="1:19" ht="27" customHeight="1" thickTop="1" thickBot="1">
      <c r="A50" s="87"/>
      <c r="B50" s="349" t="s">
        <v>113</v>
      </c>
      <c r="C50" s="351"/>
      <c r="D50" s="329" t="s">
        <v>140</v>
      </c>
      <c r="E50" s="330" t="s">
        <v>481</v>
      </c>
      <c r="F50" s="406"/>
      <c r="G50" s="331"/>
      <c r="H50" s="330" t="s">
        <v>469</v>
      </c>
      <c r="I50" s="406"/>
      <c r="J50" s="331"/>
      <c r="K50" s="324" t="s">
        <v>470</v>
      </c>
      <c r="L50" s="325"/>
      <c r="M50" s="325"/>
      <c r="N50" s="325"/>
      <c r="O50" s="325"/>
      <c r="P50" s="325"/>
      <c r="Q50" s="325"/>
      <c r="R50" s="325"/>
      <c r="S50" s="326"/>
    </row>
    <row r="51" spans="1:19" ht="27" customHeight="1" thickTop="1" thickBot="1">
      <c r="A51" s="87"/>
      <c r="B51" s="398"/>
      <c r="C51" s="399"/>
      <c r="D51" s="329"/>
      <c r="E51" s="332"/>
      <c r="F51" s="407"/>
      <c r="G51" s="333"/>
      <c r="H51" s="332"/>
      <c r="I51" s="407"/>
      <c r="J51" s="333"/>
      <c r="K51" s="324" t="s">
        <v>148</v>
      </c>
      <c r="L51" s="326"/>
      <c r="M51" s="324" t="s">
        <v>149</v>
      </c>
      <c r="N51" s="326"/>
      <c r="O51" s="324" t="s">
        <v>150</v>
      </c>
      <c r="P51" s="326"/>
      <c r="Q51" s="324" t="s">
        <v>151</v>
      </c>
      <c r="R51" s="325"/>
      <c r="S51" s="326"/>
    </row>
    <row r="52" spans="1:19" ht="27" customHeight="1" thickTop="1" thickBot="1">
      <c r="A52" s="87"/>
      <c r="B52" s="352"/>
      <c r="C52" s="354"/>
      <c r="D52" s="329"/>
      <c r="E52" s="14" t="s">
        <v>5</v>
      </c>
      <c r="F52" s="14" t="s">
        <v>6</v>
      </c>
      <c r="G52" s="14" t="s">
        <v>25</v>
      </c>
      <c r="H52" s="14" t="s">
        <v>5</v>
      </c>
      <c r="I52" s="14" t="s">
        <v>6</v>
      </c>
      <c r="J52" s="14" t="s">
        <v>25</v>
      </c>
      <c r="K52" s="96" t="s">
        <v>5</v>
      </c>
      <c r="L52" s="96" t="s">
        <v>6</v>
      </c>
      <c r="M52" s="96" t="s">
        <v>5</v>
      </c>
      <c r="N52" s="96" t="s">
        <v>6</v>
      </c>
      <c r="O52" s="96" t="s">
        <v>5</v>
      </c>
      <c r="P52" s="96" t="s">
        <v>6</v>
      </c>
      <c r="Q52" s="96" t="s">
        <v>5</v>
      </c>
      <c r="R52" s="96" t="s">
        <v>6</v>
      </c>
      <c r="S52" s="14" t="s">
        <v>25</v>
      </c>
    </row>
    <row r="53" spans="1:19" ht="27" customHeight="1" thickTop="1" thickBot="1">
      <c r="A53" s="87"/>
      <c r="B53" s="386" t="s">
        <v>121</v>
      </c>
      <c r="C53" s="387"/>
      <c r="D53" s="15" t="s">
        <v>143</v>
      </c>
      <c r="E53" s="102">
        <f>المهني!CZ9</f>
        <v>0</v>
      </c>
      <c r="F53" s="102">
        <f>المهني!DA9</f>
        <v>0</v>
      </c>
      <c r="G53" s="102">
        <f>F53+E53</f>
        <v>0</v>
      </c>
      <c r="H53" s="102">
        <f>المهني!DR9</f>
        <v>0</v>
      </c>
      <c r="I53" s="102">
        <f>المهني!DS9</f>
        <v>0</v>
      </c>
      <c r="J53" s="102">
        <f t="shared" ref="J53:J67" si="32">I53+H53</f>
        <v>0</v>
      </c>
      <c r="K53" s="102">
        <f>المهني!EA9</f>
        <v>0</v>
      </c>
      <c r="L53" s="102">
        <f>المهني!EB9</f>
        <v>0</v>
      </c>
      <c r="M53" s="102">
        <f>المهني!EJ9</f>
        <v>0</v>
      </c>
      <c r="N53" s="102">
        <f>المهني!EK9</f>
        <v>0</v>
      </c>
      <c r="O53" s="102">
        <f>المهني!ES9</f>
        <v>0</v>
      </c>
      <c r="P53" s="102">
        <f>المهني!ET9</f>
        <v>0</v>
      </c>
      <c r="Q53" s="102">
        <f t="shared" ref="Q53:R55" si="33">O53+M53+K53</f>
        <v>0</v>
      </c>
      <c r="R53" s="102">
        <f t="shared" si="33"/>
        <v>0</v>
      </c>
      <c r="S53" s="102">
        <f>R53+Q53</f>
        <v>0</v>
      </c>
    </row>
    <row r="54" spans="1:19" ht="27" customHeight="1" thickTop="1" thickBot="1">
      <c r="A54" s="87"/>
      <c r="B54" s="388"/>
      <c r="C54" s="389"/>
      <c r="D54" s="15" t="s">
        <v>144</v>
      </c>
      <c r="E54" s="102">
        <f>المهني!DB9</f>
        <v>0</v>
      </c>
      <c r="F54" s="102">
        <f>المهني!DC9</f>
        <v>0</v>
      </c>
      <c r="G54" s="102">
        <f>F54+E54</f>
        <v>0</v>
      </c>
      <c r="H54" s="102">
        <f>المهني!DT9</f>
        <v>0</v>
      </c>
      <c r="I54" s="102">
        <f>المهني!DU9</f>
        <v>0</v>
      </c>
      <c r="J54" s="102">
        <f t="shared" si="32"/>
        <v>0</v>
      </c>
      <c r="K54" s="102">
        <f>المهني!EC9</f>
        <v>0</v>
      </c>
      <c r="L54" s="102">
        <f>المهني!ED9</f>
        <v>0</v>
      </c>
      <c r="M54" s="102">
        <f>المهني!EL9</f>
        <v>0</v>
      </c>
      <c r="N54" s="102">
        <f>المهني!EM9</f>
        <v>0</v>
      </c>
      <c r="O54" s="105">
        <f>المهني!EU9</f>
        <v>0</v>
      </c>
      <c r="P54" s="105">
        <f>المهني!EV9</f>
        <v>0</v>
      </c>
      <c r="Q54" s="102">
        <f t="shared" si="33"/>
        <v>0</v>
      </c>
      <c r="R54" s="102">
        <f t="shared" si="33"/>
        <v>0</v>
      </c>
      <c r="S54" s="102">
        <f>R54+Q54</f>
        <v>0</v>
      </c>
    </row>
    <row r="55" spans="1:19" ht="27" customHeight="1" thickTop="1" thickBot="1">
      <c r="A55" s="87"/>
      <c r="B55" s="388"/>
      <c r="C55" s="389"/>
      <c r="D55" s="15" t="s">
        <v>145</v>
      </c>
      <c r="E55" s="102">
        <f>المهني!DD9</f>
        <v>0</v>
      </c>
      <c r="F55" s="102">
        <f>المهني!DE9</f>
        <v>0</v>
      </c>
      <c r="G55" s="102">
        <f>F55+E55</f>
        <v>0</v>
      </c>
      <c r="H55" s="102">
        <f>المهني!DV9</f>
        <v>0</v>
      </c>
      <c r="I55" s="102">
        <f>المهني!DW9</f>
        <v>0</v>
      </c>
      <c r="J55" s="102">
        <f t="shared" si="32"/>
        <v>0</v>
      </c>
      <c r="K55" s="102">
        <f>المهني!EE9</f>
        <v>0</v>
      </c>
      <c r="L55" s="102">
        <f>المهني!EF9</f>
        <v>0</v>
      </c>
      <c r="M55" s="102">
        <f>المهني!EN9</f>
        <v>0</v>
      </c>
      <c r="N55" s="102">
        <f>المهني!EO9</f>
        <v>0</v>
      </c>
      <c r="O55" s="102">
        <f>المهني!EW9</f>
        <v>0</v>
      </c>
      <c r="P55" s="105">
        <f>المهني!EX9</f>
        <v>0</v>
      </c>
      <c r="Q55" s="102">
        <f t="shared" si="33"/>
        <v>0</v>
      </c>
      <c r="R55" s="102">
        <f t="shared" si="33"/>
        <v>0</v>
      </c>
      <c r="S55" s="102">
        <f>R55+Q55</f>
        <v>0</v>
      </c>
    </row>
    <row r="56" spans="1:19" ht="27" customHeight="1" thickTop="1" thickBot="1">
      <c r="A56" s="87"/>
      <c r="B56" s="390"/>
      <c r="C56" s="391"/>
      <c r="D56" s="15" t="s">
        <v>25</v>
      </c>
      <c r="E56" s="102">
        <f>E55+E54+E53</f>
        <v>0</v>
      </c>
      <c r="F56" s="102">
        <f>F55+F54+F53</f>
        <v>0</v>
      </c>
      <c r="G56" s="102">
        <f>G55+G54+G53</f>
        <v>0</v>
      </c>
      <c r="H56" s="102">
        <f>H55+H54+H53</f>
        <v>0</v>
      </c>
      <c r="I56" s="102">
        <f>I55+I54+I53</f>
        <v>0</v>
      </c>
      <c r="J56" s="102">
        <f t="shared" si="32"/>
        <v>0</v>
      </c>
      <c r="K56" s="102">
        <f t="shared" ref="K56:S56" si="34">K55+K54+K53</f>
        <v>0</v>
      </c>
      <c r="L56" s="102">
        <f t="shared" si="34"/>
        <v>0</v>
      </c>
      <c r="M56" s="102">
        <f t="shared" si="34"/>
        <v>0</v>
      </c>
      <c r="N56" s="102">
        <f t="shared" si="34"/>
        <v>0</v>
      </c>
      <c r="O56" s="102">
        <f t="shared" si="34"/>
        <v>0</v>
      </c>
      <c r="P56" s="102">
        <f t="shared" si="34"/>
        <v>0</v>
      </c>
      <c r="Q56" s="102">
        <f t="shared" si="34"/>
        <v>0</v>
      </c>
      <c r="R56" s="102">
        <f t="shared" si="34"/>
        <v>0</v>
      </c>
      <c r="S56" s="102">
        <f t="shared" si="34"/>
        <v>0</v>
      </c>
    </row>
    <row r="57" spans="1:19" ht="27" customHeight="1" thickTop="1" thickBot="1">
      <c r="A57" s="87"/>
      <c r="B57" s="386" t="s">
        <v>122</v>
      </c>
      <c r="C57" s="387"/>
      <c r="D57" s="15" t="s">
        <v>143</v>
      </c>
      <c r="E57" s="105">
        <v>0</v>
      </c>
      <c r="F57" s="105">
        <v>0</v>
      </c>
      <c r="G57" s="102">
        <f>F57+E57</f>
        <v>0</v>
      </c>
      <c r="H57" s="105">
        <v>0</v>
      </c>
      <c r="I57" s="105">
        <v>0</v>
      </c>
      <c r="J57" s="102">
        <f t="shared" si="32"/>
        <v>0</v>
      </c>
      <c r="K57" s="105">
        <v>0</v>
      </c>
      <c r="L57" s="105">
        <v>0</v>
      </c>
      <c r="M57" s="105">
        <v>0</v>
      </c>
      <c r="N57" s="105">
        <v>0</v>
      </c>
      <c r="O57" s="105">
        <v>0</v>
      </c>
      <c r="P57" s="105">
        <v>0</v>
      </c>
      <c r="Q57" s="102">
        <f t="shared" ref="Q57:R59" si="35">O57+M57+K57</f>
        <v>0</v>
      </c>
      <c r="R57" s="102">
        <f t="shared" si="35"/>
        <v>0</v>
      </c>
      <c r="S57" s="102">
        <f>R57+Q57</f>
        <v>0</v>
      </c>
    </row>
    <row r="58" spans="1:19" ht="27" customHeight="1" thickTop="1" thickBot="1">
      <c r="A58" s="87"/>
      <c r="B58" s="388"/>
      <c r="C58" s="389"/>
      <c r="D58" s="15" t="s">
        <v>144</v>
      </c>
      <c r="E58" s="105">
        <v>0</v>
      </c>
      <c r="F58" s="105">
        <v>0</v>
      </c>
      <c r="G58" s="102">
        <f>F58+E58</f>
        <v>0</v>
      </c>
      <c r="H58" s="105">
        <v>0</v>
      </c>
      <c r="I58" s="105">
        <v>0</v>
      </c>
      <c r="J58" s="102">
        <f t="shared" si="32"/>
        <v>0</v>
      </c>
      <c r="K58" s="105">
        <v>0</v>
      </c>
      <c r="L58" s="105">
        <v>0</v>
      </c>
      <c r="M58" s="105">
        <v>0</v>
      </c>
      <c r="N58" s="105">
        <v>0</v>
      </c>
      <c r="O58" s="105">
        <v>0</v>
      </c>
      <c r="P58" s="105">
        <v>0</v>
      </c>
      <c r="Q58" s="102">
        <f t="shared" si="35"/>
        <v>0</v>
      </c>
      <c r="R58" s="102">
        <f t="shared" si="35"/>
        <v>0</v>
      </c>
      <c r="S58" s="102">
        <f>R58+Q58</f>
        <v>0</v>
      </c>
    </row>
    <row r="59" spans="1:19" ht="27" customHeight="1" thickTop="1" thickBot="1">
      <c r="A59" s="87"/>
      <c r="B59" s="388"/>
      <c r="C59" s="389"/>
      <c r="D59" s="15" t="s">
        <v>145</v>
      </c>
      <c r="E59" s="105">
        <v>0</v>
      </c>
      <c r="F59" s="105">
        <v>0</v>
      </c>
      <c r="G59" s="102">
        <f>F59+E59</f>
        <v>0</v>
      </c>
      <c r="H59" s="105">
        <v>0</v>
      </c>
      <c r="I59" s="105">
        <v>0</v>
      </c>
      <c r="J59" s="102">
        <f t="shared" si="32"/>
        <v>0</v>
      </c>
      <c r="K59" s="105">
        <v>0</v>
      </c>
      <c r="L59" s="105">
        <v>0</v>
      </c>
      <c r="M59" s="105">
        <v>0</v>
      </c>
      <c r="N59" s="105">
        <v>0</v>
      </c>
      <c r="O59" s="105">
        <v>0</v>
      </c>
      <c r="P59" s="105">
        <v>0</v>
      </c>
      <c r="Q59" s="102">
        <f t="shared" si="35"/>
        <v>0</v>
      </c>
      <c r="R59" s="102">
        <f t="shared" si="35"/>
        <v>0</v>
      </c>
      <c r="S59" s="102">
        <f>R59+Q59</f>
        <v>0</v>
      </c>
    </row>
    <row r="60" spans="1:19" ht="27" customHeight="1" thickTop="1" thickBot="1">
      <c r="A60" s="87"/>
      <c r="B60" s="390"/>
      <c r="C60" s="391"/>
      <c r="D60" s="15" t="s">
        <v>25</v>
      </c>
      <c r="E60" s="102">
        <f>E59+E58+E57</f>
        <v>0</v>
      </c>
      <c r="F60" s="102">
        <f>F59+F58+F57</f>
        <v>0</v>
      </c>
      <c r="G60" s="102">
        <f>G59+G58+G57</f>
        <v>0</v>
      </c>
      <c r="H60" s="102">
        <f>H59+H58+H57</f>
        <v>0</v>
      </c>
      <c r="I60" s="102">
        <f>I59+I58+I57</f>
        <v>0</v>
      </c>
      <c r="J60" s="102">
        <f t="shared" si="32"/>
        <v>0</v>
      </c>
      <c r="K60" s="102">
        <f t="shared" ref="K60:S60" si="36">K59+K58+K57</f>
        <v>0</v>
      </c>
      <c r="L60" s="102">
        <f t="shared" si="36"/>
        <v>0</v>
      </c>
      <c r="M60" s="102">
        <f t="shared" si="36"/>
        <v>0</v>
      </c>
      <c r="N60" s="102">
        <f t="shared" si="36"/>
        <v>0</v>
      </c>
      <c r="O60" s="102">
        <f t="shared" si="36"/>
        <v>0</v>
      </c>
      <c r="P60" s="102">
        <f t="shared" si="36"/>
        <v>0</v>
      </c>
      <c r="Q60" s="102">
        <f t="shared" si="36"/>
        <v>0</v>
      </c>
      <c r="R60" s="102">
        <f t="shared" si="36"/>
        <v>0</v>
      </c>
      <c r="S60" s="102">
        <f t="shared" si="36"/>
        <v>0</v>
      </c>
    </row>
    <row r="61" spans="1:19" ht="27" customHeight="1" thickTop="1" thickBot="1">
      <c r="A61" s="87"/>
      <c r="B61" s="386" t="s">
        <v>123</v>
      </c>
      <c r="C61" s="387"/>
      <c r="D61" s="15" t="s">
        <v>143</v>
      </c>
      <c r="E61" s="102">
        <f>المهني!CZ23</f>
        <v>0</v>
      </c>
      <c r="F61" s="102">
        <f>المهني!DA23</f>
        <v>0</v>
      </c>
      <c r="G61" s="102">
        <f>F61+E61</f>
        <v>0</v>
      </c>
      <c r="H61" s="102">
        <f>المهني!DR23</f>
        <v>0</v>
      </c>
      <c r="I61" s="102">
        <f>المهني!DS23</f>
        <v>0</v>
      </c>
      <c r="J61" s="102">
        <f t="shared" si="32"/>
        <v>0</v>
      </c>
      <c r="K61" s="102">
        <f>المهني!EA23</f>
        <v>0</v>
      </c>
      <c r="L61" s="102">
        <f>المهني!EB23</f>
        <v>0</v>
      </c>
      <c r="M61" s="102">
        <f>المهني!EJ23</f>
        <v>0</v>
      </c>
      <c r="N61" s="102">
        <f>المهني!EK23</f>
        <v>0</v>
      </c>
      <c r="O61" s="105">
        <f>المهني!ES23</f>
        <v>0</v>
      </c>
      <c r="P61" s="105">
        <f>المهني!ET23</f>
        <v>0</v>
      </c>
      <c r="Q61" s="102">
        <f t="shared" ref="Q61:R63" si="37">O61+M61+K61</f>
        <v>0</v>
      </c>
      <c r="R61" s="102">
        <f t="shared" si="37"/>
        <v>0</v>
      </c>
      <c r="S61" s="102">
        <f>R61+Q61</f>
        <v>0</v>
      </c>
    </row>
    <row r="62" spans="1:19" ht="27" customHeight="1" thickTop="1" thickBot="1">
      <c r="A62" s="87"/>
      <c r="B62" s="388"/>
      <c r="C62" s="389"/>
      <c r="D62" s="15" t="s">
        <v>144</v>
      </c>
      <c r="E62" s="102">
        <f>المهني!DB23</f>
        <v>0</v>
      </c>
      <c r="F62" s="102">
        <f>المهني!DC23</f>
        <v>0</v>
      </c>
      <c r="G62" s="102">
        <f>F62+E62</f>
        <v>0</v>
      </c>
      <c r="H62" s="102">
        <f>المهني!DT23</f>
        <v>0</v>
      </c>
      <c r="I62" s="102">
        <f>المهني!DU23</f>
        <v>0</v>
      </c>
      <c r="J62" s="102">
        <f t="shared" si="32"/>
        <v>0</v>
      </c>
      <c r="K62" s="102">
        <f>المهني!EC23</f>
        <v>0</v>
      </c>
      <c r="L62" s="102">
        <f>المهني!ED23</f>
        <v>0</v>
      </c>
      <c r="M62" s="102">
        <f>المهني!EL23</f>
        <v>0</v>
      </c>
      <c r="N62" s="102">
        <f>المهني!EM23</f>
        <v>0</v>
      </c>
      <c r="O62" s="105">
        <f>المهني!EU23</f>
        <v>0</v>
      </c>
      <c r="P62" s="105">
        <f>المهني!EV23</f>
        <v>0</v>
      </c>
      <c r="Q62" s="102">
        <f t="shared" si="37"/>
        <v>0</v>
      </c>
      <c r="R62" s="102">
        <f t="shared" si="37"/>
        <v>0</v>
      </c>
      <c r="S62" s="102">
        <f>R62+Q62</f>
        <v>0</v>
      </c>
    </row>
    <row r="63" spans="1:19" ht="27" customHeight="1" thickTop="1" thickBot="1">
      <c r="A63" s="87"/>
      <c r="B63" s="388"/>
      <c r="C63" s="389"/>
      <c r="D63" s="15" t="s">
        <v>145</v>
      </c>
      <c r="E63" s="102">
        <f>المهني!DD23</f>
        <v>0</v>
      </c>
      <c r="F63" s="102">
        <f>المهني!DE23</f>
        <v>0</v>
      </c>
      <c r="G63" s="102">
        <f>F63+E63</f>
        <v>0</v>
      </c>
      <c r="H63" s="102">
        <f>المهني!DV23</f>
        <v>0</v>
      </c>
      <c r="I63" s="102">
        <f>المهني!DW23</f>
        <v>0</v>
      </c>
      <c r="J63" s="102">
        <f t="shared" si="32"/>
        <v>0</v>
      </c>
      <c r="K63" s="102">
        <f>المهني!EE23</f>
        <v>0</v>
      </c>
      <c r="L63" s="102">
        <f>المهني!EF23</f>
        <v>0</v>
      </c>
      <c r="M63" s="102">
        <f>المهني!EN23</f>
        <v>0</v>
      </c>
      <c r="N63" s="102">
        <f>المهني!EO23</f>
        <v>0</v>
      </c>
      <c r="O63" s="105">
        <f>المهني!EW23</f>
        <v>0</v>
      </c>
      <c r="P63" s="105">
        <f>المهني!EX23</f>
        <v>0</v>
      </c>
      <c r="Q63" s="102">
        <f t="shared" si="37"/>
        <v>0</v>
      </c>
      <c r="R63" s="102">
        <f t="shared" si="37"/>
        <v>0</v>
      </c>
      <c r="S63" s="102">
        <f>R63+Q63</f>
        <v>0</v>
      </c>
    </row>
    <row r="64" spans="1:19" ht="27" customHeight="1" thickTop="1" thickBot="1">
      <c r="A64" s="87"/>
      <c r="B64" s="390"/>
      <c r="C64" s="391"/>
      <c r="D64" s="15" t="s">
        <v>25</v>
      </c>
      <c r="E64" s="102">
        <f>E63+E62+E61</f>
        <v>0</v>
      </c>
      <c r="F64" s="102">
        <f>F63+F62+F61</f>
        <v>0</v>
      </c>
      <c r="G64" s="102">
        <f>G63+G62+G61</f>
        <v>0</v>
      </c>
      <c r="H64" s="102">
        <f>H63+H62+H61</f>
        <v>0</v>
      </c>
      <c r="I64" s="102">
        <f>I63+I62+I61</f>
        <v>0</v>
      </c>
      <c r="J64" s="102">
        <f t="shared" si="32"/>
        <v>0</v>
      </c>
      <c r="K64" s="102">
        <f t="shared" ref="K64:S64" si="38">K63+K62+K61</f>
        <v>0</v>
      </c>
      <c r="L64" s="102">
        <f t="shared" si="38"/>
        <v>0</v>
      </c>
      <c r="M64" s="102">
        <f t="shared" si="38"/>
        <v>0</v>
      </c>
      <c r="N64" s="102">
        <f t="shared" si="38"/>
        <v>0</v>
      </c>
      <c r="O64" s="102">
        <f t="shared" si="38"/>
        <v>0</v>
      </c>
      <c r="P64" s="102">
        <f t="shared" si="38"/>
        <v>0</v>
      </c>
      <c r="Q64" s="102">
        <f t="shared" si="38"/>
        <v>0</v>
      </c>
      <c r="R64" s="102">
        <f t="shared" si="38"/>
        <v>0</v>
      </c>
      <c r="S64" s="102">
        <f t="shared" si="38"/>
        <v>0</v>
      </c>
    </row>
    <row r="65" spans="1:19" ht="27" customHeight="1" thickTop="1" thickBot="1">
      <c r="A65" s="87"/>
      <c r="B65" s="386" t="s">
        <v>211</v>
      </c>
      <c r="C65" s="387"/>
      <c r="D65" s="15" t="s">
        <v>143</v>
      </c>
      <c r="E65" s="106">
        <v>0</v>
      </c>
      <c r="F65" s="104">
        <f>المهني!DA31</f>
        <v>0</v>
      </c>
      <c r="G65" s="102">
        <f>F65+E65</f>
        <v>0</v>
      </c>
      <c r="H65" s="106"/>
      <c r="I65" s="104">
        <f>المهني!DS31</f>
        <v>0</v>
      </c>
      <c r="J65" s="102">
        <f t="shared" si="32"/>
        <v>0</v>
      </c>
      <c r="K65" s="106"/>
      <c r="L65" s="104">
        <f>المهني!EB32</f>
        <v>0</v>
      </c>
      <c r="M65" s="106"/>
      <c r="N65" s="104">
        <f>المهني!EK32</f>
        <v>0</v>
      </c>
      <c r="O65" s="106"/>
      <c r="P65" s="104">
        <f>المهني!ET32</f>
        <v>0</v>
      </c>
      <c r="Q65" s="106"/>
      <c r="R65" s="102">
        <f>P65+N65+L65</f>
        <v>0</v>
      </c>
      <c r="S65" s="102">
        <f>R65+Q65</f>
        <v>0</v>
      </c>
    </row>
    <row r="66" spans="1:19" ht="27" customHeight="1" thickTop="1" thickBot="1">
      <c r="A66" s="87"/>
      <c r="B66" s="388"/>
      <c r="C66" s="389"/>
      <c r="D66" s="15" t="s">
        <v>144</v>
      </c>
      <c r="E66" s="106">
        <v>0</v>
      </c>
      <c r="F66" s="104">
        <v>0</v>
      </c>
      <c r="G66" s="102">
        <f>F66+E66</f>
        <v>0</v>
      </c>
      <c r="H66" s="106"/>
      <c r="I66" s="104">
        <f>المهني!DU32</f>
        <v>0</v>
      </c>
      <c r="J66" s="102">
        <f t="shared" si="32"/>
        <v>0</v>
      </c>
      <c r="K66" s="106"/>
      <c r="L66" s="104">
        <f>المهني!ED32</f>
        <v>0</v>
      </c>
      <c r="M66" s="106"/>
      <c r="N66" s="104">
        <f>المهني!EM32</f>
        <v>0</v>
      </c>
      <c r="O66" s="106"/>
      <c r="P66" s="104">
        <f>المهني!EV32</f>
        <v>0</v>
      </c>
      <c r="Q66" s="106"/>
      <c r="R66" s="102">
        <f>P66+N66+L66</f>
        <v>0</v>
      </c>
      <c r="S66" s="102">
        <f>R66+Q66</f>
        <v>0</v>
      </c>
    </row>
    <row r="67" spans="1:19" ht="27" customHeight="1" thickTop="1" thickBot="1">
      <c r="A67" s="87"/>
      <c r="B67" s="388"/>
      <c r="C67" s="389"/>
      <c r="D67" s="15" t="s">
        <v>145</v>
      </c>
      <c r="E67" s="106">
        <v>0</v>
      </c>
      <c r="F67" s="104">
        <v>0</v>
      </c>
      <c r="G67" s="102">
        <f>F67+E67</f>
        <v>0</v>
      </c>
      <c r="H67" s="106"/>
      <c r="I67" s="104">
        <f>المهني!DW32</f>
        <v>0</v>
      </c>
      <c r="J67" s="102">
        <f t="shared" si="32"/>
        <v>0</v>
      </c>
      <c r="K67" s="106"/>
      <c r="L67" s="104">
        <f>المهني!EF32</f>
        <v>0</v>
      </c>
      <c r="M67" s="106"/>
      <c r="N67" s="104">
        <f>المهني!EO32</f>
        <v>0</v>
      </c>
      <c r="O67" s="106"/>
      <c r="P67" s="104">
        <f>المهني!EX32</f>
        <v>0</v>
      </c>
      <c r="Q67" s="106"/>
      <c r="R67" s="102">
        <f>P67+N67+L67</f>
        <v>0</v>
      </c>
      <c r="S67" s="102">
        <f>R67+Q67</f>
        <v>0</v>
      </c>
    </row>
    <row r="68" spans="1:19" ht="27" customHeight="1" thickTop="1" thickBot="1">
      <c r="A68" s="87"/>
      <c r="B68" s="390"/>
      <c r="C68" s="391"/>
      <c r="D68" s="15" t="s">
        <v>25</v>
      </c>
      <c r="E68" s="106">
        <f>E67+E66+E65</f>
        <v>0</v>
      </c>
      <c r="F68" s="104">
        <f>F67+F66+F65</f>
        <v>0</v>
      </c>
      <c r="G68" s="104">
        <f>G67+G66+G65</f>
        <v>0</v>
      </c>
      <c r="H68" s="106"/>
      <c r="I68" s="104">
        <f>I67+I66+I65</f>
        <v>0</v>
      </c>
      <c r="J68" s="104">
        <f>J67+J66+J65</f>
        <v>0</v>
      </c>
      <c r="K68" s="106"/>
      <c r="L68" s="104">
        <f>L67+L66+L65</f>
        <v>0</v>
      </c>
      <c r="M68" s="106"/>
      <c r="N68" s="104">
        <f>N67+N66+N65</f>
        <v>0</v>
      </c>
      <c r="O68" s="106"/>
      <c r="P68" s="104">
        <f>P67+P66+P65</f>
        <v>0</v>
      </c>
      <c r="Q68" s="106"/>
      <c r="R68" s="104">
        <f>R67+R66+R65</f>
        <v>0</v>
      </c>
      <c r="S68" s="104">
        <f>S67+S66+S65</f>
        <v>0</v>
      </c>
    </row>
    <row r="69" spans="1:19" ht="27" customHeight="1" thickTop="1" thickBot="1">
      <c r="A69" s="135"/>
      <c r="B69" s="386" t="s">
        <v>459</v>
      </c>
      <c r="C69" s="387"/>
      <c r="D69" s="15" t="s">
        <v>143</v>
      </c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</row>
    <row r="70" spans="1:19" ht="27" customHeight="1" thickTop="1" thickBot="1">
      <c r="A70" s="135"/>
      <c r="B70" s="388"/>
      <c r="C70" s="389"/>
      <c r="D70" s="15" t="s">
        <v>144</v>
      </c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</row>
    <row r="71" spans="1:19" ht="27" customHeight="1" thickTop="1" thickBot="1">
      <c r="A71" s="135"/>
      <c r="B71" s="388"/>
      <c r="C71" s="389"/>
      <c r="D71" s="15" t="s">
        <v>145</v>
      </c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</row>
    <row r="72" spans="1:19" ht="27" customHeight="1" thickTop="1" thickBot="1">
      <c r="A72" s="135"/>
      <c r="B72" s="390"/>
      <c r="C72" s="391"/>
      <c r="D72" s="15" t="s">
        <v>25</v>
      </c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</row>
    <row r="73" spans="1:19" ht="27" customHeight="1" thickTop="1" thickBot="1">
      <c r="A73" s="87"/>
      <c r="B73" s="408" t="s">
        <v>387</v>
      </c>
      <c r="C73" s="409"/>
      <c r="D73" s="15" t="s">
        <v>143</v>
      </c>
      <c r="E73" s="104">
        <f>المهني!CZ36</f>
        <v>0</v>
      </c>
      <c r="F73" s="104">
        <f>المهني!DA36</f>
        <v>0</v>
      </c>
      <c r="G73" s="102">
        <f>F73+E73</f>
        <v>0</v>
      </c>
      <c r="H73" s="102">
        <f>المهني!DR36</f>
        <v>0</v>
      </c>
      <c r="I73" s="102">
        <f>المهني!DS36</f>
        <v>0</v>
      </c>
      <c r="J73" s="102">
        <f>I73+H73</f>
        <v>0</v>
      </c>
      <c r="K73" s="102">
        <f>المهني!EA36</f>
        <v>0</v>
      </c>
      <c r="L73" s="102">
        <f>المهني!EB36</f>
        <v>0</v>
      </c>
      <c r="M73" s="102">
        <f>المهني!EJ36</f>
        <v>0</v>
      </c>
      <c r="N73" s="102">
        <f>المهني!EK36</f>
        <v>0</v>
      </c>
      <c r="O73" s="102">
        <f>المهني!ES36</f>
        <v>0</v>
      </c>
      <c r="P73" s="102">
        <f>المهني!ET36</f>
        <v>0</v>
      </c>
      <c r="Q73" s="102">
        <f t="shared" ref="Q73:R75" si="39">O73+M73+K73</f>
        <v>0</v>
      </c>
      <c r="R73" s="102">
        <f t="shared" si="39"/>
        <v>0</v>
      </c>
      <c r="S73" s="102">
        <f>R73+Q73</f>
        <v>0</v>
      </c>
    </row>
    <row r="74" spans="1:19" ht="27" customHeight="1" thickTop="1" thickBot="1">
      <c r="A74" s="87"/>
      <c r="B74" s="410"/>
      <c r="C74" s="411"/>
      <c r="D74" s="15" t="s">
        <v>144</v>
      </c>
      <c r="E74" s="104">
        <f>المهني!DB36</f>
        <v>0</v>
      </c>
      <c r="F74" s="104">
        <f>المهني!DC36</f>
        <v>0</v>
      </c>
      <c r="G74" s="102">
        <f>F74+E74</f>
        <v>0</v>
      </c>
      <c r="H74" s="102">
        <f>المهني!DT36</f>
        <v>0</v>
      </c>
      <c r="I74" s="102">
        <f>المهني!DU36</f>
        <v>0</v>
      </c>
      <c r="J74" s="102">
        <f>I74+H74</f>
        <v>0</v>
      </c>
      <c r="K74" s="102">
        <f>المهني!EC36</f>
        <v>0</v>
      </c>
      <c r="L74" s="102">
        <f>المهني!ED36</f>
        <v>0</v>
      </c>
      <c r="M74" s="102">
        <f>المهني!EL36</f>
        <v>0</v>
      </c>
      <c r="N74" s="102">
        <f>المهني!EM36</f>
        <v>0</v>
      </c>
      <c r="O74" s="102">
        <f>المهني!EU36</f>
        <v>0</v>
      </c>
      <c r="P74" s="102">
        <f>المهني!EV36</f>
        <v>0</v>
      </c>
      <c r="Q74" s="102">
        <f t="shared" si="39"/>
        <v>0</v>
      </c>
      <c r="R74" s="102">
        <f t="shared" si="39"/>
        <v>0</v>
      </c>
      <c r="S74" s="102">
        <f>R74+Q74</f>
        <v>0</v>
      </c>
    </row>
    <row r="75" spans="1:19" ht="27" customHeight="1" thickTop="1" thickBot="1">
      <c r="A75" s="87"/>
      <c r="B75" s="410"/>
      <c r="C75" s="411"/>
      <c r="D75" s="15" t="s">
        <v>145</v>
      </c>
      <c r="E75" s="104">
        <f>المهني!DD36</f>
        <v>0</v>
      </c>
      <c r="F75" s="104">
        <f>المهني!DE36</f>
        <v>0</v>
      </c>
      <c r="G75" s="102">
        <f>F75+E75</f>
        <v>0</v>
      </c>
      <c r="H75" s="102">
        <f>المهني!DV36</f>
        <v>0</v>
      </c>
      <c r="I75" s="102">
        <f>المهني!DW36</f>
        <v>0</v>
      </c>
      <c r="J75" s="102">
        <f>I75+H75</f>
        <v>0</v>
      </c>
      <c r="K75" s="102">
        <f>المهني!EE36</f>
        <v>0</v>
      </c>
      <c r="L75" s="102">
        <f>المهني!EF36</f>
        <v>0</v>
      </c>
      <c r="M75" s="102">
        <f>المهني!EN36</f>
        <v>0</v>
      </c>
      <c r="N75" s="102">
        <f>المهني!EO36</f>
        <v>0</v>
      </c>
      <c r="O75" s="102">
        <f>المهني!EW36</f>
        <v>0</v>
      </c>
      <c r="P75" s="102">
        <f>المهني!EX36</f>
        <v>0</v>
      </c>
      <c r="Q75" s="102">
        <f t="shared" si="39"/>
        <v>0</v>
      </c>
      <c r="R75" s="102">
        <f t="shared" si="39"/>
        <v>0</v>
      </c>
      <c r="S75" s="102">
        <f>R75+Q75</f>
        <v>0</v>
      </c>
    </row>
    <row r="76" spans="1:19" ht="27" customHeight="1" thickTop="1" thickBot="1">
      <c r="A76" s="87"/>
      <c r="B76" s="412"/>
      <c r="C76" s="413"/>
      <c r="D76" s="15" t="s">
        <v>25</v>
      </c>
      <c r="E76" s="104">
        <f t="shared" ref="E76:S76" si="40">E75+E74+E73</f>
        <v>0</v>
      </c>
      <c r="F76" s="104">
        <f t="shared" si="40"/>
        <v>0</v>
      </c>
      <c r="G76" s="104">
        <f t="shared" si="40"/>
        <v>0</v>
      </c>
      <c r="H76" s="102">
        <f t="shared" si="40"/>
        <v>0</v>
      </c>
      <c r="I76" s="102">
        <f t="shared" si="40"/>
        <v>0</v>
      </c>
      <c r="J76" s="102">
        <f t="shared" si="40"/>
        <v>0</v>
      </c>
      <c r="K76" s="102">
        <f t="shared" si="40"/>
        <v>0</v>
      </c>
      <c r="L76" s="102">
        <f t="shared" si="40"/>
        <v>0</v>
      </c>
      <c r="M76" s="102">
        <f t="shared" si="40"/>
        <v>0</v>
      </c>
      <c r="N76" s="102">
        <f t="shared" si="40"/>
        <v>0</v>
      </c>
      <c r="O76" s="102">
        <f t="shared" si="40"/>
        <v>0</v>
      </c>
      <c r="P76" s="102">
        <f t="shared" si="40"/>
        <v>0</v>
      </c>
      <c r="Q76" s="102">
        <f t="shared" si="40"/>
        <v>0</v>
      </c>
      <c r="R76" s="102">
        <f t="shared" si="40"/>
        <v>0</v>
      </c>
      <c r="S76" s="102">
        <f t="shared" si="40"/>
        <v>0</v>
      </c>
    </row>
    <row r="77" spans="1:19" ht="27" customHeight="1" thickTop="1" thickBot="1">
      <c r="A77" s="87"/>
      <c r="B77" s="386" t="s">
        <v>137</v>
      </c>
      <c r="C77" s="387"/>
      <c r="D77" s="15" t="s">
        <v>143</v>
      </c>
      <c r="E77" s="102">
        <f t="shared" ref="E77:S77" si="41">E65+E61+E57+E53+E73</f>
        <v>0</v>
      </c>
      <c r="F77" s="102">
        <f t="shared" si="41"/>
        <v>0</v>
      </c>
      <c r="G77" s="102">
        <f t="shared" si="41"/>
        <v>0</v>
      </c>
      <c r="H77" s="14">
        <f t="shared" si="41"/>
        <v>0</v>
      </c>
      <c r="I77" s="14">
        <f t="shared" si="41"/>
        <v>0</v>
      </c>
      <c r="J77" s="14">
        <f t="shared" si="41"/>
        <v>0</v>
      </c>
      <c r="K77" s="14">
        <f t="shared" si="41"/>
        <v>0</v>
      </c>
      <c r="L77" s="14">
        <f t="shared" si="41"/>
        <v>0</v>
      </c>
      <c r="M77" s="14">
        <f t="shared" si="41"/>
        <v>0</v>
      </c>
      <c r="N77" s="14">
        <f t="shared" si="41"/>
        <v>0</v>
      </c>
      <c r="O77" s="14">
        <f t="shared" si="41"/>
        <v>0</v>
      </c>
      <c r="P77" s="14">
        <f t="shared" si="41"/>
        <v>0</v>
      </c>
      <c r="Q77" s="14">
        <f t="shared" si="41"/>
        <v>0</v>
      </c>
      <c r="R77" s="14">
        <f t="shared" si="41"/>
        <v>0</v>
      </c>
      <c r="S77" s="14">
        <f t="shared" si="41"/>
        <v>0</v>
      </c>
    </row>
    <row r="78" spans="1:19" ht="27" customHeight="1" thickTop="1" thickBot="1">
      <c r="A78" s="87"/>
      <c r="B78" s="388"/>
      <c r="C78" s="389"/>
      <c r="D78" s="15" t="s">
        <v>144</v>
      </c>
      <c r="E78" s="102">
        <f t="shared" ref="E78:S78" si="42">E66+E62+E58+E54+E74</f>
        <v>0</v>
      </c>
      <c r="F78" s="102">
        <f t="shared" si="42"/>
        <v>0</v>
      </c>
      <c r="G78" s="102">
        <f t="shared" si="42"/>
        <v>0</v>
      </c>
      <c r="H78" s="14">
        <f t="shared" si="42"/>
        <v>0</v>
      </c>
      <c r="I78" s="14">
        <f t="shared" si="42"/>
        <v>0</v>
      </c>
      <c r="J78" s="14">
        <f t="shared" si="42"/>
        <v>0</v>
      </c>
      <c r="K78" s="14">
        <f t="shared" si="42"/>
        <v>0</v>
      </c>
      <c r="L78" s="14">
        <f t="shared" si="42"/>
        <v>0</v>
      </c>
      <c r="M78" s="14">
        <f t="shared" si="42"/>
        <v>0</v>
      </c>
      <c r="N78" s="14">
        <f t="shared" si="42"/>
        <v>0</v>
      </c>
      <c r="O78" s="14">
        <f t="shared" si="42"/>
        <v>0</v>
      </c>
      <c r="P78" s="14">
        <f t="shared" si="42"/>
        <v>0</v>
      </c>
      <c r="Q78" s="14">
        <f t="shared" si="42"/>
        <v>0</v>
      </c>
      <c r="R78" s="14">
        <f t="shared" si="42"/>
        <v>0</v>
      </c>
      <c r="S78" s="14">
        <f t="shared" si="42"/>
        <v>0</v>
      </c>
    </row>
    <row r="79" spans="1:19" ht="27" customHeight="1" thickTop="1" thickBot="1">
      <c r="A79" s="87"/>
      <c r="B79" s="388"/>
      <c r="C79" s="389"/>
      <c r="D79" s="15" t="s">
        <v>145</v>
      </c>
      <c r="E79" s="102">
        <f t="shared" ref="E79:S79" si="43">E67+E63+E59+E55+E75</f>
        <v>0</v>
      </c>
      <c r="F79" s="102">
        <f t="shared" si="43"/>
        <v>0</v>
      </c>
      <c r="G79" s="102">
        <f t="shared" si="43"/>
        <v>0</v>
      </c>
      <c r="H79" s="14">
        <f t="shared" si="43"/>
        <v>0</v>
      </c>
      <c r="I79" s="14">
        <f t="shared" si="43"/>
        <v>0</v>
      </c>
      <c r="J79" s="14">
        <f t="shared" si="43"/>
        <v>0</v>
      </c>
      <c r="K79" s="14">
        <f t="shared" si="43"/>
        <v>0</v>
      </c>
      <c r="L79" s="14">
        <f t="shared" si="43"/>
        <v>0</v>
      </c>
      <c r="M79" s="14">
        <f t="shared" si="43"/>
        <v>0</v>
      </c>
      <c r="N79" s="14">
        <f t="shared" si="43"/>
        <v>0</v>
      </c>
      <c r="O79" s="14">
        <f t="shared" si="43"/>
        <v>0</v>
      </c>
      <c r="P79" s="14">
        <f t="shared" si="43"/>
        <v>0</v>
      </c>
      <c r="Q79" s="14">
        <f t="shared" si="43"/>
        <v>0</v>
      </c>
      <c r="R79" s="14">
        <f t="shared" si="43"/>
        <v>0</v>
      </c>
      <c r="S79" s="14">
        <f t="shared" si="43"/>
        <v>0</v>
      </c>
    </row>
    <row r="80" spans="1:19" ht="27" customHeight="1" thickTop="1" thickBot="1">
      <c r="A80" s="87"/>
      <c r="B80" s="390"/>
      <c r="C80" s="391"/>
      <c r="D80" s="15" t="s">
        <v>25</v>
      </c>
      <c r="E80" s="102">
        <f t="shared" ref="E80:S80" si="44">E68+E64+E60+E56+E76</f>
        <v>0</v>
      </c>
      <c r="F80" s="102">
        <f t="shared" si="44"/>
        <v>0</v>
      </c>
      <c r="G80" s="102">
        <f t="shared" si="44"/>
        <v>0</v>
      </c>
      <c r="H80" s="14">
        <f t="shared" si="44"/>
        <v>0</v>
      </c>
      <c r="I80" s="14">
        <f t="shared" si="44"/>
        <v>0</v>
      </c>
      <c r="J80" s="14">
        <f t="shared" si="44"/>
        <v>0</v>
      </c>
      <c r="K80" s="14">
        <f t="shared" si="44"/>
        <v>0</v>
      </c>
      <c r="L80" s="14">
        <f t="shared" si="44"/>
        <v>0</v>
      </c>
      <c r="M80" s="14">
        <f t="shared" si="44"/>
        <v>0</v>
      </c>
      <c r="N80" s="14">
        <f t="shared" si="44"/>
        <v>0</v>
      </c>
      <c r="O80" s="14">
        <f t="shared" si="44"/>
        <v>0</v>
      </c>
      <c r="P80" s="14">
        <f t="shared" si="44"/>
        <v>0</v>
      </c>
      <c r="Q80" s="14">
        <f t="shared" si="44"/>
        <v>0</v>
      </c>
      <c r="R80" s="14">
        <f t="shared" si="44"/>
        <v>0</v>
      </c>
      <c r="S80" s="14">
        <f t="shared" si="44"/>
        <v>0</v>
      </c>
    </row>
    <row r="81" spans="1:19" ht="27" customHeight="1" thickTop="1"/>
    <row r="82" spans="1:19" ht="27" customHeight="1">
      <c r="A82" s="328" t="s">
        <v>146</v>
      </c>
      <c r="B82" s="328"/>
      <c r="C82" s="328"/>
      <c r="D82" s="328"/>
      <c r="E82" s="328"/>
      <c r="F82" s="86"/>
      <c r="G82" s="86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328" t="s">
        <v>110</v>
      </c>
      <c r="S82" s="328"/>
    </row>
    <row r="83" spans="1:19" ht="27" customHeight="1">
      <c r="A83" s="340" t="s">
        <v>185</v>
      </c>
      <c r="B83" s="340"/>
      <c r="C83" s="340"/>
      <c r="D83" s="340"/>
      <c r="E83" s="340"/>
      <c r="F83" s="87"/>
      <c r="G83" s="87"/>
      <c r="H83" s="87"/>
      <c r="I83" s="340" t="s">
        <v>183</v>
      </c>
      <c r="J83" s="340"/>
      <c r="K83" s="340"/>
      <c r="L83" s="340"/>
      <c r="M83" s="87"/>
      <c r="N83" s="87"/>
      <c r="O83" s="87"/>
      <c r="P83" s="87"/>
      <c r="Q83" s="87"/>
      <c r="R83" s="87"/>
      <c r="S83" s="87"/>
    </row>
    <row r="84" spans="1:19" ht="27" customHeight="1">
      <c r="A84" s="87"/>
      <c r="B84" s="328" t="s">
        <v>147</v>
      </c>
      <c r="C84" s="328"/>
      <c r="D84" s="328"/>
      <c r="E84" s="328"/>
      <c r="F84" s="328"/>
      <c r="G84" s="328"/>
      <c r="H84" s="328"/>
      <c r="I84" s="328"/>
      <c r="J84" s="328"/>
      <c r="K84" s="328"/>
      <c r="L84" s="328"/>
      <c r="M84" s="328"/>
      <c r="N84" s="328"/>
      <c r="O84" s="328"/>
      <c r="P84" s="328"/>
      <c r="Q84" s="328"/>
      <c r="R84" s="328"/>
      <c r="S84" s="328"/>
    </row>
    <row r="85" spans="1:19" ht="27" customHeight="1">
      <c r="A85" s="87"/>
      <c r="B85" s="328" t="s">
        <v>500</v>
      </c>
      <c r="C85" s="328"/>
      <c r="D85" s="328"/>
      <c r="E85" s="328"/>
      <c r="F85" s="328"/>
      <c r="G85" s="328"/>
      <c r="H85" s="328"/>
      <c r="I85" s="328"/>
      <c r="J85" s="328"/>
      <c r="K85" s="328"/>
      <c r="L85" s="328"/>
      <c r="M85" s="328"/>
      <c r="N85" s="328"/>
      <c r="O85" s="328"/>
      <c r="P85" s="328"/>
      <c r="Q85" s="328"/>
      <c r="R85" s="328"/>
      <c r="S85" s="328"/>
    </row>
    <row r="86" spans="1:19" ht="27" customHeight="1">
      <c r="A86" s="87"/>
      <c r="B86" s="343" t="s">
        <v>471</v>
      </c>
      <c r="C86" s="343"/>
      <c r="D86" s="343"/>
      <c r="E86" s="343"/>
      <c r="F86" s="343"/>
      <c r="G86" s="343"/>
      <c r="H86" s="343"/>
      <c r="I86" s="343"/>
      <c r="J86" s="343"/>
      <c r="K86" s="343"/>
      <c r="L86" s="343"/>
      <c r="M86" s="343"/>
      <c r="N86" s="343"/>
      <c r="O86" s="343"/>
      <c r="P86" s="343"/>
      <c r="Q86" s="343"/>
      <c r="R86" s="343"/>
      <c r="S86" s="343"/>
    </row>
    <row r="87" spans="1:19" ht="27" customHeight="1" thickBot="1">
      <c r="A87" s="87"/>
      <c r="B87" s="90"/>
      <c r="C87" s="90"/>
      <c r="D87" s="90"/>
      <c r="E87" s="90"/>
      <c r="F87" s="90"/>
      <c r="G87" s="90"/>
      <c r="H87" s="90"/>
      <c r="I87" s="90"/>
      <c r="J87" s="90"/>
      <c r="K87" s="99"/>
      <c r="L87" s="99"/>
      <c r="M87" s="99"/>
      <c r="N87" s="99"/>
      <c r="O87" s="86"/>
      <c r="P87" s="87"/>
      <c r="Q87" s="87"/>
      <c r="R87" s="87"/>
      <c r="S87" s="87"/>
    </row>
    <row r="88" spans="1:19" ht="27" customHeight="1" thickTop="1" thickBot="1">
      <c r="A88" s="87"/>
      <c r="B88" s="349" t="s">
        <v>113</v>
      </c>
      <c r="C88" s="351"/>
      <c r="D88" s="336" t="s">
        <v>140</v>
      </c>
      <c r="E88" s="330" t="s">
        <v>481</v>
      </c>
      <c r="F88" s="406"/>
      <c r="G88" s="331"/>
      <c r="H88" s="330" t="s">
        <v>469</v>
      </c>
      <c r="I88" s="406"/>
      <c r="J88" s="331"/>
      <c r="K88" s="324" t="s">
        <v>470</v>
      </c>
      <c r="L88" s="325"/>
      <c r="M88" s="325"/>
      <c r="N88" s="325"/>
      <c r="O88" s="325"/>
      <c r="P88" s="325"/>
      <c r="Q88" s="325"/>
      <c r="R88" s="325"/>
      <c r="S88" s="326"/>
    </row>
    <row r="89" spans="1:19" ht="27" customHeight="1" thickTop="1" thickBot="1">
      <c r="A89" s="87"/>
      <c r="B89" s="398"/>
      <c r="C89" s="399"/>
      <c r="D89" s="348"/>
      <c r="E89" s="332"/>
      <c r="F89" s="407"/>
      <c r="G89" s="333"/>
      <c r="H89" s="332"/>
      <c r="I89" s="407"/>
      <c r="J89" s="333"/>
      <c r="K89" s="324" t="s">
        <v>148</v>
      </c>
      <c r="L89" s="326"/>
      <c r="M89" s="324" t="s">
        <v>149</v>
      </c>
      <c r="N89" s="326"/>
      <c r="O89" s="324" t="s">
        <v>150</v>
      </c>
      <c r="P89" s="326"/>
      <c r="Q89" s="324" t="s">
        <v>151</v>
      </c>
      <c r="R89" s="325"/>
      <c r="S89" s="326"/>
    </row>
    <row r="90" spans="1:19" ht="27" customHeight="1" thickTop="1" thickBot="1">
      <c r="A90" s="87"/>
      <c r="B90" s="352"/>
      <c r="C90" s="354"/>
      <c r="D90" s="337"/>
      <c r="E90" s="14" t="s">
        <v>5</v>
      </c>
      <c r="F90" s="14" t="s">
        <v>6</v>
      </c>
      <c r="G90" s="14" t="s">
        <v>25</v>
      </c>
      <c r="H90" s="14" t="s">
        <v>5</v>
      </c>
      <c r="I90" s="14" t="s">
        <v>6</v>
      </c>
      <c r="J90" s="14" t="s">
        <v>25</v>
      </c>
      <c r="K90" s="96" t="s">
        <v>5</v>
      </c>
      <c r="L90" s="96" t="s">
        <v>6</v>
      </c>
      <c r="M90" s="96" t="s">
        <v>5</v>
      </c>
      <c r="N90" s="96" t="s">
        <v>6</v>
      </c>
      <c r="O90" s="96" t="s">
        <v>5</v>
      </c>
      <c r="P90" s="96" t="s">
        <v>6</v>
      </c>
      <c r="Q90" s="96" t="s">
        <v>5</v>
      </c>
      <c r="R90" s="96" t="s">
        <v>6</v>
      </c>
      <c r="S90" s="14" t="s">
        <v>25</v>
      </c>
    </row>
    <row r="91" spans="1:19" ht="27" customHeight="1" thickTop="1" thickBot="1">
      <c r="A91" s="87"/>
      <c r="B91" s="386" t="s">
        <v>121</v>
      </c>
      <c r="C91" s="387"/>
      <c r="D91" s="15" t="s">
        <v>143</v>
      </c>
      <c r="E91" s="102">
        <f>المهني!CZ12</f>
        <v>0</v>
      </c>
      <c r="F91" s="102">
        <f>المهني!DA12</f>
        <v>0</v>
      </c>
      <c r="G91" s="102">
        <f>F91+E91</f>
        <v>0</v>
      </c>
      <c r="H91" s="102">
        <f>المهني!DR12</f>
        <v>0</v>
      </c>
      <c r="I91" s="102">
        <f>المهني!DS12</f>
        <v>0</v>
      </c>
      <c r="J91" s="102">
        <f>I91+H91</f>
        <v>0</v>
      </c>
      <c r="K91" s="102">
        <f>المهني!EA12</f>
        <v>0</v>
      </c>
      <c r="L91" s="102">
        <f>المهني!EB12</f>
        <v>0</v>
      </c>
      <c r="M91" s="102">
        <f>المهني!EJ12</f>
        <v>0</v>
      </c>
      <c r="N91" s="102">
        <f>المهني!EK12</f>
        <v>0</v>
      </c>
      <c r="O91" s="102">
        <f>المهني!ES12</f>
        <v>0</v>
      </c>
      <c r="P91" s="102">
        <f>المهني!ET12</f>
        <v>0</v>
      </c>
      <c r="Q91" s="102">
        <f t="shared" ref="Q91:R93" si="45">O91+M91+K91</f>
        <v>0</v>
      </c>
      <c r="R91" s="102">
        <f t="shared" si="45"/>
        <v>0</v>
      </c>
      <c r="S91" s="102">
        <f>R91+Q91</f>
        <v>0</v>
      </c>
    </row>
    <row r="92" spans="1:19" ht="27" customHeight="1" thickTop="1" thickBot="1">
      <c r="A92" s="87"/>
      <c r="B92" s="388"/>
      <c r="C92" s="389"/>
      <c r="D92" s="15" t="s">
        <v>144</v>
      </c>
      <c r="E92" s="102">
        <f>المهني!DB12</f>
        <v>0</v>
      </c>
      <c r="F92" s="102">
        <f>المهني!DC12</f>
        <v>0</v>
      </c>
      <c r="G92" s="102">
        <f>F92+E92</f>
        <v>0</v>
      </c>
      <c r="H92" s="102">
        <f>المهني!DT12</f>
        <v>0</v>
      </c>
      <c r="I92" s="102">
        <f>المهني!DU12</f>
        <v>0</v>
      </c>
      <c r="J92" s="102">
        <f>I92+H92</f>
        <v>0</v>
      </c>
      <c r="K92" s="102">
        <f>المهني!EC12</f>
        <v>0</v>
      </c>
      <c r="L92" s="102">
        <f>المهني!ED12</f>
        <v>0</v>
      </c>
      <c r="M92" s="102">
        <f>المهني!EL12</f>
        <v>0</v>
      </c>
      <c r="N92" s="102">
        <f>المهني!EM12</f>
        <v>0</v>
      </c>
      <c r="O92" s="102">
        <f>المهني!EU12</f>
        <v>0</v>
      </c>
      <c r="P92" s="102">
        <f>المهني!EV12</f>
        <v>0</v>
      </c>
      <c r="Q92" s="102">
        <f t="shared" si="45"/>
        <v>0</v>
      </c>
      <c r="R92" s="102">
        <f t="shared" si="45"/>
        <v>0</v>
      </c>
      <c r="S92" s="102">
        <f>R92+Q92</f>
        <v>0</v>
      </c>
    </row>
    <row r="93" spans="1:19" ht="27" customHeight="1" thickTop="1" thickBot="1">
      <c r="A93" s="87"/>
      <c r="B93" s="388"/>
      <c r="C93" s="389"/>
      <c r="D93" s="15" t="s">
        <v>145</v>
      </c>
      <c r="E93" s="102">
        <f>المهني!DD12</f>
        <v>0</v>
      </c>
      <c r="F93" s="102">
        <f>المهني!DE12</f>
        <v>0</v>
      </c>
      <c r="G93" s="102">
        <f>F93+E93</f>
        <v>0</v>
      </c>
      <c r="H93" s="102">
        <f>المهني!DV12</f>
        <v>0</v>
      </c>
      <c r="I93" s="102">
        <f>المهني!DW12</f>
        <v>0</v>
      </c>
      <c r="J93" s="102">
        <f>I93+H93</f>
        <v>0</v>
      </c>
      <c r="K93" s="102">
        <f>المهني!EE12</f>
        <v>0</v>
      </c>
      <c r="L93" s="102">
        <f>المهني!EF12</f>
        <v>0</v>
      </c>
      <c r="M93" s="102">
        <f>المهني!EN12</f>
        <v>0</v>
      </c>
      <c r="N93" s="102">
        <f>المهني!EO12</f>
        <v>0</v>
      </c>
      <c r="O93" s="102">
        <f>المهني!EW12</f>
        <v>0</v>
      </c>
      <c r="P93" s="102">
        <f>المهني!EX12</f>
        <v>0</v>
      </c>
      <c r="Q93" s="102">
        <f t="shared" si="45"/>
        <v>0</v>
      </c>
      <c r="R93" s="102">
        <f t="shared" si="45"/>
        <v>0</v>
      </c>
      <c r="S93" s="102">
        <f>R93+Q93</f>
        <v>0</v>
      </c>
    </row>
    <row r="94" spans="1:19" ht="27" customHeight="1" thickTop="1" thickBot="1">
      <c r="A94" s="87"/>
      <c r="B94" s="390"/>
      <c r="C94" s="391"/>
      <c r="D94" s="15" t="s">
        <v>25</v>
      </c>
      <c r="E94" s="102">
        <f t="shared" ref="E94:S94" si="46">E93+E92+E91</f>
        <v>0</v>
      </c>
      <c r="F94" s="102">
        <f t="shared" si="46"/>
        <v>0</v>
      </c>
      <c r="G94" s="102">
        <f t="shared" si="46"/>
        <v>0</v>
      </c>
      <c r="H94" s="102">
        <f t="shared" si="46"/>
        <v>0</v>
      </c>
      <c r="I94" s="102">
        <f t="shared" si="46"/>
        <v>0</v>
      </c>
      <c r="J94" s="102">
        <f t="shared" si="46"/>
        <v>0</v>
      </c>
      <c r="K94" s="102">
        <f t="shared" si="46"/>
        <v>0</v>
      </c>
      <c r="L94" s="102">
        <f t="shared" si="46"/>
        <v>0</v>
      </c>
      <c r="M94" s="102">
        <f t="shared" si="46"/>
        <v>0</v>
      </c>
      <c r="N94" s="102">
        <f t="shared" si="46"/>
        <v>0</v>
      </c>
      <c r="O94" s="102">
        <f t="shared" si="46"/>
        <v>0</v>
      </c>
      <c r="P94" s="102">
        <f t="shared" si="46"/>
        <v>0</v>
      </c>
      <c r="Q94" s="102">
        <f t="shared" si="46"/>
        <v>0</v>
      </c>
      <c r="R94" s="102">
        <f t="shared" si="46"/>
        <v>0</v>
      </c>
      <c r="S94" s="102">
        <f t="shared" si="46"/>
        <v>0</v>
      </c>
    </row>
    <row r="95" spans="1:19" ht="27" customHeight="1" thickTop="1" thickBot="1">
      <c r="A95" s="87"/>
      <c r="B95" s="386" t="s">
        <v>122</v>
      </c>
      <c r="C95" s="387"/>
      <c r="D95" s="15" t="s">
        <v>143</v>
      </c>
      <c r="E95" s="102">
        <f>المهني!CZ28</f>
        <v>0</v>
      </c>
      <c r="F95" s="102">
        <f>المهني!DA28</f>
        <v>0</v>
      </c>
      <c r="G95" s="102">
        <f>F95+E95</f>
        <v>0</v>
      </c>
      <c r="H95" s="102">
        <f>المهني!DR28</f>
        <v>0</v>
      </c>
      <c r="I95" s="102">
        <f>المهني!DS28</f>
        <v>0</v>
      </c>
      <c r="J95" s="102">
        <f>I95+H95</f>
        <v>0</v>
      </c>
      <c r="K95" s="102">
        <f>المهني!EA28</f>
        <v>0</v>
      </c>
      <c r="L95" s="102">
        <f>المهني!EB28</f>
        <v>0</v>
      </c>
      <c r="M95" s="102">
        <f>المهني!EJ28</f>
        <v>0</v>
      </c>
      <c r="N95" s="102">
        <f>المهني!EK28</f>
        <v>0</v>
      </c>
      <c r="O95" s="102">
        <f>المهني!ES28</f>
        <v>0</v>
      </c>
      <c r="P95" s="102">
        <f>المهني!ET28</f>
        <v>0</v>
      </c>
      <c r="Q95" s="102">
        <f t="shared" ref="Q95:R97" si="47">O95+M95+K95</f>
        <v>0</v>
      </c>
      <c r="R95" s="102">
        <f t="shared" si="47"/>
        <v>0</v>
      </c>
      <c r="S95" s="102">
        <f>R95+Q95</f>
        <v>0</v>
      </c>
    </row>
    <row r="96" spans="1:19" ht="27" customHeight="1" thickTop="1" thickBot="1">
      <c r="A96" s="87"/>
      <c r="B96" s="388"/>
      <c r="C96" s="389"/>
      <c r="D96" s="15" t="s">
        <v>144</v>
      </c>
      <c r="E96" s="102">
        <f>المهني!DB28</f>
        <v>0</v>
      </c>
      <c r="F96" s="102">
        <f>المهني!DC28</f>
        <v>0</v>
      </c>
      <c r="G96" s="102">
        <f>F96+E96</f>
        <v>0</v>
      </c>
      <c r="H96" s="102">
        <f>المهني!DT28</f>
        <v>0</v>
      </c>
      <c r="I96" s="102">
        <f>المهني!DU28</f>
        <v>0</v>
      </c>
      <c r="J96" s="102">
        <f>I96+H96</f>
        <v>0</v>
      </c>
      <c r="K96" s="102">
        <f>المهني!EC28</f>
        <v>0</v>
      </c>
      <c r="L96" s="102">
        <f>المهني!EF28</f>
        <v>0</v>
      </c>
      <c r="M96" s="102">
        <f>المهني!EL28</f>
        <v>0</v>
      </c>
      <c r="N96" s="102">
        <f>المهني!EM28</f>
        <v>0</v>
      </c>
      <c r="O96" s="102">
        <f>المهني!EU28</f>
        <v>0</v>
      </c>
      <c r="P96" s="102">
        <f>المهني!EV28</f>
        <v>0</v>
      </c>
      <c r="Q96" s="102">
        <f t="shared" si="47"/>
        <v>0</v>
      </c>
      <c r="R96" s="102">
        <f t="shared" si="47"/>
        <v>0</v>
      </c>
      <c r="S96" s="102">
        <f>R96+Q96</f>
        <v>0</v>
      </c>
    </row>
    <row r="97" spans="1:19" ht="27" customHeight="1" thickTop="1" thickBot="1">
      <c r="A97" s="87"/>
      <c r="B97" s="388"/>
      <c r="C97" s="389"/>
      <c r="D97" s="15" t="s">
        <v>145</v>
      </c>
      <c r="E97" s="102">
        <f>المهني!DD28</f>
        <v>0</v>
      </c>
      <c r="F97" s="102">
        <f>المهني!DE28</f>
        <v>0</v>
      </c>
      <c r="G97" s="102">
        <f>F97+E97</f>
        <v>0</v>
      </c>
      <c r="H97" s="102">
        <f>المهني!DV28</f>
        <v>0</v>
      </c>
      <c r="I97" s="102">
        <f>المهني!DW28</f>
        <v>0</v>
      </c>
      <c r="J97" s="102">
        <f>I97+H97</f>
        <v>0</v>
      </c>
      <c r="K97" s="102">
        <f>المهني!EE28</f>
        <v>0</v>
      </c>
      <c r="L97" s="102">
        <f>المهني!EF28</f>
        <v>0</v>
      </c>
      <c r="M97" s="102">
        <f>المهني!EN28</f>
        <v>0</v>
      </c>
      <c r="N97" s="102">
        <f>المهني!EO28</f>
        <v>0</v>
      </c>
      <c r="O97" s="102">
        <f>المهني!EW28</f>
        <v>0</v>
      </c>
      <c r="P97" s="102">
        <f>المهني!EX28</f>
        <v>0</v>
      </c>
      <c r="Q97" s="102">
        <f t="shared" si="47"/>
        <v>0</v>
      </c>
      <c r="R97" s="102">
        <f t="shared" si="47"/>
        <v>0</v>
      </c>
      <c r="S97" s="102">
        <f>R97+Q97</f>
        <v>0</v>
      </c>
    </row>
    <row r="98" spans="1:19" ht="27" customHeight="1" thickTop="1" thickBot="1">
      <c r="A98" s="87"/>
      <c r="B98" s="390"/>
      <c r="C98" s="391"/>
      <c r="D98" s="15" t="s">
        <v>25</v>
      </c>
      <c r="E98" s="102">
        <f t="shared" ref="E98:S98" si="48">E97+E96+E95</f>
        <v>0</v>
      </c>
      <c r="F98" s="102">
        <f t="shared" si="48"/>
        <v>0</v>
      </c>
      <c r="G98" s="102">
        <f t="shared" si="48"/>
        <v>0</v>
      </c>
      <c r="H98" s="102">
        <f t="shared" si="48"/>
        <v>0</v>
      </c>
      <c r="I98" s="102">
        <f t="shared" si="48"/>
        <v>0</v>
      </c>
      <c r="J98" s="102">
        <f t="shared" si="48"/>
        <v>0</v>
      </c>
      <c r="K98" s="102">
        <f t="shared" si="48"/>
        <v>0</v>
      </c>
      <c r="L98" s="102">
        <f t="shared" si="48"/>
        <v>0</v>
      </c>
      <c r="M98" s="102">
        <f t="shared" si="48"/>
        <v>0</v>
      </c>
      <c r="N98" s="102">
        <f t="shared" si="48"/>
        <v>0</v>
      </c>
      <c r="O98" s="102">
        <f t="shared" si="48"/>
        <v>0</v>
      </c>
      <c r="P98" s="102">
        <f t="shared" si="48"/>
        <v>0</v>
      </c>
      <c r="Q98" s="102">
        <f t="shared" si="48"/>
        <v>0</v>
      </c>
      <c r="R98" s="102">
        <f t="shared" si="48"/>
        <v>0</v>
      </c>
      <c r="S98" s="102">
        <f t="shared" si="48"/>
        <v>0</v>
      </c>
    </row>
    <row r="99" spans="1:19" ht="27" customHeight="1" thickTop="1" thickBot="1">
      <c r="A99" s="87"/>
      <c r="B99" s="386" t="s">
        <v>123</v>
      </c>
      <c r="C99" s="387"/>
      <c r="D99" s="15" t="s">
        <v>143</v>
      </c>
      <c r="E99" s="102">
        <v>0</v>
      </c>
      <c r="F99" s="102">
        <v>0</v>
      </c>
      <c r="G99" s="102">
        <f>F99+E99</f>
        <v>0</v>
      </c>
      <c r="H99" s="102">
        <v>0</v>
      </c>
      <c r="I99" s="102">
        <v>0</v>
      </c>
      <c r="J99" s="102">
        <f>I99+H99</f>
        <v>0</v>
      </c>
      <c r="K99" s="102">
        <v>0</v>
      </c>
      <c r="L99" s="102">
        <v>0</v>
      </c>
      <c r="M99" s="102">
        <v>0</v>
      </c>
      <c r="N99" s="102">
        <v>0</v>
      </c>
      <c r="O99" s="102">
        <v>0</v>
      </c>
      <c r="P99" s="102">
        <v>0</v>
      </c>
      <c r="Q99" s="102">
        <f t="shared" ref="Q99:R101" si="49">O99+M99+K99</f>
        <v>0</v>
      </c>
      <c r="R99" s="102">
        <f t="shared" si="49"/>
        <v>0</v>
      </c>
      <c r="S99" s="102">
        <f>R99+Q99</f>
        <v>0</v>
      </c>
    </row>
    <row r="100" spans="1:19" ht="27" customHeight="1" thickTop="1" thickBot="1">
      <c r="A100" s="87"/>
      <c r="B100" s="388"/>
      <c r="C100" s="389"/>
      <c r="D100" s="15" t="s">
        <v>144</v>
      </c>
      <c r="E100" s="102">
        <v>0</v>
      </c>
      <c r="F100" s="102">
        <v>0</v>
      </c>
      <c r="G100" s="102">
        <f>F100+E100</f>
        <v>0</v>
      </c>
      <c r="H100" s="102">
        <v>0</v>
      </c>
      <c r="I100" s="102">
        <v>0</v>
      </c>
      <c r="J100" s="102">
        <f>I100+H100</f>
        <v>0</v>
      </c>
      <c r="K100" s="102">
        <v>0</v>
      </c>
      <c r="L100" s="102">
        <v>0</v>
      </c>
      <c r="M100" s="102">
        <v>0</v>
      </c>
      <c r="N100" s="102">
        <v>0</v>
      </c>
      <c r="O100" s="102">
        <v>0</v>
      </c>
      <c r="P100" s="102">
        <v>0</v>
      </c>
      <c r="Q100" s="102">
        <f t="shared" si="49"/>
        <v>0</v>
      </c>
      <c r="R100" s="102">
        <f t="shared" si="49"/>
        <v>0</v>
      </c>
      <c r="S100" s="102">
        <f>R100+Q100</f>
        <v>0</v>
      </c>
    </row>
    <row r="101" spans="1:19" ht="27" customHeight="1" thickTop="1" thickBot="1">
      <c r="A101" s="87"/>
      <c r="B101" s="388"/>
      <c r="C101" s="389"/>
      <c r="D101" s="15" t="s">
        <v>145</v>
      </c>
      <c r="E101" s="102">
        <v>0</v>
      </c>
      <c r="F101" s="102">
        <v>0</v>
      </c>
      <c r="G101" s="102">
        <f>F101+E101</f>
        <v>0</v>
      </c>
      <c r="H101" s="102">
        <v>0</v>
      </c>
      <c r="I101" s="102">
        <v>0</v>
      </c>
      <c r="J101" s="102">
        <f>I101+H101</f>
        <v>0</v>
      </c>
      <c r="K101" s="102">
        <v>0</v>
      </c>
      <c r="L101" s="102">
        <v>0</v>
      </c>
      <c r="M101" s="102">
        <v>0</v>
      </c>
      <c r="N101" s="102">
        <v>0</v>
      </c>
      <c r="O101" s="102">
        <v>0</v>
      </c>
      <c r="P101" s="102">
        <v>0</v>
      </c>
      <c r="Q101" s="102">
        <f t="shared" si="49"/>
        <v>0</v>
      </c>
      <c r="R101" s="102">
        <f t="shared" si="49"/>
        <v>0</v>
      </c>
      <c r="S101" s="102">
        <f>R101+Q101</f>
        <v>0</v>
      </c>
    </row>
    <row r="102" spans="1:19" ht="27" customHeight="1" thickTop="1" thickBot="1">
      <c r="A102" s="87"/>
      <c r="B102" s="390"/>
      <c r="C102" s="391"/>
      <c r="D102" s="15" t="s">
        <v>25</v>
      </c>
      <c r="E102" s="102">
        <f t="shared" ref="E102:S102" si="50">E101+E100+E99</f>
        <v>0</v>
      </c>
      <c r="F102" s="102">
        <f t="shared" si="50"/>
        <v>0</v>
      </c>
      <c r="G102" s="102">
        <f t="shared" si="50"/>
        <v>0</v>
      </c>
      <c r="H102" s="102">
        <f t="shared" si="50"/>
        <v>0</v>
      </c>
      <c r="I102" s="102">
        <f t="shared" si="50"/>
        <v>0</v>
      </c>
      <c r="J102" s="102">
        <f t="shared" si="50"/>
        <v>0</v>
      </c>
      <c r="K102" s="102">
        <f t="shared" si="50"/>
        <v>0</v>
      </c>
      <c r="L102" s="102">
        <f t="shared" si="50"/>
        <v>0</v>
      </c>
      <c r="M102" s="102">
        <f t="shared" si="50"/>
        <v>0</v>
      </c>
      <c r="N102" s="102">
        <f t="shared" si="50"/>
        <v>0</v>
      </c>
      <c r="O102" s="102">
        <f t="shared" si="50"/>
        <v>0</v>
      </c>
      <c r="P102" s="102">
        <f t="shared" si="50"/>
        <v>0</v>
      </c>
      <c r="Q102" s="102">
        <f t="shared" si="50"/>
        <v>0</v>
      </c>
      <c r="R102" s="102">
        <f t="shared" si="50"/>
        <v>0</v>
      </c>
      <c r="S102" s="102">
        <f t="shared" si="50"/>
        <v>0</v>
      </c>
    </row>
    <row r="103" spans="1:19" ht="27" customHeight="1" thickTop="1" thickBot="1">
      <c r="A103" s="87"/>
      <c r="B103" s="386" t="s">
        <v>211</v>
      </c>
      <c r="C103" s="387"/>
      <c r="D103" s="15" t="s">
        <v>143</v>
      </c>
      <c r="E103" s="106"/>
      <c r="F103" s="104">
        <v>0</v>
      </c>
      <c r="G103" s="102">
        <f>F103+E103</f>
        <v>0</v>
      </c>
      <c r="H103" s="106"/>
      <c r="I103" s="104">
        <v>0</v>
      </c>
      <c r="J103" s="102">
        <f>I103+H103</f>
        <v>0</v>
      </c>
      <c r="K103" s="106"/>
      <c r="L103" s="104">
        <v>0</v>
      </c>
      <c r="M103" s="106"/>
      <c r="N103" s="104">
        <v>0</v>
      </c>
      <c r="O103" s="106"/>
      <c r="P103" s="104">
        <v>0</v>
      </c>
      <c r="Q103" s="106"/>
      <c r="R103" s="102">
        <f>P103+N103+L103</f>
        <v>0</v>
      </c>
      <c r="S103" s="102">
        <f>R103+Q103</f>
        <v>0</v>
      </c>
    </row>
    <row r="104" spans="1:19" ht="27" customHeight="1" thickTop="1" thickBot="1">
      <c r="A104" s="87"/>
      <c r="B104" s="388"/>
      <c r="C104" s="389"/>
      <c r="D104" s="15" t="s">
        <v>144</v>
      </c>
      <c r="E104" s="106"/>
      <c r="F104" s="104">
        <v>0</v>
      </c>
      <c r="G104" s="102">
        <f>F104+E104</f>
        <v>0</v>
      </c>
      <c r="H104" s="106"/>
      <c r="I104" s="104">
        <v>0</v>
      </c>
      <c r="J104" s="102">
        <f>I104+H104</f>
        <v>0</v>
      </c>
      <c r="K104" s="106"/>
      <c r="L104" s="104">
        <v>0</v>
      </c>
      <c r="M104" s="106"/>
      <c r="N104" s="104">
        <v>0</v>
      </c>
      <c r="O104" s="106"/>
      <c r="P104" s="104">
        <v>0</v>
      </c>
      <c r="Q104" s="106"/>
      <c r="R104" s="102">
        <f>P104+N104+L104</f>
        <v>0</v>
      </c>
      <c r="S104" s="102">
        <f>R104+Q104</f>
        <v>0</v>
      </c>
    </row>
    <row r="105" spans="1:19" ht="27" customHeight="1" thickTop="1" thickBot="1">
      <c r="A105" s="87"/>
      <c r="B105" s="388"/>
      <c r="C105" s="389"/>
      <c r="D105" s="15" t="s">
        <v>145</v>
      </c>
      <c r="E105" s="106"/>
      <c r="F105" s="104">
        <v>0</v>
      </c>
      <c r="G105" s="102">
        <f>F105+E105</f>
        <v>0</v>
      </c>
      <c r="H105" s="106"/>
      <c r="I105" s="104">
        <v>0</v>
      </c>
      <c r="J105" s="102">
        <f>I105+H105</f>
        <v>0</v>
      </c>
      <c r="K105" s="106"/>
      <c r="L105" s="104">
        <v>0</v>
      </c>
      <c r="M105" s="106"/>
      <c r="N105" s="104">
        <v>0</v>
      </c>
      <c r="O105" s="106"/>
      <c r="P105" s="104">
        <v>0</v>
      </c>
      <c r="Q105" s="106"/>
      <c r="R105" s="102">
        <f>P105+N105+L105</f>
        <v>0</v>
      </c>
      <c r="S105" s="102">
        <f>R105+Q105</f>
        <v>0</v>
      </c>
    </row>
    <row r="106" spans="1:19" ht="27" customHeight="1" thickTop="1" thickBot="1">
      <c r="A106" s="87"/>
      <c r="B106" s="390"/>
      <c r="C106" s="391"/>
      <c r="D106" s="15" t="s">
        <v>25</v>
      </c>
      <c r="E106" s="106"/>
      <c r="F106" s="104">
        <f>F105+F104+F103</f>
        <v>0</v>
      </c>
      <c r="G106" s="104">
        <f>G105+G104+G103</f>
        <v>0</v>
      </c>
      <c r="H106" s="106"/>
      <c r="I106" s="104">
        <f>I105+I104+I103</f>
        <v>0</v>
      </c>
      <c r="J106" s="104">
        <f>J105+J104+J103</f>
        <v>0</v>
      </c>
      <c r="K106" s="106"/>
      <c r="L106" s="104">
        <f>L105+L104+L103</f>
        <v>0</v>
      </c>
      <c r="M106" s="106"/>
      <c r="N106" s="104">
        <f>N105+N104+N103</f>
        <v>0</v>
      </c>
      <c r="O106" s="106"/>
      <c r="P106" s="104">
        <f>P105+P104+P103</f>
        <v>0</v>
      </c>
      <c r="Q106" s="106"/>
      <c r="R106" s="104">
        <f>R105+R104+R103</f>
        <v>0</v>
      </c>
      <c r="S106" s="104">
        <f>S105+S104+S103</f>
        <v>0</v>
      </c>
    </row>
    <row r="107" spans="1:19" ht="27" customHeight="1" thickTop="1" thickBot="1">
      <c r="A107" s="135"/>
      <c r="B107" s="386" t="s">
        <v>459</v>
      </c>
      <c r="C107" s="387"/>
      <c r="D107" s="15" t="s">
        <v>143</v>
      </c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</row>
    <row r="108" spans="1:19" ht="27" customHeight="1" thickTop="1" thickBot="1">
      <c r="A108" s="135"/>
      <c r="B108" s="388"/>
      <c r="C108" s="389"/>
      <c r="D108" s="15" t="s">
        <v>144</v>
      </c>
      <c r="E108" s="104"/>
      <c r="F108" s="104"/>
      <c r="G108" s="104"/>
      <c r="H108" s="104"/>
      <c r="I108" s="104"/>
      <c r="J108" s="104"/>
      <c r="K108" s="104"/>
      <c r="L108" s="104"/>
      <c r="M108" s="104"/>
      <c r="N108" s="104"/>
      <c r="O108" s="104"/>
      <c r="P108" s="104"/>
      <c r="Q108" s="104"/>
      <c r="R108" s="104"/>
      <c r="S108" s="104"/>
    </row>
    <row r="109" spans="1:19" ht="27" customHeight="1" thickTop="1" thickBot="1">
      <c r="A109" s="135"/>
      <c r="B109" s="388"/>
      <c r="C109" s="389"/>
      <c r="D109" s="15" t="s">
        <v>145</v>
      </c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104"/>
      <c r="S109" s="104"/>
    </row>
    <row r="110" spans="1:19" ht="27" customHeight="1" thickTop="1" thickBot="1">
      <c r="A110" s="135"/>
      <c r="B110" s="390"/>
      <c r="C110" s="391"/>
      <c r="D110" s="15" t="s">
        <v>25</v>
      </c>
      <c r="E110" s="104"/>
      <c r="F110" s="104"/>
      <c r="G110" s="104"/>
      <c r="H110" s="104"/>
      <c r="I110" s="104"/>
      <c r="J110" s="104"/>
      <c r="K110" s="104"/>
      <c r="L110" s="104"/>
      <c r="M110" s="104"/>
      <c r="N110" s="104"/>
      <c r="O110" s="104"/>
      <c r="P110" s="104"/>
      <c r="Q110" s="104"/>
      <c r="R110" s="104"/>
      <c r="S110" s="104"/>
    </row>
    <row r="111" spans="1:19" ht="27" customHeight="1" thickTop="1" thickBot="1">
      <c r="A111" s="87"/>
      <c r="B111" s="392" t="s">
        <v>387</v>
      </c>
      <c r="C111" s="393"/>
      <c r="D111" s="15" t="s">
        <v>143</v>
      </c>
      <c r="E111" s="102" t="e">
        <f>المهني!#REF!</f>
        <v>#REF!</v>
      </c>
      <c r="F111" s="102" t="e">
        <f>المهني!#REF!</f>
        <v>#REF!</v>
      </c>
      <c r="G111" s="102" t="e">
        <f>F111+E111</f>
        <v>#REF!</v>
      </c>
      <c r="H111" s="102" t="e">
        <f>المهني!#REF!</f>
        <v>#REF!</v>
      </c>
      <c r="I111" s="102" t="e">
        <f>المهني!#REF!</f>
        <v>#REF!</v>
      </c>
      <c r="J111" s="102" t="e">
        <f>I111+H111</f>
        <v>#REF!</v>
      </c>
      <c r="K111" s="102" t="e">
        <f>المهني!#REF!</f>
        <v>#REF!</v>
      </c>
      <c r="L111" s="102" t="e">
        <f>المهني!#REF!</f>
        <v>#REF!</v>
      </c>
      <c r="M111" s="102" t="e">
        <f>المهني!#REF!</f>
        <v>#REF!</v>
      </c>
      <c r="N111" s="102" t="e">
        <f>المهني!#REF!</f>
        <v>#REF!</v>
      </c>
      <c r="O111" s="102" t="e">
        <f>المهني!#REF!</f>
        <v>#REF!</v>
      </c>
      <c r="P111" s="102" t="e">
        <f>المهني!#REF!</f>
        <v>#REF!</v>
      </c>
      <c r="Q111" s="102" t="e">
        <f t="shared" ref="Q111:R113" si="51">O111+M111+K111</f>
        <v>#REF!</v>
      </c>
      <c r="R111" s="102" t="e">
        <f t="shared" si="51"/>
        <v>#REF!</v>
      </c>
      <c r="S111" s="102" t="e">
        <f>R111+Q111</f>
        <v>#REF!</v>
      </c>
    </row>
    <row r="112" spans="1:19" ht="27" customHeight="1" thickTop="1" thickBot="1">
      <c r="A112" s="87"/>
      <c r="B112" s="394"/>
      <c r="C112" s="395"/>
      <c r="D112" s="15" t="s">
        <v>144</v>
      </c>
      <c r="E112" s="102" t="e">
        <f>المهني!#REF!</f>
        <v>#REF!</v>
      </c>
      <c r="F112" s="102" t="e">
        <f>المهني!#REF!</f>
        <v>#REF!</v>
      </c>
      <c r="G112" s="102" t="e">
        <f>F112+E112</f>
        <v>#REF!</v>
      </c>
      <c r="H112" s="102" t="e">
        <f>المهني!#REF!</f>
        <v>#REF!</v>
      </c>
      <c r="I112" s="102" t="e">
        <f>المهني!#REF!</f>
        <v>#REF!</v>
      </c>
      <c r="J112" s="102" t="e">
        <f>I112+H112</f>
        <v>#REF!</v>
      </c>
      <c r="K112" s="102" t="e">
        <f>المهني!#REF!</f>
        <v>#REF!</v>
      </c>
      <c r="L112" s="102" t="e">
        <f>المهني!#REF!</f>
        <v>#REF!</v>
      </c>
      <c r="M112" s="102" t="e">
        <f>المهني!#REF!</f>
        <v>#REF!</v>
      </c>
      <c r="N112" s="102" t="e">
        <f>المهني!#REF!</f>
        <v>#REF!</v>
      </c>
      <c r="O112" s="102" t="e">
        <f>المهني!#REF!</f>
        <v>#REF!</v>
      </c>
      <c r="P112" s="102" t="e">
        <f>المهني!#REF!</f>
        <v>#REF!</v>
      </c>
      <c r="Q112" s="102" t="e">
        <f t="shared" si="51"/>
        <v>#REF!</v>
      </c>
      <c r="R112" s="102" t="e">
        <f t="shared" si="51"/>
        <v>#REF!</v>
      </c>
      <c r="S112" s="102" t="e">
        <f>R112+Q112</f>
        <v>#REF!</v>
      </c>
    </row>
    <row r="113" spans="1:19" ht="27" customHeight="1" thickTop="1" thickBot="1">
      <c r="A113" s="87"/>
      <c r="B113" s="394"/>
      <c r="C113" s="395"/>
      <c r="D113" s="15" t="s">
        <v>145</v>
      </c>
      <c r="E113" s="102" t="e">
        <f>المهني!#REF!</f>
        <v>#REF!</v>
      </c>
      <c r="F113" s="102" t="e">
        <f>المهني!#REF!</f>
        <v>#REF!</v>
      </c>
      <c r="G113" s="102" t="e">
        <f>F113+E113</f>
        <v>#REF!</v>
      </c>
      <c r="H113" s="102" t="e">
        <f>المهني!#REF!</f>
        <v>#REF!</v>
      </c>
      <c r="I113" s="102" t="e">
        <f>المهني!#REF!</f>
        <v>#REF!</v>
      </c>
      <c r="J113" s="102" t="e">
        <f>I113+H113</f>
        <v>#REF!</v>
      </c>
      <c r="K113" s="102" t="e">
        <f>المهني!#REF!</f>
        <v>#REF!</v>
      </c>
      <c r="L113" s="102" t="e">
        <f>المهني!#REF!</f>
        <v>#REF!</v>
      </c>
      <c r="M113" s="102" t="e">
        <f>المهني!#REF!</f>
        <v>#REF!</v>
      </c>
      <c r="N113" s="102" t="e">
        <f>المهني!#REF!</f>
        <v>#REF!</v>
      </c>
      <c r="O113" s="102" t="e">
        <f>المهني!#REF!</f>
        <v>#REF!</v>
      </c>
      <c r="P113" s="102" t="e">
        <f>المهني!#REF!</f>
        <v>#REF!</v>
      </c>
      <c r="Q113" s="102" t="e">
        <f t="shared" si="51"/>
        <v>#REF!</v>
      </c>
      <c r="R113" s="102" t="e">
        <f t="shared" si="51"/>
        <v>#REF!</v>
      </c>
      <c r="S113" s="102" t="e">
        <f>R113+Q113</f>
        <v>#REF!</v>
      </c>
    </row>
    <row r="114" spans="1:19" ht="27" customHeight="1" thickTop="1" thickBot="1">
      <c r="A114" s="87"/>
      <c r="B114" s="396"/>
      <c r="C114" s="397"/>
      <c r="D114" s="15" t="s">
        <v>25</v>
      </c>
      <c r="E114" s="102" t="e">
        <f t="shared" ref="E114:S114" si="52">E113+E112+E111</f>
        <v>#REF!</v>
      </c>
      <c r="F114" s="102" t="e">
        <f t="shared" si="52"/>
        <v>#REF!</v>
      </c>
      <c r="G114" s="102" t="e">
        <f t="shared" si="52"/>
        <v>#REF!</v>
      </c>
      <c r="H114" s="14" t="e">
        <f t="shared" si="52"/>
        <v>#REF!</v>
      </c>
      <c r="I114" s="14" t="e">
        <f t="shared" si="52"/>
        <v>#REF!</v>
      </c>
      <c r="J114" s="14" t="e">
        <f t="shared" si="52"/>
        <v>#REF!</v>
      </c>
      <c r="K114" s="14" t="e">
        <f t="shared" si="52"/>
        <v>#REF!</v>
      </c>
      <c r="L114" s="14" t="e">
        <f t="shared" si="52"/>
        <v>#REF!</v>
      </c>
      <c r="M114" s="14" t="e">
        <f t="shared" si="52"/>
        <v>#REF!</v>
      </c>
      <c r="N114" s="14" t="e">
        <f t="shared" si="52"/>
        <v>#REF!</v>
      </c>
      <c r="O114" s="14" t="e">
        <f t="shared" si="52"/>
        <v>#REF!</v>
      </c>
      <c r="P114" s="14" t="e">
        <f t="shared" si="52"/>
        <v>#REF!</v>
      </c>
      <c r="Q114" s="102" t="e">
        <f t="shared" si="52"/>
        <v>#REF!</v>
      </c>
      <c r="R114" s="102" t="e">
        <f t="shared" si="52"/>
        <v>#REF!</v>
      </c>
      <c r="S114" s="102" t="e">
        <f t="shared" si="52"/>
        <v>#REF!</v>
      </c>
    </row>
    <row r="115" spans="1:19" ht="27" customHeight="1" thickTop="1" thickBot="1">
      <c r="A115" s="87"/>
      <c r="B115" s="386" t="s">
        <v>137</v>
      </c>
      <c r="C115" s="387"/>
      <c r="D115" s="15" t="s">
        <v>143</v>
      </c>
      <c r="E115" s="102" t="e">
        <f t="shared" ref="E115:S115" si="53">E103+E99+E95+E91+E111</f>
        <v>#REF!</v>
      </c>
      <c r="F115" s="102" t="e">
        <f t="shared" si="53"/>
        <v>#REF!</v>
      </c>
      <c r="G115" s="102" t="e">
        <f t="shared" si="53"/>
        <v>#REF!</v>
      </c>
      <c r="H115" s="14" t="e">
        <f t="shared" si="53"/>
        <v>#REF!</v>
      </c>
      <c r="I115" s="14" t="e">
        <f t="shared" si="53"/>
        <v>#REF!</v>
      </c>
      <c r="J115" s="14" t="e">
        <f t="shared" si="53"/>
        <v>#REF!</v>
      </c>
      <c r="K115" s="14" t="e">
        <f t="shared" si="53"/>
        <v>#REF!</v>
      </c>
      <c r="L115" s="14" t="e">
        <f t="shared" si="53"/>
        <v>#REF!</v>
      </c>
      <c r="M115" s="14" t="e">
        <f t="shared" si="53"/>
        <v>#REF!</v>
      </c>
      <c r="N115" s="14" t="e">
        <f t="shared" si="53"/>
        <v>#REF!</v>
      </c>
      <c r="O115" s="14" t="e">
        <f t="shared" si="53"/>
        <v>#REF!</v>
      </c>
      <c r="P115" s="14" t="e">
        <f t="shared" si="53"/>
        <v>#REF!</v>
      </c>
      <c r="Q115" s="14" t="e">
        <f t="shared" si="53"/>
        <v>#REF!</v>
      </c>
      <c r="R115" s="14" t="e">
        <f t="shared" si="53"/>
        <v>#REF!</v>
      </c>
      <c r="S115" s="14" t="e">
        <f t="shared" si="53"/>
        <v>#REF!</v>
      </c>
    </row>
    <row r="116" spans="1:19" ht="27" customHeight="1" thickTop="1" thickBot="1">
      <c r="A116" s="87"/>
      <c r="B116" s="388"/>
      <c r="C116" s="389"/>
      <c r="D116" s="15" t="s">
        <v>144</v>
      </c>
      <c r="E116" s="102" t="e">
        <f t="shared" ref="E116:S116" si="54">E104+E100+E96+E92+E112</f>
        <v>#REF!</v>
      </c>
      <c r="F116" s="102" t="e">
        <f t="shared" si="54"/>
        <v>#REF!</v>
      </c>
      <c r="G116" s="102" t="e">
        <f t="shared" si="54"/>
        <v>#REF!</v>
      </c>
      <c r="H116" s="14" t="e">
        <f t="shared" si="54"/>
        <v>#REF!</v>
      </c>
      <c r="I116" s="14" t="e">
        <f t="shared" si="54"/>
        <v>#REF!</v>
      </c>
      <c r="J116" s="14" t="e">
        <f t="shared" si="54"/>
        <v>#REF!</v>
      </c>
      <c r="K116" s="14" t="e">
        <f t="shared" si="54"/>
        <v>#REF!</v>
      </c>
      <c r="L116" s="14" t="e">
        <f t="shared" si="54"/>
        <v>#REF!</v>
      </c>
      <c r="M116" s="14" t="e">
        <f t="shared" si="54"/>
        <v>#REF!</v>
      </c>
      <c r="N116" s="14" t="e">
        <f t="shared" si="54"/>
        <v>#REF!</v>
      </c>
      <c r="O116" s="14" t="e">
        <f t="shared" si="54"/>
        <v>#REF!</v>
      </c>
      <c r="P116" s="14" t="e">
        <f t="shared" si="54"/>
        <v>#REF!</v>
      </c>
      <c r="Q116" s="14" t="e">
        <f t="shared" si="54"/>
        <v>#REF!</v>
      </c>
      <c r="R116" s="14" t="e">
        <f t="shared" si="54"/>
        <v>#REF!</v>
      </c>
      <c r="S116" s="14" t="e">
        <f t="shared" si="54"/>
        <v>#REF!</v>
      </c>
    </row>
    <row r="117" spans="1:19" ht="27" customHeight="1" thickTop="1" thickBot="1">
      <c r="A117" s="87"/>
      <c r="B117" s="388"/>
      <c r="C117" s="389"/>
      <c r="D117" s="15" t="s">
        <v>145</v>
      </c>
      <c r="E117" s="102" t="e">
        <f t="shared" ref="E117:S117" si="55">E105+E101+E97+E93+E113</f>
        <v>#REF!</v>
      </c>
      <c r="F117" s="102" t="e">
        <f t="shared" si="55"/>
        <v>#REF!</v>
      </c>
      <c r="G117" s="102" t="e">
        <f t="shared" si="55"/>
        <v>#REF!</v>
      </c>
      <c r="H117" s="14" t="e">
        <f t="shared" si="55"/>
        <v>#REF!</v>
      </c>
      <c r="I117" s="14" t="e">
        <f t="shared" si="55"/>
        <v>#REF!</v>
      </c>
      <c r="J117" s="14" t="e">
        <f t="shared" si="55"/>
        <v>#REF!</v>
      </c>
      <c r="K117" s="14" t="e">
        <f t="shared" si="55"/>
        <v>#REF!</v>
      </c>
      <c r="L117" s="14" t="e">
        <f t="shared" si="55"/>
        <v>#REF!</v>
      </c>
      <c r="M117" s="14" t="e">
        <f t="shared" si="55"/>
        <v>#REF!</v>
      </c>
      <c r="N117" s="14" t="e">
        <f t="shared" si="55"/>
        <v>#REF!</v>
      </c>
      <c r="O117" s="14" t="e">
        <f t="shared" si="55"/>
        <v>#REF!</v>
      </c>
      <c r="P117" s="14" t="e">
        <f t="shared" si="55"/>
        <v>#REF!</v>
      </c>
      <c r="Q117" s="14" t="e">
        <f t="shared" si="55"/>
        <v>#REF!</v>
      </c>
      <c r="R117" s="14" t="e">
        <f t="shared" si="55"/>
        <v>#REF!</v>
      </c>
      <c r="S117" s="14" t="e">
        <f t="shared" si="55"/>
        <v>#REF!</v>
      </c>
    </row>
    <row r="118" spans="1:19" ht="27" customHeight="1" thickTop="1" thickBot="1">
      <c r="A118" s="87"/>
      <c r="B118" s="390"/>
      <c r="C118" s="391"/>
      <c r="D118" s="15" t="s">
        <v>25</v>
      </c>
      <c r="E118" s="102" t="e">
        <f t="shared" ref="E118:S118" si="56">E106+E102+E98+E94+E114</f>
        <v>#REF!</v>
      </c>
      <c r="F118" s="102" t="e">
        <f t="shared" si="56"/>
        <v>#REF!</v>
      </c>
      <c r="G118" s="102" t="e">
        <f t="shared" si="56"/>
        <v>#REF!</v>
      </c>
      <c r="H118" s="14" t="e">
        <f t="shared" si="56"/>
        <v>#REF!</v>
      </c>
      <c r="I118" s="14" t="e">
        <f t="shared" si="56"/>
        <v>#REF!</v>
      </c>
      <c r="J118" s="14" t="e">
        <f t="shared" si="56"/>
        <v>#REF!</v>
      </c>
      <c r="K118" s="14" t="e">
        <f t="shared" si="56"/>
        <v>#REF!</v>
      </c>
      <c r="L118" s="14" t="e">
        <f t="shared" si="56"/>
        <v>#REF!</v>
      </c>
      <c r="M118" s="14" t="e">
        <f t="shared" si="56"/>
        <v>#REF!</v>
      </c>
      <c r="N118" s="14" t="e">
        <f t="shared" si="56"/>
        <v>#REF!</v>
      </c>
      <c r="O118" s="14" t="e">
        <f t="shared" si="56"/>
        <v>#REF!</v>
      </c>
      <c r="P118" s="14" t="e">
        <f t="shared" si="56"/>
        <v>#REF!</v>
      </c>
      <c r="Q118" s="14" t="e">
        <f t="shared" si="56"/>
        <v>#REF!</v>
      </c>
      <c r="R118" s="14" t="e">
        <f t="shared" si="56"/>
        <v>#REF!</v>
      </c>
      <c r="S118" s="14" t="e">
        <f t="shared" si="56"/>
        <v>#REF!</v>
      </c>
    </row>
    <row r="119" spans="1:19" ht="27" customHeight="1" thickTop="1"/>
    <row r="120" spans="1:19" ht="27" customHeight="1">
      <c r="A120" s="328" t="s">
        <v>146</v>
      </c>
      <c r="B120" s="328"/>
      <c r="C120" s="328"/>
      <c r="D120" s="328"/>
      <c r="E120" s="328"/>
      <c r="F120" s="86"/>
      <c r="G120" s="86"/>
      <c r="H120" s="87"/>
      <c r="I120" s="87"/>
      <c r="J120" s="87"/>
      <c r="K120" s="87"/>
      <c r="L120" s="87"/>
      <c r="M120" s="87"/>
      <c r="N120" s="87"/>
      <c r="O120" s="87"/>
      <c r="P120" s="87"/>
      <c r="Q120" s="87"/>
      <c r="R120" s="328" t="s">
        <v>110</v>
      </c>
      <c r="S120" s="328"/>
    </row>
    <row r="121" spans="1:19" ht="27" customHeight="1">
      <c r="A121" s="340" t="s">
        <v>185</v>
      </c>
      <c r="B121" s="340"/>
      <c r="C121" s="340"/>
      <c r="D121" s="340"/>
      <c r="E121" s="340"/>
      <c r="F121" s="87"/>
      <c r="G121" s="87"/>
      <c r="H121" s="87"/>
      <c r="I121" s="340" t="s">
        <v>184</v>
      </c>
      <c r="J121" s="340"/>
      <c r="K121" s="340"/>
      <c r="L121" s="340"/>
      <c r="M121" s="87"/>
      <c r="N121" s="87"/>
      <c r="O121" s="87"/>
      <c r="P121" s="87"/>
      <c r="Q121" s="87"/>
      <c r="R121" s="87"/>
      <c r="S121" s="87"/>
    </row>
    <row r="122" spans="1:19" ht="27" customHeight="1">
      <c r="A122" s="87"/>
      <c r="B122" s="328" t="s">
        <v>147</v>
      </c>
      <c r="C122" s="328"/>
      <c r="D122" s="328"/>
      <c r="E122" s="328"/>
      <c r="F122" s="328"/>
      <c r="G122" s="328"/>
      <c r="H122" s="328"/>
      <c r="I122" s="328"/>
      <c r="J122" s="328"/>
      <c r="K122" s="328"/>
      <c r="L122" s="328"/>
      <c r="M122" s="328"/>
      <c r="N122" s="328"/>
      <c r="O122" s="328"/>
      <c r="P122" s="328"/>
      <c r="Q122" s="328"/>
      <c r="R122" s="328"/>
      <c r="S122" s="328"/>
    </row>
    <row r="123" spans="1:19" ht="27" customHeight="1">
      <c r="A123" s="87"/>
      <c r="B123" s="328" t="s">
        <v>500</v>
      </c>
      <c r="C123" s="328"/>
      <c r="D123" s="328"/>
      <c r="E123" s="328"/>
      <c r="F123" s="328"/>
      <c r="G123" s="328"/>
      <c r="H123" s="328"/>
      <c r="I123" s="328"/>
      <c r="J123" s="328"/>
      <c r="K123" s="328"/>
      <c r="L123" s="328"/>
      <c r="M123" s="328"/>
      <c r="N123" s="328"/>
      <c r="O123" s="328"/>
      <c r="P123" s="328"/>
      <c r="Q123" s="328"/>
      <c r="R123" s="328"/>
      <c r="S123" s="328"/>
    </row>
    <row r="124" spans="1:19" ht="27" customHeight="1">
      <c r="A124" s="87"/>
      <c r="B124" s="343" t="s">
        <v>471</v>
      </c>
      <c r="C124" s="343"/>
      <c r="D124" s="343"/>
      <c r="E124" s="343"/>
      <c r="F124" s="343"/>
      <c r="G124" s="343"/>
      <c r="H124" s="343"/>
      <c r="I124" s="343"/>
      <c r="J124" s="343"/>
      <c r="K124" s="343"/>
      <c r="L124" s="343"/>
      <c r="M124" s="343"/>
      <c r="N124" s="343"/>
      <c r="O124" s="343"/>
      <c r="P124" s="343"/>
      <c r="Q124" s="343"/>
      <c r="R124" s="343"/>
      <c r="S124" s="343"/>
    </row>
    <row r="125" spans="1:19" ht="27" customHeight="1" thickBot="1">
      <c r="A125" s="87"/>
      <c r="B125" s="90"/>
      <c r="C125" s="90"/>
      <c r="D125" s="90"/>
      <c r="E125" s="90"/>
      <c r="F125" s="90"/>
      <c r="G125" s="90"/>
      <c r="H125" s="90"/>
      <c r="I125" s="90"/>
      <c r="J125" s="90"/>
      <c r="K125" s="99"/>
      <c r="L125" s="99"/>
      <c r="M125" s="99"/>
      <c r="N125" s="99"/>
      <c r="O125" s="86"/>
      <c r="P125" s="87"/>
      <c r="Q125" s="87"/>
      <c r="R125" s="87"/>
      <c r="S125" s="87"/>
    </row>
    <row r="126" spans="1:19" ht="27" customHeight="1" thickTop="1" thickBot="1">
      <c r="A126" s="87"/>
      <c r="B126" s="349" t="s">
        <v>113</v>
      </c>
      <c r="C126" s="351"/>
      <c r="D126" s="336" t="s">
        <v>140</v>
      </c>
      <c r="E126" s="330" t="s">
        <v>481</v>
      </c>
      <c r="F126" s="406"/>
      <c r="G126" s="331"/>
      <c r="H126" s="330" t="s">
        <v>469</v>
      </c>
      <c r="I126" s="406"/>
      <c r="J126" s="331"/>
      <c r="K126" s="324" t="s">
        <v>470</v>
      </c>
      <c r="L126" s="325"/>
      <c r="M126" s="325"/>
      <c r="N126" s="325"/>
      <c r="O126" s="325"/>
      <c r="P126" s="325"/>
      <c r="Q126" s="325"/>
      <c r="R126" s="325"/>
      <c r="S126" s="326"/>
    </row>
    <row r="127" spans="1:19" ht="27" customHeight="1" thickTop="1" thickBot="1">
      <c r="A127" s="87"/>
      <c r="B127" s="398"/>
      <c r="C127" s="399"/>
      <c r="D127" s="348"/>
      <c r="E127" s="332"/>
      <c r="F127" s="407"/>
      <c r="G127" s="333"/>
      <c r="H127" s="332"/>
      <c r="I127" s="407"/>
      <c r="J127" s="333"/>
      <c r="K127" s="324" t="s">
        <v>148</v>
      </c>
      <c r="L127" s="326"/>
      <c r="M127" s="324" t="s">
        <v>149</v>
      </c>
      <c r="N127" s="326"/>
      <c r="O127" s="324" t="s">
        <v>150</v>
      </c>
      <c r="P127" s="326"/>
      <c r="Q127" s="324" t="s">
        <v>151</v>
      </c>
      <c r="R127" s="325"/>
      <c r="S127" s="326"/>
    </row>
    <row r="128" spans="1:19" ht="27" customHeight="1" thickTop="1" thickBot="1">
      <c r="A128" s="87"/>
      <c r="B128" s="352"/>
      <c r="C128" s="354"/>
      <c r="D128" s="337"/>
      <c r="E128" s="14" t="s">
        <v>5</v>
      </c>
      <c r="F128" s="14" t="s">
        <v>6</v>
      </c>
      <c r="G128" s="14" t="s">
        <v>25</v>
      </c>
      <c r="H128" s="14" t="s">
        <v>5</v>
      </c>
      <c r="I128" s="14" t="s">
        <v>6</v>
      </c>
      <c r="J128" s="14" t="s">
        <v>25</v>
      </c>
      <c r="K128" s="96" t="s">
        <v>5</v>
      </c>
      <c r="L128" s="96" t="s">
        <v>6</v>
      </c>
      <c r="M128" s="96" t="s">
        <v>5</v>
      </c>
      <c r="N128" s="96" t="s">
        <v>6</v>
      </c>
      <c r="O128" s="96" t="s">
        <v>5</v>
      </c>
      <c r="P128" s="96" t="s">
        <v>6</v>
      </c>
      <c r="Q128" s="96" t="s">
        <v>5</v>
      </c>
      <c r="R128" s="96" t="s">
        <v>6</v>
      </c>
      <c r="S128" s="14" t="s">
        <v>25</v>
      </c>
    </row>
    <row r="129" spans="1:19" ht="27" customHeight="1" thickTop="1" thickBot="1">
      <c r="A129" s="87"/>
      <c r="B129" s="386" t="s">
        <v>121</v>
      </c>
      <c r="C129" s="387"/>
      <c r="D129" s="15" t="s">
        <v>143</v>
      </c>
      <c r="E129" s="102">
        <f>المهني!CZ16</f>
        <v>0</v>
      </c>
      <c r="F129" s="102">
        <f>المهني!DA16</f>
        <v>0</v>
      </c>
      <c r="G129" s="102">
        <f>F129+E129</f>
        <v>0</v>
      </c>
      <c r="H129" s="102">
        <f>المهني!DR16</f>
        <v>0</v>
      </c>
      <c r="I129" s="102">
        <f>المهني!DS16</f>
        <v>0</v>
      </c>
      <c r="J129" s="102">
        <f>I129+H129</f>
        <v>0</v>
      </c>
      <c r="K129" s="102">
        <f>المهني!EA16</f>
        <v>0</v>
      </c>
      <c r="L129" s="102">
        <f>المهني!EB16</f>
        <v>0</v>
      </c>
      <c r="M129" s="102">
        <f>المهني!EJ16</f>
        <v>0</v>
      </c>
      <c r="N129" s="102">
        <f>المهني!EK16</f>
        <v>0</v>
      </c>
      <c r="O129" s="102">
        <f>المهني!ES16</f>
        <v>0</v>
      </c>
      <c r="P129" s="102">
        <f>المهني!ET16</f>
        <v>0</v>
      </c>
      <c r="Q129" s="102">
        <f t="shared" ref="Q129:R131" si="57">O129+M129+K129</f>
        <v>0</v>
      </c>
      <c r="R129" s="102">
        <f t="shared" si="57"/>
        <v>0</v>
      </c>
      <c r="S129" s="102">
        <f>R129+Q129</f>
        <v>0</v>
      </c>
    </row>
    <row r="130" spans="1:19" ht="27" customHeight="1" thickTop="1" thickBot="1">
      <c r="A130" s="87"/>
      <c r="B130" s="388"/>
      <c r="C130" s="389"/>
      <c r="D130" s="15" t="s">
        <v>144</v>
      </c>
      <c r="E130" s="102">
        <f>المهني!DB16</f>
        <v>0</v>
      </c>
      <c r="F130" s="102">
        <f>المهني!DC16</f>
        <v>0</v>
      </c>
      <c r="G130" s="102">
        <f>F130+E130</f>
        <v>0</v>
      </c>
      <c r="H130" s="102">
        <f>المهني!DT16</f>
        <v>0</v>
      </c>
      <c r="I130" s="102">
        <f>المهني!DU16</f>
        <v>0</v>
      </c>
      <c r="J130" s="102">
        <f>I130+H130</f>
        <v>0</v>
      </c>
      <c r="K130" s="102">
        <f>المهني!EC16</f>
        <v>0</v>
      </c>
      <c r="L130" s="102">
        <f>المهني!ED16</f>
        <v>0</v>
      </c>
      <c r="M130" s="102">
        <f>المهني!EL16</f>
        <v>0</v>
      </c>
      <c r="N130" s="102">
        <f>المهني!EM16</f>
        <v>0</v>
      </c>
      <c r="O130" s="102">
        <f>المهني!EU16</f>
        <v>0</v>
      </c>
      <c r="P130" s="102">
        <f>المهني!EV16</f>
        <v>0</v>
      </c>
      <c r="Q130" s="102">
        <f t="shared" si="57"/>
        <v>0</v>
      </c>
      <c r="R130" s="102">
        <f t="shared" si="57"/>
        <v>0</v>
      </c>
      <c r="S130" s="102">
        <f>R130+Q130</f>
        <v>0</v>
      </c>
    </row>
    <row r="131" spans="1:19" ht="27" customHeight="1" thickTop="1" thickBot="1">
      <c r="A131" s="87"/>
      <c r="B131" s="388"/>
      <c r="C131" s="389"/>
      <c r="D131" s="15" t="s">
        <v>145</v>
      </c>
      <c r="E131" s="102">
        <f>المهني!DD16</f>
        <v>0</v>
      </c>
      <c r="F131" s="102">
        <f>المهني!DE16</f>
        <v>0</v>
      </c>
      <c r="G131" s="102">
        <f>F131+E131</f>
        <v>0</v>
      </c>
      <c r="H131" s="102">
        <f>المهني!DV16</f>
        <v>0</v>
      </c>
      <c r="I131" s="102">
        <f>المهني!DW16</f>
        <v>0</v>
      </c>
      <c r="J131" s="102">
        <f>I131+H131</f>
        <v>0</v>
      </c>
      <c r="K131" s="102">
        <f>المهني!EE16</f>
        <v>0</v>
      </c>
      <c r="L131" s="102">
        <f>المهني!EF16</f>
        <v>0</v>
      </c>
      <c r="M131" s="102">
        <f>المهني!EN16</f>
        <v>0</v>
      </c>
      <c r="N131" s="102">
        <f>المهني!EO16</f>
        <v>0</v>
      </c>
      <c r="O131" s="102">
        <f>المهني!EW16</f>
        <v>0</v>
      </c>
      <c r="P131" s="102">
        <f>المهني!EX16</f>
        <v>0</v>
      </c>
      <c r="Q131" s="102">
        <f t="shared" si="57"/>
        <v>0</v>
      </c>
      <c r="R131" s="102">
        <f t="shared" si="57"/>
        <v>0</v>
      </c>
      <c r="S131" s="102">
        <f>R131+Q131</f>
        <v>0</v>
      </c>
    </row>
    <row r="132" spans="1:19" ht="27" customHeight="1" thickTop="1" thickBot="1">
      <c r="A132" s="87"/>
      <c r="B132" s="390"/>
      <c r="C132" s="391"/>
      <c r="D132" s="15" t="s">
        <v>25</v>
      </c>
      <c r="E132" s="102">
        <f t="shared" ref="E132:S132" si="58">E131+E130+E129</f>
        <v>0</v>
      </c>
      <c r="F132" s="102">
        <f t="shared" si="58"/>
        <v>0</v>
      </c>
      <c r="G132" s="102">
        <f t="shared" si="58"/>
        <v>0</v>
      </c>
      <c r="H132" s="102">
        <f t="shared" si="58"/>
        <v>0</v>
      </c>
      <c r="I132" s="102">
        <f t="shared" si="58"/>
        <v>0</v>
      </c>
      <c r="J132" s="102">
        <f t="shared" si="58"/>
        <v>0</v>
      </c>
      <c r="K132" s="102">
        <f t="shared" si="58"/>
        <v>0</v>
      </c>
      <c r="L132" s="102">
        <f t="shared" si="58"/>
        <v>0</v>
      </c>
      <c r="M132" s="102">
        <f t="shared" si="58"/>
        <v>0</v>
      </c>
      <c r="N132" s="102">
        <f t="shared" si="58"/>
        <v>0</v>
      </c>
      <c r="O132" s="102">
        <f t="shared" si="58"/>
        <v>0</v>
      </c>
      <c r="P132" s="102">
        <f t="shared" si="58"/>
        <v>0</v>
      </c>
      <c r="Q132" s="102">
        <f t="shared" si="58"/>
        <v>0</v>
      </c>
      <c r="R132" s="102">
        <f t="shared" si="58"/>
        <v>0</v>
      </c>
      <c r="S132" s="102">
        <f t="shared" si="58"/>
        <v>0</v>
      </c>
    </row>
    <row r="133" spans="1:19" ht="27" customHeight="1" thickTop="1" thickBot="1">
      <c r="A133" s="87"/>
      <c r="B133" s="386" t="s">
        <v>122</v>
      </c>
      <c r="C133" s="387"/>
      <c r="D133" s="15" t="s">
        <v>143</v>
      </c>
      <c r="E133" s="102">
        <v>0</v>
      </c>
      <c r="F133" s="102">
        <v>0</v>
      </c>
      <c r="G133" s="102">
        <f>F133+E133</f>
        <v>0</v>
      </c>
      <c r="H133" s="102">
        <v>0</v>
      </c>
      <c r="I133" s="102">
        <v>0</v>
      </c>
      <c r="J133" s="102">
        <f>I133+H133</f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f t="shared" ref="Q133:R135" si="59">O133+M133+K133</f>
        <v>0</v>
      </c>
      <c r="R133" s="102">
        <f t="shared" si="59"/>
        <v>0</v>
      </c>
      <c r="S133" s="102">
        <f>R133+Q133</f>
        <v>0</v>
      </c>
    </row>
    <row r="134" spans="1:19" ht="27" customHeight="1" thickTop="1" thickBot="1">
      <c r="A134" s="87"/>
      <c r="B134" s="388"/>
      <c r="C134" s="389"/>
      <c r="D134" s="15" t="s">
        <v>144</v>
      </c>
      <c r="E134" s="102">
        <v>0</v>
      </c>
      <c r="F134" s="102">
        <v>0</v>
      </c>
      <c r="G134" s="102">
        <f>F134+E134</f>
        <v>0</v>
      </c>
      <c r="H134" s="102">
        <v>0</v>
      </c>
      <c r="I134" s="102">
        <v>0</v>
      </c>
      <c r="J134" s="102">
        <f>I134+H134</f>
        <v>0</v>
      </c>
      <c r="K134" s="102">
        <v>0</v>
      </c>
      <c r="L134" s="102">
        <v>0</v>
      </c>
      <c r="M134" s="102">
        <v>0</v>
      </c>
      <c r="N134" s="102">
        <v>0</v>
      </c>
      <c r="O134" s="102">
        <v>0</v>
      </c>
      <c r="P134" s="102">
        <v>0</v>
      </c>
      <c r="Q134" s="102">
        <f t="shared" si="59"/>
        <v>0</v>
      </c>
      <c r="R134" s="102">
        <f t="shared" si="59"/>
        <v>0</v>
      </c>
      <c r="S134" s="102">
        <f>R134+Q134</f>
        <v>0</v>
      </c>
    </row>
    <row r="135" spans="1:19" ht="27" customHeight="1" thickTop="1" thickBot="1">
      <c r="A135" s="87"/>
      <c r="B135" s="388"/>
      <c r="C135" s="389"/>
      <c r="D135" s="15" t="s">
        <v>145</v>
      </c>
      <c r="E135" s="102">
        <v>0</v>
      </c>
      <c r="F135" s="102">
        <v>0</v>
      </c>
      <c r="G135" s="102">
        <f>F135+E135</f>
        <v>0</v>
      </c>
      <c r="H135" s="102">
        <v>0</v>
      </c>
      <c r="I135" s="102">
        <v>0</v>
      </c>
      <c r="J135" s="102">
        <f>I135+H135</f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f t="shared" si="59"/>
        <v>0</v>
      </c>
      <c r="R135" s="102">
        <f t="shared" si="59"/>
        <v>0</v>
      </c>
      <c r="S135" s="102">
        <f>R135+Q135</f>
        <v>0</v>
      </c>
    </row>
    <row r="136" spans="1:19" ht="27" customHeight="1" thickTop="1" thickBot="1">
      <c r="A136" s="87"/>
      <c r="B136" s="390"/>
      <c r="C136" s="391"/>
      <c r="D136" s="15" t="s">
        <v>25</v>
      </c>
      <c r="E136" s="102">
        <f t="shared" ref="E136:S136" si="60">E135+E134+E133</f>
        <v>0</v>
      </c>
      <c r="F136" s="102">
        <f t="shared" si="60"/>
        <v>0</v>
      </c>
      <c r="G136" s="102">
        <f t="shared" si="60"/>
        <v>0</v>
      </c>
      <c r="H136" s="102">
        <f t="shared" si="60"/>
        <v>0</v>
      </c>
      <c r="I136" s="102">
        <f t="shared" si="60"/>
        <v>0</v>
      </c>
      <c r="J136" s="102">
        <f t="shared" si="60"/>
        <v>0</v>
      </c>
      <c r="K136" s="102">
        <f t="shared" si="60"/>
        <v>0</v>
      </c>
      <c r="L136" s="102">
        <f t="shared" si="60"/>
        <v>0</v>
      </c>
      <c r="M136" s="102">
        <f t="shared" si="60"/>
        <v>0</v>
      </c>
      <c r="N136" s="102">
        <f t="shared" si="60"/>
        <v>0</v>
      </c>
      <c r="O136" s="102">
        <f t="shared" si="60"/>
        <v>0</v>
      </c>
      <c r="P136" s="102">
        <f t="shared" si="60"/>
        <v>0</v>
      </c>
      <c r="Q136" s="102">
        <f t="shared" si="60"/>
        <v>0</v>
      </c>
      <c r="R136" s="102">
        <f t="shared" si="60"/>
        <v>0</v>
      </c>
      <c r="S136" s="102">
        <f t="shared" si="60"/>
        <v>0</v>
      </c>
    </row>
    <row r="137" spans="1:19" ht="27" customHeight="1" thickTop="1" thickBot="1">
      <c r="A137" s="87"/>
      <c r="B137" s="386" t="s">
        <v>123</v>
      </c>
      <c r="C137" s="387"/>
      <c r="D137" s="15" t="s">
        <v>143</v>
      </c>
      <c r="E137" s="102">
        <v>0</v>
      </c>
      <c r="F137" s="102">
        <v>0</v>
      </c>
      <c r="G137" s="102">
        <f>F137+E137</f>
        <v>0</v>
      </c>
      <c r="H137" s="102">
        <v>0</v>
      </c>
      <c r="I137" s="102">
        <v>0</v>
      </c>
      <c r="J137" s="102">
        <f>I137+H137</f>
        <v>0</v>
      </c>
      <c r="K137" s="102">
        <v>0</v>
      </c>
      <c r="L137" s="102">
        <v>0</v>
      </c>
      <c r="M137" s="102">
        <v>0</v>
      </c>
      <c r="N137" s="102">
        <v>0</v>
      </c>
      <c r="O137" s="102">
        <v>0</v>
      </c>
      <c r="P137" s="102">
        <v>0</v>
      </c>
      <c r="Q137" s="102">
        <f t="shared" ref="Q137:R139" si="61">O137+M137+K137</f>
        <v>0</v>
      </c>
      <c r="R137" s="102">
        <f t="shared" si="61"/>
        <v>0</v>
      </c>
      <c r="S137" s="102">
        <f>R137+Q137</f>
        <v>0</v>
      </c>
    </row>
    <row r="138" spans="1:19" ht="27" customHeight="1" thickTop="1" thickBot="1">
      <c r="A138" s="87"/>
      <c r="B138" s="388"/>
      <c r="C138" s="389"/>
      <c r="D138" s="15" t="s">
        <v>144</v>
      </c>
      <c r="E138" s="102">
        <v>0</v>
      </c>
      <c r="F138" s="102">
        <v>0</v>
      </c>
      <c r="G138" s="102">
        <f>F138+E138</f>
        <v>0</v>
      </c>
      <c r="H138" s="102">
        <v>0</v>
      </c>
      <c r="I138" s="102">
        <v>0</v>
      </c>
      <c r="J138" s="102">
        <f>I138+H138</f>
        <v>0</v>
      </c>
      <c r="K138" s="102">
        <v>0</v>
      </c>
      <c r="L138" s="102">
        <v>0</v>
      </c>
      <c r="M138" s="102">
        <v>0</v>
      </c>
      <c r="N138" s="102">
        <v>0</v>
      </c>
      <c r="O138" s="102">
        <v>0</v>
      </c>
      <c r="P138" s="102">
        <v>0</v>
      </c>
      <c r="Q138" s="102">
        <f t="shared" si="61"/>
        <v>0</v>
      </c>
      <c r="R138" s="102">
        <f t="shared" si="61"/>
        <v>0</v>
      </c>
      <c r="S138" s="102">
        <f>R138+Q138</f>
        <v>0</v>
      </c>
    </row>
    <row r="139" spans="1:19" ht="27" customHeight="1" thickTop="1" thickBot="1">
      <c r="A139" s="87"/>
      <c r="B139" s="388"/>
      <c r="C139" s="389"/>
      <c r="D139" s="15" t="s">
        <v>145</v>
      </c>
      <c r="E139" s="102">
        <v>0</v>
      </c>
      <c r="F139" s="102">
        <v>0</v>
      </c>
      <c r="G139" s="102">
        <f>F139+E139</f>
        <v>0</v>
      </c>
      <c r="H139" s="102">
        <v>0</v>
      </c>
      <c r="I139" s="102">
        <v>0</v>
      </c>
      <c r="J139" s="102">
        <f>I139+H139</f>
        <v>0</v>
      </c>
      <c r="K139" s="102">
        <v>0</v>
      </c>
      <c r="L139" s="102">
        <v>0</v>
      </c>
      <c r="M139" s="102">
        <v>0</v>
      </c>
      <c r="N139" s="102">
        <v>0</v>
      </c>
      <c r="O139" s="102">
        <v>0</v>
      </c>
      <c r="P139" s="102">
        <v>0</v>
      </c>
      <c r="Q139" s="102">
        <f t="shared" si="61"/>
        <v>0</v>
      </c>
      <c r="R139" s="102">
        <f t="shared" si="61"/>
        <v>0</v>
      </c>
      <c r="S139" s="102">
        <f>R139+Q139</f>
        <v>0</v>
      </c>
    </row>
    <row r="140" spans="1:19" ht="27" customHeight="1" thickTop="1" thickBot="1">
      <c r="A140" s="87"/>
      <c r="B140" s="390"/>
      <c r="C140" s="391"/>
      <c r="D140" s="15" t="s">
        <v>25</v>
      </c>
      <c r="E140" s="102">
        <f t="shared" ref="E140:S140" si="62">E139+E138+E137</f>
        <v>0</v>
      </c>
      <c r="F140" s="102">
        <f t="shared" si="62"/>
        <v>0</v>
      </c>
      <c r="G140" s="102">
        <f t="shared" si="62"/>
        <v>0</v>
      </c>
      <c r="H140" s="102">
        <f t="shared" si="62"/>
        <v>0</v>
      </c>
      <c r="I140" s="102">
        <f t="shared" si="62"/>
        <v>0</v>
      </c>
      <c r="J140" s="102">
        <f t="shared" si="62"/>
        <v>0</v>
      </c>
      <c r="K140" s="102">
        <f t="shared" si="62"/>
        <v>0</v>
      </c>
      <c r="L140" s="102">
        <f t="shared" si="62"/>
        <v>0</v>
      </c>
      <c r="M140" s="102">
        <f t="shared" si="62"/>
        <v>0</v>
      </c>
      <c r="N140" s="102">
        <f t="shared" si="62"/>
        <v>0</v>
      </c>
      <c r="O140" s="102">
        <f t="shared" si="62"/>
        <v>0</v>
      </c>
      <c r="P140" s="102">
        <f t="shared" si="62"/>
        <v>0</v>
      </c>
      <c r="Q140" s="102">
        <f t="shared" si="62"/>
        <v>0</v>
      </c>
      <c r="R140" s="102">
        <f t="shared" si="62"/>
        <v>0</v>
      </c>
      <c r="S140" s="102">
        <f t="shared" si="62"/>
        <v>0</v>
      </c>
    </row>
    <row r="141" spans="1:19" ht="27" customHeight="1" thickTop="1" thickBot="1">
      <c r="A141" s="87"/>
      <c r="B141" s="386" t="s">
        <v>211</v>
      </c>
      <c r="C141" s="387"/>
      <c r="D141" s="15" t="s">
        <v>143</v>
      </c>
      <c r="E141" s="106"/>
      <c r="F141" s="104">
        <v>0</v>
      </c>
      <c r="G141" s="102">
        <f>F141+E141</f>
        <v>0</v>
      </c>
      <c r="H141" s="106"/>
      <c r="I141" s="104">
        <v>0</v>
      </c>
      <c r="J141" s="102">
        <f>I141+H141</f>
        <v>0</v>
      </c>
      <c r="K141" s="106"/>
      <c r="L141" s="104">
        <v>0</v>
      </c>
      <c r="M141" s="106"/>
      <c r="N141" s="104">
        <v>0</v>
      </c>
      <c r="O141" s="106"/>
      <c r="P141" s="104">
        <v>0</v>
      </c>
      <c r="Q141" s="106"/>
      <c r="R141" s="102">
        <f>P141+N141+L141</f>
        <v>0</v>
      </c>
      <c r="S141" s="102">
        <f>R141+Q141</f>
        <v>0</v>
      </c>
    </row>
    <row r="142" spans="1:19" ht="27" customHeight="1" thickTop="1" thickBot="1">
      <c r="A142" s="87"/>
      <c r="B142" s="388"/>
      <c r="C142" s="389"/>
      <c r="D142" s="15" t="s">
        <v>144</v>
      </c>
      <c r="E142" s="106"/>
      <c r="F142" s="104">
        <v>0</v>
      </c>
      <c r="G142" s="102">
        <f>F142+E142</f>
        <v>0</v>
      </c>
      <c r="H142" s="106"/>
      <c r="I142" s="104">
        <v>0</v>
      </c>
      <c r="J142" s="102">
        <f>I142+H142</f>
        <v>0</v>
      </c>
      <c r="K142" s="106"/>
      <c r="L142" s="104">
        <v>0</v>
      </c>
      <c r="M142" s="106"/>
      <c r="N142" s="104">
        <v>0</v>
      </c>
      <c r="O142" s="106"/>
      <c r="P142" s="104">
        <v>0</v>
      </c>
      <c r="Q142" s="106"/>
      <c r="R142" s="102">
        <f>P142+N142+L142</f>
        <v>0</v>
      </c>
      <c r="S142" s="102">
        <f>R142+Q142</f>
        <v>0</v>
      </c>
    </row>
    <row r="143" spans="1:19" ht="27" customHeight="1" thickTop="1" thickBot="1">
      <c r="A143" s="87"/>
      <c r="B143" s="388"/>
      <c r="C143" s="389"/>
      <c r="D143" s="15" t="s">
        <v>145</v>
      </c>
      <c r="E143" s="106"/>
      <c r="F143" s="104">
        <v>0</v>
      </c>
      <c r="G143" s="102">
        <f>F143+E143</f>
        <v>0</v>
      </c>
      <c r="H143" s="106"/>
      <c r="I143" s="104">
        <v>0</v>
      </c>
      <c r="J143" s="102">
        <f>I143+H143</f>
        <v>0</v>
      </c>
      <c r="K143" s="106"/>
      <c r="L143" s="104">
        <v>0</v>
      </c>
      <c r="M143" s="106"/>
      <c r="N143" s="104">
        <v>0</v>
      </c>
      <c r="O143" s="106"/>
      <c r="P143" s="104">
        <v>0</v>
      </c>
      <c r="Q143" s="106"/>
      <c r="R143" s="102">
        <f>P143+N143+L143</f>
        <v>0</v>
      </c>
      <c r="S143" s="102">
        <f>R143+Q143</f>
        <v>0</v>
      </c>
    </row>
    <row r="144" spans="1:19" ht="27" customHeight="1" thickTop="1" thickBot="1">
      <c r="A144" s="87"/>
      <c r="B144" s="390"/>
      <c r="C144" s="391"/>
      <c r="D144" s="15" t="s">
        <v>25</v>
      </c>
      <c r="E144" s="106"/>
      <c r="F144" s="104">
        <f>F143+F142+F141</f>
        <v>0</v>
      </c>
      <c r="G144" s="104">
        <f>G143+G142+G141</f>
        <v>0</v>
      </c>
      <c r="H144" s="106"/>
      <c r="I144" s="104">
        <f>I143+I142+I141</f>
        <v>0</v>
      </c>
      <c r="J144" s="104">
        <f>J143+J142+J141</f>
        <v>0</v>
      </c>
      <c r="K144" s="106"/>
      <c r="L144" s="104">
        <f>L143+L142+L141</f>
        <v>0</v>
      </c>
      <c r="M144" s="106"/>
      <c r="N144" s="104">
        <f>N143+N142+N141</f>
        <v>0</v>
      </c>
      <c r="O144" s="106"/>
      <c r="P144" s="104">
        <f>P143+P142+P141</f>
        <v>0</v>
      </c>
      <c r="Q144" s="106"/>
      <c r="R144" s="104">
        <f>R143+R142+R141</f>
        <v>0</v>
      </c>
      <c r="S144" s="104">
        <f>S143+S142+S141</f>
        <v>0</v>
      </c>
    </row>
    <row r="145" spans="1:19" ht="27" customHeight="1" thickTop="1" thickBot="1">
      <c r="A145" s="135"/>
      <c r="B145" s="386" t="s">
        <v>211</v>
      </c>
      <c r="C145" s="387"/>
      <c r="D145" s="15" t="s">
        <v>143</v>
      </c>
      <c r="E145" s="104"/>
      <c r="F145" s="104"/>
      <c r="G145" s="104"/>
      <c r="H145" s="104"/>
      <c r="I145" s="104"/>
      <c r="J145" s="104"/>
      <c r="K145" s="104"/>
      <c r="L145" s="104"/>
      <c r="M145" s="104"/>
      <c r="N145" s="104"/>
      <c r="O145" s="104"/>
      <c r="P145" s="104"/>
      <c r="Q145" s="104"/>
      <c r="R145" s="104"/>
      <c r="S145" s="104"/>
    </row>
    <row r="146" spans="1:19" ht="27" customHeight="1" thickTop="1" thickBot="1">
      <c r="A146" s="135"/>
      <c r="B146" s="388"/>
      <c r="C146" s="389"/>
      <c r="D146" s="15" t="s">
        <v>144</v>
      </c>
      <c r="E146" s="104"/>
      <c r="F146" s="104"/>
      <c r="G146" s="104"/>
      <c r="H146" s="104"/>
      <c r="I146" s="104"/>
      <c r="J146" s="104"/>
      <c r="K146" s="104"/>
      <c r="L146" s="104"/>
      <c r="M146" s="104"/>
      <c r="N146" s="104"/>
      <c r="O146" s="104"/>
      <c r="P146" s="104"/>
      <c r="Q146" s="104"/>
      <c r="R146" s="104"/>
      <c r="S146" s="104"/>
    </row>
    <row r="147" spans="1:19" ht="27" customHeight="1" thickTop="1" thickBot="1">
      <c r="A147" s="135"/>
      <c r="B147" s="388"/>
      <c r="C147" s="389"/>
      <c r="D147" s="15" t="s">
        <v>145</v>
      </c>
      <c r="E147" s="104"/>
      <c r="F147" s="104"/>
      <c r="G147" s="104"/>
      <c r="H147" s="104"/>
      <c r="I147" s="104"/>
      <c r="J147" s="104"/>
      <c r="K147" s="104"/>
      <c r="L147" s="104"/>
      <c r="M147" s="104"/>
      <c r="N147" s="104"/>
      <c r="O147" s="104"/>
      <c r="P147" s="104"/>
      <c r="Q147" s="104"/>
      <c r="R147" s="104"/>
      <c r="S147" s="104"/>
    </row>
    <row r="148" spans="1:19" ht="27" customHeight="1" thickTop="1" thickBot="1">
      <c r="A148" s="135"/>
      <c r="B148" s="390"/>
      <c r="C148" s="391"/>
      <c r="D148" s="15" t="s">
        <v>25</v>
      </c>
      <c r="E148" s="104"/>
      <c r="F148" s="104"/>
      <c r="G148" s="104"/>
      <c r="H148" s="104"/>
      <c r="I148" s="104"/>
      <c r="J148" s="104"/>
      <c r="K148" s="104"/>
      <c r="L148" s="104"/>
      <c r="M148" s="104"/>
      <c r="N148" s="104"/>
      <c r="O148" s="104"/>
      <c r="P148" s="104"/>
      <c r="Q148" s="104"/>
      <c r="R148" s="104"/>
      <c r="S148" s="104"/>
    </row>
    <row r="149" spans="1:19" ht="27" customHeight="1" thickTop="1" thickBot="1">
      <c r="A149" s="87"/>
      <c r="B149" s="386" t="s">
        <v>387</v>
      </c>
      <c r="C149" s="387"/>
      <c r="D149" s="15" t="s">
        <v>143</v>
      </c>
      <c r="E149" s="102" t="e">
        <f>المهني!#REF!</f>
        <v>#REF!</v>
      </c>
      <c r="F149" s="102" t="e">
        <f>المهني!#REF!</f>
        <v>#REF!</v>
      </c>
      <c r="G149" s="102" t="e">
        <f>F149+E149</f>
        <v>#REF!</v>
      </c>
      <c r="H149" s="102" t="e">
        <f>المهني!#REF!</f>
        <v>#REF!</v>
      </c>
      <c r="I149" s="102" t="e">
        <f>المهني!#REF!</f>
        <v>#REF!</v>
      </c>
      <c r="J149" s="14" t="e">
        <f>I149+H149</f>
        <v>#REF!</v>
      </c>
      <c r="K149" s="102" t="e">
        <f>المهني!#REF!</f>
        <v>#REF!</v>
      </c>
      <c r="L149" s="102" t="e">
        <f>المهني!#REF!</f>
        <v>#REF!</v>
      </c>
      <c r="M149" s="102" t="e">
        <f>المهني!#REF!</f>
        <v>#REF!</v>
      </c>
      <c r="N149" s="102" t="e">
        <f>المهني!#REF!</f>
        <v>#REF!</v>
      </c>
      <c r="O149" s="102" t="e">
        <f>المهني!#REF!</f>
        <v>#REF!</v>
      </c>
      <c r="P149" s="102" t="e">
        <f>المهني!#REF!</f>
        <v>#REF!</v>
      </c>
      <c r="Q149" s="102" t="e">
        <f t="shared" ref="Q149:R151" si="63">O149+M149+K149</f>
        <v>#REF!</v>
      </c>
      <c r="R149" s="102" t="e">
        <f t="shared" si="63"/>
        <v>#REF!</v>
      </c>
      <c r="S149" s="102" t="e">
        <f>R149+Q149</f>
        <v>#REF!</v>
      </c>
    </row>
    <row r="150" spans="1:19" ht="27" customHeight="1" thickTop="1" thickBot="1">
      <c r="A150" s="87"/>
      <c r="B150" s="388"/>
      <c r="C150" s="389"/>
      <c r="D150" s="15" t="s">
        <v>144</v>
      </c>
      <c r="E150" s="102" t="e">
        <f>المهني!#REF!</f>
        <v>#REF!</v>
      </c>
      <c r="F150" s="102" t="e">
        <f>المهني!#REF!</f>
        <v>#REF!</v>
      </c>
      <c r="G150" s="102" t="e">
        <f>F150+E150</f>
        <v>#REF!</v>
      </c>
      <c r="H150" s="102" t="e">
        <f>المهني!#REF!</f>
        <v>#REF!</v>
      </c>
      <c r="I150" s="102" t="e">
        <f>المهني!#REF!</f>
        <v>#REF!</v>
      </c>
      <c r="J150" s="14" t="e">
        <f>I150+H150</f>
        <v>#REF!</v>
      </c>
      <c r="K150" s="102" t="e">
        <f>المهني!#REF!</f>
        <v>#REF!</v>
      </c>
      <c r="L150" s="102" t="e">
        <f>المهني!#REF!</f>
        <v>#REF!</v>
      </c>
      <c r="M150" s="102" t="e">
        <f>المهني!#REF!</f>
        <v>#REF!</v>
      </c>
      <c r="N150" s="102" t="e">
        <f>المهني!#REF!</f>
        <v>#REF!</v>
      </c>
      <c r="O150" s="102" t="e">
        <f>المهني!#REF!</f>
        <v>#REF!</v>
      </c>
      <c r="P150" s="102" t="e">
        <f>المهني!#REF!</f>
        <v>#REF!</v>
      </c>
      <c r="Q150" s="102" t="e">
        <f t="shared" si="63"/>
        <v>#REF!</v>
      </c>
      <c r="R150" s="102" t="e">
        <f t="shared" si="63"/>
        <v>#REF!</v>
      </c>
      <c r="S150" s="102" t="e">
        <f>R150+Q150</f>
        <v>#REF!</v>
      </c>
    </row>
    <row r="151" spans="1:19" ht="27" customHeight="1" thickTop="1" thickBot="1">
      <c r="A151" s="87"/>
      <c r="B151" s="388"/>
      <c r="C151" s="389"/>
      <c r="D151" s="15" t="s">
        <v>145</v>
      </c>
      <c r="E151" s="102" t="e">
        <f>المهني!#REF!</f>
        <v>#REF!</v>
      </c>
      <c r="F151" s="102" t="e">
        <f>المهني!#REF!</f>
        <v>#REF!</v>
      </c>
      <c r="G151" s="102" t="e">
        <f>F151+E151</f>
        <v>#REF!</v>
      </c>
      <c r="H151" s="102" t="e">
        <f>المهني!#REF!</f>
        <v>#REF!</v>
      </c>
      <c r="I151" s="102" t="e">
        <f>المهني!#REF!</f>
        <v>#REF!</v>
      </c>
      <c r="J151" s="14" t="e">
        <f>I151+H151</f>
        <v>#REF!</v>
      </c>
      <c r="K151" s="102" t="e">
        <f>المهني!#REF!</f>
        <v>#REF!</v>
      </c>
      <c r="L151" s="102" t="e">
        <f>المهني!#REF!</f>
        <v>#REF!</v>
      </c>
      <c r="M151" s="102" t="e">
        <f>المهني!#REF!</f>
        <v>#REF!</v>
      </c>
      <c r="N151" s="102" t="e">
        <f>المهني!#REF!</f>
        <v>#REF!</v>
      </c>
      <c r="O151" s="102" t="e">
        <f>المهني!#REF!</f>
        <v>#REF!</v>
      </c>
      <c r="P151" s="102" t="e">
        <f>المهني!#REF!</f>
        <v>#REF!</v>
      </c>
      <c r="Q151" s="102" t="e">
        <f t="shared" si="63"/>
        <v>#REF!</v>
      </c>
      <c r="R151" s="102" t="e">
        <f t="shared" si="63"/>
        <v>#REF!</v>
      </c>
      <c r="S151" s="102" t="e">
        <f>R151+Q151</f>
        <v>#REF!</v>
      </c>
    </row>
    <row r="152" spans="1:19" ht="27" customHeight="1" thickTop="1" thickBot="1">
      <c r="A152" s="87"/>
      <c r="B152" s="390"/>
      <c r="C152" s="391"/>
      <c r="D152" s="15" t="s">
        <v>25</v>
      </c>
      <c r="E152" s="102" t="e">
        <f>E151+E150+E149</f>
        <v>#REF!</v>
      </c>
      <c r="F152" s="102" t="e">
        <f>F151+F150+F149</f>
        <v>#REF!</v>
      </c>
      <c r="G152" s="102" t="e">
        <f>G151+G150+G149</f>
        <v>#REF!</v>
      </c>
      <c r="H152" s="14" t="e">
        <f t="shared" ref="H152:P152" si="64">SUM(H149:H151)</f>
        <v>#REF!</v>
      </c>
      <c r="I152" s="14" t="e">
        <f t="shared" si="64"/>
        <v>#REF!</v>
      </c>
      <c r="J152" s="14" t="e">
        <f t="shared" si="64"/>
        <v>#REF!</v>
      </c>
      <c r="K152" s="14" t="e">
        <f t="shared" si="64"/>
        <v>#REF!</v>
      </c>
      <c r="L152" s="14" t="e">
        <f t="shared" si="64"/>
        <v>#REF!</v>
      </c>
      <c r="M152" s="14" t="e">
        <f t="shared" si="64"/>
        <v>#REF!</v>
      </c>
      <c r="N152" s="14" t="e">
        <f t="shared" si="64"/>
        <v>#REF!</v>
      </c>
      <c r="O152" s="14" t="e">
        <f t="shared" si="64"/>
        <v>#REF!</v>
      </c>
      <c r="P152" s="14" t="e">
        <f t="shared" si="64"/>
        <v>#REF!</v>
      </c>
      <c r="Q152" s="102" t="e">
        <f>Q151+Q150+Q149</f>
        <v>#REF!</v>
      </c>
      <c r="R152" s="102" t="e">
        <f>R151+R150+R149</f>
        <v>#REF!</v>
      </c>
      <c r="S152" s="102" t="e">
        <f>S151+S150+S149</f>
        <v>#REF!</v>
      </c>
    </row>
    <row r="153" spans="1:19" ht="27" customHeight="1" thickTop="1" thickBot="1">
      <c r="A153" s="87"/>
      <c r="B153" s="386" t="s">
        <v>137</v>
      </c>
      <c r="C153" s="387"/>
      <c r="D153" s="15" t="s">
        <v>143</v>
      </c>
      <c r="E153" s="102" t="e">
        <f t="shared" ref="E153:S153" si="65">E141+E137+E133+E129+E149</f>
        <v>#REF!</v>
      </c>
      <c r="F153" s="102" t="e">
        <f t="shared" si="65"/>
        <v>#REF!</v>
      </c>
      <c r="G153" s="102" t="e">
        <f t="shared" si="65"/>
        <v>#REF!</v>
      </c>
      <c r="H153" s="14" t="e">
        <f t="shared" si="65"/>
        <v>#REF!</v>
      </c>
      <c r="I153" s="14" t="e">
        <f t="shared" si="65"/>
        <v>#REF!</v>
      </c>
      <c r="J153" s="14" t="e">
        <f t="shared" si="65"/>
        <v>#REF!</v>
      </c>
      <c r="K153" s="14" t="e">
        <f t="shared" si="65"/>
        <v>#REF!</v>
      </c>
      <c r="L153" s="14" t="e">
        <f t="shared" si="65"/>
        <v>#REF!</v>
      </c>
      <c r="M153" s="14" t="e">
        <f t="shared" si="65"/>
        <v>#REF!</v>
      </c>
      <c r="N153" s="14" t="e">
        <f t="shared" si="65"/>
        <v>#REF!</v>
      </c>
      <c r="O153" s="14" t="e">
        <f t="shared" si="65"/>
        <v>#REF!</v>
      </c>
      <c r="P153" s="14" t="e">
        <f t="shared" si="65"/>
        <v>#REF!</v>
      </c>
      <c r="Q153" s="14" t="e">
        <f t="shared" si="65"/>
        <v>#REF!</v>
      </c>
      <c r="R153" s="14" t="e">
        <f t="shared" si="65"/>
        <v>#REF!</v>
      </c>
      <c r="S153" s="14" t="e">
        <f t="shared" si="65"/>
        <v>#REF!</v>
      </c>
    </row>
    <row r="154" spans="1:19" ht="27" customHeight="1" thickTop="1" thickBot="1">
      <c r="A154" s="87"/>
      <c r="B154" s="388"/>
      <c r="C154" s="389"/>
      <c r="D154" s="15" t="s">
        <v>144</v>
      </c>
      <c r="E154" s="102" t="e">
        <f t="shared" ref="E154:S154" si="66">E142+E138+E134+E130+E150</f>
        <v>#REF!</v>
      </c>
      <c r="F154" s="102" t="e">
        <f t="shared" si="66"/>
        <v>#REF!</v>
      </c>
      <c r="G154" s="102" t="e">
        <f t="shared" si="66"/>
        <v>#REF!</v>
      </c>
      <c r="H154" s="14" t="e">
        <f t="shared" si="66"/>
        <v>#REF!</v>
      </c>
      <c r="I154" s="14" t="e">
        <f t="shared" si="66"/>
        <v>#REF!</v>
      </c>
      <c r="J154" s="14" t="e">
        <f t="shared" si="66"/>
        <v>#REF!</v>
      </c>
      <c r="K154" s="14" t="e">
        <f t="shared" si="66"/>
        <v>#REF!</v>
      </c>
      <c r="L154" s="14" t="e">
        <f t="shared" si="66"/>
        <v>#REF!</v>
      </c>
      <c r="M154" s="14" t="e">
        <f t="shared" si="66"/>
        <v>#REF!</v>
      </c>
      <c r="N154" s="14" t="e">
        <f t="shared" si="66"/>
        <v>#REF!</v>
      </c>
      <c r="O154" s="14" t="e">
        <f t="shared" si="66"/>
        <v>#REF!</v>
      </c>
      <c r="P154" s="14" t="e">
        <f t="shared" si="66"/>
        <v>#REF!</v>
      </c>
      <c r="Q154" s="14" t="e">
        <f t="shared" si="66"/>
        <v>#REF!</v>
      </c>
      <c r="R154" s="14" t="e">
        <f t="shared" si="66"/>
        <v>#REF!</v>
      </c>
      <c r="S154" s="14" t="e">
        <f t="shared" si="66"/>
        <v>#REF!</v>
      </c>
    </row>
    <row r="155" spans="1:19" ht="27" customHeight="1" thickTop="1" thickBot="1">
      <c r="A155" s="87"/>
      <c r="B155" s="388"/>
      <c r="C155" s="389"/>
      <c r="D155" s="15" t="s">
        <v>145</v>
      </c>
      <c r="E155" s="102" t="e">
        <f t="shared" ref="E155:S155" si="67">E143+E139+E135+E131+E151</f>
        <v>#REF!</v>
      </c>
      <c r="F155" s="102" t="e">
        <f t="shared" si="67"/>
        <v>#REF!</v>
      </c>
      <c r="G155" s="102" t="e">
        <f t="shared" si="67"/>
        <v>#REF!</v>
      </c>
      <c r="H155" s="14" t="e">
        <f t="shared" si="67"/>
        <v>#REF!</v>
      </c>
      <c r="I155" s="14" t="e">
        <f t="shared" si="67"/>
        <v>#REF!</v>
      </c>
      <c r="J155" s="14" t="e">
        <f t="shared" si="67"/>
        <v>#REF!</v>
      </c>
      <c r="K155" s="14" t="e">
        <f t="shared" si="67"/>
        <v>#REF!</v>
      </c>
      <c r="L155" s="14" t="e">
        <f t="shared" si="67"/>
        <v>#REF!</v>
      </c>
      <c r="M155" s="14" t="e">
        <f t="shared" si="67"/>
        <v>#REF!</v>
      </c>
      <c r="N155" s="14" t="e">
        <f t="shared" si="67"/>
        <v>#REF!</v>
      </c>
      <c r="O155" s="14" t="e">
        <f t="shared" si="67"/>
        <v>#REF!</v>
      </c>
      <c r="P155" s="14" t="e">
        <f t="shared" si="67"/>
        <v>#REF!</v>
      </c>
      <c r="Q155" s="14" t="e">
        <f t="shared" si="67"/>
        <v>#REF!</v>
      </c>
      <c r="R155" s="14" t="e">
        <f t="shared" si="67"/>
        <v>#REF!</v>
      </c>
      <c r="S155" s="14" t="e">
        <f t="shared" si="67"/>
        <v>#REF!</v>
      </c>
    </row>
    <row r="156" spans="1:19" ht="27" customHeight="1" thickTop="1" thickBot="1">
      <c r="A156" s="87"/>
      <c r="B156" s="390"/>
      <c r="C156" s="391"/>
      <c r="D156" s="15" t="s">
        <v>25</v>
      </c>
      <c r="E156" s="102" t="e">
        <f t="shared" ref="E156:S156" si="68">E144+E140+E136+E132+E152</f>
        <v>#REF!</v>
      </c>
      <c r="F156" s="102" t="e">
        <f t="shared" si="68"/>
        <v>#REF!</v>
      </c>
      <c r="G156" s="102" t="e">
        <f t="shared" si="68"/>
        <v>#REF!</v>
      </c>
      <c r="H156" s="14" t="e">
        <f t="shared" si="68"/>
        <v>#REF!</v>
      </c>
      <c r="I156" s="14" t="e">
        <f t="shared" si="68"/>
        <v>#REF!</v>
      </c>
      <c r="J156" s="14" t="e">
        <f t="shared" si="68"/>
        <v>#REF!</v>
      </c>
      <c r="K156" s="14" t="e">
        <f t="shared" si="68"/>
        <v>#REF!</v>
      </c>
      <c r="L156" s="14" t="e">
        <f t="shared" si="68"/>
        <v>#REF!</v>
      </c>
      <c r="M156" s="14" t="e">
        <f t="shared" si="68"/>
        <v>#REF!</v>
      </c>
      <c r="N156" s="14" t="e">
        <f t="shared" si="68"/>
        <v>#REF!</v>
      </c>
      <c r="O156" s="14" t="e">
        <f t="shared" si="68"/>
        <v>#REF!</v>
      </c>
      <c r="P156" s="14" t="e">
        <f t="shared" si="68"/>
        <v>#REF!</v>
      </c>
      <c r="Q156" s="14" t="e">
        <f t="shared" si="68"/>
        <v>#REF!</v>
      </c>
      <c r="R156" s="14" t="e">
        <f t="shared" si="68"/>
        <v>#REF!</v>
      </c>
      <c r="S156" s="14" t="e">
        <f t="shared" si="68"/>
        <v>#REF!</v>
      </c>
    </row>
    <row r="157" spans="1:19" ht="27" customHeight="1" thickTop="1"/>
  </sheetData>
  <mergeCells count="93">
    <mergeCell ref="B14:C17"/>
    <mergeCell ref="B18:C21"/>
    <mergeCell ref="B4:S4"/>
    <mergeCell ref="B3:S3"/>
    <mergeCell ref="B38:C41"/>
    <mergeCell ref="B22:C25"/>
    <mergeCell ref="Q8:S8"/>
    <mergeCell ref="M8:N8"/>
    <mergeCell ref="B10:C13"/>
    <mergeCell ref="B7:C9"/>
    <mergeCell ref="D7:D9"/>
    <mergeCell ref="B34:C37"/>
    <mergeCell ref="B26:C29"/>
    <mergeCell ref="B30:C33"/>
    <mergeCell ref="R1:S1"/>
    <mergeCell ref="H7:J8"/>
    <mergeCell ref="K7:S7"/>
    <mergeCell ref="K8:L8"/>
    <mergeCell ref="O8:P8"/>
    <mergeCell ref="B5:S5"/>
    <mergeCell ref="E7:G8"/>
    <mergeCell ref="I2:L2"/>
    <mergeCell ref="A1:F1"/>
    <mergeCell ref="A2:F2"/>
    <mergeCell ref="A44:E44"/>
    <mergeCell ref="B77:C80"/>
    <mergeCell ref="B65:C68"/>
    <mergeCell ref="B61:C64"/>
    <mergeCell ref="B57:C60"/>
    <mergeCell ref="B73:C76"/>
    <mergeCell ref="B47:S47"/>
    <mergeCell ref="O51:P51"/>
    <mergeCell ref="Q51:S51"/>
    <mergeCell ref="E50:G51"/>
    <mergeCell ref="B53:C56"/>
    <mergeCell ref="D50:D52"/>
    <mergeCell ref="R44:S44"/>
    <mergeCell ref="A45:E45"/>
    <mergeCell ref="I45:L45"/>
    <mergeCell ref="B46:S46"/>
    <mergeCell ref="E88:G89"/>
    <mergeCell ref="A82:E82"/>
    <mergeCell ref="R82:S82"/>
    <mergeCell ref="A83:E83"/>
    <mergeCell ref="I83:L83"/>
    <mergeCell ref="B84:S84"/>
    <mergeCell ref="B85:S85"/>
    <mergeCell ref="B86:S86"/>
    <mergeCell ref="B88:C90"/>
    <mergeCell ref="H88:J89"/>
    <mergeCell ref="K88:S88"/>
    <mergeCell ref="K89:L89"/>
    <mergeCell ref="M89:N89"/>
    <mergeCell ref="O89:P89"/>
    <mergeCell ref="Q89:S89"/>
    <mergeCell ref="D88:D90"/>
    <mergeCell ref="B48:S48"/>
    <mergeCell ref="B50:C52"/>
    <mergeCell ref="K51:L51"/>
    <mergeCell ref="K50:S50"/>
    <mergeCell ref="H50:J51"/>
    <mergeCell ref="M51:N51"/>
    <mergeCell ref="K126:S126"/>
    <mergeCell ref="A120:E120"/>
    <mergeCell ref="R120:S120"/>
    <mergeCell ref="A121:E121"/>
    <mergeCell ref="I121:L121"/>
    <mergeCell ref="B122:S122"/>
    <mergeCell ref="D126:D128"/>
    <mergeCell ref="E126:G127"/>
    <mergeCell ref="B123:S123"/>
    <mergeCell ref="B124:S124"/>
    <mergeCell ref="B126:C128"/>
    <mergeCell ref="K127:L127"/>
    <mergeCell ref="M127:N127"/>
    <mergeCell ref="O127:P127"/>
    <mergeCell ref="Q127:S127"/>
    <mergeCell ref="H126:J127"/>
    <mergeCell ref="B69:C72"/>
    <mergeCell ref="B107:C110"/>
    <mergeCell ref="B145:C148"/>
    <mergeCell ref="B153:C156"/>
    <mergeCell ref="B141:C144"/>
    <mergeCell ref="B137:C140"/>
    <mergeCell ref="B149:C152"/>
    <mergeCell ref="B95:C98"/>
    <mergeCell ref="B91:C94"/>
    <mergeCell ref="B133:C136"/>
    <mergeCell ref="B129:C132"/>
    <mergeCell ref="B115:C118"/>
    <mergeCell ref="B103:C106"/>
    <mergeCell ref="B99:C102"/>
    <mergeCell ref="B111:C114"/>
  </mergeCells>
  <printOptions horizontalCentered="1" verticalCentered="1"/>
  <pageMargins left="0.19685039370078741" right="0.19685039370078741" top="0.23622047244094491" bottom="0.19685039370078741" header="0.19685039370078741" footer="0.19685039370078741"/>
  <pageSetup paperSize="9" scale="53" orientation="landscape" horizontalDpi="300" verticalDpi="300" r:id="rId1"/>
  <rowBreaks count="3" manualBreakCount="3">
    <brk id="41" max="18" man="1"/>
    <brk id="81" max="16383" man="1"/>
    <brk id="119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6"/>
  <sheetViews>
    <sheetView rightToLeft="1" view="pageBreakPreview" zoomScale="60" zoomScaleNormal="80" workbookViewId="0">
      <selection activeCell="B19" sqref="B19:S19"/>
    </sheetView>
  </sheetViews>
  <sheetFormatPr defaultColWidth="7.75" defaultRowHeight="29.25" customHeight="1"/>
  <cols>
    <col min="1" max="1" width="5.875" style="38" customWidth="1"/>
    <col min="2" max="2" width="21.125" style="38" customWidth="1"/>
    <col min="3" max="3" width="10.25" style="38" customWidth="1"/>
    <col min="4" max="4" width="17" style="38" customWidth="1"/>
    <col min="5" max="6" width="9" style="38" customWidth="1"/>
    <col min="7" max="7" width="9.375" style="38" customWidth="1"/>
    <col min="8" max="8" width="10.625" style="38" customWidth="1"/>
    <col min="9" max="9" width="8.75" style="38" customWidth="1"/>
    <col min="10" max="10" width="9.375" style="38" customWidth="1"/>
    <col min="11" max="11" width="9" style="38" customWidth="1"/>
    <col min="12" max="12" width="9.625" style="38" customWidth="1"/>
    <col min="13" max="13" width="9" style="38" customWidth="1"/>
    <col min="14" max="14" width="8.75" style="38" customWidth="1"/>
    <col min="15" max="15" width="9.375" style="38" customWidth="1"/>
    <col min="16" max="16" width="7.75" style="38"/>
    <col min="17" max="17" width="10.75" style="38" customWidth="1"/>
    <col min="18" max="18" width="7.75" style="38"/>
    <col min="19" max="19" width="9" style="38" customWidth="1"/>
    <col min="20" max="21" width="9.25" style="38" customWidth="1"/>
    <col min="22" max="22" width="9.625" style="38" customWidth="1"/>
    <col min="23" max="23" width="11.75" style="38" customWidth="1"/>
    <col min="24" max="24" width="10.125" style="38" customWidth="1"/>
    <col min="25" max="16384" width="7.75" style="38"/>
  </cols>
  <sheetData>
    <row r="1" spans="1:23" ht="42" customHeight="1">
      <c r="A1" s="381" t="s">
        <v>146</v>
      </c>
      <c r="B1" s="381"/>
      <c r="C1" s="381"/>
      <c r="D1" s="381"/>
      <c r="E1" s="381"/>
      <c r="F1" s="94"/>
      <c r="G1" s="94"/>
      <c r="H1" s="95"/>
      <c r="I1" s="95"/>
      <c r="J1" s="95"/>
      <c r="K1" s="95"/>
      <c r="L1" s="95"/>
      <c r="M1" s="95"/>
      <c r="N1" s="95"/>
      <c r="O1" s="95"/>
      <c r="P1" s="95"/>
      <c r="Q1" s="95"/>
      <c r="R1" s="381" t="s">
        <v>110</v>
      </c>
      <c r="S1" s="381"/>
      <c r="T1" s="95"/>
      <c r="U1" s="95"/>
      <c r="V1" s="95"/>
      <c r="W1" s="95"/>
    </row>
    <row r="2" spans="1:23" ht="29.25" customHeight="1">
      <c r="A2" s="382" t="s">
        <v>185</v>
      </c>
      <c r="B2" s="382"/>
      <c r="C2" s="382"/>
      <c r="D2" s="382"/>
      <c r="E2" s="382"/>
      <c r="F2" s="94"/>
      <c r="G2" s="94"/>
      <c r="H2" s="95"/>
      <c r="I2" s="95"/>
      <c r="J2" s="95"/>
      <c r="K2" s="95"/>
      <c r="L2" s="95"/>
      <c r="M2" s="95"/>
      <c r="N2" s="95"/>
      <c r="O2" s="95"/>
      <c r="P2" s="95"/>
      <c r="Q2" s="94"/>
      <c r="R2" s="95"/>
      <c r="S2" s="95"/>
      <c r="T2" s="95"/>
      <c r="U2" s="95"/>
      <c r="V2" s="95"/>
      <c r="W2" s="95"/>
    </row>
    <row r="3" spans="1:23" ht="29.25" customHeight="1">
      <c r="A3" s="94"/>
      <c r="B3" s="94"/>
      <c r="C3" s="94"/>
      <c r="D3" s="94"/>
      <c r="E3" s="94"/>
      <c r="F3" s="94"/>
      <c r="G3" s="94"/>
      <c r="H3" s="95"/>
      <c r="I3" s="382" t="s">
        <v>188</v>
      </c>
      <c r="J3" s="382"/>
      <c r="K3" s="382"/>
      <c r="L3" s="382"/>
      <c r="M3" s="95"/>
      <c r="N3" s="95"/>
      <c r="O3" s="95"/>
      <c r="P3" s="95"/>
      <c r="Q3" s="94"/>
      <c r="R3" s="94"/>
      <c r="S3" s="95"/>
      <c r="T3" s="95"/>
      <c r="U3" s="95"/>
      <c r="V3" s="95"/>
      <c r="W3" s="95"/>
    </row>
    <row r="4" spans="1:23" ht="29.25" customHeight="1">
      <c r="A4" s="95"/>
      <c r="B4" s="95"/>
      <c r="C4" s="95"/>
      <c r="D4" s="381" t="s">
        <v>152</v>
      </c>
      <c r="E4" s="381"/>
      <c r="F4" s="381"/>
      <c r="G4" s="381"/>
      <c r="H4" s="381"/>
      <c r="I4" s="381"/>
      <c r="J4" s="381"/>
      <c r="K4" s="381"/>
      <c r="L4" s="381"/>
      <c r="M4" s="381"/>
      <c r="N4" s="381"/>
      <c r="O4" s="381"/>
      <c r="P4" s="381"/>
      <c r="Q4" s="381"/>
      <c r="R4" s="94"/>
      <c r="S4" s="95"/>
      <c r="T4" s="95"/>
      <c r="U4" s="95"/>
      <c r="V4" s="95"/>
      <c r="W4" s="95"/>
    </row>
    <row r="5" spans="1:23" ht="29.25" customHeight="1">
      <c r="A5" s="95"/>
      <c r="B5" s="82"/>
      <c r="C5" s="82"/>
      <c r="D5" s="381" t="s">
        <v>497</v>
      </c>
      <c r="E5" s="381"/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381"/>
      <c r="Q5" s="381"/>
      <c r="R5" s="95"/>
      <c r="S5" s="95"/>
      <c r="T5" s="95"/>
      <c r="U5" s="95"/>
      <c r="V5" s="95"/>
      <c r="W5" s="95"/>
    </row>
    <row r="6" spans="1:23" ht="29.25" customHeight="1">
      <c r="A6" s="95"/>
      <c r="B6" s="82"/>
      <c r="C6" s="82"/>
      <c r="D6" s="381" t="s">
        <v>153</v>
      </c>
      <c r="E6" s="381"/>
      <c r="F6" s="381"/>
      <c r="G6" s="381"/>
      <c r="H6" s="381"/>
      <c r="I6" s="381"/>
      <c r="J6" s="381"/>
      <c r="K6" s="381"/>
      <c r="L6" s="381"/>
      <c r="M6" s="381"/>
      <c r="N6" s="381"/>
      <c r="O6" s="381"/>
      <c r="P6" s="381"/>
      <c r="Q6" s="381"/>
      <c r="R6" s="95"/>
      <c r="S6" s="95"/>
      <c r="T6" s="95"/>
      <c r="U6" s="95"/>
      <c r="V6" s="95"/>
      <c r="W6" s="95"/>
    </row>
    <row r="7" spans="1:23" ht="29.25" customHeight="1" thickBot="1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</row>
    <row r="8" spans="1:23" ht="29.25" customHeight="1" thickTop="1" thickBot="1">
      <c r="A8" s="95"/>
      <c r="B8" s="95"/>
      <c r="C8" s="95"/>
      <c r="D8" s="416" t="s">
        <v>113</v>
      </c>
      <c r="E8" s="368" t="s">
        <v>30</v>
      </c>
      <c r="F8" s="369"/>
      <c r="G8" s="368" t="s">
        <v>31</v>
      </c>
      <c r="H8" s="369"/>
      <c r="I8" s="368" t="s">
        <v>63</v>
      </c>
      <c r="J8" s="369"/>
      <c r="K8" s="368" t="s">
        <v>179</v>
      </c>
      <c r="L8" s="369"/>
      <c r="M8" s="368" t="s">
        <v>180</v>
      </c>
      <c r="N8" s="369"/>
      <c r="O8" s="368" t="s">
        <v>25</v>
      </c>
      <c r="P8" s="370"/>
      <c r="Q8" s="369"/>
      <c r="R8" s="95"/>
      <c r="S8" s="95"/>
      <c r="T8" s="95"/>
      <c r="U8" s="95"/>
      <c r="V8" s="95"/>
      <c r="W8" s="95"/>
    </row>
    <row r="9" spans="1:23" ht="29.25" customHeight="1" thickTop="1" thickBot="1">
      <c r="A9" s="95"/>
      <c r="B9" s="95"/>
      <c r="C9" s="95"/>
      <c r="D9" s="417"/>
      <c r="E9" s="88" t="s">
        <v>73</v>
      </c>
      <c r="F9" s="88" t="s">
        <v>29</v>
      </c>
      <c r="G9" s="88" t="s">
        <v>73</v>
      </c>
      <c r="H9" s="88" t="s">
        <v>29</v>
      </c>
      <c r="I9" s="88" t="s">
        <v>73</v>
      </c>
      <c r="J9" s="88" t="s">
        <v>29</v>
      </c>
      <c r="K9" s="88" t="s">
        <v>73</v>
      </c>
      <c r="L9" s="88" t="s">
        <v>29</v>
      </c>
      <c r="M9" s="88" t="s">
        <v>73</v>
      </c>
      <c r="N9" s="88" t="s">
        <v>29</v>
      </c>
      <c r="O9" s="88" t="s">
        <v>73</v>
      </c>
      <c r="P9" s="88" t="s">
        <v>29</v>
      </c>
      <c r="Q9" s="88" t="s">
        <v>25</v>
      </c>
      <c r="R9" s="95"/>
      <c r="S9" s="95"/>
      <c r="T9" s="95"/>
      <c r="U9" s="95"/>
      <c r="V9" s="95"/>
      <c r="W9" s="95"/>
    </row>
    <row r="10" spans="1:23" ht="29.25" customHeight="1" thickTop="1" thickBot="1">
      <c r="A10" s="95"/>
      <c r="B10" s="95"/>
      <c r="C10" s="95"/>
      <c r="D10" s="88" t="s">
        <v>121</v>
      </c>
      <c r="E10" s="15">
        <f>المهني!FB17</f>
        <v>0</v>
      </c>
      <c r="F10" s="15">
        <f>المهني!FC17</f>
        <v>1</v>
      </c>
      <c r="G10" s="15">
        <f>المهني!FD17</f>
        <v>3</v>
      </c>
      <c r="H10" s="15">
        <f>المهني!FE17</f>
        <v>0</v>
      </c>
      <c r="I10" s="15">
        <f>المهني!FF17</f>
        <v>10</v>
      </c>
      <c r="J10" s="15">
        <f>المهني!FG17</f>
        <v>18</v>
      </c>
      <c r="K10" s="15">
        <f>المهني!FH17</f>
        <v>0</v>
      </c>
      <c r="L10" s="15">
        <f>المهني!FI17</f>
        <v>0</v>
      </c>
      <c r="M10" s="15">
        <f>المهني!FJ17</f>
        <v>0</v>
      </c>
      <c r="N10" s="15">
        <f>المهني!FK17</f>
        <v>0</v>
      </c>
      <c r="O10" s="15">
        <f t="shared" ref="O10:P13" si="0">M10+K10+I10+G10+E10</f>
        <v>13</v>
      </c>
      <c r="P10" s="15">
        <f t="shared" si="0"/>
        <v>19</v>
      </c>
      <c r="Q10" s="15">
        <f t="shared" ref="Q10:Q15" si="1">P10+O10</f>
        <v>32</v>
      </c>
      <c r="R10" s="95"/>
      <c r="S10" s="5"/>
      <c r="T10" s="5"/>
      <c r="U10" s="5"/>
      <c r="V10" s="95"/>
      <c r="W10" s="95"/>
    </row>
    <row r="11" spans="1:23" ht="29.25" customHeight="1" thickTop="1" thickBot="1">
      <c r="A11" s="95"/>
      <c r="B11" s="95"/>
      <c r="C11" s="95"/>
      <c r="D11" s="88" t="s">
        <v>122</v>
      </c>
      <c r="E11" s="15">
        <f>المهني!FB28</f>
        <v>0</v>
      </c>
      <c r="F11" s="15">
        <f>المهني!FC28</f>
        <v>0</v>
      </c>
      <c r="G11" s="15">
        <f>المهني!FD28</f>
        <v>0</v>
      </c>
      <c r="H11" s="15">
        <f>المهني!FE28</f>
        <v>0</v>
      </c>
      <c r="I11" s="15">
        <f>المهني!FF28</f>
        <v>0</v>
      </c>
      <c r="J11" s="15">
        <f>المهني!FG28</f>
        <v>0</v>
      </c>
      <c r="K11" s="15">
        <f>المهني!FH28</f>
        <v>0</v>
      </c>
      <c r="L11" s="15">
        <f>المهني!FI28</f>
        <v>0</v>
      </c>
      <c r="M11" s="15">
        <f>المهني!FJ28</f>
        <v>0</v>
      </c>
      <c r="N11" s="15">
        <f>المهني!FK23</f>
        <v>0</v>
      </c>
      <c r="O11" s="15">
        <f t="shared" si="0"/>
        <v>0</v>
      </c>
      <c r="P11" s="15">
        <f t="shared" si="0"/>
        <v>0</v>
      </c>
      <c r="Q11" s="15">
        <f t="shared" si="1"/>
        <v>0</v>
      </c>
      <c r="R11" s="95"/>
      <c r="S11" s="5"/>
      <c r="T11" s="5"/>
      <c r="U11" s="5"/>
      <c r="V11" s="95"/>
      <c r="W11" s="95"/>
    </row>
    <row r="12" spans="1:23" ht="29.25" customHeight="1" thickTop="1" thickBot="1">
      <c r="A12" s="95"/>
      <c r="B12" s="95"/>
      <c r="C12" s="95"/>
      <c r="D12" s="88" t="s">
        <v>123</v>
      </c>
      <c r="E12" s="15">
        <f>المهني!FB23</f>
        <v>0</v>
      </c>
      <c r="F12" s="15">
        <f>المهني!FC23</f>
        <v>0</v>
      </c>
      <c r="G12" s="15">
        <f>المهني!FD23</f>
        <v>0</v>
      </c>
      <c r="H12" s="15">
        <f>المهني!FE23</f>
        <v>0</v>
      </c>
      <c r="I12" s="15">
        <f>المهني!FF23</f>
        <v>0</v>
      </c>
      <c r="J12" s="15">
        <f>المهني!FG23</f>
        <v>0</v>
      </c>
      <c r="K12" s="15">
        <f>المهني!FH23</f>
        <v>0</v>
      </c>
      <c r="L12" s="15">
        <f>المهني!FI23</f>
        <v>0</v>
      </c>
      <c r="M12" s="15">
        <f>المهني!FJ23</f>
        <v>0</v>
      </c>
      <c r="N12" s="15">
        <f>المهني!FK23</f>
        <v>0</v>
      </c>
      <c r="O12" s="15">
        <f t="shared" si="0"/>
        <v>0</v>
      </c>
      <c r="P12" s="15">
        <f t="shared" si="0"/>
        <v>0</v>
      </c>
      <c r="Q12" s="15">
        <f t="shared" si="1"/>
        <v>0</v>
      </c>
      <c r="R12" s="95"/>
      <c r="S12" s="5"/>
      <c r="T12" s="5"/>
      <c r="U12" s="5"/>
      <c r="V12" s="95"/>
      <c r="W12" s="95"/>
    </row>
    <row r="13" spans="1:23" ht="29.25" customHeight="1" thickTop="1" thickBot="1">
      <c r="A13" s="95"/>
      <c r="B13" s="95"/>
      <c r="C13" s="95"/>
      <c r="D13" s="88" t="s">
        <v>211</v>
      </c>
      <c r="E13" s="88">
        <v>0</v>
      </c>
      <c r="F13" s="88">
        <v>0</v>
      </c>
      <c r="G13" s="88">
        <v>0</v>
      </c>
      <c r="H13" s="88">
        <v>0</v>
      </c>
      <c r="I13" s="88">
        <v>0</v>
      </c>
      <c r="J13" s="88">
        <f>المهني!FG32</f>
        <v>0</v>
      </c>
      <c r="K13" s="88">
        <v>0</v>
      </c>
      <c r="L13" s="88">
        <f>المهني!FI32</f>
        <v>0</v>
      </c>
      <c r="M13" s="88">
        <v>0</v>
      </c>
      <c r="N13" s="88">
        <v>0</v>
      </c>
      <c r="O13" s="88">
        <f t="shared" si="0"/>
        <v>0</v>
      </c>
      <c r="P13" s="88">
        <f t="shared" si="0"/>
        <v>0</v>
      </c>
      <c r="Q13" s="88">
        <f t="shared" si="1"/>
        <v>0</v>
      </c>
      <c r="R13" s="95"/>
      <c r="S13" s="5"/>
      <c r="T13" s="5"/>
      <c r="U13" s="5"/>
      <c r="V13" s="95"/>
      <c r="W13" s="95"/>
    </row>
    <row r="14" spans="1:23" ht="29.25" customHeight="1" thickTop="1" thickBot="1">
      <c r="A14" s="138"/>
      <c r="B14" s="138"/>
      <c r="C14" s="138"/>
      <c r="D14" s="136" t="s">
        <v>459</v>
      </c>
      <c r="E14" s="15">
        <f>المهني!FB38</f>
        <v>0</v>
      </c>
      <c r="F14" s="15">
        <f>المهني!FC38</f>
        <v>0</v>
      </c>
      <c r="G14" s="15">
        <f>المهني!FD38</f>
        <v>0</v>
      </c>
      <c r="H14" s="15">
        <f>المهني!FE38</f>
        <v>0</v>
      </c>
      <c r="I14" s="15">
        <f>المهني!FF38</f>
        <v>0</v>
      </c>
      <c r="J14" s="15">
        <f>المهني!FG38</f>
        <v>0</v>
      </c>
      <c r="K14" s="15">
        <f>المهني!FH38</f>
        <v>0</v>
      </c>
      <c r="L14" s="15">
        <f>المهني!FI38</f>
        <v>0</v>
      </c>
      <c r="M14" s="15">
        <f>المهني!FJ38</f>
        <v>0</v>
      </c>
      <c r="N14" s="15">
        <f>المهني!FK38</f>
        <v>0</v>
      </c>
      <c r="O14" s="186">
        <f t="shared" ref="O14" si="2">M14+K14+I14+G14+E14</f>
        <v>0</v>
      </c>
      <c r="P14" s="186">
        <f t="shared" ref="P14" si="3">N14+L14+J14+H14+F14</f>
        <v>0</v>
      </c>
      <c r="Q14" s="186">
        <f t="shared" si="1"/>
        <v>0</v>
      </c>
      <c r="R14" s="138"/>
      <c r="S14" s="5"/>
      <c r="T14" s="5"/>
      <c r="U14" s="5"/>
      <c r="V14" s="138"/>
      <c r="W14" s="138"/>
    </row>
    <row r="15" spans="1:23" ht="29.25" customHeight="1" thickTop="1" thickBot="1">
      <c r="A15" s="187"/>
      <c r="B15" s="187"/>
      <c r="C15" s="187"/>
      <c r="D15" s="186" t="s">
        <v>474</v>
      </c>
      <c r="E15" s="15">
        <f>المهني!FB39</f>
        <v>0</v>
      </c>
      <c r="F15" s="15">
        <f>المهني!FC39</f>
        <v>0</v>
      </c>
      <c r="G15" s="15">
        <f>المهني!FD39</f>
        <v>0</v>
      </c>
      <c r="H15" s="15">
        <f>المهني!FE39</f>
        <v>0</v>
      </c>
      <c r="I15" s="15">
        <f>المهني!FF39</f>
        <v>0</v>
      </c>
      <c r="J15" s="15">
        <f>المهني!FG39</f>
        <v>0</v>
      </c>
      <c r="K15" s="15">
        <f>المهني!FH39</f>
        <v>0</v>
      </c>
      <c r="L15" s="15">
        <f>المهني!FI39</f>
        <v>0</v>
      </c>
      <c r="M15" s="15">
        <f>المهني!FJ39</f>
        <v>0</v>
      </c>
      <c r="N15" s="15">
        <f>المهني!FK39</f>
        <v>0</v>
      </c>
      <c r="O15" s="186">
        <f t="shared" ref="O15" si="4">M15+K15+I15+G15+E15</f>
        <v>0</v>
      </c>
      <c r="P15" s="186">
        <f t="shared" ref="P15" si="5">N15+L15+J15+H15+F15</f>
        <v>0</v>
      </c>
      <c r="Q15" s="186">
        <f t="shared" si="1"/>
        <v>0</v>
      </c>
      <c r="R15" s="187"/>
      <c r="S15" s="5"/>
      <c r="T15" s="5"/>
      <c r="U15" s="5"/>
      <c r="V15" s="187"/>
      <c r="W15" s="187"/>
    </row>
    <row r="16" spans="1:23" ht="35.25" customHeight="1" thickTop="1" thickBot="1">
      <c r="A16" s="95"/>
      <c r="B16" s="95"/>
      <c r="C16" s="95"/>
      <c r="D16" s="57" t="s">
        <v>387</v>
      </c>
      <c r="E16" s="88">
        <f>المهني!FB35</f>
        <v>0</v>
      </c>
      <c r="F16" s="210">
        <f>المهني!FC35</f>
        <v>0</v>
      </c>
      <c r="G16" s="210">
        <f>المهني!FD35</f>
        <v>0</v>
      </c>
      <c r="H16" s="210">
        <f>المهني!FE35</f>
        <v>0</v>
      </c>
      <c r="I16" s="210">
        <f>المهني!FF35</f>
        <v>0</v>
      </c>
      <c r="J16" s="210">
        <f>المهني!FG35</f>
        <v>0</v>
      </c>
      <c r="K16" s="210">
        <f>المهني!FH35</f>
        <v>0</v>
      </c>
      <c r="L16" s="210">
        <f>المهني!FI35</f>
        <v>0</v>
      </c>
      <c r="M16" s="210">
        <f>المهني!FJ35</f>
        <v>0</v>
      </c>
      <c r="N16" s="210">
        <f>المهني!FK35</f>
        <v>0</v>
      </c>
      <c r="O16" s="210">
        <f t="shared" ref="O16" si="6">M16+K16+I16+G16+E16</f>
        <v>0</v>
      </c>
      <c r="P16" s="210">
        <f t="shared" ref="P16" si="7">N16+L16+J16+H16+F16</f>
        <v>0</v>
      </c>
      <c r="Q16" s="210">
        <f t="shared" ref="Q16" si="8">P16+O16</f>
        <v>0</v>
      </c>
      <c r="R16" s="95"/>
      <c r="S16" s="5"/>
      <c r="T16" s="5"/>
      <c r="U16" s="5"/>
      <c r="V16" s="95"/>
      <c r="W16" s="95"/>
    </row>
    <row r="17" spans="1:23" ht="29.25" customHeight="1" thickTop="1" thickBot="1">
      <c r="A17" s="91"/>
      <c r="B17" s="91"/>
      <c r="C17" s="91"/>
      <c r="D17" s="88" t="s">
        <v>25</v>
      </c>
      <c r="E17" s="88">
        <f>E13+E12+E11+E10+E14+E15</f>
        <v>0</v>
      </c>
      <c r="F17" s="186">
        <f t="shared" ref="F17:N17" si="9">F13+F12+F11+F10+F14+F15</f>
        <v>1</v>
      </c>
      <c r="G17" s="186">
        <f t="shared" si="9"/>
        <v>3</v>
      </c>
      <c r="H17" s="186">
        <f t="shared" si="9"/>
        <v>0</v>
      </c>
      <c r="I17" s="186">
        <f t="shared" si="9"/>
        <v>10</v>
      </c>
      <c r="J17" s="186">
        <f t="shared" si="9"/>
        <v>18</v>
      </c>
      <c r="K17" s="186">
        <f t="shared" si="9"/>
        <v>0</v>
      </c>
      <c r="L17" s="186">
        <f t="shared" si="9"/>
        <v>0</v>
      </c>
      <c r="M17" s="186">
        <f t="shared" si="9"/>
        <v>0</v>
      </c>
      <c r="N17" s="186">
        <f t="shared" si="9"/>
        <v>0</v>
      </c>
      <c r="O17" s="186">
        <f>O13+O12+O11+O10+O14+O15+O16</f>
        <v>13</v>
      </c>
      <c r="P17" s="210">
        <f t="shared" ref="P17:Q17" si="10">P13+P12+P11+P10+P14+P15+P16</f>
        <v>19</v>
      </c>
      <c r="Q17" s="210">
        <f t="shared" si="10"/>
        <v>32</v>
      </c>
      <c r="R17" s="95"/>
      <c r="S17" s="5"/>
      <c r="T17" s="5"/>
      <c r="U17" s="5"/>
      <c r="V17" s="95"/>
      <c r="W17" s="95"/>
    </row>
    <row r="18" spans="1:23" ht="29.25" customHeight="1" thickTop="1">
      <c r="A18" s="414"/>
      <c r="B18" s="414"/>
      <c r="C18" s="414"/>
      <c r="D18" s="414"/>
      <c r="E18" s="415"/>
      <c r="F18" s="415"/>
      <c r="G18" s="415"/>
      <c r="H18" s="415"/>
      <c r="I18" s="415"/>
      <c r="J18" s="415"/>
      <c r="K18" s="415"/>
      <c r="L18" s="415"/>
      <c r="M18" s="94"/>
      <c r="N18" s="94"/>
      <c r="O18" s="94"/>
      <c r="P18" s="94"/>
      <c r="Q18" s="94"/>
      <c r="R18" s="94"/>
      <c r="S18" s="95"/>
      <c r="T18" s="95"/>
      <c r="U18" s="95"/>
      <c r="V18" s="95"/>
      <c r="W18" s="95"/>
    </row>
    <row r="19" spans="1:23" ht="29.25" customHeight="1">
      <c r="A19" s="91"/>
      <c r="B19" s="381" t="s">
        <v>154</v>
      </c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95"/>
      <c r="U19" s="95"/>
      <c r="V19" s="95"/>
      <c r="W19" s="95"/>
    </row>
    <row r="20" spans="1:23" ht="29.25" customHeight="1">
      <c r="A20" s="91"/>
      <c r="B20" s="381" t="s">
        <v>497</v>
      </c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95"/>
      <c r="U20" s="95"/>
      <c r="V20" s="95"/>
      <c r="W20" s="95"/>
    </row>
    <row r="21" spans="1:23" ht="29.25" customHeight="1">
      <c r="A21" s="94"/>
      <c r="B21" s="381" t="s">
        <v>203</v>
      </c>
      <c r="C21" s="381"/>
      <c r="D21" s="381"/>
      <c r="E21" s="381"/>
      <c r="F21" s="381"/>
      <c r="G21" s="381"/>
      <c r="H21" s="381"/>
      <c r="I21" s="381"/>
      <c r="J21" s="381"/>
      <c r="K21" s="381"/>
      <c r="L21" s="381"/>
      <c r="M21" s="381"/>
      <c r="N21" s="381"/>
      <c r="O21" s="381"/>
      <c r="P21" s="381"/>
      <c r="Q21" s="381"/>
      <c r="R21" s="381"/>
      <c r="S21" s="381"/>
      <c r="T21" s="95"/>
      <c r="U21" s="95"/>
      <c r="V21" s="95"/>
      <c r="W21" s="95"/>
    </row>
    <row r="22" spans="1:23" ht="29.25" customHeight="1" thickBot="1">
      <c r="A22" s="94"/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5"/>
      <c r="T22" s="95"/>
      <c r="U22" s="95"/>
      <c r="V22" s="95"/>
      <c r="W22" s="95"/>
    </row>
    <row r="23" spans="1:23" ht="29.25" customHeight="1" thickTop="1" thickBot="1">
      <c r="A23" s="95"/>
      <c r="B23" s="416" t="s">
        <v>113</v>
      </c>
      <c r="C23" s="368" t="s">
        <v>155</v>
      </c>
      <c r="D23" s="369"/>
      <c r="E23" s="368" t="s">
        <v>69</v>
      </c>
      <c r="F23" s="369"/>
      <c r="G23" s="368" t="s">
        <v>64</v>
      </c>
      <c r="H23" s="369"/>
      <c r="I23" s="368" t="s">
        <v>355</v>
      </c>
      <c r="J23" s="369"/>
      <c r="K23" s="368" t="s">
        <v>356</v>
      </c>
      <c r="L23" s="369"/>
      <c r="M23" s="368" t="s">
        <v>33</v>
      </c>
      <c r="N23" s="369"/>
      <c r="O23" s="368" t="s">
        <v>34</v>
      </c>
      <c r="P23" s="369"/>
      <c r="Q23" s="368" t="s">
        <v>35</v>
      </c>
      <c r="R23" s="369"/>
      <c r="S23" s="368" t="s">
        <v>36</v>
      </c>
      <c r="T23" s="369"/>
      <c r="U23" s="368" t="s">
        <v>25</v>
      </c>
      <c r="V23" s="370"/>
      <c r="W23" s="369"/>
    </row>
    <row r="24" spans="1:23" ht="29.25" customHeight="1" thickTop="1" thickBot="1">
      <c r="A24" s="95"/>
      <c r="B24" s="417"/>
      <c r="C24" s="88" t="s">
        <v>73</v>
      </c>
      <c r="D24" s="88" t="s">
        <v>29</v>
      </c>
      <c r="E24" s="88" t="s">
        <v>73</v>
      </c>
      <c r="F24" s="88" t="s">
        <v>29</v>
      </c>
      <c r="G24" s="88" t="s">
        <v>73</v>
      </c>
      <c r="H24" s="88" t="s">
        <v>29</v>
      </c>
      <c r="I24" s="88" t="s">
        <v>73</v>
      </c>
      <c r="J24" s="88" t="s">
        <v>29</v>
      </c>
      <c r="K24" s="88" t="s">
        <v>73</v>
      </c>
      <c r="L24" s="88" t="s">
        <v>29</v>
      </c>
      <c r="M24" s="88" t="s">
        <v>73</v>
      </c>
      <c r="N24" s="88" t="s">
        <v>29</v>
      </c>
      <c r="O24" s="88" t="s">
        <v>73</v>
      </c>
      <c r="P24" s="88" t="s">
        <v>29</v>
      </c>
      <c r="Q24" s="88" t="s">
        <v>73</v>
      </c>
      <c r="R24" s="88" t="s">
        <v>29</v>
      </c>
      <c r="S24" s="88" t="s">
        <v>73</v>
      </c>
      <c r="T24" s="88" t="s">
        <v>29</v>
      </c>
      <c r="U24" s="88" t="s">
        <v>73</v>
      </c>
      <c r="V24" s="88" t="s">
        <v>29</v>
      </c>
      <c r="W24" s="88" t="s">
        <v>25</v>
      </c>
    </row>
    <row r="25" spans="1:23" ht="29.25" customHeight="1" thickTop="1" thickBot="1">
      <c r="A25" s="95"/>
      <c r="B25" s="88" t="s">
        <v>121</v>
      </c>
      <c r="C25" s="15">
        <f>المهني!NE17</f>
        <v>0</v>
      </c>
      <c r="D25" s="15">
        <f>المهني!NF17</f>
        <v>0</v>
      </c>
      <c r="E25" s="15">
        <f>المهني!NG17</f>
        <v>0</v>
      </c>
      <c r="F25" s="15">
        <f>المهني!NH17</f>
        <v>0</v>
      </c>
      <c r="G25" s="15">
        <f>المهني!NI17</f>
        <v>1</v>
      </c>
      <c r="H25" s="15">
        <f>المهني!NJ17</f>
        <v>0</v>
      </c>
      <c r="I25" s="15">
        <f>المهني!NM17</f>
        <v>4</v>
      </c>
      <c r="J25" s="15">
        <f>المهني!NN17</f>
        <v>13</v>
      </c>
      <c r="K25" s="15">
        <f>المهني!NK17</f>
        <v>7</v>
      </c>
      <c r="L25" s="15">
        <f>المهني!NL17</f>
        <v>6</v>
      </c>
      <c r="M25" s="15">
        <f>المهني!NO17</f>
        <v>1</v>
      </c>
      <c r="N25" s="15">
        <f>المهني!NP17</f>
        <v>0</v>
      </c>
      <c r="O25" s="15">
        <f>المهني!NQ17</f>
        <v>0</v>
      </c>
      <c r="P25" s="15">
        <f>المهني!NR17</f>
        <v>0</v>
      </c>
      <c r="Q25" s="15">
        <f>المهني!NS17</f>
        <v>0</v>
      </c>
      <c r="R25" s="15">
        <f>المهني!NT17</f>
        <v>0</v>
      </c>
      <c r="S25" s="15">
        <f>المهني!NU17</f>
        <v>0</v>
      </c>
      <c r="T25" s="15">
        <f>المهني!NV17</f>
        <v>0</v>
      </c>
      <c r="U25" s="15">
        <f t="shared" ref="U25:V28" si="11">O25+K25+G25+C25+E25+I25+M25+Q25+S25</f>
        <v>13</v>
      </c>
      <c r="V25" s="15">
        <f t="shared" si="11"/>
        <v>19</v>
      </c>
      <c r="W25" s="15">
        <f>V25+U25</f>
        <v>32</v>
      </c>
    </row>
    <row r="26" spans="1:23" ht="29.25" customHeight="1" thickTop="1" thickBot="1">
      <c r="A26" s="95"/>
      <c r="B26" s="88" t="s">
        <v>122</v>
      </c>
      <c r="C26" s="15">
        <f>المهني!NE28</f>
        <v>0</v>
      </c>
      <c r="D26" s="15">
        <f>المهني!NF28</f>
        <v>0</v>
      </c>
      <c r="E26" s="15">
        <f>المهني!NG28</f>
        <v>0</v>
      </c>
      <c r="F26" s="15">
        <f>المهني!NH28</f>
        <v>0</v>
      </c>
      <c r="G26" s="15">
        <f>المهني!NI28</f>
        <v>0</v>
      </c>
      <c r="H26" s="15">
        <f>المهني!NJ28</f>
        <v>0</v>
      </c>
      <c r="I26" s="15">
        <f>المهني!NM28</f>
        <v>0</v>
      </c>
      <c r="J26" s="15">
        <f>المهني!NN28</f>
        <v>0</v>
      </c>
      <c r="K26" s="15">
        <f>المهني!NK28</f>
        <v>0</v>
      </c>
      <c r="L26" s="15">
        <f>المهني!NL28</f>
        <v>0</v>
      </c>
      <c r="M26" s="15">
        <f>المهني!NO28</f>
        <v>0</v>
      </c>
      <c r="N26" s="15">
        <f>المهني!NP28</f>
        <v>0</v>
      </c>
      <c r="O26" s="15">
        <f>المهني!NQ28</f>
        <v>0</v>
      </c>
      <c r="P26" s="15">
        <f>المهني!NR28</f>
        <v>0</v>
      </c>
      <c r="Q26" s="15">
        <f>المهني!NS28</f>
        <v>0</v>
      </c>
      <c r="R26" s="15">
        <f>المهني!NT28</f>
        <v>0</v>
      </c>
      <c r="S26" s="15">
        <v>0</v>
      </c>
      <c r="T26" s="15">
        <v>0</v>
      </c>
      <c r="U26" s="15">
        <f t="shared" si="11"/>
        <v>0</v>
      </c>
      <c r="V26" s="15">
        <f t="shared" si="11"/>
        <v>0</v>
      </c>
      <c r="W26" s="15">
        <f>V26+U26</f>
        <v>0</v>
      </c>
    </row>
    <row r="27" spans="1:23" ht="29.25" customHeight="1" thickTop="1" thickBot="1">
      <c r="A27" s="95"/>
      <c r="B27" s="88" t="s">
        <v>123</v>
      </c>
      <c r="C27" s="15">
        <f>المهني!NE23</f>
        <v>0</v>
      </c>
      <c r="D27" s="15">
        <f>المهني!NF23</f>
        <v>0</v>
      </c>
      <c r="E27" s="15">
        <f>المهني!NG23</f>
        <v>0</v>
      </c>
      <c r="F27" s="15">
        <f>المهني!NH23</f>
        <v>0</v>
      </c>
      <c r="G27" s="15">
        <f>المهني!NI23</f>
        <v>0</v>
      </c>
      <c r="H27" s="15">
        <f>المهني!NJ23</f>
        <v>0</v>
      </c>
      <c r="I27" s="15">
        <f>المهني!NM23</f>
        <v>0</v>
      </c>
      <c r="J27" s="15">
        <f>المهني!NN23</f>
        <v>0</v>
      </c>
      <c r="K27" s="15">
        <f>المهني!NK23</f>
        <v>0</v>
      </c>
      <c r="L27" s="15">
        <f>المهني!NL23</f>
        <v>0</v>
      </c>
      <c r="M27" s="15">
        <f>المهني!NO23</f>
        <v>0</v>
      </c>
      <c r="N27" s="15">
        <f>المهني!NP23</f>
        <v>0</v>
      </c>
      <c r="O27" s="15">
        <f>المهني!NQ23</f>
        <v>0</v>
      </c>
      <c r="P27" s="15">
        <f>المهني!NR23</f>
        <v>0</v>
      </c>
      <c r="Q27" s="15">
        <f>المهني!NS23</f>
        <v>0</v>
      </c>
      <c r="R27" s="15">
        <f>المهني!NT23</f>
        <v>0</v>
      </c>
      <c r="S27" s="15">
        <f>المهني!NU23</f>
        <v>0</v>
      </c>
      <c r="T27" s="15">
        <f>المهني!NV23</f>
        <v>0</v>
      </c>
      <c r="U27" s="15">
        <f t="shared" si="11"/>
        <v>0</v>
      </c>
      <c r="V27" s="15">
        <f t="shared" si="11"/>
        <v>0</v>
      </c>
      <c r="W27" s="15">
        <f>V27+U27</f>
        <v>0</v>
      </c>
    </row>
    <row r="28" spans="1:23" ht="29.25" customHeight="1" thickTop="1" thickBot="1">
      <c r="A28" s="95"/>
      <c r="B28" s="88" t="s">
        <v>211</v>
      </c>
      <c r="C28" s="114">
        <v>0</v>
      </c>
      <c r="D28" s="114">
        <v>0</v>
      </c>
      <c r="E28" s="114">
        <f>المهني!NG32</f>
        <v>0</v>
      </c>
      <c r="F28" s="114">
        <f>المهني!NH32</f>
        <v>0</v>
      </c>
      <c r="G28" s="114">
        <v>0</v>
      </c>
      <c r="H28" s="114">
        <f>المهني!NJ32</f>
        <v>0</v>
      </c>
      <c r="I28" s="114">
        <f>المهني!NM32</f>
        <v>0</v>
      </c>
      <c r="J28" s="114">
        <f>المهني!NN32</f>
        <v>0</v>
      </c>
      <c r="K28" s="114">
        <v>0</v>
      </c>
      <c r="L28" s="114">
        <f>المهني!NL32</f>
        <v>0</v>
      </c>
      <c r="M28" s="114">
        <v>0</v>
      </c>
      <c r="N28" s="114">
        <v>0</v>
      </c>
      <c r="O28" s="114">
        <v>0</v>
      </c>
      <c r="P28" s="114">
        <v>0</v>
      </c>
      <c r="Q28" s="114">
        <v>0</v>
      </c>
      <c r="R28" s="114">
        <v>0</v>
      </c>
      <c r="S28" s="114">
        <v>0</v>
      </c>
      <c r="T28" s="114">
        <v>0</v>
      </c>
      <c r="U28" s="88">
        <f t="shared" si="11"/>
        <v>0</v>
      </c>
      <c r="V28" s="88">
        <f t="shared" si="11"/>
        <v>0</v>
      </c>
      <c r="W28" s="88">
        <f>V28+U28</f>
        <v>0</v>
      </c>
    </row>
    <row r="29" spans="1:23" ht="29.25" customHeight="1" thickTop="1" thickBot="1">
      <c r="A29" s="138"/>
      <c r="B29" s="136" t="s">
        <v>459</v>
      </c>
      <c r="C29" s="15">
        <f>المهني!NE38</f>
        <v>0</v>
      </c>
      <c r="D29" s="15">
        <f>المهني!NF38</f>
        <v>0</v>
      </c>
      <c r="E29" s="15">
        <f>المهني!NG38</f>
        <v>0</v>
      </c>
      <c r="F29" s="15">
        <f>المهني!NH38</f>
        <v>0</v>
      </c>
      <c r="G29" s="15">
        <f>المهني!NI38</f>
        <v>0</v>
      </c>
      <c r="H29" s="15">
        <f>المهني!NJ38</f>
        <v>0</v>
      </c>
      <c r="I29" s="15">
        <f>المهني!NK38</f>
        <v>0</v>
      </c>
      <c r="J29" s="15">
        <f>المهني!NL38</f>
        <v>0</v>
      </c>
      <c r="K29" s="15">
        <f>المهني!NM38</f>
        <v>0</v>
      </c>
      <c r="L29" s="15">
        <f>المهني!NN38</f>
        <v>0</v>
      </c>
      <c r="M29" s="15">
        <f>المهني!NO38</f>
        <v>0</v>
      </c>
      <c r="N29" s="15">
        <f>المهني!NP38</f>
        <v>0</v>
      </c>
      <c r="O29" s="15">
        <f>المهني!NQ38</f>
        <v>0</v>
      </c>
      <c r="P29" s="15">
        <f>المهني!NR38</f>
        <v>0</v>
      </c>
      <c r="Q29" s="15">
        <f>المهني!NS38</f>
        <v>0</v>
      </c>
      <c r="R29" s="15">
        <f>المهني!NT38</f>
        <v>0</v>
      </c>
      <c r="S29" s="15">
        <f>المهني!NU38</f>
        <v>0</v>
      </c>
      <c r="T29" s="15">
        <f>المهني!NV38</f>
        <v>0</v>
      </c>
      <c r="U29" s="15">
        <f t="shared" ref="U29" si="12">O29+K29+G29+C29+E29+I29+M29+Q29+S29</f>
        <v>0</v>
      </c>
      <c r="V29" s="15">
        <f t="shared" ref="V29:V30" si="13">P29+L29+H29+D29+F29+J29+N29+R29+T29</f>
        <v>0</v>
      </c>
      <c r="W29" s="15">
        <f t="shared" ref="W29:W30" si="14">V29+U29</f>
        <v>0</v>
      </c>
    </row>
    <row r="30" spans="1:23" ht="29.25" customHeight="1" thickTop="1" thickBot="1">
      <c r="A30" s="187"/>
      <c r="B30" s="186" t="s">
        <v>474</v>
      </c>
      <c r="C30" s="15">
        <f>المهني!NE39</f>
        <v>0</v>
      </c>
      <c r="D30" s="15">
        <f>المهني!NF39</f>
        <v>0</v>
      </c>
      <c r="E30" s="15">
        <f>المهني!NG39</f>
        <v>0</v>
      </c>
      <c r="F30" s="15">
        <f>المهني!NH39</f>
        <v>0</v>
      </c>
      <c r="G30" s="15">
        <f>المهني!NI39</f>
        <v>0</v>
      </c>
      <c r="H30" s="15">
        <f>المهني!NJ39</f>
        <v>0</v>
      </c>
      <c r="I30" s="15">
        <f>المهني!NK39</f>
        <v>0</v>
      </c>
      <c r="J30" s="15">
        <f>المهني!NL39</f>
        <v>0</v>
      </c>
      <c r="K30" s="15">
        <f>المهني!NM39</f>
        <v>0</v>
      </c>
      <c r="L30" s="15">
        <f>المهني!NN39</f>
        <v>0</v>
      </c>
      <c r="M30" s="15">
        <f>المهني!NO39</f>
        <v>0</v>
      </c>
      <c r="N30" s="15">
        <f>المهني!NP39</f>
        <v>0</v>
      </c>
      <c r="O30" s="15">
        <f>المهني!NQ39</f>
        <v>0</v>
      </c>
      <c r="P30" s="15">
        <f>المهني!NR39</f>
        <v>0</v>
      </c>
      <c r="Q30" s="15">
        <f>المهني!NS39</f>
        <v>0</v>
      </c>
      <c r="R30" s="15">
        <f>المهني!NT39</f>
        <v>0</v>
      </c>
      <c r="S30" s="15">
        <f>المهني!NU39</f>
        <v>0</v>
      </c>
      <c r="T30" s="15">
        <f>المهني!NV39</f>
        <v>0</v>
      </c>
      <c r="U30" s="15">
        <f>O30+K30+G30+C30+E30+I30+M30+Q30+S30</f>
        <v>0</v>
      </c>
      <c r="V30" s="15">
        <f t="shared" si="13"/>
        <v>0</v>
      </c>
      <c r="W30" s="15">
        <f t="shared" si="14"/>
        <v>0</v>
      </c>
    </row>
    <row r="31" spans="1:23" ht="39.75" customHeight="1" thickTop="1" thickBot="1">
      <c r="A31" s="95"/>
      <c r="B31" s="56" t="s">
        <v>387</v>
      </c>
      <c r="C31" s="88">
        <f>المهني!NE36</f>
        <v>0</v>
      </c>
      <c r="D31" s="210">
        <f>المهني!NF36</f>
        <v>0</v>
      </c>
      <c r="E31" s="210">
        <f>المهني!NG36</f>
        <v>0</v>
      </c>
      <c r="F31" s="210">
        <f>المهني!NH36</f>
        <v>0</v>
      </c>
      <c r="G31" s="210">
        <f>المهني!NI36</f>
        <v>0</v>
      </c>
      <c r="H31" s="210">
        <f>المهني!NJ36</f>
        <v>0</v>
      </c>
      <c r="I31" s="210">
        <f>المهني!NK36</f>
        <v>0</v>
      </c>
      <c r="J31" s="210">
        <f>المهني!NL36</f>
        <v>0</v>
      </c>
      <c r="K31" s="210">
        <f>المهني!NM36</f>
        <v>0</v>
      </c>
      <c r="L31" s="210">
        <f>المهني!NN36</f>
        <v>0</v>
      </c>
      <c r="M31" s="210">
        <f>المهني!NO36</f>
        <v>0</v>
      </c>
      <c r="N31" s="210">
        <f>المهني!NP36</f>
        <v>0</v>
      </c>
      <c r="O31" s="210">
        <f>المهني!NQ36</f>
        <v>0</v>
      </c>
      <c r="P31" s="210">
        <f>المهني!NR36</f>
        <v>0</v>
      </c>
      <c r="Q31" s="210">
        <f>المهني!NS36</f>
        <v>0</v>
      </c>
      <c r="R31" s="210">
        <f>المهني!NT36</f>
        <v>0</v>
      </c>
      <c r="S31" s="210">
        <f>المهني!NU36</f>
        <v>0</v>
      </c>
      <c r="T31" s="210">
        <f>المهني!NV36</f>
        <v>0</v>
      </c>
      <c r="U31" s="15">
        <f>O31+K31+G31+C31+E31+I31+M31+Q31+S31</f>
        <v>0</v>
      </c>
      <c r="V31" s="15">
        <f t="shared" ref="V31" si="15">P31+L31+H31+D31+F31+J31+N31+R31+T31</f>
        <v>0</v>
      </c>
      <c r="W31" s="15">
        <f t="shared" ref="W31" si="16">V31+U31</f>
        <v>0</v>
      </c>
    </row>
    <row r="32" spans="1:23" ht="42" customHeight="1" thickTop="1" thickBot="1">
      <c r="A32" s="95"/>
      <c r="B32" s="88" t="s">
        <v>25</v>
      </c>
      <c r="C32" s="88">
        <f>C28+C27+C26+C25+C29+C30+C31</f>
        <v>0</v>
      </c>
      <c r="D32" s="186">
        <f t="shared" ref="D32:W32" si="17">D28+D27+D26+D25+D29+D30+D31</f>
        <v>0</v>
      </c>
      <c r="E32" s="186">
        <f t="shared" si="17"/>
        <v>0</v>
      </c>
      <c r="F32" s="186">
        <f t="shared" si="17"/>
        <v>0</v>
      </c>
      <c r="G32" s="186">
        <f t="shared" si="17"/>
        <v>1</v>
      </c>
      <c r="H32" s="186">
        <f t="shared" si="17"/>
        <v>0</v>
      </c>
      <c r="I32" s="186">
        <f t="shared" si="17"/>
        <v>4</v>
      </c>
      <c r="J32" s="186">
        <f t="shared" si="17"/>
        <v>13</v>
      </c>
      <c r="K32" s="186">
        <f t="shared" si="17"/>
        <v>7</v>
      </c>
      <c r="L32" s="186">
        <f t="shared" si="17"/>
        <v>6</v>
      </c>
      <c r="M32" s="186">
        <f t="shared" si="17"/>
        <v>1</v>
      </c>
      <c r="N32" s="186">
        <f t="shared" si="17"/>
        <v>0</v>
      </c>
      <c r="O32" s="186">
        <f t="shared" si="17"/>
        <v>0</v>
      </c>
      <c r="P32" s="186">
        <f t="shared" si="17"/>
        <v>0</v>
      </c>
      <c r="Q32" s="186">
        <f t="shared" si="17"/>
        <v>0</v>
      </c>
      <c r="R32" s="186">
        <f t="shared" si="17"/>
        <v>0</v>
      </c>
      <c r="S32" s="186">
        <f t="shared" si="17"/>
        <v>0</v>
      </c>
      <c r="T32" s="186">
        <f t="shared" si="17"/>
        <v>0</v>
      </c>
      <c r="U32" s="186">
        <f t="shared" si="17"/>
        <v>13</v>
      </c>
      <c r="V32" s="186">
        <f t="shared" si="17"/>
        <v>19</v>
      </c>
      <c r="W32" s="186">
        <f t="shared" si="17"/>
        <v>32</v>
      </c>
    </row>
    <row r="33" spans="1:23" ht="29.25" customHeight="1" thickTop="1"/>
    <row r="34" spans="1:23" ht="29.25" customHeight="1">
      <c r="A34" s="381" t="s">
        <v>146</v>
      </c>
      <c r="B34" s="381"/>
      <c r="C34" s="381"/>
      <c r="D34" s="381"/>
      <c r="E34" s="381"/>
      <c r="F34" s="94"/>
      <c r="G34" s="94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381" t="s">
        <v>110</v>
      </c>
      <c r="S34" s="381"/>
      <c r="T34" s="95"/>
      <c r="U34" s="95"/>
      <c r="V34" s="95"/>
      <c r="W34" s="95"/>
    </row>
    <row r="35" spans="1:23" ht="29.25" customHeight="1">
      <c r="A35" s="382" t="s">
        <v>185</v>
      </c>
      <c r="B35" s="382"/>
      <c r="C35" s="382"/>
      <c r="D35" s="382"/>
      <c r="E35" s="382"/>
      <c r="F35" s="94"/>
      <c r="G35" s="94"/>
      <c r="H35" s="95"/>
      <c r="I35" s="95"/>
      <c r="J35" s="95"/>
      <c r="K35" s="95"/>
      <c r="L35" s="95"/>
      <c r="M35" s="95"/>
      <c r="N35" s="95"/>
      <c r="O35" s="95"/>
      <c r="P35" s="95"/>
      <c r="Q35" s="94"/>
      <c r="R35" s="95"/>
      <c r="S35" s="95"/>
      <c r="T35" s="95"/>
      <c r="U35" s="95"/>
      <c r="V35" s="95"/>
      <c r="W35" s="95"/>
    </row>
    <row r="36" spans="1:23" ht="29.25" customHeight="1">
      <c r="A36" s="94"/>
      <c r="B36" s="94"/>
      <c r="C36" s="94"/>
      <c r="D36" s="94"/>
      <c r="E36" s="94"/>
      <c r="F36" s="94"/>
      <c r="G36" s="94"/>
      <c r="H36" s="95"/>
      <c r="I36" s="382" t="s">
        <v>189</v>
      </c>
      <c r="J36" s="382"/>
      <c r="K36" s="382"/>
      <c r="L36" s="382"/>
      <c r="M36" s="95"/>
      <c r="N36" s="95"/>
      <c r="O36" s="95"/>
      <c r="P36" s="95"/>
      <c r="Q36" s="94"/>
      <c r="R36" s="94"/>
      <c r="S36" s="95"/>
      <c r="T36" s="95"/>
      <c r="U36" s="95"/>
      <c r="V36" s="95"/>
      <c r="W36" s="95"/>
    </row>
    <row r="37" spans="1:23" ht="29.25" customHeight="1">
      <c r="A37" s="95"/>
      <c r="B37" s="95"/>
      <c r="C37" s="95"/>
      <c r="D37" s="381" t="s">
        <v>152</v>
      </c>
      <c r="E37" s="381"/>
      <c r="F37" s="381"/>
      <c r="G37" s="381"/>
      <c r="H37" s="381"/>
      <c r="I37" s="381"/>
      <c r="J37" s="381"/>
      <c r="K37" s="381"/>
      <c r="L37" s="381"/>
      <c r="M37" s="381"/>
      <c r="N37" s="381"/>
      <c r="O37" s="381"/>
      <c r="P37" s="381"/>
      <c r="Q37" s="381"/>
      <c r="R37" s="94"/>
      <c r="S37" s="95"/>
      <c r="T37" s="95"/>
      <c r="U37" s="95"/>
      <c r="V37" s="95"/>
      <c r="W37" s="95"/>
    </row>
    <row r="38" spans="1:23" ht="29.25" customHeight="1">
      <c r="A38" s="95"/>
      <c r="B38" s="82"/>
      <c r="C38" s="82"/>
      <c r="D38" s="381" t="s">
        <v>497</v>
      </c>
      <c r="E38" s="381"/>
      <c r="F38" s="381"/>
      <c r="G38" s="381"/>
      <c r="H38" s="381"/>
      <c r="I38" s="381"/>
      <c r="J38" s="381"/>
      <c r="K38" s="381"/>
      <c r="L38" s="381"/>
      <c r="M38" s="381"/>
      <c r="N38" s="381"/>
      <c r="O38" s="381"/>
      <c r="P38" s="381"/>
      <c r="Q38" s="381"/>
      <c r="R38" s="95"/>
      <c r="S38" s="95"/>
      <c r="T38" s="95"/>
      <c r="U38" s="95"/>
      <c r="V38" s="95"/>
      <c r="W38" s="95"/>
    </row>
    <row r="39" spans="1:23" ht="29.25" customHeight="1">
      <c r="A39" s="95"/>
      <c r="B39" s="82"/>
      <c r="C39" s="82"/>
      <c r="D39" s="381" t="s">
        <v>153</v>
      </c>
      <c r="E39" s="381"/>
      <c r="F39" s="381"/>
      <c r="G39" s="381"/>
      <c r="H39" s="381"/>
      <c r="I39" s="381"/>
      <c r="J39" s="381"/>
      <c r="K39" s="381"/>
      <c r="L39" s="381"/>
      <c r="M39" s="381"/>
      <c r="N39" s="381"/>
      <c r="O39" s="381"/>
      <c r="P39" s="381"/>
      <c r="Q39" s="381"/>
      <c r="R39" s="95"/>
      <c r="S39" s="95"/>
      <c r="T39" s="95"/>
      <c r="U39" s="95"/>
      <c r="V39" s="95"/>
      <c r="W39" s="95"/>
    </row>
    <row r="40" spans="1:23" ht="29.25" customHeight="1" thickBot="1">
      <c r="A40" s="95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</row>
    <row r="41" spans="1:23" ht="29.25" customHeight="1" thickTop="1" thickBot="1">
      <c r="A41" s="95"/>
      <c r="B41" s="95"/>
      <c r="C41" s="95"/>
      <c r="D41" s="416" t="s">
        <v>113</v>
      </c>
      <c r="E41" s="368" t="s">
        <v>30</v>
      </c>
      <c r="F41" s="369"/>
      <c r="G41" s="368" t="s">
        <v>31</v>
      </c>
      <c r="H41" s="369"/>
      <c r="I41" s="368" t="s">
        <v>63</v>
      </c>
      <c r="J41" s="369"/>
      <c r="K41" s="368" t="s">
        <v>179</v>
      </c>
      <c r="L41" s="369"/>
      <c r="M41" s="368" t="s">
        <v>180</v>
      </c>
      <c r="N41" s="369"/>
      <c r="O41" s="368" t="s">
        <v>25</v>
      </c>
      <c r="P41" s="370"/>
      <c r="Q41" s="369"/>
      <c r="R41" s="95"/>
      <c r="S41" s="95"/>
      <c r="T41" s="95"/>
      <c r="U41" s="95"/>
      <c r="V41" s="95"/>
      <c r="W41" s="95"/>
    </row>
    <row r="42" spans="1:23" ht="29.25" customHeight="1" thickTop="1" thickBot="1">
      <c r="A42" s="95"/>
      <c r="B42" s="95"/>
      <c r="C42" s="95"/>
      <c r="D42" s="417"/>
      <c r="E42" s="88" t="s">
        <v>73</v>
      </c>
      <c r="F42" s="88" t="s">
        <v>29</v>
      </c>
      <c r="G42" s="88" t="s">
        <v>73</v>
      </c>
      <c r="H42" s="88" t="s">
        <v>29</v>
      </c>
      <c r="I42" s="88" t="s">
        <v>73</v>
      </c>
      <c r="J42" s="88" t="s">
        <v>29</v>
      </c>
      <c r="K42" s="88" t="s">
        <v>73</v>
      </c>
      <c r="L42" s="88" t="s">
        <v>29</v>
      </c>
      <c r="M42" s="88" t="s">
        <v>73</v>
      </c>
      <c r="N42" s="88" t="s">
        <v>29</v>
      </c>
      <c r="O42" s="88" t="s">
        <v>73</v>
      </c>
      <c r="P42" s="88" t="s">
        <v>29</v>
      </c>
      <c r="Q42" s="88" t="s">
        <v>25</v>
      </c>
      <c r="R42" s="95"/>
      <c r="S42" s="95"/>
      <c r="T42" s="95"/>
      <c r="U42" s="95"/>
      <c r="V42" s="95"/>
      <c r="W42" s="95"/>
    </row>
    <row r="43" spans="1:23" ht="29.25" customHeight="1" thickTop="1" thickBot="1">
      <c r="A43" s="95"/>
      <c r="B43" s="95"/>
      <c r="C43" s="95"/>
      <c r="D43" s="88" t="s">
        <v>121</v>
      </c>
      <c r="E43" s="88">
        <f>المهني!FB9</f>
        <v>0</v>
      </c>
      <c r="F43" s="88">
        <f>المهني!FC9</f>
        <v>1</v>
      </c>
      <c r="G43" s="88">
        <f>المهني!FD9</f>
        <v>3</v>
      </c>
      <c r="H43" s="88">
        <f>المهني!FE9</f>
        <v>0</v>
      </c>
      <c r="I43" s="88">
        <f>المهني!FF9</f>
        <v>10</v>
      </c>
      <c r="J43" s="88">
        <f>المهني!FG9</f>
        <v>18</v>
      </c>
      <c r="K43" s="88">
        <f>المهني!FH9</f>
        <v>0</v>
      </c>
      <c r="L43" s="88">
        <f>المهني!FI9</f>
        <v>0</v>
      </c>
      <c r="M43" s="88">
        <f>المهني!FJ9</f>
        <v>0</v>
      </c>
      <c r="N43" s="88">
        <f>المهني!FK9</f>
        <v>0</v>
      </c>
      <c r="O43" s="88">
        <f t="shared" ref="O43:P46" si="18">M43+K43+I43+G43+E43</f>
        <v>13</v>
      </c>
      <c r="P43" s="88">
        <f t="shared" si="18"/>
        <v>19</v>
      </c>
      <c r="Q43" s="88">
        <f>P43+O43</f>
        <v>32</v>
      </c>
      <c r="R43" s="95"/>
      <c r="S43" s="5"/>
      <c r="T43" s="5"/>
      <c r="U43" s="5"/>
      <c r="V43" s="95"/>
      <c r="W43" s="95"/>
    </row>
    <row r="44" spans="1:23" ht="29.25" customHeight="1" thickTop="1" thickBot="1">
      <c r="A44" s="95"/>
      <c r="B44" s="95"/>
      <c r="C44" s="95"/>
      <c r="D44" s="88" t="s">
        <v>122</v>
      </c>
      <c r="E44" s="29">
        <v>0</v>
      </c>
      <c r="F44" s="29">
        <v>0</v>
      </c>
      <c r="G44" s="29">
        <v>0</v>
      </c>
      <c r="H44" s="29">
        <v>0</v>
      </c>
      <c r="I44" s="29">
        <v>0</v>
      </c>
      <c r="J44" s="29">
        <v>0</v>
      </c>
      <c r="K44" s="29">
        <v>0</v>
      </c>
      <c r="L44" s="29">
        <v>0</v>
      </c>
      <c r="M44" s="29">
        <v>0</v>
      </c>
      <c r="N44" s="29">
        <v>0</v>
      </c>
      <c r="O44" s="88">
        <f t="shared" si="18"/>
        <v>0</v>
      </c>
      <c r="P44" s="88">
        <f t="shared" si="18"/>
        <v>0</v>
      </c>
      <c r="Q44" s="88">
        <f>P44+O44</f>
        <v>0</v>
      </c>
      <c r="R44" s="95"/>
      <c r="S44" s="5"/>
      <c r="T44" s="5"/>
      <c r="U44" s="5"/>
      <c r="V44" s="95"/>
      <c r="W44" s="95"/>
    </row>
    <row r="45" spans="1:23" ht="29.25" customHeight="1" thickTop="1" thickBot="1">
      <c r="A45" s="36"/>
      <c r="B45" s="36"/>
      <c r="C45" s="36"/>
      <c r="D45" s="88" t="s">
        <v>123</v>
      </c>
      <c r="E45" s="88">
        <f>المهني!FB23</f>
        <v>0</v>
      </c>
      <c r="F45" s="88">
        <f>المهني!FC23</f>
        <v>0</v>
      </c>
      <c r="G45" s="88">
        <f>المهني!FD23</f>
        <v>0</v>
      </c>
      <c r="H45" s="88">
        <f>المهني!FE23</f>
        <v>0</v>
      </c>
      <c r="I45" s="88">
        <f>المهني!FF23</f>
        <v>0</v>
      </c>
      <c r="J45" s="88">
        <f>المهني!FG23</f>
        <v>0</v>
      </c>
      <c r="K45" s="88">
        <f>المهني!FH23</f>
        <v>0</v>
      </c>
      <c r="L45" s="88">
        <f>المهني!FI23</f>
        <v>0</v>
      </c>
      <c r="M45" s="88">
        <f>المهني!FJ23</f>
        <v>0</v>
      </c>
      <c r="N45" s="88">
        <f>المهني!FK23</f>
        <v>0</v>
      </c>
      <c r="O45" s="88">
        <f t="shared" si="18"/>
        <v>0</v>
      </c>
      <c r="P45" s="88">
        <f t="shared" si="18"/>
        <v>0</v>
      </c>
      <c r="Q45" s="88">
        <f>P45+O45</f>
        <v>0</v>
      </c>
      <c r="R45" s="36"/>
      <c r="S45" s="49"/>
      <c r="T45" s="49"/>
      <c r="U45" s="49"/>
      <c r="V45" s="36"/>
      <c r="W45" s="36"/>
    </row>
    <row r="46" spans="1:23" ht="29.25" customHeight="1" thickTop="1" thickBot="1">
      <c r="A46" s="95"/>
      <c r="B46" s="95"/>
      <c r="C46" s="95"/>
      <c r="D46" s="88" t="s">
        <v>211</v>
      </c>
      <c r="E46" s="29">
        <v>0</v>
      </c>
      <c r="F46" s="29">
        <v>0</v>
      </c>
      <c r="G46" s="29">
        <v>0</v>
      </c>
      <c r="H46" s="29">
        <v>0</v>
      </c>
      <c r="I46" s="29">
        <v>0</v>
      </c>
      <c r="J46" s="29">
        <f>المهني!FG32</f>
        <v>0</v>
      </c>
      <c r="K46" s="29">
        <v>0</v>
      </c>
      <c r="L46" s="29">
        <f>المهني!FI32</f>
        <v>0</v>
      </c>
      <c r="M46" s="29">
        <v>0</v>
      </c>
      <c r="N46" s="29">
        <v>0</v>
      </c>
      <c r="O46" s="88">
        <f t="shared" si="18"/>
        <v>0</v>
      </c>
      <c r="P46" s="88">
        <f t="shared" si="18"/>
        <v>0</v>
      </c>
      <c r="Q46" s="88">
        <f>P46+O46</f>
        <v>0</v>
      </c>
      <c r="R46" s="95"/>
      <c r="S46" s="5"/>
      <c r="T46" s="5"/>
      <c r="U46" s="5"/>
      <c r="V46" s="95"/>
      <c r="W46" s="95"/>
    </row>
    <row r="47" spans="1:23" ht="29.25" customHeight="1" thickTop="1" thickBot="1">
      <c r="A47" s="138"/>
      <c r="B47" s="138"/>
      <c r="C47" s="138"/>
      <c r="D47" s="136" t="s">
        <v>459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136"/>
      <c r="P47" s="136"/>
      <c r="Q47" s="136"/>
      <c r="R47" s="138"/>
      <c r="S47" s="5"/>
      <c r="T47" s="5"/>
      <c r="U47" s="5"/>
      <c r="V47" s="138"/>
      <c r="W47" s="138"/>
    </row>
    <row r="48" spans="1:23" ht="29.25" customHeight="1" thickTop="1" thickBot="1">
      <c r="A48" s="95"/>
      <c r="B48" s="95"/>
      <c r="C48" s="95"/>
      <c r="D48" s="56" t="s">
        <v>387</v>
      </c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88">
        <v>0</v>
      </c>
      <c r="P48" s="88"/>
      <c r="Q48" s="88">
        <v>0</v>
      </c>
      <c r="R48" s="95"/>
      <c r="S48" s="5"/>
      <c r="T48" s="5"/>
      <c r="U48" s="5"/>
      <c r="V48" s="95"/>
      <c r="W48" s="95"/>
    </row>
    <row r="49" spans="1:23" ht="29.25" customHeight="1" thickTop="1" thickBot="1">
      <c r="A49" s="91"/>
      <c r="B49" s="91"/>
      <c r="C49" s="91"/>
      <c r="D49" s="88" t="s">
        <v>25</v>
      </c>
      <c r="E49" s="88">
        <f t="shared" ref="E49:Q49" si="19">E46+E45+E44+E43</f>
        <v>0</v>
      </c>
      <c r="F49" s="88">
        <f t="shared" si="19"/>
        <v>1</v>
      </c>
      <c r="G49" s="88">
        <f t="shared" si="19"/>
        <v>3</v>
      </c>
      <c r="H49" s="88">
        <f t="shared" si="19"/>
        <v>0</v>
      </c>
      <c r="I49" s="88">
        <f t="shared" si="19"/>
        <v>10</v>
      </c>
      <c r="J49" s="88">
        <f t="shared" si="19"/>
        <v>18</v>
      </c>
      <c r="K49" s="88">
        <f t="shared" si="19"/>
        <v>0</v>
      </c>
      <c r="L49" s="88">
        <f t="shared" si="19"/>
        <v>0</v>
      </c>
      <c r="M49" s="88">
        <f t="shared" si="19"/>
        <v>0</v>
      </c>
      <c r="N49" s="88">
        <f t="shared" si="19"/>
        <v>0</v>
      </c>
      <c r="O49" s="88">
        <f t="shared" si="19"/>
        <v>13</v>
      </c>
      <c r="P49" s="88">
        <f t="shared" si="19"/>
        <v>19</v>
      </c>
      <c r="Q49" s="88">
        <f t="shared" si="19"/>
        <v>32</v>
      </c>
      <c r="R49" s="95"/>
      <c r="S49" s="5"/>
      <c r="T49" s="5"/>
      <c r="U49" s="5"/>
      <c r="V49" s="95"/>
      <c r="W49" s="95"/>
    </row>
    <row r="50" spans="1:23" ht="29.25" customHeight="1" thickTop="1">
      <c r="A50" s="414"/>
      <c r="B50" s="414"/>
      <c r="C50" s="414"/>
      <c r="D50" s="414"/>
      <c r="E50" s="415"/>
      <c r="F50" s="415"/>
      <c r="G50" s="415"/>
      <c r="H50" s="415"/>
      <c r="I50" s="415"/>
      <c r="J50" s="415"/>
      <c r="K50" s="415"/>
      <c r="L50" s="415"/>
      <c r="M50" s="94"/>
      <c r="N50" s="94"/>
      <c r="O50" s="94"/>
      <c r="P50" s="94"/>
      <c r="Q50" s="94"/>
      <c r="R50" s="94"/>
      <c r="S50" s="95"/>
      <c r="T50" s="95"/>
      <c r="U50" s="95"/>
      <c r="V50" s="95"/>
      <c r="W50" s="95"/>
    </row>
    <row r="51" spans="1:23" ht="29.25" customHeight="1">
      <c r="A51" s="91"/>
      <c r="B51" s="381" t="s">
        <v>154</v>
      </c>
      <c r="C51" s="381"/>
      <c r="D51" s="381"/>
      <c r="E51" s="381"/>
      <c r="F51" s="381"/>
      <c r="G51" s="381"/>
      <c r="H51" s="381"/>
      <c r="I51" s="381"/>
      <c r="J51" s="381"/>
      <c r="K51" s="381"/>
      <c r="L51" s="381"/>
      <c r="M51" s="381"/>
      <c r="N51" s="381"/>
      <c r="O51" s="381"/>
      <c r="P51" s="381"/>
      <c r="Q51" s="381"/>
      <c r="R51" s="381"/>
      <c r="S51" s="381"/>
      <c r="T51" s="95"/>
      <c r="U51" s="95"/>
      <c r="V51" s="95"/>
      <c r="W51" s="95"/>
    </row>
    <row r="52" spans="1:23" ht="20.25">
      <c r="A52" s="91"/>
      <c r="B52" s="381" t="s">
        <v>497</v>
      </c>
      <c r="C52" s="381"/>
      <c r="D52" s="381"/>
      <c r="E52" s="381"/>
      <c r="F52" s="381"/>
      <c r="G52" s="381"/>
      <c r="H52" s="381"/>
      <c r="I52" s="381"/>
      <c r="J52" s="381"/>
      <c r="K52" s="381"/>
      <c r="L52" s="381"/>
      <c r="M52" s="381"/>
      <c r="N52" s="381"/>
      <c r="O52" s="381"/>
      <c r="P52" s="381"/>
      <c r="Q52" s="381"/>
      <c r="R52" s="381"/>
      <c r="S52" s="381"/>
      <c r="T52" s="95"/>
      <c r="U52" s="95"/>
      <c r="V52" s="95"/>
      <c r="W52" s="95"/>
    </row>
    <row r="53" spans="1:23" ht="29.25" customHeight="1">
      <c r="A53" s="94"/>
      <c r="B53" s="381" t="s">
        <v>203</v>
      </c>
      <c r="C53" s="381"/>
      <c r="D53" s="381"/>
      <c r="E53" s="381"/>
      <c r="F53" s="381"/>
      <c r="G53" s="381"/>
      <c r="H53" s="381"/>
      <c r="I53" s="381"/>
      <c r="J53" s="381"/>
      <c r="K53" s="381"/>
      <c r="L53" s="381"/>
      <c r="M53" s="381"/>
      <c r="N53" s="381"/>
      <c r="O53" s="381"/>
      <c r="P53" s="381"/>
      <c r="Q53" s="381"/>
      <c r="R53" s="381"/>
      <c r="S53" s="381"/>
      <c r="T53" s="95"/>
      <c r="U53" s="95"/>
      <c r="V53" s="95"/>
      <c r="W53" s="95"/>
    </row>
    <row r="54" spans="1:23" ht="29.25" customHeight="1" thickBot="1">
      <c r="A54" s="94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5"/>
      <c r="T54" s="95"/>
      <c r="U54" s="95"/>
      <c r="V54" s="95"/>
      <c r="W54" s="95"/>
    </row>
    <row r="55" spans="1:23" ht="29.25" customHeight="1" thickTop="1" thickBot="1">
      <c r="A55" s="95"/>
      <c r="B55" s="416" t="s">
        <v>113</v>
      </c>
      <c r="C55" s="368" t="s">
        <v>155</v>
      </c>
      <c r="D55" s="369"/>
      <c r="E55" s="368" t="s">
        <v>69</v>
      </c>
      <c r="F55" s="369"/>
      <c r="G55" s="368" t="s">
        <v>64</v>
      </c>
      <c r="H55" s="369"/>
      <c r="I55" s="368" t="s">
        <v>355</v>
      </c>
      <c r="J55" s="369"/>
      <c r="K55" s="368" t="s">
        <v>356</v>
      </c>
      <c r="L55" s="369"/>
      <c r="M55" s="368" t="s">
        <v>33</v>
      </c>
      <c r="N55" s="369"/>
      <c r="O55" s="368" t="s">
        <v>34</v>
      </c>
      <c r="P55" s="369"/>
      <c r="Q55" s="368" t="s">
        <v>35</v>
      </c>
      <c r="R55" s="369"/>
      <c r="S55" s="368" t="s">
        <v>36</v>
      </c>
      <c r="T55" s="369"/>
      <c r="U55" s="368" t="s">
        <v>25</v>
      </c>
      <c r="V55" s="370"/>
      <c r="W55" s="369"/>
    </row>
    <row r="56" spans="1:23" ht="29.25" customHeight="1" thickTop="1" thickBot="1">
      <c r="A56" s="95"/>
      <c r="B56" s="417"/>
      <c r="C56" s="88" t="s">
        <v>73</v>
      </c>
      <c r="D56" s="88" t="s">
        <v>29</v>
      </c>
      <c r="E56" s="88" t="s">
        <v>73</v>
      </c>
      <c r="F56" s="88" t="s">
        <v>29</v>
      </c>
      <c r="G56" s="88" t="s">
        <v>73</v>
      </c>
      <c r="H56" s="88" t="s">
        <v>29</v>
      </c>
      <c r="I56" s="88" t="s">
        <v>73</v>
      </c>
      <c r="J56" s="88" t="s">
        <v>29</v>
      </c>
      <c r="K56" s="88" t="s">
        <v>73</v>
      </c>
      <c r="L56" s="88" t="s">
        <v>29</v>
      </c>
      <c r="M56" s="88" t="s">
        <v>73</v>
      </c>
      <c r="N56" s="88" t="s">
        <v>29</v>
      </c>
      <c r="O56" s="88" t="s">
        <v>73</v>
      </c>
      <c r="P56" s="88" t="s">
        <v>29</v>
      </c>
      <c r="Q56" s="88" t="s">
        <v>73</v>
      </c>
      <c r="R56" s="88" t="s">
        <v>29</v>
      </c>
      <c r="S56" s="88" t="s">
        <v>73</v>
      </c>
      <c r="T56" s="88" t="s">
        <v>29</v>
      </c>
      <c r="U56" s="88" t="s">
        <v>73</v>
      </c>
      <c r="V56" s="88" t="s">
        <v>29</v>
      </c>
      <c r="W56" s="88" t="s">
        <v>25</v>
      </c>
    </row>
    <row r="57" spans="1:23" ht="29.25" customHeight="1" thickTop="1" thickBot="1">
      <c r="A57" s="95"/>
      <c r="B57" s="88" t="s">
        <v>121</v>
      </c>
      <c r="C57" s="88">
        <f>المهني!NE9</f>
        <v>0</v>
      </c>
      <c r="D57" s="88">
        <f>المهني!NF9</f>
        <v>0</v>
      </c>
      <c r="E57" s="88">
        <f>المهني!NG9</f>
        <v>0</v>
      </c>
      <c r="F57" s="88">
        <f>المهني!NH9</f>
        <v>0</v>
      </c>
      <c r="G57" s="88">
        <f>المهني!NI9</f>
        <v>1</v>
      </c>
      <c r="H57" s="88">
        <f>المهني!NJ9</f>
        <v>0</v>
      </c>
      <c r="I57" s="88">
        <f>المهني!NM9</f>
        <v>4</v>
      </c>
      <c r="J57" s="88">
        <f>المهني!NN9</f>
        <v>13</v>
      </c>
      <c r="K57" s="88">
        <f>المهني!NK9</f>
        <v>7</v>
      </c>
      <c r="L57" s="88">
        <f>المهني!NL9</f>
        <v>6</v>
      </c>
      <c r="M57" s="88">
        <f>المهني!NO9</f>
        <v>1</v>
      </c>
      <c r="N57" s="88">
        <f>المهني!NP9</f>
        <v>0</v>
      </c>
      <c r="O57" s="88">
        <f>المهني!NQ9</f>
        <v>0</v>
      </c>
      <c r="P57" s="88">
        <f>المهني!NR9</f>
        <v>0</v>
      </c>
      <c r="Q57" s="88">
        <f>المهني!NS9</f>
        <v>0</v>
      </c>
      <c r="R57" s="88">
        <f>المهني!NT9</f>
        <v>0</v>
      </c>
      <c r="S57" s="88">
        <f>المهني!NU9</f>
        <v>0</v>
      </c>
      <c r="T57" s="88">
        <f>المهني!NV9</f>
        <v>0</v>
      </c>
      <c r="U57" s="88">
        <f t="shared" ref="U57:V63" si="20">S57+Q57+O57+M57+K57+G57+C57+I57+E57</f>
        <v>13</v>
      </c>
      <c r="V57" s="88">
        <f t="shared" si="20"/>
        <v>19</v>
      </c>
      <c r="W57" s="88">
        <f>V57+U57</f>
        <v>32</v>
      </c>
    </row>
    <row r="58" spans="1:23" ht="29.25" customHeight="1" thickTop="1" thickBot="1">
      <c r="A58" s="95"/>
      <c r="B58" s="88" t="s">
        <v>122</v>
      </c>
      <c r="C58" s="29">
        <v>0</v>
      </c>
      <c r="D58" s="29">
        <v>0</v>
      </c>
      <c r="E58" s="29">
        <v>0</v>
      </c>
      <c r="F58" s="29">
        <v>0</v>
      </c>
      <c r="G58" s="29">
        <v>0</v>
      </c>
      <c r="H58" s="29">
        <v>0</v>
      </c>
      <c r="I58" s="29">
        <v>0</v>
      </c>
      <c r="J58" s="29">
        <v>0</v>
      </c>
      <c r="K58" s="29">
        <v>0</v>
      </c>
      <c r="L58" s="29">
        <v>0</v>
      </c>
      <c r="M58" s="29">
        <v>0</v>
      </c>
      <c r="N58" s="29">
        <v>0</v>
      </c>
      <c r="O58" s="29">
        <v>0</v>
      </c>
      <c r="P58" s="29">
        <v>0</v>
      </c>
      <c r="Q58" s="29">
        <v>0</v>
      </c>
      <c r="R58" s="29">
        <v>0</v>
      </c>
      <c r="S58" s="29">
        <v>0</v>
      </c>
      <c r="T58" s="29">
        <v>0</v>
      </c>
      <c r="U58" s="88">
        <f t="shared" si="20"/>
        <v>0</v>
      </c>
      <c r="V58" s="88">
        <f t="shared" si="20"/>
        <v>0</v>
      </c>
      <c r="W58" s="88">
        <f>V58+U58</f>
        <v>0</v>
      </c>
    </row>
    <row r="59" spans="1:23" ht="29.25" customHeight="1" thickTop="1" thickBot="1">
      <c r="A59" s="95"/>
      <c r="B59" s="88" t="s">
        <v>123</v>
      </c>
      <c r="C59" s="88">
        <f>المهني!NE23</f>
        <v>0</v>
      </c>
      <c r="D59" s="88">
        <f>المهني!NF23</f>
        <v>0</v>
      </c>
      <c r="E59" s="88">
        <f>المهني!NG23</f>
        <v>0</v>
      </c>
      <c r="F59" s="88">
        <f>المهني!NH23</f>
        <v>0</v>
      </c>
      <c r="G59" s="88">
        <f>المهني!NI23</f>
        <v>0</v>
      </c>
      <c r="H59" s="88">
        <f>المهني!NJ23</f>
        <v>0</v>
      </c>
      <c r="I59" s="88">
        <f>المهني!NM23</f>
        <v>0</v>
      </c>
      <c r="J59" s="88">
        <f>المهني!NN23</f>
        <v>0</v>
      </c>
      <c r="K59" s="88">
        <f>المهني!NK23</f>
        <v>0</v>
      </c>
      <c r="L59" s="88">
        <f>المهني!NL23</f>
        <v>0</v>
      </c>
      <c r="M59" s="29">
        <f>المهني!NO23</f>
        <v>0</v>
      </c>
      <c r="N59" s="29">
        <f>المهني!NP23</f>
        <v>0</v>
      </c>
      <c r="O59" s="143">
        <f>المهني!NQ23</f>
        <v>0</v>
      </c>
      <c r="P59" s="29">
        <f>المهني!NR23</f>
        <v>0</v>
      </c>
      <c r="Q59" s="143">
        <f>المهني!NS23</f>
        <v>0</v>
      </c>
      <c r="R59" s="143">
        <f>المهني!NT23</f>
        <v>0</v>
      </c>
      <c r="S59" s="143">
        <f>المهني!NU23</f>
        <v>0</v>
      </c>
      <c r="T59" s="143">
        <f>المهني!NV23</f>
        <v>0</v>
      </c>
      <c r="U59" s="88">
        <f t="shared" si="20"/>
        <v>0</v>
      </c>
      <c r="V59" s="88">
        <f t="shared" si="20"/>
        <v>0</v>
      </c>
      <c r="W59" s="88">
        <f>V59+U59</f>
        <v>0</v>
      </c>
    </row>
    <row r="60" spans="1:23" ht="29.25" customHeight="1" thickTop="1" thickBot="1">
      <c r="A60" s="95"/>
      <c r="B60" s="56" t="s">
        <v>211</v>
      </c>
      <c r="C60" s="29">
        <v>0</v>
      </c>
      <c r="D60" s="29">
        <v>0</v>
      </c>
      <c r="E60" s="29">
        <f>المهني!NG31</f>
        <v>0</v>
      </c>
      <c r="F60" s="29">
        <f>المهني!NH31</f>
        <v>0</v>
      </c>
      <c r="G60" s="29">
        <v>0</v>
      </c>
      <c r="H60" s="29">
        <f>المهني!NJ31</f>
        <v>0</v>
      </c>
      <c r="I60" s="29">
        <v>0</v>
      </c>
      <c r="J60" s="29">
        <f>المهني!NN31</f>
        <v>0</v>
      </c>
      <c r="K60" s="29">
        <v>0</v>
      </c>
      <c r="L60" s="29">
        <f>المهني!NL32</f>
        <v>0</v>
      </c>
      <c r="M60" s="29">
        <v>0</v>
      </c>
      <c r="N60" s="29">
        <v>0</v>
      </c>
      <c r="O60" s="29">
        <v>0</v>
      </c>
      <c r="P60" s="29">
        <v>0</v>
      </c>
      <c r="Q60" s="29">
        <v>0</v>
      </c>
      <c r="R60" s="29">
        <v>0</v>
      </c>
      <c r="S60" s="29">
        <v>0</v>
      </c>
      <c r="T60" s="29">
        <v>0</v>
      </c>
      <c r="U60" s="88">
        <f t="shared" si="20"/>
        <v>0</v>
      </c>
      <c r="V60" s="88">
        <f t="shared" si="20"/>
        <v>0</v>
      </c>
      <c r="W60" s="88">
        <f>V60+U60</f>
        <v>0</v>
      </c>
    </row>
    <row r="61" spans="1:23" ht="29.25" customHeight="1" thickTop="1" thickBot="1">
      <c r="A61" s="138"/>
      <c r="B61" s="136" t="s">
        <v>459</v>
      </c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136"/>
      <c r="V61" s="136"/>
      <c r="W61" s="136"/>
    </row>
    <row r="62" spans="1:23" ht="29.25" customHeight="1" thickTop="1" thickBot="1">
      <c r="A62" s="95"/>
      <c r="B62" s="56" t="s">
        <v>387</v>
      </c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>
        <f t="shared" si="20"/>
        <v>0</v>
      </c>
      <c r="V62" s="88">
        <f t="shared" si="20"/>
        <v>0</v>
      </c>
      <c r="W62" s="88">
        <f>V62+U62</f>
        <v>0</v>
      </c>
    </row>
    <row r="63" spans="1:23" ht="29.25" customHeight="1" thickTop="1" thickBot="1">
      <c r="A63" s="95"/>
      <c r="B63" s="88" t="s">
        <v>25</v>
      </c>
      <c r="C63" s="88">
        <f t="shared" ref="C63:T63" si="21">C60+C59+C58+C57</f>
        <v>0</v>
      </c>
      <c r="D63" s="88">
        <f t="shared" si="21"/>
        <v>0</v>
      </c>
      <c r="E63" s="88">
        <f t="shared" si="21"/>
        <v>0</v>
      </c>
      <c r="F63" s="88">
        <f t="shared" si="21"/>
        <v>0</v>
      </c>
      <c r="G63" s="88">
        <f t="shared" si="21"/>
        <v>1</v>
      </c>
      <c r="H63" s="88">
        <f t="shared" si="21"/>
        <v>0</v>
      </c>
      <c r="I63" s="88">
        <f t="shared" si="21"/>
        <v>4</v>
      </c>
      <c r="J63" s="88">
        <f t="shared" si="21"/>
        <v>13</v>
      </c>
      <c r="K63" s="88">
        <f t="shared" si="21"/>
        <v>7</v>
      </c>
      <c r="L63" s="88">
        <f t="shared" si="21"/>
        <v>6</v>
      </c>
      <c r="M63" s="88">
        <f t="shared" si="21"/>
        <v>1</v>
      </c>
      <c r="N63" s="88">
        <f t="shared" si="21"/>
        <v>0</v>
      </c>
      <c r="O63" s="88">
        <f t="shared" si="21"/>
        <v>0</v>
      </c>
      <c r="P63" s="88">
        <f t="shared" si="21"/>
        <v>0</v>
      </c>
      <c r="Q63" s="88">
        <f t="shared" si="21"/>
        <v>0</v>
      </c>
      <c r="R63" s="88">
        <f t="shared" si="21"/>
        <v>0</v>
      </c>
      <c r="S63" s="88">
        <f t="shared" si="21"/>
        <v>0</v>
      </c>
      <c r="T63" s="88">
        <f t="shared" si="21"/>
        <v>0</v>
      </c>
      <c r="U63" s="88">
        <f t="shared" si="20"/>
        <v>13</v>
      </c>
      <c r="V63" s="88">
        <f t="shared" si="20"/>
        <v>19</v>
      </c>
      <c r="W63" s="88">
        <f>W60+W59+W58+W57</f>
        <v>32</v>
      </c>
    </row>
    <row r="64" spans="1:23" ht="29.25" customHeight="1" thickTop="1"/>
    <row r="65" spans="1:23" ht="29.25" customHeight="1">
      <c r="A65" s="381" t="s">
        <v>146</v>
      </c>
      <c r="B65" s="381"/>
      <c r="C65" s="381"/>
      <c r="D65" s="381"/>
      <c r="E65" s="381"/>
      <c r="F65" s="94"/>
      <c r="G65" s="94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381" t="s">
        <v>110</v>
      </c>
      <c r="S65" s="381"/>
      <c r="T65" s="95"/>
      <c r="U65" s="95"/>
      <c r="V65" s="95"/>
      <c r="W65" s="95"/>
    </row>
    <row r="66" spans="1:23" ht="29.25" customHeight="1">
      <c r="A66" s="382" t="s">
        <v>185</v>
      </c>
      <c r="B66" s="382"/>
      <c r="C66" s="382"/>
      <c r="D66" s="382"/>
      <c r="E66" s="382"/>
      <c r="F66" s="94"/>
      <c r="G66" s="94"/>
      <c r="H66" s="95"/>
      <c r="I66" s="95"/>
      <c r="J66" s="95"/>
      <c r="K66" s="95"/>
      <c r="L66" s="95"/>
      <c r="M66" s="95"/>
      <c r="N66" s="95"/>
      <c r="O66" s="95"/>
      <c r="P66" s="95"/>
      <c r="Q66" s="94"/>
      <c r="R66" s="95"/>
      <c r="S66" s="95"/>
      <c r="T66" s="95"/>
      <c r="U66" s="95"/>
      <c r="V66" s="95"/>
      <c r="W66" s="95"/>
    </row>
    <row r="67" spans="1:23" ht="29.25" customHeight="1">
      <c r="A67" s="94"/>
      <c r="B67" s="94"/>
      <c r="C67" s="94"/>
      <c r="D67" s="94"/>
      <c r="E67" s="94"/>
      <c r="F67" s="94"/>
      <c r="G67" s="94"/>
      <c r="H67" s="95"/>
      <c r="I67" s="382" t="s">
        <v>183</v>
      </c>
      <c r="J67" s="382"/>
      <c r="K67" s="382"/>
      <c r="L67" s="382"/>
      <c r="M67" s="95"/>
      <c r="N67" s="95"/>
      <c r="O67" s="95"/>
      <c r="P67" s="95"/>
      <c r="Q67" s="94"/>
      <c r="R67" s="94"/>
      <c r="S67" s="95"/>
      <c r="T67" s="95"/>
      <c r="U67" s="95"/>
      <c r="V67" s="95"/>
      <c r="W67" s="95"/>
    </row>
    <row r="68" spans="1:23" ht="29.25" customHeight="1">
      <c r="A68" s="95"/>
      <c r="B68" s="95"/>
      <c r="C68" s="95"/>
      <c r="D68" s="381" t="s">
        <v>152</v>
      </c>
      <c r="E68" s="381"/>
      <c r="F68" s="381"/>
      <c r="G68" s="381"/>
      <c r="H68" s="381"/>
      <c r="I68" s="381"/>
      <c r="J68" s="381"/>
      <c r="K68" s="381"/>
      <c r="L68" s="381"/>
      <c r="M68" s="381"/>
      <c r="N68" s="381"/>
      <c r="O68" s="381"/>
      <c r="P68" s="381"/>
      <c r="Q68" s="381"/>
      <c r="R68" s="94"/>
      <c r="S68" s="95"/>
      <c r="T68" s="95"/>
      <c r="U68" s="95"/>
      <c r="V68" s="95"/>
      <c r="W68" s="95"/>
    </row>
    <row r="69" spans="1:23" ht="29.25" customHeight="1">
      <c r="A69" s="95"/>
      <c r="B69" s="82"/>
      <c r="C69" s="82"/>
      <c r="D69" s="381" t="s">
        <v>503</v>
      </c>
      <c r="E69" s="381"/>
      <c r="F69" s="381"/>
      <c r="G69" s="381"/>
      <c r="H69" s="381"/>
      <c r="I69" s="381"/>
      <c r="J69" s="381"/>
      <c r="K69" s="381"/>
      <c r="L69" s="381"/>
      <c r="M69" s="381"/>
      <c r="N69" s="381"/>
      <c r="O69" s="381"/>
      <c r="P69" s="381"/>
      <c r="Q69" s="381"/>
      <c r="R69" s="95"/>
      <c r="S69" s="95"/>
      <c r="T69" s="95"/>
      <c r="U69" s="95"/>
      <c r="V69" s="95"/>
      <c r="W69" s="95"/>
    </row>
    <row r="70" spans="1:23" ht="29.25" customHeight="1">
      <c r="A70" s="95"/>
      <c r="B70" s="82"/>
      <c r="C70" s="82"/>
      <c r="D70" s="381" t="s">
        <v>153</v>
      </c>
      <c r="E70" s="381"/>
      <c r="F70" s="381"/>
      <c r="G70" s="381"/>
      <c r="H70" s="381"/>
      <c r="I70" s="381"/>
      <c r="J70" s="381"/>
      <c r="K70" s="381"/>
      <c r="L70" s="381"/>
      <c r="M70" s="381"/>
      <c r="N70" s="381"/>
      <c r="O70" s="381"/>
      <c r="P70" s="381"/>
      <c r="Q70" s="381"/>
      <c r="R70" s="95"/>
      <c r="S70" s="95"/>
      <c r="T70" s="95"/>
      <c r="U70" s="95"/>
      <c r="V70" s="95"/>
      <c r="W70" s="95"/>
    </row>
    <row r="71" spans="1:23" ht="29.25" customHeight="1" thickBot="1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</row>
    <row r="72" spans="1:23" ht="29.25" customHeight="1" thickTop="1" thickBot="1">
      <c r="A72" s="95"/>
      <c r="B72" s="95"/>
      <c r="C72" s="95"/>
      <c r="D72" s="416" t="s">
        <v>113</v>
      </c>
      <c r="E72" s="368" t="s">
        <v>30</v>
      </c>
      <c r="F72" s="369"/>
      <c r="G72" s="368" t="s">
        <v>31</v>
      </c>
      <c r="H72" s="369"/>
      <c r="I72" s="368" t="s">
        <v>63</v>
      </c>
      <c r="J72" s="369"/>
      <c r="K72" s="368" t="s">
        <v>179</v>
      </c>
      <c r="L72" s="369"/>
      <c r="M72" s="368" t="s">
        <v>180</v>
      </c>
      <c r="N72" s="369"/>
      <c r="O72" s="368" t="s">
        <v>25</v>
      </c>
      <c r="P72" s="370"/>
      <c r="Q72" s="369"/>
      <c r="R72" s="95"/>
      <c r="S72" s="95"/>
      <c r="T72" s="95"/>
      <c r="U72" s="95"/>
      <c r="V72" s="95"/>
      <c r="W72" s="95"/>
    </row>
    <row r="73" spans="1:23" ht="29.25" customHeight="1" thickTop="1" thickBot="1">
      <c r="A73" s="95"/>
      <c r="B73" s="95"/>
      <c r="C73" s="95"/>
      <c r="D73" s="417"/>
      <c r="E73" s="88" t="s">
        <v>73</v>
      </c>
      <c r="F73" s="88" t="s">
        <v>29</v>
      </c>
      <c r="G73" s="88" t="s">
        <v>73</v>
      </c>
      <c r="H73" s="88" t="s">
        <v>29</v>
      </c>
      <c r="I73" s="88" t="s">
        <v>73</v>
      </c>
      <c r="J73" s="88" t="s">
        <v>29</v>
      </c>
      <c r="K73" s="88" t="s">
        <v>73</v>
      </c>
      <c r="L73" s="88" t="s">
        <v>29</v>
      </c>
      <c r="M73" s="88" t="s">
        <v>73</v>
      </c>
      <c r="N73" s="88" t="s">
        <v>29</v>
      </c>
      <c r="O73" s="88" t="s">
        <v>73</v>
      </c>
      <c r="P73" s="88" t="s">
        <v>29</v>
      </c>
      <c r="Q73" s="88" t="s">
        <v>25</v>
      </c>
      <c r="R73" s="95"/>
      <c r="S73" s="95"/>
      <c r="T73" s="95"/>
      <c r="U73" s="95"/>
      <c r="V73" s="95"/>
      <c r="W73" s="95"/>
    </row>
    <row r="74" spans="1:23" ht="29.25" customHeight="1" thickTop="1" thickBot="1">
      <c r="A74" s="95"/>
      <c r="B74" s="95"/>
      <c r="C74" s="95"/>
      <c r="D74" s="88" t="s">
        <v>121</v>
      </c>
      <c r="E74" s="88">
        <f>المهني!FB12</f>
        <v>0</v>
      </c>
      <c r="F74" s="88">
        <f>المهني!FC12</f>
        <v>0</v>
      </c>
      <c r="G74" s="88">
        <f>المهني!FD12</f>
        <v>0</v>
      </c>
      <c r="H74" s="88">
        <f>المهني!FE12</f>
        <v>0</v>
      </c>
      <c r="I74" s="88">
        <f>المهني!FF12</f>
        <v>0</v>
      </c>
      <c r="J74" s="88">
        <f>المهني!FG12</f>
        <v>0</v>
      </c>
      <c r="K74" s="88">
        <f>المهني!FH12</f>
        <v>0</v>
      </c>
      <c r="L74" s="88">
        <f>المهني!FI12</f>
        <v>0</v>
      </c>
      <c r="M74" s="88">
        <f>المهني!FJ12</f>
        <v>0</v>
      </c>
      <c r="N74" s="88">
        <f>المهني!FK12</f>
        <v>0</v>
      </c>
      <c r="O74" s="88">
        <f t="shared" ref="O74:P79" si="22">M74+K74+I74+G74+E74</f>
        <v>0</v>
      </c>
      <c r="P74" s="88">
        <f t="shared" si="22"/>
        <v>0</v>
      </c>
      <c r="Q74" s="88">
        <f>P74+O74</f>
        <v>0</v>
      </c>
      <c r="R74" s="95"/>
      <c r="S74" s="5"/>
      <c r="T74" s="5"/>
      <c r="U74" s="5"/>
      <c r="V74" s="95"/>
      <c r="W74" s="95"/>
    </row>
    <row r="75" spans="1:23" ht="29.25" customHeight="1" thickTop="1" thickBot="1">
      <c r="A75" s="95"/>
      <c r="B75" s="95"/>
      <c r="C75" s="95"/>
      <c r="D75" s="88" t="s">
        <v>122</v>
      </c>
      <c r="E75" s="88">
        <f>المهني!FB28</f>
        <v>0</v>
      </c>
      <c r="F75" s="88">
        <f>المهني!FC28</f>
        <v>0</v>
      </c>
      <c r="G75" s="88">
        <f>المهني!FD28</f>
        <v>0</v>
      </c>
      <c r="H75" s="88">
        <f>المهني!FE28</f>
        <v>0</v>
      </c>
      <c r="I75" s="88">
        <f>المهني!FF28</f>
        <v>0</v>
      </c>
      <c r="J75" s="88">
        <f>المهني!FG28</f>
        <v>0</v>
      </c>
      <c r="K75" s="88">
        <f>المهني!FH28</f>
        <v>0</v>
      </c>
      <c r="L75" s="88">
        <f>المهني!FI28</f>
        <v>0</v>
      </c>
      <c r="M75" s="88">
        <f>المهني!FJ28</f>
        <v>0</v>
      </c>
      <c r="N75" s="88">
        <f>المهني!FK28</f>
        <v>0</v>
      </c>
      <c r="O75" s="88">
        <f t="shared" si="22"/>
        <v>0</v>
      </c>
      <c r="P75" s="88">
        <f t="shared" si="22"/>
        <v>0</v>
      </c>
      <c r="Q75" s="88">
        <f>P75+O75</f>
        <v>0</v>
      </c>
      <c r="R75" s="95"/>
      <c r="S75" s="5"/>
      <c r="T75" s="5"/>
      <c r="U75" s="5"/>
      <c r="V75" s="95"/>
      <c r="W75" s="95"/>
    </row>
    <row r="76" spans="1:23" ht="29.25" customHeight="1" thickTop="1" thickBot="1">
      <c r="A76" s="95"/>
      <c r="B76" s="95"/>
      <c r="C76" s="95"/>
      <c r="D76" s="88" t="s">
        <v>123</v>
      </c>
      <c r="E76" s="88">
        <v>0</v>
      </c>
      <c r="F76" s="88">
        <v>0</v>
      </c>
      <c r="G76" s="88">
        <v>0</v>
      </c>
      <c r="H76" s="88">
        <v>0</v>
      </c>
      <c r="I76" s="88">
        <v>0</v>
      </c>
      <c r="J76" s="88">
        <v>0</v>
      </c>
      <c r="K76" s="88">
        <v>0</v>
      </c>
      <c r="L76" s="88">
        <v>0</v>
      </c>
      <c r="M76" s="88">
        <v>0</v>
      </c>
      <c r="N76" s="88">
        <v>0</v>
      </c>
      <c r="O76" s="88">
        <f t="shared" si="22"/>
        <v>0</v>
      </c>
      <c r="P76" s="88">
        <f t="shared" si="22"/>
        <v>0</v>
      </c>
      <c r="Q76" s="88">
        <f>P76+O76</f>
        <v>0</v>
      </c>
      <c r="R76" s="95"/>
      <c r="S76" s="5"/>
      <c r="T76" s="5"/>
      <c r="U76" s="5"/>
      <c r="V76" s="95"/>
      <c r="W76" s="95"/>
    </row>
    <row r="77" spans="1:23" ht="29.25" customHeight="1" thickTop="1" thickBot="1">
      <c r="A77" s="95"/>
      <c r="B77" s="95"/>
      <c r="C77" s="95"/>
      <c r="D77" s="88" t="s">
        <v>211</v>
      </c>
      <c r="E77" s="88">
        <v>0</v>
      </c>
      <c r="F77" s="88">
        <v>0</v>
      </c>
      <c r="G77" s="88">
        <v>0</v>
      </c>
      <c r="H77" s="88">
        <v>0</v>
      </c>
      <c r="I77" s="88">
        <v>0</v>
      </c>
      <c r="J77" s="88">
        <v>0</v>
      </c>
      <c r="K77" s="88">
        <v>0</v>
      </c>
      <c r="L77" s="88">
        <v>0</v>
      </c>
      <c r="M77" s="88">
        <v>0</v>
      </c>
      <c r="N77" s="88">
        <v>0</v>
      </c>
      <c r="O77" s="88">
        <f t="shared" si="22"/>
        <v>0</v>
      </c>
      <c r="P77" s="88">
        <f t="shared" si="22"/>
        <v>0</v>
      </c>
      <c r="Q77" s="88">
        <f>P77+O77</f>
        <v>0</v>
      </c>
      <c r="R77" s="95"/>
      <c r="S77" s="5"/>
      <c r="T77" s="5"/>
      <c r="U77" s="5"/>
      <c r="V77" s="95"/>
      <c r="W77" s="95"/>
    </row>
    <row r="78" spans="1:23" ht="29.25" customHeight="1" thickTop="1" thickBot="1">
      <c r="A78" s="138"/>
      <c r="B78" s="138"/>
      <c r="C78" s="138"/>
      <c r="D78" s="136" t="s">
        <v>459</v>
      </c>
      <c r="E78" s="136"/>
      <c r="F78" s="136"/>
      <c r="G78" s="136"/>
      <c r="H78" s="136"/>
      <c r="I78" s="136"/>
      <c r="J78" s="136"/>
      <c r="K78" s="136"/>
      <c r="L78" s="136"/>
      <c r="M78" s="136"/>
      <c r="N78" s="136"/>
      <c r="O78" s="136"/>
      <c r="P78" s="136"/>
      <c r="Q78" s="136"/>
      <c r="R78" s="138"/>
      <c r="S78" s="5"/>
      <c r="T78" s="5"/>
      <c r="U78" s="5"/>
      <c r="V78" s="138"/>
      <c r="W78" s="138"/>
    </row>
    <row r="79" spans="1:23" ht="29.25" customHeight="1" thickTop="1" thickBot="1">
      <c r="A79" s="95"/>
      <c r="B79" s="95"/>
      <c r="C79" s="95"/>
      <c r="D79" s="56" t="s">
        <v>387</v>
      </c>
      <c r="E79" s="88">
        <v>0</v>
      </c>
      <c r="F79" s="88">
        <v>0</v>
      </c>
      <c r="G79" s="88">
        <v>0</v>
      </c>
      <c r="H79" s="88">
        <v>0</v>
      </c>
      <c r="I79" s="88">
        <v>0</v>
      </c>
      <c r="J79" s="88">
        <v>0</v>
      </c>
      <c r="K79" s="88">
        <v>0</v>
      </c>
      <c r="L79" s="88">
        <v>0</v>
      </c>
      <c r="M79" s="88">
        <v>0</v>
      </c>
      <c r="N79" s="88">
        <v>0</v>
      </c>
      <c r="O79" s="88">
        <f t="shared" si="22"/>
        <v>0</v>
      </c>
      <c r="P79" s="88">
        <f t="shared" si="22"/>
        <v>0</v>
      </c>
      <c r="Q79" s="88">
        <f>P79+O79</f>
        <v>0</v>
      </c>
      <c r="R79" s="95"/>
      <c r="S79" s="5"/>
      <c r="T79" s="5"/>
      <c r="U79" s="5"/>
      <c r="V79" s="95"/>
      <c r="W79" s="95"/>
    </row>
    <row r="80" spans="1:23" ht="29.25" customHeight="1" thickTop="1" thickBot="1">
      <c r="A80" s="91"/>
      <c r="B80" s="91"/>
      <c r="C80" s="91"/>
      <c r="D80" s="88" t="s">
        <v>25</v>
      </c>
      <c r="E80" s="88">
        <f t="shared" ref="E80:Q80" si="23">E77+E76+E75+E74</f>
        <v>0</v>
      </c>
      <c r="F80" s="88">
        <f t="shared" si="23"/>
        <v>0</v>
      </c>
      <c r="G80" s="88">
        <f t="shared" si="23"/>
        <v>0</v>
      </c>
      <c r="H80" s="88">
        <f t="shared" si="23"/>
        <v>0</v>
      </c>
      <c r="I80" s="88">
        <f t="shared" si="23"/>
        <v>0</v>
      </c>
      <c r="J80" s="88">
        <f t="shared" si="23"/>
        <v>0</v>
      </c>
      <c r="K80" s="88">
        <f t="shared" si="23"/>
        <v>0</v>
      </c>
      <c r="L80" s="88">
        <f t="shared" si="23"/>
        <v>0</v>
      </c>
      <c r="M80" s="88">
        <f t="shared" si="23"/>
        <v>0</v>
      </c>
      <c r="N80" s="88">
        <f t="shared" si="23"/>
        <v>0</v>
      </c>
      <c r="O80" s="88">
        <f t="shared" si="23"/>
        <v>0</v>
      </c>
      <c r="P80" s="88">
        <f t="shared" si="23"/>
        <v>0</v>
      </c>
      <c r="Q80" s="88">
        <f t="shared" si="23"/>
        <v>0</v>
      </c>
      <c r="R80" s="95"/>
      <c r="S80" s="5"/>
      <c r="T80" s="5"/>
      <c r="U80" s="5"/>
      <c r="V80" s="95"/>
      <c r="W80" s="95"/>
    </row>
    <row r="81" spans="1:23" ht="29.25" customHeight="1" thickTop="1">
      <c r="A81" s="107"/>
      <c r="B81" s="107"/>
      <c r="C81" s="107"/>
      <c r="D81" s="107"/>
      <c r="E81" s="107"/>
      <c r="F81" s="107"/>
      <c r="G81" s="107"/>
      <c r="H81" s="107"/>
      <c r="I81" s="107"/>
      <c r="J81" s="107"/>
      <c r="K81" s="107"/>
      <c r="L81" s="107"/>
      <c r="M81" s="94"/>
      <c r="N81" s="94"/>
      <c r="O81" s="94"/>
      <c r="P81" s="94"/>
      <c r="Q81" s="94"/>
      <c r="R81" s="94"/>
      <c r="S81" s="95"/>
      <c r="T81" s="95"/>
      <c r="U81" s="95"/>
      <c r="V81" s="95"/>
      <c r="W81" s="95"/>
    </row>
    <row r="82" spans="1:23" ht="29.25" customHeight="1">
      <c r="A82" s="91"/>
      <c r="B82" s="381" t="s">
        <v>154</v>
      </c>
      <c r="C82" s="381"/>
      <c r="D82" s="381"/>
      <c r="E82" s="381"/>
      <c r="F82" s="381"/>
      <c r="G82" s="381"/>
      <c r="H82" s="381"/>
      <c r="I82" s="381"/>
      <c r="J82" s="381"/>
      <c r="K82" s="381"/>
      <c r="L82" s="381"/>
      <c r="M82" s="381"/>
      <c r="N82" s="381"/>
      <c r="O82" s="381"/>
      <c r="P82" s="381"/>
      <c r="Q82" s="381"/>
      <c r="R82" s="381"/>
      <c r="S82" s="381"/>
      <c r="T82" s="95"/>
      <c r="U82" s="95"/>
      <c r="V82" s="95"/>
      <c r="W82" s="95"/>
    </row>
    <row r="83" spans="1:23" ht="29.25" customHeight="1">
      <c r="A83" s="91"/>
      <c r="B83" s="381" t="s">
        <v>504</v>
      </c>
      <c r="C83" s="381"/>
      <c r="D83" s="381"/>
      <c r="E83" s="381"/>
      <c r="F83" s="381"/>
      <c r="G83" s="381"/>
      <c r="H83" s="381"/>
      <c r="I83" s="381"/>
      <c r="J83" s="381"/>
      <c r="K83" s="381"/>
      <c r="L83" s="381"/>
      <c r="M83" s="381"/>
      <c r="N83" s="381"/>
      <c r="O83" s="381"/>
      <c r="P83" s="381"/>
      <c r="Q83" s="381"/>
      <c r="R83" s="381"/>
      <c r="S83" s="381"/>
      <c r="T83" s="95"/>
      <c r="U83" s="95"/>
      <c r="V83" s="95"/>
      <c r="W83" s="95"/>
    </row>
    <row r="84" spans="1:23" ht="29.25" customHeight="1">
      <c r="A84" s="94"/>
      <c r="B84" s="381" t="s">
        <v>203</v>
      </c>
      <c r="C84" s="381"/>
      <c r="D84" s="381"/>
      <c r="E84" s="381"/>
      <c r="F84" s="381"/>
      <c r="G84" s="381"/>
      <c r="H84" s="381"/>
      <c r="I84" s="381"/>
      <c r="J84" s="381"/>
      <c r="K84" s="381"/>
      <c r="L84" s="381"/>
      <c r="M84" s="381"/>
      <c r="N84" s="381"/>
      <c r="O84" s="381"/>
      <c r="P84" s="381"/>
      <c r="Q84" s="381"/>
      <c r="R84" s="381"/>
      <c r="S84" s="381"/>
      <c r="T84" s="95"/>
      <c r="U84" s="95"/>
      <c r="V84" s="95"/>
      <c r="W84" s="95"/>
    </row>
    <row r="85" spans="1:23" ht="29.25" customHeight="1" thickBot="1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5"/>
      <c r="T85" s="95"/>
      <c r="U85" s="95"/>
      <c r="V85" s="95"/>
      <c r="W85" s="95"/>
    </row>
    <row r="86" spans="1:23" ht="29.25" customHeight="1" thickTop="1" thickBot="1">
      <c r="A86" s="95"/>
      <c r="B86" s="416" t="s">
        <v>113</v>
      </c>
      <c r="C86" s="368" t="s">
        <v>155</v>
      </c>
      <c r="D86" s="369"/>
      <c r="E86" s="368" t="s">
        <v>69</v>
      </c>
      <c r="F86" s="369"/>
      <c r="G86" s="368" t="s">
        <v>64</v>
      </c>
      <c r="H86" s="369"/>
      <c r="I86" s="368" t="s">
        <v>355</v>
      </c>
      <c r="J86" s="369"/>
      <c r="K86" s="368" t="s">
        <v>356</v>
      </c>
      <c r="L86" s="369"/>
      <c r="M86" s="368" t="s">
        <v>33</v>
      </c>
      <c r="N86" s="369"/>
      <c r="O86" s="368" t="s">
        <v>34</v>
      </c>
      <c r="P86" s="369"/>
      <c r="Q86" s="368" t="s">
        <v>35</v>
      </c>
      <c r="R86" s="369"/>
      <c r="S86" s="368" t="s">
        <v>36</v>
      </c>
      <c r="T86" s="369"/>
      <c r="U86" s="368" t="s">
        <v>25</v>
      </c>
      <c r="V86" s="370"/>
      <c r="W86" s="369"/>
    </row>
    <row r="87" spans="1:23" ht="29.25" customHeight="1" thickTop="1" thickBot="1">
      <c r="A87" s="95"/>
      <c r="B87" s="417"/>
      <c r="C87" s="88" t="s">
        <v>73</v>
      </c>
      <c r="D87" s="88" t="s">
        <v>29</v>
      </c>
      <c r="E87" s="88" t="s">
        <v>73</v>
      </c>
      <c r="F87" s="88" t="s">
        <v>29</v>
      </c>
      <c r="G87" s="88" t="s">
        <v>73</v>
      </c>
      <c r="H87" s="88" t="s">
        <v>29</v>
      </c>
      <c r="I87" s="88" t="s">
        <v>73</v>
      </c>
      <c r="J87" s="88" t="s">
        <v>29</v>
      </c>
      <c r="K87" s="88" t="s">
        <v>73</v>
      </c>
      <c r="L87" s="88" t="s">
        <v>29</v>
      </c>
      <c r="M87" s="88" t="s">
        <v>73</v>
      </c>
      <c r="N87" s="88" t="s">
        <v>29</v>
      </c>
      <c r="O87" s="88" t="s">
        <v>73</v>
      </c>
      <c r="P87" s="88" t="s">
        <v>29</v>
      </c>
      <c r="Q87" s="88" t="s">
        <v>73</v>
      </c>
      <c r="R87" s="88" t="s">
        <v>29</v>
      </c>
      <c r="S87" s="88" t="s">
        <v>73</v>
      </c>
      <c r="T87" s="88" t="s">
        <v>29</v>
      </c>
      <c r="U87" s="88" t="s">
        <v>73</v>
      </c>
      <c r="V87" s="88" t="s">
        <v>29</v>
      </c>
      <c r="W87" s="88" t="s">
        <v>25</v>
      </c>
    </row>
    <row r="88" spans="1:23" ht="29.25" customHeight="1" thickTop="1" thickBot="1">
      <c r="A88" s="95"/>
      <c r="B88" s="88" t="s">
        <v>121</v>
      </c>
      <c r="C88" s="88">
        <f>المهني!NE12</f>
        <v>0</v>
      </c>
      <c r="D88" s="88">
        <f>المهني!NF12</f>
        <v>0</v>
      </c>
      <c r="E88" s="88">
        <f>المهني!NG12</f>
        <v>0</v>
      </c>
      <c r="F88" s="88">
        <f>المهني!NH12</f>
        <v>0</v>
      </c>
      <c r="G88" s="88">
        <f>المهني!NI12</f>
        <v>0</v>
      </c>
      <c r="H88" s="88">
        <f>المهني!NJ12</f>
        <v>0</v>
      </c>
      <c r="I88" s="88">
        <f>المهني!NM12</f>
        <v>0</v>
      </c>
      <c r="J88" s="88">
        <f>المهني!NN12</f>
        <v>0</v>
      </c>
      <c r="K88" s="88">
        <f>المهني!NK12</f>
        <v>0</v>
      </c>
      <c r="L88" s="88">
        <f>المهني!NL12</f>
        <v>0</v>
      </c>
      <c r="M88" s="88">
        <f>المهني!NO12</f>
        <v>0</v>
      </c>
      <c r="N88" s="88">
        <f>المهني!NP12</f>
        <v>0</v>
      </c>
      <c r="O88" s="88">
        <f>المهني!NQ12</f>
        <v>0</v>
      </c>
      <c r="P88" s="88">
        <f>المهني!NR12</f>
        <v>0</v>
      </c>
      <c r="Q88" s="88">
        <f>المهني!NS12</f>
        <v>0</v>
      </c>
      <c r="R88" s="88">
        <f>المهني!NT12</f>
        <v>0</v>
      </c>
      <c r="S88" s="88">
        <f>المهني!NU12</f>
        <v>0</v>
      </c>
      <c r="T88" s="88">
        <f>المهني!NV12</f>
        <v>0</v>
      </c>
      <c r="U88" s="88">
        <f t="shared" ref="U88:V94" si="24">S88+Q88+O88+M88+K88+G88+C88+I88+E88</f>
        <v>0</v>
      </c>
      <c r="V88" s="88">
        <f t="shared" si="24"/>
        <v>0</v>
      </c>
      <c r="W88" s="88">
        <f>V88+U88</f>
        <v>0</v>
      </c>
    </row>
    <row r="89" spans="1:23" ht="29.25" customHeight="1" thickTop="1" thickBot="1">
      <c r="A89" s="95"/>
      <c r="B89" s="88" t="s">
        <v>122</v>
      </c>
      <c r="C89" s="88">
        <f>المهني!NE28</f>
        <v>0</v>
      </c>
      <c r="D89" s="88">
        <f>المهني!NF28</f>
        <v>0</v>
      </c>
      <c r="E89" s="88">
        <f>المهني!NG28</f>
        <v>0</v>
      </c>
      <c r="F89" s="88">
        <f>المهني!NH28</f>
        <v>0</v>
      </c>
      <c r="G89" s="88">
        <f>المهني!NI28</f>
        <v>0</v>
      </c>
      <c r="H89" s="88">
        <f>المهني!NJ28</f>
        <v>0</v>
      </c>
      <c r="I89" s="88">
        <f>المهني!NM28</f>
        <v>0</v>
      </c>
      <c r="J89" s="88">
        <f>المهني!NN28</f>
        <v>0</v>
      </c>
      <c r="K89" s="88">
        <f>المهني!NK28</f>
        <v>0</v>
      </c>
      <c r="L89" s="88">
        <f>المهني!NL28</f>
        <v>0</v>
      </c>
      <c r="M89" s="88">
        <f>المهني!NO28</f>
        <v>0</v>
      </c>
      <c r="N89" s="88">
        <f>المهني!NP28</f>
        <v>0</v>
      </c>
      <c r="O89" s="88">
        <f>المهني!NQ28</f>
        <v>0</v>
      </c>
      <c r="P89" s="88">
        <f>المهني!NR28</f>
        <v>0</v>
      </c>
      <c r="Q89" s="88">
        <f>المهني!NS28</f>
        <v>0</v>
      </c>
      <c r="R89" s="88">
        <f>المهني!NT28</f>
        <v>0</v>
      </c>
      <c r="S89" s="88">
        <f>المهني!NU28</f>
        <v>0</v>
      </c>
      <c r="T89" s="88">
        <f>المهني!NV28</f>
        <v>0</v>
      </c>
      <c r="U89" s="88">
        <f t="shared" si="24"/>
        <v>0</v>
      </c>
      <c r="V89" s="88">
        <f t="shared" si="24"/>
        <v>0</v>
      </c>
      <c r="W89" s="88">
        <f>V89+U89</f>
        <v>0</v>
      </c>
    </row>
    <row r="90" spans="1:23" ht="29.25" customHeight="1" thickTop="1" thickBot="1">
      <c r="A90" s="95"/>
      <c r="B90" s="88" t="s">
        <v>123</v>
      </c>
      <c r="C90" s="88">
        <v>0</v>
      </c>
      <c r="D90" s="88">
        <v>0</v>
      </c>
      <c r="E90" s="88">
        <v>0</v>
      </c>
      <c r="F90" s="88">
        <v>0</v>
      </c>
      <c r="G90" s="88">
        <v>0</v>
      </c>
      <c r="H90" s="88">
        <v>0</v>
      </c>
      <c r="I90" s="88">
        <v>0</v>
      </c>
      <c r="J90" s="88">
        <v>0</v>
      </c>
      <c r="K90" s="88">
        <v>0</v>
      </c>
      <c r="L90" s="88">
        <v>0</v>
      </c>
      <c r="M90" s="88">
        <v>0</v>
      </c>
      <c r="N90" s="88">
        <v>0</v>
      </c>
      <c r="O90" s="88">
        <v>0</v>
      </c>
      <c r="P90" s="88">
        <v>0</v>
      </c>
      <c r="Q90" s="88">
        <v>0</v>
      </c>
      <c r="R90" s="88">
        <v>0</v>
      </c>
      <c r="S90" s="88">
        <v>0</v>
      </c>
      <c r="T90" s="88">
        <v>0</v>
      </c>
      <c r="U90" s="88">
        <f t="shared" si="24"/>
        <v>0</v>
      </c>
      <c r="V90" s="88">
        <f t="shared" si="24"/>
        <v>0</v>
      </c>
      <c r="W90" s="88">
        <f>V90+U90</f>
        <v>0</v>
      </c>
    </row>
    <row r="91" spans="1:23" ht="29.25" customHeight="1" thickTop="1" thickBot="1">
      <c r="A91" s="95"/>
      <c r="B91" s="88" t="s">
        <v>211</v>
      </c>
      <c r="C91" s="88">
        <v>0</v>
      </c>
      <c r="D91" s="88">
        <v>0</v>
      </c>
      <c r="E91" s="88">
        <v>0</v>
      </c>
      <c r="F91" s="88">
        <v>0</v>
      </c>
      <c r="G91" s="88">
        <v>0</v>
      </c>
      <c r="H91" s="88">
        <v>0</v>
      </c>
      <c r="I91" s="88">
        <v>0</v>
      </c>
      <c r="J91" s="88">
        <v>0</v>
      </c>
      <c r="K91" s="88">
        <v>0</v>
      </c>
      <c r="L91" s="88">
        <v>0</v>
      </c>
      <c r="M91" s="88">
        <v>0</v>
      </c>
      <c r="N91" s="88">
        <v>0</v>
      </c>
      <c r="O91" s="88">
        <v>0</v>
      </c>
      <c r="P91" s="88">
        <v>0</v>
      </c>
      <c r="Q91" s="88">
        <v>0</v>
      </c>
      <c r="R91" s="88">
        <v>0</v>
      </c>
      <c r="S91" s="88">
        <v>0</v>
      </c>
      <c r="T91" s="88">
        <v>0</v>
      </c>
      <c r="U91" s="88">
        <f t="shared" si="24"/>
        <v>0</v>
      </c>
      <c r="V91" s="88">
        <f t="shared" si="24"/>
        <v>0</v>
      </c>
      <c r="W91" s="88">
        <f>V91+U91</f>
        <v>0</v>
      </c>
    </row>
    <row r="92" spans="1:23" ht="29.25" customHeight="1" thickTop="1" thickBot="1">
      <c r="A92" s="138"/>
      <c r="B92" s="136" t="s">
        <v>459</v>
      </c>
      <c r="C92" s="136"/>
      <c r="D92" s="136"/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6"/>
      <c r="T92" s="136"/>
      <c r="U92" s="136"/>
      <c r="V92" s="136"/>
      <c r="W92" s="136"/>
    </row>
    <row r="93" spans="1:23" ht="29.25" customHeight="1" thickTop="1" thickBot="1">
      <c r="A93" s="95"/>
      <c r="B93" s="56" t="s">
        <v>387</v>
      </c>
      <c r="C93" s="88">
        <v>0</v>
      </c>
      <c r="D93" s="88">
        <v>0</v>
      </c>
      <c r="E93" s="88">
        <v>0</v>
      </c>
      <c r="F93" s="88">
        <v>0</v>
      </c>
      <c r="G93" s="88">
        <v>0</v>
      </c>
      <c r="H93" s="88">
        <v>0</v>
      </c>
      <c r="I93" s="88">
        <v>0</v>
      </c>
      <c r="J93" s="88">
        <v>0</v>
      </c>
      <c r="K93" s="88">
        <v>0</v>
      </c>
      <c r="L93" s="88">
        <v>0</v>
      </c>
      <c r="M93" s="88">
        <v>0</v>
      </c>
      <c r="N93" s="88">
        <v>0</v>
      </c>
      <c r="O93" s="88">
        <v>0</v>
      </c>
      <c r="P93" s="88">
        <v>0</v>
      </c>
      <c r="Q93" s="88">
        <v>0</v>
      </c>
      <c r="R93" s="88">
        <v>0</v>
      </c>
      <c r="S93" s="88">
        <v>0</v>
      </c>
      <c r="T93" s="88">
        <v>0</v>
      </c>
      <c r="U93" s="88">
        <f t="shared" si="24"/>
        <v>0</v>
      </c>
      <c r="V93" s="88">
        <f t="shared" si="24"/>
        <v>0</v>
      </c>
      <c r="W93" s="88">
        <f>V93+U93</f>
        <v>0</v>
      </c>
    </row>
    <row r="94" spans="1:23" ht="29.25" customHeight="1" thickTop="1" thickBot="1">
      <c r="A94" s="95"/>
      <c r="B94" s="88" t="s">
        <v>25</v>
      </c>
      <c r="C94" s="88">
        <f t="shared" ref="C94:T94" si="25">C91+C90+C89+C88</f>
        <v>0</v>
      </c>
      <c r="D94" s="88">
        <f t="shared" si="25"/>
        <v>0</v>
      </c>
      <c r="E94" s="88">
        <f t="shared" si="25"/>
        <v>0</v>
      </c>
      <c r="F94" s="88">
        <f t="shared" si="25"/>
        <v>0</v>
      </c>
      <c r="G94" s="88">
        <f t="shared" si="25"/>
        <v>0</v>
      </c>
      <c r="H94" s="88">
        <f t="shared" si="25"/>
        <v>0</v>
      </c>
      <c r="I94" s="88">
        <f t="shared" si="25"/>
        <v>0</v>
      </c>
      <c r="J94" s="88">
        <f t="shared" si="25"/>
        <v>0</v>
      </c>
      <c r="K94" s="88">
        <f t="shared" si="25"/>
        <v>0</v>
      </c>
      <c r="L94" s="88">
        <f t="shared" si="25"/>
        <v>0</v>
      </c>
      <c r="M94" s="88">
        <f t="shared" si="25"/>
        <v>0</v>
      </c>
      <c r="N94" s="88">
        <f t="shared" si="25"/>
        <v>0</v>
      </c>
      <c r="O94" s="88">
        <f t="shared" si="25"/>
        <v>0</v>
      </c>
      <c r="P94" s="88">
        <f t="shared" si="25"/>
        <v>0</v>
      </c>
      <c r="Q94" s="88">
        <f t="shared" si="25"/>
        <v>0</v>
      </c>
      <c r="R94" s="88">
        <f t="shared" si="25"/>
        <v>0</v>
      </c>
      <c r="S94" s="88">
        <f t="shared" si="25"/>
        <v>0</v>
      </c>
      <c r="T94" s="88">
        <f t="shared" si="25"/>
        <v>0</v>
      </c>
      <c r="U94" s="88">
        <f t="shared" si="24"/>
        <v>0</v>
      </c>
      <c r="V94" s="88">
        <f t="shared" si="24"/>
        <v>0</v>
      </c>
      <c r="W94" s="88">
        <f>W91+W90+W89+W88</f>
        <v>0</v>
      </c>
    </row>
    <row r="95" spans="1:23" ht="29.25" customHeight="1" thickTop="1"/>
    <row r="96" spans="1:23" ht="29.25" customHeight="1">
      <c r="A96" s="381" t="s">
        <v>146</v>
      </c>
      <c r="B96" s="381"/>
      <c r="C96" s="381"/>
      <c r="D96" s="381"/>
      <c r="E96" s="381"/>
      <c r="F96" s="94"/>
      <c r="G96" s="94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381" t="s">
        <v>110</v>
      </c>
      <c r="S96" s="381"/>
      <c r="T96" s="95"/>
      <c r="U96" s="95"/>
      <c r="V96" s="95"/>
      <c r="W96" s="95"/>
    </row>
    <row r="97" spans="1:23" ht="29.25" customHeight="1">
      <c r="A97" s="382" t="s">
        <v>185</v>
      </c>
      <c r="B97" s="382"/>
      <c r="C97" s="382"/>
      <c r="D97" s="382"/>
      <c r="E97" s="382"/>
      <c r="F97" s="94"/>
      <c r="G97" s="94"/>
      <c r="H97" s="95"/>
      <c r="I97" s="95"/>
      <c r="J97" s="95"/>
      <c r="K97" s="95"/>
      <c r="L97" s="95"/>
      <c r="M97" s="95"/>
      <c r="N97" s="95"/>
      <c r="O97" s="95"/>
      <c r="P97" s="95"/>
      <c r="Q97" s="94"/>
      <c r="R97" s="95"/>
      <c r="S97" s="95"/>
      <c r="T97" s="95"/>
      <c r="U97" s="95"/>
      <c r="V97" s="95"/>
      <c r="W97" s="95"/>
    </row>
    <row r="98" spans="1:23" ht="29.25" customHeight="1">
      <c r="A98" s="94"/>
      <c r="B98" s="94"/>
      <c r="C98" s="94"/>
      <c r="D98" s="94"/>
      <c r="E98" s="94"/>
      <c r="F98" s="94"/>
      <c r="G98" s="94"/>
      <c r="H98" s="95"/>
      <c r="I98" s="382" t="s">
        <v>184</v>
      </c>
      <c r="J98" s="382"/>
      <c r="K98" s="382"/>
      <c r="L98" s="382"/>
      <c r="M98" s="95"/>
      <c r="N98" s="95"/>
      <c r="O98" s="95"/>
      <c r="P98" s="95"/>
      <c r="Q98" s="94"/>
      <c r="R98" s="94"/>
      <c r="S98" s="95"/>
      <c r="T98" s="95"/>
      <c r="U98" s="95"/>
      <c r="V98" s="95"/>
      <c r="W98" s="95"/>
    </row>
    <row r="99" spans="1:23" ht="29.25" customHeight="1">
      <c r="A99" s="95"/>
      <c r="B99" s="95"/>
      <c r="C99" s="95"/>
      <c r="D99" s="381" t="s">
        <v>152</v>
      </c>
      <c r="E99" s="381"/>
      <c r="F99" s="381"/>
      <c r="G99" s="381"/>
      <c r="H99" s="381"/>
      <c r="I99" s="381"/>
      <c r="J99" s="381"/>
      <c r="K99" s="381"/>
      <c r="L99" s="381"/>
      <c r="M99" s="381"/>
      <c r="N99" s="381"/>
      <c r="O99" s="381"/>
      <c r="P99" s="381"/>
      <c r="Q99" s="381"/>
      <c r="R99" s="94"/>
      <c r="S99" s="95"/>
      <c r="T99" s="95"/>
      <c r="U99" s="95"/>
      <c r="V99" s="95"/>
      <c r="W99" s="95"/>
    </row>
    <row r="100" spans="1:23" ht="29.25" customHeight="1">
      <c r="A100" s="95"/>
      <c r="B100" s="82"/>
      <c r="C100" s="82"/>
      <c r="D100" s="381" t="s">
        <v>504</v>
      </c>
      <c r="E100" s="381"/>
      <c r="F100" s="381"/>
      <c r="G100" s="381"/>
      <c r="H100" s="381"/>
      <c r="I100" s="381"/>
      <c r="J100" s="381"/>
      <c r="K100" s="381"/>
      <c r="L100" s="381"/>
      <c r="M100" s="381"/>
      <c r="N100" s="381"/>
      <c r="O100" s="381"/>
      <c r="P100" s="381"/>
      <c r="Q100" s="381"/>
      <c r="R100" s="95"/>
      <c r="S100" s="95"/>
      <c r="T100" s="95"/>
      <c r="U100" s="95"/>
      <c r="V100" s="95"/>
      <c r="W100" s="95"/>
    </row>
    <row r="101" spans="1:23" ht="29.25" customHeight="1">
      <c r="A101" s="95"/>
      <c r="B101" s="82"/>
      <c r="C101" s="82"/>
      <c r="D101" s="381" t="s">
        <v>153</v>
      </c>
      <c r="E101" s="381"/>
      <c r="F101" s="381"/>
      <c r="G101" s="381"/>
      <c r="H101" s="381"/>
      <c r="I101" s="381"/>
      <c r="J101" s="381"/>
      <c r="K101" s="381"/>
      <c r="L101" s="381"/>
      <c r="M101" s="381"/>
      <c r="N101" s="381"/>
      <c r="O101" s="381"/>
      <c r="P101" s="381"/>
      <c r="Q101" s="381"/>
      <c r="R101" s="95"/>
      <c r="S101" s="95"/>
      <c r="T101" s="95"/>
      <c r="U101" s="95"/>
      <c r="V101" s="95"/>
      <c r="W101" s="95"/>
    </row>
    <row r="102" spans="1:23" ht="29.25" customHeight="1" thickBot="1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</row>
    <row r="103" spans="1:23" ht="29.25" customHeight="1" thickTop="1" thickBot="1">
      <c r="A103" s="95"/>
      <c r="B103" s="95"/>
      <c r="C103" s="95"/>
      <c r="D103" s="416" t="s">
        <v>113</v>
      </c>
      <c r="E103" s="368" t="s">
        <v>30</v>
      </c>
      <c r="F103" s="369"/>
      <c r="G103" s="368" t="s">
        <v>31</v>
      </c>
      <c r="H103" s="369"/>
      <c r="I103" s="368" t="s">
        <v>63</v>
      </c>
      <c r="J103" s="369"/>
      <c r="K103" s="368" t="s">
        <v>179</v>
      </c>
      <c r="L103" s="369"/>
      <c r="M103" s="368" t="s">
        <v>180</v>
      </c>
      <c r="N103" s="369"/>
      <c r="O103" s="368" t="s">
        <v>25</v>
      </c>
      <c r="P103" s="370"/>
      <c r="Q103" s="369"/>
      <c r="R103" s="95"/>
      <c r="S103" s="95"/>
      <c r="T103" s="95"/>
      <c r="U103" s="95"/>
      <c r="V103" s="95"/>
      <c r="W103" s="95"/>
    </row>
    <row r="104" spans="1:23" ht="29.25" customHeight="1" thickTop="1" thickBot="1">
      <c r="A104" s="95"/>
      <c r="B104" s="95"/>
      <c r="C104" s="95"/>
      <c r="D104" s="417"/>
      <c r="E104" s="88" t="s">
        <v>73</v>
      </c>
      <c r="F104" s="88" t="s">
        <v>29</v>
      </c>
      <c r="G104" s="88" t="s">
        <v>73</v>
      </c>
      <c r="H104" s="88" t="s">
        <v>29</v>
      </c>
      <c r="I104" s="88" t="s">
        <v>73</v>
      </c>
      <c r="J104" s="88" t="s">
        <v>29</v>
      </c>
      <c r="K104" s="88" t="s">
        <v>73</v>
      </c>
      <c r="L104" s="88" t="s">
        <v>29</v>
      </c>
      <c r="M104" s="88" t="s">
        <v>73</v>
      </c>
      <c r="N104" s="88" t="s">
        <v>29</v>
      </c>
      <c r="O104" s="88" t="s">
        <v>73</v>
      </c>
      <c r="P104" s="88" t="s">
        <v>29</v>
      </c>
      <c r="Q104" s="88" t="s">
        <v>25</v>
      </c>
      <c r="R104" s="95"/>
      <c r="S104" s="95"/>
      <c r="T104" s="95"/>
      <c r="U104" s="95"/>
      <c r="V104" s="95"/>
      <c r="W104" s="95"/>
    </row>
    <row r="105" spans="1:23" ht="29.25" customHeight="1" thickTop="1" thickBot="1">
      <c r="A105" s="95"/>
      <c r="B105" s="95"/>
      <c r="C105" s="95"/>
      <c r="D105" s="88" t="s">
        <v>121</v>
      </c>
      <c r="E105" s="88">
        <f>المهني!FB16</f>
        <v>0</v>
      </c>
      <c r="F105" s="88">
        <f>المهني!FC16</f>
        <v>0</v>
      </c>
      <c r="G105" s="88">
        <f>المهني!FD16</f>
        <v>0</v>
      </c>
      <c r="H105" s="88">
        <f>المهني!FE16</f>
        <v>0</v>
      </c>
      <c r="I105" s="88">
        <f>المهني!FF16</f>
        <v>0</v>
      </c>
      <c r="J105" s="88">
        <f>المهني!FG16</f>
        <v>0</v>
      </c>
      <c r="K105" s="88">
        <f>المهني!FH16</f>
        <v>0</v>
      </c>
      <c r="L105" s="88">
        <f>المهني!FI16</f>
        <v>0</v>
      </c>
      <c r="M105" s="88">
        <f>المهني!FJ16</f>
        <v>0</v>
      </c>
      <c r="N105" s="88">
        <f>المهني!FK16</f>
        <v>0</v>
      </c>
      <c r="O105" s="88">
        <f t="shared" ref="O105:P110" si="26">M105+K105+I105+G105+E105</f>
        <v>0</v>
      </c>
      <c r="P105" s="88">
        <f t="shared" si="26"/>
        <v>0</v>
      </c>
      <c r="Q105" s="88">
        <f>P105+O105</f>
        <v>0</v>
      </c>
      <c r="R105" s="95"/>
      <c r="S105" s="5"/>
      <c r="T105" s="5"/>
      <c r="U105" s="5"/>
      <c r="V105" s="95"/>
      <c r="W105" s="95"/>
    </row>
    <row r="106" spans="1:23" ht="29.25" customHeight="1" thickTop="1" thickBot="1">
      <c r="A106" s="95"/>
      <c r="B106" s="95"/>
      <c r="C106" s="95"/>
      <c r="D106" s="88" t="s">
        <v>122</v>
      </c>
      <c r="E106" s="88">
        <v>0</v>
      </c>
      <c r="F106" s="88">
        <v>0</v>
      </c>
      <c r="G106" s="88">
        <v>0</v>
      </c>
      <c r="H106" s="88">
        <v>0</v>
      </c>
      <c r="I106" s="88">
        <v>0</v>
      </c>
      <c r="J106" s="88">
        <v>0</v>
      </c>
      <c r="K106" s="88">
        <v>0</v>
      </c>
      <c r="L106" s="88">
        <v>0</v>
      </c>
      <c r="M106" s="88">
        <v>0</v>
      </c>
      <c r="N106" s="88">
        <v>0</v>
      </c>
      <c r="O106" s="88">
        <f t="shared" si="26"/>
        <v>0</v>
      </c>
      <c r="P106" s="88">
        <f t="shared" si="26"/>
        <v>0</v>
      </c>
      <c r="Q106" s="88">
        <f>P106+O106</f>
        <v>0</v>
      </c>
      <c r="R106" s="95"/>
      <c r="S106" s="5"/>
      <c r="T106" s="5"/>
      <c r="U106" s="5"/>
      <c r="V106" s="95"/>
      <c r="W106" s="95"/>
    </row>
    <row r="107" spans="1:23" ht="29.25" customHeight="1" thickTop="1" thickBot="1">
      <c r="A107" s="95"/>
      <c r="B107" s="95"/>
      <c r="C107" s="95"/>
      <c r="D107" s="88" t="s">
        <v>123</v>
      </c>
      <c r="E107" s="88">
        <v>0</v>
      </c>
      <c r="F107" s="88">
        <v>0</v>
      </c>
      <c r="G107" s="88">
        <v>0</v>
      </c>
      <c r="H107" s="88">
        <v>0</v>
      </c>
      <c r="I107" s="88">
        <v>0</v>
      </c>
      <c r="J107" s="88">
        <v>0</v>
      </c>
      <c r="K107" s="88">
        <v>0</v>
      </c>
      <c r="L107" s="88">
        <v>0</v>
      </c>
      <c r="M107" s="88">
        <v>0</v>
      </c>
      <c r="N107" s="88">
        <v>0</v>
      </c>
      <c r="O107" s="88">
        <f t="shared" si="26"/>
        <v>0</v>
      </c>
      <c r="P107" s="88">
        <f t="shared" si="26"/>
        <v>0</v>
      </c>
      <c r="Q107" s="88">
        <f>P107+O107</f>
        <v>0</v>
      </c>
      <c r="R107" s="95"/>
      <c r="S107" s="5"/>
      <c r="T107" s="5"/>
      <c r="U107" s="5"/>
      <c r="V107" s="95"/>
      <c r="W107" s="95"/>
    </row>
    <row r="108" spans="1:23" ht="29.25" customHeight="1" thickTop="1" thickBot="1">
      <c r="A108" s="95"/>
      <c r="B108" s="95"/>
      <c r="C108" s="95"/>
      <c r="D108" s="88" t="s">
        <v>211</v>
      </c>
      <c r="E108" s="88">
        <v>0</v>
      </c>
      <c r="F108" s="88">
        <v>0</v>
      </c>
      <c r="G108" s="88">
        <v>0</v>
      </c>
      <c r="H108" s="88">
        <v>0</v>
      </c>
      <c r="I108" s="88">
        <v>0</v>
      </c>
      <c r="J108" s="88">
        <v>0</v>
      </c>
      <c r="K108" s="88">
        <v>0</v>
      </c>
      <c r="L108" s="88">
        <v>0</v>
      </c>
      <c r="M108" s="88">
        <v>0</v>
      </c>
      <c r="N108" s="88">
        <v>0</v>
      </c>
      <c r="O108" s="88">
        <f t="shared" si="26"/>
        <v>0</v>
      </c>
      <c r="P108" s="88">
        <f t="shared" si="26"/>
        <v>0</v>
      </c>
      <c r="Q108" s="88">
        <f>P108+O108</f>
        <v>0</v>
      </c>
      <c r="R108" s="95"/>
      <c r="S108" s="5"/>
      <c r="T108" s="5"/>
      <c r="U108" s="5"/>
      <c r="V108" s="95"/>
      <c r="W108" s="95"/>
    </row>
    <row r="109" spans="1:23" ht="29.25" customHeight="1" thickTop="1" thickBot="1">
      <c r="A109" s="138"/>
      <c r="B109" s="138"/>
      <c r="C109" s="138"/>
      <c r="D109" s="136" t="s">
        <v>459</v>
      </c>
      <c r="E109" s="136"/>
      <c r="F109" s="136"/>
      <c r="G109" s="136"/>
      <c r="H109" s="136"/>
      <c r="I109" s="136"/>
      <c r="J109" s="136"/>
      <c r="K109" s="136"/>
      <c r="L109" s="136"/>
      <c r="M109" s="136"/>
      <c r="N109" s="136"/>
      <c r="O109" s="136"/>
      <c r="P109" s="136"/>
      <c r="Q109" s="136"/>
      <c r="R109" s="138"/>
      <c r="S109" s="5"/>
      <c r="T109" s="5"/>
      <c r="U109" s="5"/>
      <c r="V109" s="138"/>
      <c r="W109" s="138"/>
    </row>
    <row r="110" spans="1:23" ht="29.25" customHeight="1" thickTop="1" thickBot="1">
      <c r="A110" s="95"/>
      <c r="B110" s="95"/>
      <c r="C110" s="95"/>
      <c r="D110" s="56" t="s">
        <v>387</v>
      </c>
      <c r="E110" s="88">
        <v>0</v>
      </c>
      <c r="F110" s="88">
        <v>0</v>
      </c>
      <c r="G110" s="88">
        <v>0</v>
      </c>
      <c r="H110" s="88">
        <v>0</v>
      </c>
      <c r="I110" s="88">
        <v>0</v>
      </c>
      <c r="J110" s="88">
        <v>0</v>
      </c>
      <c r="K110" s="88">
        <v>0</v>
      </c>
      <c r="L110" s="88">
        <v>0</v>
      </c>
      <c r="M110" s="88">
        <v>0</v>
      </c>
      <c r="N110" s="88">
        <v>0</v>
      </c>
      <c r="O110" s="88">
        <f t="shared" si="26"/>
        <v>0</v>
      </c>
      <c r="P110" s="88">
        <f t="shared" si="26"/>
        <v>0</v>
      </c>
      <c r="Q110" s="88">
        <f>P110+O110</f>
        <v>0</v>
      </c>
      <c r="R110" s="95"/>
      <c r="S110" s="5"/>
      <c r="T110" s="5"/>
      <c r="U110" s="5"/>
      <c r="V110" s="95"/>
      <c r="W110" s="95"/>
    </row>
    <row r="111" spans="1:23" ht="29.25" customHeight="1" thickTop="1" thickBot="1">
      <c r="A111" s="91"/>
      <c r="B111" s="91"/>
      <c r="C111" s="91"/>
      <c r="D111" s="88" t="s">
        <v>25</v>
      </c>
      <c r="E111" s="88">
        <f t="shared" ref="E111:Q111" si="27">E108+E107+E106+E105</f>
        <v>0</v>
      </c>
      <c r="F111" s="88">
        <f t="shared" si="27"/>
        <v>0</v>
      </c>
      <c r="G111" s="88">
        <f t="shared" si="27"/>
        <v>0</v>
      </c>
      <c r="H111" s="88">
        <f t="shared" si="27"/>
        <v>0</v>
      </c>
      <c r="I111" s="88">
        <f t="shared" si="27"/>
        <v>0</v>
      </c>
      <c r="J111" s="88">
        <f t="shared" si="27"/>
        <v>0</v>
      </c>
      <c r="K111" s="88">
        <f t="shared" si="27"/>
        <v>0</v>
      </c>
      <c r="L111" s="88">
        <f t="shared" si="27"/>
        <v>0</v>
      </c>
      <c r="M111" s="88">
        <f t="shared" si="27"/>
        <v>0</v>
      </c>
      <c r="N111" s="88">
        <f t="shared" si="27"/>
        <v>0</v>
      </c>
      <c r="O111" s="88">
        <f t="shared" si="27"/>
        <v>0</v>
      </c>
      <c r="P111" s="88">
        <f t="shared" si="27"/>
        <v>0</v>
      </c>
      <c r="Q111" s="88">
        <f t="shared" si="27"/>
        <v>0</v>
      </c>
      <c r="R111" s="95"/>
      <c r="S111" s="5"/>
      <c r="T111" s="5"/>
      <c r="U111" s="5"/>
      <c r="V111" s="95"/>
      <c r="W111" s="95"/>
    </row>
    <row r="112" spans="1:23" ht="29.25" customHeight="1" thickTop="1">
      <c r="A112" s="414"/>
      <c r="B112" s="414"/>
      <c r="C112" s="414"/>
      <c r="D112" s="414"/>
      <c r="E112" s="415"/>
      <c r="F112" s="415"/>
      <c r="G112" s="415"/>
      <c r="H112" s="415"/>
      <c r="I112" s="415"/>
      <c r="J112" s="415"/>
      <c r="K112" s="415"/>
      <c r="L112" s="415"/>
      <c r="M112" s="94"/>
      <c r="N112" s="94"/>
      <c r="O112" s="94"/>
      <c r="P112" s="94"/>
      <c r="Q112" s="94"/>
      <c r="R112" s="94"/>
      <c r="S112" s="95"/>
      <c r="T112" s="95"/>
      <c r="U112" s="95"/>
      <c r="V112" s="95"/>
      <c r="W112" s="95"/>
    </row>
    <row r="113" spans="1:23" ht="29.25" customHeight="1">
      <c r="A113" s="91"/>
      <c r="B113" s="381" t="s">
        <v>154</v>
      </c>
      <c r="C113" s="381"/>
      <c r="D113" s="381"/>
      <c r="E113" s="381"/>
      <c r="F113" s="381"/>
      <c r="G113" s="381"/>
      <c r="H113" s="381"/>
      <c r="I113" s="381"/>
      <c r="J113" s="381"/>
      <c r="K113" s="381"/>
      <c r="L113" s="381"/>
      <c r="M113" s="381"/>
      <c r="N113" s="381"/>
      <c r="O113" s="381"/>
      <c r="P113" s="381"/>
      <c r="Q113" s="381"/>
      <c r="R113" s="381"/>
      <c r="S113" s="381"/>
      <c r="T113" s="95"/>
      <c r="U113" s="95"/>
      <c r="V113" s="95"/>
      <c r="W113" s="95"/>
    </row>
    <row r="114" spans="1:23" ht="29.25" customHeight="1">
      <c r="A114" s="91"/>
      <c r="B114" s="381" t="s">
        <v>504</v>
      </c>
      <c r="C114" s="381"/>
      <c r="D114" s="381"/>
      <c r="E114" s="381"/>
      <c r="F114" s="381"/>
      <c r="G114" s="381"/>
      <c r="H114" s="381"/>
      <c r="I114" s="381"/>
      <c r="J114" s="381"/>
      <c r="K114" s="381"/>
      <c r="L114" s="381"/>
      <c r="M114" s="381"/>
      <c r="N114" s="381"/>
      <c r="O114" s="381"/>
      <c r="P114" s="381"/>
      <c r="Q114" s="381"/>
      <c r="R114" s="381"/>
      <c r="S114" s="381"/>
      <c r="T114" s="95"/>
      <c r="U114" s="95"/>
      <c r="V114" s="95"/>
      <c r="W114" s="95"/>
    </row>
    <row r="115" spans="1:23" ht="29.25" customHeight="1">
      <c r="A115" s="94"/>
      <c r="B115" s="381" t="s">
        <v>203</v>
      </c>
      <c r="C115" s="381"/>
      <c r="D115" s="381"/>
      <c r="E115" s="381"/>
      <c r="F115" s="381"/>
      <c r="G115" s="381"/>
      <c r="H115" s="381"/>
      <c r="I115" s="381"/>
      <c r="J115" s="381"/>
      <c r="K115" s="381"/>
      <c r="L115" s="381"/>
      <c r="M115" s="381"/>
      <c r="N115" s="381"/>
      <c r="O115" s="381"/>
      <c r="P115" s="381"/>
      <c r="Q115" s="381"/>
      <c r="R115" s="381"/>
      <c r="S115" s="381"/>
      <c r="T115" s="95"/>
      <c r="U115" s="95"/>
      <c r="V115" s="95"/>
      <c r="W115" s="95"/>
    </row>
    <row r="116" spans="1:23" ht="29.25" customHeight="1" thickBot="1">
      <c r="A116" s="94"/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5"/>
      <c r="T116" s="95"/>
      <c r="U116" s="95"/>
      <c r="V116" s="95"/>
      <c r="W116" s="95"/>
    </row>
    <row r="117" spans="1:23" ht="29.25" customHeight="1" thickTop="1" thickBot="1">
      <c r="A117" s="95"/>
      <c r="B117" s="416" t="s">
        <v>113</v>
      </c>
      <c r="C117" s="368" t="s">
        <v>155</v>
      </c>
      <c r="D117" s="369"/>
      <c r="E117" s="368" t="s">
        <v>69</v>
      </c>
      <c r="F117" s="369"/>
      <c r="G117" s="368" t="s">
        <v>64</v>
      </c>
      <c r="H117" s="369"/>
      <c r="I117" s="368" t="s">
        <v>355</v>
      </c>
      <c r="J117" s="369"/>
      <c r="K117" s="368" t="s">
        <v>356</v>
      </c>
      <c r="L117" s="369"/>
      <c r="M117" s="368" t="s">
        <v>33</v>
      </c>
      <c r="N117" s="369"/>
      <c r="O117" s="368" t="s">
        <v>34</v>
      </c>
      <c r="P117" s="369"/>
      <c r="Q117" s="368" t="s">
        <v>35</v>
      </c>
      <c r="R117" s="369"/>
      <c r="S117" s="368" t="s">
        <v>36</v>
      </c>
      <c r="T117" s="369"/>
      <c r="U117" s="368" t="s">
        <v>25</v>
      </c>
      <c r="V117" s="370"/>
      <c r="W117" s="369"/>
    </row>
    <row r="118" spans="1:23" ht="29.25" customHeight="1" thickTop="1" thickBot="1">
      <c r="A118" s="95"/>
      <c r="B118" s="417"/>
      <c r="C118" s="88" t="s">
        <v>73</v>
      </c>
      <c r="D118" s="88" t="s">
        <v>29</v>
      </c>
      <c r="E118" s="88" t="s">
        <v>73</v>
      </c>
      <c r="F118" s="88" t="s">
        <v>29</v>
      </c>
      <c r="G118" s="88" t="s">
        <v>73</v>
      </c>
      <c r="H118" s="88" t="s">
        <v>29</v>
      </c>
      <c r="I118" s="88" t="s">
        <v>73</v>
      </c>
      <c r="J118" s="88" t="s">
        <v>29</v>
      </c>
      <c r="K118" s="88" t="s">
        <v>73</v>
      </c>
      <c r="L118" s="88" t="s">
        <v>29</v>
      </c>
      <c r="M118" s="88" t="s">
        <v>73</v>
      </c>
      <c r="N118" s="88" t="s">
        <v>29</v>
      </c>
      <c r="O118" s="88" t="s">
        <v>73</v>
      </c>
      <c r="P118" s="88" t="s">
        <v>29</v>
      </c>
      <c r="Q118" s="88" t="s">
        <v>73</v>
      </c>
      <c r="R118" s="88" t="s">
        <v>29</v>
      </c>
      <c r="S118" s="88" t="s">
        <v>73</v>
      </c>
      <c r="T118" s="88" t="s">
        <v>29</v>
      </c>
      <c r="U118" s="88" t="s">
        <v>73</v>
      </c>
      <c r="V118" s="88" t="s">
        <v>29</v>
      </c>
      <c r="W118" s="88" t="s">
        <v>25</v>
      </c>
    </row>
    <row r="119" spans="1:23" ht="29.25" customHeight="1" thickTop="1" thickBot="1">
      <c r="A119" s="95"/>
      <c r="B119" s="88" t="s">
        <v>121</v>
      </c>
      <c r="C119" s="88">
        <f>المهني!NE16</f>
        <v>0</v>
      </c>
      <c r="D119" s="88">
        <f>المهني!NF16</f>
        <v>0</v>
      </c>
      <c r="E119" s="88">
        <f>المهني!NG16</f>
        <v>0</v>
      </c>
      <c r="F119" s="88">
        <f>المهني!NH16</f>
        <v>0</v>
      </c>
      <c r="G119" s="88">
        <f>المهني!NI16</f>
        <v>0</v>
      </c>
      <c r="H119" s="88">
        <f>المهني!NJ16</f>
        <v>0</v>
      </c>
      <c r="I119" s="88">
        <f>المهني!NM16</f>
        <v>0</v>
      </c>
      <c r="J119" s="88">
        <f>المهني!NN16</f>
        <v>0</v>
      </c>
      <c r="K119" s="88">
        <f>المهني!NK16</f>
        <v>0</v>
      </c>
      <c r="L119" s="88">
        <f>المهني!NL16</f>
        <v>0</v>
      </c>
      <c r="M119" s="88">
        <f>المهني!NO16</f>
        <v>0</v>
      </c>
      <c r="N119" s="88">
        <f>المهني!NP16</f>
        <v>0</v>
      </c>
      <c r="O119" s="88">
        <f>المهني!NQ16</f>
        <v>0</v>
      </c>
      <c r="P119" s="88">
        <f>المهني!NR16</f>
        <v>0</v>
      </c>
      <c r="Q119" s="88">
        <f>المهني!NS16</f>
        <v>0</v>
      </c>
      <c r="R119" s="88">
        <f>المهني!NT16</f>
        <v>0</v>
      </c>
      <c r="S119" s="88">
        <f>المهني!NU16</f>
        <v>0</v>
      </c>
      <c r="T119" s="88">
        <f>المهني!NV16</f>
        <v>0</v>
      </c>
      <c r="U119" s="88">
        <f t="shared" ref="U119:V125" si="28">S119+Q119+O119+M119+K119+G119+C119+E119+I119</f>
        <v>0</v>
      </c>
      <c r="V119" s="88">
        <f t="shared" si="28"/>
        <v>0</v>
      </c>
      <c r="W119" s="88">
        <f t="shared" ref="W119:W125" si="29">V119+U119</f>
        <v>0</v>
      </c>
    </row>
    <row r="120" spans="1:23" ht="29.25" customHeight="1" thickTop="1" thickBot="1">
      <c r="A120" s="95"/>
      <c r="B120" s="88" t="s">
        <v>122</v>
      </c>
      <c r="C120" s="88">
        <v>0</v>
      </c>
      <c r="D120" s="88">
        <v>0</v>
      </c>
      <c r="E120" s="88">
        <v>0</v>
      </c>
      <c r="F120" s="88">
        <v>0</v>
      </c>
      <c r="G120" s="88">
        <v>0</v>
      </c>
      <c r="H120" s="88">
        <v>0</v>
      </c>
      <c r="I120" s="88">
        <v>0</v>
      </c>
      <c r="J120" s="88">
        <v>0</v>
      </c>
      <c r="K120" s="88">
        <v>0</v>
      </c>
      <c r="L120" s="88">
        <v>0</v>
      </c>
      <c r="M120" s="88">
        <v>0</v>
      </c>
      <c r="N120" s="88">
        <v>0</v>
      </c>
      <c r="O120" s="88">
        <v>0</v>
      </c>
      <c r="P120" s="88">
        <v>0</v>
      </c>
      <c r="Q120" s="88">
        <v>0</v>
      </c>
      <c r="R120" s="88">
        <v>0</v>
      </c>
      <c r="S120" s="88">
        <v>0</v>
      </c>
      <c r="T120" s="88">
        <v>0</v>
      </c>
      <c r="U120" s="88">
        <f t="shared" si="28"/>
        <v>0</v>
      </c>
      <c r="V120" s="88">
        <f t="shared" si="28"/>
        <v>0</v>
      </c>
      <c r="W120" s="88">
        <f t="shared" si="29"/>
        <v>0</v>
      </c>
    </row>
    <row r="121" spans="1:23" ht="29.25" customHeight="1" thickTop="1" thickBot="1">
      <c r="A121" s="95"/>
      <c r="B121" s="88" t="s">
        <v>123</v>
      </c>
      <c r="C121" s="88">
        <v>0</v>
      </c>
      <c r="D121" s="88">
        <v>0</v>
      </c>
      <c r="E121" s="88">
        <v>0</v>
      </c>
      <c r="F121" s="88">
        <v>0</v>
      </c>
      <c r="G121" s="88">
        <v>0</v>
      </c>
      <c r="H121" s="88">
        <v>0</v>
      </c>
      <c r="I121" s="88">
        <v>0</v>
      </c>
      <c r="J121" s="88">
        <v>0</v>
      </c>
      <c r="K121" s="88">
        <v>0</v>
      </c>
      <c r="L121" s="88">
        <v>0</v>
      </c>
      <c r="M121" s="88">
        <v>0</v>
      </c>
      <c r="N121" s="88">
        <v>0</v>
      </c>
      <c r="O121" s="88">
        <v>0</v>
      </c>
      <c r="P121" s="88">
        <v>0</v>
      </c>
      <c r="Q121" s="88">
        <v>0</v>
      </c>
      <c r="R121" s="88">
        <v>0</v>
      </c>
      <c r="S121" s="88">
        <v>0</v>
      </c>
      <c r="T121" s="88">
        <v>0</v>
      </c>
      <c r="U121" s="88">
        <f t="shared" si="28"/>
        <v>0</v>
      </c>
      <c r="V121" s="88">
        <f t="shared" si="28"/>
        <v>0</v>
      </c>
      <c r="W121" s="88">
        <f t="shared" si="29"/>
        <v>0</v>
      </c>
    </row>
    <row r="122" spans="1:23" ht="29.25" customHeight="1" thickTop="1" thickBot="1">
      <c r="A122" s="95"/>
      <c r="B122" s="88" t="s">
        <v>211</v>
      </c>
      <c r="C122" s="88">
        <v>0</v>
      </c>
      <c r="D122" s="88">
        <v>0</v>
      </c>
      <c r="E122" s="88">
        <v>0</v>
      </c>
      <c r="F122" s="88">
        <v>0</v>
      </c>
      <c r="G122" s="88">
        <v>0</v>
      </c>
      <c r="H122" s="88">
        <v>0</v>
      </c>
      <c r="I122" s="88">
        <v>0</v>
      </c>
      <c r="J122" s="88">
        <v>0</v>
      </c>
      <c r="K122" s="88">
        <v>0</v>
      </c>
      <c r="L122" s="88">
        <v>0</v>
      </c>
      <c r="M122" s="88">
        <v>0</v>
      </c>
      <c r="N122" s="88">
        <v>0</v>
      </c>
      <c r="O122" s="88">
        <v>0</v>
      </c>
      <c r="P122" s="88">
        <v>0</v>
      </c>
      <c r="Q122" s="88">
        <v>0</v>
      </c>
      <c r="R122" s="88">
        <v>0</v>
      </c>
      <c r="S122" s="88">
        <v>0</v>
      </c>
      <c r="T122" s="88">
        <v>0</v>
      </c>
      <c r="U122" s="88">
        <f t="shared" si="28"/>
        <v>0</v>
      </c>
      <c r="V122" s="88">
        <f t="shared" si="28"/>
        <v>0</v>
      </c>
      <c r="W122" s="88">
        <f t="shared" si="29"/>
        <v>0</v>
      </c>
    </row>
    <row r="123" spans="1:23" ht="29.25" customHeight="1" thickTop="1" thickBot="1">
      <c r="A123" s="138"/>
      <c r="B123" s="136" t="s">
        <v>459</v>
      </c>
      <c r="C123" s="136"/>
      <c r="D123" s="136"/>
      <c r="E123" s="136"/>
      <c r="F123" s="136"/>
      <c r="G123" s="136"/>
      <c r="H123" s="136"/>
      <c r="I123" s="136"/>
      <c r="J123" s="136"/>
      <c r="K123" s="136"/>
      <c r="L123" s="136"/>
      <c r="M123" s="136"/>
      <c r="N123" s="136"/>
      <c r="O123" s="136"/>
      <c r="P123" s="136"/>
      <c r="Q123" s="136"/>
      <c r="R123" s="136"/>
      <c r="S123" s="136"/>
      <c r="T123" s="136"/>
      <c r="U123" s="136"/>
      <c r="V123" s="136"/>
      <c r="W123" s="136"/>
    </row>
    <row r="124" spans="1:23" ht="29.25" customHeight="1" thickTop="1" thickBot="1">
      <c r="A124" s="95"/>
      <c r="B124" s="56" t="s">
        <v>387</v>
      </c>
      <c r="C124" s="88">
        <v>0</v>
      </c>
      <c r="D124" s="88">
        <v>0</v>
      </c>
      <c r="E124" s="88">
        <v>0</v>
      </c>
      <c r="F124" s="88">
        <v>0</v>
      </c>
      <c r="G124" s="88">
        <v>0</v>
      </c>
      <c r="H124" s="88">
        <v>0</v>
      </c>
      <c r="I124" s="88">
        <v>0</v>
      </c>
      <c r="J124" s="88">
        <v>0</v>
      </c>
      <c r="K124" s="88">
        <v>0</v>
      </c>
      <c r="L124" s="88">
        <v>0</v>
      </c>
      <c r="M124" s="88">
        <v>0</v>
      </c>
      <c r="N124" s="88">
        <v>0</v>
      </c>
      <c r="O124" s="88">
        <v>0</v>
      </c>
      <c r="P124" s="88">
        <v>0</v>
      </c>
      <c r="Q124" s="88">
        <v>0</v>
      </c>
      <c r="R124" s="88">
        <v>0</v>
      </c>
      <c r="S124" s="88">
        <v>0</v>
      </c>
      <c r="T124" s="88">
        <v>0</v>
      </c>
      <c r="U124" s="88">
        <f t="shared" si="28"/>
        <v>0</v>
      </c>
      <c r="V124" s="88">
        <f t="shared" si="28"/>
        <v>0</v>
      </c>
      <c r="W124" s="88">
        <f t="shared" si="29"/>
        <v>0</v>
      </c>
    </row>
    <row r="125" spans="1:23" ht="29.25" customHeight="1" thickTop="1" thickBot="1">
      <c r="A125" s="95"/>
      <c r="B125" s="88" t="s">
        <v>25</v>
      </c>
      <c r="C125" s="88">
        <f t="shared" ref="C125:T125" si="30">C122+C121+C120+C119</f>
        <v>0</v>
      </c>
      <c r="D125" s="88">
        <f t="shared" si="30"/>
        <v>0</v>
      </c>
      <c r="E125" s="88">
        <f t="shared" si="30"/>
        <v>0</v>
      </c>
      <c r="F125" s="88">
        <f t="shared" si="30"/>
        <v>0</v>
      </c>
      <c r="G125" s="88">
        <f t="shared" si="30"/>
        <v>0</v>
      </c>
      <c r="H125" s="88">
        <f t="shared" si="30"/>
        <v>0</v>
      </c>
      <c r="I125" s="88">
        <f t="shared" si="30"/>
        <v>0</v>
      </c>
      <c r="J125" s="88">
        <f t="shared" si="30"/>
        <v>0</v>
      </c>
      <c r="K125" s="88">
        <f t="shared" si="30"/>
        <v>0</v>
      </c>
      <c r="L125" s="88">
        <f t="shared" si="30"/>
        <v>0</v>
      </c>
      <c r="M125" s="88">
        <f t="shared" si="30"/>
        <v>0</v>
      </c>
      <c r="N125" s="88">
        <f t="shared" si="30"/>
        <v>0</v>
      </c>
      <c r="O125" s="88">
        <f t="shared" si="30"/>
        <v>0</v>
      </c>
      <c r="P125" s="88">
        <f t="shared" si="30"/>
        <v>0</v>
      </c>
      <c r="Q125" s="88">
        <f t="shared" si="30"/>
        <v>0</v>
      </c>
      <c r="R125" s="88">
        <f t="shared" si="30"/>
        <v>0</v>
      </c>
      <c r="S125" s="88">
        <f t="shared" si="30"/>
        <v>0</v>
      </c>
      <c r="T125" s="88">
        <f t="shared" si="30"/>
        <v>0</v>
      </c>
      <c r="U125" s="88">
        <f t="shared" si="28"/>
        <v>0</v>
      </c>
      <c r="V125" s="88">
        <f t="shared" si="28"/>
        <v>0</v>
      </c>
      <c r="W125" s="88">
        <f t="shared" si="29"/>
        <v>0</v>
      </c>
    </row>
    <row r="126" spans="1:23" ht="29.25" customHeight="1" thickTop="1"/>
  </sheetData>
  <mergeCells count="115">
    <mergeCell ref="I8:J8"/>
    <mergeCell ref="K8:L8"/>
    <mergeCell ref="A35:E35"/>
    <mergeCell ref="I36:L36"/>
    <mergeCell ref="D37:Q37"/>
    <mergeCell ref="M41:N41"/>
    <mergeCell ref="O41:Q41"/>
    <mergeCell ref="S23:T23"/>
    <mergeCell ref="U23:W23"/>
    <mergeCell ref="C23:D23"/>
    <mergeCell ref="K23:L23"/>
    <mergeCell ref="M23:N23"/>
    <mergeCell ref="A1:E1"/>
    <mergeCell ref="A18:L18"/>
    <mergeCell ref="B21:S21"/>
    <mergeCell ref="B23:B24"/>
    <mergeCell ref="A34:E34"/>
    <mergeCell ref="R34:S34"/>
    <mergeCell ref="D5:Q5"/>
    <mergeCell ref="O23:P23"/>
    <mergeCell ref="Q23:R23"/>
    <mergeCell ref="D6:Q6"/>
    <mergeCell ref="I3:L3"/>
    <mergeCell ref="B19:S19"/>
    <mergeCell ref="B20:S20"/>
    <mergeCell ref="R1:S1"/>
    <mergeCell ref="A2:E2"/>
    <mergeCell ref="M8:N8"/>
    <mergeCell ref="O8:Q8"/>
    <mergeCell ref="D4:Q4"/>
    <mergeCell ref="G23:H23"/>
    <mergeCell ref="E23:F23"/>
    <mergeCell ref="I23:J23"/>
    <mergeCell ref="D8:D9"/>
    <mergeCell ref="E8:F8"/>
    <mergeCell ref="G8:H8"/>
    <mergeCell ref="S55:T55"/>
    <mergeCell ref="K41:L41"/>
    <mergeCell ref="U55:W55"/>
    <mergeCell ref="E55:F55"/>
    <mergeCell ref="I55:J55"/>
    <mergeCell ref="D38:Q38"/>
    <mergeCell ref="D39:Q39"/>
    <mergeCell ref="D41:D42"/>
    <mergeCell ref="E41:F41"/>
    <mergeCell ref="G41:H41"/>
    <mergeCell ref="B51:S51"/>
    <mergeCell ref="B52:S52"/>
    <mergeCell ref="B53:S53"/>
    <mergeCell ref="B55:B56"/>
    <mergeCell ref="C55:D55"/>
    <mergeCell ref="G55:H55"/>
    <mergeCell ref="K55:L55"/>
    <mergeCell ref="M55:N55"/>
    <mergeCell ref="O55:P55"/>
    <mergeCell ref="Q55:R55"/>
    <mergeCell ref="A50:L50"/>
    <mergeCell ref="I41:J41"/>
    <mergeCell ref="M72:N72"/>
    <mergeCell ref="O72:Q72"/>
    <mergeCell ref="A65:E65"/>
    <mergeCell ref="D69:Q69"/>
    <mergeCell ref="U86:W86"/>
    <mergeCell ref="B82:S82"/>
    <mergeCell ref="B83:S83"/>
    <mergeCell ref="B84:S84"/>
    <mergeCell ref="B86:B87"/>
    <mergeCell ref="C86:D86"/>
    <mergeCell ref="R65:S65"/>
    <mergeCell ref="A66:E66"/>
    <mergeCell ref="I67:L67"/>
    <mergeCell ref="D68:Q68"/>
    <mergeCell ref="D70:Q70"/>
    <mergeCell ref="D72:D73"/>
    <mergeCell ref="E72:F72"/>
    <mergeCell ref="G72:H72"/>
    <mergeCell ref="I72:J72"/>
    <mergeCell ref="K72:L72"/>
    <mergeCell ref="O103:Q103"/>
    <mergeCell ref="A96:E96"/>
    <mergeCell ref="R96:S96"/>
    <mergeCell ref="A97:E97"/>
    <mergeCell ref="I98:L98"/>
    <mergeCell ref="D99:Q99"/>
    <mergeCell ref="E86:F86"/>
    <mergeCell ref="I86:J86"/>
    <mergeCell ref="D100:Q100"/>
    <mergeCell ref="D101:Q101"/>
    <mergeCell ref="D103:D104"/>
    <mergeCell ref="E103:F103"/>
    <mergeCell ref="G103:H103"/>
    <mergeCell ref="I103:J103"/>
    <mergeCell ref="K103:L103"/>
    <mergeCell ref="M103:N103"/>
    <mergeCell ref="G86:H86"/>
    <mergeCell ref="K86:L86"/>
    <mergeCell ref="M86:N86"/>
    <mergeCell ref="O86:P86"/>
    <mergeCell ref="Q86:R86"/>
    <mergeCell ref="S86:T86"/>
    <mergeCell ref="Q117:R117"/>
    <mergeCell ref="S117:T117"/>
    <mergeCell ref="U117:W117"/>
    <mergeCell ref="E117:F117"/>
    <mergeCell ref="I117:J117"/>
    <mergeCell ref="A112:L112"/>
    <mergeCell ref="B113:S113"/>
    <mergeCell ref="B114:S114"/>
    <mergeCell ref="B115:S115"/>
    <mergeCell ref="B117:B118"/>
    <mergeCell ref="C117:D117"/>
    <mergeCell ref="G117:H117"/>
    <mergeCell ref="K117:L117"/>
    <mergeCell ref="M117:N117"/>
    <mergeCell ref="O117:P117"/>
  </mergeCells>
  <printOptions horizontalCentered="1" verticalCentered="1"/>
  <pageMargins left="0.19685039370078741" right="0.19685039370078741" top="0.19685039370078741" bottom="0.19685039370078741" header="0.19685039370078741" footer="0.19685039370078741"/>
  <pageSetup paperSize="9" scale="60" orientation="landscape" horizontalDpi="300" verticalDpi="300" r:id="rId1"/>
  <rowBreaks count="3" manualBreakCount="3">
    <brk id="32" max="22" man="1"/>
    <brk id="64" max="16383" man="1"/>
    <brk id="95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31"/>
  <sheetViews>
    <sheetView rightToLeft="1" view="pageBreakPreview" zoomScale="60" zoomScaleNormal="100" workbookViewId="0">
      <selection activeCell="A21" sqref="A21"/>
    </sheetView>
  </sheetViews>
  <sheetFormatPr defaultColWidth="9" defaultRowHeight="42.75" customHeight="1"/>
  <cols>
    <col min="1" max="1" width="20.25" style="64" customWidth="1"/>
    <col min="2" max="2" width="21.75" style="64" customWidth="1"/>
    <col min="3" max="5" width="11.75" style="64" customWidth="1"/>
    <col min="6" max="11" width="9" style="64"/>
    <col min="12" max="12" width="11.75" style="64" customWidth="1"/>
    <col min="13" max="21" width="9" style="64"/>
    <col min="22" max="25" width="12.125" style="64" customWidth="1"/>
    <col min="26" max="16384" width="9" style="64"/>
  </cols>
  <sheetData>
    <row r="1" spans="1:25" ht="23.25"/>
    <row r="2" spans="1:25" s="97" customFormat="1" ht="23.25">
      <c r="A2" s="328" t="s">
        <v>146</v>
      </c>
      <c r="B2" s="328"/>
      <c r="C2" s="328"/>
      <c r="D2" s="328"/>
      <c r="E2" s="328"/>
      <c r="F2" s="86"/>
      <c r="G2" s="86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328" t="s">
        <v>110</v>
      </c>
      <c r="V2" s="328"/>
      <c r="W2" s="328"/>
      <c r="X2" s="87"/>
      <c r="Y2" s="87"/>
    </row>
    <row r="3" spans="1:25" s="97" customFormat="1" ht="23.25">
      <c r="A3" s="340" t="s">
        <v>185</v>
      </c>
      <c r="B3" s="340"/>
      <c r="C3" s="340"/>
      <c r="D3" s="340"/>
      <c r="E3" s="340"/>
      <c r="F3" s="86"/>
      <c r="G3" s="87"/>
      <c r="H3" s="87"/>
      <c r="I3" s="340" t="s">
        <v>188</v>
      </c>
      <c r="J3" s="340"/>
      <c r="K3" s="340"/>
      <c r="L3" s="340"/>
      <c r="M3" s="340"/>
      <c r="N3" s="340"/>
      <c r="O3" s="340"/>
      <c r="P3" s="340"/>
      <c r="Q3" s="86"/>
      <c r="R3" s="86"/>
      <c r="S3" s="87"/>
      <c r="T3" s="87"/>
      <c r="U3" s="87"/>
      <c r="V3" s="87"/>
      <c r="W3" s="87"/>
      <c r="X3" s="87"/>
      <c r="Y3" s="87"/>
    </row>
    <row r="4" spans="1:25" s="97" customFormat="1" ht="23.25">
      <c r="B4" s="23"/>
      <c r="C4" s="23"/>
      <c r="D4" s="23"/>
      <c r="E4" s="23"/>
      <c r="F4" s="23"/>
      <c r="G4" s="23"/>
      <c r="H4" s="23"/>
      <c r="I4" s="23"/>
      <c r="J4" s="23"/>
      <c r="K4" s="23" t="s">
        <v>156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87"/>
    </row>
    <row r="5" spans="1:25" s="97" customFormat="1" ht="23.25">
      <c r="A5" s="328" t="s">
        <v>497</v>
      </c>
      <c r="B5" s="328"/>
      <c r="C5" s="328"/>
      <c r="D5" s="328"/>
      <c r="E5" s="328"/>
      <c r="F5" s="328"/>
      <c r="G5" s="328"/>
      <c r="H5" s="328"/>
      <c r="I5" s="328"/>
      <c r="J5" s="328"/>
      <c r="K5" s="328"/>
      <c r="L5" s="328"/>
      <c r="M5" s="328"/>
      <c r="N5" s="328"/>
      <c r="O5" s="328"/>
      <c r="P5" s="328"/>
      <c r="Q5" s="328"/>
      <c r="R5" s="328"/>
      <c r="S5" s="328"/>
      <c r="T5" s="328"/>
      <c r="U5" s="328"/>
      <c r="V5" s="328"/>
      <c r="W5" s="328"/>
      <c r="X5" s="328"/>
      <c r="Y5" s="87"/>
    </row>
    <row r="6" spans="1:25" s="97" customFormat="1" ht="23.25">
      <c r="A6" s="328" t="s">
        <v>157</v>
      </c>
      <c r="B6" s="328"/>
      <c r="C6" s="328"/>
      <c r="D6" s="328"/>
      <c r="E6" s="328"/>
      <c r="F6" s="328"/>
      <c r="G6" s="328"/>
      <c r="H6" s="328"/>
      <c r="I6" s="328"/>
      <c r="J6" s="328"/>
      <c r="K6" s="328"/>
      <c r="L6" s="328"/>
      <c r="M6" s="328"/>
      <c r="N6" s="328"/>
      <c r="O6" s="328"/>
      <c r="P6" s="328"/>
      <c r="Q6" s="328"/>
      <c r="R6" s="328"/>
      <c r="S6" s="328"/>
      <c r="T6" s="328"/>
      <c r="U6" s="328"/>
      <c r="V6" s="328"/>
      <c r="W6" s="328"/>
      <c r="X6" s="328"/>
      <c r="Y6" s="87"/>
    </row>
    <row r="7" spans="1:25" ht="26.25" customHeight="1" thickBot="1">
      <c r="A7" s="9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87"/>
      <c r="T7" s="87"/>
      <c r="U7" s="87"/>
      <c r="V7" s="87"/>
      <c r="W7" s="87"/>
      <c r="X7" s="87"/>
      <c r="Y7" s="87"/>
    </row>
    <row r="8" spans="1:25" ht="50.25" customHeight="1" thickTop="1" thickBot="1">
      <c r="A8" s="440" t="s">
        <v>158</v>
      </c>
      <c r="B8" s="322" t="s">
        <v>159</v>
      </c>
      <c r="C8" s="327"/>
      <c r="D8" s="323"/>
      <c r="E8" s="322" t="s">
        <v>160</v>
      </c>
      <c r="F8" s="327"/>
      <c r="G8" s="323"/>
      <c r="H8" s="448" t="s">
        <v>161</v>
      </c>
      <c r="I8" s="449"/>
      <c r="J8" s="450"/>
      <c r="K8" s="424" t="s">
        <v>162</v>
      </c>
      <c r="L8" s="425"/>
      <c r="M8" s="322" t="s">
        <v>163</v>
      </c>
      <c r="N8" s="327"/>
      <c r="O8" s="327"/>
      <c r="P8" s="327"/>
      <c r="Q8" s="327"/>
      <c r="R8" s="323"/>
      <c r="S8" s="421" t="s">
        <v>213</v>
      </c>
      <c r="T8" s="108"/>
      <c r="U8" s="109"/>
      <c r="V8" s="451" t="s">
        <v>217</v>
      </c>
      <c r="W8" s="452"/>
      <c r="X8" s="452"/>
      <c r="Y8" s="453"/>
    </row>
    <row r="9" spans="1:25" ht="42.75" customHeight="1" thickTop="1" thickBot="1">
      <c r="A9" s="441"/>
      <c r="B9" s="322" t="s">
        <v>164</v>
      </c>
      <c r="C9" s="323"/>
      <c r="D9" s="418" t="s">
        <v>165</v>
      </c>
      <c r="E9" s="421" t="s">
        <v>38</v>
      </c>
      <c r="F9" s="418" t="s">
        <v>39</v>
      </c>
      <c r="G9" s="421" t="s">
        <v>212</v>
      </c>
      <c r="H9" s="418" t="s">
        <v>40</v>
      </c>
      <c r="I9" s="418" t="s">
        <v>45</v>
      </c>
      <c r="J9" s="418" t="s">
        <v>41</v>
      </c>
      <c r="K9" s="426" t="s">
        <v>166</v>
      </c>
      <c r="L9" s="427"/>
      <c r="M9" s="418" t="s">
        <v>167</v>
      </c>
      <c r="N9" s="418" t="s">
        <v>357</v>
      </c>
      <c r="O9" s="418" t="s">
        <v>346</v>
      </c>
      <c r="P9" s="418" t="s">
        <v>44</v>
      </c>
      <c r="Q9" s="418" t="s">
        <v>347</v>
      </c>
      <c r="R9" s="418" t="s">
        <v>168</v>
      </c>
      <c r="S9" s="422"/>
      <c r="T9" s="110" t="s">
        <v>169</v>
      </c>
      <c r="U9" s="111" t="s">
        <v>169</v>
      </c>
      <c r="V9" s="445" t="s">
        <v>449</v>
      </c>
      <c r="W9" s="445" t="s">
        <v>214</v>
      </c>
      <c r="X9" s="445" t="s">
        <v>215</v>
      </c>
      <c r="Y9" s="445" t="s">
        <v>216</v>
      </c>
    </row>
    <row r="10" spans="1:25" ht="41.25" thickTop="1">
      <c r="A10" s="441"/>
      <c r="B10" s="338" t="s">
        <v>170</v>
      </c>
      <c r="C10" s="108" t="s">
        <v>171</v>
      </c>
      <c r="D10" s="419"/>
      <c r="E10" s="422"/>
      <c r="F10" s="419"/>
      <c r="G10" s="422"/>
      <c r="H10" s="419"/>
      <c r="I10" s="419"/>
      <c r="J10" s="419"/>
      <c r="K10" s="338" t="s">
        <v>99</v>
      </c>
      <c r="L10" s="108" t="s">
        <v>173</v>
      </c>
      <c r="M10" s="419" t="s">
        <v>174</v>
      </c>
      <c r="N10" s="419"/>
      <c r="O10" s="419" t="s">
        <v>174</v>
      </c>
      <c r="P10" s="419"/>
      <c r="Q10" s="419"/>
      <c r="R10" s="419"/>
      <c r="S10" s="422"/>
      <c r="T10" s="110" t="s">
        <v>175</v>
      </c>
      <c r="U10" s="111" t="s">
        <v>176</v>
      </c>
      <c r="V10" s="446"/>
      <c r="W10" s="446"/>
      <c r="X10" s="446"/>
      <c r="Y10" s="446"/>
    </row>
    <row r="11" spans="1:25" ht="42.75" customHeight="1" thickBot="1">
      <c r="A11" s="442"/>
      <c r="B11" s="339"/>
      <c r="C11" s="112" t="s">
        <v>36</v>
      </c>
      <c r="D11" s="420"/>
      <c r="E11" s="423"/>
      <c r="F11" s="420"/>
      <c r="G11" s="423"/>
      <c r="H11" s="420"/>
      <c r="I11" s="420"/>
      <c r="J11" s="420"/>
      <c r="K11" s="339"/>
      <c r="L11" s="112" t="s">
        <v>99</v>
      </c>
      <c r="M11" s="420" t="s">
        <v>177</v>
      </c>
      <c r="N11" s="420"/>
      <c r="O11" s="420" t="s">
        <v>178</v>
      </c>
      <c r="P11" s="420"/>
      <c r="Q11" s="420"/>
      <c r="R11" s="420"/>
      <c r="S11" s="423"/>
      <c r="T11" s="112"/>
      <c r="U11" s="113"/>
      <c r="V11" s="447"/>
      <c r="W11" s="447"/>
      <c r="X11" s="447"/>
      <c r="Y11" s="447"/>
    </row>
    <row r="12" spans="1:25" ht="42.75" customHeight="1" thickTop="1" thickBot="1">
      <c r="A12" s="15" t="s">
        <v>121</v>
      </c>
      <c r="B12" s="144">
        <f>المهني!RI17</f>
        <v>0</v>
      </c>
      <c r="C12" s="144">
        <f>المهني!RJ17</f>
        <v>0</v>
      </c>
      <c r="D12" s="144">
        <f>المهني!RK17</f>
        <v>1</v>
      </c>
      <c r="E12" s="144">
        <f>المهني!RF17</f>
        <v>1</v>
      </c>
      <c r="F12" s="144">
        <f>المهني!RG17</f>
        <v>0</v>
      </c>
      <c r="G12" s="144">
        <f>المهني!RH17</f>
        <v>0</v>
      </c>
      <c r="H12" s="144">
        <f>المهني!RL17</f>
        <v>1</v>
      </c>
      <c r="I12" s="144">
        <f>المهني!RM17</f>
        <v>0</v>
      </c>
      <c r="J12" s="144">
        <f>المهني!RN17</f>
        <v>0</v>
      </c>
      <c r="K12" s="144">
        <f>المهني!OU17</f>
        <v>1</v>
      </c>
      <c r="L12" s="144">
        <f>المهني!OV17</f>
        <v>0</v>
      </c>
      <c r="M12" s="144">
        <f>المهني!PP17</f>
        <v>1</v>
      </c>
      <c r="N12" s="144">
        <f>المهني!PQ17</f>
        <v>0</v>
      </c>
      <c r="O12" s="144">
        <f>المهني!PR17</f>
        <v>0</v>
      </c>
      <c r="P12" s="144">
        <f>المهني!PS17</f>
        <v>0</v>
      </c>
      <c r="Q12" s="144">
        <f>المهني!PT17</f>
        <v>0</v>
      </c>
      <c r="R12" s="144">
        <f>المهني!PU17</f>
        <v>0</v>
      </c>
      <c r="S12" s="144">
        <f>R12+P12+O12+N12+M12</f>
        <v>1</v>
      </c>
      <c r="T12" s="144">
        <f>المهني!SA17</f>
        <v>0</v>
      </c>
      <c r="U12" s="144">
        <f>المهني!SN17</f>
        <v>0</v>
      </c>
      <c r="V12" s="144">
        <f>المهني!QI17</f>
        <v>1</v>
      </c>
      <c r="W12" s="144">
        <f>المهني!QB17</f>
        <v>1</v>
      </c>
      <c r="X12" s="144">
        <f>المهني!QI17</f>
        <v>1</v>
      </c>
      <c r="Y12" s="144">
        <f>المهني!QM17</f>
        <v>1</v>
      </c>
    </row>
    <row r="13" spans="1:25" ht="42.75" customHeight="1" thickTop="1" thickBot="1">
      <c r="A13" s="15" t="s">
        <v>122</v>
      </c>
      <c r="B13" s="144">
        <v>0</v>
      </c>
      <c r="C13" s="144">
        <v>0</v>
      </c>
      <c r="D13" s="144">
        <v>0</v>
      </c>
      <c r="E13" s="144">
        <v>0</v>
      </c>
      <c r="F13" s="144">
        <v>0</v>
      </c>
      <c r="G13" s="144">
        <v>0</v>
      </c>
      <c r="H13" s="144">
        <v>0</v>
      </c>
      <c r="I13" s="144">
        <v>0</v>
      </c>
      <c r="J13" s="144">
        <v>0</v>
      </c>
      <c r="K13" s="144">
        <v>0</v>
      </c>
      <c r="L13" s="144">
        <v>0</v>
      </c>
      <c r="M13" s="144">
        <v>0</v>
      </c>
      <c r="N13" s="144">
        <v>0</v>
      </c>
      <c r="O13" s="144">
        <v>0</v>
      </c>
      <c r="P13" s="144">
        <v>0</v>
      </c>
      <c r="Q13" s="144">
        <f>المهني!PT28</f>
        <v>0</v>
      </c>
      <c r="R13" s="144">
        <v>0</v>
      </c>
      <c r="S13" s="144">
        <f>R13+P13+O13+N13+M13</f>
        <v>0</v>
      </c>
      <c r="T13" s="144">
        <v>0</v>
      </c>
      <c r="U13" s="144">
        <v>0</v>
      </c>
      <c r="V13" s="144">
        <v>0</v>
      </c>
      <c r="W13" s="144">
        <v>0</v>
      </c>
      <c r="X13" s="144">
        <v>0</v>
      </c>
      <c r="Y13" s="144">
        <v>0</v>
      </c>
    </row>
    <row r="14" spans="1:25" ht="42.75" customHeight="1" thickTop="1" thickBot="1">
      <c r="A14" s="15" t="s">
        <v>123</v>
      </c>
      <c r="B14" s="15">
        <f>المهني!RI23</f>
        <v>0</v>
      </c>
      <c r="C14" s="15">
        <f>المهني!RJ23</f>
        <v>0</v>
      </c>
      <c r="D14" s="15">
        <f>المهني!RK23</f>
        <v>0</v>
      </c>
      <c r="E14" s="15">
        <f>المهني!RF23</f>
        <v>0</v>
      </c>
      <c r="F14" s="15">
        <f>المهني!RG23</f>
        <v>0</v>
      </c>
      <c r="G14" s="15">
        <f>المهني!RH23</f>
        <v>0</v>
      </c>
      <c r="H14" s="15">
        <f>المهني!RL23</f>
        <v>0</v>
      </c>
      <c r="I14" s="15">
        <f>المهني!RM23</f>
        <v>0</v>
      </c>
      <c r="J14" s="15">
        <f>المهني!RN23</f>
        <v>0</v>
      </c>
      <c r="K14" s="15">
        <f>المهني!OU23</f>
        <v>0</v>
      </c>
      <c r="L14" s="15">
        <f>المهني!OV23</f>
        <v>0</v>
      </c>
      <c r="M14" s="15">
        <f>المهني!PP23</f>
        <v>0</v>
      </c>
      <c r="N14" s="15">
        <f>المهني!PQ23</f>
        <v>0</v>
      </c>
      <c r="O14" s="15">
        <f>المهني!PR23</f>
        <v>0</v>
      </c>
      <c r="P14" s="15">
        <f>المهني!PS23</f>
        <v>0</v>
      </c>
      <c r="Q14" s="15">
        <f>المهني!PT23</f>
        <v>0</v>
      </c>
      <c r="R14" s="15">
        <f>المهني!PU23</f>
        <v>0</v>
      </c>
      <c r="S14" s="15">
        <f>R14+P14+O14+N14+M14</f>
        <v>0</v>
      </c>
      <c r="T14" s="15">
        <v>0</v>
      </c>
      <c r="U14" s="15">
        <v>0</v>
      </c>
      <c r="V14" s="15">
        <f>المهني!PV23</f>
        <v>0</v>
      </c>
      <c r="W14" s="15">
        <f>المهني!QB23</f>
        <v>0</v>
      </c>
      <c r="X14" s="15">
        <f>المهني!QI23</f>
        <v>0</v>
      </c>
      <c r="Y14" s="15">
        <f>المهني!QM23</f>
        <v>0</v>
      </c>
    </row>
    <row r="15" spans="1:25" ht="42.75" customHeight="1" thickTop="1" thickBot="1">
      <c r="A15" s="15" t="s">
        <v>211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f>المهني!PT32</f>
        <v>0</v>
      </c>
      <c r="R15" s="15">
        <v>0</v>
      </c>
      <c r="S15" s="15">
        <f>R15+P15+O15+N15+M15</f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</row>
    <row r="16" spans="1:25" ht="42.75" customHeight="1" thickTop="1" thickBot="1">
      <c r="A16" s="15" t="s">
        <v>459</v>
      </c>
      <c r="B16" s="185">
        <f>المهني!RI38</f>
        <v>0</v>
      </c>
      <c r="C16" s="185">
        <f>المهني!RJ38</f>
        <v>0</v>
      </c>
      <c r="D16" s="185">
        <f>المهني!RK38</f>
        <v>0</v>
      </c>
      <c r="E16" s="185">
        <f>المهني!RF38</f>
        <v>0</v>
      </c>
      <c r="F16" s="185">
        <f>المهني!RG38</f>
        <v>0</v>
      </c>
      <c r="G16" s="185">
        <f>المهني!RH38</f>
        <v>0</v>
      </c>
      <c r="H16" s="185">
        <f>المهني!RL38</f>
        <v>0</v>
      </c>
      <c r="I16" s="185">
        <f>المهني!RM38</f>
        <v>0</v>
      </c>
      <c r="J16" s="185">
        <f>المهني!RN38</f>
        <v>0</v>
      </c>
      <c r="K16" s="185">
        <f>المهني!OU38</f>
        <v>0</v>
      </c>
      <c r="L16" s="185">
        <f>المهني!OV38</f>
        <v>0</v>
      </c>
      <c r="M16" s="185">
        <f>المهني!PP38</f>
        <v>0</v>
      </c>
      <c r="N16" s="185">
        <f>المهني!PQ38</f>
        <v>0</v>
      </c>
      <c r="O16" s="185">
        <f>المهني!PR38</f>
        <v>0</v>
      </c>
      <c r="P16" s="185">
        <f>المهني!PS38</f>
        <v>0</v>
      </c>
      <c r="Q16" s="185">
        <f>المهني!PT38</f>
        <v>0</v>
      </c>
      <c r="R16" s="185">
        <f>المهني!PU38</f>
        <v>0</v>
      </c>
      <c r="S16" s="185">
        <f t="shared" ref="S16:S17" si="0">R16+P16+O16+N16+M16</f>
        <v>0</v>
      </c>
      <c r="T16" s="185">
        <f>المهني!SA38</f>
        <v>0</v>
      </c>
      <c r="U16" s="185">
        <f>المهني!SN38</f>
        <v>0</v>
      </c>
      <c r="V16" s="185">
        <f>المهني!QI38</f>
        <v>0</v>
      </c>
      <c r="W16" s="185">
        <f>المهني!QB38</f>
        <v>0</v>
      </c>
      <c r="X16" s="185">
        <f>المهني!QI38</f>
        <v>0</v>
      </c>
      <c r="Y16" s="185">
        <f>المهني!QM38</f>
        <v>0</v>
      </c>
    </row>
    <row r="17" spans="1:33" ht="42.75" customHeight="1" thickTop="1" thickBot="1">
      <c r="A17" s="15" t="s">
        <v>474</v>
      </c>
      <c r="B17" s="185">
        <f>المهني!RI39</f>
        <v>0</v>
      </c>
      <c r="C17" s="185">
        <f>المهني!RJ39</f>
        <v>0</v>
      </c>
      <c r="D17" s="185">
        <f>المهني!RK39</f>
        <v>0</v>
      </c>
      <c r="E17" s="185">
        <f>المهني!RF39</f>
        <v>0</v>
      </c>
      <c r="F17" s="185">
        <f>المهني!RG39</f>
        <v>0</v>
      </c>
      <c r="G17" s="185">
        <f>المهني!RH39</f>
        <v>0</v>
      </c>
      <c r="H17" s="185">
        <f>المهني!RL39</f>
        <v>0</v>
      </c>
      <c r="I17" s="185">
        <f>المهني!RM39</f>
        <v>0</v>
      </c>
      <c r="J17" s="185">
        <f>المهني!RN39</f>
        <v>0</v>
      </c>
      <c r="K17" s="185">
        <f>المهني!OU39</f>
        <v>0</v>
      </c>
      <c r="L17" s="185">
        <f>المهني!OV39</f>
        <v>0</v>
      </c>
      <c r="M17" s="185">
        <f>المهني!PP39</f>
        <v>0</v>
      </c>
      <c r="N17" s="185">
        <f>المهني!PQ39</f>
        <v>0</v>
      </c>
      <c r="O17" s="185">
        <f>المهني!PR39</f>
        <v>0</v>
      </c>
      <c r="P17" s="185">
        <f>المهني!PS39</f>
        <v>0</v>
      </c>
      <c r="Q17" s="185">
        <f>المهني!PT39</f>
        <v>0</v>
      </c>
      <c r="R17" s="185">
        <f>المهني!PU39</f>
        <v>0</v>
      </c>
      <c r="S17" s="185">
        <f t="shared" si="0"/>
        <v>0</v>
      </c>
      <c r="T17" s="185">
        <f>المهني!SA39</f>
        <v>0</v>
      </c>
      <c r="U17" s="185">
        <f>المهني!SN39</f>
        <v>0</v>
      </c>
      <c r="V17" s="185">
        <f>المهني!QI39</f>
        <v>0</v>
      </c>
      <c r="W17" s="185">
        <f>المهني!QB39</f>
        <v>0</v>
      </c>
      <c r="X17" s="185">
        <f>المهني!QI39</f>
        <v>0</v>
      </c>
      <c r="Y17" s="185">
        <f>المهني!QM22</f>
        <v>0</v>
      </c>
    </row>
    <row r="18" spans="1:33" ht="42.75" customHeight="1" thickTop="1" thickBot="1">
      <c r="A18" s="55" t="s">
        <v>387</v>
      </c>
      <c r="B18" s="15">
        <f>المهني!RI35</f>
        <v>0</v>
      </c>
      <c r="C18" s="15">
        <f>المهني!RJ35</f>
        <v>0</v>
      </c>
      <c r="D18" s="15">
        <v>0</v>
      </c>
      <c r="E18" s="15">
        <f>المهني!RF35</f>
        <v>0</v>
      </c>
      <c r="F18" s="15">
        <f>المهني!RG35</f>
        <v>0</v>
      </c>
      <c r="G18" s="15">
        <f>المهني!RH35</f>
        <v>0</v>
      </c>
      <c r="H18" s="15">
        <f>المهني!RL35</f>
        <v>0</v>
      </c>
      <c r="I18" s="15">
        <f>المهني!RM35</f>
        <v>0</v>
      </c>
      <c r="J18" s="15">
        <f>المهني!RN35</f>
        <v>0</v>
      </c>
      <c r="K18" s="15">
        <f>المهني!OU35</f>
        <v>0</v>
      </c>
      <c r="L18" s="15">
        <f>المهني!OV35</f>
        <v>0</v>
      </c>
      <c r="M18" s="15">
        <f>المهني!PP35</f>
        <v>0</v>
      </c>
      <c r="N18" s="15">
        <f>المهني!PQ35</f>
        <v>0</v>
      </c>
      <c r="O18" s="15">
        <f>المهني!PR35</f>
        <v>0</v>
      </c>
      <c r="P18" s="15">
        <f>المهني!PS35</f>
        <v>0</v>
      </c>
      <c r="Q18" s="15">
        <f>المهني!PT35</f>
        <v>0</v>
      </c>
      <c r="R18" s="15">
        <f>المهني!PU35</f>
        <v>0</v>
      </c>
      <c r="S18" s="15">
        <f>R18+P18+O18+N18+M18</f>
        <v>0</v>
      </c>
      <c r="T18" s="15">
        <f>المهني!SA35</f>
        <v>0</v>
      </c>
      <c r="U18" s="15">
        <v>0</v>
      </c>
      <c r="V18" s="15">
        <f>المهني!PV35</f>
        <v>0</v>
      </c>
      <c r="W18" s="15">
        <f>المهني!QB35</f>
        <v>0</v>
      </c>
      <c r="X18" s="15">
        <f>المهني!QI35</f>
        <v>0</v>
      </c>
      <c r="Y18" s="15">
        <f>المهني!QM35</f>
        <v>0</v>
      </c>
    </row>
    <row r="19" spans="1:33" ht="42.75" customHeight="1" thickTop="1" thickBot="1">
      <c r="A19" s="15" t="s">
        <v>25</v>
      </c>
      <c r="B19" s="15">
        <f>SUM(B12:B18)</f>
        <v>0</v>
      </c>
      <c r="C19" s="15">
        <f t="shared" ref="C19:Y19" si="1">SUM(C12:C18)</f>
        <v>0</v>
      </c>
      <c r="D19" s="15">
        <f t="shared" si="1"/>
        <v>1</v>
      </c>
      <c r="E19" s="15">
        <f t="shared" si="1"/>
        <v>1</v>
      </c>
      <c r="F19" s="15">
        <f t="shared" si="1"/>
        <v>0</v>
      </c>
      <c r="G19" s="15">
        <f t="shared" si="1"/>
        <v>0</v>
      </c>
      <c r="H19" s="15">
        <f t="shared" si="1"/>
        <v>1</v>
      </c>
      <c r="I19" s="15">
        <f t="shared" si="1"/>
        <v>0</v>
      </c>
      <c r="J19" s="15">
        <f t="shared" si="1"/>
        <v>0</v>
      </c>
      <c r="K19" s="15">
        <f t="shared" si="1"/>
        <v>1</v>
      </c>
      <c r="L19" s="15">
        <f t="shared" si="1"/>
        <v>0</v>
      </c>
      <c r="M19" s="15">
        <f t="shared" si="1"/>
        <v>1</v>
      </c>
      <c r="N19" s="15">
        <f t="shared" si="1"/>
        <v>0</v>
      </c>
      <c r="O19" s="15">
        <f t="shared" si="1"/>
        <v>0</v>
      </c>
      <c r="P19" s="15">
        <f t="shared" si="1"/>
        <v>0</v>
      </c>
      <c r="Q19" s="15">
        <f t="shared" si="1"/>
        <v>0</v>
      </c>
      <c r="R19" s="15">
        <f t="shared" si="1"/>
        <v>0</v>
      </c>
      <c r="S19" s="15">
        <f t="shared" si="1"/>
        <v>1</v>
      </c>
      <c r="T19" s="15">
        <f t="shared" si="1"/>
        <v>0</v>
      </c>
      <c r="U19" s="15">
        <f t="shared" si="1"/>
        <v>0</v>
      </c>
      <c r="V19" s="15">
        <f t="shared" si="1"/>
        <v>1</v>
      </c>
      <c r="W19" s="15">
        <f t="shared" si="1"/>
        <v>1</v>
      </c>
      <c r="X19" s="15">
        <f t="shared" si="1"/>
        <v>1</v>
      </c>
      <c r="Y19" s="15">
        <f t="shared" si="1"/>
        <v>1</v>
      </c>
    </row>
    <row r="20" spans="1:33" ht="42.75" customHeight="1" thickTop="1">
      <c r="A20" s="87"/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</row>
    <row r="21" spans="1:33" s="97" customFormat="1" ht="23.25">
      <c r="A21" s="87"/>
      <c r="B21" s="87"/>
      <c r="C21" s="87"/>
      <c r="D21" s="87"/>
      <c r="E21" s="87"/>
      <c r="I21" s="87"/>
      <c r="J21" s="340" t="s">
        <v>401</v>
      </c>
      <c r="K21" s="340"/>
      <c r="L21" s="340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</row>
    <row r="22" spans="1:33" s="97" customFormat="1" ht="23.25">
      <c r="A22" s="87"/>
      <c r="B22" s="87"/>
      <c r="C22" s="87"/>
      <c r="D22" s="87"/>
      <c r="E22" s="87"/>
      <c r="G22" s="87"/>
      <c r="H22" s="87"/>
      <c r="I22" s="87"/>
      <c r="J22" s="87"/>
      <c r="K22" s="87" t="s">
        <v>402</v>
      </c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</row>
    <row r="23" spans="1:33" s="97" customFormat="1" ht="23.25">
      <c r="A23" s="87"/>
      <c r="B23" s="87"/>
      <c r="C23" s="87"/>
      <c r="D23" s="87"/>
      <c r="F23" s="87"/>
      <c r="G23" s="87"/>
      <c r="H23" s="87"/>
      <c r="I23" s="87"/>
      <c r="J23" s="87"/>
      <c r="K23" s="87" t="s">
        <v>482</v>
      </c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</row>
    <row r="24" spans="1:33" ht="42.75" customHeight="1" thickBot="1">
      <c r="A24" s="87"/>
      <c r="B24" s="87"/>
      <c r="C24" s="87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</row>
    <row r="25" spans="1:33" ht="42.75" customHeight="1" thickTop="1" thickBot="1">
      <c r="A25" s="87"/>
      <c r="B25" s="338" t="s">
        <v>113</v>
      </c>
      <c r="C25" s="322" t="s">
        <v>393</v>
      </c>
      <c r="D25" s="327"/>
      <c r="E25" s="327"/>
      <c r="F25" s="327"/>
      <c r="G25" s="327"/>
      <c r="H25" s="327"/>
      <c r="I25" s="327"/>
      <c r="J25" s="323"/>
      <c r="K25" s="322" t="s">
        <v>395</v>
      </c>
      <c r="L25" s="327"/>
      <c r="M25" s="327"/>
      <c r="N25" s="327"/>
      <c r="O25" s="327"/>
      <c r="P25" s="327"/>
      <c r="Q25" s="327"/>
      <c r="R25" s="327"/>
      <c r="S25" s="327"/>
      <c r="T25" s="327"/>
      <c r="U25" s="327"/>
      <c r="V25" s="323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</row>
    <row r="26" spans="1:33" ht="42.75" customHeight="1" thickTop="1" thickBot="1">
      <c r="A26" s="87"/>
      <c r="B26" s="339"/>
      <c r="C26" s="322" t="s">
        <v>100</v>
      </c>
      <c r="D26" s="323"/>
      <c r="E26" s="322" t="s">
        <v>101</v>
      </c>
      <c r="F26" s="323"/>
      <c r="G26" s="322" t="s">
        <v>394</v>
      </c>
      <c r="H26" s="323"/>
      <c r="I26" s="322" t="s">
        <v>25</v>
      </c>
      <c r="J26" s="323"/>
      <c r="K26" s="322" t="s">
        <v>396</v>
      </c>
      <c r="L26" s="323"/>
      <c r="M26" s="322" t="s">
        <v>397</v>
      </c>
      <c r="N26" s="323"/>
      <c r="O26" s="322" t="s">
        <v>398</v>
      </c>
      <c r="P26" s="323"/>
      <c r="Q26" s="322" t="s">
        <v>399</v>
      </c>
      <c r="R26" s="323"/>
      <c r="S26" s="322" t="s">
        <v>400</v>
      </c>
      <c r="T26" s="323"/>
      <c r="U26" s="322" t="s">
        <v>25</v>
      </c>
      <c r="V26" s="323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</row>
    <row r="27" spans="1:33" ht="42.75" customHeight="1" thickTop="1" thickBot="1">
      <c r="A27" s="87"/>
      <c r="B27" s="15" t="s">
        <v>121</v>
      </c>
      <c r="C27" s="322">
        <f>المهني!PB17</f>
        <v>0</v>
      </c>
      <c r="D27" s="323"/>
      <c r="E27" s="322">
        <f>المهني!PC17</f>
        <v>1</v>
      </c>
      <c r="F27" s="323"/>
      <c r="G27" s="322">
        <f>المهني!PD17</f>
        <v>0</v>
      </c>
      <c r="H27" s="323"/>
      <c r="I27" s="322">
        <f>G27+E27+C27</f>
        <v>1</v>
      </c>
      <c r="J27" s="323"/>
      <c r="K27" s="322">
        <f>المهني!PE41</f>
        <v>0</v>
      </c>
      <c r="L27" s="323"/>
      <c r="M27" s="322">
        <f>المهني!PF17</f>
        <v>0</v>
      </c>
      <c r="N27" s="323"/>
      <c r="O27" s="322">
        <f>المهني!PG17</f>
        <v>0</v>
      </c>
      <c r="P27" s="323"/>
      <c r="Q27" s="322">
        <f>المهني!PH17</f>
        <v>0</v>
      </c>
      <c r="R27" s="323"/>
      <c r="S27" s="322">
        <f>المهني!PI17</f>
        <v>1</v>
      </c>
      <c r="T27" s="323"/>
      <c r="U27" s="322">
        <f>S27+Q27+O27+M27+K27</f>
        <v>1</v>
      </c>
      <c r="V27" s="323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</row>
    <row r="28" spans="1:33" ht="35.25" customHeight="1" thickTop="1" thickBot="1">
      <c r="A28" s="87"/>
      <c r="B28" s="15" t="s">
        <v>122</v>
      </c>
      <c r="C28" s="322"/>
      <c r="D28" s="323"/>
      <c r="E28" s="322"/>
      <c r="F28" s="323"/>
      <c r="G28" s="322"/>
      <c r="H28" s="323"/>
      <c r="I28" s="322">
        <f t="shared" ref="I28:I31" si="2">G28+E28+C28</f>
        <v>0</v>
      </c>
      <c r="J28" s="323"/>
      <c r="K28" s="322"/>
      <c r="L28" s="323"/>
      <c r="M28" s="322"/>
      <c r="N28" s="323"/>
      <c r="O28" s="322"/>
      <c r="P28" s="323"/>
      <c r="Q28" s="322"/>
      <c r="R28" s="323"/>
      <c r="S28" s="322"/>
      <c r="T28" s="323"/>
      <c r="U28" s="322">
        <f t="shared" ref="U28:U33" si="3">S28+Q28+O28+M28+K28</f>
        <v>0</v>
      </c>
      <c r="V28" s="323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</row>
    <row r="29" spans="1:33" ht="35.25" customHeight="1" thickTop="1" thickBot="1">
      <c r="A29" s="87"/>
      <c r="B29" s="15" t="s">
        <v>123</v>
      </c>
      <c r="C29" s="322">
        <f>المهني!PB23</f>
        <v>0</v>
      </c>
      <c r="D29" s="323"/>
      <c r="E29" s="322">
        <f>المهني!PC23</f>
        <v>0</v>
      </c>
      <c r="F29" s="323"/>
      <c r="G29" s="322">
        <f>المهني!PD23</f>
        <v>0</v>
      </c>
      <c r="H29" s="323"/>
      <c r="I29" s="322">
        <f t="shared" si="2"/>
        <v>0</v>
      </c>
      <c r="J29" s="323"/>
      <c r="K29" s="322">
        <f>المهني!PE23</f>
        <v>0</v>
      </c>
      <c r="L29" s="323"/>
      <c r="M29" s="322">
        <f>المهني!PF23</f>
        <v>0</v>
      </c>
      <c r="N29" s="323"/>
      <c r="O29" s="322">
        <f>المهني!PG23</f>
        <v>0</v>
      </c>
      <c r="P29" s="323"/>
      <c r="Q29" s="322">
        <f>المهني!PH23</f>
        <v>0</v>
      </c>
      <c r="R29" s="323"/>
      <c r="S29" s="322">
        <f>المهني!PI23</f>
        <v>0</v>
      </c>
      <c r="T29" s="323"/>
      <c r="U29" s="322">
        <f t="shared" si="3"/>
        <v>0</v>
      </c>
      <c r="V29" s="323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</row>
    <row r="30" spans="1:33" ht="35.25" customHeight="1" thickTop="1" thickBot="1">
      <c r="A30" s="87"/>
      <c r="B30" s="15" t="s">
        <v>211</v>
      </c>
      <c r="C30" s="322"/>
      <c r="D30" s="323"/>
      <c r="E30" s="322"/>
      <c r="F30" s="323"/>
      <c r="G30" s="322"/>
      <c r="H30" s="323"/>
      <c r="I30" s="322">
        <f t="shared" si="2"/>
        <v>0</v>
      </c>
      <c r="J30" s="323"/>
      <c r="K30" s="322"/>
      <c r="L30" s="323"/>
      <c r="M30" s="322"/>
      <c r="N30" s="323"/>
      <c r="O30" s="322"/>
      <c r="P30" s="323"/>
      <c r="Q30" s="322"/>
      <c r="R30" s="323"/>
      <c r="S30" s="322"/>
      <c r="T30" s="323"/>
      <c r="U30" s="322">
        <f t="shared" si="3"/>
        <v>0</v>
      </c>
      <c r="V30" s="323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</row>
    <row r="31" spans="1:33" ht="35.25" customHeight="1" thickTop="1" thickBot="1">
      <c r="A31" s="135"/>
      <c r="B31" s="15" t="s">
        <v>459</v>
      </c>
      <c r="C31" s="322">
        <f>المهني!PB38</f>
        <v>0</v>
      </c>
      <c r="D31" s="323"/>
      <c r="E31" s="322"/>
      <c r="F31" s="323"/>
      <c r="G31" s="322"/>
      <c r="H31" s="323"/>
      <c r="I31" s="322">
        <f t="shared" si="2"/>
        <v>0</v>
      </c>
      <c r="J31" s="323"/>
      <c r="K31" s="322"/>
      <c r="L31" s="323"/>
      <c r="M31" s="322">
        <f>المهني!PF38</f>
        <v>0</v>
      </c>
      <c r="N31" s="323"/>
      <c r="O31" s="322"/>
      <c r="P31" s="323"/>
      <c r="Q31" s="322">
        <f>المهني!PH38</f>
        <v>0</v>
      </c>
      <c r="R31" s="323"/>
      <c r="S31" s="322"/>
      <c r="T31" s="323"/>
      <c r="U31" s="322">
        <f t="shared" si="3"/>
        <v>0</v>
      </c>
      <c r="V31" s="323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</row>
    <row r="32" spans="1:33" ht="35.25" customHeight="1" thickTop="1" thickBot="1">
      <c r="A32" s="208"/>
      <c r="B32" s="15" t="s">
        <v>474</v>
      </c>
      <c r="C32" s="322">
        <f>المهني!PB40</f>
        <v>0</v>
      </c>
      <c r="D32" s="323"/>
      <c r="E32" s="322"/>
      <c r="F32" s="323"/>
      <c r="G32" s="322">
        <f>المهني!PD40</f>
        <v>0</v>
      </c>
      <c r="H32" s="323"/>
      <c r="I32" s="322">
        <f t="shared" ref="I32" si="4">G32+E32+C32</f>
        <v>0</v>
      </c>
      <c r="J32" s="323"/>
      <c r="K32" s="322"/>
      <c r="L32" s="323"/>
      <c r="M32" s="322"/>
      <c r="N32" s="323"/>
      <c r="O32" s="322"/>
      <c r="P32" s="323"/>
      <c r="Q32" s="322">
        <f>المهني!PH40</f>
        <v>0</v>
      </c>
      <c r="R32" s="323"/>
      <c r="S32" s="322"/>
      <c r="T32" s="323"/>
      <c r="U32" s="322">
        <f t="shared" ref="U32" si="5">S32+Q32+O32+M32+K32</f>
        <v>0</v>
      </c>
      <c r="V32" s="323"/>
      <c r="W32" s="208"/>
      <c r="X32" s="208"/>
      <c r="Y32" s="208"/>
      <c r="Z32" s="208"/>
      <c r="AA32" s="208"/>
      <c r="AB32" s="208"/>
      <c r="AC32" s="208"/>
      <c r="AD32" s="208"/>
      <c r="AE32" s="208"/>
      <c r="AF32" s="208"/>
      <c r="AG32" s="208"/>
    </row>
    <row r="33" spans="1:33" ht="42.75" customHeight="1" thickTop="1" thickBot="1">
      <c r="A33" s="87"/>
      <c r="B33" s="55" t="s">
        <v>387</v>
      </c>
      <c r="C33" s="322">
        <f>المهني!PB35</f>
        <v>0</v>
      </c>
      <c r="D33" s="323"/>
      <c r="E33" s="322">
        <f>المهني!PC35</f>
        <v>0</v>
      </c>
      <c r="F33" s="323"/>
      <c r="G33" s="322">
        <f>المهني!PD35</f>
        <v>0</v>
      </c>
      <c r="H33" s="323"/>
      <c r="I33" s="322">
        <f>G33+E33+C33</f>
        <v>0</v>
      </c>
      <c r="J33" s="323"/>
      <c r="K33" s="322"/>
      <c r="L33" s="323"/>
      <c r="M33" s="322"/>
      <c r="N33" s="323"/>
      <c r="O33" s="322"/>
      <c r="P33" s="323"/>
      <c r="Q33" s="322"/>
      <c r="R33" s="323"/>
      <c r="S33" s="322">
        <f>المهني!PI35</f>
        <v>0</v>
      </c>
      <c r="T33" s="323"/>
      <c r="U33" s="322">
        <f t="shared" si="3"/>
        <v>0</v>
      </c>
      <c r="V33" s="323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</row>
    <row r="34" spans="1:33" ht="42.75" customHeight="1" thickTop="1" thickBot="1">
      <c r="A34" s="87"/>
      <c r="B34" s="15" t="s">
        <v>25</v>
      </c>
      <c r="C34" s="322">
        <f>SUM(C27:C33)</f>
        <v>0</v>
      </c>
      <c r="D34" s="323"/>
      <c r="E34" s="322">
        <f t="shared" ref="E34" si="6">SUM(E27:E33)</f>
        <v>1</v>
      </c>
      <c r="F34" s="323"/>
      <c r="G34" s="322">
        <f t="shared" ref="G34" si="7">SUM(G27:G33)</f>
        <v>0</v>
      </c>
      <c r="H34" s="323"/>
      <c r="I34" s="322">
        <f>G34+E34+C34</f>
        <v>1</v>
      </c>
      <c r="J34" s="323"/>
      <c r="K34" s="322">
        <f>SUM(K27:K33)</f>
        <v>0</v>
      </c>
      <c r="L34" s="323"/>
      <c r="M34" s="322">
        <f>SUM(M27:M33)</f>
        <v>0</v>
      </c>
      <c r="N34" s="323"/>
      <c r="O34" s="322">
        <f>SUM(O27:O33)</f>
        <v>0</v>
      </c>
      <c r="P34" s="323"/>
      <c r="Q34" s="322">
        <f>SUM(Q27:Q33)</f>
        <v>0</v>
      </c>
      <c r="R34" s="323"/>
      <c r="S34" s="322">
        <f>SUM(S27:T33)</f>
        <v>1</v>
      </c>
      <c r="T34" s="323"/>
      <c r="U34" s="322">
        <f>S34+Q34+O34+M34+K34</f>
        <v>1</v>
      </c>
      <c r="V34" s="323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</row>
    <row r="35" spans="1:33" ht="42.75" customHeight="1" thickTop="1">
      <c r="A35" s="87"/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</row>
    <row r="36" spans="1:33" s="97" customFormat="1" ht="23.25">
      <c r="A36" s="328" t="s">
        <v>146</v>
      </c>
      <c r="B36" s="328"/>
      <c r="C36" s="328"/>
      <c r="D36" s="328"/>
      <c r="E36" s="328"/>
      <c r="F36" s="86"/>
      <c r="G36" s="86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328" t="s">
        <v>110</v>
      </c>
      <c r="V36" s="328"/>
      <c r="W36" s="328"/>
      <c r="X36" s="87"/>
      <c r="Y36" s="87"/>
      <c r="Z36" s="87"/>
    </row>
    <row r="37" spans="1:33" s="97" customFormat="1" ht="23.25">
      <c r="A37" s="340" t="s">
        <v>185</v>
      </c>
      <c r="B37" s="340"/>
      <c r="C37" s="340"/>
      <c r="D37" s="340"/>
      <c r="E37" s="340"/>
      <c r="F37" s="86"/>
      <c r="G37" s="87"/>
      <c r="H37" s="87"/>
      <c r="I37" s="340" t="s">
        <v>189</v>
      </c>
      <c r="J37" s="340"/>
      <c r="K37" s="340"/>
      <c r="L37" s="340"/>
      <c r="M37" s="340"/>
      <c r="N37" s="340"/>
      <c r="O37" s="340"/>
      <c r="P37" s="87"/>
      <c r="Q37" s="86"/>
      <c r="R37" s="86"/>
      <c r="S37" s="87"/>
      <c r="T37" s="87"/>
      <c r="U37" s="87"/>
      <c r="V37" s="87"/>
      <c r="W37" s="87"/>
      <c r="X37" s="87"/>
      <c r="Y37" s="87"/>
      <c r="Z37" s="87"/>
    </row>
    <row r="38" spans="1:33" s="97" customFormat="1" ht="23.25">
      <c r="A38" s="328" t="s">
        <v>156</v>
      </c>
      <c r="B38" s="328"/>
      <c r="C38" s="328"/>
      <c r="D38" s="328"/>
      <c r="E38" s="328"/>
      <c r="F38" s="328"/>
      <c r="G38" s="328"/>
      <c r="H38" s="328"/>
      <c r="I38" s="328"/>
      <c r="J38" s="328"/>
      <c r="K38" s="328"/>
      <c r="L38" s="328"/>
      <c r="M38" s="328"/>
      <c r="N38" s="328"/>
      <c r="O38" s="328"/>
      <c r="P38" s="328"/>
      <c r="Q38" s="328"/>
      <c r="R38" s="328"/>
      <c r="S38" s="328"/>
      <c r="T38" s="328"/>
      <c r="U38" s="328"/>
      <c r="V38" s="328"/>
      <c r="W38" s="328"/>
      <c r="X38" s="328"/>
      <c r="Y38" s="87"/>
      <c r="Z38" s="87"/>
    </row>
    <row r="39" spans="1:33" s="97" customFormat="1" ht="23.25">
      <c r="A39" s="328" t="s">
        <v>497</v>
      </c>
      <c r="B39" s="328"/>
      <c r="C39" s="328"/>
      <c r="D39" s="328"/>
      <c r="E39" s="328"/>
      <c r="F39" s="328"/>
      <c r="G39" s="328"/>
      <c r="H39" s="328"/>
      <c r="I39" s="328"/>
      <c r="J39" s="328"/>
      <c r="K39" s="328"/>
      <c r="L39" s="328"/>
      <c r="M39" s="328"/>
      <c r="N39" s="328"/>
      <c r="O39" s="328"/>
      <c r="P39" s="328"/>
      <c r="Q39" s="328"/>
      <c r="R39" s="328"/>
      <c r="S39" s="328"/>
      <c r="T39" s="328"/>
      <c r="U39" s="328"/>
      <c r="V39" s="328"/>
      <c r="W39" s="328"/>
      <c r="X39" s="328"/>
      <c r="Y39" s="87"/>
      <c r="Z39" s="87"/>
    </row>
    <row r="40" spans="1:33" s="97" customFormat="1" ht="23.25">
      <c r="A40" s="328" t="s">
        <v>157</v>
      </c>
      <c r="B40" s="328"/>
      <c r="C40" s="328"/>
      <c r="D40" s="328"/>
      <c r="E40" s="328"/>
      <c r="F40" s="328"/>
      <c r="G40" s="328"/>
      <c r="H40" s="328"/>
      <c r="I40" s="328"/>
      <c r="J40" s="328"/>
      <c r="K40" s="328"/>
      <c r="L40" s="328"/>
      <c r="M40" s="328"/>
      <c r="N40" s="328"/>
      <c r="O40" s="328"/>
      <c r="P40" s="328"/>
      <c r="Q40" s="328"/>
      <c r="R40" s="328"/>
      <c r="S40" s="328"/>
      <c r="T40" s="328"/>
      <c r="U40" s="328"/>
      <c r="V40" s="328"/>
      <c r="W40" s="328"/>
      <c r="X40" s="328"/>
      <c r="Y40" s="87"/>
      <c r="Z40" s="87"/>
    </row>
    <row r="41" spans="1:33" ht="42.75" customHeight="1" thickBot="1">
      <c r="A41" s="9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87"/>
      <c r="T41" s="87"/>
      <c r="U41" s="87"/>
      <c r="V41" s="87"/>
      <c r="W41" s="87"/>
      <c r="X41" s="87"/>
      <c r="Y41" s="87"/>
      <c r="Z41" s="87"/>
    </row>
    <row r="42" spans="1:33" ht="42.75" customHeight="1" thickTop="1" thickBot="1">
      <c r="A42" s="440" t="s">
        <v>158</v>
      </c>
      <c r="B42" s="322" t="s">
        <v>159</v>
      </c>
      <c r="C42" s="327"/>
      <c r="D42" s="323"/>
      <c r="E42" s="322" t="s">
        <v>160</v>
      </c>
      <c r="F42" s="327"/>
      <c r="G42" s="323"/>
      <c r="H42" s="322" t="s">
        <v>161</v>
      </c>
      <c r="I42" s="327"/>
      <c r="J42" s="327"/>
      <c r="K42" s="323"/>
      <c r="L42" s="424" t="s">
        <v>162</v>
      </c>
      <c r="M42" s="425"/>
      <c r="N42" s="322" t="s">
        <v>163</v>
      </c>
      <c r="O42" s="327"/>
      <c r="P42" s="327"/>
      <c r="Q42" s="327"/>
      <c r="R42" s="327"/>
      <c r="S42" s="323"/>
      <c r="T42" s="421" t="s">
        <v>301</v>
      </c>
      <c r="U42" s="421" t="s">
        <v>300</v>
      </c>
      <c r="V42" s="421" t="s">
        <v>46</v>
      </c>
      <c r="W42" s="437" t="s">
        <v>217</v>
      </c>
      <c r="X42" s="438"/>
      <c r="Y42" s="438"/>
      <c r="Z42" s="439"/>
    </row>
    <row r="43" spans="1:33" ht="42.75" customHeight="1" thickTop="1" thickBot="1">
      <c r="A43" s="441"/>
      <c r="B43" s="322" t="s">
        <v>164</v>
      </c>
      <c r="C43" s="323"/>
      <c r="D43" s="418" t="s">
        <v>165</v>
      </c>
      <c r="E43" s="421" t="s">
        <v>38</v>
      </c>
      <c r="F43" s="418" t="s">
        <v>39</v>
      </c>
      <c r="G43" s="421" t="s">
        <v>299</v>
      </c>
      <c r="H43" s="418" t="s">
        <v>40</v>
      </c>
      <c r="I43" s="431" t="s">
        <v>45</v>
      </c>
      <c r="J43" s="432"/>
      <c r="K43" s="418" t="s">
        <v>41</v>
      </c>
      <c r="L43" s="426" t="s">
        <v>166</v>
      </c>
      <c r="M43" s="427"/>
      <c r="N43" s="418" t="s">
        <v>167</v>
      </c>
      <c r="O43" s="418" t="s">
        <v>43</v>
      </c>
      <c r="P43" s="418" t="s">
        <v>346</v>
      </c>
      <c r="Q43" s="418" t="s">
        <v>44</v>
      </c>
      <c r="R43" s="418" t="s">
        <v>347</v>
      </c>
      <c r="S43" s="418" t="s">
        <v>168</v>
      </c>
      <c r="T43" s="422"/>
      <c r="U43" s="422"/>
      <c r="V43" s="422" t="s">
        <v>169</v>
      </c>
      <c r="W43" s="428" t="s">
        <v>450</v>
      </c>
      <c r="X43" s="428" t="s">
        <v>214</v>
      </c>
      <c r="Y43" s="428" t="s">
        <v>215</v>
      </c>
      <c r="Z43" s="428" t="s">
        <v>216</v>
      </c>
    </row>
    <row r="44" spans="1:33" ht="42.75" customHeight="1" thickTop="1">
      <c r="A44" s="441"/>
      <c r="B44" s="338" t="s">
        <v>170</v>
      </c>
      <c r="C44" s="108" t="s">
        <v>171</v>
      </c>
      <c r="D44" s="419"/>
      <c r="E44" s="422"/>
      <c r="F44" s="419"/>
      <c r="G44" s="422"/>
      <c r="H44" s="419"/>
      <c r="I44" s="433"/>
      <c r="J44" s="434"/>
      <c r="K44" s="419"/>
      <c r="L44" s="338" t="s">
        <v>99</v>
      </c>
      <c r="M44" s="108" t="s">
        <v>173</v>
      </c>
      <c r="N44" s="419" t="s">
        <v>174</v>
      </c>
      <c r="O44" s="419"/>
      <c r="P44" s="419" t="s">
        <v>174</v>
      </c>
      <c r="Q44" s="419"/>
      <c r="R44" s="419"/>
      <c r="S44" s="419"/>
      <c r="T44" s="422"/>
      <c r="U44" s="422"/>
      <c r="V44" s="422" t="s">
        <v>176</v>
      </c>
      <c r="W44" s="429"/>
      <c r="X44" s="429"/>
      <c r="Y44" s="429"/>
      <c r="Z44" s="429"/>
    </row>
    <row r="45" spans="1:33" ht="42.75" customHeight="1" thickBot="1">
      <c r="A45" s="442"/>
      <c r="B45" s="339"/>
      <c r="C45" s="112" t="s">
        <v>36</v>
      </c>
      <c r="D45" s="420"/>
      <c r="E45" s="423"/>
      <c r="F45" s="420"/>
      <c r="G45" s="423"/>
      <c r="H45" s="420"/>
      <c r="I45" s="435"/>
      <c r="J45" s="436"/>
      <c r="K45" s="420"/>
      <c r="L45" s="339"/>
      <c r="M45" s="112" t="s">
        <v>99</v>
      </c>
      <c r="N45" s="420" t="s">
        <v>177</v>
      </c>
      <c r="O45" s="420"/>
      <c r="P45" s="420" t="s">
        <v>178</v>
      </c>
      <c r="Q45" s="420"/>
      <c r="R45" s="420"/>
      <c r="S45" s="420"/>
      <c r="T45" s="423"/>
      <c r="U45" s="423"/>
      <c r="V45" s="423"/>
      <c r="W45" s="430"/>
      <c r="X45" s="430"/>
      <c r="Y45" s="430"/>
      <c r="Z45" s="430"/>
    </row>
    <row r="46" spans="1:33" ht="42.75" customHeight="1" thickTop="1" thickBot="1">
      <c r="A46" s="15" t="s">
        <v>121</v>
      </c>
      <c r="B46" s="15">
        <f>المهني!RI9</f>
        <v>0</v>
      </c>
      <c r="C46" s="15">
        <f>المهني!RJ9</f>
        <v>0</v>
      </c>
      <c r="D46" s="15">
        <f>المهني!RK9</f>
        <v>1</v>
      </c>
      <c r="E46" s="15">
        <f>المهني!RF9</f>
        <v>1</v>
      </c>
      <c r="F46" s="15">
        <f>المهني!RG9</f>
        <v>0</v>
      </c>
      <c r="G46" s="15">
        <f>المهني!RH9</f>
        <v>0</v>
      </c>
      <c r="H46" s="15">
        <f>المهني!RL9</f>
        <v>1</v>
      </c>
      <c r="I46" s="322">
        <f>المهني!RM9</f>
        <v>0</v>
      </c>
      <c r="J46" s="323"/>
      <c r="K46" s="15">
        <f>المهني!RN9</f>
        <v>0</v>
      </c>
      <c r="L46" s="15">
        <f>المهني!OU9</f>
        <v>1</v>
      </c>
      <c r="M46" s="15">
        <f>المهني!OV9</f>
        <v>0</v>
      </c>
      <c r="N46" s="15">
        <f>المهني!PP9</f>
        <v>1</v>
      </c>
      <c r="O46" s="15">
        <f>المهني!PQ9</f>
        <v>0</v>
      </c>
      <c r="P46" s="15">
        <f>المهني!PR9</f>
        <v>0</v>
      </c>
      <c r="Q46" s="15">
        <f>المهني!PS9</f>
        <v>0</v>
      </c>
      <c r="R46" s="15">
        <f>المهني!PT9</f>
        <v>0</v>
      </c>
      <c r="S46" s="15">
        <f>المهني!PU9</f>
        <v>0</v>
      </c>
      <c r="T46" s="15">
        <f>S46+Q46+P46+O46+N46</f>
        <v>1</v>
      </c>
      <c r="U46" s="15">
        <f>المهني!SA9</f>
        <v>0</v>
      </c>
      <c r="V46" s="15">
        <f>المهني!SN9</f>
        <v>0</v>
      </c>
      <c r="W46" s="15">
        <f>المهني!PV9</f>
        <v>1</v>
      </c>
      <c r="X46" s="15">
        <f>المهني!QB9</f>
        <v>1</v>
      </c>
      <c r="Y46" s="15">
        <f>المهني!QI9</f>
        <v>1</v>
      </c>
      <c r="Z46" s="15">
        <f>المهني!QM9</f>
        <v>1</v>
      </c>
    </row>
    <row r="47" spans="1:33" ht="42.75" customHeight="1" thickTop="1" thickBot="1">
      <c r="A47" s="15" t="s">
        <v>122</v>
      </c>
      <c r="B47" s="114">
        <v>0</v>
      </c>
      <c r="C47" s="114">
        <v>0</v>
      </c>
      <c r="D47" s="114">
        <v>0</v>
      </c>
      <c r="E47" s="114">
        <v>0</v>
      </c>
      <c r="F47" s="114">
        <v>0</v>
      </c>
      <c r="G47" s="114">
        <v>0</v>
      </c>
      <c r="H47" s="114">
        <v>0</v>
      </c>
      <c r="I47" s="443">
        <v>0</v>
      </c>
      <c r="J47" s="444"/>
      <c r="K47" s="114">
        <v>0</v>
      </c>
      <c r="L47" s="114">
        <v>0</v>
      </c>
      <c r="M47" s="114">
        <v>0</v>
      </c>
      <c r="N47" s="114">
        <v>0</v>
      </c>
      <c r="O47" s="114">
        <v>0</v>
      </c>
      <c r="P47" s="114">
        <v>0</v>
      </c>
      <c r="Q47" s="114">
        <v>0</v>
      </c>
      <c r="R47" s="114">
        <v>0</v>
      </c>
      <c r="S47" s="114">
        <v>0</v>
      </c>
      <c r="T47" s="114">
        <f>S47+Q47+P47+O47+N47</f>
        <v>0</v>
      </c>
      <c r="U47" s="114">
        <v>0</v>
      </c>
      <c r="V47" s="15">
        <v>0</v>
      </c>
      <c r="W47" s="15"/>
      <c r="X47" s="114">
        <v>0</v>
      </c>
      <c r="Y47" s="114">
        <v>0</v>
      </c>
      <c r="Z47" s="114">
        <v>0</v>
      </c>
    </row>
    <row r="48" spans="1:33" ht="42.75" customHeight="1" thickTop="1" thickBot="1">
      <c r="A48" s="15" t="s">
        <v>123</v>
      </c>
      <c r="B48" s="114">
        <v>0</v>
      </c>
      <c r="C48" s="114">
        <v>0</v>
      </c>
      <c r="D48" s="114">
        <v>0</v>
      </c>
      <c r="E48" s="114">
        <v>0</v>
      </c>
      <c r="F48" s="114">
        <v>0</v>
      </c>
      <c r="G48" s="114">
        <v>0</v>
      </c>
      <c r="H48" s="114">
        <v>0</v>
      </c>
      <c r="I48" s="443">
        <v>0</v>
      </c>
      <c r="J48" s="444"/>
      <c r="K48" s="114">
        <v>0</v>
      </c>
      <c r="L48" s="114">
        <v>0</v>
      </c>
      <c r="M48" s="114">
        <v>0</v>
      </c>
      <c r="N48" s="114">
        <v>0</v>
      </c>
      <c r="O48" s="114">
        <v>0</v>
      </c>
      <c r="P48" s="114">
        <v>0</v>
      </c>
      <c r="Q48" s="114">
        <v>0</v>
      </c>
      <c r="R48" s="114">
        <v>0</v>
      </c>
      <c r="S48" s="114">
        <v>0</v>
      </c>
      <c r="T48" s="114">
        <f>S48+Q48+P48+O48+N48</f>
        <v>0</v>
      </c>
      <c r="U48" s="114">
        <v>0</v>
      </c>
      <c r="V48" s="15">
        <v>0</v>
      </c>
      <c r="W48" s="15"/>
      <c r="X48" s="114">
        <v>0</v>
      </c>
      <c r="Y48" s="114">
        <v>0</v>
      </c>
      <c r="Z48" s="114">
        <v>0</v>
      </c>
    </row>
    <row r="49" spans="1:34" ht="42.75" customHeight="1" thickTop="1" thickBot="1">
      <c r="A49" s="15" t="s">
        <v>211</v>
      </c>
      <c r="B49" s="114">
        <v>0</v>
      </c>
      <c r="C49" s="114">
        <v>0</v>
      </c>
      <c r="D49" s="114">
        <v>0</v>
      </c>
      <c r="E49" s="114">
        <v>0</v>
      </c>
      <c r="F49" s="114">
        <v>0</v>
      </c>
      <c r="G49" s="114">
        <v>0</v>
      </c>
      <c r="H49" s="114">
        <v>0</v>
      </c>
      <c r="I49" s="443">
        <v>0</v>
      </c>
      <c r="J49" s="444"/>
      <c r="K49" s="114">
        <v>0</v>
      </c>
      <c r="L49" s="114">
        <v>0</v>
      </c>
      <c r="M49" s="114">
        <v>0</v>
      </c>
      <c r="N49" s="114">
        <v>0</v>
      </c>
      <c r="O49" s="114">
        <v>0</v>
      </c>
      <c r="P49" s="114">
        <v>0</v>
      </c>
      <c r="Q49" s="114">
        <v>0</v>
      </c>
      <c r="R49" s="114">
        <f>المهني!PT32</f>
        <v>0</v>
      </c>
      <c r="S49" s="114">
        <v>0</v>
      </c>
      <c r="T49" s="114">
        <f>S49+Q49+P49+O49+N49</f>
        <v>0</v>
      </c>
      <c r="U49" s="114">
        <v>0</v>
      </c>
      <c r="V49" s="15">
        <v>0</v>
      </c>
      <c r="W49" s="15"/>
      <c r="X49" s="114">
        <v>0</v>
      </c>
      <c r="Y49" s="114">
        <v>0</v>
      </c>
      <c r="Z49" s="114">
        <v>0</v>
      </c>
    </row>
    <row r="50" spans="1:34" ht="42.75" customHeight="1" thickTop="1" thickBot="1">
      <c r="A50" s="15" t="s">
        <v>459</v>
      </c>
      <c r="B50" s="114"/>
      <c r="C50" s="114"/>
      <c r="D50" s="114"/>
      <c r="E50" s="114"/>
      <c r="F50" s="114"/>
      <c r="G50" s="114"/>
      <c r="H50" s="114"/>
      <c r="I50" s="140"/>
      <c r="J50" s="141"/>
      <c r="K50" s="114"/>
      <c r="L50" s="114"/>
      <c r="M50" s="114"/>
      <c r="N50" s="114"/>
      <c r="O50" s="114"/>
      <c r="P50" s="114"/>
      <c r="Q50" s="114"/>
      <c r="R50" s="114"/>
      <c r="S50" s="114"/>
      <c r="T50" s="114"/>
      <c r="U50" s="114"/>
      <c r="V50" s="15"/>
      <c r="W50" s="15"/>
      <c r="X50" s="114"/>
      <c r="Y50" s="114"/>
      <c r="Z50" s="114"/>
    </row>
    <row r="51" spans="1:34" ht="42.75" customHeight="1" thickTop="1" thickBot="1">
      <c r="A51" s="55" t="s">
        <v>387</v>
      </c>
      <c r="B51" s="114"/>
      <c r="C51" s="114"/>
      <c r="D51" s="114"/>
      <c r="E51" s="114"/>
      <c r="F51" s="114"/>
      <c r="G51" s="114"/>
      <c r="H51" s="114"/>
      <c r="I51" s="443"/>
      <c r="J51" s="444"/>
      <c r="K51" s="114"/>
      <c r="L51" s="114"/>
      <c r="M51" s="114"/>
      <c r="N51" s="114"/>
      <c r="O51" s="114"/>
      <c r="P51" s="114"/>
      <c r="Q51" s="114"/>
      <c r="R51" s="114"/>
      <c r="S51" s="114"/>
      <c r="T51" s="114"/>
      <c r="U51" s="114"/>
      <c r="V51" s="15">
        <v>0</v>
      </c>
      <c r="W51" s="15"/>
      <c r="X51" s="114"/>
      <c r="Y51" s="114"/>
      <c r="Z51" s="114"/>
    </row>
    <row r="52" spans="1:34" ht="42.75" customHeight="1" thickTop="1" thickBot="1">
      <c r="A52" s="15" t="s">
        <v>25</v>
      </c>
      <c r="B52" s="15">
        <f t="shared" ref="B52:I52" si="8">B49+B48+B47+B46</f>
        <v>0</v>
      </c>
      <c r="C52" s="15">
        <f t="shared" si="8"/>
        <v>0</v>
      </c>
      <c r="D52" s="15">
        <f t="shared" si="8"/>
        <v>1</v>
      </c>
      <c r="E52" s="15">
        <f t="shared" si="8"/>
        <v>1</v>
      </c>
      <c r="F52" s="15">
        <f t="shared" si="8"/>
        <v>0</v>
      </c>
      <c r="G52" s="15">
        <f t="shared" si="8"/>
        <v>0</v>
      </c>
      <c r="H52" s="15">
        <f t="shared" si="8"/>
        <v>1</v>
      </c>
      <c r="I52" s="322">
        <f t="shared" si="8"/>
        <v>0</v>
      </c>
      <c r="J52" s="323"/>
      <c r="K52" s="15">
        <f t="shared" ref="K52:Z52" si="9">K49+K48+K47+K46</f>
        <v>0</v>
      </c>
      <c r="L52" s="15">
        <f t="shared" si="9"/>
        <v>1</v>
      </c>
      <c r="M52" s="15">
        <f t="shared" si="9"/>
        <v>0</v>
      </c>
      <c r="N52" s="15">
        <f t="shared" si="9"/>
        <v>1</v>
      </c>
      <c r="O52" s="15">
        <f t="shared" si="9"/>
        <v>0</v>
      </c>
      <c r="P52" s="15">
        <f t="shared" si="9"/>
        <v>0</v>
      </c>
      <c r="Q52" s="15">
        <f t="shared" si="9"/>
        <v>0</v>
      </c>
      <c r="R52" s="15">
        <f t="shared" si="9"/>
        <v>0</v>
      </c>
      <c r="S52" s="15">
        <f t="shared" si="9"/>
        <v>0</v>
      </c>
      <c r="T52" s="15">
        <f t="shared" si="9"/>
        <v>1</v>
      </c>
      <c r="U52" s="15">
        <f t="shared" si="9"/>
        <v>0</v>
      </c>
      <c r="V52" s="15">
        <f t="shared" si="9"/>
        <v>0</v>
      </c>
      <c r="W52" s="15">
        <f t="shared" si="9"/>
        <v>1</v>
      </c>
      <c r="X52" s="15">
        <f t="shared" si="9"/>
        <v>1</v>
      </c>
      <c r="Y52" s="15">
        <f t="shared" si="9"/>
        <v>1</v>
      </c>
      <c r="Z52" s="15">
        <f t="shared" si="9"/>
        <v>1</v>
      </c>
    </row>
    <row r="53" spans="1:34" ht="42.75" customHeight="1" thickTop="1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</row>
    <row r="54" spans="1:34" s="97" customFormat="1" ht="23.25">
      <c r="A54" s="87"/>
      <c r="B54" s="87"/>
      <c r="C54" s="87"/>
      <c r="D54" s="87"/>
      <c r="E54" s="87"/>
      <c r="I54" s="87"/>
      <c r="J54" s="87"/>
      <c r="K54" s="87"/>
      <c r="L54" s="87"/>
      <c r="M54" s="340" t="s">
        <v>401</v>
      </c>
      <c r="N54" s="340"/>
      <c r="O54" s="340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</row>
    <row r="55" spans="1:34" s="97" customFormat="1" ht="23.25">
      <c r="A55" s="87"/>
      <c r="B55" s="87"/>
      <c r="C55" s="87"/>
      <c r="D55" s="87"/>
      <c r="E55" s="87"/>
      <c r="G55" s="87"/>
      <c r="H55" s="87"/>
      <c r="I55" s="87"/>
      <c r="J55" s="87"/>
      <c r="K55" s="87"/>
      <c r="L55" s="87"/>
      <c r="M55" s="87" t="s">
        <v>189</v>
      </c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</row>
    <row r="56" spans="1:34" s="97" customFormat="1" ht="23.25">
      <c r="A56" s="87"/>
      <c r="B56" s="87"/>
      <c r="C56" s="87"/>
      <c r="D56" s="87"/>
      <c r="E56" s="87"/>
      <c r="G56" s="87"/>
      <c r="H56" s="87"/>
      <c r="I56" s="87"/>
      <c r="J56" s="87"/>
      <c r="K56" s="87"/>
      <c r="L56" s="87"/>
      <c r="M56" s="87" t="s">
        <v>482</v>
      </c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</row>
    <row r="57" spans="1:34" ht="42.75" customHeight="1" thickBot="1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</row>
    <row r="58" spans="1:34" ht="42.75" customHeight="1" thickTop="1" thickBot="1">
      <c r="A58" s="87"/>
      <c r="B58" s="338" t="s">
        <v>113</v>
      </c>
      <c r="C58" s="322" t="s">
        <v>393</v>
      </c>
      <c r="D58" s="327"/>
      <c r="E58" s="327"/>
      <c r="F58" s="327"/>
      <c r="G58" s="327"/>
      <c r="H58" s="327"/>
      <c r="I58" s="327"/>
      <c r="J58" s="323"/>
      <c r="K58" s="322" t="s">
        <v>395</v>
      </c>
      <c r="L58" s="327"/>
      <c r="M58" s="327"/>
      <c r="N58" s="327"/>
      <c r="O58" s="327"/>
      <c r="P58" s="327"/>
      <c r="Q58" s="327"/>
      <c r="R58" s="327"/>
      <c r="S58" s="327"/>
      <c r="T58" s="327"/>
      <c r="U58" s="327"/>
      <c r="V58" s="323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</row>
    <row r="59" spans="1:34" ht="42.75" customHeight="1" thickTop="1" thickBot="1">
      <c r="A59" s="87"/>
      <c r="B59" s="339"/>
      <c r="C59" s="322" t="s">
        <v>100</v>
      </c>
      <c r="D59" s="323"/>
      <c r="E59" s="322" t="s">
        <v>101</v>
      </c>
      <c r="F59" s="323"/>
      <c r="G59" s="322" t="s">
        <v>394</v>
      </c>
      <c r="H59" s="323"/>
      <c r="I59" s="322" t="s">
        <v>25</v>
      </c>
      <c r="J59" s="323"/>
      <c r="K59" s="322" t="s">
        <v>396</v>
      </c>
      <c r="L59" s="323"/>
      <c r="M59" s="322" t="s">
        <v>397</v>
      </c>
      <c r="N59" s="323"/>
      <c r="O59" s="322" t="s">
        <v>398</v>
      </c>
      <c r="P59" s="323"/>
      <c r="Q59" s="322" t="s">
        <v>399</v>
      </c>
      <c r="R59" s="323"/>
      <c r="S59" s="322" t="s">
        <v>400</v>
      </c>
      <c r="T59" s="323"/>
      <c r="U59" s="322" t="s">
        <v>25</v>
      </c>
      <c r="V59" s="323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</row>
    <row r="60" spans="1:34" ht="42.75" customHeight="1" thickTop="1" thickBot="1">
      <c r="A60" s="87"/>
      <c r="B60" s="15" t="s">
        <v>121</v>
      </c>
      <c r="C60" s="322">
        <f>المهني!PB9</f>
        <v>0</v>
      </c>
      <c r="D60" s="323"/>
      <c r="E60" s="322">
        <f>المهني!PC9</f>
        <v>1</v>
      </c>
      <c r="F60" s="323"/>
      <c r="G60" s="322">
        <f>المهني!PD9</f>
        <v>0</v>
      </c>
      <c r="H60" s="323"/>
      <c r="I60" s="322">
        <f>G60+E60+C60</f>
        <v>1</v>
      </c>
      <c r="J60" s="323"/>
      <c r="K60" s="322">
        <f>المهني!PE9</f>
        <v>0</v>
      </c>
      <c r="L60" s="323"/>
      <c r="M60" s="322">
        <f>المهني!PF9</f>
        <v>0</v>
      </c>
      <c r="N60" s="323"/>
      <c r="O60" s="322">
        <f>المهني!PG9</f>
        <v>0</v>
      </c>
      <c r="P60" s="323"/>
      <c r="Q60" s="322">
        <f>المهني!PH9</f>
        <v>0</v>
      </c>
      <c r="R60" s="323"/>
      <c r="S60" s="322">
        <f>المهني!PI9</f>
        <v>1</v>
      </c>
      <c r="T60" s="323"/>
      <c r="U60" s="322">
        <f>S60+Q60+O60+M60+K60</f>
        <v>1</v>
      </c>
      <c r="V60" s="323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</row>
    <row r="61" spans="1:34" ht="42.75" customHeight="1" thickTop="1" thickBot="1">
      <c r="A61" s="87"/>
      <c r="B61" s="15" t="s">
        <v>122</v>
      </c>
      <c r="C61" s="322"/>
      <c r="D61" s="323"/>
      <c r="E61" s="322"/>
      <c r="F61" s="323"/>
      <c r="G61" s="322"/>
      <c r="H61" s="323"/>
      <c r="I61" s="322">
        <f>H61+F61+D61</f>
        <v>0</v>
      </c>
      <c r="J61" s="323"/>
      <c r="K61" s="322"/>
      <c r="L61" s="323"/>
      <c r="M61" s="322"/>
      <c r="N61" s="323"/>
      <c r="O61" s="322"/>
      <c r="P61" s="323"/>
      <c r="Q61" s="322"/>
      <c r="R61" s="323"/>
      <c r="S61" s="322"/>
      <c r="T61" s="323"/>
      <c r="U61" s="322">
        <f>T61+Q61+O61+M61+K61</f>
        <v>0</v>
      </c>
      <c r="V61" s="323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</row>
    <row r="62" spans="1:34" ht="42.75" customHeight="1" thickTop="1" thickBot="1">
      <c r="A62" s="87"/>
      <c r="B62" s="15" t="s">
        <v>123</v>
      </c>
      <c r="C62" s="322"/>
      <c r="D62" s="323"/>
      <c r="E62" s="322"/>
      <c r="F62" s="323"/>
      <c r="G62" s="322"/>
      <c r="H62" s="323"/>
      <c r="I62" s="322">
        <f>H62+F62+D62</f>
        <v>0</v>
      </c>
      <c r="J62" s="323"/>
      <c r="K62" s="322"/>
      <c r="L62" s="323"/>
      <c r="M62" s="322"/>
      <c r="N62" s="323"/>
      <c r="O62" s="322"/>
      <c r="P62" s="323"/>
      <c r="Q62" s="322"/>
      <c r="R62" s="323"/>
      <c r="S62" s="322"/>
      <c r="T62" s="323"/>
      <c r="U62" s="322">
        <f>T62+Q62+O62+M62+K62</f>
        <v>0</v>
      </c>
      <c r="V62" s="323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</row>
    <row r="63" spans="1:34" ht="42.75" customHeight="1" thickTop="1" thickBot="1">
      <c r="A63" s="87"/>
      <c r="B63" s="15" t="s">
        <v>211</v>
      </c>
      <c r="C63" s="322"/>
      <c r="D63" s="323"/>
      <c r="E63" s="322"/>
      <c r="F63" s="323"/>
      <c r="G63" s="322"/>
      <c r="H63" s="323"/>
      <c r="I63" s="322">
        <f>H63+F63+D63</f>
        <v>0</v>
      </c>
      <c r="J63" s="323"/>
      <c r="K63" s="322"/>
      <c r="L63" s="323"/>
      <c r="M63" s="322"/>
      <c r="N63" s="323"/>
      <c r="O63" s="322"/>
      <c r="P63" s="323"/>
      <c r="Q63" s="322"/>
      <c r="R63" s="323"/>
      <c r="S63" s="322"/>
      <c r="T63" s="323"/>
      <c r="U63" s="322">
        <f>T63+Q63+O63+M63+K63</f>
        <v>0</v>
      </c>
      <c r="V63" s="323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</row>
    <row r="64" spans="1:34" ht="42.75" customHeight="1" thickTop="1" thickBot="1">
      <c r="A64" s="135"/>
      <c r="B64" s="15" t="s">
        <v>459</v>
      </c>
      <c r="C64" s="132"/>
      <c r="D64" s="133"/>
      <c r="E64" s="132"/>
      <c r="F64" s="133"/>
      <c r="G64" s="132"/>
      <c r="H64" s="133"/>
      <c r="I64" s="132"/>
      <c r="J64" s="133"/>
      <c r="K64" s="132"/>
      <c r="L64" s="133"/>
      <c r="M64" s="132"/>
      <c r="N64" s="133"/>
      <c r="O64" s="132"/>
      <c r="P64" s="133"/>
      <c r="Q64" s="132"/>
      <c r="R64" s="133"/>
      <c r="S64" s="132"/>
      <c r="T64" s="133"/>
      <c r="U64" s="132"/>
      <c r="V64" s="133"/>
      <c r="W64" s="135"/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35"/>
    </row>
    <row r="65" spans="1:34" ht="42.75" customHeight="1" thickTop="1" thickBot="1">
      <c r="A65" s="87"/>
      <c r="B65" s="55" t="s">
        <v>387</v>
      </c>
      <c r="C65" s="322"/>
      <c r="D65" s="323"/>
      <c r="E65" s="322"/>
      <c r="F65" s="323"/>
      <c r="G65" s="322"/>
      <c r="H65" s="323"/>
      <c r="I65" s="322">
        <f>H65+F65+D65</f>
        <v>0</v>
      </c>
      <c r="J65" s="323"/>
      <c r="K65" s="322"/>
      <c r="L65" s="323"/>
      <c r="M65" s="322"/>
      <c r="N65" s="323"/>
      <c r="O65" s="322"/>
      <c r="P65" s="323"/>
      <c r="Q65" s="322"/>
      <c r="R65" s="323"/>
      <c r="S65" s="322"/>
      <c r="T65" s="323"/>
      <c r="U65" s="322">
        <f>T65+Q65+O65+M65+K65</f>
        <v>0</v>
      </c>
      <c r="V65" s="323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</row>
    <row r="66" spans="1:34" ht="42.75" customHeight="1" thickTop="1" thickBot="1">
      <c r="A66" s="87"/>
      <c r="B66" s="15" t="s">
        <v>25</v>
      </c>
      <c r="C66" s="322">
        <f>SUM(D60:D65)</f>
        <v>0</v>
      </c>
      <c r="D66" s="323"/>
      <c r="E66" s="322">
        <f>SUM(F60:F65)</f>
        <v>0</v>
      </c>
      <c r="F66" s="323"/>
      <c r="G66" s="322">
        <f>SUM(H60:H65)</f>
        <v>0</v>
      </c>
      <c r="H66" s="323"/>
      <c r="I66" s="322">
        <f>G66+E66+C66</f>
        <v>0</v>
      </c>
      <c r="J66" s="323"/>
      <c r="K66" s="322">
        <f>SUM(K60:K65)</f>
        <v>0</v>
      </c>
      <c r="L66" s="323"/>
      <c r="M66" s="322">
        <f>SUM(M60:M65)</f>
        <v>0</v>
      </c>
      <c r="N66" s="323"/>
      <c r="O66" s="322">
        <f>SUM(O60:O65)</f>
        <v>0</v>
      </c>
      <c r="P66" s="323"/>
      <c r="Q66" s="322">
        <f>SUM(Q60:Q65)</f>
        <v>0</v>
      </c>
      <c r="R66" s="323"/>
      <c r="S66" s="322">
        <f>SUM(T60:T65)</f>
        <v>0</v>
      </c>
      <c r="T66" s="323"/>
      <c r="U66" s="322">
        <f>S66+Q66+O66+M66+K66</f>
        <v>0</v>
      </c>
      <c r="V66" s="323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</row>
    <row r="67" spans="1:34" ht="42.75" customHeight="1" thickTop="1"/>
    <row r="68" spans="1:34" s="97" customFormat="1" ht="23.25">
      <c r="A68" s="328" t="s">
        <v>146</v>
      </c>
      <c r="B68" s="328"/>
      <c r="C68" s="328"/>
      <c r="D68" s="328"/>
      <c r="E68" s="328"/>
      <c r="F68" s="86"/>
      <c r="G68" s="86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328" t="s">
        <v>110</v>
      </c>
      <c r="V68" s="328"/>
      <c r="W68" s="328"/>
      <c r="X68" s="87"/>
      <c r="Y68" s="87"/>
      <c r="Z68" s="87"/>
    </row>
    <row r="69" spans="1:34" s="97" customFormat="1" ht="23.25">
      <c r="A69" s="340" t="s">
        <v>185</v>
      </c>
      <c r="B69" s="340"/>
      <c r="C69" s="340"/>
      <c r="D69" s="340"/>
      <c r="E69" s="340"/>
      <c r="F69" s="86"/>
      <c r="G69" s="87"/>
      <c r="H69" s="87"/>
      <c r="I69" s="87"/>
      <c r="J69" s="340" t="s">
        <v>183</v>
      </c>
      <c r="K69" s="340"/>
      <c r="L69" s="340"/>
      <c r="M69" s="340"/>
      <c r="N69" s="340"/>
      <c r="O69" s="87"/>
      <c r="P69" s="87"/>
      <c r="Q69" s="86"/>
      <c r="R69" s="86"/>
      <c r="S69" s="87"/>
      <c r="T69" s="87"/>
      <c r="U69" s="87"/>
      <c r="V69" s="87"/>
      <c r="W69" s="87"/>
      <c r="X69" s="87"/>
      <c r="Y69" s="87"/>
      <c r="Z69" s="87"/>
    </row>
    <row r="70" spans="1:34" s="97" customFormat="1" ht="23.25">
      <c r="A70" s="328" t="s">
        <v>156</v>
      </c>
      <c r="B70" s="328"/>
      <c r="C70" s="328"/>
      <c r="D70" s="328"/>
      <c r="E70" s="328"/>
      <c r="F70" s="328"/>
      <c r="G70" s="328"/>
      <c r="H70" s="328"/>
      <c r="I70" s="328"/>
      <c r="J70" s="328"/>
      <c r="K70" s="328"/>
      <c r="L70" s="328"/>
      <c r="M70" s="328"/>
      <c r="N70" s="328"/>
      <c r="O70" s="328"/>
      <c r="P70" s="328"/>
      <c r="Q70" s="328"/>
      <c r="R70" s="328"/>
      <c r="S70" s="328"/>
      <c r="T70" s="328"/>
      <c r="U70" s="328"/>
      <c r="V70" s="328"/>
      <c r="W70" s="328"/>
      <c r="X70" s="328"/>
      <c r="Y70" s="87"/>
      <c r="Z70" s="87"/>
    </row>
    <row r="71" spans="1:34" s="97" customFormat="1" ht="23.25">
      <c r="A71" s="328" t="s">
        <v>505</v>
      </c>
      <c r="B71" s="328"/>
      <c r="C71" s="328"/>
      <c r="D71" s="328"/>
      <c r="E71" s="328"/>
      <c r="F71" s="328"/>
      <c r="G71" s="328"/>
      <c r="H71" s="328"/>
      <c r="I71" s="328"/>
      <c r="J71" s="328"/>
      <c r="K71" s="328"/>
      <c r="L71" s="328"/>
      <c r="M71" s="328"/>
      <c r="N71" s="328"/>
      <c r="O71" s="328"/>
      <c r="P71" s="328"/>
      <c r="Q71" s="328"/>
      <c r="R71" s="328"/>
      <c r="S71" s="328"/>
      <c r="T71" s="328"/>
      <c r="U71" s="328"/>
      <c r="V71" s="328"/>
      <c r="W71" s="328"/>
      <c r="X71" s="328"/>
      <c r="Y71" s="87"/>
      <c r="Z71" s="87"/>
    </row>
    <row r="72" spans="1:34" s="97" customFormat="1" ht="23.25">
      <c r="A72" s="328" t="s">
        <v>157</v>
      </c>
      <c r="B72" s="328"/>
      <c r="C72" s="328"/>
      <c r="D72" s="328"/>
      <c r="E72" s="328"/>
      <c r="F72" s="328"/>
      <c r="G72" s="328"/>
      <c r="H72" s="328"/>
      <c r="I72" s="328"/>
      <c r="J72" s="328"/>
      <c r="K72" s="328"/>
      <c r="L72" s="328"/>
      <c r="M72" s="328"/>
      <c r="N72" s="328"/>
      <c r="O72" s="328"/>
      <c r="P72" s="328"/>
      <c r="Q72" s="328"/>
      <c r="R72" s="328"/>
      <c r="S72" s="328"/>
      <c r="T72" s="328"/>
      <c r="U72" s="328"/>
      <c r="V72" s="328"/>
      <c r="W72" s="328"/>
      <c r="X72" s="328"/>
      <c r="Y72" s="87"/>
      <c r="Z72" s="87"/>
    </row>
    <row r="73" spans="1:34" ht="42.75" customHeight="1" thickBot="1">
      <c r="A73" s="9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87"/>
      <c r="T73" s="87"/>
      <c r="U73" s="87"/>
      <c r="V73" s="87"/>
      <c r="W73" s="87"/>
      <c r="X73" s="87"/>
      <c r="Y73" s="87"/>
      <c r="Z73" s="87"/>
    </row>
    <row r="74" spans="1:34" ht="42.75" customHeight="1" thickTop="1" thickBot="1">
      <c r="A74" s="440" t="s">
        <v>158</v>
      </c>
      <c r="B74" s="322" t="s">
        <v>159</v>
      </c>
      <c r="C74" s="327"/>
      <c r="D74" s="323"/>
      <c r="E74" s="322" t="s">
        <v>160</v>
      </c>
      <c r="F74" s="327"/>
      <c r="G74" s="323"/>
      <c r="H74" s="322" t="s">
        <v>161</v>
      </c>
      <c r="I74" s="327"/>
      <c r="J74" s="327"/>
      <c r="K74" s="323"/>
      <c r="L74" s="424" t="s">
        <v>162</v>
      </c>
      <c r="M74" s="425"/>
      <c r="N74" s="322" t="s">
        <v>163</v>
      </c>
      <c r="O74" s="327"/>
      <c r="P74" s="327"/>
      <c r="Q74" s="327"/>
      <c r="R74" s="327"/>
      <c r="S74" s="323"/>
      <c r="T74" s="421" t="s">
        <v>213</v>
      </c>
      <c r="U74" s="108"/>
      <c r="V74" s="109"/>
      <c r="W74" s="437" t="s">
        <v>217</v>
      </c>
      <c r="X74" s="438"/>
      <c r="Y74" s="438"/>
      <c r="Z74" s="439"/>
    </row>
    <row r="75" spans="1:34" ht="42.75" customHeight="1" thickTop="1" thickBot="1">
      <c r="A75" s="441"/>
      <c r="B75" s="322" t="s">
        <v>164</v>
      </c>
      <c r="C75" s="323"/>
      <c r="D75" s="418" t="s">
        <v>165</v>
      </c>
      <c r="E75" s="421" t="s">
        <v>38</v>
      </c>
      <c r="F75" s="418" t="s">
        <v>39</v>
      </c>
      <c r="G75" s="421" t="s">
        <v>299</v>
      </c>
      <c r="H75" s="418" t="s">
        <v>40</v>
      </c>
      <c r="I75" s="431" t="s">
        <v>45</v>
      </c>
      <c r="J75" s="432"/>
      <c r="K75" s="418" t="s">
        <v>41</v>
      </c>
      <c r="L75" s="426" t="s">
        <v>166</v>
      </c>
      <c r="M75" s="427"/>
      <c r="N75" s="418" t="s">
        <v>167</v>
      </c>
      <c r="O75" s="418" t="s">
        <v>43</v>
      </c>
      <c r="P75" s="418" t="s">
        <v>346</v>
      </c>
      <c r="Q75" s="418" t="s">
        <v>44</v>
      </c>
      <c r="R75" s="418" t="s">
        <v>347</v>
      </c>
      <c r="S75" s="418" t="s">
        <v>168</v>
      </c>
      <c r="T75" s="422"/>
      <c r="U75" s="110" t="s">
        <v>169</v>
      </c>
      <c r="V75" s="111" t="s">
        <v>169</v>
      </c>
      <c r="W75" s="428" t="s">
        <v>451</v>
      </c>
      <c r="X75" s="428" t="s">
        <v>214</v>
      </c>
      <c r="Y75" s="428" t="s">
        <v>215</v>
      </c>
      <c r="Z75" s="428" t="s">
        <v>216</v>
      </c>
    </row>
    <row r="76" spans="1:34" ht="42.75" customHeight="1" thickTop="1">
      <c r="A76" s="441"/>
      <c r="B76" s="338" t="s">
        <v>170</v>
      </c>
      <c r="C76" s="108" t="s">
        <v>171</v>
      </c>
      <c r="D76" s="419"/>
      <c r="E76" s="422"/>
      <c r="F76" s="419"/>
      <c r="G76" s="422"/>
      <c r="H76" s="419"/>
      <c r="I76" s="433"/>
      <c r="J76" s="434"/>
      <c r="K76" s="419"/>
      <c r="L76" s="338" t="s">
        <v>99</v>
      </c>
      <c r="M76" s="108" t="s">
        <v>173</v>
      </c>
      <c r="N76" s="419" t="s">
        <v>174</v>
      </c>
      <c r="O76" s="419"/>
      <c r="P76" s="419" t="s">
        <v>174</v>
      </c>
      <c r="Q76" s="419"/>
      <c r="R76" s="419"/>
      <c r="S76" s="419"/>
      <c r="T76" s="422"/>
      <c r="U76" s="110" t="s">
        <v>175</v>
      </c>
      <c r="V76" s="111" t="s">
        <v>176</v>
      </c>
      <c r="W76" s="429"/>
      <c r="X76" s="429"/>
      <c r="Y76" s="429"/>
      <c r="Z76" s="429"/>
    </row>
    <row r="77" spans="1:34" ht="42.75" customHeight="1" thickBot="1">
      <c r="A77" s="442"/>
      <c r="B77" s="339"/>
      <c r="C77" s="112" t="s">
        <v>36</v>
      </c>
      <c r="D77" s="420"/>
      <c r="E77" s="423"/>
      <c r="F77" s="420"/>
      <c r="G77" s="423"/>
      <c r="H77" s="420"/>
      <c r="I77" s="435"/>
      <c r="J77" s="436"/>
      <c r="K77" s="420"/>
      <c r="L77" s="339"/>
      <c r="M77" s="112" t="s">
        <v>99</v>
      </c>
      <c r="N77" s="420" t="s">
        <v>177</v>
      </c>
      <c r="O77" s="420"/>
      <c r="P77" s="420" t="s">
        <v>178</v>
      </c>
      <c r="Q77" s="420"/>
      <c r="R77" s="420"/>
      <c r="S77" s="420"/>
      <c r="T77" s="423"/>
      <c r="U77" s="112"/>
      <c r="V77" s="113"/>
      <c r="W77" s="430"/>
      <c r="X77" s="430"/>
      <c r="Y77" s="430"/>
      <c r="Z77" s="430"/>
    </row>
    <row r="78" spans="1:34" ht="42.75" customHeight="1" thickTop="1" thickBot="1">
      <c r="A78" s="15" t="s">
        <v>121</v>
      </c>
      <c r="B78" s="15">
        <f>المهني!RI12</f>
        <v>0</v>
      </c>
      <c r="C78" s="15">
        <f>المهني!RJ12</f>
        <v>0</v>
      </c>
      <c r="D78" s="15">
        <f>المهني!RK12</f>
        <v>0</v>
      </c>
      <c r="E78" s="15">
        <f>المهني!RF12</f>
        <v>0</v>
      </c>
      <c r="F78" s="15">
        <f>المهني!RG12</f>
        <v>0</v>
      </c>
      <c r="G78" s="15">
        <f>المهني!RH12</f>
        <v>0</v>
      </c>
      <c r="H78" s="15">
        <f>المهني!RL12</f>
        <v>0</v>
      </c>
      <c r="I78" s="322">
        <f>المهني!RM12</f>
        <v>0</v>
      </c>
      <c r="J78" s="323"/>
      <c r="K78" s="15">
        <f>المهني!RN12</f>
        <v>0</v>
      </c>
      <c r="L78" s="15">
        <f>المهني!OU12</f>
        <v>0</v>
      </c>
      <c r="M78" s="15">
        <f>المهني!OV12</f>
        <v>0</v>
      </c>
      <c r="N78" s="15">
        <f>المهني!PP12</f>
        <v>0</v>
      </c>
      <c r="O78" s="15">
        <f>المهني!PQ12</f>
        <v>0</v>
      </c>
      <c r="P78" s="15">
        <f>المهني!PR12</f>
        <v>0</v>
      </c>
      <c r="Q78" s="15">
        <f>المهني!PS12</f>
        <v>0</v>
      </c>
      <c r="R78" s="15">
        <v>0</v>
      </c>
      <c r="S78" s="15">
        <f>المهني!PU12</f>
        <v>0</v>
      </c>
      <c r="T78" s="15">
        <f>S78+Q78+P78+O78+N78</f>
        <v>0</v>
      </c>
      <c r="U78" s="15">
        <f>المهني!SA12</f>
        <v>0</v>
      </c>
      <c r="V78" s="15">
        <f>المهني!SN12</f>
        <v>0</v>
      </c>
      <c r="W78" s="15">
        <f>المهني!PV12</f>
        <v>0</v>
      </c>
      <c r="X78" s="15">
        <f>المهني!QB12</f>
        <v>0</v>
      </c>
      <c r="Y78" s="15">
        <f>المهني!QI12</f>
        <v>0</v>
      </c>
      <c r="Z78" s="15">
        <f>المهني!QM12</f>
        <v>0</v>
      </c>
    </row>
    <row r="79" spans="1:34" ht="42.75" customHeight="1" thickTop="1" thickBot="1">
      <c r="A79" s="15" t="s">
        <v>122</v>
      </c>
      <c r="B79" s="15">
        <v>0</v>
      </c>
      <c r="C79" s="15">
        <v>0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322">
        <v>0</v>
      </c>
      <c r="J79" s="323"/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f>S79+Q79+P79+O79+N79</f>
        <v>0</v>
      </c>
      <c r="U79" s="15">
        <v>0</v>
      </c>
      <c r="V79" s="15">
        <v>0</v>
      </c>
      <c r="W79" s="15"/>
      <c r="X79" s="15">
        <v>0</v>
      </c>
      <c r="Y79" s="15">
        <v>0</v>
      </c>
      <c r="Z79" s="15">
        <v>0</v>
      </c>
    </row>
    <row r="80" spans="1:34" ht="42.75" customHeight="1" thickTop="1" thickBot="1">
      <c r="A80" s="15" t="s">
        <v>123</v>
      </c>
      <c r="B80" s="15">
        <v>0</v>
      </c>
      <c r="C80" s="15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322">
        <v>0</v>
      </c>
      <c r="J80" s="323"/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f>S80+Q80+P80+O80+N80</f>
        <v>0</v>
      </c>
      <c r="U80" s="15">
        <v>0</v>
      </c>
      <c r="V80" s="15">
        <v>0</v>
      </c>
      <c r="W80" s="15"/>
      <c r="X80" s="15">
        <v>0</v>
      </c>
      <c r="Y80" s="15">
        <v>0</v>
      </c>
      <c r="Z80" s="15">
        <v>0</v>
      </c>
    </row>
    <row r="81" spans="1:35" ht="42.75" customHeight="1" thickTop="1" thickBot="1">
      <c r="A81" s="15" t="s">
        <v>211</v>
      </c>
      <c r="B81" s="15">
        <v>0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322">
        <v>0</v>
      </c>
      <c r="J81" s="323"/>
      <c r="K81" s="15">
        <v>0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f>S81+Q81+P81+O81+N81</f>
        <v>0</v>
      </c>
      <c r="U81" s="15">
        <v>0</v>
      </c>
      <c r="V81" s="15">
        <v>0</v>
      </c>
      <c r="W81" s="15"/>
      <c r="X81" s="15">
        <v>0</v>
      </c>
      <c r="Y81" s="15">
        <v>0</v>
      </c>
      <c r="Z81" s="15">
        <v>0</v>
      </c>
    </row>
    <row r="82" spans="1:35" ht="42.75" customHeight="1" thickTop="1" thickBot="1">
      <c r="A82" s="15" t="s">
        <v>459</v>
      </c>
      <c r="B82" s="15"/>
      <c r="C82" s="15"/>
      <c r="D82" s="15"/>
      <c r="E82" s="15"/>
      <c r="F82" s="15"/>
      <c r="G82" s="15"/>
      <c r="H82" s="15"/>
      <c r="I82" s="132"/>
      <c r="J82" s="133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spans="1:35" ht="42.75" customHeight="1" thickTop="1" thickBot="1">
      <c r="A83" s="55" t="s">
        <v>387</v>
      </c>
      <c r="B83" s="15">
        <v>0</v>
      </c>
      <c r="C83" s="15">
        <v>0</v>
      </c>
      <c r="D83" s="15">
        <v>0</v>
      </c>
      <c r="E83" s="15">
        <v>0</v>
      </c>
      <c r="F83" s="15">
        <v>0</v>
      </c>
      <c r="G83" s="15">
        <v>0</v>
      </c>
      <c r="H83" s="15">
        <v>0</v>
      </c>
      <c r="I83" s="322">
        <v>0</v>
      </c>
      <c r="J83" s="323"/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f>S83+Q83+P83+O83+N83</f>
        <v>0</v>
      </c>
      <c r="U83" s="15">
        <v>0</v>
      </c>
      <c r="V83" s="15">
        <v>0</v>
      </c>
      <c r="W83" s="15"/>
      <c r="X83" s="15">
        <v>0</v>
      </c>
      <c r="Y83" s="15">
        <v>0</v>
      </c>
      <c r="Z83" s="15">
        <v>0</v>
      </c>
    </row>
    <row r="84" spans="1:35" ht="42.75" customHeight="1" thickTop="1" thickBot="1">
      <c r="A84" s="15" t="s">
        <v>25</v>
      </c>
      <c r="B84" s="15">
        <f t="shared" ref="B84:I84" si="10">B81+B80+B79+B78</f>
        <v>0</v>
      </c>
      <c r="C84" s="15">
        <f t="shared" si="10"/>
        <v>0</v>
      </c>
      <c r="D84" s="15">
        <f t="shared" si="10"/>
        <v>0</v>
      </c>
      <c r="E84" s="15">
        <f t="shared" si="10"/>
        <v>0</v>
      </c>
      <c r="F84" s="15">
        <f t="shared" si="10"/>
        <v>0</v>
      </c>
      <c r="G84" s="15">
        <f t="shared" si="10"/>
        <v>0</v>
      </c>
      <c r="H84" s="15">
        <f t="shared" si="10"/>
        <v>0</v>
      </c>
      <c r="I84" s="322">
        <f t="shared" si="10"/>
        <v>0</v>
      </c>
      <c r="J84" s="323"/>
      <c r="K84" s="15">
        <f t="shared" ref="K84:Z84" si="11">K81+K80+K79+K78</f>
        <v>0</v>
      </c>
      <c r="L84" s="15">
        <f t="shared" si="11"/>
        <v>0</v>
      </c>
      <c r="M84" s="15">
        <f t="shared" si="11"/>
        <v>0</v>
      </c>
      <c r="N84" s="15">
        <f t="shared" si="11"/>
        <v>0</v>
      </c>
      <c r="O84" s="15">
        <f t="shared" si="11"/>
        <v>0</v>
      </c>
      <c r="P84" s="15">
        <f t="shared" si="11"/>
        <v>0</v>
      </c>
      <c r="Q84" s="15">
        <f t="shared" si="11"/>
        <v>0</v>
      </c>
      <c r="R84" s="15">
        <f t="shared" si="11"/>
        <v>0</v>
      </c>
      <c r="S84" s="15">
        <f t="shared" si="11"/>
        <v>0</v>
      </c>
      <c r="T84" s="15">
        <f t="shared" si="11"/>
        <v>0</v>
      </c>
      <c r="U84" s="15">
        <f t="shared" si="11"/>
        <v>0</v>
      </c>
      <c r="V84" s="15">
        <f t="shared" si="11"/>
        <v>0</v>
      </c>
      <c r="W84" s="15">
        <f t="shared" si="11"/>
        <v>0</v>
      </c>
      <c r="X84" s="15">
        <f t="shared" si="11"/>
        <v>0</v>
      </c>
      <c r="Y84" s="15">
        <f t="shared" si="11"/>
        <v>0</v>
      </c>
      <c r="Z84" s="15">
        <f t="shared" si="11"/>
        <v>0</v>
      </c>
    </row>
    <row r="85" spans="1:35" ht="42.75" customHeight="1" thickTop="1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</row>
    <row r="86" spans="1:35" s="97" customFormat="1" ht="23.25">
      <c r="A86" s="87"/>
      <c r="B86" s="87"/>
      <c r="C86" s="87"/>
      <c r="G86" s="87"/>
      <c r="H86" s="87"/>
      <c r="I86" s="340" t="s">
        <v>401</v>
      </c>
      <c r="J86" s="340"/>
      <c r="K86" s="340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</row>
    <row r="87" spans="1:35" s="97" customFormat="1" ht="23.25">
      <c r="A87" s="87"/>
      <c r="B87" s="87"/>
      <c r="C87" s="87"/>
      <c r="E87" s="87"/>
      <c r="F87" s="87"/>
      <c r="G87" s="87"/>
      <c r="H87" s="87"/>
      <c r="I87" s="87"/>
      <c r="J87" s="87" t="s">
        <v>183</v>
      </c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</row>
    <row r="88" spans="1:35" s="97" customFormat="1" ht="23.25">
      <c r="A88" s="87"/>
      <c r="B88" s="87"/>
      <c r="C88" s="87"/>
      <c r="E88" s="87"/>
      <c r="F88" s="87"/>
      <c r="G88" s="87"/>
      <c r="H88" s="87"/>
      <c r="I88" s="87"/>
      <c r="J88" s="87" t="s">
        <v>482</v>
      </c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</row>
    <row r="89" spans="1:35" ht="42.75" customHeight="1" thickBot="1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</row>
    <row r="90" spans="1:35" ht="42.75" customHeight="1" thickTop="1" thickBot="1">
      <c r="B90" s="338" t="s">
        <v>113</v>
      </c>
      <c r="C90" s="322" t="s">
        <v>393</v>
      </c>
      <c r="D90" s="327"/>
      <c r="E90" s="327"/>
      <c r="F90" s="327"/>
      <c r="G90" s="327"/>
      <c r="H90" s="327"/>
      <c r="I90" s="327"/>
      <c r="J90" s="323"/>
      <c r="K90" s="322" t="s">
        <v>395</v>
      </c>
      <c r="L90" s="327"/>
      <c r="M90" s="327"/>
      <c r="N90" s="327"/>
      <c r="O90" s="327"/>
      <c r="P90" s="327"/>
      <c r="Q90" s="327"/>
      <c r="R90" s="327"/>
      <c r="S90" s="327"/>
      <c r="T90" s="327"/>
      <c r="U90" s="327"/>
      <c r="V90" s="323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</row>
    <row r="91" spans="1:35" ht="42.75" customHeight="1" thickTop="1" thickBot="1">
      <c r="B91" s="339"/>
      <c r="C91" s="322" t="s">
        <v>100</v>
      </c>
      <c r="D91" s="323"/>
      <c r="E91" s="322" t="s">
        <v>101</v>
      </c>
      <c r="F91" s="323"/>
      <c r="G91" s="322" t="s">
        <v>394</v>
      </c>
      <c r="H91" s="323"/>
      <c r="I91" s="322" t="s">
        <v>25</v>
      </c>
      <c r="J91" s="323"/>
      <c r="K91" s="322" t="s">
        <v>396</v>
      </c>
      <c r="L91" s="323"/>
      <c r="M91" s="322" t="s">
        <v>397</v>
      </c>
      <c r="N91" s="323"/>
      <c r="O91" s="322" t="s">
        <v>398</v>
      </c>
      <c r="P91" s="323"/>
      <c r="Q91" s="322" t="s">
        <v>399</v>
      </c>
      <c r="R91" s="323"/>
      <c r="S91" s="322" t="s">
        <v>400</v>
      </c>
      <c r="T91" s="323"/>
      <c r="U91" s="322" t="s">
        <v>25</v>
      </c>
      <c r="V91" s="323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</row>
    <row r="92" spans="1:35" ht="42.75" customHeight="1" thickTop="1" thickBot="1">
      <c r="B92" s="15" t="s">
        <v>121</v>
      </c>
      <c r="C92" s="322">
        <f>المهني!PB12</f>
        <v>0</v>
      </c>
      <c r="D92" s="323"/>
      <c r="E92" s="322">
        <f>المهني!PC12</f>
        <v>0</v>
      </c>
      <c r="F92" s="323"/>
      <c r="G92" s="322">
        <f>المهني!PD12</f>
        <v>0</v>
      </c>
      <c r="H92" s="323"/>
      <c r="I92" s="322">
        <f>G92+E92+C92</f>
        <v>0</v>
      </c>
      <c r="J92" s="323"/>
      <c r="K92" s="322">
        <f>المهني!PE12</f>
        <v>0</v>
      </c>
      <c r="L92" s="323"/>
      <c r="M92" s="322">
        <f>المهني!PF12</f>
        <v>0</v>
      </c>
      <c r="N92" s="323"/>
      <c r="O92" s="322">
        <f>المهني!PG12</f>
        <v>0</v>
      </c>
      <c r="P92" s="323"/>
      <c r="Q92" s="322">
        <f>المهني!PH12</f>
        <v>0</v>
      </c>
      <c r="R92" s="323"/>
      <c r="S92" s="322">
        <f>المهني!PI12</f>
        <v>0</v>
      </c>
      <c r="T92" s="323"/>
      <c r="U92" s="322">
        <f>S92+Q92+O92+M92+K92</f>
        <v>0</v>
      </c>
      <c r="V92" s="323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</row>
    <row r="93" spans="1:35" ht="42.75" customHeight="1" thickTop="1" thickBot="1">
      <c r="B93" s="15" t="s">
        <v>122</v>
      </c>
      <c r="C93" s="322"/>
      <c r="D93" s="323"/>
      <c r="E93" s="322"/>
      <c r="F93" s="323"/>
      <c r="G93" s="322"/>
      <c r="H93" s="323"/>
      <c r="I93" s="322">
        <f>H93+E93+C93</f>
        <v>0</v>
      </c>
      <c r="J93" s="323"/>
      <c r="K93" s="322"/>
      <c r="L93" s="323"/>
      <c r="M93" s="322"/>
      <c r="N93" s="323"/>
      <c r="O93" s="322"/>
      <c r="P93" s="323"/>
      <c r="Q93" s="322"/>
      <c r="R93" s="323"/>
      <c r="S93" s="322"/>
      <c r="T93" s="323"/>
      <c r="U93" s="322">
        <f>T93+Q93+O93+M93+K93</f>
        <v>0</v>
      </c>
      <c r="V93" s="323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</row>
    <row r="94" spans="1:35" ht="42.75" customHeight="1" thickTop="1" thickBot="1">
      <c r="B94" s="15" t="s">
        <v>123</v>
      </c>
      <c r="C94" s="322"/>
      <c r="D94" s="323"/>
      <c r="E94" s="322"/>
      <c r="F94" s="323"/>
      <c r="G94" s="322"/>
      <c r="H94" s="323"/>
      <c r="I94" s="322">
        <f>H94+E94+C94</f>
        <v>0</v>
      </c>
      <c r="J94" s="323"/>
      <c r="K94" s="322"/>
      <c r="L94" s="323"/>
      <c r="M94" s="322"/>
      <c r="N94" s="323"/>
      <c r="O94" s="322"/>
      <c r="P94" s="323"/>
      <c r="Q94" s="322"/>
      <c r="R94" s="323"/>
      <c r="S94" s="322"/>
      <c r="T94" s="323"/>
      <c r="U94" s="322">
        <f>T94+Q94+O94+M94+K94</f>
        <v>0</v>
      </c>
      <c r="V94" s="323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</row>
    <row r="95" spans="1:35" ht="42.75" customHeight="1" thickTop="1" thickBot="1">
      <c r="B95" s="15" t="s">
        <v>211</v>
      </c>
      <c r="C95" s="322"/>
      <c r="D95" s="323"/>
      <c r="E95" s="322"/>
      <c r="F95" s="323"/>
      <c r="G95" s="322"/>
      <c r="H95" s="323"/>
      <c r="I95" s="322">
        <f>H95+E95+C95</f>
        <v>0</v>
      </c>
      <c r="J95" s="323"/>
      <c r="K95" s="322"/>
      <c r="L95" s="323"/>
      <c r="M95" s="322"/>
      <c r="N95" s="323"/>
      <c r="O95" s="322"/>
      <c r="P95" s="323"/>
      <c r="Q95" s="322"/>
      <c r="R95" s="323"/>
      <c r="S95" s="322"/>
      <c r="T95" s="323"/>
      <c r="U95" s="322">
        <f>T95+Q95+O95+M95+K95</f>
        <v>0</v>
      </c>
      <c r="V95" s="323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</row>
    <row r="96" spans="1:35" ht="42.75" customHeight="1" thickTop="1" thickBot="1">
      <c r="B96" s="15" t="s">
        <v>459</v>
      </c>
      <c r="C96" s="132"/>
      <c r="D96" s="133"/>
      <c r="E96" s="132"/>
      <c r="F96" s="133"/>
      <c r="G96" s="132"/>
      <c r="H96" s="133"/>
      <c r="I96" s="132"/>
      <c r="J96" s="133"/>
      <c r="K96" s="132"/>
      <c r="L96" s="133"/>
      <c r="M96" s="132"/>
      <c r="N96" s="133"/>
      <c r="O96" s="132"/>
      <c r="P96" s="133"/>
      <c r="Q96" s="132"/>
      <c r="R96" s="133"/>
      <c r="S96" s="132"/>
      <c r="T96" s="133"/>
      <c r="U96" s="132"/>
      <c r="V96" s="133"/>
      <c r="W96" s="135"/>
      <c r="X96" s="135"/>
      <c r="Y96" s="135"/>
      <c r="Z96" s="135"/>
      <c r="AA96" s="135"/>
      <c r="AB96" s="135"/>
      <c r="AC96" s="135"/>
      <c r="AD96" s="135"/>
      <c r="AE96" s="135"/>
      <c r="AF96" s="135"/>
      <c r="AG96" s="135"/>
      <c r="AH96" s="135"/>
      <c r="AI96" s="135"/>
    </row>
    <row r="97" spans="1:35" ht="42.75" customHeight="1" thickTop="1" thickBot="1">
      <c r="B97" s="55" t="s">
        <v>387</v>
      </c>
      <c r="C97" s="322"/>
      <c r="D97" s="323"/>
      <c r="E97" s="322"/>
      <c r="F97" s="323"/>
      <c r="G97" s="322"/>
      <c r="H97" s="323"/>
      <c r="I97" s="322">
        <f>H97+E97+C97</f>
        <v>0</v>
      </c>
      <c r="J97" s="323"/>
      <c r="K97" s="322"/>
      <c r="L97" s="323"/>
      <c r="M97" s="322"/>
      <c r="N97" s="323"/>
      <c r="O97" s="322"/>
      <c r="P97" s="323"/>
      <c r="Q97" s="322"/>
      <c r="R97" s="323"/>
      <c r="S97" s="322"/>
      <c r="T97" s="323"/>
      <c r="U97" s="322">
        <f>T97+Q97+O97+M97+K97</f>
        <v>0</v>
      </c>
      <c r="V97" s="323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</row>
    <row r="98" spans="1:35" ht="42.75" customHeight="1" thickTop="1" thickBot="1">
      <c r="B98" s="15" t="s">
        <v>25</v>
      </c>
      <c r="C98" s="322">
        <f>SUM(C92:C97)</f>
        <v>0</v>
      </c>
      <c r="D98" s="323"/>
      <c r="E98" s="322">
        <f>SUM(E92:E97)</f>
        <v>0</v>
      </c>
      <c r="F98" s="323"/>
      <c r="G98" s="322">
        <f>SUM(H92:H97)</f>
        <v>0</v>
      </c>
      <c r="H98" s="323"/>
      <c r="I98" s="322">
        <f>G98+E98+C98</f>
        <v>0</v>
      </c>
      <c r="J98" s="323"/>
      <c r="K98" s="322">
        <f>SUM(K92:K97)</f>
        <v>0</v>
      </c>
      <c r="L98" s="323"/>
      <c r="M98" s="322">
        <f>SUM(M92:M97)</f>
        <v>0</v>
      </c>
      <c r="N98" s="323"/>
      <c r="O98" s="322">
        <f>SUM(O92:O97)</f>
        <v>0</v>
      </c>
      <c r="P98" s="323"/>
      <c r="Q98" s="322">
        <f>SUM(Q92:Q97)</f>
        <v>0</v>
      </c>
      <c r="R98" s="323"/>
      <c r="S98" s="322">
        <f>SUM(T92:T97)</f>
        <v>0</v>
      </c>
      <c r="T98" s="323"/>
      <c r="U98" s="322">
        <f>S98+Q98+O98+M98+K98</f>
        <v>0</v>
      </c>
      <c r="V98" s="323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87"/>
    </row>
    <row r="99" spans="1:35" ht="42.75" customHeight="1" thickTop="1"/>
    <row r="100" spans="1:35" s="97" customFormat="1" ht="23.25">
      <c r="A100" s="328" t="s">
        <v>146</v>
      </c>
      <c r="B100" s="328"/>
      <c r="C100" s="328"/>
      <c r="D100" s="328"/>
      <c r="E100" s="328"/>
      <c r="F100" s="86"/>
      <c r="G100" s="86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328" t="s">
        <v>110</v>
      </c>
      <c r="V100" s="328"/>
      <c r="W100" s="328"/>
      <c r="X100" s="87"/>
      <c r="Y100" s="87"/>
      <c r="Z100" s="87"/>
    </row>
    <row r="101" spans="1:35" s="97" customFormat="1" ht="23.25">
      <c r="A101" s="340" t="s">
        <v>185</v>
      </c>
      <c r="B101" s="340"/>
      <c r="C101" s="340"/>
      <c r="D101" s="340"/>
      <c r="E101" s="340"/>
      <c r="F101" s="86"/>
      <c r="G101" s="87"/>
      <c r="H101" s="87"/>
      <c r="I101" s="340" t="s">
        <v>184</v>
      </c>
      <c r="J101" s="340"/>
      <c r="K101" s="340"/>
      <c r="L101" s="340"/>
      <c r="M101" s="340"/>
      <c r="N101" s="340"/>
      <c r="O101" s="87"/>
      <c r="P101" s="87"/>
      <c r="Q101" s="86"/>
      <c r="R101" s="86"/>
      <c r="S101" s="87"/>
      <c r="T101" s="87"/>
      <c r="U101" s="87"/>
      <c r="V101" s="87"/>
      <c r="W101" s="87"/>
      <c r="X101" s="87"/>
      <c r="Y101" s="87"/>
      <c r="Z101" s="87"/>
    </row>
    <row r="102" spans="1:35" s="97" customFormat="1" ht="23.25">
      <c r="A102" s="328" t="s">
        <v>156</v>
      </c>
      <c r="B102" s="328"/>
      <c r="C102" s="328"/>
      <c r="D102" s="328"/>
      <c r="E102" s="328"/>
      <c r="F102" s="328"/>
      <c r="G102" s="328"/>
      <c r="H102" s="328"/>
      <c r="I102" s="328"/>
      <c r="J102" s="328"/>
      <c r="K102" s="328"/>
      <c r="L102" s="328"/>
      <c r="M102" s="328"/>
      <c r="N102" s="328"/>
      <c r="O102" s="328"/>
      <c r="P102" s="328"/>
      <c r="Q102" s="328"/>
      <c r="R102" s="328"/>
      <c r="S102" s="328"/>
      <c r="T102" s="328"/>
      <c r="U102" s="328"/>
      <c r="V102" s="328"/>
      <c r="W102" s="328"/>
      <c r="X102" s="328"/>
      <c r="Y102" s="87"/>
      <c r="Z102" s="87"/>
    </row>
    <row r="103" spans="1:35" s="97" customFormat="1" ht="23.25">
      <c r="A103" s="328" t="s">
        <v>506</v>
      </c>
      <c r="B103" s="328"/>
      <c r="C103" s="328"/>
      <c r="D103" s="328"/>
      <c r="E103" s="328"/>
      <c r="F103" s="328"/>
      <c r="G103" s="328"/>
      <c r="H103" s="328"/>
      <c r="I103" s="328"/>
      <c r="J103" s="328"/>
      <c r="K103" s="328"/>
      <c r="L103" s="328"/>
      <c r="M103" s="328"/>
      <c r="N103" s="328"/>
      <c r="O103" s="328"/>
      <c r="P103" s="328"/>
      <c r="Q103" s="328"/>
      <c r="R103" s="328"/>
      <c r="S103" s="328"/>
      <c r="T103" s="328"/>
      <c r="U103" s="328"/>
      <c r="V103" s="328"/>
      <c r="W103" s="328"/>
      <c r="X103" s="328"/>
      <c r="Y103" s="23"/>
      <c r="Z103" s="23"/>
    </row>
    <row r="104" spans="1:35" s="97" customFormat="1" ht="23.25">
      <c r="A104" s="328" t="s">
        <v>157</v>
      </c>
      <c r="B104" s="328"/>
      <c r="C104" s="328"/>
      <c r="D104" s="328"/>
      <c r="E104" s="328"/>
      <c r="F104" s="328"/>
      <c r="G104" s="328"/>
      <c r="H104" s="328"/>
      <c r="I104" s="328"/>
      <c r="J104" s="328"/>
      <c r="K104" s="328"/>
      <c r="L104" s="328"/>
      <c r="M104" s="328"/>
      <c r="N104" s="328"/>
      <c r="O104" s="328"/>
      <c r="P104" s="328"/>
      <c r="Q104" s="328"/>
      <c r="R104" s="328"/>
      <c r="S104" s="328"/>
      <c r="T104" s="328"/>
      <c r="U104" s="328"/>
      <c r="V104" s="328"/>
      <c r="W104" s="328"/>
      <c r="X104" s="328"/>
      <c r="Y104" s="23"/>
      <c r="Z104" s="23"/>
    </row>
    <row r="105" spans="1:35" ht="42.75" customHeight="1" thickBot="1">
      <c r="A105" s="9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87"/>
      <c r="T105" s="87"/>
      <c r="U105" s="87"/>
      <c r="V105" s="87"/>
      <c r="W105" s="87"/>
      <c r="X105" s="87"/>
      <c r="Y105" s="87"/>
      <c r="Z105" s="87"/>
    </row>
    <row r="106" spans="1:35" ht="42.75" customHeight="1" thickTop="1" thickBot="1">
      <c r="A106" s="440" t="s">
        <v>158</v>
      </c>
      <c r="B106" s="322" t="s">
        <v>159</v>
      </c>
      <c r="C106" s="327"/>
      <c r="D106" s="323"/>
      <c r="E106" s="322" t="s">
        <v>160</v>
      </c>
      <c r="F106" s="327"/>
      <c r="G106" s="323"/>
      <c r="H106" s="322" t="s">
        <v>161</v>
      </c>
      <c r="I106" s="327"/>
      <c r="J106" s="327"/>
      <c r="K106" s="323"/>
      <c r="L106" s="424" t="s">
        <v>162</v>
      </c>
      <c r="M106" s="425"/>
      <c r="N106" s="322" t="s">
        <v>163</v>
      </c>
      <c r="O106" s="327"/>
      <c r="P106" s="327"/>
      <c r="Q106" s="327"/>
      <c r="R106" s="327"/>
      <c r="S106" s="323"/>
      <c r="T106" s="421" t="s">
        <v>213</v>
      </c>
      <c r="U106" s="421" t="s">
        <v>300</v>
      </c>
      <c r="V106" s="421" t="s">
        <v>46</v>
      </c>
      <c r="W106" s="437" t="s">
        <v>217</v>
      </c>
      <c r="X106" s="438"/>
      <c r="Y106" s="438"/>
      <c r="Z106" s="439"/>
    </row>
    <row r="107" spans="1:35" ht="42.75" customHeight="1" thickTop="1" thickBot="1">
      <c r="A107" s="441"/>
      <c r="B107" s="322" t="s">
        <v>164</v>
      </c>
      <c r="C107" s="323"/>
      <c r="D107" s="418" t="s">
        <v>165</v>
      </c>
      <c r="E107" s="421" t="s">
        <v>38</v>
      </c>
      <c r="F107" s="418" t="s">
        <v>39</v>
      </c>
      <c r="G107" s="421" t="s">
        <v>299</v>
      </c>
      <c r="H107" s="418" t="s">
        <v>40</v>
      </c>
      <c r="I107" s="431" t="s">
        <v>45</v>
      </c>
      <c r="J107" s="432"/>
      <c r="K107" s="418" t="s">
        <v>41</v>
      </c>
      <c r="L107" s="426" t="s">
        <v>166</v>
      </c>
      <c r="M107" s="427"/>
      <c r="N107" s="418" t="s">
        <v>167</v>
      </c>
      <c r="O107" s="418" t="s">
        <v>43</v>
      </c>
      <c r="P107" s="418" t="s">
        <v>346</v>
      </c>
      <c r="Q107" s="418" t="s">
        <v>44</v>
      </c>
      <c r="R107" s="418" t="s">
        <v>347</v>
      </c>
      <c r="S107" s="418" t="s">
        <v>168</v>
      </c>
      <c r="T107" s="422"/>
      <c r="U107" s="422"/>
      <c r="V107" s="422"/>
      <c r="W107" s="428" t="s">
        <v>452</v>
      </c>
      <c r="X107" s="428" t="s">
        <v>214</v>
      </c>
      <c r="Y107" s="428" t="s">
        <v>215</v>
      </c>
      <c r="Z107" s="428" t="s">
        <v>216</v>
      </c>
    </row>
    <row r="108" spans="1:35" ht="42.75" customHeight="1" thickTop="1">
      <c r="A108" s="441"/>
      <c r="B108" s="338" t="s">
        <v>170</v>
      </c>
      <c r="C108" s="108" t="s">
        <v>171</v>
      </c>
      <c r="D108" s="419"/>
      <c r="E108" s="422"/>
      <c r="F108" s="419"/>
      <c r="G108" s="422" t="s">
        <v>172</v>
      </c>
      <c r="H108" s="419"/>
      <c r="I108" s="433"/>
      <c r="J108" s="434"/>
      <c r="K108" s="419"/>
      <c r="L108" s="338" t="s">
        <v>99</v>
      </c>
      <c r="M108" s="108" t="s">
        <v>173</v>
      </c>
      <c r="N108" s="419" t="s">
        <v>174</v>
      </c>
      <c r="O108" s="419"/>
      <c r="P108" s="419" t="s">
        <v>174</v>
      </c>
      <c r="Q108" s="419"/>
      <c r="R108" s="419"/>
      <c r="S108" s="419"/>
      <c r="T108" s="422"/>
      <c r="U108" s="422"/>
      <c r="V108" s="422"/>
      <c r="W108" s="429"/>
      <c r="X108" s="429"/>
      <c r="Y108" s="429"/>
      <c r="Z108" s="429"/>
    </row>
    <row r="109" spans="1:35" ht="42.75" customHeight="1" thickBot="1">
      <c r="A109" s="442"/>
      <c r="B109" s="339"/>
      <c r="C109" s="112" t="s">
        <v>36</v>
      </c>
      <c r="D109" s="420"/>
      <c r="E109" s="423"/>
      <c r="F109" s="420"/>
      <c r="G109" s="423"/>
      <c r="H109" s="420"/>
      <c r="I109" s="435"/>
      <c r="J109" s="436"/>
      <c r="K109" s="420"/>
      <c r="L109" s="339"/>
      <c r="M109" s="112" t="s">
        <v>99</v>
      </c>
      <c r="N109" s="420" t="s">
        <v>177</v>
      </c>
      <c r="O109" s="420"/>
      <c r="P109" s="420" t="s">
        <v>178</v>
      </c>
      <c r="Q109" s="420"/>
      <c r="R109" s="420"/>
      <c r="S109" s="420"/>
      <c r="T109" s="423"/>
      <c r="U109" s="423"/>
      <c r="V109" s="423"/>
      <c r="W109" s="430"/>
      <c r="X109" s="430"/>
      <c r="Y109" s="430"/>
      <c r="Z109" s="430"/>
    </row>
    <row r="110" spans="1:35" ht="42.75" customHeight="1" thickTop="1" thickBot="1">
      <c r="A110" s="15" t="s">
        <v>121</v>
      </c>
      <c r="B110" s="15">
        <f>المهني!RI16</f>
        <v>0</v>
      </c>
      <c r="C110" s="15">
        <f>المهني!RJ16</f>
        <v>0</v>
      </c>
      <c r="D110" s="15">
        <f>المهني!RK16</f>
        <v>0</v>
      </c>
      <c r="E110" s="15">
        <f>المهني!RF16</f>
        <v>0</v>
      </c>
      <c r="F110" s="15">
        <f>المهني!RG16</f>
        <v>0</v>
      </c>
      <c r="G110" s="15">
        <f>المهني!RH16</f>
        <v>0</v>
      </c>
      <c r="H110" s="15">
        <f>المهني!RL16</f>
        <v>0</v>
      </c>
      <c r="I110" s="322">
        <f>المهني!RM16</f>
        <v>0</v>
      </c>
      <c r="J110" s="323"/>
      <c r="K110" s="15">
        <f>المهني!RN16</f>
        <v>0</v>
      </c>
      <c r="L110" s="15">
        <f>المهني!OU16</f>
        <v>0</v>
      </c>
      <c r="M110" s="15">
        <f>المهني!OV16</f>
        <v>0</v>
      </c>
      <c r="N110" s="15">
        <f>المهني!PP16</f>
        <v>0</v>
      </c>
      <c r="O110" s="15">
        <f>المهني!PQ16</f>
        <v>0</v>
      </c>
      <c r="P110" s="15">
        <f>المهني!PR16</f>
        <v>0</v>
      </c>
      <c r="Q110" s="15">
        <f>المهني!PS16</f>
        <v>0</v>
      </c>
      <c r="R110" s="15">
        <v>0</v>
      </c>
      <c r="S110" s="15">
        <f>المهني!PU16</f>
        <v>0</v>
      </c>
      <c r="T110" s="15">
        <f>S110+Q110+P110+O110+N110</f>
        <v>0</v>
      </c>
      <c r="U110" s="15">
        <f>المهني!SA16</f>
        <v>0</v>
      </c>
      <c r="V110" s="15">
        <f>المهني!SN16</f>
        <v>0</v>
      </c>
      <c r="W110" s="15">
        <f>المهني!PV16</f>
        <v>0</v>
      </c>
      <c r="X110" s="15">
        <f>المهني!QB16</f>
        <v>0</v>
      </c>
      <c r="Y110" s="15">
        <f>المهني!QI16</f>
        <v>0</v>
      </c>
      <c r="Z110" s="15">
        <f>المهني!PV16</f>
        <v>0</v>
      </c>
    </row>
    <row r="111" spans="1:35" ht="42.75" customHeight="1" thickTop="1" thickBot="1">
      <c r="A111" s="15" t="s">
        <v>122</v>
      </c>
      <c r="B111" s="15">
        <v>0</v>
      </c>
      <c r="C111" s="15">
        <v>0</v>
      </c>
      <c r="D111" s="15">
        <v>0</v>
      </c>
      <c r="E111" s="15">
        <v>0</v>
      </c>
      <c r="F111" s="15">
        <v>0</v>
      </c>
      <c r="G111" s="15">
        <v>0</v>
      </c>
      <c r="H111" s="15">
        <v>0</v>
      </c>
      <c r="I111" s="322">
        <v>0</v>
      </c>
      <c r="J111" s="323"/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5">
        <v>0</v>
      </c>
      <c r="T111" s="15">
        <f>S111+Q111+P111+O111+N111</f>
        <v>0</v>
      </c>
      <c r="U111" s="15">
        <v>0</v>
      </c>
      <c r="V111" s="15">
        <v>0</v>
      </c>
      <c r="W111" s="15"/>
      <c r="X111" s="15">
        <v>0</v>
      </c>
      <c r="Y111" s="15">
        <v>0</v>
      </c>
      <c r="Z111" s="15">
        <v>0</v>
      </c>
    </row>
    <row r="112" spans="1:35" ht="42.75" customHeight="1" thickTop="1" thickBot="1">
      <c r="A112" s="15" t="s">
        <v>123</v>
      </c>
      <c r="B112" s="15">
        <v>0</v>
      </c>
      <c r="C112" s="15">
        <v>0</v>
      </c>
      <c r="D112" s="15">
        <v>0</v>
      </c>
      <c r="E112" s="15">
        <v>0</v>
      </c>
      <c r="F112" s="15">
        <v>0</v>
      </c>
      <c r="G112" s="15">
        <v>0</v>
      </c>
      <c r="H112" s="15">
        <v>0</v>
      </c>
      <c r="I112" s="322">
        <v>0</v>
      </c>
      <c r="J112" s="323"/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f>S112+Q112+P112+O112+N112</f>
        <v>0</v>
      </c>
      <c r="U112" s="15">
        <v>0</v>
      </c>
      <c r="V112" s="15">
        <v>0</v>
      </c>
      <c r="W112" s="15"/>
      <c r="X112" s="15">
        <v>0</v>
      </c>
      <c r="Y112" s="15">
        <v>0</v>
      </c>
      <c r="Z112" s="15">
        <v>0</v>
      </c>
    </row>
    <row r="113" spans="1:34" ht="42.75" customHeight="1" thickTop="1" thickBot="1">
      <c r="A113" s="15" t="s">
        <v>211</v>
      </c>
      <c r="B113" s="15">
        <v>0</v>
      </c>
      <c r="C113" s="15">
        <v>0</v>
      </c>
      <c r="D113" s="15">
        <v>0</v>
      </c>
      <c r="E113" s="15">
        <v>0</v>
      </c>
      <c r="F113" s="15">
        <v>0</v>
      </c>
      <c r="G113" s="15">
        <v>0</v>
      </c>
      <c r="H113" s="15">
        <v>0</v>
      </c>
      <c r="I113" s="322">
        <v>0</v>
      </c>
      <c r="J113" s="323"/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5">
        <v>0</v>
      </c>
      <c r="T113" s="15">
        <f>S113+Q113+P113+O113+N113</f>
        <v>0</v>
      </c>
      <c r="U113" s="15">
        <v>0</v>
      </c>
      <c r="V113" s="15">
        <v>0</v>
      </c>
      <c r="W113" s="15"/>
      <c r="X113" s="15">
        <v>0</v>
      </c>
      <c r="Y113" s="15">
        <v>0</v>
      </c>
      <c r="Z113" s="15">
        <v>0</v>
      </c>
    </row>
    <row r="114" spans="1:34" ht="42.75" customHeight="1" thickTop="1" thickBot="1">
      <c r="A114" s="15" t="s">
        <v>459</v>
      </c>
      <c r="B114" s="15"/>
      <c r="C114" s="15"/>
      <c r="D114" s="15"/>
      <c r="E114" s="15"/>
      <c r="F114" s="15"/>
      <c r="G114" s="15"/>
      <c r="H114" s="15"/>
      <c r="I114" s="132"/>
      <c r="J114" s="133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spans="1:34" ht="42.75" customHeight="1" thickTop="1" thickBot="1">
      <c r="A115" s="55" t="s">
        <v>387</v>
      </c>
      <c r="B115" s="15">
        <v>0</v>
      </c>
      <c r="C115" s="15">
        <v>0</v>
      </c>
      <c r="D115" s="15">
        <v>0</v>
      </c>
      <c r="E115" s="15">
        <v>0</v>
      </c>
      <c r="F115" s="15">
        <v>0</v>
      </c>
      <c r="G115" s="15">
        <v>0</v>
      </c>
      <c r="H115" s="15">
        <v>0</v>
      </c>
      <c r="I115" s="322">
        <v>0</v>
      </c>
      <c r="J115" s="323"/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5">
        <v>0</v>
      </c>
      <c r="T115" s="15">
        <v>0</v>
      </c>
      <c r="U115" s="15">
        <v>0</v>
      </c>
      <c r="V115" s="15">
        <v>0</v>
      </c>
      <c r="W115" s="15"/>
      <c r="X115" s="15">
        <v>0</v>
      </c>
      <c r="Y115" s="15">
        <v>0</v>
      </c>
      <c r="Z115" s="15">
        <v>0</v>
      </c>
    </row>
    <row r="116" spans="1:34" ht="42.75" customHeight="1" thickTop="1" thickBot="1">
      <c r="A116" s="15" t="s">
        <v>25</v>
      </c>
      <c r="B116" s="15">
        <f t="shared" ref="B116:I116" si="12">B113+B112+B111+B110</f>
        <v>0</v>
      </c>
      <c r="C116" s="15">
        <f t="shared" si="12"/>
        <v>0</v>
      </c>
      <c r="D116" s="15">
        <f t="shared" si="12"/>
        <v>0</v>
      </c>
      <c r="E116" s="15">
        <f t="shared" si="12"/>
        <v>0</v>
      </c>
      <c r="F116" s="15">
        <f t="shared" si="12"/>
        <v>0</v>
      </c>
      <c r="G116" s="15">
        <f t="shared" si="12"/>
        <v>0</v>
      </c>
      <c r="H116" s="15">
        <f t="shared" si="12"/>
        <v>0</v>
      </c>
      <c r="I116" s="322">
        <f t="shared" si="12"/>
        <v>0</v>
      </c>
      <c r="J116" s="323"/>
      <c r="K116" s="15">
        <f t="shared" ref="K116:Z116" si="13">K113+K112+K111+K110</f>
        <v>0</v>
      </c>
      <c r="L116" s="15">
        <f t="shared" si="13"/>
        <v>0</v>
      </c>
      <c r="M116" s="15">
        <f t="shared" si="13"/>
        <v>0</v>
      </c>
      <c r="N116" s="15">
        <f t="shared" si="13"/>
        <v>0</v>
      </c>
      <c r="O116" s="15">
        <f t="shared" si="13"/>
        <v>0</v>
      </c>
      <c r="P116" s="15">
        <f t="shared" si="13"/>
        <v>0</v>
      </c>
      <c r="Q116" s="15">
        <f t="shared" si="13"/>
        <v>0</v>
      </c>
      <c r="R116" s="15">
        <f t="shared" si="13"/>
        <v>0</v>
      </c>
      <c r="S116" s="15">
        <f t="shared" si="13"/>
        <v>0</v>
      </c>
      <c r="T116" s="15">
        <f t="shared" si="13"/>
        <v>0</v>
      </c>
      <c r="U116" s="15">
        <f t="shared" si="13"/>
        <v>0</v>
      </c>
      <c r="V116" s="15">
        <f t="shared" si="13"/>
        <v>0</v>
      </c>
      <c r="W116" s="15">
        <f t="shared" si="13"/>
        <v>0</v>
      </c>
      <c r="X116" s="15">
        <f t="shared" si="13"/>
        <v>0</v>
      </c>
      <c r="Y116" s="15">
        <f t="shared" si="13"/>
        <v>0</v>
      </c>
      <c r="Z116" s="15">
        <f t="shared" si="13"/>
        <v>0</v>
      </c>
    </row>
    <row r="117" spans="1:34" ht="42.75" customHeight="1" thickTop="1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  <c r="O117" s="87"/>
      <c r="P117" s="87"/>
      <c r="Q117" s="87"/>
      <c r="R117" s="87"/>
      <c r="S117" s="87"/>
      <c r="T117" s="87"/>
      <c r="U117" s="87"/>
      <c r="V117" s="87"/>
      <c r="W117" s="87"/>
      <c r="X117" s="87"/>
      <c r="Y117" s="87"/>
      <c r="Z117" s="87"/>
    </row>
    <row r="118" spans="1:34" ht="42.75" customHeight="1">
      <c r="A118" s="87"/>
      <c r="B118" s="87"/>
      <c r="C118" s="87"/>
      <c r="D118" s="87"/>
      <c r="E118" s="87"/>
      <c r="I118" s="87"/>
      <c r="J118" s="87"/>
      <c r="K118" s="87"/>
      <c r="L118" s="340" t="s">
        <v>401</v>
      </c>
      <c r="M118" s="340"/>
      <c r="N118" s="340"/>
      <c r="O118" s="87"/>
      <c r="P118" s="87"/>
      <c r="Q118" s="87"/>
      <c r="R118" s="87"/>
      <c r="S118" s="87"/>
      <c r="T118" s="87"/>
      <c r="U118" s="87"/>
      <c r="V118" s="87"/>
      <c r="W118" s="87"/>
      <c r="X118" s="87"/>
      <c r="Y118" s="87"/>
      <c r="Z118" s="87"/>
    </row>
    <row r="119" spans="1:34" ht="42.75" customHeight="1">
      <c r="A119" s="87"/>
      <c r="B119" s="87"/>
      <c r="C119" s="87"/>
      <c r="D119" s="87"/>
      <c r="E119" s="87"/>
      <c r="G119" s="87"/>
      <c r="H119" s="87"/>
      <c r="I119" s="87"/>
      <c r="J119" s="87"/>
      <c r="K119" s="87"/>
      <c r="L119" s="87" t="s">
        <v>184</v>
      </c>
      <c r="M119" s="87"/>
      <c r="N119" s="87"/>
      <c r="O119" s="87"/>
      <c r="P119" s="87"/>
      <c r="Q119" s="87"/>
      <c r="R119" s="87"/>
      <c r="S119" s="87"/>
      <c r="T119" s="87"/>
      <c r="U119" s="87"/>
      <c r="V119" s="87"/>
      <c r="W119" s="87"/>
      <c r="X119" s="87"/>
      <c r="Y119" s="87"/>
      <c r="Z119" s="87"/>
    </row>
    <row r="120" spans="1:34" ht="42.75" customHeight="1">
      <c r="A120" s="87"/>
      <c r="B120" s="87"/>
      <c r="C120" s="87"/>
      <c r="D120" s="87"/>
      <c r="E120" s="87"/>
      <c r="G120" s="87"/>
      <c r="H120" s="87"/>
      <c r="I120" s="87"/>
      <c r="J120" s="87"/>
      <c r="K120" s="87"/>
      <c r="L120" s="87" t="s">
        <v>482</v>
      </c>
      <c r="M120" s="87"/>
      <c r="N120" s="87"/>
      <c r="O120" s="87"/>
      <c r="P120" s="87"/>
      <c r="Q120" s="87"/>
      <c r="R120" s="87"/>
      <c r="S120" s="87"/>
      <c r="T120" s="87"/>
      <c r="U120" s="87"/>
      <c r="V120" s="87"/>
      <c r="W120" s="87"/>
      <c r="X120" s="87"/>
      <c r="Y120" s="87"/>
      <c r="Z120" s="87"/>
    </row>
    <row r="121" spans="1:34" ht="42.75" customHeight="1" thickBot="1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  <c r="O121" s="87"/>
      <c r="P121" s="87"/>
      <c r="Q121" s="87"/>
      <c r="R121" s="87"/>
      <c r="S121" s="87"/>
      <c r="T121" s="87"/>
      <c r="U121" s="87"/>
      <c r="V121" s="87"/>
      <c r="W121" s="87"/>
      <c r="X121" s="87"/>
      <c r="Y121" s="87"/>
      <c r="Z121" s="87"/>
    </row>
    <row r="122" spans="1:34" ht="42.75" customHeight="1" thickTop="1" thickBot="1">
      <c r="A122" s="87"/>
      <c r="B122" s="338" t="s">
        <v>113</v>
      </c>
      <c r="C122" s="322" t="s">
        <v>393</v>
      </c>
      <c r="D122" s="327"/>
      <c r="E122" s="327"/>
      <c r="F122" s="327"/>
      <c r="G122" s="327"/>
      <c r="H122" s="327"/>
      <c r="I122" s="327"/>
      <c r="J122" s="323"/>
      <c r="K122" s="322" t="s">
        <v>395</v>
      </c>
      <c r="L122" s="327"/>
      <c r="M122" s="327"/>
      <c r="N122" s="327"/>
      <c r="O122" s="327"/>
      <c r="P122" s="327"/>
      <c r="Q122" s="327"/>
      <c r="R122" s="327"/>
      <c r="S122" s="327"/>
      <c r="T122" s="327"/>
      <c r="U122" s="327"/>
      <c r="V122" s="323"/>
      <c r="W122" s="87"/>
      <c r="X122" s="87"/>
      <c r="Y122" s="87"/>
      <c r="Z122" s="87"/>
      <c r="AA122" s="87"/>
      <c r="AB122" s="87"/>
      <c r="AC122" s="87"/>
      <c r="AD122" s="87"/>
      <c r="AE122" s="87"/>
      <c r="AF122" s="87"/>
      <c r="AG122" s="87"/>
      <c r="AH122" s="87"/>
    </row>
    <row r="123" spans="1:34" ht="42.75" customHeight="1" thickTop="1" thickBot="1">
      <c r="A123" s="87"/>
      <c r="B123" s="339"/>
      <c r="C123" s="322" t="s">
        <v>100</v>
      </c>
      <c r="D123" s="323"/>
      <c r="E123" s="322" t="s">
        <v>101</v>
      </c>
      <c r="F123" s="323"/>
      <c r="G123" s="322" t="s">
        <v>394</v>
      </c>
      <c r="H123" s="323"/>
      <c r="I123" s="322" t="s">
        <v>25</v>
      </c>
      <c r="J123" s="323"/>
      <c r="K123" s="322" t="s">
        <v>396</v>
      </c>
      <c r="L123" s="323"/>
      <c r="M123" s="322" t="s">
        <v>397</v>
      </c>
      <c r="N123" s="323"/>
      <c r="O123" s="322" t="s">
        <v>398</v>
      </c>
      <c r="P123" s="323"/>
      <c r="Q123" s="322" t="s">
        <v>399</v>
      </c>
      <c r="R123" s="323"/>
      <c r="S123" s="322" t="s">
        <v>400</v>
      </c>
      <c r="T123" s="323"/>
      <c r="U123" s="322" t="s">
        <v>25</v>
      </c>
      <c r="V123" s="323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</row>
    <row r="124" spans="1:34" ht="42.75" customHeight="1" thickTop="1" thickBot="1">
      <c r="A124" s="87"/>
      <c r="B124" s="15" t="s">
        <v>121</v>
      </c>
      <c r="C124" s="322">
        <f>المهني!PB16</f>
        <v>0</v>
      </c>
      <c r="D124" s="323"/>
      <c r="E124" s="322">
        <f>المهني!PC16</f>
        <v>0</v>
      </c>
      <c r="F124" s="323"/>
      <c r="G124" s="322">
        <f>المهني!PD16</f>
        <v>0</v>
      </c>
      <c r="H124" s="323"/>
      <c r="I124" s="322">
        <f>G124+E124+C124</f>
        <v>0</v>
      </c>
      <c r="J124" s="323"/>
      <c r="K124" s="322">
        <f>المهني!PE16</f>
        <v>0</v>
      </c>
      <c r="L124" s="323"/>
      <c r="M124" s="322">
        <f>المهني!PF16</f>
        <v>0</v>
      </c>
      <c r="N124" s="323"/>
      <c r="O124" s="322">
        <f>المهني!PG16</f>
        <v>0</v>
      </c>
      <c r="P124" s="323"/>
      <c r="Q124" s="322">
        <f>المهني!PH16</f>
        <v>0</v>
      </c>
      <c r="R124" s="323"/>
      <c r="S124" s="322">
        <f>المهني!PI16</f>
        <v>0</v>
      </c>
      <c r="T124" s="323"/>
      <c r="U124" s="322">
        <f>S124+Q124+O124+M124+K124</f>
        <v>0</v>
      </c>
      <c r="V124" s="323"/>
      <c r="W124" s="87"/>
      <c r="X124" s="87"/>
      <c r="Y124" s="87"/>
      <c r="Z124" s="87"/>
      <c r="AA124" s="87"/>
      <c r="AB124" s="87"/>
      <c r="AC124" s="87"/>
      <c r="AD124" s="87"/>
      <c r="AE124" s="87"/>
      <c r="AF124" s="87"/>
      <c r="AG124" s="87"/>
      <c r="AH124" s="87"/>
    </row>
    <row r="125" spans="1:34" ht="42.75" customHeight="1" thickTop="1" thickBot="1">
      <c r="A125" s="87"/>
      <c r="B125" s="15" t="s">
        <v>122</v>
      </c>
      <c r="C125" s="322"/>
      <c r="D125" s="323"/>
      <c r="E125" s="322"/>
      <c r="F125" s="323"/>
      <c r="G125" s="322"/>
      <c r="H125" s="323"/>
      <c r="I125" s="322">
        <f>H125+E125+C125</f>
        <v>0</v>
      </c>
      <c r="J125" s="323"/>
      <c r="K125" s="322"/>
      <c r="L125" s="323"/>
      <c r="M125" s="322"/>
      <c r="N125" s="323"/>
      <c r="O125" s="322"/>
      <c r="P125" s="323"/>
      <c r="Q125" s="322"/>
      <c r="R125" s="323"/>
      <c r="S125" s="322"/>
      <c r="T125" s="323"/>
      <c r="U125" s="322">
        <f>T125+Q125+O125+M125+K125</f>
        <v>0</v>
      </c>
      <c r="V125" s="323"/>
      <c r="W125" s="87"/>
      <c r="X125" s="87"/>
      <c r="Y125" s="87"/>
      <c r="Z125" s="87"/>
      <c r="AA125" s="87"/>
      <c r="AB125" s="87"/>
      <c r="AC125" s="87"/>
      <c r="AD125" s="87"/>
      <c r="AE125" s="87"/>
      <c r="AF125" s="87"/>
      <c r="AG125" s="87"/>
      <c r="AH125" s="87"/>
    </row>
    <row r="126" spans="1:34" ht="42.75" customHeight="1" thickTop="1" thickBot="1">
      <c r="A126" s="87"/>
      <c r="B126" s="15" t="s">
        <v>123</v>
      </c>
      <c r="C126" s="322"/>
      <c r="D126" s="323"/>
      <c r="E126" s="322"/>
      <c r="F126" s="323"/>
      <c r="G126" s="322"/>
      <c r="H126" s="323"/>
      <c r="I126" s="322">
        <f>H126+E126+C126</f>
        <v>0</v>
      </c>
      <c r="J126" s="323"/>
      <c r="K126" s="322"/>
      <c r="L126" s="323"/>
      <c r="M126" s="322"/>
      <c r="N126" s="323"/>
      <c r="O126" s="322"/>
      <c r="P126" s="323"/>
      <c r="Q126" s="322"/>
      <c r="R126" s="323"/>
      <c r="S126" s="322"/>
      <c r="T126" s="323"/>
      <c r="U126" s="322">
        <f>T126+Q126+O126+M126+K126</f>
        <v>0</v>
      </c>
      <c r="V126" s="323"/>
      <c r="W126" s="87"/>
      <c r="X126" s="87"/>
      <c r="Y126" s="87"/>
      <c r="Z126" s="87"/>
      <c r="AA126" s="87"/>
      <c r="AB126" s="87"/>
      <c r="AC126" s="87"/>
      <c r="AD126" s="87"/>
      <c r="AE126" s="87"/>
      <c r="AF126" s="87"/>
      <c r="AG126" s="87"/>
      <c r="AH126" s="87"/>
    </row>
    <row r="127" spans="1:34" ht="42.75" customHeight="1" thickTop="1" thickBot="1">
      <c r="A127" s="87"/>
      <c r="B127" s="15" t="s">
        <v>211</v>
      </c>
      <c r="C127" s="322"/>
      <c r="D127" s="323"/>
      <c r="E127" s="322"/>
      <c r="F127" s="323"/>
      <c r="G127" s="322"/>
      <c r="H127" s="323"/>
      <c r="I127" s="322">
        <f>H127+E127+C127</f>
        <v>0</v>
      </c>
      <c r="J127" s="323"/>
      <c r="K127" s="322"/>
      <c r="L127" s="323"/>
      <c r="M127" s="322"/>
      <c r="N127" s="323"/>
      <c r="O127" s="322"/>
      <c r="P127" s="323"/>
      <c r="Q127" s="322"/>
      <c r="R127" s="323"/>
      <c r="S127" s="322"/>
      <c r="T127" s="323"/>
      <c r="U127" s="322">
        <f>T127+Q127+O127+M127+K127</f>
        <v>0</v>
      </c>
      <c r="V127" s="323"/>
      <c r="W127" s="87"/>
      <c r="X127" s="87"/>
      <c r="Y127" s="87"/>
      <c r="Z127" s="87"/>
      <c r="AA127" s="87"/>
      <c r="AB127" s="87"/>
      <c r="AC127" s="87"/>
      <c r="AD127" s="87"/>
      <c r="AE127" s="87"/>
      <c r="AF127" s="87"/>
      <c r="AG127" s="87"/>
      <c r="AH127" s="87"/>
    </row>
    <row r="128" spans="1:34" ht="42.75" customHeight="1" thickTop="1" thickBot="1">
      <c r="A128" s="135"/>
      <c r="B128" s="15" t="s">
        <v>459</v>
      </c>
      <c r="C128" s="132"/>
      <c r="D128" s="133"/>
      <c r="E128" s="132"/>
      <c r="F128" s="133"/>
      <c r="G128" s="132"/>
      <c r="H128" s="133"/>
      <c r="I128" s="132"/>
      <c r="J128" s="133"/>
      <c r="K128" s="132"/>
      <c r="L128" s="133"/>
      <c r="M128" s="132"/>
      <c r="N128" s="133"/>
      <c r="O128" s="132"/>
      <c r="P128" s="133"/>
      <c r="Q128" s="132"/>
      <c r="R128" s="133"/>
      <c r="S128" s="132"/>
      <c r="T128" s="133"/>
      <c r="U128" s="132"/>
      <c r="V128" s="133"/>
      <c r="W128" s="135"/>
      <c r="X128" s="135"/>
      <c r="Y128" s="135"/>
      <c r="Z128" s="135"/>
      <c r="AA128" s="135"/>
      <c r="AB128" s="135"/>
      <c r="AC128" s="135"/>
      <c r="AD128" s="135"/>
      <c r="AE128" s="135"/>
      <c r="AF128" s="135"/>
      <c r="AG128" s="135"/>
      <c r="AH128" s="135"/>
    </row>
    <row r="129" spans="1:34" ht="42.75" customHeight="1" thickTop="1" thickBot="1">
      <c r="A129" s="87"/>
      <c r="B129" s="55" t="s">
        <v>387</v>
      </c>
      <c r="C129" s="322"/>
      <c r="D129" s="323"/>
      <c r="E129" s="322"/>
      <c r="F129" s="323"/>
      <c r="G129" s="322"/>
      <c r="H129" s="323"/>
      <c r="I129" s="322">
        <f>H129+E129+C129</f>
        <v>0</v>
      </c>
      <c r="J129" s="323"/>
      <c r="K129" s="322"/>
      <c r="L129" s="323"/>
      <c r="M129" s="322"/>
      <c r="N129" s="323"/>
      <c r="O129" s="322"/>
      <c r="P129" s="323"/>
      <c r="Q129" s="322"/>
      <c r="R129" s="323"/>
      <c r="S129" s="322"/>
      <c r="T129" s="323"/>
      <c r="U129" s="322">
        <f>T129+Q129+O129+M129+K129</f>
        <v>0</v>
      </c>
      <c r="V129" s="323"/>
      <c r="W129" s="87"/>
      <c r="X129" s="87"/>
      <c r="Y129" s="87"/>
      <c r="Z129" s="87"/>
      <c r="AA129" s="87"/>
      <c r="AB129" s="87"/>
      <c r="AC129" s="87"/>
      <c r="AD129" s="87"/>
      <c r="AE129" s="87"/>
      <c r="AF129" s="87"/>
      <c r="AG129" s="87"/>
      <c r="AH129" s="87"/>
    </row>
    <row r="130" spans="1:34" ht="42.75" customHeight="1" thickTop="1" thickBot="1">
      <c r="A130" s="87"/>
      <c r="B130" s="15" t="s">
        <v>25</v>
      </c>
      <c r="C130" s="322">
        <f>SUM(C124:C129)</f>
        <v>0</v>
      </c>
      <c r="D130" s="323"/>
      <c r="E130" s="322">
        <f>SUM(E124:E129)</f>
        <v>0</v>
      </c>
      <c r="F130" s="323"/>
      <c r="G130" s="322">
        <f>SUM(H124:H129)</f>
        <v>0</v>
      </c>
      <c r="H130" s="323"/>
      <c r="I130" s="322">
        <f>G130+E130+C130</f>
        <v>0</v>
      </c>
      <c r="J130" s="323"/>
      <c r="K130" s="322">
        <f>SUM(K124:K129)</f>
        <v>0</v>
      </c>
      <c r="L130" s="323"/>
      <c r="M130" s="322">
        <f>SUM(M124:M129)</f>
        <v>0</v>
      </c>
      <c r="N130" s="323"/>
      <c r="O130" s="322">
        <f>SUM(O124:O129)</f>
        <v>0</v>
      </c>
      <c r="P130" s="323"/>
      <c r="Q130" s="322">
        <f>SUM(Q124:Q129)</f>
        <v>0</v>
      </c>
      <c r="R130" s="323"/>
      <c r="S130" s="322">
        <f>SUM(T124:T129)</f>
        <v>0</v>
      </c>
      <c r="T130" s="323"/>
      <c r="U130" s="322">
        <f>S130+Q130+O130+M130+K130</f>
        <v>0</v>
      </c>
      <c r="V130" s="323"/>
      <c r="W130" s="87"/>
      <c r="X130" s="87"/>
      <c r="Y130" s="87"/>
      <c r="Z130" s="87"/>
      <c r="AA130" s="87"/>
      <c r="AB130" s="87"/>
      <c r="AC130" s="87"/>
      <c r="AD130" s="87"/>
      <c r="AE130" s="87"/>
      <c r="AF130" s="87"/>
      <c r="AG130" s="87"/>
      <c r="AH130" s="87"/>
    </row>
    <row r="131" spans="1:34" ht="42.75" customHeight="1" thickTop="1"/>
  </sheetData>
  <mergeCells count="481">
    <mergeCell ref="U31:V31"/>
    <mergeCell ref="I31:J31"/>
    <mergeCell ref="C31:D31"/>
    <mergeCell ref="E31:F31"/>
    <mergeCell ref="G31:H31"/>
    <mergeCell ref="K31:L31"/>
    <mergeCell ref="M31:N31"/>
    <mergeCell ref="O31:P31"/>
    <mergeCell ref="Q31:R31"/>
    <mergeCell ref="S31:T31"/>
    <mergeCell ref="U2:W2"/>
    <mergeCell ref="A2:E2"/>
    <mergeCell ref="A3:E3"/>
    <mergeCell ref="Q9:Q11"/>
    <mergeCell ref="M8:R8"/>
    <mergeCell ref="I9:I11"/>
    <mergeCell ref="H8:J8"/>
    <mergeCell ref="A6:X6"/>
    <mergeCell ref="V9:V11"/>
    <mergeCell ref="V8:Y8"/>
    <mergeCell ref="Y9:Y11"/>
    <mergeCell ref="B9:C9"/>
    <mergeCell ref="D9:D11"/>
    <mergeCell ref="F9:F11"/>
    <mergeCell ref="H9:H11"/>
    <mergeCell ref="E9:E11"/>
    <mergeCell ref="K9:L9"/>
    <mergeCell ref="M9:M11"/>
    <mergeCell ref="N9:N11"/>
    <mergeCell ref="O9:O11"/>
    <mergeCell ref="P9:P11"/>
    <mergeCell ref="R9:R11"/>
    <mergeCell ref="W9:W11"/>
    <mergeCell ref="A8:A11"/>
    <mergeCell ref="I3:P3"/>
    <mergeCell ref="X9:X11"/>
    <mergeCell ref="B25:B26"/>
    <mergeCell ref="I26:J26"/>
    <mergeCell ref="I27:J27"/>
    <mergeCell ref="C26:D26"/>
    <mergeCell ref="C27:D27"/>
    <mergeCell ref="C25:J25"/>
    <mergeCell ref="K26:L26"/>
    <mergeCell ref="A5:X5"/>
    <mergeCell ref="B8:D8"/>
    <mergeCell ref="E8:G8"/>
    <mergeCell ref="K8:L8"/>
    <mergeCell ref="B10:B11"/>
    <mergeCell ref="K10:K11"/>
    <mergeCell ref="G9:G11"/>
    <mergeCell ref="S8:S11"/>
    <mergeCell ref="J9:J11"/>
    <mergeCell ref="G26:H26"/>
    <mergeCell ref="G27:H27"/>
    <mergeCell ref="U30:V30"/>
    <mergeCell ref="U33:V33"/>
    <mergeCell ref="U34:V34"/>
    <mergeCell ref="J21:L21"/>
    <mergeCell ref="W42:Z42"/>
    <mergeCell ref="W43:W45"/>
    <mergeCell ref="N42:S42"/>
    <mergeCell ref="P43:P45"/>
    <mergeCell ref="Q43:Q45"/>
    <mergeCell ref="S43:S45"/>
    <mergeCell ref="I28:J28"/>
    <mergeCell ref="I29:J29"/>
    <mergeCell ref="I30:J30"/>
    <mergeCell ref="I33:J33"/>
    <mergeCell ref="I34:J34"/>
    <mergeCell ref="U26:V26"/>
    <mergeCell ref="U27:V27"/>
    <mergeCell ref="U28:V28"/>
    <mergeCell ref="U29:V29"/>
    <mergeCell ref="X43:X45"/>
    <mergeCell ref="Y43:Y45"/>
    <mergeCell ref="U36:W36"/>
    <mergeCell ref="K25:V25"/>
    <mergeCell ref="O33:P33"/>
    <mergeCell ref="Z43:Z45"/>
    <mergeCell ref="A38:X38"/>
    <mergeCell ref="I37:O37"/>
    <mergeCell ref="B44:B45"/>
    <mergeCell ref="A42:A45"/>
    <mergeCell ref="B42:D42"/>
    <mergeCell ref="E42:G42"/>
    <mergeCell ref="A39:X39"/>
    <mergeCell ref="A40:X40"/>
    <mergeCell ref="E43:E45"/>
    <mergeCell ref="R43:R45"/>
    <mergeCell ref="L44:L45"/>
    <mergeCell ref="N43:N45"/>
    <mergeCell ref="I43:J45"/>
    <mergeCell ref="K43:K45"/>
    <mergeCell ref="L43:M43"/>
    <mergeCell ref="O43:O45"/>
    <mergeCell ref="U61:V61"/>
    <mergeCell ref="I62:J62"/>
    <mergeCell ref="U62:V62"/>
    <mergeCell ref="Q62:R62"/>
    <mergeCell ref="B43:C43"/>
    <mergeCell ref="D43:D45"/>
    <mergeCell ref="F43:F45"/>
    <mergeCell ref="H43:H45"/>
    <mergeCell ref="U42:U45"/>
    <mergeCell ref="B58:B59"/>
    <mergeCell ref="I59:J59"/>
    <mergeCell ref="U59:V59"/>
    <mergeCell ref="G43:G45"/>
    <mergeCell ref="T42:T45"/>
    <mergeCell ref="V42:V45"/>
    <mergeCell ref="I46:J46"/>
    <mergeCell ref="I47:J47"/>
    <mergeCell ref="I48:J48"/>
    <mergeCell ref="I49:J49"/>
    <mergeCell ref="I52:J52"/>
    <mergeCell ref="I51:J51"/>
    <mergeCell ref="C58:J58"/>
    <mergeCell ref="H42:K42"/>
    <mergeCell ref="C61:D61"/>
    <mergeCell ref="I66:J66"/>
    <mergeCell ref="U66:V66"/>
    <mergeCell ref="M63:N63"/>
    <mergeCell ref="O63:P63"/>
    <mergeCell ref="Q63:R63"/>
    <mergeCell ref="K65:L65"/>
    <mergeCell ref="C65:D65"/>
    <mergeCell ref="E65:F65"/>
    <mergeCell ref="G65:H65"/>
    <mergeCell ref="K63:L63"/>
    <mergeCell ref="C63:D63"/>
    <mergeCell ref="E63:F63"/>
    <mergeCell ref="G63:H63"/>
    <mergeCell ref="Z75:Z77"/>
    <mergeCell ref="N75:N77"/>
    <mergeCell ref="E75:E77"/>
    <mergeCell ref="G75:G77"/>
    <mergeCell ref="B76:B77"/>
    <mergeCell ref="N74:S74"/>
    <mergeCell ref="W75:W77"/>
    <mergeCell ref="W74:Z74"/>
    <mergeCell ref="A70:X70"/>
    <mergeCell ref="L76:L77"/>
    <mergeCell ref="R75:R77"/>
    <mergeCell ref="X75:X77"/>
    <mergeCell ref="Y75:Y77"/>
    <mergeCell ref="E74:G74"/>
    <mergeCell ref="H74:K74"/>
    <mergeCell ref="L74:M74"/>
    <mergeCell ref="B75:C75"/>
    <mergeCell ref="D75:D77"/>
    <mergeCell ref="F75:F77"/>
    <mergeCell ref="H75:H77"/>
    <mergeCell ref="I75:J77"/>
    <mergeCell ref="K75:K77"/>
    <mergeCell ref="L75:M75"/>
    <mergeCell ref="O75:O77"/>
    <mergeCell ref="I98:J98"/>
    <mergeCell ref="U98:V98"/>
    <mergeCell ref="K95:L95"/>
    <mergeCell ref="M95:N95"/>
    <mergeCell ref="O95:P95"/>
    <mergeCell ref="Q95:R95"/>
    <mergeCell ref="I92:J92"/>
    <mergeCell ref="U92:V92"/>
    <mergeCell ref="I93:J93"/>
    <mergeCell ref="U93:V93"/>
    <mergeCell ref="I94:J94"/>
    <mergeCell ref="U94:V94"/>
    <mergeCell ref="O92:P92"/>
    <mergeCell ref="Q92:R92"/>
    <mergeCell ref="S92:T92"/>
    <mergeCell ref="O93:P93"/>
    <mergeCell ref="K98:L98"/>
    <mergeCell ref="M98:N98"/>
    <mergeCell ref="O98:P98"/>
    <mergeCell ref="Q98:R98"/>
    <mergeCell ref="S98:T98"/>
    <mergeCell ref="S95:T95"/>
    <mergeCell ref="K97:L97"/>
    <mergeCell ref="M97:N97"/>
    <mergeCell ref="Y107:Y109"/>
    <mergeCell ref="Z107:Z109"/>
    <mergeCell ref="T106:T109"/>
    <mergeCell ref="W107:W109"/>
    <mergeCell ref="W106:Z106"/>
    <mergeCell ref="I115:J115"/>
    <mergeCell ref="V106:V109"/>
    <mergeCell ref="A100:E100"/>
    <mergeCell ref="U100:W100"/>
    <mergeCell ref="A101:E101"/>
    <mergeCell ref="B108:B109"/>
    <mergeCell ref="A106:A109"/>
    <mergeCell ref="B106:D106"/>
    <mergeCell ref="B107:C107"/>
    <mergeCell ref="D107:D109"/>
    <mergeCell ref="B122:B123"/>
    <mergeCell ref="I123:J123"/>
    <mergeCell ref="U123:V123"/>
    <mergeCell ref="C123:D123"/>
    <mergeCell ref="E123:F123"/>
    <mergeCell ref="G123:H123"/>
    <mergeCell ref="E107:E109"/>
    <mergeCell ref="G107:G109"/>
    <mergeCell ref="R107:R109"/>
    <mergeCell ref="U106:U109"/>
    <mergeCell ref="P107:P109"/>
    <mergeCell ref="Q107:Q109"/>
    <mergeCell ref="S107:S109"/>
    <mergeCell ref="L108:L109"/>
    <mergeCell ref="E106:G106"/>
    <mergeCell ref="H106:K106"/>
    <mergeCell ref="L106:M106"/>
    <mergeCell ref="F107:F109"/>
    <mergeCell ref="H107:H109"/>
    <mergeCell ref="I107:J109"/>
    <mergeCell ref="I110:J110"/>
    <mergeCell ref="I111:J111"/>
    <mergeCell ref="I112:J112"/>
    <mergeCell ref="I113:J113"/>
    <mergeCell ref="U124:V124"/>
    <mergeCell ref="I125:J125"/>
    <mergeCell ref="U125:V125"/>
    <mergeCell ref="I126:J126"/>
    <mergeCell ref="U126:V126"/>
    <mergeCell ref="M126:N126"/>
    <mergeCell ref="O126:P126"/>
    <mergeCell ref="Q126:R126"/>
    <mergeCell ref="I101:N101"/>
    <mergeCell ref="L118:N118"/>
    <mergeCell ref="N106:S106"/>
    <mergeCell ref="A102:X102"/>
    <mergeCell ref="A103:X103"/>
    <mergeCell ref="A104:X104"/>
    <mergeCell ref="I116:J116"/>
    <mergeCell ref="O107:O109"/>
    <mergeCell ref="K107:K109"/>
    <mergeCell ref="L107:M107"/>
    <mergeCell ref="N107:N109"/>
    <mergeCell ref="X107:X109"/>
    <mergeCell ref="Q125:R125"/>
    <mergeCell ref="C122:J122"/>
    <mergeCell ref="K122:V122"/>
    <mergeCell ref="S123:T123"/>
    <mergeCell ref="U127:V127"/>
    <mergeCell ref="I129:J129"/>
    <mergeCell ref="U129:V129"/>
    <mergeCell ref="I130:J130"/>
    <mergeCell ref="U130:V130"/>
    <mergeCell ref="M127:N127"/>
    <mergeCell ref="O127:P127"/>
    <mergeCell ref="Q127:R127"/>
    <mergeCell ref="M129:N129"/>
    <mergeCell ref="M130:N130"/>
    <mergeCell ref="C28:D28"/>
    <mergeCell ref="C29:D29"/>
    <mergeCell ref="C30:D30"/>
    <mergeCell ref="C33:D33"/>
    <mergeCell ref="C34:D34"/>
    <mergeCell ref="E26:F26"/>
    <mergeCell ref="E27:F27"/>
    <mergeCell ref="E28:F28"/>
    <mergeCell ref="E29:F29"/>
    <mergeCell ref="E30:F30"/>
    <mergeCell ref="E33:F33"/>
    <mergeCell ref="E34:F34"/>
    <mergeCell ref="C32:D32"/>
    <mergeCell ref="E32:F32"/>
    <mergeCell ref="G28:H28"/>
    <mergeCell ref="G29:H29"/>
    <mergeCell ref="G30:H30"/>
    <mergeCell ref="G33:H33"/>
    <mergeCell ref="G34:H34"/>
    <mergeCell ref="M26:N26"/>
    <mergeCell ref="O26:P26"/>
    <mergeCell ref="Q26:R26"/>
    <mergeCell ref="S26:T26"/>
    <mergeCell ref="K27:L27"/>
    <mergeCell ref="M27:N27"/>
    <mergeCell ref="O27:P27"/>
    <mergeCell ref="Q27:R27"/>
    <mergeCell ref="S27:T27"/>
    <mergeCell ref="O34:P34"/>
    <mergeCell ref="Q34:R34"/>
    <mergeCell ref="S34:T34"/>
    <mergeCell ref="K30:L30"/>
    <mergeCell ref="M30:N30"/>
    <mergeCell ref="O30:P30"/>
    <mergeCell ref="Q30:R30"/>
    <mergeCell ref="S30:T30"/>
    <mergeCell ref="K33:L33"/>
    <mergeCell ref="M33:N33"/>
    <mergeCell ref="Q33:R33"/>
    <mergeCell ref="S33:T33"/>
    <mergeCell ref="K28:L28"/>
    <mergeCell ref="M28:N28"/>
    <mergeCell ref="O28:P28"/>
    <mergeCell ref="Q28:R28"/>
    <mergeCell ref="S28:T28"/>
    <mergeCell ref="K29:L29"/>
    <mergeCell ref="M29:N29"/>
    <mergeCell ref="O29:P29"/>
    <mergeCell ref="Q29:R29"/>
    <mergeCell ref="S29:T29"/>
    <mergeCell ref="K34:L34"/>
    <mergeCell ref="M34:N34"/>
    <mergeCell ref="I60:J60"/>
    <mergeCell ref="A36:E36"/>
    <mergeCell ref="K58:V58"/>
    <mergeCell ref="S59:T59"/>
    <mergeCell ref="S60:T60"/>
    <mergeCell ref="U60:V60"/>
    <mergeCell ref="A37:E37"/>
    <mergeCell ref="L42:M42"/>
    <mergeCell ref="Q59:R59"/>
    <mergeCell ref="K60:L60"/>
    <mergeCell ref="M60:N60"/>
    <mergeCell ref="O60:P60"/>
    <mergeCell ref="Q60:R60"/>
    <mergeCell ref="M54:O54"/>
    <mergeCell ref="K59:L59"/>
    <mergeCell ref="M59:N59"/>
    <mergeCell ref="O59:P59"/>
    <mergeCell ref="K62:L62"/>
    <mergeCell ref="M62:N62"/>
    <mergeCell ref="O62:P62"/>
    <mergeCell ref="C59:D59"/>
    <mergeCell ref="E59:F59"/>
    <mergeCell ref="G59:H59"/>
    <mergeCell ref="C60:D60"/>
    <mergeCell ref="E60:F60"/>
    <mergeCell ref="G60:H60"/>
    <mergeCell ref="I61:J61"/>
    <mergeCell ref="C92:D92"/>
    <mergeCell ref="E92:F92"/>
    <mergeCell ref="G92:H92"/>
    <mergeCell ref="O91:P91"/>
    <mergeCell ref="Q91:R91"/>
    <mergeCell ref="K66:L66"/>
    <mergeCell ref="C66:D66"/>
    <mergeCell ref="E66:F66"/>
    <mergeCell ref="G66:H66"/>
    <mergeCell ref="A68:E68"/>
    <mergeCell ref="A69:E69"/>
    <mergeCell ref="B90:B91"/>
    <mergeCell ref="I91:J91"/>
    <mergeCell ref="I86:K86"/>
    <mergeCell ref="J69:N69"/>
    <mergeCell ref="I84:J84"/>
    <mergeCell ref="P75:P77"/>
    <mergeCell ref="Q75:Q77"/>
    <mergeCell ref="I83:J83"/>
    <mergeCell ref="I78:J78"/>
    <mergeCell ref="I79:J79"/>
    <mergeCell ref="I81:J81"/>
    <mergeCell ref="A74:A77"/>
    <mergeCell ref="B74:D74"/>
    <mergeCell ref="K90:V90"/>
    <mergeCell ref="K61:L61"/>
    <mergeCell ref="M61:N61"/>
    <mergeCell ref="O61:P61"/>
    <mergeCell ref="Q61:R61"/>
    <mergeCell ref="U68:W68"/>
    <mergeCell ref="U91:V91"/>
    <mergeCell ref="S75:S77"/>
    <mergeCell ref="T74:T77"/>
    <mergeCell ref="A71:X71"/>
    <mergeCell ref="A72:X72"/>
    <mergeCell ref="I80:J80"/>
    <mergeCell ref="C91:D91"/>
    <mergeCell ref="E91:F91"/>
    <mergeCell ref="G91:H91"/>
    <mergeCell ref="E61:F61"/>
    <mergeCell ref="G61:H61"/>
    <mergeCell ref="C62:D62"/>
    <mergeCell ref="E62:F62"/>
    <mergeCell ref="G62:H62"/>
    <mergeCell ref="I63:J63"/>
    <mergeCell ref="U63:V63"/>
    <mergeCell ref="I65:J65"/>
    <mergeCell ref="U65:V65"/>
    <mergeCell ref="S61:T61"/>
    <mergeCell ref="S62:T62"/>
    <mergeCell ref="S63:T63"/>
    <mergeCell ref="S65:T65"/>
    <mergeCell ref="M65:N65"/>
    <mergeCell ref="O65:P65"/>
    <mergeCell ref="Q65:R65"/>
    <mergeCell ref="M66:N66"/>
    <mergeCell ref="O66:P66"/>
    <mergeCell ref="Q66:R66"/>
    <mergeCell ref="C98:D98"/>
    <mergeCell ref="E98:F98"/>
    <mergeCell ref="G98:H98"/>
    <mergeCell ref="C90:J90"/>
    <mergeCell ref="K91:L91"/>
    <mergeCell ref="M91:N91"/>
    <mergeCell ref="K92:L92"/>
    <mergeCell ref="M92:N92"/>
    <mergeCell ref="K93:L93"/>
    <mergeCell ref="M93:N93"/>
    <mergeCell ref="C95:D95"/>
    <mergeCell ref="E95:F95"/>
    <mergeCell ref="G95:H95"/>
    <mergeCell ref="C97:D97"/>
    <mergeCell ref="E97:F97"/>
    <mergeCell ref="G97:H97"/>
    <mergeCell ref="C93:D93"/>
    <mergeCell ref="E93:F93"/>
    <mergeCell ref="G93:H93"/>
    <mergeCell ref="C94:D94"/>
    <mergeCell ref="E94:F94"/>
    <mergeCell ref="G94:H94"/>
    <mergeCell ref="I95:J95"/>
    <mergeCell ref="I97:J97"/>
    <mergeCell ref="G130:H130"/>
    <mergeCell ref="G125:H125"/>
    <mergeCell ref="G126:H126"/>
    <mergeCell ref="G127:H127"/>
    <mergeCell ref="G129:H129"/>
    <mergeCell ref="K123:L123"/>
    <mergeCell ref="K124:L124"/>
    <mergeCell ref="K126:L126"/>
    <mergeCell ref="K127:L127"/>
    <mergeCell ref="K129:L129"/>
    <mergeCell ref="C127:D127"/>
    <mergeCell ref="E127:F127"/>
    <mergeCell ref="C129:D129"/>
    <mergeCell ref="E129:F129"/>
    <mergeCell ref="C130:D130"/>
    <mergeCell ref="E130:F130"/>
    <mergeCell ref="C124:D124"/>
    <mergeCell ref="E124:F124"/>
    <mergeCell ref="C125:D125"/>
    <mergeCell ref="E125:F125"/>
    <mergeCell ref="C126:D126"/>
    <mergeCell ref="E126:F126"/>
    <mergeCell ref="I127:J127"/>
    <mergeCell ref="I124:J124"/>
    <mergeCell ref="K130:L130"/>
    <mergeCell ref="M123:N123"/>
    <mergeCell ref="M124:N124"/>
    <mergeCell ref="O124:P124"/>
    <mergeCell ref="Q124:R124"/>
    <mergeCell ref="K125:L125"/>
    <mergeCell ref="M125:N125"/>
    <mergeCell ref="O125:P125"/>
    <mergeCell ref="S130:T130"/>
    <mergeCell ref="S125:T125"/>
    <mergeCell ref="S126:T126"/>
    <mergeCell ref="S127:T127"/>
    <mergeCell ref="S129:T129"/>
    <mergeCell ref="O129:P129"/>
    <mergeCell ref="Q129:R129"/>
    <mergeCell ref="O123:P123"/>
    <mergeCell ref="Q123:R123"/>
    <mergeCell ref="O130:P130"/>
    <mergeCell ref="Q130:R130"/>
    <mergeCell ref="G32:H32"/>
    <mergeCell ref="I32:J32"/>
    <mergeCell ref="K32:L32"/>
    <mergeCell ref="M32:N32"/>
    <mergeCell ref="O32:P32"/>
    <mergeCell ref="Q32:R32"/>
    <mergeCell ref="S32:T32"/>
    <mergeCell ref="U32:V32"/>
    <mergeCell ref="S124:T124"/>
    <mergeCell ref="G124:H124"/>
    <mergeCell ref="U95:V95"/>
    <mergeCell ref="U97:V97"/>
    <mergeCell ref="O97:P97"/>
    <mergeCell ref="Q97:R97"/>
    <mergeCell ref="S97:T97"/>
    <mergeCell ref="Q93:R93"/>
    <mergeCell ref="S93:T93"/>
    <mergeCell ref="K94:L94"/>
    <mergeCell ref="M94:N94"/>
    <mergeCell ref="O94:P94"/>
    <mergeCell ref="Q94:R94"/>
    <mergeCell ref="S94:T94"/>
    <mergeCell ref="S91:T91"/>
    <mergeCell ref="S66:T66"/>
  </mergeCells>
  <printOptions horizontalCentered="1" verticalCentered="1"/>
  <pageMargins left="0.19685039370078741" right="0.19685039370078741" top="0.23622047244094491" bottom="0.19685039370078741" header="0.19685039370078741" footer="0.19685039370078741"/>
  <pageSetup paperSize="9" scale="47" orientation="landscape" horizontalDpi="300" verticalDpi="300" r:id="rId1"/>
  <rowBreaks count="3" manualBreakCount="3">
    <brk id="34" max="25" man="1"/>
    <brk id="67" max="16383" man="1"/>
    <brk id="99" max="16383" man="1"/>
  </rowBreaks>
  <ignoredErrors>
    <ignoredError sqref="W12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BI94"/>
  <sheetViews>
    <sheetView rightToLeft="1" view="pageBreakPreview" zoomScale="50" zoomScaleNormal="100" zoomScaleSheetLayoutView="50" workbookViewId="0">
      <selection activeCell="A7" sqref="A7"/>
    </sheetView>
  </sheetViews>
  <sheetFormatPr defaultColWidth="6.375" defaultRowHeight="20.25" customHeight="1"/>
  <cols>
    <col min="1" max="1" width="12.125" style="38" customWidth="1"/>
    <col min="2" max="2" width="7" style="46" customWidth="1"/>
    <col min="3" max="26" width="6" style="38" customWidth="1"/>
    <col min="27" max="28" width="6.75" style="38" customWidth="1"/>
    <col min="29" max="29" width="5.375" style="38" bestFit="1" customWidth="1"/>
    <col min="30" max="30" width="4" style="38" bestFit="1" customWidth="1"/>
    <col min="31" max="31" width="5.375" style="38" bestFit="1" customWidth="1"/>
    <col min="32" max="37" width="4" style="38" bestFit="1" customWidth="1"/>
    <col min="38" max="38" width="5.375" style="38" bestFit="1" customWidth="1"/>
    <col min="39" max="42" width="4" style="38" bestFit="1" customWidth="1"/>
    <col min="43" max="43" width="5.375" style="38" bestFit="1" customWidth="1"/>
    <col min="44" max="44" width="5.25" style="38" customWidth="1"/>
    <col min="45" max="45" width="6" style="38" customWidth="1"/>
    <col min="46" max="46" width="4" style="38" bestFit="1" customWidth="1"/>
    <col min="47" max="47" width="5.25" style="38" customWidth="1"/>
    <col min="48" max="49" width="6" style="38" customWidth="1"/>
    <col min="50" max="50" width="5.875" style="38" customWidth="1"/>
    <col min="51" max="51" width="6.125" style="38" customWidth="1"/>
    <col min="52" max="52" width="5.125" style="38" bestFit="1" customWidth="1"/>
    <col min="53" max="55" width="4" style="38" bestFit="1" customWidth="1"/>
    <col min="56" max="56" width="5.375" style="38" bestFit="1" customWidth="1"/>
    <col min="57" max="59" width="4" style="38" bestFit="1" customWidth="1"/>
    <col min="60" max="60" width="5.375" style="38" bestFit="1" customWidth="1"/>
    <col min="61" max="61" width="10.125" style="38" customWidth="1"/>
    <col min="62" max="16384" width="6.375" style="38"/>
  </cols>
  <sheetData>
    <row r="1" spans="1:61" s="28" customFormat="1" ht="26.25" customHeight="1">
      <c r="A1" s="454" t="s">
        <v>146</v>
      </c>
      <c r="B1" s="454"/>
      <c r="C1" s="454"/>
      <c r="D1" s="454"/>
      <c r="E1" s="454"/>
      <c r="F1" s="454"/>
      <c r="G1" s="454"/>
      <c r="H1" s="454"/>
      <c r="I1" s="454"/>
      <c r="J1" s="454"/>
      <c r="K1" s="454"/>
      <c r="L1" s="454"/>
      <c r="BB1" s="454" t="s">
        <v>110</v>
      </c>
      <c r="BC1" s="454"/>
      <c r="BD1" s="454"/>
      <c r="BE1" s="454"/>
      <c r="BF1" s="454"/>
      <c r="BG1" s="454"/>
      <c r="BH1" s="454"/>
      <c r="BI1" s="454"/>
    </row>
    <row r="2" spans="1:61" s="28" customFormat="1" ht="20.25" customHeight="1">
      <c r="A2" s="340" t="s">
        <v>185</v>
      </c>
      <c r="B2" s="340"/>
      <c r="C2" s="340"/>
      <c r="D2" s="340"/>
      <c r="E2" s="340"/>
      <c r="F2" s="340"/>
      <c r="G2" s="340"/>
      <c r="H2" s="340"/>
      <c r="I2" s="340"/>
      <c r="J2" s="340"/>
      <c r="K2" s="340"/>
      <c r="L2" s="340"/>
      <c r="Q2" s="31"/>
      <c r="R2" s="31"/>
      <c r="V2" s="340" t="s">
        <v>188</v>
      </c>
      <c r="W2" s="340"/>
      <c r="X2" s="340"/>
      <c r="Y2" s="340"/>
      <c r="Z2" s="340"/>
      <c r="AA2" s="340"/>
      <c r="AB2" s="340"/>
      <c r="AC2" s="340"/>
      <c r="AD2" s="340"/>
      <c r="AE2" s="340"/>
      <c r="AF2" s="340"/>
      <c r="AG2" s="340"/>
      <c r="AH2" s="340"/>
    </row>
    <row r="3" spans="1:61" s="28" customFormat="1" ht="20.25" customHeight="1">
      <c r="A3" s="454" t="s">
        <v>218</v>
      </c>
      <c r="B3" s="454"/>
      <c r="C3" s="454"/>
      <c r="D3" s="454"/>
      <c r="E3" s="454"/>
      <c r="F3" s="454"/>
      <c r="G3" s="454"/>
      <c r="H3" s="454"/>
      <c r="I3" s="454"/>
      <c r="J3" s="454"/>
      <c r="K3" s="454"/>
      <c r="L3" s="454"/>
      <c r="M3" s="454"/>
      <c r="N3" s="454"/>
      <c r="O3" s="454"/>
      <c r="P3" s="454"/>
      <c r="Q3" s="454"/>
      <c r="R3" s="454"/>
      <c r="S3" s="454"/>
      <c r="T3" s="454"/>
      <c r="U3" s="454"/>
      <c r="V3" s="454"/>
      <c r="W3" s="454"/>
      <c r="X3" s="454"/>
      <c r="Y3" s="454"/>
      <c r="Z3" s="454"/>
      <c r="AA3" s="454"/>
      <c r="AB3" s="454"/>
      <c r="AC3" s="454"/>
      <c r="AD3" s="454"/>
      <c r="AE3" s="454"/>
      <c r="AF3" s="454"/>
      <c r="AG3" s="454"/>
      <c r="AH3" s="454"/>
      <c r="AI3" s="454"/>
      <c r="AJ3" s="454"/>
      <c r="AK3" s="454"/>
      <c r="AL3" s="454"/>
      <c r="AM3" s="454"/>
      <c r="AN3" s="454"/>
      <c r="AO3" s="454"/>
      <c r="AP3" s="454"/>
      <c r="AQ3" s="454"/>
      <c r="AR3" s="454"/>
      <c r="AS3" s="454"/>
      <c r="AT3" s="454"/>
      <c r="AU3" s="454"/>
      <c r="AV3" s="454"/>
      <c r="AW3" s="454"/>
      <c r="AX3" s="454"/>
      <c r="AY3" s="454"/>
      <c r="AZ3" s="454"/>
      <c r="BA3" s="454"/>
      <c r="BB3" s="454"/>
      <c r="BC3" s="454"/>
      <c r="BD3" s="454"/>
      <c r="BE3" s="454"/>
      <c r="BF3" s="454"/>
      <c r="BG3" s="454"/>
      <c r="BH3" s="454"/>
      <c r="BI3" s="454"/>
    </row>
    <row r="4" spans="1:61" s="28" customFormat="1" ht="20.25" customHeight="1">
      <c r="A4" s="454" t="s">
        <v>505</v>
      </c>
      <c r="B4" s="454"/>
      <c r="C4" s="454"/>
      <c r="D4" s="454"/>
      <c r="E4" s="454"/>
      <c r="F4" s="454"/>
      <c r="G4" s="454"/>
      <c r="H4" s="454"/>
      <c r="I4" s="454"/>
      <c r="J4" s="454"/>
      <c r="K4" s="454"/>
      <c r="L4" s="454"/>
      <c r="M4" s="454"/>
      <c r="N4" s="454"/>
      <c r="O4" s="454"/>
      <c r="P4" s="454"/>
      <c r="Q4" s="454"/>
      <c r="R4" s="454"/>
      <c r="S4" s="454"/>
      <c r="T4" s="454"/>
      <c r="U4" s="454"/>
      <c r="V4" s="454"/>
      <c r="W4" s="454"/>
      <c r="X4" s="454"/>
      <c r="Y4" s="454"/>
      <c r="Z4" s="454"/>
      <c r="AA4" s="454"/>
      <c r="AB4" s="454"/>
      <c r="AC4" s="454"/>
      <c r="AD4" s="454"/>
      <c r="AE4" s="454"/>
      <c r="AF4" s="454"/>
      <c r="AG4" s="454"/>
      <c r="AH4" s="454"/>
      <c r="AI4" s="454"/>
      <c r="AJ4" s="454"/>
      <c r="AK4" s="454"/>
      <c r="AL4" s="454"/>
      <c r="AM4" s="454"/>
      <c r="AN4" s="454"/>
      <c r="AO4" s="454"/>
      <c r="AP4" s="454"/>
      <c r="AQ4" s="454"/>
      <c r="AR4" s="454"/>
      <c r="AS4" s="454"/>
      <c r="AT4" s="454"/>
      <c r="AU4" s="454"/>
      <c r="AV4" s="454"/>
      <c r="AW4" s="454"/>
      <c r="AX4" s="454"/>
      <c r="AY4" s="454"/>
      <c r="AZ4" s="454"/>
      <c r="BA4" s="454"/>
      <c r="BB4" s="454"/>
      <c r="BC4" s="454"/>
      <c r="BD4" s="454"/>
      <c r="BE4" s="454"/>
      <c r="BF4" s="454"/>
      <c r="BG4" s="454"/>
      <c r="BH4" s="454"/>
      <c r="BI4" s="454"/>
    </row>
    <row r="5" spans="1:61" s="28" customFormat="1" ht="20.25" customHeight="1">
      <c r="A5" s="454" t="s">
        <v>219</v>
      </c>
      <c r="B5" s="454"/>
      <c r="C5" s="454"/>
      <c r="D5" s="454"/>
      <c r="E5" s="454"/>
      <c r="F5" s="454"/>
      <c r="G5" s="454"/>
      <c r="H5" s="454"/>
      <c r="I5" s="454"/>
      <c r="J5" s="454"/>
      <c r="K5" s="454"/>
      <c r="L5" s="454"/>
      <c r="M5" s="454"/>
      <c r="N5" s="454"/>
      <c r="O5" s="454"/>
      <c r="P5" s="454"/>
      <c r="Q5" s="454"/>
      <c r="R5" s="454"/>
      <c r="S5" s="454"/>
      <c r="T5" s="454"/>
      <c r="U5" s="454"/>
      <c r="V5" s="454"/>
      <c r="W5" s="454"/>
      <c r="X5" s="454"/>
      <c r="Y5" s="454"/>
      <c r="Z5" s="454"/>
      <c r="AA5" s="454"/>
      <c r="AB5" s="454"/>
      <c r="AC5" s="454"/>
      <c r="AD5" s="454"/>
      <c r="AE5" s="454"/>
      <c r="AF5" s="454"/>
      <c r="AG5" s="454"/>
      <c r="AH5" s="454"/>
      <c r="AI5" s="454"/>
      <c r="AJ5" s="454"/>
      <c r="AK5" s="454"/>
      <c r="AL5" s="454"/>
      <c r="AM5" s="454"/>
      <c r="AN5" s="454"/>
      <c r="AO5" s="454"/>
      <c r="AP5" s="454"/>
      <c r="AQ5" s="454"/>
      <c r="AR5" s="454"/>
      <c r="AS5" s="454"/>
      <c r="AT5" s="454"/>
      <c r="AU5" s="454"/>
      <c r="AV5" s="454"/>
      <c r="AW5" s="454"/>
      <c r="AX5" s="454"/>
      <c r="AY5" s="454"/>
      <c r="AZ5" s="454"/>
      <c r="BA5" s="454"/>
      <c r="BB5" s="454"/>
      <c r="BC5" s="454"/>
      <c r="BD5" s="454"/>
      <c r="BE5" s="454"/>
      <c r="BF5" s="454"/>
      <c r="BG5" s="454"/>
      <c r="BH5" s="454"/>
      <c r="BI5" s="454"/>
    </row>
    <row r="6" spans="1:61" s="10" customFormat="1" ht="20.25" customHeight="1" thickBot="1">
      <c r="B6" s="40"/>
    </row>
    <row r="7" spans="1:61" s="10" customFormat="1" ht="125.25" thickTop="1" thickBot="1">
      <c r="A7" s="51" t="s">
        <v>113</v>
      </c>
      <c r="B7" s="51" t="s">
        <v>220</v>
      </c>
      <c r="C7" s="51" t="s">
        <v>224</v>
      </c>
      <c r="D7" s="51" t="s">
        <v>221</v>
      </c>
      <c r="E7" s="51" t="s">
        <v>222</v>
      </c>
      <c r="F7" s="51" t="s">
        <v>223</v>
      </c>
      <c r="G7" s="51" t="s">
        <v>225</v>
      </c>
      <c r="H7" s="51" t="s">
        <v>226</v>
      </c>
      <c r="I7" s="51" t="s">
        <v>227</v>
      </c>
      <c r="J7" s="51" t="s">
        <v>228</v>
      </c>
      <c r="K7" s="51" t="s">
        <v>229</v>
      </c>
      <c r="L7" s="51" t="s">
        <v>230</v>
      </c>
      <c r="M7" s="51" t="s">
        <v>231</v>
      </c>
      <c r="N7" s="51" t="s">
        <v>232</v>
      </c>
      <c r="O7" s="51" t="s">
        <v>233</v>
      </c>
      <c r="P7" s="51" t="s">
        <v>234</v>
      </c>
      <c r="Q7" s="51" t="s">
        <v>235</v>
      </c>
      <c r="R7" s="51" t="s">
        <v>236</v>
      </c>
      <c r="S7" s="51" t="s">
        <v>237</v>
      </c>
      <c r="T7" s="51" t="s">
        <v>238</v>
      </c>
      <c r="U7" s="51" t="s">
        <v>239</v>
      </c>
      <c r="V7" s="51" t="s">
        <v>240</v>
      </c>
      <c r="W7" s="51" t="s">
        <v>241</v>
      </c>
      <c r="X7" s="51" t="s">
        <v>242</v>
      </c>
      <c r="Y7" s="51" t="s">
        <v>243</v>
      </c>
      <c r="Z7" s="51" t="s">
        <v>244</v>
      </c>
      <c r="AA7" s="51" t="s">
        <v>245</v>
      </c>
      <c r="AB7" s="51" t="s">
        <v>246</v>
      </c>
      <c r="AC7" s="51" t="s">
        <v>247</v>
      </c>
      <c r="AD7" s="51" t="s">
        <v>248</v>
      </c>
      <c r="AE7" s="51" t="s">
        <v>249</v>
      </c>
      <c r="AF7" s="51" t="s">
        <v>250</v>
      </c>
      <c r="AG7" s="51" t="s">
        <v>251</v>
      </c>
      <c r="AH7" s="51" t="s">
        <v>252</v>
      </c>
      <c r="AI7" s="51" t="s">
        <v>253</v>
      </c>
      <c r="AJ7" s="51" t="s">
        <v>254</v>
      </c>
      <c r="AK7" s="51" t="s">
        <v>255</v>
      </c>
      <c r="AL7" s="51" t="s">
        <v>256</v>
      </c>
      <c r="AM7" s="51" t="s">
        <v>257</v>
      </c>
      <c r="AN7" s="51" t="s">
        <v>258</v>
      </c>
      <c r="AO7" s="51" t="s">
        <v>259</v>
      </c>
      <c r="AP7" s="51" t="s">
        <v>260</v>
      </c>
      <c r="AQ7" s="51" t="s">
        <v>261</v>
      </c>
      <c r="AR7" s="51" t="s">
        <v>262</v>
      </c>
      <c r="AS7" s="51" t="s">
        <v>263</v>
      </c>
      <c r="AT7" s="51" t="s">
        <v>264</v>
      </c>
      <c r="AU7" s="51" t="s">
        <v>265</v>
      </c>
      <c r="AV7" s="51" t="s">
        <v>266</v>
      </c>
      <c r="AW7" s="51" t="s">
        <v>267</v>
      </c>
      <c r="AX7" s="51" t="s">
        <v>268</v>
      </c>
      <c r="AY7" s="51" t="s">
        <v>269</v>
      </c>
      <c r="AZ7" s="51" t="s">
        <v>270</v>
      </c>
      <c r="BA7" s="51" t="s">
        <v>271</v>
      </c>
      <c r="BB7" s="51" t="s">
        <v>272</v>
      </c>
      <c r="BC7" s="51" t="s">
        <v>273</v>
      </c>
      <c r="BD7" s="51" t="s">
        <v>274</v>
      </c>
      <c r="BE7" s="51" t="s">
        <v>358</v>
      </c>
      <c r="BF7" s="51" t="s">
        <v>331</v>
      </c>
      <c r="BG7" s="51" t="s">
        <v>330</v>
      </c>
      <c r="BH7" s="51" t="s">
        <v>36</v>
      </c>
      <c r="BI7" s="51" t="s">
        <v>25</v>
      </c>
    </row>
    <row r="8" spans="1:61" s="36" customFormat="1" ht="71.25" customHeight="1" thickTop="1" thickBot="1">
      <c r="A8" s="455" t="s">
        <v>275</v>
      </c>
      <c r="B8" s="43" t="s">
        <v>73</v>
      </c>
      <c r="C8" s="30">
        <f>المهني!GJ17</f>
        <v>1</v>
      </c>
      <c r="D8" s="30">
        <f>المهني!GL17</f>
        <v>0</v>
      </c>
      <c r="E8" s="30">
        <f>المهني!GN17</f>
        <v>4</v>
      </c>
      <c r="F8" s="30">
        <f>المهني!GP17</f>
        <v>0</v>
      </c>
      <c r="G8" s="30">
        <f>المهني!GR17</f>
        <v>2</v>
      </c>
      <c r="H8" s="30">
        <f>المهني!GT17</f>
        <v>0</v>
      </c>
      <c r="I8" s="30">
        <f>المهني!GV17</f>
        <v>0</v>
      </c>
      <c r="J8" s="30">
        <f>المهني!GX17</f>
        <v>0</v>
      </c>
      <c r="K8" s="30">
        <f>المهني!GZ17</f>
        <v>0</v>
      </c>
      <c r="L8" s="30">
        <f>المهني!HB17</f>
        <v>0</v>
      </c>
      <c r="M8" s="30">
        <f>المهني!HD17</f>
        <v>0</v>
      </c>
      <c r="N8" s="30">
        <f>المهني!HF17</f>
        <v>1</v>
      </c>
      <c r="O8" s="30">
        <f>المهني!HH17</f>
        <v>0</v>
      </c>
      <c r="P8" s="30">
        <f>المهني!HJ17</f>
        <v>0</v>
      </c>
      <c r="Q8" s="30">
        <f>المهني!HL17</f>
        <v>0</v>
      </c>
      <c r="R8" s="30">
        <f>المهني!HN17</f>
        <v>0</v>
      </c>
      <c r="S8" s="30">
        <f>المهني!HP17</f>
        <v>0</v>
      </c>
      <c r="T8" s="30">
        <f>المهني!HR17</f>
        <v>0</v>
      </c>
      <c r="U8" s="30">
        <f>المهني!HT17</f>
        <v>0</v>
      </c>
      <c r="V8" s="30">
        <f>المهني!HV17</f>
        <v>0</v>
      </c>
      <c r="W8" s="30">
        <f>المهني!HX17</f>
        <v>0</v>
      </c>
      <c r="X8" s="30">
        <f>المهني!HZ17</f>
        <v>0</v>
      </c>
      <c r="Y8" s="30">
        <f>المهني!IB17</f>
        <v>0</v>
      </c>
      <c r="Z8" s="30">
        <f>المهني!ID17</f>
        <v>0</v>
      </c>
      <c r="AA8" s="30">
        <f>المهني!IF17</f>
        <v>0</v>
      </c>
      <c r="AB8" s="30">
        <f>المهني!IH17</f>
        <v>0</v>
      </c>
      <c r="AC8" s="30">
        <f>المهني!IJ17</f>
        <v>1</v>
      </c>
      <c r="AD8" s="30">
        <f>المهني!IL17</f>
        <v>0</v>
      </c>
      <c r="AE8" s="30">
        <f>المهني!IN17</f>
        <v>0</v>
      </c>
      <c r="AF8" s="30">
        <f>المهني!IP17</f>
        <v>0</v>
      </c>
      <c r="AG8" s="30">
        <f>المهني!IR17</f>
        <v>0</v>
      </c>
      <c r="AH8" s="30">
        <f>المهني!IT17</f>
        <v>0</v>
      </c>
      <c r="AI8" s="30">
        <f>المهني!IV17</f>
        <v>0</v>
      </c>
      <c r="AJ8" s="30">
        <f>المهني!IX17</f>
        <v>0</v>
      </c>
      <c r="AK8" s="30">
        <f>المهني!IZ17</f>
        <v>0</v>
      </c>
      <c r="AL8" s="30">
        <f>المهني!JB17</f>
        <v>0</v>
      </c>
      <c r="AM8" s="30">
        <f>المهني!JD17</f>
        <v>0</v>
      </c>
      <c r="AN8" s="30">
        <f>المهني!JF17</f>
        <v>0</v>
      </c>
      <c r="AO8" s="30">
        <f>المهني!JH17</f>
        <v>0</v>
      </c>
      <c r="AP8" s="30">
        <f>المهني!JJ17</f>
        <v>0</v>
      </c>
      <c r="AQ8" s="30">
        <f>المهني!JL17</f>
        <v>0</v>
      </c>
      <c r="AR8" s="30">
        <f>المهني!JN17</f>
        <v>0</v>
      </c>
      <c r="AS8" s="30">
        <f>المهني!JP17</f>
        <v>0</v>
      </c>
      <c r="AT8" s="30">
        <f>المهني!JR17</f>
        <v>0</v>
      </c>
      <c r="AU8" s="30">
        <f>المهني!JT17</f>
        <v>0</v>
      </c>
      <c r="AV8" s="30">
        <f>المهني!JV17</f>
        <v>0</v>
      </c>
      <c r="AW8" s="30">
        <f>المهني!JX17</f>
        <v>0</v>
      </c>
      <c r="AX8" s="30">
        <f>المهني!JZ17</f>
        <v>0</v>
      </c>
      <c r="AY8" s="30">
        <f>المهني!KB17</f>
        <v>0</v>
      </c>
      <c r="AZ8" s="30">
        <f>المهني!KD17</f>
        <v>0</v>
      </c>
      <c r="BA8" s="30">
        <f>المهني!KF17</f>
        <v>0</v>
      </c>
      <c r="BB8" s="30">
        <f>المهني!KH17</f>
        <v>0</v>
      </c>
      <c r="BC8" s="30">
        <f>المهني!KJ17</f>
        <v>0</v>
      </c>
      <c r="BD8" s="30">
        <f>المهني!KN17</f>
        <v>0</v>
      </c>
      <c r="BE8" s="30">
        <f>المهني!KL41</f>
        <v>0</v>
      </c>
      <c r="BF8" s="30"/>
      <c r="BG8" s="30"/>
      <c r="BH8" s="30">
        <f>المهني!KT17</f>
        <v>4</v>
      </c>
      <c r="BI8" s="30">
        <f>SUM(C8:BH8)</f>
        <v>13</v>
      </c>
    </row>
    <row r="9" spans="1:61" s="36" customFormat="1" ht="71.25" customHeight="1" thickTop="1" thickBot="1">
      <c r="A9" s="456"/>
      <c r="B9" s="43" t="s">
        <v>29</v>
      </c>
      <c r="C9" s="30">
        <f>المهني!GK17</f>
        <v>5</v>
      </c>
      <c r="D9" s="30">
        <f>المهني!GM17</f>
        <v>0</v>
      </c>
      <c r="E9" s="30">
        <f>المهني!GO17</f>
        <v>1</v>
      </c>
      <c r="F9" s="30">
        <f>المهني!GQ17</f>
        <v>0</v>
      </c>
      <c r="G9" s="30">
        <f>المهني!GS17</f>
        <v>1</v>
      </c>
      <c r="H9" s="30">
        <f>المهني!GU17</f>
        <v>0</v>
      </c>
      <c r="I9" s="30">
        <f>المهني!GW17</f>
        <v>2</v>
      </c>
      <c r="J9" s="30">
        <f>المهني!GY17</f>
        <v>0</v>
      </c>
      <c r="K9" s="30">
        <f>المهني!HA17</f>
        <v>0</v>
      </c>
      <c r="L9" s="30">
        <f>المهني!HC17</f>
        <v>0</v>
      </c>
      <c r="M9" s="30">
        <f>المهني!HE17</f>
        <v>0</v>
      </c>
      <c r="N9" s="30">
        <f>المهني!HG17</f>
        <v>0</v>
      </c>
      <c r="O9" s="30">
        <f>المهني!HI17</f>
        <v>0</v>
      </c>
      <c r="P9" s="30">
        <f>المهني!HK17</f>
        <v>0</v>
      </c>
      <c r="Q9" s="30">
        <f>المهني!HM17</f>
        <v>0</v>
      </c>
      <c r="R9" s="30">
        <f>المهني!HO17</f>
        <v>0</v>
      </c>
      <c r="S9" s="30">
        <f>المهني!HQ17</f>
        <v>0</v>
      </c>
      <c r="T9" s="30">
        <f>المهني!HS17</f>
        <v>0</v>
      </c>
      <c r="U9" s="30">
        <f>المهني!HU17</f>
        <v>0</v>
      </c>
      <c r="V9" s="30">
        <f>المهني!HW17</f>
        <v>0</v>
      </c>
      <c r="W9" s="30">
        <f>المهني!HY17</f>
        <v>0</v>
      </c>
      <c r="X9" s="30">
        <f>المهني!IA17</f>
        <v>0</v>
      </c>
      <c r="Y9" s="30">
        <f>المهني!IC17</f>
        <v>0</v>
      </c>
      <c r="Z9" s="30">
        <f>المهني!IE17</f>
        <v>0</v>
      </c>
      <c r="AA9" s="30">
        <f>المهني!IG17</f>
        <v>0</v>
      </c>
      <c r="AB9" s="30">
        <f>المهني!II17</f>
        <v>0</v>
      </c>
      <c r="AC9" s="30">
        <f>المهني!IK17</f>
        <v>0</v>
      </c>
      <c r="AD9" s="30">
        <f>المهني!IM17</f>
        <v>0</v>
      </c>
      <c r="AE9" s="30">
        <f>المهني!IO17</f>
        <v>0</v>
      </c>
      <c r="AF9" s="30">
        <f>المهني!IQ17</f>
        <v>0</v>
      </c>
      <c r="AG9" s="30">
        <f>المهني!IS17</f>
        <v>0</v>
      </c>
      <c r="AH9" s="30">
        <f>المهني!IU17</f>
        <v>0</v>
      </c>
      <c r="AI9" s="30">
        <f>المهني!IW17</f>
        <v>0</v>
      </c>
      <c r="AJ9" s="30">
        <f>المهني!IY17</f>
        <v>0</v>
      </c>
      <c r="AK9" s="30">
        <f>المهني!JA17</f>
        <v>0</v>
      </c>
      <c r="AL9" s="30">
        <f>المهني!JC17</f>
        <v>0</v>
      </c>
      <c r="AM9" s="30">
        <f>المهني!JE17</f>
        <v>0</v>
      </c>
      <c r="AN9" s="30">
        <f>المهني!JG17</f>
        <v>0</v>
      </c>
      <c r="AO9" s="30">
        <f>المهني!JI17</f>
        <v>0</v>
      </c>
      <c r="AP9" s="30">
        <f>المهني!JK17</f>
        <v>0</v>
      </c>
      <c r="AQ9" s="30">
        <f>المهني!JM17</f>
        <v>0</v>
      </c>
      <c r="AR9" s="30">
        <f>المهني!JO17</f>
        <v>0</v>
      </c>
      <c r="AS9" s="30">
        <f>المهني!JQ17</f>
        <v>0</v>
      </c>
      <c r="AT9" s="30">
        <f>المهني!JS17</f>
        <v>0</v>
      </c>
      <c r="AU9" s="30">
        <f>المهني!JU17</f>
        <v>0</v>
      </c>
      <c r="AV9" s="30">
        <f>المهني!JW17</f>
        <v>0</v>
      </c>
      <c r="AW9" s="30">
        <f>المهني!JY17</f>
        <v>0</v>
      </c>
      <c r="AX9" s="30">
        <f>المهني!KA17</f>
        <v>0</v>
      </c>
      <c r="AY9" s="30">
        <f>المهني!KC17</f>
        <v>0</v>
      </c>
      <c r="AZ9" s="30">
        <f>المهني!KE17</f>
        <v>0</v>
      </c>
      <c r="BA9" s="30">
        <f>المهني!KG17</f>
        <v>0</v>
      </c>
      <c r="BB9" s="30">
        <f>المهني!KI17</f>
        <v>0</v>
      </c>
      <c r="BC9" s="30">
        <f>المهني!KK17</f>
        <v>0</v>
      </c>
      <c r="BD9" s="30">
        <f>المهني!KO17</f>
        <v>5</v>
      </c>
      <c r="BE9" s="30"/>
      <c r="BF9" s="30"/>
      <c r="BG9" s="30"/>
      <c r="BH9" s="30">
        <f>المهني!KU17</f>
        <v>5</v>
      </c>
      <c r="BI9" s="30">
        <f>SUM(C9:BH9)</f>
        <v>19</v>
      </c>
    </row>
    <row r="10" spans="1:61" s="36" customFormat="1" ht="71.25" customHeight="1" thickTop="1" thickBot="1">
      <c r="A10" s="455" t="s">
        <v>276</v>
      </c>
      <c r="B10" s="43" t="s">
        <v>73</v>
      </c>
      <c r="C10" s="37">
        <f>المهني!GJ28</f>
        <v>0</v>
      </c>
      <c r="D10" s="37">
        <f>المهني!GL28</f>
        <v>0</v>
      </c>
      <c r="E10" s="37">
        <f>المهني!GN28</f>
        <v>0</v>
      </c>
      <c r="F10" s="37">
        <f>المهني!GP28</f>
        <v>0</v>
      </c>
      <c r="G10" s="37">
        <f>المهني!GR28</f>
        <v>0</v>
      </c>
      <c r="H10" s="37">
        <f>المهني!GT28</f>
        <v>0</v>
      </c>
      <c r="I10" s="37">
        <f>المهني!GV28</f>
        <v>0</v>
      </c>
      <c r="J10" s="37">
        <f>المهني!GX28</f>
        <v>0</v>
      </c>
      <c r="K10" s="37">
        <f>المهني!GZ28</f>
        <v>0</v>
      </c>
      <c r="L10" s="37">
        <f>المهني!HB28</f>
        <v>0</v>
      </c>
      <c r="M10" s="37">
        <f>المهني!HD28</f>
        <v>0</v>
      </c>
      <c r="N10" s="37">
        <f>المهني!HF28</f>
        <v>0</v>
      </c>
      <c r="O10" s="37">
        <f>المهني!HH28</f>
        <v>0</v>
      </c>
      <c r="P10" s="37">
        <f>المهني!HJ28</f>
        <v>0</v>
      </c>
      <c r="Q10" s="37">
        <f>المهني!HL28</f>
        <v>0</v>
      </c>
      <c r="R10" s="37">
        <f>المهني!HN28</f>
        <v>0</v>
      </c>
      <c r="S10" s="37">
        <f>المهني!HP28</f>
        <v>0</v>
      </c>
      <c r="T10" s="37">
        <f>المهني!HR28</f>
        <v>0</v>
      </c>
      <c r="U10" s="37">
        <f>المهني!HT28</f>
        <v>0</v>
      </c>
      <c r="V10" s="37">
        <f>المهني!HV28</f>
        <v>0</v>
      </c>
      <c r="W10" s="37">
        <f>المهني!HX28</f>
        <v>0</v>
      </c>
      <c r="X10" s="37">
        <f>المهني!HZ28</f>
        <v>0</v>
      </c>
      <c r="Y10" s="37">
        <f>المهني!IB28</f>
        <v>0</v>
      </c>
      <c r="Z10" s="37">
        <f>المهني!ID28</f>
        <v>0</v>
      </c>
      <c r="AA10" s="37">
        <f>المهني!IF28</f>
        <v>0</v>
      </c>
      <c r="AB10" s="37">
        <f>المهني!IH28</f>
        <v>0</v>
      </c>
      <c r="AC10" s="37">
        <f>المهني!IJ28</f>
        <v>0</v>
      </c>
      <c r="AD10" s="37">
        <f>المهني!IL28</f>
        <v>0</v>
      </c>
      <c r="AE10" s="37">
        <f>المهني!IN28</f>
        <v>0</v>
      </c>
      <c r="AF10" s="37">
        <f>المهني!IP28</f>
        <v>0</v>
      </c>
      <c r="AG10" s="37">
        <f>المهني!IR28</f>
        <v>0</v>
      </c>
      <c r="AH10" s="37">
        <f>المهني!IT28</f>
        <v>0</v>
      </c>
      <c r="AI10" s="37">
        <f>المهني!IV28</f>
        <v>0</v>
      </c>
      <c r="AJ10" s="37">
        <f>المهني!IX28</f>
        <v>0</v>
      </c>
      <c r="AK10" s="37">
        <f>المهني!IZ28</f>
        <v>0</v>
      </c>
      <c r="AL10" s="37">
        <f>المهني!JB28</f>
        <v>0</v>
      </c>
      <c r="AM10" s="37">
        <f>المهني!JD28</f>
        <v>0</v>
      </c>
      <c r="AN10" s="37">
        <f>المهني!JF28</f>
        <v>0</v>
      </c>
      <c r="AO10" s="37">
        <f>المهني!JH28</f>
        <v>0</v>
      </c>
      <c r="AP10" s="37">
        <f>المهني!JJ28</f>
        <v>0</v>
      </c>
      <c r="AQ10" s="37">
        <f>المهني!JL28</f>
        <v>0</v>
      </c>
      <c r="AR10" s="37">
        <f>المهني!JN28</f>
        <v>0</v>
      </c>
      <c r="AS10" s="37">
        <f>المهني!JP28</f>
        <v>0</v>
      </c>
      <c r="AT10" s="37">
        <f>المهني!JR28</f>
        <v>0</v>
      </c>
      <c r="AU10" s="37">
        <f>المهني!JT28</f>
        <v>0</v>
      </c>
      <c r="AV10" s="37">
        <f>المهني!JV28</f>
        <v>0</v>
      </c>
      <c r="AW10" s="37">
        <f>المهني!JX28</f>
        <v>0</v>
      </c>
      <c r="AX10" s="37">
        <f>المهني!JZ28</f>
        <v>0</v>
      </c>
      <c r="AY10" s="37">
        <f>المهني!KB28</f>
        <v>0</v>
      </c>
      <c r="AZ10" s="37">
        <f>المهني!KD28</f>
        <v>0</v>
      </c>
      <c r="BA10" s="37">
        <f>المهني!KF28</f>
        <v>0</v>
      </c>
      <c r="BB10" s="37">
        <f>المهني!KH28</f>
        <v>0</v>
      </c>
      <c r="BC10" s="37">
        <f>المهني!KJ28</f>
        <v>0</v>
      </c>
      <c r="BD10" s="37">
        <f>المهني!KN28</f>
        <v>0</v>
      </c>
      <c r="BE10" s="37"/>
      <c r="BF10" s="37"/>
      <c r="BG10" s="37"/>
      <c r="BH10" s="35">
        <f>المهني!KT28</f>
        <v>0</v>
      </c>
      <c r="BI10" s="35">
        <f t="shared" ref="BI10:BI13" si="0">SUM(C10:BH10)</f>
        <v>0</v>
      </c>
    </row>
    <row r="11" spans="1:61" s="36" customFormat="1" ht="71.25" customHeight="1" thickTop="1" thickBot="1">
      <c r="A11" s="456"/>
      <c r="B11" s="43" t="s">
        <v>29</v>
      </c>
      <c r="C11" s="37">
        <f>المهني!GK28</f>
        <v>0</v>
      </c>
      <c r="D11" s="37">
        <f>المهني!GM28</f>
        <v>0</v>
      </c>
      <c r="E11" s="37">
        <f>المهني!GO28</f>
        <v>0</v>
      </c>
      <c r="F11" s="37">
        <f>المهني!GQ28</f>
        <v>0</v>
      </c>
      <c r="G11" s="37">
        <f>المهني!GS28</f>
        <v>0</v>
      </c>
      <c r="H11" s="37">
        <f>المهني!GU28</f>
        <v>0</v>
      </c>
      <c r="I11" s="37">
        <f>المهني!GW28</f>
        <v>0</v>
      </c>
      <c r="J11" s="37">
        <f>المهني!GY28</f>
        <v>0</v>
      </c>
      <c r="K11" s="37">
        <f>المهني!HA28</f>
        <v>0</v>
      </c>
      <c r="L11" s="37">
        <f>المهني!HC28</f>
        <v>0</v>
      </c>
      <c r="M11" s="37">
        <f>المهني!HE28</f>
        <v>0</v>
      </c>
      <c r="N11" s="37">
        <f>المهني!HG28</f>
        <v>0</v>
      </c>
      <c r="O11" s="37">
        <f>المهني!HI28</f>
        <v>0</v>
      </c>
      <c r="P11" s="37">
        <f>المهني!HK28</f>
        <v>0</v>
      </c>
      <c r="Q11" s="37">
        <f>المهني!HM28</f>
        <v>0</v>
      </c>
      <c r="R11" s="37">
        <f>المهني!HO28</f>
        <v>0</v>
      </c>
      <c r="S11" s="37">
        <f>المهني!HQ28</f>
        <v>0</v>
      </c>
      <c r="T11" s="37">
        <f>المهني!HS28</f>
        <v>0</v>
      </c>
      <c r="U11" s="37">
        <f>المهني!HU28</f>
        <v>0</v>
      </c>
      <c r="V11" s="37">
        <f>المهني!HW28</f>
        <v>0</v>
      </c>
      <c r="W11" s="37">
        <f>المهني!HY28</f>
        <v>0</v>
      </c>
      <c r="X11" s="37">
        <f>المهني!IA28</f>
        <v>0</v>
      </c>
      <c r="Y11" s="37">
        <f>المهني!IC28</f>
        <v>0</v>
      </c>
      <c r="Z11" s="37">
        <f>المهني!IE28</f>
        <v>0</v>
      </c>
      <c r="AA11" s="37">
        <f>المهني!IG28</f>
        <v>0</v>
      </c>
      <c r="AB11" s="37">
        <f>المهني!II28</f>
        <v>0</v>
      </c>
      <c r="AC11" s="37">
        <f>المهني!IK28</f>
        <v>0</v>
      </c>
      <c r="AD11" s="37">
        <f>المهني!IM28</f>
        <v>0</v>
      </c>
      <c r="AE11" s="37">
        <f>المهني!IO28</f>
        <v>0</v>
      </c>
      <c r="AF11" s="37">
        <f>المهني!IQ28</f>
        <v>0</v>
      </c>
      <c r="AG11" s="37">
        <f>المهني!IS28</f>
        <v>0</v>
      </c>
      <c r="AH11" s="37">
        <f>المهني!IU28</f>
        <v>0</v>
      </c>
      <c r="AI11" s="37">
        <f>المهني!IW28</f>
        <v>0</v>
      </c>
      <c r="AJ11" s="37">
        <f>المهني!IY28</f>
        <v>0</v>
      </c>
      <c r="AK11" s="37">
        <f>المهني!JA28</f>
        <v>0</v>
      </c>
      <c r="AL11" s="37">
        <f>المهني!JC28</f>
        <v>0</v>
      </c>
      <c r="AM11" s="37">
        <f>المهني!JE28</f>
        <v>0</v>
      </c>
      <c r="AN11" s="37">
        <f>المهني!JG28</f>
        <v>0</v>
      </c>
      <c r="AO11" s="37">
        <f>المهني!JI28</f>
        <v>0</v>
      </c>
      <c r="AP11" s="37">
        <f>المهني!JK28</f>
        <v>0</v>
      </c>
      <c r="AQ11" s="37">
        <f>المهني!JM28</f>
        <v>0</v>
      </c>
      <c r="AR11" s="37">
        <f>المهني!JO28</f>
        <v>0</v>
      </c>
      <c r="AS11" s="37">
        <f>المهني!JQ28</f>
        <v>0</v>
      </c>
      <c r="AT11" s="37">
        <f>المهني!JS28</f>
        <v>0</v>
      </c>
      <c r="AU11" s="37">
        <f>المهني!JU28</f>
        <v>0</v>
      </c>
      <c r="AV11" s="37">
        <f>المهني!JW28</f>
        <v>0</v>
      </c>
      <c r="AW11" s="37">
        <f>المهني!JY28</f>
        <v>0</v>
      </c>
      <c r="AX11" s="37">
        <f>المهني!KA28</f>
        <v>0</v>
      </c>
      <c r="AY11" s="37">
        <f>المهني!KC28</f>
        <v>0</v>
      </c>
      <c r="AZ11" s="37">
        <f>المهني!KE28</f>
        <v>0</v>
      </c>
      <c r="BA11" s="37">
        <f>المهني!KG28</f>
        <v>0</v>
      </c>
      <c r="BB11" s="37">
        <f>المهني!KI28</f>
        <v>0</v>
      </c>
      <c r="BC11" s="37">
        <f>المهني!KK28</f>
        <v>0</v>
      </c>
      <c r="BD11" s="37">
        <f>المهني!KO28</f>
        <v>0</v>
      </c>
      <c r="BE11" s="37"/>
      <c r="BF11" s="37"/>
      <c r="BG11" s="37"/>
      <c r="BH11" s="35">
        <f>المهني!KU28</f>
        <v>0</v>
      </c>
      <c r="BI11" s="35">
        <f t="shared" si="0"/>
        <v>0</v>
      </c>
    </row>
    <row r="12" spans="1:61" s="36" customFormat="1" ht="71.25" customHeight="1" thickTop="1" thickBot="1">
      <c r="A12" s="455" t="s">
        <v>277</v>
      </c>
      <c r="B12" s="43" t="s">
        <v>73</v>
      </c>
      <c r="C12" s="130">
        <f>المهني!GJ23</f>
        <v>0</v>
      </c>
      <c r="D12" s="130">
        <f>المهني!GL23</f>
        <v>0</v>
      </c>
      <c r="E12" s="130">
        <f>المهني!GN23</f>
        <v>0</v>
      </c>
      <c r="F12" s="130">
        <f>المهني!GP23</f>
        <v>0</v>
      </c>
      <c r="G12" s="130">
        <f>المهني!GR23</f>
        <v>0</v>
      </c>
      <c r="H12" s="130">
        <f>المهني!GT23</f>
        <v>0</v>
      </c>
      <c r="I12" s="130">
        <f>المهني!GV23</f>
        <v>0</v>
      </c>
      <c r="J12" s="130">
        <f>المهني!GX23</f>
        <v>0</v>
      </c>
      <c r="K12" s="130">
        <f>المهني!GZ23</f>
        <v>0</v>
      </c>
      <c r="L12" s="130">
        <f>المهني!HB23</f>
        <v>0</v>
      </c>
      <c r="M12" s="130">
        <f>المهني!HD23</f>
        <v>0</v>
      </c>
      <c r="N12" s="130">
        <f>المهني!HF23</f>
        <v>0</v>
      </c>
      <c r="O12" s="130">
        <f>المهني!HH23</f>
        <v>0</v>
      </c>
      <c r="P12" s="130">
        <f>المهني!HJ23</f>
        <v>0</v>
      </c>
      <c r="Q12" s="130">
        <f>المهني!HL23</f>
        <v>0</v>
      </c>
      <c r="R12" s="130">
        <f>المهني!HN23</f>
        <v>0</v>
      </c>
      <c r="S12" s="130">
        <f>المهني!HP23</f>
        <v>0</v>
      </c>
      <c r="T12" s="130">
        <f>المهني!HR23</f>
        <v>0</v>
      </c>
      <c r="U12" s="130">
        <f>المهني!HT23</f>
        <v>0</v>
      </c>
      <c r="V12" s="130">
        <f>المهني!HV23</f>
        <v>0</v>
      </c>
      <c r="W12" s="130">
        <f>المهني!HX23</f>
        <v>0</v>
      </c>
      <c r="X12" s="130">
        <f>المهني!HZ23</f>
        <v>0</v>
      </c>
      <c r="Y12" s="130">
        <f>المهني!IB23</f>
        <v>0</v>
      </c>
      <c r="Z12" s="130">
        <f>المهني!ID23</f>
        <v>0</v>
      </c>
      <c r="AA12" s="130">
        <f>المهني!IF23</f>
        <v>0</v>
      </c>
      <c r="AB12" s="130">
        <f>المهني!IH23</f>
        <v>0</v>
      </c>
      <c r="AC12" s="130">
        <f>المهني!IJ23</f>
        <v>0</v>
      </c>
      <c r="AD12" s="130">
        <f>المهني!IL23</f>
        <v>0</v>
      </c>
      <c r="AE12" s="130">
        <f>المهني!IN23</f>
        <v>0</v>
      </c>
      <c r="AF12" s="130">
        <f>المهني!IP23</f>
        <v>0</v>
      </c>
      <c r="AG12" s="130">
        <f>المهني!IR23</f>
        <v>0</v>
      </c>
      <c r="AH12" s="130">
        <f>المهني!IT23</f>
        <v>0</v>
      </c>
      <c r="AI12" s="130">
        <f>المهني!IV23</f>
        <v>0</v>
      </c>
      <c r="AJ12" s="130">
        <f>المهني!IX23</f>
        <v>0</v>
      </c>
      <c r="AK12" s="130">
        <f>المهني!IZ23</f>
        <v>0</v>
      </c>
      <c r="AL12" s="130">
        <f>المهني!JB23</f>
        <v>0</v>
      </c>
      <c r="AM12" s="130">
        <f>المهني!JD23</f>
        <v>0</v>
      </c>
      <c r="AN12" s="130">
        <f>المهني!JF23</f>
        <v>0</v>
      </c>
      <c r="AO12" s="130">
        <f>المهني!JH23</f>
        <v>0</v>
      </c>
      <c r="AP12" s="130">
        <f>المهني!JJ23</f>
        <v>0</v>
      </c>
      <c r="AQ12" s="130">
        <f>المهني!JL23</f>
        <v>0</v>
      </c>
      <c r="AR12" s="130">
        <f>المهني!JN23</f>
        <v>0</v>
      </c>
      <c r="AS12" s="130">
        <f>المهني!JP23</f>
        <v>0</v>
      </c>
      <c r="AT12" s="130">
        <f>المهني!JR23</f>
        <v>0</v>
      </c>
      <c r="AU12" s="130">
        <f>المهني!JT23</f>
        <v>0</v>
      </c>
      <c r="AV12" s="130">
        <f>المهني!JV23</f>
        <v>0</v>
      </c>
      <c r="AW12" s="130">
        <f>المهني!JX23</f>
        <v>0</v>
      </c>
      <c r="AX12" s="130">
        <v>0</v>
      </c>
      <c r="AY12" s="130">
        <f>المهني!KB23</f>
        <v>0</v>
      </c>
      <c r="AZ12" s="130">
        <f>المهني!KD23</f>
        <v>0</v>
      </c>
      <c r="BA12" s="130">
        <f>المهني!KF23</f>
        <v>0</v>
      </c>
      <c r="BB12" s="130">
        <f>المهني!KH23</f>
        <v>0</v>
      </c>
      <c r="BC12" s="130">
        <f>المهني!KJ23</f>
        <v>0</v>
      </c>
      <c r="BD12" s="130">
        <f>المهني!KN23</f>
        <v>0</v>
      </c>
      <c r="BE12" s="130"/>
      <c r="BF12" s="130"/>
      <c r="BG12" s="130"/>
      <c r="BH12" s="130">
        <f>المهني!KT23</f>
        <v>0</v>
      </c>
      <c r="BI12" s="35">
        <f>SUM(C12:BH12)</f>
        <v>0</v>
      </c>
    </row>
    <row r="13" spans="1:61" s="36" customFormat="1" ht="71.25" customHeight="1" thickTop="1" thickBot="1">
      <c r="A13" s="456"/>
      <c r="B13" s="43" t="s">
        <v>29</v>
      </c>
      <c r="C13" s="130">
        <f>المهني!GK23</f>
        <v>0</v>
      </c>
      <c r="D13" s="130">
        <f>المهني!GM23</f>
        <v>0</v>
      </c>
      <c r="E13" s="130">
        <f>المهني!GO23</f>
        <v>0</v>
      </c>
      <c r="F13" s="130">
        <f>المهني!GQ23</f>
        <v>0</v>
      </c>
      <c r="G13" s="130">
        <f>المهني!GS23</f>
        <v>0</v>
      </c>
      <c r="H13" s="130">
        <f>المهني!GU23</f>
        <v>0</v>
      </c>
      <c r="I13" s="130">
        <f>المهني!GW23</f>
        <v>0</v>
      </c>
      <c r="J13" s="130">
        <f>المهني!GY23</f>
        <v>0</v>
      </c>
      <c r="K13" s="130">
        <f>المهني!HA23</f>
        <v>0</v>
      </c>
      <c r="L13" s="130">
        <f>المهني!HC23</f>
        <v>0</v>
      </c>
      <c r="M13" s="130">
        <f>المهني!HE23</f>
        <v>0</v>
      </c>
      <c r="N13" s="130">
        <f>المهني!HG23</f>
        <v>0</v>
      </c>
      <c r="O13" s="130">
        <f>المهني!HI23</f>
        <v>0</v>
      </c>
      <c r="P13" s="130">
        <f>المهني!HK23</f>
        <v>0</v>
      </c>
      <c r="Q13" s="130">
        <f>المهني!HM23</f>
        <v>0</v>
      </c>
      <c r="R13" s="130">
        <f>المهني!HO23</f>
        <v>0</v>
      </c>
      <c r="S13" s="130">
        <f>المهني!HQ23</f>
        <v>0</v>
      </c>
      <c r="T13" s="130">
        <f>المهني!HS23</f>
        <v>0</v>
      </c>
      <c r="U13" s="130">
        <f>المهني!HU23</f>
        <v>0</v>
      </c>
      <c r="V13" s="130">
        <f>المهني!HW23</f>
        <v>0</v>
      </c>
      <c r="W13" s="130">
        <f>المهني!HY23</f>
        <v>0</v>
      </c>
      <c r="X13" s="130">
        <f>المهني!IA23</f>
        <v>0</v>
      </c>
      <c r="Y13" s="130">
        <f>المهني!IC23</f>
        <v>0</v>
      </c>
      <c r="Z13" s="130">
        <f>المهني!IE23</f>
        <v>0</v>
      </c>
      <c r="AA13" s="130">
        <f>المهني!IG23</f>
        <v>0</v>
      </c>
      <c r="AB13" s="130">
        <f>المهني!II23</f>
        <v>0</v>
      </c>
      <c r="AC13" s="130">
        <f>المهني!IK23</f>
        <v>0</v>
      </c>
      <c r="AD13" s="130">
        <f>المهني!IM23</f>
        <v>0</v>
      </c>
      <c r="AE13" s="130">
        <f>المهني!IO23</f>
        <v>0</v>
      </c>
      <c r="AF13" s="130">
        <f>المهني!IQ23</f>
        <v>0</v>
      </c>
      <c r="AG13" s="130">
        <f>المهني!IS23</f>
        <v>0</v>
      </c>
      <c r="AH13" s="130">
        <f>المهني!IU23</f>
        <v>0</v>
      </c>
      <c r="AI13" s="130">
        <f>المهني!IW23</f>
        <v>0</v>
      </c>
      <c r="AJ13" s="130">
        <f>المهني!IY23</f>
        <v>0</v>
      </c>
      <c r="AK13" s="130">
        <f>المهني!JA23</f>
        <v>0</v>
      </c>
      <c r="AL13" s="130">
        <f>المهني!JC23</f>
        <v>0</v>
      </c>
      <c r="AM13" s="130">
        <f>المهني!JE23</f>
        <v>0</v>
      </c>
      <c r="AN13" s="130">
        <f>المهني!JG23</f>
        <v>0</v>
      </c>
      <c r="AO13" s="130">
        <f>المهني!JI23</f>
        <v>0</v>
      </c>
      <c r="AP13" s="130">
        <f>المهني!JK23</f>
        <v>0</v>
      </c>
      <c r="AQ13" s="130">
        <f>المهني!JM23</f>
        <v>0</v>
      </c>
      <c r="AR13" s="130">
        <f>المهني!JO23</f>
        <v>0</v>
      </c>
      <c r="AS13" s="130">
        <f>المهني!JQ23</f>
        <v>0</v>
      </c>
      <c r="AT13" s="130">
        <f>المهني!JS23</f>
        <v>0</v>
      </c>
      <c r="AU13" s="130">
        <f>المهني!JU23</f>
        <v>0</v>
      </c>
      <c r="AV13" s="130">
        <f>المهني!JW23</f>
        <v>0</v>
      </c>
      <c r="AW13" s="130">
        <f>المهني!JY23</f>
        <v>0</v>
      </c>
      <c r="AX13" s="130">
        <f>المهني!KA23</f>
        <v>0</v>
      </c>
      <c r="AY13" s="130">
        <f>المهني!KC23</f>
        <v>0</v>
      </c>
      <c r="AZ13" s="130">
        <f>المهني!KE23</f>
        <v>0</v>
      </c>
      <c r="BA13" s="130">
        <f>المهني!KG23</f>
        <v>0</v>
      </c>
      <c r="BB13" s="130">
        <f>المهني!KI23</f>
        <v>0</v>
      </c>
      <c r="BC13" s="130">
        <f>المهني!KK23</f>
        <v>0</v>
      </c>
      <c r="BD13" s="130">
        <f>المهني!KO23</f>
        <v>0</v>
      </c>
      <c r="BE13" s="130"/>
      <c r="BF13" s="130"/>
      <c r="BG13" s="130"/>
      <c r="BH13" s="130">
        <f>المهني!KU23</f>
        <v>0</v>
      </c>
      <c r="BI13" s="35">
        <f t="shared" si="0"/>
        <v>0</v>
      </c>
    </row>
    <row r="14" spans="1:61" s="36" customFormat="1" ht="67.5" customHeight="1" thickTop="1" thickBot="1">
      <c r="A14" s="457" t="s">
        <v>209</v>
      </c>
      <c r="B14" s="43" t="s">
        <v>73</v>
      </c>
      <c r="C14" s="37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D14" s="37">
        <v>0</v>
      </c>
      <c r="AE14" s="37">
        <v>0</v>
      </c>
      <c r="AF14" s="37">
        <v>0</v>
      </c>
      <c r="AG14" s="37">
        <v>0</v>
      </c>
      <c r="AH14" s="37">
        <v>0</v>
      </c>
      <c r="AI14" s="37">
        <v>0</v>
      </c>
      <c r="AJ14" s="37">
        <v>0</v>
      </c>
      <c r="AK14" s="37">
        <v>0</v>
      </c>
      <c r="AL14" s="37">
        <v>0</v>
      </c>
      <c r="AM14" s="37">
        <v>0</v>
      </c>
      <c r="AN14" s="37">
        <v>0</v>
      </c>
      <c r="AO14" s="37">
        <v>0</v>
      </c>
      <c r="AP14" s="37">
        <v>0</v>
      </c>
      <c r="AQ14" s="37">
        <v>0</v>
      </c>
      <c r="AR14" s="37">
        <v>0</v>
      </c>
      <c r="AS14" s="37">
        <v>0</v>
      </c>
      <c r="AT14" s="37">
        <v>0</v>
      </c>
      <c r="AU14" s="37">
        <v>0</v>
      </c>
      <c r="AV14" s="37">
        <v>0</v>
      </c>
      <c r="AW14" s="37">
        <v>0</v>
      </c>
      <c r="AX14" s="37">
        <v>0</v>
      </c>
      <c r="AY14" s="37">
        <v>0</v>
      </c>
      <c r="AZ14" s="37">
        <v>0</v>
      </c>
      <c r="BA14" s="37">
        <v>0</v>
      </c>
      <c r="BB14" s="37">
        <v>0</v>
      </c>
      <c r="BC14" s="37">
        <v>0</v>
      </c>
      <c r="BD14" s="37">
        <v>0</v>
      </c>
      <c r="BE14" s="37"/>
      <c r="BF14" s="37"/>
      <c r="BG14" s="37"/>
      <c r="BH14" s="35">
        <v>0</v>
      </c>
      <c r="BI14" s="35">
        <f>SUM(C14:BH14)</f>
        <v>0</v>
      </c>
    </row>
    <row r="15" spans="1:61" s="36" customFormat="1" ht="67.5" customHeight="1" thickTop="1" thickBot="1">
      <c r="A15" s="458"/>
      <c r="B15" s="43" t="s">
        <v>29</v>
      </c>
      <c r="C15" s="37">
        <v>0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37">
        <v>0</v>
      </c>
      <c r="AH15" s="37">
        <v>0</v>
      </c>
      <c r="AI15" s="37">
        <v>0</v>
      </c>
      <c r="AJ15" s="37">
        <v>0</v>
      </c>
      <c r="AK15" s="37">
        <v>0</v>
      </c>
      <c r="AL15" s="37">
        <v>0</v>
      </c>
      <c r="AM15" s="37">
        <v>0</v>
      </c>
      <c r="AN15" s="37">
        <v>0</v>
      </c>
      <c r="AO15" s="37">
        <v>0</v>
      </c>
      <c r="AP15" s="37">
        <v>0</v>
      </c>
      <c r="AQ15" s="37">
        <v>0</v>
      </c>
      <c r="AR15" s="37">
        <v>0</v>
      </c>
      <c r="AS15" s="37">
        <v>0</v>
      </c>
      <c r="AT15" s="37">
        <v>0</v>
      </c>
      <c r="AU15" s="37">
        <v>0</v>
      </c>
      <c r="AV15" s="37">
        <v>0</v>
      </c>
      <c r="AW15" s="37">
        <v>0</v>
      </c>
      <c r="AX15" s="37">
        <v>0</v>
      </c>
      <c r="AY15" s="37">
        <v>0</v>
      </c>
      <c r="AZ15" s="37">
        <v>0</v>
      </c>
      <c r="BA15" s="37">
        <v>0</v>
      </c>
      <c r="BB15" s="37">
        <v>0</v>
      </c>
      <c r="BC15" s="37">
        <v>0</v>
      </c>
      <c r="BD15" s="37">
        <v>0</v>
      </c>
      <c r="BE15" s="37"/>
      <c r="BF15" s="37"/>
      <c r="BG15" s="37"/>
      <c r="BH15" s="35">
        <f>المهني!KU32</f>
        <v>0</v>
      </c>
      <c r="BI15" s="35">
        <f>SUM(C15:BH15)</f>
        <v>0</v>
      </c>
    </row>
    <row r="16" spans="1:61" s="36" customFormat="1" ht="67.5" customHeight="1" thickTop="1" thickBot="1">
      <c r="A16" s="457" t="s">
        <v>459</v>
      </c>
      <c r="B16" s="43" t="s">
        <v>73</v>
      </c>
      <c r="C16" s="192">
        <f>المهني!GJ38</f>
        <v>0</v>
      </c>
      <c r="D16" s="35">
        <f>المهني!GL38</f>
        <v>0</v>
      </c>
      <c r="E16" s="35">
        <f>المهني!GN38</f>
        <v>0</v>
      </c>
      <c r="F16" s="35">
        <f>المهني!GP38</f>
        <v>0</v>
      </c>
      <c r="G16" s="35">
        <f>المهني!GR38</f>
        <v>0</v>
      </c>
      <c r="H16" s="35">
        <f>المهني!GT38</f>
        <v>0</v>
      </c>
      <c r="I16" s="35">
        <f>المهني!GV38</f>
        <v>0</v>
      </c>
      <c r="J16" s="35">
        <f>المهني!GX38</f>
        <v>0</v>
      </c>
      <c r="K16" s="35">
        <f>المهني!GZ38</f>
        <v>0</v>
      </c>
      <c r="L16" s="35">
        <f>المهني!HB38</f>
        <v>0</v>
      </c>
      <c r="M16" s="35">
        <f>المهني!HD38</f>
        <v>0</v>
      </c>
      <c r="N16" s="35">
        <f>المهني!HF38</f>
        <v>0</v>
      </c>
      <c r="O16" s="35">
        <f>المهني!HH38</f>
        <v>0</v>
      </c>
      <c r="P16" s="35">
        <f>المهني!HJ38</f>
        <v>0</v>
      </c>
      <c r="Q16" s="35">
        <f>المهني!HL38</f>
        <v>0</v>
      </c>
      <c r="R16" s="35">
        <f>المهني!HN38</f>
        <v>0</v>
      </c>
      <c r="S16" s="35">
        <f>المهني!HP38</f>
        <v>0</v>
      </c>
      <c r="T16" s="35">
        <f>المهني!HR38</f>
        <v>0</v>
      </c>
      <c r="U16" s="35">
        <f>المهني!HT38</f>
        <v>0</v>
      </c>
      <c r="V16" s="35">
        <f>المهني!HV38</f>
        <v>0</v>
      </c>
      <c r="W16" s="35">
        <f>المهني!HX38</f>
        <v>0</v>
      </c>
      <c r="X16" s="35">
        <f>المهني!HZ38</f>
        <v>0</v>
      </c>
      <c r="Y16" s="35">
        <f>المهني!IB38</f>
        <v>0</v>
      </c>
      <c r="Z16" s="35">
        <f>المهني!ID38</f>
        <v>0</v>
      </c>
      <c r="AA16" s="35">
        <f>المهني!IF38</f>
        <v>0</v>
      </c>
      <c r="AB16" s="35">
        <f>المهني!IH38</f>
        <v>0</v>
      </c>
      <c r="AC16" s="35">
        <f>المهني!IJ38</f>
        <v>0</v>
      </c>
      <c r="AD16" s="35">
        <f>المهني!IL38</f>
        <v>0</v>
      </c>
      <c r="AE16" s="35">
        <f>المهني!IN38</f>
        <v>0</v>
      </c>
      <c r="AF16" s="35">
        <f>المهني!IP38</f>
        <v>0</v>
      </c>
      <c r="AG16" s="35">
        <f>المهني!IR38</f>
        <v>0</v>
      </c>
      <c r="AH16" s="35">
        <f>المهني!IT38</f>
        <v>0</v>
      </c>
      <c r="AI16" s="35">
        <f>المهني!IV38</f>
        <v>0</v>
      </c>
      <c r="AJ16" s="35">
        <f>المهني!IX38</f>
        <v>0</v>
      </c>
      <c r="AK16" s="35">
        <f>المهني!IZ38</f>
        <v>0</v>
      </c>
      <c r="AL16" s="35">
        <f>المهني!JB38</f>
        <v>0</v>
      </c>
      <c r="AM16" s="35">
        <f>المهني!JD38</f>
        <v>0</v>
      </c>
      <c r="AN16" s="35">
        <f>المهني!JF38</f>
        <v>0</v>
      </c>
      <c r="AO16" s="35">
        <f>المهني!JH38</f>
        <v>0</v>
      </c>
      <c r="AP16" s="35">
        <f>المهني!JJ38</f>
        <v>0</v>
      </c>
      <c r="AQ16" s="35">
        <f>المهني!JL38</f>
        <v>0</v>
      </c>
      <c r="AR16" s="35">
        <f>المهني!JN38</f>
        <v>0</v>
      </c>
      <c r="AS16" s="35">
        <f>المهني!JP38</f>
        <v>0</v>
      </c>
      <c r="AT16" s="35">
        <f>المهني!JR38</f>
        <v>0</v>
      </c>
      <c r="AU16" s="35">
        <f>المهني!JT38</f>
        <v>0</v>
      </c>
      <c r="AV16" s="35">
        <f>المهني!JV38</f>
        <v>0</v>
      </c>
      <c r="AW16" s="35">
        <f>المهني!JX38</f>
        <v>0</v>
      </c>
      <c r="AX16" s="35">
        <v>0</v>
      </c>
      <c r="AY16" s="35">
        <f>المهني!KB27</f>
        <v>0</v>
      </c>
      <c r="AZ16" s="35">
        <f>المهني!KD38</f>
        <v>0</v>
      </c>
      <c r="BA16" s="35">
        <f>المهني!KF38</f>
        <v>0</v>
      </c>
      <c r="BB16" s="35">
        <f>المهني!KH38</f>
        <v>0</v>
      </c>
      <c r="BC16" s="35">
        <f>المهني!KJ38</f>
        <v>0</v>
      </c>
      <c r="BD16" s="35">
        <f>المهني!KN38</f>
        <v>0</v>
      </c>
      <c r="BE16" s="35"/>
      <c r="BF16" s="35"/>
      <c r="BG16" s="35"/>
      <c r="BH16" s="35">
        <f>المهني!KT38</f>
        <v>0</v>
      </c>
      <c r="BI16" s="35">
        <f t="shared" ref="BI16:BI19" si="1">SUM(C16:BH16)</f>
        <v>0</v>
      </c>
    </row>
    <row r="17" spans="1:61" s="36" customFormat="1" ht="67.5" customHeight="1" thickTop="1" thickBot="1">
      <c r="A17" s="458"/>
      <c r="B17" s="43" t="s">
        <v>29</v>
      </c>
      <c r="C17" s="35">
        <f>المهني!GK38</f>
        <v>0</v>
      </c>
      <c r="D17" s="35">
        <f>المهني!GM38</f>
        <v>0</v>
      </c>
      <c r="E17" s="35">
        <f>المهني!GO38</f>
        <v>0</v>
      </c>
      <c r="F17" s="35">
        <f>المهني!GQ38</f>
        <v>0</v>
      </c>
      <c r="G17" s="35">
        <f>المهني!GS38</f>
        <v>0</v>
      </c>
      <c r="H17" s="35">
        <f>المهني!GU38</f>
        <v>0</v>
      </c>
      <c r="I17" s="35">
        <f>المهني!GW38</f>
        <v>0</v>
      </c>
      <c r="J17" s="35">
        <f>المهني!GY38</f>
        <v>0</v>
      </c>
      <c r="K17" s="35">
        <f>المهني!HA38</f>
        <v>0</v>
      </c>
      <c r="L17" s="35">
        <f>المهني!HC38</f>
        <v>0</v>
      </c>
      <c r="M17" s="35">
        <f>المهني!HE38</f>
        <v>0</v>
      </c>
      <c r="N17" s="35">
        <f>المهني!HG38</f>
        <v>0</v>
      </c>
      <c r="O17" s="35">
        <f>المهني!HI38</f>
        <v>0</v>
      </c>
      <c r="P17" s="35">
        <f>المهني!HK38</f>
        <v>0</v>
      </c>
      <c r="Q17" s="35">
        <f>المهني!HM38</f>
        <v>0</v>
      </c>
      <c r="R17" s="35">
        <f>المهني!HO27</f>
        <v>0</v>
      </c>
      <c r="S17" s="35">
        <f>المهني!HQ38</f>
        <v>0</v>
      </c>
      <c r="T17" s="35">
        <f>المهني!HS38</f>
        <v>0</v>
      </c>
      <c r="U17" s="35">
        <f>المهني!HU38</f>
        <v>0</v>
      </c>
      <c r="V17" s="35">
        <f>المهني!HW38</f>
        <v>0</v>
      </c>
      <c r="W17" s="35">
        <f>المهني!HY38</f>
        <v>0</v>
      </c>
      <c r="X17" s="35">
        <f>المهني!IA38</f>
        <v>0</v>
      </c>
      <c r="Y17" s="35">
        <f>المهني!IC38</f>
        <v>0</v>
      </c>
      <c r="Z17" s="35">
        <f>المهني!IE38</f>
        <v>0</v>
      </c>
      <c r="AA17" s="35">
        <f>المهني!IG38</f>
        <v>0</v>
      </c>
      <c r="AB17" s="35">
        <f>المهني!II38</f>
        <v>0</v>
      </c>
      <c r="AC17" s="35">
        <f>المهني!IK38</f>
        <v>0</v>
      </c>
      <c r="AD17" s="35">
        <f>المهني!IM38</f>
        <v>0</v>
      </c>
      <c r="AE17" s="35">
        <f>المهني!IO38</f>
        <v>0</v>
      </c>
      <c r="AF17" s="35">
        <f>المهني!IQ38</f>
        <v>0</v>
      </c>
      <c r="AG17" s="35">
        <f>المهني!IS38</f>
        <v>0</v>
      </c>
      <c r="AH17" s="35">
        <f>المهني!IU38</f>
        <v>0</v>
      </c>
      <c r="AI17" s="35">
        <f>المهني!IW38</f>
        <v>0</v>
      </c>
      <c r="AJ17" s="35">
        <f>المهني!IY38</f>
        <v>0</v>
      </c>
      <c r="AK17" s="35">
        <f>المهني!JA38</f>
        <v>0</v>
      </c>
      <c r="AL17" s="35">
        <f>المهني!JC38</f>
        <v>0</v>
      </c>
      <c r="AM17" s="35">
        <f>المهني!JE38</f>
        <v>0</v>
      </c>
      <c r="AN17" s="35">
        <f>المهني!JG38</f>
        <v>0</v>
      </c>
      <c r="AO17" s="35">
        <f>المهني!JI38</f>
        <v>0</v>
      </c>
      <c r="AP17" s="35">
        <f>المهني!JK38</f>
        <v>0</v>
      </c>
      <c r="AQ17" s="35">
        <f>المهني!JM38</f>
        <v>0</v>
      </c>
      <c r="AR17" s="35">
        <f>المهني!JO38</f>
        <v>0</v>
      </c>
      <c r="AS17" s="35">
        <f>المهني!JQ38</f>
        <v>0</v>
      </c>
      <c r="AT17" s="35">
        <f>المهني!JS38</f>
        <v>0</v>
      </c>
      <c r="AU17" s="35">
        <f>المهني!JU38</f>
        <v>0</v>
      </c>
      <c r="AV17" s="35">
        <f>المهني!JW38</f>
        <v>0</v>
      </c>
      <c r="AW17" s="35">
        <f>المهني!JY38</f>
        <v>0</v>
      </c>
      <c r="AX17" s="35">
        <f>المهني!KA38</f>
        <v>0</v>
      </c>
      <c r="AY17" s="35">
        <f>المهني!KC27</f>
        <v>0</v>
      </c>
      <c r="AZ17" s="35">
        <f>المهني!KE38</f>
        <v>0</v>
      </c>
      <c r="BA17" s="35">
        <f>المهني!KG38</f>
        <v>0</v>
      </c>
      <c r="BB17" s="35">
        <f>المهني!KI38</f>
        <v>0</v>
      </c>
      <c r="BC17" s="35">
        <f>المهني!KK38</f>
        <v>0</v>
      </c>
      <c r="BD17" s="35">
        <f>المهني!KO38</f>
        <v>0</v>
      </c>
      <c r="BE17" s="35"/>
      <c r="BF17" s="35"/>
      <c r="BG17" s="35"/>
      <c r="BH17" s="35">
        <f>المهني!KU38</f>
        <v>0</v>
      </c>
      <c r="BI17" s="35">
        <f t="shared" si="1"/>
        <v>0</v>
      </c>
    </row>
    <row r="18" spans="1:61" s="36" customFormat="1" ht="67.5" customHeight="1" thickTop="1" thickBot="1">
      <c r="A18" s="457" t="s">
        <v>474</v>
      </c>
      <c r="B18" s="43" t="s">
        <v>73</v>
      </c>
      <c r="C18" s="191">
        <f>المهني!GJ29</f>
        <v>0</v>
      </c>
      <c r="D18" s="191">
        <f>المهني!GL29</f>
        <v>0</v>
      </c>
      <c r="E18" s="191">
        <f>المهني!GN29</f>
        <v>0</v>
      </c>
      <c r="F18" s="191">
        <f>المهني!GP29</f>
        <v>0</v>
      </c>
      <c r="G18" s="191">
        <f>المهني!GR29</f>
        <v>0</v>
      </c>
      <c r="H18" s="191">
        <f>المهني!GT29</f>
        <v>0</v>
      </c>
      <c r="I18" s="191">
        <f>المهني!GV29</f>
        <v>0</v>
      </c>
      <c r="J18" s="191">
        <f>المهني!GX29</f>
        <v>0</v>
      </c>
      <c r="K18" s="191">
        <f>المهني!GZ29</f>
        <v>0</v>
      </c>
      <c r="L18" s="191">
        <f>المهني!HB29</f>
        <v>0</v>
      </c>
      <c r="M18" s="191">
        <f>المهني!HD29</f>
        <v>0</v>
      </c>
      <c r="N18" s="35">
        <f>المهني!HF40</f>
        <v>0</v>
      </c>
      <c r="O18" s="191">
        <f>المهني!HH29</f>
        <v>0</v>
      </c>
      <c r="P18" s="191">
        <f>المهني!HJ29</f>
        <v>0</v>
      </c>
      <c r="Q18" s="191">
        <f>المهني!HL29</f>
        <v>0</v>
      </c>
      <c r="R18" s="191">
        <f>المهني!HN29</f>
        <v>0</v>
      </c>
      <c r="S18" s="191">
        <f>المهني!HP29</f>
        <v>0</v>
      </c>
      <c r="T18" s="191">
        <f>المهني!HR29</f>
        <v>0</v>
      </c>
      <c r="U18" s="191">
        <f>المهني!HT29</f>
        <v>0</v>
      </c>
      <c r="V18" s="191">
        <f>المهني!HV29</f>
        <v>0</v>
      </c>
      <c r="W18" s="191">
        <f>المهني!HX29</f>
        <v>0</v>
      </c>
      <c r="X18" s="191">
        <f>المهني!HZ29</f>
        <v>0</v>
      </c>
      <c r="Y18" s="191">
        <f>المهني!IB29</f>
        <v>0</v>
      </c>
      <c r="Z18" s="191">
        <f>المهني!ID29</f>
        <v>0</v>
      </c>
      <c r="AA18" s="191">
        <f>المهني!IF29</f>
        <v>0</v>
      </c>
      <c r="AB18" s="191">
        <f>المهني!IH29</f>
        <v>0</v>
      </c>
      <c r="AC18" s="191">
        <f>المهني!IJ29</f>
        <v>0</v>
      </c>
      <c r="AD18" s="191">
        <f>المهني!IL29</f>
        <v>0</v>
      </c>
      <c r="AE18" s="191">
        <f>المهني!IN29</f>
        <v>0</v>
      </c>
      <c r="AF18" s="191">
        <f>المهني!IP29</f>
        <v>0</v>
      </c>
      <c r="AG18" s="191">
        <f>المهني!IR29</f>
        <v>0</v>
      </c>
      <c r="AH18" s="191">
        <f>المهني!IT29</f>
        <v>0</v>
      </c>
      <c r="AI18" s="191">
        <f>المهني!IV29</f>
        <v>0</v>
      </c>
      <c r="AJ18" s="191">
        <f>المهني!IX29</f>
        <v>0</v>
      </c>
      <c r="AK18" s="191">
        <f>المهني!IZ29</f>
        <v>0</v>
      </c>
      <c r="AL18" s="191">
        <f>المهني!JB29</f>
        <v>0</v>
      </c>
      <c r="AM18" s="191">
        <f>المهني!JD29</f>
        <v>0</v>
      </c>
      <c r="AN18" s="191">
        <f>المهني!JF29</f>
        <v>0</v>
      </c>
      <c r="AO18" s="191">
        <f>المهني!JH29</f>
        <v>0</v>
      </c>
      <c r="AP18" s="191">
        <f>المهني!JJ29</f>
        <v>0</v>
      </c>
      <c r="AQ18" s="191">
        <f>المهني!JL29</f>
        <v>0</v>
      </c>
      <c r="AR18" s="191">
        <f>المهني!JN29</f>
        <v>0</v>
      </c>
      <c r="AS18" s="191">
        <f>المهني!JP29</f>
        <v>0</v>
      </c>
      <c r="AT18" s="191">
        <f>المهني!JR29</f>
        <v>0</v>
      </c>
      <c r="AU18" s="191">
        <f>المهني!JT29</f>
        <v>0</v>
      </c>
      <c r="AV18" s="191">
        <f>المهني!JV29</f>
        <v>0</v>
      </c>
      <c r="AW18" s="191">
        <f>المهني!JX29</f>
        <v>0</v>
      </c>
      <c r="AX18" s="191">
        <v>0</v>
      </c>
      <c r="AY18" s="191">
        <f>المهني!KB29</f>
        <v>0</v>
      </c>
      <c r="AZ18" s="191">
        <f>المهني!KD29</f>
        <v>0</v>
      </c>
      <c r="BA18" s="191">
        <f>المهني!KF29</f>
        <v>0</v>
      </c>
      <c r="BB18" s="191">
        <f>المهني!KH29</f>
        <v>0</v>
      </c>
      <c r="BC18" s="191">
        <f>المهني!KJ29</f>
        <v>0</v>
      </c>
      <c r="BD18" s="191">
        <f>المهني!KN29</f>
        <v>0</v>
      </c>
      <c r="BE18" s="191"/>
      <c r="BF18" s="191"/>
      <c r="BG18" s="191"/>
      <c r="BH18" s="191">
        <f>المهني!KT29</f>
        <v>0</v>
      </c>
      <c r="BI18" s="191">
        <f t="shared" si="1"/>
        <v>0</v>
      </c>
    </row>
    <row r="19" spans="1:61" s="36" customFormat="1" ht="67.5" customHeight="1" thickTop="1" thickBot="1">
      <c r="A19" s="458"/>
      <c r="B19" s="43" t="s">
        <v>29</v>
      </c>
      <c r="C19" s="191">
        <f>المهني!GK29</f>
        <v>0</v>
      </c>
      <c r="D19" s="191">
        <f>المهني!GM29</f>
        <v>0</v>
      </c>
      <c r="E19" s="191">
        <f>المهني!GO29</f>
        <v>0</v>
      </c>
      <c r="F19" s="191">
        <f>المهني!GQ29</f>
        <v>0</v>
      </c>
      <c r="G19" s="191">
        <f>المهني!GS29</f>
        <v>0</v>
      </c>
      <c r="H19" s="191">
        <f>المهني!GU29</f>
        <v>0</v>
      </c>
      <c r="I19" s="191">
        <f>المهني!GW29</f>
        <v>0</v>
      </c>
      <c r="J19" s="191">
        <f>المهني!GY29</f>
        <v>0</v>
      </c>
      <c r="K19" s="191">
        <f>المهني!HA29</f>
        <v>0</v>
      </c>
      <c r="L19" s="191">
        <f>المهني!HC29</f>
        <v>0</v>
      </c>
      <c r="M19" s="191">
        <f>المهني!HE29</f>
        <v>0</v>
      </c>
      <c r="N19" s="191">
        <f>المهني!HG40</f>
        <v>0</v>
      </c>
      <c r="O19" s="191">
        <f>المهني!HI29</f>
        <v>0</v>
      </c>
      <c r="P19" s="191">
        <f>المهني!HK29</f>
        <v>0</v>
      </c>
      <c r="Q19" s="191">
        <f>المهني!HM29</f>
        <v>0</v>
      </c>
      <c r="R19" s="191">
        <f>المهني!HO29</f>
        <v>0</v>
      </c>
      <c r="S19" s="191">
        <f>المهني!HQ29</f>
        <v>0</v>
      </c>
      <c r="T19" s="191">
        <f>المهني!HS29</f>
        <v>0</v>
      </c>
      <c r="U19" s="191">
        <f>المهني!HU29</f>
        <v>0</v>
      </c>
      <c r="V19" s="191">
        <f>المهني!HW29</f>
        <v>0</v>
      </c>
      <c r="W19" s="191">
        <f>المهني!HY29</f>
        <v>0</v>
      </c>
      <c r="X19" s="191">
        <f>المهني!IA29</f>
        <v>0</v>
      </c>
      <c r="Y19" s="191">
        <f>المهني!IC29</f>
        <v>0</v>
      </c>
      <c r="Z19" s="191">
        <f>المهني!IE29</f>
        <v>0</v>
      </c>
      <c r="AA19" s="191">
        <f>المهني!IG29</f>
        <v>0</v>
      </c>
      <c r="AB19" s="191">
        <f>المهني!II29</f>
        <v>0</v>
      </c>
      <c r="AC19" s="191">
        <f>المهني!IK29</f>
        <v>0</v>
      </c>
      <c r="AD19" s="191">
        <f>المهني!IM29</f>
        <v>0</v>
      </c>
      <c r="AE19" s="191">
        <f>المهني!IO29</f>
        <v>0</v>
      </c>
      <c r="AF19" s="191">
        <f>المهني!IQ29</f>
        <v>0</v>
      </c>
      <c r="AG19" s="191">
        <f>المهني!IS29</f>
        <v>0</v>
      </c>
      <c r="AH19" s="191">
        <f>المهني!IU29</f>
        <v>0</v>
      </c>
      <c r="AI19" s="191">
        <f>المهني!IW29</f>
        <v>0</v>
      </c>
      <c r="AJ19" s="191">
        <f>المهني!IY29</f>
        <v>0</v>
      </c>
      <c r="AK19" s="191">
        <f>المهني!JA29</f>
        <v>0</v>
      </c>
      <c r="AL19" s="191">
        <f>المهني!JC29</f>
        <v>0</v>
      </c>
      <c r="AM19" s="191">
        <f>المهني!JE29</f>
        <v>0</v>
      </c>
      <c r="AN19" s="191">
        <f>المهني!JG29</f>
        <v>0</v>
      </c>
      <c r="AO19" s="191">
        <f>المهني!JI29</f>
        <v>0</v>
      </c>
      <c r="AP19" s="191">
        <f>المهني!JK29</f>
        <v>0</v>
      </c>
      <c r="AQ19" s="191">
        <f>المهني!JM29</f>
        <v>0</v>
      </c>
      <c r="AR19" s="191">
        <f>المهني!JO29</f>
        <v>0</v>
      </c>
      <c r="AS19" s="191">
        <f>المهني!JQ29</f>
        <v>0</v>
      </c>
      <c r="AT19" s="191">
        <f>المهني!JS29</f>
        <v>0</v>
      </c>
      <c r="AU19" s="191">
        <f>المهني!JU29</f>
        <v>0</v>
      </c>
      <c r="AV19" s="191">
        <f>المهني!JW29</f>
        <v>0</v>
      </c>
      <c r="AW19" s="191">
        <f>المهني!JY29</f>
        <v>0</v>
      </c>
      <c r="AX19" s="191">
        <f>المهني!KA29</f>
        <v>0</v>
      </c>
      <c r="AY19" s="191">
        <f>المهني!KC29</f>
        <v>0</v>
      </c>
      <c r="AZ19" s="191">
        <f>المهني!KE29</f>
        <v>0</v>
      </c>
      <c r="BA19" s="191">
        <f>المهني!KG29</f>
        <v>0</v>
      </c>
      <c r="BB19" s="191">
        <f>المهني!KI29</f>
        <v>0</v>
      </c>
      <c r="BC19" s="191">
        <f>المهني!KK29</f>
        <v>0</v>
      </c>
      <c r="BD19" s="191">
        <f>المهني!KO29</f>
        <v>0</v>
      </c>
      <c r="BE19" s="191"/>
      <c r="BF19" s="191"/>
      <c r="BG19" s="191"/>
      <c r="BH19" s="191">
        <f>المهني!KU29</f>
        <v>0</v>
      </c>
      <c r="BI19" s="191">
        <f t="shared" si="1"/>
        <v>0</v>
      </c>
    </row>
    <row r="20" spans="1:61" s="36" customFormat="1" ht="67.5" customHeight="1" thickTop="1" thickBot="1">
      <c r="A20" s="457" t="s">
        <v>387</v>
      </c>
      <c r="B20" s="43" t="s">
        <v>73</v>
      </c>
      <c r="C20" s="37"/>
      <c r="D20" s="37"/>
      <c r="E20" s="37"/>
      <c r="F20" s="37"/>
      <c r="G20" s="37"/>
      <c r="H20" s="37"/>
      <c r="I20" s="37"/>
      <c r="J20" s="37"/>
      <c r="K20" s="37"/>
      <c r="L20" s="35"/>
      <c r="M20" s="35"/>
      <c r="N20" s="35">
        <f>المهني!HF40</f>
        <v>0</v>
      </c>
      <c r="O20" s="35"/>
      <c r="P20" s="35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5"/>
      <c r="BI20" s="35">
        <f t="shared" ref="BI20:BI21" si="2">SUM(C20:BH20)</f>
        <v>0</v>
      </c>
    </row>
    <row r="21" spans="1:61" s="36" customFormat="1" ht="67.5" customHeight="1" thickTop="1" thickBot="1">
      <c r="A21" s="458"/>
      <c r="B21" s="43" t="s">
        <v>29</v>
      </c>
      <c r="C21" s="37"/>
      <c r="D21" s="37"/>
      <c r="E21" s="37"/>
      <c r="F21" s="37"/>
      <c r="G21" s="37"/>
      <c r="H21" s="37"/>
      <c r="I21" s="37"/>
      <c r="J21" s="37"/>
      <c r="K21" s="37"/>
      <c r="L21" s="35"/>
      <c r="M21" s="35"/>
      <c r="N21" s="35"/>
      <c r="O21" s="35"/>
      <c r="P21" s="35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5"/>
      <c r="BI21" s="35">
        <f t="shared" si="2"/>
        <v>0</v>
      </c>
    </row>
    <row r="22" spans="1:61" s="36" customFormat="1" ht="67.5" customHeight="1" thickTop="1" thickBot="1">
      <c r="A22" s="459" t="s">
        <v>25</v>
      </c>
      <c r="B22" s="43" t="s">
        <v>73</v>
      </c>
      <c r="C22" s="30">
        <f>C14+C12+C10+C8+C16+C18</f>
        <v>1</v>
      </c>
      <c r="D22" s="30">
        <f t="shared" ref="D22:BH22" si="3">D14+D12+D10+D8+D16+D18</f>
        <v>0</v>
      </c>
      <c r="E22" s="30">
        <f t="shared" si="3"/>
        <v>4</v>
      </c>
      <c r="F22" s="30">
        <f t="shared" si="3"/>
        <v>0</v>
      </c>
      <c r="G22" s="30">
        <f t="shared" si="3"/>
        <v>2</v>
      </c>
      <c r="H22" s="30">
        <f t="shared" si="3"/>
        <v>0</v>
      </c>
      <c r="I22" s="30">
        <f t="shared" si="3"/>
        <v>0</v>
      </c>
      <c r="J22" s="30">
        <f t="shared" si="3"/>
        <v>0</v>
      </c>
      <c r="K22" s="30">
        <f t="shared" si="3"/>
        <v>0</v>
      </c>
      <c r="L22" s="30">
        <f t="shared" si="3"/>
        <v>0</v>
      </c>
      <c r="M22" s="30">
        <f t="shared" si="3"/>
        <v>0</v>
      </c>
      <c r="N22" s="30">
        <f>N14+N12+N10+N8+N16+N18+N20</f>
        <v>1</v>
      </c>
      <c r="O22" s="30">
        <f t="shared" si="3"/>
        <v>0</v>
      </c>
      <c r="P22" s="30">
        <f t="shared" si="3"/>
        <v>0</v>
      </c>
      <c r="Q22" s="30">
        <f t="shared" si="3"/>
        <v>0</v>
      </c>
      <c r="R22" s="30">
        <f t="shared" si="3"/>
        <v>0</v>
      </c>
      <c r="S22" s="30">
        <f t="shared" si="3"/>
        <v>0</v>
      </c>
      <c r="T22" s="30">
        <f t="shared" si="3"/>
        <v>0</v>
      </c>
      <c r="U22" s="30">
        <f t="shared" si="3"/>
        <v>0</v>
      </c>
      <c r="V22" s="30">
        <f t="shared" si="3"/>
        <v>0</v>
      </c>
      <c r="W22" s="30">
        <f t="shared" si="3"/>
        <v>0</v>
      </c>
      <c r="X22" s="30">
        <f t="shared" si="3"/>
        <v>0</v>
      </c>
      <c r="Y22" s="30">
        <f t="shared" si="3"/>
        <v>0</v>
      </c>
      <c r="Z22" s="30">
        <f t="shared" si="3"/>
        <v>0</v>
      </c>
      <c r="AA22" s="30">
        <f t="shared" si="3"/>
        <v>0</v>
      </c>
      <c r="AB22" s="30">
        <f t="shared" si="3"/>
        <v>0</v>
      </c>
      <c r="AC22" s="30">
        <f t="shared" si="3"/>
        <v>1</v>
      </c>
      <c r="AD22" s="30">
        <f t="shared" si="3"/>
        <v>0</v>
      </c>
      <c r="AE22" s="30">
        <f t="shared" si="3"/>
        <v>0</v>
      </c>
      <c r="AF22" s="30">
        <f t="shared" si="3"/>
        <v>0</v>
      </c>
      <c r="AG22" s="30">
        <f t="shared" si="3"/>
        <v>0</v>
      </c>
      <c r="AH22" s="30">
        <f t="shared" si="3"/>
        <v>0</v>
      </c>
      <c r="AI22" s="30">
        <f t="shared" si="3"/>
        <v>0</v>
      </c>
      <c r="AJ22" s="30">
        <f t="shared" si="3"/>
        <v>0</v>
      </c>
      <c r="AK22" s="30">
        <f t="shared" si="3"/>
        <v>0</v>
      </c>
      <c r="AL22" s="30">
        <f t="shared" si="3"/>
        <v>0</v>
      </c>
      <c r="AM22" s="30">
        <f t="shared" si="3"/>
        <v>0</v>
      </c>
      <c r="AN22" s="30">
        <f t="shared" si="3"/>
        <v>0</v>
      </c>
      <c r="AO22" s="30">
        <f t="shared" si="3"/>
        <v>0</v>
      </c>
      <c r="AP22" s="30">
        <f t="shared" si="3"/>
        <v>0</v>
      </c>
      <c r="AQ22" s="30">
        <f t="shared" si="3"/>
        <v>0</v>
      </c>
      <c r="AR22" s="30">
        <f t="shared" si="3"/>
        <v>0</v>
      </c>
      <c r="AS22" s="30">
        <f t="shared" si="3"/>
        <v>0</v>
      </c>
      <c r="AT22" s="30">
        <f t="shared" si="3"/>
        <v>0</v>
      </c>
      <c r="AU22" s="30">
        <f t="shared" si="3"/>
        <v>0</v>
      </c>
      <c r="AV22" s="30">
        <f t="shared" si="3"/>
        <v>0</v>
      </c>
      <c r="AW22" s="30">
        <f t="shared" si="3"/>
        <v>0</v>
      </c>
      <c r="AX22" s="30">
        <f t="shared" si="3"/>
        <v>0</v>
      </c>
      <c r="AY22" s="30">
        <f t="shared" si="3"/>
        <v>0</v>
      </c>
      <c r="AZ22" s="30">
        <f t="shared" si="3"/>
        <v>0</v>
      </c>
      <c r="BA22" s="30">
        <f t="shared" si="3"/>
        <v>0</v>
      </c>
      <c r="BB22" s="30">
        <f t="shared" si="3"/>
        <v>0</v>
      </c>
      <c r="BC22" s="30">
        <f t="shared" si="3"/>
        <v>0</v>
      </c>
      <c r="BD22" s="30">
        <f t="shared" si="3"/>
        <v>0</v>
      </c>
      <c r="BE22" s="30">
        <f t="shared" si="3"/>
        <v>0</v>
      </c>
      <c r="BF22" s="30">
        <f t="shared" si="3"/>
        <v>0</v>
      </c>
      <c r="BG22" s="30">
        <f t="shared" si="3"/>
        <v>0</v>
      </c>
      <c r="BH22" s="30">
        <f t="shared" si="3"/>
        <v>4</v>
      </c>
      <c r="BI22" s="30">
        <f>BI14+BI12+BI10+BI8+BI16+BI18+BI20</f>
        <v>13</v>
      </c>
    </row>
    <row r="23" spans="1:61" s="36" customFormat="1" ht="67.5" customHeight="1" thickTop="1" thickBot="1">
      <c r="A23" s="460"/>
      <c r="B23" s="43" t="s">
        <v>29</v>
      </c>
      <c r="C23" s="30">
        <f>C15+C13+C11+C9+C17+C19</f>
        <v>5</v>
      </c>
      <c r="D23" s="30">
        <f t="shared" ref="D23:BI23" si="4">D15+D13+D11+D9+D17+D19</f>
        <v>0</v>
      </c>
      <c r="E23" s="30">
        <f t="shared" si="4"/>
        <v>1</v>
      </c>
      <c r="F23" s="30">
        <f t="shared" si="4"/>
        <v>0</v>
      </c>
      <c r="G23" s="30">
        <f t="shared" si="4"/>
        <v>1</v>
      </c>
      <c r="H23" s="30">
        <f t="shared" si="4"/>
        <v>0</v>
      </c>
      <c r="I23" s="30">
        <f t="shared" si="4"/>
        <v>2</v>
      </c>
      <c r="J23" s="30">
        <f t="shared" si="4"/>
        <v>0</v>
      </c>
      <c r="K23" s="30">
        <f t="shared" si="4"/>
        <v>0</v>
      </c>
      <c r="L23" s="30">
        <f t="shared" si="4"/>
        <v>0</v>
      </c>
      <c r="M23" s="30">
        <f t="shared" si="4"/>
        <v>0</v>
      </c>
      <c r="N23" s="30">
        <f t="shared" si="4"/>
        <v>0</v>
      </c>
      <c r="O23" s="30">
        <f t="shared" si="4"/>
        <v>0</v>
      </c>
      <c r="P23" s="30">
        <f t="shared" si="4"/>
        <v>0</v>
      </c>
      <c r="Q23" s="30">
        <f t="shared" si="4"/>
        <v>0</v>
      </c>
      <c r="R23" s="30">
        <f t="shared" si="4"/>
        <v>0</v>
      </c>
      <c r="S23" s="30">
        <f t="shared" si="4"/>
        <v>0</v>
      </c>
      <c r="T23" s="30">
        <f t="shared" si="4"/>
        <v>0</v>
      </c>
      <c r="U23" s="30">
        <f t="shared" si="4"/>
        <v>0</v>
      </c>
      <c r="V23" s="30">
        <f t="shared" si="4"/>
        <v>0</v>
      </c>
      <c r="W23" s="30">
        <f t="shared" si="4"/>
        <v>0</v>
      </c>
      <c r="X23" s="30">
        <f t="shared" si="4"/>
        <v>0</v>
      </c>
      <c r="Y23" s="30">
        <f t="shared" si="4"/>
        <v>0</v>
      </c>
      <c r="Z23" s="30">
        <f t="shared" si="4"/>
        <v>0</v>
      </c>
      <c r="AA23" s="30">
        <f t="shared" si="4"/>
        <v>0</v>
      </c>
      <c r="AB23" s="30">
        <f t="shared" si="4"/>
        <v>0</v>
      </c>
      <c r="AC23" s="30">
        <f t="shared" si="4"/>
        <v>0</v>
      </c>
      <c r="AD23" s="30">
        <f t="shared" si="4"/>
        <v>0</v>
      </c>
      <c r="AE23" s="30">
        <f t="shared" si="4"/>
        <v>0</v>
      </c>
      <c r="AF23" s="30">
        <f t="shared" si="4"/>
        <v>0</v>
      </c>
      <c r="AG23" s="30">
        <f t="shared" si="4"/>
        <v>0</v>
      </c>
      <c r="AH23" s="30">
        <f t="shared" si="4"/>
        <v>0</v>
      </c>
      <c r="AI23" s="30">
        <f t="shared" si="4"/>
        <v>0</v>
      </c>
      <c r="AJ23" s="30">
        <f t="shared" si="4"/>
        <v>0</v>
      </c>
      <c r="AK23" s="30">
        <f t="shared" si="4"/>
        <v>0</v>
      </c>
      <c r="AL23" s="30">
        <f t="shared" si="4"/>
        <v>0</v>
      </c>
      <c r="AM23" s="30">
        <f t="shared" si="4"/>
        <v>0</v>
      </c>
      <c r="AN23" s="30">
        <f t="shared" si="4"/>
        <v>0</v>
      </c>
      <c r="AO23" s="30">
        <f t="shared" si="4"/>
        <v>0</v>
      </c>
      <c r="AP23" s="30">
        <f t="shared" si="4"/>
        <v>0</v>
      </c>
      <c r="AQ23" s="30">
        <f t="shared" si="4"/>
        <v>0</v>
      </c>
      <c r="AR23" s="30">
        <f t="shared" si="4"/>
        <v>0</v>
      </c>
      <c r="AS23" s="30">
        <f t="shared" si="4"/>
        <v>0</v>
      </c>
      <c r="AT23" s="30">
        <f t="shared" si="4"/>
        <v>0</v>
      </c>
      <c r="AU23" s="30">
        <f t="shared" si="4"/>
        <v>0</v>
      </c>
      <c r="AV23" s="30">
        <f t="shared" si="4"/>
        <v>0</v>
      </c>
      <c r="AW23" s="30">
        <f t="shared" si="4"/>
        <v>0</v>
      </c>
      <c r="AX23" s="30">
        <f t="shared" si="4"/>
        <v>0</v>
      </c>
      <c r="AY23" s="30">
        <f t="shared" si="4"/>
        <v>0</v>
      </c>
      <c r="AZ23" s="30">
        <f t="shared" si="4"/>
        <v>0</v>
      </c>
      <c r="BA23" s="30">
        <f t="shared" si="4"/>
        <v>0</v>
      </c>
      <c r="BB23" s="30">
        <f t="shared" si="4"/>
        <v>0</v>
      </c>
      <c r="BC23" s="30">
        <f t="shared" si="4"/>
        <v>0</v>
      </c>
      <c r="BD23" s="30">
        <f t="shared" si="4"/>
        <v>5</v>
      </c>
      <c r="BE23" s="30">
        <f t="shared" si="4"/>
        <v>0</v>
      </c>
      <c r="BF23" s="30">
        <f t="shared" si="4"/>
        <v>0</v>
      </c>
      <c r="BG23" s="30">
        <f t="shared" si="4"/>
        <v>0</v>
      </c>
      <c r="BH23" s="30">
        <f t="shared" si="4"/>
        <v>5</v>
      </c>
      <c r="BI23" s="30">
        <f t="shared" si="4"/>
        <v>19</v>
      </c>
    </row>
    <row r="24" spans="1:61" s="10" customFormat="1" ht="67.5" customHeight="1" thickTop="1" thickBot="1">
      <c r="A24" s="461"/>
      <c r="B24" s="44" t="s">
        <v>25</v>
      </c>
      <c r="C24" s="34">
        <f>C23+C22</f>
        <v>6</v>
      </c>
      <c r="D24" s="34">
        <f t="shared" ref="D24:BI24" si="5">D23+D22</f>
        <v>0</v>
      </c>
      <c r="E24" s="34">
        <f t="shared" si="5"/>
        <v>5</v>
      </c>
      <c r="F24" s="34">
        <f t="shared" si="5"/>
        <v>0</v>
      </c>
      <c r="G24" s="34">
        <f t="shared" si="5"/>
        <v>3</v>
      </c>
      <c r="H24" s="34">
        <f t="shared" si="5"/>
        <v>0</v>
      </c>
      <c r="I24" s="34">
        <f t="shared" si="5"/>
        <v>2</v>
      </c>
      <c r="J24" s="34">
        <f t="shared" si="5"/>
        <v>0</v>
      </c>
      <c r="K24" s="34">
        <f t="shared" si="5"/>
        <v>0</v>
      </c>
      <c r="L24" s="34">
        <f t="shared" si="5"/>
        <v>0</v>
      </c>
      <c r="M24" s="34">
        <f t="shared" si="5"/>
        <v>0</v>
      </c>
      <c r="N24" s="34">
        <f t="shared" si="5"/>
        <v>1</v>
      </c>
      <c r="O24" s="34">
        <f t="shared" si="5"/>
        <v>0</v>
      </c>
      <c r="P24" s="34">
        <f t="shared" si="5"/>
        <v>0</v>
      </c>
      <c r="Q24" s="34">
        <f t="shared" si="5"/>
        <v>0</v>
      </c>
      <c r="R24" s="34">
        <f t="shared" si="5"/>
        <v>0</v>
      </c>
      <c r="S24" s="34">
        <f t="shared" si="5"/>
        <v>0</v>
      </c>
      <c r="T24" s="34">
        <f t="shared" si="5"/>
        <v>0</v>
      </c>
      <c r="U24" s="34">
        <f t="shared" si="5"/>
        <v>0</v>
      </c>
      <c r="V24" s="34">
        <f t="shared" si="5"/>
        <v>0</v>
      </c>
      <c r="W24" s="34">
        <f t="shared" si="5"/>
        <v>0</v>
      </c>
      <c r="X24" s="34">
        <f t="shared" si="5"/>
        <v>0</v>
      </c>
      <c r="Y24" s="34">
        <f t="shared" si="5"/>
        <v>0</v>
      </c>
      <c r="Z24" s="34">
        <f t="shared" si="5"/>
        <v>0</v>
      </c>
      <c r="AA24" s="34">
        <f t="shared" si="5"/>
        <v>0</v>
      </c>
      <c r="AB24" s="34">
        <f t="shared" si="5"/>
        <v>0</v>
      </c>
      <c r="AC24" s="34">
        <f t="shared" si="5"/>
        <v>1</v>
      </c>
      <c r="AD24" s="34">
        <f t="shared" si="5"/>
        <v>0</v>
      </c>
      <c r="AE24" s="34">
        <f t="shared" si="5"/>
        <v>0</v>
      </c>
      <c r="AF24" s="34">
        <f t="shared" si="5"/>
        <v>0</v>
      </c>
      <c r="AG24" s="34">
        <f t="shared" si="5"/>
        <v>0</v>
      </c>
      <c r="AH24" s="34">
        <f t="shared" si="5"/>
        <v>0</v>
      </c>
      <c r="AI24" s="34">
        <f t="shared" si="5"/>
        <v>0</v>
      </c>
      <c r="AJ24" s="34">
        <f t="shared" si="5"/>
        <v>0</v>
      </c>
      <c r="AK24" s="34">
        <f t="shared" si="5"/>
        <v>0</v>
      </c>
      <c r="AL24" s="34">
        <f t="shared" si="5"/>
        <v>0</v>
      </c>
      <c r="AM24" s="34">
        <f t="shared" si="5"/>
        <v>0</v>
      </c>
      <c r="AN24" s="34">
        <f t="shared" si="5"/>
        <v>0</v>
      </c>
      <c r="AO24" s="34">
        <f t="shared" si="5"/>
        <v>0</v>
      </c>
      <c r="AP24" s="34">
        <f t="shared" si="5"/>
        <v>0</v>
      </c>
      <c r="AQ24" s="34">
        <f t="shared" si="5"/>
        <v>0</v>
      </c>
      <c r="AR24" s="34">
        <f t="shared" si="5"/>
        <v>0</v>
      </c>
      <c r="AS24" s="34">
        <f t="shared" si="5"/>
        <v>0</v>
      </c>
      <c r="AT24" s="34">
        <f t="shared" si="5"/>
        <v>0</v>
      </c>
      <c r="AU24" s="34">
        <f t="shared" si="5"/>
        <v>0</v>
      </c>
      <c r="AV24" s="34">
        <f t="shared" si="5"/>
        <v>0</v>
      </c>
      <c r="AW24" s="34">
        <f t="shared" si="5"/>
        <v>0</v>
      </c>
      <c r="AX24" s="34">
        <f t="shared" si="5"/>
        <v>0</v>
      </c>
      <c r="AY24" s="34">
        <f t="shared" si="5"/>
        <v>0</v>
      </c>
      <c r="AZ24" s="34">
        <f t="shared" si="5"/>
        <v>0</v>
      </c>
      <c r="BA24" s="34">
        <f t="shared" si="5"/>
        <v>0</v>
      </c>
      <c r="BB24" s="34">
        <f t="shared" si="5"/>
        <v>0</v>
      </c>
      <c r="BC24" s="34">
        <f t="shared" si="5"/>
        <v>0</v>
      </c>
      <c r="BD24" s="34">
        <f t="shared" si="5"/>
        <v>5</v>
      </c>
      <c r="BE24" s="34">
        <f>BE23+BE22</f>
        <v>0</v>
      </c>
      <c r="BF24" s="34">
        <f>BF23+BF22</f>
        <v>0</v>
      </c>
      <c r="BG24" s="34">
        <f>BG23+BG22</f>
        <v>0</v>
      </c>
      <c r="BH24" s="34">
        <f t="shared" si="5"/>
        <v>9</v>
      </c>
      <c r="BI24" s="34">
        <f t="shared" si="5"/>
        <v>32</v>
      </c>
    </row>
    <row r="25" spans="1:61" s="10" customFormat="1" ht="20.25" customHeight="1" thickTop="1">
      <c r="A25" s="9"/>
      <c r="B25" s="45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</row>
    <row r="26" spans="1:61" s="28" customFormat="1" ht="30" customHeight="1">
      <c r="A26" s="454" t="s">
        <v>146</v>
      </c>
      <c r="B26" s="454"/>
      <c r="C26" s="454"/>
      <c r="D26" s="454"/>
      <c r="E26" s="454"/>
      <c r="F26" s="454"/>
      <c r="G26" s="454"/>
      <c r="H26" s="454"/>
      <c r="I26" s="454"/>
      <c r="J26" s="454"/>
      <c r="K26" s="454"/>
      <c r="L26" s="454"/>
      <c r="BB26" s="454" t="s">
        <v>110</v>
      </c>
      <c r="BC26" s="454"/>
      <c r="BD26" s="454"/>
      <c r="BE26" s="454"/>
      <c r="BF26" s="454"/>
      <c r="BG26" s="454"/>
      <c r="BH26" s="454"/>
      <c r="BI26" s="454"/>
    </row>
    <row r="27" spans="1:61" s="28" customFormat="1" ht="20.25" customHeight="1">
      <c r="A27" s="340" t="s">
        <v>185</v>
      </c>
      <c r="B27" s="340"/>
      <c r="C27" s="340"/>
      <c r="D27" s="340"/>
      <c r="E27" s="340"/>
      <c r="F27" s="340"/>
      <c r="G27" s="340"/>
      <c r="H27" s="340"/>
      <c r="I27" s="340"/>
      <c r="J27" s="340"/>
      <c r="K27" s="340"/>
      <c r="L27" s="340"/>
      <c r="Q27" s="31"/>
      <c r="R27" s="31"/>
      <c r="V27" s="462" t="s">
        <v>189</v>
      </c>
      <c r="W27" s="462"/>
      <c r="X27" s="462"/>
      <c r="Y27" s="462"/>
      <c r="Z27" s="462"/>
      <c r="AA27" s="462"/>
      <c r="AB27" s="462"/>
      <c r="AC27" s="462"/>
      <c r="AD27" s="462"/>
      <c r="AE27" s="462"/>
      <c r="AF27" s="462"/>
      <c r="AG27" s="462"/>
      <c r="AH27" s="462"/>
      <c r="AI27" s="462"/>
    </row>
    <row r="28" spans="1:61" s="28" customFormat="1" ht="20.25" customHeight="1">
      <c r="A28" s="454" t="s">
        <v>218</v>
      </c>
      <c r="B28" s="454"/>
      <c r="C28" s="454"/>
      <c r="D28" s="454"/>
      <c r="E28" s="454"/>
      <c r="F28" s="454"/>
      <c r="G28" s="454"/>
      <c r="H28" s="454"/>
      <c r="I28" s="454"/>
      <c r="J28" s="454"/>
      <c r="K28" s="454"/>
      <c r="L28" s="454"/>
      <c r="M28" s="454"/>
      <c r="N28" s="454"/>
      <c r="O28" s="454"/>
      <c r="P28" s="454"/>
      <c r="Q28" s="454"/>
      <c r="R28" s="454"/>
      <c r="S28" s="454"/>
      <c r="T28" s="454"/>
      <c r="U28" s="454"/>
      <c r="V28" s="454"/>
      <c r="W28" s="454"/>
      <c r="X28" s="454"/>
      <c r="Y28" s="454"/>
      <c r="Z28" s="454"/>
      <c r="AA28" s="454"/>
      <c r="AB28" s="454"/>
      <c r="AC28" s="454"/>
      <c r="AD28" s="454"/>
      <c r="AE28" s="454"/>
      <c r="AF28" s="454"/>
      <c r="AG28" s="454"/>
      <c r="AH28" s="454"/>
      <c r="AI28" s="454"/>
      <c r="AJ28" s="454"/>
      <c r="AK28" s="454"/>
      <c r="AL28" s="454"/>
      <c r="AM28" s="454"/>
      <c r="AN28" s="454"/>
      <c r="AO28" s="454"/>
      <c r="AP28" s="454"/>
      <c r="AQ28" s="454"/>
      <c r="AR28" s="454"/>
      <c r="AS28" s="454"/>
      <c r="AT28" s="454"/>
      <c r="AU28" s="454"/>
      <c r="AV28" s="454"/>
      <c r="AW28" s="454"/>
      <c r="AX28" s="454"/>
      <c r="AY28" s="454"/>
      <c r="AZ28" s="454"/>
      <c r="BA28" s="454"/>
      <c r="BB28" s="454"/>
      <c r="BC28" s="454"/>
      <c r="BD28" s="454"/>
      <c r="BE28" s="454"/>
      <c r="BF28" s="454"/>
      <c r="BG28" s="454"/>
      <c r="BH28" s="454"/>
      <c r="BI28" s="454"/>
    </row>
    <row r="29" spans="1:61" s="28" customFormat="1" ht="20.25" customHeight="1">
      <c r="A29" s="454" t="s">
        <v>505</v>
      </c>
      <c r="B29" s="454"/>
      <c r="C29" s="454"/>
      <c r="D29" s="454"/>
      <c r="E29" s="454"/>
      <c r="F29" s="454"/>
      <c r="G29" s="454"/>
      <c r="H29" s="454"/>
      <c r="I29" s="454"/>
      <c r="J29" s="454"/>
      <c r="K29" s="454"/>
      <c r="L29" s="454"/>
      <c r="M29" s="454"/>
      <c r="N29" s="454"/>
      <c r="O29" s="454"/>
      <c r="P29" s="454"/>
      <c r="Q29" s="454"/>
      <c r="R29" s="454"/>
      <c r="S29" s="454"/>
      <c r="T29" s="454"/>
      <c r="U29" s="454"/>
      <c r="V29" s="454"/>
      <c r="W29" s="454"/>
      <c r="X29" s="454"/>
      <c r="Y29" s="454"/>
      <c r="Z29" s="454"/>
      <c r="AA29" s="454"/>
      <c r="AB29" s="454"/>
      <c r="AC29" s="454"/>
      <c r="AD29" s="454"/>
      <c r="AE29" s="454"/>
      <c r="AF29" s="454"/>
      <c r="AG29" s="454"/>
      <c r="AH29" s="454"/>
      <c r="AI29" s="454"/>
      <c r="AJ29" s="454"/>
      <c r="AK29" s="454"/>
      <c r="AL29" s="454"/>
      <c r="AM29" s="454"/>
      <c r="AN29" s="454"/>
      <c r="AO29" s="454"/>
      <c r="AP29" s="454"/>
      <c r="AQ29" s="454"/>
      <c r="AR29" s="454"/>
      <c r="AS29" s="454"/>
      <c r="AT29" s="454"/>
      <c r="AU29" s="454"/>
      <c r="AV29" s="454"/>
      <c r="AW29" s="454"/>
      <c r="AX29" s="454"/>
      <c r="AY29" s="454"/>
      <c r="AZ29" s="454"/>
      <c r="BA29" s="454"/>
      <c r="BB29" s="454"/>
      <c r="BC29" s="454"/>
      <c r="BD29" s="454"/>
      <c r="BE29" s="454"/>
      <c r="BF29" s="454"/>
      <c r="BG29" s="454"/>
      <c r="BH29" s="454"/>
      <c r="BI29" s="454"/>
    </row>
    <row r="30" spans="1:61" s="28" customFormat="1" ht="20.25" customHeight="1">
      <c r="A30" s="454" t="s">
        <v>219</v>
      </c>
      <c r="B30" s="454"/>
      <c r="C30" s="454"/>
      <c r="D30" s="454"/>
      <c r="E30" s="454"/>
      <c r="F30" s="454"/>
      <c r="G30" s="454"/>
      <c r="H30" s="454"/>
      <c r="I30" s="454"/>
      <c r="J30" s="454"/>
      <c r="K30" s="454"/>
      <c r="L30" s="454"/>
      <c r="M30" s="454"/>
      <c r="N30" s="454"/>
      <c r="O30" s="454"/>
      <c r="P30" s="454"/>
      <c r="Q30" s="454"/>
      <c r="R30" s="454"/>
      <c r="S30" s="454"/>
      <c r="T30" s="454"/>
      <c r="U30" s="454"/>
      <c r="V30" s="454"/>
      <c r="W30" s="454"/>
      <c r="X30" s="454"/>
      <c r="Y30" s="454"/>
      <c r="Z30" s="454"/>
      <c r="AA30" s="454"/>
      <c r="AB30" s="454"/>
      <c r="AC30" s="454"/>
      <c r="AD30" s="454"/>
      <c r="AE30" s="454"/>
      <c r="AF30" s="454"/>
      <c r="AG30" s="454"/>
      <c r="AH30" s="454"/>
      <c r="AI30" s="454"/>
      <c r="AJ30" s="454"/>
      <c r="AK30" s="454"/>
      <c r="AL30" s="454"/>
      <c r="AM30" s="454"/>
      <c r="AN30" s="454"/>
      <c r="AO30" s="454"/>
      <c r="AP30" s="454"/>
      <c r="AQ30" s="454"/>
      <c r="AR30" s="454"/>
      <c r="AS30" s="454"/>
      <c r="AT30" s="454"/>
      <c r="AU30" s="454"/>
      <c r="AV30" s="454"/>
      <c r="AW30" s="454"/>
      <c r="AX30" s="454"/>
      <c r="AY30" s="454"/>
      <c r="AZ30" s="454"/>
      <c r="BA30" s="454"/>
      <c r="BB30" s="454"/>
      <c r="BC30" s="454"/>
      <c r="BD30" s="454"/>
      <c r="BE30" s="454"/>
      <c r="BF30" s="454"/>
      <c r="BG30" s="454"/>
      <c r="BH30" s="454"/>
      <c r="BI30" s="454"/>
    </row>
    <row r="31" spans="1:61" s="10" customFormat="1" ht="20.25" customHeight="1" thickBot="1">
      <c r="B31" s="40"/>
    </row>
    <row r="32" spans="1:61" s="42" customFormat="1" ht="96" thickTop="1" thickBot="1">
      <c r="A32" s="41" t="s">
        <v>113</v>
      </c>
      <c r="B32" s="39" t="s">
        <v>220</v>
      </c>
      <c r="C32" s="41" t="s">
        <v>224</v>
      </c>
      <c r="D32" s="41" t="s">
        <v>221</v>
      </c>
      <c r="E32" s="41" t="s">
        <v>222</v>
      </c>
      <c r="F32" s="41" t="s">
        <v>223</v>
      </c>
      <c r="G32" s="41" t="s">
        <v>225</v>
      </c>
      <c r="H32" s="41" t="s">
        <v>226</v>
      </c>
      <c r="I32" s="41" t="s">
        <v>227</v>
      </c>
      <c r="J32" s="41" t="s">
        <v>228</v>
      </c>
      <c r="K32" s="41" t="s">
        <v>229</v>
      </c>
      <c r="L32" s="41" t="s">
        <v>230</v>
      </c>
      <c r="M32" s="41" t="s">
        <v>231</v>
      </c>
      <c r="N32" s="41" t="s">
        <v>232</v>
      </c>
      <c r="O32" s="41" t="s">
        <v>233</v>
      </c>
      <c r="P32" s="41" t="s">
        <v>234</v>
      </c>
      <c r="Q32" s="41" t="s">
        <v>235</v>
      </c>
      <c r="R32" s="41" t="s">
        <v>236</v>
      </c>
      <c r="S32" s="41" t="s">
        <v>237</v>
      </c>
      <c r="T32" s="41" t="s">
        <v>238</v>
      </c>
      <c r="U32" s="41" t="s">
        <v>239</v>
      </c>
      <c r="V32" s="41" t="s">
        <v>240</v>
      </c>
      <c r="W32" s="41" t="s">
        <v>241</v>
      </c>
      <c r="X32" s="41" t="s">
        <v>242</v>
      </c>
      <c r="Y32" s="41" t="s">
        <v>243</v>
      </c>
      <c r="Z32" s="41" t="s">
        <v>244</v>
      </c>
      <c r="AA32" s="41" t="s">
        <v>245</v>
      </c>
      <c r="AB32" s="41" t="s">
        <v>246</v>
      </c>
      <c r="AC32" s="41" t="s">
        <v>247</v>
      </c>
      <c r="AD32" s="41" t="s">
        <v>248</v>
      </c>
      <c r="AE32" s="41" t="s">
        <v>249</v>
      </c>
      <c r="AF32" s="41" t="s">
        <v>250</v>
      </c>
      <c r="AG32" s="41" t="s">
        <v>251</v>
      </c>
      <c r="AH32" s="41" t="s">
        <v>252</v>
      </c>
      <c r="AI32" s="41" t="s">
        <v>253</v>
      </c>
      <c r="AJ32" s="41" t="s">
        <v>254</v>
      </c>
      <c r="AK32" s="41" t="s">
        <v>255</v>
      </c>
      <c r="AL32" s="41" t="s">
        <v>256</v>
      </c>
      <c r="AM32" s="41" t="s">
        <v>257</v>
      </c>
      <c r="AN32" s="41" t="s">
        <v>258</v>
      </c>
      <c r="AO32" s="41" t="s">
        <v>259</v>
      </c>
      <c r="AP32" s="41" t="s">
        <v>260</v>
      </c>
      <c r="AQ32" s="41" t="s">
        <v>261</v>
      </c>
      <c r="AR32" s="41" t="s">
        <v>262</v>
      </c>
      <c r="AS32" s="41" t="s">
        <v>263</v>
      </c>
      <c r="AT32" s="41" t="s">
        <v>264</v>
      </c>
      <c r="AU32" s="41" t="s">
        <v>265</v>
      </c>
      <c r="AV32" s="41" t="s">
        <v>266</v>
      </c>
      <c r="AW32" s="41" t="s">
        <v>267</v>
      </c>
      <c r="AX32" s="41" t="s">
        <v>268</v>
      </c>
      <c r="AY32" s="41" t="s">
        <v>269</v>
      </c>
      <c r="AZ32" s="41" t="s">
        <v>270</v>
      </c>
      <c r="BA32" s="41" t="s">
        <v>271</v>
      </c>
      <c r="BB32" s="41" t="s">
        <v>272</v>
      </c>
      <c r="BC32" s="41" t="s">
        <v>273</v>
      </c>
      <c r="BD32" s="41" t="s">
        <v>274</v>
      </c>
      <c r="BE32" s="41" t="s">
        <v>358</v>
      </c>
      <c r="BF32" s="41" t="s">
        <v>331</v>
      </c>
      <c r="BG32" s="41" t="s">
        <v>330</v>
      </c>
      <c r="BH32" s="41" t="s">
        <v>36</v>
      </c>
      <c r="BI32" s="41" t="s">
        <v>25</v>
      </c>
    </row>
    <row r="33" spans="1:61" s="36" customFormat="1" ht="75.75" customHeight="1" thickTop="1" thickBot="1">
      <c r="A33" s="455" t="s">
        <v>275</v>
      </c>
      <c r="B33" s="43" t="s">
        <v>73</v>
      </c>
      <c r="C33" s="30">
        <f>المهني!GJ9</f>
        <v>1</v>
      </c>
      <c r="D33" s="30">
        <f>المهني!GL9</f>
        <v>0</v>
      </c>
      <c r="E33" s="30">
        <f>المهني!GN9</f>
        <v>4</v>
      </c>
      <c r="F33" s="30">
        <f>المهني!GP9</f>
        <v>0</v>
      </c>
      <c r="G33" s="30">
        <f>المهني!GR9</f>
        <v>2</v>
      </c>
      <c r="H33" s="30">
        <f>المهني!GT9</f>
        <v>0</v>
      </c>
      <c r="I33" s="30">
        <f>المهني!GV9</f>
        <v>0</v>
      </c>
      <c r="J33" s="30">
        <f>المهني!GX9</f>
        <v>0</v>
      </c>
      <c r="K33" s="30">
        <f>المهني!GZ9</f>
        <v>0</v>
      </c>
      <c r="L33" s="30">
        <f>المهني!HB9</f>
        <v>0</v>
      </c>
      <c r="M33" s="30">
        <f>المهني!HD9</f>
        <v>0</v>
      </c>
      <c r="N33" s="30">
        <f>المهني!HF9</f>
        <v>1</v>
      </c>
      <c r="O33" s="30">
        <f>المهني!HH9</f>
        <v>0</v>
      </c>
      <c r="P33" s="30">
        <f>المهني!HJ9</f>
        <v>0</v>
      </c>
      <c r="Q33" s="30">
        <f>المهني!HL9</f>
        <v>0</v>
      </c>
      <c r="R33" s="30">
        <f>المهني!HN9</f>
        <v>0</v>
      </c>
      <c r="S33" s="30">
        <f>المهني!HP9</f>
        <v>0</v>
      </c>
      <c r="T33" s="30">
        <f>المهني!HR9</f>
        <v>0</v>
      </c>
      <c r="U33" s="30">
        <f>المهني!HT9</f>
        <v>0</v>
      </c>
      <c r="V33" s="30">
        <f>المهني!HV9</f>
        <v>0</v>
      </c>
      <c r="W33" s="30">
        <f>المهني!HX9</f>
        <v>0</v>
      </c>
      <c r="X33" s="30">
        <f>المهني!HZ9</f>
        <v>0</v>
      </c>
      <c r="Y33" s="30">
        <f>المهني!IB9</f>
        <v>0</v>
      </c>
      <c r="Z33" s="30">
        <f>المهني!ID9</f>
        <v>0</v>
      </c>
      <c r="AA33" s="30">
        <f>المهني!IF9</f>
        <v>0</v>
      </c>
      <c r="AB33" s="30">
        <f>المهني!IH9</f>
        <v>0</v>
      </c>
      <c r="AC33" s="30">
        <f>المهني!IJ9</f>
        <v>1</v>
      </c>
      <c r="AD33" s="30">
        <f>المهني!IL9</f>
        <v>0</v>
      </c>
      <c r="AE33" s="30">
        <f>المهني!IN9</f>
        <v>0</v>
      </c>
      <c r="AF33" s="30">
        <f>المهني!IP9</f>
        <v>0</v>
      </c>
      <c r="AG33" s="30">
        <f>المهني!IR9</f>
        <v>0</v>
      </c>
      <c r="AH33" s="30">
        <f>المهني!IT9</f>
        <v>0</v>
      </c>
      <c r="AI33" s="30">
        <f>المهني!IV9</f>
        <v>0</v>
      </c>
      <c r="AJ33" s="30">
        <f>المهني!IX9</f>
        <v>0</v>
      </c>
      <c r="AK33" s="30">
        <f>المهني!IZ9</f>
        <v>0</v>
      </c>
      <c r="AL33" s="30">
        <f>المهني!JB9</f>
        <v>0</v>
      </c>
      <c r="AM33" s="30">
        <f>المهني!JD9</f>
        <v>0</v>
      </c>
      <c r="AN33" s="30">
        <f>المهني!JF9</f>
        <v>0</v>
      </c>
      <c r="AO33" s="30">
        <f>المهني!JH9</f>
        <v>0</v>
      </c>
      <c r="AP33" s="30">
        <f>المهني!JJ9</f>
        <v>0</v>
      </c>
      <c r="AQ33" s="30">
        <f>المهني!JL9</f>
        <v>0</v>
      </c>
      <c r="AR33" s="30">
        <f>المهني!JN9</f>
        <v>0</v>
      </c>
      <c r="AS33" s="30">
        <f>المهني!JP9</f>
        <v>0</v>
      </c>
      <c r="AT33" s="30">
        <f>المهني!JR9</f>
        <v>0</v>
      </c>
      <c r="AU33" s="30">
        <f>المهني!JT9</f>
        <v>0</v>
      </c>
      <c r="AV33" s="30">
        <f>المهني!JV9</f>
        <v>0</v>
      </c>
      <c r="AW33" s="30">
        <f>المهني!JX9</f>
        <v>0</v>
      </c>
      <c r="AX33" s="30">
        <f>المهني!JZ9</f>
        <v>0</v>
      </c>
      <c r="AY33" s="30">
        <f>المهني!KB9</f>
        <v>0</v>
      </c>
      <c r="AZ33" s="30">
        <f>المهني!KD9</f>
        <v>0</v>
      </c>
      <c r="BA33" s="30">
        <f>المهني!KF9</f>
        <v>0</v>
      </c>
      <c r="BB33" s="30">
        <f>المهني!KH9</f>
        <v>0</v>
      </c>
      <c r="BC33" s="30">
        <f>المهني!KJ9</f>
        <v>0</v>
      </c>
      <c r="BD33" s="30">
        <f>المهني!KN9</f>
        <v>0</v>
      </c>
      <c r="BE33" s="30">
        <f>المهني!KL9</f>
        <v>0</v>
      </c>
      <c r="BF33" s="30"/>
      <c r="BG33" s="30"/>
      <c r="BH33" s="30">
        <f>المهني!KT9</f>
        <v>4</v>
      </c>
      <c r="BI33" s="32">
        <f>SUM(C33:BH33)</f>
        <v>13</v>
      </c>
    </row>
    <row r="34" spans="1:61" s="36" customFormat="1" ht="85.5" customHeight="1" thickTop="1" thickBot="1">
      <c r="A34" s="456"/>
      <c r="B34" s="43" t="s">
        <v>29</v>
      </c>
      <c r="C34" s="30">
        <f>المهني!GK9</f>
        <v>5</v>
      </c>
      <c r="D34" s="30">
        <f>المهني!GM9</f>
        <v>0</v>
      </c>
      <c r="E34" s="30">
        <f>المهني!GO9</f>
        <v>1</v>
      </c>
      <c r="F34" s="30">
        <f>المهني!GQ9</f>
        <v>0</v>
      </c>
      <c r="G34" s="30">
        <f>المهني!GS9</f>
        <v>1</v>
      </c>
      <c r="H34" s="30">
        <f>المهني!GU9</f>
        <v>0</v>
      </c>
      <c r="I34" s="30">
        <f>المهني!GW9</f>
        <v>2</v>
      </c>
      <c r="J34" s="30">
        <f>المهني!GY9</f>
        <v>0</v>
      </c>
      <c r="K34" s="30">
        <f>المهني!HA9</f>
        <v>0</v>
      </c>
      <c r="L34" s="30">
        <f>المهني!HC9</f>
        <v>0</v>
      </c>
      <c r="M34" s="30">
        <f>المهني!HE9</f>
        <v>0</v>
      </c>
      <c r="N34" s="30">
        <f>المهني!HG9</f>
        <v>0</v>
      </c>
      <c r="O34" s="30">
        <f>المهني!HI9</f>
        <v>0</v>
      </c>
      <c r="P34" s="30">
        <f>المهني!HK9</f>
        <v>0</v>
      </c>
      <c r="Q34" s="30">
        <f>المهني!HM9</f>
        <v>0</v>
      </c>
      <c r="R34" s="30">
        <f>المهني!HO9</f>
        <v>0</v>
      </c>
      <c r="S34" s="30">
        <f>المهني!HQ9</f>
        <v>0</v>
      </c>
      <c r="T34" s="30">
        <f>المهني!HS9</f>
        <v>0</v>
      </c>
      <c r="U34" s="30">
        <f>المهني!HU9</f>
        <v>0</v>
      </c>
      <c r="V34" s="30">
        <f>المهني!HW9</f>
        <v>0</v>
      </c>
      <c r="W34" s="30">
        <f>المهني!HY9</f>
        <v>0</v>
      </c>
      <c r="X34" s="30">
        <f>المهني!IA9</f>
        <v>0</v>
      </c>
      <c r="Y34" s="30">
        <f>المهني!IC9</f>
        <v>0</v>
      </c>
      <c r="Z34" s="30">
        <f>المهني!IE9</f>
        <v>0</v>
      </c>
      <c r="AA34" s="30">
        <f>المهني!IG9</f>
        <v>0</v>
      </c>
      <c r="AB34" s="30">
        <f>المهني!II9</f>
        <v>0</v>
      </c>
      <c r="AC34" s="30">
        <f>المهني!IK9</f>
        <v>0</v>
      </c>
      <c r="AD34" s="30">
        <f>المهني!IM9</f>
        <v>0</v>
      </c>
      <c r="AE34" s="30">
        <f>المهني!IO9</f>
        <v>0</v>
      </c>
      <c r="AF34" s="30">
        <f>المهني!IQ9</f>
        <v>0</v>
      </c>
      <c r="AG34" s="30">
        <f>المهني!IS9</f>
        <v>0</v>
      </c>
      <c r="AH34" s="30">
        <f>المهني!IU9</f>
        <v>0</v>
      </c>
      <c r="AI34" s="30">
        <f>المهني!IW9</f>
        <v>0</v>
      </c>
      <c r="AJ34" s="30">
        <f>المهني!IY9</f>
        <v>0</v>
      </c>
      <c r="AK34" s="30">
        <f>المهني!JA9</f>
        <v>0</v>
      </c>
      <c r="AL34" s="30">
        <f>المهني!JC9</f>
        <v>0</v>
      </c>
      <c r="AM34" s="30">
        <f>المهني!JE9</f>
        <v>0</v>
      </c>
      <c r="AN34" s="30">
        <f>المهني!JG9</f>
        <v>0</v>
      </c>
      <c r="AO34" s="30">
        <f>المهني!JI9</f>
        <v>0</v>
      </c>
      <c r="AP34" s="30">
        <f>المهني!JK9</f>
        <v>0</v>
      </c>
      <c r="AQ34" s="30">
        <f>المهني!JM9</f>
        <v>0</v>
      </c>
      <c r="AR34" s="30">
        <f>المهني!JO9</f>
        <v>0</v>
      </c>
      <c r="AS34" s="30">
        <f>المهني!JQ9</f>
        <v>0</v>
      </c>
      <c r="AT34" s="30">
        <f>المهني!JS9</f>
        <v>0</v>
      </c>
      <c r="AU34" s="30">
        <f>المهني!JU9</f>
        <v>0</v>
      </c>
      <c r="AV34" s="30">
        <f>المهني!JW9</f>
        <v>0</v>
      </c>
      <c r="AW34" s="30">
        <f>المهني!JY9</f>
        <v>0</v>
      </c>
      <c r="AX34" s="30">
        <f>المهني!KA9</f>
        <v>0</v>
      </c>
      <c r="AY34" s="30">
        <f>المهني!KC9</f>
        <v>0</v>
      </c>
      <c r="AZ34" s="30">
        <f>المهني!KE9</f>
        <v>0</v>
      </c>
      <c r="BA34" s="30">
        <f>المهني!KG9</f>
        <v>0</v>
      </c>
      <c r="BB34" s="30">
        <f>المهني!KI9</f>
        <v>0</v>
      </c>
      <c r="BC34" s="30">
        <f>المهني!KK9</f>
        <v>0</v>
      </c>
      <c r="BD34" s="30">
        <f>المهني!KO9</f>
        <v>5</v>
      </c>
      <c r="BE34" s="30"/>
      <c r="BF34" s="30"/>
      <c r="BG34" s="30"/>
      <c r="BH34" s="30">
        <f>المهني!KU9</f>
        <v>5</v>
      </c>
      <c r="BI34" s="32">
        <f t="shared" ref="BI34:BI44" si="6">SUM(C34:BH34)</f>
        <v>19</v>
      </c>
    </row>
    <row r="35" spans="1:61" s="36" customFormat="1" ht="68.25" customHeight="1" thickTop="1" thickBot="1">
      <c r="A35" s="455" t="s">
        <v>276</v>
      </c>
      <c r="B35" s="43" t="s">
        <v>73</v>
      </c>
      <c r="C35" s="37">
        <v>0</v>
      </c>
      <c r="D35" s="37">
        <v>0</v>
      </c>
      <c r="E35" s="37">
        <v>0</v>
      </c>
      <c r="F35" s="37">
        <v>0</v>
      </c>
      <c r="G35" s="37">
        <v>0</v>
      </c>
      <c r="H35" s="37">
        <v>0</v>
      </c>
      <c r="I35" s="37">
        <v>0</v>
      </c>
      <c r="J35" s="37">
        <v>0</v>
      </c>
      <c r="K35" s="37">
        <v>0</v>
      </c>
      <c r="L35" s="37">
        <v>0</v>
      </c>
      <c r="M35" s="37">
        <v>0</v>
      </c>
      <c r="N35" s="37">
        <v>0</v>
      </c>
      <c r="O35" s="37">
        <v>0</v>
      </c>
      <c r="P35" s="37">
        <v>0</v>
      </c>
      <c r="Q35" s="37">
        <v>0</v>
      </c>
      <c r="R35" s="37">
        <v>0</v>
      </c>
      <c r="S35" s="37">
        <v>0</v>
      </c>
      <c r="T35" s="37">
        <v>0</v>
      </c>
      <c r="U35" s="37">
        <v>0</v>
      </c>
      <c r="V35" s="37">
        <v>0</v>
      </c>
      <c r="W35" s="37">
        <v>0</v>
      </c>
      <c r="X35" s="37">
        <v>0</v>
      </c>
      <c r="Y35" s="37">
        <v>0</v>
      </c>
      <c r="Z35" s="37">
        <v>0</v>
      </c>
      <c r="AA35" s="37">
        <v>0</v>
      </c>
      <c r="AB35" s="37">
        <v>0</v>
      </c>
      <c r="AC35" s="37">
        <v>0</v>
      </c>
      <c r="AD35" s="37">
        <v>0</v>
      </c>
      <c r="AE35" s="37">
        <v>0</v>
      </c>
      <c r="AF35" s="37">
        <v>0</v>
      </c>
      <c r="AG35" s="37">
        <v>0</v>
      </c>
      <c r="AH35" s="37">
        <v>0</v>
      </c>
      <c r="AI35" s="37">
        <v>0</v>
      </c>
      <c r="AJ35" s="37">
        <v>0</v>
      </c>
      <c r="AK35" s="37">
        <v>0</v>
      </c>
      <c r="AL35" s="37">
        <v>0</v>
      </c>
      <c r="AM35" s="37">
        <v>0</v>
      </c>
      <c r="AN35" s="37">
        <v>0</v>
      </c>
      <c r="AO35" s="37">
        <v>0</v>
      </c>
      <c r="AP35" s="37">
        <v>0</v>
      </c>
      <c r="AQ35" s="37">
        <v>0</v>
      </c>
      <c r="AR35" s="37">
        <v>0</v>
      </c>
      <c r="AS35" s="37">
        <v>0</v>
      </c>
      <c r="AT35" s="37">
        <v>0</v>
      </c>
      <c r="AU35" s="37">
        <v>0</v>
      </c>
      <c r="AV35" s="37">
        <v>0</v>
      </c>
      <c r="AW35" s="37">
        <v>0</v>
      </c>
      <c r="AX35" s="37">
        <v>0</v>
      </c>
      <c r="AY35" s="37">
        <v>0</v>
      </c>
      <c r="AZ35" s="37">
        <v>0</v>
      </c>
      <c r="BA35" s="37">
        <v>0</v>
      </c>
      <c r="BB35" s="37">
        <v>0</v>
      </c>
      <c r="BC35" s="37">
        <v>0</v>
      </c>
      <c r="BD35" s="37">
        <v>0</v>
      </c>
      <c r="BE35" s="37"/>
      <c r="BF35" s="37"/>
      <c r="BG35" s="37"/>
      <c r="BH35" s="37">
        <v>0</v>
      </c>
      <c r="BI35" s="35">
        <f t="shared" si="6"/>
        <v>0</v>
      </c>
    </row>
    <row r="36" spans="1:61" s="36" customFormat="1" ht="68.25" customHeight="1" thickTop="1" thickBot="1">
      <c r="A36" s="456"/>
      <c r="B36" s="43" t="s">
        <v>29</v>
      </c>
      <c r="C36" s="37">
        <v>0</v>
      </c>
      <c r="D36" s="37">
        <v>0</v>
      </c>
      <c r="E36" s="37">
        <v>0</v>
      </c>
      <c r="F36" s="37">
        <v>0</v>
      </c>
      <c r="G36" s="37">
        <v>0</v>
      </c>
      <c r="H36" s="37">
        <v>0</v>
      </c>
      <c r="I36" s="37">
        <v>0</v>
      </c>
      <c r="J36" s="37">
        <v>0</v>
      </c>
      <c r="K36" s="37">
        <v>0</v>
      </c>
      <c r="L36" s="37">
        <v>0</v>
      </c>
      <c r="M36" s="37">
        <v>0</v>
      </c>
      <c r="N36" s="37">
        <v>0</v>
      </c>
      <c r="O36" s="37">
        <v>0</v>
      </c>
      <c r="P36" s="37">
        <v>0</v>
      </c>
      <c r="Q36" s="37">
        <v>0</v>
      </c>
      <c r="R36" s="37">
        <v>0</v>
      </c>
      <c r="S36" s="37">
        <v>0</v>
      </c>
      <c r="T36" s="37">
        <v>0</v>
      </c>
      <c r="U36" s="37">
        <v>0</v>
      </c>
      <c r="V36" s="37">
        <v>0</v>
      </c>
      <c r="W36" s="37">
        <v>0</v>
      </c>
      <c r="X36" s="37">
        <v>0</v>
      </c>
      <c r="Y36" s="37">
        <v>0</v>
      </c>
      <c r="Z36" s="37">
        <v>0</v>
      </c>
      <c r="AA36" s="37">
        <v>0</v>
      </c>
      <c r="AB36" s="37">
        <v>0</v>
      </c>
      <c r="AC36" s="37">
        <v>0</v>
      </c>
      <c r="AD36" s="37">
        <v>0</v>
      </c>
      <c r="AE36" s="37">
        <v>0</v>
      </c>
      <c r="AF36" s="37">
        <v>0</v>
      </c>
      <c r="AG36" s="37">
        <v>0</v>
      </c>
      <c r="AH36" s="37">
        <v>0</v>
      </c>
      <c r="AI36" s="37">
        <v>0</v>
      </c>
      <c r="AJ36" s="37">
        <v>0</v>
      </c>
      <c r="AK36" s="37">
        <v>0</v>
      </c>
      <c r="AL36" s="37">
        <v>0</v>
      </c>
      <c r="AM36" s="37">
        <v>0</v>
      </c>
      <c r="AN36" s="37">
        <v>0</v>
      </c>
      <c r="AO36" s="37">
        <v>0</v>
      </c>
      <c r="AP36" s="37">
        <v>0</v>
      </c>
      <c r="AQ36" s="37">
        <v>0</v>
      </c>
      <c r="AR36" s="37">
        <v>0</v>
      </c>
      <c r="AS36" s="37">
        <v>0</v>
      </c>
      <c r="AT36" s="37">
        <v>0</v>
      </c>
      <c r="AU36" s="37">
        <v>0</v>
      </c>
      <c r="AV36" s="37">
        <v>0</v>
      </c>
      <c r="AW36" s="37">
        <v>0</v>
      </c>
      <c r="AX36" s="37">
        <v>0</v>
      </c>
      <c r="AY36" s="37">
        <v>0</v>
      </c>
      <c r="AZ36" s="37">
        <v>0</v>
      </c>
      <c r="BA36" s="37">
        <v>0</v>
      </c>
      <c r="BB36" s="37">
        <v>0</v>
      </c>
      <c r="BC36" s="37">
        <v>0</v>
      </c>
      <c r="BD36" s="37">
        <v>0</v>
      </c>
      <c r="BE36" s="37"/>
      <c r="BF36" s="37"/>
      <c r="BG36" s="37"/>
      <c r="BH36" s="37">
        <v>0</v>
      </c>
      <c r="BI36" s="35">
        <f t="shared" si="6"/>
        <v>0</v>
      </c>
    </row>
    <row r="37" spans="1:61" s="36" customFormat="1" ht="75.75" customHeight="1" thickTop="1" thickBot="1">
      <c r="A37" s="455" t="s">
        <v>277</v>
      </c>
      <c r="B37" s="43" t="s">
        <v>73</v>
      </c>
      <c r="C37" s="30">
        <f t="shared" ref="C37:AH37" si="7">C12</f>
        <v>0</v>
      </c>
      <c r="D37" s="30">
        <f t="shared" si="7"/>
        <v>0</v>
      </c>
      <c r="E37" s="30">
        <f t="shared" si="7"/>
        <v>0</v>
      </c>
      <c r="F37" s="30">
        <f t="shared" si="7"/>
        <v>0</v>
      </c>
      <c r="G37" s="30">
        <f t="shared" si="7"/>
        <v>0</v>
      </c>
      <c r="H37" s="30">
        <f t="shared" si="7"/>
        <v>0</v>
      </c>
      <c r="I37" s="30">
        <f t="shared" si="7"/>
        <v>0</v>
      </c>
      <c r="J37" s="30">
        <f t="shared" si="7"/>
        <v>0</v>
      </c>
      <c r="K37" s="30">
        <f t="shared" si="7"/>
        <v>0</v>
      </c>
      <c r="L37" s="30">
        <f t="shared" si="7"/>
        <v>0</v>
      </c>
      <c r="M37" s="30">
        <f t="shared" si="7"/>
        <v>0</v>
      </c>
      <c r="N37" s="30">
        <f t="shared" si="7"/>
        <v>0</v>
      </c>
      <c r="O37" s="30">
        <f t="shared" si="7"/>
        <v>0</v>
      </c>
      <c r="P37" s="30">
        <f t="shared" si="7"/>
        <v>0</v>
      </c>
      <c r="Q37" s="30">
        <f t="shared" si="7"/>
        <v>0</v>
      </c>
      <c r="R37" s="30">
        <f t="shared" si="7"/>
        <v>0</v>
      </c>
      <c r="S37" s="30">
        <f t="shared" si="7"/>
        <v>0</v>
      </c>
      <c r="T37" s="30">
        <f t="shared" si="7"/>
        <v>0</v>
      </c>
      <c r="U37" s="30">
        <f t="shared" si="7"/>
        <v>0</v>
      </c>
      <c r="V37" s="30">
        <f t="shared" si="7"/>
        <v>0</v>
      </c>
      <c r="W37" s="30">
        <f t="shared" si="7"/>
        <v>0</v>
      </c>
      <c r="X37" s="30">
        <f t="shared" si="7"/>
        <v>0</v>
      </c>
      <c r="Y37" s="30">
        <f t="shared" si="7"/>
        <v>0</v>
      </c>
      <c r="Z37" s="30">
        <f t="shared" si="7"/>
        <v>0</v>
      </c>
      <c r="AA37" s="30">
        <f t="shared" si="7"/>
        <v>0</v>
      </c>
      <c r="AB37" s="30">
        <f t="shared" si="7"/>
        <v>0</v>
      </c>
      <c r="AC37" s="30">
        <f t="shared" si="7"/>
        <v>0</v>
      </c>
      <c r="AD37" s="30">
        <f t="shared" si="7"/>
        <v>0</v>
      </c>
      <c r="AE37" s="30">
        <f t="shared" si="7"/>
        <v>0</v>
      </c>
      <c r="AF37" s="30">
        <f t="shared" si="7"/>
        <v>0</v>
      </c>
      <c r="AG37" s="30">
        <f t="shared" si="7"/>
        <v>0</v>
      </c>
      <c r="AH37" s="30">
        <f t="shared" si="7"/>
        <v>0</v>
      </c>
      <c r="AI37" s="30">
        <f t="shared" ref="AI37:BD37" si="8">AI12</f>
        <v>0</v>
      </c>
      <c r="AJ37" s="30">
        <f t="shared" si="8"/>
        <v>0</v>
      </c>
      <c r="AK37" s="30">
        <f t="shared" si="8"/>
        <v>0</v>
      </c>
      <c r="AL37" s="30">
        <f t="shared" si="8"/>
        <v>0</v>
      </c>
      <c r="AM37" s="30">
        <f t="shared" si="8"/>
        <v>0</v>
      </c>
      <c r="AN37" s="30">
        <f t="shared" si="8"/>
        <v>0</v>
      </c>
      <c r="AO37" s="30">
        <f t="shared" si="8"/>
        <v>0</v>
      </c>
      <c r="AP37" s="30">
        <f t="shared" si="8"/>
        <v>0</v>
      </c>
      <c r="AQ37" s="30">
        <f t="shared" si="8"/>
        <v>0</v>
      </c>
      <c r="AR37" s="30">
        <f t="shared" si="8"/>
        <v>0</v>
      </c>
      <c r="AS37" s="30">
        <f t="shared" si="8"/>
        <v>0</v>
      </c>
      <c r="AT37" s="30">
        <f t="shared" si="8"/>
        <v>0</v>
      </c>
      <c r="AU37" s="30">
        <f t="shared" si="8"/>
        <v>0</v>
      </c>
      <c r="AV37" s="30">
        <f t="shared" si="8"/>
        <v>0</v>
      </c>
      <c r="AW37" s="30">
        <f t="shared" si="8"/>
        <v>0</v>
      </c>
      <c r="AX37" s="30">
        <f t="shared" si="8"/>
        <v>0</v>
      </c>
      <c r="AY37" s="30">
        <f t="shared" si="8"/>
        <v>0</v>
      </c>
      <c r="AZ37" s="30">
        <f t="shared" si="8"/>
        <v>0</v>
      </c>
      <c r="BA37" s="30">
        <f t="shared" si="8"/>
        <v>0</v>
      </c>
      <c r="BB37" s="30">
        <f t="shared" si="8"/>
        <v>0</v>
      </c>
      <c r="BC37" s="30">
        <f t="shared" si="8"/>
        <v>0</v>
      </c>
      <c r="BD37" s="30">
        <f t="shared" si="8"/>
        <v>0</v>
      </c>
      <c r="BE37" s="30"/>
      <c r="BF37" s="30"/>
      <c r="BG37" s="30"/>
      <c r="BH37" s="30">
        <f>BH12</f>
        <v>0</v>
      </c>
      <c r="BI37" s="35">
        <f t="shared" si="6"/>
        <v>0</v>
      </c>
    </row>
    <row r="38" spans="1:61" s="36" customFormat="1" ht="75.75" customHeight="1" thickTop="1" thickBot="1">
      <c r="A38" s="456"/>
      <c r="B38" s="43" t="s">
        <v>29</v>
      </c>
      <c r="C38" s="30">
        <f t="shared" ref="C38:AH38" si="9">C13</f>
        <v>0</v>
      </c>
      <c r="D38" s="30">
        <f t="shared" si="9"/>
        <v>0</v>
      </c>
      <c r="E38" s="30">
        <f t="shared" si="9"/>
        <v>0</v>
      </c>
      <c r="F38" s="30">
        <f t="shared" si="9"/>
        <v>0</v>
      </c>
      <c r="G38" s="30">
        <f t="shared" si="9"/>
        <v>0</v>
      </c>
      <c r="H38" s="30">
        <f t="shared" si="9"/>
        <v>0</v>
      </c>
      <c r="I38" s="30">
        <f t="shared" si="9"/>
        <v>0</v>
      </c>
      <c r="J38" s="30">
        <f t="shared" si="9"/>
        <v>0</v>
      </c>
      <c r="K38" s="30">
        <f t="shared" si="9"/>
        <v>0</v>
      </c>
      <c r="L38" s="30">
        <f t="shared" si="9"/>
        <v>0</v>
      </c>
      <c r="M38" s="30">
        <f t="shared" si="9"/>
        <v>0</v>
      </c>
      <c r="N38" s="30">
        <f t="shared" si="9"/>
        <v>0</v>
      </c>
      <c r="O38" s="30">
        <f t="shared" si="9"/>
        <v>0</v>
      </c>
      <c r="P38" s="30">
        <f t="shared" si="9"/>
        <v>0</v>
      </c>
      <c r="Q38" s="30">
        <f t="shared" si="9"/>
        <v>0</v>
      </c>
      <c r="R38" s="30">
        <f t="shared" si="9"/>
        <v>0</v>
      </c>
      <c r="S38" s="30">
        <f t="shared" si="9"/>
        <v>0</v>
      </c>
      <c r="T38" s="30">
        <f t="shared" si="9"/>
        <v>0</v>
      </c>
      <c r="U38" s="30">
        <f t="shared" si="9"/>
        <v>0</v>
      </c>
      <c r="V38" s="30">
        <f t="shared" si="9"/>
        <v>0</v>
      </c>
      <c r="W38" s="30">
        <f t="shared" si="9"/>
        <v>0</v>
      </c>
      <c r="X38" s="30">
        <f t="shared" si="9"/>
        <v>0</v>
      </c>
      <c r="Y38" s="30">
        <f t="shared" si="9"/>
        <v>0</v>
      </c>
      <c r="Z38" s="30">
        <f t="shared" si="9"/>
        <v>0</v>
      </c>
      <c r="AA38" s="30">
        <f t="shared" si="9"/>
        <v>0</v>
      </c>
      <c r="AB38" s="30">
        <f t="shared" si="9"/>
        <v>0</v>
      </c>
      <c r="AC38" s="30">
        <f t="shared" si="9"/>
        <v>0</v>
      </c>
      <c r="AD38" s="30">
        <f t="shared" si="9"/>
        <v>0</v>
      </c>
      <c r="AE38" s="30">
        <f t="shared" si="9"/>
        <v>0</v>
      </c>
      <c r="AF38" s="30">
        <f t="shared" si="9"/>
        <v>0</v>
      </c>
      <c r="AG38" s="30">
        <f t="shared" si="9"/>
        <v>0</v>
      </c>
      <c r="AH38" s="30">
        <f t="shared" si="9"/>
        <v>0</v>
      </c>
      <c r="AI38" s="30">
        <f t="shared" ref="AI38:BD38" si="10">AI13</f>
        <v>0</v>
      </c>
      <c r="AJ38" s="30">
        <f t="shared" si="10"/>
        <v>0</v>
      </c>
      <c r="AK38" s="30">
        <f t="shared" si="10"/>
        <v>0</v>
      </c>
      <c r="AL38" s="30">
        <f t="shared" si="10"/>
        <v>0</v>
      </c>
      <c r="AM38" s="30">
        <f t="shared" si="10"/>
        <v>0</v>
      </c>
      <c r="AN38" s="30">
        <f t="shared" si="10"/>
        <v>0</v>
      </c>
      <c r="AO38" s="30">
        <f t="shared" si="10"/>
        <v>0</v>
      </c>
      <c r="AP38" s="30">
        <f t="shared" si="10"/>
        <v>0</v>
      </c>
      <c r="AQ38" s="30">
        <f t="shared" si="10"/>
        <v>0</v>
      </c>
      <c r="AR38" s="30">
        <f t="shared" si="10"/>
        <v>0</v>
      </c>
      <c r="AS38" s="30">
        <f t="shared" si="10"/>
        <v>0</v>
      </c>
      <c r="AT38" s="30">
        <f t="shared" si="10"/>
        <v>0</v>
      </c>
      <c r="AU38" s="30">
        <f t="shared" si="10"/>
        <v>0</v>
      </c>
      <c r="AV38" s="30">
        <f t="shared" si="10"/>
        <v>0</v>
      </c>
      <c r="AW38" s="30">
        <f t="shared" si="10"/>
        <v>0</v>
      </c>
      <c r="AX38" s="30">
        <f t="shared" si="10"/>
        <v>0</v>
      </c>
      <c r="AY38" s="30">
        <f t="shared" si="10"/>
        <v>0</v>
      </c>
      <c r="AZ38" s="30">
        <f t="shared" si="10"/>
        <v>0</v>
      </c>
      <c r="BA38" s="30">
        <f t="shared" si="10"/>
        <v>0</v>
      </c>
      <c r="BB38" s="30">
        <f t="shared" si="10"/>
        <v>0</v>
      </c>
      <c r="BC38" s="30">
        <f t="shared" si="10"/>
        <v>0</v>
      </c>
      <c r="BD38" s="30">
        <f t="shared" si="10"/>
        <v>0</v>
      </c>
      <c r="BE38" s="30"/>
      <c r="BF38" s="30"/>
      <c r="BG38" s="30"/>
      <c r="BH38" s="30">
        <f>BH13</f>
        <v>0</v>
      </c>
      <c r="BI38" s="35">
        <f t="shared" si="6"/>
        <v>0</v>
      </c>
    </row>
    <row r="39" spans="1:61" s="36" customFormat="1" ht="68.25" customHeight="1" thickTop="1" thickBot="1">
      <c r="A39" s="457" t="s">
        <v>209</v>
      </c>
      <c r="B39" s="43" t="s">
        <v>73</v>
      </c>
      <c r="C39" s="37">
        <v>0</v>
      </c>
      <c r="D39" s="37">
        <v>0</v>
      </c>
      <c r="E39" s="37">
        <v>0</v>
      </c>
      <c r="F39" s="37">
        <v>0</v>
      </c>
      <c r="G39" s="37">
        <v>0</v>
      </c>
      <c r="H39" s="37">
        <v>0</v>
      </c>
      <c r="I39" s="37">
        <v>0</v>
      </c>
      <c r="J39" s="37">
        <v>0</v>
      </c>
      <c r="K39" s="37">
        <v>0</v>
      </c>
      <c r="L39" s="37">
        <v>0</v>
      </c>
      <c r="M39" s="37">
        <v>0</v>
      </c>
      <c r="N39" s="37">
        <v>0</v>
      </c>
      <c r="O39" s="37">
        <v>0</v>
      </c>
      <c r="P39" s="37">
        <v>0</v>
      </c>
      <c r="Q39" s="37">
        <v>0</v>
      </c>
      <c r="R39" s="37">
        <v>0</v>
      </c>
      <c r="S39" s="37">
        <v>0</v>
      </c>
      <c r="T39" s="37">
        <v>0</v>
      </c>
      <c r="U39" s="37">
        <v>0</v>
      </c>
      <c r="V39" s="37">
        <v>0</v>
      </c>
      <c r="W39" s="37">
        <v>0</v>
      </c>
      <c r="X39" s="37">
        <v>0</v>
      </c>
      <c r="Y39" s="37">
        <v>0</v>
      </c>
      <c r="Z39" s="37">
        <v>0</v>
      </c>
      <c r="AA39" s="37">
        <v>0</v>
      </c>
      <c r="AB39" s="37">
        <v>0</v>
      </c>
      <c r="AC39" s="37">
        <v>0</v>
      </c>
      <c r="AD39" s="37">
        <v>0</v>
      </c>
      <c r="AE39" s="37">
        <v>0</v>
      </c>
      <c r="AF39" s="37">
        <v>0</v>
      </c>
      <c r="AG39" s="37">
        <v>0</v>
      </c>
      <c r="AH39" s="37">
        <v>0</v>
      </c>
      <c r="AI39" s="37">
        <v>0</v>
      </c>
      <c r="AJ39" s="37">
        <v>0</v>
      </c>
      <c r="AK39" s="37">
        <v>0</v>
      </c>
      <c r="AL39" s="37">
        <v>0</v>
      </c>
      <c r="AM39" s="37">
        <v>0</v>
      </c>
      <c r="AN39" s="37">
        <v>0</v>
      </c>
      <c r="AO39" s="37">
        <v>0</v>
      </c>
      <c r="AP39" s="37">
        <v>0</v>
      </c>
      <c r="AQ39" s="37">
        <v>0</v>
      </c>
      <c r="AR39" s="37">
        <v>0</v>
      </c>
      <c r="AS39" s="37">
        <v>0</v>
      </c>
      <c r="AT39" s="37">
        <v>0</v>
      </c>
      <c r="AU39" s="37">
        <v>0</v>
      </c>
      <c r="AV39" s="37">
        <v>0</v>
      </c>
      <c r="AW39" s="37">
        <v>0</v>
      </c>
      <c r="AX39" s="37">
        <v>0</v>
      </c>
      <c r="AY39" s="37">
        <v>0</v>
      </c>
      <c r="AZ39" s="37">
        <v>0</v>
      </c>
      <c r="BA39" s="37">
        <v>0</v>
      </c>
      <c r="BB39" s="37">
        <v>0</v>
      </c>
      <c r="BC39" s="37">
        <v>0</v>
      </c>
      <c r="BD39" s="37">
        <v>0</v>
      </c>
      <c r="BE39" s="35"/>
      <c r="BF39" s="35"/>
      <c r="BG39" s="35"/>
      <c r="BH39" s="35">
        <v>0</v>
      </c>
      <c r="BI39" s="35">
        <f t="shared" si="6"/>
        <v>0</v>
      </c>
    </row>
    <row r="40" spans="1:61" s="36" customFormat="1" ht="68.25" customHeight="1" thickTop="1" thickBot="1">
      <c r="A40" s="458"/>
      <c r="B40" s="43" t="s">
        <v>29</v>
      </c>
      <c r="C40" s="37">
        <v>0</v>
      </c>
      <c r="D40" s="37">
        <v>0</v>
      </c>
      <c r="E40" s="37">
        <v>0</v>
      </c>
      <c r="F40" s="37">
        <v>0</v>
      </c>
      <c r="G40" s="37">
        <v>0</v>
      </c>
      <c r="H40" s="37">
        <v>0</v>
      </c>
      <c r="I40" s="37">
        <v>0</v>
      </c>
      <c r="J40" s="37">
        <v>0</v>
      </c>
      <c r="K40" s="37">
        <v>0</v>
      </c>
      <c r="L40" s="37">
        <v>0</v>
      </c>
      <c r="M40" s="37">
        <v>0</v>
      </c>
      <c r="N40" s="37">
        <v>0</v>
      </c>
      <c r="O40" s="37">
        <v>0</v>
      </c>
      <c r="P40" s="37">
        <v>0</v>
      </c>
      <c r="Q40" s="37">
        <v>0</v>
      </c>
      <c r="R40" s="37">
        <v>0</v>
      </c>
      <c r="S40" s="37">
        <v>0</v>
      </c>
      <c r="T40" s="37">
        <v>0</v>
      </c>
      <c r="U40" s="37">
        <v>0</v>
      </c>
      <c r="V40" s="37">
        <v>0</v>
      </c>
      <c r="W40" s="37">
        <v>0</v>
      </c>
      <c r="X40" s="37">
        <v>0</v>
      </c>
      <c r="Y40" s="37">
        <v>0</v>
      </c>
      <c r="Z40" s="37">
        <v>0</v>
      </c>
      <c r="AA40" s="37">
        <v>0</v>
      </c>
      <c r="AB40" s="37">
        <v>0</v>
      </c>
      <c r="AC40" s="37">
        <v>0</v>
      </c>
      <c r="AD40" s="37">
        <v>0</v>
      </c>
      <c r="AE40" s="37">
        <v>0</v>
      </c>
      <c r="AF40" s="37">
        <v>0</v>
      </c>
      <c r="AG40" s="37">
        <v>0</v>
      </c>
      <c r="AH40" s="37">
        <v>0</v>
      </c>
      <c r="AI40" s="37">
        <v>0</v>
      </c>
      <c r="AJ40" s="37">
        <v>0</v>
      </c>
      <c r="AK40" s="37">
        <v>0</v>
      </c>
      <c r="AL40" s="37">
        <v>0</v>
      </c>
      <c r="AM40" s="37">
        <v>0</v>
      </c>
      <c r="AN40" s="37">
        <v>0</v>
      </c>
      <c r="AO40" s="37">
        <v>0</v>
      </c>
      <c r="AP40" s="37">
        <v>0</v>
      </c>
      <c r="AQ40" s="37">
        <v>0</v>
      </c>
      <c r="AR40" s="37">
        <v>0</v>
      </c>
      <c r="AS40" s="37">
        <v>0</v>
      </c>
      <c r="AT40" s="37">
        <v>0</v>
      </c>
      <c r="AU40" s="37">
        <v>0</v>
      </c>
      <c r="AV40" s="37">
        <v>0</v>
      </c>
      <c r="AW40" s="37">
        <v>0</v>
      </c>
      <c r="AX40" s="37">
        <v>0</v>
      </c>
      <c r="AY40" s="37">
        <v>0</v>
      </c>
      <c r="AZ40" s="37">
        <v>0</v>
      </c>
      <c r="BA40" s="37">
        <v>0</v>
      </c>
      <c r="BB40" s="37">
        <v>0</v>
      </c>
      <c r="BC40" s="37">
        <v>0</v>
      </c>
      <c r="BD40" s="35">
        <v>0</v>
      </c>
      <c r="BE40" s="35"/>
      <c r="BF40" s="35"/>
      <c r="BG40" s="35"/>
      <c r="BH40" s="35">
        <f>المهني!KU32</f>
        <v>0</v>
      </c>
      <c r="BI40" s="35">
        <f t="shared" si="6"/>
        <v>0</v>
      </c>
    </row>
    <row r="41" spans="1:61" s="36" customFormat="1" ht="68.25" customHeight="1" thickTop="1" thickBot="1">
      <c r="A41" s="457" t="s">
        <v>459</v>
      </c>
      <c r="B41" s="43" t="s">
        <v>73</v>
      </c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5"/>
      <c r="BE41" s="35"/>
      <c r="BF41" s="35"/>
      <c r="BG41" s="35"/>
      <c r="BH41" s="35"/>
      <c r="BI41" s="35"/>
    </row>
    <row r="42" spans="1:61" s="36" customFormat="1" ht="68.25" customHeight="1" thickTop="1" thickBot="1">
      <c r="A42" s="458"/>
      <c r="B42" s="43" t="s">
        <v>29</v>
      </c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5"/>
      <c r="BE42" s="35"/>
      <c r="BF42" s="35"/>
      <c r="BG42" s="35"/>
      <c r="BH42" s="35"/>
      <c r="BI42" s="35"/>
    </row>
    <row r="43" spans="1:61" s="36" customFormat="1" ht="67.5" customHeight="1" thickTop="1" thickBot="1">
      <c r="A43" s="457" t="s">
        <v>387</v>
      </c>
      <c r="B43" s="43" t="s">
        <v>73</v>
      </c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5"/>
      <c r="BI43" s="35">
        <f t="shared" si="6"/>
        <v>0</v>
      </c>
    </row>
    <row r="44" spans="1:61" s="36" customFormat="1" ht="67.5" customHeight="1" thickTop="1" thickBot="1">
      <c r="A44" s="458"/>
      <c r="B44" s="43" t="s">
        <v>29</v>
      </c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5"/>
      <c r="BI44" s="35">
        <f t="shared" si="6"/>
        <v>0</v>
      </c>
    </row>
    <row r="45" spans="1:61" s="36" customFormat="1" ht="75.75" customHeight="1" thickTop="1" thickBot="1">
      <c r="A45" s="455" t="s">
        <v>25</v>
      </c>
      <c r="B45" s="43" t="s">
        <v>73</v>
      </c>
      <c r="C45" s="30">
        <f>C39+C37+C35+C33</f>
        <v>1</v>
      </c>
      <c r="D45" s="30">
        <f t="shared" ref="D45:BI45" si="11">D39+D37+D35+D33</f>
        <v>0</v>
      </c>
      <c r="E45" s="30">
        <f t="shared" si="11"/>
        <v>4</v>
      </c>
      <c r="F45" s="30">
        <f t="shared" si="11"/>
        <v>0</v>
      </c>
      <c r="G45" s="30">
        <f t="shared" si="11"/>
        <v>2</v>
      </c>
      <c r="H45" s="30">
        <f t="shared" si="11"/>
        <v>0</v>
      </c>
      <c r="I45" s="30">
        <f t="shared" si="11"/>
        <v>0</v>
      </c>
      <c r="J45" s="30">
        <f t="shared" si="11"/>
        <v>0</v>
      </c>
      <c r="K45" s="30">
        <f t="shared" si="11"/>
        <v>0</v>
      </c>
      <c r="L45" s="30">
        <f t="shared" si="11"/>
        <v>0</v>
      </c>
      <c r="M45" s="30">
        <f t="shared" si="11"/>
        <v>0</v>
      </c>
      <c r="N45" s="30">
        <f t="shared" si="11"/>
        <v>1</v>
      </c>
      <c r="O45" s="30">
        <f t="shared" si="11"/>
        <v>0</v>
      </c>
      <c r="P45" s="30">
        <f t="shared" si="11"/>
        <v>0</v>
      </c>
      <c r="Q45" s="30">
        <f t="shared" si="11"/>
        <v>0</v>
      </c>
      <c r="R45" s="30">
        <f t="shared" si="11"/>
        <v>0</v>
      </c>
      <c r="S45" s="30">
        <f t="shared" si="11"/>
        <v>0</v>
      </c>
      <c r="T45" s="30">
        <f t="shared" si="11"/>
        <v>0</v>
      </c>
      <c r="U45" s="30">
        <f t="shared" si="11"/>
        <v>0</v>
      </c>
      <c r="V45" s="30">
        <f t="shared" si="11"/>
        <v>0</v>
      </c>
      <c r="W45" s="30">
        <f t="shared" si="11"/>
        <v>0</v>
      </c>
      <c r="X45" s="30">
        <f t="shared" si="11"/>
        <v>0</v>
      </c>
      <c r="Y45" s="30">
        <f t="shared" si="11"/>
        <v>0</v>
      </c>
      <c r="Z45" s="30">
        <f t="shared" si="11"/>
        <v>0</v>
      </c>
      <c r="AA45" s="30">
        <f t="shared" si="11"/>
        <v>0</v>
      </c>
      <c r="AB45" s="30">
        <f t="shared" si="11"/>
        <v>0</v>
      </c>
      <c r="AC45" s="30">
        <f t="shared" si="11"/>
        <v>1</v>
      </c>
      <c r="AD45" s="30">
        <f t="shared" si="11"/>
        <v>0</v>
      </c>
      <c r="AE45" s="30">
        <f t="shared" si="11"/>
        <v>0</v>
      </c>
      <c r="AF45" s="30">
        <f t="shared" si="11"/>
        <v>0</v>
      </c>
      <c r="AG45" s="30">
        <f t="shared" si="11"/>
        <v>0</v>
      </c>
      <c r="AH45" s="30">
        <f t="shared" si="11"/>
        <v>0</v>
      </c>
      <c r="AI45" s="30">
        <f t="shared" si="11"/>
        <v>0</v>
      </c>
      <c r="AJ45" s="30">
        <f t="shared" si="11"/>
        <v>0</v>
      </c>
      <c r="AK45" s="30">
        <f t="shared" si="11"/>
        <v>0</v>
      </c>
      <c r="AL45" s="30">
        <f t="shared" si="11"/>
        <v>0</v>
      </c>
      <c r="AM45" s="30">
        <f t="shared" si="11"/>
        <v>0</v>
      </c>
      <c r="AN45" s="30">
        <f t="shared" si="11"/>
        <v>0</v>
      </c>
      <c r="AO45" s="30">
        <f t="shared" si="11"/>
        <v>0</v>
      </c>
      <c r="AP45" s="30">
        <f t="shared" si="11"/>
        <v>0</v>
      </c>
      <c r="AQ45" s="30">
        <f t="shared" si="11"/>
        <v>0</v>
      </c>
      <c r="AR45" s="30">
        <f t="shared" si="11"/>
        <v>0</v>
      </c>
      <c r="AS45" s="30">
        <f t="shared" si="11"/>
        <v>0</v>
      </c>
      <c r="AT45" s="30">
        <f t="shared" si="11"/>
        <v>0</v>
      </c>
      <c r="AU45" s="30">
        <f t="shared" si="11"/>
        <v>0</v>
      </c>
      <c r="AV45" s="30">
        <f t="shared" si="11"/>
        <v>0</v>
      </c>
      <c r="AW45" s="30">
        <f t="shared" si="11"/>
        <v>0</v>
      </c>
      <c r="AX45" s="30">
        <f t="shared" si="11"/>
        <v>0</v>
      </c>
      <c r="AY45" s="30">
        <f t="shared" si="11"/>
        <v>0</v>
      </c>
      <c r="AZ45" s="30">
        <f t="shared" si="11"/>
        <v>0</v>
      </c>
      <c r="BA45" s="30">
        <f t="shared" si="11"/>
        <v>0</v>
      </c>
      <c r="BB45" s="30">
        <f t="shared" si="11"/>
        <v>0</v>
      </c>
      <c r="BC45" s="30">
        <f t="shared" si="11"/>
        <v>0</v>
      </c>
      <c r="BD45" s="30">
        <f t="shared" si="11"/>
        <v>0</v>
      </c>
      <c r="BE45" s="30">
        <f t="shared" ref="BE45:BG46" si="12">BE39+BE37+BE35+BE33</f>
        <v>0</v>
      </c>
      <c r="BF45" s="30">
        <f t="shared" si="12"/>
        <v>0</v>
      </c>
      <c r="BG45" s="30">
        <f t="shared" si="12"/>
        <v>0</v>
      </c>
      <c r="BH45" s="30">
        <f t="shared" si="11"/>
        <v>4</v>
      </c>
      <c r="BI45" s="32">
        <f t="shared" si="11"/>
        <v>13</v>
      </c>
    </row>
    <row r="46" spans="1:61" s="36" customFormat="1" ht="75.75" customHeight="1" thickTop="1" thickBot="1">
      <c r="A46" s="468"/>
      <c r="B46" s="43" t="s">
        <v>29</v>
      </c>
      <c r="C46" s="30">
        <f>C40+C38+C36+C34</f>
        <v>5</v>
      </c>
      <c r="D46" s="30">
        <f t="shared" ref="D46:BI46" si="13">D40+D38+D36+D34</f>
        <v>0</v>
      </c>
      <c r="E46" s="30">
        <f t="shared" si="13"/>
        <v>1</v>
      </c>
      <c r="F46" s="30">
        <f t="shared" si="13"/>
        <v>0</v>
      </c>
      <c r="G46" s="30">
        <f t="shared" si="13"/>
        <v>1</v>
      </c>
      <c r="H46" s="30">
        <f t="shared" si="13"/>
        <v>0</v>
      </c>
      <c r="I46" s="30">
        <f t="shared" si="13"/>
        <v>2</v>
      </c>
      <c r="J46" s="30">
        <f t="shared" si="13"/>
        <v>0</v>
      </c>
      <c r="K46" s="30">
        <f t="shared" si="13"/>
        <v>0</v>
      </c>
      <c r="L46" s="30">
        <f t="shared" si="13"/>
        <v>0</v>
      </c>
      <c r="M46" s="30">
        <f t="shared" si="13"/>
        <v>0</v>
      </c>
      <c r="N46" s="30">
        <f t="shared" si="13"/>
        <v>0</v>
      </c>
      <c r="O46" s="30">
        <f t="shared" si="13"/>
        <v>0</v>
      </c>
      <c r="P46" s="30">
        <f t="shared" si="13"/>
        <v>0</v>
      </c>
      <c r="Q46" s="30">
        <f t="shared" si="13"/>
        <v>0</v>
      </c>
      <c r="R46" s="30">
        <f t="shared" si="13"/>
        <v>0</v>
      </c>
      <c r="S46" s="30">
        <f t="shared" si="13"/>
        <v>0</v>
      </c>
      <c r="T46" s="30">
        <f t="shared" si="13"/>
        <v>0</v>
      </c>
      <c r="U46" s="30">
        <f t="shared" si="13"/>
        <v>0</v>
      </c>
      <c r="V46" s="30">
        <f t="shared" si="13"/>
        <v>0</v>
      </c>
      <c r="W46" s="30">
        <f t="shared" si="13"/>
        <v>0</v>
      </c>
      <c r="X46" s="30">
        <f t="shared" si="13"/>
        <v>0</v>
      </c>
      <c r="Y46" s="30">
        <f t="shared" si="13"/>
        <v>0</v>
      </c>
      <c r="Z46" s="30">
        <f t="shared" si="13"/>
        <v>0</v>
      </c>
      <c r="AA46" s="30">
        <f t="shared" si="13"/>
        <v>0</v>
      </c>
      <c r="AB46" s="30">
        <f t="shared" si="13"/>
        <v>0</v>
      </c>
      <c r="AC46" s="30">
        <f t="shared" si="13"/>
        <v>0</v>
      </c>
      <c r="AD46" s="30">
        <f t="shared" si="13"/>
        <v>0</v>
      </c>
      <c r="AE46" s="30">
        <f t="shared" si="13"/>
        <v>0</v>
      </c>
      <c r="AF46" s="30">
        <f t="shared" si="13"/>
        <v>0</v>
      </c>
      <c r="AG46" s="30">
        <f t="shared" si="13"/>
        <v>0</v>
      </c>
      <c r="AH46" s="30">
        <f t="shared" si="13"/>
        <v>0</v>
      </c>
      <c r="AI46" s="30">
        <f t="shared" si="13"/>
        <v>0</v>
      </c>
      <c r="AJ46" s="30">
        <f t="shared" si="13"/>
        <v>0</v>
      </c>
      <c r="AK46" s="30">
        <f t="shared" si="13"/>
        <v>0</v>
      </c>
      <c r="AL46" s="30">
        <f t="shared" si="13"/>
        <v>0</v>
      </c>
      <c r="AM46" s="30">
        <f t="shared" si="13"/>
        <v>0</v>
      </c>
      <c r="AN46" s="30">
        <f t="shared" si="13"/>
        <v>0</v>
      </c>
      <c r="AO46" s="30">
        <f t="shared" si="13"/>
        <v>0</v>
      </c>
      <c r="AP46" s="30">
        <f t="shared" si="13"/>
        <v>0</v>
      </c>
      <c r="AQ46" s="30">
        <f t="shared" si="13"/>
        <v>0</v>
      </c>
      <c r="AR46" s="30">
        <f t="shared" si="13"/>
        <v>0</v>
      </c>
      <c r="AS46" s="30">
        <f t="shared" si="13"/>
        <v>0</v>
      </c>
      <c r="AT46" s="30">
        <f t="shared" si="13"/>
        <v>0</v>
      </c>
      <c r="AU46" s="30">
        <f t="shared" si="13"/>
        <v>0</v>
      </c>
      <c r="AV46" s="30">
        <f t="shared" si="13"/>
        <v>0</v>
      </c>
      <c r="AW46" s="30">
        <f t="shared" si="13"/>
        <v>0</v>
      </c>
      <c r="AX46" s="30">
        <f t="shared" si="13"/>
        <v>0</v>
      </c>
      <c r="AY46" s="30">
        <f t="shared" si="13"/>
        <v>0</v>
      </c>
      <c r="AZ46" s="30">
        <f t="shared" si="13"/>
        <v>0</v>
      </c>
      <c r="BA46" s="30">
        <f t="shared" si="13"/>
        <v>0</v>
      </c>
      <c r="BB46" s="30">
        <f t="shared" si="13"/>
        <v>0</v>
      </c>
      <c r="BC46" s="30">
        <f t="shared" si="13"/>
        <v>0</v>
      </c>
      <c r="BD46" s="30">
        <f t="shared" si="13"/>
        <v>5</v>
      </c>
      <c r="BE46" s="30">
        <f t="shared" si="12"/>
        <v>0</v>
      </c>
      <c r="BF46" s="30">
        <f t="shared" si="12"/>
        <v>0</v>
      </c>
      <c r="BG46" s="30">
        <f t="shared" si="12"/>
        <v>0</v>
      </c>
      <c r="BH46" s="30">
        <f t="shared" si="13"/>
        <v>5</v>
      </c>
      <c r="BI46" s="32">
        <f t="shared" si="13"/>
        <v>19</v>
      </c>
    </row>
    <row r="47" spans="1:61" s="36" customFormat="1" ht="75.75" customHeight="1" thickTop="1" thickBot="1">
      <c r="A47" s="456"/>
      <c r="B47" s="43" t="s">
        <v>25</v>
      </c>
      <c r="C47" s="32">
        <f>C46+C45</f>
        <v>6</v>
      </c>
      <c r="D47" s="32">
        <f t="shared" ref="D47:BI47" si="14">D46+D45</f>
        <v>0</v>
      </c>
      <c r="E47" s="32">
        <f t="shared" si="14"/>
        <v>5</v>
      </c>
      <c r="F47" s="32">
        <f t="shared" si="14"/>
        <v>0</v>
      </c>
      <c r="G47" s="32">
        <f t="shared" si="14"/>
        <v>3</v>
      </c>
      <c r="H47" s="32">
        <f t="shared" si="14"/>
        <v>0</v>
      </c>
      <c r="I47" s="32">
        <f t="shared" si="14"/>
        <v>2</v>
      </c>
      <c r="J47" s="32">
        <f t="shared" si="14"/>
        <v>0</v>
      </c>
      <c r="K47" s="32">
        <f t="shared" si="14"/>
        <v>0</v>
      </c>
      <c r="L47" s="32">
        <f t="shared" si="14"/>
        <v>0</v>
      </c>
      <c r="M47" s="32">
        <f t="shared" si="14"/>
        <v>0</v>
      </c>
      <c r="N47" s="32">
        <f t="shared" si="14"/>
        <v>1</v>
      </c>
      <c r="O47" s="32">
        <f t="shared" si="14"/>
        <v>0</v>
      </c>
      <c r="P47" s="32">
        <f t="shared" si="14"/>
        <v>0</v>
      </c>
      <c r="Q47" s="32">
        <f t="shared" si="14"/>
        <v>0</v>
      </c>
      <c r="R47" s="32">
        <f t="shared" si="14"/>
        <v>0</v>
      </c>
      <c r="S47" s="32">
        <f t="shared" si="14"/>
        <v>0</v>
      </c>
      <c r="T47" s="32">
        <f t="shared" si="14"/>
        <v>0</v>
      </c>
      <c r="U47" s="32">
        <f t="shared" si="14"/>
        <v>0</v>
      </c>
      <c r="V47" s="32">
        <f t="shared" si="14"/>
        <v>0</v>
      </c>
      <c r="W47" s="32">
        <f t="shared" si="14"/>
        <v>0</v>
      </c>
      <c r="X47" s="32">
        <f t="shared" si="14"/>
        <v>0</v>
      </c>
      <c r="Y47" s="32">
        <f t="shared" si="14"/>
        <v>0</v>
      </c>
      <c r="Z47" s="32">
        <f t="shared" si="14"/>
        <v>0</v>
      </c>
      <c r="AA47" s="32">
        <f t="shared" si="14"/>
        <v>0</v>
      </c>
      <c r="AB47" s="32">
        <f t="shared" si="14"/>
        <v>0</v>
      </c>
      <c r="AC47" s="32">
        <f t="shared" si="14"/>
        <v>1</v>
      </c>
      <c r="AD47" s="32">
        <f t="shared" si="14"/>
        <v>0</v>
      </c>
      <c r="AE47" s="32">
        <f t="shared" si="14"/>
        <v>0</v>
      </c>
      <c r="AF47" s="32">
        <f t="shared" si="14"/>
        <v>0</v>
      </c>
      <c r="AG47" s="32">
        <f t="shared" si="14"/>
        <v>0</v>
      </c>
      <c r="AH47" s="32">
        <f t="shared" si="14"/>
        <v>0</v>
      </c>
      <c r="AI47" s="32">
        <f t="shared" si="14"/>
        <v>0</v>
      </c>
      <c r="AJ47" s="32">
        <f t="shared" si="14"/>
        <v>0</v>
      </c>
      <c r="AK47" s="32">
        <f t="shared" si="14"/>
        <v>0</v>
      </c>
      <c r="AL47" s="32">
        <f t="shared" si="14"/>
        <v>0</v>
      </c>
      <c r="AM47" s="32">
        <f t="shared" si="14"/>
        <v>0</v>
      </c>
      <c r="AN47" s="32">
        <f t="shared" si="14"/>
        <v>0</v>
      </c>
      <c r="AO47" s="32">
        <f t="shared" si="14"/>
        <v>0</v>
      </c>
      <c r="AP47" s="32">
        <f t="shared" si="14"/>
        <v>0</v>
      </c>
      <c r="AQ47" s="32">
        <f t="shared" si="14"/>
        <v>0</v>
      </c>
      <c r="AR47" s="32">
        <f t="shared" si="14"/>
        <v>0</v>
      </c>
      <c r="AS47" s="32">
        <f t="shared" si="14"/>
        <v>0</v>
      </c>
      <c r="AT47" s="32">
        <f t="shared" si="14"/>
        <v>0</v>
      </c>
      <c r="AU47" s="32">
        <f t="shared" si="14"/>
        <v>0</v>
      </c>
      <c r="AV47" s="32">
        <f t="shared" si="14"/>
        <v>0</v>
      </c>
      <c r="AW47" s="32">
        <f t="shared" si="14"/>
        <v>0</v>
      </c>
      <c r="AX47" s="32">
        <f t="shared" si="14"/>
        <v>0</v>
      </c>
      <c r="AY47" s="32">
        <f t="shared" si="14"/>
        <v>0</v>
      </c>
      <c r="AZ47" s="32">
        <f t="shared" si="14"/>
        <v>0</v>
      </c>
      <c r="BA47" s="32">
        <f t="shared" si="14"/>
        <v>0</v>
      </c>
      <c r="BB47" s="32">
        <f t="shared" si="14"/>
        <v>0</v>
      </c>
      <c r="BC47" s="32">
        <f t="shared" si="14"/>
        <v>0</v>
      </c>
      <c r="BD47" s="32">
        <f t="shared" si="14"/>
        <v>5</v>
      </c>
      <c r="BE47" s="32">
        <f>BE46+BE45</f>
        <v>0</v>
      </c>
      <c r="BF47" s="32">
        <f>BF46+BF45</f>
        <v>0</v>
      </c>
      <c r="BG47" s="32">
        <f>BG46+BG45</f>
        <v>0</v>
      </c>
      <c r="BH47" s="32">
        <f t="shared" si="14"/>
        <v>9</v>
      </c>
      <c r="BI47" s="32">
        <f t="shared" si="14"/>
        <v>32</v>
      </c>
    </row>
    <row r="48" spans="1:61" s="10" customFormat="1" ht="20.25" customHeight="1" thickTop="1">
      <c r="A48" s="9"/>
      <c r="B48" s="45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</row>
    <row r="49" spans="1:61" s="28" customFormat="1" ht="28.5" customHeight="1">
      <c r="A49" s="454" t="s">
        <v>146</v>
      </c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BB49" s="454" t="s">
        <v>110</v>
      </c>
      <c r="BC49" s="454"/>
      <c r="BD49" s="454"/>
      <c r="BE49" s="454"/>
      <c r="BF49" s="454"/>
      <c r="BG49" s="454"/>
      <c r="BH49" s="454"/>
      <c r="BI49" s="454"/>
    </row>
    <row r="50" spans="1:61" s="28" customFormat="1" ht="20.25" customHeight="1">
      <c r="A50" s="340" t="s">
        <v>185</v>
      </c>
      <c r="B50" s="340"/>
      <c r="C50" s="340"/>
      <c r="D50" s="340"/>
      <c r="E50" s="340"/>
      <c r="F50" s="340"/>
      <c r="G50" s="340"/>
      <c r="H50" s="340"/>
      <c r="I50" s="340"/>
      <c r="J50" s="340"/>
      <c r="K50" s="340"/>
      <c r="L50" s="340"/>
      <c r="Q50" s="31"/>
      <c r="R50" s="31"/>
      <c r="V50" s="462" t="s">
        <v>183</v>
      </c>
      <c r="W50" s="462"/>
      <c r="X50" s="462"/>
      <c r="Y50" s="462"/>
      <c r="Z50" s="462"/>
      <c r="AA50" s="462"/>
      <c r="AB50" s="462"/>
      <c r="AC50" s="462"/>
      <c r="AD50" s="462"/>
      <c r="AE50" s="462"/>
      <c r="AF50" s="462"/>
      <c r="AG50" s="462"/>
      <c r="AH50" s="462"/>
      <c r="AI50" s="462"/>
    </row>
    <row r="51" spans="1:61" s="28" customFormat="1" ht="20.25" customHeight="1">
      <c r="A51" s="454" t="s">
        <v>218</v>
      </c>
      <c r="B51" s="454"/>
      <c r="C51" s="454"/>
      <c r="D51" s="454"/>
      <c r="E51" s="454"/>
      <c r="F51" s="454"/>
      <c r="G51" s="454"/>
      <c r="H51" s="454"/>
      <c r="I51" s="454"/>
      <c r="J51" s="454"/>
      <c r="K51" s="454"/>
      <c r="L51" s="454"/>
      <c r="M51" s="454"/>
      <c r="N51" s="454"/>
      <c r="O51" s="454"/>
      <c r="P51" s="454"/>
      <c r="Q51" s="454"/>
      <c r="R51" s="454"/>
      <c r="S51" s="454"/>
      <c r="T51" s="454"/>
      <c r="U51" s="454"/>
      <c r="V51" s="454"/>
      <c r="W51" s="454"/>
      <c r="X51" s="454"/>
      <c r="Y51" s="454"/>
      <c r="Z51" s="454"/>
      <c r="AA51" s="454"/>
      <c r="AB51" s="454"/>
      <c r="AC51" s="454"/>
      <c r="AD51" s="454"/>
      <c r="AE51" s="454"/>
      <c r="AF51" s="454"/>
      <c r="AG51" s="454"/>
      <c r="AH51" s="454"/>
      <c r="AI51" s="454"/>
      <c r="AJ51" s="454"/>
      <c r="AK51" s="454"/>
      <c r="AL51" s="454"/>
      <c r="AM51" s="454"/>
      <c r="AN51" s="454"/>
      <c r="AO51" s="454"/>
      <c r="AP51" s="454"/>
      <c r="AQ51" s="454"/>
      <c r="AR51" s="454"/>
      <c r="AS51" s="454"/>
      <c r="AT51" s="454"/>
      <c r="AU51" s="454"/>
      <c r="AV51" s="454"/>
      <c r="AW51" s="454"/>
      <c r="AX51" s="454"/>
      <c r="AY51" s="454"/>
      <c r="AZ51" s="454"/>
      <c r="BA51" s="454"/>
      <c r="BB51" s="454"/>
      <c r="BC51" s="454"/>
      <c r="BD51" s="454"/>
      <c r="BE51" s="454"/>
      <c r="BF51" s="454"/>
      <c r="BG51" s="454"/>
      <c r="BH51" s="454"/>
      <c r="BI51" s="454"/>
    </row>
    <row r="52" spans="1:61" s="28" customFormat="1" ht="20.25" customHeight="1">
      <c r="A52" s="454" t="s">
        <v>505</v>
      </c>
      <c r="B52" s="454"/>
      <c r="C52" s="454"/>
      <c r="D52" s="454"/>
      <c r="E52" s="454"/>
      <c r="F52" s="454"/>
      <c r="G52" s="454"/>
      <c r="H52" s="454"/>
      <c r="I52" s="454"/>
      <c r="J52" s="454"/>
      <c r="K52" s="454"/>
      <c r="L52" s="454"/>
      <c r="M52" s="454"/>
      <c r="N52" s="454"/>
      <c r="O52" s="454"/>
      <c r="P52" s="454"/>
      <c r="Q52" s="454"/>
      <c r="R52" s="454"/>
      <c r="S52" s="454"/>
      <c r="T52" s="454"/>
      <c r="U52" s="454"/>
      <c r="V52" s="454"/>
      <c r="W52" s="454"/>
      <c r="X52" s="454"/>
      <c r="Y52" s="454"/>
      <c r="Z52" s="454"/>
      <c r="AA52" s="454"/>
      <c r="AB52" s="454"/>
      <c r="AC52" s="454"/>
      <c r="AD52" s="454"/>
      <c r="AE52" s="454"/>
      <c r="AF52" s="454"/>
      <c r="AG52" s="454"/>
      <c r="AH52" s="454"/>
      <c r="AI52" s="454"/>
      <c r="AJ52" s="454"/>
      <c r="AK52" s="454"/>
      <c r="AL52" s="454"/>
      <c r="AM52" s="454"/>
      <c r="AN52" s="454"/>
      <c r="AO52" s="454"/>
      <c r="AP52" s="454"/>
      <c r="AQ52" s="454"/>
      <c r="AR52" s="454"/>
      <c r="AS52" s="454"/>
      <c r="AT52" s="454"/>
      <c r="AU52" s="454"/>
      <c r="AV52" s="454"/>
      <c r="AW52" s="454"/>
      <c r="AX52" s="454"/>
      <c r="AY52" s="454"/>
      <c r="AZ52" s="454"/>
      <c r="BA52" s="454"/>
      <c r="BB52" s="454"/>
      <c r="BC52" s="454"/>
      <c r="BD52" s="454"/>
      <c r="BE52" s="454"/>
      <c r="BF52" s="454"/>
      <c r="BG52" s="454"/>
      <c r="BH52" s="454"/>
      <c r="BI52" s="454"/>
    </row>
    <row r="53" spans="1:61" s="28" customFormat="1" ht="20.25" customHeight="1">
      <c r="A53" s="454" t="s">
        <v>219</v>
      </c>
      <c r="B53" s="454"/>
      <c r="C53" s="454"/>
      <c r="D53" s="454"/>
      <c r="E53" s="454"/>
      <c r="F53" s="454"/>
      <c r="G53" s="454"/>
      <c r="H53" s="454"/>
      <c r="I53" s="454"/>
      <c r="J53" s="454"/>
      <c r="K53" s="454"/>
      <c r="L53" s="454"/>
      <c r="M53" s="454"/>
      <c r="N53" s="454"/>
      <c r="O53" s="454"/>
      <c r="P53" s="454"/>
      <c r="Q53" s="454"/>
      <c r="R53" s="454"/>
      <c r="S53" s="454"/>
      <c r="T53" s="454"/>
      <c r="U53" s="454"/>
      <c r="V53" s="454"/>
      <c r="W53" s="454"/>
      <c r="X53" s="454"/>
      <c r="Y53" s="454"/>
      <c r="Z53" s="454"/>
      <c r="AA53" s="454"/>
      <c r="AB53" s="454"/>
      <c r="AC53" s="454"/>
      <c r="AD53" s="454"/>
      <c r="AE53" s="454"/>
      <c r="AF53" s="454"/>
      <c r="AG53" s="454"/>
      <c r="AH53" s="454"/>
      <c r="AI53" s="454"/>
      <c r="AJ53" s="454"/>
      <c r="AK53" s="454"/>
      <c r="AL53" s="454"/>
      <c r="AM53" s="454"/>
      <c r="AN53" s="454"/>
      <c r="AO53" s="454"/>
      <c r="AP53" s="454"/>
      <c r="AQ53" s="454"/>
      <c r="AR53" s="454"/>
      <c r="AS53" s="454"/>
      <c r="AT53" s="454"/>
      <c r="AU53" s="454"/>
      <c r="AV53" s="454"/>
      <c r="AW53" s="454"/>
      <c r="AX53" s="454"/>
      <c r="AY53" s="454"/>
      <c r="AZ53" s="454"/>
      <c r="BA53" s="454"/>
      <c r="BB53" s="454"/>
      <c r="BC53" s="454"/>
      <c r="BD53" s="454"/>
      <c r="BE53" s="454"/>
      <c r="BF53" s="454"/>
      <c r="BG53" s="454"/>
      <c r="BH53" s="454"/>
      <c r="BI53" s="454"/>
    </row>
    <row r="54" spans="1:61" s="10" customFormat="1" ht="20.25" customHeight="1" thickBot="1">
      <c r="B54" s="40"/>
    </row>
    <row r="55" spans="1:61" s="10" customFormat="1" ht="132" customHeight="1" thickTop="1" thickBot="1">
      <c r="A55" s="51" t="s">
        <v>113</v>
      </c>
      <c r="B55" s="51" t="s">
        <v>220</v>
      </c>
      <c r="C55" s="51" t="s">
        <v>224</v>
      </c>
      <c r="D55" s="51" t="s">
        <v>221</v>
      </c>
      <c r="E55" s="51" t="s">
        <v>222</v>
      </c>
      <c r="F55" s="51" t="s">
        <v>223</v>
      </c>
      <c r="G55" s="51" t="s">
        <v>225</v>
      </c>
      <c r="H55" s="51" t="s">
        <v>226</v>
      </c>
      <c r="I55" s="51" t="s">
        <v>227</v>
      </c>
      <c r="J55" s="51" t="s">
        <v>228</v>
      </c>
      <c r="K55" s="51" t="s">
        <v>229</v>
      </c>
      <c r="L55" s="51" t="s">
        <v>230</v>
      </c>
      <c r="M55" s="51" t="s">
        <v>231</v>
      </c>
      <c r="N55" s="51" t="s">
        <v>232</v>
      </c>
      <c r="O55" s="51" t="s">
        <v>233</v>
      </c>
      <c r="P55" s="51" t="s">
        <v>234</v>
      </c>
      <c r="Q55" s="51" t="s">
        <v>235</v>
      </c>
      <c r="R55" s="51" t="s">
        <v>236</v>
      </c>
      <c r="S55" s="51" t="s">
        <v>237</v>
      </c>
      <c r="T55" s="51" t="s">
        <v>238</v>
      </c>
      <c r="U55" s="51" t="s">
        <v>239</v>
      </c>
      <c r="V55" s="51" t="s">
        <v>240</v>
      </c>
      <c r="W55" s="51" t="s">
        <v>241</v>
      </c>
      <c r="X55" s="51" t="s">
        <v>242</v>
      </c>
      <c r="Y55" s="51" t="s">
        <v>243</v>
      </c>
      <c r="Z55" s="51" t="s">
        <v>244</v>
      </c>
      <c r="AA55" s="51" t="s">
        <v>245</v>
      </c>
      <c r="AB55" s="51" t="s">
        <v>246</v>
      </c>
      <c r="AC55" s="51" t="s">
        <v>247</v>
      </c>
      <c r="AD55" s="51" t="s">
        <v>248</v>
      </c>
      <c r="AE55" s="51" t="s">
        <v>249</v>
      </c>
      <c r="AF55" s="51" t="s">
        <v>250</v>
      </c>
      <c r="AG55" s="51" t="s">
        <v>251</v>
      </c>
      <c r="AH55" s="51" t="s">
        <v>252</v>
      </c>
      <c r="AI55" s="51" t="s">
        <v>253</v>
      </c>
      <c r="AJ55" s="51" t="s">
        <v>254</v>
      </c>
      <c r="AK55" s="51" t="s">
        <v>255</v>
      </c>
      <c r="AL55" s="51" t="s">
        <v>256</v>
      </c>
      <c r="AM55" s="51" t="s">
        <v>257</v>
      </c>
      <c r="AN55" s="51" t="s">
        <v>258</v>
      </c>
      <c r="AO55" s="51" t="s">
        <v>259</v>
      </c>
      <c r="AP55" s="51" t="s">
        <v>260</v>
      </c>
      <c r="AQ55" s="51" t="s">
        <v>261</v>
      </c>
      <c r="AR55" s="51" t="s">
        <v>262</v>
      </c>
      <c r="AS55" s="51" t="s">
        <v>263</v>
      </c>
      <c r="AT55" s="51" t="s">
        <v>264</v>
      </c>
      <c r="AU55" s="51" t="s">
        <v>265</v>
      </c>
      <c r="AV55" s="51" t="s">
        <v>266</v>
      </c>
      <c r="AW55" s="51" t="s">
        <v>267</v>
      </c>
      <c r="AX55" s="51" t="s">
        <v>268</v>
      </c>
      <c r="AY55" s="51" t="s">
        <v>269</v>
      </c>
      <c r="AZ55" s="51" t="s">
        <v>270</v>
      </c>
      <c r="BA55" s="51" t="s">
        <v>271</v>
      </c>
      <c r="BB55" s="51" t="s">
        <v>272</v>
      </c>
      <c r="BC55" s="51" t="s">
        <v>273</v>
      </c>
      <c r="BD55" s="51" t="s">
        <v>274</v>
      </c>
      <c r="BE55" s="51" t="s">
        <v>358</v>
      </c>
      <c r="BF55" s="51" t="s">
        <v>331</v>
      </c>
      <c r="BG55" s="51" t="s">
        <v>330</v>
      </c>
      <c r="BH55" s="51" t="s">
        <v>36</v>
      </c>
      <c r="BI55" s="51" t="s">
        <v>25</v>
      </c>
    </row>
    <row r="56" spans="1:61" s="50" customFormat="1" ht="69.75" customHeight="1" thickTop="1" thickBot="1">
      <c r="A56" s="463" t="s">
        <v>275</v>
      </c>
      <c r="B56" s="32" t="s">
        <v>73</v>
      </c>
      <c r="C56" s="30">
        <f>المهني!GJ12</f>
        <v>0</v>
      </c>
      <c r="D56" s="30">
        <f>المهني!GL12</f>
        <v>0</v>
      </c>
      <c r="E56" s="30">
        <f>المهني!GN12</f>
        <v>0</v>
      </c>
      <c r="F56" s="30">
        <f>المهني!GP12</f>
        <v>0</v>
      </c>
      <c r="G56" s="30">
        <f>المهني!GR12</f>
        <v>0</v>
      </c>
      <c r="H56" s="30">
        <f>المهني!GT12</f>
        <v>0</v>
      </c>
      <c r="I56" s="30">
        <f>المهني!GV12</f>
        <v>0</v>
      </c>
      <c r="J56" s="30">
        <f>المهني!GX12</f>
        <v>0</v>
      </c>
      <c r="K56" s="30">
        <f>المهني!GZ12</f>
        <v>0</v>
      </c>
      <c r="L56" s="30">
        <f>المهني!HB12</f>
        <v>0</v>
      </c>
      <c r="M56" s="30">
        <f>المهني!HD12</f>
        <v>0</v>
      </c>
      <c r="N56" s="30">
        <f>المهني!HF12</f>
        <v>0</v>
      </c>
      <c r="O56" s="30">
        <f>المهني!HH12</f>
        <v>0</v>
      </c>
      <c r="P56" s="30">
        <f>المهني!HJ12</f>
        <v>0</v>
      </c>
      <c r="Q56" s="30">
        <f>المهني!HL12</f>
        <v>0</v>
      </c>
      <c r="R56" s="30">
        <f>المهني!HN12</f>
        <v>0</v>
      </c>
      <c r="S56" s="30">
        <f>المهني!HP12</f>
        <v>0</v>
      </c>
      <c r="T56" s="30">
        <f>المهني!HR12</f>
        <v>0</v>
      </c>
      <c r="U56" s="30">
        <f>المهني!HT12</f>
        <v>0</v>
      </c>
      <c r="V56" s="30">
        <f>المهني!HV12</f>
        <v>0</v>
      </c>
      <c r="W56" s="30">
        <f>المهني!HX12</f>
        <v>0</v>
      </c>
      <c r="X56" s="30">
        <f>المهني!HZ12</f>
        <v>0</v>
      </c>
      <c r="Y56" s="30">
        <f>المهني!IB12</f>
        <v>0</v>
      </c>
      <c r="Z56" s="30">
        <f>المهني!ID12</f>
        <v>0</v>
      </c>
      <c r="AA56" s="30">
        <f>المهني!IF12</f>
        <v>0</v>
      </c>
      <c r="AB56" s="30">
        <f>المهني!IH12</f>
        <v>0</v>
      </c>
      <c r="AC56" s="30">
        <f>المهني!IJ12</f>
        <v>0</v>
      </c>
      <c r="AD56" s="30">
        <f>المهني!IL12</f>
        <v>0</v>
      </c>
      <c r="AE56" s="30">
        <f>المهني!IN12</f>
        <v>0</v>
      </c>
      <c r="AF56" s="30">
        <f>المهني!IP12</f>
        <v>0</v>
      </c>
      <c r="AG56" s="30">
        <f>المهني!IR12</f>
        <v>0</v>
      </c>
      <c r="AH56" s="30">
        <f>المهني!IT12</f>
        <v>0</v>
      </c>
      <c r="AI56" s="30">
        <f>المهني!IV12</f>
        <v>0</v>
      </c>
      <c r="AJ56" s="30">
        <f>المهني!IX12</f>
        <v>0</v>
      </c>
      <c r="AK56" s="30">
        <f>المهني!IZ12</f>
        <v>0</v>
      </c>
      <c r="AL56" s="30">
        <f>المهني!JB12</f>
        <v>0</v>
      </c>
      <c r="AM56" s="30">
        <f>المهني!JD12</f>
        <v>0</v>
      </c>
      <c r="AN56" s="30">
        <f>المهني!JF12</f>
        <v>0</v>
      </c>
      <c r="AO56" s="30">
        <f>المهني!JH12</f>
        <v>0</v>
      </c>
      <c r="AP56" s="30">
        <f>المهني!JJ12</f>
        <v>0</v>
      </c>
      <c r="AQ56" s="30">
        <f>المهني!JL12</f>
        <v>0</v>
      </c>
      <c r="AR56" s="30">
        <f>المهني!JN12</f>
        <v>0</v>
      </c>
      <c r="AS56" s="30">
        <f>المهني!JP12</f>
        <v>0</v>
      </c>
      <c r="AT56" s="30">
        <f>المهني!JR12</f>
        <v>0</v>
      </c>
      <c r="AU56" s="30">
        <f>المهني!JT12</f>
        <v>0</v>
      </c>
      <c r="AV56" s="30">
        <f>المهني!JV12</f>
        <v>0</v>
      </c>
      <c r="AW56" s="30">
        <f>المهني!JX12</f>
        <v>0</v>
      </c>
      <c r="AX56" s="30">
        <f>المهني!JZ12</f>
        <v>0</v>
      </c>
      <c r="AY56" s="30">
        <f>المهني!KB12</f>
        <v>0</v>
      </c>
      <c r="AZ56" s="30">
        <f>المهني!KD12</f>
        <v>0</v>
      </c>
      <c r="BA56" s="30">
        <f>المهني!KF12</f>
        <v>0</v>
      </c>
      <c r="BB56" s="30">
        <f>المهني!KH12</f>
        <v>0</v>
      </c>
      <c r="BC56" s="30">
        <f>المهني!KJ12</f>
        <v>0</v>
      </c>
      <c r="BD56" s="30">
        <f>المهني!KN12</f>
        <v>0</v>
      </c>
      <c r="BE56" s="30"/>
      <c r="BF56" s="30"/>
      <c r="BG56" s="30"/>
      <c r="BH56" s="30">
        <f>المهني!KT12</f>
        <v>0</v>
      </c>
      <c r="BI56" s="32">
        <f>SUM(C56:BH56)</f>
        <v>0</v>
      </c>
    </row>
    <row r="57" spans="1:61" s="50" customFormat="1" ht="69.75" customHeight="1" thickTop="1" thickBot="1">
      <c r="A57" s="465"/>
      <c r="B57" s="32" t="s">
        <v>29</v>
      </c>
      <c r="C57" s="30">
        <f>المهني!GK12</f>
        <v>0</v>
      </c>
      <c r="D57" s="30">
        <f>المهني!GM12</f>
        <v>0</v>
      </c>
      <c r="E57" s="30">
        <f>المهني!GO12</f>
        <v>0</v>
      </c>
      <c r="F57" s="30">
        <f>المهني!GQ12</f>
        <v>0</v>
      </c>
      <c r="G57" s="30">
        <f>المهني!GS12</f>
        <v>0</v>
      </c>
      <c r="H57" s="30">
        <f>المهني!GU12</f>
        <v>0</v>
      </c>
      <c r="I57" s="30">
        <f>المهني!GW12</f>
        <v>0</v>
      </c>
      <c r="J57" s="30">
        <f>المهني!GY12</f>
        <v>0</v>
      </c>
      <c r="K57" s="30">
        <f>المهني!HA12</f>
        <v>0</v>
      </c>
      <c r="L57" s="30">
        <f>المهني!HC12</f>
        <v>0</v>
      </c>
      <c r="M57" s="30">
        <f>المهني!HE12</f>
        <v>0</v>
      </c>
      <c r="N57" s="30">
        <f>المهني!HG12</f>
        <v>0</v>
      </c>
      <c r="O57" s="30">
        <f>المهني!HI12</f>
        <v>0</v>
      </c>
      <c r="P57" s="30">
        <f>المهني!HK12</f>
        <v>0</v>
      </c>
      <c r="Q57" s="30">
        <f>المهني!HM12</f>
        <v>0</v>
      </c>
      <c r="R57" s="30">
        <f>المهني!HO12</f>
        <v>0</v>
      </c>
      <c r="S57" s="30">
        <f>المهني!HQ12</f>
        <v>0</v>
      </c>
      <c r="T57" s="30">
        <f>المهني!HS12</f>
        <v>0</v>
      </c>
      <c r="U57" s="30">
        <f>المهني!HU12</f>
        <v>0</v>
      </c>
      <c r="V57" s="30">
        <f>المهني!HW12</f>
        <v>0</v>
      </c>
      <c r="W57" s="30">
        <f>المهني!HY12</f>
        <v>0</v>
      </c>
      <c r="X57" s="30">
        <f>المهني!IA12</f>
        <v>0</v>
      </c>
      <c r="Y57" s="30">
        <f>المهني!IC12</f>
        <v>0</v>
      </c>
      <c r="Z57" s="30">
        <f>المهني!IE12</f>
        <v>0</v>
      </c>
      <c r="AA57" s="30">
        <f>المهني!IG12</f>
        <v>0</v>
      </c>
      <c r="AB57" s="30">
        <f>المهني!II12</f>
        <v>0</v>
      </c>
      <c r="AC57" s="30">
        <f>المهني!IK12</f>
        <v>0</v>
      </c>
      <c r="AD57" s="30">
        <f>المهني!IM12</f>
        <v>0</v>
      </c>
      <c r="AE57" s="30">
        <f>المهني!IO12</f>
        <v>0</v>
      </c>
      <c r="AF57" s="30">
        <f>المهني!IQ12</f>
        <v>0</v>
      </c>
      <c r="AG57" s="30">
        <f>المهني!IS12</f>
        <v>0</v>
      </c>
      <c r="AH57" s="30">
        <f>المهني!IU12</f>
        <v>0</v>
      </c>
      <c r="AI57" s="30">
        <f>المهني!IW12</f>
        <v>0</v>
      </c>
      <c r="AJ57" s="30">
        <f>المهني!IY12</f>
        <v>0</v>
      </c>
      <c r="AK57" s="30">
        <f>المهني!JA12</f>
        <v>0</v>
      </c>
      <c r="AL57" s="30">
        <f>المهني!JC12</f>
        <v>0</v>
      </c>
      <c r="AM57" s="30">
        <f>المهني!JE12</f>
        <v>0</v>
      </c>
      <c r="AN57" s="30">
        <f>المهني!JG12</f>
        <v>0</v>
      </c>
      <c r="AO57" s="30">
        <f>المهني!JI12</f>
        <v>0</v>
      </c>
      <c r="AP57" s="30">
        <f>المهني!JK12</f>
        <v>0</v>
      </c>
      <c r="AQ57" s="30">
        <f>المهني!JM12</f>
        <v>0</v>
      </c>
      <c r="AR57" s="30">
        <f>المهني!JO12</f>
        <v>0</v>
      </c>
      <c r="AS57" s="30">
        <f>المهني!JQ12</f>
        <v>0</v>
      </c>
      <c r="AT57" s="30">
        <f>المهني!JS12</f>
        <v>0</v>
      </c>
      <c r="AU57" s="30">
        <f>المهني!JU12</f>
        <v>0</v>
      </c>
      <c r="AV57" s="30">
        <f>المهني!JW12</f>
        <v>0</v>
      </c>
      <c r="AW57" s="30">
        <f>المهني!JY12</f>
        <v>0</v>
      </c>
      <c r="AX57" s="30">
        <f>المهني!KA12</f>
        <v>0</v>
      </c>
      <c r="AY57" s="30">
        <f>المهني!KC12</f>
        <v>0</v>
      </c>
      <c r="AZ57" s="30">
        <f>المهني!KE12</f>
        <v>0</v>
      </c>
      <c r="BA57" s="30">
        <f>المهني!KG12</f>
        <v>0</v>
      </c>
      <c r="BB57" s="30">
        <f>المهني!KI12</f>
        <v>0</v>
      </c>
      <c r="BC57" s="30">
        <f>المهني!KK12</f>
        <v>0</v>
      </c>
      <c r="BD57" s="30">
        <f>المهني!KO12</f>
        <v>0</v>
      </c>
      <c r="BE57" s="30"/>
      <c r="BF57" s="30"/>
      <c r="BG57" s="30"/>
      <c r="BH57" s="30">
        <f>المهني!KU12</f>
        <v>0</v>
      </c>
      <c r="BI57" s="32">
        <f t="shared" ref="BI57:BI63" si="15">SUM(C57:BH57)</f>
        <v>0</v>
      </c>
    </row>
    <row r="58" spans="1:61" s="50" customFormat="1" ht="65.25" customHeight="1" thickTop="1" thickBot="1">
      <c r="A58" s="463" t="s">
        <v>276</v>
      </c>
      <c r="B58" s="32" t="s">
        <v>73</v>
      </c>
      <c r="C58" s="33">
        <f t="shared" ref="C58:AH58" si="16">C10</f>
        <v>0</v>
      </c>
      <c r="D58" s="33">
        <f t="shared" si="16"/>
        <v>0</v>
      </c>
      <c r="E58" s="33">
        <f t="shared" si="16"/>
        <v>0</v>
      </c>
      <c r="F58" s="33">
        <f t="shared" si="16"/>
        <v>0</v>
      </c>
      <c r="G58" s="33">
        <f t="shared" si="16"/>
        <v>0</v>
      </c>
      <c r="H58" s="33">
        <f t="shared" si="16"/>
        <v>0</v>
      </c>
      <c r="I58" s="33">
        <f t="shared" si="16"/>
        <v>0</v>
      </c>
      <c r="J58" s="33">
        <f t="shared" si="16"/>
        <v>0</v>
      </c>
      <c r="K58" s="33">
        <f t="shared" si="16"/>
        <v>0</v>
      </c>
      <c r="L58" s="33">
        <f t="shared" si="16"/>
        <v>0</v>
      </c>
      <c r="M58" s="33">
        <f t="shared" si="16"/>
        <v>0</v>
      </c>
      <c r="N58" s="33">
        <f t="shared" si="16"/>
        <v>0</v>
      </c>
      <c r="O58" s="33">
        <f t="shared" si="16"/>
        <v>0</v>
      </c>
      <c r="P58" s="33">
        <f t="shared" si="16"/>
        <v>0</v>
      </c>
      <c r="Q58" s="33">
        <f t="shared" si="16"/>
        <v>0</v>
      </c>
      <c r="R58" s="33">
        <f t="shared" si="16"/>
        <v>0</v>
      </c>
      <c r="S58" s="33">
        <f t="shared" si="16"/>
        <v>0</v>
      </c>
      <c r="T58" s="33">
        <f t="shared" si="16"/>
        <v>0</v>
      </c>
      <c r="U58" s="33">
        <f t="shared" si="16"/>
        <v>0</v>
      </c>
      <c r="V58" s="33">
        <f t="shared" si="16"/>
        <v>0</v>
      </c>
      <c r="W58" s="33">
        <f t="shared" si="16"/>
        <v>0</v>
      </c>
      <c r="X58" s="33">
        <f t="shared" si="16"/>
        <v>0</v>
      </c>
      <c r="Y58" s="33">
        <f t="shared" si="16"/>
        <v>0</v>
      </c>
      <c r="Z58" s="33">
        <f t="shared" si="16"/>
        <v>0</v>
      </c>
      <c r="AA58" s="33">
        <f t="shared" si="16"/>
        <v>0</v>
      </c>
      <c r="AB58" s="33">
        <f t="shared" si="16"/>
        <v>0</v>
      </c>
      <c r="AC58" s="33">
        <f t="shared" si="16"/>
        <v>0</v>
      </c>
      <c r="AD58" s="33">
        <f t="shared" si="16"/>
        <v>0</v>
      </c>
      <c r="AE58" s="33">
        <f t="shared" si="16"/>
        <v>0</v>
      </c>
      <c r="AF58" s="33">
        <f t="shared" si="16"/>
        <v>0</v>
      </c>
      <c r="AG58" s="33">
        <f t="shared" si="16"/>
        <v>0</v>
      </c>
      <c r="AH58" s="33">
        <f t="shared" si="16"/>
        <v>0</v>
      </c>
      <c r="AI58" s="33">
        <f t="shared" ref="AI58:BD58" si="17">AI10</f>
        <v>0</v>
      </c>
      <c r="AJ58" s="33">
        <f t="shared" si="17"/>
        <v>0</v>
      </c>
      <c r="AK58" s="33">
        <f t="shared" si="17"/>
        <v>0</v>
      </c>
      <c r="AL58" s="33">
        <f t="shared" si="17"/>
        <v>0</v>
      </c>
      <c r="AM58" s="33">
        <f t="shared" si="17"/>
        <v>0</v>
      </c>
      <c r="AN58" s="33">
        <f t="shared" si="17"/>
        <v>0</v>
      </c>
      <c r="AO58" s="33">
        <f t="shared" si="17"/>
        <v>0</v>
      </c>
      <c r="AP58" s="33">
        <f t="shared" si="17"/>
        <v>0</v>
      </c>
      <c r="AQ58" s="33">
        <f t="shared" si="17"/>
        <v>0</v>
      </c>
      <c r="AR58" s="33">
        <f t="shared" si="17"/>
        <v>0</v>
      </c>
      <c r="AS58" s="33">
        <f t="shared" si="17"/>
        <v>0</v>
      </c>
      <c r="AT58" s="33">
        <f t="shared" si="17"/>
        <v>0</v>
      </c>
      <c r="AU58" s="33">
        <f t="shared" si="17"/>
        <v>0</v>
      </c>
      <c r="AV58" s="33">
        <f t="shared" si="17"/>
        <v>0</v>
      </c>
      <c r="AW58" s="33">
        <f t="shared" si="17"/>
        <v>0</v>
      </c>
      <c r="AX58" s="33">
        <f t="shared" si="17"/>
        <v>0</v>
      </c>
      <c r="AY58" s="33">
        <f t="shared" si="17"/>
        <v>0</v>
      </c>
      <c r="AZ58" s="33">
        <f t="shared" si="17"/>
        <v>0</v>
      </c>
      <c r="BA58" s="33">
        <f t="shared" si="17"/>
        <v>0</v>
      </c>
      <c r="BB58" s="33">
        <f t="shared" si="17"/>
        <v>0</v>
      </c>
      <c r="BC58" s="33">
        <f t="shared" si="17"/>
        <v>0</v>
      </c>
      <c r="BD58" s="33">
        <f t="shared" si="17"/>
        <v>0</v>
      </c>
      <c r="BE58" s="32"/>
      <c r="BF58" s="32"/>
      <c r="BG58" s="32"/>
      <c r="BH58" s="32">
        <f>BH10</f>
        <v>0</v>
      </c>
      <c r="BI58" s="32">
        <f t="shared" si="15"/>
        <v>0</v>
      </c>
    </row>
    <row r="59" spans="1:61" s="50" customFormat="1" ht="65.25" customHeight="1" thickTop="1" thickBot="1">
      <c r="A59" s="465"/>
      <c r="B59" s="32" t="s">
        <v>29</v>
      </c>
      <c r="C59" s="33">
        <f t="shared" ref="C59:AH59" si="18">C11</f>
        <v>0</v>
      </c>
      <c r="D59" s="33">
        <f t="shared" si="18"/>
        <v>0</v>
      </c>
      <c r="E59" s="33">
        <f t="shared" si="18"/>
        <v>0</v>
      </c>
      <c r="F59" s="33">
        <f t="shared" si="18"/>
        <v>0</v>
      </c>
      <c r="G59" s="33">
        <f t="shared" si="18"/>
        <v>0</v>
      </c>
      <c r="H59" s="33">
        <f t="shared" si="18"/>
        <v>0</v>
      </c>
      <c r="I59" s="33">
        <f t="shared" si="18"/>
        <v>0</v>
      </c>
      <c r="J59" s="33">
        <f t="shared" si="18"/>
        <v>0</v>
      </c>
      <c r="K59" s="33">
        <f t="shared" si="18"/>
        <v>0</v>
      </c>
      <c r="L59" s="33">
        <f t="shared" si="18"/>
        <v>0</v>
      </c>
      <c r="M59" s="33">
        <f t="shared" si="18"/>
        <v>0</v>
      </c>
      <c r="N59" s="33">
        <f t="shared" si="18"/>
        <v>0</v>
      </c>
      <c r="O59" s="33">
        <f t="shared" si="18"/>
        <v>0</v>
      </c>
      <c r="P59" s="33">
        <f t="shared" si="18"/>
        <v>0</v>
      </c>
      <c r="Q59" s="33">
        <f t="shared" si="18"/>
        <v>0</v>
      </c>
      <c r="R59" s="33">
        <f t="shared" si="18"/>
        <v>0</v>
      </c>
      <c r="S59" s="33">
        <f t="shared" si="18"/>
        <v>0</v>
      </c>
      <c r="T59" s="33">
        <f t="shared" si="18"/>
        <v>0</v>
      </c>
      <c r="U59" s="33">
        <f t="shared" si="18"/>
        <v>0</v>
      </c>
      <c r="V59" s="33">
        <f t="shared" si="18"/>
        <v>0</v>
      </c>
      <c r="W59" s="33">
        <f t="shared" si="18"/>
        <v>0</v>
      </c>
      <c r="X59" s="33">
        <f t="shared" si="18"/>
        <v>0</v>
      </c>
      <c r="Y59" s="33">
        <f t="shared" si="18"/>
        <v>0</v>
      </c>
      <c r="Z59" s="33">
        <f t="shared" si="18"/>
        <v>0</v>
      </c>
      <c r="AA59" s="33">
        <f t="shared" si="18"/>
        <v>0</v>
      </c>
      <c r="AB59" s="33">
        <f t="shared" si="18"/>
        <v>0</v>
      </c>
      <c r="AC59" s="33">
        <f t="shared" si="18"/>
        <v>0</v>
      </c>
      <c r="AD59" s="33">
        <f t="shared" si="18"/>
        <v>0</v>
      </c>
      <c r="AE59" s="33">
        <f t="shared" si="18"/>
        <v>0</v>
      </c>
      <c r="AF59" s="33">
        <f t="shared" si="18"/>
        <v>0</v>
      </c>
      <c r="AG59" s="33">
        <f t="shared" si="18"/>
        <v>0</v>
      </c>
      <c r="AH59" s="33">
        <f t="shared" si="18"/>
        <v>0</v>
      </c>
      <c r="AI59" s="33">
        <f t="shared" ref="AI59:BD59" si="19">AI11</f>
        <v>0</v>
      </c>
      <c r="AJ59" s="33">
        <f t="shared" si="19"/>
        <v>0</v>
      </c>
      <c r="AK59" s="33">
        <f t="shared" si="19"/>
        <v>0</v>
      </c>
      <c r="AL59" s="33">
        <f t="shared" si="19"/>
        <v>0</v>
      </c>
      <c r="AM59" s="33">
        <f t="shared" si="19"/>
        <v>0</v>
      </c>
      <c r="AN59" s="33">
        <f t="shared" si="19"/>
        <v>0</v>
      </c>
      <c r="AO59" s="33">
        <f t="shared" si="19"/>
        <v>0</v>
      </c>
      <c r="AP59" s="33">
        <f t="shared" si="19"/>
        <v>0</v>
      </c>
      <c r="AQ59" s="33">
        <f t="shared" si="19"/>
        <v>0</v>
      </c>
      <c r="AR59" s="33">
        <f t="shared" si="19"/>
        <v>0</v>
      </c>
      <c r="AS59" s="33">
        <f t="shared" si="19"/>
        <v>0</v>
      </c>
      <c r="AT59" s="33">
        <f t="shared" si="19"/>
        <v>0</v>
      </c>
      <c r="AU59" s="33">
        <f t="shared" si="19"/>
        <v>0</v>
      </c>
      <c r="AV59" s="33">
        <f t="shared" si="19"/>
        <v>0</v>
      </c>
      <c r="AW59" s="33">
        <f t="shared" si="19"/>
        <v>0</v>
      </c>
      <c r="AX59" s="33">
        <f t="shared" si="19"/>
        <v>0</v>
      </c>
      <c r="AY59" s="33">
        <f t="shared" si="19"/>
        <v>0</v>
      </c>
      <c r="AZ59" s="33">
        <f t="shared" si="19"/>
        <v>0</v>
      </c>
      <c r="BA59" s="33">
        <f t="shared" si="19"/>
        <v>0</v>
      </c>
      <c r="BB59" s="33">
        <f t="shared" si="19"/>
        <v>0</v>
      </c>
      <c r="BC59" s="33">
        <f t="shared" si="19"/>
        <v>0</v>
      </c>
      <c r="BD59" s="33">
        <f t="shared" si="19"/>
        <v>0</v>
      </c>
      <c r="BE59" s="32"/>
      <c r="BF59" s="32"/>
      <c r="BG59" s="32"/>
      <c r="BH59" s="32">
        <f>BH11</f>
        <v>0</v>
      </c>
      <c r="BI59" s="32">
        <f t="shared" si="15"/>
        <v>0</v>
      </c>
    </row>
    <row r="60" spans="1:61" s="50" customFormat="1" ht="65.25" customHeight="1" thickTop="1" thickBot="1">
      <c r="A60" s="463" t="s">
        <v>277</v>
      </c>
      <c r="B60" s="32" t="s">
        <v>73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Z60" s="33">
        <v>0</v>
      </c>
      <c r="AA60" s="33">
        <v>0</v>
      </c>
      <c r="AB60" s="33">
        <v>0</v>
      </c>
      <c r="AC60" s="33">
        <v>0</v>
      </c>
      <c r="AD60" s="33">
        <v>0</v>
      </c>
      <c r="AE60" s="33">
        <v>0</v>
      </c>
      <c r="AF60" s="33">
        <v>0</v>
      </c>
      <c r="AG60" s="33">
        <v>0</v>
      </c>
      <c r="AH60" s="33">
        <v>0</v>
      </c>
      <c r="AI60" s="33">
        <v>0</v>
      </c>
      <c r="AJ60" s="33">
        <v>0</v>
      </c>
      <c r="AK60" s="33">
        <v>0</v>
      </c>
      <c r="AL60" s="33">
        <v>0</v>
      </c>
      <c r="AM60" s="33">
        <v>0</v>
      </c>
      <c r="AN60" s="33">
        <v>0</v>
      </c>
      <c r="AO60" s="33">
        <v>0</v>
      </c>
      <c r="AP60" s="33">
        <v>0</v>
      </c>
      <c r="AQ60" s="33">
        <v>0</v>
      </c>
      <c r="AR60" s="33">
        <v>0</v>
      </c>
      <c r="AS60" s="33">
        <v>0</v>
      </c>
      <c r="AT60" s="33">
        <v>0</v>
      </c>
      <c r="AU60" s="33">
        <v>0</v>
      </c>
      <c r="AV60" s="33">
        <v>0</v>
      </c>
      <c r="AW60" s="33">
        <v>0</v>
      </c>
      <c r="AX60" s="33">
        <v>0</v>
      </c>
      <c r="AY60" s="33">
        <v>0</v>
      </c>
      <c r="AZ60" s="33">
        <v>0</v>
      </c>
      <c r="BA60" s="33">
        <v>0</v>
      </c>
      <c r="BB60" s="33">
        <v>0</v>
      </c>
      <c r="BC60" s="33">
        <v>0</v>
      </c>
      <c r="BD60" s="33">
        <v>0</v>
      </c>
      <c r="BE60" s="33"/>
      <c r="BF60" s="33"/>
      <c r="BG60" s="33"/>
      <c r="BH60" s="33">
        <v>0</v>
      </c>
      <c r="BI60" s="32">
        <f t="shared" si="15"/>
        <v>0</v>
      </c>
    </row>
    <row r="61" spans="1:61" s="50" customFormat="1" ht="65.25" customHeight="1" thickTop="1" thickBot="1">
      <c r="A61" s="465"/>
      <c r="B61" s="32" t="s">
        <v>29</v>
      </c>
      <c r="C61" s="33">
        <v>0</v>
      </c>
      <c r="D61" s="33">
        <v>0</v>
      </c>
      <c r="E61" s="33">
        <v>0</v>
      </c>
      <c r="F61" s="33">
        <v>0</v>
      </c>
      <c r="G61" s="33">
        <v>0</v>
      </c>
      <c r="H61" s="33">
        <v>0</v>
      </c>
      <c r="I61" s="33">
        <v>0</v>
      </c>
      <c r="J61" s="33">
        <v>0</v>
      </c>
      <c r="K61" s="33">
        <v>0</v>
      </c>
      <c r="L61" s="33">
        <v>0</v>
      </c>
      <c r="M61" s="33">
        <v>0</v>
      </c>
      <c r="N61" s="33">
        <v>0</v>
      </c>
      <c r="O61" s="33">
        <v>0</v>
      </c>
      <c r="P61" s="33">
        <v>0</v>
      </c>
      <c r="Q61" s="33">
        <v>0</v>
      </c>
      <c r="R61" s="33">
        <v>0</v>
      </c>
      <c r="S61" s="33">
        <v>0</v>
      </c>
      <c r="T61" s="33">
        <v>0</v>
      </c>
      <c r="U61" s="33">
        <v>0</v>
      </c>
      <c r="V61" s="33">
        <v>0</v>
      </c>
      <c r="W61" s="33">
        <v>0</v>
      </c>
      <c r="X61" s="33">
        <v>0</v>
      </c>
      <c r="Y61" s="33">
        <v>0</v>
      </c>
      <c r="Z61" s="33">
        <v>0</v>
      </c>
      <c r="AA61" s="33">
        <v>0</v>
      </c>
      <c r="AB61" s="33">
        <v>0</v>
      </c>
      <c r="AC61" s="33">
        <v>0</v>
      </c>
      <c r="AD61" s="33">
        <v>0</v>
      </c>
      <c r="AE61" s="33">
        <v>0</v>
      </c>
      <c r="AF61" s="33">
        <v>0</v>
      </c>
      <c r="AG61" s="33">
        <v>0</v>
      </c>
      <c r="AH61" s="33">
        <v>0</v>
      </c>
      <c r="AI61" s="33">
        <v>0</v>
      </c>
      <c r="AJ61" s="33">
        <v>0</v>
      </c>
      <c r="AK61" s="33">
        <v>0</v>
      </c>
      <c r="AL61" s="33">
        <v>0</v>
      </c>
      <c r="AM61" s="33">
        <v>0</v>
      </c>
      <c r="AN61" s="33">
        <v>0</v>
      </c>
      <c r="AO61" s="33">
        <v>0</v>
      </c>
      <c r="AP61" s="33">
        <v>0</v>
      </c>
      <c r="AQ61" s="33">
        <v>0</v>
      </c>
      <c r="AR61" s="33">
        <v>0</v>
      </c>
      <c r="AS61" s="33">
        <v>0</v>
      </c>
      <c r="AT61" s="33">
        <v>0</v>
      </c>
      <c r="AU61" s="33">
        <v>0</v>
      </c>
      <c r="AV61" s="33">
        <v>0</v>
      </c>
      <c r="AW61" s="33">
        <v>0</v>
      </c>
      <c r="AX61" s="33">
        <v>0</v>
      </c>
      <c r="AY61" s="33">
        <v>0</v>
      </c>
      <c r="AZ61" s="33">
        <v>0</v>
      </c>
      <c r="BA61" s="33">
        <v>0</v>
      </c>
      <c r="BB61" s="33">
        <v>0</v>
      </c>
      <c r="BC61" s="33">
        <v>0</v>
      </c>
      <c r="BD61" s="33">
        <v>0</v>
      </c>
      <c r="BE61" s="33"/>
      <c r="BF61" s="33"/>
      <c r="BG61" s="33"/>
      <c r="BH61" s="33">
        <v>0</v>
      </c>
      <c r="BI61" s="32">
        <f t="shared" si="15"/>
        <v>0</v>
      </c>
    </row>
    <row r="62" spans="1:61" s="50" customFormat="1" ht="65.25" customHeight="1" thickTop="1" thickBot="1">
      <c r="A62" s="466" t="s">
        <v>209</v>
      </c>
      <c r="B62" s="32" t="s">
        <v>73</v>
      </c>
      <c r="C62" s="33">
        <v>0</v>
      </c>
      <c r="D62" s="33">
        <v>0</v>
      </c>
      <c r="E62" s="33">
        <v>0</v>
      </c>
      <c r="F62" s="33">
        <v>0</v>
      </c>
      <c r="G62" s="33">
        <v>0</v>
      </c>
      <c r="H62" s="33">
        <v>0</v>
      </c>
      <c r="I62" s="33">
        <v>0</v>
      </c>
      <c r="J62" s="33">
        <v>0</v>
      </c>
      <c r="K62" s="33">
        <v>0</v>
      </c>
      <c r="L62" s="33">
        <v>0</v>
      </c>
      <c r="M62" s="33">
        <v>0</v>
      </c>
      <c r="N62" s="33">
        <v>0</v>
      </c>
      <c r="O62" s="33">
        <v>0</v>
      </c>
      <c r="P62" s="33">
        <v>0</v>
      </c>
      <c r="Q62" s="33">
        <v>0</v>
      </c>
      <c r="R62" s="33">
        <v>0</v>
      </c>
      <c r="S62" s="33">
        <v>0</v>
      </c>
      <c r="T62" s="33">
        <v>0</v>
      </c>
      <c r="U62" s="33">
        <v>0</v>
      </c>
      <c r="V62" s="33">
        <v>0</v>
      </c>
      <c r="W62" s="33">
        <v>0</v>
      </c>
      <c r="X62" s="33">
        <v>0</v>
      </c>
      <c r="Y62" s="33">
        <v>0</v>
      </c>
      <c r="Z62" s="33">
        <v>0</v>
      </c>
      <c r="AA62" s="33">
        <v>0</v>
      </c>
      <c r="AB62" s="33">
        <v>0</v>
      </c>
      <c r="AC62" s="33">
        <v>0</v>
      </c>
      <c r="AD62" s="33">
        <v>0</v>
      </c>
      <c r="AE62" s="33">
        <v>0</v>
      </c>
      <c r="AF62" s="33">
        <v>0</v>
      </c>
      <c r="AG62" s="33">
        <v>0</v>
      </c>
      <c r="AH62" s="33">
        <v>0</v>
      </c>
      <c r="AI62" s="33">
        <v>0</v>
      </c>
      <c r="AJ62" s="33">
        <v>0</v>
      </c>
      <c r="AK62" s="33">
        <v>0</v>
      </c>
      <c r="AL62" s="33">
        <v>0</v>
      </c>
      <c r="AM62" s="33">
        <v>0</v>
      </c>
      <c r="AN62" s="33">
        <v>0</v>
      </c>
      <c r="AO62" s="33">
        <v>0</v>
      </c>
      <c r="AP62" s="33">
        <v>0</v>
      </c>
      <c r="AQ62" s="33">
        <v>0</v>
      </c>
      <c r="AR62" s="33">
        <v>0</v>
      </c>
      <c r="AS62" s="33">
        <v>0</v>
      </c>
      <c r="AT62" s="33">
        <v>0</v>
      </c>
      <c r="AU62" s="33">
        <v>0</v>
      </c>
      <c r="AV62" s="33">
        <v>0</v>
      </c>
      <c r="AW62" s="33">
        <v>0</v>
      </c>
      <c r="AX62" s="33">
        <v>0</v>
      </c>
      <c r="AY62" s="33">
        <v>0</v>
      </c>
      <c r="AZ62" s="33">
        <v>0</v>
      </c>
      <c r="BA62" s="33">
        <v>0</v>
      </c>
      <c r="BB62" s="33">
        <v>0</v>
      </c>
      <c r="BC62" s="33">
        <v>0</v>
      </c>
      <c r="BD62" s="33">
        <v>0</v>
      </c>
      <c r="BE62" s="33"/>
      <c r="BF62" s="33"/>
      <c r="BG62" s="33"/>
      <c r="BH62" s="33">
        <v>0</v>
      </c>
      <c r="BI62" s="32">
        <f t="shared" si="15"/>
        <v>0</v>
      </c>
    </row>
    <row r="63" spans="1:61" s="50" customFormat="1" ht="65.25" customHeight="1" thickTop="1" thickBot="1">
      <c r="A63" s="467"/>
      <c r="B63" s="32" t="s">
        <v>29</v>
      </c>
      <c r="C63" s="33">
        <v>0</v>
      </c>
      <c r="D63" s="33">
        <v>0</v>
      </c>
      <c r="E63" s="33">
        <v>0</v>
      </c>
      <c r="F63" s="33">
        <v>0</v>
      </c>
      <c r="G63" s="33">
        <v>0</v>
      </c>
      <c r="H63" s="33">
        <v>0</v>
      </c>
      <c r="I63" s="33">
        <v>0</v>
      </c>
      <c r="J63" s="33">
        <v>0</v>
      </c>
      <c r="K63" s="33">
        <v>0</v>
      </c>
      <c r="L63" s="33">
        <v>0</v>
      </c>
      <c r="M63" s="33">
        <v>0</v>
      </c>
      <c r="N63" s="33">
        <v>0</v>
      </c>
      <c r="O63" s="33">
        <v>0</v>
      </c>
      <c r="P63" s="33">
        <v>0</v>
      </c>
      <c r="Q63" s="33">
        <v>0</v>
      </c>
      <c r="R63" s="33">
        <v>0</v>
      </c>
      <c r="S63" s="33">
        <v>0</v>
      </c>
      <c r="T63" s="33">
        <v>0</v>
      </c>
      <c r="U63" s="33">
        <v>0</v>
      </c>
      <c r="V63" s="33">
        <v>0</v>
      </c>
      <c r="W63" s="33">
        <v>0</v>
      </c>
      <c r="X63" s="33">
        <v>0</v>
      </c>
      <c r="Y63" s="33">
        <v>0</v>
      </c>
      <c r="Z63" s="33">
        <v>0</v>
      </c>
      <c r="AA63" s="33">
        <v>0</v>
      </c>
      <c r="AB63" s="33">
        <v>0</v>
      </c>
      <c r="AC63" s="33">
        <v>0</v>
      </c>
      <c r="AD63" s="33">
        <v>0</v>
      </c>
      <c r="AE63" s="33">
        <v>0</v>
      </c>
      <c r="AF63" s="33">
        <v>0</v>
      </c>
      <c r="AG63" s="33">
        <v>0</v>
      </c>
      <c r="AH63" s="33">
        <v>0</v>
      </c>
      <c r="AI63" s="33">
        <v>0</v>
      </c>
      <c r="AJ63" s="33">
        <v>0</v>
      </c>
      <c r="AK63" s="33">
        <v>0</v>
      </c>
      <c r="AL63" s="33">
        <v>0</v>
      </c>
      <c r="AM63" s="33">
        <v>0</v>
      </c>
      <c r="AN63" s="33">
        <v>0</v>
      </c>
      <c r="AO63" s="33">
        <v>0</v>
      </c>
      <c r="AP63" s="33">
        <v>0</v>
      </c>
      <c r="AQ63" s="33">
        <v>0</v>
      </c>
      <c r="AR63" s="33">
        <v>0</v>
      </c>
      <c r="AS63" s="33">
        <v>0</v>
      </c>
      <c r="AT63" s="33">
        <v>0</v>
      </c>
      <c r="AU63" s="33">
        <v>0</v>
      </c>
      <c r="AV63" s="33">
        <v>0</v>
      </c>
      <c r="AW63" s="33">
        <v>0</v>
      </c>
      <c r="AX63" s="33">
        <v>0</v>
      </c>
      <c r="AY63" s="33">
        <v>0</v>
      </c>
      <c r="AZ63" s="33">
        <v>0</v>
      </c>
      <c r="BA63" s="33">
        <v>0</v>
      </c>
      <c r="BB63" s="33">
        <v>0</v>
      </c>
      <c r="BC63" s="33">
        <v>0</v>
      </c>
      <c r="BD63" s="33">
        <v>0</v>
      </c>
      <c r="BE63" s="33"/>
      <c r="BF63" s="33"/>
      <c r="BG63" s="33"/>
      <c r="BH63" s="33">
        <v>0</v>
      </c>
      <c r="BI63" s="32">
        <f t="shared" si="15"/>
        <v>0</v>
      </c>
    </row>
    <row r="64" spans="1:61" s="50" customFormat="1" ht="65.25" customHeight="1" thickTop="1" thickBot="1">
      <c r="A64" s="466" t="s">
        <v>459</v>
      </c>
      <c r="B64" s="32" t="s">
        <v>73</v>
      </c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2"/>
    </row>
    <row r="65" spans="1:61" s="50" customFormat="1" ht="65.25" customHeight="1" thickTop="1" thickBot="1">
      <c r="A65" s="467"/>
      <c r="B65" s="32" t="s">
        <v>29</v>
      </c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2"/>
    </row>
    <row r="66" spans="1:61" s="36" customFormat="1" ht="67.5" customHeight="1" thickTop="1" thickBot="1">
      <c r="A66" s="457" t="s">
        <v>387</v>
      </c>
      <c r="B66" s="43" t="s">
        <v>73</v>
      </c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5"/>
      <c r="BI66" s="35">
        <f t="shared" ref="BI66:BI67" si="20">SUM(C66:BH66)</f>
        <v>0</v>
      </c>
    </row>
    <row r="67" spans="1:61" s="36" customFormat="1" ht="67.5" customHeight="1" thickTop="1" thickBot="1">
      <c r="A67" s="458"/>
      <c r="B67" s="43" t="s">
        <v>29</v>
      </c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5"/>
      <c r="BI67" s="35">
        <f t="shared" si="20"/>
        <v>0</v>
      </c>
    </row>
    <row r="68" spans="1:61" s="50" customFormat="1" ht="69.75" customHeight="1" thickTop="1" thickBot="1">
      <c r="A68" s="463" t="s">
        <v>25</v>
      </c>
      <c r="B68" s="32" t="s">
        <v>73</v>
      </c>
      <c r="C68" s="30">
        <f>C62+C60+C58+C56</f>
        <v>0</v>
      </c>
      <c r="D68" s="30">
        <f t="shared" ref="D68:BI68" si="21">D62+D60+D58+D56</f>
        <v>0</v>
      </c>
      <c r="E68" s="30">
        <f t="shared" si="21"/>
        <v>0</v>
      </c>
      <c r="F68" s="30">
        <f t="shared" si="21"/>
        <v>0</v>
      </c>
      <c r="G68" s="30">
        <f t="shared" si="21"/>
        <v>0</v>
      </c>
      <c r="H68" s="30">
        <f t="shared" si="21"/>
        <v>0</v>
      </c>
      <c r="I68" s="60">
        <f t="shared" si="21"/>
        <v>0</v>
      </c>
      <c r="J68" s="60">
        <f t="shared" si="21"/>
        <v>0</v>
      </c>
      <c r="K68" s="30">
        <f t="shared" si="21"/>
        <v>0</v>
      </c>
      <c r="L68" s="60">
        <f t="shared" si="21"/>
        <v>0</v>
      </c>
      <c r="M68" s="60">
        <f t="shared" si="21"/>
        <v>0</v>
      </c>
      <c r="N68" s="30">
        <f t="shared" si="21"/>
        <v>0</v>
      </c>
      <c r="O68" s="60">
        <f t="shared" si="21"/>
        <v>0</v>
      </c>
      <c r="P68" s="30">
        <f t="shared" si="21"/>
        <v>0</v>
      </c>
      <c r="Q68" s="30">
        <f t="shared" si="21"/>
        <v>0</v>
      </c>
      <c r="R68" s="60">
        <f t="shared" si="21"/>
        <v>0</v>
      </c>
      <c r="S68" s="30">
        <f t="shared" si="21"/>
        <v>0</v>
      </c>
      <c r="T68" s="30">
        <f t="shared" si="21"/>
        <v>0</v>
      </c>
      <c r="U68" s="30">
        <f t="shared" si="21"/>
        <v>0</v>
      </c>
      <c r="V68" s="60">
        <f t="shared" si="21"/>
        <v>0</v>
      </c>
      <c r="W68" s="30">
        <f t="shared" si="21"/>
        <v>0</v>
      </c>
      <c r="X68" s="30">
        <f t="shared" si="21"/>
        <v>0</v>
      </c>
      <c r="Y68" s="30">
        <f t="shared" si="21"/>
        <v>0</v>
      </c>
      <c r="Z68" s="60">
        <f t="shared" si="21"/>
        <v>0</v>
      </c>
      <c r="AA68" s="30">
        <f t="shared" si="21"/>
        <v>0</v>
      </c>
      <c r="AB68" s="30">
        <f t="shared" si="21"/>
        <v>0</v>
      </c>
      <c r="AC68" s="30">
        <f t="shared" si="21"/>
        <v>0</v>
      </c>
      <c r="AD68" s="60">
        <f t="shared" si="21"/>
        <v>0</v>
      </c>
      <c r="AE68" s="30">
        <f t="shared" si="21"/>
        <v>0</v>
      </c>
      <c r="AF68" s="60">
        <f t="shared" si="21"/>
        <v>0</v>
      </c>
      <c r="AG68" s="60">
        <f t="shared" si="21"/>
        <v>0</v>
      </c>
      <c r="AH68" s="60">
        <f t="shared" si="21"/>
        <v>0</v>
      </c>
      <c r="AI68" s="60">
        <f t="shared" si="21"/>
        <v>0</v>
      </c>
      <c r="AJ68" s="60">
        <f t="shared" si="21"/>
        <v>0</v>
      </c>
      <c r="AK68" s="60">
        <f t="shared" si="21"/>
        <v>0</v>
      </c>
      <c r="AL68" s="30">
        <f t="shared" si="21"/>
        <v>0</v>
      </c>
      <c r="AM68" s="60">
        <f t="shared" si="21"/>
        <v>0</v>
      </c>
      <c r="AN68" s="60">
        <f t="shared" si="21"/>
        <v>0</v>
      </c>
      <c r="AO68" s="30">
        <f t="shared" si="21"/>
        <v>0</v>
      </c>
      <c r="AP68" s="60">
        <f t="shared" si="21"/>
        <v>0</v>
      </c>
      <c r="AQ68" s="60">
        <f t="shared" si="21"/>
        <v>0</v>
      </c>
      <c r="AR68" s="60">
        <f t="shared" si="21"/>
        <v>0</v>
      </c>
      <c r="AS68" s="30">
        <f t="shared" si="21"/>
        <v>0</v>
      </c>
      <c r="AT68" s="30">
        <f t="shared" si="21"/>
        <v>0</v>
      </c>
      <c r="AU68" s="60">
        <f t="shared" si="21"/>
        <v>0</v>
      </c>
      <c r="AV68" s="60">
        <f t="shared" si="21"/>
        <v>0</v>
      </c>
      <c r="AW68" s="30">
        <f t="shared" si="21"/>
        <v>0</v>
      </c>
      <c r="AX68" s="30">
        <f t="shared" si="21"/>
        <v>0</v>
      </c>
      <c r="AY68" s="60">
        <f t="shared" si="21"/>
        <v>0</v>
      </c>
      <c r="AZ68" s="60">
        <f t="shared" si="21"/>
        <v>0</v>
      </c>
      <c r="BA68" s="60">
        <f t="shared" si="21"/>
        <v>0</v>
      </c>
      <c r="BB68" s="60">
        <f t="shared" si="21"/>
        <v>0</v>
      </c>
      <c r="BC68" s="60">
        <f t="shared" si="21"/>
        <v>0</v>
      </c>
      <c r="BD68" s="30">
        <f>BD62+BD60+BD58+BD56</f>
        <v>0</v>
      </c>
      <c r="BE68" s="30">
        <f>BE62+BE60+BE58+BE56</f>
        <v>0</v>
      </c>
      <c r="BF68" s="30">
        <f>BF62+BF60+BF58+BF56</f>
        <v>0</v>
      </c>
      <c r="BG68" s="30">
        <f>BG62+BG60+BG58+BG56</f>
        <v>0</v>
      </c>
      <c r="BH68" s="30">
        <f t="shared" si="21"/>
        <v>0</v>
      </c>
      <c r="BI68" s="32">
        <f t="shared" si="21"/>
        <v>0</v>
      </c>
    </row>
    <row r="69" spans="1:61" s="50" customFormat="1" ht="69.75" customHeight="1" thickTop="1" thickBot="1">
      <c r="A69" s="464"/>
      <c r="B69" s="32" t="s">
        <v>29</v>
      </c>
      <c r="C69" s="30">
        <f>C63+C61+C59+C57</f>
        <v>0</v>
      </c>
      <c r="D69" s="30">
        <f t="shared" ref="D69:BI69" si="22">D63+D61+D59+D57</f>
        <v>0</v>
      </c>
      <c r="E69" s="30">
        <f t="shared" si="22"/>
        <v>0</v>
      </c>
      <c r="F69" s="30">
        <f t="shared" si="22"/>
        <v>0</v>
      </c>
      <c r="G69" s="30">
        <f t="shared" si="22"/>
        <v>0</v>
      </c>
      <c r="H69" s="30">
        <f t="shared" si="22"/>
        <v>0</v>
      </c>
      <c r="I69" s="60">
        <f t="shared" si="22"/>
        <v>0</v>
      </c>
      <c r="J69" s="60">
        <f t="shared" si="22"/>
        <v>0</v>
      </c>
      <c r="K69" s="30">
        <f t="shared" si="22"/>
        <v>0</v>
      </c>
      <c r="L69" s="60">
        <f t="shared" si="22"/>
        <v>0</v>
      </c>
      <c r="M69" s="60">
        <f t="shared" si="22"/>
        <v>0</v>
      </c>
      <c r="N69" s="30">
        <f t="shared" si="22"/>
        <v>0</v>
      </c>
      <c r="O69" s="60">
        <f t="shared" si="22"/>
        <v>0</v>
      </c>
      <c r="P69" s="30">
        <f t="shared" si="22"/>
        <v>0</v>
      </c>
      <c r="Q69" s="30">
        <f t="shared" si="22"/>
        <v>0</v>
      </c>
      <c r="R69" s="60">
        <f t="shared" si="22"/>
        <v>0</v>
      </c>
      <c r="S69" s="30">
        <f t="shared" si="22"/>
        <v>0</v>
      </c>
      <c r="T69" s="30">
        <f t="shared" si="22"/>
        <v>0</v>
      </c>
      <c r="U69" s="30">
        <f t="shared" si="22"/>
        <v>0</v>
      </c>
      <c r="V69" s="60">
        <f t="shared" si="22"/>
        <v>0</v>
      </c>
      <c r="W69" s="30">
        <f t="shared" si="22"/>
        <v>0</v>
      </c>
      <c r="X69" s="30">
        <f t="shared" si="22"/>
        <v>0</v>
      </c>
      <c r="Y69" s="30">
        <f t="shared" si="22"/>
        <v>0</v>
      </c>
      <c r="Z69" s="60">
        <f t="shared" si="22"/>
        <v>0</v>
      </c>
      <c r="AA69" s="30">
        <f t="shared" si="22"/>
        <v>0</v>
      </c>
      <c r="AB69" s="30">
        <f t="shared" si="22"/>
        <v>0</v>
      </c>
      <c r="AC69" s="30">
        <f t="shared" si="22"/>
        <v>0</v>
      </c>
      <c r="AD69" s="60">
        <f t="shared" si="22"/>
        <v>0</v>
      </c>
      <c r="AE69" s="30">
        <f t="shared" si="22"/>
        <v>0</v>
      </c>
      <c r="AF69" s="60">
        <f t="shared" si="22"/>
        <v>0</v>
      </c>
      <c r="AG69" s="60">
        <f t="shared" si="22"/>
        <v>0</v>
      </c>
      <c r="AH69" s="60">
        <f t="shared" si="22"/>
        <v>0</v>
      </c>
      <c r="AI69" s="60">
        <f t="shared" si="22"/>
        <v>0</v>
      </c>
      <c r="AJ69" s="60">
        <f t="shared" si="22"/>
        <v>0</v>
      </c>
      <c r="AK69" s="60">
        <f t="shared" si="22"/>
        <v>0</v>
      </c>
      <c r="AL69" s="30">
        <f t="shared" si="22"/>
        <v>0</v>
      </c>
      <c r="AM69" s="60">
        <f t="shared" si="22"/>
        <v>0</v>
      </c>
      <c r="AN69" s="60">
        <f t="shared" si="22"/>
        <v>0</v>
      </c>
      <c r="AO69" s="30">
        <f t="shared" si="22"/>
        <v>0</v>
      </c>
      <c r="AP69" s="60">
        <f t="shared" si="22"/>
        <v>0</v>
      </c>
      <c r="AQ69" s="60">
        <f t="shared" si="22"/>
        <v>0</v>
      </c>
      <c r="AR69" s="60">
        <f t="shared" si="22"/>
        <v>0</v>
      </c>
      <c r="AS69" s="30">
        <f t="shared" si="22"/>
        <v>0</v>
      </c>
      <c r="AT69" s="30">
        <f t="shared" si="22"/>
        <v>0</v>
      </c>
      <c r="AU69" s="60">
        <f t="shared" si="22"/>
        <v>0</v>
      </c>
      <c r="AV69" s="60">
        <f t="shared" si="22"/>
        <v>0</v>
      </c>
      <c r="AW69" s="30">
        <f t="shared" si="22"/>
        <v>0</v>
      </c>
      <c r="AX69" s="60">
        <f t="shared" si="22"/>
        <v>0</v>
      </c>
      <c r="AY69" s="60">
        <f t="shared" si="22"/>
        <v>0</v>
      </c>
      <c r="AZ69" s="60">
        <f t="shared" si="22"/>
        <v>0</v>
      </c>
      <c r="BA69" s="60">
        <f t="shared" si="22"/>
        <v>0</v>
      </c>
      <c r="BB69" s="60">
        <f t="shared" si="22"/>
        <v>0</v>
      </c>
      <c r="BC69" s="60">
        <f t="shared" si="22"/>
        <v>0</v>
      </c>
      <c r="BD69" s="30">
        <f t="shared" si="22"/>
        <v>0</v>
      </c>
      <c r="BE69" s="30">
        <f>BE63+BE61+BE59+BE57</f>
        <v>0</v>
      </c>
      <c r="BF69" s="30">
        <f>BF63+BF61+BF59+BF57</f>
        <v>0</v>
      </c>
      <c r="BG69" s="30">
        <f>BG63+BG61+BG59+BG57</f>
        <v>0</v>
      </c>
      <c r="BH69" s="30">
        <f t="shared" si="22"/>
        <v>0</v>
      </c>
      <c r="BI69" s="32">
        <f t="shared" si="22"/>
        <v>0</v>
      </c>
    </row>
    <row r="70" spans="1:61" s="50" customFormat="1" ht="69.75" customHeight="1" thickTop="1" thickBot="1">
      <c r="A70" s="465"/>
      <c r="B70" s="32" t="s">
        <v>25</v>
      </c>
      <c r="C70" s="32">
        <f>C69+C68</f>
        <v>0</v>
      </c>
      <c r="D70" s="32">
        <f t="shared" ref="D70:BI70" si="23">D69+D68</f>
        <v>0</v>
      </c>
      <c r="E70" s="32">
        <f t="shared" si="23"/>
        <v>0</v>
      </c>
      <c r="F70" s="32">
        <f t="shared" si="23"/>
        <v>0</v>
      </c>
      <c r="G70" s="32">
        <f t="shared" si="23"/>
        <v>0</v>
      </c>
      <c r="H70" s="32">
        <f t="shared" si="23"/>
        <v>0</v>
      </c>
      <c r="I70" s="32">
        <f t="shared" si="23"/>
        <v>0</v>
      </c>
      <c r="J70" s="32">
        <f t="shared" si="23"/>
        <v>0</v>
      </c>
      <c r="K70" s="32">
        <f t="shared" si="23"/>
        <v>0</v>
      </c>
      <c r="L70" s="32">
        <f t="shared" si="23"/>
        <v>0</v>
      </c>
      <c r="M70" s="32">
        <f t="shared" si="23"/>
        <v>0</v>
      </c>
      <c r="N70" s="32">
        <f t="shared" si="23"/>
        <v>0</v>
      </c>
      <c r="O70" s="32">
        <f t="shared" si="23"/>
        <v>0</v>
      </c>
      <c r="P70" s="32">
        <f t="shared" si="23"/>
        <v>0</v>
      </c>
      <c r="Q70" s="32">
        <f t="shared" si="23"/>
        <v>0</v>
      </c>
      <c r="R70" s="32">
        <f t="shared" si="23"/>
        <v>0</v>
      </c>
      <c r="S70" s="32">
        <f t="shared" si="23"/>
        <v>0</v>
      </c>
      <c r="T70" s="32">
        <f t="shared" si="23"/>
        <v>0</v>
      </c>
      <c r="U70" s="32">
        <f t="shared" si="23"/>
        <v>0</v>
      </c>
      <c r="V70" s="32">
        <f t="shared" si="23"/>
        <v>0</v>
      </c>
      <c r="W70" s="32">
        <f t="shared" si="23"/>
        <v>0</v>
      </c>
      <c r="X70" s="32">
        <f t="shared" si="23"/>
        <v>0</v>
      </c>
      <c r="Y70" s="32">
        <f t="shared" si="23"/>
        <v>0</v>
      </c>
      <c r="Z70" s="32">
        <f t="shared" si="23"/>
        <v>0</v>
      </c>
      <c r="AA70" s="32">
        <f t="shared" si="23"/>
        <v>0</v>
      </c>
      <c r="AB70" s="32">
        <f t="shared" si="23"/>
        <v>0</v>
      </c>
      <c r="AC70" s="32">
        <f t="shared" si="23"/>
        <v>0</v>
      </c>
      <c r="AD70" s="32">
        <f t="shared" si="23"/>
        <v>0</v>
      </c>
      <c r="AE70" s="32">
        <f t="shared" si="23"/>
        <v>0</v>
      </c>
      <c r="AF70" s="32">
        <f t="shared" si="23"/>
        <v>0</v>
      </c>
      <c r="AG70" s="32">
        <f t="shared" si="23"/>
        <v>0</v>
      </c>
      <c r="AH70" s="32">
        <f t="shared" si="23"/>
        <v>0</v>
      </c>
      <c r="AI70" s="32">
        <f t="shared" si="23"/>
        <v>0</v>
      </c>
      <c r="AJ70" s="32">
        <f t="shared" si="23"/>
        <v>0</v>
      </c>
      <c r="AK70" s="32">
        <f t="shared" si="23"/>
        <v>0</v>
      </c>
      <c r="AL70" s="32">
        <f t="shared" si="23"/>
        <v>0</v>
      </c>
      <c r="AM70" s="32">
        <f t="shared" si="23"/>
        <v>0</v>
      </c>
      <c r="AN70" s="32">
        <f t="shared" si="23"/>
        <v>0</v>
      </c>
      <c r="AO70" s="32">
        <f t="shared" si="23"/>
        <v>0</v>
      </c>
      <c r="AP70" s="32">
        <f t="shared" si="23"/>
        <v>0</v>
      </c>
      <c r="AQ70" s="32">
        <f t="shared" si="23"/>
        <v>0</v>
      </c>
      <c r="AR70" s="32">
        <f t="shared" si="23"/>
        <v>0</v>
      </c>
      <c r="AS70" s="32">
        <f t="shared" si="23"/>
        <v>0</v>
      </c>
      <c r="AT70" s="32">
        <f t="shared" si="23"/>
        <v>0</v>
      </c>
      <c r="AU70" s="32">
        <f t="shared" si="23"/>
        <v>0</v>
      </c>
      <c r="AV70" s="32">
        <f t="shared" si="23"/>
        <v>0</v>
      </c>
      <c r="AW70" s="32">
        <f t="shared" si="23"/>
        <v>0</v>
      </c>
      <c r="AX70" s="32">
        <f t="shared" si="23"/>
        <v>0</v>
      </c>
      <c r="AY70" s="32">
        <f t="shared" si="23"/>
        <v>0</v>
      </c>
      <c r="AZ70" s="32">
        <f t="shared" si="23"/>
        <v>0</v>
      </c>
      <c r="BA70" s="32">
        <f t="shared" si="23"/>
        <v>0</v>
      </c>
      <c r="BB70" s="32">
        <f t="shared" si="23"/>
        <v>0</v>
      </c>
      <c r="BC70" s="32">
        <f t="shared" si="23"/>
        <v>0</v>
      </c>
      <c r="BD70" s="32">
        <f>BD69+BD68</f>
        <v>0</v>
      </c>
      <c r="BE70" s="32">
        <f>BE69+BE68</f>
        <v>0</v>
      </c>
      <c r="BF70" s="32">
        <f>BF69+BF68</f>
        <v>0</v>
      </c>
      <c r="BG70" s="32">
        <f>BG69+BG68</f>
        <v>0</v>
      </c>
      <c r="BH70" s="32">
        <f t="shared" si="23"/>
        <v>0</v>
      </c>
      <c r="BI70" s="32">
        <f t="shared" si="23"/>
        <v>0</v>
      </c>
    </row>
    <row r="71" spans="1:61" s="10" customFormat="1" ht="20.25" customHeight="1" thickTop="1">
      <c r="A71" s="9"/>
      <c r="B71" s="45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</row>
    <row r="72" spans="1:61" s="28" customFormat="1" ht="30" customHeight="1">
      <c r="A72" s="454" t="s">
        <v>146</v>
      </c>
      <c r="B72" s="454"/>
      <c r="C72" s="454"/>
      <c r="D72" s="454"/>
      <c r="E72" s="454"/>
      <c r="F72" s="454"/>
      <c r="G72" s="454"/>
      <c r="H72" s="454"/>
      <c r="I72" s="454"/>
      <c r="J72" s="454"/>
      <c r="K72" s="454"/>
      <c r="L72" s="454"/>
      <c r="BB72" s="454" t="s">
        <v>110</v>
      </c>
      <c r="BC72" s="454"/>
      <c r="BD72" s="454"/>
      <c r="BE72" s="454"/>
      <c r="BF72" s="454"/>
      <c r="BG72" s="454"/>
      <c r="BH72" s="454"/>
      <c r="BI72" s="454"/>
    </row>
    <row r="73" spans="1:61" s="28" customFormat="1" ht="20.25" customHeight="1">
      <c r="A73" s="340" t="s">
        <v>185</v>
      </c>
      <c r="B73" s="340"/>
      <c r="C73" s="340"/>
      <c r="D73" s="340"/>
      <c r="E73" s="340"/>
      <c r="F73" s="340"/>
      <c r="G73" s="340"/>
      <c r="H73" s="340"/>
      <c r="I73" s="340"/>
      <c r="J73" s="340"/>
      <c r="K73" s="340"/>
      <c r="L73" s="340"/>
      <c r="Q73" s="31"/>
      <c r="R73" s="31"/>
      <c r="V73" s="462" t="s">
        <v>359</v>
      </c>
      <c r="W73" s="462"/>
      <c r="X73" s="462"/>
      <c r="Y73" s="462"/>
      <c r="Z73" s="462"/>
      <c r="AA73" s="462"/>
      <c r="AB73" s="462"/>
      <c r="AC73" s="462"/>
      <c r="AD73" s="462"/>
      <c r="AE73" s="462"/>
      <c r="AF73" s="462"/>
      <c r="AG73" s="462"/>
      <c r="AH73" s="462"/>
      <c r="AI73" s="462"/>
    </row>
    <row r="74" spans="1:61" s="28" customFormat="1" ht="20.25" customHeight="1">
      <c r="A74" s="454" t="s">
        <v>218</v>
      </c>
      <c r="B74" s="454"/>
      <c r="C74" s="454"/>
      <c r="D74" s="454"/>
      <c r="E74" s="454"/>
      <c r="F74" s="454"/>
      <c r="G74" s="454"/>
      <c r="H74" s="454"/>
      <c r="I74" s="454"/>
      <c r="J74" s="454"/>
      <c r="K74" s="454"/>
      <c r="L74" s="454"/>
      <c r="M74" s="454"/>
      <c r="N74" s="454"/>
      <c r="O74" s="454"/>
      <c r="P74" s="454"/>
      <c r="Q74" s="454"/>
      <c r="R74" s="454"/>
      <c r="S74" s="454"/>
      <c r="T74" s="454"/>
      <c r="U74" s="454"/>
      <c r="V74" s="454"/>
      <c r="W74" s="454"/>
      <c r="X74" s="454"/>
      <c r="Y74" s="454"/>
      <c r="Z74" s="454"/>
      <c r="AA74" s="454"/>
      <c r="AB74" s="454"/>
      <c r="AC74" s="454"/>
      <c r="AD74" s="454"/>
      <c r="AE74" s="454"/>
      <c r="AF74" s="454"/>
      <c r="AG74" s="454"/>
      <c r="AH74" s="454"/>
      <c r="AI74" s="454"/>
      <c r="AJ74" s="454"/>
      <c r="AK74" s="454"/>
      <c r="AL74" s="454"/>
      <c r="AM74" s="454"/>
      <c r="AN74" s="454"/>
      <c r="AO74" s="454"/>
      <c r="AP74" s="454"/>
      <c r="AQ74" s="454"/>
      <c r="AR74" s="454"/>
      <c r="AS74" s="454"/>
      <c r="AT74" s="454"/>
      <c r="AU74" s="454"/>
      <c r="AV74" s="454"/>
      <c r="AW74" s="454"/>
      <c r="AX74" s="454"/>
      <c r="AY74" s="454"/>
      <c r="AZ74" s="454"/>
      <c r="BA74" s="454"/>
      <c r="BB74" s="454"/>
      <c r="BC74" s="454"/>
      <c r="BD74" s="454"/>
      <c r="BE74" s="454"/>
      <c r="BF74" s="454"/>
      <c r="BG74" s="454"/>
      <c r="BH74" s="454"/>
      <c r="BI74" s="454"/>
    </row>
    <row r="75" spans="1:61" s="28" customFormat="1" ht="20.25" customHeight="1">
      <c r="A75" s="454" t="s">
        <v>505</v>
      </c>
      <c r="B75" s="454"/>
      <c r="C75" s="454"/>
      <c r="D75" s="454"/>
      <c r="E75" s="454"/>
      <c r="F75" s="454"/>
      <c r="G75" s="454"/>
      <c r="H75" s="454"/>
      <c r="I75" s="454"/>
      <c r="J75" s="454"/>
      <c r="K75" s="454"/>
      <c r="L75" s="454"/>
      <c r="M75" s="454"/>
      <c r="N75" s="454"/>
      <c r="O75" s="454"/>
      <c r="P75" s="454"/>
      <c r="Q75" s="454"/>
      <c r="R75" s="454"/>
      <c r="S75" s="454"/>
      <c r="T75" s="454"/>
      <c r="U75" s="454"/>
      <c r="V75" s="454"/>
      <c r="W75" s="454"/>
      <c r="X75" s="454"/>
      <c r="Y75" s="454"/>
      <c r="Z75" s="454"/>
      <c r="AA75" s="454"/>
      <c r="AB75" s="454"/>
      <c r="AC75" s="454"/>
      <c r="AD75" s="454"/>
      <c r="AE75" s="454"/>
      <c r="AF75" s="454"/>
      <c r="AG75" s="454"/>
      <c r="AH75" s="454"/>
      <c r="AI75" s="454"/>
      <c r="AJ75" s="454"/>
      <c r="AK75" s="454"/>
      <c r="AL75" s="454"/>
      <c r="AM75" s="454"/>
      <c r="AN75" s="454"/>
      <c r="AO75" s="454"/>
      <c r="AP75" s="454"/>
      <c r="AQ75" s="454"/>
      <c r="AR75" s="454"/>
      <c r="AS75" s="454"/>
      <c r="AT75" s="454"/>
      <c r="AU75" s="454"/>
      <c r="AV75" s="454"/>
      <c r="AW75" s="454"/>
      <c r="AX75" s="454"/>
      <c r="AY75" s="454"/>
      <c r="AZ75" s="454"/>
      <c r="BA75" s="454"/>
      <c r="BB75" s="454"/>
      <c r="BC75" s="454"/>
      <c r="BD75" s="454"/>
      <c r="BE75" s="454"/>
      <c r="BF75" s="454"/>
      <c r="BG75" s="454"/>
      <c r="BH75" s="454"/>
      <c r="BI75" s="454"/>
    </row>
    <row r="76" spans="1:61" s="28" customFormat="1" ht="20.25" customHeight="1">
      <c r="A76" s="454" t="s">
        <v>219</v>
      </c>
      <c r="B76" s="454"/>
      <c r="C76" s="454"/>
      <c r="D76" s="454"/>
      <c r="E76" s="454"/>
      <c r="F76" s="454"/>
      <c r="G76" s="454"/>
      <c r="H76" s="454"/>
      <c r="I76" s="454"/>
      <c r="J76" s="454"/>
      <c r="K76" s="454"/>
      <c r="L76" s="454"/>
      <c r="M76" s="454"/>
      <c r="N76" s="454"/>
      <c r="O76" s="454"/>
      <c r="P76" s="454"/>
      <c r="Q76" s="454"/>
      <c r="R76" s="454"/>
      <c r="S76" s="454"/>
      <c r="T76" s="454"/>
      <c r="U76" s="454"/>
      <c r="V76" s="454"/>
      <c r="W76" s="454"/>
      <c r="X76" s="454"/>
      <c r="Y76" s="454"/>
      <c r="Z76" s="454"/>
      <c r="AA76" s="454"/>
      <c r="AB76" s="454"/>
      <c r="AC76" s="454"/>
      <c r="AD76" s="454"/>
      <c r="AE76" s="454"/>
      <c r="AF76" s="454"/>
      <c r="AG76" s="454"/>
      <c r="AH76" s="454"/>
      <c r="AI76" s="454"/>
      <c r="AJ76" s="454"/>
      <c r="AK76" s="454"/>
      <c r="AL76" s="454"/>
      <c r="AM76" s="454"/>
      <c r="AN76" s="454"/>
      <c r="AO76" s="454"/>
      <c r="AP76" s="454"/>
      <c r="AQ76" s="454"/>
      <c r="AR76" s="454"/>
      <c r="AS76" s="454"/>
      <c r="AT76" s="454"/>
      <c r="AU76" s="454"/>
      <c r="AV76" s="454"/>
      <c r="AW76" s="454"/>
      <c r="AX76" s="454"/>
      <c r="AY76" s="454"/>
      <c r="AZ76" s="454"/>
      <c r="BA76" s="454"/>
      <c r="BB76" s="454"/>
      <c r="BC76" s="454"/>
      <c r="BD76" s="454"/>
      <c r="BE76" s="454"/>
      <c r="BF76" s="454"/>
      <c r="BG76" s="454"/>
      <c r="BH76" s="454"/>
      <c r="BI76" s="454"/>
    </row>
    <row r="77" spans="1:61" s="10" customFormat="1" ht="20.25" customHeight="1" thickBot="1">
      <c r="B77" s="40"/>
    </row>
    <row r="78" spans="1:61" s="10" customFormat="1" ht="125.25" thickTop="1" thickBot="1">
      <c r="A78" s="51" t="s">
        <v>113</v>
      </c>
      <c r="B78" s="51" t="s">
        <v>220</v>
      </c>
      <c r="C78" s="51" t="s">
        <v>224</v>
      </c>
      <c r="D78" s="51" t="s">
        <v>221</v>
      </c>
      <c r="E78" s="51" t="s">
        <v>222</v>
      </c>
      <c r="F78" s="51" t="s">
        <v>223</v>
      </c>
      <c r="G78" s="51" t="s">
        <v>225</v>
      </c>
      <c r="H78" s="51" t="s">
        <v>226</v>
      </c>
      <c r="I78" s="51" t="s">
        <v>227</v>
      </c>
      <c r="J78" s="51" t="s">
        <v>228</v>
      </c>
      <c r="K78" s="51" t="s">
        <v>229</v>
      </c>
      <c r="L78" s="51" t="s">
        <v>230</v>
      </c>
      <c r="M78" s="51" t="s">
        <v>231</v>
      </c>
      <c r="N78" s="51" t="s">
        <v>232</v>
      </c>
      <c r="O78" s="51" t="s">
        <v>233</v>
      </c>
      <c r="P78" s="51" t="s">
        <v>234</v>
      </c>
      <c r="Q78" s="51" t="s">
        <v>235</v>
      </c>
      <c r="R78" s="51" t="s">
        <v>236</v>
      </c>
      <c r="S78" s="51" t="s">
        <v>237</v>
      </c>
      <c r="T78" s="51" t="s">
        <v>238</v>
      </c>
      <c r="U78" s="51" t="s">
        <v>239</v>
      </c>
      <c r="V78" s="51" t="s">
        <v>240</v>
      </c>
      <c r="W78" s="51" t="s">
        <v>241</v>
      </c>
      <c r="X78" s="51" t="s">
        <v>242</v>
      </c>
      <c r="Y78" s="51" t="s">
        <v>243</v>
      </c>
      <c r="Z78" s="51" t="s">
        <v>244</v>
      </c>
      <c r="AA78" s="51" t="s">
        <v>245</v>
      </c>
      <c r="AB78" s="51" t="s">
        <v>246</v>
      </c>
      <c r="AC78" s="51" t="s">
        <v>247</v>
      </c>
      <c r="AD78" s="51" t="s">
        <v>248</v>
      </c>
      <c r="AE78" s="51" t="s">
        <v>249</v>
      </c>
      <c r="AF78" s="51" t="s">
        <v>250</v>
      </c>
      <c r="AG78" s="51" t="s">
        <v>251</v>
      </c>
      <c r="AH78" s="51" t="s">
        <v>252</v>
      </c>
      <c r="AI78" s="51" t="s">
        <v>253</v>
      </c>
      <c r="AJ78" s="51" t="s">
        <v>254</v>
      </c>
      <c r="AK78" s="51" t="s">
        <v>255</v>
      </c>
      <c r="AL78" s="51" t="s">
        <v>256</v>
      </c>
      <c r="AM78" s="51" t="s">
        <v>257</v>
      </c>
      <c r="AN78" s="51" t="s">
        <v>258</v>
      </c>
      <c r="AO78" s="51" t="s">
        <v>259</v>
      </c>
      <c r="AP78" s="51" t="s">
        <v>260</v>
      </c>
      <c r="AQ78" s="51" t="s">
        <v>261</v>
      </c>
      <c r="AR78" s="51" t="s">
        <v>262</v>
      </c>
      <c r="AS78" s="51" t="s">
        <v>263</v>
      </c>
      <c r="AT78" s="51" t="s">
        <v>264</v>
      </c>
      <c r="AU78" s="51" t="s">
        <v>265</v>
      </c>
      <c r="AV78" s="51" t="s">
        <v>266</v>
      </c>
      <c r="AW78" s="51" t="s">
        <v>267</v>
      </c>
      <c r="AX78" s="51" t="s">
        <v>268</v>
      </c>
      <c r="AY78" s="51" t="s">
        <v>269</v>
      </c>
      <c r="AZ78" s="51" t="s">
        <v>270</v>
      </c>
      <c r="BA78" s="51" t="s">
        <v>271</v>
      </c>
      <c r="BB78" s="51" t="s">
        <v>272</v>
      </c>
      <c r="BC78" s="51" t="s">
        <v>273</v>
      </c>
      <c r="BD78" s="51" t="s">
        <v>274</v>
      </c>
      <c r="BE78" s="51" t="s">
        <v>358</v>
      </c>
      <c r="BF78" s="51" t="s">
        <v>331</v>
      </c>
      <c r="BG78" s="51" t="s">
        <v>330</v>
      </c>
      <c r="BH78" s="51" t="s">
        <v>36</v>
      </c>
      <c r="BI78" s="51" t="s">
        <v>25</v>
      </c>
    </row>
    <row r="79" spans="1:61" s="50" customFormat="1" ht="69.75" customHeight="1" thickTop="1" thickBot="1">
      <c r="A79" s="463" t="s">
        <v>275</v>
      </c>
      <c r="B79" s="32" t="s">
        <v>73</v>
      </c>
      <c r="C79" s="30">
        <f>المهني!GJ16</f>
        <v>0</v>
      </c>
      <c r="D79" s="30">
        <f>المهني!GL16</f>
        <v>0</v>
      </c>
      <c r="E79" s="30">
        <f>المهني!GN16</f>
        <v>0</v>
      </c>
      <c r="F79" s="30">
        <f>المهني!GP16</f>
        <v>0</v>
      </c>
      <c r="G79" s="30">
        <f>المهني!GR16</f>
        <v>0</v>
      </c>
      <c r="H79" s="30">
        <f>المهني!GT16</f>
        <v>0</v>
      </c>
      <c r="I79" s="30">
        <f>المهني!GV16</f>
        <v>0</v>
      </c>
      <c r="J79" s="30">
        <f>المهني!GX16</f>
        <v>0</v>
      </c>
      <c r="K79" s="30">
        <f>المهني!GZ16</f>
        <v>0</v>
      </c>
      <c r="L79" s="30">
        <f>المهني!HB16</f>
        <v>0</v>
      </c>
      <c r="M79" s="30">
        <f>المهني!HD16</f>
        <v>0</v>
      </c>
      <c r="N79" s="30">
        <f>المهني!HF16</f>
        <v>0</v>
      </c>
      <c r="O79" s="30">
        <f>المهني!HH16</f>
        <v>0</v>
      </c>
      <c r="P79" s="30">
        <f>المهني!HJ16</f>
        <v>0</v>
      </c>
      <c r="Q79" s="30">
        <f>المهني!HL16</f>
        <v>0</v>
      </c>
      <c r="R79" s="30">
        <f>المهني!HN16</f>
        <v>0</v>
      </c>
      <c r="S79" s="30">
        <f>المهني!HP16</f>
        <v>0</v>
      </c>
      <c r="T79" s="30">
        <f>المهني!HR16</f>
        <v>0</v>
      </c>
      <c r="U79" s="30">
        <f>المهني!HT16</f>
        <v>0</v>
      </c>
      <c r="V79" s="30">
        <f>المهني!HV16</f>
        <v>0</v>
      </c>
      <c r="W79" s="30">
        <f>المهني!HX16</f>
        <v>0</v>
      </c>
      <c r="X79" s="30">
        <f>المهني!HZ16</f>
        <v>0</v>
      </c>
      <c r="Y79" s="30">
        <f>المهني!IB16</f>
        <v>0</v>
      </c>
      <c r="Z79" s="30">
        <f>المهني!ID16</f>
        <v>0</v>
      </c>
      <c r="AA79" s="30">
        <f>المهني!IF16</f>
        <v>0</v>
      </c>
      <c r="AB79" s="30">
        <f>المهني!IH16</f>
        <v>0</v>
      </c>
      <c r="AC79" s="30">
        <f>المهني!IJ16</f>
        <v>0</v>
      </c>
      <c r="AD79" s="30">
        <f>المهني!IL16</f>
        <v>0</v>
      </c>
      <c r="AE79" s="30">
        <f>المهني!IN16</f>
        <v>0</v>
      </c>
      <c r="AF79" s="30">
        <f>المهني!IP16</f>
        <v>0</v>
      </c>
      <c r="AG79" s="30">
        <f>المهني!IR16</f>
        <v>0</v>
      </c>
      <c r="AH79" s="30">
        <f>المهني!IT16</f>
        <v>0</v>
      </c>
      <c r="AI79" s="30">
        <f>المهني!IV16</f>
        <v>0</v>
      </c>
      <c r="AJ79" s="30">
        <f>المهني!IX16</f>
        <v>0</v>
      </c>
      <c r="AK79" s="30">
        <f>المهني!IZ16</f>
        <v>0</v>
      </c>
      <c r="AL79" s="30">
        <f>المهني!JB16</f>
        <v>0</v>
      </c>
      <c r="AM79" s="30">
        <f>المهني!JD16</f>
        <v>0</v>
      </c>
      <c r="AN79" s="30">
        <f>المهني!JF16</f>
        <v>0</v>
      </c>
      <c r="AO79" s="30">
        <f>المهني!JH16</f>
        <v>0</v>
      </c>
      <c r="AP79" s="30">
        <f>المهني!JJ16</f>
        <v>0</v>
      </c>
      <c r="AQ79" s="30">
        <f>المهني!JL16</f>
        <v>0</v>
      </c>
      <c r="AR79" s="30">
        <f>المهني!JN16</f>
        <v>0</v>
      </c>
      <c r="AS79" s="30">
        <f>المهني!JP16</f>
        <v>0</v>
      </c>
      <c r="AT79" s="30">
        <f>المهني!JR16</f>
        <v>0</v>
      </c>
      <c r="AU79" s="30">
        <f>المهني!JT16</f>
        <v>0</v>
      </c>
      <c r="AV79" s="30">
        <f>المهني!JV16</f>
        <v>0</v>
      </c>
      <c r="AW79" s="30">
        <f>المهني!JX16</f>
        <v>0</v>
      </c>
      <c r="AX79" s="30">
        <f>المهني!JZ16</f>
        <v>0</v>
      </c>
      <c r="AY79" s="30">
        <f>المهني!KB16</f>
        <v>0</v>
      </c>
      <c r="AZ79" s="30">
        <f>المهني!KD16</f>
        <v>0</v>
      </c>
      <c r="BA79" s="30">
        <f>المهني!KF16</f>
        <v>0</v>
      </c>
      <c r="BB79" s="30">
        <f>المهني!KH16</f>
        <v>0</v>
      </c>
      <c r="BC79" s="30">
        <f>المهني!KJ16</f>
        <v>0</v>
      </c>
      <c r="BD79" s="30">
        <f>المهني!KN16</f>
        <v>0</v>
      </c>
      <c r="BE79" s="30"/>
      <c r="BF79" s="30"/>
      <c r="BG79" s="30"/>
      <c r="BH79" s="30">
        <f>المهني!KT16</f>
        <v>0</v>
      </c>
      <c r="BI79" s="32">
        <f>SUM(C79:BH79)</f>
        <v>0</v>
      </c>
    </row>
    <row r="80" spans="1:61" s="50" customFormat="1" ht="69.75" customHeight="1" thickTop="1" thickBot="1">
      <c r="A80" s="465"/>
      <c r="B80" s="32" t="s">
        <v>29</v>
      </c>
      <c r="C80" s="30">
        <f>المهني!GK16</f>
        <v>0</v>
      </c>
      <c r="D80" s="30">
        <f>المهني!GM16</f>
        <v>0</v>
      </c>
      <c r="E80" s="30">
        <f>المهني!GO16</f>
        <v>0</v>
      </c>
      <c r="F80" s="30">
        <f>المهني!GQ16</f>
        <v>0</v>
      </c>
      <c r="G80" s="30">
        <f>المهني!GS16</f>
        <v>0</v>
      </c>
      <c r="H80" s="30">
        <f>المهني!GU16</f>
        <v>0</v>
      </c>
      <c r="I80" s="30">
        <f>المهني!GW16</f>
        <v>0</v>
      </c>
      <c r="J80" s="30">
        <f>المهني!GY16</f>
        <v>0</v>
      </c>
      <c r="K80" s="30">
        <f>المهني!HA16</f>
        <v>0</v>
      </c>
      <c r="L80" s="30">
        <f>المهني!HC16</f>
        <v>0</v>
      </c>
      <c r="M80" s="30">
        <f>المهني!HE16</f>
        <v>0</v>
      </c>
      <c r="N80" s="30">
        <f>المهني!HG16</f>
        <v>0</v>
      </c>
      <c r="O80" s="30">
        <f>المهني!HI16</f>
        <v>0</v>
      </c>
      <c r="P80" s="30">
        <f>المهني!HK16</f>
        <v>0</v>
      </c>
      <c r="Q80" s="30">
        <f>المهني!HM16</f>
        <v>0</v>
      </c>
      <c r="R80" s="30">
        <f>المهني!HO16</f>
        <v>0</v>
      </c>
      <c r="S80" s="30">
        <f>المهني!HQ16</f>
        <v>0</v>
      </c>
      <c r="T80" s="30">
        <f>المهني!HS16</f>
        <v>0</v>
      </c>
      <c r="U80" s="30">
        <f>المهني!HU16</f>
        <v>0</v>
      </c>
      <c r="V80" s="30">
        <f>المهني!HW16</f>
        <v>0</v>
      </c>
      <c r="W80" s="30">
        <f>المهني!HY16</f>
        <v>0</v>
      </c>
      <c r="X80" s="30">
        <f>المهني!IA16</f>
        <v>0</v>
      </c>
      <c r="Y80" s="30">
        <f>المهني!IC16</f>
        <v>0</v>
      </c>
      <c r="Z80" s="30">
        <f>المهني!IE16</f>
        <v>0</v>
      </c>
      <c r="AA80" s="30">
        <f>المهني!IG16</f>
        <v>0</v>
      </c>
      <c r="AB80" s="30">
        <f>المهني!II16</f>
        <v>0</v>
      </c>
      <c r="AC80" s="30">
        <f>المهني!IK16</f>
        <v>0</v>
      </c>
      <c r="AD80" s="30">
        <f>المهني!IM16</f>
        <v>0</v>
      </c>
      <c r="AE80" s="30">
        <f>المهني!IO16</f>
        <v>0</v>
      </c>
      <c r="AF80" s="30">
        <f>المهني!IQ16</f>
        <v>0</v>
      </c>
      <c r="AG80" s="30">
        <f>المهني!IS16</f>
        <v>0</v>
      </c>
      <c r="AH80" s="30">
        <f>المهني!IU16</f>
        <v>0</v>
      </c>
      <c r="AI80" s="30">
        <f>المهني!IW16</f>
        <v>0</v>
      </c>
      <c r="AJ80" s="30">
        <f>المهني!IY16</f>
        <v>0</v>
      </c>
      <c r="AK80" s="30">
        <f>المهني!JA16</f>
        <v>0</v>
      </c>
      <c r="AL80" s="30">
        <f>المهني!JC16</f>
        <v>0</v>
      </c>
      <c r="AM80" s="30">
        <f>المهني!JE16</f>
        <v>0</v>
      </c>
      <c r="AN80" s="30">
        <f>المهني!JG16</f>
        <v>0</v>
      </c>
      <c r="AO80" s="30">
        <f>المهني!JI16</f>
        <v>0</v>
      </c>
      <c r="AP80" s="30">
        <f>المهني!JK16</f>
        <v>0</v>
      </c>
      <c r="AQ80" s="30">
        <f>المهني!JM16</f>
        <v>0</v>
      </c>
      <c r="AR80" s="30">
        <f>المهني!JO16</f>
        <v>0</v>
      </c>
      <c r="AS80" s="30">
        <f>المهني!JQ16</f>
        <v>0</v>
      </c>
      <c r="AT80" s="30">
        <f>المهني!JS16</f>
        <v>0</v>
      </c>
      <c r="AU80" s="30">
        <f>المهني!JU16</f>
        <v>0</v>
      </c>
      <c r="AV80" s="30">
        <f>المهني!JW16</f>
        <v>0</v>
      </c>
      <c r="AW80" s="30">
        <f>المهني!JY16</f>
        <v>0</v>
      </c>
      <c r="AX80" s="30">
        <f>المهني!KA16</f>
        <v>0</v>
      </c>
      <c r="AY80" s="30">
        <f>المهني!KC16</f>
        <v>0</v>
      </c>
      <c r="AZ80" s="30">
        <f>المهني!KE16</f>
        <v>0</v>
      </c>
      <c r="BA80" s="30">
        <f>المهني!KG16</f>
        <v>0</v>
      </c>
      <c r="BB80" s="30">
        <f>المهني!KI16</f>
        <v>0</v>
      </c>
      <c r="BC80" s="30">
        <f>المهني!KK16</f>
        <v>0</v>
      </c>
      <c r="BD80" s="30">
        <f>المهني!KO16</f>
        <v>0</v>
      </c>
      <c r="BE80" s="30"/>
      <c r="BF80" s="30"/>
      <c r="BG80" s="30"/>
      <c r="BH80" s="30">
        <f>المهني!KU16</f>
        <v>0</v>
      </c>
      <c r="BI80" s="32">
        <f t="shared" ref="BI80:BI90" si="24">SUM(C80:BH80)</f>
        <v>0</v>
      </c>
    </row>
    <row r="81" spans="1:61" s="50" customFormat="1" ht="55.5" customHeight="1" thickTop="1" thickBot="1">
      <c r="A81" s="463" t="s">
        <v>276</v>
      </c>
      <c r="B81" s="32" t="s">
        <v>73</v>
      </c>
      <c r="C81" s="33">
        <v>0</v>
      </c>
      <c r="D81" s="33">
        <v>0</v>
      </c>
      <c r="E81" s="33">
        <v>0</v>
      </c>
      <c r="F81" s="33">
        <v>0</v>
      </c>
      <c r="G81" s="33">
        <v>0</v>
      </c>
      <c r="H81" s="33">
        <v>0</v>
      </c>
      <c r="I81" s="33">
        <v>0</v>
      </c>
      <c r="J81" s="33">
        <v>0</v>
      </c>
      <c r="K81" s="33">
        <v>0</v>
      </c>
      <c r="L81" s="33">
        <v>0</v>
      </c>
      <c r="M81" s="33">
        <v>0</v>
      </c>
      <c r="N81" s="33">
        <v>0</v>
      </c>
      <c r="O81" s="33">
        <v>0</v>
      </c>
      <c r="P81" s="33">
        <v>0</v>
      </c>
      <c r="Q81" s="33">
        <v>0</v>
      </c>
      <c r="R81" s="33">
        <v>0</v>
      </c>
      <c r="S81" s="33">
        <v>0</v>
      </c>
      <c r="T81" s="33">
        <v>0</v>
      </c>
      <c r="U81" s="33">
        <v>0</v>
      </c>
      <c r="V81" s="33">
        <v>0</v>
      </c>
      <c r="W81" s="33">
        <v>0</v>
      </c>
      <c r="X81" s="33">
        <v>0</v>
      </c>
      <c r="Y81" s="33">
        <v>0</v>
      </c>
      <c r="Z81" s="33">
        <v>0</v>
      </c>
      <c r="AA81" s="33">
        <v>0</v>
      </c>
      <c r="AB81" s="33">
        <v>0</v>
      </c>
      <c r="AC81" s="33">
        <v>0</v>
      </c>
      <c r="AD81" s="33">
        <v>0</v>
      </c>
      <c r="AE81" s="33">
        <v>0</v>
      </c>
      <c r="AF81" s="33">
        <v>0</v>
      </c>
      <c r="AG81" s="33">
        <v>0</v>
      </c>
      <c r="AH81" s="33">
        <v>0</v>
      </c>
      <c r="AI81" s="33">
        <v>0</v>
      </c>
      <c r="AJ81" s="33">
        <v>0</v>
      </c>
      <c r="AK81" s="33">
        <v>0</v>
      </c>
      <c r="AL81" s="33">
        <v>0</v>
      </c>
      <c r="AM81" s="33">
        <v>0</v>
      </c>
      <c r="AN81" s="33">
        <v>0</v>
      </c>
      <c r="AO81" s="33">
        <v>0</v>
      </c>
      <c r="AP81" s="33">
        <v>0</v>
      </c>
      <c r="AQ81" s="33">
        <v>0</v>
      </c>
      <c r="AR81" s="33">
        <v>0</v>
      </c>
      <c r="AS81" s="33">
        <v>0</v>
      </c>
      <c r="AT81" s="33">
        <v>0</v>
      </c>
      <c r="AU81" s="33">
        <v>0</v>
      </c>
      <c r="AV81" s="33">
        <v>0</v>
      </c>
      <c r="AW81" s="33">
        <v>0</v>
      </c>
      <c r="AX81" s="33">
        <v>0</v>
      </c>
      <c r="AY81" s="33">
        <v>0</v>
      </c>
      <c r="AZ81" s="33">
        <v>0</v>
      </c>
      <c r="BA81" s="33">
        <v>0</v>
      </c>
      <c r="BB81" s="33">
        <v>0</v>
      </c>
      <c r="BC81" s="33">
        <v>0</v>
      </c>
      <c r="BD81" s="33">
        <v>0</v>
      </c>
      <c r="BE81" s="33"/>
      <c r="BF81" s="33"/>
      <c r="BG81" s="33"/>
      <c r="BH81" s="33">
        <v>0</v>
      </c>
      <c r="BI81" s="32">
        <f t="shared" si="24"/>
        <v>0</v>
      </c>
    </row>
    <row r="82" spans="1:61" s="50" customFormat="1" ht="55.5" customHeight="1" thickTop="1" thickBot="1">
      <c r="A82" s="465"/>
      <c r="B82" s="32" t="s">
        <v>29</v>
      </c>
      <c r="C82" s="33">
        <v>0</v>
      </c>
      <c r="D82" s="33">
        <v>0</v>
      </c>
      <c r="E82" s="33">
        <v>0</v>
      </c>
      <c r="F82" s="33">
        <v>0</v>
      </c>
      <c r="G82" s="33">
        <v>0</v>
      </c>
      <c r="H82" s="33">
        <v>0</v>
      </c>
      <c r="I82" s="33">
        <v>0</v>
      </c>
      <c r="J82" s="33">
        <v>0</v>
      </c>
      <c r="K82" s="33">
        <v>0</v>
      </c>
      <c r="L82" s="33">
        <v>0</v>
      </c>
      <c r="M82" s="33">
        <v>0</v>
      </c>
      <c r="N82" s="33">
        <v>0</v>
      </c>
      <c r="O82" s="33">
        <v>0</v>
      </c>
      <c r="P82" s="33">
        <v>0</v>
      </c>
      <c r="Q82" s="33">
        <v>0</v>
      </c>
      <c r="R82" s="33">
        <v>0</v>
      </c>
      <c r="S82" s="33">
        <v>0</v>
      </c>
      <c r="T82" s="33">
        <v>0</v>
      </c>
      <c r="U82" s="33">
        <v>0</v>
      </c>
      <c r="V82" s="33">
        <v>0</v>
      </c>
      <c r="W82" s="33">
        <v>0</v>
      </c>
      <c r="X82" s="33">
        <v>0</v>
      </c>
      <c r="Y82" s="33">
        <v>0</v>
      </c>
      <c r="Z82" s="33">
        <v>0</v>
      </c>
      <c r="AA82" s="33">
        <v>0</v>
      </c>
      <c r="AB82" s="33">
        <v>0</v>
      </c>
      <c r="AC82" s="33">
        <v>0</v>
      </c>
      <c r="AD82" s="33">
        <v>0</v>
      </c>
      <c r="AE82" s="33">
        <v>0</v>
      </c>
      <c r="AF82" s="33">
        <v>0</v>
      </c>
      <c r="AG82" s="33">
        <v>0</v>
      </c>
      <c r="AH82" s="33">
        <v>0</v>
      </c>
      <c r="AI82" s="33">
        <v>0</v>
      </c>
      <c r="AJ82" s="33">
        <v>0</v>
      </c>
      <c r="AK82" s="33">
        <v>0</v>
      </c>
      <c r="AL82" s="33">
        <v>0</v>
      </c>
      <c r="AM82" s="33">
        <v>0</v>
      </c>
      <c r="AN82" s="33">
        <v>0</v>
      </c>
      <c r="AO82" s="33">
        <v>0</v>
      </c>
      <c r="AP82" s="33">
        <v>0</v>
      </c>
      <c r="AQ82" s="33">
        <v>0</v>
      </c>
      <c r="AR82" s="33">
        <v>0</v>
      </c>
      <c r="AS82" s="33">
        <v>0</v>
      </c>
      <c r="AT82" s="33">
        <v>0</v>
      </c>
      <c r="AU82" s="33">
        <v>0</v>
      </c>
      <c r="AV82" s="33">
        <v>0</v>
      </c>
      <c r="AW82" s="33">
        <v>0</v>
      </c>
      <c r="AX82" s="33">
        <v>0</v>
      </c>
      <c r="AY82" s="33">
        <v>0</v>
      </c>
      <c r="AZ82" s="33">
        <v>0</v>
      </c>
      <c r="BA82" s="33">
        <v>0</v>
      </c>
      <c r="BB82" s="33">
        <v>0</v>
      </c>
      <c r="BC82" s="33">
        <v>0</v>
      </c>
      <c r="BD82" s="33">
        <v>0</v>
      </c>
      <c r="BE82" s="33"/>
      <c r="BF82" s="33"/>
      <c r="BG82" s="33"/>
      <c r="BH82" s="33">
        <v>0</v>
      </c>
      <c r="BI82" s="32">
        <f t="shared" si="24"/>
        <v>0</v>
      </c>
    </row>
    <row r="83" spans="1:61" s="50" customFormat="1" ht="55.5" customHeight="1" thickTop="1" thickBot="1">
      <c r="A83" s="463" t="s">
        <v>277</v>
      </c>
      <c r="B83" s="32" t="s">
        <v>73</v>
      </c>
      <c r="C83" s="33">
        <v>0</v>
      </c>
      <c r="D83" s="33">
        <v>0</v>
      </c>
      <c r="E83" s="33">
        <v>0</v>
      </c>
      <c r="F83" s="33">
        <v>0</v>
      </c>
      <c r="G83" s="33">
        <v>0</v>
      </c>
      <c r="H83" s="33">
        <v>0</v>
      </c>
      <c r="I83" s="33">
        <v>0</v>
      </c>
      <c r="J83" s="33">
        <v>0</v>
      </c>
      <c r="K83" s="33">
        <v>0</v>
      </c>
      <c r="L83" s="33">
        <v>0</v>
      </c>
      <c r="M83" s="33">
        <v>0</v>
      </c>
      <c r="N83" s="33">
        <v>0</v>
      </c>
      <c r="O83" s="33">
        <v>0</v>
      </c>
      <c r="P83" s="33">
        <v>0</v>
      </c>
      <c r="Q83" s="33">
        <v>0</v>
      </c>
      <c r="R83" s="33">
        <v>0</v>
      </c>
      <c r="S83" s="33">
        <v>0</v>
      </c>
      <c r="T83" s="33">
        <v>0</v>
      </c>
      <c r="U83" s="33">
        <v>0</v>
      </c>
      <c r="V83" s="33">
        <v>0</v>
      </c>
      <c r="W83" s="33">
        <v>0</v>
      </c>
      <c r="X83" s="33">
        <v>0</v>
      </c>
      <c r="Y83" s="33">
        <v>0</v>
      </c>
      <c r="Z83" s="33">
        <v>0</v>
      </c>
      <c r="AA83" s="33">
        <v>0</v>
      </c>
      <c r="AB83" s="33">
        <v>0</v>
      </c>
      <c r="AC83" s="33">
        <v>0</v>
      </c>
      <c r="AD83" s="33">
        <v>0</v>
      </c>
      <c r="AE83" s="33">
        <v>0</v>
      </c>
      <c r="AF83" s="33">
        <v>0</v>
      </c>
      <c r="AG83" s="33">
        <v>0</v>
      </c>
      <c r="AH83" s="33">
        <v>0</v>
      </c>
      <c r="AI83" s="33">
        <v>0</v>
      </c>
      <c r="AJ83" s="33">
        <v>0</v>
      </c>
      <c r="AK83" s="33">
        <v>0</v>
      </c>
      <c r="AL83" s="33">
        <v>0</v>
      </c>
      <c r="AM83" s="33">
        <v>0</v>
      </c>
      <c r="AN83" s="33">
        <v>0</v>
      </c>
      <c r="AO83" s="33">
        <v>0</v>
      </c>
      <c r="AP83" s="33">
        <v>0</v>
      </c>
      <c r="AQ83" s="33">
        <v>0</v>
      </c>
      <c r="AR83" s="33">
        <v>0</v>
      </c>
      <c r="AS83" s="33">
        <v>0</v>
      </c>
      <c r="AT83" s="33">
        <v>0</v>
      </c>
      <c r="AU83" s="33">
        <v>0</v>
      </c>
      <c r="AV83" s="33">
        <v>0</v>
      </c>
      <c r="AW83" s="33">
        <v>0</v>
      </c>
      <c r="AX83" s="33">
        <v>0</v>
      </c>
      <c r="AY83" s="33">
        <v>0</v>
      </c>
      <c r="AZ83" s="33">
        <v>0</v>
      </c>
      <c r="BA83" s="33">
        <v>0</v>
      </c>
      <c r="BB83" s="33">
        <v>0</v>
      </c>
      <c r="BC83" s="33">
        <v>0</v>
      </c>
      <c r="BD83" s="33">
        <v>0</v>
      </c>
      <c r="BE83" s="33"/>
      <c r="BF83" s="33"/>
      <c r="BG83" s="33"/>
      <c r="BH83" s="33">
        <v>0</v>
      </c>
      <c r="BI83" s="32">
        <f t="shared" si="24"/>
        <v>0</v>
      </c>
    </row>
    <row r="84" spans="1:61" s="50" customFormat="1" ht="55.5" customHeight="1" thickTop="1" thickBot="1">
      <c r="A84" s="465"/>
      <c r="B84" s="32" t="s">
        <v>29</v>
      </c>
      <c r="C84" s="33">
        <v>0</v>
      </c>
      <c r="D84" s="33">
        <v>0</v>
      </c>
      <c r="E84" s="33">
        <v>0</v>
      </c>
      <c r="F84" s="33">
        <v>0</v>
      </c>
      <c r="G84" s="33">
        <v>0</v>
      </c>
      <c r="H84" s="33">
        <v>0</v>
      </c>
      <c r="I84" s="33">
        <v>0</v>
      </c>
      <c r="J84" s="33">
        <v>0</v>
      </c>
      <c r="K84" s="33">
        <v>0</v>
      </c>
      <c r="L84" s="33">
        <v>0</v>
      </c>
      <c r="M84" s="33">
        <v>0</v>
      </c>
      <c r="N84" s="33">
        <v>0</v>
      </c>
      <c r="O84" s="33">
        <v>0</v>
      </c>
      <c r="P84" s="33">
        <v>0</v>
      </c>
      <c r="Q84" s="33">
        <v>0</v>
      </c>
      <c r="R84" s="33">
        <v>0</v>
      </c>
      <c r="S84" s="33">
        <v>0</v>
      </c>
      <c r="T84" s="33">
        <v>0</v>
      </c>
      <c r="U84" s="33">
        <v>0</v>
      </c>
      <c r="V84" s="33">
        <v>0</v>
      </c>
      <c r="W84" s="33">
        <v>0</v>
      </c>
      <c r="X84" s="33">
        <v>0</v>
      </c>
      <c r="Y84" s="33">
        <v>0</v>
      </c>
      <c r="Z84" s="33">
        <v>0</v>
      </c>
      <c r="AA84" s="33">
        <v>0</v>
      </c>
      <c r="AB84" s="33">
        <v>0</v>
      </c>
      <c r="AC84" s="33">
        <v>0</v>
      </c>
      <c r="AD84" s="33">
        <v>0</v>
      </c>
      <c r="AE84" s="33">
        <v>0</v>
      </c>
      <c r="AF84" s="33">
        <v>0</v>
      </c>
      <c r="AG84" s="33">
        <v>0</v>
      </c>
      <c r="AH84" s="33">
        <v>0</v>
      </c>
      <c r="AI84" s="33">
        <v>0</v>
      </c>
      <c r="AJ84" s="33">
        <v>0</v>
      </c>
      <c r="AK84" s="33">
        <v>0</v>
      </c>
      <c r="AL84" s="33">
        <v>0</v>
      </c>
      <c r="AM84" s="33">
        <v>0</v>
      </c>
      <c r="AN84" s="33">
        <v>0</v>
      </c>
      <c r="AO84" s="33">
        <v>0</v>
      </c>
      <c r="AP84" s="33">
        <v>0</v>
      </c>
      <c r="AQ84" s="33">
        <v>0</v>
      </c>
      <c r="AR84" s="33">
        <v>0</v>
      </c>
      <c r="AS84" s="33">
        <v>0</v>
      </c>
      <c r="AT84" s="33">
        <v>0</v>
      </c>
      <c r="AU84" s="33">
        <v>0</v>
      </c>
      <c r="AV84" s="33">
        <v>0</v>
      </c>
      <c r="AW84" s="33">
        <v>0</v>
      </c>
      <c r="AX84" s="33">
        <v>0</v>
      </c>
      <c r="AY84" s="33">
        <v>0</v>
      </c>
      <c r="AZ84" s="33">
        <v>0</v>
      </c>
      <c r="BA84" s="33">
        <v>0</v>
      </c>
      <c r="BB84" s="33">
        <v>0</v>
      </c>
      <c r="BC84" s="33">
        <v>0</v>
      </c>
      <c r="BD84" s="33">
        <v>0</v>
      </c>
      <c r="BE84" s="33"/>
      <c r="BF84" s="33"/>
      <c r="BG84" s="33"/>
      <c r="BH84" s="33">
        <v>0</v>
      </c>
      <c r="BI84" s="32">
        <f t="shared" si="24"/>
        <v>0</v>
      </c>
    </row>
    <row r="85" spans="1:61" s="50" customFormat="1" ht="55.5" customHeight="1" thickTop="1" thickBot="1">
      <c r="A85" s="466" t="s">
        <v>209</v>
      </c>
      <c r="B85" s="32" t="s">
        <v>73</v>
      </c>
      <c r="C85" s="33">
        <v>0</v>
      </c>
      <c r="D85" s="33">
        <v>0</v>
      </c>
      <c r="E85" s="33">
        <v>0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  <c r="K85" s="33">
        <v>0</v>
      </c>
      <c r="L85" s="33">
        <v>0</v>
      </c>
      <c r="M85" s="33">
        <v>0</v>
      </c>
      <c r="N85" s="33">
        <v>0</v>
      </c>
      <c r="O85" s="33">
        <v>0</v>
      </c>
      <c r="P85" s="33">
        <v>0</v>
      </c>
      <c r="Q85" s="33">
        <v>0</v>
      </c>
      <c r="R85" s="33">
        <v>0</v>
      </c>
      <c r="S85" s="33">
        <v>0</v>
      </c>
      <c r="T85" s="33">
        <v>0</v>
      </c>
      <c r="U85" s="33">
        <v>0</v>
      </c>
      <c r="V85" s="33">
        <v>0</v>
      </c>
      <c r="W85" s="33">
        <v>0</v>
      </c>
      <c r="X85" s="33">
        <v>0</v>
      </c>
      <c r="Y85" s="33">
        <v>0</v>
      </c>
      <c r="Z85" s="33">
        <v>0</v>
      </c>
      <c r="AA85" s="33">
        <v>0</v>
      </c>
      <c r="AB85" s="33">
        <v>0</v>
      </c>
      <c r="AC85" s="33">
        <v>0</v>
      </c>
      <c r="AD85" s="33">
        <v>0</v>
      </c>
      <c r="AE85" s="33">
        <v>0</v>
      </c>
      <c r="AF85" s="33">
        <v>0</v>
      </c>
      <c r="AG85" s="33">
        <v>0</v>
      </c>
      <c r="AH85" s="33">
        <v>0</v>
      </c>
      <c r="AI85" s="33">
        <v>0</v>
      </c>
      <c r="AJ85" s="33">
        <v>0</v>
      </c>
      <c r="AK85" s="33">
        <v>0</v>
      </c>
      <c r="AL85" s="33">
        <v>0</v>
      </c>
      <c r="AM85" s="33">
        <v>0</v>
      </c>
      <c r="AN85" s="33">
        <v>0</v>
      </c>
      <c r="AO85" s="33">
        <v>0</v>
      </c>
      <c r="AP85" s="33">
        <v>0</v>
      </c>
      <c r="AQ85" s="33">
        <v>0</v>
      </c>
      <c r="AR85" s="33">
        <v>0</v>
      </c>
      <c r="AS85" s="33">
        <v>0</v>
      </c>
      <c r="AT85" s="33">
        <v>0</v>
      </c>
      <c r="AU85" s="33">
        <v>0</v>
      </c>
      <c r="AV85" s="33">
        <v>0</v>
      </c>
      <c r="AW85" s="33">
        <v>0</v>
      </c>
      <c r="AX85" s="33">
        <v>0</v>
      </c>
      <c r="AY85" s="33">
        <v>0</v>
      </c>
      <c r="AZ85" s="33">
        <v>0</v>
      </c>
      <c r="BA85" s="33">
        <v>0</v>
      </c>
      <c r="BB85" s="33">
        <v>0</v>
      </c>
      <c r="BC85" s="33">
        <v>0</v>
      </c>
      <c r="BD85" s="33">
        <v>0</v>
      </c>
      <c r="BE85" s="33"/>
      <c r="BF85" s="33"/>
      <c r="BG85" s="33"/>
      <c r="BH85" s="33">
        <v>0</v>
      </c>
      <c r="BI85" s="32">
        <f t="shared" si="24"/>
        <v>0</v>
      </c>
    </row>
    <row r="86" spans="1:61" s="50" customFormat="1" ht="55.5" customHeight="1" thickTop="1" thickBot="1">
      <c r="A86" s="467"/>
      <c r="B86" s="32" t="s">
        <v>29</v>
      </c>
      <c r="C86" s="33">
        <v>0</v>
      </c>
      <c r="D86" s="33">
        <v>0</v>
      </c>
      <c r="E86" s="33">
        <v>0</v>
      </c>
      <c r="F86" s="33">
        <v>0</v>
      </c>
      <c r="G86" s="33">
        <v>0</v>
      </c>
      <c r="H86" s="33">
        <v>0</v>
      </c>
      <c r="I86" s="33">
        <v>0</v>
      </c>
      <c r="J86" s="33">
        <v>0</v>
      </c>
      <c r="K86" s="33">
        <v>0</v>
      </c>
      <c r="L86" s="33">
        <v>0</v>
      </c>
      <c r="M86" s="33">
        <v>0</v>
      </c>
      <c r="N86" s="33">
        <v>0</v>
      </c>
      <c r="O86" s="33">
        <v>0</v>
      </c>
      <c r="P86" s="33">
        <v>0</v>
      </c>
      <c r="Q86" s="33">
        <v>0</v>
      </c>
      <c r="R86" s="33">
        <v>0</v>
      </c>
      <c r="S86" s="33">
        <v>0</v>
      </c>
      <c r="T86" s="33">
        <v>0</v>
      </c>
      <c r="U86" s="33">
        <v>0</v>
      </c>
      <c r="V86" s="33">
        <v>0</v>
      </c>
      <c r="W86" s="33">
        <v>0</v>
      </c>
      <c r="X86" s="33">
        <v>0</v>
      </c>
      <c r="Y86" s="33">
        <v>0</v>
      </c>
      <c r="Z86" s="33">
        <v>0</v>
      </c>
      <c r="AA86" s="33">
        <v>0</v>
      </c>
      <c r="AB86" s="33">
        <v>0</v>
      </c>
      <c r="AC86" s="33">
        <v>0</v>
      </c>
      <c r="AD86" s="33">
        <v>0</v>
      </c>
      <c r="AE86" s="33">
        <v>0</v>
      </c>
      <c r="AF86" s="33">
        <v>0</v>
      </c>
      <c r="AG86" s="33">
        <v>0</v>
      </c>
      <c r="AH86" s="33">
        <v>0</v>
      </c>
      <c r="AI86" s="33">
        <v>0</v>
      </c>
      <c r="AJ86" s="33">
        <v>0</v>
      </c>
      <c r="AK86" s="33">
        <v>0</v>
      </c>
      <c r="AL86" s="33">
        <v>0</v>
      </c>
      <c r="AM86" s="33">
        <v>0</v>
      </c>
      <c r="AN86" s="33">
        <v>0</v>
      </c>
      <c r="AO86" s="33">
        <v>0</v>
      </c>
      <c r="AP86" s="33">
        <v>0</v>
      </c>
      <c r="AQ86" s="33">
        <v>0</v>
      </c>
      <c r="AR86" s="33">
        <v>0</v>
      </c>
      <c r="AS86" s="33">
        <v>0</v>
      </c>
      <c r="AT86" s="33">
        <v>0</v>
      </c>
      <c r="AU86" s="33">
        <v>0</v>
      </c>
      <c r="AV86" s="33">
        <v>0</v>
      </c>
      <c r="AW86" s="33">
        <v>0</v>
      </c>
      <c r="AX86" s="33">
        <v>0</v>
      </c>
      <c r="AY86" s="33">
        <v>0</v>
      </c>
      <c r="AZ86" s="33">
        <v>0</v>
      </c>
      <c r="BA86" s="33">
        <v>0</v>
      </c>
      <c r="BB86" s="33">
        <v>0</v>
      </c>
      <c r="BC86" s="33">
        <v>0</v>
      </c>
      <c r="BD86" s="33">
        <v>0</v>
      </c>
      <c r="BE86" s="33"/>
      <c r="BF86" s="33"/>
      <c r="BG86" s="33"/>
      <c r="BH86" s="33">
        <v>0</v>
      </c>
      <c r="BI86" s="32">
        <f t="shared" si="24"/>
        <v>0</v>
      </c>
    </row>
    <row r="87" spans="1:61" s="50" customFormat="1" ht="55.5" customHeight="1" thickTop="1" thickBot="1">
      <c r="A87" s="466" t="s">
        <v>459</v>
      </c>
      <c r="B87" s="32" t="s">
        <v>73</v>
      </c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2"/>
    </row>
    <row r="88" spans="1:61" s="50" customFormat="1" ht="55.5" customHeight="1" thickTop="1" thickBot="1">
      <c r="A88" s="467"/>
      <c r="B88" s="32" t="s">
        <v>29</v>
      </c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2"/>
    </row>
    <row r="89" spans="1:61" s="36" customFormat="1" ht="67.5" customHeight="1" thickTop="1" thickBot="1">
      <c r="A89" s="457" t="s">
        <v>387</v>
      </c>
      <c r="B89" s="43" t="s">
        <v>73</v>
      </c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5"/>
      <c r="BI89" s="35">
        <f t="shared" si="24"/>
        <v>0</v>
      </c>
    </row>
    <row r="90" spans="1:61" s="36" customFormat="1" ht="67.5" customHeight="1" thickTop="1" thickBot="1">
      <c r="A90" s="458"/>
      <c r="B90" s="43" t="s">
        <v>29</v>
      </c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5"/>
      <c r="BI90" s="35">
        <f t="shared" si="24"/>
        <v>0</v>
      </c>
    </row>
    <row r="91" spans="1:61" s="50" customFormat="1" ht="70.5" customHeight="1" thickTop="1" thickBot="1">
      <c r="A91" s="463" t="s">
        <v>25</v>
      </c>
      <c r="B91" s="32" t="s">
        <v>73</v>
      </c>
      <c r="C91" s="30">
        <f>C85+C83+C81+C79</f>
        <v>0</v>
      </c>
      <c r="D91" s="30">
        <f t="shared" ref="D91:BI91" si="25">D85+D83+D81+D79</f>
        <v>0</v>
      </c>
      <c r="E91" s="30">
        <f t="shared" si="25"/>
        <v>0</v>
      </c>
      <c r="F91" s="30">
        <f t="shared" si="25"/>
        <v>0</v>
      </c>
      <c r="G91" s="30">
        <f t="shared" si="25"/>
        <v>0</v>
      </c>
      <c r="H91" s="30">
        <f t="shared" si="25"/>
        <v>0</v>
      </c>
      <c r="I91" s="30">
        <f t="shared" si="25"/>
        <v>0</v>
      </c>
      <c r="J91" s="30">
        <f t="shared" si="25"/>
        <v>0</v>
      </c>
      <c r="K91" s="30">
        <f t="shared" si="25"/>
        <v>0</v>
      </c>
      <c r="L91" s="30">
        <f t="shared" si="25"/>
        <v>0</v>
      </c>
      <c r="M91" s="30">
        <f t="shared" si="25"/>
        <v>0</v>
      </c>
      <c r="N91" s="30">
        <f t="shared" si="25"/>
        <v>0</v>
      </c>
      <c r="O91" s="30">
        <f t="shared" si="25"/>
        <v>0</v>
      </c>
      <c r="P91" s="30">
        <f t="shared" si="25"/>
        <v>0</v>
      </c>
      <c r="Q91" s="30">
        <f t="shared" si="25"/>
        <v>0</v>
      </c>
      <c r="R91" s="30">
        <f t="shared" si="25"/>
        <v>0</v>
      </c>
      <c r="S91" s="30">
        <f t="shared" si="25"/>
        <v>0</v>
      </c>
      <c r="T91" s="30">
        <f t="shared" si="25"/>
        <v>0</v>
      </c>
      <c r="U91" s="30">
        <f t="shared" si="25"/>
        <v>0</v>
      </c>
      <c r="V91" s="30">
        <f t="shared" si="25"/>
        <v>0</v>
      </c>
      <c r="W91" s="30">
        <f t="shared" si="25"/>
        <v>0</v>
      </c>
      <c r="X91" s="30">
        <f t="shared" si="25"/>
        <v>0</v>
      </c>
      <c r="Y91" s="30">
        <f t="shared" si="25"/>
        <v>0</v>
      </c>
      <c r="Z91" s="30">
        <f t="shared" si="25"/>
        <v>0</v>
      </c>
      <c r="AA91" s="30">
        <f t="shared" si="25"/>
        <v>0</v>
      </c>
      <c r="AB91" s="30">
        <f t="shared" si="25"/>
        <v>0</v>
      </c>
      <c r="AC91" s="30">
        <f t="shared" si="25"/>
        <v>0</v>
      </c>
      <c r="AD91" s="30">
        <f t="shared" si="25"/>
        <v>0</v>
      </c>
      <c r="AE91" s="30">
        <f t="shared" si="25"/>
        <v>0</v>
      </c>
      <c r="AF91" s="30">
        <f t="shared" si="25"/>
        <v>0</v>
      </c>
      <c r="AG91" s="30">
        <f t="shared" si="25"/>
        <v>0</v>
      </c>
      <c r="AH91" s="30">
        <f t="shared" si="25"/>
        <v>0</v>
      </c>
      <c r="AI91" s="30">
        <f t="shared" si="25"/>
        <v>0</v>
      </c>
      <c r="AJ91" s="30">
        <f t="shared" si="25"/>
        <v>0</v>
      </c>
      <c r="AK91" s="30">
        <f t="shared" si="25"/>
        <v>0</v>
      </c>
      <c r="AL91" s="30">
        <f t="shared" si="25"/>
        <v>0</v>
      </c>
      <c r="AM91" s="30">
        <f t="shared" si="25"/>
        <v>0</v>
      </c>
      <c r="AN91" s="30">
        <f t="shared" si="25"/>
        <v>0</v>
      </c>
      <c r="AO91" s="30">
        <f t="shared" si="25"/>
        <v>0</v>
      </c>
      <c r="AP91" s="30">
        <f t="shared" si="25"/>
        <v>0</v>
      </c>
      <c r="AQ91" s="30">
        <f t="shared" si="25"/>
        <v>0</v>
      </c>
      <c r="AR91" s="30">
        <f t="shared" si="25"/>
        <v>0</v>
      </c>
      <c r="AS91" s="30">
        <f t="shared" si="25"/>
        <v>0</v>
      </c>
      <c r="AT91" s="30">
        <f t="shared" si="25"/>
        <v>0</v>
      </c>
      <c r="AU91" s="30">
        <f t="shared" si="25"/>
        <v>0</v>
      </c>
      <c r="AV91" s="30">
        <f t="shared" si="25"/>
        <v>0</v>
      </c>
      <c r="AW91" s="30">
        <f t="shared" si="25"/>
        <v>0</v>
      </c>
      <c r="AX91" s="30">
        <f t="shared" si="25"/>
        <v>0</v>
      </c>
      <c r="AY91" s="30">
        <f t="shared" si="25"/>
        <v>0</v>
      </c>
      <c r="AZ91" s="30">
        <f t="shared" si="25"/>
        <v>0</v>
      </c>
      <c r="BA91" s="30">
        <f t="shared" si="25"/>
        <v>0</v>
      </c>
      <c r="BB91" s="30">
        <f t="shared" si="25"/>
        <v>0</v>
      </c>
      <c r="BC91" s="30">
        <f t="shared" si="25"/>
        <v>0</v>
      </c>
      <c r="BD91" s="30">
        <f t="shared" si="25"/>
        <v>0</v>
      </c>
      <c r="BE91" s="30">
        <f t="shared" ref="BE91:BG92" si="26">BE85+BE83+BE81+BE79</f>
        <v>0</v>
      </c>
      <c r="BF91" s="30">
        <f t="shared" si="26"/>
        <v>0</v>
      </c>
      <c r="BG91" s="30">
        <f t="shared" si="26"/>
        <v>0</v>
      </c>
      <c r="BH91" s="30">
        <f t="shared" si="25"/>
        <v>0</v>
      </c>
      <c r="BI91" s="32">
        <f t="shared" si="25"/>
        <v>0</v>
      </c>
    </row>
    <row r="92" spans="1:61" s="50" customFormat="1" ht="70.5" customHeight="1" thickTop="1" thickBot="1">
      <c r="A92" s="464"/>
      <c r="B92" s="32" t="s">
        <v>29</v>
      </c>
      <c r="C92" s="30">
        <f>C86+C84+C82+C80</f>
        <v>0</v>
      </c>
      <c r="D92" s="30">
        <f t="shared" ref="D92:BI92" si="27">D86+D84+D82+D80</f>
        <v>0</v>
      </c>
      <c r="E92" s="30">
        <f t="shared" si="27"/>
        <v>0</v>
      </c>
      <c r="F92" s="30">
        <f t="shared" si="27"/>
        <v>0</v>
      </c>
      <c r="G92" s="30">
        <f t="shared" si="27"/>
        <v>0</v>
      </c>
      <c r="H92" s="30">
        <f t="shared" si="27"/>
        <v>0</v>
      </c>
      <c r="I92" s="30">
        <f t="shared" si="27"/>
        <v>0</v>
      </c>
      <c r="J92" s="30">
        <f t="shared" si="27"/>
        <v>0</v>
      </c>
      <c r="K92" s="30">
        <f t="shared" si="27"/>
        <v>0</v>
      </c>
      <c r="L92" s="30">
        <f t="shared" si="27"/>
        <v>0</v>
      </c>
      <c r="M92" s="30">
        <f t="shared" si="27"/>
        <v>0</v>
      </c>
      <c r="N92" s="30">
        <f t="shared" si="27"/>
        <v>0</v>
      </c>
      <c r="O92" s="30">
        <f t="shared" si="27"/>
        <v>0</v>
      </c>
      <c r="P92" s="30">
        <f t="shared" si="27"/>
        <v>0</v>
      </c>
      <c r="Q92" s="30">
        <f t="shared" si="27"/>
        <v>0</v>
      </c>
      <c r="R92" s="30">
        <f t="shared" si="27"/>
        <v>0</v>
      </c>
      <c r="S92" s="30">
        <f t="shared" si="27"/>
        <v>0</v>
      </c>
      <c r="T92" s="30">
        <f t="shared" si="27"/>
        <v>0</v>
      </c>
      <c r="U92" s="30">
        <f t="shared" si="27"/>
        <v>0</v>
      </c>
      <c r="V92" s="30">
        <f t="shared" si="27"/>
        <v>0</v>
      </c>
      <c r="W92" s="30">
        <f t="shared" si="27"/>
        <v>0</v>
      </c>
      <c r="X92" s="30">
        <f t="shared" si="27"/>
        <v>0</v>
      </c>
      <c r="Y92" s="30">
        <f t="shared" si="27"/>
        <v>0</v>
      </c>
      <c r="Z92" s="30">
        <f t="shared" si="27"/>
        <v>0</v>
      </c>
      <c r="AA92" s="30">
        <f t="shared" si="27"/>
        <v>0</v>
      </c>
      <c r="AB92" s="30">
        <f t="shared" si="27"/>
        <v>0</v>
      </c>
      <c r="AC92" s="30">
        <f t="shared" si="27"/>
        <v>0</v>
      </c>
      <c r="AD92" s="30">
        <f t="shared" si="27"/>
        <v>0</v>
      </c>
      <c r="AE92" s="30">
        <f t="shared" si="27"/>
        <v>0</v>
      </c>
      <c r="AF92" s="30">
        <f t="shared" si="27"/>
        <v>0</v>
      </c>
      <c r="AG92" s="30">
        <f t="shared" si="27"/>
        <v>0</v>
      </c>
      <c r="AH92" s="30">
        <f t="shared" si="27"/>
        <v>0</v>
      </c>
      <c r="AI92" s="30">
        <f t="shared" si="27"/>
        <v>0</v>
      </c>
      <c r="AJ92" s="30">
        <f t="shared" si="27"/>
        <v>0</v>
      </c>
      <c r="AK92" s="30">
        <f t="shared" si="27"/>
        <v>0</v>
      </c>
      <c r="AL92" s="30">
        <f t="shared" si="27"/>
        <v>0</v>
      </c>
      <c r="AM92" s="30">
        <f t="shared" si="27"/>
        <v>0</v>
      </c>
      <c r="AN92" s="30">
        <f t="shared" si="27"/>
        <v>0</v>
      </c>
      <c r="AO92" s="30">
        <f t="shared" si="27"/>
        <v>0</v>
      </c>
      <c r="AP92" s="30">
        <f t="shared" si="27"/>
        <v>0</v>
      </c>
      <c r="AQ92" s="30">
        <f t="shared" si="27"/>
        <v>0</v>
      </c>
      <c r="AR92" s="30">
        <f t="shared" si="27"/>
        <v>0</v>
      </c>
      <c r="AS92" s="30">
        <f t="shared" si="27"/>
        <v>0</v>
      </c>
      <c r="AT92" s="30">
        <f t="shared" si="27"/>
        <v>0</v>
      </c>
      <c r="AU92" s="30">
        <f t="shared" si="27"/>
        <v>0</v>
      </c>
      <c r="AV92" s="30">
        <f t="shared" si="27"/>
        <v>0</v>
      </c>
      <c r="AW92" s="30">
        <f t="shared" si="27"/>
        <v>0</v>
      </c>
      <c r="AX92" s="30">
        <f t="shared" si="27"/>
        <v>0</v>
      </c>
      <c r="AY92" s="30">
        <f t="shared" si="27"/>
        <v>0</v>
      </c>
      <c r="AZ92" s="30">
        <f t="shared" si="27"/>
        <v>0</v>
      </c>
      <c r="BA92" s="30">
        <f t="shared" si="27"/>
        <v>0</v>
      </c>
      <c r="BB92" s="30">
        <f t="shared" si="27"/>
        <v>0</v>
      </c>
      <c r="BC92" s="30">
        <f t="shared" si="27"/>
        <v>0</v>
      </c>
      <c r="BD92" s="30">
        <f t="shared" si="27"/>
        <v>0</v>
      </c>
      <c r="BE92" s="30">
        <f t="shared" si="26"/>
        <v>0</v>
      </c>
      <c r="BF92" s="30">
        <f t="shared" si="26"/>
        <v>0</v>
      </c>
      <c r="BG92" s="30">
        <f t="shared" si="26"/>
        <v>0</v>
      </c>
      <c r="BH92" s="30">
        <f t="shared" si="27"/>
        <v>0</v>
      </c>
      <c r="BI92" s="32">
        <f t="shared" si="27"/>
        <v>0</v>
      </c>
    </row>
    <row r="93" spans="1:61" s="50" customFormat="1" ht="70.5" customHeight="1" thickTop="1" thickBot="1">
      <c r="A93" s="465"/>
      <c r="B93" s="32" t="s">
        <v>25</v>
      </c>
      <c r="C93" s="32">
        <f>C92+C91</f>
        <v>0</v>
      </c>
      <c r="D93" s="32">
        <f t="shared" ref="D93:BI93" si="28">D92+D91</f>
        <v>0</v>
      </c>
      <c r="E93" s="32">
        <f t="shared" si="28"/>
        <v>0</v>
      </c>
      <c r="F93" s="32">
        <f t="shared" si="28"/>
        <v>0</v>
      </c>
      <c r="G93" s="32">
        <f>G92+G91</f>
        <v>0</v>
      </c>
      <c r="H93" s="32">
        <f t="shared" si="28"/>
        <v>0</v>
      </c>
      <c r="I93" s="32">
        <f t="shared" si="28"/>
        <v>0</v>
      </c>
      <c r="J93" s="32">
        <f t="shared" si="28"/>
        <v>0</v>
      </c>
      <c r="K93" s="32">
        <f t="shared" si="28"/>
        <v>0</v>
      </c>
      <c r="L93" s="32">
        <f t="shared" si="28"/>
        <v>0</v>
      </c>
      <c r="M93" s="32">
        <f t="shared" si="28"/>
        <v>0</v>
      </c>
      <c r="N93" s="32">
        <f t="shared" si="28"/>
        <v>0</v>
      </c>
      <c r="O93" s="32">
        <f t="shared" si="28"/>
        <v>0</v>
      </c>
      <c r="P93" s="32">
        <f t="shared" si="28"/>
        <v>0</v>
      </c>
      <c r="Q93" s="32">
        <f t="shared" si="28"/>
        <v>0</v>
      </c>
      <c r="R93" s="32">
        <f t="shared" si="28"/>
        <v>0</v>
      </c>
      <c r="S93" s="32">
        <f t="shared" si="28"/>
        <v>0</v>
      </c>
      <c r="T93" s="32">
        <f t="shared" si="28"/>
        <v>0</v>
      </c>
      <c r="U93" s="32">
        <f t="shared" si="28"/>
        <v>0</v>
      </c>
      <c r="V93" s="32">
        <f t="shared" si="28"/>
        <v>0</v>
      </c>
      <c r="W93" s="32">
        <f t="shared" si="28"/>
        <v>0</v>
      </c>
      <c r="X93" s="32">
        <f t="shared" si="28"/>
        <v>0</v>
      </c>
      <c r="Y93" s="32">
        <f t="shared" si="28"/>
        <v>0</v>
      </c>
      <c r="Z93" s="32">
        <f t="shared" si="28"/>
        <v>0</v>
      </c>
      <c r="AA93" s="32">
        <f t="shared" si="28"/>
        <v>0</v>
      </c>
      <c r="AB93" s="32">
        <f t="shared" si="28"/>
        <v>0</v>
      </c>
      <c r="AC93" s="32">
        <f t="shared" si="28"/>
        <v>0</v>
      </c>
      <c r="AD93" s="32">
        <f t="shared" si="28"/>
        <v>0</v>
      </c>
      <c r="AE93" s="32">
        <f t="shared" si="28"/>
        <v>0</v>
      </c>
      <c r="AF93" s="32">
        <f t="shared" si="28"/>
        <v>0</v>
      </c>
      <c r="AG93" s="32">
        <f t="shared" si="28"/>
        <v>0</v>
      </c>
      <c r="AH93" s="32">
        <f t="shared" si="28"/>
        <v>0</v>
      </c>
      <c r="AI93" s="32">
        <f t="shared" si="28"/>
        <v>0</v>
      </c>
      <c r="AJ93" s="32">
        <f t="shared" si="28"/>
        <v>0</v>
      </c>
      <c r="AK93" s="32">
        <f t="shared" si="28"/>
        <v>0</v>
      </c>
      <c r="AL93" s="32">
        <f t="shared" si="28"/>
        <v>0</v>
      </c>
      <c r="AM93" s="32">
        <f t="shared" si="28"/>
        <v>0</v>
      </c>
      <c r="AN93" s="32">
        <f t="shared" si="28"/>
        <v>0</v>
      </c>
      <c r="AO93" s="32">
        <f t="shared" si="28"/>
        <v>0</v>
      </c>
      <c r="AP93" s="32">
        <f t="shared" si="28"/>
        <v>0</v>
      </c>
      <c r="AQ93" s="32">
        <f t="shared" si="28"/>
        <v>0</v>
      </c>
      <c r="AR93" s="32">
        <f t="shared" si="28"/>
        <v>0</v>
      </c>
      <c r="AS93" s="32">
        <f t="shared" si="28"/>
        <v>0</v>
      </c>
      <c r="AT93" s="32">
        <f t="shared" si="28"/>
        <v>0</v>
      </c>
      <c r="AU93" s="32">
        <f t="shared" si="28"/>
        <v>0</v>
      </c>
      <c r="AV93" s="32">
        <f t="shared" si="28"/>
        <v>0</v>
      </c>
      <c r="AW93" s="32">
        <f t="shared" si="28"/>
        <v>0</v>
      </c>
      <c r="AX93" s="32">
        <f t="shared" si="28"/>
        <v>0</v>
      </c>
      <c r="AY93" s="32">
        <f t="shared" si="28"/>
        <v>0</v>
      </c>
      <c r="AZ93" s="32">
        <f t="shared" si="28"/>
        <v>0</v>
      </c>
      <c r="BA93" s="32">
        <f t="shared" si="28"/>
        <v>0</v>
      </c>
      <c r="BB93" s="32">
        <f t="shared" si="28"/>
        <v>0</v>
      </c>
      <c r="BC93" s="32">
        <f t="shared" si="28"/>
        <v>0</v>
      </c>
      <c r="BD93" s="32">
        <f t="shared" si="28"/>
        <v>0</v>
      </c>
      <c r="BE93" s="32">
        <f>BE92+BE91</f>
        <v>0</v>
      </c>
      <c r="BF93" s="32">
        <f>BF92+BF91</f>
        <v>0</v>
      </c>
      <c r="BG93" s="32">
        <f>BG92+BG91</f>
        <v>0</v>
      </c>
      <c r="BH93" s="32">
        <f t="shared" si="28"/>
        <v>0</v>
      </c>
      <c r="BI93" s="32">
        <f t="shared" si="28"/>
        <v>0</v>
      </c>
    </row>
    <row r="94" spans="1:61" ht="20.25" customHeight="1" thickTop="1"/>
  </sheetData>
  <mergeCells count="57">
    <mergeCell ref="A18:A19"/>
    <mergeCell ref="A79:A80"/>
    <mergeCell ref="A81:A82"/>
    <mergeCell ref="A83:A84"/>
    <mergeCell ref="A85:A86"/>
    <mergeCell ref="A64:A65"/>
    <mergeCell ref="A53:BI53"/>
    <mergeCell ref="A35:A36"/>
    <mergeCell ref="A37:A38"/>
    <mergeCell ref="A39:A40"/>
    <mergeCell ref="A45:A47"/>
    <mergeCell ref="BB49:BI49"/>
    <mergeCell ref="A50:L50"/>
    <mergeCell ref="V50:AI50"/>
    <mergeCell ref="A51:BI51"/>
    <mergeCell ref="A52:BI52"/>
    <mergeCell ref="A91:A93"/>
    <mergeCell ref="A89:A90"/>
    <mergeCell ref="A87:A88"/>
    <mergeCell ref="A76:BI76"/>
    <mergeCell ref="A56:A57"/>
    <mergeCell ref="A58:A59"/>
    <mergeCell ref="A60:A61"/>
    <mergeCell ref="A62:A63"/>
    <mergeCell ref="A68:A70"/>
    <mergeCell ref="A72:L72"/>
    <mergeCell ref="BB72:BI72"/>
    <mergeCell ref="A73:L73"/>
    <mergeCell ref="V73:AI73"/>
    <mergeCell ref="A74:BI74"/>
    <mergeCell ref="A75:BI75"/>
    <mergeCell ref="A66:A67"/>
    <mergeCell ref="V27:AI27"/>
    <mergeCell ref="A49:L49"/>
    <mergeCell ref="A27:L27"/>
    <mergeCell ref="A28:BI28"/>
    <mergeCell ref="A29:BI29"/>
    <mergeCell ref="A30:BI30"/>
    <mergeCell ref="A33:A34"/>
    <mergeCell ref="A43:A44"/>
    <mergeCell ref="A41:A42"/>
    <mergeCell ref="V2:AH2"/>
    <mergeCell ref="A2:L2"/>
    <mergeCell ref="A1:L1"/>
    <mergeCell ref="A26:L26"/>
    <mergeCell ref="BB26:BI26"/>
    <mergeCell ref="A8:A9"/>
    <mergeCell ref="A10:A11"/>
    <mergeCell ref="A12:A13"/>
    <mergeCell ref="A14:A15"/>
    <mergeCell ref="A22:A24"/>
    <mergeCell ref="A5:BI5"/>
    <mergeCell ref="A4:BI4"/>
    <mergeCell ref="A3:BI3"/>
    <mergeCell ref="BB1:BI1"/>
    <mergeCell ref="A20:A21"/>
    <mergeCell ref="A16:A17"/>
  </mergeCells>
  <printOptions horizontalCentered="1" verticalCentered="1"/>
  <pageMargins left="0.15748031496062992" right="0.19685039370078741" top="0.2" bottom="0.27559055118110237" header="0.19685039370078741" footer="0.15748031496062992"/>
  <pageSetup paperSize="9" scale="41" orientation="landscape" horizontalDpi="300" verticalDpi="300" r:id="rId1"/>
  <rowBreaks count="3" manualBreakCount="3">
    <brk id="24" max="16383" man="1"/>
    <brk id="47" max="16383" man="1"/>
    <brk id="71" max="16383" man="1"/>
  </rowBreaks>
  <ignoredErrors>
    <ignoredError sqref="N22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R135"/>
  <sheetViews>
    <sheetView rightToLeft="1" view="pageBreakPreview" zoomScaleNormal="100" zoomScaleSheetLayoutView="100" workbookViewId="0">
      <selection activeCell="H12" sqref="H12"/>
    </sheetView>
  </sheetViews>
  <sheetFormatPr defaultRowHeight="14.25"/>
  <cols>
    <col min="1" max="1" width="11.625" customWidth="1"/>
    <col min="5" max="5" width="11" customWidth="1"/>
    <col min="13" max="13" width="10.25" customWidth="1"/>
    <col min="14" max="14" width="10.875" customWidth="1"/>
  </cols>
  <sheetData>
    <row r="1" spans="1:18" ht="23.25">
      <c r="A1" s="61" t="s">
        <v>204</v>
      </c>
      <c r="B1" s="62"/>
      <c r="C1" s="62"/>
      <c r="D1" s="62"/>
      <c r="E1" s="62"/>
      <c r="F1" s="63"/>
      <c r="G1" s="63"/>
      <c r="H1" s="63"/>
      <c r="I1" s="63"/>
      <c r="J1" s="63"/>
      <c r="K1" s="63"/>
      <c r="L1" s="61" t="s">
        <v>188</v>
      </c>
      <c r="M1" s="62"/>
      <c r="N1" s="62"/>
      <c r="O1" s="63"/>
      <c r="P1" s="63"/>
      <c r="Q1" s="63"/>
      <c r="R1" s="63"/>
    </row>
    <row r="2" spans="1:18" ht="23.25">
      <c r="A2" s="474" t="s">
        <v>185</v>
      </c>
      <c r="B2" s="474"/>
      <c r="C2" s="474"/>
      <c r="D2" s="474"/>
      <c r="E2" s="474"/>
      <c r="F2" s="63"/>
      <c r="G2" s="63"/>
      <c r="H2" s="63"/>
      <c r="I2" s="63"/>
      <c r="J2" s="63"/>
      <c r="K2" s="63"/>
      <c r="L2" s="474" t="s">
        <v>110</v>
      </c>
      <c r="M2" s="474"/>
      <c r="N2" s="474"/>
      <c r="O2" s="63"/>
      <c r="P2" s="63"/>
      <c r="Q2" s="63"/>
      <c r="R2" s="63"/>
    </row>
    <row r="3" spans="1:18" ht="23.25">
      <c r="B3" s="62"/>
      <c r="C3" s="62"/>
      <c r="D3" s="62"/>
      <c r="E3" s="62"/>
      <c r="F3" s="62"/>
      <c r="G3" s="61" t="s">
        <v>403</v>
      </c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</row>
    <row r="4" spans="1:18" ht="18">
      <c r="F4" s="61" t="s">
        <v>507</v>
      </c>
    </row>
    <row r="5" spans="1:18" ht="24" thickBot="1">
      <c r="B5" s="64" t="s">
        <v>404</v>
      </c>
      <c r="F5" s="62"/>
      <c r="K5" s="64" t="s">
        <v>405</v>
      </c>
    </row>
    <row r="6" spans="1:18" ht="42" customHeight="1" thickTop="1" thickBot="1">
      <c r="B6" s="65" t="s">
        <v>304</v>
      </c>
      <c r="C6" s="65" t="s">
        <v>406</v>
      </c>
      <c r="D6" s="65" t="s">
        <v>339</v>
      </c>
      <c r="E6" s="65" t="s">
        <v>407</v>
      </c>
      <c r="F6" s="469" t="s">
        <v>408</v>
      </c>
      <c r="G6" s="470"/>
      <c r="H6" s="471"/>
      <c r="I6" s="65" t="s">
        <v>409</v>
      </c>
      <c r="K6" s="65" t="s">
        <v>410</v>
      </c>
      <c r="L6" s="65" t="s">
        <v>411</v>
      </c>
      <c r="M6" s="65" t="s">
        <v>412</v>
      </c>
      <c r="N6" s="65" t="s">
        <v>413</v>
      </c>
    </row>
    <row r="7" spans="1:18" ht="19.5" customHeight="1" thickTop="1" thickBot="1">
      <c r="B7" s="472">
        <f>المهني!OI41</f>
        <v>0</v>
      </c>
      <c r="C7" s="472">
        <f>المهني!OK41</f>
        <v>1</v>
      </c>
      <c r="D7" s="472">
        <f>المهني!OM41</f>
        <v>1</v>
      </c>
      <c r="E7" s="472">
        <f>المهني!OO41</f>
        <v>0</v>
      </c>
      <c r="F7" s="65" t="s">
        <v>414</v>
      </c>
      <c r="G7" s="65" t="s">
        <v>415</v>
      </c>
      <c r="H7" s="65" t="s">
        <v>416</v>
      </c>
      <c r="I7" s="475">
        <v>0</v>
      </c>
      <c r="K7" s="472">
        <f>المهني!Q41</f>
        <v>1</v>
      </c>
      <c r="L7" s="472">
        <f>المهني!R41</f>
        <v>0</v>
      </c>
      <c r="M7" s="472">
        <f>المهني!S41</f>
        <v>0</v>
      </c>
      <c r="N7" s="472">
        <f>المهني!T41</f>
        <v>0</v>
      </c>
    </row>
    <row r="8" spans="1:18" ht="22.5" customHeight="1" thickTop="1" thickBot="1">
      <c r="B8" s="473"/>
      <c r="C8" s="473"/>
      <c r="D8" s="473"/>
      <c r="E8" s="473"/>
      <c r="F8" s="66">
        <f>المهني!OT41</f>
        <v>0</v>
      </c>
      <c r="G8" s="66">
        <v>0</v>
      </c>
      <c r="H8" s="66">
        <v>0</v>
      </c>
      <c r="I8" s="476"/>
      <c r="K8" s="473"/>
      <c r="L8" s="473"/>
      <c r="M8" s="473"/>
      <c r="N8" s="473"/>
    </row>
    <row r="9" spans="1:18" ht="15" thickTop="1"/>
    <row r="10" spans="1:18" ht="24" thickBot="1">
      <c r="B10" s="64" t="s">
        <v>432</v>
      </c>
      <c r="I10" s="64" t="s">
        <v>433</v>
      </c>
    </row>
    <row r="11" spans="1:18" ht="16.5" thickTop="1" thickBot="1">
      <c r="B11" s="469" t="s">
        <v>417</v>
      </c>
      <c r="C11" s="470"/>
      <c r="D11" s="471"/>
      <c r="E11" s="65" t="s">
        <v>73</v>
      </c>
      <c r="F11" s="65" t="s">
        <v>29</v>
      </c>
      <c r="G11" s="65" t="s">
        <v>25</v>
      </c>
    </row>
    <row r="12" spans="1:18" ht="16.5" thickTop="1" thickBot="1">
      <c r="B12" s="469" t="s">
        <v>92</v>
      </c>
      <c r="C12" s="470"/>
      <c r="D12" s="471"/>
      <c r="E12" s="65">
        <f>المهني!KY41</f>
        <v>13</v>
      </c>
      <c r="F12" s="65">
        <f>المهني!KZ41</f>
        <v>19</v>
      </c>
      <c r="G12" s="65">
        <f>SUM(E12:F12)</f>
        <v>32</v>
      </c>
      <c r="I12" s="469" t="s">
        <v>220</v>
      </c>
      <c r="J12" s="471"/>
      <c r="K12" s="469" t="s">
        <v>431</v>
      </c>
      <c r="L12" s="471"/>
    </row>
    <row r="13" spans="1:18" ht="16.5" customHeight="1" thickTop="1" thickBot="1">
      <c r="B13" s="479" t="s">
        <v>93</v>
      </c>
      <c r="C13" s="469" t="s">
        <v>418</v>
      </c>
      <c r="D13" s="471"/>
      <c r="E13" s="65">
        <f>المهني!LA41</f>
        <v>0</v>
      </c>
      <c r="F13" s="65">
        <f>المهني!LB41</f>
        <v>0</v>
      </c>
      <c r="G13" s="65">
        <f t="shared" ref="G13:G21" si="0">SUM(E13:F13)</f>
        <v>0</v>
      </c>
      <c r="I13" s="469" t="s">
        <v>73</v>
      </c>
      <c r="J13" s="471"/>
      <c r="K13" s="469">
        <f>المهني!NC41</f>
        <v>0</v>
      </c>
      <c r="L13" s="471"/>
    </row>
    <row r="14" spans="1:18" ht="16.5" thickTop="1" thickBot="1">
      <c r="B14" s="480"/>
      <c r="C14" s="469" t="s">
        <v>287</v>
      </c>
      <c r="D14" s="471"/>
      <c r="E14" s="65">
        <f>المهني!LC41</f>
        <v>0</v>
      </c>
      <c r="F14" s="65">
        <f>المهني!LD41</f>
        <v>0</v>
      </c>
      <c r="G14" s="65">
        <f t="shared" si="0"/>
        <v>0</v>
      </c>
      <c r="I14" s="469" t="s">
        <v>29</v>
      </c>
      <c r="J14" s="471"/>
      <c r="K14" s="469">
        <f>المهني!ND41</f>
        <v>0</v>
      </c>
      <c r="L14" s="471"/>
    </row>
    <row r="15" spans="1:18" ht="16.5" thickTop="1" thickBot="1">
      <c r="B15" s="480"/>
      <c r="C15" s="469" t="s">
        <v>288</v>
      </c>
      <c r="D15" s="471"/>
      <c r="E15" s="65">
        <f>المهني!LE41</f>
        <v>0</v>
      </c>
      <c r="F15" s="65">
        <f>المهني!LF41</f>
        <v>0</v>
      </c>
      <c r="G15" s="65">
        <f t="shared" si="0"/>
        <v>0</v>
      </c>
      <c r="I15" s="469" t="s">
        <v>25</v>
      </c>
      <c r="J15" s="471"/>
      <c r="K15" s="469">
        <f>K14+K13</f>
        <v>0</v>
      </c>
      <c r="L15" s="471"/>
    </row>
    <row r="16" spans="1:18" ht="19.5" thickTop="1" thickBot="1">
      <c r="B16" s="480"/>
      <c r="C16" s="469" t="s">
        <v>289</v>
      </c>
      <c r="D16" s="471"/>
      <c r="E16" s="65">
        <f>المهني!LG41</f>
        <v>0</v>
      </c>
      <c r="F16" s="65">
        <f>المهني!LH41</f>
        <v>0</v>
      </c>
      <c r="G16" s="65">
        <f t="shared" si="0"/>
        <v>0</v>
      </c>
      <c r="I16" s="70" t="s">
        <v>429</v>
      </c>
    </row>
    <row r="17" spans="2:14" ht="16.5" thickTop="1" thickBot="1">
      <c r="B17" s="480"/>
      <c r="C17" s="469" t="s">
        <v>290</v>
      </c>
      <c r="D17" s="471"/>
      <c r="E17" s="65">
        <f>المهني!LI41</f>
        <v>0</v>
      </c>
      <c r="F17" s="65">
        <f>المهني!LJ41</f>
        <v>0</v>
      </c>
      <c r="G17" s="65">
        <f t="shared" si="0"/>
        <v>0</v>
      </c>
      <c r="I17" s="469" t="s">
        <v>113</v>
      </c>
      <c r="J17" s="471"/>
      <c r="K17" s="469" t="s">
        <v>430</v>
      </c>
      <c r="L17" s="471"/>
      <c r="M17" s="71"/>
      <c r="N17" s="71"/>
    </row>
    <row r="18" spans="2:14" ht="16.5" thickTop="1" thickBot="1">
      <c r="B18" s="480"/>
      <c r="C18" s="469" t="s">
        <v>291</v>
      </c>
      <c r="D18" s="471"/>
      <c r="E18" s="67"/>
      <c r="F18" s="65">
        <f>المهني!LL41</f>
        <v>0</v>
      </c>
      <c r="G18" s="65">
        <f t="shared" si="0"/>
        <v>0</v>
      </c>
      <c r="I18" s="469" t="s">
        <v>121</v>
      </c>
      <c r="J18" s="471"/>
      <c r="K18" s="469">
        <f>المهني!SO17</f>
        <v>2</v>
      </c>
      <c r="L18" s="471"/>
      <c r="M18" s="71"/>
      <c r="N18" s="71"/>
    </row>
    <row r="19" spans="2:14" ht="16.5" thickTop="1" thickBot="1">
      <c r="B19" s="480"/>
      <c r="C19" s="469" t="s">
        <v>419</v>
      </c>
      <c r="D19" s="471"/>
      <c r="E19" s="65">
        <f>المهني!LM41</f>
        <v>0</v>
      </c>
      <c r="F19" s="65">
        <f>المهني!LN41</f>
        <v>0</v>
      </c>
      <c r="G19" s="65">
        <f t="shared" si="0"/>
        <v>0</v>
      </c>
      <c r="I19" s="469" t="s">
        <v>122</v>
      </c>
      <c r="J19" s="471"/>
      <c r="K19" s="469"/>
      <c r="L19" s="471"/>
      <c r="M19" s="71"/>
      <c r="N19" s="71"/>
    </row>
    <row r="20" spans="2:14" ht="16.5" thickTop="1" thickBot="1">
      <c r="B20" s="480"/>
      <c r="C20" s="469" t="s">
        <v>484</v>
      </c>
      <c r="D20" s="471"/>
      <c r="E20" s="65">
        <f>المهني!LO41</f>
        <v>0</v>
      </c>
      <c r="F20" s="65">
        <f>المهني!LP41</f>
        <v>0</v>
      </c>
      <c r="G20" s="65">
        <f t="shared" si="0"/>
        <v>0</v>
      </c>
      <c r="I20" s="469" t="s">
        <v>123</v>
      </c>
      <c r="J20" s="471"/>
      <c r="K20" s="469"/>
      <c r="L20" s="471"/>
      <c r="M20" s="71"/>
      <c r="N20" s="71"/>
    </row>
    <row r="21" spans="2:14" ht="16.5" customHeight="1" thickTop="1" thickBot="1">
      <c r="B21" s="481"/>
      <c r="C21" s="469" t="s">
        <v>25</v>
      </c>
      <c r="D21" s="471"/>
      <c r="E21" s="65">
        <f>SUM(E13:E20)</f>
        <v>0</v>
      </c>
      <c r="F21" s="65">
        <f>SUM(F13:F20)</f>
        <v>0</v>
      </c>
      <c r="G21" s="65">
        <f t="shared" si="0"/>
        <v>0</v>
      </c>
      <c r="I21" s="469" t="s">
        <v>211</v>
      </c>
      <c r="J21" s="471"/>
      <c r="K21" s="469"/>
      <c r="L21" s="471"/>
      <c r="M21" s="71"/>
      <c r="N21" s="71"/>
    </row>
    <row r="22" spans="2:14" ht="22.5" customHeight="1" thickTop="1" thickBot="1">
      <c r="B22" s="469" t="s">
        <v>137</v>
      </c>
      <c r="C22" s="470"/>
      <c r="D22" s="471"/>
      <c r="E22" s="65">
        <f>E21+E12</f>
        <v>13</v>
      </c>
      <c r="F22" s="65">
        <f>F21+F12</f>
        <v>19</v>
      </c>
      <c r="G22" s="65">
        <f>G21+G12</f>
        <v>32</v>
      </c>
      <c r="I22" s="469" t="s">
        <v>387</v>
      </c>
      <c r="J22" s="471"/>
      <c r="K22" s="469"/>
      <c r="L22" s="471"/>
      <c r="M22" s="71"/>
      <c r="N22" s="71"/>
    </row>
    <row r="23" spans="2:14" ht="16.5" thickTop="1" thickBot="1">
      <c r="I23" s="469" t="s">
        <v>477</v>
      </c>
      <c r="J23" s="471"/>
      <c r="K23" s="469"/>
      <c r="L23" s="471"/>
      <c r="M23" s="71"/>
      <c r="N23" s="71"/>
    </row>
    <row r="24" spans="2:14" ht="16.5" thickTop="1" thickBot="1">
      <c r="I24" s="469" t="s">
        <v>478</v>
      </c>
      <c r="J24" s="471"/>
      <c r="K24" s="469"/>
      <c r="L24" s="471"/>
      <c r="M24" s="71"/>
      <c r="N24" s="71"/>
    </row>
    <row r="25" spans="2:14" ht="16.5" thickTop="1" thickBot="1">
      <c r="I25" s="469" t="s">
        <v>25</v>
      </c>
      <c r="J25" s="471"/>
      <c r="K25" s="469">
        <f>SUM(K18:K24)</f>
        <v>2</v>
      </c>
      <c r="L25" s="471"/>
      <c r="M25" s="71"/>
      <c r="N25" s="71"/>
    </row>
    <row r="26" spans="2:14" ht="24.75" thickTop="1" thickBot="1">
      <c r="B26" s="68" t="s">
        <v>434</v>
      </c>
    </row>
    <row r="27" spans="2:14" ht="17.25" customHeight="1" thickTop="1" thickBot="1">
      <c r="B27" s="469" t="s">
        <v>420</v>
      </c>
      <c r="C27" s="471"/>
      <c r="D27" s="477" t="s">
        <v>421</v>
      </c>
      <c r="E27" s="478"/>
      <c r="F27" s="469" t="s">
        <v>422</v>
      </c>
      <c r="G27" s="471"/>
      <c r="H27" s="469" t="s">
        <v>457</v>
      </c>
      <c r="I27" s="471"/>
      <c r="J27" s="469" t="s">
        <v>423</v>
      </c>
      <c r="K27" s="470"/>
      <c r="L27" s="471"/>
    </row>
    <row r="28" spans="2:14" ht="16.5" thickTop="1" thickBot="1">
      <c r="B28" s="65" t="s">
        <v>73</v>
      </c>
      <c r="C28" s="65" t="s">
        <v>29</v>
      </c>
      <c r="D28" s="65" t="s">
        <v>73</v>
      </c>
      <c r="E28" s="65" t="s">
        <v>29</v>
      </c>
      <c r="F28" s="65" t="s">
        <v>73</v>
      </c>
      <c r="G28" s="65" t="s">
        <v>29</v>
      </c>
      <c r="H28" s="65" t="s">
        <v>73</v>
      </c>
      <c r="I28" s="65" t="s">
        <v>29</v>
      </c>
      <c r="J28" s="65" t="s">
        <v>73</v>
      </c>
      <c r="K28" s="65" t="s">
        <v>29</v>
      </c>
      <c r="L28" s="65" t="s">
        <v>25</v>
      </c>
    </row>
    <row r="29" spans="2:14" ht="16.5" thickTop="1" thickBot="1">
      <c r="B29" s="65">
        <f>المهني!LT41</f>
        <v>9</v>
      </c>
      <c r="C29" s="65">
        <f>المهني!LU41</f>
        <v>12</v>
      </c>
      <c r="D29" s="65">
        <f>المهني!LV41</f>
        <v>0</v>
      </c>
      <c r="E29" s="65">
        <f>المهني!LW41</f>
        <v>4</v>
      </c>
      <c r="F29" s="65">
        <f>المهني!LX41</f>
        <v>4</v>
      </c>
      <c r="G29" s="65">
        <f>المهني!LY41</f>
        <v>2</v>
      </c>
      <c r="H29" s="65">
        <f>المهني!LZ41</f>
        <v>0</v>
      </c>
      <c r="I29" s="65">
        <f>المهني!MA41</f>
        <v>1</v>
      </c>
      <c r="J29" s="65">
        <f>F29+D29+B29+H29</f>
        <v>13</v>
      </c>
      <c r="K29" s="65">
        <f>G29+E29+C29+I29</f>
        <v>19</v>
      </c>
      <c r="L29" s="65">
        <f>SUM(J29:K29)</f>
        <v>32</v>
      </c>
    </row>
    <row r="30" spans="2:14" ht="15" thickTop="1"/>
    <row r="31" spans="2:14" ht="24" thickBot="1">
      <c r="B31" s="68" t="s">
        <v>435</v>
      </c>
    </row>
    <row r="32" spans="2:14" ht="16.5" thickTop="1" thickBot="1">
      <c r="B32" s="469" t="s">
        <v>424</v>
      </c>
      <c r="C32" s="471"/>
      <c r="D32" s="477" t="s">
        <v>425</v>
      </c>
      <c r="E32" s="478"/>
      <c r="F32" s="469" t="s">
        <v>426</v>
      </c>
      <c r="G32" s="471"/>
      <c r="H32" s="469" t="s">
        <v>427</v>
      </c>
      <c r="I32" s="471"/>
      <c r="J32" s="469" t="s">
        <v>454</v>
      </c>
      <c r="K32" s="471"/>
      <c r="L32" s="469" t="s">
        <v>25</v>
      </c>
      <c r="M32" s="470"/>
      <c r="N32" s="471"/>
    </row>
    <row r="33" spans="1:16" ht="16.5" thickTop="1" thickBot="1">
      <c r="B33" s="65" t="s">
        <v>73</v>
      </c>
      <c r="C33" s="65" t="s">
        <v>29</v>
      </c>
      <c r="D33" s="65" t="s">
        <v>73</v>
      </c>
      <c r="E33" s="65" t="s">
        <v>29</v>
      </c>
      <c r="F33" s="65" t="s">
        <v>73</v>
      </c>
      <c r="G33" s="65" t="s">
        <v>29</v>
      </c>
      <c r="H33" s="65" t="s">
        <v>73</v>
      </c>
      <c r="I33" s="65" t="s">
        <v>29</v>
      </c>
      <c r="J33" s="65" t="s">
        <v>73</v>
      </c>
      <c r="K33" s="65" t="s">
        <v>29</v>
      </c>
      <c r="L33" s="65" t="s">
        <v>73</v>
      </c>
      <c r="M33" s="65" t="s">
        <v>29</v>
      </c>
      <c r="N33" s="65" t="s">
        <v>25</v>
      </c>
    </row>
    <row r="34" spans="1:16" ht="16.5" thickTop="1" thickBot="1">
      <c r="B34" s="65">
        <f>المهني!ME41</f>
        <v>10</v>
      </c>
      <c r="C34" s="65">
        <f>المهني!MF41</f>
        <v>9</v>
      </c>
      <c r="D34" s="65">
        <f>المهني!MG41</f>
        <v>2</v>
      </c>
      <c r="E34" s="65">
        <f>المهني!MH41</f>
        <v>8</v>
      </c>
      <c r="F34" s="65">
        <f>المهني!MI41</f>
        <v>0</v>
      </c>
      <c r="G34" s="65">
        <f>المهني!MJ41</f>
        <v>2</v>
      </c>
      <c r="H34" s="65">
        <f>المهني!MK41</f>
        <v>0</v>
      </c>
      <c r="I34" s="65">
        <f>المهني!ML41</f>
        <v>0</v>
      </c>
      <c r="J34" s="65">
        <f>المهني!MM41</f>
        <v>1</v>
      </c>
      <c r="K34" s="65">
        <f>المهني!MN41</f>
        <v>0</v>
      </c>
      <c r="L34" s="65">
        <f>J34+H34+F34+D34+B34</f>
        <v>13</v>
      </c>
      <c r="M34" s="65">
        <f>K34+I34+G34+E34+C34</f>
        <v>19</v>
      </c>
      <c r="N34" s="65">
        <f>SUM(L34:M34)</f>
        <v>32</v>
      </c>
    </row>
    <row r="35" spans="1:16" ht="15" thickTop="1"/>
    <row r="36" spans="1:16" ht="23.25">
      <c r="A36" s="61" t="s">
        <v>204</v>
      </c>
      <c r="B36" s="62"/>
      <c r="C36" s="62"/>
      <c r="D36" s="62"/>
      <c r="E36" s="62"/>
      <c r="F36" s="63"/>
      <c r="G36" s="63"/>
      <c r="H36" s="63"/>
      <c r="I36" s="63"/>
      <c r="J36" s="63"/>
      <c r="K36" s="63"/>
      <c r="M36" s="61" t="s">
        <v>428</v>
      </c>
      <c r="N36" s="62"/>
      <c r="O36" s="63"/>
      <c r="P36" s="63"/>
    </row>
    <row r="37" spans="1:16" ht="23.25">
      <c r="A37" s="157" t="s">
        <v>185</v>
      </c>
      <c r="B37" s="157"/>
      <c r="C37" s="157"/>
      <c r="D37" s="157"/>
      <c r="E37" s="157"/>
      <c r="F37" s="63"/>
      <c r="G37" s="63"/>
      <c r="H37" s="63"/>
      <c r="I37" s="63"/>
      <c r="J37" s="63"/>
      <c r="K37" s="63"/>
      <c r="L37" s="474" t="s">
        <v>110</v>
      </c>
      <c r="M37" s="474"/>
      <c r="N37" s="474"/>
      <c r="O37" s="63"/>
      <c r="P37" s="63"/>
    </row>
    <row r="38" spans="1:16" ht="23.25">
      <c r="B38" s="62"/>
      <c r="C38" s="62"/>
      <c r="D38" s="62"/>
      <c r="E38" s="62"/>
      <c r="F38" s="62"/>
      <c r="G38" s="61" t="s">
        <v>403</v>
      </c>
      <c r="H38" s="62"/>
      <c r="I38" s="62"/>
      <c r="J38" s="62"/>
      <c r="K38" s="62"/>
      <c r="L38" s="62"/>
      <c r="M38" s="62"/>
      <c r="N38" s="62"/>
      <c r="O38" s="62"/>
      <c r="P38" s="62"/>
    </row>
    <row r="39" spans="1:16" ht="18">
      <c r="F39" s="61" t="s">
        <v>507</v>
      </c>
    </row>
    <row r="40" spans="1:16" ht="24" thickBot="1">
      <c r="B40" s="64" t="s">
        <v>404</v>
      </c>
      <c r="F40" s="62"/>
      <c r="K40" s="64" t="s">
        <v>405</v>
      </c>
    </row>
    <row r="41" spans="1:16" ht="46.5" thickTop="1" thickBot="1">
      <c r="B41" s="65" t="s">
        <v>304</v>
      </c>
      <c r="C41" s="65" t="s">
        <v>406</v>
      </c>
      <c r="D41" s="65" t="s">
        <v>339</v>
      </c>
      <c r="E41" s="65" t="s">
        <v>407</v>
      </c>
      <c r="F41" s="154" t="s">
        <v>408</v>
      </c>
      <c r="G41" s="156"/>
      <c r="H41" s="155"/>
      <c r="I41" s="65" t="s">
        <v>409</v>
      </c>
      <c r="K41" s="65" t="s">
        <v>410</v>
      </c>
      <c r="L41" s="65" t="s">
        <v>411</v>
      </c>
      <c r="M41" s="65" t="s">
        <v>412</v>
      </c>
      <c r="N41" s="65" t="s">
        <v>413</v>
      </c>
    </row>
    <row r="42" spans="1:16" ht="16.5" thickTop="1" thickBot="1">
      <c r="B42" s="472">
        <f>المهني!OI43</f>
        <v>0</v>
      </c>
      <c r="C42" s="472">
        <f>المهني!OK43</f>
        <v>1</v>
      </c>
      <c r="D42" s="472">
        <f>المهني!OM43</f>
        <v>1</v>
      </c>
      <c r="E42" s="472">
        <f>المهني!OO43</f>
        <v>0</v>
      </c>
      <c r="F42" s="65" t="s">
        <v>414</v>
      </c>
      <c r="G42" s="65" t="s">
        <v>415</v>
      </c>
      <c r="H42" s="65" t="s">
        <v>416</v>
      </c>
      <c r="I42" s="479">
        <v>0</v>
      </c>
      <c r="K42" s="472">
        <f>المهني!Q43</f>
        <v>1</v>
      </c>
      <c r="L42" s="472">
        <f>المهني!R43</f>
        <v>0</v>
      </c>
      <c r="M42" s="472">
        <f>المهني!S43</f>
        <v>0</v>
      </c>
      <c r="N42" s="472">
        <f>المهني!T43</f>
        <v>0</v>
      </c>
    </row>
    <row r="43" spans="1:16" ht="19.5" thickTop="1" thickBot="1">
      <c r="B43" s="473"/>
      <c r="C43" s="473"/>
      <c r="D43" s="473"/>
      <c r="E43" s="473"/>
      <c r="F43" s="73">
        <f>المهني!OT43</f>
        <v>0</v>
      </c>
      <c r="G43" s="73">
        <v>0</v>
      </c>
      <c r="H43" s="73">
        <v>0</v>
      </c>
      <c r="I43" s="481"/>
      <c r="K43" s="473"/>
      <c r="L43" s="473"/>
      <c r="M43" s="473"/>
      <c r="N43" s="473"/>
    </row>
    <row r="44" spans="1:16" ht="15" thickTop="1"/>
    <row r="45" spans="1:16" ht="24" thickBot="1">
      <c r="B45" s="64" t="s">
        <v>432</v>
      </c>
      <c r="I45" s="64" t="s">
        <v>433</v>
      </c>
    </row>
    <row r="46" spans="1:16" ht="16.5" customHeight="1" thickTop="1" thickBot="1">
      <c r="B46" s="469" t="s">
        <v>417</v>
      </c>
      <c r="C46" s="470"/>
      <c r="D46" s="471"/>
      <c r="E46" s="65" t="s">
        <v>73</v>
      </c>
      <c r="F46" s="65" t="s">
        <v>29</v>
      </c>
      <c r="G46" s="65" t="s">
        <v>25</v>
      </c>
    </row>
    <row r="47" spans="1:16" ht="16.5" customHeight="1" thickTop="1" thickBot="1">
      <c r="B47" s="469" t="s">
        <v>92</v>
      </c>
      <c r="C47" s="470"/>
      <c r="D47" s="471"/>
      <c r="E47" s="65">
        <f>المهني!KY43</f>
        <v>13</v>
      </c>
      <c r="F47" s="65">
        <f>المهني!KZ43</f>
        <v>19</v>
      </c>
      <c r="G47" s="65">
        <f>SUM(E47:F47)</f>
        <v>32</v>
      </c>
      <c r="I47" s="469" t="s">
        <v>220</v>
      </c>
      <c r="J47" s="471"/>
      <c r="K47" s="469" t="s">
        <v>431</v>
      </c>
      <c r="L47" s="471"/>
    </row>
    <row r="48" spans="1:16" ht="16.5" customHeight="1" thickTop="1" thickBot="1">
      <c r="B48" s="479" t="s">
        <v>93</v>
      </c>
      <c r="C48" s="469" t="s">
        <v>418</v>
      </c>
      <c r="D48" s="471"/>
      <c r="E48" s="65">
        <f>المهني!LA43</f>
        <v>0</v>
      </c>
      <c r="F48" s="65">
        <f>المهني!LB43</f>
        <v>0</v>
      </c>
      <c r="G48" s="65">
        <f t="shared" ref="G48:G56" si="1">SUM(E48:F48)</f>
        <v>0</v>
      </c>
      <c r="I48" s="469" t="s">
        <v>73</v>
      </c>
      <c r="J48" s="471"/>
      <c r="K48" s="469">
        <f>المهني!NC43</f>
        <v>0</v>
      </c>
      <c r="L48" s="471"/>
    </row>
    <row r="49" spans="2:12" ht="16.5" thickTop="1" thickBot="1">
      <c r="B49" s="480"/>
      <c r="C49" s="469" t="s">
        <v>287</v>
      </c>
      <c r="D49" s="471"/>
      <c r="E49" s="65">
        <f>المهني!LC43</f>
        <v>0</v>
      </c>
      <c r="F49" s="65">
        <f>المهني!LD43</f>
        <v>0</v>
      </c>
      <c r="G49" s="65">
        <f t="shared" si="1"/>
        <v>0</v>
      </c>
      <c r="I49" s="469" t="s">
        <v>29</v>
      </c>
      <c r="J49" s="471"/>
      <c r="K49" s="469">
        <f>المهني!ND43</f>
        <v>0</v>
      </c>
      <c r="L49" s="471"/>
    </row>
    <row r="50" spans="2:12" ht="16.5" thickTop="1" thickBot="1">
      <c r="B50" s="480"/>
      <c r="C50" s="469" t="s">
        <v>288</v>
      </c>
      <c r="D50" s="471"/>
      <c r="E50" s="65">
        <f>المهني!LE43</f>
        <v>0</v>
      </c>
      <c r="F50" s="65">
        <f>المهني!LF43</f>
        <v>0</v>
      </c>
      <c r="G50" s="65">
        <f t="shared" si="1"/>
        <v>0</v>
      </c>
      <c r="I50" s="469" t="s">
        <v>25</v>
      </c>
      <c r="J50" s="471"/>
      <c r="K50" s="469">
        <f>SUM(K48:K49)</f>
        <v>0</v>
      </c>
      <c r="L50" s="471"/>
    </row>
    <row r="51" spans="2:12" ht="19.5" thickTop="1" thickBot="1">
      <c r="B51" s="480"/>
      <c r="C51" s="469" t="s">
        <v>289</v>
      </c>
      <c r="D51" s="471"/>
      <c r="E51" s="65">
        <f>المهني!LG43</f>
        <v>0</v>
      </c>
      <c r="F51" s="65">
        <f>المهني!LH43</f>
        <v>0</v>
      </c>
      <c r="G51" s="65">
        <f t="shared" si="1"/>
        <v>0</v>
      </c>
      <c r="I51" s="70" t="s">
        <v>429</v>
      </c>
    </row>
    <row r="52" spans="2:12" ht="16.5" thickTop="1" thickBot="1">
      <c r="B52" s="480"/>
      <c r="C52" s="469" t="s">
        <v>290</v>
      </c>
      <c r="D52" s="471"/>
      <c r="E52" s="65">
        <f>المهني!LI43</f>
        <v>0</v>
      </c>
      <c r="F52" s="65">
        <f>المهني!LJ43</f>
        <v>0</v>
      </c>
      <c r="G52" s="65">
        <f t="shared" si="1"/>
        <v>0</v>
      </c>
      <c r="I52" s="469" t="s">
        <v>113</v>
      </c>
      <c r="J52" s="471"/>
      <c r="K52" s="469" t="s">
        <v>430</v>
      </c>
      <c r="L52" s="471"/>
    </row>
    <row r="53" spans="2:12" ht="16.5" thickTop="1" thickBot="1">
      <c r="B53" s="480"/>
      <c r="C53" s="469" t="s">
        <v>291</v>
      </c>
      <c r="D53" s="471"/>
      <c r="E53" s="67"/>
      <c r="F53" s="65">
        <f>المهني!LL43</f>
        <v>0</v>
      </c>
      <c r="G53" s="65">
        <f t="shared" si="1"/>
        <v>0</v>
      </c>
      <c r="I53" s="469" t="s">
        <v>121</v>
      </c>
      <c r="J53" s="471"/>
      <c r="K53" s="469">
        <f>المهني!SO43</f>
        <v>2</v>
      </c>
      <c r="L53" s="471"/>
    </row>
    <row r="54" spans="2:12" ht="16.5" thickTop="1" thickBot="1">
      <c r="B54" s="480"/>
      <c r="C54" s="469" t="s">
        <v>419</v>
      </c>
      <c r="D54" s="471"/>
      <c r="E54" s="65">
        <f>المهني!LM43</f>
        <v>0</v>
      </c>
      <c r="F54" s="65">
        <f>المهني!LN43</f>
        <v>0</v>
      </c>
      <c r="G54" s="65">
        <f t="shared" si="1"/>
        <v>0</v>
      </c>
      <c r="I54" s="469" t="s">
        <v>122</v>
      </c>
      <c r="J54" s="471"/>
      <c r="K54" s="469"/>
      <c r="L54" s="471"/>
    </row>
    <row r="55" spans="2:12" ht="16.5" thickTop="1" thickBot="1">
      <c r="B55" s="480"/>
      <c r="C55" s="469" t="s">
        <v>484</v>
      </c>
      <c r="D55" s="471"/>
      <c r="E55" s="65">
        <f>المهني!LO43</f>
        <v>0</v>
      </c>
      <c r="F55" s="65">
        <f>المهني!LP43</f>
        <v>0</v>
      </c>
      <c r="G55" s="65">
        <f t="shared" si="1"/>
        <v>0</v>
      </c>
      <c r="I55" s="469" t="s">
        <v>123</v>
      </c>
      <c r="J55" s="471"/>
      <c r="K55" s="469"/>
      <c r="L55" s="471"/>
    </row>
    <row r="56" spans="2:12" ht="16.5" customHeight="1" thickTop="1" thickBot="1">
      <c r="B56" s="481"/>
      <c r="C56" s="469" t="s">
        <v>25</v>
      </c>
      <c r="D56" s="471"/>
      <c r="E56" s="65">
        <f>SUM(E48:E55)</f>
        <v>0</v>
      </c>
      <c r="F56" s="65">
        <f>SUM(F48:F55)</f>
        <v>0</v>
      </c>
      <c r="G56" s="65">
        <f t="shared" si="1"/>
        <v>0</v>
      </c>
      <c r="I56" s="469" t="s">
        <v>211</v>
      </c>
      <c r="J56" s="471"/>
      <c r="K56" s="469"/>
      <c r="L56" s="471"/>
    </row>
    <row r="57" spans="2:12" ht="31.5" customHeight="1" thickTop="1" thickBot="1">
      <c r="B57" s="469" t="s">
        <v>137</v>
      </c>
      <c r="C57" s="470"/>
      <c r="D57" s="471"/>
      <c r="E57" s="65">
        <f>E56+E47</f>
        <v>13</v>
      </c>
      <c r="F57" s="65">
        <f>F56+F47</f>
        <v>19</v>
      </c>
      <c r="G57" s="65">
        <f>G56+G47</f>
        <v>32</v>
      </c>
      <c r="I57" s="469" t="s">
        <v>387</v>
      </c>
      <c r="J57" s="471"/>
      <c r="K57" s="469"/>
      <c r="L57" s="471"/>
    </row>
    <row r="58" spans="2:12" ht="16.5" thickTop="1" thickBot="1">
      <c r="I58" s="469" t="s">
        <v>25</v>
      </c>
      <c r="J58" s="471"/>
      <c r="K58" s="469">
        <f>SUM(K53:K57)</f>
        <v>2</v>
      </c>
      <c r="L58" s="471"/>
    </row>
    <row r="59" spans="2:12" ht="24.75" thickTop="1" thickBot="1">
      <c r="B59" s="68" t="s">
        <v>434</v>
      </c>
    </row>
    <row r="60" spans="2:12" ht="16.5" customHeight="1" thickTop="1" thickBot="1">
      <c r="B60" s="469" t="s">
        <v>420</v>
      </c>
      <c r="C60" s="471"/>
      <c r="D60" s="477" t="s">
        <v>421</v>
      </c>
      <c r="E60" s="478"/>
      <c r="F60" s="469" t="s">
        <v>422</v>
      </c>
      <c r="G60" s="471"/>
      <c r="H60" s="469" t="s">
        <v>457</v>
      </c>
      <c r="I60" s="471"/>
      <c r="J60" s="469" t="s">
        <v>423</v>
      </c>
      <c r="K60" s="470"/>
      <c r="L60" s="471"/>
    </row>
    <row r="61" spans="2:12" ht="16.5" thickTop="1" thickBot="1">
      <c r="B61" s="65" t="s">
        <v>73</v>
      </c>
      <c r="C61" s="65" t="s">
        <v>29</v>
      </c>
      <c r="D61" s="65" t="s">
        <v>73</v>
      </c>
      <c r="E61" s="65" t="s">
        <v>29</v>
      </c>
      <c r="F61" s="65" t="s">
        <v>73</v>
      </c>
      <c r="G61" s="65" t="s">
        <v>29</v>
      </c>
      <c r="H61" s="65" t="s">
        <v>73</v>
      </c>
      <c r="I61" s="65" t="s">
        <v>29</v>
      </c>
      <c r="J61" s="65" t="s">
        <v>73</v>
      </c>
      <c r="K61" s="65" t="s">
        <v>29</v>
      </c>
      <c r="L61" s="65" t="s">
        <v>25</v>
      </c>
    </row>
    <row r="62" spans="2:12" ht="16.5" thickTop="1" thickBot="1">
      <c r="B62" s="65">
        <f>المهني!LT43</f>
        <v>9</v>
      </c>
      <c r="C62" s="65">
        <f>المهني!LU43</f>
        <v>12</v>
      </c>
      <c r="D62" s="65">
        <f>المهني!LV43</f>
        <v>0</v>
      </c>
      <c r="E62" s="65">
        <f>المهني!LW43</f>
        <v>4</v>
      </c>
      <c r="F62" s="65">
        <f>المهني!LX43</f>
        <v>4</v>
      </c>
      <c r="G62" s="65">
        <f>المهني!LY43</f>
        <v>2</v>
      </c>
      <c r="H62" s="65">
        <f>المهني!LZ43</f>
        <v>0</v>
      </c>
      <c r="I62" s="65">
        <f>المهني!MA43</f>
        <v>1</v>
      </c>
      <c r="J62" s="65">
        <f>F62+D62+B62+H62</f>
        <v>13</v>
      </c>
      <c r="K62" s="65">
        <f>G62+E62+C62+I62</f>
        <v>19</v>
      </c>
      <c r="L62" s="65">
        <f>SUM(J62:K62)</f>
        <v>32</v>
      </c>
    </row>
    <row r="63" spans="2:12" ht="15" thickTop="1"/>
    <row r="64" spans="2:12" ht="24" thickBot="1">
      <c r="B64" s="68" t="s">
        <v>435</v>
      </c>
    </row>
    <row r="65" spans="1:16" ht="16.5" thickTop="1" thickBot="1">
      <c r="B65" s="469" t="s">
        <v>424</v>
      </c>
      <c r="C65" s="471"/>
      <c r="D65" s="477" t="s">
        <v>425</v>
      </c>
      <c r="E65" s="478"/>
      <c r="F65" s="469" t="s">
        <v>426</v>
      </c>
      <c r="G65" s="471"/>
      <c r="H65" s="469" t="s">
        <v>427</v>
      </c>
      <c r="I65" s="471"/>
      <c r="J65" s="469" t="s">
        <v>454</v>
      </c>
      <c r="K65" s="471"/>
      <c r="L65" s="469" t="s">
        <v>25</v>
      </c>
      <c r="M65" s="470"/>
      <c r="N65" s="471"/>
    </row>
    <row r="66" spans="1:16" ht="16.5" thickTop="1" thickBot="1">
      <c r="B66" s="65" t="s">
        <v>73</v>
      </c>
      <c r="C66" s="65" t="s">
        <v>29</v>
      </c>
      <c r="D66" s="65" t="s">
        <v>73</v>
      </c>
      <c r="E66" s="65" t="s">
        <v>29</v>
      </c>
      <c r="F66" s="65" t="s">
        <v>73</v>
      </c>
      <c r="G66" s="65" t="s">
        <v>29</v>
      </c>
      <c r="H66" s="65" t="s">
        <v>73</v>
      </c>
      <c r="I66" s="65" t="s">
        <v>29</v>
      </c>
      <c r="J66" s="65" t="s">
        <v>73</v>
      </c>
      <c r="K66" s="65" t="s">
        <v>29</v>
      </c>
      <c r="L66" s="65" t="s">
        <v>73</v>
      </c>
      <c r="M66" s="65" t="s">
        <v>29</v>
      </c>
      <c r="N66" s="65" t="s">
        <v>25</v>
      </c>
    </row>
    <row r="67" spans="1:16" ht="16.5" thickTop="1" thickBot="1">
      <c r="B67" s="65">
        <f>المهني!ME43</f>
        <v>10</v>
      </c>
      <c r="C67" s="65">
        <f>المهني!MF43</f>
        <v>9</v>
      </c>
      <c r="D67" s="65">
        <f>المهني!MG43</f>
        <v>2</v>
      </c>
      <c r="E67" s="65">
        <f>المهني!MH43</f>
        <v>8</v>
      </c>
      <c r="F67" s="65">
        <f>المهني!MI43</f>
        <v>0</v>
      </c>
      <c r="G67" s="65">
        <f>المهني!MJ43</f>
        <v>2</v>
      </c>
      <c r="H67" s="65">
        <f>المهني!MK43</f>
        <v>0</v>
      </c>
      <c r="I67" s="65">
        <f>المهني!ML43</f>
        <v>0</v>
      </c>
      <c r="J67" s="65">
        <f>المهني!MM43</f>
        <v>1</v>
      </c>
      <c r="K67" s="65">
        <f>المهني!MN43</f>
        <v>0</v>
      </c>
      <c r="L67" s="65">
        <f>J67+H67+F67+D67+B67</f>
        <v>13</v>
      </c>
      <c r="M67" s="65">
        <f>K67+I67+G67+E67+C67</f>
        <v>19</v>
      </c>
      <c r="N67" s="65">
        <f>SUM(L67:M67)</f>
        <v>32</v>
      </c>
    </row>
    <row r="68" spans="1:16" ht="15" thickTop="1"/>
    <row r="69" spans="1:16" ht="23.25">
      <c r="A69" s="61" t="s">
        <v>204</v>
      </c>
      <c r="B69" s="62"/>
      <c r="C69" s="62"/>
      <c r="D69" s="62"/>
      <c r="E69" s="62"/>
      <c r="F69" s="63"/>
      <c r="G69" s="63"/>
      <c r="H69" s="63"/>
      <c r="I69" s="63"/>
      <c r="J69" s="63"/>
      <c r="K69" s="63"/>
      <c r="M69" s="61" t="s">
        <v>183</v>
      </c>
      <c r="N69" s="62"/>
      <c r="O69" s="63"/>
      <c r="P69" s="63"/>
    </row>
    <row r="70" spans="1:16" ht="23.25">
      <c r="A70" s="157" t="s">
        <v>185</v>
      </c>
      <c r="B70" s="157"/>
      <c r="C70" s="157"/>
      <c r="D70" s="157"/>
      <c r="E70" s="157"/>
      <c r="F70" s="63"/>
      <c r="G70" s="63"/>
      <c r="H70" s="63"/>
      <c r="I70" s="63"/>
      <c r="J70" s="63"/>
      <c r="K70" s="63"/>
      <c r="L70" s="474" t="s">
        <v>110</v>
      </c>
      <c r="M70" s="474"/>
      <c r="N70" s="474"/>
      <c r="O70" s="63"/>
      <c r="P70" s="63"/>
    </row>
    <row r="71" spans="1:16" ht="23.25">
      <c r="B71" s="62"/>
      <c r="C71" s="62"/>
      <c r="D71" s="62"/>
      <c r="E71" s="62"/>
      <c r="F71" s="62"/>
      <c r="G71" s="61" t="s">
        <v>403</v>
      </c>
      <c r="H71" s="62"/>
      <c r="I71" s="62"/>
      <c r="J71" s="62"/>
      <c r="K71" s="62"/>
      <c r="L71" s="62"/>
      <c r="M71" s="62"/>
      <c r="N71" s="62"/>
      <c r="O71" s="62"/>
      <c r="P71" s="62"/>
    </row>
    <row r="72" spans="1:16" ht="18">
      <c r="F72" s="61" t="s">
        <v>507</v>
      </c>
    </row>
    <row r="73" spans="1:16" ht="24" thickBot="1">
      <c r="B73" s="64" t="s">
        <v>404</v>
      </c>
      <c r="F73" s="62"/>
      <c r="K73" s="64" t="s">
        <v>405</v>
      </c>
    </row>
    <row r="74" spans="1:16" ht="46.5" thickTop="1" thickBot="1">
      <c r="B74" s="65" t="s">
        <v>304</v>
      </c>
      <c r="C74" s="65" t="s">
        <v>406</v>
      </c>
      <c r="D74" s="65" t="s">
        <v>339</v>
      </c>
      <c r="E74" s="65" t="s">
        <v>407</v>
      </c>
      <c r="F74" s="154" t="s">
        <v>408</v>
      </c>
      <c r="G74" s="156"/>
      <c r="H74" s="155"/>
      <c r="I74" s="65" t="s">
        <v>409</v>
      </c>
      <c r="K74" s="65" t="s">
        <v>410</v>
      </c>
      <c r="L74" s="65" t="s">
        <v>411</v>
      </c>
      <c r="M74" s="65" t="s">
        <v>412</v>
      </c>
      <c r="N74" s="65" t="s">
        <v>413</v>
      </c>
    </row>
    <row r="75" spans="1:16" ht="16.5" thickTop="1" thickBot="1">
      <c r="B75" s="479">
        <f>المهني!OI44</f>
        <v>0</v>
      </c>
      <c r="C75" s="479">
        <f>المهني!OJ44</f>
        <v>0</v>
      </c>
      <c r="D75" s="479">
        <f>المهني!OM44</f>
        <v>0</v>
      </c>
      <c r="E75" s="479">
        <f>المهني!OO44</f>
        <v>0</v>
      </c>
      <c r="F75" s="65" t="s">
        <v>414</v>
      </c>
      <c r="G75" s="65" t="s">
        <v>415</v>
      </c>
      <c r="H75" s="65" t="s">
        <v>416</v>
      </c>
      <c r="I75" s="479">
        <v>0</v>
      </c>
      <c r="K75" s="479">
        <f>المهني!Q44</f>
        <v>0</v>
      </c>
      <c r="L75" s="479">
        <f>المهني!R44</f>
        <v>0</v>
      </c>
      <c r="M75" s="479">
        <f>المهني!S44</f>
        <v>0</v>
      </c>
      <c r="N75" s="479">
        <f>المهني!T44</f>
        <v>0</v>
      </c>
    </row>
    <row r="76" spans="1:16" ht="24.75" thickTop="1" thickBot="1">
      <c r="B76" s="481"/>
      <c r="C76" s="481"/>
      <c r="D76" s="481"/>
      <c r="E76" s="481"/>
      <c r="F76" s="69">
        <f>المهني!OT44</f>
        <v>0</v>
      </c>
      <c r="G76" s="69">
        <v>0</v>
      </c>
      <c r="H76" s="69">
        <v>0</v>
      </c>
      <c r="I76" s="481"/>
      <c r="K76" s="481"/>
      <c r="L76" s="481"/>
      <c r="M76" s="481"/>
      <c r="N76" s="481"/>
    </row>
    <row r="77" spans="1:16" ht="15" thickTop="1"/>
    <row r="78" spans="1:16" ht="24" thickBot="1">
      <c r="B78" s="64" t="s">
        <v>432</v>
      </c>
      <c r="I78" s="64" t="s">
        <v>433</v>
      </c>
    </row>
    <row r="79" spans="1:16" ht="16.5" customHeight="1" thickTop="1" thickBot="1">
      <c r="B79" s="154" t="s">
        <v>417</v>
      </c>
      <c r="C79" s="156"/>
      <c r="D79" s="155"/>
      <c r="E79" s="65" t="s">
        <v>73</v>
      </c>
      <c r="F79" s="65" t="s">
        <v>29</v>
      </c>
      <c r="G79" s="65" t="s">
        <v>25</v>
      </c>
    </row>
    <row r="80" spans="1:16" ht="16.5" customHeight="1" thickTop="1" thickBot="1">
      <c r="B80" s="154" t="s">
        <v>92</v>
      </c>
      <c r="C80" s="156"/>
      <c r="D80" s="155"/>
      <c r="E80" s="65">
        <f>المهني!KY44</f>
        <v>0</v>
      </c>
      <c r="F80" s="65">
        <f>المهني!KZ44</f>
        <v>0</v>
      </c>
      <c r="G80" s="65">
        <f>SUM(E80:F80)</f>
        <v>0</v>
      </c>
      <c r="I80" s="469" t="s">
        <v>220</v>
      </c>
      <c r="J80" s="471"/>
      <c r="K80" s="469" t="s">
        <v>431</v>
      </c>
      <c r="L80" s="471"/>
    </row>
    <row r="81" spans="2:12" ht="16.5" thickTop="1" thickBot="1">
      <c r="B81" s="479" t="s">
        <v>93</v>
      </c>
      <c r="C81" s="469" t="s">
        <v>418</v>
      </c>
      <c r="D81" s="471"/>
      <c r="E81" s="65">
        <f>المهني!LA44</f>
        <v>0</v>
      </c>
      <c r="F81" s="65">
        <f>المهني!LB44</f>
        <v>0</v>
      </c>
      <c r="G81" s="65">
        <f t="shared" ref="G81:G88" si="2">SUM(E81:F81)</f>
        <v>0</v>
      </c>
      <c r="I81" s="469" t="s">
        <v>73</v>
      </c>
      <c r="J81" s="471"/>
      <c r="K81" s="469">
        <f>المهني!NC44</f>
        <v>0</v>
      </c>
      <c r="L81" s="471"/>
    </row>
    <row r="82" spans="2:12" ht="16.5" thickTop="1" thickBot="1">
      <c r="B82" s="480"/>
      <c r="C82" s="469" t="s">
        <v>287</v>
      </c>
      <c r="D82" s="471"/>
      <c r="E82" s="65">
        <f>المهني!LC44</f>
        <v>0</v>
      </c>
      <c r="F82" s="65">
        <f>المهني!LD44</f>
        <v>0</v>
      </c>
      <c r="G82" s="65">
        <f t="shared" si="2"/>
        <v>0</v>
      </c>
      <c r="I82" s="469" t="s">
        <v>29</v>
      </c>
      <c r="J82" s="471"/>
      <c r="K82" s="469">
        <f>المهني!ND44</f>
        <v>0</v>
      </c>
      <c r="L82" s="471"/>
    </row>
    <row r="83" spans="2:12" ht="16.5" thickTop="1" thickBot="1">
      <c r="B83" s="480"/>
      <c r="C83" s="469" t="s">
        <v>288</v>
      </c>
      <c r="D83" s="471"/>
      <c r="E83" s="65">
        <f>المهني!LE44</f>
        <v>0</v>
      </c>
      <c r="F83" s="65">
        <f>المهني!LF44</f>
        <v>0</v>
      </c>
      <c r="G83" s="65">
        <f t="shared" si="2"/>
        <v>0</v>
      </c>
      <c r="I83" s="469" t="s">
        <v>25</v>
      </c>
      <c r="J83" s="471"/>
      <c r="K83" s="469">
        <f>SUM(K81:K82)</f>
        <v>0</v>
      </c>
      <c r="L83" s="471"/>
    </row>
    <row r="84" spans="2:12" ht="19.5" thickTop="1" thickBot="1">
      <c r="B84" s="480"/>
      <c r="C84" s="469" t="s">
        <v>289</v>
      </c>
      <c r="D84" s="471"/>
      <c r="E84" s="65">
        <f>المهني!LG44</f>
        <v>0</v>
      </c>
      <c r="F84" s="65">
        <f>المهني!LH44</f>
        <v>0</v>
      </c>
      <c r="G84" s="65">
        <f t="shared" si="2"/>
        <v>0</v>
      </c>
      <c r="I84" s="70" t="s">
        <v>429</v>
      </c>
    </row>
    <row r="85" spans="2:12" ht="16.5" thickTop="1" thickBot="1">
      <c r="B85" s="480"/>
      <c r="C85" s="469" t="s">
        <v>290</v>
      </c>
      <c r="D85" s="471"/>
      <c r="E85" s="65">
        <f>المهني!LI44</f>
        <v>0</v>
      </c>
      <c r="F85" s="65">
        <f>المهني!LJ44</f>
        <v>0</v>
      </c>
      <c r="G85" s="65">
        <f t="shared" si="2"/>
        <v>0</v>
      </c>
      <c r="I85" s="469" t="s">
        <v>113</v>
      </c>
      <c r="J85" s="471"/>
      <c r="K85" s="469" t="s">
        <v>430</v>
      </c>
      <c r="L85" s="471"/>
    </row>
    <row r="86" spans="2:12" ht="16.5" thickTop="1" thickBot="1">
      <c r="B86" s="480"/>
      <c r="C86" s="469" t="s">
        <v>291</v>
      </c>
      <c r="D86" s="471"/>
      <c r="E86" s="67"/>
      <c r="F86" s="65">
        <f>المهني!LL44</f>
        <v>0</v>
      </c>
      <c r="G86" s="65">
        <f t="shared" si="2"/>
        <v>0</v>
      </c>
      <c r="I86" s="469" t="s">
        <v>121</v>
      </c>
      <c r="J86" s="471"/>
      <c r="K86" s="469">
        <f>المهني!SO44</f>
        <v>0</v>
      </c>
      <c r="L86" s="471"/>
    </row>
    <row r="87" spans="2:12" ht="16.5" thickTop="1" thickBot="1">
      <c r="B87" s="480"/>
      <c r="C87" s="469" t="s">
        <v>419</v>
      </c>
      <c r="D87" s="471"/>
      <c r="E87" s="65">
        <f>المهني!LM44</f>
        <v>0</v>
      </c>
      <c r="F87" s="65">
        <f>المهني!LN44</f>
        <v>0</v>
      </c>
      <c r="G87" s="65">
        <f t="shared" si="2"/>
        <v>0</v>
      </c>
      <c r="I87" s="469" t="s">
        <v>122</v>
      </c>
      <c r="J87" s="471"/>
      <c r="K87" s="469"/>
      <c r="L87" s="471"/>
    </row>
    <row r="88" spans="2:12" ht="16.5" thickTop="1" thickBot="1">
      <c r="B88" s="481"/>
      <c r="C88" s="469" t="s">
        <v>484</v>
      </c>
      <c r="D88" s="471"/>
      <c r="E88" s="65">
        <f>SUM(E81:E87)</f>
        <v>0</v>
      </c>
      <c r="F88" s="65">
        <f>SUM(F81:F87)</f>
        <v>0</v>
      </c>
      <c r="G88" s="65">
        <f t="shared" si="2"/>
        <v>0</v>
      </c>
      <c r="I88" s="469" t="s">
        <v>123</v>
      </c>
      <c r="J88" s="471"/>
      <c r="K88" s="469"/>
      <c r="L88" s="471"/>
    </row>
    <row r="89" spans="2:12" ht="20.25" customHeight="1" thickTop="1" thickBot="1">
      <c r="B89" s="469" t="s">
        <v>137</v>
      </c>
      <c r="C89" s="470"/>
      <c r="D89" s="471"/>
      <c r="E89" s="65">
        <f>E88+E80</f>
        <v>0</v>
      </c>
      <c r="F89" s="65">
        <f t="shared" ref="F89:G89" si="3">F88+F80</f>
        <v>0</v>
      </c>
      <c r="G89" s="65">
        <f t="shared" si="3"/>
        <v>0</v>
      </c>
      <c r="I89" s="469" t="s">
        <v>211</v>
      </c>
      <c r="J89" s="471"/>
      <c r="K89" s="469"/>
      <c r="L89" s="471"/>
    </row>
    <row r="90" spans="2:12" ht="16.5" thickTop="1" thickBot="1">
      <c r="I90" s="469" t="s">
        <v>387</v>
      </c>
      <c r="J90" s="471"/>
      <c r="K90" s="469"/>
      <c r="L90" s="471"/>
    </row>
    <row r="91" spans="2:12" ht="16.5" thickTop="1" thickBot="1">
      <c r="I91" s="469" t="s">
        <v>25</v>
      </c>
      <c r="J91" s="471"/>
      <c r="K91" s="469">
        <f>SUM(K86:K90)</f>
        <v>0</v>
      </c>
      <c r="L91" s="471"/>
    </row>
    <row r="92" spans="2:12" ht="24.75" thickTop="1" thickBot="1">
      <c r="B92" s="68" t="s">
        <v>434</v>
      </c>
    </row>
    <row r="93" spans="2:12" ht="16.5" customHeight="1" thickTop="1" thickBot="1">
      <c r="B93" s="154" t="s">
        <v>420</v>
      </c>
      <c r="C93" s="155"/>
      <c r="D93" s="477" t="s">
        <v>421</v>
      </c>
      <c r="E93" s="478"/>
      <c r="F93" s="469" t="s">
        <v>422</v>
      </c>
      <c r="G93" s="471"/>
      <c r="H93" s="469" t="s">
        <v>457</v>
      </c>
      <c r="I93" s="471"/>
      <c r="J93" s="469" t="s">
        <v>423</v>
      </c>
      <c r="K93" s="470"/>
      <c r="L93" s="471"/>
    </row>
    <row r="94" spans="2:12" ht="16.5" thickTop="1" thickBot="1">
      <c r="B94" s="65" t="s">
        <v>73</v>
      </c>
      <c r="C94" s="65" t="s">
        <v>29</v>
      </c>
      <c r="D94" s="65" t="s">
        <v>73</v>
      </c>
      <c r="E94" s="65" t="s">
        <v>29</v>
      </c>
      <c r="F94" s="65" t="s">
        <v>73</v>
      </c>
      <c r="G94" s="65" t="s">
        <v>29</v>
      </c>
      <c r="H94" s="65" t="s">
        <v>73</v>
      </c>
      <c r="I94" s="65" t="s">
        <v>29</v>
      </c>
      <c r="J94" s="65" t="s">
        <v>73</v>
      </c>
      <c r="K94" s="65" t="s">
        <v>29</v>
      </c>
      <c r="L94" s="65" t="s">
        <v>25</v>
      </c>
    </row>
    <row r="95" spans="2:12" ht="16.5" thickTop="1" thickBot="1">
      <c r="B95" s="65">
        <f>المهني!LT44</f>
        <v>0</v>
      </c>
      <c r="C95" s="65">
        <f>المهني!LU44</f>
        <v>0</v>
      </c>
      <c r="D95" s="65">
        <f>المهني!LV44</f>
        <v>0</v>
      </c>
      <c r="E95" s="65">
        <f>المهني!LW44</f>
        <v>0</v>
      </c>
      <c r="F95" s="65">
        <f>المهني!LX44</f>
        <v>0</v>
      </c>
      <c r="G95" s="65">
        <f>المهني!LY44</f>
        <v>0</v>
      </c>
      <c r="H95" s="65">
        <f>المهني!LZ44</f>
        <v>0</v>
      </c>
      <c r="I95" s="65">
        <f>المهني!MA44</f>
        <v>0</v>
      </c>
      <c r="J95" s="65">
        <f>F95+D95+B95+H95</f>
        <v>0</v>
      </c>
      <c r="K95" s="65">
        <f>G95+E95+C95+I95</f>
        <v>0</v>
      </c>
      <c r="L95" s="65">
        <f>SUM(J95:K95)</f>
        <v>0</v>
      </c>
    </row>
    <row r="96" spans="2:12" ht="15" thickTop="1"/>
    <row r="97" spans="1:16" ht="24" thickBot="1">
      <c r="B97" s="68" t="s">
        <v>435</v>
      </c>
    </row>
    <row r="98" spans="1:16" ht="16.5" thickTop="1" thickBot="1">
      <c r="B98" s="154" t="s">
        <v>424</v>
      </c>
      <c r="C98" s="155"/>
      <c r="D98" s="477" t="s">
        <v>425</v>
      </c>
      <c r="E98" s="478"/>
      <c r="F98" s="469" t="s">
        <v>426</v>
      </c>
      <c r="G98" s="471"/>
      <c r="H98" s="469" t="s">
        <v>427</v>
      </c>
      <c r="I98" s="471"/>
      <c r="J98" s="469" t="s">
        <v>454</v>
      </c>
      <c r="K98" s="471"/>
      <c r="L98" s="469" t="s">
        <v>25</v>
      </c>
      <c r="M98" s="470"/>
      <c r="N98" s="471"/>
    </row>
    <row r="99" spans="1:16" ht="16.5" thickTop="1" thickBot="1">
      <c r="B99" s="65" t="s">
        <v>73</v>
      </c>
      <c r="C99" s="65" t="s">
        <v>29</v>
      </c>
      <c r="D99" s="65" t="s">
        <v>73</v>
      </c>
      <c r="E99" s="65" t="s">
        <v>29</v>
      </c>
      <c r="F99" s="65" t="s">
        <v>73</v>
      </c>
      <c r="G99" s="65" t="s">
        <v>29</v>
      </c>
      <c r="H99" s="65" t="s">
        <v>73</v>
      </c>
      <c r="I99" s="65" t="s">
        <v>29</v>
      </c>
      <c r="J99" s="65" t="s">
        <v>73</v>
      </c>
      <c r="K99" s="65" t="s">
        <v>29</v>
      </c>
      <c r="L99" s="65" t="s">
        <v>73</v>
      </c>
      <c r="M99" s="65" t="s">
        <v>29</v>
      </c>
      <c r="N99" s="65" t="s">
        <v>25</v>
      </c>
    </row>
    <row r="100" spans="1:16" ht="16.5" thickTop="1" thickBot="1">
      <c r="B100" s="65">
        <f>المهني!ME44</f>
        <v>0</v>
      </c>
      <c r="C100" s="65">
        <f>المهني!MF44</f>
        <v>0</v>
      </c>
      <c r="D100" s="65">
        <f>المهني!MG44</f>
        <v>0</v>
      </c>
      <c r="E100" s="65">
        <f>المهني!MH44</f>
        <v>0</v>
      </c>
      <c r="F100" s="65">
        <f>المهني!MI44</f>
        <v>0</v>
      </c>
      <c r="G100" s="65">
        <f>المهني!MJ44</f>
        <v>0</v>
      </c>
      <c r="H100" s="65">
        <f>المهني!MK44</f>
        <v>0</v>
      </c>
      <c r="I100" s="65">
        <f>المهني!ML44</f>
        <v>0</v>
      </c>
      <c r="J100" s="65">
        <f>المهني!MM44</f>
        <v>0</v>
      </c>
      <c r="K100" s="65">
        <f>المهني!MN44</f>
        <v>0</v>
      </c>
      <c r="L100" s="65">
        <f>J100+H100+F100+D100+B100</f>
        <v>0</v>
      </c>
      <c r="M100" s="65">
        <f>K100+I100+G100+E100+C100</f>
        <v>0</v>
      </c>
      <c r="N100" s="65">
        <f>SUM(L100:M100)</f>
        <v>0</v>
      </c>
    </row>
    <row r="101" spans="1:16" ht="15" thickTop="1"/>
    <row r="103" spans="1:16" ht="23.25">
      <c r="A103" s="61" t="s">
        <v>204</v>
      </c>
      <c r="B103" s="62"/>
      <c r="C103" s="62"/>
      <c r="D103" s="62"/>
      <c r="E103" s="62"/>
      <c r="F103" s="63"/>
      <c r="G103" s="63"/>
      <c r="H103" s="63"/>
      <c r="I103" s="63"/>
      <c r="J103" s="63"/>
      <c r="K103" s="63"/>
      <c r="M103" s="61" t="s">
        <v>184</v>
      </c>
      <c r="N103" s="62"/>
      <c r="O103" s="63"/>
      <c r="P103" s="63"/>
    </row>
    <row r="104" spans="1:16" ht="23.25">
      <c r="A104" s="157" t="s">
        <v>185</v>
      </c>
      <c r="B104" s="157"/>
      <c r="C104" s="157"/>
      <c r="D104" s="157"/>
      <c r="E104" s="157"/>
      <c r="F104" s="63"/>
      <c r="G104" s="63"/>
      <c r="H104" s="63"/>
      <c r="I104" s="63"/>
      <c r="J104" s="63"/>
      <c r="K104" s="63"/>
      <c r="L104" s="474" t="s">
        <v>110</v>
      </c>
      <c r="M104" s="474"/>
      <c r="N104" s="474"/>
      <c r="O104" s="63"/>
      <c r="P104" s="63"/>
    </row>
    <row r="105" spans="1:16" ht="23.25">
      <c r="B105" s="62"/>
      <c r="C105" s="62"/>
      <c r="D105" s="62"/>
      <c r="E105" s="62"/>
      <c r="F105" s="62"/>
      <c r="G105" s="61" t="s">
        <v>403</v>
      </c>
      <c r="H105" s="62"/>
      <c r="I105" s="62"/>
      <c r="J105" s="62"/>
      <c r="K105" s="62"/>
      <c r="L105" s="62"/>
      <c r="M105" s="62"/>
      <c r="N105" s="62"/>
      <c r="O105" s="62"/>
      <c r="P105" s="62"/>
    </row>
    <row r="106" spans="1:16" ht="18">
      <c r="F106" s="61" t="s">
        <v>507</v>
      </c>
    </row>
    <row r="107" spans="1:16" ht="24" thickBot="1">
      <c r="B107" s="64" t="s">
        <v>404</v>
      </c>
      <c r="F107" s="62"/>
      <c r="K107" s="64" t="s">
        <v>405</v>
      </c>
    </row>
    <row r="108" spans="1:16" ht="46.5" thickTop="1" thickBot="1">
      <c r="B108" s="65" t="s">
        <v>304</v>
      </c>
      <c r="C108" s="65" t="s">
        <v>406</v>
      </c>
      <c r="D108" s="65" t="s">
        <v>339</v>
      </c>
      <c r="E108" s="65" t="s">
        <v>407</v>
      </c>
      <c r="F108" s="154" t="s">
        <v>408</v>
      </c>
      <c r="G108" s="156"/>
      <c r="H108" s="155"/>
      <c r="I108" s="65" t="s">
        <v>409</v>
      </c>
      <c r="K108" s="65" t="s">
        <v>410</v>
      </c>
      <c r="L108" s="65" t="s">
        <v>411</v>
      </c>
      <c r="M108" s="65" t="s">
        <v>412</v>
      </c>
      <c r="N108" s="65" t="s">
        <v>413</v>
      </c>
    </row>
    <row r="109" spans="1:16" ht="16.5" thickTop="1" thickBot="1">
      <c r="B109" s="475">
        <f>المهني!OI45</f>
        <v>0</v>
      </c>
      <c r="C109" s="475">
        <f>المهني!OK45</f>
        <v>0</v>
      </c>
      <c r="D109" s="475">
        <f>المهني!OM45</f>
        <v>0</v>
      </c>
      <c r="E109" s="475">
        <f>المهني!OO45</f>
        <v>0</v>
      </c>
      <c r="F109" s="65" t="s">
        <v>414</v>
      </c>
      <c r="G109" s="65" t="s">
        <v>415</v>
      </c>
      <c r="H109" s="65" t="s">
        <v>416</v>
      </c>
      <c r="I109" s="479">
        <v>0</v>
      </c>
      <c r="K109" s="482">
        <f>المهني!Q45</f>
        <v>0</v>
      </c>
      <c r="L109" s="482">
        <f>المهني!R45</f>
        <v>0</v>
      </c>
      <c r="M109" s="482">
        <f>المهني!S45</f>
        <v>0</v>
      </c>
      <c r="N109" s="482">
        <f>المهني!T45</f>
        <v>0</v>
      </c>
    </row>
    <row r="110" spans="1:16" ht="24.75" thickTop="1" thickBot="1">
      <c r="B110" s="476"/>
      <c r="C110" s="476"/>
      <c r="D110" s="476"/>
      <c r="E110" s="476"/>
      <c r="F110" s="69">
        <f>المهني!OT45</f>
        <v>0</v>
      </c>
      <c r="G110" s="69">
        <v>0</v>
      </c>
      <c r="H110" s="69">
        <v>0</v>
      </c>
      <c r="I110" s="481"/>
      <c r="K110" s="483"/>
      <c r="L110" s="483"/>
      <c r="M110" s="483"/>
      <c r="N110" s="483"/>
    </row>
    <row r="111" spans="1:16" ht="15" thickTop="1"/>
    <row r="112" spans="1:16" ht="24" thickBot="1">
      <c r="B112" s="64" t="s">
        <v>432</v>
      </c>
      <c r="I112" s="64" t="s">
        <v>433</v>
      </c>
    </row>
    <row r="113" spans="2:12" ht="16.5" customHeight="1" thickTop="1" thickBot="1">
      <c r="B113" s="154" t="s">
        <v>417</v>
      </c>
      <c r="C113" s="156"/>
      <c r="D113" s="155"/>
      <c r="E113" s="65" t="s">
        <v>73</v>
      </c>
      <c r="F113" s="65" t="s">
        <v>29</v>
      </c>
      <c r="G113" s="65" t="s">
        <v>25</v>
      </c>
    </row>
    <row r="114" spans="2:12" ht="16.5" customHeight="1" thickTop="1" thickBot="1">
      <c r="B114" s="154" t="s">
        <v>92</v>
      </c>
      <c r="C114" s="156"/>
      <c r="D114" s="155"/>
      <c r="E114" s="65">
        <f>المهني!KY45</f>
        <v>0</v>
      </c>
      <c r="F114" s="65">
        <f>المهني!KZ45</f>
        <v>0</v>
      </c>
      <c r="G114" s="65">
        <f>SUM(E114:F114)</f>
        <v>0</v>
      </c>
      <c r="I114" s="469" t="s">
        <v>220</v>
      </c>
      <c r="J114" s="471"/>
      <c r="K114" s="469" t="s">
        <v>431</v>
      </c>
      <c r="L114" s="471"/>
    </row>
    <row r="115" spans="2:12" ht="16.5" thickTop="1" thickBot="1">
      <c r="B115" s="479" t="s">
        <v>93</v>
      </c>
      <c r="C115" s="469" t="s">
        <v>418</v>
      </c>
      <c r="D115" s="471"/>
      <c r="E115" s="65">
        <f>المهني!LA45</f>
        <v>0</v>
      </c>
      <c r="F115" s="65">
        <f>المهني!LB45</f>
        <v>0</v>
      </c>
      <c r="G115" s="65">
        <f t="shared" ref="G115:G123" si="4">SUM(E115:F115)</f>
        <v>0</v>
      </c>
      <c r="I115" s="469" t="s">
        <v>73</v>
      </c>
      <c r="J115" s="471"/>
      <c r="K115" s="469">
        <f>المهني!NC45</f>
        <v>0</v>
      </c>
      <c r="L115" s="471"/>
    </row>
    <row r="116" spans="2:12" ht="16.5" thickTop="1" thickBot="1">
      <c r="B116" s="480"/>
      <c r="C116" s="469" t="s">
        <v>287</v>
      </c>
      <c r="D116" s="471"/>
      <c r="E116" s="65">
        <f>المهني!LC45</f>
        <v>0</v>
      </c>
      <c r="F116" s="65">
        <f>المهني!LD45</f>
        <v>0</v>
      </c>
      <c r="G116" s="65">
        <f t="shared" si="4"/>
        <v>0</v>
      </c>
      <c r="I116" s="469" t="s">
        <v>29</v>
      </c>
      <c r="J116" s="471"/>
      <c r="K116" s="469">
        <f>المهني!ND45</f>
        <v>0</v>
      </c>
      <c r="L116" s="471"/>
    </row>
    <row r="117" spans="2:12" ht="16.5" thickTop="1" thickBot="1">
      <c r="B117" s="480"/>
      <c r="C117" s="469" t="s">
        <v>288</v>
      </c>
      <c r="D117" s="471"/>
      <c r="E117" s="65">
        <f>المهني!LE45</f>
        <v>0</v>
      </c>
      <c r="F117" s="65">
        <f>المهني!LF45</f>
        <v>0</v>
      </c>
      <c r="G117" s="65">
        <f t="shared" si="4"/>
        <v>0</v>
      </c>
      <c r="I117" s="469" t="s">
        <v>25</v>
      </c>
      <c r="J117" s="471"/>
      <c r="K117" s="469">
        <f>SUM(K115:K116)</f>
        <v>0</v>
      </c>
      <c r="L117" s="471"/>
    </row>
    <row r="118" spans="2:12" ht="19.5" thickTop="1" thickBot="1">
      <c r="B118" s="480"/>
      <c r="C118" s="469" t="s">
        <v>289</v>
      </c>
      <c r="D118" s="471"/>
      <c r="E118" s="65">
        <f>المهني!LG45</f>
        <v>0</v>
      </c>
      <c r="F118" s="65">
        <f>المهني!LH45</f>
        <v>0</v>
      </c>
      <c r="G118" s="65">
        <f t="shared" si="4"/>
        <v>0</v>
      </c>
      <c r="I118" s="70" t="s">
        <v>429</v>
      </c>
    </row>
    <row r="119" spans="2:12" ht="16.5" thickTop="1" thickBot="1">
      <c r="B119" s="480"/>
      <c r="C119" s="469" t="s">
        <v>290</v>
      </c>
      <c r="D119" s="471"/>
      <c r="E119" s="65">
        <f>المهني!LI45</f>
        <v>0</v>
      </c>
      <c r="F119" s="65">
        <f>المهني!LJ45</f>
        <v>0</v>
      </c>
      <c r="G119" s="65">
        <f t="shared" si="4"/>
        <v>0</v>
      </c>
      <c r="I119" s="469" t="s">
        <v>113</v>
      </c>
      <c r="J119" s="471"/>
      <c r="K119" s="469" t="s">
        <v>430</v>
      </c>
      <c r="L119" s="471"/>
    </row>
    <row r="120" spans="2:12" ht="16.5" thickTop="1" thickBot="1">
      <c r="B120" s="480"/>
      <c r="C120" s="469" t="s">
        <v>291</v>
      </c>
      <c r="D120" s="471"/>
      <c r="E120" s="67"/>
      <c r="F120" s="65">
        <f>المهني!LL45</f>
        <v>0</v>
      </c>
      <c r="G120" s="65">
        <f t="shared" si="4"/>
        <v>0</v>
      </c>
      <c r="I120" s="469" t="s">
        <v>121</v>
      </c>
      <c r="J120" s="471"/>
      <c r="K120" s="469">
        <f>المهني!SO45</f>
        <v>0</v>
      </c>
      <c r="L120" s="471"/>
    </row>
    <row r="121" spans="2:12" ht="16.5" thickTop="1" thickBot="1">
      <c r="B121" s="480"/>
      <c r="C121" s="469" t="s">
        <v>419</v>
      </c>
      <c r="D121" s="471"/>
      <c r="E121" s="65">
        <f>المهني!LM45</f>
        <v>0</v>
      </c>
      <c r="F121" s="65">
        <f>المهني!LN45</f>
        <v>0</v>
      </c>
      <c r="G121" s="65">
        <f t="shared" si="4"/>
        <v>0</v>
      </c>
      <c r="I121" s="469" t="s">
        <v>122</v>
      </c>
      <c r="J121" s="471"/>
      <c r="K121" s="469"/>
      <c r="L121" s="471"/>
    </row>
    <row r="122" spans="2:12" ht="16.5" thickTop="1" thickBot="1">
      <c r="B122" s="481"/>
      <c r="C122" s="469" t="s">
        <v>484</v>
      </c>
      <c r="D122" s="471"/>
      <c r="E122" s="65">
        <f>SUM(E115:E121)</f>
        <v>0</v>
      </c>
      <c r="F122" s="65">
        <f>SUM(F115:F121)</f>
        <v>0</v>
      </c>
      <c r="G122" s="65">
        <f t="shared" si="4"/>
        <v>0</v>
      </c>
      <c r="I122" s="469" t="s">
        <v>123</v>
      </c>
      <c r="J122" s="471"/>
      <c r="K122" s="469"/>
      <c r="L122" s="471"/>
    </row>
    <row r="123" spans="2:12" ht="30" customHeight="1" thickTop="1" thickBot="1">
      <c r="B123" s="469" t="s">
        <v>137</v>
      </c>
      <c r="C123" s="470"/>
      <c r="D123" s="471"/>
      <c r="E123" s="65">
        <f>E122+E114</f>
        <v>0</v>
      </c>
      <c r="F123" s="65">
        <f>F122+F114</f>
        <v>0</v>
      </c>
      <c r="G123" s="65">
        <f t="shared" si="4"/>
        <v>0</v>
      </c>
      <c r="I123" s="469" t="s">
        <v>211</v>
      </c>
      <c r="J123" s="471"/>
      <c r="K123" s="469"/>
      <c r="L123" s="471"/>
    </row>
    <row r="124" spans="2:12" ht="16.5" thickTop="1" thickBot="1">
      <c r="I124" s="469" t="s">
        <v>387</v>
      </c>
      <c r="J124" s="471"/>
      <c r="K124" s="469"/>
      <c r="L124" s="471"/>
    </row>
    <row r="125" spans="2:12" ht="16.5" thickTop="1" thickBot="1">
      <c r="I125" s="469" t="s">
        <v>25</v>
      </c>
      <c r="J125" s="471"/>
      <c r="K125" s="469">
        <f>SUM(K120:K124)</f>
        <v>0</v>
      </c>
      <c r="L125" s="471"/>
    </row>
    <row r="126" spans="2:12" ht="24.75" thickTop="1" thickBot="1">
      <c r="B126" s="68" t="s">
        <v>434</v>
      </c>
    </row>
    <row r="127" spans="2:12" ht="16.5" customHeight="1" thickTop="1" thickBot="1">
      <c r="B127" s="154" t="s">
        <v>420</v>
      </c>
      <c r="C127" s="155"/>
      <c r="D127" s="477" t="s">
        <v>421</v>
      </c>
      <c r="E127" s="478"/>
      <c r="F127" s="469" t="s">
        <v>422</v>
      </c>
      <c r="G127" s="471"/>
      <c r="H127" s="469" t="s">
        <v>457</v>
      </c>
      <c r="I127" s="471"/>
      <c r="J127" s="469" t="s">
        <v>423</v>
      </c>
      <c r="K127" s="470"/>
      <c r="L127" s="471"/>
    </row>
    <row r="128" spans="2:12" ht="16.5" thickTop="1" thickBot="1">
      <c r="B128" s="65" t="s">
        <v>73</v>
      </c>
      <c r="C128" s="65" t="s">
        <v>29</v>
      </c>
      <c r="D128" s="65" t="s">
        <v>73</v>
      </c>
      <c r="E128" s="65" t="s">
        <v>29</v>
      </c>
      <c r="F128" s="65" t="s">
        <v>73</v>
      </c>
      <c r="G128" s="65" t="s">
        <v>29</v>
      </c>
      <c r="H128" s="65" t="s">
        <v>73</v>
      </c>
      <c r="I128" s="65" t="s">
        <v>29</v>
      </c>
      <c r="J128" s="65" t="s">
        <v>73</v>
      </c>
      <c r="K128" s="65" t="s">
        <v>29</v>
      </c>
      <c r="L128" s="65" t="s">
        <v>25</v>
      </c>
    </row>
    <row r="129" spans="2:14" ht="16.5" thickTop="1" thickBot="1">
      <c r="B129" s="65">
        <f>المهني!LT45</f>
        <v>0</v>
      </c>
      <c r="C129" s="65">
        <f>المهني!LU45</f>
        <v>0</v>
      </c>
      <c r="D129" s="65">
        <f>المهني!LV45</f>
        <v>0</v>
      </c>
      <c r="E129" s="65">
        <f>المهني!LW45</f>
        <v>0</v>
      </c>
      <c r="F129" s="65">
        <f>المهني!LX45</f>
        <v>0</v>
      </c>
      <c r="G129" s="65">
        <f>المهني!LY45</f>
        <v>0</v>
      </c>
      <c r="H129" s="65">
        <f>المهني!LZ45</f>
        <v>0</v>
      </c>
      <c r="I129" s="65">
        <f>المهني!MA45</f>
        <v>0</v>
      </c>
      <c r="J129" s="65">
        <f>F129+D129+B129+H129</f>
        <v>0</v>
      </c>
      <c r="K129" s="65">
        <f>G129+E129+C129+I129</f>
        <v>0</v>
      </c>
      <c r="L129" s="65">
        <f>SUM(J129:K129)</f>
        <v>0</v>
      </c>
    </row>
    <row r="130" spans="2:14" ht="15" thickTop="1"/>
    <row r="131" spans="2:14" ht="24" thickBot="1">
      <c r="B131" s="68" t="s">
        <v>435</v>
      </c>
    </row>
    <row r="132" spans="2:14" ht="16.5" thickTop="1" thickBot="1">
      <c r="B132" s="154" t="s">
        <v>424</v>
      </c>
      <c r="C132" s="155"/>
      <c r="D132" s="477" t="s">
        <v>425</v>
      </c>
      <c r="E132" s="478"/>
      <c r="F132" s="469" t="s">
        <v>426</v>
      </c>
      <c r="G132" s="471"/>
      <c r="H132" s="469" t="s">
        <v>427</v>
      </c>
      <c r="I132" s="471"/>
      <c r="J132" s="469" t="s">
        <v>454</v>
      </c>
      <c r="K132" s="471"/>
      <c r="L132" s="469" t="s">
        <v>25</v>
      </c>
      <c r="M132" s="470"/>
      <c r="N132" s="471"/>
    </row>
    <row r="133" spans="2:14" ht="16.5" thickTop="1" thickBot="1">
      <c r="B133" s="65" t="s">
        <v>73</v>
      </c>
      <c r="C133" s="65" t="s">
        <v>29</v>
      </c>
      <c r="D133" s="65" t="s">
        <v>73</v>
      </c>
      <c r="E133" s="65" t="s">
        <v>29</v>
      </c>
      <c r="F133" s="65" t="s">
        <v>73</v>
      </c>
      <c r="G133" s="65" t="s">
        <v>29</v>
      </c>
      <c r="H133" s="65" t="s">
        <v>73</v>
      </c>
      <c r="I133" s="65" t="s">
        <v>29</v>
      </c>
      <c r="J133" s="65" t="s">
        <v>73</v>
      </c>
      <c r="K133" s="65" t="s">
        <v>29</v>
      </c>
      <c r="L133" s="65" t="s">
        <v>73</v>
      </c>
      <c r="M133" s="65" t="s">
        <v>29</v>
      </c>
      <c r="N133" s="65" t="s">
        <v>25</v>
      </c>
    </row>
    <row r="134" spans="2:14" ht="16.5" thickTop="1" thickBot="1">
      <c r="B134" s="65">
        <f>المهني!ME45</f>
        <v>0</v>
      </c>
      <c r="C134" s="65">
        <f>المهني!MF45</f>
        <v>0</v>
      </c>
      <c r="D134" s="65">
        <f>المهني!MG45</f>
        <v>0</v>
      </c>
      <c r="E134" s="65">
        <f>المهني!MH45</f>
        <v>0</v>
      </c>
      <c r="F134" s="65">
        <f>المهني!MI45</f>
        <v>0</v>
      </c>
      <c r="G134" s="65">
        <f>المهني!MJ45</f>
        <v>0</v>
      </c>
      <c r="H134" s="65">
        <f>المهني!MK45</f>
        <v>0</v>
      </c>
      <c r="I134" s="65">
        <f>المهني!ML45</f>
        <v>0</v>
      </c>
      <c r="J134" s="65">
        <f>المهني!MM45</f>
        <v>0</v>
      </c>
      <c r="K134" s="65">
        <f>المهني!MN45</f>
        <v>0</v>
      </c>
      <c r="L134" s="65">
        <f>J134+H134+F134+D134+B134</f>
        <v>0</v>
      </c>
      <c r="M134" s="65">
        <f>K134+I134+G134+E134+C134</f>
        <v>0</v>
      </c>
      <c r="N134" s="65">
        <f>SUM(L134:M134)</f>
        <v>0</v>
      </c>
    </row>
    <row r="135" spans="2:14" ht="15" thickTop="1"/>
  </sheetData>
  <mergeCells count="220">
    <mergeCell ref="I114:J114"/>
    <mergeCell ref="K114:L114"/>
    <mergeCell ref="M109:M110"/>
    <mergeCell ref="N109:N110"/>
    <mergeCell ref="I24:J24"/>
    <mergeCell ref="K24:L24"/>
    <mergeCell ref="I25:J25"/>
    <mergeCell ref="K25:L25"/>
    <mergeCell ref="L70:N70"/>
    <mergeCell ref="L37:N37"/>
    <mergeCell ref="I55:J55"/>
    <mergeCell ref="K55:L55"/>
    <mergeCell ref="I56:J56"/>
    <mergeCell ref="K56:L56"/>
    <mergeCell ref="H27:I27"/>
    <mergeCell ref="K54:L54"/>
    <mergeCell ref="M42:M43"/>
    <mergeCell ref="N42:N43"/>
    <mergeCell ref="D132:E132"/>
    <mergeCell ref="F132:G132"/>
    <mergeCell ref="H132:I132"/>
    <mergeCell ref="J132:K132"/>
    <mergeCell ref="L132:N132"/>
    <mergeCell ref="C121:D121"/>
    <mergeCell ref="C122:D122"/>
    <mergeCell ref="D127:E127"/>
    <mergeCell ref="F127:G127"/>
    <mergeCell ref="I124:J124"/>
    <mergeCell ref="K124:L124"/>
    <mergeCell ref="I125:J125"/>
    <mergeCell ref="K125:L125"/>
    <mergeCell ref="I123:J123"/>
    <mergeCell ref="K123:L123"/>
    <mergeCell ref="J127:L127"/>
    <mergeCell ref="H127:I127"/>
    <mergeCell ref="B115:B122"/>
    <mergeCell ref="C115:D115"/>
    <mergeCell ref="I115:J115"/>
    <mergeCell ref="K115:L115"/>
    <mergeCell ref="C116:D116"/>
    <mergeCell ref="I116:J116"/>
    <mergeCell ref="K116:L116"/>
    <mergeCell ref="C117:D117"/>
    <mergeCell ref="I121:J121"/>
    <mergeCell ref="K121:L121"/>
    <mergeCell ref="I122:J122"/>
    <mergeCell ref="K122:L122"/>
    <mergeCell ref="I119:J119"/>
    <mergeCell ref="K120:L120"/>
    <mergeCell ref="K119:L119"/>
    <mergeCell ref="I120:J120"/>
    <mergeCell ref="C119:D119"/>
    <mergeCell ref="C118:D118"/>
    <mergeCell ref="I117:J117"/>
    <mergeCell ref="K117:L117"/>
    <mergeCell ref="C120:D120"/>
    <mergeCell ref="B109:B110"/>
    <mergeCell ref="C109:C110"/>
    <mergeCell ref="D109:D110"/>
    <mergeCell ref="H93:I93"/>
    <mergeCell ref="L109:L110"/>
    <mergeCell ref="J93:L93"/>
    <mergeCell ref="K85:L85"/>
    <mergeCell ref="I86:J86"/>
    <mergeCell ref="K86:L86"/>
    <mergeCell ref="K87:L87"/>
    <mergeCell ref="I88:J88"/>
    <mergeCell ref="K89:L89"/>
    <mergeCell ref="I87:J87"/>
    <mergeCell ref="B81:B88"/>
    <mergeCell ref="C81:D81"/>
    <mergeCell ref="I81:J81"/>
    <mergeCell ref="K81:L81"/>
    <mergeCell ref="C82:D82"/>
    <mergeCell ref="I82:J82"/>
    <mergeCell ref="K82:L82"/>
    <mergeCell ref="I90:J90"/>
    <mergeCell ref="K90:L90"/>
    <mergeCell ref="K88:L88"/>
    <mergeCell ref="I89:J89"/>
    <mergeCell ref="K109:K110"/>
    <mergeCell ref="I80:J80"/>
    <mergeCell ref="K80:L80"/>
    <mergeCell ref="D98:E98"/>
    <mergeCell ref="F98:G98"/>
    <mergeCell ref="H98:I98"/>
    <mergeCell ref="J98:K98"/>
    <mergeCell ref="L98:N98"/>
    <mergeCell ref="K91:L91"/>
    <mergeCell ref="C87:D87"/>
    <mergeCell ref="C88:D88"/>
    <mergeCell ref="I91:J91"/>
    <mergeCell ref="L104:N104"/>
    <mergeCell ref="E109:E110"/>
    <mergeCell ref="I109:I110"/>
    <mergeCell ref="D93:E93"/>
    <mergeCell ref="F93:G93"/>
    <mergeCell ref="C83:D83"/>
    <mergeCell ref="K83:L83"/>
    <mergeCell ref="C84:D84"/>
    <mergeCell ref="B89:D89"/>
    <mergeCell ref="C85:D85"/>
    <mergeCell ref="C86:D86"/>
    <mergeCell ref="I85:J85"/>
    <mergeCell ref="I83:J83"/>
    <mergeCell ref="B75:B76"/>
    <mergeCell ref="C75:C76"/>
    <mergeCell ref="D75:D76"/>
    <mergeCell ref="E75:E76"/>
    <mergeCell ref="I75:I76"/>
    <mergeCell ref="K75:K76"/>
    <mergeCell ref="L75:L76"/>
    <mergeCell ref="M75:M76"/>
    <mergeCell ref="N75:N76"/>
    <mergeCell ref="B65:C65"/>
    <mergeCell ref="D65:E65"/>
    <mergeCell ref="F65:G65"/>
    <mergeCell ref="H65:I65"/>
    <mergeCell ref="J65:K65"/>
    <mergeCell ref="L65:N65"/>
    <mergeCell ref="C54:D54"/>
    <mergeCell ref="C56:D56"/>
    <mergeCell ref="B60:C60"/>
    <mergeCell ref="D60:E60"/>
    <mergeCell ref="F60:G60"/>
    <mergeCell ref="I58:J58"/>
    <mergeCell ref="K58:L58"/>
    <mergeCell ref="H60:I60"/>
    <mergeCell ref="J60:L60"/>
    <mergeCell ref="C55:D55"/>
    <mergeCell ref="B57:D57"/>
    <mergeCell ref="B48:B56"/>
    <mergeCell ref="I50:J50"/>
    <mergeCell ref="K50:L50"/>
    <mergeCell ref="I57:J57"/>
    <mergeCell ref="K57:L57"/>
    <mergeCell ref="I54:J54"/>
    <mergeCell ref="C51:D51"/>
    <mergeCell ref="C52:D52"/>
    <mergeCell ref="C53:D53"/>
    <mergeCell ref="C48:D48"/>
    <mergeCell ref="I48:J48"/>
    <mergeCell ref="K48:L48"/>
    <mergeCell ref="C49:D49"/>
    <mergeCell ref="I49:J49"/>
    <mergeCell ref="K49:L49"/>
    <mergeCell ref="C50:D50"/>
    <mergeCell ref="K52:L52"/>
    <mergeCell ref="I53:J53"/>
    <mergeCell ref="K53:L53"/>
    <mergeCell ref="I52:J52"/>
    <mergeCell ref="B47:D47"/>
    <mergeCell ref="I47:J47"/>
    <mergeCell ref="K47:L47"/>
    <mergeCell ref="B42:B43"/>
    <mergeCell ref="C42:C43"/>
    <mergeCell ref="D42:D43"/>
    <mergeCell ref="E42:E43"/>
    <mergeCell ref="I42:I43"/>
    <mergeCell ref="K42:K43"/>
    <mergeCell ref="L42:L43"/>
    <mergeCell ref="I21:J21"/>
    <mergeCell ref="K21:L21"/>
    <mergeCell ref="I22:J22"/>
    <mergeCell ref="K22:L22"/>
    <mergeCell ref="J27:L27"/>
    <mergeCell ref="C13:D13"/>
    <mergeCell ref="I13:J13"/>
    <mergeCell ref="K13:L13"/>
    <mergeCell ref="B46:D46"/>
    <mergeCell ref="I23:J23"/>
    <mergeCell ref="K23:L23"/>
    <mergeCell ref="K15:L15"/>
    <mergeCell ref="C16:D16"/>
    <mergeCell ref="C17:D17"/>
    <mergeCell ref="C18:D18"/>
    <mergeCell ref="I17:J17"/>
    <mergeCell ref="K17:L17"/>
    <mergeCell ref="I18:J18"/>
    <mergeCell ref="C15:D15"/>
    <mergeCell ref="B32:C32"/>
    <mergeCell ref="D32:E32"/>
    <mergeCell ref="F32:G32"/>
    <mergeCell ref="H32:I32"/>
    <mergeCell ref="J32:K32"/>
    <mergeCell ref="L32:N32"/>
    <mergeCell ref="C19:D19"/>
    <mergeCell ref="C21:D21"/>
    <mergeCell ref="B27:C27"/>
    <mergeCell ref="D27:E27"/>
    <mergeCell ref="F27:G27"/>
    <mergeCell ref="I20:J20"/>
    <mergeCell ref="K20:L20"/>
    <mergeCell ref="C20:D20"/>
    <mergeCell ref="B22:D22"/>
    <mergeCell ref="B13:B21"/>
    <mergeCell ref="B123:D123"/>
    <mergeCell ref="M7:M8"/>
    <mergeCell ref="N7:N8"/>
    <mergeCell ref="B11:D11"/>
    <mergeCell ref="B12:D12"/>
    <mergeCell ref="I12:J12"/>
    <mergeCell ref="K12:L12"/>
    <mergeCell ref="A2:E2"/>
    <mergeCell ref="L2:N2"/>
    <mergeCell ref="F6:H6"/>
    <mergeCell ref="B7:B8"/>
    <mergeCell ref="C7:C8"/>
    <mergeCell ref="D7:D8"/>
    <mergeCell ref="E7:E8"/>
    <mergeCell ref="I7:I8"/>
    <mergeCell ref="K7:K8"/>
    <mergeCell ref="L7:L8"/>
    <mergeCell ref="C14:D14"/>
    <mergeCell ref="I14:J14"/>
    <mergeCell ref="K14:L14"/>
    <mergeCell ref="K18:L18"/>
    <mergeCell ref="I19:J19"/>
    <mergeCell ref="K19:L19"/>
    <mergeCell ref="I15:J15"/>
  </mergeCells>
  <pageMargins left="0.2" right="0.2" top="0.2" bottom="0.2" header="0.2" footer="0.2"/>
  <pageSetup paperSize="9" scale="87" orientation="landscape" horizontalDpi="300" verticalDpi="300" r:id="rId1"/>
  <rowBreaks count="3" manualBreakCount="3">
    <brk id="35" max="16383" man="1"/>
    <brk id="68" max="16383" man="1"/>
    <brk id="102" max="16383" man="1"/>
  </rowBreaks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Q169"/>
  <sheetViews>
    <sheetView rightToLeft="1" view="pageBreakPreview" zoomScale="90" zoomScaleNormal="100" zoomScaleSheetLayoutView="90" workbookViewId="0">
      <selection activeCell="A13" sqref="A13"/>
    </sheetView>
  </sheetViews>
  <sheetFormatPr defaultRowHeight="14.25"/>
  <cols>
    <col min="14" max="14" width="9.875" customWidth="1"/>
  </cols>
  <sheetData>
    <row r="1" spans="1:16" ht="23.25">
      <c r="A1" s="61" t="s">
        <v>204</v>
      </c>
      <c r="B1" s="62"/>
      <c r="C1" s="62"/>
      <c r="D1" s="62"/>
      <c r="E1" s="62"/>
      <c r="F1" s="63"/>
      <c r="G1" s="63"/>
      <c r="H1" s="63"/>
      <c r="I1" s="63"/>
      <c r="J1" s="63"/>
      <c r="K1" s="63"/>
      <c r="L1" s="61" t="s">
        <v>188</v>
      </c>
      <c r="M1" s="62"/>
      <c r="N1" s="62"/>
      <c r="O1" s="63"/>
      <c r="P1" s="63"/>
    </row>
    <row r="2" spans="1:16" ht="23.25">
      <c r="A2" s="474" t="s">
        <v>185</v>
      </c>
      <c r="B2" s="474"/>
      <c r="C2" s="474"/>
      <c r="D2" s="474"/>
      <c r="E2" s="474"/>
      <c r="F2" s="63"/>
      <c r="G2" s="63"/>
      <c r="H2" s="63"/>
      <c r="I2" s="63"/>
      <c r="J2" s="63"/>
      <c r="K2" s="63"/>
      <c r="L2" s="61" t="s">
        <v>508</v>
      </c>
      <c r="M2" s="61"/>
      <c r="N2" s="61"/>
      <c r="O2" s="63"/>
      <c r="P2" s="63"/>
    </row>
    <row r="3" spans="1:16" ht="23.25">
      <c r="B3" s="62"/>
      <c r="C3" s="62"/>
      <c r="D3" s="62"/>
      <c r="E3" s="62"/>
      <c r="F3" s="62"/>
      <c r="G3" s="61" t="s">
        <v>403</v>
      </c>
      <c r="H3" s="62"/>
      <c r="I3" s="62"/>
      <c r="J3" s="62"/>
      <c r="K3" s="62"/>
      <c r="L3" s="62"/>
      <c r="M3" s="62"/>
      <c r="N3" s="62"/>
      <c r="O3" s="62"/>
      <c r="P3" s="62"/>
    </row>
    <row r="4" spans="1:16" ht="18">
      <c r="F4" s="61" t="s">
        <v>509</v>
      </c>
    </row>
    <row r="5" spans="1:16" ht="24" thickBot="1">
      <c r="B5" s="64" t="s">
        <v>404</v>
      </c>
      <c r="F5" s="62"/>
      <c r="K5" s="64" t="s">
        <v>405</v>
      </c>
    </row>
    <row r="6" spans="1:16" ht="76.5" thickTop="1" thickBot="1">
      <c r="B6" s="65" t="s">
        <v>304</v>
      </c>
      <c r="C6" s="65" t="s">
        <v>406</v>
      </c>
      <c r="D6" s="65" t="s">
        <v>339</v>
      </c>
      <c r="E6" s="65" t="s">
        <v>407</v>
      </c>
      <c r="F6" s="469" t="s">
        <v>408</v>
      </c>
      <c r="G6" s="470"/>
      <c r="H6" s="471"/>
      <c r="I6" s="65" t="s">
        <v>409</v>
      </c>
      <c r="K6" s="65" t="s">
        <v>410</v>
      </c>
      <c r="L6" s="65" t="s">
        <v>411</v>
      </c>
      <c r="M6" s="65" t="s">
        <v>412</v>
      </c>
      <c r="N6" s="65" t="s">
        <v>413</v>
      </c>
    </row>
    <row r="7" spans="1:16" ht="16.5" customHeight="1" thickTop="1" thickBot="1">
      <c r="B7" s="472">
        <f>المهني!OI17</f>
        <v>0</v>
      </c>
      <c r="C7" s="472">
        <f>المهني!OK17</f>
        <v>1</v>
      </c>
      <c r="D7" s="472">
        <f>المهني!OM17</f>
        <v>1</v>
      </c>
      <c r="E7" s="472">
        <f>المهني!OO17</f>
        <v>0</v>
      </c>
      <c r="F7" s="65" t="s">
        <v>414</v>
      </c>
      <c r="G7" s="65" t="s">
        <v>415</v>
      </c>
      <c r="H7" s="65" t="s">
        <v>416</v>
      </c>
      <c r="I7" s="475">
        <v>0</v>
      </c>
      <c r="K7" s="472">
        <f>المهني!Q17</f>
        <v>1</v>
      </c>
      <c r="L7" s="472">
        <f>المهني!R17</f>
        <v>0</v>
      </c>
      <c r="M7" s="472">
        <f>المهني!S17</f>
        <v>0</v>
      </c>
      <c r="N7" s="472">
        <f>المهني!T17</f>
        <v>0</v>
      </c>
    </row>
    <row r="8" spans="1:16" ht="21.75" thickTop="1" thickBot="1">
      <c r="B8" s="473"/>
      <c r="C8" s="473"/>
      <c r="D8" s="473"/>
      <c r="E8" s="473"/>
      <c r="F8" s="66">
        <f>المهني!OT17</f>
        <v>0</v>
      </c>
      <c r="G8" s="66">
        <v>0</v>
      </c>
      <c r="H8" s="66">
        <v>0</v>
      </c>
      <c r="I8" s="476"/>
      <c r="K8" s="473"/>
      <c r="L8" s="473"/>
      <c r="M8" s="473"/>
      <c r="N8" s="473"/>
    </row>
    <row r="9" spans="1:16" ht="15" thickTop="1"/>
    <row r="10" spans="1:16" ht="24" thickBot="1">
      <c r="B10" s="64" t="s">
        <v>432</v>
      </c>
      <c r="I10" s="64" t="s">
        <v>433</v>
      </c>
    </row>
    <row r="11" spans="1:16" ht="19.5" customHeight="1" thickTop="1" thickBot="1">
      <c r="B11" s="469" t="s">
        <v>417</v>
      </c>
      <c r="C11" s="470"/>
      <c r="D11" s="471"/>
      <c r="E11" s="65" t="s">
        <v>73</v>
      </c>
      <c r="F11" s="65" t="s">
        <v>29</v>
      </c>
      <c r="G11" s="65" t="s">
        <v>25</v>
      </c>
    </row>
    <row r="12" spans="1:16" ht="19.5" thickTop="1" thickBot="1">
      <c r="B12" s="469" t="s">
        <v>92</v>
      </c>
      <c r="C12" s="470"/>
      <c r="D12" s="471"/>
      <c r="E12" s="84">
        <f>المهني!KY17</f>
        <v>13</v>
      </c>
      <c r="F12" s="84">
        <f>المهني!KZ17</f>
        <v>19</v>
      </c>
      <c r="G12" s="84">
        <f>SUM(E12:F12)</f>
        <v>32</v>
      </c>
      <c r="I12" s="469" t="s">
        <v>220</v>
      </c>
      <c r="J12" s="471"/>
      <c r="K12" s="469" t="s">
        <v>431</v>
      </c>
      <c r="L12" s="471"/>
    </row>
    <row r="13" spans="1:16" ht="19.5" thickTop="1" thickBot="1">
      <c r="B13" s="479" t="s">
        <v>93</v>
      </c>
      <c r="C13" s="469" t="s">
        <v>418</v>
      </c>
      <c r="D13" s="471"/>
      <c r="E13" s="84">
        <f>المهني!LA17</f>
        <v>0</v>
      </c>
      <c r="F13" s="84">
        <f>المهني!LB17</f>
        <v>0</v>
      </c>
      <c r="G13" s="84">
        <f t="shared" ref="G13:G21" si="0">SUM(E13:F13)</f>
        <v>0</v>
      </c>
      <c r="I13" s="469" t="s">
        <v>73</v>
      </c>
      <c r="J13" s="471"/>
      <c r="K13" s="488">
        <f>المهني!NC17</f>
        <v>0</v>
      </c>
      <c r="L13" s="489"/>
    </row>
    <row r="14" spans="1:16" ht="19.5" thickTop="1" thickBot="1">
      <c r="B14" s="480"/>
      <c r="C14" s="469" t="s">
        <v>287</v>
      </c>
      <c r="D14" s="471"/>
      <c r="E14" s="84">
        <f>المهني!LC17</f>
        <v>0</v>
      </c>
      <c r="F14" s="84">
        <f>المهني!LD17</f>
        <v>0</v>
      </c>
      <c r="G14" s="84">
        <f t="shared" si="0"/>
        <v>0</v>
      </c>
      <c r="I14" s="469" t="s">
        <v>29</v>
      </c>
      <c r="J14" s="471"/>
      <c r="K14" s="488">
        <f>المهني!ND17</f>
        <v>0</v>
      </c>
      <c r="L14" s="489"/>
    </row>
    <row r="15" spans="1:16" ht="19.5" thickTop="1" thickBot="1">
      <c r="B15" s="480"/>
      <c r="C15" s="469" t="s">
        <v>288</v>
      </c>
      <c r="D15" s="471"/>
      <c r="E15" s="84">
        <f>المهني!LE17</f>
        <v>0</v>
      </c>
      <c r="F15" s="84">
        <f>المهني!LF17</f>
        <v>0</v>
      </c>
      <c r="G15" s="84">
        <f t="shared" si="0"/>
        <v>0</v>
      </c>
      <c r="I15" s="469" t="s">
        <v>25</v>
      </c>
      <c r="J15" s="471"/>
      <c r="K15" s="488">
        <f>K14+K13</f>
        <v>0</v>
      </c>
      <c r="L15" s="489"/>
    </row>
    <row r="16" spans="1:16" ht="19.5" thickTop="1" thickBot="1">
      <c r="B16" s="480"/>
      <c r="C16" s="469" t="s">
        <v>289</v>
      </c>
      <c r="D16" s="471"/>
      <c r="E16" s="84">
        <f>المهني!LG17</f>
        <v>0</v>
      </c>
      <c r="F16" s="84">
        <f>المهني!LH17</f>
        <v>0</v>
      </c>
      <c r="G16" s="84">
        <f t="shared" si="0"/>
        <v>0</v>
      </c>
      <c r="I16" s="70" t="s">
        <v>429</v>
      </c>
    </row>
    <row r="17" spans="2:14" ht="19.5" thickTop="1" thickBot="1">
      <c r="B17" s="480"/>
      <c r="C17" s="469" t="s">
        <v>290</v>
      </c>
      <c r="D17" s="471"/>
      <c r="E17" s="84">
        <f>المهني!LI17</f>
        <v>0</v>
      </c>
      <c r="F17" s="84">
        <f>المهني!LJ17</f>
        <v>0</v>
      </c>
      <c r="G17" s="84">
        <f t="shared" si="0"/>
        <v>0</v>
      </c>
      <c r="I17" s="469" t="s">
        <v>113</v>
      </c>
      <c r="J17" s="471"/>
      <c r="K17" s="469" t="s">
        <v>430</v>
      </c>
      <c r="L17" s="471"/>
      <c r="M17" s="71"/>
      <c r="N17" s="71"/>
    </row>
    <row r="18" spans="2:14" ht="19.5" thickTop="1" thickBot="1">
      <c r="B18" s="480"/>
      <c r="C18" s="469" t="s">
        <v>291</v>
      </c>
      <c r="D18" s="471"/>
      <c r="E18" s="85"/>
      <c r="F18" s="84">
        <f>المهني!LL17</f>
        <v>0</v>
      </c>
      <c r="G18" s="84">
        <f t="shared" si="0"/>
        <v>0</v>
      </c>
      <c r="I18" s="469" t="s">
        <v>121</v>
      </c>
      <c r="J18" s="471"/>
      <c r="K18" s="488">
        <f>المهني!SO17</f>
        <v>2</v>
      </c>
      <c r="L18" s="489"/>
      <c r="M18" s="71"/>
      <c r="N18" s="71"/>
    </row>
    <row r="19" spans="2:14" ht="19.5" thickTop="1" thickBot="1">
      <c r="B19" s="480"/>
      <c r="C19" s="469" t="s">
        <v>419</v>
      </c>
      <c r="D19" s="471"/>
      <c r="E19" s="84">
        <f>المهني!LM17</f>
        <v>0</v>
      </c>
      <c r="F19" s="84">
        <f>المهني!LN17</f>
        <v>0</v>
      </c>
      <c r="G19" s="84">
        <f t="shared" si="0"/>
        <v>0</v>
      </c>
      <c r="I19" s="469" t="s">
        <v>122</v>
      </c>
      <c r="J19" s="471"/>
      <c r="K19" s="488"/>
      <c r="L19" s="489"/>
      <c r="M19" s="71"/>
      <c r="N19" s="71"/>
    </row>
    <row r="20" spans="2:14" ht="19.5" thickTop="1" thickBot="1">
      <c r="B20" s="480"/>
      <c r="C20" s="469" t="s">
        <v>492</v>
      </c>
      <c r="D20" s="471"/>
      <c r="E20" s="84">
        <f>المهني!LO17</f>
        <v>0</v>
      </c>
      <c r="F20" s="84">
        <f>المهني!LP17</f>
        <v>0</v>
      </c>
      <c r="G20" s="84">
        <f t="shared" si="0"/>
        <v>0</v>
      </c>
      <c r="I20" s="469" t="s">
        <v>123</v>
      </c>
      <c r="J20" s="471"/>
      <c r="K20" s="488"/>
      <c r="L20" s="489"/>
      <c r="M20" s="71"/>
      <c r="N20" s="71"/>
    </row>
    <row r="21" spans="2:14" ht="19.5" thickTop="1" thickBot="1">
      <c r="B21" s="481"/>
      <c r="C21" s="469"/>
      <c r="D21" s="471"/>
      <c r="E21" s="84"/>
      <c r="F21" s="84"/>
      <c r="G21" s="84">
        <f t="shared" si="0"/>
        <v>0</v>
      </c>
      <c r="I21" s="469" t="s">
        <v>211</v>
      </c>
      <c r="J21" s="471"/>
      <c r="K21" s="488"/>
      <c r="L21" s="489"/>
      <c r="M21" s="71"/>
      <c r="N21" s="71"/>
    </row>
    <row r="22" spans="2:14" ht="19.5" thickTop="1" thickBot="1">
      <c r="B22" s="469" t="s">
        <v>137</v>
      </c>
      <c r="C22" s="470"/>
      <c r="D22" s="471"/>
      <c r="E22" s="84">
        <f>SUM(E12:E21)</f>
        <v>13</v>
      </c>
      <c r="F22" s="84">
        <f>SUM(F12:F21)</f>
        <v>19</v>
      </c>
      <c r="G22" s="84">
        <f>SUM(G12:G21)</f>
        <v>32</v>
      </c>
      <c r="I22" s="469" t="s">
        <v>387</v>
      </c>
      <c r="J22" s="471"/>
      <c r="K22" s="469"/>
      <c r="L22" s="471"/>
      <c r="M22" s="71"/>
      <c r="N22" s="71"/>
    </row>
    <row r="23" spans="2:14" ht="16.5" thickTop="1" thickBot="1">
      <c r="I23" s="469" t="s">
        <v>25</v>
      </c>
      <c r="J23" s="471"/>
      <c r="K23" s="469">
        <f>K18+K19+K20+K21+K22</f>
        <v>2</v>
      </c>
      <c r="L23" s="471"/>
      <c r="M23" s="71"/>
      <c r="N23" s="71"/>
    </row>
    <row r="24" spans="2:14" ht="15.75" thickTop="1">
      <c r="I24" s="71"/>
      <c r="J24" s="71"/>
      <c r="K24" s="71"/>
      <c r="L24" s="71"/>
      <c r="M24" s="71"/>
      <c r="N24" s="71"/>
    </row>
    <row r="25" spans="2:14" ht="24" thickBot="1">
      <c r="B25" s="68" t="s">
        <v>434</v>
      </c>
    </row>
    <row r="26" spans="2:14" s="70" customFormat="1" ht="19.5" thickTop="1" thickBot="1">
      <c r="B26" s="484" t="s">
        <v>420</v>
      </c>
      <c r="C26" s="485"/>
      <c r="D26" s="486" t="s">
        <v>421</v>
      </c>
      <c r="E26" s="487"/>
      <c r="F26" s="484" t="s">
        <v>422</v>
      </c>
      <c r="G26" s="485"/>
      <c r="H26" s="484" t="s">
        <v>457</v>
      </c>
      <c r="I26" s="485"/>
      <c r="J26" s="484" t="s">
        <v>423</v>
      </c>
      <c r="K26" s="490"/>
      <c r="L26" s="485"/>
    </row>
    <row r="27" spans="2:14" s="70" customFormat="1" ht="19.5" thickTop="1" thickBot="1">
      <c r="B27" s="83" t="s">
        <v>73</v>
      </c>
      <c r="C27" s="83" t="s">
        <v>29</v>
      </c>
      <c r="D27" s="83" t="s">
        <v>73</v>
      </c>
      <c r="E27" s="83" t="s">
        <v>29</v>
      </c>
      <c r="F27" s="83" t="s">
        <v>73</v>
      </c>
      <c r="G27" s="83" t="s">
        <v>29</v>
      </c>
      <c r="H27" s="83" t="s">
        <v>73</v>
      </c>
      <c r="I27" s="83" t="s">
        <v>29</v>
      </c>
      <c r="J27" s="83" t="s">
        <v>73</v>
      </c>
      <c r="K27" s="83" t="s">
        <v>29</v>
      </c>
      <c r="L27" s="83" t="s">
        <v>25</v>
      </c>
    </row>
    <row r="28" spans="2:14" s="70" customFormat="1" ht="19.5" thickTop="1" thickBot="1">
      <c r="B28" s="83">
        <f>المهني!LT17</f>
        <v>9</v>
      </c>
      <c r="C28" s="83">
        <f>المهني!LU17</f>
        <v>12</v>
      </c>
      <c r="D28" s="83">
        <f>المهني!LV17</f>
        <v>0</v>
      </c>
      <c r="E28" s="83">
        <f>المهني!LW17</f>
        <v>4</v>
      </c>
      <c r="F28" s="83">
        <f>المهني!LX17</f>
        <v>4</v>
      </c>
      <c r="G28" s="83">
        <f>المهني!LY17</f>
        <v>2</v>
      </c>
      <c r="H28" s="83">
        <f>المهني!LZ17</f>
        <v>0</v>
      </c>
      <c r="I28" s="83">
        <f>المهني!MA17</f>
        <v>1</v>
      </c>
      <c r="J28" s="83">
        <f>F28+D28+B28+H28</f>
        <v>13</v>
      </c>
      <c r="K28" s="83">
        <f>G28+E28+C28+I28</f>
        <v>19</v>
      </c>
      <c r="L28" s="83">
        <f>SUM(J28:K28)</f>
        <v>32</v>
      </c>
    </row>
    <row r="29" spans="2:14" ht="15" thickTop="1"/>
    <row r="30" spans="2:14" ht="24" thickBot="1">
      <c r="B30" s="68" t="s">
        <v>435</v>
      </c>
    </row>
    <row r="31" spans="2:14" s="70" customFormat="1" ht="19.5" thickTop="1" thickBot="1">
      <c r="B31" s="484" t="s">
        <v>424</v>
      </c>
      <c r="C31" s="485"/>
      <c r="D31" s="486" t="s">
        <v>425</v>
      </c>
      <c r="E31" s="487"/>
      <c r="F31" s="484" t="s">
        <v>426</v>
      </c>
      <c r="G31" s="485"/>
      <c r="H31" s="158" t="s">
        <v>427</v>
      </c>
      <c r="I31" s="159"/>
      <c r="J31" s="484" t="s">
        <v>455</v>
      </c>
      <c r="K31" s="485"/>
      <c r="L31" s="158" t="s">
        <v>25</v>
      </c>
      <c r="M31" s="160"/>
      <c r="N31" s="159"/>
    </row>
    <row r="32" spans="2:14" s="70" customFormat="1" ht="19.5" thickTop="1" thickBot="1">
      <c r="B32" s="83" t="s">
        <v>73</v>
      </c>
      <c r="C32" s="83" t="s">
        <v>29</v>
      </c>
      <c r="D32" s="83" t="s">
        <v>73</v>
      </c>
      <c r="E32" s="83" t="s">
        <v>29</v>
      </c>
      <c r="F32" s="83" t="s">
        <v>73</v>
      </c>
      <c r="G32" s="83" t="s">
        <v>29</v>
      </c>
      <c r="H32" s="83" t="s">
        <v>73</v>
      </c>
      <c r="I32" s="83" t="s">
        <v>29</v>
      </c>
      <c r="J32" s="83" t="s">
        <v>73</v>
      </c>
      <c r="K32" s="83" t="s">
        <v>29</v>
      </c>
      <c r="L32" s="83" t="s">
        <v>73</v>
      </c>
      <c r="M32" s="83" t="s">
        <v>29</v>
      </c>
      <c r="N32" s="83" t="s">
        <v>25</v>
      </c>
    </row>
    <row r="33" spans="1:16" s="70" customFormat="1" ht="19.5" thickTop="1" thickBot="1">
      <c r="B33" s="83">
        <f>المهني!ME17</f>
        <v>10</v>
      </c>
      <c r="C33" s="83">
        <f>المهني!MF17</f>
        <v>9</v>
      </c>
      <c r="D33" s="83">
        <f>المهني!MG17</f>
        <v>2</v>
      </c>
      <c r="E33" s="83">
        <f>المهني!MH17</f>
        <v>8</v>
      </c>
      <c r="F33" s="83">
        <f>المهني!MI17</f>
        <v>0</v>
      </c>
      <c r="G33" s="83">
        <f>المهني!MJ17</f>
        <v>2</v>
      </c>
      <c r="H33" s="83">
        <f>المهني!MK17</f>
        <v>0</v>
      </c>
      <c r="I33" s="83">
        <f>المهني!ML17</f>
        <v>0</v>
      </c>
      <c r="J33" s="83">
        <f>المهني!MM17</f>
        <v>1</v>
      </c>
      <c r="K33" s="83">
        <f>المهني!MN17</f>
        <v>0</v>
      </c>
      <c r="L33" s="83">
        <f>J33+H33+F33+D33+B33</f>
        <v>13</v>
      </c>
      <c r="M33" s="83">
        <f>K33+I33+G33+E33+C33</f>
        <v>19</v>
      </c>
      <c r="N33" s="83">
        <f>SUM(L33:M33)</f>
        <v>32</v>
      </c>
    </row>
    <row r="34" spans="1:16" ht="15" thickTop="1"/>
    <row r="35" spans="1:16" ht="23.25">
      <c r="A35" s="61" t="s">
        <v>204</v>
      </c>
      <c r="B35" s="62"/>
      <c r="C35" s="62"/>
      <c r="D35" s="62"/>
      <c r="E35" s="62"/>
      <c r="F35" s="63"/>
      <c r="G35" s="63"/>
      <c r="H35" s="63"/>
      <c r="I35" s="63"/>
      <c r="J35" s="63"/>
      <c r="K35" s="63"/>
      <c r="L35" s="61" t="s">
        <v>188</v>
      </c>
      <c r="N35" s="62"/>
      <c r="O35" s="63"/>
      <c r="P35" s="63"/>
    </row>
    <row r="36" spans="1:16" ht="23.25">
      <c r="A36" s="474" t="s">
        <v>185</v>
      </c>
      <c r="B36" s="474"/>
      <c r="C36" s="474"/>
      <c r="D36" s="474"/>
      <c r="E36" s="474"/>
      <c r="F36" s="63"/>
      <c r="G36" s="63"/>
      <c r="H36" s="63"/>
      <c r="I36" s="63"/>
      <c r="J36" s="63"/>
      <c r="K36" s="63"/>
      <c r="L36" s="157" t="s">
        <v>513</v>
      </c>
      <c r="M36" s="157"/>
      <c r="N36" s="157"/>
      <c r="O36" s="63"/>
      <c r="P36" s="63"/>
    </row>
    <row r="37" spans="1:16" ht="23.25">
      <c r="B37" s="62"/>
      <c r="C37" s="62"/>
      <c r="D37" s="62"/>
      <c r="E37" s="62"/>
      <c r="F37" s="62"/>
      <c r="G37" s="61" t="s">
        <v>403</v>
      </c>
      <c r="H37" s="62"/>
      <c r="I37" s="62"/>
      <c r="J37" s="62"/>
      <c r="K37" s="62"/>
      <c r="L37" s="62"/>
      <c r="M37" s="62"/>
      <c r="N37" s="62"/>
      <c r="O37" s="62"/>
      <c r="P37" s="62"/>
    </row>
    <row r="38" spans="1:16" ht="18">
      <c r="F38" s="61" t="s">
        <v>483</v>
      </c>
    </row>
    <row r="39" spans="1:16" ht="24" thickBot="1">
      <c r="B39" s="64" t="s">
        <v>404</v>
      </c>
      <c r="F39" s="62"/>
      <c r="K39" s="64" t="s">
        <v>405</v>
      </c>
    </row>
    <row r="40" spans="1:16" ht="76.5" thickTop="1" thickBot="1">
      <c r="B40" s="65" t="s">
        <v>304</v>
      </c>
      <c r="C40" s="65" t="s">
        <v>406</v>
      </c>
      <c r="D40" s="65" t="s">
        <v>339</v>
      </c>
      <c r="E40" s="65" t="s">
        <v>407</v>
      </c>
      <c r="F40" s="469" t="s">
        <v>408</v>
      </c>
      <c r="G40" s="470"/>
      <c r="H40" s="471"/>
      <c r="I40" s="65" t="s">
        <v>409</v>
      </c>
      <c r="K40" s="65" t="s">
        <v>410</v>
      </c>
      <c r="L40" s="65" t="s">
        <v>411</v>
      </c>
      <c r="M40" s="65" t="s">
        <v>412</v>
      </c>
      <c r="N40" s="65" t="s">
        <v>413</v>
      </c>
    </row>
    <row r="41" spans="1:16" ht="16.5" customHeight="1" thickTop="1" thickBot="1">
      <c r="B41" s="472">
        <f>المهني!OI23</f>
        <v>0</v>
      </c>
      <c r="C41" s="472">
        <f>المهني!OK23</f>
        <v>0</v>
      </c>
      <c r="D41" s="472">
        <f>المهني!OM23</f>
        <v>0</v>
      </c>
      <c r="E41" s="472">
        <f>المهني!OO23</f>
        <v>0</v>
      </c>
      <c r="F41" s="65" t="s">
        <v>414</v>
      </c>
      <c r="G41" s="65" t="s">
        <v>415</v>
      </c>
      <c r="H41" s="65" t="s">
        <v>416</v>
      </c>
      <c r="I41" s="479">
        <v>0</v>
      </c>
      <c r="K41" s="472">
        <f>المهني!Q23</f>
        <v>0</v>
      </c>
      <c r="L41" s="472">
        <f>المهني!R23</f>
        <v>0</v>
      </c>
      <c r="M41" s="472">
        <f>المهني!S23</f>
        <v>0</v>
      </c>
      <c r="N41" s="472">
        <f>المهني!T23</f>
        <v>0</v>
      </c>
    </row>
    <row r="42" spans="1:16" ht="19.5" customHeight="1" thickTop="1" thickBot="1">
      <c r="B42" s="473"/>
      <c r="C42" s="473"/>
      <c r="D42" s="473"/>
      <c r="E42" s="473"/>
      <c r="F42" s="73">
        <f>المهني!OT23</f>
        <v>0</v>
      </c>
      <c r="G42" s="73">
        <v>0</v>
      </c>
      <c r="H42" s="73">
        <v>0</v>
      </c>
      <c r="I42" s="481"/>
      <c r="K42" s="473"/>
      <c r="L42" s="473"/>
      <c r="M42" s="473"/>
      <c r="N42" s="473"/>
    </row>
    <row r="43" spans="1:16" ht="15" thickTop="1"/>
    <row r="44" spans="1:16" ht="24" thickBot="1">
      <c r="B44" s="64" t="s">
        <v>432</v>
      </c>
      <c r="I44" s="64" t="s">
        <v>433</v>
      </c>
    </row>
    <row r="45" spans="1:16" ht="16.5" thickTop="1" thickBot="1">
      <c r="B45" s="469" t="s">
        <v>417</v>
      </c>
      <c r="C45" s="470"/>
      <c r="D45" s="471"/>
      <c r="E45" s="65" t="s">
        <v>73</v>
      </c>
      <c r="F45" s="65" t="s">
        <v>29</v>
      </c>
      <c r="G45" s="65" t="s">
        <v>25</v>
      </c>
    </row>
    <row r="46" spans="1:16" ht="19.5" thickTop="1" thickBot="1">
      <c r="B46" s="469" t="s">
        <v>92</v>
      </c>
      <c r="C46" s="470"/>
      <c r="D46" s="471"/>
      <c r="E46" s="84">
        <f>المهني!KY23</f>
        <v>0</v>
      </c>
      <c r="F46" s="84">
        <f>المهني!KZ23</f>
        <v>0</v>
      </c>
      <c r="G46" s="84">
        <f>SUM(E46:F46)</f>
        <v>0</v>
      </c>
      <c r="I46" s="469" t="s">
        <v>220</v>
      </c>
      <c r="J46" s="471"/>
      <c r="K46" s="469" t="s">
        <v>431</v>
      </c>
      <c r="L46" s="471"/>
    </row>
    <row r="47" spans="1:16" ht="19.5" customHeight="1" thickTop="1" thickBot="1">
      <c r="B47" s="479" t="s">
        <v>93</v>
      </c>
      <c r="C47" s="469" t="s">
        <v>418</v>
      </c>
      <c r="D47" s="471"/>
      <c r="E47" s="84">
        <f>المهني!LA23</f>
        <v>0</v>
      </c>
      <c r="F47" s="84">
        <f>المهني!LB23</f>
        <v>0</v>
      </c>
      <c r="G47" s="84">
        <f t="shared" ref="G47:G54" si="1">SUM(E47:F47)</f>
        <v>0</v>
      </c>
      <c r="I47" s="469" t="s">
        <v>73</v>
      </c>
      <c r="J47" s="471"/>
      <c r="K47" s="469">
        <f>المهني!NC23</f>
        <v>0</v>
      </c>
      <c r="L47" s="471"/>
    </row>
    <row r="48" spans="1:16" ht="19.5" thickTop="1" thickBot="1">
      <c r="B48" s="480"/>
      <c r="C48" s="469" t="s">
        <v>287</v>
      </c>
      <c r="D48" s="471"/>
      <c r="E48" s="84">
        <f>المهني!LC23</f>
        <v>0</v>
      </c>
      <c r="F48" s="84">
        <f>المهني!LD23</f>
        <v>0</v>
      </c>
      <c r="G48" s="84">
        <f t="shared" si="1"/>
        <v>0</v>
      </c>
      <c r="I48" s="469" t="s">
        <v>29</v>
      </c>
      <c r="J48" s="471"/>
      <c r="K48" s="469">
        <f>المهني!ND23</f>
        <v>0</v>
      </c>
      <c r="L48" s="471"/>
    </row>
    <row r="49" spans="2:14" ht="19.5" thickTop="1" thickBot="1">
      <c r="B49" s="480"/>
      <c r="C49" s="469" t="s">
        <v>288</v>
      </c>
      <c r="D49" s="471"/>
      <c r="E49" s="84">
        <f>المهني!LE23</f>
        <v>0</v>
      </c>
      <c r="F49" s="84">
        <f>المهني!LF23</f>
        <v>0</v>
      </c>
      <c r="G49" s="84">
        <f t="shared" si="1"/>
        <v>0</v>
      </c>
      <c r="I49" s="469" t="s">
        <v>25</v>
      </c>
      <c r="J49" s="471"/>
      <c r="K49" s="469">
        <f>SUM(K47:K48)</f>
        <v>0</v>
      </c>
      <c r="L49" s="471"/>
    </row>
    <row r="50" spans="2:14" ht="19.5" thickTop="1" thickBot="1">
      <c r="B50" s="480"/>
      <c r="C50" s="469" t="s">
        <v>289</v>
      </c>
      <c r="D50" s="471"/>
      <c r="E50" s="84">
        <f>المهني!LG23</f>
        <v>0</v>
      </c>
      <c r="F50" s="84">
        <f>المهني!LH23</f>
        <v>0</v>
      </c>
      <c r="G50" s="84">
        <f t="shared" si="1"/>
        <v>0</v>
      </c>
      <c r="I50" s="70" t="s">
        <v>429</v>
      </c>
    </row>
    <row r="51" spans="2:14" ht="19.5" thickTop="1" thickBot="1">
      <c r="B51" s="480"/>
      <c r="C51" s="469" t="s">
        <v>290</v>
      </c>
      <c r="D51" s="471"/>
      <c r="E51" s="84">
        <f>المهني!LI23</f>
        <v>0</v>
      </c>
      <c r="F51" s="84">
        <f>المهني!LJ23</f>
        <v>0</v>
      </c>
      <c r="G51" s="84">
        <f t="shared" si="1"/>
        <v>0</v>
      </c>
      <c r="I51" s="469" t="s">
        <v>113</v>
      </c>
      <c r="J51" s="471"/>
      <c r="K51" s="469" t="s">
        <v>430</v>
      </c>
      <c r="L51" s="471"/>
    </row>
    <row r="52" spans="2:14" ht="19.5" thickTop="1" thickBot="1">
      <c r="B52" s="480"/>
      <c r="C52" s="469" t="s">
        <v>291</v>
      </c>
      <c r="D52" s="471"/>
      <c r="E52" s="85"/>
      <c r="F52" s="84">
        <f>المهني!LL23</f>
        <v>0</v>
      </c>
      <c r="G52" s="84">
        <f t="shared" si="1"/>
        <v>0</v>
      </c>
      <c r="I52" s="469" t="s">
        <v>121</v>
      </c>
      <c r="J52" s="471"/>
      <c r="K52" s="469"/>
      <c r="L52" s="471"/>
    </row>
    <row r="53" spans="2:14" ht="19.5" thickTop="1" thickBot="1">
      <c r="B53" s="480"/>
      <c r="C53" s="469" t="s">
        <v>419</v>
      </c>
      <c r="D53" s="471"/>
      <c r="E53" s="84">
        <f>المهني!LM23</f>
        <v>0</v>
      </c>
      <c r="F53" s="84">
        <f>المهني!LN23</f>
        <v>0</v>
      </c>
      <c r="G53" s="84">
        <f t="shared" si="1"/>
        <v>0</v>
      </c>
      <c r="I53" s="469" t="s">
        <v>122</v>
      </c>
      <c r="J53" s="471"/>
      <c r="K53" s="469"/>
      <c r="L53" s="471"/>
    </row>
    <row r="54" spans="2:14" ht="19.5" thickTop="1" thickBot="1">
      <c r="B54" s="480"/>
      <c r="C54" s="469" t="s">
        <v>492</v>
      </c>
      <c r="D54" s="471"/>
      <c r="E54" s="84">
        <f>المهني!LO23</f>
        <v>0</v>
      </c>
      <c r="F54" s="84">
        <f>المهني!LP23</f>
        <v>0</v>
      </c>
      <c r="G54" s="84">
        <f t="shared" si="1"/>
        <v>0</v>
      </c>
      <c r="I54" s="469" t="s">
        <v>123</v>
      </c>
      <c r="J54" s="471"/>
      <c r="K54" s="469">
        <f>المهني!SO23</f>
        <v>0</v>
      </c>
      <c r="L54" s="471"/>
    </row>
    <row r="55" spans="2:14" ht="19.5" customHeight="1" thickTop="1" thickBot="1">
      <c r="B55" s="481"/>
      <c r="C55" s="469"/>
      <c r="D55" s="471"/>
      <c r="E55" s="84"/>
      <c r="F55" s="84"/>
      <c r="G55" s="84">
        <f>SUM(E55:F55)</f>
        <v>0</v>
      </c>
      <c r="I55" s="469" t="s">
        <v>211</v>
      </c>
      <c r="J55" s="471"/>
      <c r="K55" s="469"/>
      <c r="L55" s="471"/>
    </row>
    <row r="56" spans="2:14" ht="18" customHeight="1" thickTop="1" thickBot="1">
      <c r="B56" s="469" t="s">
        <v>137</v>
      </c>
      <c r="C56" s="470"/>
      <c r="D56" s="471"/>
      <c r="E56" s="84">
        <f>SUM(E46:E55)</f>
        <v>0</v>
      </c>
      <c r="F56" s="84">
        <f>SUM(F46:F55)</f>
        <v>0</v>
      </c>
      <c r="G56" s="84">
        <f>SUM(G46:G55)</f>
        <v>0</v>
      </c>
      <c r="I56" s="469" t="s">
        <v>387</v>
      </c>
      <c r="J56" s="471"/>
      <c r="K56" s="469"/>
      <c r="L56" s="471"/>
    </row>
    <row r="57" spans="2:14" ht="16.5" thickTop="1" thickBot="1">
      <c r="I57" s="469" t="s">
        <v>25</v>
      </c>
      <c r="J57" s="471"/>
      <c r="K57" s="469">
        <f>SUM(K52:K56)</f>
        <v>0</v>
      </c>
      <c r="L57" s="471"/>
    </row>
    <row r="58" spans="2:14" ht="24.75" thickTop="1" thickBot="1">
      <c r="B58" s="68" t="s">
        <v>434</v>
      </c>
    </row>
    <row r="59" spans="2:14" s="70" customFormat="1" ht="22.5" customHeight="1" thickTop="1" thickBot="1">
      <c r="B59" s="484" t="s">
        <v>420</v>
      </c>
      <c r="C59" s="485"/>
      <c r="D59" s="486" t="s">
        <v>421</v>
      </c>
      <c r="E59" s="487"/>
      <c r="F59" s="484" t="s">
        <v>422</v>
      </c>
      <c r="G59" s="485"/>
      <c r="H59" s="484" t="s">
        <v>458</v>
      </c>
      <c r="I59" s="485"/>
      <c r="J59" s="484" t="s">
        <v>423</v>
      </c>
      <c r="K59" s="490"/>
      <c r="L59" s="485"/>
    </row>
    <row r="60" spans="2:14" s="70" customFormat="1" ht="19.5" thickTop="1" thickBot="1">
      <c r="B60" s="83" t="s">
        <v>73</v>
      </c>
      <c r="C60" s="83" t="s">
        <v>29</v>
      </c>
      <c r="D60" s="83" t="s">
        <v>73</v>
      </c>
      <c r="E60" s="83" t="s">
        <v>29</v>
      </c>
      <c r="F60" s="83" t="s">
        <v>73</v>
      </c>
      <c r="G60" s="83" t="s">
        <v>29</v>
      </c>
      <c r="H60" s="83" t="s">
        <v>73</v>
      </c>
      <c r="I60" s="83" t="s">
        <v>29</v>
      </c>
      <c r="J60" s="83" t="s">
        <v>73</v>
      </c>
      <c r="K60" s="83" t="s">
        <v>29</v>
      </c>
      <c r="L60" s="83" t="s">
        <v>25</v>
      </c>
    </row>
    <row r="61" spans="2:14" s="70" customFormat="1" ht="25.5" customHeight="1" thickTop="1" thickBot="1">
      <c r="B61" s="83">
        <f>المهني!LT23</f>
        <v>0</v>
      </c>
      <c r="C61" s="83">
        <f>المهني!LU23</f>
        <v>0</v>
      </c>
      <c r="D61" s="83">
        <f>المهني!LV23</f>
        <v>0</v>
      </c>
      <c r="E61" s="83">
        <f>المهني!LW23</f>
        <v>0</v>
      </c>
      <c r="F61" s="83">
        <f>المهني!LX23</f>
        <v>0</v>
      </c>
      <c r="G61" s="83">
        <f>المهني!LY23</f>
        <v>0</v>
      </c>
      <c r="H61" s="83">
        <f>المهني!LZ23</f>
        <v>0</v>
      </c>
      <c r="I61" s="83">
        <f>المهني!MA23</f>
        <v>0</v>
      </c>
      <c r="J61" s="83">
        <f>F61+D61+B61+H61</f>
        <v>0</v>
      </c>
      <c r="K61" s="83">
        <f>G61+E61+C61+I61</f>
        <v>0</v>
      </c>
      <c r="L61" s="83">
        <f>SUM(J61:K61)</f>
        <v>0</v>
      </c>
    </row>
    <row r="62" spans="2:14" ht="15" thickTop="1"/>
    <row r="63" spans="2:14" ht="24" thickBot="1">
      <c r="B63" s="68" t="s">
        <v>435</v>
      </c>
    </row>
    <row r="64" spans="2:14" s="70" customFormat="1" ht="21.75" customHeight="1" thickTop="1" thickBot="1">
      <c r="B64" s="484" t="s">
        <v>424</v>
      </c>
      <c r="C64" s="485"/>
      <c r="D64" s="486" t="s">
        <v>425</v>
      </c>
      <c r="E64" s="487"/>
      <c r="F64" s="484" t="s">
        <v>426</v>
      </c>
      <c r="G64" s="485"/>
      <c r="H64" s="484" t="s">
        <v>427</v>
      </c>
      <c r="I64" s="485"/>
      <c r="J64" s="484" t="s">
        <v>454</v>
      </c>
      <c r="K64" s="485"/>
      <c r="L64" s="158" t="s">
        <v>25</v>
      </c>
      <c r="M64" s="160"/>
      <c r="N64" s="159"/>
    </row>
    <row r="65" spans="1:16" s="70" customFormat="1" ht="21.75" customHeight="1" thickTop="1" thickBot="1">
      <c r="B65" s="83" t="s">
        <v>73</v>
      </c>
      <c r="C65" s="83" t="s">
        <v>29</v>
      </c>
      <c r="D65" s="83" t="s">
        <v>73</v>
      </c>
      <c r="E65" s="83" t="s">
        <v>29</v>
      </c>
      <c r="F65" s="83" t="s">
        <v>73</v>
      </c>
      <c r="G65" s="83" t="s">
        <v>29</v>
      </c>
      <c r="H65" s="83" t="s">
        <v>73</v>
      </c>
      <c r="I65" s="83" t="s">
        <v>29</v>
      </c>
      <c r="J65" s="83" t="s">
        <v>73</v>
      </c>
      <c r="K65" s="83" t="s">
        <v>29</v>
      </c>
      <c r="L65" s="83" t="s">
        <v>73</v>
      </c>
      <c r="M65" s="83" t="s">
        <v>29</v>
      </c>
      <c r="N65" s="83" t="s">
        <v>25</v>
      </c>
    </row>
    <row r="66" spans="1:16" s="70" customFormat="1" ht="24" customHeight="1" thickTop="1" thickBot="1">
      <c r="B66" s="83">
        <f>المهني!ME23</f>
        <v>0</v>
      </c>
      <c r="C66" s="83">
        <f>المهني!MF23</f>
        <v>0</v>
      </c>
      <c r="D66" s="83">
        <f>المهني!MG23</f>
        <v>0</v>
      </c>
      <c r="E66" s="83">
        <f>المهني!MH23</f>
        <v>0</v>
      </c>
      <c r="F66" s="83">
        <f>المهني!MI23</f>
        <v>0</v>
      </c>
      <c r="G66" s="83">
        <f>المهني!MJ23</f>
        <v>0</v>
      </c>
      <c r="H66" s="83">
        <f>المهني!MK23</f>
        <v>0</v>
      </c>
      <c r="I66" s="83">
        <f>المهني!ML23</f>
        <v>0</v>
      </c>
      <c r="J66" s="83">
        <f>المهني!MM23</f>
        <v>0</v>
      </c>
      <c r="K66" s="83">
        <f>المهني!MN23</f>
        <v>0</v>
      </c>
      <c r="L66" s="83">
        <f>J66+H66+F66+D66+B66</f>
        <v>0</v>
      </c>
      <c r="M66" s="83">
        <f>K66+I66+G66+E66+C66</f>
        <v>0</v>
      </c>
      <c r="N66" s="83">
        <f>SUM(L66:M66)</f>
        <v>0</v>
      </c>
    </row>
    <row r="67" spans="1:16" ht="24" thickTop="1">
      <c r="A67" s="61" t="s">
        <v>204</v>
      </c>
      <c r="B67" s="62"/>
      <c r="C67" s="62"/>
      <c r="D67" s="62"/>
      <c r="E67" s="62"/>
      <c r="F67" s="63"/>
      <c r="G67" s="63"/>
      <c r="H67" s="63"/>
      <c r="I67" s="63"/>
      <c r="J67" s="63"/>
      <c r="K67" s="63"/>
      <c r="L67" s="61" t="s">
        <v>188</v>
      </c>
      <c r="M67" s="62"/>
      <c r="N67" s="62"/>
      <c r="O67" s="63"/>
      <c r="P67" s="63"/>
    </row>
    <row r="68" spans="1:16" ht="23.25">
      <c r="A68" s="474" t="s">
        <v>185</v>
      </c>
      <c r="B68" s="474"/>
      <c r="C68" s="474"/>
      <c r="D68" s="474"/>
      <c r="E68" s="474"/>
      <c r="F68" s="63"/>
      <c r="G68" s="63"/>
      <c r="H68" s="63"/>
      <c r="I68" s="63"/>
      <c r="J68" s="63"/>
      <c r="K68" s="63"/>
      <c r="L68" s="474" t="s">
        <v>510</v>
      </c>
      <c r="M68" s="474"/>
      <c r="N68" s="474"/>
      <c r="O68" s="63"/>
      <c r="P68" s="63"/>
    </row>
    <row r="69" spans="1:16" ht="23.25">
      <c r="B69" s="62"/>
      <c r="C69" s="62"/>
      <c r="D69" s="62"/>
      <c r="E69" s="62"/>
      <c r="F69" s="62"/>
      <c r="G69" s="61" t="s">
        <v>403</v>
      </c>
      <c r="H69" s="62"/>
      <c r="I69" s="62"/>
      <c r="J69" s="62"/>
      <c r="K69" s="62"/>
      <c r="L69" s="62"/>
      <c r="M69" s="62"/>
      <c r="N69" s="62"/>
      <c r="O69" s="62"/>
      <c r="P69" s="62"/>
    </row>
    <row r="70" spans="1:16" ht="18">
      <c r="F70" s="61" t="s">
        <v>509</v>
      </c>
    </row>
    <row r="71" spans="1:16" ht="24" thickBot="1">
      <c r="B71" s="64" t="s">
        <v>404</v>
      </c>
      <c r="F71" s="62"/>
      <c r="K71" s="64" t="s">
        <v>405</v>
      </c>
    </row>
    <row r="72" spans="1:16" ht="76.5" thickTop="1" thickBot="1">
      <c r="B72" s="65" t="s">
        <v>304</v>
      </c>
      <c r="C72" s="65" t="s">
        <v>406</v>
      </c>
      <c r="D72" s="65" t="s">
        <v>339</v>
      </c>
      <c r="E72" s="65" t="s">
        <v>407</v>
      </c>
      <c r="F72" s="469" t="s">
        <v>408</v>
      </c>
      <c r="G72" s="470"/>
      <c r="H72" s="471"/>
      <c r="I72" s="65" t="s">
        <v>409</v>
      </c>
      <c r="K72" s="65" t="s">
        <v>410</v>
      </c>
      <c r="L72" s="65" t="s">
        <v>411</v>
      </c>
      <c r="M72" s="65" t="s">
        <v>412</v>
      </c>
      <c r="N72" s="65" t="s">
        <v>413</v>
      </c>
    </row>
    <row r="73" spans="1:16" ht="16.5" thickTop="1" thickBot="1">
      <c r="B73" s="472">
        <f>المهني!OI38</f>
        <v>0</v>
      </c>
      <c r="C73" s="472">
        <f>المهني!OK38</f>
        <v>0</v>
      </c>
      <c r="D73" s="472">
        <f>المهني!OM38</f>
        <v>0</v>
      </c>
      <c r="E73" s="472">
        <f>المهني!OO38</f>
        <v>0</v>
      </c>
      <c r="F73" s="65" t="s">
        <v>414</v>
      </c>
      <c r="G73" s="65" t="s">
        <v>415</v>
      </c>
      <c r="H73" s="65" t="s">
        <v>416</v>
      </c>
      <c r="I73" s="475">
        <v>0</v>
      </c>
      <c r="K73" s="472">
        <f>المهني!Q38</f>
        <v>0</v>
      </c>
      <c r="L73" s="472">
        <f>المهني!R38</f>
        <v>0</v>
      </c>
      <c r="M73" s="472">
        <f>المهني!S38</f>
        <v>0</v>
      </c>
      <c r="N73" s="472">
        <f>المهني!T38</f>
        <v>0</v>
      </c>
    </row>
    <row r="74" spans="1:16" ht="21.75" thickTop="1" thickBot="1">
      <c r="B74" s="473"/>
      <c r="C74" s="473"/>
      <c r="D74" s="473"/>
      <c r="E74" s="473"/>
      <c r="F74" s="66">
        <f>المهني!OT38</f>
        <v>0</v>
      </c>
      <c r="G74" s="66">
        <v>0</v>
      </c>
      <c r="H74" s="66">
        <v>0</v>
      </c>
      <c r="I74" s="476"/>
      <c r="K74" s="473"/>
      <c r="L74" s="473"/>
      <c r="M74" s="473"/>
      <c r="N74" s="473"/>
    </row>
    <row r="75" spans="1:16" ht="15" thickTop="1"/>
    <row r="76" spans="1:16" ht="24" thickBot="1">
      <c r="B76" s="64" t="s">
        <v>432</v>
      </c>
      <c r="I76" s="64" t="s">
        <v>433</v>
      </c>
    </row>
    <row r="77" spans="1:16" ht="16.5" customHeight="1" thickTop="1" thickBot="1">
      <c r="B77" s="469" t="s">
        <v>417</v>
      </c>
      <c r="C77" s="470"/>
      <c r="D77" s="471"/>
      <c r="E77" s="65" t="s">
        <v>73</v>
      </c>
      <c r="F77" s="65" t="s">
        <v>29</v>
      </c>
      <c r="G77" s="65" t="s">
        <v>25</v>
      </c>
    </row>
    <row r="78" spans="1:16" ht="19.5" customHeight="1" thickTop="1" thickBot="1">
      <c r="B78" s="469" t="s">
        <v>92</v>
      </c>
      <c r="C78" s="470"/>
      <c r="D78" s="471"/>
      <c r="E78" s="84">
        <f>المهني!KY38</f>
        <v>0</v>
      </c>
      <c r="F78" s="84">
        <f>المهني!KZ38</f>
        <v>0</v>
      </c>
      <c r="G78" s="84">
        <f>SUM(E78:F78)</f>
        <v>0</v>
      </c>
      <c r="I78" s="469" t="s">
        <v>220</v>
      </c>
      <c r="J78" s="471"/>
      <c r="K78" s="469" t="s">
        <v>431</v>
      </c>
      <c r="L78" s="471"/>
    </row>
    <row r="79" spans="1:16" ht="19.5" thickTop="1" thickBot="1">
      <c r="B79" s="479" t="s">
        <v>93</v>
      </c>
      <c r="C79" s="469" t="s">
        <v>418</v>
      </c>
      <c r="D79" s="471"/>
      <c r="E79" s="84">
        <f>المهني!LA38</f>
        <v>0</v>
      </c>
      <c r="F79" s="84">
        <f>المهني!LB38</f>
        <v>0</v>
      </c>
      <c r="G79" s="84">
        <f t="shared" ref="G79:G86" si="2">SUM(E79:F79)</f>
        <v>0</v>
      </c>
      <c r="I79" s="469" t="s">
        <v>73</v>
      </c>
      <c r="J79" s="471"/>
      <c r="K79" s="488">
        <f>المهني!NC38</f>
        <v>0</v>
      </c>
      <c r="L79" s="489"/>
    </row>
    <row r="80" spans="1:16" ht="19.5" thickTop="1" thickBot="1">
      <c r="B80" s="480"/>
      <c r="C80" s="469" t="s">
        <v>287</v>
      </c>
      <c r="D80" s="471"/>
      <c r="E80" s="84">
        <f>المهني!LC38</f>
        <v>0</v>
      </c>
      <c r="F80" s="84">
        <f>المهني!LD38</f>
        <v>0</v>
      </c>
      <c r="G80" s="84">
        <f t="shared" si="2"/>
        <v>0</v>
      </c>
      <c r="I80" s="469" t="s">
        <v>29</v>
      </c>
      <c r="J80" s="471"/>
      <c r="K80" s="488">
        <f>المهني!ND38</f>
        <v>0</v>
      </c>
      <c r="L80" s="489"/>
    </row>
    <row r="81" spans="1:17" ht="19.5" thickTop="1" thickBot="1">
      <c r="B81" s="480"/>
      <c r="C81" s="469" t="s">
        <v>288</v>
      </c>
      <c r="D81" s="471"/>
      <c r="E81" s="84">
        <f>المهني!LE38</f>
        <v>0</v>
      </c>
      <c r="F81" s="84">
        <f>المهني!LF38</f>
        <v>0</v>
      </c>
      <c r="G81" s="84">
        <f t="shared" si="2"/>
        <v>0</v>
      </c>
      <c r="I81" s="469" t="s">
        <v>25</v>
      </c>
      <c r="J81" s="471"/>
      <c r="K81" s="488">
        <f>K80+K79</f>
        <v>0</v>
      </c>
      <c r="L81" s="489"/>
    </row>
    <row r="82" spans="1:17" ht="19.5" thickTop="1" thickBot="1">
      <c r="B82" s="480"/>
      <c r="C82" s="469" t="s">
        <v>289</v>
      </c>
      <c r="D82" s="471"/>
      <c r="E82" s="84">
        <f>المهني!LG38</f>
        <v>0</v>
      </c>
      <c r="F82" s="84">
        <f>المهني!LH38</f>
        <v>0</v>
      </c>
      <c r="G82" s="84">
        <f t="shared" si="2"/>
        <v>0</v>
      </c>
      <c r="I82" s="70" t="s">
        <v>429</v>
      </c>
    </row>
    <row r="83" spans="1:17" ht="19.5" thickTop="1" thickBot="1">
      <c r="B83" s="480"/>
      <c r="C83" s="469" t="s">
        <v>290</v>
      </c>
      <c r="D83" s="471"/>
      <c r="E83" s="84">
        <f>المهني!LI38</f>
        <v>0</v>
      </c>
      <c r="F83" s="84">
        <f>المهني!LJ38</f>
        <v>0</v>
      </c>
      <c r="G83" s="84">
        <f t="shared" si="2"/>
        <v>0</v>
      </c>
      <c r="I83" s="469" t="s">
        <v>113</v>
      </c>
      <c r="J83" s="471"/>
      <c r="K83" s="469" t="s">
        <v>430</v>
      </c>
      <c r="L83" s="471"/>
      <c r="M83" s="71"/>
      <c r="N83" s="71"/>
    </row>
    <row r="84" spans="1:17" ht="19.5" thickTop="1" thickBot="1">
      <c r="B84" s="480"/>
      <c r="C84" s="469" t="s">
        <v>291</v>
      </c>
      <c r="D84" s="471"/>
      <c r="E84" s="85"/>
      <c r="F84" s="84">
        <f>المهني!LL38</f>
        <v>0</v>
      </c>
      <c r="G84" s="84">
        <f t="shared" si="2"/>
        <v>0</v>
      </c>
      <c r="I84" s="469" t="s">
        <v>121</v>
      </c>
      <c r="J84" s="471"/>
      <c r="K84" s="488">
        <f>المهني!SO38</f>
        <v>0</v>
      </c>
      <c r="L84" s="489"/>
      <c r="M84" s="71"/>
      <c r="N84" s="71"/>
    </row>
    <row r="85" spans="1:17" ht="19.5" thickTop="1" thickBot="1">
      <c r="B85" s="480"/>
      <c r="C85" s="469" t="s">
        <v>419</v>
      </c>
      <c r="D85" s="471"/>
      <c r="E85" s="84">
        <f>المهني!LM38</f>
        <v>0</v>
      </c>
      <c r="F85" s="84">
        <f>المهني!LN38</f>
        <v>0</v>
      </c>
      <c r="G85" s="84">
        <f t="shared" si="2"/>
        <v>0</v>
      </c>
      <c r="I85" s="469" t="s">
        <v>122</v>
      </c>
      <c r="J85" s="471"/>
      <c r="K85" s="488"/>
      <c r="L85" s="489"/>
      <c r="M85" s="71"/>
      <c r="N85" s="71"/>
    </row>
    <row r="86" spans="1:17" ht="19.5" thickTop="1" thickBot="1">
      <c r="B86" s="480"/>
      <c r="C86" s="469" t="s">
        <v>492</v>
      </c>
      <c r="D86" s="471"/>
      <c r="E86" s="84">
        <f>المهني!LO38</f>
        <v>0</v>
      </c>
      <c r="F86" s="84">
        <f>المهني!LP38</f>
        <v>0</v>
      </c>
      <c r="G86" s="84">
        <f t="shared" si="2"/>
        <v>0</v>
      </c>
      <c r="I86" s="469" t="s">
        <v>123</v>
      </c>
      <c r="J86" s="471"/>
      <c r="K86" s="488"/>
      <c r="L86" s="489"/>
      <c r="M86" s="71"/>
      <c r="N86" s="71"/>
    </row>
    <row r="87" spans="1:17" ht="19.5" thickTop="1" thickBot="1">
      <c r="B87" s="481"/>
      <c r="C87" s="469"/>
      <c r="D87" s="471"/>
      <c r="E87" s="84"/>
      <c r="F87" s="84"/>
      <c r="G87" s="84"/>
      <c r="I87" s="469" t="s">
        <v>211</v>
      </c>
      <c r="J87" s="471"/>
      <c r="K87" s="488"/>
      <c r="L87" s="489"/>
      <c r="M87" s="71"/>
      <c r="N87" s="71"/>
    </row>
    <row r="88" spans="1:17" ht="19.5" customHeight="1" thickTop="1" thickBot="1">
      <c r="B88" s="469" t="s">
        <v>137</v>
      </c>
      <c r="C88" s="470"/>
      <c r="D88" s="471"/>
      <c r="E88" s="84">
        <f>SUM(E78:E87)</f>
        <v>0</v>
      </c>
      <c r="F88" s="84">
        <f t="shared" ref="F88:G88" si="3">SUM(F78:F87)</f>
        <v>0</v>
      </c>
      <c r="G88" s="84">
        <f t="shared" si="3"/>
        <v>0</v>
      </c>
      <c r="I88" s="469" t="s">
        <v>387</v>
      </c>
      <c r="J88" s="471"/>
      <c r="K88" s="469"/>
      <c r="L88" s="471"/>
      <c r="M88" s="71"/>
      <c r="N88" s="71"/>
    </row>
    <row r="89" spans="1:17" ht="19.5" thickTop="1" thickBot="1">
      <c r="I89" s="469" t="s">
        <v>477</v>
      </c>
      <c r="J89" s="471"/>
      <c r="K89" s="488">
        <f>المهني!SO38</f>
        <v>0</v>
      </c>
      <c r="L89" s="489"/>
      <c r="M89" s="71"/>
      <c r="N89" s="71"/>
    </row>
    <row r="90" spans="1:17" ht="19.5" thickTop="1" thickBot="1">
      <c r="I90" s="469" t="s">
        <v>478</v>
      </c>
      <c r="J90" s="471"/>
      <c r="K90" s="488">
        <f>المهني!SO38</f>
        <v>0</v>
      </c>
      <c r="L90" s="489"/>
      <c r="M90" s="71"/>
      <c r="N90" s="71"/>
    </row>
    <row r="91" spans="1:17" ht="19.5" thickTop="1" thickBot="1">
      <c r="I91" s="491" t="s">
        <v>25</v>
      </c>
      <c r="J91" s="492"/>
      <c r="K91" s="488">
        <f>K86+K87+K88+K89+K90+K85+K84</f>
        <v>0</v>
      </c>
      <c r="L91" s="489"/>
      <c r="M91" s="71"/>
      <c r="N91" s="71"/>
    </row>
    <row r="92" spans="1:17" ht="24.75" thickTop="1" thickBot="1">
      <c r="B92" s="68" t="s">
        <v>434</v>
      </c>
    </row>
    <row r="93" spans="1:17" ht="19.5" customHeight="1" thickTop="1" thickBot="1">
      <c r="A93" s="70"/>
      <c r="B93" s="484" t="s">
        <v>420</v>
      </c>
      <c r="C93" s="485"/>
      <c r="D93" s="486" t="s">
        <v>421</v>
      </c>
      <c r="E93" s="487"/>
      <c r="F93" s="484" t="s">
        <v>422</v>
      </c>
      <c r="G93" s="485"/>
      <c r="H93" s="484" t="s">
        <v>457</v>
      </c>
      <c r="I93" s="485"/>
      <c r="J93" s="484" t="s">
        <v>423</v>
      </c>
      <c r="K93" s="490"/>
      <c r="L93" s="485"/>
      <c r="M93" s="70"/>
      <c r="N93" s="70"/>
      <c r="O93" s="70"/>
      <c r="P93" s="70"/>
      <c r="Q93" s="70"/>
    </row>
    <row r="94" spans="1:17" ht="19.5" thickTop="1" thickBot="1">
      <c r="A94" s="70"/>
      <c r="B94" s="83" t="s">
        <v>73</v>
      </c>
      <c r="C94" s="83" t="s">
        <v>29</v>
      </c>
      <c r="D94" s="83" t="s">
        <v>73</v>
      </c>
      <c r="E94" s="83" t="s">
        <v>29</v>
      </c>
      <c r="F94" s="83" t="s">
        <v>73</v>
      </c>
      <c r="G94" s="83" t="s">
        <v>29</v>
      </c>
      <c r="H94" s="83" t="s">
        <v>73</v>
      </c>
      <c r="I94" s="83" t="s">
        <v>29</v>
      </c>
      <c r="J94" s="83" t="s">
        <v>73</v>
      </c>
      <c r="K94" s="83" t="s">
        <v>29</v>
      </c>
      <c r="L94" s="83" t="s">
        <v>25</v>
      </c>
      <c r="M94" s="70"/>
      <c r="N94" s="70"/>
      <c r="O94" s="70"/>
      <c r="P94" s="70"/>
      <c r="Q94" s="70"/>
    </row>
    <row r="95" spans="1:17" ht="19.5" thickTop="1" thickBot="1">
      <c r="A95" s="70"/>
      <c r="B95" s="83">
        <f>المهني!LT38</f>
        <v>0</v>
      </c>
      <c r="C95" s="83">
        <f>المهني!LU38</f>
        <v>0</v>
      </c>
      <c r="D95" s="83">
        <f>المهني!LV38</f>
        <v>0</v>
      </c>
      <c r="E95" s="83">
        <f>المهني!LW38</f>
        <v>0</v>
      </c>
      <c r="F95" s="83">
        <f>المهني!LX38</f>
        <v>0</v>
      </c>
      <c r="G95" s="83">
        <f>المهني!LY38</f>
        <v>0</v>
      </c>
      <c r="H95" s="83">
        <f>المهني!LZ38</f>
        <v>0</v>
      </c>
      <c r="I95" s="83">
        <f>المهني!MA38</f>
        <v>0</v>
      </c>
      <c r="J95" s="83">
        <f>F95+D95+B95+H95</f>
        <v>0</v>
      </c>
      <c r="K95" s="83">
        <f>G95+E95+C95+I95</f>
        <v>0</v>
      </c>
      <c r="L95" s="83">
        <f>SUM(J95:K95)</f>
        <v>0</v>
      </c>
      <c r="M95" s="70"/>
      <c r="N95" s="70"/>
      <c r="O95" s="70"/>
      <c r="P95" s="70"/>
      <c r="Q95" s="70"/>
    </row>
    <row r="96" spans="1:17" ht="15" thickTop="1"/>
    <row r="97" spans="1:17" ht="24" thickBot="1">
      <c r="B97" s="68" t="s">
        <v>435</v>
      </c>
    </row>
    <row r="98" spans="1:17" ht="19.5" customHeight="1" thickTop="1" thickBot="1">
      <c r="A98" s="70"/>
      <c r="B98" s="484" t="s">
        <v>424</v>
      </c>
      <c r="C98" s="485"/>
      <c r="D98" s="486" t="s">
        <v>425</v>
      </c>
      <c r="E98" s="487"/>
      <c r="F98" s="484" t="s">
        <v>426</v>
      </c>
      <c r="G98" s="485"/>
      <c r="H98" s="188" t="s">
        <v>427</v>
      </c>
      <c r="I98" s="189"/>
      <c r="J98" s="484" t="s">
        <v>455</v>
      </c>
      <c r="K98" s="485"/>
      <c r="L98" s="188" t="s">
        <v>25</v>
      </c>
      <c r="M98" s="190"/>
      <c r="N98" s="189"/>
      <c r="O98" s="70"/>
      <c r="P98" s="70"/>
      <c r="Q98" s="70"/>
    </row>
    <row r="99" spans="1:17" ht="19.5" thickTop="1" thickBot="1">
      <c r="A99" s="70"/>
      <c r="B99" s="83" t="s">
        <v>73</v>
      </c>
      <c r="C99" s="83" t="s">
        <v>29</v>
      </c>
      <c r="D99" s="83" t="s">
        <v>73</v>
      </c>
      <c r="E99" s="83" t="s">
        <v>29</v>
      </c>
      <c r="F99" s="83" t="s">
        <v>73</v>
      </c>
      <c r="G99" s="83" t="s">
        <v>29</v>
      </c>
      <c r="H99" s="83" t="s">
        <v>73</v>
      </c>
      <c r="I99" s="83" t="s">
        <v>29</v>
      </c>
      <c r="J99" s="83" t="s">
        <v>73</v>
      </c>
      <c r="K99" s="83" t="s">
        <v>29</v>
      </c>
      <c r="L99" s="83" t="s">
        <v>73</v>
      </c>
      <c r="M99" s="83" t="s">
        <v>29</v>
      </c>
      <c r="N99" s="83" t="s">
        <v>25</v>
      </c>
      <c r="O99" s="70"/>
      <c r="P99" s="70"/>
      <c r="Q99" s="70"/>
    </row>
    <row r="100" spans="1:17" ht="19.5" thickTop="1" thickBot="1">
      <c r="A100" s="70"/>
      <c r="B100" s="83">
        <f>المهني!ME38</f>
        <v>0</v>
      </c>
      <c r="C100" s="83">
        <f>المهني!MF38</f>
        <v>0</v>
      </c>
      <c r="D100" s="83">
        <f>المهني!MG38</f>
        <v>0</v>
      </c>
      <c r="E100" s="83">
        <f>المهني!MH38</f>
        <v>0</v>
      </c>
      <c r="F100" s="83">
        <f>المهني!MI38</f>
        <v>0</v>
      </c>
      <c r="G100" s="83">
        <f>المهني!MJ38</f>
        <v>0</v>
      </c>
      <c r="H100" s="83">
        <f>المهني!MK38</f>
        <v>0</v>
      </c>
      <c r="I100" s="83">
        <f>المهني!ML38</f>
        <v>0</v>
      </c>
      <c r="J100" s="83">
        <f>المهني!MM38</f>
        <v>0</v>
      </c>
      <c r="K100" s="83">
        <f>المهني!MN38</f>
        <v>0</v>
      </c>
      <c r="L100" s="83">
        <f>J100+H100+F100+D100+B100</f>
        <v>0</v>
      </c>
      <c r="M100" s="83">
        <f>K100+I100+G100+E100+C100</f>
        <v>0</v>
      </c>
      <c r="N100" s="83">
        <f>SUM(L100:M100)</f>
        <v>0</v>
      </c>
      <c r="O100" s="70"/>
      <c r="P100" s="70"/>
      <c r="Q100" s="70"/>
    </row>
    <row r="101" spans="1:17" ht="24" thickTop="1">
      <c r="A101" s="61" t="s">
        <v>204</v>
      </c>
      <c r="B101" s="62"/>
      <c r="C101" s="62"/>
      <c r="D101" s="62"/>
      <c r="E101" s="62"/>
      <c r="F101" s="63"/>
      <c r="G101" s="63"/>
      <c r="H101" s="63"/>
      <c r="I101" s="63"/>
      <c r="J101" s="63"/>
      <c r="K101" s="63"/>
      <c r="L101" s="61" t="s">
        <v>188</v>
      </c>
      <c r="M101" s="62"/>
      <c r="N101" s="62"/>
      <c r="O101" s="63"/>
      <c r="P101" s="63"/>
    </row>
    <row r="102" spans="1:17" ht="23.25">
      <c r="A102" s="474" t="s">
        <v>185</v>
      </c>
      <c r="B102" s="474"/>
      <c r="C102" s="474"/>
      <c r="D102" s="474"/>
      <c r="E102" s="474"/>
      <c r="F102" s="63"/>
      <c r="G102" s="63"/>
      <c r="H102" s="63"/>
      <c r="I102" s="63"/>
      <c r="J102" s="63"/>
      <c r="K102" s="63"/>
      <c r="L102" s="474" t="s">
        <v>511</v>
      </c>
      <c r="M102" s="474"/>
      <c r="N102" s="474"/>
      <c r="O102" s="63"/>
      <c r="P102" s="63"/>
    </row>
    <row r="103" spans="1:17" ht="23.25">
      <c r="B103" s="62"/>
      <c r="C103" s="62"/>
      <c r="D103" s="62"/>
      <c r="E103" s="62"/>
      <c r="F103" s="62"/>
      <c r="G103" s="61" t="s">
        <v>403</v>
      </c>
      <c r="H103" s="62"/>
      <c r="I103" s="62"/>
      <c r="J103" s="62"/>
      <c r="K103" s="62"/>
      <c r="L103" s="62"/>
      <c r="M103" s="62"/>
      <c r="N103" s="62"/>
      <c r="O103" s="62"/>
      <c r="P103" s="62"/>
    </row>
    <row r="104" spans="1:17" ht="18">
      <c r="F104" s="61" t="s">
        <v>509</v>
      </c>
    </row>
    <row r="105" spans="1:17" ht="24" thickBot="1">
      <c r="B105" s="64" t="s">
        <v>404</v>
      </c>
      <c r="F105" s="62"/>
      <c r="K105" s="64" t="s">
        <v>405</v>
      </c>
    </row>
    <row r="106" spans="1:17" ht="76.5" thickTop="1" thickBot="1">
      <c r="B106" s="65" t="s">
        <v>304</v>
      </c>
      <c r="C106" s="65" t="s">
        <v>406</v>
      </c>
      <c r="D106" s="65" t="s">
        <v>339</v>
      </c>
      <c r="E106" s="65" t="s">
        <v>407</v>
      </c>
      <c r="F106" s="469" t="s">
        <v>408</v>
      </c>
      <c r="G106" s="470"/>
      <c r="H106" s="471"/>
      <c r="I106" s="65" t="s">
        <v>409</v>
      </c>
      <c r="K106" s="65" t="s">
        <v>410</v>
      </c>
      <c r="L106" s="65" t="s">
        <v>411</v>
      </c>
      <c r="M106" s="65" t="s">
        <v>412</v>
      </c>
      <c r="N106" s="65" t="s">
        <v>413</v>
      </c>
    </row>
    <row r="107" spans="1:17" ht="16.5" thickTop="1" thickBot="1">
      <c r="B107" s="472">
        <f>المهني!OI40</f>
        <v>0</v>
      </c>
      <c r="C107" s="472">
        <f>المهني!OK40</f>
        <v>0</v>
      </c>
      <c r="D107" s="472">
        <f>المهني!OM40</f>
        <v>0</v>
      </c>
      <c r="E107" s="472">
        <f>المهني!OO40</f>
        <v>0</v>
      </c>
      <c r="F107" s="65" t="s">
        <v>414</v>
      </c>
      <c r="G107" s="65" t="s">
        <v>415</v>
      </c>
      <c r="H107" s="65" t="s">
        <v>416</v>
      </c>
      <c r="I107" s="475">
        <v>0</v>
      </c>
      <c r="K107" s="472">
        <f>المهني!Q40</f>
        <v>0</v>
      </c>
      <c r="L107" s="472">
        <f>المهني!R40</f>
        <v>0</v>
      </c>
      <c r="M107" s="472">
        <f>المهني!S40</f>
        <v>0</v>
      </c>
      <c r="N107" s="472">
        <f>المهني!T40</f>
        <v>0</v>
      </c>
    </row>
    <row r="108" spans="1:17" ht="21.75" thickTop="1" thickBot="1">
      <c r="B108" s="473"/>
      <c r="C108" s="473"/>
      <c r="D108" s="473"/>
      <c r="E108" s="473"/>
      <c r="F108" s="66">
        <f>المهني!OT40</f>
        <v>0</v>
      </c>
      <c r="G108" s="66">
        <v>0</v>
      </c>
      <c r="H108" s="66">
        <v>0</v>
      </c>
      <c r="I108" s="476"/>
      <c r="K108" s="473"/>
      <c r="L108" s="473"/>
      <c r="M108" s="473"/>
      <c r="N108" s="473"/>
    </row>
    <row r="109" spans="1:17" ht="15" thickTop="1"/>
    <row r="110" spans="1:17" ht="24" thickBot="1">
      <c r="B110" s="64" t="s">
        <v>432</v>
      </c>
      <c r="I110" s="64" t="s">
        <v>433</v>
      </c>
    </row>
    <row r="111" spans="1:17" ht="16.5" customHeight="1" thickTop="1" thickBot="1">
      <c r="B111" s="469" t="s">
        <v>417</v>
      </c>
      <c r="C111" s="470"/>
      <c r="D111" s="471"/>
      <c r="E111" s="65" t="s">
        <v>73</v>
      </c>
      <c r="F111" s="65" t="s">
        <v>29</v>
      </c>
      <c r="G111" s="65" t="s">
        <v>25</v>
      </c>
    </row>
    <row r="112" spans="1:17" ht="19.5" customHeight="1" thickTop="1" thickBot="1">
      <c r="B112" s="469" t="s">
        <v>92</v>
      </c>
      <c r="C112" s="470"/>
      <c r="D112" s="471"/>
      <c r="E112" s="84">
        <f>المهني!KY40</f>
        <v>0</v>
      </c>
      <c r="F112" s="84">
        <f>المهني!KZ40</f>
        <v>0</v>
      </c>
      <c r="G112" s="84">
        <f>SUM(E112:F112)</f>
        <v>0</v>
      </c>
      <c r="I112" s="469" t="s">
        <v>220</v>
      </c>
      <c r="J112" s="471"/>
      <c r="K112" s="469" t="s">
        <v>431</v>
      </c>
      <c r="L112" s="471"/>
    </row>
    <row r="113" spans="1:17" ht="19.5" thickTop="1" thickBot="1">
      <c r="B113" s="479" t="s">
        <v>93</v>
      </c>
      <c r="C113" s="469" t="s">
        <v>418</v>
      </c>
      <c r="D113" s="471"/>
      <c r="E113" s="84">
        <f>المهني!LA40</f>
        <v>0</v>
      </c>
      <c r="F113" s="84">
        <f>المهني!LB40</f>
        <v>0</v>
      </c>
      <c r="G113" s="84">
        <f t="shared" ref="G113:G120" si="4">SUM(E113:F113)</f>
        <v>0</v>
      </c>
      <c r="I113" s="469" t="s">
        <v>73</v>
      </c>
      <c r="J113" s="471"/>
      <c r="K113" s="488">
        <f>المهني!NC110</f>
        <v>0</v>
      </c>
      <c r="L113" s="489"/>
    </row>
    <row r="114" spans="1:17" ht="19.5" thickTop="1" thickBot="1">
      <c r="B114" s="480"/>
      <c r="C114" s="469" t="s">
        <v>287</v>
      </c>
      <c r="D114" s="471"/>
      <c r="E114" s="84">
        <f>المهني!LC40</f>
        <v>0</v>
      </c>
      <c r="F114" s="84">
        <f>المهني!LD40</f>
        <v>0</v>
      </c>
      <c r="G114" s="84">
        <f t="shared" si="4"/>
        <v>0</v>
      </c>
      <c r="I114" s="469" t="s">
        <v>29</v>
      </c>
      <c r="J114" s="471"/>
      <c r="K114" s="488">
        <f>المهني!ND110</f>
        <v>0</v>
      </c>
      <c r="L114" s="489"/>
    </row>
    <row r="115" spans="1:17" ht="19.5" thickTop="1" thickBot="1">
      <c r="B115" s="480"/>
      <c r="C115" s="469" t="s">
        <v>288</v>
      </c>
      <c r="D115" s="471"/>
      <c r="E115" s="84">
        <f>المهني!LE40</f>
        <v>0</v>
      </c>
      <c r="F115" s="84">
        <f>المهني!LF40</f>
        <v>0</v>
      </c>
      <c r="G115" s="84">
        <f t="shared" si="4"/>
        <v>0</v>
      </c>
      <c r="I115" s="469" t="s">
        <v>25</v>
      </c>
      <c r="J115" s="471"/>
      <c r="K115" s="488">
        <f>K114+K113</f>
        <v>0</v>
      </c>
      <c r="L115" s="489"/>
    </row>
    <row r="116" spans="1:17" ht="19.5" thickTop="1" thickBot="1">
      <c r="B116" s="480"/>
      <c r="C116" s="469" t="s">
        <v>289</v>
      </c>
      <c r="D116" s="471"/>
      <c r="E116" s="84">
        <f>المهني!LG40</f>
        <v>0</v>
      </c>
      <c r="F116" s="84">
        <f>المهني!LH40</f>
        <v>0</v>
      </c>
      <c r="G116" s="84">
        <f t="shared" si="4"/>
        <v>0</v>
      </c>
      <c r="I116" s="70" t="s">
        <v>429</v>
      </c>
    </row>
    <row r="117" spans="1:17" ht="19.5" thickTop="1" thickBot="1">
      <c r="B117" s="480"/>
      <c r="C117" s="469" t="s">
        <v>290</v>
      </c>
      <c r="D117" s="471"/>
      <c r="E117" s="84">
        <f>المهني!LI40</f>
        <v>0</v>
      </c>
      <c r="F117" s="84">
        <f>المهني!LJ40</f>
        <v>0</v>
      </c>
      <c r="G117" s="84">
        <f t="shared" si="4"/>
        <v>0</v>
      </c>
      <c r="I117" s="469" t="s">
        <v>113</v>
      </c>
      <c r="J117" s="471"/>
      <c r="K117" s="469" t="s">
        <v>430</v>
      </c>
      <c r="L117" s="471"/>
      <c r="M117" s="71"/>
      <c r="N117" s="71"/>
    </row>
    <row r="118" spans="1:17" ht="19.5" thickTop="1" thickBot="1">
      <c r="B118" s="480"/>
      <c r="C118" s="469" t="s">
        <v>291</v>
      </c>
      <c r="D118" s="471"/>
      <c r="E118" s="85"/>
      <c r="F118" s="84">
        <f>المهني!LL40</f>
        <v>0</v>
      </c>
      <c r="G118" s="84">
        <f t="shared" si="4"/>
        <v>0</v>
      </c>
      <c r="I118" s="469" t="s">
        <v>121</v>
      </c>
      <c r="J118" s="471"/>
      <c r="K118" s="488">
        <f>المهني!SO110</f>
        <v>0</v>
      </c>
      <c r="L118" s="489"/>
      <c r="M118" s="71"/>
      <c r="N118" s="71"/>
    </row>
    <row r="119" spans="1:17" ht="19.5" thickTop="1" thickBot="1">
      <c r="B119" s="480"/>
      <c r="C119" s="469" t="s">
        <v>419</v>
      </c>
      <c r="D119" s="471"/>
      <c r="E119" s="84">
        <f>المهني!LM40</f>
        <v>0</v>
      </c>
      <c r="F119" s="84">
        <f>المهني!LN40</f>
        <v>0</v>
      </c>
      <c r="G119" s="84">
        <f t="shared" si="4"/>
        <v>0</v>
      </c>
      <c r="I119" s="469" t="s">
        <v>122</v>
      </c>
      <c r="J119" s="471"/>
      <c r="K119" s="488"/>
      <c r="L119" s="489"/>
      <c r="M119" s="71"/>
      <c r="N119" s="71"/>
    </row>
    <row r="120" spans="1:17" ht="19.5" thickTop="1" thickBot="1">
      <c r="B120" s="480"/>
      <c r="C120" s="469" t="s">
        <v>492</v>
      </c>
      <c r="D120" s="471"/>
      <c r="E120" s="84">
        <f>المهني!LO40</f>
        <v>0</v>
      </c>
      <c r="F120" s="84">
        <f>المهني!LP40</f>
        <v>0</v>
      </c>
      <c r="G120" s="84">
        <f t="shared" si="4"/>
        <v>0</v>
      </c>
      <c r="I120" s="469" t="s">
        <v>123</v>
      </c>
      <c r="J120" s="471"/>
      <c r="K120" s="488"/>
      <c r="L120" s="489"/>
      <c r="M120" s="71"/>
      <c r="N120" s="71"/>
    </row>
    <row r="121" spans="1:17" ht="19.5" thickTop="1" thickBot="1">
      <c r="B121" s="481"/>
      <c r="C121" s="469"/>
      <c r="D121" s="471"/>
      <c r="E121" s="84"/>
      <c r="F121" s="84"/>
      <c r="G121" s="84"/>
      <c r="I121" s="469" t="s">
        <v>211</v>
      </c>
      <c r="J121" s="471"/>
      <c r="K121" s="488"/>
      <c r="L121" s="489"/>
      <c r="M121" s="71"/>
      <c r="N121" s="71"/>
    </row>
    <row r="122" spans="1:17" ht="19.5" customHeight="1" thickTop="1" thickBot="1">
      <c r="B122" s="469" t="s">
        <v>137</v>
      </c>
      <c r="C122" s="470"/>
      <c r="D122" s="471"/>
      <c r="E122" s="84">
        <f>SUM(E112:E121)</f>
        <v>0</v>
      </c>
      <c r="F122" s="84">
        <f t="shared" ref="F122:G122" si="5">SUM(F112:F121)</f>
        <v>0</v>
      </c>
      <c r="G122" s="84">
        <f t="shared" si="5"/>
        <v>0</v>
      </c>
      <c r="I122" s="469" t="s">
        <v>387</v>
      </c>
      <c r="J122" s="471"/>
      <c r="K122" s="469"/>
      <c r="L122" s="471"/>
      <c r="M122" s="71"/>
      <c r="N122" s="71"/>
    </row>
    <row r="123" spans="1:17" ht="16.5" thickTop="1" thickBot="1">
      <c r="I123" s="469" t="s">
        <v>477</v>
      </c>
      <c r="J123" s="471"/>
      <c r="K123" s="469"/>
      <c r="L123" s="471"/>
      <c r="M123" s="71"/>
      <c r="N123" s="71"/>
    </row>
    <row r="124" spans="1:17" ht="16.5" thickTop="1" thickBot="1">
      <c r="I124" s="469" t="s">
        <v>478</v>
      </c>
      <c r="J124" s="471"/>
      <c r="K124" s="469"/>
      <c r="L124" s="471"/>
      <c r="M124" s="71"/>
      <c r="N124" s="71"/>
    </row>
    <row r="125" spans="1:17" ht="19.5" thickTop="1" thickBot="1">
      <c r="I125" s="469" t="s">
        <v>25</v>
      </c>
      <c r="J125" s="471"/>
      <c r="K125" s="488">
        <f>K120+K121+K122+K123+K124+K119+K118</f>
        <v>0</v>
      </c>
      <c r="L125" s="489"/>
      <c r="M125" s="71"/>
      <c r="N125" s="71"/>
    </row>
    <row r="126" spans="1:17" ht="24.75" thickTop="1" thickBot="1">
      <c r="B126" s="68" t="s">
        <v>434</v>
      </c>
    </row>
    <row r="127" spans="1:17" ht="19.5" customHeight="1" thickTop="1" thickBot="1">
      <c r="A127" s="70"/>
      <c r="B127" s="484" t="s">
        <v>420</v>
      </c>
      <c r="C127" s="485"/>
      <c r="D127" s="486" t="s">
        <v>421</v>
      </c>
      <c r="E127" s="487"/>
      <c r="F127" s="484" t="s">
        <v>422</v>
      </c>
      <c r="G127" s="485"/>
      <c r="H127" s="484" t="s">
        <v>457</v>
      </c>
      <c r="I127" s="485"/>
      <c r="J127" s="484" t="s">
        <v>423</v>
      </c>
      <c r="K127" s="490"/>
      <c r="L127" s="485"/>
      <c r="M127" s="70"/>
      <c r="N127" s="70"/>
      <c r="O127" s="70"/>
      <c r="P127" s="70"/>
      <c r="Q127" s="70"/>
    </row>
    <row r="128" spans="1:17" ht="19.5" thickTop="1" thickBot="1">
      <c r="A128" s="70"/>
      <c r="B128" s="83" t="s">
        <v>73</v>
      </c>
      <c r="C128" s="83" t="s">
        <v>29</v>
      </c>
      <c r="D128" s="83" t="s">
        <v>73</v>
      </c>
      <c r="E128" s="83" t="s">
        <v>29</v>
      </c>
      <c r="F128" s="83" t="s">
        <v>73</v>
      </c>
      <c r="G128" s="83" t="s">
        <v>29</v>
      </c>
      <c r="H128" s="83" t="s">
        <v>73</v>
      </c>
      <c r="I128" s="83" t="s">
        <v>29</v>
      </c>
      <c r="J128" s="83" t="s">
        <v>73</v>
      </c>
      <c r="K128" s="83" t="s">
        <v>29</v>
      </c>
      <c r="L128" s="83" t="s">
        <v>25</v>
      </c>
      <c r="M128" s="70"/>
      <c r="N128" s="70"/>
      <c r="O128" s="70"/>
      <c r="P128" s="70"/>
      <c r="Q128" s="70"/>
    </row>
    <row r="129" spans="1:17" ht="19.5" thickTop="1" thickBot="1">
      <c r="A129" s="70"/>
      <c r="B129" s="83">
        <f>المهني!LT40</f>
        <v>0</v>
      </c>
      <c r="C129" s="83">
        <f>المهني!LU40</f>
        <v>0</v>
      </c>
      <c r="D129" s="83">
        <f>المهني!LV40</f>
        <v>0</v>
      </c>
      <c r="E129" s="83">
        <f>المهني!LW40</f>
        <v>0</v>
      </c>
      <c r="F129" s="83">
        <f>المهني!LX40</f>
        <v>0</v>
      </c>
      <c r="G129" s="83">
        <f>المهني!LY40</f>
        <v>0</v>
      </c>
      <c r="H129" s="83">
        <f>المهني!LZ40</f>
        <v>0</v>
      </c>
      <c r="I129" s="83">
        <f>المهني!MA40</f>
        <v>0</v>
      </c>
      <c r="J129" s="83">
        <f>F129+D129+B129+H129</f>
        <v>0</v>
      </c>
      <c r="K129" s="83">
        <f>G129+E129+C129+I129</f>
        <v>0</v>
      </c>
      <c r="L129" s="83">
        <f>SUM(J129:K129)</f>
        <v>0</v>
      </c>
      <c r="M129" s="70"/>
      <c r="N129" s="70"/>
      <c r="O129" s="70"/>
      <c r="P129" s="70"/>
      <c r="Q129" s="70"/>
    </row>
    <row r="130" spans="1:17" ht="15" thickTop="1"/>
    <row r="131" spans="1:17" ht="24" thickBot="1">
      <c r="B131" s="68" t="s">
        <v>435</v>
      </c>
    </row>
    <row r="132" spans="1:17" ht="19.5" customHeight="1" thickTop="1" thickBot="1">
      <c r="A132" s="70"/>
      <c r="B132" s="484" t="s">
        <v>424</v>
      </c>
      <c r="C132" s="485"/>
      <c r="D132" s="486" t="s">
        <v>425</v>
      </c>
      <c r="E132" s="487"/>
      <c r="F132" s="484" t="s">
        <v>426</v>
      </c>
      <c r="G132" s="485"/>
      <c r="H132" s="188" t="s">
        <v>427</v>
      </c>
      <c r="I132" s="189"/>
      <c r="J132" s="484" t="s">
        <v>479</v>
      </c>
      <c r="K132" s="485"/>
      <c r="L132" s="188" t="s">
        <v>25</v>
      </c>
      <c r="M132" s="190"/>
      <c r="N132" s="189"/>
      <c r="O132" s="70"/>
      <c r="P132" s="70"/>
      <c r="Q132" s="70"/>
    </row>
    <row r="133" spans="1:17" ht="19.5" thickTop="1" thickBot="1">
      <c r="A133" s="70"/>
      <c r="B133" s="83" t="s">
        <v>73</v>
      </c>
      <c r="C133" s="83" t="s">
        <v>29</v>
      </c>
      <c r="D133" s="83" t="s">
        <v>73</v>
      </c>
      <c r="E133" s="83" t="s">
        <v>29</v>
      </c>
      <c r="F133" s="83" t="s">
        <v>73</v>
      </c>
      <c r="G133" s="83" t="s">
        <v>29</v>
      </c>
      <c r="H133" s="83" t="s">
        <v>73</v>
      </c>
      <c r="I133" s="83" t="s">
        <v>29</v>
      </c>
      <c r="J133" s="83" t="s">
        <v>73</v>
      </c>
      <c r="K133" s="83" t="s">
        <v>29</v>
      </c>
      <c r="L133" s="83" t="s">
        <v>73</v>
      </c>
      <c r="M133" s="83" t="s">
        <v>29</v>
      </c>
      <c r="N133" s="83" t="s">
        <v>25</v>
      </c>
      <c r="O133" s="70"/>
      <c r="P133" s="70"/>
      <c r="Q133" s="70"/>
    </row>
    <row r="134" spans="1:17" ht="19.5" thickTop="1" thickBot="1">
      <c r="A134" s="70"/>
      <c r="B134" s="83">
        <f>المهني!ME40</f>
        <v>0</v>
      </c>
      <c r="C134" s="83">
        <f>المهني!MF40</f>
        <v>0</v>
      </c>
      <c r="D134" s="83">
        <f>المهني!MG40</f>
        <v>0</v>
      </c>
      <c r="E134" s="83">
        <f>المهني!MH40</f>
        <v>0</v>
      </c>
      <c r="F134" s="83">
        <f>المهني!MI40</f>
        <v>0</v>
      </c>
      <c r="G134" s="83">
        <f>المهني!MJ40</f>
        <v>0</v>
      </c>
      <c r="H134" s="83">
        <f>المهني!MK40</f>
        <v>0</v>
      </c>
      <c r="I134" s="83">
        <f>المهني!ML40</f>
        <v>0</v>
      </c>
      <c r="J134" s="83">
        <f>المهني!MM40</f>
        <v>0</v>
      </c>
      <c r="K134" s="83">
        <f>المهني!MN40</f>
        <v>0</v>
      </c>
      <c r="L134" s="83">
        <f>J134+H134+F134+D134+B134</f>
        <v>0</v>
      </c>
      <c r="M134" s="83">
        <f>K134+I134+G134+E134+C134</f>
        <v>0</v>
      </c>
      <c r="N134" s="83">
        <f>SUM(L134:M134)</f>
        <v>0</v>
      </c>
      <c r="O134" s="70"/>
      <c r="P134" s="70"/>
      <c r="Q134" s="70"/>
    </row>
    <row r="135" spans="1:17" ht="24" thickTop="1">
      <c r="A135" s="61" t="s">
        <v>204</v>
      </c>
      <c r="B135" s="62"/>
      <c r="C135" s="62"/>
      <c r="D135" s="62"/>
      <c r="E135" s="62"/>
      <c r="F135" s="63"/>
      <c r="G135" s="63"/>
      <c r="H135" s="63"/>
      <c r="I135" s="63"/>
      <c r="J135" s="63"/>
      <c r="K135" s="63"/>
      <c r="L135" s="61" t="s">
        <v>188</v>
      </c>
      <c r="M135" s="62"/>
      <c r="N135" s="62"/>
      <c r="O135" s="63"/>
      <c r="P135" s="63"/>
    </row>
    <row r="136" spans="1:17" ht="23.25">
      <c r="A136" s="474" t="s">
        <v>185</v>
      </c>
      <c r="B136" s="474"/>
      <c r="C136" s="474"/>
      <c r="D136" s="474"/>
      <c r="E136" s="474"/>
      <c r="F136" s="63"/>
      <c r="G136" s="63"/>
      <c r="H136" s="63"/>
      <c r="I136" s="63"/>
      <c r="J136" s="63"/>
      <c r="K136" s="63"/>
      <c r="L136" s="61" t="s">
        <v>512</v>
      </c>
      <c r="M136" s="61"/>
      <c r="N136" s="61"/>
      <c r="O136" s="63"/>
      <c r="P136" s="63"/>
    </row>
    <row r="137" spans="1:17" ht="23.25">
      <c r="B137" s="62"/>
      <c r="C137" s="62"/>
      <c r="D137" s="62"/>
      <c r="E137" s="62"/>
      <c r="F137" s="62"/>
      <c r="G137" s="61" t="s">
        <v>403</v>
      </c>
      <c r="H137" s="62"/>
      <c r="I137" s="62"/>
      <c r="J137" s="62"/>
      <c r="K137" s="62"/>
      <c r="L137" s="62"/>
      <c r="M137" s="62"/>
      <c r="N137" s="62"/>
      <c r="O137" s="62"/>
      <c r="P137" s="62"/>
    </row>
    <row r="138" spans="1:17" ht="18">
      <c r="F138" s="61" t="s">
        <v>509</v>
      </c>
    </row>
    <row r="139" spans="1:17" ht="24" thickBot="1">
      <c r="B139" s="64" t="s">
        <v>404</v>
      </c>
      <c r="F139" s="62"/>
      <c r="K139" s="64" t="s">
        <v>405</v>
      </c>
    </row>
    <row r="140" spans="1:17" ht="76.5" thickTop="1" thickBot="1">
      <c r="B140" s="65" t="s">
        <v>304</v>
      </c>
      <c r="C140" s="65" t="s">
        <v>406</v>
      </c>
      <c r="D140" s="65" t="s">
        <v>339</v>
      </c>
      <c r="E140" s="65" t="s">
        <v>407</v>
      </c>
      <c r="F140" s="469" t="s">
        <v>408</v>
      </c>
      <c r="G140" s="470"/>
      <c r="H140" s="471"/>
      <c r="I140" s="65" t="s">
        <v>409</v>
      </c>
      <c r="K140" s="65" t="s">
        <v>410</v>
      </c>
      <c r="L140" s="65" t="s">
        <v>411</v>
      </c>
      <c r="M140" s="65" t="s">
        <v>412</v>
      </c>
      <c r="N140" s="65" t="s">
        <v>413</v>
      </c>
    </row>
    <row r="141" spans="1:17" ht="16.5" customHeight="1" thickTop="1" thickBot="1">
      <c r="B141" s="472">
        <f>المهني!OI36</f>
        <v>0</v>
      </c>
      <c r="C141" s="472">
        <f>المهني!OJ36</f>
        <v>0</v>
      </c>
      <c r="D141" s="472">
        <f>المهني!OK36</f>
        <v>0</v>
      </c>
      <c r="E141" s="472">
        <f>المهني!OL36</f>
        <v>0</v>
      </c>
      <c r="F141" s="65" t="s">
        <v>414</v>
      </c>
      <c r="G141" s="65" t="s">
        <v>415</v>
      </c>
      <c r="H141" s="65" t="s">
        <v>416</v>
      </c>
      <c r="I141" s="475">
        <v>0</v>
      </c>
      <c r="K141" s="472">
        <f>المهني!Q36</f>
        <v>0</v>
      </c>
      <c r="L141" s="472">
        <f>المهني!R74</f>
        <v>0</v>
      </c>
      <c r="M141" s="472">
        <f>المهني!S74</f>
        <v>0</v>
      </c>
      <c r="N141" s="472">
        <f>المهني!T74</f>
        <v>0</v>
      </c>
    </row>
    <row r="142" spans="1:17" ht="21.75" thickTop="1" thickBot="1">
      <c r="B142" s="473"/>
      <c r="C142" s="473"/>
      <c r="D142" s="473"/>
      <c r="E142" s="473"/>
      <c r="F142" s="66">
        <f>المهني!OT36</f>
        <v>0</v>
      </c>
      <c r="G142" s="66">
        <v>0</v>
      </c>
      <c r="H142" s="66">
        <f>المهني!OV36</f>
        <v>0</v>
      </c>
      <c r="I142" s="476"/>
      <c r="K142" s="473"/>
      <c r="L142" s="473"/>
      <c r="M142" s="473"/>
      <c r="N142" s="473"/>
    </row>
    <row r="143" spans="1:17" ht="15" thickTop="1"/>
    <row r="144" spans="1:17" ht="24" thickBot="1">
      <c r="B144" s="64" t="s">
        <v>432</v>
      </c>
      <c r="I144" s="64" t="s">
        <v>433</v>
      </c>
    </row>
    <row r="145" spans="2:14" ht="16.5" customHeight="1" thickTop="1" thickBot="1">
      <c r="B145" s="469" t="s">
        <v>417</v>
      </c>
      <c r="C145" s="470"/>
      <c r="D145" s="471"/>
      <c r="E145" s="65" t="s">
        <v>73</v>
      </c>
      <c r="F145" s="65" t="s">
        <v>29</v>
      </c>
      <c r="G145" s="65" t="s">
        <v>25</v>
      </c>
    </row>
    <row r="146" spans="2:14" ht="19.5" customHeight="1" thickTop="1" thickBot="1">
      <c r="B146" s="469" t="s">
        <v>92</v>
      </c>
      <c r="C146" s="470"/>
      <c r="D146" s="471"/>
      <c r="E146" s="84">
        <f>المهني!KY36</f>
        <v>0</v>
      </c>
      <c r="F146" s="84">
        <f>المهني!KZ36</f>
        <v>0</v>
      </c>
      <c r="G146" s="84">
        <f>SUM(E146:F146)</f>
        <v>0</v>
      </c>
      <c r="I146" s="469" t="s">
        <v>220</v>
      </c>
      <c r="J146" s="471"/>
      <c r="K146" s="469" t="s">
        <v>431</v>
      </c>
      <c r="L146" s="471"/>
    </row>
    <row r="147" spans="2:14" ht="19.5" thickTop="1" thickBot="1">
      <c r="B147" s="479" t="s">
        <v>93</v>
      </c>
      <c r="C147" s="469" t="s">
        <v>418</v>
      </c>
      <c r="D147" s="471"/>
      <c r="E147" s="84">
        <f>المهني!LA36</f>
        <v>0</v>
      </c>
      <c r="F147" s="84">
        <f>المهني!LB36</f>
        <v>0</v>
      </c>
      <c r="G147" s="84">
        <f t="shared" ref="G147:G154" si="6">SUM(E147:F147)</f>
        <v>0</v>
      </c>
      <c r="I147" s="469" t="s">
        <v>73</v>
      </c>
      <c r="J147" s="471"/>
      <c r="K147" s="488">
        <f>المهني!NC36</f>
        <v>0</v>
      </c>
      <c r="L147" s="489"/>
    </row>
    <row r="148" spans="2:14" ht="19.5" thickTop="1" thickBot="1">
      <c r="B148" s="480"/>
      <c r="C148" s="469" t="s">
        <v>287</v>
      </c>
      <c r="D148" s="471"/>
      <c r="E148" s="84">
        <f>المهني!LC36</f>
        <v>0</v>
      </c>
      <c r="F148" s="84">
        <f>المهني!LD36</f>
        <v>0</v>
      </c>
      <c r="G148" s="84">
        <f t="shared" si="6"/>
        <v>0</v>
      </c>
      <c r="I148" s="469" t="s">
        <v>29</v>
      </c>
      <c r="J148" s="471"/>
      <c r="K148" s="488">
        <f>المهني!ND36</f>
        <v>0</v>
      </c>
      <c r="L148" s="489"/>
    </row>
    <row r="149" spans="2:14" ht="19.5" thickTop="1" thickBot="1">
      <c r="B149" s="480"/>
      <c r="C149" s="469" t="s">
        <v>288</v>
      </c>
      <c r="D149" s="471"/>
      <c r="E149" s="84">
        <f>المهني!LE36</f>
        <v>0</v>
      </c>
      <c r="F149" s="84">
        <f>المهني!LF36</f>
        <v>0</v>
      </c>
      <c r="G149" s="84">
        <f t="shared" si="6"/>
        <v>0</v>
      </c>
      <c r="I149" s="469" t="s">
        <v>25</v>
      </c>
      <c r="J149" s="471"/>
      <c r="K149" s="488">
        <f>K148+K147</f>
        <v>0</v>
      </c>
      <c r="L149" s="489"/>
    </row>
    <row r="150" spans="2:14" ht="19.5" thickTop="1" thickBot="1">
      <c r="B150" s="480"/>
      <c r="C150" s="469" t="s">
        <v>289</v>
      </c>
      <c r="D150" s="471"/>
      <c r="E150" s="84">
        <f>المهني!LG36</f>
        <v>0</v>
      </c>
      <c r="F150" s="84">
        <f>المهني!LH36</f>
        <v>0</v>
      </c>
      <c r="G150" s="84">
        <f t="shared" si="6"/>
        <v>0</v>
      </c>
      <c r="I150" s="70" t="s">
        <v>429</v>
      </c>
    </row>
    <row r="151" spans="2:14" ht="19.5" thickTop="1" thickBot="1">
      <c r="B151" s="480"/>
      <c r="C151" s="469" t="s">
        <v>290</v>
      </c>
      <c r="D151" s="471"/>
      <c r="E151" s="84">
        <f>المهني!LI36</f>
        <v>0</v>
      </c>
      <c r="F151" s="84">
        <f>المهني!LJ36</f>
        <v>0</v>
      </c>
      <c r="G151" s="84">
        <f t="shared" si="6"/>
        <v>0</v>
      </c>
      <c r="I151" s="469" t="s">
        <v>113</v>
      </c>
      <c r="J151" s="471"/>
      <c r="K151" s="469" t="s">
        <v>430</v>
      </c>
      <c r="L151" s="471"/>
      <c r="M151" s="71"/>
      <c r="N151" s="71"/>
    </row>
    <row r="152" spans="2:14" ht="19.5" thickTop="1" thickBot="1">
      <c r="B152" s="480"/>
      <c r="C152" s="469" t="s">
        <v>291</v>
      </c>
      <c r="D152" s="471"/>
      <c r="E152" s="85"/>
      <c r="F152" s="84">
        <f>المهني!LL74</f>
        <v>0</v>
      </c>
      <c r="G152" s="84">
        <f t="shared" si="6"/>
        <v>0</v>
      </c>
      <c r="I152" s="469" t="s">
        <v>121</v>
      </c>
      <c r="J152" s="471"/>
      <c r="K152" s="488"/>
      <c r="L152" s="489"/>
      <c r="M152" s="71"/>
      <c r="N152" s="71"/>
    </row>
    <row r="153" spans="2:14" ht="19.5" thickTop="1" thickBot="1">
      <c r="B153" s="480"/>
      <c r="C153" s="469" t="s">
        <v>419</v>
      </c>
      <c r="D153" s="471"/>
      <c r="E153" s="84">
        <f>المهني!LM36</f>
        <v>0</v>
      </c>
      <c r="F153" s="84">
        <f>المهني!LN36</f>
        <v>0</v>
      </c>
      <c r="G153" s="84">
        <f t="shared" si="6"/>
        <v>0</v>
      </c>
      <c r="I153" s="469" t="s">
        <v>122</v>
      </c>
      <c r="J153" s="471"/>
      <c r="K153" s="488"/>
      <c r="L153" s="489"/>
      <c r="M153" s="71"/>
      <c r="N153" s="71"/>
    </row>
    <row r="154" spans="2:14" ht="19.5" thickTop="1" thickBot="1">
      <c r="B154" s="480"/>
      <c r="C154" s="469" t="s">
        <v>492</v>
      </c>
      <c r="D154" s="471"/>
      <c r="E154" s="84">
        <f>المهني!LO36</f>
        <v>0</v>
      </c>
      <c r="F154" s="84">
        <f>المهني!LP36</f>
        <v>0</v>
      </c>
      <c r="G154" s="84">
        <f t="shared" si="6"/>
        <v>0</v>
      </c>
      <c r="I154" s="469" t="s">
        <v>123</v>
      </c>
      <c r="J154" s="471"/>
      <c r="K154" s="488"/>
      <c r="L154" s="489"/>
      <c r="M154" s="71"/>
      <c r="N154" s="71"/>
    </row>
    <row r="155" spans="2:14" ht="19.5" thickTop="1" thickBot="1">
      <c r="B155" s="481"/>
      <c r="C155" s="469"/>
      <c r="D155" s="471"/>
      <c r="E155" s="84"/>
      <c r="F155" s="84"/>
      <c r="G155" s="84"/>
      <c r="I155" s="469" t="s">
        <v>211</v>
      </c>
      <c r="J155" s="471"/>
      <c r="K155" s="488"/>
      <c r="L155" s="489"/>
      <c r="M155" s="71"/>
      <c r="N155" s="71"/>
    </row>
    <row r="156" spans="2:14" ht="19.5" customHeight="1" thickTop="1" thickBot="1">
      <c r="B156" s="469" t="s">
        <v>137</v>
      </c>
      <c r="C156" s="470"/>
      <c r="D156" s="471"/>
      <c r="E156" s="84">
        <f>SUM(E146:E155)</f>
        <v>0</v>
      </c>
      <c r="F156" s="84">
        <f t="shared" ref="F156:G156" si="7">SUM(F146:F155)</f>
        <v>0</v>
      </c>
      <c r="G156" s="84">
        <f t="shared" si="7"/>
        <v>0</v>
      </c>
      <c r="I156" s="469" t="s">
        <v>387</v>
      </c>
      <c r="J156" s="471"/>
      <c r="K156" s="469"/>
      <c r="L156" s="471"/>
      <c r="M156" s="71"/>
      <c r="N156" s="71"/>
    </row>
    <row r="157" spans="2:14" ht="16.5" thickTop="1" thickBot="1">
      <c r="I157" s="469" t="s">
        <v>477</v>
      </c>
      <c r="J157" s="471"/>
      <c r="K157" s="469"/>
      <c r="L157" s="471"/>
      <c r="M157" s="71"/>
      <c r="N157" s="71"/>
    </row>
    <row r="158" spans="2:14" ht="16.5" thickTop="1" thickBot="1">
      <c r="I158" s="469" t="s">
        <v>478</v>
      </c>
      <c r="J158" s="471"/>
      <c r="K158" s="469"/>
      <c r="L158" s="471"/>
      <c r="M158" s="71"/>
      <c r="N158" s="71"/>
    </row>
    <row r="159" spans="2:14" ht="19.5" thickTop="1" thickBot="1">
      <c r="I159" s="469" t="s">
        <v>25</v>
      </c>
      <c r="J159" s="471"/>
      <c r="K159" s="488">
        <f>K154+K155+K156+K157+K158+K153+K152</f>
        <v>0</v>
      </c>
      <c r="L159" s="489"/>
      <c r="M159" s="71"/>
      <c r="N159" s="71"/>
    </row>
    <row r="160" spans="2:14" ht="24.75" thickTop="1" thickBot="1">
      <c r="B160" s="68" t="s">
        <v>434</v>
      </c>
    </row>
    <row r="161" spans="1:17" ht="19.5" customHeight="1" thickTop="1" thickBot="1">
      <c r="A161" s="70"/>
      <c r="B161" s="484" t="s">
        <v>420</v>
      </c>
      <c r="C161" s="485"/>
      <c r="D161" s="486" t="s">
        <v>421</v>
      </c>
      <c r="E161" s="487"/>
      <c r="F161" s="484" t="s">
        <v>422</v>
      </c>
      <c r="G161" s="485"/>
      <c r="H161" s="484" t="s">
        <v>457</v>
      </c>
      <c r="I161" s="485"/>
      <c r="J161" s="484" t="s">
        <v>423</v>
      </c>
      <c r="K161" s="490"/>
      <c r="L161" s="485"/>
      <c r="M161" s="70"/>
      <c r="N161" s="70"/>
      <c r="O161" s="70"/>
      <c r="P161" s="70"/>
      <c r="Q161" s="70"/>
    </row>
    <row r="162" spans="1:17" ht="19.5" thickTop="1" thickBot="1">
      <c r="A162" s="70"/>
      <c r="B162" s="83" t="s">
        <v>73</v>
      </c>
      <c r="C162" s="83" t="s">
        <v>29</v>
      </c>
      <c r="D162" s="83" t="s">
        <v>73</v>
      </c>
      <c r="E162" s="83" t="s">
        <v>29</v>
      </c>
      <c r="F162" s="83" t="s">
        <v>73</v>
      </c>
      <c r="G162" s="83" t="s">
        <v>29</v>
      </c>
      <c r="H162" s="83" t="s">
        <v>73</v>
      </c>
      <c r="I162" s="83" t="s">
        <v>29</v>
      </c>
      <c r="J162" s="83" t="s">
        <v>73</v>
      </c>
      <c r="K162" s="83" t="s">
        <v>29</v>
      </c>
      <c r="L162" s="83" t="s">
        <v>25</v>
      </c>
      <c r="M162" s="70"/>
      <c r="N162" s="70"/>
      <c r="O162" s="70"/>
      <c r="P162" s="70"/>
      <c r="Q162" s="70"/>
    </row>
    <row r="163" spans="1:17" ht="19.5" thickTop="1" thickBot="1">
      <c r="A163" s="70"/>
      <c r="B163" s="83">
        <f>المهني!LT36</f>
        <v>0</v>
      </c>
      <c r="C163" s="83">
        <f>المهني!LU36</f>
        <v>0</v>
      </c>
      <c r="D163" s="83">
        <f>المهني!LV36</f>
        <v>0</v>
      </c>
      <c r="E163" s="83">
        <f>المهني!LW36</f>
        <v>0</v>
      </c>
      <c r="F163" s="83">
        <f>المهني!LX36</f>
        <v>0</v>
      </c>
      <c r="G163" s="83">
        <f>المهني!LY36</f>
        <v>0</v>
      </c>
      <c r="H163" s="83">
        <f>المهني!LZ36</f>
        <v>0</v>
      </c>
      <c r="I163" s="83">
        <f>المهني!MA36</f>
        <v>0</v>
      </c>
      <c r="J163" s="83">
        <f>F163+D163+B163+H163</f>
        <v>0</v>
      </c>
      <c r="K163" s="83">
        <f>G163+E163+C163+I163</f>
        <v>0</v>
      </c>
      <c r="L163" s="83">
        <f>SUM(J163:K163)</f>
        <v>0</v>
      </c>
      <c r="M163" s="70"/>
      <c r="N163" s="70"/>
      <c r="O163" s="70"/>
      <c r="P163" s="70"/>
      <c r="Q163" s="70"/>
    </row>
    <row r="164" spans="1:17" ht="15" thickTop="1"/>
    <row r="165" spans="1:17" ht="24" thickBot="1">
      <c r="B165" s="68" t="s">
        <v>435</v>
      </c>
    </row>
    <row r="166" spans="1:17" ht="19.5" customHeight="1" thickTop="1" thickBot="1">
      <c r="A166" s="70"/>
      <c r="B166" s="484" t="s">
        <v>424</v>
      </c>
      <c r="C166" s="485"/>
      <c r="D166" s="486" t="s">
        <v>425</v>
      </c>
      <c r="E166" s="487"/>
      <c r="F166" s="484" t="s">
        <v>426</v>
      </c>
      <c r="G166" s="485"/>
      <c r="H166" s="211" t="s">
        <v>427</v>
      </c>
      <c r="I166" s="212"/>
      <c r="J166" s="484" t="s">
        <v>479</v>
      </c>
      <c r="K166" s="485"/>
      <c r="L166" s="211" t="s">
        <v>25</v>
      </c>
      <c r="M166" s="213"/>
      <c r="N166" s="212"/>
      <c r="O166" s="70"/>
      <c r="P166" s="70"/>
      <c r="Q166" s="70"/>
    </row>
    <row r="167" spans="1:17" ht="19.5" thickTop="1" thickBot="1">
      <c r="A167" s="70"/>
      <c r="B167" s="83" t="s">
        <v>73</v>
      </c>
      <c r="C167" s="83" t="s">
        <v>29</v>
      </c>
      <c r="D167" s="83" t="s">
        <v>73</v>
      </c>
      <c r="E167" s="83" t="s">
        <v>29</v>
      </c>
      <c r="F167" s="83" t="s">
        <v>73</v>
      </c>
      <c r="G167" s="83" t="s">
        <v>29</v>
      </c>
      <c r="H167" s="83" t="s">
        <v>73</v>
      </c>
      <c r="I167" s="83" t="s">
        <v>29</v>
      </c>
      <c r="J167" s="83" t="s">
        <v>73</v>
      </c>
      <c r="K167" s="83" t="s">
        <v>29</v>
      </c>
      <c r="L167" s="83" t="s">
        <v>73</v>
      </c>
      <c r="M167" s="83" t="s">
        <v>29</v>
      </c>
      <c r="N167" s="83" t="s">
        <v>25</v>
      </c>
      <c r="O167" s="70"/>
      <c r="P167" s="70"/>
      <c r="Q167" s="70"/>
    </row>
    <row r="168" spans="1:17" ht="19.5" thickTop="1" thickBot="1">
      <c r="A168" s="70"/>
      <c r="B168" s="83">
        <f>المهني!ME36</f>
        <v>0</v>
      </c>
      <c r="C168" s="83">
        <f>المهني!MF36</f>
        <v>0</v>
      </c>
      <c r="D168" s="83">
        <f>المهني!MG36</f>
        <v>0</v>
      </c>
      <c r="E168" s="83">
        <f>المهني!MH36</f>
        <v>0</v>
      </c>
      <c r="F168" s="83">
        <f>المهني!MI36</f>
        <v>0</v>
      </c>
      <c r="G168" s="83">
        <f>المهني!MJ36</f>
        <v>0</v>
      </c>
      <c r="H168" s="83">
        <f>المهني!MK36</f>
        <v>0</v>
      </c>
      <c r="I168" s="83">
        <f>المهني!ML36</f>
        <v>0</v>
      </c>
      <c r="J168" s="83">
        <f>المهني!MM36</f>
        <v>0</v>
      </c>
      <c r="K168" s="83">
        <f>المهني!MN36</f>
        <v>0</v>
      </c>
      <c r="L168" s="83">
        <f>J168+H168+F168+D168+B168</f>
        <v>0</v>
      </c>
      <c r="M168" s="83">
        <f>K168+I168+G168+E168+C168</f>
        <v>0</v>
      </c>
      <c r="N168" s="83">
        <f>SUM(L168:M168)</f>
        <v>0</v>
      </c>
      <c r="O168" s="70"/>
      <c r="P168" s="70"/>
      <c r="Q168" s="70"/>
    </row>
    <row r="169" spans="1:17" ht="15" thickTop="1"/>
  </sheetData>
  <mergeCells count="290">
    <mergeCell ref="M7:M8"/>
    <mergeCell ref="N7:N8"/>
    <mergeCell ref="B11:D11"/>
    <mergeCell ref="B12:D12"/>
    <mergeCell ref="I12:J12"/>
    <mergeCell ref="K12:L12"/>
    <mergeCell ref="A2:E2"/>
    <mergeCell ref="F6:H6"/>
    <mergeCell ref="B7:B8"/>
    <mergeCell ref="C7:C8"/>
    <mergeCell ref="D7:D8"/>
    <mergeCell ref="E7:E8"/>
    <mergeCell ref="I7:I8"/>
    <mergeCell ref="K7:K8"/>
    <mergeCell ref="L7:L8"/>
    <mergeCell ref="C16:D16"/>
    <mergeCell ref="C17:D17"/>
    <mergeCell ref="I17:J17"/>
    <mergeCell ref="K17:L17"/>
    <mergeCell ref="C18:D18"/>
    <mergeCell ref="I18:J18"/>
    <mergeCell ref="K18:L18"/>
    <mergeCell ref="B13:B21"/>
    <mergeCell ref="C13:D13"/>
    <mergeCell ref="I13:J13"/>
    <mergeCell ref="K13:L13"/>
    <mergeCell ref="C14:D14"/>
    <mergeCell ref="I14:J14"/>
    <mergeCell ref="K14:L14"/>
    <mergeCell ref="C15:D15"/>
    <mergeCell ref="I15:J15"/>
    <mergeCell ref="K15:L15"/>
    <mergeCell ref="C20:D20"/>
    <mergeCell ref="B22:D22"/>
    <mergeCell ref="I21:J21"/>
    <mergeCell ref="K21:L21"/>
    <mergeCell ref="I22:J22"/>
    <mergeCell ref="K22:L22"/>
    <mergeCell ref="I23:J23"/>
    <mergeCell ref="K23:L23"/>
    <mergeCell ref="C19:D19"/>
    <mergeCell ref="I19:J19"/>
    <mergeCell ref="K19:L19"/>
    <mergeCell ref="C21:D21"/>
    <mergeCell ref="I20:J20"/>
    <mergeCell ref="K20:L20"/>
    <mergeCell ref="B31:C31"/>
    <mergeCell ref="D31:E31"/>
    <mergeCell ref="F31:G31"/>
    <mergeCell ref="J31:K31"/>
    <mergeCell ref="B26:C26"/>
    <mergeCell ref="D26:E26"/>
    <mergeCell ref="F26:G26"/>
    <mergeCell ref="J26:L26"/>
    <mergeCell ref="M41:M42"/>
    <mergeCell ref="A36:E36"/>
    <mergeCell ref="F40:H40"/>
    <mergeCell ref="B41:B42"/>
    <mergeCell ref="C41:C42"/>
    <mergeCell ref="D41:D42"/>
    <mergeCell ref="E41:E42"/>
    <mergeCell ref="I41:I42"/>
    <mergeCell ref="K41:K42"/>
    <mergeCell ref="L41:L42"/>
    <mergeCell ref="H26:I26"/>
    <mergeCell ref="N41:N42"/>
    <mergeCell ref="B45:D45"/>
    <mergeCell ref="B46:D46"/>
    <mergeCell ref="I46:J46"/>
    <mergeCell ref="K46:L46"/>
    <mergeCell ref="B47:B55"/>
    <mergeCell ref="C54:D54"/>
    <mergeCell ref="I55:J55"/>
    <mergeCell ref="K55:L55"/>
    <mergeCell ref="C50:D50"/>
    <mergeCell ref="C51:D51"/>
    <mergeCell ref="I51:J51"/>
    <mergeCell ref="K51:L51"/>
    <mergeCell ref="C52:D52"/>
    <mergeCell ref="I52:J52"/>
    <mergeCell ref="K52:L52"/>
    <mergeCell ref="C47:D47"/>
    <mergeCell ref="I47:J47"/>
    <mergeCell ref="K47:L47"/>
    <mergeCell ref="C48:D48"/>
    <mergeCell ref="I48:J48"/>
    <mergeCell ref="K48:L48"/>
    <mergeCell ref="C49:D49"/>
    <mergeCell ref="I49:J49"/>
    <mergeCell ref="B64:C64"/>
    <mergeCell ref="D64:E64"/>
    <mergeCell ref="F64:G64"/>
    <mergeCell ref="H64:I64"/>
    <mergeCell ref="J64:K64"/>
    <mergeCell ref="B59:C59"/>
    <mergeCell ref="D59:E59"/>
    <mergeCell ref="F59:G59"/>
    <mergeCell ref="H59:I59"/>
    <mergeCell ref="J59:L59"/>
    <mergeCell ref="K49:L49"/>
    <mergeCell ref="I56:J56"/>
    <mergeCell ref="K56:L56"/>
    <mergeCell ref="I57:J57"/>
    <mergeCell ref="K57:L57"/>
    <mergeCell ref="C53:D53"/>
    <mergeCell ref="I53:J53"/>
    <mergeCell ref="K53:L53"/>
    <mergeCell ref="C55:D55"/>
    <mergeCell ref="I54:J54"/>
    <mergeCell ref="K54:L54"/>
    <mergeCell ref="B56:D56"/>
    <mergeCell ref="A68:E68"/>
    <mergeCell ref="L68:N68"/>
    <mergeCell ref="F72:H72"/>
    <mergeCell ref="B73:B74"/>
    <mergeCell ref="C73:C74"/>
    <mergeCell ref="D73:D74"/>
    <mergeCell ref="E73:E74"/>
    <mergeCell ref="I73:I74"/>
    <mergeCell ref="K73:K74"/>
    <mergeCell ref="L73:L74"/>
    <mergeCell ref="M73:M74"/>
    <mergeCell ref="N73:N74"/>
    <mergeCell ref="B77:D77"/>
    <mergeCell ref="B78:D78"/>
    <mergeCell ref="I78:J78"/>
    <mergeCell ref="K78:L78"/>
    <mergeCell ref="B79:B87"/>
    <mergeCell ref="C79:D79"/>
    <mergeCell ref="I79:J79"/>
    <mergeCell ref="K79:L79"/>
    <mergeCell ref="C80:D80"/>
    <mergeCell ref="I80:J80"/>
    <mergeCell ref="K80:L80"/>
    <mergeCell ref="C81:D81"/>
    <mergeCell ref="I81:J81"/>
    <mergeCell ref="K81:L81"/>
    <mergeCell ref="C82:D82"/>
    <mergeCell ref="C83:D83"/>
    <mergeCell ref="I83:J83"/>
    <mergeCell ref="K83:L83"/>
    <mergeCell ref="C84:D84"/>
    <mergeCell ref="I84:J84"/>
    <mergeCell ref="K84:L84"/>
    <mergeCell ref="C85:D85"/>
    <mergeCell ref="I85:J85"/>
    <mergeCell ref="K85:L85"/>
    <mergeCell ref="C86:D86"/>
    <mergeCell ref="I86:J86"/>
    <mergeCell ref="K86:L86"/>
    <mergeCell ref="C87:D87"/>
    <mergeCell ref="I87:J87"/>
    <mergeCell ref="K87:L87"/>
    <mergeCell ref="B88:D88"/>
    <mergeCell ref="I88:J88"/>
    <mergeCell ref="K88:L88"/>
    <mergeCell ref="I89:J89"/>
    <mergeCell ref="K89:L89"/>
    <mergeCell ref="D93:E93"/>
    <mergeCell ref="F93:G93"/>
    <mergeCell ref="J93:L93"/>
    <mergeCell ref="D98:E98"/>
    <mergeCell ref="F98:G98"/>
    <mergeCell ref="J98:K98"/>
    <mergeCell ref="I90:J90"/>
    <mergeCell ref="K90:L90"/>
    <mergeCell ref="I91:J91"/>
    <mergeCell ref="K91:L91"/>
    <mergeCell ref="A102:E102"/>
    <mergeCell ref="L102:N102"/>
    <mergeCell ref="F106:H106"/>
    <mergeCell ref="B107:B108"/>
    <mergeCell ref="C107:C108"/>
    <mergeCell ref="D107:D108"/>
    <mergeCell ref="E107:E108"/>
    <mergeCell ref="I107:I108"/>
    <mergeCell ref="K107:K108"/>
    <mergeCell ref="L107:L108"/>
    <mergeCell ref="M107:M108"/>
    <mergeCell ref="N107:N108"/>
    <mergeCell ref="B111:D111"/>
    <mergeCell ref="B112:D112"/>
    <mergeCell ref="I112:J112"/>
    <mergeCell ref="K112:L112"/>
    <mergeCell ref="B113:B121"/>
    <mergeCell ref="C113:D113"/>
    <mergeCell ref="I113:J113"/>
    <mergeCell ref="K113:L113"/>
    <mergeCell ref="C114:D114"/>
    <mergeCell ref="I114:J114"/>
    <mergeCell ref="K114:L114"/>
    <mergeCell ref="C115:D115"/>
    <mergeCell ref="I115:J115"/>
    <mergeCell ref="K115:L115"/>
    <mergeCell ref="C116:D116"/>
    <mergeCell ref="C117:D117"/>
    <mergeCell ref="I117:J117"/>
    <mergeCell ref="K117:L117"/>
    <mergeCell ref="C118:D118"/>
    <mergeCell ref="I118:J118"/>
    <mergeCell ref="K118:L118"/>
    <mergeCell ref="C119:D119"/>
    <mergeCell ref="I119:J119"/>
    <mergeCell ref="K119:L119"/>
    <mergeCell ref="C120:D120"/>
    <mergeCell ref="I120:J120"/>
    <mergeCell ref="K120:L120"/>
    <mergeCell ref="C121:D121"/>
    <mergeCell ref="I121:J121"/>
    <mergeCell ref="K121:L121"/>
    <mergeCell ref="B122:D122"/>
    <mergeCell ref="I122:J122"/>
    <mergeCell ref="K122:L122"/>
    <mergeCell ref="M141:M142"/>
    <mergeCell ref="N141:N142"/>
    <mergeCell ref="I123:J123"/>
    <mergeCell ref="K123:L123"/>
    <mergeCell ref="D127:E127"/>
    <mergeCell ref="F127:G127"/>
    <mergeCell ref="J127:L127"/>
    <mergeCell ref="D132:E132"/>
    <mergeCell ref="F132:G132"/>
    <mergeCell ref="J132:K132"/>
    <mergeCell ref="I124:J124"/>
    <mergeCell ref="K124:L124"/>
    <mergeCell ref="I125:J125"/>
    <mergeCell ref="K125:L125"/>
    <mergeCell ref="C152:D152"/>
    <mergeCell ref="I152:J152"/>
    <mergeCell ref="K152:L152"/>
    <mergeCell ref="C153:D153"/>
    <mergeCell ref="I153:J153"/>
    <mergeCell ref="K153:L153"/>
    <mergeCell ref="A136:E136"/>
    <mergeCell ref="F140:H140"/>
    <mergeCell ref="B141:B142"/>
    <mergeCell ref="C141:C142"/>
    <mergeCell ref="D141:D142"/>
    <mergeCell ref="E141:E142"/>
    <mergeCell ref="I141:I142"/>
    <mergeCell ref="K141:K142"/>
    <mergeCell ref="L141:L142"/>
    <mergeCell ref="C155:D155"/>
    <mergeCell ref="I155:J155"/>
    <mergeCell ref="K155:L155"/>
    <mergeCell ref="B156:D156"/>
    <mergeCell ref="I156:J156"/>
    <mergeCell ref="K156:L156"/>
    <mergeCell ref="B145:D145"/>
    <mergeCell ref="B146:D146"/>
    <mergeCell ref="I146:J146"/>
    <mergeCell ref="K146:L146"/>
    <mergeCell ref="B147:B155"/>
    <mergeCell ref="C147:D147"/>
    <mergeCell ref="I147:J147"/>
    <mergeCell ref="K147:L147"/>
    <mergeCell ref="C148:D148"/>
    <mergeCell ref="I148:J148"/>
    <mergeCell ref="K148:L148"/>
    <mergeCell ref="C149:D149"/>
    <mergeCell ref="I149:J149"/>
    <mergeCell ref="K149:L149"/>
    <mergeCell ref="C150:D150"/>
    <mergeCell ref="C151:D151"/>
    <mergeCell ref="I151:J151"/>
    <mergeCell ref="K151:L151"/>
    <mergeCell ref="B166:C166"/>
    <mergeCell ref="D166:E166"/>
    <mergeCell ref="F166:G166"/>
    <mergeCell ref="J166:K166"/>
    <mergeCell ref="B161:C161"/>
    <mergeCell ref="B132:C132"/>
    <mergeCell ref="B127:C127"/>
    <mergeCell ref="B98:C98"/>
    <mergeCell ref="B93:C93"/>
    <mergeCell ref="H93:I93"/>
    <mergeCell ref="H127:I127"/>
    <mergeCell ref="H161:I161"/>
    <mergeCell ref="I157:J157"/>
    <mergeCell ref="K157:L157"/>
    <mergeCell ref="I158:J158"/>
    <mergeCell ref="K158:L158"/>
    <mergeCell ref="I159:J159"/>
    <mergeCell ref="K159:L159"/>
    <mergeCell ref="D161:E161"/>
    <mergeCell ref="F161:G161"/>
    <mergeCell ref="J161:L161"/>
    <mergeCell ref="C154:D154"/>
    <mergeCell ref="I154:J154"/>
    <mergeCell ref="K154:L154"/>
  </mergeCells>
  <printOptions horizontalCentered="1" verticalCentered="1"/>
  <pageMargins left="0.19685039370078741" right="0.19685039370078741" top="0.35433070866141736" bottom="0.2" header="0.31496062992125984" footer="0.2"/>
  <pageSetup paperSize="9" scale="78" fitToWidth="0" orientation="landscape" horizontalDpi="300" verticalDpi="300" r:id="rId1"/>
  <rowBreaks count="3" manualBreakCount="3">
    <brk id="34" max="16383" man="1"/>
    <brk id="66" max="16" man="1"/>
    <brk id="10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11</vt:i4>
      </vt:variant>
      <vt:variant>
        <vt:lpstr>نطاقات تمت تسميتها</vt:lpstr>
      </vt:variant>
      <vt:variant>
        <vt:i4>7</vt:i4>
      </vt:variant>
    </vt:vector>
  </HeadingPairs>
  <TitlesOfParts>
    <vt:vector size="18" baseType="lpstr">
      <vt:lpstr>المهني</vt:lpstr>
      <vt:lpstr>ج 1,2</vt:lpstr>
      <vt:lpstr>ج3</vt:lpstr>
      <vt:lpstr>ج4</vt:lpstr>
      <vt:lpstr>ج5</vt:lpstr>
      <vt:lpstr>ج6</vt:lpstr>
      <vt:lpstr>ج7,8</vt:lpstr>
      <vt:lpstr>ج9 وملحق</vt:lpstr>
      <vt:lpstr>جدول القوى العاملة</vt:lpstr>
      <vt:lpstr>ج 11</vt:lpstr>
      <vt:lpstr>ج11 حسب الفروع</vt:lpstr>
      <vt:lpstr>المهني!Print_Area</vt:lpstr>
      <vt:lpstr>'ج 1,2'!Print_Area</vt:lpstr>
      <vt:lpstr>'ج 11'!Print_Area</vt:lpstr>
      <vt:lpstr>ج4!Print_Area</vt:lpstr>
      <vt:lpstr>ج6!Print_Area</vt:lpstr>
      <vt:lpstr>'ج7,8'!Print_Area</vt:lpstr>
      <vt:lpstr>'ج9 وملحق'!Print_Area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</dc:creator>
  <cp:lastModifiedBy>Maher</cp:lastModifiedBy>
  <cp:lastPrinted>2026-02-10T10:37:42Z</cp:lastPrinted>
  <dcterms:created xsi:type="dcterms:W3CDTF">2010-01-18T05:54:12Z</dcterms:created>
  <dcterms:modified xsi:type="dcterms:W3CDTF">2026-02-10T10:54:23Z</dcterms:modified>
</cp:coreProperties>
</file>